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Szpada 2023-2024/Ranking Mezczyzn - szpada/"/>
    </mc:Choice>
  </mc:AlternateContent>
  <xr:revisionPtr revIDLastSave="1453" documentId="13_ncr:1_{3F226B10-4F83-8745-866B-42DEA19D504A}" xr6:coauthVersionLast="47" xr6:coauthVersionMax="47" xr10:uidLastSave="{A86BF4BD-8D11-4BFD-A776-D3D184975BEA}"/>
  <bookViews>
    <workbookView xWindow="-34872" yWindow="0" windowWidth="23379" windowHeight="14047" tabRatio="956" xr2:uid="{00000000-000D-0000-FFFF-FFFF00000000}"/>
  </bookViews>
  <sheets>
    <sheet name="KlasyfikacjaGP" sheetId="1" r:id="rId1"/>
    <sheet name="GP1" sheetId="14" r:id="rId2"/>
    <sheet name="GP2" sheetId="16" r:id="rId3"/>
    <sheet name="GP3" sheetId="17" r:id="rId4"/>
    <sheet name="GP4" sheetId="18" r:id="rId5"/>
    <sheet name="GP5" sheetId="19" r:id="rId6"/>
    <sheet name="GP6" sheetId="40" r:id="rId7"/>
    <sheet name="GP7" sheetId="41" r:id="rId8"/>
    <sheet name="GP8" sheetId="42" r:id="rId9"/>
    <sheet name="MPW" sheetId="20" r:id="rId10"/>
    <sheet name="Kadra" sheetId="31" r:id="rId11"/>
    <sheet name="PEW1" sheetId="32" r:id="rId12"/>
    <sheet name="PEW2" sheetId="33" r:id="rId13"/>
    <sheet name="PEW3" sheetId="34" r:id="rId14"/>
    <sheet name="VFC" sheetId="48" r:id="rId15"/>
    <sheet name="PEW4" sheetId="35" r:id="rId16"/>
    <sheet name="PEW5" sheetId="36" r:id="rId17"/>
    <sheet name="PEW6" sheetId="49" r:id="rId18"/>
    <sheet name="PEW7" sheetId="38" r:id="rId19"/>
    <sheet name="PEW8" sheetId="43" r:id="rId20"/>
    <sheet name="PEW9" sheetId="44" r:id="rId21"/>
    <sheet name="PEW10" sheetId="45" r:id="rId22"/>
    <sheet name="PEW11" sheetId="46" r:id="rId23"/>
    <sheet name="PEW12" sheetId="47" r:id="rId24"/>
    <sheet name="IMEW" sheetId="39" r:id="rId25"/>
  </sheets>
  <definedNames>
    <definedName name="_xlnm._FilterDatabase" localSheetId="10" hidden="1">Kadra!$A$5:$AY$5</definedName>
    <definedName name="_xlnm._FilterDatabase" localSheetId="0" hidden="1">KlasyfikacjaGP!$A$5:$V$5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42" l="1"/>
  <c r="B15" i="42"/>
  <c r="B14" i="42"/>
  <c r="B13" i="42"/>
  <c r="B12" i="42"/>
  <c r="B11" i="42"/>
  <c r="B10" i="42"/>
  <c r="B9" i="42"/>
  <c r="B8" i="42"/>
  <c r="B7" i="42"/>
  <c r="B6" i="42"/>
  <c r="B21" i="20"/>
  <c r="A21" i="20"/>
  <c r="B20" i="20"/>
  <c r="A20" i="20"/>
  <c r="B19" i="20"/>
  <c r="A19" i="20"/>
  <c r="B18" i="20"/>
  <c r="A18" i="20"/>
  <c r="B17" i="20"/>
  <c r="A17" i="20"/>
  <c r="B16" i="20"/>
  <c r="A16" i="20"/>
  <c r="B15" i="20"/>
  <c r="A15" i="20"/>
  <c r="B14" i="20"/>
  <c r="A14" i="20"/>
  <c r="B13" i="20"/>
  <c r="A13" i="20"/>
  <c r="B12" i="20"/>
  <c r="A12" i="20"/>
  <c r="B11" i="20"/>
  <c r="A11" i="20"/>
  <c r="B10" i="20"/>
  <c r="A10" i="20"/>
  <c r="B9" i="20"/>
  <c r="A9" i="20"/>
  <c r="B8" i="20"/>
  <c r="A8" i="20"/>
  <c r="B7" i="20"/>
  <c r="A7" i="20"/>
  <c r="B6" i="20"/>
  <c r="A6" i="20"/>
  <c r="B17" i="41"/>
  <c r="B16" i="41"/>
  <c r="B15" i="41"/>
  <c r="B14" i="41"/>
  <c r="B13" i="41"/>
  <c r="B12" i="41"/>
  <c r="B11" i="41"/>
  <c r="B10" i="41"/>
  <c r="B9" i="41"/>
  <c r="B8" i="41"/>
  <c r="B7" i="41"/>
  <c r="B6" i="41"/>
  <c r="B19" i="40"/>
  <c r="B18" i="40"/>
  <c r="B17" i="40"/>
  <c r="B16" i="40"/>
  <c r="B15" i="40"/>
  <c r="B14" i="40"/>
  <c r="B13" i="40"/>
  <c r="B12" i="40"/>
  <c r="B11" i="40"/>
  <c r="B10" i="40"/>
  <c r="B9" i="40"/>
  <c r="B8" i="40"/>
  <c r="B7" i="40"/>
  <c r="B6" i="40"/>
  <c r="AD18" i="31"/>
  <c r="AE18" i="31" s="1"/>
  <c r="AD34" i="31" l="1"/>
  <c r="AE34" i="31" s="1"/>
  <c r="AD33" i="31"/>
  <c r="AE33" i="31" s="1"/>
  <c r="AD32" i="31"/>
  <c r="AE32" i="31" s="1"/>
  <c r="AD31" i="31"/>
  <c r="AE31" i="31" s="1"/>
  <c r="AD30" i="31"/>
  <c r="AE30" i="31" s="1"/>
  <c r="AD19" i="31"/>
  <c r="AE19" i="31" s="1"/>
  <c r="AD23" i="31"/>
  <c r="AE23" i="31" s="1"/>
  <c r="AD21" i="31"/>
  <c r="AE21" i="31" s="1"/>
  <c r="AD24" i="31"/>
  <c r="AE24" i="31" s="1"/>
  <c r="AD22" i="31"/>
  <c r="AE22" i="31" s="1"/>
  <c r="AD29" i="31"/>
  <c r="AE29" i="31" s="1"/>
  <c r="AD28" i="31"/>
  <c r="AE28" i="31" s="1"/>
  <c r="AD25" i="31"/>
  <c r="AE25" i="31" s="1"/>
  <c r="AD26" i="31"/>
  <c r="AE26" i="31" s="1"/>
  <c r="AD27" i="31"/>
  <c r="AE27" i="31" s="1"/>
  <c r="AD17" i="31"/>
  <c r="AE17" i="31" s="1"/>
  <c r="AD20" i="31"/>
  <c r="AE20" i="31" s="1"/>
  <c r="AD16" i="31"/>
  <c r="AE16" i="31" s="1"/>
  <c r="AD15" i="31"/>
  <c r="AE15" i="31" s="1"/>
  <c r="AD11" i="31"/>
  <c r="AE11" i="31" s="1"/>
  <c r="AD14" i="31"/>
  <c r="AE14" i="31" s="1"/>
  <c r="AD12" i="31"/>
  <c r="AE12" i="31" s="1"/>
  <c r="AD13" i="31"/>
  <c r="AE13" i="31" s="1"/>
  <c r="AD9" i="31"/>
  <c r="AE9" i="31" s="1"/>
  <c r="AD10" i="31"/>
  <c r="AE10" i="31" s="1"/>
  <c r="AD8" i="31"/>
  <c r="AE8" i="31" s="1"/>
  <c r="AD7" i="31"/>
  <c r="AE7" i="31" s="1"/>
  <c r="AD6" i="31"/>
  <c r="AE6" i="31" s="1"/>
  <c r="AJ34" i="31"/>
  <c r="AK34" i="31" s="1"/>
  <c r="AJ33" i="31"/>
  <c r="AK33" i="31" s="1"/>
  <c r="AJ32" i="31"/>
  <c r="AK32" i="31" s="1"/>
  <c r="AJ31" i="31"/>
  <c r="AK31" i="31" s="1"/>
  <c r="AJ30" i="31"/>
  <c r="AK30" i="31" s="1"/>
  <c r="AJ19" i="31"/>
  <c r="AK19" i="31" s="1"/>
  <c r="AJ23" i="31"/>
  <c r="AK23" i="31" s="1"/>
  <c r="AJ21" i="31"/>
  <c r="AK21" i="31" s="1"/>
  <c r="AJ24" i="31"/>
  <c r="AK24" i="31" s="1"/>
  <c r="AJ22" i="31"/>
  <c r="AK22" i="31" s="1"/>
  <c r="AJ29" i="31"/>
  <c r="AK29" i="31" s="1"/>
  <c r="AJ28" i="31"/>
  <c r="AK28" i="31" s="1"/>
  <c r="AJ25" i="31"/>
  <c r="AK25" i="31" s="1"/>
  <c r="AJ26" i="31"/>
  <c r="AK26" i="31" s="1"/>
  <c r="AJ18" i="31"/>
  <c r="AK18" i="31" s="1"/>
  <c r="AJ27" i="31"/>
  <c r="AK27" i="31" s="1"/>
  <c r="AJ17" i="31"/>
  <c r="AK17" i="31" s="1"/>
  <c r="AJ20" i="31"/>
  <c r="AK20" i="31" s="1"/>
  <c r="AJ16" i="31"/>
  <c r="AK16" i="31" s="1"/>
  <c r="AJ15" i="31"/>
  <c r="AK15" i="31" s="1"/>
  <c r="AJ11" i="31"/>
  <c r="AK11" i="31" s="1"/>
  <c r="AJ14" i="31"/>
  <c r="AK14" i="31" s="1"/>
  <c r="AJ12" i="31"/>
  <c r="AK12" i="31" s="1"/>
  <c r="AJ13" i="31"/>
  <c r="AK13" i="31" s="1"/>
  <c r="AJ9" i="31"/>
  <c r="AK9" i="31" s="1"/>
  <c r="AJ10" i="31"/>
  <c r="AK10" i="31" s="1"/>
  <c r="AJ8" i="31"/>
  <c r="AK8" i="31" s="1"/>
  <c r="AJ7" i="31"/>
  <c r="AK7" i="31" s="1"/>
  <c r="AJ6" i="31"/>
  <c r="AK6" i="31" s="1"/>
  <c r="J305" i="49"/>
  <c r="K305" i="49" s="1"/>
  <c r="I305" i="49"/>
  <c r="M305" i="49" s="1"/>
  <c r="K304" i="49"/>
  <c r="J304" i="49"/>
  <c r="I304" i="49"/>
  <c r="M304" i="49" s="1"/>
  <c r="J303" i="49"/>
  <c r="K303" i="49" s="1"/>
  <c r="I303" i="49"/>
  <c r="M303" i="49" s="1"/>
  <c r="K302" i="49"/>
  <c r="J302" i="49"/>
  <c r="I302" i="49"/>
  <c r="M302" i="49" s="1"/>
  <c r="J301" i="49"/>
  <c r="K301" i="49" s="1"/>
  <c r="I301" i="49"/>
  <c r="M301" i="49" s="1"/>
  <c r="K300" i="49"/>
  <c r="J300" i="49"/>
  <c r="I300" i="49"/>
  <c r="M300" i="49" s="1"/>
  <c r="J299" i="49"/>
  <c r="K299" i="49" s="1"/>
  <c r="I299" i="49"/>
  <c r="M299" i="49" s="1"/>
  <c r="K298" i="49"/>
  <c r="J298" i="49"/>
  <c r="I298" i="49"/>
  <c r="M298" i="49" s="1"/>
  <c r="J297" i="49"/>
  <c r="K297" i="49" s="1"/>
  <c r="I297" i="49"/>
  <c r="M297" i="49" s="1"/>
  <c r="K296" i="49"/>
  <c r="J296" i="49"/>
  <c r="I296" i="49"/>
  <c r="M296" i="49" s="1"/>
  <c r="J295" i="49"/>
  <c r="K295" i="49" s="1"/>
  <c r="I295" i="49"/>
  <c r="M295" i="49" s="1"/>
  <c r="K294" i="49"/>
  <c r="J294" i="49"/>
  <c r="I294" i="49"/>
  <c r="M294" i="49" s="1"/>
  <c r="J293" i="49"/>
  <c r="K293" i="49" s="1"/>
  <c r="I293" i="49"/>
  <c r="M293" i="49" s="1"/>
  <c r="K292" i="49"/>
  <c r="J292" i="49"/>
  <c r="I292" i="49"/>
  <c r="M292" i="49" s="1"/>
  <c r="J291" i="49"/>
  <c r="K291" i="49" s="1"/>
  <c r="I291" i="49"/>
  <c r="M291" i="49" s="1"/>
  <c r="K290" i="49"/>
  <c r="J290" i="49"/>
  <c r="I290" i="49"/>
  <c r="M290" i="49" s="1"/>
  <c r="J289" i="49"/>
  <c r="K289" i="49" s="1"/>
  <c r="I289" i="49"/>
  <c r="M289" i="49" s="1"/>
  <c r="J288" i="49"/>
  <c r="K288" i="49" s="1"/>
  <c r="I288" i="49"/>
  <c r="M288" i="49" s="1"/>
  <c r="J287" i="49"/>
  <c r="K287" i="49" s="1"/>
  <c r="I287" i="49"/>
  <c r="M287" i="49" s="1"/>
  <c r="K286" i="49"/>
  <c r="J286" i="49"/>
  <c r="I286" i="49"/>
  <c r="M286" i="49" s="1"/>
  <c r="J285" i="49"/>
  <c r="K285" i="49" s="1"/>
  <c r="I285" i="49"/>
  <c r="M285" i="49" s="1"/>
  <c r="J284" i="49"/>
  <c r="K284" i="49" s="1"/>
  <c r="I284" i="49"/>
  <c r="M284" i="49" s="1"/>
  <c r="J283" i="49"/>
  <c r="K283" i="49" s="1"/>
  <c r="I283" i="49"/>
  <c r="M283" i="49" s="1"/>
  <c r="J282" i="49"/>
  <c r="K282" i="49" s="1"/>
  <c r="I282" i="49"/>
  <c r="M282" i="49" s="1"/>
  <c r="J281" i="49"/>
  <c r="K281" i="49" s="1"/>
  <c r="I281" i="49"/>
  <c r="M281" i="49" s="1"/>
  <c r="J280" i="49"/>
  <c r="K280" i="49" s="1"/>
  <c r="I280" i="49"/>
  <c r="M280" i="49" s="1"/>
  <c r="J279" i="49"/>
  <c r="K279" i="49" s="1"/>
  <c r="I279" i="49"/>
  <c r="M279" i="49" s="1"/>
  <c r="K278" i="49"/>
  <c r="J278" i="49"/>
  <c r="I278" i="49"/>
  <c r="M278" i="49" s="1"/>
  <c r="J277" i="49"/>
  <c r="K277" i="49" s="1"/>
  <c r="I277" i="49"/>
  <c r="M277" i="49" s="1"/>
  <c r="J276" i="49"/>
  <c r="K276" i="49" s="1"/>
  <c r="I276" i="49"/>
  <c r="M276" i="49" s="1"/>
  <c r="J275" i="49"/>
  <c r="K275" i="49" s="1"/>
  <c r="I275" i="49"/>
  <c r="M275" i="49" s="1"/>
  <c r="K274" i="49"/>
  <c r="J274" i="49"/>
  <c r="I274" i="49"/>
  <c r="M274" i="49" s="1"/>
  <c r="J273" i="49"/>
  <c r="K273" i="49" s="1"/>
  <c r="I273" i="49"/>
  <c r="M273" i="49" s="1"/>
  <c r="J272" i="49"/>
  <c r="K272" i="49" s="1"/>
  <c r="I272" i="49"/>
  <c r="M272" i="49" s="1"/>
  <c r="J271" i="49"/>
  <c r="K271" i="49" s="1"/>
  <c r="I271" i="49"/>
  <c r="M271" i="49" s="1"/>
  <c r="K270" i="49"/>
  <c r="J270" i="49"/>
  <c r="I270" i="49"/>
  <c r="M270" i="49" s="1"/>
  <c r="J269" i="49"/>
  <c r="K269" i="49" s="1"/>
  <c r="I269" i="49"/>
  <c r="M269" i="49" s="1"/>
  <c r="J268" i="49"/>
  <c r="K268" i="49" s="1"/>
  <c r="I268" i="49"/>
  <c r="M268" i="49" s="1"/>
  <c r="J267" i="49"/>
  <c r="K267" i="49" s="1"/>
  <c r="I267" i="49"/>
  <c r="M267" i="49" s="1"/>
  <c r="J266" i="49"/>
  <c r="K266" i="49" s="1"/>
  <c r="I266" i="49"/>
  <c r="M266" i="49" s="1"/>
  <c r="J265" i="49"/>
  <c r="K265" i="49" s="1"/>
  <c r="I265" i="49"/>
  <c r="M265" i="49" s="1"/>
  <c r="J264" i="49"/>
  <c r="K264" i="49" s="1"/>
  <c r="I264" i="49"/>
  <c r="M264" i="49" s="1"/>
  <c r="J263" i="49"/>
  <c r="K263" i="49" s="1"/>
  <c r="I263" i="49"/>
  <c r="M263" i="49" s="1"/>
  <c r="K262" i="49"/>
  <c r="J262" i="49"/>
  <c r="I262" i="49"/>
  <c r="M262" i="49" s="1"/>
  <c r="J261" i="49"/>
  <c r="K261" i="49" s="1"/>
  <c r="I261" i="49"/>
  <c r="M261" i="49" s="1"/>
  <c r="J260" i="49"/>
  <c r="K260" i="49" s="1"/>
  <c r="I260" i="49"/>
  <c r="M260" i="49" s="1"/>
  <c r="J259" i="49"/>
  <c r="K259" i="49" s="1"/>
  <c r="I259" i="49"/>
  <c r="M259" i="49" s="1"/>
  <c r="K258" i="49"/>
  <c r="J258" i="49"/>
  <c r="I258" i="49"/>
  <c r="M258" i="49" s="1"/>
  <c r="J257" i="49"/>
  <c r="K257" i="49" s="1"/>
  <c r="I257" i="49"/>
  <c r="M257" i="49" s="1"/>
  <c r="J256" i="49"/>
  <c r="K256" i="49" s="1"/>
  <c r="I256" i="49"/>
  <c r="M256" i="49" s="1"/>
  <c r="J255" i="49"/>
  <c r="K255" i="49" s="1"/>
  <c r="I255" i="49"/>
  <c r="M255" i="49" s="1"/>
  <c r="K254" i="49"/>
  <c r="J254" i="49"/>
  <c r="I254" i="49"/>
  <c r="M254" i="49" s="1"/>
  <c r="J253" i="49"/>
  <c r="K253" i="49" s="1"/>
  <c r="I253" i="49"/>
  <c r="M253" i="49" s="1"/>
  <c r="J252" i="49"/>
  <c r="K252" i="49" s="1"/>
  <c r="I252" i="49"/>
  <c r="M252" i="49" s="1"/>
  <c r="J251" i="49"/>
  <c r="K251" i="49" s="1"/>
  <c r="I251" i="49"/>
  <c r="M251" i="49" s="1"/>
  <c r="J250" i="49"/>
  <c r="K250" i="49" s="1"/>
  <c r="I250" i="49"/>
  <c r="M250" i="49" s="1"/>
  <c r="J249" i="49"/>
  <c r="K249" i="49" s="1"/>
  <c r="I249" i="49"/>
  <c r="M249" i="49" s="1"/>
  <c r="J248" i="49"/>
  <c r="K248" i="49" s="1"/>
  <c r="I248" i="49"/>
  <c r="M248" i="49" s="1"/>
  <c r="J247" i="49"/>
  <c r="K247" i="49" s="1"/>
  <c r="I247" i="49"/>
  <c r="M247" i="49" s="1"/>
  <c r="K246" i="49"/>
  <c r="J246" i="49"/>
  <c r="I246" i="49"/>
  <c r="M246" i="49" s="1"/>
  <c r="J245" i="49"/>
  <c r="K245" i="49" s="1"/>
  <c r="I245" i="49"/>
  <c r="M245" i="49" s="1"/>
  <c r="J244" i="49"/>
  <c r="K244" i="49" s="1"/>
  <c r="I244" i="49"/>
  <c r="M244" i="49" s="1"/>
  <c r="J243" i="49"/>
  <c r="K243" i="49" s="1"/>
  <c r="I243" i="49"/>
  <c r="M243" i="49" s="1"/>
  <c r="K242" i="49"/>
  <c r="J242" i="49"/>
  <c r="I242" i="49"/>
  <c r="M242" i="49" s="1"/>
  <c r="J241" i="49"/>
  <c r="K241" i="49" s="1"/>
  <c r="I241" i="49"/>
  <c r="M241" i="49" s="1"/>
  <c r="K240" i="49"/>
  <c r="J240" i="49"/>
  <c r="I240" i="49"/>
  <c r="M240" i="49" s="1"/>
  <c r="J239" i="49"/>
  <c r="K239" i="49" s="1"/>
  <c r="I239" i="49"/>
  <c r="M239" i="49" s="1"/>
  <c r="K238" i="49"/>
  <c r="J238" i="49"/>
  <c r="I238" i="49"/>
  <c r="M238" i="49" s="1"/>
  <c r="J237" i="49"/>
  <c r="K237" i="49" s="1"/>
  <c r="I237" i="49"/>
  <c r="M237" i="49" s="1"/>
  <c r="J236" i="49"/>
  <c r="K236" i="49" s="1"/>
  <c r="I236" i="49"/>
  <c r="M236" i="49" s="1"/>
  <c r="J235" i="49"/>
  <c r="K235" i="49" s="1"/>
  <c r="I235" i="49"/>
  <c r="M235" i="49" s="1"/>
  <c r="J234" i="49"/>
  <c r="K234" i="49" s="1"/>
  <c r="I234" i="49"/>
  <c r="M234" i="49" s="1"/>
  <c r="J233" i="49"/>
  <c r="K233" i="49" s="1"/>
  <c r="I233" i="49"/>
  <c r="M233" i="49" s="1"/>
  <c r="J232" i="49"/>
  <c r="K232" i="49" s="1"/>
  <c r="I232" i="49"/>
  <c r="M232" i="49" s="1"/>
  <c r="J231" i="49"/>
  <c r="K231" i="49" s="1"/>
  <c r="I231" i="49"/>
  <c r="M231" i="49" s="1"/>
  <c r="K230" i="49"/>
  <c r="J230" i="49"/>
  <c r="I230" i="49"/>
  <c r="M230" i="49" s="1"/>
  <c r="J229" i="49"/>
  <c r="K229" i="49" s="1"/>
  <c r="I229" i="49"/>
  <c r="M229" i="49" s="1"/>
  <c r="J228" i="49"/>
  <c r="K228" i="49" s="1"/>
  <c r="I228" i="49"/>
  <c r="M228" i="49" s="1"/>
  <c r="J227" i="49"/>
  <c r="K227" i="49" s="1"/>
  <c r="I227" i="49"/>
  <c r="M227" i="49" s="1"/>
  <c r="K226" i="49"/>
  <c r="J226" i="49"/>
  <c r="I226" i="49"/>
  <c r="M226" i="49" s="1"/>
  <c r="J225" i="49"/>
  <c r="K225" i="49" s="1"/>
  <c r="I225" i="49"/>
  <c r="M225" i="49" s="1"/>
  <c r="K224" i="49"/>
  <c r="J224" i="49"/>
  <c r="I224" i="49"/>
  <c r="M224" i="49" s="1"/>
  <c r="J223" i="49"/>
  <c r="K223" i="49" s="1"/>
  <c r="I223" i="49"/>
  <c r="M223" i="49" s="1"/>
  <c r="K222" i="49"/>
  <c r="J222" i="49"/>
  <c r="I222" i="49"/>
  <c r="M222" i="49" s="1"/>
  <c r="J221" i="49"/>
  <c r="K221" i="49" s="1"/>
  <c r="I221" i="49"/>
  <c r="M221" i="49" s="1"/>
  <c r="J220" i="49"/>
  <c r="K220" i="49" s="1"/>
  <c r="I220" i="49"/>
  <c r="M220" i="49" s="1"/>
  <c r="J219" i="49"/>
  <c r="K219" i="49" s="1"/>
  <c r="I219" i="49"/>
  <c r="M219" i="49" s="1"/>
  <c r="J218" i="49"/>
  <c r="K218" i="49" s="1"/>
  <c r="I218" i="49"/>
  <c r="M218" i="49" s="1"/>
  <c r="J217" i="49"/>
  <c r="K217" i="49" s="1"/>
  <c r="I217" i="49"/>
  <c r="M217" i="49" s="1"/>
  <c r="J216" i="49"/>
  <c r="K216" i="49" s="1"/>
  <c r="I216" i="49"/>
  <c r="M216" i="49" s="1"/>
  <c r="J215" i="49"/>
  <c r="K215" i="49" s="1"/>
  <c r="I215" i="49"/>
  <c r="M215" i="49" s="1"/>
  <c r="K214" i="49"/>
  <c r="J214" i="49"/>
  <c r="I214" i="49"/>
  <c r="M214" i="49" s="1"/>
  <c r="J213" i="49"/>
  <c r="K213" i="49" s="1"/>
  <c r="I213" i="49"/>
  <c r="M213" i="49" s="1"/>
  <c r="J212" i="49"/>
  <c r="K212" i="49" s="1"/>
  <c r="I212" i="49"/>
  <c r="M212" i="49" s="1"/>
  <c r="J211" i="49"/>
  <c r="K211" i="49" s="1"/>
  <c r="I211" i="49"/>
  <c r="M211" i="49" s="1"/>
  <c r="K210" i="49"/>
  <c r="J210" i="49"/>
  <c r="I210" i="49"/>
  <c r="M210" i="49" s="1"/>
  <c r="J209" i="49"/>
  <c r="K209" i="49" s="1"/>
  <c r="I209" i="49"/>
  <c r="M209" i="49" s="1"/>
  <c r="K208" i="49"/>
  <c r="J208" i="49"/>
  <c r="I208" i="49"/>
  <c r="M208" i="49" s="1"/>
  <c r="J207" i="49"/>
  <c r="K207" i="49" s="1"/>
  <c r="I207" i="49"/>
  <c r="M207" i="49" s="1"/>
  <c r="K206" i="49"/>
  <c r="J206" i="49"/>
  <c r="I206" i="49"/>
  <c r="M206" i="49" s="1"/>
  <c r="J205" i="49"/>
  <c r="K205" i="49" s="1"/>
  <c r="I205" i="49"/>
  <c r="M205" i="49" s="1"/>
  <c r="J204" i="49"/>
  <c r="K204" i="49" s="1"/>
  <c r="I204" i="49"/>
  <c r="M204" i="49" s="1"/>
  <c r="J203" i="49"/>
  <c r="K203" i="49" s="1"/>
  <c r="I203" i="49"/>
  <c r="M203" i="49" s="1"/>
  <c r="J202" i="49"/>
  <c r="K202" i="49" s="1"/>
  <c r="I202" i="49"/>
  <c r="M202" i="49" s="1"/>
  <c r="J201" i="49"/>
  <c r="K201" i="49" s="1"/>
  <c r="I201" i="49"/>
  <c r="M201" i="49" s="1"/>
  <c r="J200" i="49"/>
  <c r="K200" i="49" s="1"/>
  <c r="I200" i="49"/>
  <c r="M200" i="49" s="1"/>
  <c r="J199" i="49"/>
  <c r="K199" i="49" s="1"/>
  <c r="I199" i="49"/>
  <c r="M199" i="49" s="1"/>
  <c r="K198" i="49"/>
  <c r="J198" i="49"/>
  <c r="I198" i="49"/>
  <c r="M198" i="49" s="1"/>
  <c r="J197" i="49"/>
  <c r="K197" i="49" s="1"/>
  <c r="I197" i="49"/>
  <c r="M197" i="49" s="1"/>
  <c r="J196" i="49"/>
  <c r="K196" i="49" s="1"/>
  <c r="I196" i="49"/>
  <c r="M196" i="49" s="1"/>
  <c r="J195" i="49"/>
  <c r="K195" i="49" s="1"/>
  <c r="I195" i="49"/>
  <c r="M195" i="49" s="1"/>
  <c r="K194" i="49"/>
  <c r="J194" i="49"/>
  <c r="I194" i="49"/>
  <c r="M194" i="49" s="1"/>
  <c r="J193" i="49"/>
  <c r="K193" i="49" s="1"/>
  <c r="I193" i="49"/>
  <c r="M193" i="49" s="1"/>
  <c r="K192" i="49"/>
  <c r="J192" i="49"/>
  <c r="I192" i="49"/>
  <c r="M192" i="49" s="1"/>
  <c r="J191" i="49"/>
  <c r="K191" i="49" s="1"/>
  <c r="I191" i="49"/>
  <c r="M191" i="49" s="1"/>
  <c r="K190" i="49"/>
  <c r="J190" i="49"/>
  <c r="I190" i="49"/>
  <c r="M190" i="49" s="1"/>
  <c r="J189" i="49"/>
  <c r="K189" i="49" s="1"/>
  <c r="I189" i="49"/>
  <c r="M189" i="49" s="1"/>
  <c r="J188" i="49"/>
  <c r="K188" i="49" s="1"/>
  <c r="I188" i="49"/>
  <c r="M188" i="49" s="1"/>
  <c r="J187" i="49"/>
  <c r="K187" i="49" s="1"/>
  <c r="I187" i="49"/>
  <c r="M187" i="49" s="1"/>
  <c r="J186" i="49"/>
  <c r="K186" i="49" s="1"/>
  <c r="I186" i="49"/>
  <c r="M186" i="49" s="1"/>
  <c r="J185" i="49"/>
  <c r="K185" i="49" s="1"/>
  <c r="I185" i="49"/>
  <c r="M185" i="49" s="1"/>
  <c r="J184" i="49"/>
  <c r="K184" i="49" s="1"/>
  <c r="I184" i="49"/>
  <c r="M184" i="49" s="1"/>
  <c r="J183" i="49"/>
  <c r="K183" i="49" s="1"/>
  <c r="I183" i="49"/>
  <c r="M183" i="49" s="1"/>
  <c r="K182" i="49"/>
  <c r="J182" i="49"/>
  <c r="I182" i="49"/>
  <c r="M182" i="49" s="1"/>
  <c r="J181" i="49"/>
  <c r="K181" i="49" s="1"/>
  <c r="I181" i="49"/>
  <c r="M181" i="49" s="1"/>
  <c r="J180" i="49"/>
  <c r="K180" i="49" s="1"/>
  <c r="I180" i="49"/>
  <c r="M180" i="49" s="1"/>
  <c r="J179" i="49"/>
  <c r="K179" i="49" s="1"/>
  <c r="I179" i="49"/>
  <c r="M179" i="49" s="1"/>
  <c r="K178" i="49"/>
  <c r="J178" i="49"/>
  <c r="I178" i="49"/>
  <c r="M178" i="49" s="1"/>
  <c r="J177" i="49"/>
  <c r="K177" i="49" s="1"/>
  <c r="I177" i="49"/>
  <c r="M177" i="49" s="1"/>
  <c r="K176" i="49"/>
  <c r="J176" i="49"/>
  <c r="I176" i="49"/>
  <c r="M176" i="49" s="1"/>
  <c r="J175" i="49"/>
  <c r="K175" i="49" s="1"/>
  <c r="I175" i="49"/>
  <c r="M175" i="49" s="1"/>
  <c r="K174" i="49"/>
  <c r="J174" i="49"/>
  <c r="I174" i="49"/>
  <c r="M174" i="49" s="1"/>
  <c r="J173" i="49"/>
  <c r="K173" i="49" s="1"/>
  <c r="I173" i="49"/>
  <c r="M173" i="49" s="1"/>
  <c r="J172" i="49"/>
  <c r="K172" i="49" s="1"/>
  <c r="I172" i="49"/>
  <c r="M172" i="49" s="1"/>
  <c r="J171" i="49"/>
  <c r="K171" i="49" s="1"/>
  <c r="I171" i="49"/>
  <c r="M171" i="49" s="1"/>
  <c r="J170" i="49"/>
  <c r="K170" i="49" s="1"/>
  <c r="I170" i="49"/>
  <c r="M170" i="49" s="1"/>
  <c r="J169" i="49"/>
  <c r="K169" i="49" s="1"/>
  <c r="I169" i="49"/>
  <c r="M169" i="49" s="1"/>
  <c r="J168" i="49"/>
  <c r="K168" i="49" s="1"/>
  <c r="I168" i="49"/>
  <c r="M168" i="49" s="1"/>
  <c r="J167" i="49"/>
  <c r="K167" i="49" s="1"/>
  <c r="I167" i="49"/>
  <c r="M167" i="49" s="1"/>
  <c r="K166" i="49"/>
  <c r="J166" i="49"/>
  <c r="I166" i="49"/>
  <c r="M166" i="49" s="1"/>
  <c r="J165" i="49"/>
  <c r="K165" i="49" s="1"/>
  <c r="I165" i="49"/>
  <c r="M165" i="49" s="1"/>
  <c r="J164" i="49"/>
  <c r="K164" i="49" s="1"/>
  <c r="I164" i="49"/>
  <c r="M164" i="49" s="1"/>
  <c r="J163" i="49"/>
  <c r="K163" i="49" s="1"/>
  <c r="I163" i="49"/>
  <c r="M163" i="49" s="1"/>
  <c r="K162" i="49"/>
  <c r="J162" i="49"/>
  <c r="I162" i="49"/>
  <c r="M162" i="49" s="1"/>
  <c r="J161" i="49"/>
  <c r="K161" i="49" s="1"/>
  <c r="I161" i="49"/>
  <c r="M161" i="49" s="1"/>
  <c r="K160" i="49"/>
  <c r="J160" i="49"/>
  <c r="I160" i="49"/>
  <c r="M160" i="49" s="1"/>
  <c r="J159" i="49"/>
  <c r="K159" i="49" s="1"/>
  <c r="I159" i="49"/>
  <c r="M159" i="49" s="1"/>
  <c r="K158" i="49"/>
  <c r="J158" i="49"/>
  <c r="I158" i="49"/>
  <c r="M158" i="49" s="1"/>
  <c r="J157" i="49"/>
  <c r="K157" i="49" s="1"/>
  <c r="I157" i="49"/>
  <c r="M157" i="49" s="1"/>
  <c r="J156" i="49"/>
  <c r="K156" i="49" s="1"/>
  <c r="I156" i="49"/>
  <c r="M156" i="49" s="1"/>
  <c r="J155" i="49"/>
  <c r="K155" i="49" s="1"/>
  <c r="I155" i="49"/>
  <c r="M155" i="49" s="1"/>
  <c r="J154" i="49"/>
  <c r="K154" i="49" s="1"/>
  <c r="I154" i="49"/>
  <c r="M154" i="49" s="1"/>
  <c r="J153" i="49"/>
  <c r="K153" i="49" s="1"/>
  <c r="I153" i="49"/>
  <c r="M153" i="49" s="1"/>
  <c r="J152" i="49"/>
  <c r="K152" i="49" s="1"/>
  <c r="I152" i="49"/>
  <c r="M152" i="49" s="1"/>
  <c r="J151" i="49"/>
  <c r="K151" i="49" s="1"/>
  <c r="I151" i="49"/>
  <c r="M151" i="49" s="1"/>
  <c r="K150" i="49"/>
  <c r="J150" i="49"/>
  <c r="I150" i="49"/>
  <c r="M150" i="49" s="1"/>
  <c r="J149" i="49"/>
  <c r="K149" i="49" s="1"/>
  <c r="I149" i="49"/>
  <c r="M149" i="49" s="1"/>
  <c r="J148" i="49"/>
  <c r="K148" i="49" s="1"/>
  <c r="I148" i="49"/>
  <c r="M148" i="49" s="1"/>
  <c r="J147" i="49"/>
  <c r="K147" i="49" s="1"/>
  <c r="I147" i="49"/>
  <c r="M147" i="49" s="1"/>
  <c r="K146" i="49"/>
  <c r="J146" i="49"/>
  <c r="I146" i="49"/>
  <c r="M146" i="49" s="1"/>
  <c r="J145" i="49"/>
  <c r="K145" i="49" s="1"/>
  <c r="I145" i="49"/>
  <c r="M145" i="49" s="1"/>
  <c r="K144" i="49"/>
  <c r="J144" i="49"/>
  <c r="I144" i="49"/>
  <c r="M144" i="49" s="1"/>
  <c r="J143" i="49"/>
  <c r="K143" i="49" s="1"/>
  <c r="I143" i="49"/>
  <c r="M143" i="49" s="1"/>
  <c r="K142" i="49"/>
  <c r="J142" i="49"/>
  <c r="I142" i="49"/>
  <c r="M142" i="49" s="1"/>
  <c r="J141" i="49"/>
  <c r="K141" i="49" s="1"/>
  <c r="I141" i="49"/>
  <c r="M141" i="49" s="1"/>
  <c r="J140" i="49"/>
  <c r="K140" i="49" s="1"/>
  <c r="I140" i="49"/>
  <c r="M140" i="49" s="1"/>
  <c r="J139" i="49"/>
  <c r="K139" i="49" s="1"/>
  <c r="I139" i="49"/>
  <c r="M139" i="49" s="1"/>
  <c r="M138" i="49"/>
  <c r="K138" i="49"/>
  <c r="J138" i="49"/>
  <c r="I138" i="49"/>
  <c r="J137" i="49"/>
  <c r="K137" i="49" s="1"/>
  <c r="I137" i="49"/>
  <c r="M137" i="49" s="1"/>
  <c r="M136" i="49"/>
  <c r="J136" i="49"/>
  <c r="K136" i="49" s="1"/>
  <c r="I136" i="49"/>
  <c r="J135" i="49"/>
  <c r="K135" i="49" s="1"/>
  <c r="I135" i="49"/>
  <c r="M135" i="49" s="1"/>
  <c r="M134" i="49"/>
  <c r="J134" i="49"/>
  <c r="K134" i="49" s="1"/>
  <c r="I134" i="49"/>
  <c r="J133" i="49"/>
  <c r="K133" i="49" s="1"/>
  <c r="I133" i="49"/>
  <c r="M133" i="49" s="1"/>
  <c r="M132" i="49"/>
  <c r="J132" i="49"/>
  <c r="K132" i="49" s="1"/>
  <c r="I132" i="49"/>
  <c r="J131" i="49"/>
  <c r="K131" i="49" s="1"/>
  <c r="I131" i="49"/>
  <c r="M131" i="49" s="1"/>
  <c r="M130" i="49"/>
  <c r="J130" i="49"/>
  <c r="K130" i="49" s="1"/>
  <c r="I130" i="49"/>
  <c r="J129" i="49"/>
  <c r="K129" i="49" s="1"/>
  <c r="I129" i="49"/>
  <c r="M129" i="49" s="1"/>
  <c r="M128" i="49"/>
  <c r="J128" i="49"/>
  <c r="K128" i="49" s="1"/>
  <c r="I128" i="49"/>
  <c r="J127" i="49"/>
  <c r="K127" i="49" s="1"/>
  <c r="I127" i="49"/>
  <c r="M127" i="49" s="1"/>
  <c r="M126" i="49"/>
  <c r="J126" i="49"/>
  <c r="K126" i="49" s="1"/>
  <c r="I126" i="49"/>
  <c r="J125" i="49"/>
  <c r="K125" i="49" s="1"/>
  <c r="I125" i="49"/>
  <c r="M125" i="49" s="1"/>
  <c r="M124" i="49"/>
  <c r="J124" i="49"/>
  <c r="K124" i="49" s="1"/>
  <c r="I124" i="49"/>
  <c r="J123" i="49"/>
  <c r="K123" i="49" s="1"/>
  <c r="I123" i="49"/>
  <c r="M123" i="49" s="1"/>
  <c r="M122" i="49"/>
  <c r="J122" i="49"/>
  <c r="K122" i="49" s="1"/>
  <c r="I122" i="49"/>
  <c r="J121" i="49"/>
  <c r="K121" i="49" s="1"/>
  <c r="I121" i="49"/>
  <c r="M121" i="49" s="1"/>
  <c r="M120" i="49"/>
  <c r="J120" i="49"/>
  <c r="K120" i="49" s="1"/>
  <c r="I120" i="49"/>
  <c r="J119" i="49"/>
  <c r="K119" i="49" s="1"/>
  <c r="I119" i="49"/>
  <c r="M119" i="49" s="1"/>
  <c r="M118" i="49"/>
  <c r="J118" i="49"/>
  <c r="K118" i="49" s="1"/>
  <c r="I118" i="49"/>
  <c r="J117" i="49"/>
  <c r="K117" i="49" s="1"/>
  <c r="I117" i="49"/>
  <c r="M117" i="49" s="1"/>
  <c r="M116" i="49"/>
  <c r="J116" i="49"/>
  <c r="K116" i="49" s="1"/>
  <c r="I116" i="49"/>
  <c r="J115" i="49"/>
  <c r="K115" i="49" s="1"/>
  <c r="I115" i="49"/>
  <c r="M115" i="49" s="1"/>
  <c r="M114" i="49"/>
  <c r="J114" i="49"/>
  <c r="K114" i="49" s="1"/>
  <c r="I114" i="49"/>
  <c r="J113" i="49"/>
  <c r="K113" i="49" s="1"/>
  <c r="I113" i="49"/>
  <c r="M113" i="49" s="1"/>
  <c r="M112" i="49"/>
  <c r="J112" i="49"/>
  <c r="K112" i="49" s="1"/>
  <c r="I112" i="49"/>
  <c r="J111" i="49"/>
  <c r="K111" i="49" s="1"/>
  <c r="I111" i="49"/>
  <c r="M111" i="49" s="1"/>
  <c r="M110" i="49"/>
  <c r="J110" i="49"/>
  <c r="K110" i="49" s="1"/>
  <c r="I110" i="49"/>
  <c r="J109" i="49"/>
  <c r="K109" i="49" s="1"/>
  <c r="I109" i="49"/>
  <c r="M109" i="49" s="1"/>
  <c r="M108" i="49"/>
  <c r="J108" i="49"/>
  <c r="K108" i="49" s="1"/>
  <c r="I108" i="49"/>
  <c r="J107" i="49"/>
  <c r="K107" i="49" s="1"/>
  <c r="I107" i="49"/>
  <c r="M107" i="49" s="1"/>
  <c r="M106" i="49"/>
  <c r="J106" i="49"/>
  <c r="K106" i="49" s="1"/>
  <c r="I106" i="49"/>
  <c r="J105" i="49"/>
  <c r="K105" i="49" s="1"/>
  <c r="I105" i="49"/>
  <c r="M105" i="49" s="1"/>
  <c r="M104" i="49"/>
  <c r="J104" i="49"/>
  <c r="K104" i="49" s="1"/>
  <c r="I104" i="49"/>
  <c r="J103" i="49"/>
  <c r="K103" i="49" s="1"/>
  <c r="I103" i="49"/>
  <c r="M103" i="49" s="1"/>
  <c r="M102" i="49"/>
  <c r="J102" i="49"/>
  <c r="K102" i="49" s="1"/>
  <c r="I102" i="49"/>
  <c r="J101" i="49"/>
  <c r="K101" i="49" s="1"/>
  <c r="I101" i="49"/>
  <c r="M101" i="49" s="1"/>
  <c r="M100" i="49"/>
  <c r="J100" i="49"/>
  <c r="K100" i="49" s="1"/>
  <c r="I100" i="49"/>
  <c r="J99" i="49"/>
  <c r="K99" i="49" s="1"/>
  <c r="I99" i="49"/>
  <c r="M99" i="49" s="1"/>
  <c r="M98" i="49"/>
  <c r="J98" i="49"/>
  <c r="K98" i="49" s="1"/>
  <c r="I98" i="49"/>
  <c r="J97" i="49"/>
  <c r="K97" i="49" s="1"/>
  <c r="I97" i="49"/>
  <c r="M97" i="49" s="1"/>
  <c r="M96" i="49"/>
  <c r="J96" i="49"/>
  <c r="K96" i="49" s="1"/>
  <c r="I96" i="49"/>
  <c r="J95" i="49"/>
  <c r="K95" i="49" s="1"/>
  <c r="I95" i="49"/>
  <c r="M95" i="49" s="1"/>
  <c r="M94" i="49"/>
  <c r="J94" i="49"/>
  <c r="K94" i="49" s="1"/>
  <c r="I94" i="49"/>
  <c r="J93" i="49"/>
  <c r="K93" i="49" s="1"/>
  <c r="I93" i="49"/>
  <c r="M93" i="49" s="1"/>
  <c r="M92" i="49"/>
  <c r="J92" i="49"/>
  <c r="K92" i="49" s="1"/>
  <c r="I92" i="49"/>
  <c r="J91" i="49"/>
  <c r="K91" i="49" s="1"/>
  <c r="I91" i="49"/>
  <c r="M91" i="49" s="1"/>
  <c r="M90" i="49"/>
  <c r="J90" i="49"/>
  <c r="K90" i="49" s="1"/>
  <c r="I90" i="49"/>
  <c r="J89" i="49"/>
  <c r="K89" i="49" s="1"/>
  <c r="I89" i="49"/>
  <c r="M89" i="49" s="1"/>
  <c r="M88" i="49"/>
  <c r="J88" i="49"/>
  <c r="K88" i="49" s="1"/>
  <c r="I88" i="49"/>
  <c r="J87" i="49"/>
  <c r="K87" i="49" s="1"/>
  <c r="I87" i="49"/>
  <c r="M87" i="49" s="1"/>
  <c r="M86" i="49"/>
  <c r="J86" i="49"/>
  <c r="K86" i="49" s="1"/>
  <c r="I86" i="49"/>
  <c r="J85" i="49"/>
  <c r="K85" i="49" s="1"/>
  <c r="I85" i="49"/>
  <c r="M85" i="49" s="1"/>
  <c r="M84" i="49"/>
  <c r="J84" i="49"/>
  <c r="K84" i="49" s="1"/>
  <c r="I84" i="49"/>
  <c r="J83" i="49"/>
  <c r="K83" i="49" s="1"/>
  <c r="I83" i="49"/>
  <c r="M83" i="49" s="1"/>
  <c r="M82" i="49"/>
  <c r="J82" i="49"/>
  <c r="K82" i="49" s="1"/>
  <c r="I82" i="49"/>
  <c r="J81" i="49"/>
  <c r="K81" i="49" s="1"/>
  <c r="I81" i="49"/>
  <c r="M81" i="49" s="1"/>
  <c r="M80" i="49"/>
  <c r="J80" i="49"/>
  <c r="K80" i="49" s="1"/>
  <c r="I80" i="49"/>
  <c r="J79" i="49"/>
  <c r="K79" i="49" s="1"/>
  <c r="I79" i="49"/>
  <c r="M79" i="49" s="1"/>
  <c r="A79" i="49" s="1"/>
  <c r="J78" i="49"/>
  <c r="K78" i="49" s="1"/>
  <c r="I78" i="49"/>
  <c r="M78" i="49" s="1"/>
  <c r="A78" i="49" s="1"/>
  <c r="M77" i="49"/>
  <c r="A77" i="49" s="1"/>
  <c r="J77" i="49"/>
  <c r="K77" i="49" s="1"/>
  <c r="I77" i="49"/>
  <c r="K76" i="49"/>
  <c r="J76" i="49"/>
  <c r="I76" i="49"/>
  <c r="M76" i="49" s="1"/>
  <c r="A76" i="49" s="1"/>
  <c r="M75" i="49"/>
  <c r="A75" i="49" s="1"/>
  <c r="J75" i="49"/>
  <c r="K75" i="49" s="1"/>
  <c r="I75" i="49"/>
  <c r="K74" i="49"/>
  <c r="J74" i="49"/>
  <c r="I74" i="49"/>
  <c r="M74" i="49" s="1"/>
  <c r="A74" i="49" s="1"/>
  <c r="M73" i="49"/>
  <c r="K73" i="49"/>
  <c r="J73" i="49"/>
  <c r="I73" i="49"/>
  <c r="A73" i="49"/>
  <c r="M72" i="49"/>
  <c r="A72" i="49" s="1"/>
  <c r="K72" i="49"/>
  <c r="J72" i="49"/>
  <c r="I72" i="49"/>
  <c r="J71" i="49"/>
  <c r="K71" i="49" s="1"/>
  <c r="I71" i="49"/>
  <c r="M71" i="49" s="1"/>
  <c r="A71" i="49" s="1"/>
  <c r="J70" i="49"/>
  <c r="K70" i="49" s="1"/>
  <c r="I70" i="49"/>
  <c r="M70" i="49" s="1"/>
  <c r="A70" i="49" s="1"/>
  <c r="M69" i="49"/>
  <c r="A69" i="49" s="1"/>
  <c r="J69" i="49"/>
  <c r="K69" i="49" s="1"/>
  <c r="I69" i="49"/>
  <c r="K68" i="49"/>
  <c r="J68" i="49"/>
  <c r="I68" i="49"/>
  <c r="M68" i="49" s="1"/>
  <c r="A68" i="49" s="1"/>
  <c r="M67" i="49"/>
  <c r="A67" i="49" s="1"/>
  <c r="J67" i="49"/>
  <c r="K67" i="49" s="1"/>
  <c r="I67" i="49"/>
  <c r="K66" i="49"/>
  <c r="J66" i="49"/>
  <c r="I66" i="49"/>
  <c r="M66" i="49" s="1"/>
  <c r="A66" i="49" s="1"/>
  <c r="M65" i="49"/>
  <c r="K65" i="49"/>
  <c r="J65" i="49"/>
  <c r="I65" i="49"/>
  <c r="B65" i="49"/>
  <c r="A65" i="49"/>
  <c r="M64" i="49"/>
  <c r="A64" i="49" s="1"/>
  <c r="J64" i="49"/>
  <c r="K64" i="49" s="1"/>
  <c r="I64" i="49"/>
  <c r="B64" i="49"/>
  <c r="M63" i="49"/>
  <c r="A63" i="49" s="1"/>
  <c r="J63" i="49"/>
  <c r="K63" i="49" s="1"/>
  <c r="I63" i="49"/>
  <c r="B63" i="49"/>
  <c r="J62" i="49"/>
  <c r="K62" i="49" s="1"/>
  <c r="I62" i="49"/>
  <c r="M62" i="49" s="1"/>
  <c r="A62" i="49" s="1"/>
  <c r="B62" i="49"/>
  <c r="M61" i="49"/>
  <c r="K61" i="49"/>
  <c r="J61" i="49"/>
  <c r="I61" i="49"/>
  <c r="B61" i="49"/>
  <c r="A61" i="49"/>
  <c r="M60" i="49"/>
  <c r="A60" i="49" s="1"/>
  <c r="J60" i="49"/>
  <c r="K60" i="49" s="1"/>
  <c r="I60" i="49"/>
  <c r="B60" i="49"/>
  <c r="M59" i="49"/>
  <c r="A59" i="49" s="1"/>
  <c r="J59" i="49"/>
  <c r="K59" i="49" s="1"/>
  <c r="I59" i="49"/>
  <c r="B59" i="49"/>
  <c r="J58" i="49"/>
  <c r="K58" i="49" s="1"/>
  <c r="I58" i="49"/>
  <c r="M58" i="49" s="1"/>
  <c r="A58" i="49" s="1"/>
  <c r="B58" i="49"/>
  <c r="M57" i="49"/>
  <c r="K57" i="49"/>
  <c r="J57" i="49"/>
  <c r="I57" i="49"/>
  <c r="B57" i="49"/>
  <c r="A57" i="49"/>
  <c r="M56" i="49"/>
  <c r="A56" i="49" s="1"/>
  <c r="J56" i="49"/>
  <c r="K56" i="49" s="1"/>
  <c r="I56" i="49"/>
  <c r="B56" i="49"/>
  <c r="M55" i="49"/>
  <c r="A55" i="49" s="1"/>
  <c r="J55" i="49"/>
  <c r="K55" i="49" s="1"/>
  <c r="I55" i="49"/>
  <c r="B55" i="49"/>
  <c r="J54" i="49"/>
  <c r="K54" i="49" s="1"/>
  <c r="I54" i="49"/>
  <c r="M54" i="49" s="1"/>
  <c r="A54" i="49" s="1"/>
  <c r="B54" i="49"/>
  <c r="M53" i="49"/>
  <c r="K53" i="49"/>
  <c r="J53" i="49"/>
  <c r="I53" i="49"/>
  <c r="B53" i="49"/>
  <c r="A53" i="49"/>
  <c r="M52" i="49"/>
  <c r="A52" i="49" s="1"/>
  <c r="J52" i="49"/>
  <c r="K52" i="49" s="1"/>
  <c r="I52" i="49"/>
  <c r="B52" i="49"/>
  <c r="M51" i="49"/>
  <c r="A51" i="49" s="1"/>
  <c r="J51" i="49"/>
  <c r="K51" i="49" s="1"/>
  <c r="I51" i="49"/>
  <c r="B51" i="49"/>
  <c r="J50" i="49"/>
  <c r="K50" i="49" s="1"/>
  <c r="I50" i="49"/>
  <c r="M50" i="49" s="1"/>
  <c r="A50" i="49" s="1"/>
  <c r="B50" i="49"/>
  <c r="M49" i="49"/>
  <c r="K49" i="49"/>
  <c r="J49" i="49"/>
  <c r="I49" i="49"/>
  <c r="B49" i="49"/>
  <c r="A49" i="49"/>
  <c r="J48" i="49"/>
  <c r="K48" i="49" s="1"/>
  <c r="M48" i="49" s="1"/>
  <c r="A48" i="49" s="1"/>
  <c r="I48" i="49"/>
  <c r="B48" i="49"/>
  <c r="J47" i="49"/>
  <c r="K47" i="49" s="1"/>
  <c r="M47" i="49" s="1"/>
  <c r="A47" i="49" s="1"/>
  <c r="I47" i="49"/>
  <c r="B47" i="49"/>
  <c r="T46" i="49"/>
  <c r="R46" i="49"/>
  <c r="U46" i="49" s="1"/>
  <c r="K46" i="49"/>
  <c r="M46" i="49" s="1"/>
  <c r="A46" i="49" s="1"/>
  <c r="J46" i="49"/>
  <c r="I46" i="49"/>
  <c r="B46" i="49"/>
  <c r="K45" i="49"/>
  <c r="J45" i="49"/>
  <c r="I45" i="49"/>
  <c r="M45" i="49" s="1"/>
  <c r="A45" i="49" s="1"/>
  <c r="B45" i="49"/>
  <c r="K44" i="49"/>
  <c r="J44" i="49"/>
  <c r="I44" i="49"/>
  <c r="M44" i="49" s="1"/>
  <c r="A44" i="49" s="1"/>
  <c r="B44" i="49"/>
  <c r="J43" i="49"/>
  <c r="K43" i="49" s="1"/>
  <c r="I43" i="49"/>
  <c r="B43" i="49"/>
  <c r="K42" i="49"/>
  <c r="M42" i="49" s="1"/>
  <c r="A42" i="49" s="1"/>
  <c r="J42" i="49"/>
  <c r="I42" i="49"/>
  <c r="B42" i="49"/>
  <c r="K41" i="49"/>
  <c r="J41" i="49"/>
  <c r="I41" i="49"/>
  <c r="M41" i="49" s="1"/>
  <c r="A41" i="49" s="1"/>
  <c r="B41" i="49"/>
  <c r="K40" i="49"/>
  <c r="J40" i="49"/>
  <c r="I40" i="49"/>
  <c r="M40" i="49" s="1"/>
  <c r="A40" i="49" s="1"/>
  <c r="B40" i="49"/>
  <c r="J39" i="49"/>
  <c r="K39" i="49" s="1"/>
  <c r="I39" i="49"/>
  <c r="M39" i="49" s="1"/>
  <c r="A39" i="49" s="1"/>
  <c r="B39" i="49"/>
  <c r="K38" i="49"/>
  <c r="M38" i="49" s="1"/>
  <c r="A38" i="49" s="1"/>
  <c r="J38" i="49"/>
  <c r="I38" i="49"/>
  <c r="B38" i="49"/>
  <c r="K37" i="49"/>
  <c r="J37" i="49"/>
  <c r="I37" i="49"/>
  <c r="M37" i="49" s="1"/>
  <c r="A37" i="49" s="1"/>
  <c r="B37" i="49"/>
  <c r="K36" i="49"/>
  <c r="J36" i="49"/>
  <c r="I36" i="49"/>
  <c r="M36" i="49" s="1"/>
  <c r="A36" i="49" s="1"/>
  <c r="B36" i="49"/>
  <c r="J35" i="49"/>
  <c r="K35" i="49" s="1"/>
  <c r="I35" i="49"/>
  <c r="M35" i="49" s="1"/>
  <c r="A35" i="49" s="1"/>
  <c r="B35" i="49"/>
  <c r="K34" i="49"/>
  <c r="M34" i="49" s="1"/>
  <c r="A34" i="49" s="1"/>
  <c r="J34" i="49"/>
  <c r="I34" i="49"/>
  <c r="B34" i="49"/>
  <c r="K33" i="49"/>
  <c r="J33" i="49"/>
  <c r="I33" i="49"/>
  <c r="M33" i="49" s="1"/>
  <c r="A33" i="49" s="1"/>
  <c r="B33" i="49"/>
  <c r="K32" i="49"/>
  <c r="J32" i="49"/>
  <c r="I32" i="49"/>
  <c r="M32" i="49" s="1"/>
  <c r="A32" i="49" s="1"/>
  <c r="B32" i="49"/>
  <c r="J31" i="49"/>
  <c r="K31" i="49" s="1"/>
  <c r="I31" i="49"/>
  <c r="M31" i="49" s="1"/>
  <c r="A31" i="49" s="1"/>
  <c r="B31" i="49"/>
  <c r="K30" i="49"/>
  <c r="M30" i="49" s="1"/>
  <c r="A30" i="49" s="1"/>
  <c r="J30" i="49"/>
  <c r="I30" i="49"/>
  <c r="B30" i="49"/>
  <c r="K29" i="49"/>
  <c r="J29" i="49"/>
  <c r="I29" i="49"/>
  <c r="M29" i="49" s="1"/>
  <c r="A29" i="49" s="1"/>
  <c r="B29" i="49"/>
  <c r="K28" i="49"/>
  <c r="J28" i="49"/>
  <c r="I28" i="49"/>
  <c r="M28" i="49" s="1"/>
  <c r="A28" i="49" s="1"/>
  <c r="B28" i="49"/>
  <c r="J27" i="49"/>
  <c r="K27" i="49" s="1"/>
  <c r="I27" i="49"/>
  <c r="B27" i="49"/>
  <c r="K26" i="49"/>
  <c r="M26" i="49" s="1"/>
  <c r="A26" i="49" s="1"/>
  <c r="J26" i="49"/>
  <c r="I26" i="49"/>
  <c r="B26" i="49"/>
  <c r="J25" i="49"/>
  <c r="K25" i="49" s="1"/>
  <c r="I25" i="49"/>
  <c r="M25" i="49" s="1"/>
  <c r="A25" i="49" s="1"/>
  <c r="B25" i="49"/>
  <c r="K24" i="49"/>
  <c r="J24" i="49"/>
  <c r="I24" i="49"/>
  <c r="M24" i="49" s="1"/>
  <c r="A24" i="49" s="1"/>
  <c r="B24" i="49"/>
  <c r="J23" i="49"/>
  <c r="K23" i="49" s="1"/>
  <c r="I23" i="49"/>
  <c r="B23" i="49"/>
  <c r="K22" i="49"/>
  <c r="M22" i="49" s="1"/>
  <c r="A22" i="49" s="1"/>
  <c r="J22" i="49"/>
  <c r="I22" i="49"/>
  <c r="B22" i="49"/>
  <c r="J21" i="49"/>
  <c r="K21" i="49" s="1"/>
  <c r="I21" i="49"/>
  <c r="M21" i="49" s="1"/>
  <c r="A21" i="49" s="1"/>
  <c r="B21" i="49"/>
  <c r="K20" i="49"/>
  <c r="J20" i="49"/>
  <c r="I20" i="49"/>
  <c r="M20" i="49" s="1"/>
  <c r="A20" i="49" s="1"/>
  <c r="B20" i="49"/>
  <c r="J19" i="49"/>
  <c r="K19" i="49" s="1"/>
  <c r="I19" i="49"/>
  <c r="B19" i="49"/>
  <c r="K18" i="49"/>
  <c r="M18" i="49" s="1"/>
  <c r="A18" i="49" s="1"/>
  <c r="J18" i="49"/>
  <c r="I18" i="49"/>
  <c r="B18" i="49"/>
  <c r="J17" i="49"/>
  <c r="K17" i="49" s="1"/>
  <c r="I17" i="49"/>
  <c r="M17" i="49" s="1"/>
  <c r="A17" i="49" s="1"/>
  <c r="B17" i="49"/>
  <c r="J16" i="49"/>
  <c r="K16" i="49" s="1"/>
  <c r="I16" i="49"/>
  <c r="B16" i="49"/>
  <c r="K15" i="49"/>
  <c r="M15" i="49" s="1"/>
  <c r="A15" i="49" s="1"/>
  <c r="J15" i="49"/>
  <c r="I15" i="49"/>
  <c r="B15" i="49"/>
  <c r="AI14" i="49"/>
  <c r="J14" i="49"/>
  <c r="K14" i="49" s="1"/>
  <c r="I14" i="49"/>
  <c r="B14" i="49"/>
  <c r="AI13" i="49"/>
  <c r="J13" i="49"/>
  <c r="K13" i="49" s="1"/>
  <c r="M13" i="49" s="1"/>
  <c r="A13" i="49" s="1"/>
  <c r="I13" i="49"/>
  <c r="B13" i="49"/>
  <c r="AI12" i="49"/>
  <c r="AI16" i="49" s="1"/>
  <c r="K12" i="49"/>
  <c r="M12" i="49" s="1"/>
  <c r="A12" i="49" s="1"/>
  <c r="J12" i="49"/>
  <c r="I12" i="49"/>
  <c r="B12" i="49"/>
  <c r="J11" i="49"/>
  <c r="K11" i="49" s="1"/>
  <c r="I11" i="49"/>
  <c r="M11" i="49" s="1"/>
  <c r="A11" i="49" s="1"/>
  <c r="B11" i="49"/>
  <c r="K10" i="49"/>
  <c r="J10" i="49"/>
  <c r="I10" i="49"/>
  <c r="M10" i="49" s="1"/>
  <c r="A10" i="49" s="1"/>
  <c r="B10" i="49"/>
  <c r="L9" i="49"/>
  <c r="K9" i="49"/>
  <c r="J9" i="49"/>
  <c r="I9" i="49"/>
  <c r="M9" i="49" s="1"/>
  <c r="A9" i="49" s="1"/>
  <c r="B9" i="49"/>
  <c r="J8" i="49"/>
  <c r="K8" i="49" s="1"/>
  <c r="M8" i="49" s="1"/>
  <c r="A8" i="49" s="1"/>
  <c r="I8" i="49"/>
  <c r="B8" i="49"/>
  <c r="L7" i="49"/>
  <c r="J7" i="49"/>
  <c r="K7" i="49" s="1"/>
  <c r="M7" i="49" s="1"/>
  <c r="A7" i="49" s="1"/>
  <c r="I7" i="49"/>
  <c r="B7" i="49"/>
  <c r="L6" i="49"/>
  <c r="K6" i="49"/>
  <c r="M6" i="49" s="1"/>
  <c r="A6" i="49" s="1"/>
  <c r="J6" i="49"/>
  <c r="I6" i="49"/>
  <c r="B6" i="49"/>
  <c r="K2" i="49"/>
  <c r="L8" i="49" s="1"/>
  <c r="J305" i="48"/>
  <c r="K305" i="48" s="1"/>
  <c r="I305" i="48"/>
  <c r="M305" i="48" s="1"/>
  <c r="J304" i="48"/>
  <c r="K304" i="48" s="1"/>
  <c r="I304" i="48"/>
  <c r="M304" i="48" s="1"/>
  <c r="J303" i="48"/>
  <c r="K303" i="48" s="1"/>
  <c r="I303" i="48"/>
  <c r="M303" i="48" s="1"/>
  <c r="J302" i="48"/>
  <c r="K302" i="48" s="1"/>
  <c r="I302" i="48"/>
  <c r="M302" i="48" s="1"/>
  <c r="J301" i="48"/>
  <c r="K301" i="48" s="1"/>
  <c r="I301" i="48"/>
  <c r="M301" i="48" s="1"/>
  <c r="J300" i="48"/>
  <c r="K300" i="48" s="1"/>
  <c r="I300" i="48"/>
  <c r="M300" i="48" s="1"/>
  <c r="K299" i="48"/>
  <c r="J299" i="48"/>
  <c r="I299" i="48"/>
  <c r="M299" i="48" s="1"/>
  <c r="J298" i="48"/>
  <c r="K298" i="48" s="1"/>
  <c r="I298" i="48"/>
  <c r="M298" i="48" s="1"/>
  <c r="J297" i="48"/>
  <c r="K297" i="48" s="1"/>
  <c r="I297" i="48"/>
  <c r="M297" i="48" s="1"/>
  <c r="J296" i="48"/>
  <c r="K296" i="48" s="1"/>
  <c r="I296" i="48"/>
  <c r="M296" i="48" s="1"/>
  <c r="J295" i="48"/>
  <c r="K295" i="48" s="1"/>
  <c r="I295" i="48"/>
  <c r="M295" i="48" s="1"/>
  <c r="J294" i="48"/>
  <c r="K294" i="48" s="1"/>
  <c r="I294" i="48"/>
  <c r="M294" i="48" s="1"/>
  <c r="J293" i="48"/>
  <c r="K293" i="48" s="1"/>
  <c r="I293" i="48"/>
  <c r="M293" i="48" s="1"/>
  <c r="J292" i="48"/>
  <c r="K292" i="48" s="1"/>
  <c r="I292" i="48"/>
  <c r="M292" i="48" s="1"/>
  <c r="J291" i="48"/>
  <c r="K291" i="48" s="1"/>
  <c r="I291" i="48"/>
  <c r="M291" i="48" s="1"/>
  <c r="J290" i="48"/>
  <c r="K290" i="48" s="1"/>
  <c r="I290" i="48"/>
  <c r="M290" i="48" s="1"/>
  <c r="J289" i="48"/>
  <c r="K289" i="48" s="1"/>
  <c r="I289" i="48"/>
  <c r="M289" i="48" s="1"/>
  <c r="J288" i="48"/>
  <c r="K288" i="48" s="1"/>
  <c r="I288" i="48"/>
  <c r="M288" i="48" s="1"/>
  <c r="J287" i="48"/>
  <c r="K287" i="48" s="1"/>
  <c r="I287" i="48"/>
  <c r="M287" i="48" s="1"/>
  <c r="J286" i="48"/>
  <c r="K286" i="48" s="1"/>
  <c r="I286" i="48"/>
  <c r="M286" i="48" s="1"/>
  <c r="J285" i="48"/>
  <c r="K285" i="48" s="1"/>
  <c r="I285" i="48"/>
  <c r="M285" i="48" s="1"/>
  <c r="J284" i="48"/>
  <c r="K284" i="48" s="1"/>
  <c r="I284" i="48"/>
  <c r="M284" i="48" s="1"/>
  <c r="K283" i="48"/>
  <c r="J283" i="48"/>
  <c r="I283" i="48"/>
  <c r="M283" i="48" s="1"/>
  <c r="J282" i="48"/>
  <c r="K282" i="48" s="1"/>
  <c r="I282" i="48"/>
  <c r="M282" i="48" s="1"/>
  <c r="J281" i="48"/>
  <c r="K281" i="48" s="1"/>
  <c r="I281" i="48"/>
  <c r="M281" i="48" s="1"/>
  <c r="J280" i="48"/>
  <c r="K280" i="48" s="1"/>
  <c r="I280" i="48"/>
  <c r="M280" i="48" s="1"/>
  <c r="J279" i="48"/>
  <c r="K279" i="48" s="1"/>
  <c r="I279" i="48"/>
  <c r="M279" i="48" s="1"/>
  <c r="J278" i="48"/>
  <c r="K278" i="48" s="1"/>
  <c r="I278" i="48"/>
  <c r="M278" i="48" s="1"/>
  <c r="J277" i="48"/>
  <c r="K277" i="48" s="1"/>
  <c r="I277" i="48"/>
  <c r="M277" i="48" s="1"/>
  <c r="J276" i="48"/>
  <c r="K276" i="48" s="1"/>
  <c r="I276" i="48"/>
  <c r="M276" i="48" s="1"/>
  <c r="J275" i="48"/>
  <c r="K275" i="48" s="1"/>
  <c r="I275" i="48"/>
  <c r="M275" i="48" s="1"/>
  <c r="J274" i="48"/>
  <c r="K274" i="48" s="1"/>
  <c r="I274" i="48"/>
  <c r="M274" i="48" s="1"/>
  <c r="J273" i="48"/>
  <c r="K273" i="48" s="1"/>
  <c r="I273" i="48"/>
  <c r="M273" i="48" s="1"/>
  <c r="J272" i="48"/>
  <c r="K272" i="48" s="1"/>
  <c r="I272" i="48"/>
  <c r="M272" i="48" s="1"/>
  <c r="J271" i="48"/>
  <c r="K271" i="48" s="1"/>
  <c r="I271" i="48"/>
  <c r="M271" i="48" s="1"/>
  <c r="J270" i="48"/>
  <c r="K270" i="48" s="1"/>
  <c r="I270" i="48"/>
  <c r="M270" i="48" s="1"/>
  <c r="J269" i="48"/>
  <c r="K269" i="48" s="1"/>
  <c r="I269" i="48"/>
  <c r="M269" i="48" s="1"/>
  <c r="J268" i="48"/>
  <c r="K268" i="48" s="1"/>
  <c r="I268" i="48"/>
  <c r="M268" i="48" s="1"/>
  <c r="J267" i="48"/>
  <c r="K267" i="48" s="1"/>
  <c r="I267" i="48"/>
  <c r="M267" i="48" s="1"/>
  <c r="J266" i="48"/>
  <c r="K266" i="48" s="1"/>
  <c r="I266" i="48"/>
  <c r="M266" i="48" s="1"/>
  <c r="J265" i="48"/>
  <c r="K265" i="48" s="1"/>
  <c r="I265" i="48"/>
  <c r="M265" i="48" s="1"/>
  <c r="J264" i="48"/>
  <c r="K264" i="48" s="1"/>
  <c r="I264" i="48"/>
  <c r="M264" i="48" s="1"/>
  <c r="J263" i="48"/>
  <c r="K263" i="48" s="1"/>
  <c r="I263" i="48"/>
  <c r="M263" i="48" s="1"/>
  <c r="J262" i="48"/>
  <c r="K262" i="48" s="1"/>
  <c r="I262" i="48"/>
  <c r="M262" i="48" s="1"/>
  <c r="J261" i="48"/>
  <c r="K261" i="48" s="1"/>
  <c r="I261" i="48"/>
  <c r="M261" i="48" s="1"/>
  <c r="J260" i="48"/>
  <c r="K260" i="48" s="1"/>
  <c r="I260" i="48"/>
  <c r="M260" i="48" s="1"/>
  <c r="J259" i="48"/>
  <c r="K259" i="48" s="1"/>
  <c r="I259" i="48"/>
  <c r="M259" i="48" s="1"/>
  <c r="J258" i="48"/>
  <c r="K258" i="48" s="1"/>
  <c r="I258" i="48"/>
  <c r="M258" i="48" s="1"/>
  <c r="J257" i="48"/>
  <c r="K257" i="48" s="1"/>
  <c r="I257" i="48"/>
  <c r="M257" i="48" s="1"/>
  <c r="J256" i="48"/>
  <c r="K256" i="48" s="1"/>
  <c r="I256" i="48"/>
  <c r="M256" i="48" s="1"/>
  <c r="J255" i="48"/>
  <c r="K255" i="48" s="1"/>
  <c r="I255" i="48"/>
  <c r="M255" i="48" s="1"/>
  <c r="J254" i="48"/>
  <c r="K254" i="48" s="1"/>
  <c r="I254" i="48"/>
  <c r="M254" i="48" s="1"/>
  <c r="J253" i="48"/>
  <c r="K253" i="48" s="1"/>
  <c r="I253" i="48"/>
  <c r="M253" i="48" s="1"/>
  <c r="J252" i="48"/>
  <c r="K252" i="48" s="1"/>
  <c r="I252" i="48"/>
  <c r="M252" i="48" s="1"/>
  <c r="J251" i="48"/>
  <c r="K251" i="48" s="1"/>
  <c r="I251" i="48"/>
  <c r="M251" i="48" s="1"/>
  <c r="J250" i="48"/>
  <c r="K250" i="48" s="1"/>
  <c r="I250" i="48"/>
  <c r="M250" i="48" s="1"/>
  <c r="J249" i="48"/>
  <c r="K249" i="48" s="1"/>
  <c r="I249" i="48"/>
  <c r="M249" i="48" s="1"/>
  <c r="J248" i="48"/>
  <c r="K248" i="48" s="1"/>
  <c r="I248" i="48"/>
  <c r="M248" i="48" s="1"/>
  <c r="J247" i="48"/>
  <c r="K247" i="48" s="1"/>
  <c r="I247" i="48"/>
  <c r="M247" i="48" s="1"/>
  <c r="J246" i="48"/>
  <c r="K246" i="48" s="1"/>
  <c r="I246" i="48"/>
  <c r="M246" i="48" s="1"/>
  <c r="J245" i="48"/>
  <c r="K245" i="48" s="1"/>
  <c r="I245" i="48"/>
  <c r="M245" i="48" s="1"/>
  <c r="J244" i="48"/>
  <c r="K244" i="48" s="1"/>
  <c r="I244" i="48"/>
  <c r="M244" i="48" s="1"/>
  <c r="J243" i="48"/>
  <c r="K243" i="48" s="1"/>
  <c r="I243" i="48"/>
  <c r="M243" i="48" s="1"/>
  <c r="J242" i="48"/>
  <c r="K242" i="48" s="1"/>
  <c r="I242" i="48"/>
  <c r="M242" i="48" s="1"/>
  <c r="J241" i="48"/>
  <c r="K241" i="48" s="1"/>
  <c r="I241" i="48"/>
  <c r="M241" i="48" s="1"/>
  <c r="J240" i="48"/>
  <c r="K240" i="48" s="1"/>
  <c r="I240" i="48"/>
  <c r="M240" i="48" s="1"/>
  <c r="J239" i="48"/>
  <c r="K239" i="48" s="1"/>
  <c r="I239" i="48"/>
  <c r="M239" i="48" s="1"/>
  <c r="J238" i="48"/>
  <c r="K238" i="48" s="1"/>
  <c r="I238" i="48"/>
  <c r="M238" i="48" s="1"/>
  <c r="J237" i="48"/>
  <c r="K237" i="48" s="1"/>
  <c r="I237" i="48"/>
  <c r="M237" i="48" s="1"/>
  <c r="J236" i="48"/>
  <c r="K236" i="48" s="1"/>
  <c r="I236" i="48"/>
  <c r="M236" i="48" s="1"/>
  <c r="J235" i="48"/>
  <c r="K235" i="48" s="1"/>
  <c r="I235" i="48"/>
  <c r="M235" i="48" s="1"/>
  <c r="J234" i="48"/>
  <c r="K234" i="48" s="1"/>
  <c r="I234" i="48"/>
  <c r="M234" i="48" s="1"/>
  <c r="J233" i="48"/>
  <c r="K233" i="48" s="1"/>
  <c r="I233" i="48"/>
  <c r="M233" i="48" s="1"/>
  <c r="J232" i="48"/>
  <c r="K232" i="48" s="1"/>
  <c r="I232" i="48"/>
  <c r="M232" i="48" s="1"/>
  <c r="J231" i="48"/>
  <c r="K231" i="48" s="1"/>
  <c r="I231" i="48"/>
  <c r="M231" i="48" s="1"/>
  <c r="J230" i="48"/>
  <c r="K230" i="48" s="1"/>
  <c r="I230" i="48"/>
  <c r="M230" i="48" s="1"/>
  <c r="J229" i="48"/>
  <c r="K229" i="48" s="1"/>
  <c r="I229" i="48"/>
  <c r="M229" i="48" s="1"/>
  <c r="J228" i="48"/>
  <c r="K228" i="48" s="1"/>
  <c r="I228" i="48"/>
  <c r="M228" i="48" s="1"/>
  <c r="K227" i="48"/>
  <c r="J227" i="48"/>
  <c r="I227" i="48"/>
  <c r="M227" i="48" s="1"/>
  <c r="J226" i="48"/>
  <c r="K226" i="48" s="1"/>
  <c r="I226" i="48"/>
  <c r="M226" i="48" s="1"/>
  <c r="J225" i="48"/>
  <c r="K225" i="48" s="1"/>
  <c r="I225" i="48"/>
  <c r="M225" i="48" s="1"/>
  <c r="J224" i="48"/>
  <c r="K224" i="48" s="1"/>
  <c r="I224" i="48"/>
  <c r="M224" i="48" s="1"/>
  <c r="J223" i="48"/>
  <c r="K223" i="48" s="1"/>
  <c r="I223" i="48"/>
  <c r="M223" i="48" s="1"/>
  <c r="J222" i="48"/>
  <c r="K222" i="48" s="1"/>
  <c r="I222" i="48"/>
  <c r="M222" i="48" s="1"/>
  <c r="J221" i="48"/>
  <c r="K221" i="48" s="1"/>
  <c r="I221" i="48"/>
  <c r="M221" i="48" s="1"/>
  <c r="J220" i="48"/>
  <c r="K220" i="48" s="1"/>
  <c r="I220" i="48"/>
  <c r="M220" i="48" s="1"/>
  <c r="J219" i="48"/>
  <c r="K219" i="48" s="1"/>
  <c r="I219" i="48"/>
  <c r="M219" i="48" s="1"/>
  <c r="J218" i="48"/>
  <c r="K218" i="48" s="1"/>
  <c r="I218" i="48"/>
  <c r="M218" i="48" s="1"/>
  <c r="J217" i="48"/>
  <c r="K217" i="48" s="1"/>
  <c r="I217" i="48"/>
  <c r="M217" i="48" s="1"/>
  <c r="J216" i="48"/>
  <c r="K216" i="48" s="1"/>
  <c r="I216" i="48"/>
  <c r="M216" i="48" s="1"/>
  <c r="J215" i="48"/>
  <c r="K215" i="48" s="1"/>
  <c r="I215" i="48"/>
  <c r="M215" i="48" s="1"/>
  <c r="J214" i="48"/>
  <c r="K214" i="48" s="1"/>
  <c r="I214" i="48"/>
  <c r="M214" i="48" s="1"/>
  <c r="J213" i="48"/>
  <c r="K213" i="48" s="1"/>
  <c r="I213" i="48"/>
  <c r="M213" i="48" s="1"/>
  <c r="J212" i="48"/>
  <c r="K212" i="48" s="1"/>
  <c r="I212" i="48"/>
  <c r="M212" i="48" s="1"/>
  <c r="J211" i="48"/>
  <c r="K211" i="48" s="1"/>
  <c r="I211" i="48"/>
  <c r="M211" i="48" s="1"/>
  <c r="J210" i="48"/>
  <c r="K210" i="48" s="1"/>
  <c r="I210" i="48"/>
  <c r="M210" i="48" s="1"/>
  <c r="K209" i="48"/>
  <c r="J209" i="48"/>
  <c r="I209" i="48"/>
  <c r="M209" i="48" s="1"/>
  <c r="J208" i="48"/>
  <c r="K208" i="48" s="1"/>
  <c r="I208" i="48"/>
  <c r="M208" i="48" s="1"/>
  <c r="J207" i="48"/>
  <c r="K207" i="48" s="1"/>
  <c r="I207" i="48"/>
  <c r="M207" i="48" s="1"/>
  <c r="J206" i="48"/>
  <c r="K206" i="48" s="1"/>
  <c r="I206" i="48"/>
  <c r="M206" i="48" s="1"/>
  <c r="J205" i="48"/>
  <c r="K205" i="48" s="1"/>
  <c r="I205" i="48"/>
  <c r="M205" i="48" s="1"/>
  <c r="J204" i="48"/>
  <c r="K204" i="48" s="1"/>
  <c r="I204" i="48"/>
  <c r="M204" i="48" s="1"/>
  <c r="J203" i="48"/>
  <c r="K203" i="48" s="1"/>
  <c r="I203" i="48"/>
  <c r="M203" i="48" s="1"/>
  <c r="J202" i="48"/>
  <c r="K202" i="48" s="1"/>
  <c r="I202" i="48"/>
  <c r="M202" i="48" s="1"/>
  <c r="J201" i="48"/>
  <c r="K201" i="48" s="1"/>
  <c r="I201" i="48"/>
  <c r="M201" i="48" s="1"/>
  <c r="J200" i="48"/>
  <c r="K200" i="48" s="1"/>
  <c r="I200" i="48"/>
  <c r="M200" i="48" s="1"/>
  <c r="J199" i="48"/>
  <c r="K199" i="48" s="1"/>
  <c r="I199" i="48"/>
  <c r="M199" i="48" s="1"/>
  <c r="J198" i="48"/>
  <c r="K198" i="48" s="1"/>
  <c r="I198" i="48"/>
  <c r="M198" i="48" s="1"/>
  <c r="J197" i="48"/>
  <c r="K197" i="48" s="1"/>
  <c r="I197" i="48"/>
  <c r="M197" i="48" s="1"/>
  <c r="J196" i="48"/>
  <c r="K196" i="48" s="1"/>
  <c r="I196" i="48"/>
  <c r="M196" i="48" s="1"/>
  <c r="J195" i="48"/>
  <c r="K195" i="48" s="1"/>
  <c r="I195" i="48"/>
  <c r="M195" i="48" s="1"/>
  <c r="J194" i="48"/>
  <c r="K194" i="48" s="1"/>
  <c r="I194" i="48"/>
  <c r="M194" i="48" s="1"/>
  <c r="J193" i="48"/>
  <c r="K193" i="48" s="1"/>
  <c r="I193" i="48"/>
  <c r="M193" i="48" s="1"/>
  <c r="J192" i="48"/>
  <c r="K192" i="48" s="1"/>
  <c r="I192" i="48"/>
  <c r="M192" i="48" s="1"/>
  <c r="J191" i="48"/>
  <c r="K191" i="48" s="1"/>
  <c r="I191" i="48"/>
  <c r="M191" i="48" s="1"/>
  <c r="J190" i="48"/>
  <c r="K190" i="48" s="1"/>
  <c r="I190" i="48"/>
  <c r="M190" i="48" s="1"/>
  <c r="J189" i="48"/>
  <c r="K189" i="48" s="1"/>
  <c r="I189" i="48"/>
  <c r="M189" i="48" s="1"/>
  <c r="J188" i="48"/>
  <c r="K188" i="48" s="1"/>
  <c r="I188" i="48"/>
  <c r="M188" i="48" s="1"/>
  <c r="K187" i="48"/>
  <c r="J187" i="48"/>
  <c r="I187" i="48"/>
  <c r="M187" i="48" s="1"/>
  <c r="J186" i="48"/>
  <c r="K186" i="48" s="1"/>
  <c r="I186" i="48"/>
  <c r="M186" i="48" s="1"/>
  <c r="J185" i="48"/>
  <c r="K185" i="48" s="1"/>
  <c r="I185" i="48"/>
  <c r="M185" i="48" s="1"/>
  <c r="J184" i="48"/>
  <c r="K184" i="48" s="1"/>
  <c r="I184" i="48"/>
  <c r="M184" i="48" s="1"/>
  <c r="J183" i="48"/>
  <c r="K183" i="48" s="1"/>
  <c r="I183" i="48"/>
  <c r="M183" i="48" s="1"/>
  <c r="J182" i="48"/>
  <c r="K182" i="48" s="1"/>
  <c r="I182" i="48"/>
  <c r="M182" i="48" s="1"/>
  <c r="J181" i="48"/>
  <c r="K181" i="48" s="1"/>
  <c r="I181" i="48"/>
  <c r="M181" i="48" s="1"/>
  <c r="J180" i="48"/>
  <c r="K180" i="48" s="1"/>
  <c r="I180" i="48"/>
  <c r="M180" i="48" s="1"/>
  <c r="K179" i="48"/>
  <c r="J179" i="48"/>
  <c r="I179" i="48"/>
  <c r="M179" i="48" s="1"/>
  <c r="J178" i="48"/>
  <c r="K178" i="48" s="1"/>
  <c r="I178" i="48"/>
  <c r="M178" i="48" s="1"/>
  <c r="J177" i="48"/>
  <c r="K177" i="48" s="1"/>
  <c r="I177" i="48"/>
  <c r="M177" i="48" s="1"/>
  <c r="J176" i="48"/>
  <c r="K176" i="48" s="1"/>
  <c r="I176" i="48"/>
  <c r="M176" i="48" s="1"/>
  <c r="J175" i="48"/>
  <c r="K175" i="48" s="1"/>
  <c r="I175" i="48"/>
  <c r="M175" i="48" s="1"/>
  <c r="J174" i="48"/>
  <c r="K174" i="48" s="1"/>
  <c r="I174" i="48"/>
  <c r="M174" i="48" s="1"/>
  <c r="J173" i="48"/>
  <c r="K173" i="48" s="1"/>
  <c r="I173" i="48"/>
  <c r="M173" i="48" s="1"/>
  <c r="J172" i="48"/>
  <c r="K172" i="48" s="1"/>
  <c r="I172" i="48"/>
  <c r="M172" i="48" s="1"/>
  <c r="J171" i="48"/>
  <c r="K171" i="48" s="1"/>
  <c r="I171" i="48"/>
  <c r="M171" i="48" s="1"/>
  <c r="J170" i="48"/>
  <c r="K170" i="48" s="1"/>
  <c r="I170" i="48"/>
  <c r="M170" i="48" s="1"/>
  <c r="J169" i="48"/>
  <c r="K169" i="48" s="1"/>
  <c r="I169" i="48"/>
  <c r="M169" i="48" s="1"/>
  <c r="J168" i="48"/>
  <c r="K168" i="48" s="1"/>
  <c r="I168" i="48"/>
  <c r="M168" i="48" s="1"/>
  <c r="J167" i="48"/>
  <c r="K167" i="48" s="1"/>
  <c r="I167" i="48"/>
  <c r="M167" i="48" s="1"/>
  <c r="J166" i="48"/>
  <c r="K166" i="48" s="1"/>
  <c r="I166" i="48"/>
  <c r="M166" i="48" s="1"/>
  <c r="J165" i="48"/>
  <c r="K165" i="48" s="1"/>
  <c r="I165" i="48"/>
  <c r="M165" i="48" s="1"/>
  <c r="J164" i="48"/>
  <c r="K164" i="48" s="1"/>
  <c r="I164" i="48"/>
  <c r="M164" i="48" s="1"/>
  <c r="J163" i="48"/>
  <c r="K163" i="48" s="1"/>
  <c r="I163" i="48"/>
  <c r="M163" i="48" s="1"/>
  <c r="J162" i="48"/>
  <c r="K162" i="48" s="1"/>
  <c r="I162" i="48"/>
  <c r="M162" i="48" s="1"/>
  <c r="J161" i="48"/>
  <c r="K161" i="48" s="1"/>
  <c r="I161" i="48"/>
  <c r="M161" i="48" s="1"/>
  <c r="J160" i="48"/>
  <c r="K160" i="48" s="1"/>
  <c r="I160" i="48"/>
  <c r="M160" i="48" s="1"/>
  <c r="J159" i="48"/>
  <c r="K159" i="48" s="1"/>
  <c r="I159" i="48"/>
  <c r="M159" i="48" s="1"/>
  <c r="J158" i="48"/>
  <c r="K158" i="48" s="1"/>
  <c r="I158" i="48"/>
  <c r="M158" i="48" s="1"/>
  <c r="J157" i="48"/>
  <c r="K157" i="48" s="1"/>
  <c r="I157" i="48"/>
  <c r="M157" i="48" s="1"/>
  <c r="J156" i="48"/>
  <c r="K156" i="48" s="1"/>
  <c r="I156" i="48"/>
  <c r="M156" i="48" s="1"/>
  <c r="J155" i="48"/>
  <c r="K155" i="48" s="1"/>
  <c r="I155" i="48"/>
  <c r="M155" i="48" s="1"/>
  <c r="J154" i="48"/>
  <c r="K154" i="48" s="1"/>
  <c r="I154" i="48"/>
  <c r="M154" i="48" s="1"/>
  <c r="J153" i="48"/>
  <c r="K153" i="48" s="1"/>
  <c r="I153" i="48"/>
  <c r="M153" i="48" s="1"/>
  <c r="J152" i="48"/>
  <c r="K152" i="48" s="1"/>
  <c r="I152" i="48"/>
  <c r="M152" i="48" s="1"/>
  <c r="J151" i="48"/>
  <c r="K151" i="48" s="1"/>
  <c r="I151" i="48"/>
  <c r="M151" i="48" s="1"/>
  <c r="J150" i="48"/>
  <c r="K150" i="48" s="1"/>
  <c r="I150" i="48"/>
  <c r="M150" i="48" s="1"/>
  <c r="J149" i="48"/>
  <c r="K149" i="48" s="1"/>
  <c r="I149" i="48"/>
  <c r="M149" i="48" s="1"/>
  <c r="J148" i="48"/>
  <c r="K148" i="48" s="1"/>
  <c r="I148" i="48"/>
  <c r="M148" i="48" s="1"/>
  <c r="J147" i="48"/>
  <c r="K147" i="48" s="1"/>
  <c r="I147" i="48"/>
  <c r="M147" i="48" s="1"/>
  <c r="J146" i="48"/>
  <c r="K146" i="48" s="1"/>
  <c r="I146" i="48"/>
  <c r="M146" i="48" s="1"/>
  <c r="J145" i="48"/>
  <c r="K145" i="48" s="1"/>
  <c r="I145" i="48"/>
  <c r="M145" i="48" s="1"/>
  <c r="J144" i="48"/>
  <c r="K144" i="48" s="1"/>
  <c r="I144" i="48"/>
  <c r="M144" i="48" s="1"/>
  <c r="J143" i="48"/>
  <c r="K143" i="48" s="1"/>
  <c r="I143" i="48"/>
  <c r="M143" i="48" s="1"/>
  <c r="J142" i="48"/>
  <c r="K142" i="48" s="1"/>
  <c r="I142" i="48"/>
  <c r="M142" i="48" s="1"/>
  <c r="J141" i="48"/>
  <c r="K141" i="48" s="1"/>
  <c r="I141" i="48"/>
  <c r="M141" i="48" s="1"/>
  <c r="J140" i="48"/>
  <c r="K140" i="48" s="1"/>
  <c r="I140" i="48"/>
  <c r="M140" i="48" s="1"/>
  <c r="A140" i="48" s="1"/>
  <c r="B140" i="48"/>
  <c r="J139" i="48"/>
  <c r="K139" i="48" s="1"/>
  <c r="I139" i="48"/>
  <c r="M139" i="48" s="1"/>
  <c r="A139" i="48" s="1"/>
  <c r="B139" i="48"/>
  <c r="K138" i="48"/>
  <c r="J138" i="48"/>
  <c r="I138" i="48"/>
  <c r="M138" i="48" s="1"/>
  <c r="A138" i="48" s="1"/>
  <c r="B138" i="48"/>
  <c r="J137" i="48"/>
  <c r="K137" i="48" s="1"/>
  <c r="I137" i="48"/>
  <c r="M137" i="48" s="1"/>
  <c r="A137" i="48" s="1"/>
  <c r="B137" i="48"/>
  <c r="J136" i="48"/>
  <c r="K136" i="48" s="1"/>
  <c r="I136" i="48"/>
  <c r="M136" i="48" s="1"/>
  <c r="A136" i="48" s="1"/>
  <c r="B136" i="48"/>
  <c r="J135" i="48"/>
  <c r="K135" i="48" s="1"/>
  <c r="I135" i="48"/>
  <c r="M135" i="48" s="1"/>
  <c r="A135" i="48" s="1"/>
  <c r="B135" i="48"/>
  <c r="J134" i="48"/>
  <c r="K134" i="48" s="1"/>
  <c r="I134" i="48"/>
  <c r="M134" i="48" s="1"/>
  <c r="A134" i="48" s="1"/>
  <c r="B134" i="48"/>
  <c r="J133" i="48"/>
  <c r="K133" i="48" s="1"/>
  <c r="I133" i="48"/>
  <c r="M133" i="48" s="1"/>
  <c r="A133" i="48" s="1"/>
  <c r="B133" i="48"/>
  <c r="J132" i="48"/>
  <c r="K132" i="48" s="1"/>
  <c r="I132" i="48"/>
  <c r="M132" i="48" s="1"/>
  <c r="A132" i="48" s="1"/>
  <c r="B132" i="48"/>
  <c r="J131" i="48"/>
  <c r="K131" i="48" s="1"/>
  <c r="I131" i="48"/>
  <c r="M131" i="48" s="1"/>
  <c r="A131" i="48" s="1"/>
  <c r="B131" i="48"/>
  <c r="J130" i="48"/>
  <c r="K130" i="48" s="1"/>
  <c r="I130" i="48"/>
  <c r="M130" i="48" s="1"/>
  <c r="A130" i="48" s="1"/>
  <c r="B130" i="48"/>
  <c r="K129" i="48"/>
  <c r="J129" i="48"/>
  <c r="I129" i="48"/>
  <c r="M129" i="48" s="1"/>
  <c r="A129" i="48" s="1"/>
  <c r="B129" i="48"/>
  <c r="J128" i="48"/>
  <c r="K128" i="48" s="1"/>
  <c r="I128" i="48"/>
  <c r="M128" i="48" s="1"/>
  <c r="A128" i="48" s="1"/>
  <c r="B128" i="48"/>
  <c r="M127" i="48"/>
  <c r="A127" i="48" s="1"/>
  <c r="J127" i="48"/>
  <c r="K127" i="48" s="1"/>
  <c r="I127" i="48"/>
  <c r="B127" i="48"/>
  <c r="J126" i="48"/>
  <c r="K126" i="48" s="1"/>
  <c r="I126" i="48"/>
  <c r="M126" i="48" s="1"/>
  <c r="A126" i="48" s="1"/>
  <c r="B126" i="48"/>
  <c r="K125" i="48"/>
  <c r="J125" i="48"/>
  <c r="I125" i="48"/>
  <c r="M125" i="48" s="1"/>
  <c r="A125" i="48" s="1"/>
  <c r="B125" i="48"/>
  <c r="J124" i="48"/>
  <c r="K124" i="48" s="1"/>
  <c r="I124" i="48"/>
  <c r="M124" i="48" s="1"/>
  <c r="A124" i="48" s="1"/>
  <c r="B124" i="48"/>
  <c r="M123" i="48"/>
  <c r="A123" i="48" s="1"/>
  <c r="K123" i="48"/>
  <c r="J123" i="48"/>
  <c r="I123" i="48"/>
  <c r="B123" i="48"/>
  <c r="J122" i="48"/>
  <c r="K122" i="48" s="1"/>
  <c r="I122" i="48"/>
  <c r="M122" i="48" s="1"/>
  <c r="A122" i="48" s="1"/>
  <c r="B122" i="48"/>
  <c r="J121" i="48"/>
  <c r="K121" i="48" s="1"/>
  <c r="I121" i="48"/>
  <c r="M121" i="48" s="1"/>
  <c r="A121" i="48" s="1"/>
  <c r="B121" i="48"/>
  <c r="J120" i="48"/>
  <c r="K120" i="48" s="1"/>
  <c r="I120" i="48"/>
  <c r="M120" i="48" s="1"/>
  <c r="A120" i="48" s="1"/>
  <c r="B120" i="48"/>
  <c r="M119" i="48"/>
  <c r="A119" i="48" s="1"/>
  <c r="J119" i="48"/>
  <c r="K119" i="48" s="1"/>
  <c r="I119" i="48"/>
  <c r="B119" i="48"/>
  <c r="J118" i="48"/>
  <c r="K118" i="48" s="1"/>
  <c r="I118" i="48"/>
  <c r="M118" i="48" s="1"/>
  <c r="A118" i="48" s="1"/>
  <c r="B118" i="48"/>
  <c r="J117" i="48"/>
  <c r="K117" i="48" s="1"/>
  <c r="I117" i="48"/>
  <c r="M117" i="48" s="1"/>
  <c r="A117" i="48" s="1"/>
  <c r="B117" i="48"/>
  <c r="J116" i="48"/>
  <c r="K116" i="48" s="1"/>
  <c r="I116" i="48"/>
  <c r="M116" i="48" s="1"/>
  <c r="A116" i="48" s="1"/>
  <c r="B116" i="48"/>
  <c r="M115" i="48"/>
  <c r="A115" i="48" s="1"/>
  <c r="K115" i="48"/>
  <c r="J115" i="48"/>
  <c r="I115" i="48"/>
  <c r="B115" i="48"/>
  <c r="J114" i="48"/>
  <c r="K114" i="48" s="1"/>
  <c r="I114" i="48"/>
  <c r="M114" i="48" s="1"/>
  <c r="A114" i="48" s="1"/>
  <c r="B114" i="48"/>
  <c r="J113" i="48"/>
  <c r="K113" i="48" s="1"/>
  <c r="I113" i="48"/>
  <c r="M113" i="48" s="1"/>
  <c r="A113" i="48" s="1"/>
  <c r="B113" i="48"/>
  <c r="J112" i="48"/>
  <c r="K112" i="48" s="1"/>
  <c r="I112" i="48"/>
  <c r="M112" i="48" s="1"/>
  <c r="A112" i="48" s="1"/>
  <c r="B112" i="48"/>
  <c r="M111" i="48"/>
  <c r="A111" i="48" s="1"/>
  <c r="K111" i="48"/>
  <c r="J111" i="48"/>
  <c r="I111" i="48"/>
  <c r="B111" i="48"/>
  <c r="J110" i="48"/>
  <c r="K110" i="48" s="1"/>
  <c r="I110" i="48"/>
  <c r="M110" i="48" s="1"/>
  <c r="A110" i="48" s="1"/>
  <c r="B110" i="48"/>
  <c r="K109" i="48"/>
  <c r="J109" i="48"/>
  <c r="I109" i="48"/>
  <c r="M109" i="48" s="1"/>
  <c r="A109" i="48" s="1"/>
  <c r="B109" i="48"/>
  <c r="J108" i="48"/>
  <c r="K108" i="48" s="1"/>
  <c r="I108" i="48"/>
  <c r="M108" i="48" s="1"/>
  <c r="A108" i="48" s="1"/>
  <c r="B108" i="48"/>
  <c r="J107" i="48"/>
  <c r="K107" i="48" s="1"/>
  <c r="I107" i="48"/>
  <c r="M107" i="48" s="1"/>
  <c r="A107" i="48" s="1"/>
  <c r="B107" i="48"/>
  <c r="J106" i="48"/>
  <c r="K106" i="48" s="1"/>
  <c r="I106" i="48"/>
  <c r="M106" i="48" s="1"/>
  <c r="A106" i="48" s="1"/>
  <c r="B106" i="48"/>
  <c r="J105" i="48"/>
  <c r="K105" i="48" s="1"/>
  <c r="I105" i="48"/>
  <c r="M105" i="48" s="1"/>
  <c r="A105" i="48" s="1"/>
  <c r="B105" i="48"/>
  <c r="J104" i="48"/>
  <c r="K104" i="48" s="1"/>
  <c r="I104" i="48"/>
  <c r="M104" i="48" s="1"/>
  <c r="A104" i="48" s="1"/>
  <c r="B104" i="48"/>
  <c r="J103" i="48"/>
  <c r="K103" i="48" s="1"/>
  <c r="I103" i="48"/>
  <c r="M103" i="48" s="1"/>
  <c r="A103" i="48" s="1"/>
  <c r="B103" i="48"/>
  <c r="J102" i="48"/>
  <c r="K102" i="48" s="1"/>
  <c r="I102" i="48"/>
  <c r="M102" i="48" s="1"/>
  <c r="A102" i="48" s="1"/>
  <c r="B102" i="48"/>
  <c r="J101" i="48"/>
  <c r="K101" i="48" s="1"/>
  <c r="I101" i="48"/>
  <c r="M101" i="48" s="1"/>
  <c r="A101" i="48" s="1"/>
  <c r="B101" i="48"/>
  <c r="J100" i="48"/>
  <c r="K100" i="48" s="1"/>
  <c r="I100" i="48"/>
  <c r="M100" i="48" s="1"/>
  <c r="A100" i="48" s="1"/>
  <c r="B100" i="48"/>
  <c r="J99" i="48"/>
  <c r="K99" i="48" s="1"/>
  <c r="I99" i="48"/>
  <c r="M99" i="48" s="1"/>
  <c r="A99" i="48" s="1"/>
  <c r="B99" i="48"/>
  <c r="J98" i="48"/>
  <c r="K98" i="48" s="1"/>
  <c r="I98" i="48"/>
  <c r="M98" i="48" s="1"/>
  <c r="A98" i="48" s="1"/>
  <c r="B98" i="48"/>
  <c r="J97" i="48"/>
  <c r="K97" i="48" s="1"/>
  <c r="I97" i="48"/>
  <c r="M97" i="48" s="1"/>
  <c r="A97" i="48" s="1"/>
  <c r="B97" i="48"/>
  <c r="J96" i="48"/>
  <c r="K96" i="48" s="1"/>
  <c r="I96" i="48"/>
  <c r="M96" i="48" s="1"/>
  <c r="A96" i="48" s="1"/>
  <c r="B96" i="48"/>
  <c r="J95" i="48"/>
  <c r="K95" i="48" s="1"/>
  <c r="I95" i="48"/>
  <c r="M95" i="48" s="1"/>
  <c r="A95" i="48" s="1"/>
  <c r="B95" i="48"/>
  <c r="J94" i="48"/>
  <c r="K94" i="48" s="1"/>
  <c r="I94" i="48"/>
  <c r="M94" i="48" s="1"/>
  <c r="A94" i="48" s="1"/>
  <c r="B94" i="48"/>
  <c r="J93" i="48"/>
  <c r="K93" i="48" s="1"/>
  <c r="I93" i="48"/>
  <c r="M93" i="48" s="1"/>
  <c r="B93" i="48"/>
  <c r="A93" i="48"/>
  <c r="J92" i="48"/>
  <c r="K92" i="48" s="1"/>
  <c r="I92" i="48"/>
  <c r="M92" i="48" s="1"/>
  <c r="A92" i="48" s="1"/>
  <c r="B92" i="48"/>
  <c r="J91" i="48"/>
  <c r="K91" i="48" s="1"/>
  <c r="I91" i="48"/>
  <c r="M91" i="48" s="1"/>
  <c r="A91" i="48" s="1"/>
  <c r="B91" i="48"/>
  <c r="J90" i="48"/>
  <c r="K90" i="48" s="1"/>
  <c r="I90" i="48"/>
  <c r="M90" i="48" s="1"/>
  <c r="A90" i="48" s="1"/>
  <c r="B90" i="48"/>
  <c r="J89" i="48"/>
  <c r="K89" i="48" s="1"/>
  <c r="I89" i="48"/>
  <c r="M89" i="48" s="1"/>
  <c r="B89" i="48"/>
  <c r="A89" i="48"/>
  <c r="J88" i="48"/>
  <c r="K88" i="48" s="1"/>
  <c r="I88" i="48"/>
  <c r="M88" i="48" s="1"/>
  <c r="A88" i="48" s="1"/>
  <c r="B88" i="48"/>
  <c r="J87" i="48"/>
  <c r="K87" i="48" s="1"/>
  <c r="I87" i="48"/>
  <c r="M87" i="48" s="1"/>
  <c r="A87" i="48" s="1"/>
  <c r="B87" i="48"/>
  <c r="J86" i="48"/>
  <c r="K86" i="48" s="1"/>
  <c r="I86" i="48"/>
  <c r="M86" i="48" s="1"/>
  <c r="A86" i="48" s="1"/>
  <c r="B86" i="48"/>
  <c r="J85" i="48"/>
  <c r="K85" i="48" s="1"/>
  <c r="I85" i="48"/>
  <c r="M85" i="48" s="1"/>
  <c r="B85" i="48"/>
  <c r="A85" i="48"/>
  <c r="M84" i="48"/>
  <c r="A84" i="48" s="1"/>
  <c r="J84" i="48"/>
  <c r="K84" i="48" s="1"/>
  <c r="I84" i="48"/>
  <c r="B84" i="48"/>
  <c r="J83" i="48"/>
  <c r="K83" i="48" s="1"/>
  <c r="I83" i="48"/>
  <c r="M83" i="48" s="1"/>
  <c r="A83" i="48" s="1"/>
  <c r="B83" i="48"/>
  <c r="J82" i="48"/>
  <c r="K82" i="48" s="1"/>
  <c r="I82" i="48"/>
  <c r="M82" i="48" s="1"/>
  <c r="A82" i="48" s="1"/>
  <c r="B82" i="48"/>
  <c r="J81" i="48"/>
  <c r="K81" i="48" s="1"/>
  <c r="I81" i="48"/>
  <c r="M81" i="48" s="1"/>
  <c r="A81" i="48" s="1"/>
  <c r="B81" i="48"/>
  <c r="M80" i="48"/>
  <c r="A80" i="48" s="1"/>
  <c r="J80" i="48"/>
  <c r="K80" i="48" s="1"/>
  <c r="I80" i="48"/>
  <c r="B80" i="48"/>
  <c r="J79" i="48"/>
  <c r="K79" i="48" s="1"/>
  <c r="I79" i="48"/>
  <c r="M79" i="48" s="1"/>
  <c r="A79" i="48" s="1"/>
  <c r="B79" i="48"/>
  <c r="J78" i="48"/>
  <c r="K78" i="48" s="1"/>
  <c r="I78" i="48"/>
  <c r="M78" i="48" s="1"/>
  <c r="A78" i="48" s="1"/>
  <c r="B78" i="48"/>
  <c r="J77" i="48"/>
  <c r="K77" i="48" s="1"/>
  <c r="I77" i="48"/>
  <c r="M77" i="48" s="1"/>
  <c r="A77" i="48" s="1"/>
  <c r="B77" i="48"/>
  <c r="M76" i="48"/>
  <c r="A76" i="48" s="1"/>
  <c r="J76" i="48"/>
  <c r="K76" i="48" s="1"/>
  <c r="I76" i="48"/>
  <c r="B76" i="48"/>
  <c r="J75" i="48"/>
  <c r="K75" i="48" s="1"/>
  <c r="I75" i="48"/>
  <c r="M75" i="48" s="1"/>
  <c r="A75" i="48" s="1"/>
  <c r="B75" i="48"/>
  <c r="J74" i="48"/>
  <c r="K74" i="48" s="1"/>
  <c r="I74" i="48"/>
  <c r="M74" i="48" s="1"/>
  <c r="A74" i="48" s="1"/>
  <c r="B74" i="48"/>
  <c r="J73" i="48"/>
  <c r="K73" i="48" s="1"/>
  <c r="I73" i="48"/>
  <c r="M73" i="48" s="1"/>
  <c r="A73" i="48" s="1"/>
  <c r="B73" i="48"/>
  <c r="M72" i="48"/>
  <c r="A72" i="48" s="1"/>
  <c r="J72" i="48"/>
  <c r="K72" i="48" s="1"/>
  <c r="I72" i="48"/>
  <c r="B72" i="48"/>
  <c r="J71" i="48"/>
  <c r="K71" i="48" s="1"/>
  <c r="I71" i="48"/>
  <c r="M71" i="48" s="1"/>
  <c r="A71" i="48" s="1"/>
  <c r="B71" i="48"/>
  <c r="J70" i="48"/>
  <c r="K70" i="48" s="1"/>
  <c r="I70" i="48"/>
  <c r="M70" i="48" s="1"/>
  <c r="A70" i="48" s="1"/>
  <c r="B70" i="48"/>
  <c r="J69" i="48"/>
  <c r="K69" i="48" s="1"/>
  <c r="I69" i="48"/>
  <c r="M69" i="48" s="1"/>
  <c r="A69" i="48" s="1"/>
  <c r="B69" i="48"/>
  <c r="M68" i="48"/>
  <c r="A68" i="48" s="1"/>
  <c r="J68" i="48"/>
  <c r="K68" i="48" s="1"/>
  <c r="I68" i="48"/>
  <c r="B68" i="48"/>
  <c r="J67" i="48"/>
  <c r="K67" i="48" s="1"/>
  <c r="I67" i="48"/>
  <c r="M67" i="48" s="1"/>
  <c r="A67" i="48" s="1"/>
  <c r="B67" i="48"/>
  <c r="J66" i="48"/>
  <c r="K66" i="48" s="1"/>
  <c r="I66" i="48"/>
  <c r="M66" i="48" s="1"/>
  <c r="A66" i="48" s="1"/>
  <c r="B66" i="48"/>
  <c r="J65" i="48"/>
  <c r="K65" i="48" s="1"/>
  <c r="I65" i="48"/>
  <c r="M65" i="48" s="1"/>
  <c r="B65" i="48"/>
  <c r="A65" i="48"/>
  <c r="M64" i="48"/>
  <c r="A64" i="48" s="1"/>
  <c r="J64" i="48"/>
  <c r="K64" i="48" s="1"/>
  <c r="I64" i="48"/>
  <c r="B64" i="48"/>
  <c r="J63" i="48"/>
  <c r="K63" i="48" s="1"/>
  <c r="I63" i="48"/>
  <c r="M63" i="48" s="1"/>
  <c r="A63" i="48" s="1"/>
  <c r="B63" i="48"/>
  <c r="J62" i="48"/>
  <c r="K62" i="48" s="1"/>
  <c r="I62" i="48"/>
  <c r="M62" i="48" s="1"/>
  <c r="A62" i="48" s="1"/>
  <c r="B62" i="48"/>
  <c r="J61" i="48"/>
  <c r="K61" i="48" s="1"/>
  <c r="I61" i="48"/>
  <c r="M61" i="48" s="1"/>
  <c r="B61" i="48"/>
  <c r="A61" i="48"/>
  <c r="J60" i="48"/>
  <c r="K60" i="48" s="1"/>
  <c r="I60" i="48"/>
  <c r="M60" i="48" s="1"/>
  <c r="A60" i="48" s="1"/>
  <c r="B60" i="48"/>
  <c r="J59" i="48"/>
  <c r="K59" i="48" s="1"/>
  <c r="M59" i="48" s="1"/>
  <c r="A59" i="48" s="1"/>
  <c r="I59" i="48"/>
  <c r="B59" i="48"/>
  <c r="J58" i="48"/>
  <c r="K58" i="48" s="1"/>
  <c r="I58" i="48"/>
  <c r="M58" i="48" s="1"/>
  <c r="A58" i="48" s="1"/>
  <c r="B58" i="48"/>
  <c r="J57" i="48"/>
  <c r="K57" i="48" s="1"/>
  <c r="I57" i="48"/>
  <c r="M57" i="48" s="1"/>
  <c r="A57" i="48" s="1"/>
  <c r="B57" i="48"/>
  <c r="J56" i="48"/>
  <c r="K56" i="48" s="1"/>
  <c r="I56" i="48"/>
  <c r="M56" i="48" s="1"/>
  <c r="A56" i="48" s="1"/>
  <c r="B56" i="48"/>
  <c r="J55" i="48"/>
  <c r="K55" i="48" s="1"/>
  <c r="M55" i="48" s="1"/>
  <c r="A55" i="48" s="1"/>
  <c r="I55" i="48"/>
  <c r="B55" i="48"/>
  <c r="J54" i="48"/>
  <c r="K54" i="48" s="1"/>
  <c r="I54" i="48"/>
  <c r="M54" i="48" s="1"/>
  <c r="A54" i="48" s="1"/>
  <c r="B54" i="48"/>
  <c r="J53" i="48"/>
  <c r="K53" i="48" s="1"/>
  <c r="I53" i="48"/>
  <c r="M53" i="48" s="1"/>
  <c r="A53" i="48" s="1"/>
  <c r="B53" i="48"/>
  <c r="J52" i="48"/>
  <c r="K52" i="48" s="1"/>
  <c r="I52" i="48"/>
  <c r="M52" i="48" s="1"/>
  <c r="A52" i="48" s="1"/>
  <c r="B52" i="48"/>
  <c r="J51" i="48"/>
  <c r="K51" i="48" s="1"/>
  <c r="M51" i="48" s="1"/>
  <c r="A51" i="48" s="1"/>
  <c r="I51" i="48"/>
  <c r="B51" i="48"/>
  <c r="J50" i="48"/>
  <c r="K50" i="48" s="1"/>
  <c r="I50" i="48"/>
  <c r="M50" i="48" s="1"/>
  <c r="A50" i="48" s="1"/>
  <c r="B50" i="48"/>
  <c r="J49" i="48"/>
  <c r="K49" i="48" s="1"/>
  <c r="I49" i="48"/>
  <c r="M49" i="48" s="1"/>
  <c r="A49" i="48" s="1"/>
  <c r="B49" i="48"/>
  <c r="J48" i="48"/>
  <c r="K48" i="48" s="1"/>
  <c r="I48" i="48"/>
  <c r="M48" i="48" s="1"/>
  <c r="A48" i="48" s="1"/>
  <c r="B48" i="48"/>
  <c r="J47" i="48"/>
  <c r="K47" i="48" s="1"/>
  <c r="M47" i="48" s="1"/>
  <c r="A47" i="48" s="1"/>
  <c r="I47" i="48"/>
  <c r="B47" i="48"/>
  <c r="J46" i="48"/>
  <c r="K46" i="48" s="1"/>
  <c r="I46" i="48"/>
  <c r="M46" i="48" s="1"/>
  <c r="A46" i="48" s="1"/>
  <c r="B46" i="48"/>
  <c r="J45" i="48"/>
  <c r="K45" i="48" s="1"/>
  <c r="I45" i="48"/>
  <c r="M45" i="48" s="1"/>
  <c r="A45" i="48" s="1"/>
  <c r="B45" i="48"/>
  <c r="J44" i="48"/>
  <c r="K44" i="48" s="1"/>
  <c r="I44" i="48"/>
  <c r="M44" i="48" s="1"/>
  <c r="A44" i="48" s="1"/>
  <c r="B44" i="48"/>
  <c r="J43" i="48"/>
  <c r="K43" i="48" s="1"/>
  <c r="M43" i="48" s="1"/>
  <c r="A43" i="48" s="1"/>
  <c r="I43" i="48"/>
  <c r="B43" i="48"/>
  <c r="J42" i="48"/>
  <c r="K42" i="48" s="1"/>
  <c r="I42" i="48"/>
  <c r="M42" i="48" s="1"/>
  <c r="A42" i="48" s="1"/>
  <c r="B42" i="48"/>
  <c r="J41" i="48"/>
  <c r="K41" i="48" s="1"/>
  <c r="I41" i="48"/>
  <c r="M41" i="48" s="1"/>
  <c r="A41" i="48" s="1"/>
  <c r="B41" i="48"/>
  <c r="J40" i="48"/>
  <c r="K40" i="48" s="1"/>
  <c r="I40" i="48"/>
  <c r="M40" i="48" s="1"/>
  <c r="A40" i="48" s="1"/>
  <c r="B40" i="48"/>
  <c r="J39" i="48"/>
  <c r="K39" i="48" s="1"/>
  <c r="M39" i="48" s="1"/>
  <c r="A39" i="48" s="1"/>
  <c r="I39" i="48"/>
  <c r="B39" i="48"/>
  <c r="J38" i="48"/>
  <c r="K38" i="48" s="1"/>
  <c r="I38" i="48"/>
  <c r="M38" i="48" s="1"/>
  <c r="A38" i="48" s="1"/>
  <c r="B38" i="48"/>
  <c r="J37" i="48"/>
  <c r="K37" i="48" s="1"/>
  <c r="I37" i="48"/>
  <c r="M37" i="48" s="1"/>
  <c r="A37" i="48" s="1"/>
  <c r="B37" i="48"/>
  <c r="J36" i="48"/>
  <c r="K36" i="48" s="1"/>
  <c r="I36" i="48"/>
  <c r="M36" i="48" s="1"/>
  <c r="A36" i="48" s="1"/>
  <c r="B36" i="48"/>
  <c r="J35" i="48"/>
  <c r="K35" i="48" s="1"/>
  <c r="M35" i="48" s="1"/>
  <c r="A35" i="48" s="1"/>
  <c r="I35" i="48"/>
  <c r="B35" i="48"/>
  <c r="J34" i="48"/>
  <c r="K34" i="48" s="1"/>
  <c r="I34" i="48"/>
  <c r="M34" i="48" s="1"/>
  <c r="A34" i="48" s="1"/>
  <c r="B34" i="48"/>
  <c r="J33" i="48"/>
  <c r="K33" i="48" s="1"/>
  <c r="I33" i="48"/>
  <c r="M33" i="48" s="1"/>
  <c r="A33" i="48" s="1"/>
  <c r="B33" i="48"/>
  <c r="J32" i="48"/>
  <c r="K32" i="48" s="1"/>
  <c r="I32" i="48"/>
  <c r="M32" i="48" s="1"/>
  <c r="A32" i="48" s="1"/>
  <c r="B32" i="48"/>
  <c r="J31" i="48"/>
  <c r="K31" i="48" s="1"/>
  <c r="M31" i="48" s="1"/>
  <c r="A31" i="48" s="1"/>
  <c r="I31" i="48"/>
  <c r="B31" i="48"/>
  <c r="J30" i="48"/>
  <c r="K30" i="48" s="1"/>
  <c r="I30" i="48"/>
  <c r="M30" i="48" s="1"/>
  <c r="A30" i="48" s="1"/>
  <c r="B30" i="48"/>
  <c r="J29" i="48"/>
  <c r="K29" i="48" s="1"/>
  <c r="I29" i="48"/>
  <c r="M29" i="48" s="1"/>
  <c r="A29" i="48" s="1"/>
  <c r="B29" i="48"/>
  <c r="J28" i="48"/>
  <c r="K28" i="48" s="1"/>
  <c r="I28" i="48"/>
  <c r="M28" i="48" s="1"/>
  <c r="A28" i="48" s="1"/>
  <c r="B28" i="48"/>
  <c r="J27" i="48"/>
  <c r="K27" i="48" s="1"/>
  <c r="M27" i="48" s="1"/>
  <c r="A27" i="48" s="1"/>
  <c r="I27" i="48"/>
  <c r="B27" i="48"/>
  <c r="J26" i="48"/>
  <c r="K26" i="48" s="1"/>
  <c r="I26" i="48"/>
  <c r="M26" i="48" s="1"/>
  <c r="A26" i="48" s="1"/>
  <c r="B26" i="48"/>
  <c r="J25" i="48"/>
  <c r="K25" i="48" s="1"/>
  <c r="I25" i="48"/>
  <c r="M25" i="48" s="1"/>
  <c r="A25" i="48" s="1"/>
  <c r="B25" i="48"/>
  <c r="J24" i="48"/>
  <c r="K24" i="48" s="1"/>
  <c r="I24" i="48"/>
  <c r="M24" i="48" s="1"/>
  <c r="A24" i="48" s="1"/>
  <c r="B24" i="48"/>
  <c r="K23" i="48"/>
  <c r="M23" i="48" s="1"/>
  <c r="A23" i="48" s="1"/>
  <c r="J23" i="48"/>
  <c r="I23" i="48"/>
  <c r="B23" i="48"/>
  <c r="J22" i="48"/>
  <c r="K22" i="48" s="1"/>
  <c r="I22" i="48"/>
  <c r="M22" i="48" s="1"/>
  <c r="A22" i="48" s="1"/>
  <c r="B22" i="48"/>
  <c r="J21" i="48"/>
  <c r="K21" i="48" s="1"/>
  <c r="M21" i="48" s="1"/>
  <c r="A21" i="48" s="1"/>
  <c r="I21" i="48"/>
  <c r="B21" i="48"/>
  <c r="J20" i="48"/>
  <c r="K20" i="48" s="1"/>
  <c r="I20" i="48"/>
  <c r="M20" i="48" s="1"/>
  <c r="A20" i="48" s="1"/>
  <c r="B20" i="48"/>
  <c r="M19" i="48"/>
  <c r="A19" i="48" s="1"/>
  <c r="K19" i="48"/>
  <c r="J19" i="48"/>
  <c r="I19" i="48"/>
  <c r="B19" i="48"/>
  <c r="J18" i="48"/>
  <c r="K18" i="48" s="1"/>
  <c r="I18" i="48"/>
  <c r="M18" i="48" s="1"/>
  <c r="A18" i="48" s="1"/>
  <c r="B18" i="48"/>
  <c r="M17" i="48"/>
  <c r="A17" i="48" s="1"/>
  <c r="J17" i="48"/>
  <c r="K17" i="48" s="1"/>
  <c r="I17" i="48"/>
  <c r="B17" i="48"/>
  <c r="AI16" i="48"/>
  <c r="J16" i="48"/>
  <c r="K16" i="48" s="1"/>
  <c r="I16" i="48"/>
  <c r="B16" i="48"/>
  <c r="J15" i="48"/>
  <c r="K15" i="48" s="1"/>
  <c r="I15" i="48"/>
  <c r="M15" i="48" s="1"/>
  <c r="A15" i="48" s="1"/>
  <c r="B15" i="48"/>
  <c r="AI14" i="48"/>
  <c r="M14" i="48"/>
  <c r="A14" i="48" s="1"/>
  <c r="K14" i="48"/>
  <c r="J14" i="48"/>
  <c r="I14" i="48"/>
  <c r="B14" i="48"/>
  <c r="AI13" i="48"/>
  <c r="J13" i="48"/>
  <c r="K13" i="48" s="1"/>
  <c r="I13" i="48"/>
  <c r="M13" i="48" s="1"/>
  <c r="A13" i="48" s="1"/>
  <c r="B13" i="48"/>
  <c r="AI12" i="48"/>
  <c r="J12" i="48"/>
  <c r="K12" i="48" s="1"/>
  <c r="I12" i="48"/>
  <c r="M12" i="48" s="1"/>
  <c r="A12" i="48" s="1"/>
  <c r="B12" i="48"/>
  <c r="J11" i="48"/>
  <c r="K11" i="48" s="1"/>
  <c r="I11" i="48"/>
  <c r="M11" i="48" s="1"/>
  <c r="A11" i="48" s="1"/>
  <c r="B11" i="48"/>
  <c r="J10" i="48"/>
  <c r="K10" i="48" s="1"/>
  <c r="I10" i="48"/>
  <c r="M10" i="48" s="1"/>
  <c r="A10" i="48" s="1"/>
  <c r="B10" i="48"/>
  <c r="K9" i="48"/>
  <c r="J9" i="48"/>
  <c r="I9" i="48"/>
  <c r="B9" i="48"/>
  <c r="J8" i="48"/>
  <c r="K8" i="48" s="1"/>
  <c r="I8" i="48"/>
  <c r="B8" i="48"/>
  <c r="J7" i="48"/>
  <c r="K7" i="48" s="1"/>
  <c r="I7" i="48"/>
  <c r="B7" i="48"/>
  <c r="J6" i="48"/>
  <c r="K6" i="48" s="1"/>
  <c r="I6" i="48"/>
  <c r="B6" i="48"/>
  <c r="K2" i="48"/>
  <c r="L6" i="48" s="1"/>
  <c r="B17" i="19"/>
  <c r="B16" i="19"/>
  <c r="B15" i="19"/>
  <c r="B14" i="19"/>
  <c r="B13" i="19"/>
  <c r="B12" i="19"/>
  <c r="B11" i="19"/>
  <c r="B10" i="19"/>
  <c r="B9" i="19"/>
  <c r="B8" i="19"/>
  <c r="B7" i="19"/>
  <c r="B6" i="19"/>
  <c r="B18" i="19"/>
  <c r="J9" i="18"/>
  <c r="K9" i="18" s="1"/>
  <c r="I9" i="18"/>
  <c r="M9" i="18" s="1"/>
  <c r="L8" i="18"/>
  <c r="J8" i="18"/>
  <c r="K8" i="18" s="1"/>
  <c r="M8" i="18" s="1"/>
  <c r="A8" i="18" s="1"/>
  <c r="I8" i="18"/>
  <c r="B8" i="18"/>
  <c r="M19" i="49" l="1"/>
  <c r="A19" i="49" s="1"/>
  <c r="M43" i="49"/>
  <c r="A43" i="49" s="1"/>
  <c r="M27" i="49"/>
  <c r="A27" i="49" s="1"/>
  <c r="M14" i="49"/>
  <c r="A14" i="49" s="1"/>
  <c r="M16" i="49"/>
  <c r="A16" i="49" s="1"/>
  <c r="M23" i="49"/>
  <c r="A23" i="49" s="1"/>
  <c r="L8" i="48"/>
  <c r="M8" i="48" s="1"/>
  <c r="A8" i="48" s="1"/>
  <c r="M16" i="48"/>
  <c r="A16" i="48" s="1"/>
  <c r="L9" i="48"/>
  <c r="M9" i="48" s="1"/>
  <c r="A9" i="48" s="1"/>
  <c r="M6" i="48"/>
  <c r="A6" i="48" s="1"/>
  <c r="L7" i="48"/>
  <c r="M7" i="48" s="1"/>
  <c r="A7" i="48" s="1"/>
  <c r="AV19" i="31"/>
  <c r="AV23" i="31"/>
  <c r="AV21" i="31"/>
  <c r="AV24" i="31"/>
  <c r="AV22" i="31"/>
  <c r="AV29" i="31"/>
  <c r="AV26" i="31"/>
  <c r="AV18" i="31"/>
  <c r="AV34" i="31"/>
  <c r="AV28" i="31"/>
  <c r="AV25" i="31"/>
  <c r="AV17" i="31"/>
  <c r="AV11" i="31"/>
  <c r="AV27" i="31"/>
  <c r="AV14" i="31"/>
  <c r="AV15" i="31"/>
  <c r="AV20" i="31"/>
  <c r="AV16" i="31"/>
  <c r="AV9" i="31"/>
  <c r="AV12" i="31"/>
  <c r="AV10" i="31"/>
  <c r="AV13" i="31"/>
  <c r="AV7" i="31"/>
  <c r="AV6" i="31"/>
  <c r="AT23" i="31"/>
  <c r="AT21" i="31"/>
  <c r="AT24" i="31"/>
  <c r="AT22" i="31"/>
  <c r="AT29" i="31"/>
  <c r="AT26" i="31"/>
  <c r="AT18" i="31"/>
  <c r="AT28" i="31"/>
  <c r="AT25" i="31"/>
  <c r="AT17" i="31"/>
  <c r="AT11" i="31"/>
  <c r="AT27" i="31"/>
  <c r="AT14" i="31"/>
  <c r="AT15" i="31"/>
  <c r="AT20" i="31"/>
  <c r="AT16" i="31"/>
  <c r="AT9" i="31"/>
  <c r="AT12" i="31"/>
  <c r="AT10" i="31"/>
  <c r="AT13" i="31"/>
  <c r="AT8" i="31"/>
  <c r="AT7" i="31"/>
  <c r="AR33" i="31"/>
  <c r="AS33" i="31" s="1"/>
  <c r="AR32" i="31"/>
  <c r="AS32" i="31" s="1"/>
  <c r="AR31" i="31"/>
  <c r="AS31" i="31" s="1"/>
  <c r="AR30" i="31"/>
  <c r="AS30" i="31" s="1"/>
  <c r="AR19" i="31"/>
  <c r="AS19" i="31" s="1"/>
  <c r="AR23" i="31"/>
  <c r="AS23" i="31" s="1"/>
  <c r="AR21" i="31"/>
  <c r="AS21" i="31" s="1"/>
  <c r="AR24" i="31"/>
  <c r="AS24" i="31" s="1"/>
  <c r="AR22" i="31"/>
  <c r="AS22" i="31" s="1"/>
  <c r="AR29" i="31"/>
  <c r="AS29" i="31" s="1"/>
  <c r="AR26" i="31"/>
  <c r="AS26" i="31" s="1"/>
  <c r="AR18" i="31"/>
  <c r="AS18" i="31" s="1"/>
  <c r="AR34" i="31"/>
  <c r="AS34" i="31" s="1"/>
  <c r="AR28" i="31"/>
  <c r="AS28" i="31" s="1"/>
  <c r="AR25" i="31"/>
  <c r="AS25" i="31" s="1"/>
  <c r="AR17" i="31"/>
  <c r="AS17" i="31" s="1"/>
  <c r="AR11" i="31"/>
  <c r="AS11" i="31" s="1"/>
  <c r="AR27" i="31"/>
  <c r="AS27" i="31" s="1"/>
  <c r="AR14" i="31"/>
  <c r="AS14" i="31" s="1"/>
  <c r="AR15" i="31"/>
  <c r="AS15" i="31" s="1"/>
  <c r="AR20" i="31"/>
  <c r="AS20" i="31" s="1"/>
  <c r="AR16" i="31"/>
  <c r="AS16" i="31" s="1"/>
  <c r="AR9" i="31"/>
  <c r="AS9" i="31" s="1"/>
  <c r="AR12" i="31"/>
  <c r="AS12" i="31" s="1"/>
  <c r="AR10" i="31"/>
  <c r="AS10" i="31" s="1"/>
  <c r="AR13" i="31"/>
  <c r="AS13" i="31" s="1"/>
  <c r="AR8" i="31"/>
  <c r="AS8" i="31" s="1"/>
  <c r="AR7" i="31"/>
  <c r="AS7" i="31" s="1"/>
  <c r="AR6" i="31"/>
  <c r="AS6" i="31" s="1"/>
  <c r="AP31" i="31"/>
  <c r="AP23" i="31"/>
  <c r="AP21" i="31"/>
  <c r="AP24" i="31"/>
  <c r="AP22" i="31"/>
  <c r="AP29" i="31"/>
  <c r="AP26" i="31"/>
  <c r="AP18" i="31"/>
  <c r="AP28" i="31"/>
  <c r="AP25" i="31"/>
  <c r="AP17" i="31"/>
  <c r="AP11" i="31"/>
  <c r="AP27" i="31"/>
  <c r="AP14" i="31"/>
  <c r="AP15" i="31"/>
  <c r="AP20" i="31"/>
  <c r="AP16" i="31"/>
  <c r="AP9" i="31"/>
  <c r="AP12" i="31"/>
  <c r="AP10" i="31"/>
  <c r="AP13" i="31"/>
  <c r="AP8" i="31"/>
  <c r="AP7" i="31"/>
  <c r="AP6" i="31"/>
  <c r="AN22" i="31"/>
  <c r="AN29" i="31"/>
  <c r="AN26" i="31"/>
  <c r="AN18" i="31"/>
  <c r="AN28" i="31"/>
  <c r="AN25" i="31"/>
  <c r="AN17" i="31"/>
  <c r="AN11" i="31"/>
  <c r="AN27" i="31"/>
  <c r="AN14" i="31"/>
  <c r="AN15" i="31"/>
  <c r="AN20" i="31"/>
  <c r="AN16" i="31"/>
  <c r="AN9" i="31"/>
  <c r="AN12" i="31"/>
  <c r="AN10" i="31"/>
  <c r="AN13" i="31"/>
  <c r="AN8" i="31"/>
  <c r="AN7" i="31"/>
  <c r="AN6" i="31"/>
  <c r="J305" i="47"/>
  <c r="K305" i="47" s="1"/>
  <c r="I305" i="47"/>
  <c r="M305" i="47" s="1"/>
  <c r="J304" i="47"/>
  <c r="K304" i="47" s="1"/>
  <c r="I304" i="47"/>
  <c r="M304" i="47" s="1"/>
  <c r="J303" i="47"/>
  <c r="K303" i="47" s="1"/>
  <c r="I303" i="47"/>
  <c r="M303" i="47" s="1"/>
  <c r="K302" i="47"/>
  <c r="J302" i="47"/>
  <c r="I302" i="47"/>
  <c r="M302" i="47" s="1"/>
  <c r="J301" i="47"/>
  <c r="K301" i="47" s="1"/>
  <c r="I301" i="47"/>
  <c r="M301" i="47" s="1"/>
  <c r="J300" i="47"/>
  <c r="K300" i="47" s="1"/>
  <c r="I300" i="47"/>
  <c r="M300" i="47" s="1"/>
  <c r="J299" i="47"/>
  <c r="K299" i="47" s="1"/>
  <c r="I299" i="47"/>
  <c r="M299" i="47" s="1"/>
  <c r="J298" i="47"/>
  <c r="K298" i="47" s="1"/>
  <c r="I298" i="47"/>
  <c r="M298" i="47" s="1"/>
  <c r="J297" i="47"/>
  <c r="K297" i="47" s="1"/>
  <c r="I297" i="47"/>
  <c r="M297" i="47" s="1"/>
  <c r="J296" i="47"/>
  <c r="K296" i="47" s="1"/>
  <c r="I296" i="47"/>
  <c r="M296" i="47" s="1"/>
  <c r="J295" i="47"/>
  <c r="K295" i="47" s="1"/>
  <c r="I295" i="47"/>
  <c r="M295" i="47" s="1"/>
  <c r="K294" i="47"/>
  <c r="J294" i="47"/>
  <c r="I294" i="47"/>
  <c r="M294" i="47" s="1"/>
  <c r="J293" i="47"/>
  <c r="K293" i="47" s="1"/>
  <c r="I293" i="47"/>
  <c r="M293" i="47" s="1"/>
  <c r="J292" i="47"/>
  <c r="K292" i="47" s="1"/>
  <c r="I292" i="47"/>
  <c r="M292" i="47" s="1"/>
  <c r="J291" i="47"/>
  <c r="K291" i="47" s="1"/>
  <c r="I291" i="47"/>
  <c r="M291" i="47" s="1"/>
  <c r="J290" i="47"/>
  <c r="K290" i="47" s="1"/>
  <c r="I290" i="47"/>
  <c r="M290" i="47" s="1"/>
  <c r="K289" i="47"/>
  <c r="J289" i="47"/>
  <c r="I289" i="47"/>
  <c r="M289" i="47" s="1"/>
  <c r="J288" i="47"/>
  <c r="K288" i="47" s="1"/>
  <c r="I288" i="47"/>
  <c r="M288" i="47" s="1"/>
  <c r="K287" i="47"/>
  <c r="J287" i="47"/>
  <c r="I287" i="47"/>
  <c r="M287" i="47" s="1"/>
  <c r="M286" i="47"/>
  <c r="J286" i="47"/>
  <c r="K286" i="47" s="1"/>
  <c r="I286" i="47"/>
  <c r="J285" i="47"/>
  <c r="K285" i="47" s="1"/>
  <c r="I285" i="47"/>
  <c r="M285" i="47" s="1"/>
  <c r="J284" i="47"/>
  <c r="K284" i="47" s="1"/>
  <c r="I284" i="47"/>
  <c r="M284" i="47" s="1"/>
  <c r="J283" i="47"/>
  <c r="K283" i="47" s="1"/>
  <c r="I283" i="47"/>
  <c r="M283" i="47" s="1"/>
  <c r="J282" i="47"/>
  <c r="K282" i="47" s="1"/>
  <c r="I282" i="47"/>
  <c r="M282" i="47" s="1"/>
  <c r="J281" i="47"/>
  <c r="K281" i="47" s="1"/>
  <c r="I281" i="47"/>
  <c r="M281" i="47" s="1"/>
  <c r="J280" i="47"/>
  <c r="K280" i="47" s="1"/>
  <c r="I280" i="47"/>
  <c r="M280" i="47" s="1"/>
  <c r="K279" i="47"/>
  <c r="J279" i="47"/>
  <c r="I279" i="47"/>
  <c r="M279" i="47" s="1"/>
  <c r="J278" i="47"/>
  <c r="K278" i="47" s="1"/>
  <c r="I278" i="47"/>
  <c r="M278" i="47" s="1"/>
  <c r="J277" i="47"/>
  <c r="K277" i="47" s="1"/>
  <c r="I277" i="47"/>
  <c r="M277" i="47" s="1"/>
  <c r="J276" i="47"/>
  <c r="K276" i="47" s="1"/>
  <c r="I276" i="47"/>
  <c r="M276" i="47" s="1"/>
  <c r="J275" i="47"/>
  <c r="K275" i="47" s="1"/>
  <c r="I275" i="47"/>
  <c r="M275" i="47" s="1"/>
  <c r="J274" i="47"/>
  <c r="K274" i="47" s="1"/>
  <c r="I274" i="47"/>
  <c r="M274" i="47" s="1"/>
  <c r="J273" i="47"/>
  <c r="K273" i="47" s="1"/>
  <c r="I273" i="47"/>
  <c r="M273" i="47" s="1"/>
  <c r="J272" i="47"/>
  <c r="K272" i="47" s="1"/>
  <c r="I272" i="47"/>
  <c r="M272" i="47" s="1"/>
  <c r="J271" i="47"/>
  <c r="K271" i="47" s="1"/>
  <c r="I271" i="47"/>
  <c r="M271" i="47" s="1"/>
  <c r="K270" i="47"/>
  <c r="J270" i="47"/>
  <c r="I270" i="47"/>
  <c r="M270" i="47" s="1"/>
  <c r="J269" i="47"/>
  <c r="K269" i="47" s="1"/>
  <c r="I269" i="47"/>
  <c r="M269" i="47" s="1"/>
  <c r="J268" i="47"/>
  <c r="K268" i="47" s="1"/>
  <c r="I268" i="47"/>
  <c r="M268" i="47" s="1"/>
  <c r="J267" i="47"/>
  <c r="K267" i="47" s="1"/>
  <c r="I267" i="47"/>
  <c r="M267" i="47" s="1"/>
  <c r="J266" i="47"/>
  <c r="K266" i="47" s="1"/>
  <c r="I266" i="47"/>
  <c r="M266" i="47" s="1"/>
  <c r="K265" i="47"/>
  <c r="J265" i="47"/>
  <c r="I265" i="47"/>
  <c r="M265" i="47" s="1"/>
  <c r="M264" i="47"/>
  <c r="J264" i="47"/>
  <c r="K264" i="47" s="1"/>
  <c r="I264" i="47"/>
  <c r="J263" i="47"/>
  <c r="K263" i="47" s="1"/>
  <c r="I263" i="47"/>
  <c r="M263" i="47" s="1"/>
  <c r="K262" i="47"/>
  <c r="J262" i="47"/>
  <c r="I262" i="47"/>
  <c r="M262" i="47" s="1"/>
  <c r="J261" i="47"/>
  <c r="K261" i="47" s="1"/>
  <c r="I261" i="47"/>
  <c r="M261" i="47" s="1"/>
  <c r="J260" i="47"/>
  <c r="K260" i="47" s="1"/>
  <c r="I260" i="47"/>
  <c r="M260" i="47" s="1"/>
  <c r="J259" i="47"/>
  <c r="K259" i="47" s="1"/>
  <c r="I259" i="47"/>
  <c r="M259" i="47" s="1"/>
  <c r="J258" i="47"/>
  <c r="K258" i="47" s="1"/>
  <c r="I258" i="47"/>
  <c r="M258" i="47" s="1"/>
  <c r="K257" i="47"/>
  <c r="J257" i="47"/>
  <c r="I257" i="47"/>
  <c r="M257" i="47" s="1"/>
  <c r="J256" i="47"/>
  <c r="K256" i="47" s="1"/>
  <c r="I256" i="47"/>
  <c r="M256" i="47" s="1"/>
  <c r="J255" i="47"/>
  <c r="K255" i="47" s="1"/>
  <c r="I255" i="47"/>
  <c r="M255" i="47" s="1"/>
  <c r="K254" i="47"/>
  <c r="J254" i="47"/>
  <c r="I254" i="47"/>
  <c r="M254" i="47" s="1"/>
  <c r="J253" i="47"/>
  <c r="K253" i="47" s="1"/>
  <c r="I253" i="47"/>
  <c r="M253" i="47" s="1"/>
  <c r="J252" i="47"/>
  <c r="K252" i="47" s="1"/>
  <c r="I252" i="47"/>
  <c r="M252" i="47" s="1"/>
  <c r="J251" i="47"/>
  <c r="K251" i="47" s="1"/>
  <c r="I251" i="47"/>
  <c r="M251" i="47" s="1"/>
  <c r="J250" i="47"/>
  <c r="K250" i="47" s="1"/>
  <c r="I250" i="47"/>
  <c r="M250" i="47" s="1"/>
  <c r="K249" i="47"/>
  <c r="J249" i="47"/>
  <c r="I249" i="47"/>
  <c r="M249" i="47" s="1"/>
  <c r="M248" i="47"/>
  <c r="J248" i="47"/>
  <c r="K248" i="47" s="1"/>
  <c r="I248" i="47"/>
  <c r="J247" i="47"/>
  <c r="K247" i="47" s="1"/>
  <c r="I247" i="47"/>
  <c r="M247" i="47" s="1"/>
  <c r="M246" i="47"/>
  <c r="K246" i="47"/>
  <c r="J246" i="47"/>
  <c r="I246" i="47"/>
  <c r="J245" i="47"/>
  <c r="K245" i="47" s="1"/>
  <c r="I245" i="47"/>
  <c r="M245" i="47" s="1"/>
  <c r="J244" i="47"/>
  <c r="K244" i="47" s="1"/>
  <c r="I244" i="47"/>
  <c r="M244" i="47" s="1"/>
  <c r="J243" i="47"/>
  <c r="K243" i="47" s="1"/>
  <c r="I243" i="47"/>
  <c r="M243" i="47" s="1"/>
  <c r="J242" i="47"/>
  <c r="K242" i="47" s="1"/>
  <c r="I242" i="47"/>
  <c r="M242" i="47" s="1"/>
  <c r="J241" i="47"/>
  <c r="K241" i="47" s="1"/>
  <c r="I241" i="47"/>
  <c r="M241" i="47" s="1"/>
  <c r="J240" i="47"/>
  <c r="K240" i="47" s="1"/>
  <c r="I240" i="47"/>
  <c r="M240" i="47" s="1"/>
  <c r="J239" i="47"/>
  <c r="K239" i="47" s="1"/>
  <c r="I239" i="47"/>
  <c r="M239" i="47" s="1"/>
  <c r="K238" i="47"/>
  <c r="J238" i="47"/>
  <c r="I238" i="47"/>
  <c r="M238" i="47" s="1"/>
  <c r="J237" i="47"/>
  <c r="K237" i="47" s="1"/>
  <c r="I237" i="47"/>
  <c r="M237" i="47" s="1"/>
  <c r="J236" i="47"/>
  <c r="K236" i="47" s="1"/>
  <c r="I236" i="47"/>
  <c r="M236" i="47" s="1"/>
  <c r="J235" i="47"/>
  <c r="K235" i="47" s="1"/>
  <c r="I235" i="47"/>
  <c r="M235" i="47" s="1"/>
  <c r="J234" i="47"/>
  <c r="K234" i="47" s="1"/>
  <c r="I234" i="47"/>
  <c r="M234" i="47" s="1"/>
  <c r="J233" i="47"/>
  <c r="K233" i="47" s="1"/>
  <c r="I233" i="47"/>
  <c r="M233" i="47" s="1"/>
  <c r="J232" i="47"/>
  <c r="K232" i="47" s="1"/>
  <c r="I232" i="47"/>
  <c r="M232" i="47" s="1"/>
  <c r="K231" i="47"/>
  <c r="J231" i="47"/>
  <c r="I231" i="47"/>
  <c r="M231" i="47" s="1"/>
  <c r="J230" i="47"/>
  <c r="K230" i="47" s="1"/>
  <c r="I230" i="47"/>
  <c r="M230" i="47" s="1"/>
  <c r="J229" i="47"/>
  <c r="K229" i="47" s="1"/>
  <c r="I229" i="47"/>
  <c r="M229" i="47" s="1"/>
  <c r="J228" i="47"/>
  <c r="K228" i="47" s="1"/>
  <c r="I228" i="47"/>
  <c r="M228" i="47" s="1"/>
  <c r="J227" i="47"/>
  <c r="K227" i="47" s="1"/>
  <c r="I227" i="47"/>
  <c r="M227" i="47" s="1"/>
  <c r="J226" i="47"/>
  <c r="K226" i="47" s="1"/>
  <c r="I226" i="47"/>
  <c r="M226" i="47" s="1"/>
  <c r="J225" i="47"/>
  <c r="K225" i="47" s="1"/>
  <c r="I225" i="47"/>
  <c r="M225" i="47" s="1"/>
  <c r="J224" i="47"/>
  <c r="K224" i="47" s="1"/>
  <c r="I224" i="47"/>
  <c r="M224" i="47" s="1"/>
  <c r="J223" i="47"/>
  <c r="K223" i="47" s="1"/>
  <c r="I223" i="47"/>
  <c r="M223" i="47" s="1"/>
  <c r="M222" i="47"/>
  <c r="K222" i="47"/>
  <c r="J222" i="47"/>
  <c r="I222" i="47"/>
  <c r="J221" i="47"/>
  <c r="K221" i="47" s="1"/>
  <c r="I221" i="47"/>
  <c r="M221" i="47" s="1"/>
  <c r="J220" i="47"/>
  <c r="K220" i="47" s="1"/>
  <c r="I220" i="47"/>
  <c r="M220" i="47" s="1"/>
  <c r="J219" i="47"/>
  <c r="K219" i="47" s="1"/>
  <c r="I219" i="47"/>
  <c r="M219" i="47" s="1"/>
  <c r="J218" i="47"/>
  <c r="K218" i="47" s="1"/>
  <c r="I218" i="47"/>
  <c r="M218" i="47" s="1"/>
  <c r="J217" i="47"/>
  <c r="K217" i="47" s="1"/>
  <c r="I217" i="47"/>
  <c r="M217" i="47" s="1"/>
  <c r="K216" i="47"/>
  <c r="J216" i="47"/>
  <c r="I216" i="47"/>
  <c r="M216" i="47" s="1"/>
  <c r="K215" i="47"/>
  <c r="J215" i="47"/>
  <c r="I215" i="47"/>
  <c r="M215" i="47" s="1"/>
  <c r="M214" i="47"/>
  <c r="J214" i="47"/>
  <c r="K214" i="47" s="1"/>
  <c r="I214" i="47"/>
  <c r="J213" i="47"/>
  <c r="K213" i="47" s="1"/>
  <c r="I213" i="47"/>
  <c r="M213" i="47" s="1"/>
  <c r="J212" i="47"/>
  <c r="K212" i="47" s="1"/>
  <c r="I212" i="47"/>
  <c r="M212" i="47" s="1"/>
  <c r="J211" i="47"/>
  <c r="K211" i="47" s="1"/>
  <c r="I211" i="47"/>
  <c r="M211" i="47" s="1"/>
  <c r="J210" i="47"/>
  <c r="K210" i="47" s="1"/>
  <c r="I210" i="47"/>
  <c r="M210" i="47" s="1"/>
  <c r="J209" i="47"/>
  <c r="K209" i="47" s="1"/>
  <c r="I209" i="47"/>
  <c r="M209" i="47" s="1"/>
  <c r="J208" i="47"/>
  <c r="K208" i="47" s="1"/>
  <c r="I208" i="47"/>
  <c r="M208" i="47" s="1"/>
  <c r="K207" i="47"/>
  <c r="J207" i="47"/>
  <c r="I207" i="47"/>
  <c r="M207" i="47" s="1"/>
  <c r="J206" i="47"/>
  <c r="K206" i="47" s="1"/>
  <c r="I206" i="47"/>
  <c r="M206" i="47" s="1"/>
  <c r="J205" i="47"/>
  <c r="K205" i="47" s="1"/>
  <c r="I205" i="47"/>
  <c r="M205" i="47" s="1"/>
  <c r="J204" i="47"/>
  <c r="K204" i="47" s="1"/>
  <c r="I204" i="47"/>
  <c r="M204" i="47" s="1"/>
  <c r="J203" i="47"/>
  <c r="K203" i="47" s="1"/>
  <c r="I203" i="47"/>
  <c r="M203" i="47" s="1"/>
  <c r="J202" i="47"/>
  <c r="K202" i="47" s="1"/>
  <c r="I202" i="47"/>
  <c r="M202" i="47" s="1"/>
  <c r="J201" i="47"/>
  <c r="K201" i="47" s="1"/>
  <c r="I201" i="47"/>
  <c r="M201" i="47" s="1"/>
  <c r="K200" i="47"/>
  <c r="J200" i="47"/>
  <c r="I200" i="47"/>
  <c r="M200" i="47" s="1"/>
  <c r="K199" i="47"/>
  <c r="J199" i="47"/>
  <c r="I199" i="47"/>
  <c r="M199" i="47" s="1"/>
  <c r="M198" i="47"/>
  <c r="J198" i="47"/>
  <c r="K198" i="47" s="1"/>
  <c r="I198" i="47"/>
  <c r="J197" i="47"/>
  <c r="K197" i="47" s="1"/>
  <c r="I197" i="47"/>
  <c r="M197" i="47" s="1"/>
  <c r="J196" i="47"/>
  <c r="K196" i="47" s="1"/>
  <c r="I196" i="47"/>
  <c r="M196" i="47" s="1"/>
  <c r="J195" i="47"/>
  <c r="K195" i="47" s="1"/>
  <c r="I195" i="47"/>
  <c r="M195" i="47" s="1"/>
  <c r="J194" i="47"/>
  <c r="K194" i="47" s="1"/>
  <c r="I194" i="47"/>
  <c r="M194" i="47" s="1"/>
  <c r="J193" i="47"/>
  <c r="K193" i="47" s="1"/>
  <c r="I193" i="47"/>
  <c r="M193" i="47" s="1"/>
  <c r="K192" i="47"/>
  <c r="J192" i="47"/>
  <c r="I192" i="47"/>
  <c r="M192" i="47" s="1"/>
  <c r="K191" i="47"/>
  <c r="J191" i="47"/>
  <c r="I191" i="47"/>
  <c r="M191" i="47" s="1"/>
  <c r="M190" i="47"/>
  <c r="J190" i="47"/>
  <c r="K190" i="47" s="1"/>
  <c r="I190" i="47"/>
  <c r="J189" i="47"/>
  <c r="K189" i="47" s="1"/>
  <c r="I189" i="47"/>
  <c r="M189" i="47" s="1"/>
  <c r="J188" i="47"/>
  <c r="K188" i="47" s="1"/>
  <c r="I188" i="47"/>
  <c r="M188" i="47" s="1"/>
  <c r="J187" i="47"/>
  <c r="K187" i="47" s="1"/>
  <c r="I187" i="47"/>
  <c r="M187" i="47" s="1"/>
  <c r="J186" i="47"/>
  <c r="K186" i="47" s="1"/>
  <c r="I186" i="47"/>
  <c r="M186" i="47" s="1"/>
  <c r="J185" i="47"/>
  <c r="K185" i="47" s="1"/>
  <c r="I185" i="47"/>
  <c r="M185" i="47" s="1"/>
  <c r="K184" i="47"/>
  <c r="J184" i="47"/>
  <c r="I184" i="47"/>
  <c r="M184" i="47" s="1"/>
  <c r="K183" i="47"/>
  <c r="J183" i="47"/>
  <c r="I183" i="47"/>
  <c r="M183" i="47" s="1"/>
  <c r="J182" i="47"/>
  <c r="K182" i="47" s="1"/>
  <c r="I182" i="47"/>
  <c r="M182" i="47" s="1"/>
  <c r="J181" i="47"/>
  <c r="K181" i="47" s="1"/>
  <c r="I181" i="47"/>
  <c r="M181" i="47" s="1"/>
  <c r="J180" i="47"/>
  <c r="K180" i="47" s="1"/>
  <c r="I180" i="47"/>
  <c r="M180" i="47" s="1"/>
  <c r="J179" i="47"/>
  <c r="K179" i="47" s="1"/>
  <c r="I179" i="47"/>
  <c r="M179" i="47" s="1"/>
  <c r="J178" i="47"/>
  <c r="K178" i="47" s="1"/>
  <c r="I178" i="47"/>
  <c r="M178" i="47" s="1"/>
  <c r="K177" i="47"/>
  <c r="J177" i="47"/>
  <c r="I177" i="47"/>
  <c r="M177" i="47" s="1"/>
  <c r="J176" i="47"/>
  <c r="K176" i="47" s="1"/>
  <c r="I176" i="47"/>
  <c r="M176" i="47" s="1"/>
  <c r="K175" i="47"/>
  <c r="J175" i="47"/>
  <c r="I175" i="47"/>
  <c r="M175" i="47" s="1"/>
  <c r="M174" i="47"/>
  <c r="J174" i="47"/>
  <c r="K174" i="47" s="1"/>
  <c r="I174" i="47"/>
  <c r="J173" i="47"/>
  <c r="K173" i="47" s="1"/>
  <c r="I173" i="47"/>
  <c r="M173" i="47" s="1"/>
  <c r="J172" i="47"/>
  <c r="K172" i="47" s="1"/>
  <c r="I172" i="47"/>
  <c r="M172" i="47" s="1"/>
  <c r="J171" i="47"/>
  <c r="K171" i="47" s="1"/>
  <c r="I171" i="47"/>
  <c r="M171" i="47" s="1"/>
  <c r="J170" i="47"/>
  <c r="K170" i="47" s="1"/>
  <c r="I170" i="47"/>
  <c r="M170" i="47" s="1"/>
  <c r="J169" i="47"/>
  <c r="K169" i="47" s="1"/>
  <c r="I169" i="47"/>
  <c r="M169" i="47" s="1"/>
  <c r="M168" i="47"/>
  <c r="K168" i="47"/>
  <c r="J168" i="47"/>
  <c r="I168" i="47"/>
  <c r="J167" i="47"/>
  <c r="K167" i="47" s="1"/>
  <c r="I167" i="47"/>
  <c r="M167" i="47" s="1"/>
  <c r="M166" i="47"/>
  <c r="K166" i="47"/>
  <c r="J166" i="47"/>
  <c r="I166" i="47"/>
  <c r="J165" i="47"/>
  <c r="K165" i="47" s="1"/>
  <c r="I165" i="47"/>
  <c r="M165" i="47" s="1"/>
  <c r="J164" i="47"/>
  <c r="K164" i="47" s="1"/>
  <c r="I164" i="47"/>
  <c r="M164" i="47" s="1"/>
  <c r="J163" i="47"/>
  <c r="K163" i="47" s="1"/>
  <c r="I163" i="47"/>
  <c r="M163" i="47" s="1"/>
  <c r="J162" i="47"/>
  <c r="K162" i="47" s="1"/>
  <c r="I162" i="47"/>
  <c r="M162" i="47" s="1"/>
  <c r="K161" i="47"/>
  <c r="J161" i="47"/>
  <c r="I161" i="47"/>
  <c r="M161" i="47" s="1"/>
  <c r="K160" i="47"/>
  <c r="J160" i="47"/>
  <c r="I160" i="47"/>
  <c r="M160" i="47" s="1"/>
  <c r="K159" i="47"/>
  <c r="J159" i="47"/>
  <c r="I159" i="47"/>
  <c r="M159" i="47" s="1"/>
  <c r="J158" i="47"/>
  <c r="K158" i="47" s="1"/>
  <c r="I158" i="47"/>
  <c r="M158" i="47" s="1"/>
  <c r="J157" i="47"/>
  <c r="K157" i="47" s="1"/>
  <c r="I157" i="47"/>
  <c r="M157" i="47" s="1"/>
  <c r="J156" i="47"/>
  <c r="K156" i="47" s="1"/>
  <c r="I156" i="47"/>
  <c r="M156" i="47" s="1"/>
  <c r="J155" i="47"/>
  <c r="K155" i="47" s="1"/>
  <c r="I155" i="47"/>
  <c r="M155" i="47" s="1"/>
  <c r="J154" i="47"/>
  <c r="K154" i="47" s="1"/>
  <c r="I154" i="47"/>
  <c r="M154" i="47" s="1"/>
  <c r="K153" i="47"/>
  <c r="J153" i="47"/>
  <c r="I153" i="47"/>
  <c r="M153" i="47" s="1"/>
  <c r="J152" i="47"/>
  <c r="K152" i="47" s="1"/>
  <c r="I152" i="47"/>
  <c r="M152" i="47" s="1"/>
  <c r="J151" i="47"/>
  <c r="K151" i="47" s="1"/>
  <c r="I151" i="47"/>
  <c r="M151" i="47" s="1"/>
  <c r="J150" i="47"/>
  <c r="K150" i="47" s="1"/>
  <c r="I150" i="47"/>
  <c r="M150" i="47" s="1"/>
  <c r="J149" i="47"/>
  <c r="K149" i="47" s="1"/>
  <c r="I149" i="47"/>
  <c r="M149" i="47" s="1"/>
  <c r="J148" i="47"/>
  <c r="K148" i="47" s="1"/>
  <c r="I148" i="47"/>
  <c r="M148" i="47" s="1"/>
  <c r="J147" i="47"/>
  <c r="K147" i="47" s="1"/>
  <c r="I147" i="47"/>
  <c r="M147" i="47" s="1"/>
  <c r="J146" i="47"/>
  <c r="K146" i="47" s="1"/>
  <c r="I146" i="47"/>
  <c r="M146" i="47" s="1"/>
  <c r="K145" i="47"/>
  <c r="J145" i="47"/>
  <c r="I145" i="47"/>
  <c r="M145" i="47" s="1"/>
  <c r="K144" i="47"/>
  <c r="J144" i="47"/>
  <c r="I144" i="47"/>
  <c r="M144" i="47" s="1"/>
  <c r="J143" i="47"/>
  <c r="K143" i="47" s="1"/>
  <c r="I143" i="47"/>
  <c r="M143" i="47" s="1"/>
  <c r="M142" i="47"/>
  <c r="K142" i="47"/>
  <c r="J142" i="47"/>
  <c r="I142" i="47"/>
  <c r="J141" i="47"/>
  <c r="K141" i="47" s="1"/>
  <c r="I141" i="47"/>
  <c r="M141" i="47" s="1"/>
  <c r="J140" i="47"/>
  <c r="K140" i="47" s="1"/>
  <c r="I140" i="47"/>
  <c r="M140" i="47" s="1"/>
  <c r="A140" i="47" s="1"/>
  <c r="B140" i="47"/>
  <c r="M139" i="47"/>
  <c r="A139" i="47" s="1"/>
  <c r="K139" i="47"/>
  <c r="J139" i="47"/>
  <c r="I139" i="47"/>
  <c r="B139" i="47"/>
  <c r="J138" i="47"/>
  <c r="K138" i="47" s="1"/>
  <c r="I138" i="47"/>
  <c r="M138" i="47" s="1"/>
  <c r="A138" i="47" s="1"/>
  <c r="B138" i="47"/>
  <c r="M137" i="47"/>
  <c r="A137" i="47" s="1"/>
  <c r="K137" i="47"/>
  <c r="J137" i="47"/>
  <c r="I137" i="47"/>
  <c r="B137" i="47"/>
  <c r="J136" i="47"/>
  <c r="K136" i="47" s="1"/>
  <c r="I136" i="47"/>
  <c r="M136" i="47" s="1"/>
  <c r="A136" i="47" s="1"/>
  <c r="B136" i="47"/>
  <c r="M135" i="47"/>
  <c r="A135" i="47" s="1"/>
  <c r="J135" i="47"/>
  <c r="K135" i="47" s="1"/>
  <c r="I135" i="47"/>
  <c r="B135" i="47"/>
  <c r="K134" i="47"/>
  <c r="J134" i="47"/>
  <c r="I134" i="47"/>
  <c r="M134" i="47" s="1"/>
  <c r="A134" i="47" s="1"/>
  <c r="B134" i="47"/>
  <c r="J133" i="47"/>
  <c r="K133" i="47" s="1"/>
  <c r="I133" i="47"/>
  <c r="M133" i="47" s="1"/>
  <c r="A133" i="47" s="1"/>
  <c r="B133" i="47"/>
  <c r="K132" i="47"/>
  <c r="J132" i="47"/>
  <c r="I132" i="47"/>
  <c r="M132" i="47" s="1"/>
  <c r="A132" i="47" s="1"/>
  <c r="B132" i="47"/>
  <c r="J131" i="47"/>
  <c r="K131" i="47" s="1"/>
  <c r="I131" i="47"/>
  <c r="M131" i="47" s="1"/>
  <c r="A131" i="47" s="1"/>
  <c r="B131" i="47"/>
  <c r="J130" i="47"/>
  <c r="K130" i="47" s="1"/>
  <c r="I130" i="47"/>
  <c r="M130" i="47" s="1"/>
  <c r="A130" i="47" s="1"/>
  <c r="B130" i="47"/>
  <c r="J129" i="47"/>
  <c r="K129" i="47" s="1"/>
  <c r="I129" i="47"/>
  <c r="M129" i="47" s="1"/>
  <c r="A129" i="47" s="1"/>
  <c r="B129" i="47"/>
  <c r="J128" i="47"/>
  <c r="K128" i="47" s="1"/>
  <c r="I128" i="47"/>
  <c r="M128" i="47" s="1"/>
  <c r="A128" i="47" s="1"/>
  <c r="B128" i="47"/>
  <c r="J127" i="47"/>
  <c r="K127" i="47" s="1"/>
  <c r="I127" i="47"/>
  <c r="M127" i="47" s="1"/>
  <c r="A127" i="47" s="1"/>
  <c r="B127" i="47"/>
  <c r="J126" i="47"/>
  <c r="K126" i="47" s="1"/>
  <c r="I126" i="47"/>
  <c r="M126" i="47" s="1"/>
  <c r="A126" i="47" s="1"/>
  <c r="B126" i="47"/>
  <c r="J125" i="47"/>
  <c r="K125" i="47" s="1"/>
  <c r="I125" i="47"/>
  <c r="M125" i="47" s="1"/>
  <c r="A125" i="47" s="1"/>
  <c r="B125" i="47"/>
  <c r="J124" i="47"/>
  <c r="K124" i="47" s="1"/>
  <c r="I124" i="47"/>
  <c r="M124" i="47" s="1"/>
  <c r="A124" i="47" s="1"/>
  <c r="B124" i="47"/>
  <c r="J123" i="47"/>
  <c r="K123" i="47" s="1"/>
  <c r="I123" i="47"/>
  <c r="M123" i="47" s="1"/>
  <c r="A123" i="47" s="1"/>
  <c r="B123" i="47"/>
  <c r="K122" i="47"/>
  <c r="J122" i="47"/>
  <c r="I122" i="47"/>
  <c r="M122" i="47" s="1"/>
  <c r="A122" i="47" s="1"/>
  <c r="B122" i="47"/>
  <c r="J121" i="47"/>
  <c r="K121" i="47" s="1"/>
  <c r="I121" i="47"/>
  <c r="M121" i="47" s="1"/>
  <c r="A121" i="47" s="1"/>
  <c r="B121" i="47"/>
  <c r="J120" i="47"/>
  <c r="K120" i="47" s="1"/>
  <c r="I120" i="47"/>
  <c r="M120" i="47" s="1"/>
  <c r="A120" i="47" s="1"/>
  <c r="B120" i="47"/>
  <c r="J119" i="47"/>
  <c r="K119" i="47" s="1"/>
  <c r="I119" i="47"/>
  <c r="M119" i="47" s="1"/>
  <c r="A119" i="47" s="1"/>
  <c r="B119" i="47"/>
  <c r="J118" i="47"/>
  <c r="K118" i="47" s="1"/>
  <c r="I118" i="47"/>
  <c r="M118" i="47" s="1"/>
  <c r="A118" i="47" s="1"/>
  <c r="B118" i="47"/>
  <c r="J117" i="47"/>
  <c r="K117" i="47" s="1"/>
  <c r="I117" i="47"/>
  <c r="M117" i="47" s="1"/>
  <c r="A117" i="47" s="1"/>
  <c r="B117" i="47"/>
  <c r="M116" i="47"/>
  <c r="A116" i="47" s="1"/>
  <c r="J116" i="47"/>
  <c r="K116" i="47" s="1"/>
  <c r="I116" i="47"/>
  <c r="B116" i="47"/>
  <c r="J115" i="47"/>
  <c r="K115" i="47" s="1"/>
  <c r="I115" i="47"/>
  <c r="M115" i="47" s="1"/>
  <c r="A115" i="47" s="1"/>
  <c r="B115" i="47"/>
  <c r="K114" i="47"/>
  <c r="J114" i="47"/>
  <c r="I114" i="47"/>
  <c r="M114" i="47" s="1"/>
  <c r="A114" i="47" s="1"/>
  <c r="B114" i="47"/>
  <c r="J113" i="47"/>
  <c r="K113" i="47" s="1"/>
  <c r="I113" i="47"/>
  <c r="M113" i="47" s="1"/>
  <c r="A113" i="47" s="1"/>
  <c r="B113" i="47"/>
  <c r="M112" i="47"/>
  <c r="A112" i="47" s="1"/>
  <c r="K112" i="47"/>
  <c r="J112" i="47"/>
  <c r="I112" i="47"/>
  <c r="B112" i="47"/>
  <c r="J111" i="47"/>
  <c r="K111" i="47" s="1"/>
  <c r="I111" i="47"/>
  <c r="M111" i="47" s="1"/>
  <c r="A111" i="47" s="1"/>
  <c r="B111" i="47"/>
  <c r="K110" i="47"/>
  <c r="J110" i="47"/>
  <c r="I110" i="47"/>
  <c r="M110" i="47" s="1"/>
  <c r="A110" i="47" s="1"/>
  <c r="B110" i="47"/>
  <c r="J109" i="47"/>
  <c r="K109" i="47" s="1"/>
  <c r="I109" i="47"/>
  <c r="M109" i="47" s="1"/>
  <c r="B109" i="47"/>
  <c r="A109" i="47"/>
  <c r="M108" i="47"/>
  <c r="A108" i="47" s="1"/>
  <c r="K108" i="47"/>
  <c r="J108" i="47"/>
  <c r="I108" i="47"/>
  <c r="B108" i="47"/>
  <c r="J107" i="47"/>
  <c r="K107" i="47" s="1"/>
  <c r="I107" i="47"/>
  <c r="M107" i="47" s="1"/>
  <c r="A107" i="47" s="1"/>
  <c r="B107" i="47"/>
  <c r="K106" i="47"/>
  <c r="J106" i="47"/>
  <c r="I106" i="47"/>
  <c r="M106" i="47" s="1"/>
  <c r="A106" i="47" s="1"/>
  <c r="B106" i="47"/>
  <c r="J105" i="47"/>
  <c r="K105" i="47" s="1"/>
  <c r="I105" i="47"/>
  <c r="M105" i="47" s="1"/>
  <c r="A105" i="47" s="1"/>
  <c r="B105" i="47"/>
  <c r="M104" i="47"/>
  <c r="A104" i="47" s="1"/>
  <c r="K104" i="47"/>
  <c r="J104" i="47"/>
  <c r="I104" i="47"/>
  <c r="B104" i="47"/>
  <c r="J103" i="47"/>
  <c r="K103" i="47" s="1"/>
  <c r="I103" i="47"/>
  <c r="M103" i="47" s="1"/>
  <c r="A103" i="47" s="1"/>
  <c r="B103" i="47"/>
  <c r="K102" i="47"/>
  <c r="J102" i="47"/>
  <c r="I102" i="47"/>
  <c r="M102" i="47" s="1"/>
  <c r="A102" i="47" s="1"/>
  <c r="B102" i="47"/>
  <c r="J101" i="47"/>
  <c r="K101" i="47" s="1"/>
  <c r="I101" i="47"/>
  <c r="M101" i="47" s="1"/>
  <c r="A101" i="47" s="1"/>
  <c r="B101" i="47"/>
  <c r="M100" i="47"/>
  <c r="A100" i="47" s="1"/>
  <c r="K100" i="47"/>
  <c r="J100" i="47"/>
  <c r="I100" i="47"/>
  <c r="B100" i="47"/>
  <c r="J99" i="47"/>
  <c r="K99" i="47" s="1"/>
  <c r="I99" i="47"/>
  <c r="M99" i="47" s="1"/>
  <c r="A99" i="47" s="1"/>
  <c r="B99" i="47"/>
  <c r="K98" i="47"/>
  <c r="J98" i="47"/>
  <c r="I98" i="47"/>
  <c r="M98" i="47" s="1"/>
  <c r="A98" i="47" s="1"/>
  <c r="B98" i="47"/>
  <c r="J97" i="47"/>
  <c r="K97" i="47" s="1"/>
  <c r="I97" i="47"/>
  <c r="M97" i="47" s="1"/>
  <c r="A97" i="47" s="1"/>
  <c r="B97" i="47"/>
  <c r="M96" i="47"/>
  <c r="A96" i="47" s="1"/>
  <c r="K96" i="47"/>
  <c r="J96" i="47"/>
  <c r="I96" i="47"/>
  <c r="B96" i="47"/>
  <c r="J95" i="47"/>
  <c r="K95" i="47" s="1"/>
  <c r="I95" i="47"/>
  <c r="M95" i="47" s="1"/>
  <c r="A95" i="47" s="1"/>
  <c r="B95" i="47"/>
  <c r="K94" i="47"/>
  <c r="J94" i="47"/>
  <c r="I94" i="47"/>
  <c r="M94" i="47" s="1"/>
  <c r="A94" i="47" s="1"/>
  <c r="B94" i="47"/>
  <c r="J93" i="47"/>
  <c r="K93" i="47" s="1"/>
  <c r="I93" i="47"/>
  <c r="M93" i="47" s="1"/>
  <c r="A93" i="47" s="1"/>
  <c r="B93" i="47"/>
  <c r="K92" i="47"/>
  <c r="J92" i="47"/>
  <c r="I92" i="47"/>
  <c r="M92" i="47" s="1"/>
  <c r="A92" i="47" s="1"/>
  <c r="B92" i="47"/>
  <c r="J91" i="47"/>
  <c r="K91" i="47" s="1"/>
  <c r="I91" i="47"/>
  <c r="M91" i="47" s="1"/>
  <c r="A91" i="47" s="1"/>
  <c r="B91" i="47"/>
  <c r="K90" i="47"/>
  <c r="J90" i="47"/>
  <c r="I90" i="47"/>
  <c r="M90" i="47" s="1"/>
  <c r="A90" i="47" s="1"/>
  <c r="B90" i="47"/>
  <c r="J89" i="47"/>
  <c r="K89" i="47" s="1"/>
  <c r="I89" i="47"/>
  <c r="M89" i="47" s="1"/>
  <c r="A89" i="47" s="1"/>
  <c r="B89" i="47"/>
  <c r="M88" i="47"/>
  <c r="A88" i="47" s="1"/>
  <c r="K88" i="47"/>
  <c r="J88" i="47"/>
  <c r="I88" i="47"/>
  <c r="B88" i="47"/>
  <c r="J87" i="47"/>
  <c r="K87" i="47" s="1"/>
  <c r="I87" i="47"/>
  <c r="M87" i="47" s="1"/>
  <c r="A87" i="47" s="1"/>
  <c r="B87" i="47"/>
  <c r="K86" i="47"/>
  <c r="J86" i="47"/>
  <c r="I86" i="47"/>
  <c r="M86" i="47" s="1"/>
  <c r="A86" i="47" s="1"/>
  <c r="B86" i="47"/>
  <c r="J85" i="47"/>
  <c r="K85" i="47" s="1"/>
  <c r="I85" i="47"/>
  <c r="M85" i="47" s="1"/>
  <c r="B85" i="47"/>
  <c r="A85" i="47"/>
  <c r="M84" i="47"/>
  <c r="A84" i="47" s="1"/>
  <c r="K84" i="47"/>
  <c r="J84" i="47"/>
  <c r="I84" i="47"/>
  <c r="B84" i="47"/>
  <c r="J83" i="47"/>
  <c r="K83" i="47" s="1"/>
  <c r="I83" i="47"/>
  <c r="M83" i="47" s="1"/>
  <c r="A83" i="47" s="1"/>
  <c r="B83" i="47"/>
  <c r="J82" i="47"/>
  <c r="K82" i="47" s="1"/>
  <c r="I82" i="47"/>
  <c r="M82" i="47" s="1"/>
  <c r="A82" i="47" s="1"/>
  <c r="B82" i="47"/>
  <c r="J81" i="47"/>
  <c r="K81" i="47" s="1"/>
  <c r="I81" i="47"/>
  <c r="M81" i="47" s="1"/>
  <c r="A81" i="47" s="1"/>
  <c r="B81" i="47"/>
  <c r="M80" i="47"/>
  <c r="A80" i="47" s="1"/>
  <c r="K80" i="47"/>
  <c r="J80" i="47"/>
  <c r="I80" i="47"/>
  <c r="B80" i="47"/>
  <c r="J79" i="47"/>
  <c r="K79" i="47" s="1"/>
  <c r="I79" i="47"/>
  <c r="M79" i="47" s="1"/>
  <c r="A79" i="47" s="1"/>
  <c r="B79" i="47"/>
  <c r="J78" i="47"/>
  <c r="K78" i="47" s="1"/>
  <c r="I78" i="47"/>
  <c r="M78" i="47" s="1"/>
  <c r="A78" i="47" s="1"/>
  <c r="B78" i="47"/>
  <c r="J77" i="47"/>
  <c r="K77" i="47" s="1"/>
  <c r="I77" i="47"/>
  <c r="M77" i="47" s="1"/>
  <c r="B77" i="47"/>
  <c r="A77" i="47"/>
  <c r="K76" i="47"/>
  <c r="J76" i="47"/>
  <c r="I76" i="47"/>
  <c r="M76" i="47" s="1"/>
  <c r="A76" i="47" s="1"/>
  <c r="B76" i="47"/>
  <c r="J75" i="47"/>
  <c r="K75" i="47" s="1"/>
  <c r="I75" i="47"/>
  <c r="M75" i="47" s="1"/>
  <c r="A75" i="47" s="1"/>
  <c r="B75" i="47"/>
  <c r="J74" i="47"/>
  <c r="K74" i="47" s="1"/>
  <c r="I74" i="47"/>
  <c r="M74" i="47" s="1"/>
  <c r="A74" i="47" s="1"/>
  <c r="B74" i="47"/>
  <c r="J73" i="47"/>
  <c r="K73" i="47" s="1"/>
  <c r="I73" i="47"/>
  <c r="M73" i="47" s="1"/>
  <c r="B73" i="47"/>
  <c r="A73" i="47"/>
  <c r="M72" i="47"/>
  <c r="A72" i="47" s="1"/>
  <c r="J72" i="47"/>
  <c r="K72" i="47" s="1"/>
  <c r="I72" i="47"/>
  <c r="B72" i="47"/>
  <c r="J71" i="47"/>
  <c r="K71" i="47" s="1"/>
  <c r="I71" i="47"/>
  <c r="M71" i="47" s="1"/>
  <c r="A71" i="47" s="1"/>
  <c r="B71" i="47"/>
  <c r="J70" i="47"/>
  <c r="K70" i="47" s="1"/>
  <c r="I70" i="47"/>
  <c r="M70" i="47" s="1"/>
  <c r="A70" i="47" s="1"/>
  <c r="B70" i="47"/>
  <c r="J69" i="47"/>
  <c r="K69" i="47" s="1"/>
  <c r="I69" i="47"/>
  <c r="M69" i="47" s="1"/>
  <c r="A69" i="47" s="1"/>
  <c r="B69" i="47"/>
  <c r="M68" i="47"/>
  <c r="A68" i="47" s="1"/>
  <c r="J68" i="47"/>
  <c r="K68" i="47" s="1"/>
  <c r="I68" i="47"/>
  <c r="B68" i="47"/>
  <c r="J67" i="47"/>
  <c r="K67" i="47" s="1"/>
  <c r="I67" i="47"/>
  <c r="M67" i="47" s="1"/>
  <c r="A67" i="47" s="1"/>
  <c r="B67" i="47"/>
  <c r="J66" i="47"/>
  <c r="K66" i="47" s="1"/>
  <c r="I66" i="47"/>
  <c r="M66" i="47" s="1"/>
  <c r="A66" i="47" s="1"/>
  <c r="B66" i="47"/>
  <c r="J65" i="47"/>
  <c r="K65" i="47" s="1"/>
  <c r="I65" i="47"/>
  <c r="M65" i="47" s="1"/>
  <c r="A65" i="47" s="1"/>
  <c r="B65" i="47"/>
  <c r="M64" i="47"/>
  <c r="A64" i="47" s="1"/>
  <c r="K64" i="47"/>
  <c r="J64" i="47"/>
  <c r="I64" i="47"/>
  <c r="B64" i="47"/>
  <c r="M63" i="47"/>
  <c r="A63" i="47" s="1"/>
  <c r="J63" i="47"/>
  <c r="K63" i="47" s="1"/>
  <c r="I63" i="47"/>
  <c r="B63" i="47"/>
  <c r="J62" i="47"/>
  <c r="K62" i="47" s="1"/>
  <c r="I62" i="47"/>
  <c r="M62" i="47" s="1"/>
  <c r="A62" i="47" s="1"/>
  <c r="B62" i="47"/>
  <c r="J61" i="47"/>
  <c r="K61" i="47" s="1"/>
  <c r="I61" i="47"/>
  <c r="M61" i="47" s="1"/>
  <c r="A61" i="47" s="1"/>
  <c r="B61" i="47"/>
  <c r="M60" i="47"/>
  <c r="A60" i="47" s="1"/>
  <c r="K60" i="47"/>
  <c r="J60" i="47"/>
  <c r="I60" i="47"/>
  <c r="B60" i="47"/>
  <c r="K59" i="47"/>
  <c r="J59" i="47"/>
  <c r="I59" i="47"/>
  <c r="M59" i="47" s="1"/>
  <c r="A59" i="47" s="1"/>
  <c r="B59" i="47"/>
  <c r="J58" i="47"/>
  <c r="K58" i="47" s="1"/>
  <c r="I58" i="47"/>
  <c r="M58" i="47" s="1"/>
  <c r="A58" i="47" s="1"/>
  <c r="B58" i="47"/>
  <c r="J57" i="47"/>
  <c r="K57" i="47" s="1"/>
  <c r="I57" i="47"/>
  <c r="M57" i="47" s="1"/>
  <c r="B57" i="47"/>
  <c r="A57" i="47"/>
  <c r="J56" i="47"/>
  <c r="K56" i="47" s="1"/>
  <c r="I56" i="47"/>
  <c r="M56" i="47" s="1"/>
  <c r="A56" i="47" s="1"/>
  <c r="B56" i="47"/>
  <c r="J55" i="47"/>
  <c r="K55" i="47" s="1"/>
  <c r="I55" i="47"/>
  <c r="M55" i="47" s="1"/>
  <c r="A55" i="47" s="1"/>
  <c r="B55" i="47"/>
  <c r="J54" i="47"/>
  <c r="K54" i="47" s="1"/>
  <c r="I54" i="47"/>
  <c r="M54" i="47" s="1"/>
  <c r="A54" i="47" s="1"/>
  <c r="B54" i="47"/>
  <c r="J53" i="47"/>
  <c r="K53" i="47" s="1"/>
  <c r="I53" i="47"/>
  <c r="M53" i="47" s="1"/>
  <c r="A53" i="47" s="1"/>
  <c r="B53" i="47"/>
  <c r="J52" i="47"/>
  <c r="K52" i="47" s="1"/>
  <c r="I52" i="47"/>
  <c r="M52" i="47" s="1"/>
  <c r="A52" i="47" s="1"/>
  <c r="B52" i="47"/>
  <c r="K51" i="47"/>
  <c r="J51" i="47"/>
  <c r="I51" i="47"/>
  <c r="M51" i="47" s="1"/>
  <c r="A51" i="47" s="1"/>
  <c r="B51" i="47"/>
  <c r="J50" i="47"/>
  <c r="K50" i="47" s="1"/>
  <c r="I50" i="47"/>
  <c r="M50" i="47" s="1"/>
  <c r="A50" i="47" s="1"/>
  <c r="B50" i="47"/>
  <c r="J49" i="47"/>
  <c r="K49" i="47" s="1"/>
  <c r="I49" i="47"/>
  <c r="M49" i="47" s="1"/>
  <c r="A49" i="47" s="1"/>
  <c r="B49" i="47"/>
  <c r="M48" i="47"/>
  <c r="A48" i="47" s="1"/>
  <c r="J48" i="47"/>
  <c r="K48" i="47" s="1"/>
  <c r="I48" i="47"/>
  <c r="B48" i="47"/>
  <c r="M47" i="47"/>
  <c r="J47" i="47"/>
  <c r="K47" i="47" s="1"/>
  <c r="I47" i="47"/>
  <c r="B47" i="47"/>
  <c r="A47" i="47"/>
  <c r="J46" i="47"/>
  <c r="K46" i="47" s="1"/>
  <c r="I46" i="47"/>
  <c r="M46" i="47" s="1"/>
  <c r="A46" i="47" s="1"/>
  <c r="B46" i="47"/>
  <c r="J45" i="47"/>
  <c r="K45" i="47" s="1"/>
  <c r="I45" i="47"/>
  <c r="M45" i="47" s="1"/>
  <c r="A45" i="47" s="1"/>
  <c r="B45" i="47"/>
  <c r="M44" i="47"/>
  <c r="A44" i="47" s="1"/>
  <c r="J44" i="47"/>
  <c r="K44" i="47" s="1"/>
  <c r="I44" i="47"/>
  <c r="B44" i="47"/>
  <c r="K43" i="47"/>
  <c r="J43" i="47"/>
  <c r="I43" i="47"/>
  <c r="M43" i="47" s="1"/>
  <c r="A43" i="47" s="1"/>
  <c r="B43" i="47"/>
  <c r="J42" i="47"/>
  <c r="K42" i="47" s="1"/>
  <c r="I42" i="47"/>
  <c r="M42" i="47" s="1"/>
  <c r="A42" i="47" s="1"/>
  <c r="B42" i="47"/>
  <c r="J41" i="47"/>
  <c r="K41" i="47" s="1"/>
  <c r="I41" i="47"/>
  <c r="M41" i="47" s="1"/>
  <c r="B41" i="47"/>
  <c r="A41" i="47"/>
  <c r="M40" i="47"/>
  <c r="A40" i="47" s="1"/>
  <c r="J40" i="47"/>
  <c r="K40" i="47" s="1"/>
  <c r="I40" i="47"/>
  <c r="B40" i="47"/>
  <c r="J39" i="47"/>
  <c r="K39" i="47" s="1"/>
  <c r="I39" i="47"/>
  <c r="M39" i="47" s="1"/>
  <c r="A39" i="47" s="1"/>
  <c r="B39" i="47"/>
  <c r="J38" i="47"/>
  <c r="K38" i="47" s="1"/>
  <c r="I38" i="47"/>
  <c r="M38" i="47" s="1"/>
  <c r="A38" i="47" s="1"/>
  <c r="B38" i="47"/>
  <c r="J37" i="47"/>
  <c r="K37" i="47" s="1"/>
  <c r="I37" i="47"/>
  <c r="M37" i="47" s="1"/>
  <c r="A37" i="47" s="1"/>
  <c r="B37" i="47"/>
  <c r="M36" i="47"/>
  <c r="A36" i="47" s="1"/>
  <c r="J36" i="47"/>
  <c r="K36" i="47" s="1"/>
  <c r="I36" i="47"/>
  <c r="B36" i="47"/>
  <c r="J35" i="47"/>
  <c r="K35" i="47" s="1"/>
  <c r="I35" i="47"/>
  <c r="M35" i="47" s="1"/>
  <c r="A35" i="47" s="1"/>
  <c r="B35" i="47"/>
  <c r="J34" i="47"/>
  <c r="K34" i="47" s="1"/>
  <c r="I34" i="47"/>
  <c r="M34" i="47" s="1"/>
  <c r="A34" i="47" s="1"/>
  <c r="B34" i="47"/>
  <c r="J33" i="47"/>
  <c r="K33" i="47" s="1"/>
  <c r="I33" i="47"/>
  <c r="M33" i="47" s="1"/>
  <c r="B33" i="47"/>
  <c r="A33" i="47"/>
  <c r="J32" i="47"/>
  <c r="K32" i="47" s="1"/>
  <c r="M32" i="47" s="1"/>
  <c r="A32" i="47" s="1"/>
  <c r="I32" i="47"/>
  <c r="B32" i="47"/>
  <c r="J31" i="47"/>
  <c r="K31" i="47" s="1"/>
  <c r="I31" i="47"/>
  <c r="M31" i="47" s="1"/>
  <c r="A31" i="47" s="1"/>
  <c r="B31" i="47"/>
  <c r="J30" i="47"/>
  <c r="K30" i="47" s="1"/>
  <c r="I30" i="47"/>
  <c r="M30" i="47" s="1"/>
  <c r="A30" i="47" s="1"/>
  <c r="B30" i="47"/>
  <c r="J29" i="47"/>
  <c r="K29" i="47" s="1"/>
  <c r="I29" i="47"/>
  <c r="B29" i="47"/>
  <c r="J28" i="47"/>
  <c r="K28" i="47" s="1"/>
  <c r="I28" i="47"/>
  <c r="M28" i="47" s="1"/>
  <c r="A28" i="47" s="1"/>
  <c r="B28" i="47"/>
  <c r="J27" i="47"/>
  <c r="K27" i="47" s="1"/>
  <c r="I27" i="47"/>
  <c r="M27" i="47" s="1"/>
  <c r="A27" i="47" s="1"/>
  <c r="B27" i="47"/>
  <c r="J26" i="47"/>
  <c r="K26" i="47" s="1"/>
  <c r="I26" i="47"/>
  <c r="B26" i="47"/>
  <c r="J25" i="47"/>
  <c r="K25" i="47" s="1"/>
  <c r="I25" i="47"/>
  <c r="B25" i="47"/>
  <c r="J24" i="47"/>
  <c r="K24" i="47" s="1"/>
  <c r="M24" i="47" s="1"/>
  <c r="A24" i="47" s="1"/>
  <c r="I24" i="47"/>
  <c r="B24" i="47"/>
  <c r="M23" i="47"/>
  <c r="A23" i="47" s="1"/>
  <c r="J23" i="47"/>
  <c r="K23" i="47" s="1"/>
  <c r="I23" i="47"/>
  <c r="B23" i="47"/>
  <c r="J22" i="47"/>
  <c r="K22" i="47" s="1"/>
  <c r="I22" i="47"/>
  <c r="M22" i="47" s="1"/>
  <c r="A22" i="47" s="1"/>
  <c r="B22" i="47"/>
  <c r="M21" i="47"/>
  <c r="A21" i="47" s="1"/>
  <c r="J21" i="47"/>
  <c r="K21" i="47" s="1"/>
  <c r="I21" i="47"/>
  <c r="B21" i="47"/>
  <c r="J20" i="47"/>
  <c r="K20" i="47" s="1"/>
  <c r="M20" i="47" s="1"/>
  <c r="A20" i="47" s="1"/>
  <c r="I20" i="47"/>
  <c r="B20" i="47"/>
  <c r="M19" i="47"/>
  <c r="A19" i="47" s="1"/>
  <c r="J19" i="47"/>
  <c r="K19" i="47" s="1"/>
  <c r="I19" i="47"/>
  <c r="B19" i="47"/>
  <c r="J18" i="47"/>
  <c r="K18" i="47" s="1"/>
  <c r="I18" i="47"/>
  <c r="M18" i="47" s="1"/>
  <c r="A18" i="47" s="1"/>
  <c r="B18" i="47"/>
  <c r="M17" i="47"/>
  <c r="A17" i="47" s="1"/>
  <c r="J17" i="47"/>
  <c r="K17" i="47" s="1"/>
  <c r="I17" i="47"/>
  <c r="B17" i="47"/>
  <c r="AI16" i="47"/>
  <c r="J16" i="47"/>
  <c r="K16" i="47" s="1"/>
  <c r="I16" i="47"/>
  <c r="B16" i="47"/>
  <c r="M15" i="47"/>
  <c r="A15" i="47" s="1"/>
  <c r="K15" i="47"/>
  <c r="J15" i="47"/>
  <c r="I15" i="47"/>
  <c r="B15" i="47"/>
  <c r="AI14" i="47"/>
  <c r="J14" i="47"/>
  <c r="K14" i="47" s="1"/>
  <c r="I14" i="47"/>
  <c r="M14" i="47" s="1"/>
  <c r="A14" i="47" s="1"/>
  <c r="B14" i="47"/>
  <c r="AI13" i="47"/>
  <c r="J13" i="47"/>
  <c r="K13" i="47" s="1"/>
  <c r="I13" i="47"/>
  <c r="B13" i="47"/>
  <c r="AI12" i="47"/>
  <c r="J12" i="47"/>
  <c r="K12" i="47" s="1"/>
  <c r="I12" i="47"/>
  <c r="B12" i="47"/>
  <c r="J11" i="47"/>
  <c r="K11" i="47" s="1"/>
  <c r="I11" i="47"/>
  <c r="M11" i="47" s="1"/>
  <c r="A11" i="47" s="1"/>
  <c r="B11" i="47"/>
  <c r="M10" i="47"/>
  <c r="A10" i="47" s="1"/>
  <c r="J10" i="47"/>
  <c r="K10" i="47" s="1"/>
  <c r="I10" i="47"/>
  <c r="B10" i="47"/>
  <c r="K9" i="47"/>
  <c r="J9" i="47"/>
  <c r="I9" i="47"/>
  <c r="B9" i="47"/>
  <c r="J8" i="47"/>
  <c r="K8" i="47" s="1"/>
  <c r="I8" i="47"/>
  <c r="B8" i="47"/>
  <c r="J7" i="47"/>
  <c r="K7" i="47" s="1"/>
  <c r="I7" i="47"/>
  <c r="M7" i="47" s="1"/>
  <c r="A7" i="47" s="1"/>
  <c r="B7" i="47"/>
  <c r="AV8" i="31" s="1"/>
  <c r="AW8" i="31" s="1"/>
  <c r="J6" i="47"/>
  <c r="K6" i="47" s="1"/>
  <c r="I6" i="47"/>
  <c r="B6" i="47"/>
  <c r="AV33" i="31" s="1"/>
  <c r="K2" i="47"/>
  <c r="L7" i="47" s="1"/>
  <c r="J305" i="46"/>
  <c r="K305" i="46" s="1"/>
  <c r="I305" i="46"/>
  <c r="M305" i="46" s="1"/>
  <c r="J304" i="46"/>
  <c r="K304" i="46" s="1"/>
  <c r="I304" i="46"/>
  <c r="M304" i="46" s="1"/>
  <c r="K303" i="46"/>
  <c r="J303" i="46"/>
  <c r="I303" i="46"/>
  <c r="M303" i="46" s="1"/>
  <c r="J302" i="46"/>
  <c r="K302" i="46" s="1"/>
  <c r="I302" i="46"/>
  <c r="M302" i="46" s="1"/>
  <c r="J301" i="46"/>
  <c r="K301" i="46" s="1"/>
  <c r="I301" i="46"/>
  <c r="M301" i="46" s="1"/>
  <c r="J300" i="46"/>
  <c r="K300" i="46" s="1"/>
  <c r="I300" i="46"/>
  <c r="M300" i="46" s="1"/>
  <c r="J299" i="46"/>
  <c r="K299" i="46" s="1"/>
  <c r="I299" i="46"/>
  <c r="M299" i="46" s="1"/>
  <c r="J298" i="46"/>
  <c r="K298" i="46" s="1"/>
  <c r="I298" i="46"/>
  <c r="M298" i="46" s="1"/>
  <c r="J297" i="46"/>
  <c r="K297" i="46" s="1"/>
  <c r="I297" i="46"/>
  <c r="M297" i="46" s="1"/>
  <c r="M296" i="46"/>
  <c r="J296" i="46"/>
  <c r="K296" i="46" s="1"/>
  <c r="I296" i="46"/>
  <c r="J295" i="46"/>
  <c r="K295" i="46" s="1"/>
  <c r="I295" i="46"/>
  <c r="M295" i="46" s="1"/>
  <c r="J294" i="46"/>
  <c r="K294" i="46" s="1"/>
  <c r="I294" i="46"/>
  <c r="M294" i="46" s="1"/>
  <c r="J293" i="46"/>
  <c r="K293" i="46" s="1"/>
  <c r="I293" i="46"/>
  <c r="M293" i="46" s="1"/>
  <c r="J292" i="46"/>
  <c r="K292" i="46" s="1"/>
  <c r="I292" i="46"/>
  <c r="M292" i="46" s="1"/>
  <c r="J291" i="46"/>
  <c r="K291" i="46" s="1"/>
  <c r="I291" i="46"/>
  <c r="M291" i="46" s="1"/>
  <c r="J290" i="46"/>
  <c r="K290" i="46" s="1"/>
  <c r="I290" i="46"/>
  <c r="M290" i="46" s="1"/>
  <c r="J289" i="46"/>
  <c r="K289" i="46" s="1"/>
  <c r="I289" i="46"/>
  <c r="M289" i="46" s="1"/>
  <c r="J288" i="46"/>
  <c r="K288" i="46" s="1"/>
  <c r="I288" i="46"/>
  <c r="M288" i="46" s="1"/>
  <c r="J287" i="46"/>
  <c r="K287" i="46" s="1"/>
  <c r="I287" i="46"/>
  <c r="M287" i="46" s="1"/>
  <c r="J286" i="46"/>
  <c r="K286" i="46" s="1"/>
  <c r="I286" i="46"/>
  <c r="M286" i="46" s="1"/>
  <c r="J285" i="46"/>
  <c r="K285" i="46" s="1"/>
  <c r="I285" i="46"/>
  <c r="M285" i="46" s="1"/>
  <c r="J284" i="46"/>
  <c r="K284" i="46" s="1"/>
  <c r="I284" i="46"/>
  <c r="M284" i="46" s="1"/>
  <c r="J283" i="46"/>
  <c r="K283" i="46" s="1"/>
  <c r="I283" i="46"/>
  <c r="M283" i="46" s="1"/>
  <c r="J282" i="46"/>
  <c r="K282" i="46" s="1"/>
  <c r="I282" i="46"/>
  <c r="M282" i="46" s="1"/>
  <c r="J281" i="46"/>
  <c r="K281" i="46" s="1"/>
  <c r="I281" i="46"/>
  <c r="M281" i="46" s="1"/>
  <c r="J280" i="46"/>
  <c r="K280" i="46" s="1"/>
  <c r="I280" i="46"/>
  <c r="M280" i="46" s="1"/>
  <c r="J279" i="46"/>
  <c r="K279" i="46" s="1"/>
  <c r="I279" i="46"/>
  <c r="M279" i="46" s="1"/>
  <c r="J278" i="46"/>
  <c r="K278" i="46" s="1"/>
  <c r="I278" i="46"/>
  <c r="M278" i="46" s="1"/>
  <c r="J277" i="46"/>
  <c r="K277" i="46" s="1"/>
  <c r="I277" i="46"/>
  <c r="M277" i="46" s="1"/>
  <c r="M276" i="46"/>
  <c r="J276" i="46"/>
  <c r="K276" i="46" s="1"/>
  <c r="I276" i="46"/>
  <c r="J275" i="46"/>
  <c r="K275" i="46" s="1"/>
  <c r="I275" i="46"/>
  <c r="M275" i="46" s="1"/>
  <c r="J274" i="46"/>
  <c r="K274" i="46" s="1"/>
  <c r="I274" i="46"/>
  <c r="M274" i="46" s="1"/>
  <c r="J273" i="46"/>
  <c r="K273" i="46" s="1"/>
  <c r="I273" i="46"/>
  <c r="M273" i="46" s="1"/>
  <c r="J272" i="46"/>
  <c r="K272" i="46" s="1"/>
  <c r="I272" i="46"/>
  <c r="M272" i="46" s="1"/>
  <c r="J271" i="46"/>
  <c r="K271" i="46" s="1"/>
  <c r="I271" i="46"/>
  <c r="M271" i="46" s="1"/>
  <c r="J270" i="46"/>
  <c r="K270" i="46" s="1"/>
  <c r="I270" i="46"/>
  <c r="M270" i="46" s="1"/>
  <c r="J269" i="46"/>
  <c r="K269" i="46" s="1"/>
  <c r="I269" i="46"/>
  <c r="M269" i="46" s="1"/>
  <c r="J268" i="46"/>
  <c r="K268" i="46" s="1"/>
  <c r="I268" i="46"/>
  <c r="M268" i="46" s="1"/>
  <c r="J267" i="46"/>
  <c r="K267" i="46" s="1"/>
  <c r="I267" i="46"/>
  <c r="M267" i="46" s="1"/>
  <c r="J266" i="46"/>
  <c r="K266" i="46" s="1"/>
  <c r="I266" i="46"/>
  <c r="M266" i="46" s="1"/>
  <c r="J265" i="46"/>
  <c r="K265" i="46" s="1"/>
  <c r="I265" i="46"/>
  <c r="M265" i="46" s="1"/>
  <c r="M264" i="46"/>
  <c r="J264" i="46"/>
  <c r="K264" i="46" s="1"/>
  <c r="I264" i="46"/>
  <c r="J263" i="46"/>
  <c r="K263" i="46" s="1"/>
  <c r="I263" i="46"/>
  <c r="M263" i="46" s="1"/>
  <c r="M262" i="46"/>
  <c r="J262" i="46"/>
  <c r="K262" i="46" s="1"/>
  <c r="I262" i="46"/>
  <c r="J261" i="46"/>
  <c r="K261" i="46" s="1"/>
  <c r="I261" i="46"/>
  <c r="M261" i="46" s="1"/>
  <c r="M260" i="46"/>
  <c r="J260" i="46"/>
  <c r="K260" i="46" s="1"/>
  <c r="I260" i="46"/>
  <c r="J259" i="46"/>
  <c r="K259" i="46" s="1"/>
  <c r="I259" i="46"/>
  <c r="M259" i="46" s="1"/>
  <c r="J258" i="46"/>
  <c r="K258" i="46" s="1"/>
  <c r="I258" i="46"/>
  <c r="M258" i="46" s="1"/>
  <c r="J257" i="46"/>
  <c r="K257" i="46" s="1"/>
  <c r="I257" i="46"/>
  <c r="M257" i="46" s="1"/>
  <c r="M256" i="46"/>
  <c r="J256" i="46"/>
  <c r="K256" i="46" s="1"/>
  <c r="I256" i="46"/>
  <c r="J255" i="46"/>
  <c r="K255" i="46" s="1"/>
  <c r="I255" i="46"/>
  <c r="M255" i="46" s="1"/>
  <c r="J254" i="46"/>
  <c r="K254" i="46" s="1"/>
  <c r="I254" i="46"/>
  <c r="M254" i="46" s="1"/>
  <c r="J253" i="46"/>
  <c r="K253" i="46" s="1"/>
  <c r="I253" i="46"/>
  <c r="M253" i="46" s="1"/>
  <c r="J252" i="46"/>
  <c r="K252" i="46" s="1"/>
  <c r="I252" i="46"/>
  <c r="M252" i="46" s="1"/>
  <c r="J251" i="46"/>
  <c r="K251" i="46" s="1"/>
  <c r="I251" i="46"/>
  <c r="M251" i="46" s="1"/>
  <c r="J250" i="46"/>
  <c r="K250" i="46" s="1"/>
  <c r="I250" i="46"/>
  <c r="M250" i="46" s="1"/>
  <c r="J249" i="46"/>
  <c r="K249" i="46" s="1"/>
  <c r="I249" i="46"/>
  <c r="M249" i="46" s="1"/>
  <c r="J248" i="46"/>
  <c r="K248" i="46" s="1"/>
  <c r="I248" i="46"/>
  <c r="M248" i="46" s="1"/>
  <c r="J247" i="46"/>
  <c r="K247" i="46" s="1"/>
  <c r="I247" i="46"/>
  <c r="M247" i="46" s="1"/>
  <c r="M246" i="46"/>
  <c r="J246" i="46"/>
  <c r="K246" i="46" s="1"/>
  <c r="I246" i="46"/>
  <c r="J245" i="46"/>
  <c r="K245" i="46" s="1"/>
  <c r="I245" i="46"/>
  <c r="M245" i="46" s="1"/>
  <c r="J244" i="46"/>
  <c r="K244" i="46" s="1"/>
  <c r="I244" i="46"/>
  <c r="M244" i="46" s="1"/>
  <c r="J243" i="46"/>
  <c r="K243" i="46" s="1"/>
  <c r="I243" i="46"/>
  <c r="M243" i="46" s="1"/>
  <c r="J242" i="46"/>
  <c r="K242" i="46" s="1"/>
  <c r="I242" i="46"/>
  <c r="M242" i="46" s="1"/>
  <c r="J241" i="46"/>
  <c r="K241" i="46" s="1"/>
  <c r="I241" i="46"/>
  <c r="M241" i="46" s="1"/>
  <c r="K240" i="46"/>
  <c r="J240" i="46"/>
  <c r="I240" i="46"/>
  <c r="M240" i="46" s="1"/>
  <c r="J239" i="46"/>
  <c r="K239" i="46" s="1"/>
  <c r="I239" i="46"/>
  <c r="M239" i="46" s="1"/>
  <c r="J238" i="46"/>
  <c r="K238" i="46" s="1"/>
  <c r="I238" i="46"/>
  <c r="M238" i="46" s="1"/>
  <c r="J237" i="46"/>
  <c r="K237" i="46" s="1"/>
  <c r="I237" i="46"/>
  <c r="M237" i="46" s="1"/>
  <c r="J236" i="46"/>
  <c r="K236" i="46" s="1"/>
  <c r="I236" i="46"/>
  <c r="M236" i="46" s="1"/>
  <c r="J235" i="46"/>
  <c r="K235" i="46" s="1"/>
  <c r="I235" i="46"/>
  <c r="M235" i="46" s="1"/>
  <c r="J234" i="46"/>
  <c r="K234" i="46" s="1"/>
  <c r="I234" i="46"/>
  <c r="M234" i="46" s="1"/>
  <c r="J233" i="46"/>
  <c r="K233" i="46" s="1"/>
  <c r="I233" i="46"/>
  <c r="M233" i="46" s="1"/>
  <c r="M232" i="46"/>
  <c r="J232" i="46"/>
  <c r="K232" i="46" s="1"/>
  <c r="I232" i="46"/>
  <c r="J231" i="46"/>
  <c r="K231" i="46" s="1"/>
  <c r="I231" i="46"/>
  <c r="M231" i="46" s="1"/>
  <c r="K230" i="46"/>
  <c r="J230" i="46"/>
  <c r="I230" i="46"/>
  <c r="M230" i="46" s="1"/>
  <c r="J229" i="46"/>
  <c r="K229" i="46" s="1"/>
  <c r="I229" i="46"/>
  <c r="M229" i="46" s="1"/>
  <c r="M228" i="46"/>
  <c r="J228" i="46"/>
  <c r="K228" i="46" s="1"/>
  <c r="I228" i="46"/>
  <c r="J227" i="46"/>
  <c r="K227" i="46" s="1"/>
  <c r="I227" i="46"/>
  <c r="M227" i="46" s="1"/>
  <c r="M226" i="46"/>
  <c r="J226" i="46"/>
  <c r="K226" i="46" s="1"/>
  <c r="I226" i="46"/>
  <c r="J225" i="46"/>
  <c r="K225" i="46" s="1"/>
  <c r="I225" i="46"/>
  <c r="M225" i="46" s="1"/>
  <c r="J224" i="46"/>
  <c r="K224" i="46" s="1"/>
  <c r="I224" i="46"/>
  <c r="M224" i="46" s="1"/>
  <c r="K223" i="46"/>
  <c r="J223" i="46"/>
  <c r="I223" i="46"/>
  <c r="M223" i="46" s="1"/>
  <c r="J222" i="46"/>
  <c r="K222" i="46" s="1"/>
  <c r="I222" i="46"/>
  <c r="M222" i="46" s="1"/>
  <c r="J221" i="46"/>
  <c r="K221" i="46" s="1"/>
  <c r="I221" i="46"/>
  <c r="M221" i="46" s="1"/>
  <c r="J220" i="46"/>
  <c r="K220" i="46" s="1"/>
  <c r="I220" i="46"/>
  <c r="M220" i="46" s="1"/>
  <c r="J219" i="46"/>
  <c r="K219" i="46" s="1"/>
  <c r="I219" i="46"/>
  <c r="M219" i="46" s="1"/>
  <c r="J218" i="46"/>
  <c r="K218" i="46" s="1"/>
  <c r="I218" i="46"/>
  <c r="M218" i="46" s="1"/>
  <c r="J217" i="46"/>
  <c r="K217" i="46" s="1"/>
  <c r="I217" i="46"/>
  <c r="M217" i="46" s="1"/>
  <c r="M216" i="46"/>
  <c r="J216" i="46"/>
  <c r="K216" i="46" s="1"/>
  <c r="I216" i="46"/>
  <c r="K215" i="46"/>
  <c r="J215" i="46"/>
  <c r="I215" i="46"/>
  <c r="M215" i="46" s="1"/>
  <c r="M214" i="46"/>
  <c r="K214" i="46"/>
  <c r="J214" i="46"/>
  <c r="I214" i="46"/>
  <c r="J213" i="46"/>
  <c r="K213" i="46" s="1"/>
  <c r="I213" i="46"/>
  <c r="M213" i="46" s="1"/>
  <c r="J212" i="46"/>
  <c r="K212" i="46" s="1"/>
  <c r="I212" i="46"/>
  <c r="M212" i="46" s="1"/>
  <c r="J211" i="46"/>
  <c r="K211" i="46" s="1"/>
  <c r="I211" i="46"/>
  <c r="M211" i="46" s="1"/>
  <c r="J210" i="46"/>
  <c r="K210" i="46" s="1"/>
  <c r="I210" i="46"/>
  <c r="M210" i="46" s="1"/>
  <c r="J209" i="46"/>
  <c r="K209" i="46" s="1"/>
  <c r="I209" i="46"/>
  <c r="M209" i="46" s="1"/>
  <c r="J208" i="46"/>
  <c r="K208" i="46" s="1"/>
  <c r="I208" i="46"/>
  <c r="M208" i="46" s="1"/>
  <c r="J207" i="46"/>
  <c r="K207" i="46" s="1"/>
  <c r="I207" i="46"/>
  <c r="M207" i="46" s="1"/>
  <c r="J206" i="46"/>
  <c r="K206" i="46" s="1"/>
  <c r="I206" i="46"/>
  <c r="M206" i="46" s="1"/>
  <c r="J205" i="46"/>
  <c r="K205" i="46" s="1"/>
  <c r="I205" i="46"/>
  <c r="M205" i="46" s="1"/>
  <c r="J204" i="46"/>
  <c r="K204" i="46" s="1"/>
  <c r="I204" i="46"/>
  <c r="M204" i="46" s="1"/>
  <c r="J203" i="46"/>
  <c r="K203" i="46" s="1"/>
  <c r="I203" i="46"/>
  <c r="M203" i="46" s="1"/>
  <c r="J202" i="46"/>
  <c r="K202" i="46" s="1"/>
  <c r="I202" i="46"/>
  <c r="M202" i="46" s="1"/>
  <c r="J201" i="46"/>
  <c r="K201" i="46" s="1"/>
  <c r="I201" i="46"/>
  <c r="M201" i="46" s="1"/>
  <c r="M200" i="46"/>
  <c r="J200" i="46"/>
  <c r="K200" i="46" s="1"/>
  <c r="I200" i="46"/>
  <c r="J199" i="46"/>
  <c r="K199" i="46" s="1"/>
  <c r="I199" i="46"/>
  <c r="M199" i="46" s="1"/>
  <c r="K198" i="46"/>
  <c r="J198" i="46"/>
  <c r="I198" i="46"/>
  <c r="M198" i="46" s="1"/>
  <c r="J197" i="46"/>
  <c r="K197" i="46" s="1"/>
  <c r="I197" i="46"/>
  <c r="M197" i="46" s="1"/>
  <c r="M196" i="46"/>
  <c r="J196" i="46"/>
  <c r="K196" i="46" s="1"/>
  <c r="I196" i="46"/>
  <c r="J195" i="46"/>
  <c r="K195" i="46" s="1"/>
  <c r="I195" i="46"/>
  <c r="M195" i="46" s="1"/>
  <c r="M194" i="46"/>
  <c r="J194" i="46"/>
  <c r="K194" i="46" s="1"/>
  <c r="I194" i="46"/>
  <c r="J193" i="46"/>
  <c r="K193" i="46" s="1"/>
  <c r="I193" i="46"/>
  <c r="M193" i="46" s="1"/>
  <c r="J192" i="46"/>
  <c r="K192" i="46" s="1"/>
  <c r="I192" i="46"/>
  <c r="M192" i="46" s="1"/>
  <c r="K191" i="46"/>
  <c r="J191" i="46"/>
  <c r="I191" i="46"/>
  <c r="M191" i="46" s="1"/>
  <c r="J190" i="46"/>
  <c r="K190" i="46" s="1"/>
  <c r="I190" i="46"/>
  <c r="M190" i="46" s="1"/>
  <c r="J189" i="46"/>
  <c r="K189" i="46" s="1"/>
  <c r="I189" i="46"/>
  <c r="M189" i="46" s="1"/>
  <c r="J188" i="46"/>
  <c r="K188" i="46" s="1"/>
  <c r="I188" i="46"/>
  <c r="M188" i="46" s="1"/>
  <c r="J187" i="46"/>
  <c r="K187" i="46" s="1"/>
  <c r="I187" i="46"/>
  <c r="M187" i="46" s="1"/>
  <c r="J186" i="46"/>
  <c r="K186" i="46" s="1"/>
  <c r="I186" i="46"/>
  <c r="M186" i="46" s="1"/>
  <c r="K185" i="46"/>
  <c r="J185" i="46"/>
  <c r="I185" i="46"/>
  <c r="M185" i="46" s="1"/>
  <c r="M184" i="46"/>
  <c r="J184" i="46"/>
  <c r="K184" i="46" s="1"/>
  <c r="I184" i="46"/>
  <c r="J183" i="46"/>
  <c r="K183" i="46" s="1"/>
  <c r="I183" i="46"/>
  <c r="M183" i="46" s="1"/>
  <c r="J182" i="46"/>
  <c r="K182" i="46" s="1"/>
  <c r="I182" i="46"/>
  <c r="M182" i="46" s="1"/>
  <c r="J181" i="46"/>
  <c r="K181" i="46" s="1"/>
  <c r="I181" i="46"/>
  <c r="M181" i="46" s="1"/>
  <c r="M180" i="46"/>
  <c r="J180" i="46"/>
  <c r="K180" i="46" s="1"/>
  <c r="I180" i="46"/>
  <c r="J179" i="46"/>
  <c r="K179" i="46" s="1"/>
  <c r="I179" i="46"/>
  <c r="M179" i="46" s="1"/>
  <c r="J178" i="46"/>
  <c r="K178" i="46" s="1"/>
  <c r="I178" i="46"/>
  <c r="M178" i="46" s="1"/>
  <c r="J177" i="46"/>
  <c r="K177" i="46" s="1"/>
  <c r="I177" i="46"/>
  <c r="M177" i="46" s="1"/>
  <c r="J176" i="46"/>
  <c r="K176" i="46" s="1"/>
  <c r="I176" i="46"/>
  <c r="M176" i="46" s="1"/>
  <c r="K175" i="46"/>
  <c r="J175" i="46"/>
  <c r="I175" i="46"/>
  <c r="M175" i="46" s="1"/>
  <c r="J174" i="46"/>
  <c r="K174" i="46" s="1"/>
  <c r="I174" i="46"/>
  <c r="M174" i="46" s="1"/>
  <c r="J173" i="46"/>
  <c r="K173" i="46" s="1"/>
  <c r="I173" i="46"/>
  <c r="M173" i="46" s="1"/>
  <c r="J172" i="46"/>
  <c r="K172" i="46" s="1"/>
  <c r="I172" i="46"/>
  <c r="M172" i="46" s="1"/>
  <c r="J171" i="46"/>
  <c r="K171" i="46" s="1"/>
  <c r="I171" i="46"/>
  <c r="M171" i="46" s="1"/>
  <c r="J170" i="46"/>
  <c r="K170" i="46" s="1"/>
  <c r="I170" i="46"/>
  <c r="M170" i="46" s="1"/>
  <c r="J169" i="46"/>
  <c r="K169" i="46" s="1"/>
  <c r="I169" i="46"/>
  <c r="M169" i="46" s="1"/>
  <c r="J168" i="46"/>
  <c r="K168" i="46" s="1"/>
  <c r="I168" i="46"/>
  <c r="M168" i="46" s="1"/>
  <c r="J167" i="46"/>
  <c r="K167" i="46" s="1"/>
  <c r="I167" i="46"/>
  <c r="M167" i="46" s="1"/>
  <c r="M166" i="46"/>
  <c r="J166" i="46"/>
  <c r="K166" i="46" s="1"/>
  <c r="I166" i="46"/>
  <c r="J165" i="46"/>
  <c r="K165" i="46" s="1"/>
  <c r="I165" i="46"/>
  <c r="M165" i="46" s="1"/>
  <c r="M164" i="46"/>
  <c r="J164" i="46"/>
  <c r="K164" i="46" s="1"/>
  <c r="I164" i="46"/>
  <c r="J163" i="46"/>
  <c r="K163" i="46" s="1"/>
  <c r="I163" i="46"/>
  <c r="M163" i="46" s="1"/>
  <c r="J162" i="46"/>
  <c r="K162" i="46" s="1"/>
  <c r="I162" i="46"/>
  <c r="M162" i="46" s="1"/>
  <c r="J161" i="46"/>
  <c r="K161" i="46" s="1"/>
  <c r="I161" i="46"/>
  <c r="M161" i="46" s="1"/>
  <c r="J160" i="46"/>
  <c r="K160" i="46" s="1"/>
  <c r="I160" i="46"/>
  <c r="M160" i="46" s="1"/>
  <c r="J159" i="46"/>
  <c r="K159" i="46" s="1"/>
  <c r="I159" i="46"/>
  <c r="M159" i="46" s="1"/>
  <c r="J158" i="46"/>
  <c r="K158" i="46" s="1"/>
  <c r="I158" i="46"/>
  <c r="M158" i="46" s="1"/>
  <c r="J157" i="46"/>
  <c r="K157" i="46" s="1"/>
  <c r="I157" i="46"/>
  <c r="M157" i="46" s="1"/>
  <c r="J156" i="46"/>
  <c r="K156" i="46" s="1"/>
  <c r="I156" i="46"/>
  <c r="M156" i="46" s="1"/>
  <c r="J155" i="46"/>
  <c r="K155" i="46" s="1"/>
  <c r="I155" i="46"/>
  <c r="M155" i="46" s="1"/>
  <c r="J154" i="46"/>
  <c r="K154" i="46" s="1"/>
  <c r="I154" i="46"/>
  <c r="M154" i="46" s="1"/>
  <c r="J153" i="46"/>
  <c r="K153" i="46" s="1"/>
  <c r="I153" i="46"/>
  <c r="M153" i="46" s="1"/>
  <c r="J152" i="46"/>
  <c r="K152" i="46" s="1"/>
  <c r="I152" i="46"/>
  <c r="M152" i="46" s="1"/>
  <c r="J151" i="46"/>
  <c r="K151" i="46" s="1"/>
  <c r="I151" i="46"/>
  <c r="M151" i="46" s="1"/>
  <c r="M150" i="46"/>
  <c r="K150" i="46"/>
  <c r="J150" i="46"/>
  <c r="I150" i="46"/>
  <c r="J149" i="46"/>
  <c r="K149" i="46" s="1"/>
  <c r="I149" i="46"/>
  <c r="M149" i="46" s="1"/>
  <c r="J148" i="46"/>
  <c r="K148" i="46" s="1"/>
  <c r="I148" i="46"/>
  <c r="M148" i="46" s="1"/>
  <c r="J147" i="46"/>
  <c r="K147" i="46" s="1"/>
  <c r="I147" i="46"/>
  <c r="M147" i="46" s="1"/>
  <c r="J146" i="46"/>
  <c r="K146" i="46" s="1"/>
  <c r="I146" i="46"/>
  <c r="M146" i="46" s="1"/>
  <c r="J145" i="46"/>
  <c r="K145" i="46" s="1"/>
  <c r="I145" i="46"/>
  <c r="M145" i="46" s="1"/>
  <c r="J144" i="46"/>
  <c r="K144" i="46" s="1"/>
  <c r="I144" i="46"/>
  <c r="M144" i="46" s="1"/>
  <c r="K143" i="46"/>
  <c r="J143" i="46"/>
  <c r="I143" i="46"/>
  <c r="M143" i="46" s="1"/>
  <c r="J142" i="46"/>
  <c r="K142" i="46" s="1"/>
  <c r="I142" i="46"/>
  <c r="M142" i="46" s="1"/>
  <c r="J141" i="46"/>
  <c r="K141" i="46" s="1"/>
  <c r="I141" i="46"/>
  <c r="M141" i="46" s="1"/>
  <c r="J140" i="46"/>
  <c r="K140" i="46" s="1"/>
  <c r="I140" i="46"/>
  <c r="M140" i="46" s="1"/>
  <c r="A140" i="46" s="1"/>
  <c r="B140" i="46"/>
  <c r="M139" i="46"/>
  <c r="A139" i="46" s="1"/>
  <c r="J139" i="46"/>
  <c r="K139" i="46" s="1"/>
  <c r="I139" i="46"/>
  <c r="B139" i="46"/>
  <c r="J138" i="46"/>
  <c r="K138" i="46" s="1"/>
  <c r="I138" i="46"/>
  <c r="M138" i="46" s="1"/>
  <c r="A138" i="46" s="1"/>
  <c r="B138" i="46"/>
  <c r="J137" i="46"/>
  <c r="K137" i="46" s="1"/>
  <c r="I137" i="46"/>
  <c r="M137" i="46" s="1"/>
  <c r="B137" i="46"/>
  <c r="A137" i="46"/>
  <c r="J136" i="46"/>
  <c r="K136" i="46" s="1"/>
  <c r="I136" i="46"/>
  <c r="M136" i="46" s="1"/>
  <c r="B136" i="46"/>
  <c r="A136" i="46"/>
  <c r="M135" i="46"/>
  <c r="A135" i="46" s="1"/>
  <c r="J135" i="46"/>
  <c r="K135" i="46" s="1"/>
  <c r="I135" i="46"/>
  <c r="B135" i="46"/>
  <c r="J134" i="46"/>
  <c r="K134" i="46" s="1"/>
  <c r="I134" i="46"/>
  <c r="M134" i="46" s="1"/>
  <c r="A134" i="46" s="1"/>
  <c r="B134" i="46"/>
  <c r="J133" i="46"/>
  <c r="K133" i="46" s="1"/>
  <c r="I133" i="46"/>
  <c r="M133" i="46" s="1"/>
  <c r="A133" i="46" s="1"/>
  <c r="B133" i="46"/>
  <c r="M132" i="46"/>
  <c r="J132" i="46"/>
  <c r="K132" i="46" s="1"/>
  <c r="I132" i="46"/>
  <c r="B132" i="46"/>
  <c r="A132" i="46"/>
  <c r="M131" i="46"/>
  <c r="A131" i="46" s="1"/>
  <c r="J131" i="46"/>
  <c r="K131" i="46" s="1"/>
  <c r="I131" i="46"/>
  <c r="B131" i="46"/>
  <c r="J130" i="46"/>
  <c r="K130" i="46" s="1"/>
  <c r="I130" i="46"/>
  <c r="M130" i="46" s="1"/>
  <c r="A130" i="46" s="1"/>
  <c r="B130" i="46"/>
  <c r="J129" i="46"/>
  <c r="K129" i="46" s="1"/>
  <c r="I129" i="46"/>
  <c r="M129" i="46" s="1"/>
  <c r="B129" i="46"/>
  <c r="A129" i="46"/>
  <c r="M128" i="46"/>
  <c r="A128" i="46" s="1"/>
  <c r="J128" i="46"/>
  <c r="K128" i="46" s="1"/>
  <c r="I128" i="46"/>
  <c r="B128" i="46"/>
  <c r="J127" i="46"/>
  <c r="K127" i="46" s="1"/>
  <c r="I127" i="46"/>
  <c r="M127" i="46" s="1"/>
  <c r="A127" i="46" s="1"/>
  <c r="B127" i="46"/>
  <c r="M126" i="46"/>
  <c r="A126" i="46" s="1"/>
  <c r="J126" i="46"/>
  <c r="K126" i="46" s="1"/>
  <c r="I126" i="46"/>
  <c r="B126" i="46"/>
  <c r="J125" i="46"/>
  <c r="K125" i="46" s="1"/>
  <c r="I125" i="46"/>
  <c r="M125" i="46" s="1"/>
  <c r="A125" i="46" s="1"/>
  <c r="B125" i="46"/>
  <c r="J124" i="46"/>
  <c r="K124" i="46" s="1"/>
  <c r="I124" i="46"/>
  <c r="M124" i="46" s="1"/>
  <c r="A124" i="46" s="1"/>
  <c r="B124" i="46"/>
  <c r="J123" i="46"/>
  <c r="K123" i="46" s="1"/>
  <c r="I123" i="46"/>
  <c r="M123" i="46" s="1"/>
  <c r="A123" i="46" s="1"/>
  <c r="B123" i="46"/>
  <c r="J122" i="46"/>
  <c r="K122" i="46" s="1"/>
  <c r="I122" i="46"/>
  <c r="M122" i="46" s="1"/>
  <c r="A122" i="46" s="1"/>
  <c r="B122" i="46"/>
  <c r="J121" i="46"/>
  <c r="K121" i="46" s="1"/>
  <c r="I121" i="46"/>
  <c r="M121" i="46" s="1"/>
  <c r="A121" i="46" s="1"/>
  <c r="B121" i="46"/>
  <c r="M120" i="46"/>
  <c r="J120" i="46"/>
  <c r="K120" i="46" s="1"/>
  <c r="I120" i="46"/>
  <c r="B120" i="46"/>
  <c r="A120" i="46"/>
  <c r="J119" i="46"/>
  <c r="K119" i="46" s="1"/>
  <c r="I119" i="46"/>
  <c r="M119" i="46" s="1"/>
  <c r="A119" i="46" s="1"/>
  <c r="B119" i="46"/>
  <c r="M118" i="46"/>
  <c r="A118" i="46" s="1"/>
  <c r="J118" i="46"/>
  <c r="K118" i="46" s="1"/>
  <c r="I118" i="46"/>
  <c r="B118" i="46"/>
  <c r="J117" i="46"/>
  <c r="K117" i="46" s="1"/>
  <c r="I117" i="46"/>
  <c r="M117" i="46" s="1"/>
  <c r="A117" i="46" s="1"/>
  <c r="B117" i="46"/>
  <c r="M116" i="46"/>
  <c r="A116" i="46" s="1"/>
  <c r="J116" i="46"/>
  <c r="K116" i="46" s="1"/>
  <c r="I116" i="46"/>
  <c r="B116" i="46"/>
  <c r="J115" i="46"/>
  <c r="K115" i="46" s="1"/>
  <c r="I115" i="46"/>
  <c r="M115" i="46" s="1"/>
  <c r="A115" i="46" s="1"/>
  <c r="B115" i="46"/>
  <c r="J114" i="46"/>
  <c r="K114" i="46" s="1"/>
  <c r="I114" i="46"/>
  <c r="M114" i="46" s="1"/>
  <c r="A114" i="46" s="1"/>
  <c r="B114" i="46"/>
  <c r="J113" i="46"/>
  <c r="K113" i="46" s="1"/>
  <c r="I113" i="46"/>
  <c r="M113" i="46" s="1"/>
  <c r="A113" i="46" s="1"/>
  <c r="B113" i="46"/>
  <c r="J112" i="46"/>
  <c r="K112" i="46" s="1"/>
  <c r="I112" i="46"/>
  <c r="M112" i="46" s="1"/>
  <c r="A112" i="46" s="1"/>
  <c r="B112" i="46"/>
  <c r="J111" i="46"/>
  <c r="K111" i="46" s="1"/>
  <c r="I111" i="46"/>
  <c r="M111" i="46" s="1"/>
  <c r="A111" i="46" s="1"/>
  <c r="B111" i="46"/>
  <c r="M110" i="46"/>
  <c r="A110" i="46" s="1"/>
  <c r="J110" i="46"/>
  <c r="K110" i="46" s="1"/>
  <c r="I110" i="46"/>
  <c r="B110" i="46"/>
  <c r="J109" i="46"/>
  <c r="K109" i="46" s="1"/>
  <c r="I109" i="46"/>
  <c r="M109" i="46" s="1"/>
  <c r="A109" i="46" s="1"/>
  <c r="B109" i="46"/>
  <c r="J108" i="46"/>
  <c r="K108" i="46" s="1"/>
  <c r="I108" i="46"/>
  <c r="M108" i="46" s="1"/>
  <c r="A108" i="46" s="1"/>
  <c r="B108" i="46"/>
  <c r="J107" i="46"/>
  <c r="K107" i="46" s="1"/>
  <c r="I107" i="46"/>
  <c r="M107" i="46" s="1"/>
  <c r="A107" i="46" s="1"/>
  <c r="B107" i="46"/>
  <c r="J106" i="46"/>
  <c r="K106" i="46" s="1"/>
  <c r="I106" i="46"/>
  <c r="M106" i="46" s="1"/>
  <c r="A106" i="46" s="1"/>
  <c r="B106" i="46"/>
  <c r="J105" i="46"/>
  <c r="K105" i="46" s="1"/>
  <c r="I105" i="46"/>
  <c r="M105" i="46" s="1"/>
  <c r="B105" i="46"/>
  <c r="A105" i="46"/>
  <c r="M104" i="46"/>
  <c r="A104" i="46" s="1"/>
  <c r="J104" i="46"/>
  <c r="K104" i="46" s="1"/>
  <c r="I104" i="46"/>
  <c r="B104" i="46"/>
  <c r="J103" i="46"/>
  <c r="K103" i="46" s="1"/>
  <c r="I103" i="46"/>
  <c r="M103" i="46" s="1"/>
  <c r="A103" i="46" s="1"/>
  <c r="B103" i="46"/>
  <c r="J102" i="46"/>
  <c r="K102" i="46" s="1"/>
  <c r="I102" i="46"/>
  <c r="M102" i="46" s="1"/>
  <c r="A102" i="46" s="1"/>
  <c r="B102" i="46"/>
  <c r="J101" i="46"/>
  <c r="K101" i="46" s="1"/>
  <c r="I101" i="46"/>
  <c r="M101" i="46" s="1"/>
  <c r="B101" i="46"/>
  <c r="A101" i="46"/>
  <c r="J100" i="46"/>
  <c r="K100" i="46" s="1"/>
  <c r="I100" i="46"/>
  <c r="M100" i="46" s="1"/>
  <c r="A100" i="46" s="1"/>
  <c r="B100" i="46"/>
  <c r="M99" i="46"/>
  <c r="J99" i="46"/>
  <c r="K99" i="46" s="1"/>
  <c r="I99" i="46"/>
  <c r="B99" i="46"/>
  <c r="A99" i="46"/>
  <c r="K98" i="46"/>
  <c r="J98" i="46"/>
  <c r="I98" i="46"/>
  <c r="M98" i="46" s="1"/>
  <c r="A98" i="46" s="1"/>
  <c r="B98" i="46"/>
  <c r="J97" i="46"/>
  <c r="K97" i="46" s="1"/>
  <c r="I97" i="46"/>
  <c r="M97" i="46" s="1"/>
  <c r="B97" i="46"/>
  <c r="A97" i="46"/>
  <c r="J96" i="46"/>
  <c r="K96" i="46" s="1"/>
  <c r="I96" i="46"/>
  <c r="M96" i="46" s="1"/>
  <c r="A96" i="46" s="1"/>
  <c r="B96" i="46"/>
  <c r="J95" i="46"/>
  <c r="K95" i="46" s="1"/>
  <c r="I95" i="46"/>
  <c r="M95" i="46" s="1"/>
  <c r="A95" i="46" s="1"/>
  <c r="B95" i="46"/>
  <c r="J94" i="46"/>
  <c r="K94" i="46" s="1"/>
  <c r="I94" i="46"/>
  <c r="M94" i="46" s="1"/>
  <c r="A94" i="46" s="1"/>
  <c r="B94" i="46"/>
  <c r="J93" i="46"/>
  <c r="K93" i="46" s="1"/>
  <c r="I93" i="46"/>
  <c r="M93" i="46" s="1"/>
  <c r="B93" i="46"/>
  <c r="A93" i="46"/>
  <c r="J92" i="46"/>
  <c r="K92" i="46" s="1"/>
  <c r="I92" i="46"/>
  <c r="M92" i="46" s="1"/>
  <c r="A92" i="46" s="1"/>
  <c r="B92" i="46"/>
  <c r="M91" i="46"/>
  <c r="J91" i="46"/>
  <c r="K91" i="46" s="1"/>
  <c r="I91" i="46"/>
  <c r="B91" i="46"/>
  <c r="A91" i="46"/>
  <c r="J90" i="46"/>
  <c r="K90" i="46" s="1"/>
  <c r="I90" i="46"/>
  <c r="M90" i="46" s="1"/>
  <c r="A90" i="46" s="1"/>
  <c r="B90" i="46"/>
  <c r="J89" i="46"/>
  <c r="K89" i="46" s="1"/>
  <c r="I89" i="46"/>
  <c r="M89" i="46" s="1"/>
  <c r="A89" i="46" s="1"/>
  <c r="B89" i="46"/>
  <c r="J88" i="46"/>
  <c r="K88" i="46" s="1"/>
  <c r="I88" i="46"/>
  <c r="M88" i="46" s="1"/>
  <c r="A88" i="46" s="1"/>
  <c r="B88" i="46"/>
  <c r="M87" i="46"/>
  <c r="A87" i="46" s="1"/>
  <c r="J87" i="46"/>
  <c r="K87" i="46" s="1"/>
  <c r="I87" i="46"/>
  <c r="B87" i="46"/>
  <c r="J86" i="46"/>
  <c r="K86" i="46" s="1"/>
  <c r="I86" i="46"/>
  <c r="M86" i="46" s="1"/>
  <c r="A86" i="46" s="1"/>
  <c r="B86" i="46"/>
  <c r="J85" i="46"/>
  <c r="K85" i="46" s="1"/>
  <c r="I85" i="46"/>
  <c r="M85" i="46" s="1"/>
  <c r="A85" i="46" s="1"/>
  <c r="B85" i="46"/>
  <c r="J84" i="46"/>
  <c r="K84" i="46" s="1"/>
  <c r="I84" i="46"/>
  <c r="M84" i="46" s="1"/>
  <c r="A84" i="46" s="1"/>
  <c r="B84" i="46"/>
  <c r="M83" i="46"/>
  <c r="A83" i="46" s="1"/>
  <c r="J83" i="46"/>
  <c r="K83" i="46" s="1"/>
  <c r="I83" i="46"/>
  <c r="B83" i="46"/>
  <c r="J82" i="46"/>
  <c r="K82" i="46" s="1"/>
  <c r="I82" i="46"/>
  <c r="M82" i="46" s="1"/>
  <c r="A82" i="46" s="1"/>
  <c r="B82" i="46"/>
  <c r="K81" i="46"/>
  <c r="J81" i="46"/>
  <c r="I81" i="46"/>
  <c r="M81" i="46" s="1"/>
  <c r="A81" i="46" s="1"/>
  <c r="B81" i="46"/>
  <c r="J80" i="46"/>
  <c r="K80" i="46" s="1"/>
  <c r="I80" i="46"/>
  <c r="M80" i="46" s="1"/>
  <c r="A80" i="46" s="1"/>
  <c r="B80" i="46"/>
  <c r="J79" i="46"/>
  <c r="K79" i="46" s="1"/>
  <c r="I79" i="46"/>
  <c r="M79" i="46" s="1"/>
  <c r="A79" i="46" s="1"/>
  <c r="B79" i="46"/>
  <c r="J78" i="46"/>
  <c r="K78" i="46" s="1"/>
  <c r="I78" i="46"/>
  <c r="M78" i="46" s="1"/>
  <c r="A78" i="46" s="1"/>
  <c r="B78" i="46"/>
  <c r="J77" i="46"/>
  <c r="K77" i="46" s="1"/>
  <c r="I77" i="46"/>
  <c r="M77" i="46" s="1"/>
  <c r="A77" i="46" s="1"/>
  <c r="B77" i="46"/>
  <c r="J76" i="46"/>
  <c r="K76" i="46" s="1"/>
  <c r="I76" i="46"/>
  <c r="M76" i="46" s="1"/>
  <c r="A76" i="46" s="1"/>
  <c r="B76" i="46"/>
  <c r="K75" i="46"/>
  <c r="J75" i="46"/>
  <c r="I75" i="46"/>
  <c r="M75" i="46" s="1"/>
  <c r="A75" i="46" s="1"/>
  <c r="B75" i="46"/>
  <c r="J74" i="46"/>
  <c r="K74" i="46" s="1"/>
  <c r="I74" i="46"/>
  <c r="M74" i="46" s="1"/>
  <c r="A74" i="46" s="1"/>
  <c r="B74" i="46"/>
  <c r="J73" i="46"/>
  <c r="K73" i="46" s="1"/>
  <c r="I73" i="46"/>
  <c r="M73" i="46" s="1"/>
  <c r="B73" i="46"/>
  <c r="A73" i="46"/>
  <c r="M72" i="46"/>
  <c r="A72" i="46" s="1"/>
  <c r="J72" i="46"/>
  <c r="K72" i="46" s="1"/>
  <c r="I72" i="46"/>
  <c r="B72" i="46"/>
  <c r="J71" i="46"/>
  <c r="K71" i="46" s="1"/>
  <c r="I71" i="46"/>
  <c r="M71" i="46" s="1"/>
  <c r="A71" i="46" s="1"/>
  <c r="B71" i="46"/>
  <c r="J70" i="46"/>
  <c r="K70" i="46" s="1"/>
  <c r="I70" i="46"/>
  <c r="M70" i="46" s="1"/>
  <c r="A70" i="46" s="1"/>
  <c r="B70" i="46"/>
  <c r="J69" i="46"/>
  <c r="K69" i="46" s="1"/>
  <c r="I69" i="46"/>
  <c r="M69" i="46" s="1"/>
  <c r="B69" i="46"/>
  <c r="A69" i="46"/>
  <c r="J68" i="46"/>
  <c r="K68" i="46" s="1"/>
  <c r="I68" i="46"/>
  <c r="M68" i="46" s="1"/>
  <c r="A68" i="46" s="1"/>
  <c r="B68" i="46"/>
  <c r="J67" i="46"/>
  <c r="K67" i="46" s="1"/>
  <c r="I67" i="46"/>
  <c r="M67" i="46" s="1"/>
  <c r="A67" i="46" s="1"/>
  <c r="B67" i="46"/>
  <c r="M66" i="46"/>
  <c r="A66" i="46" s="1"/>
  <c r="J66" i="46"/>
  <c r="K66" i="46" s="1"/>
  <c r="I66" i="46"/>
  <c r="B66" i="46"/>
  <c r="J65" i="46"/>
  <c r="K65" i="46" s="1"/>
  <c r="I65" i="46"/>
  <c r="M65" i="46" s="1"/>
  <c r="B65" i="46"/>
  <c r="A65" i="46"/>
  <c r="J64" i="46"/>
  <c r="K64" i="46" s="1"/>
  <c r="I64" i="46"/>
  <c r="M64" i="46" s="1"/>
  <c r="A64" i="46" s="1"/>
  <c r="B64" i="46"/>
  <c r="J63" i="46"/>
  <c r="K63" i="46" s="1"/>
  <c r="I63" i="46"/>
  <c r="M63" i="46" s="1"/>
  <c r="A63" i="46" s="1"/>
  <c r="B63" i="46"/>
  <c r="J62" i="46"/>
  <c r="K62" i="46" s="1"/>
  <c r="I62" i="46"/>
  <c r="M62" i="46" s="1"/>
  <c r="A62" i="46" s="1"/>
  <c r="B62" i="46"/>
  <c r="J61" i="46"/>
  <c r="K61" i="46" s="1"/>
  <c r="I61" i="46"/>
  <c r="M61" i="46" s="1"/>
  <c r="B61" i="46"/>
  <c r="A61" i="46"/>
  <c r="J60" i="46"/>
  <c r="K60" i="46" s="1"/>
  <c r="I60" i="46"/>
  <c r="M60" i="46" s="1"/>
  <c r="A60" i="46" s="1"/>
  <c r="B60" i="46"/>
  <c r="J59" i="46"/>
  <c r="K59" i="46" s="1"/>
  <c r="I59" i="46"/>
  <c r="M59" i="46" s="1"/>
  <c r="A59" i="46" s="1"/>
  <c r="B59" i="46"/>
  <c r="J58" i="46"/>
  <c r="K58" i="46" s="1"/>
  <c r="I58" i="46"/>
  <c r="M58" i="46" s="1"/>
  <c r="A58" i="46" s="1"/>
  <c r="B58" i="46"/>
  <c r="J57" i="46"/>
  <c r="K57" i="46" s="1"/>
  <c r="I57" i="46"/>
  <c r="M57" i="46" s="1"/>
  <c r="A57" i="46" s="1"/>
  <c r="B57" i="46"/>
  <c r="J56" i="46"/>
  <c r="K56" i="46" s="1"/>
  <c r="I56" i="46"/>
  <c r="M56" i="46" s="1"/>
  <c r="A56" i="46" s="1"/>
  <c r="B56" i="46"/>
  <c r="M55" i="46"/>
  <c r="A55" i="46" s="1"/>
  <c r="J55" i="46"/>
  <c r="K55" i="46" s="1"/>
  <c r="I55" i="46"/>
  <c r="B55" i="46"/>
  <c r="J54" i="46"/>
  <c r="K54" i="46" s="1"/>
  <c r="I54" i="46"/>
  <c r="M54" i="46" s="1"/>
  <c r="A54" i="46" s="1"/>
  <c r="B54" i="46"/>
  <c r="J53" i="46"/>
  <c r="K53" i="46" s="1"/>
  <c r="I53" i="46"/>
  <c r="M53" i="46" s="1"/>
  <c r="A53" i="46" s="1"/>
  <c r="B53" i="46"/>
  <c r="J52" i="46"/>
  <c r="K52" i="46" s="1"/>
  <c r="I52" i="46"/>
  <c r="M52" i="46" s="1"/>
  <c r="A52" i="46" s="1"/>
  <c r="B52" i="46"/>
  <c r="M51" i="46"/>
  <c r="A51" i="46" s="1"/>
  <c r="J51" i="46"/>
  <c r="K51" i="46" s="1"/>
  <c r="I51" i="46"/>
  <c r="B51" i="46"/>
  <c r="J50" i="46"/>
  <c r="K50" i="46" s="1"/>
  <c r="I50" i="46"/>
  <c r="M50" i="46" s="1"/>
  <c r="A50" i="46" s="1"/>
  <c r="B50" i="46"/>
  <c r="J49" i="46"/>
  <c r="K49" i="46" s="1"/>
  <c r="I49" i="46"/>
  <c r="M49" i="46" s="1"/>
  <c r="A49" i="46" s="1"/>
  <c r="B49" i="46"/>
  <c r="J48" i="46"/>
  <c r="K48" i="46" s="1"/>
  <c r="I48" i="46"/>
  <c r="M48" i="46" s="1"/>
  <c r="A48" i="46" s="1"/>
  <c r="B48" i="46"/>
  <c r="M47" i="46"/>
  <c r="A47" i="46" s="1"/>
  <c r="J47" i="46"/>
  <c r="K47" i="46" s="1"/>
  <c r="I47" i="46"/>
  <c r="B47" i="46"/>
  <c r="J46" i="46"/>
  <c r="K46" i="46" s="1"/>
  <c r="I46" i="46"/>
  <c r="M46" i="46" s="1"/>
  <c r="A46" i="46" s="1"/>
  <c r="B46" i="46"/>
  <c r="J45" i="46"/>
  <c r="K45" i="46" s="1"/>
  <c r="I45" i="46"/>
  <c r="M45" i="46" s="1"/>
  <c r="A45" i="46" s="1"/>
  <c r="B45" i="46"/>
  <c r="J44" i="46"/>
  <c r="K44" i="46" s="1"/>
  <c r="I44" i="46"/>
  <c r="M44" i="46" s="1"/>
  <c r="A44" i="46" s="1"/>
  <c r="B44" i="46"/>
  <c r="M43" i="46"/>
  <c r="A43" i="46" s="1"/>
  <c r="J43" i="46"/>
  <c r="K43" i="46" s="1"/>
  <c r="I43" i="46"/>
  <c r="B43" i="46"/>
  <c r="J42" i="46"/>
  <c r="K42" i="46" s="1"/>
  <c r="I42" i="46"/>
  <c r="M42" i="46" s="1"/>
  <c r="A42" i="46" s="1"/>
  <c r="B42" i="46"/>
  <c r="J41" i="46"/>
  <c r="K41" i="46" s="1"/>
  <c r="I41" i="46"/>
  <c r="M41" i="46" s="1"/>
  <c r="A41" i="46" s="1"/>
  <c r="B41" i="46"/>
  <c r="J40" i="46"/>
  <c r="K40" i="46" s="1"/>
  <c r="I40" i="46"/>
  <c r="M40" i="46" s="1"/>
  <c r="A40" i="46" s="1"/>
  <c r="B40" i="46"/>
  <c r="J39" i="46"/>
  <c r="K39" i="46" s="1"/>
  <c r="I39" i="46"/>
  <c r="M39" i="46" s="1"/>
  <c r="A39" i="46" s="1"/>
  <c r="B39" i="46"/>
  <c r="J38" i="46"/>
  <c r="K38" i="46" s="1"/>
  <c r="I38" i="46"/>
  <c r="M38" i="46" s="1"/>
  <c r="A38" i="46" s="1"/>
  <c r="B38" i="46"/>
  <c r="J37" i="46"/>
  <c r="K37" i="46" s="1"/>
  <c r="I37" i="46"/>
  <c r="M37" i="46" s="1"/>
  <c r="B37" i="46"/>
  <c r="A37" i="46"/>
  <c r="J36" i="46"/>
  <c r="K36" i="46" s="1"/>
  <c r="I36" i="46"/>
  <c r="M36" i="46" s="1"/>
  <c r="A36" i="46" s="1"/>
  <c r="B36" i="46"/>
  <c r="J35" i="46"/>
  <c r="K35" i="46" s="1"/>
  <c r="I35" i="46"/>
  <c r="M35" i="46" s="1"/>
  <c r="A35" i="46" s="1"/>
  <c r="B35" i="46"/>
  <c r="K34" i="46"/>
  <c r="J34" i="46"/>
  <c r="I34" i="46"/>
  <c r="M34" i="46" s="1"/>
  <c r="A34" i="46" s="1"/>
  <c r="B34" i="46"/>
  <c r="J33" i="46"/>
  <c r="K33" i="46" s="1"/>
  <c r="I33" i="46"/>
  <c r="M33" i="46" s="1"/>
  <c r="A33" i="46" s="1"/>
  <c r="B33" i="46"/>
  <c r="J32" i="46"/>
  <c r="K32" i="46" s="1"/>
  <c r="I32" i="46"/>
  <c r="M32" i="46" s="1"/>
  <c r="A32" i="46" s="1"/>
  <c r="B32" i="46"/>
  <c r="J31" i="46"/>
  <c r="K31" i="46" s="1"/>
  <c r="I31" i="46"/>
  <c r="M31" i="46" s="1"/>
  <c r="A31" i="46" s="1"/>
  <c r="B31" i="46"/>
  <c r="J30" i="46"/>
  <c r="K30" i="46" s="1"/>
  <c r="I30" i="46"/>
  <c r="M30" i="46" s="1"/>
  <c r="A30" i="46" s="1"/>
  <c r="B30" i="46"/>
  <c r="J29" i="46"/>
  <c r="K29" i="46" s="1"/>
  <c r="I29" i="46"/>
  <c r="B29" i="46"/>
  <c r="J28" i="46"/>
  <c r="K28" i="46" s="1"/>
  <c r="I28" i="46"/>
  <c r="B28" i="46"/>
  <c r="J27" i="46"/>
  <c r="K27" i="46" s="1"/>
  <c r="I27" i="46"/>
  <c r="M27" i="46" s="1"/>
  <c r="A27" i="46" s="1"/>
  <c r="B27" i="46"/>
  <c r="J26" i="46"/>
  <c r="K26" i="46" s="1"/>
  <c r="I26" i="46"/>
  <c r="B26" i="46"/>
  <c r="J25" i="46"/>
  <c r="K25" i="46" s="1"/>
  <c r="I25" i="46"/>
  <c r="M25" i="46" s="1"/>
  <c r="A25" i="46" s="1"/>
  <c r="B25" i="46"/>
  <c r="J24" i="46"/>
  <c r="K24" i="46" s="1"/>
  <c r="I24" i="46"/>
  <c r="B24" i="46"/>
  <c r="J23" i="46"/>
  <c r="K23" i="46" s="1"/>
  <c r="M23" i="46" s="1"/>
  <c r="A23" i="46" s="1"/>
  <c r="I23" i="46"/>
  <c r="B23" i="46"/>
  <c r="J22" i="46"/>
  <c r="K22" i="46" s="1"/>
  <c r="M22" i="46" s="1"/>
  <c r="A22" i="46" s="1"/>
  <c r="I22" i="46"/>
  <c r="B22" i="46"/>
  <c r="J21" i="46"/>
  <c r="K21" i="46" s="1"/>
  <c r="I21" i="46"/>
  <c r="M21" i="46" s="1"/>
  <c r="B21" i="46"/>
  <c r="A21" i="46"/>
  <c r="J20" i="46"/>
  <c r="K20" i="46" s="1"/>
  <c r="I20" i="46"/>
  <c r="M20" i="46" s="1"/>
  <c r="A20" i="46" s="1"/>
  <c r="B20" i="46"/>
  <c r="J19" i="46"/>
  <c r="K19" i="46" s="1"/>
  <c r="M19" i="46" s="1"/>
  <c r="A19" i="46" s="1"/>
  <c r="I19" i="46"/>
  <c r="B19" i="46"/>
  <c r="J18" i="46"/>
  <c r="K18" i="46" s="1"/>
  <c r="I18" i="46"/>
  <c r="M18" i="46" s="1"/>
  <c r="A18" i="46" s="1"/>
  <c r="B18" i="46"/>
  <c r="K17" i="46"/>
  <c r="J17" i="46"/>
  <c r="I17" i="46"/>
  <c r="B17" i="46"/>
  <c r="J16" i="46"/>
  <c r="K16" i="46" s="1"/>
  <c r="I16" i="46"/>
  <c r="M16" i="46" s="1"/>
  <c r="A16" i="46" s="1"/>
  <c r="B16" i="46"/>
  <c r="J15" i="46"/>
  <c r="K15" i="46" s="1"/>
  <c r="M15" i="46" s="1"/>
  <c r="A15" i="46" s="1"/>
  <c r="I15" i="46"/>
  <c r="B15" i="46"/>
  <c r="AI14" i="46"/>
  <c r="J14" i="46"/>
  <c r="K14" i="46" s="1"/>
  <c r="M14" i="46" s="1"/>
  <c r="A14" i="46" s="1"/>
  <c r="I14" i="46"/>
  <c r="B14" i="46"/>
  <c r="AI13" i="46"/>
  <c r="J13" i="46"/>
  <c r="K13" i="46" s="1"/>
  <c r="M13" i="46" s="1"/>
  <c r="A13" i="46" s="1"/>
  <c r="I13" i="46"/>
  <c r="B13" i="46"/>
  <c r="AI12" i="46"/>
  <c r="AI16" i="46" s="1"/>
  <c r="J12" i="46"/>
  <c r="K12" i="46" s="1"/>
  <c r="I12" i="46"/>
  <c r="M12" i="46" s="1"/>
  <c r="A12" i="46" s="1"/>
  <c r="B12" i="46"/>
  <c r="J11" i="46"/>
  <c r="K11" i="46" s="1"/>
  <c r="I11" i="46"/>
  <c r="B11" i="46"/>
  <c r="J10" i="46"/>
  <c r="K10" i="46" s="1"/>
  <c r="I10" i="46"/>
  <c r="M10" i="46" s="1"/>
  <c r="A10" i="46" s="1"/>
  <c r="B10" i="46"/>
  <c r="L9" i="46"/>
  <c r="K9" i="46"/>
  <c r="M9" i="46" s="1"/>
  <c r="A9" i="46" s="1"/>
  <c r="J9" i="46"/>
  <c r="I9" i="46"/>
  <c r="B9" i="46"/>
  <c r="L8" i="46"/>
  <c r="J8" i="46"/>
  <c r="K8" i="46" s="1"/>
  <c r="M8" i="46" s="1"/>
  <c r="A8" i="46" s="1"/>
  <c r="I8" i="46"/>
  <c r="B8" i="46"/>
  <c r="J7" i="46"/>
  <c r="K7" i="46" s="1"/>
  <c r="I7" i="46"/>
  <c r="B7" i="46"/>
  <c r="AT6" i="31" s="1"/>
  <c r="L6" i="46"/>
  <c r="J6" i="46"/>
  <c r="K6" i="46" s="1"/>
  <c r="I6" i="46"/>
  <c r="B6" i="46"/>
  <c r="AT33" i="31" s="1"/>
  <c r="K2" i="46"/>
  <c r="L7" i="46" s="1"/>
  <c r="J374" i="45"/>
  <c r="J373" i="45"/>
  <c r="J372" i="45"/>
  <c r="J371" i="45"/>
  <c r="J370" i="45"/>
  <c r="J369" i="45"/>
  <c r="J368" i="45"/>
  <c r="J367" i="45"/>
  <c r="J366" i="45"/>
  <c r="J365" i="45"/>
  <c r="J364" i="45"/>
  <c r="J363" i="45"/>
  <c r="J362" i="45"/>
  <c r="J361" i="45"/>
  <c r="J360" i="45"/>
  <c r="J359" i="45"/>
  <c r="J358" i="45"/>
  <c r="J357" i="45"/>
  <c r="J356" i="45"/>
  <c r="J355" i="45"/>
  <c r="J354" i="45"/>
  <c r="J353" i="45"/>
  <c r="J352" i="45"/>
  <c r="J351" i="45"/>
  <c r="J350" i="45"/>
  <c r="J349" i="45"/>
  <c r="J348" i="45"/>
  <c r="J347" i="45"/>
  <c r="J346" i="45"/>
  <c r="J345" i="45"/>
  <c r="J344" i="45"/>
  <c r="J343" i="45"/>
  <c r="J342" i="45"/>
  <c r="J341" i="45"/>
  <c r="J340" i="45"/>
  <c r="J339" i="45"/>
  <c r="J338" i="45"/>
  <c r="J337" i="45"/>
  <c r="J336" i="45"/>
  <c r="J335" i="45"/>
  <c r="J334" i="45"/>
  <c r="J333" i="45"/>
  <c r="J332" i="45"/>
  <c r="J331" i="45"/>
  <c r="J330" i="45"/>
  <c r="J329" i="45"/>
  <c r="J328" i="45"/>
  <c r="J327" i="45"/>
  <c r="J326" i="45"/>
  <c r="J325" i="45"/>
  <c r="J324" i="45"/>
  <c r="J323" i="45"/>
  <c r="J322" i="45"/>
  <c r="J321" i="45"/>
  <c r="J320" i="45"/>
  <c r="J319" i="45"/>
  <c r="J318" i="45"/>
  <c r="J317" i="45"/>
  <c r="J316" i="45"/>
  <c r="J315" i="45"/>
  <c r="J314" i="45"/>
  <c r="J313" i="45"/>
  <c r="J312" i="45"/>
  <c r="J311" i="45"/>
  <c r="J310" i="45"/>
  <c r="J309" i="45"/>
  <c r="J308" i="45"/>
  <c r="J307" i="45"/>
  <c r="J306" i="45"/>
  <c r="M305" i="45"/>
  <c r="J305" i="45"/>
  <c r="K305" i="45" s="1"/>
  <c r="I305" i="45"/>
  <c r="J304" i="45"/>
  <c r="K304" i="45" s="1"/>
  <c r="I304" i="45"/>
  <c r="M304" i="45" s="1"/>
  <c r="J303" i="45"/>
  <c r="K303" i="45" s="1"/>
  <c r="I303" i="45"/>
  <c r="M303" i="45" s="1"/>
  <c r="J302" i="45"/>
  <c r="K302" i="45" s="1"/>
  <c r="I302" i="45"/>
  <c r="M302" i="45" s="1"/>
  <c r="J301" i="45"/>
  <c r="K301" i="45" s="1"/>
  <c r="I301" i="45"/>
  <c r="M301" i="45" s="1"/>
  <c r="J300" i="45"/>
  <c r="K300" i="45" s="1"/>
  <c r="I300" i="45"/>
  <c r="M300" i="45" s="1"/>
  <c r="M299" i="45"/>
  <c r="K299" i="45"/>
  <c r="J299" i="45"/>
  <c r="I299" i="45"/>
  <c r="J298" i="45"/>
  <c r="K298" i="45" s="1"/>
  <c r="I298" i="45"/>
  <c r="M298" i="45" s="1"/>
  <c r="M297" i="45"/>
  <c r="J297" i="45"/>
  <c r="K297" i="45" s="1"/>
  <c r="I297" i="45"/>
  <c r="J296" i="45"/>
  <c r="K296" i="45" s="1"/>
  <c r="I296" i="45"/>
  <c r="M296" i="45" s="1"/>
  <c r="J295" i="45"/>
  <c r="K295" i="45" s="1"/>
  <c r="I295" i="45"/>
  <c r="M295" i="45" s="1"/>
  <c r="J294" i="45"/>
  <c r="K294" i="45" s="1"/>
  <c r="I294" i="45"/>
  <c r="M294" i="45" s="1"/>
  <c r="J293" i="45"/>
  <c r="K293" i="45" s="1"/>
  <c r="I293" i="45"/>
  <c r="M293" i="45" s="1"/>
  <c r="J292" i="45"/>
  <c r="K292" i="45" s="1"/>
  <c r="I292" i="45"/>
  <c r="M292" i="45" s="1"/>
  <c r="M291" i="45"/>
  <c r="K291" i="45"/>
  <c r="J291" i="45"/>
  <c r="I291" i="45"/>
  <c r="J290" i="45"/>
  <c r="K290" i="45" s="1"/>
  <c r="I290" i="45"/>
  <c r="M290" i="45" s="1"/>
  <c r="M289" i="45"/>
  <c r="J289" i="45"/>
  <c r="K289" i="45" s="1"/>
  <c r="I289" i="45"/>
  <c r="J288" i="45"/>
  <c r="K288" i="45" s="1"/>
  <c r="I288" i="45"/>
  <c r="M288" i="45" s="1"/>
  <c r="J287" i="45"/>
  <c r="K287" i="45" s="1"/>
  <c r="I287" i="45"/>
  <c r="M287" i="45" s="1"/>
  <c r="J286" i="45"/>
  <c r="K286" i="45" s="1"/>
  <c r="I286" i="45"/>
  <c r="M286" i="45" s="1"/>
  <c r="J285" i="45"/>
  <c r="K285" i="45" s="1"/>
  <c r="I285" i="45"/>
  <c r="M285" i="45" s="1"/>
  <c r="J284" i="45"/>
  <c r="K284" i="45" s="1"/>
  <c r="I284" i="45"/>
  <c r="M284" i="45" s="1"/>
  <c r="M283" i="45"/>
  <c r="K283" i="45"/>
  <c r="J283" i="45"/>
  <c r="I283" i="45"/>
  <c r="J282" i="45"/>
  <c r="K282" i="45" s="1"/>
  <c r="I282" i="45"/>
  <c r="M282" i="45" s="1"/>
  <c r="M281" i="45"/>
  <c r="J281" i="45"/>
  <c r="K281" i="45" s="1"/>
  <c r="I281" i="45"/>
  <c r="J280" i="45"/>
  <c r="K280" i="45" s="1"/>
  <c r="I280" i="45"/>
  <c r="M280" i="45" s="1"/>
  <c r="J279" i="45"/>
  <c r="K279" i="45" s="1"/>
  <c r="I279" i="45"/>
  <c r="M279" i="45" s="1"/>
  <c r="J278" i="45"/>
  <c r="K278" i="45" s="1"/>
  <c r="I278" i="45"/>
  <c r="M278" i="45" s="1"/>
  <c r="J277" i="45"/>
  <c r="K277" i="45" s="1"/>
  <c r="I277" i="45"/>
  <c r="M277" i="45" s="1"/>
  <c r="J276" i="45"/>
  <c r="K276" i="45" s="1"/>
  <c r="I276" i="45"/>
  <c r="M276" i="45" s="1"/>
  <c r="M275" i="45"/>
  <c r="K275" i="45"/>
  <c r="J275" i="45"/>
  <c r="I275" i="45"/>
  <c r="J274" i="45"/>
  <c r="K274" i="45" s="1"/>
  <c r="I274" i="45"/>
  <c r="M274" i="45" s="1"/>
  <c r="M273" i="45"/>
  <c r="J273" i="45"/>
  <c r="K273" i="45" s="1"/>
  <c r="I273" i="45"/>
  <c r="J272" i="45"/>
  <c r="K272" i="45" s="1"/>
  <c r="I272" i="45"/>
  <c r="M272" i="45" s="1"/>
  <c r="J271" i="45"/>
  <c r="K271" i="45" s="1"/>
  <c r="I271" i="45"/>
  <c r="M271" i="45" s="1"/>
  <c r="J270" i="45"/>
  <c r="K270" i="45" s="1"/>
  <c r="I270" i="45"/>
  <c r="M270" i="45" s="1"/>
  <c r="J269" i="45"/>
  <c r="K269" i="45" s="1"/>
  <c r="I269" i="45"/>
  <c r="M269" i="45" s="1"/>
  <c r="J268" i="45"/>
  <c r="K268" i="45" s="1"/>
  <c r="I268" i="45"/>
  <c r="M268" i="45" s="1"/>
  <c r="M267" i="45"/>
  <c r="K267" i="45"/>
  <c r="J267" i="45"/>
  <c r="I267" i="45"/>
  <c r="J266" i="45"/>
  <c r="K266" i="45" s="1"/>
  <c r="I266" i="45"/>
  <c r="M266" i="45" s="1"/>
  <c r="M265" i="45"/>
  <c r="J265" i="45"/>
  <c r="K265" i="45" s="1"/>
  <c r="I265" i="45"/>
  <c r="J264" i="45"/>
  <c r="K264" i="45" s="1"/>
  <c r="I264" i="45"/>
  <c r="M264" i="45" s="1"/>
  <c r="J263" i="45"/>
  <c r="K263" i="45" s="1"/>
  <c r="I263" i="45"/>
  <c r="M263" i="45" s="1"/>
  <c r="J262" i="45"/>
  <c r="K262" i="45" s="1"/>
  <c r="I262" i="45"/>
  <c r="M262" i="45" s="1"/>
  <c r="J261" i="45"/>
  <c r="K261" i="45" s="1"/>
  <c r="I261" i="45"/>
  <c r="M261" i="45" s="1"/>
  <c r="J260" i="45"/>
  <c r="K260" i="45" s="1"/>
  <c r="I260" i="45"/>
  <c r="M260" i="45" s="1"/>
  <c r="M259" i="45"/>
  <c r="K259" i="45"/>
  <c r="J259" i="45"/>
  <c r="I259" i="45"/>
  <c r="J258" i="45"/>
  <c r="K258" i="45" s="1"/>
  <c r="I258" i="45"/>
  <c r="M258" i="45" s="1"/>
  <c r="M257" i="45"/>
  <c r="J257" i="45"/>
  <c r="K257" i="45" s="1"/>
  <c r="I257" i="45"/>
  <c r="J256" i="45"/>
  <c r="K256" i="45" s="1"/>
  <c r="I256" i="45"/>
  <c r="M256" i="45" s="1"/>
  <c r="J255" i="45"/>
  <c r="K255" i="45" s="1"/>
  <c r="I255" i="45"/>
  <c r="M255" i="45" s="1"/>
  <c r="J254" i="45"/>
  <c r="K254" i="45" s="1"/>
  <c r="I254" i="45"/>
  <c r="M254" i="45" s="1"/>
  <c r="J253" i="45"/>
  <c r="K253" i="45" s="1"/>
  <c r="I253" i="45"/>
  <c r="M253" i="45" s="1"/>
  <c r="J252" i="45"/>
  <c r="K252" i="45" s="1"/>
  <c r="I252" i="45"/>
  <c r="M252" i="45" s="1"/>
  <c r="M251" i="45"/>
  <c r="K251" i="45"/>
  <c r="J251" i="45"/>
  <c r="I251" i="45"/>
  <c r="J250" i="45"/>
  <c r="K250" i="45" s="1"/>
  <c r="I250" i="45"/>
  <c r="M250" i="45" s="1"/>
  <c r="M249" i="45"/>
  <c r="J249" i="45"/>
  <c r="K249" i="45" s="1"/>
  <c r="I249" i="45"/>
  <c r="J248" i="45"/>
  <c r="K248" i="45" s="1"/>
  <c r="I248" i="45"/>
  <c r="M248" i="45" s="1"/>
  <c r="J247" i="45"/>
  <c r="K247" i="45" s="1"/>
  <c r="I247" i="45"/>
  <c r="M247" i="45" s="1"/>
  <c r="J246" i="45"/>
  <c r="K246" i="45" s="1"/>
  <c r="I246" i="45"/>
  <c r="M246" i="45" s="1"/>
  <c r="J245" i="45"/>
  <c r="K245" i="45" s="1"/>
  <c r="I245" i="45"/>
  <c r="M245" i="45" s="1"/>
  <c r="J244" i="45"/>
  <c r="K244" i="45" s="1"/>
  <c r="I244" i="45"/>
  <c r="M244" i="45" s="1"/>
  <c r="M243" i="45"/>
  <c r="K243" i="45"/>
  <c r="J243" i="45"/>
  <c r="I243" i="45"/>
  <c r="J242" i="45"/>
  <c r="K242" i="45" s="1"/>
  <c r="I242" i="45"/>
  <c r="M242" i="45" s="1"/>
  <c r="M241" i="45"/>
  <c r="J241" i="45"/>
  <c r="K241" i="45" s="1"/>
  <c r="I241" i="45"/>
  <c r="J240" i="45"/>
  <c r="K240" i="45" s="1"/>
  <c r="I240" i="45"/>
  <c r="M240" i="45" s="1"/>
  <c r="J239" i="45"/>
  <c r="K239" i="45" s="1"/>
  <c r="I239" i="45"/>
  <c r="M239" i="45" s="1"/>
  <c r="J238" i="45"/>
  <c r="K238" i="45" s="1"/>
  <c r="I238" i="45"/>
  <c r="M238" i="45" s="1"/>
  <c r="J237" i="45"/>
  <c r="K237" i="45" s="1"/>
  <c r="I237" i="45"/>
  <c r="M237" i="45" s="1"/>
  <c r="J236" i="45"/>
  <c r="K236" i="45" s="1"/>
  <c r="I236" i="45"/>
  <c r="M236" i="45" s="1"/>
  <c r="M235" i="45"/>
  <c r="K235" i="45"/>
  <c r="J235" i="45"/>
  <c r="I235" i="45"/>
  <c r="J234" i="45"/>
  <c r="K234" i="45" s="1"/>
  <c r="I234" i="45"/>
  <c r="M234" i="45" s="1"/>
  <c r="M233" i="45"/>
  <c r="J233" i="45"/>
  <c r="K233" i="45" s="1"/>
  <c r="I233" i="45"/>
  <c r="J232" i="45"/>
  <c r="K232" i="45" s="1"/>
  <c r="I232" i="45"/>
  <c r="M232" i="45" s="1"/>
  <c r="J231" i="45"/>
  <c r="K231" i="45" s="1"/>
  <c r="I231" i="45"/>
  <c r="M231" i="45" s="1"/>
  <c r="J230" i="45"/>
  <c r="K230" i="45" s="1"/>
  <c r="I230" i="45"/>
  <c r="M230" i="45" s="1"/>
  <c r="J229" i="45"/>
  <c r="K229" i="45" s="1"/>
  <c r="I229" i="45"/>
  <c r="M229" i="45" s="1"/>
  <c r="J228" i="45"/>
  <c r="K228" i="45" s="1"/>
  <c r="I228" i="45"/>
  <c r="M228" i="45" s="1"/>
  <c r="M227" i="45"/>
  <c r="K227" i="45"/>
  <c r="J227" i="45"/>
  <c r="I227" i="45"/>
  <c r="J226" i="45"/>
  <c r="K226" i="45" s="1"/>
  <c r="I226" i="45"/>
  <c r="M226" i="45" s="1"/>
  <c r="M225" i="45"/>
  <c r="J225" i="45"/>
  <c r="K225" i="45" s="1"/>
  <c r="I225" i="45"/>
  <c r="J224" i="45"/>
  <c r="K224" i="45" s="1"/>
  <c r="I224" i="45"/>
  <c r="M224" i="45" s="1"/>
  <c r="J223" i="45"/>
  <c r="K223" i="45" s="1"/>
  <c r="I223" i="45"/>
  <c r="M223" i="45" s="1"/>
  <c r="J222" i="45"/>
  <c r="K222" i="45" s="1"/>
  <c r="I222" i="45"/>
  <c r="M222" i="45" s="1"/>
  <c r="J221" i="45"/>
  <c r="K221" i="45" s="1"/>
  <c r="I221" i="45"/>
  <c r="M221" i="45" s="1"/>
  <c r="J220" i="45"/>
  <c r="K220" i="45" s="1"/>
  <c r="I220" i="45"/>
  <c r="M220" i="45" s="1"/>
  <c r="M219" i="45"/>
  <c r="K219" i="45"/>
  <c r="J219" i="45"/>
  <c r="I219" i="45"/>
  <c r="J218" i="45"/>
  <c r="K218" i="45" s="1"/>
  <c r="I218" i="45"/>
  <c r="M218" i="45" s="1"/>
  <c r="M217" i="45"/>
  <c r="J217" i="45"/>
  <c r="K217" i="45" s="1"/>
  <c r="I217" i="45"/>
  <c r="J216" i="45"/>
  <c r="K216" i="45" s="1"/>
  <c r="I216" i="45"/>
  <c r="M216" i="45" s="1"/>
  <c r="J215" i="45"/>
  <c r="K215" i="45" s="1"/>
  <c r="I215" i="45"/>
  <c r="M215" i="45" s="1"/>
  <c r="J214" i="45"/>
  <c r="K214" i="45" s="1"/>
  <c r="I214" i="45"/>
  <c r="M214" i="45" s="1"/>
  <c r="J213" i="45"/>
  <c r="K213" i="45" s="1"/>
  <c r="I213" i="45"/>
  <c r="M213" i="45" s="1"/>
  <c r="J212" i="45"/>
  <c r="K212" i="45" s="1"/>
  <c r="I212" i="45"/>
  <c r="M212" i="45" s="1"/>
  <c r="M211" i="45"/>
  <c r="K211" i="45"/>
  <c r="J211" i="45"/>
  <c r="I211" i="45"/>
  <c r="J210" i="45"/>
  <c r="K210" i="45" s="1"/>
  <c r="I210" i="45"/>
  <c r="M210" i="45" s="1"/>
  <c r="M209" i="45"/>
  <c r="J209" i="45"/>
  <c r="K209" i="45" s="1"/>
  <c r="I209" i="45"/>
  <c r="J208" i="45"/>
  <c r="K208" i="45" s="1"/>
  <c r="I208" i="45"/>
  <c r="M208" i="45" s="1"/>
  <c r="J207" i="45"/>
  <c r="K207" i="45" s="1"/>
  <c r="I207" i="45"/>
  <c r="M207" i="45" s="1"/>
  <c r="J206" i="45"/>
  <c r="K206" i="45" s="1"/>
  <c r="I206" i="45"/>
  <c r="M206" i="45" s="1"/>
  <c r="J205" i="45"/>
  <c r="K205" i="45" s="1"/>
  <c r="I205" i="45"/>
  <c r="M205" i="45" s="1"/>
  <c r="J204" i="45"/>
  <c r="K204" i="45" s="1"/>
  <c r="I204" i="45"/>
  <c r="M204" i="45" s="1"/>
  <c r="M203" i="45"/>
  <c r="K203" i="45"/>
  <c r="J203" i="45"/>
  <c r="I203" i="45"/>
  <c r="J202" i="45"/>
  <c r="K202" i="45" s="1"/>
  <c r="I202" i="45"/>
  <c r="M202" i="45" s="1"/>
  <c r="M201" i="45"/>
  <c r="J201" i="45"/>
  <c r="K201" i="45" s="1"/>
  <c r="I201" i="45"/>
  <c r="J200" i="45"/>
  <c r="K200" i="45" s="1"/>
  <c r="I200" i="45"/>
  <c r="M200" i="45" s="1"/>
  <c r="J199" i="45"/>
  <c r="K199" i="45" s="1"/>
  <c r="I199" i="45"/>
  <c r="M199" i="45" s="1"/>
  <c r="J198" i="45"/>
  <c r="K198" i="45" s="1"/>
  <c r="I198" i="45"/>
  <c r="M198" i="45" s="1"/>
  <c r="J197" i="45"/>
  <c r="K197" i="45" s="1"/>
  <c r="I197" i="45"/>
  <c r="M197" i="45" s="1"/>
  <c r="J196" i="45"/>
  <c r="K196" i="45" s="1"/>
  <c r="I196" i="45"/>
  <c r="M196" i="45" s="1"/>
  <c r="M195" i="45"/>
  <c r="K195" i="45"/>
  <c r="J195" i="45"/>
  <c r="I195" i="45"/>
  <c r="J194" i="45"/>
  <c r="K194" i="45" s="1"/>
  <c r="I194" i="45"/>
  <c r="M194" i="45" s="1"/>
  <c r="M193" i="45"/>
  <c r="J193" i="45"/>
  <c r="K193" i="45" s="1"/>
  <c r="I193" i="45"/>
  <c r="J192" i="45"/>
  <c r="K192" i="45" s="1"/>
  <c r="I192" i="45"/>
  <c r="M192" i="45" s="1"/>
  <c r="J191" i="45"/>
  <c r="K191" i="45" s="1"/>
  <c r="I191" i="45"/>
  <c r="M191" i="45" s="1"/>
  <c r="J190" i="45"/>
  <c r="K190" i="45" s="1"/>
  <c r="I190" i="45"/>
  <c r="M190" i="45" s="1"/>
  <c r="J189" i="45"/>
  <c r="K189" i="45" s="1"/>
  <c r="I189" i="45"/>
  <c r="M189" i="45" s="1"/>
  <c r="J188" i="45"/>
  <c r="K188" i="45" s="1"/>
  <c r="I188" i="45"/>
  <c r="M188" i="45" s="1"/>
  <c r="M187" i="45"/>
  <c r="K187" i="45"/>
  <c r="J187" i="45"/>
  <c r="I187" i="45"/>
  <c r="J186" i="45"/>
  <c r="K186" i="45" s="1"/>
  <c r="I186" i="45"/>
  <c r="M186" i="45" s="1"/>
  <c r="M185" i="45"/>
  <c r="J185" i="45"/>
  <c r="K185" i="45" s="1"/>
  <c r="I185" i="45"/>
  <c r="J184" i="45"/>
  <c r="K184" i="45" s="1"/>
  <c r="I184" i="45"/>
  <c r="M184" i="45" s="1"/>
  <c r="J183" i="45"/>
  <c r="K183" i="45" s="1"/>
  <c r="I183" i="45"/>
  <c r="M183" i="45" s="1"/>
  <c r="J182" i="45"/>
  <c r="K182" i="45" s="1"/>
  <c r="I182" i="45"/>
  <c r="M182" i="45" s="1"/>
  <c r="J181" i="45"/>
  <c r="K181" i="45" s="1"/>
  <c r="I181" i="45"/>
  <c r="M181" i="45" s="1"/>
  <c r="J180" i="45"/>
  <c r="K180" i="45" s="1"/>
  <c r="I180" i="45"/>
  <c r="M180" i="45" s="1"/>
  <c r="M179" i="45"/>
  <c r="K179" i="45"/>
  <c r="J179" i="45"/>
  <c r="I179" i="45"/>
  <c r="J178" i="45"/>
  <c r="K178" i="45" s="1"/>
  <c r="I178" i="45"/>
  <c r="M178" i="45" s="1"/>
  <c r="M177" i="45"/>
  <c r="J177" i="45"/>
  <c r="K177" i="45" s="1"/>
  <c r="I177" i="45"/>
  <c r="J176" i="45"/>
  <c r="K176" i="45" s="1"/>
  <c r="I176" i="45"/>
  <c r="M176" i="45" s="1"/>
  <c r="J175" i="45"/>
  <c r="K175" i="45" s="1"/>
  <c r="I175" i="45"/>
  <c r="M175" i="45" s="1"/>
  <c r="J174" i="45"/>
  <c r="K174" i="45" s="1"/>
  <c r="I174" i="45"/>
  <c r="M174" i="45" s="1"/>
  <c r="J173" i="45"/>
  <c r="K173" i="45" s="1"/>
  <c r="I173" i="45"/>
  <c r="M173" i="45" s="1"/>
  <c r="J172" i="45"/>
  <c r="K172" i="45" s="1"/>
  <c r="I172" i="45"/>
  <c r="M172" i="45" s="1"/>
  <c r="M171" i="45"/>
  <c r="K171" i="45"/>
  <c r="J171" i="45"/>
  <c r="I171" i="45"/>
  <c r="J170" i="45"/>
  <c r="K170" i="45" s="1"/>
  <c r="I170" i="45"/>
  <c r="M170" i="45" s="1"/>
  <c r="M169" i="45"/>
  <c r="J169" i="45"/>
  <c r="K169" i="45" s="1"/>
  <c r="I169" i="45"/>
  <c r="J168" i="45"/>
  <c r="K168" i="45" s="1"/>
  <c r="I168" i="45"/>
  <c r="M168" i="45" s="1"/>
  <c r="J167" i="45"/>
  <c r="K167" i="45" s="1"/>
  <c r="I167" i="45"/>
  <c r="M167" i="45" s="1"/>
  <c r="J166" i="45"/>
  <c r="K166" i="45" s="1"/>
  <c r="I166" i="45"/>
  <c r="M166" i="45" s="1"/>
  <c r="J165" i="45"/>
  <c r="K165" i="45" s="1"/>
  <c r="I165" i="45"/>
  <c r="M165" i="45" s="1"/>
  <c r="J164" i="45"/>
  <c r="K164" i="45" s="1"/>
  <c r="I164" i="45"/>
  <c r="M164" i="45" s="1"/>
  <c r="M163" i="45"/>
  <c r="K163" i="45"/>
  <c r="J163" i="45"/>
  <c r="I163" i="45"/>
  <c r="J162" i="45"/>
  <c r="K162" i="45" s="1"/>
  <c r="I162" i="45"/>
  <c r="M162" i="45" s="1"/>
  <c r="M161" i="45"/>
  <c r="J161" i="45"/>
  <c r="K161" i="45" s="1"/>
  <c r="I161" i="45"/>
  <c r="J160" i="45"/>
  <c r="K160" i="45" s="1"/>
  <c r="I160" i="45"/>
  <c r="M160" i="45" s="1"/>
  <c r="J159" i="45"/>
  <c r="K159" i="45" s="1"/>
  <c r="I159" i="45"/>
  <c r="M159" i="45" s="1"/>
  <c r="J158" i="45"/>
  <c r="K158" i="45" s="1"/>
  <c r="I158" i="45"/>
  <c r="M158" i="45" s="1"/>
  <c r="J157" i="45"/>
  <c r="K157" i="45" s="1"/>
  <c r="I157" i="45"/>
  <c r="M157" i="45" s="1"/>
  <c r="J156" i="45"/>
  <c r="K156" i="45" s="1"/>
  <c r="I156" i="45"/>
  <c r="M156" i="45" s="1"/>
  <c r="M155" i="45"/>
  <c r="K155" i="45"/>
  <c r="J155" i="45"/>
  <c r="I155" i="45"/>
  <c r="J154" i="45"/>
  <c r="K154" i="45" s="1"/>
  <c r="I154" i="45"/>
  <c r="M154" i="45" s="1"/>
  <c r="M153" i="45"/>
  <c r="J153" i="45"/>
  <c r="K153" i="45" s="1"/>
  <c r="I153" i="45"/>
  <c r="J152" i="45"/>
  <c r="K152" i="45" s="1"/>
  <c r="I152" i="45"/>
  <c r="M152" i="45" s="1"/>
  <c r="J151" i="45"/>
  <c r="K151" i="45" s="1"/>
  <c r="I151" i="45"/>
  <c r="M151" i="45" s="1"/>
  <c r="J150" i="45"/>
  <c r="K150" i="45" s="1"/>
  <c r="I150" i="45"/>
  <c r="M150" i="45" s="1"/>
  <c r="J149" i="45"/>
  <c r="K149" i="45" s="1"/>
  <c r="I149" i="45"/>
  <c r="M149" i="45" s="1"/>
  <c r="J148" i="45"/>
  <c r="K148" i="45" s="1"/>
  <c r="I148" i="45"/>
  <c r="M148" i="45" s="1"/>
  <c r="M147" i="45"/>
  <c r="K147" i="45"/>
  <c r="J147" i="45"/>
  <c r="I147" i="45"/>
  <c r="J146" i="45"/>
  <c r="K146" i="45" s="1"/>
  <c r="I146" i="45"/>
  <c r="M146" i="45" s="1"/>
  <c r="M145" i="45"/>
  <c r="J145" i="45"/>
  <c r="K145" i="45" s="1"/>
  <c r="I145" i="45"/>
  <c r="J144" i="45"/>
  <c r="K144" i="45" s="1"/>
  <c r="I144" i="45"/>
  <c r="M144" i="45" s="1"/>
  <c r="J143" i="45"/>
  <c r="K143" i="45" s="1"/>
  <c r="I143" i="45"/>
  <c r="M143" i="45" s="1"/>
  <c r="J142" i="45"/>
  <c r="K142" i="45" s="1"/>
  <c r="I142" i="45"/>
  <c r="M142" i="45" s="1"/>
  <c r="J141" i="45"/>
  <c r="K141" i="45" s="1"/>
  <c r="I141" i="45"/>
  <c r="M141" i="45" s="1"/>
  <c r="J140" i="45"/>
  <c r="K140" i="45" s="1"/>
  <c r="I140" i="45"/>
  <c r="M140" i="45" s="1"/>
  <c r="M139" i="45"/>
  <c r="K139" i="45"/>
  <c r="J139" i="45"/>
  <c r="I139" i="45"/>
  <c r="J138" i="45"/>
  <c r="K138" i="45" s="1"/>
  <c r="I138" i="45"/>
  <c r="M138" i="45" s="1"/>
  <c r="M137" i="45"/>
  <c r="J137" i="45"/>
  <c r="K137" i="45" s="1"/>
  <c r="I137" i="45"/>
  <c r="J136" i="45"/>
  <c r="K136" i="45" s="1"/>
  <c r="I136" i="45"/>
  <c r="M136" i="45" s="1"/>
  <c r="J135" i="45"/>
  <c r="K135" i="45" s="1"/>
  <c r="I135" i="45"/>
  <c r="M135" i="45" s="1"/>
  <c r="M134" i="45"/>
  <c r="K134" i="45"/>
  <c r="J134" i="45"/>
  <c r="I134" i="45"/>
  <c r="J133" i="45"/>
  <c r="K133" i="45" s="1"/>
  <c r="I133" i="45"/>
  <c r="M133" i="45" s="1"/>
  <c r="M132" i="45"/>
  <c r="K132" i="45"/>
  <c r="J132" i="45"/>
  <c r="I132" i="45"/>
  <c r="J131" i="45"/>
  <c r="K131" i="45" s="1"/>
  <c r="I131" i="45"/>
  <c r="M131" i="45" s="1"/>
  <c r="M130" i="45"/>
  <c r="K130" i="45"/>
  <c r="J130" i="45"/>
  <c r="I130" i="45"/>
  <c r="J129" i="45"/>
  <c r="K129" i="45" s="1"/>
  <c r="I129" i="45"/>
  <c r="M129" i="45" s="1"/>
  <c r="M128" i="45"/>
  <c r="K128" i="45"/>
  <c r="J128" i="45"/>
  <c r="I128" i="45"/>
  <c r="J127" i="45"/>
  <c r="K127" i="45" s="1"/>
  <c r="I127" i="45"/>
  <c r="M127" i="45" s="1"/>
  <c r="M126" i="45"/>
  <c r="K126" i="45"/>
  <c r="J126" i="45"/>
  <c r="I126" i="45"/>
  <c r="J125" i="45"/>
  <c r="K125" i="45" s="1"/>
  <c r="I125" i="45"/>
  <c r="M125" i="45" s="1"/>
  <c r="M124" i="45"/>
  <c r="K124" i="45"/>
  <c r="J124" i="45"/>
  <c r="I124" i="45"/>
  <c r="J123" i="45"/>
  <c r="K123" i="45" s="1"/>
  <c r="I123" i="45"/>
  <c r="M123" i="45" s="1"/>
  <c r="M122" i="45"/>
  <c r="K122" i="45"/>
  <c r="J122" i="45"/>
  <c r="I122" i="45"/>
  <c r="J121" i="45"/>
  <c r="K121" i="45" s="1"/>
  <c r="I121" i="45"/>
  <c r="M121" i="45" s="1"/>
  <c r="M120" i="45"/>
  <c r="K120" i="45"/>
  <c r="J120" i="45"/>
  <c r="I120" i="45"/>
  <c r="J119" i="45"/>
  <c r="K119" i="45" s="1"/>
  <c r="I119" i="45"/>
  <c r="M119" i="45" s="1"/>
  <c r="M118" i="45"/>
  <c r="K118" i="45"/>
  <c r="J118" i="45"/>
  <c r="I118" i="45"/>
  <c r="J117" i="45"/>
  <c r="K117" i="45" s="1"/>
  <c r="I117" i="45"/>
  <c r="M117" i="45" s="1"/>
  <c r="M116" i="45"/>
  <c r="K116" i="45"/>
  <c r="J116" i="45"/>
  <c r="I116" i="45"/>
  <c r="J115" i="45"/>
  <c r="K115" i="45" s="1"/>
  <c r="I115" i="45"/>
  <c r="M115" i="45" s="1"/>
  <c r="M114" i="45"/>
  <c r="K114" i="45"/>
  <c r="J114" i="45"/>
  <c r="I114" i="45"/>
  <c r="J113" i="45"/>
  <c r="K113" i="45" s="1"/>
  <c r="I113" i="45"/>
  <c r="M113" i="45" s="1"/>
  <c r="M112" i="45"/>
  <c r="K112" i="45"/>
  <c r="J112" i="45"/>
  <c r="I112" i="45"/>
  <c r="J111" i="45"/>
  <c r="K111" i="45" s="1"/>
  <c r="I111" i="45"/>
  <c r="M111" i="45" s="1"/>
  <c r="M110" i="45"/>
  <c r="K110" i="45"/>
  <c r="J110" i="45"/>
  <c r="I110" i="45"/>
  <c r="J109" i="45"/>
  <c r="K109" i="45" s="1"/>
  <c r="I109" i="45"/>
  <c r="M109" i="45" s="1"/>
  <c r="M108" i="45"/>
  <c r="K108" i="45"/>
  <c r="J108" i="45"/>
  <c r="I108" i="45"/>
  <c r="J107" i="45"/>
  <c r="K107" i="45" s="1"/>
  <c r="I107" i="45"/>
  <c r="M107" i="45" s="1"/>
  <c r="M106" i="45"/>
  <c r="K106" i="45"/>
  <c r="J106" i="45"/>
  <c r="I106" i="45"/>
  <c r="J105" i="45"/>
  <c r="K105" i="45" s="1"/>
  <c r="I105" i="45"/>
  <c r="M105" i="45" s="1"/>
  <c r="M104" i="45"/>
  <c r="K104" i="45"/>
  <c r="J104" i="45"/>
  <c r="I104" i="45"/>
  <c r="J103" i="45"/>
  <c r="K103" i="45" s="1"/>
  <c r="I103" i="45"/>
  <c r="M103" i="45" s="1"/>
  <c r="M102" i="45"/>
  <c r="K102" i="45"/>
  <c r="J102" i="45"/>
  <c r="I102" i="45"/>
  <c r="J101" i="45"/>
  <c r="K101" i="45" s="1"/>
  <c r="I101" i="45"/>
  <c r="M101" i="45" s="1"/>
  <c r="M100" i="45"/>
  <c r="K100" i="45"/>
  <c r="J100" i="45"/>
  <c r="I100" i="45"/>
  <c r="J99" i="45"/>
  <c r="K99" i="45" s="1"/>
  <c r="I99" i="45"/>
  <c r="M99" i="45" s="1"/>
  <c r="M98" i="45"/>
  <c r="K98" i="45"/>
  <c r="J98" i="45"/>
  <c r="I98" i="45"/>
  <c r="J97" i="45"/>
  <c r="K97" i="45" s="1"/>
  <c r="I97" i="45"/>
  <c r="M97" i="45" s="1"/>
  <c r="M96" i="45"/>
  <c r="K96" i="45"/>
  <c r="J96" i="45"/>
  <c r="I96" i="45"/>
  <c r="J95" i="45"/>
  <c r="K95" i="45" s="1"/>
  <c r="I95" i="45"/>
  <c r="M95" i="45" s="1"/>
  <c r="M94" i="45"/>
  <c r="K94" i="45"/>
  <c r="J94" i="45"/>
  <c r="I94" i="45"/>
  <c r="J93" i="45"/>
  <c r="K93" i="45" s="1"/>
  <c r="I93" i="45"/>
  <c r="M93" i="45" s="1"/>
  <c r="M92" i="45"/>
  <c r="K92" i="45"/>
  <c r="J92" i="45"/>
  <c r="I92" i="45"/>
  <c r="J91" i="45"/>
  <c r="K91" i="45" s="1"/>
  <c r="I91" i="45"/>
  <c r="M91" i="45" s="1"/>
  <c r="M90" i="45"/>
  <c r="K90" i="45"/>
  <c r="J90" i="45"/>
  <c r="I90" i="45"/>
  <c r="J89" i="45"/>
  <c r="K89" i="45" s="1"/>
  <c r="I89" i="45"/>
  <c r="M89" i="45" s="1"/>
  <c r="M88" i="45"/>
  <c r="K88" i="45"/>
  <c r="J88" i="45"/>
  <c r="I88" i="45"/>
  <c r="J87" i="45"/>
  <c r="K87" i="45" s="1"/>
  <c r="I87" i="45"/>
  <c r="M87" i="45" s="1"/>
  <c r="M86" i="45"/>
  <c r="K86" i="45"/>
  <c r="J86" i="45"/>
  <c r="I86" i="45"/>
  <c r="J85" i="45"/>
  <c r="K85" i="45" s="1"/>
  <c r="I85" i="45"/>
  <c r="M85" i="45" s="1"/>
  <c r="M84" i="45"/>
  <c r="K84" i="45"/>
  <c r="J84" i="45"/>
  <c r="I84" i="45"/>
  <c r="J83" i="45"/>
  <c r="K83" i="45" s="1"/>
  <c r="I83" i="45"/>
  <c r="M83" i="45" s="1"/>
  <c r="M82" i="45"/>
  <c r="K82" i="45"/>
  <c r="J82" i="45"/>
  <c r="I82" i="45"/>
  <c r="J81" i="45"/>
  <c r="K81" i="45" s="1"/>
  <c r="I81" i="45"/>
  <c r="M81" i="45" s="1"/>
  <c r="M80" i="45"/>
  <c r="K80" i="45"/>
  <c r="J80" i="45"/>
  <c r="I80" i="45"/>
  <c r="J79" i="45"/>
  <c r="K79" i="45" s="1"/>
  <c r="I79" i="45"/>
  <c r="M79" i="45" s="1"/>
  <c r="M78" i="45"/>
  <c r="K78" i="45"/>
  <c r="J78" i="45"/>
  <c r="I78" i="45"/>
  <c r="J77" i="45"/>
  <c r="K77" i="45" s="1"/>
  <c r="I77" i="45"/>
  <c r="M77" i="45" s="1"/>
  <c r="M76" i="45"/>
  <c r="K76" i="45"/>
  <c r="J76" i="45"/>
  <c r="I76" i="45"/>
  <c r="J75" i="45"/>
  <c r="K75" i="45" s="1"/>
  <c r="I75" i="45"/>
  <c r="M75" i="45" s="1"/>
  <c r="M74" i="45"/>
  <c r="K74" i="45"/>
  <c r="J74" i="45"/>
  <c r="I74" i="45"/>
  <c r="J73" i="45"/>
  <c r="K73" i="45" s="1"/>
  <c r="I73" i="45"/>
  <c r="M73" i="45" s="1"/>
  <c r="M72" i="45"/>
  <c r="K72" i="45"/>
  <c r="J72" i="45"/>
  <c r="I72" i="45"/>
  <c r="J71" i="45"/>
  <c r="K71" i="45" s="1"/>
  <c r="I71" i="45"/>
  <c r="M71" i="45" s="1"/>
  <c r="M70" i="45"/>
  <c r="K70" i="45"/>
  <c r="J70" i="45"/>
  <c r="I70" i="45"/>
  <c r="J69" i="45"/>
  <c r="K69" i="45" s="1"/>
  <c r="I69" i="45"/>
  <c r="M69" i="45" s="1"/>
  <c r="M68" i="45"/>
  <c r="K68" i="45"/>
  <c r="J68" i="45"/>
  <c r="I68" i="45"/>
  <c r="J67" i="45"/>
  <c r="K67" i="45" s="1"/>
  <c r="I67" i="45"/>
  <c r="M67" i="45" s="1"/>
  <c r="M66" i="45"/>
  <c r="K66" i="45"/>
  <c r="J66" i="45"/>
  <c r="I66" i="45"/>
  <c r="J65" i="45"/>
  <c r="K65" i="45" s="1"/>
  <c r="I65" i="45"/>
  <c r="M65" i="45" s="1"/>
  <c r="B65" i="45"/>
  <c r="J64" i="45"/>
  <c r="K64" i="45" s="1"/>
  <c r="I64" i="45"/>
  <c r="M64" i="45" s="1"/>
  <c r="B64" i="45"/>
  <c r="M63" i="45"/>
  <c r="J63" i="45"/>
  <c r="K63" i="45" s="1"/>
  <c r="I63" i="45"/>
  <c r="B63" i="45"/>
  <c r="K62" i="45"/>
  <c r="J62" i="45"/>
  <c r="I62" i="45"/>
  <c r="M62" i="45" s="1"/>
  <c r="B62" i="45"/>
  <c r="M61" i="45"/>
  <c r="K61" i="45"/>
  <c r="J61" i="45"/>
  <c r="I61" i="45"/>
  <c r="B61" i="45"/>
  <c r="J60" i="45"/>
  <c r="K60" i="45" s="1"/>
  <c r="I60" i="45"/>
  <c r="M60" i="45" s="1"/>
  <c r="B60" i="45"/>
  <c r="J59" i="45"/>
  <c r="K59" i="45" s="1"/>
  <c r="I59" i="45"/>
  <c r="M59" i="45" s="1"/>
  <c r="B59" i="45"/>
  <c r="M58" i="45"/>
  <c r="K58" i="45"/>
  <c r="J58" i="45"/>
  <c r="I58" i="45"/>
  <c r="B58" i="45"/>
  <c r="J57" i="45"/>
  <c r="K57" i="45" s="1"/>
  <c r="I57" i="45"/>
  <c r="M57" i="45" s="1"/>
  <c r="B57" i="45"/>
  <c r="J56" i="45"/>
  <c r="K56" i="45" s="1"/>
  <c r="I56" i="45"/>
  <c r="M56" i="45" s="1"/>
  <c r="B56" i="45"/>
  <c r="M55" i="45"/>
  <c r="J55" i="45"/>
  <c r="K55" i="45" s="1"/>
  <c r="I55" i="45"/>
  <c r="B55" i="45"/>
  <c r="K54" i="45"/>
  <c r="J54" i="45"/>
  <c r="I54" i="45"/>
  <c r="M54" i="45" s="1"/>
  <c r="B54" i="45"/>
  <c r="M53" i="45"/>
  <c r="K53" i="45"/>
  <c r="J53" i="45"/>
  <c r="I53" i="45"/>
  <c r="B53" i="45"/>
  <c r="J52" i="45"/>
  <c r="K52" i="45" s="1"/>
  <c r="I52" i="45"/>
  <c r="M52" i="45" s="1"/>
  <c r="B52" i="45"/>
  <c r="J51" i="45"/>
  <c r="K51" i="45" s="1"/>
  <c r="I51" i="45"/>
  <c r="M51" i="45" s="1"/>
  <c r="B51" i="45"/>
  <c r="M50" i="45"/>
  <c r="K50" i="45"/>
  <c r="J50" i="45"/>
  <c r="I50" i="45"/>
  <c r="B50" i="45"/>
  <c r="J49" i="45"/>
  <c r="K49" i="45" s="1"/>
  <c r="I49" i="45"/>
  <c r="M49" i="45" s="1"/>
  <c r="B49" i="45"/>
  <c r="J48" i="45"/>
  <c r="K48" i="45" s="1"/>
  <c r="I48" i="45"/>
  <c r="M48" i="45" s="1"/>
  <c r="B48" i="45"/>
  <c r="M47" i="45"/>
  <c r="J47" i="45"/>
  <c r="K47" i="45" s="1"/>
  <c r="I47" i="45"/>
  <c r="B47" i="45"/>
  <c r="T46" i="45"/>
  <c r="U46" i="45" s="1"/>
  <c r="R46" i="45"/>
  <c r="M46" i="45"/>
  <c r="J46" i="45"/>
  <c r="K46" i="45" s="1"/>
  <c r="I46" i="45"/>
  <c r="B46" i="45"/>
  <c r="K45" i="45"/>
  <c r="J45" i="45"/>
  <c r="I45" i="45"/>
  <c r="M45" i="45" s="1"/>
  <c r="B45" i="45"/>
  <c r="M44" i="45"/>
  <c r="K44" i="45"/>
  <c r="J44" i="45"/>
  <c r="I44" i="45"/>
  <c r="B44" i="45"/>
  <c r="J43" i="45"/>
  <c r="K43" i="45" s="1"/>
  <c r="I43" i="45"/>
  <c r="M43" i="45" s="1"/>
  <c r="B43" i="45"/>
  <c r="J42" i="45"/>
  <c r="K42" i="45" s="1"/>
  <c r="I42" i="45"/>
  <c r="M42" i="45" s="1"/>
  <c r="B42" i="45"/>
  <c r="M41" i="45"/>
  <c r="K41" i="45"/>
  <c r="J41" i="45"/>
  <c r="I41" i="45"/>
  <c r="B41" i="45"/>
  <c r="J40" i="45"/>
  <c r="K40" i="45" s="1"/>
  <c r="I40" i="45"/>
  <c r="M40" i="45" s="1"/>
  <c r="B40" i="45"/>
  <c r="J39" i="45"/>
  <c r="K39" i="45" s="1"/>
  <c r="I39" i="45"/>
  <c r="M39" i="45" s="1"/>
  <c r="B39" i="45"/>
  <c r="M38" i="45"/>
  <c r="J38" i="45"/>
  <c r="K38" i="45" s="1"/>
  <c r="I38" i="45"/>
  <c r="B38" i="45"/>
  <c r="K37" i="45"/>
  <c r="J37" i="45"/>
  <c r="I37" i="45"/>
  <c r="M37" i="45" s="1"/>
  <c r="A37" i="45" s="1"/>
  <c r="B37" i="45"/>
  <c r="J36" i="45"/>
  <c r="K36" i="45" s="1"/>
  <c r="I36" i="45"/>
  <c r="M36" i="45" s="1"/>
  <c r="A36" i="45" s="1"/>
  <c r="B36" i="45"/>
  <c r="M35" i="45"/>
  <c r="A35" i="45" s="1"/>
  <c r="K35" i="45"/>
  <c r="J35" i="45"/>
  <c r="I35" i="45"/>
  <c r="B35" i="45"/>
  <c r="J34" i="45"/>
  <c r="K34" i="45" s="1"/>
  <c r="I34" i="45"/>
  <c r="M34" i="45" s="1"/>
  <c r="A34" i="45" s="1"/>
  <c r="B34" i="45"/>
  <c r="K33" i="45"/>
  <c r="J33" i="45"/>
  <c r="I33" i="45"/>
  <c r="M33" i="45" s="1"/>
  <c r="A33" i="45" s="1"/>
  <c r="B33" i="45"/>
  <c r="J32" i="45"/>
  <c r="K32" i="45" s="1"/>
  <c r="I32" i="45"/>
  <c r="M32" i="45" s="1"/>
  <c r="A32" i="45" s="1"/>
  <c r="B32" i="45"/>
  <c r="M31" i="45"/>
  <c r="A31" i="45" s="1"/>
  <c r="K31" i="45"/>
  <c r="J31" i="45"/>
  <c r="I31" i="45"/>
  <c r="B31" i="45"/>
  <c r="J30" i="45"/>
  <c r="K30" i="45" s="1"/>
  <c r="I30" i="45"/>
  <c r="M30" i="45" s="1"/>
  <c r="A30" i="45" s="1"/>
  <c r="B30" i="45"/>
  <c r="K29" i="45"/>
  <c r="J29" i="45"/>
  <c r="I29" i="45"/>
  <c r="M29" i="45" s="1"/>
  <c r="A29" i="45" s="1"/>
  <c r="B29" i="45"/>
  <c r="J28" i="45"/>
  <c r="K28" i="45" s="1"/>
  <c r="I28" i="45"/>
  <c r="M28" i="45" s="1"/>
  <c r="A28" i="45" s="1"/>
  <c r="B28" i="45"/>
  <c r="M27" i="45"/>
  <c r="A27" i="45" s="1"/>
  <c r="K27" i="45"/>
  <c r="J27" i="45"/>
  <c r="I27" i="45"/>
  <c r="B27" i="45"/>
  <c r="J26" i="45"/>
  <c r="K26" i="45" s="1"/>
  <c r="I26" i="45"/>
  <c r="M26" i="45" s="1"/>
  <c r="A26" i="45" s="1"/>
  <c r="B26" i="45"/>
  <c r="K25" i="45"/>
  <c r="J25" i="45"/>
  <c r="I25" i="45"/>
  <c r="M25" i="45" s="1"/>
  <c r="A25" i="45" s="1"/>
  <c r="B25" i="45"/>
  <c r="J24" i="45"/>
  <c r="K24" i="45" s="1"/>
  <c r="I24" i="45"/>
  <c r="M24" i="45" s="1"/>
  <c r="A24" i="45" s="1"/>
  <c r="B24" i="45"/>
  <c r="M23" i="45"/>
  <c r="A23" i="45" s="1"/>
  <c r="K23" i="45"/>
  <c r="J23" i="45"/>
  <c r="I23" i="45"/>
  <c r="B23" i="45"/>
  <c r="J22" i="45"/>
  <c r="K22" i="45" s="1"/>
  <c r="I22" i="45"/>
  <c r="M22" i="45" s="1"/>
  <c r="A22" i="45" s="1"/>
  <c r="B22" i="45"/>
  <c r="K21" i="45"/>
  <c r="J21" i="45"/>
  <c r="I21" i="45"/>
  <c r="M21" i="45" s="1"/>
  <c r="A21" i="45" s="1"/>
  <c r="B21" i="45"/>
  <c r="J20" i="45"/>
  <c r="K20" i="45" s="1"/>
  <c r="I20" i="45"/>
  <c r="M20" i="45" s="1"/>
  <c r="A20" i="45" s="1"/>
  <c r="B20" i="45"/>
  <c r="M19" i="45"/>
  <c r="A19" i="45" s="1"/>
  <c r="K19" i="45"/>
  <c r="J19" i="45"/>
  <c r="I19" i="45"/>
  <c r="B19" i="45"/>
  <c r="J18" i="45"/>
  <c r="K18" i="45" s="1"/>
  <c r="I18" i="45"/>
  <c r="M18" i="45" s="1"/>
  <c r="A18" i="45" s="1"/>
  <c r="B18" i="45"/>
  <c r="K17" i="45"/>
  <c r="J17" i="45"/>
  <c r="I17" i="45"/>
  <c r="M17" i="45" s="1"/>
  <c r="A17" i="45" s="1"/>
  <c r="B17" i="45"/>
  <c r="J16" i="45"/>
  <c r="K16" i="45" s="1"/>
  <c r="I16" i="45"/>
  <c r="M16" i="45" s="1"/>
  <c r="A16" i="45" s="1"/>
  <c r="B16" i="45"/>
  <c r="M15" i="45"/>
  <c r="A15" i="45" s="1"/>
  <c r="K15" i="45"/>
  <c r="J15" i="45"/>
  <c r="I15" i="45"/>
  <c r="B15" i="45"/>
  <c r="AI14" i="45"/>
  <c r="M14" i="45"/>
  <c r="A14" i="45" s="1"/>
  <c r="K14" i="45"/>
  <c r="J14" i="45"/>
  <c r="I14" i="45"/>
  <c r="B14" i="45"/>
  <c r="AI13" i="45"/>
  <c r="M13" i="45"/>
  <c r="A13" i="45" s="1"/>
  <c r="J13" i="45"/>
  <c r="K13" i="45" s="1"/>
  <c r="I13" i="45"/>
  <c r="B13" i="45"/>
  <c r="AI12" i="45"/>
  <c r="AI16" i="45" s="1"/>
  <c r="J12" i="45"/>
  <c r="K12" i="45" s="1"/>
  <c r="I12" i="45"/>
  <c r="M12" i="45" s="1"/>
  <c r="A12" i="45" s="1"/>
  <c r="B12" i="45"/>
  <c r="K11" i="45"/>
  <c r="J11" i="45"/>
  <c r="I11" i="45"/>
  <c r="M11" i="45" s="1"/>
  <c r="A11" i="45" s="1"/>
  <c r="B11" i="45"/>
  <c r="J10" i="45"/>
  <c r="K10" i="45" s="1"/>
  <c r="I10" i="45"/>
  <c r="M10" i="45" s="1"/>
  <c r="A10" i="45" s="1"/>
  <c r="B10" i="45"/>
  <c r="M9" i="45"/>
  <c r="A9" i="45" s="1"/>
  <c r="L9" i="45"/>
  <c r="K9" i="45"/>
  <c r="J9" i="45"/>
  <c r="I9" i="45"/>
  <c r="B9" i="45"/>
  <c r="M8" i="45"/>
  <c r="A8" i="45" s="1"/>
  <c r="L8" i="45"/>
  <c r="K8" i="45"/>
  <c r="J8" i="45"/>
  <c r="I8" i="45"/>
  <c r="B8" i="45"/>
  <c r="L7" i="45"/>
  <c r="J7" i="45"/>
  <c r="K7" i="45" s="1"/>
  <c r="I7" i="45"/>
  <c r="M7" i="45" s="1"/>
  <c r="A7" i="45" s="1"/>
  <c r="B7" i="45"/>
  <c r="J6" i="45"/>
  <c r="K6" i="45" s="1"/>
  <c r="I6" i="45"/>
  <c r="M6" i="45" s="1"/>
  <c r="A6" i="45" s="1"/>
  <c r="B6" i="45"/>
  <c r="K2" i="45"/>
  <c r="L6" i="45" s="1"/>
  <c r="J374" i="44"/>
  <c r="J373" i="44"/>
  <c r="J372" i="44"/>
  <c r="J371" i="44"/>
  <c r="J370" i="44"/>
  <c r="J369" i="44"/>
  <c r="J368" i="44"/>
  <c r="J367" i="44"/>
  <c r="J366" i="44"/>
  <c r="J365" i="44"/>
  <c r="J364" i="44"/>
  <c r="J363" i="44"/>
  <c r="J362" i="44"/>
  <c r="J361" i="44"/>
  <c r="J360" i="44"/>
  <c r="J359" i="44"/>
  <c r="J358" i="44"/>
  <c r="J357" i="44"/>
  <c r="J356" i="44"/>
  <c r="J355" i="44"/>
  <c r="J354" i="44"/>
  <c r="J353" i="44"/>
  <c r="J352" i="44"/>
  <c r="J351" i="44"/>
  <c r="J350" i="44"/>
  <c r="J349" i="44"/>
  <c r="J348" i="44"/>
  <c r="J347" i="44"/>
  <c r="J346" i="44"/>
  <c r="J345" i="44"/>
  <c r="J344" i="44"/>
  <c r="J343" i="44"/>
  <c r="J342" i="44"/>
  <c r="J341" i="44"/>
  <c r="J340" i="44"/>
  <c r="J339" i="44"/>
  <c r="J338" i="44"/>
  <c r="J337" i="44"/>
  <c r="J336" i="44"/>
  <c r="J335" i="44"/>
  <c r="J334" i="44"/>
  <c r="J333" i="44"/>
  <c r="J332" i="44"/>
  <c r="J331" i="44"/>
  <c r="J330" i="44"/>
  <c r="J329" i="44"/>
  <c r="J328" i="44"/>
  <c r="J327" i="44"/>
  <c r="J326" i="44"/>
  <c r="J325" i="44"/>
  <c r="J324" i="44"/>
  <c r="J323" i="44"/>
  <c r="J322" i="44"/>
  <c r="J321" i="44"/>
  <c r="J320" i="44"/>
  <c r="J319" i="44"/>
  <c r="J318" i="44"/>
  <c r="J317" i="44"/>
  <c r="J316" i="44"/>
  <c r="J315" i="44"/>
  <c r="J314" i="44"/>
  <c r="J313" i="44"/>
  <c r="J312" i="44"/>
  <c r="J311" i="44"/>
  <c r="J310" i="44"/>
  <c r="J309" i="44"/>
  <c r="J308" i="44"/>
  <c r="J307" i="44"/>
  <c r="J306" i="44"/>
  <c r="M305" i="44"/>
  <c r="J305" i="44"/>
  <c r="K305" i="44" s="1"/>
  <c r="I305" i="44"/>
  <c r="J304" i="44"/>
  <c r="K304" i="44" s="1"/>
  <c r="I304" i="44"/>
  <c r="M304" i="44" s="1"/>
  <c r="M303" i="44"/>
  <c r="J303" i="44"/>
  <c r="K303" i="44" s="1"/>
  <c r="I303" i="44"/>
  <c r="J302" i="44"/>
  <c r="K302" i="44" s="1"/>
  <c r="I302" i="44"/>
  <c r="M302" i="44" s="1"/>
  <c r="J301" i="44"/>
  <c r="K301" i="44" s="1"/>
  <c r="I301" i="44"/>
  <c r="M301" i="44" s="1"/>
  <c r="K300" i="44"/>
  <c r="J300" i="44"/>
  <c r="I300" i="44"/>
  <c r="M300" i="44" s="1"/>
  <c r="M299" i="44"/>
  <c r="J299" i="44"/>
  <c r="K299" i="44" s="1"/>
  <c r="I299" i="44"/>
  <c r="J298" i="44"/>
  <c r="K298" i="44" s="1"/>
  <c r="I298" i="44"/>
  <c r="M298" i="44" s="1"/>
  <c r="M297" i="44"/>
  <c r="J297" i="44"/>
  <c r="K297" i="44" s="1"/>
  <c r="I297" i="44"/>
  <c r="J296" i="44"/>
  <c r="K296" i="44" s="1"/>
  <c r="I296" i="44"/>
  <c r="M296" i="44" s="1"/>
  <c r="K295" i="44"/>
  <c r="J295" i="44"/>
  <c r="I295" i="44"/>
  <c r="M295" i="44" s="1"/>
  <c r="J294" i="44"/>
  <c r="K294" i="44" s="1"/>
  <c r="I294" i="44"/>
  <c r="M294" i="44" s="1"/>
  <c r="M293" i="44"/>
  <c r="J293" i="44"/>
  <c r="K293" i="44" s="1"/>
  <c r="I293" i="44"/>
  <c r="K292" i="44"/>
  <c r="J292" i="44"/>
  <c r="I292" i="44"/>
  <c r="M292" i="44" s="1"/>
  <c r="J291" i="44"/>
  <c r="K291" i="44" s="1"/>
  <c r="I291" i="44"/>
  <c r="M291" i="44" s="1"/>
  <c r="J290" i="44"/>
  <c r="K290" i="44" s="1"/>
  <c r="I290" i="44"/>
  <c r="M290" i="44" s="1"/>
  <c r="J289" i="44"/>
  <c r="K289" i="44" s="1"/>
  <c r="I289" i="44"/>
  <c r="M289" i="44" s="1"/>
  <c r="J288" i="44"/>
  <c r="K288" i="44" s="1"/>
  <c r="I288" i="44"/>
  <c r="M288" i="44" s="1"/>
  <c r="K287" i="44"/>
  <c r="J287" i="44"/>
  <c r="I287" i="44"/>
  <c r="M287" i="44" s="1"/>
  <c r="J286" i="44"/>
  <c r="K286" i="44" s="1"/>
  <c r="I286" i="44"/>
  <c r="M286" i="44" s="1"/>
  <c r="K285" i="44"/>
  <c r="J285" i="44"/>
  <c r="I285" i="44"/>
  <c r="M285" i="44" s="1"/>
  <c r="J284" i="44"/>
  <c r="K284" i="44" s="1"/>
  <c r="I284" i="44"/>
  <c r="M284" i="44" s="1"/>
  <c r="J283" i="44"/>
  <c r="K283" i="44" s="1"/>
  <c r="I283" i="44"/>
  <c r="M283" i="44" s="1"/>
  <c r="J282" i="44"/>
  <c r="K282" i="44" s="1"/>
  <c r="I282" i="44"/>
  <c r="M282" i="44" s="1"/>
  <c r="M281" i="44"/>
  <c r="J281" i="44"/>
  <c r="K281" i="44" s="1"/>
  <c r="I281" i="44"/>
  <c r="K280" i="44"/>
  <c r="J280" i="44"/>
  <c r="I280" i="44"/>
  <c r="M280" i="44" s="1"/>
  <c r="M279" i="44"/>
  <c r="J279" i="44"/>
  <c r="K279" i="44" s="1"/>
  <c r="I279" i="44"/>
  <c r="J278" i="44"/>
  <c r="K278" i="44" s="1"/>
  <c r="I278" i="44"/>
  <c r="M278" i="44" s="1"/>
  <c r="J277" i="44"/>
  <c r="K277" i="44" s="1"/>
  <c r="I277" i="44"/>
  <c r="M277" i="44" s="1"/>
  <c r="J276" i="44"/>
  <c r="K276" i="44" s="1"/>
  <c r="I276" i="44"/>
  <c r="M276" i="44" s="1"/>
  <c r="M275" i="44"/>
  <c r="J275" i="44"/>
  <c r="K275" i="44" s="1"/>
  <c r="I275" i="44"/>
  <c r="J274" i="44"/>
  <c r="K274" i="44" s="1"/>
  <c r="I274" i="44"/>
  <c r="M274" i="44" s="1"/>
  <c r="J273" i="44"/>
  <c r="K273" i="44" s="1"/>
  <c r="I273" i="44"/>
  <c r="M273" i="44" s="1"/>
  <c r="J272" i="44"/>
  <c r="K272" i="44" s="1"/>
  <c r="I272" i="44"/>
  <c r="M272" i="44" s="1"/>
  <c r="J271" i="44"/>
  <c r="K271" i="44" s="1"/>
  <c r="I271" i="44"/>
  <c r="M271" i="44" s="1"/>
  <c r="J270" i="44"/>
  <c r="K270" i="44" s="1"/>
  <c r="I270" i="44"/>
  <c r="M270" i="44" s="1"/>
  <c r="J269" i="44"/>
  <c r="K269" i="44" s="1"/>
  <c r="I269" i="44"/>
  <c r="M269" i="44" s="1"/>
  <c r="J268" i="44"/>
  <c r="K268" i="44" s="1"/>
  <c r="I268" i="44"/>
  <c r="M268" i="44" s="1"/>
  <c r="M267" i="44"/>
  <c r="J267" i="44"/>
  <c r="K267" i="44" s="1"/>
  <c r="I267" i="44"/>
  <c r="J266" i="44"/>
  <c r="K266" i="44" s="1"/>
  <c r="I266" i="44"/>
  <c r="M266" i="44" s="1"/>
  <c r="J265" i="44"/>
  <c r="K265" i="44" s="1"/>
  <c r="I265" i="44"/>
  <c r="M265" i="44" s="1"/>
  <c r="J264" i="44"/>
  <c r="K264" i="44" s="1"/>
  <c r="I264" i="44"/>
  <c r="M264" i="44" s="1"/>
  <c r="K263" i="44"/>
  <c r="J263" i="44"/>
  <c r="I263" i="44"/>
  <c r="M263" i="44" s="1"/>
  <c r="J262" i="44"/>
  <c r="K262" i="44" s="1"/>
  <c r="I262" i="44"/>
  <c r="M262" i="44" s="1"/>
  <c r="M261" i="44"/>
  <c r="J261" i="44"/>
  <c r="K261" i="44" s="1"/>
  <c r="I261" i="44"/>
  <c r="K260" i="44"/>
  <c r="J260" i="44"/>
  <c r="I260" i="44"/>
  <c r="M260" i="44" s="1"/>
  <c r="M259" i="44"/>
  <c r="J259" i="44"/>
  <c r="K259" i="44" s="1"/>
  <c r="I259" i="44"/>
  <c r="J258" i="44"/>
  <c r="K258" i="44" s="1"/>
  <c r="I258" i="44"/>
  <c r="M258" i="44" s="1"/>
  <c r="J257" i="44"/>
  <c r="K257" i="44" s="1"/>
  <c r="I257" i="44"/>
  <c r="M257" i="44" s="1"/>
  <c r="J256" i="44"/>
  <c r="K256" i="44" s="1"/>
  <c r="I256" i="44"/>
  <c r="M256" i="44" s="1"/>
  <c r="J255" i="44"/>
  <c r="K255" i="44" s="1"/>
  <c r="I255" i="44"/>
  <c r="M255" i="44" s="1"/>
  <c r="J254" i="44"/>
  <c r="K254" i="44" s="1"/>
  <c r="I254" i="44"/>
  <c r="M254" i="44" s="1"/>
  <c r="K253" i="44"/>
  <c r="J253" i="44"/>
  <c r="I253" i="44"/>
  <c r="M253" i="44" s="1"/>
  <c r="K252" i="44"/>
  <c r="J252" i="44"/>
  <c r="I252" i="44"/>
  <c r="M252" i="44" s="1"/>
  <c r="J251" i="44"/>
  <c r="K251" i="44" s="1"/>
  <c r="I251" i="44"/>
  <c r="M251" i="44" s="1"/>
  <c r="K250" i="44"/>
  <c r="J250" i="44"/>
  <c r="I250" i="44"/>
  <c r="M250" i="44" s="1"/>
  <c r="J249" i="44"/>
  <c r="K249" i="44" s="1"/>
  <c r="I249" i="44"/>
  <c r="M249" i="44" s="1"/>
  <c r="J248" i="44"/>
  <c r="K248" i="44" s="1"/>
  <c r="I248" i="44"/>
  <c r="M248" i="44" s="1"/>
  <c r="J247" i="44"/>
  <c r="K247" i="44" s="1"/>
  <c r="I247" i="44"/>
  <c r="M247" i="44" s="1"/>
  <c r="J246" i="44"/>
  <c r="K246" i="44" s="1"/>
  <c r="I246" i="44"/>
  <c r="M246" i="44" s="1"/>
  <c r="J245" i="44"/>
  <c r="K245" i="44" s="1"/>
  <c r="I245" i="44"/>
  <c r="M245" i="44" s="1"/>
  <c r="J244" i="44"/>
  <c r="K244" i="44" s="1"/>
  <c r="I244" i="44"/>
  <c r="M244" i="44" s="1"/>
  <c r="K243" i="44"/>
  <c r="J243" i="44"/>
  <c r="I243" i="44"/>
  <c r="M243" i="44" s="1"/>
  <c r="J242" i="44"/>
  <c r="K242" i="44" s="1"/>
  <c r="I242" i="44"/>
  <c r="M242" i="44" s="1"/>
  <c r="M241" i="44"/>
  <c r="J241" i="44"/>
  <c r="K241" i="44" s="1"/>
  <c r="I241" i="44"/>
  <c r="K240" i="44"/>
  <c r="J240" i="44"/>
  <c r="I240" i="44"/>
  <c r="M240" i="44" s="1"/>
  <c r="J239" i="44"/>
  <c r="K239" i="44" s="1"/>
  <c r="I239" i="44"/>
  <c r="M239" i="44" s="1"/>
  <c r="J238" i="44"/>
  <c r="K238" i="44" s="1"/>
  <c r="I238" i="44"/>
  <c r="M238" i="44" s="1"/>
  <c r="K237" i="44"/>
  <c r="J237" i="44"/>
  <c r="I237" i="44"/>
  <c r="M237" i="44" s="1"/>
  <c r="K236" i="44"/>
  <c r="J236" i="44"/>
  <c r="I236" i="44"/>
  <c r="M236" i="44" s="1"/>
  <c r="J235" i="44"/>
  <c r="K235" i="44" s="1"/>
  <c r="I235" i="44"/>
  <c r="M235" i="44" s="1"/>
  <c r="J234" i="44"/>
  <c r="K234" i="44" s="1"/>
  <c r="I234" i="44"/>
  <c r="M234" i="44" s="1"/>
  <c r="J233" i="44"/>
  <c r="K233" i="44" s="1"/>
  <c r="I233" i="44"/>
  <c r="M233" i="44" s="1"/>
  <c r="J232" i="44"/>
  <c r="K232" i="44" s="1"/>
  <c r="I232" i="44"/>
  <c r="M232" i="44" s="1"/>
  <c r="J231" i="44"/>
  <c r="K231" i="44" s="1"/>
  <c r="I231" i="44"/>
  <c r="M231" i="44" s="1"/>
  <c r="J230" i="44"/>
  <c r="K230" i="44" s="1"/>
  <c r="I230" i="44"/>
  <c r="M230" i="44" s="1"/>
  <c r="J229" i="44"/>
  <c r="K229" i="44" s="1"/>
  <c r="I229" i="44"/>
  <c r="M229" i="44" s="1"/>
  <c r="J228" i="44"/>
  <c r="K228" i="44" s="1"/>
  <c r="I228" i="44"/>
  <c r="M228" i="44" s="1"/>
  <c r="M227" i="44"/>
  <c r="J227" i="44"/>
  <c r="K227" i="44" s="1"/>
  <c r="I227" i="44"/>
  <c r="J226" i="44"/>
  <c r="K226" i="44" s="1"/>
  <c r="I226" i="44"/>
  <c r="M226" i="44" s="1"/>
  <c r="M225" i="44"/>
  <c r="J225" i="44"/>
  <c r="K225" i="44" s="1"/>
  <c r="I225" i="44"/>
  <c r="J224" i="44"/>
  <c r="K224" i="44" s="1"/>
  <c r="I224" i="44"/>
  <c r="M224" i="44" s="1"/>
  <c r="J223" i="44"/>
  <c r="K223" i="44" s="1"/>
  <c r="I223" i="44"/>
  <c r="M223" i="44" s="1"/>
  <c r="J222" i="44"/>
  <c r="K222" i="44" s="1"/>
  <c r="I222" i="44"/>
  <c r="M222" i="44" s="1"/>
  <c r="J221" i="44"/>
  <c r="K221" i="44" s="1"/>
  <c r="I221" i="44"/>
  <c r="M221" i="44" s="1"/>
  <c r="J220" i="44"/>
  <c r="K220" i="44" s="1"/>
  <c r="I220" i="44"/>
  <c r="M220" i="44" s="1"/>
  <c r="J219" i="44"/>
  <c r="K219" i="44" s="1"/>
  <c r="I219" i="44"/>
  <c r="M219" i="44" s="1"/>
  <c r="J218" i="44"/>
  <c r="K218" i="44" s="1"/>
  <c r="I218" i="44"/>
  <c r="M218" i="44" s="1"/>
  <c r="J217" i="44"/>
  <c r="K217" i="44" s="1"/>
  <c r="I217" i="44"/>
  <c r="M217" i="44" s="1"/>
  <c r="J216" i="44"/>
  <c r="K216" i="44" s="1"/>
  <c r="I216" i="44"/>
  <c r="M216" i="44" s="1"/>
  <c r="J215" i="44"/>
  <c r="K215" i="44" s="1"/>
  <c r="I215" i="44"/>
  <c r="M215" i="44" s="1"/>
  <c r="J214" i="44"/>
  <c r="K214" i="44" s="1"/>
  <c r="I214" i="44"/>
  <c r="M214" i="44" s="1"/>
  <c r="J213" i="44"/>
  <c r="K213" i="44" s="1"/>
  <c r="I213" i="44"/>
  <c r="M213" i="44" s="1"/>
  <c r="J212" i="44"/>
  <c r="K212" i="44" s="1"/>
  <c r="I212" i="44"/>
  <c r="M212" i="44" s="1"/>
  <c r="M211" i="44"/>
  <c r="J211" i="44"/>
  <c r="K211" i="44" s="1"/>
  <c r="I211" i="44"/>
  <c r="J210" i="44"/>
  <c r="K210" i="44" s="1"/>
  <c r="I210" i="44"/>
  <c r="M210" i="44" s="1"/>
  <c r="J209" i="44"/>
  <c r="K209" i="44" s="1"/>
  <c r="I209" i="44"/>
  <c r="M209" i="44" s="1"/>
  <c r="J208" i="44"/>
  <c r="K208" i="44" s="1"/>
  <c r="I208" i="44"/>
  <c r="M208" i="44" s="1"/>
  <c r="J207" i="44"/>
  <c r="K207" i="44" s="1"/>
  <c r="I207" i="44"/>
  <c r="M207" i="44" s="1"/>
  <c r="J206" i="44"/>
  <c r="K206" i="44" s="1"/>
  <c r="I206" i="44"/>
  <c r="M206" i="44" s="1"/>
  <c r="J205" i="44"/>
  <c r="K205" i="44" s="1"/>
  <c r="I205" i="44"/>
  <c r="M205" i="44" s="1"/>
  <c r="K204" i="44"/>
  <c r="J204" i="44"/>
  <c r="I204" i="44"/>
  <c r="M204" i="44" s="1"/>
  <c r="J203" i="44"/>
  <c r="K203" i="44" s="1"/>
  <c r="I203" i="44"/>
  <c r="M203" i="44" s="1"/>
  <c r="J202" i="44"/>
  <c r="K202" i="44" s="1"/>
  <c r="I202" i="44"/>
  <c r="M202" i="44" s="1"/>
  <c r="J201" i="44"/>
  <c r="K201" i="44" s="1"/>
  <c r="I201" i="44"/>
  <c r="M201" i="44" s="1"/>
  <c r="K200" i="44"/>
  <c r="J200" i="44"/>
  <c r="I200" i="44"/>
  <c r="M200" i="44" s="1"/>
  <c r="J199" i="44"/>
  <c r="K199" i="44" s="1"/>
  <c r="I199" i="44"/>
  <c r="M199" i="44" s="1"/>
  <c r="J198" i="44"/>
  <c r="K198" i="44" s="1"/>
  <c r="I198" i="44"/>
  <c r="M198" i="44" s="1"/>
  <c r="M197" i="44"/>
  <c r="J197" i="44"/>
  <c r="K197" i="44" s="1"/>
  <c r="I197" i="44"/>
  <c r="J196" i="44"/>
  <c r="K196" i="44" s="1"/>
  <c r="I196" i="44"/>
  <c r="M196" i="44" s="1"/>
  <c r="K195" i="44"/>
  <c r="J195" i="44"/>
  <c r="I195" i="44"/>
  <c r="M195" i="44" s="1"/>
  <c r="J194" i="44"/>
  <c r="K194" i="44" s="1"/>
  <c r="I194" i="44"/>
  <c r="M194" i="44" s="1"/>
  <c r="M193" i="44"/>
  <c r="J193" i="44"/>
  <c r="K193" i="44" s="1"/>
  <c r="I193" i="44"/>
  <c r="K192" i="44"/>
  <c r="J192" i="44"/>
  <c r="I192" i="44"/>
  <c r="M192" i="44" s="1"/>
  <c r="J191" i="44"/>
  <c r="K191" i="44" s="1"/>
  <c r="I191" i="44"/>
  <c r="M191" i="44" s="1"/>
  <c r="J190" i="44"/>
  <c r="K190" i="44" s="1"/>
  <c r="I190" i="44"/>
  <c r="M190" i="44" s="1"/>
  <c r="J189" i="44"/>
  <c r="K189" i="44" s="1"/>
  <c r="I189" i="44"/>
  <c r="M189" i="44" s="1"/>
  <c r="J188" i="44"/>
  <c r="K188" i="44" s="1"/>
  <c r="I188" i="44"/>
  <c r="M188" i="44" s="1"/>
  <c r="J187" i="44"/>
  <c r="K187" i="44" s="1"/>
  <c r="I187" i="44"/>
  <c r="M187" i="44" s="1"/>
  <c r="J186" i="44"/>
  <c r="K186" i="44" s="1"/>
  <c r="I186" i="44"/>
  <c r="M186" i="44" s="1"/>
  <c r="J185" i="44"/>
  <c r="K185" i="44" s="1"/>
  <c r="I185" i="44"/>
  <c r="M185" i="44" s="1"/>
  <c r="J184" i="44"/>
  <c r="K184" i="44" s="1"/>
  <c r="I184" i="44"/>
  <c r="M184" i="44" s="1"/>
  <c r="J183" i="44"/>
  <c r="K183" i="44" s="1"/>
  <c r="I183" i="44"/>
  <c r="M183" i="44" s="1"/>
  <c r="J182" i="44"/>
  <c r="K182" i="44" s="1"/>
  <c r="I182" i="44"/>
  <c r="M182" i="44" s="1"/>
  <c r="M181" i="44"/>
  <c r="J181" i="44"/>
  <c r="K181" i="44" s="1"/>
  <c r="I181" i="44"/>
  <c r="J180" i="44"/>
  <c r="K180" i="44" s="1"/>
  <c r="I180" i="44"/>
  <c r="M180" i="44" s="1"/>
  <c r="K179" i="44"/>
  <c r="J179" i="44"/>
  <c r="I179" i="44"/>
  <c r="M179" i="44" s="1"/>
  <c r="J178" i="44"/>
  <c r="K178" i="44" s="1"/>
  <c r="I178" i="44"/>
  <c r="M178" i="44" s="1"/>
  <c r="K177" i="44"/>
  <c r="J177" i="44"/>
  <c r="I177" i="44"/>
  <c r="M177" i="44" s="1"/>
  <c r="J176" i="44"/>
  <c r="K176" i="44" s="1"/>
  <c r="I176" i="44"/>
  <c r="M176" i="44" s="1"/>
  <c r="J175" i="44"/>
  <c r="K175" i="44" s="1"/>
  <c r="I175" i="44"/>
  <c r="M175" i="44" s="1"/>
  <c r="J174" i="44"/>
  <c r="K174" i="44" s="1"/>
  <c r="I174" i="44"/>
  <c r="M174" i="44" s="1"/>
  <c r="J173" i="44"/>
  <c r="K173" i="44" s="1"/>
  <c r="I173" i="44"/>
  <c r="M173" i="44" s="1"/>
  <c r="K172" i="44"/>
  <c r="J172" i="44"/>
  <c r="I172" i="44"/>
  <c r="M172" i="44" s="1"/>
  <c r="J171" i="44"/>
  <c r="K171" i="44" s="1"/>
  <c r="I171" i="44"/>
  <c r="M171" i="44" s="1"/>
  <c r="J170" i="44"/>
  <c r="K170" i="44" s="1"/>
  <c r="I170" i="44"/>
  <c r="M170" i="44" s="1"/>
  <c r="J169" i="44"/>
  <c r="K169" i="44" s="1"/>
  <c r="I169" i="44"/>
  <c r="M169" i="44" s="1"/>
  <c r="J168" i="44"/>
  <c r="K168" i="44" s="1"/>
  <c r="I168" i="44"/>
  <c r="M168" i="44" s="1"/>
  <c r="K167" i="44"/>
  <c r="J167" i="44"/>
  <c r="I167" i="44"/>
  <c r="M167" i="44" s="1"/>
  <c r="J166" i="44"/>
  <c r="K166" i="44" s="1"/>
  <c r="I166" i="44"/>
  <c r="M166" i="44" s="1"/>
  <c r="J165" i="44"/>
  <c r="K165" i="44" s="1"/>
  <c r="I165" i="44"/>
  <c r="M165" i="44" s="1"/>
  <c r="J164" i="44"/>
  <c r="K164" i="44" s="1"/>
  <c r="I164" i="44"/>
  <c r="M164" i="44" s="1"/>
  <c r="M163" i="44"/>
  <c r="K163" i="44"/>
  <c r="J163" i="44"/>
  <c r="I163" i="44"/>
  <c r="J162" i="44"/>
  <c r="K162" i="44" s="1"/>
  <c r="I162" i="44"/>
  <c r="M162" i="44" s="1"/>
  <c r="K161" i="44"/>
  <c r="J161" i="44"/>
  <c r="I161" i="44"/>
  <c r="M161" i="44" s="1"/>
  <c r="K160" i="44"/>
  <c r="J160" i="44"/>
  <c r="I160" i="44"/>
  <c r="M160" i="44" s="1"/>
  <c r="M159" i="44"/>
  <c r="J159" i="44"/>
  <c r="K159" i="44" s="1"/>
  <c r="I159" i="44"/>
  <c r="J158" i="44"/>
  <c r="K158" i="44" s="1"/>
  <c r="I158" i="44"/>
  <c r="M158" i="44" s="1"/>
  <c r="J157" i="44"/>
  <c r="K157" i="44" s="1"/>
  <c r="I157" i="44"/>
  <c r="M157" i="44" s="1"/>
  <c r="K156" i="44"/>
  <c r="J156" i="44"/>
  <c r="I156" i="44"/>
  <c r="M156" i="44" s="1"/>
  <c r="J155" i="44"/>
  <c r="K155" i="44" s="1"/>
  <c r="I155" i="44"/>
  <c r="M155" i="44" s="1"/>
  <c r="J154" i="44"/>
  <c r="K154" i="44" s="1"/>
  <c r="I154" i="44"/>
  <c r="M154" i="44" s="1"/>
  <c r="J153" i="44"/>
  <c r="K153" i="44" s="1"/>
  <c r="I153" i="44"/>
  <c r="M153" i="44" s="1"/>
  <c r="J152" i="44"/>
  <c r="K152" i="44" s="1"/>
  <c r="I152" i="44"/>
  <c r="M152" i="44" s="1"/>
  <c r="J151" i="44"/>
  <c r="K151" i="44" s="1"/>
  <c r="I151" i="44"/>
  <c r="M151" i="44" s="1"/>
  <c r="J150" i="44"/>
  <c r="K150" i="44" s="1"/>
  <c r="I150" i="44"/>
  <c r="M150" i="44" s="1"/>
  <c r="J149" i="44"/>
  <c r="K149" i="44" s="1"/>
  <c r="I149" i="44"/>
  <c r="M149" i="44" s="1"/>
  <c r="K148" i="44"/>
  <c r="J148" i="44"/>
  <c r="I148" i="44"/>
  <c r="M148" i="44" s="1"/>
  <c r="K147" i="44"/>
  <c r="J147" i="44"/>
  <c r="I147" i="44"/>
  <c r="M147" i="44" s="1"/>
  <c r="J146" i="44"/>
  <c r="K146" i="44" s="1"/>
  <c r="I146" i="44"/>
  <c r="M146" i="44" s="1"/>
  <c r="J145" i="44"/>
  <c r="K145" i="44" s="1"/>
  <c r="I145" i="44"/>
  <c r="M145" i="44" s="1"/>
  <c r="K144" i="44"/>
  <c r="J144" i="44"/>
  <c r="I144" i="44"/>
  <c r="M144" i="44" s="1"/>
  <c r="M143" i="44"/>
  <c r="K143" i="44"/>
  <c r="J143" i="44"/>
  <c r="I143" i="44"/>
  <c r="J142" i="44"/>
  <c r="K142" i="44" s="1"/>
  <c r="I142" i="44"/>
  <c r="M142" i="44" s="1"/>
  <c r="M141" i="44"/>
  <c r="J141" i="44"/>
  <c r="K141" i="44" s="1"/>
  <c r="I141" i="44"/>
  <c r="K140" i="44"/>
  <c r="J140" i="44"/>
  <c r="I140" i="44"/>
  <c r="M140" i="44" s="1"/>
  <c r="J139" i="44"/>
  <c r="K139" i="44" s="1"/>
  <c r="I139" i="44"/>
  <c r="M139" i="44" s="1"/>
  <c r="J138" i="44"/>
  <c r="K138" i="44" s="1"/>
  <c r="I138" i="44"/>
  <c r="M138" i="44" s="1"/>
  <c r="J137" i="44"/>
  <c r="K137" i="44" s="1"/>
  <c r="I137" i="44"/>
  <c r="M137" i="44" s="1"/>
  <c r="J136" i="44"/>
  <c r="K136" i="44" s="1"/>
  <c r="I136" i="44"/>
  <c r="M136" i="44" s="1"/>
  <c r="K135" i="44"/>
  <c r="J135" i="44"/>
  <c r="I135" i="44"/>
  <c r="M135" i="44" s="1"/>
  <c r="J134" i="44"/>
  <c r="K134" i="44" s="1"/>
  <c r="I134" i="44"/>
  <c r="M134" i="44" s="1"/>
  <c r="K133" i="44"/>
  <c r="J133" i="44"/>
  <c r="I133" i="44"/>
  <c r="M133" i="44" s="1"/>
  <c r="J132" i="44"/>
  <c r="K132" i="44" s="1"/>
  <c r="I132" i="44"/>
  <c r="M132" i="44" s="1"/>
  <c r="J131" i="44"/>
  <c r="K131" i="44" s="1"/>
  <c r="I131" i="44"/>
  <c r="M131" i="44" s="1"/>
  <c r="M130" i="44"/>
  <c r="K130" i="44"/>
  <c r="J130" i="44"/>
  <c r="I130" i="44"/>
  <c r="J129" i="44"/>
  <c r="K129" i="44" s="1"/>
  <c r="I129" i="44"/>
  <c r="M129" i="44" s="1"/>
  <c r="M128" i="44"/>
  <c r="J128" i="44"/>
  <c r="K128" i="44" s="1"/>
  <c r="I128" i="44"/>
  <c r="J127" i="44"/>
  <c r="K127" i="44" s="1"/>
  <c r="I127" i="44"/>
  <c r="M127" i="44" s="1"/>
  <c r="J126" i="44"/>
  <c r="K126" i="44" s="1"/>
  <c r="I126" i="44"/>
  <c r="M126" i="44" s="1"/>
  <c r="J125" i="44"/>
  <c r="K125" i="44" s="1"/>
  <c r="I125" i="44"/>
  <c r="M125" i="44" s="1"/>
  <c r="J124" i="44"/>
  <c r="K124" i="44" s="1"/>
  <c r="I124" i="44"/>
  <c r="M124" i="44" s="1"/>
  <c r="J123" i="44"/>
  <c r="K123" i="44" s="1"/>
  <c r="I123" i="44"/>
  <c r="M123" i="44" s="1"/>
  <c r="K122" i="44"/>
  <c r="J122" i="44"/>
  <c r="I122" i="44"/>
  <c r="M122" i="44" s="1"/>
  <c r="J121" i="44"/>
  <c r="K121" i="44" s="1"/>
  <c r="I121" i="44"/>
  <c r="M121" i="44" s="1"/>
  <c r="J120" i="44"/>
  <c r="K120" i="44" s="1"/>
  <c r="I120" i="44"/>
  <c r="M120" i="44" s="1"/>
  <c r="J119" i="44"/>
  <c r="K119" i="44" s="1"/>
  <c r="I119" i="44"/>
  <c r="M119" i="44" s="1"/>
  <c r="J118" i="44"/>
  <c r="K118" i="44" s="1"/>
  <c r="I118" i="44"/>
  <c r="M118" i="44" s="1"/>
  <c r="J117" i="44"/>
  <c r="K117" i="44" s="1"/>
  <c r="I117" i="44"/>
  <c r="M117" i="44" s="1"/>
  <c r="J116" i="44"/>
  <c r="K116" i="44" s="1"/>
  <c r="I116" i="44"/>
  <c r="M116" i="44" s="1"/>
  <c r="J115" i="44"/>
  <c r="K115" i="44" s="1"/>
  <c r="I115" i="44"/>
  <c r="M115" i="44" s="1"/>
  <c r="M114" i="44"/>
  <c r="J114" i="44"/>
  <c r="K114" i="44" s="1"/>
  <c r="I114" i="44"/>
  <c r="J113" i="44"/>
  <c r="K113" i="44" s="1"/>
  <c r="I113" i="44"/>
  <c r="M113" i="44" s="1"/>
  <c r="J112" i="44"/>
  <c r="K112" i="44" s="1"/>
  <c r="I112" i="44"/>
  <c r="M112" i="44" s="1"/>
  <c r="J111" i="44"/>
  <c r="K111" i="44" s="1"/>
  <c r="I111" i="44"/>
  <c r="M111" i="44" s="1"/>
  <c r="J110" i="44"/>
  <c r="K110" i="44" s="1"/>
  <c r="I110" i="44"/>
  <c r="M110" i="44" s="1"/>
  <c r="J109" i="44"/>
  <c r="K109" i="44" s="1"/>
  <c r="I109" i="44"/>
  <c r="M109" i="44" s="1"/>
  <c r="J108" i="44"/>
  <c r="K108" i="44" s="1"/>
  <c r="I108" i="44"/>
  <c r="M108" i="44" s="1"/>
  <c r="J107" i="44"/>
  <c r="K107" i="44" s="1"/>
  <c r="I107" i="44"/>
  <c r="M107" i="44" s="1"/>
  <c r="J106" i="44"/>
  <c r="K106" i="44" s="1"/>
  <c r="I106" i="44"/>
  <c r="M106" i="44" s="1"/>
  <c r="J105" i="44"/>
  <c r="K105" i="44" s="1"/>
  <c r="I105" i="44"/>
  <c r="M105" i="44" s="1"/>
  <c r="J104" i="44"/>
  <c r="K104" i="44" s="1"/>
  <c r="I104" i="44"/>
  <c r="M104" i="44" s="1"/>
  <c r="J103" i="44"/>
  <c r="K103" i="44" s="1"/>
  <c r="I103" i="44"/>
  <c r="M103" i="44" s="1"/>
  <c r="J102" i="44"/>
  <c r="K102" i="44" s="1"/>
  <c r="I102" i="44"/>
  <c r="M102" i="44" s="1"/>
  <c r="J101" i="44"/>
  <c r="K101" i="44" s="1"/>
  <c r="I101" i="44"/>
  <c r="M101" i="44" s="1"/>
  <c r="J100" i="44"/>
  <c r="K100" i="44" s="1"/>
  <c r="I100" i="44"/>
  <c r="M100" i="44" s="1"/>
  <c r="J99" i="44"/>
  <c r="K99" i="44" s="1"/>
  <c r="I99" i="44"/>
  <c r="M99" i="44" s="1"/>
  <c r="M98" i="44"/>
  <c r="J98" i="44"/>
  <c r="K98" i="44" s="1"/>
  <c r="I98" i="44"/>
  <c r="J97" i="44"/>
  <c r="K97" i="44" s="1"/>
  <c r="I97" i="44"/>
  <c r="M97" i="44" s="1"/>
  <c r="J96" i="44"/>
  <c r="K96" i="44" s="1"/>
  <c r="I96" i="44"/>
  <c r="M96" i="44" s="1"/>
  <c r="J95" i="44"/>
  <c r="K95" i="44" s="1"/>
  <c r="I95" i="44"/>
  <c r="M95" i="44" s="1"/>
  <c r="J94" i="44"/>
  <c r="K94" i="44" s="1"/>
  <c r="I94" i="44"/>
  <c r="M94" i="44" s="1"/>
  <c r="J93" i="44"/>
  <c r="K93" i="44" s="1"/>
  <c r="I93" i="44"/>
  <c r="M93" i="44" s="1"/>
  <c r="J92" i="44"/>
  <c r="K92" i="44" s="1"/>
  <c r="I92" i="44"/>
  <c r="M92" i="44" s="1"/>
  <c r="J91" i="44"/>
  <c r="K91" i="44" s="1"/>
  <c r="I91" i="44"/>
  <c r="M91" i="44" s="1"/>
  <c r="M90" i="44"/>
  <c r="K90" i="44"/>
  <c r="J90" i="44"/>
  <c r="I90" i="44"/>
  <c r="J89" i="44"/>
  <c r="K89" i="44" s="1"/>
  <c r="I89" i="44"/>
  <c r="M89" i="44" s="1"/>
  <c r="M88" i="44"/>
  <c r="J88" i="44"/>
  <c r="K88" i="44" s="1"/>
  <c r="I88" i="44"/>
  <c r="J87" i="44"/>
  <c r="K87" i="44" s="1"/>
  <c r="I87" i="44"/>
  <c r="M87" i="44" s="1"/>
  <c r="J86" i="44"/>
  <c r="K86" i="44" s="1"/>
  <c r="I86" i="44"/>
  <c r="M86" i="44" s="1"/>
  <c r="J85" i="44"/>
  <c r="K85" i="44" s="1"/>
  <c r="I85" i="44"/>
  <c r="M85" i="44" s="1"/>
  <c r="J84" i="44"/>
  <c r="K84" i="44" s="1"/>
  <c r="I84" i="44"/>
  <c r="M84" i="44" s="1"/>
  <c r="J83" i="44"/>
  <c r="K83" i="44" s="1"/>
  <c r="I83" i="44"/>
  <c r="M83" i="44" s="1"/>
  <c r="J82" i="44"/>
  <c r="K82" i="44" s="1"/>
  <c r="I82" i="44"/>
  <c r="M82" i="44" s="1"/>
  <c r="J81" i="44"/>
  <c r="K81" i="44" s="1"/>
  <c r="I81" i="44"/>
  <c r="M81" i="44" s="1"/>
  <c r="M80" i="44"/>
  <c r="J80" i="44"/>
  <c r="K80" i="44" s="1"/>
  <c r="I80" i="44"/>
  <c r="J79" i="44"/>
  <c r="K79" i="44" s="1"/>
  <c r="I79" i="44"/>
  <c r="M79" i="44" s="1"/>
  <c r="J78" i="44"/>
  <c r="K78" i="44" s="1"/>
  <c r="I78" i="44"/>
  <c r="M78" i="44" s="1"/>
  <c r="J77" i="44"/>
  <c r="K77" i="44" s="1"/>
  <c r="I77" i="44"/>
  <c r="M77" i="44" s="1"/>
  <c r="J76" i="44"/>
  <c r="K76" i="44" s="1"/>
  <c r="I76" i="44"/>
  <c r="M76" i="44" s="1"/>
  <c r="J75" i="44"/>
  <c r="K75" i="44" s="1"/>
  <c r="I75" i="44"/>
  <c r="M75" i="44" s="1"/>
  <c r="K74" i="44"/>
  <c r="J74" i="44"/>
  <c r="I74" i="44"/>
  <c r="M74" i="44" s="1"/>
  <c r="J73" i="44"/>
  <c r="K73" i="44" s="1"/>
  <c r="I73" i="44"/>
  <c r="M73" i="44" s="1"/>
  <c r="M72" i="44"/>
  <c r="J72" i="44"/>
  <c r="K72" i="44" s="1"/>
  <c r="I72" i="44"/>
  <c r="J71" i="44"/>
  <c r="K71" i="44" s="1"/>
  <c r="I71" i="44"/>
  <c r="M71" i="44" s="1"/>
  <c r="J70" i="44"/>
  <c r="K70" i="44" s="1"/>
  <c r="I70" i="44"/>
  <c r="M70" i="44" s="1"/>
  <c r="J69" i="44"/>
  <c r="K69" i="44" s="1"/>
  <c r="I69" i="44"/>
  <c r="M69" i="44" s="1"/>
  <c r="J68" i="44"/>
  <c r="K68" i="44" s="1"/>
  <c r="I68" i="44"/>
  <c r="M68" i="44" s="1"/>
  <c r="J67" i="44"/>
  <c r="K67" i="44" s="1"/>
  <c r="I67" i="44"/>
  <c r="M67" i="44" s="1"/>
  <c r="M66" i="44"/>
  <c r="J66" i="44"/>
  <c r="K66" i="44" s="1"/>
  <c r="I66" i="44"/>
  <c r="J65" i="44"/>
  <c r="K65" i="44" s="1"/>
  <c r="I65" i="44"/>
  <c r="M65" i="44" s="1"/>
  <c r="B65" i="44"/>
  <c r="M64" i="44"/>
  <c r="J64" i="44"/>
  <c r="K64" i="44" s="1"/>
  <c r="I64" i="44"/>
  <c r="B64" i="44"/>
  <c r="J63" i="44"/>
  <c r="K63" i="44" s="1"/>
  <c r="I63" i="44"/>
  <c r="M63" i="44" s="1"/>
  <c r="B63" i="44"/>
  <c r="M62" i="44"/>
  <c r="J62" i="44"/>
  <c r="K62" i="44" s="1"/>
  <c r="I62" i="44"/>
  <c r="B62" i="44"/>
  <c r="J61" i="44"/>
  <c r="K61" i="44" s="1"/>
  <c r="I61" i="44"/>
  <c r="M61" i="44" s="1"/>
  <c r="B61" i="44"/>
  <c r="J60" i="44"/>
  <c r="K60" i="44" s="1"/>
  <c r="I60" i="44"/>
  <c r="M60" i="44" s="1"/>
  <c r="B60" i="44"/>
  <c r="J59" i="44"/>
  <c r="K59" i="44" s="1"/>
  <c r="I59" i="44"/>
  <c r="M59" i="44" s="1"/>
  <c r="B59" i="44"/>
  <c r="J58" i="44"/>
  <c r="K58" i="44" s="1"/>
  <c r="I58" i="44"/>
  <c r="M58" i="44" s="1"/>
  <c r="B58" i="44"/>
  <c r="J57" i="44"/>
  <c r="K57" i="44" s="1"/>
  <c r="I57" i="44"/>
  <c r="M57" i="44" s="1"/>
  <c r="B57" i="44"/>
  <c r="J56" i="44"/>
  <c r="K56" i="44" s="1"/>
  <c r="I56" i="44"/>
  <c r="M56" i="44" s="1"/>
  <c r="B56" i="44"/>
  <c r="M55" i="44"/>
  <c r="K55" i="44"/>
  <c r="J55" i="44"/>
  <c r="I55" i="44"/>
  <c r="B55" i="44"/>
  <c r="J54" i="44"/>
  <c r="K54" i="44" s="1"/>
  <c r="I54" i="44"/>
  <c r="M54" i="44" s="1"/>
  <c r="B54" i="44"/>
  <c r="K53" i="44"/>
  <c r="J53" i="44"/>
  <c r="I53" i="44"/>
  <c r="M53" i="44" s="1"/>
  <c r="B53" i="44"/>
  <c r="J52" i="44"/>
  <c r="K52" i="44" s="1"/>
  <c r="I52" i="44"/>
  <c r="M52" i="44" s="1"/>
  <c r="B52" i="44"/>
  <c r="M51" i="44"/>
  <c r="K51" i="44"/>
  <c r="J51" i="44"/>
  <c r="I51" i="44"/>
  <c r="B51" i="44"/>
  <c r="M50" i="44"/>
  <c r="J50" i="44"/>
  <c r="K50" i="44" s="1"/>
  <c r="I50" i="44"/>
  <c r="B50" i="44"/>
  <c r="J49" i="44"/>
  <c r="K49" i="44" s="1"/>
  <c r="I49" i="44"/>
  <c r="M49" i="44" s="1"/>
  <c r="B49" i="44"/>
  <c r="M48" i="44"/>
  <c r="J48" i="44"/>
  <c r="K48" i="44" s="1"/>
  <c r="I48" i="44"/>
  <c r="B48" i="44"/>
  <c r="J47" i="44"/>
  <c r="K47" i="44" s="1"/>
  <c r="I47" i="44"/>
  <c r="M47" i="44" s="1"/>
  <c r="B47" i="44"/>
  <c r="T46" i="44"/>
  <c r="R46" i="44"/>
  <c r="U46" i="44" s="1"/>
  <c r="J46" i="44"/>
  <c r="K46" i="44" s="1"/>
  <c r="I46" i="44"/>
  <c r="M46" i="44" s="1"/>
  <c r="B46" i="44"/>
  <c r="J45" i="44"/>
  <c r="K45" i="44" s="1"/>
  <c r="I45" i="44"/>
  <c r="M45" i="44" s="1"/>
  <c r="B45" i="44"/>
  <c r="J44" i="44"/>
  <c r="K44" i="44" s="1"/>
  <c r="I44" i="44"/>
  <c r="M44" i="44" s="1"/>
  <c r="B44" i="44"/>
  <c r="J43" i="44"/>
  <c r="K43" i="44" s="1"/>
  <c r="I43" i="44"/>
  <c r="M43" i="44" s="1"/>
  <c r="B43" i="44"/>
  <c r="M42" i="44"/>
  <c r="J42" i="44"/>
  <c r="K42" i="44" s="1"/>
  <c r="I42" i="44"/>
  <c r="B42" i="44"/>
  <c r="J41" i="44"/>
  <c r="K41" i="44" s="1"/>
  <c r="I41" i="44"/>
  <c r="M41" i="44" s="1"/>
  <c r="B41" i="44"/>
  <c r="K40" i="44"/>
  <c r="J40" i="44"/>
  <c r="I40" i="44"/>
  <c r="M40" i="44" s="1"/>
  <c r="B40" i="44"/>
  <c r="M39" i="44"/>
  <c r="J39" i="44"/>
  <c r="K39" i="44" s="1"/>
  <c r="I39" i="44"/>
  <c r="B39" i="44"/>
  <c r="J38" i="44"/>
  <c r="K38" i="44" s="1"/>
  <c r="I38" i="44"/>
  <c r="M38" i="44" s="1"/>
  <c r="B38" i="44"/>
  <c r="J37" i="44"/>
  <c r="K37" i="44" s="1"/>
  <c r="I37" i="44"/>
  <c r="M37" i="44" s="1"/>
  <c r="A37" i="44" s="1"/>
  <c r="B37" i="44"/>
  <c r="M36" i="44"/>
  <c r="A36" i="44" s="1"/>
  <c r="J36" i="44"/>
  <c r="K36" i="44" s="1"/>
  <c r="I36" i="44"/>
  <c r="B36" i="44"/>
  <c r="J35" i="44"/>
  <c r="K35" i="44" s="1"/>
  <c r="I35" i="44"/>
  <c r="M35" i="44" s="1"/>
  <c r="A35" i="44" s="1"/>
  <c r="B35" i="44"/>
  <c r="J34" i="44"/>
  <c r="K34" i="44" s="1"/>
  <c r="I34" i="44"/>
  <c r="M34" i="44" s="1"/>
  <c r="A34" i="44" s="1"/>
  <c r="B34" i="44"/>
  <c r="J33" i="44"/>
  <c r="K33" i="44" s="1"/>
  <c r="I33" i="44"/>
  <c r="M33" i="44" s="1"/>
  <c r="A33" i="44" s="1"/>
  <c r="B33" i="44"/>
  <c r="J32" i="44"/>
  <c r="K32" i="44" s="1"/>
  <c r="I32" i="44"/>
  <c r="M32" i="44" s="1"/>
  <c r="A32" i="44" s="1"/>
  <c r="B32" i="44"/>
  <c r="M31" i="44"/>
  <c r="A31" i="44" s="1"/>
  <c r="K31" i="44"/>
  <c r="J31" i="44"/>
  <c r="I31" i="44"/>
  <c r="B31" i="44"/>
  <c r="J30" i="44"/>
  <c r="K30" i="44" s="1"/>
  <c r="I30" i="44"/>
  <c r="M30" i="44" s="1"/>
  <c r="A30" i="44" s="1"/>
  <c r="B30" i="44"/>
  <c r="J29" i="44"/>
  <c r="K29" i="44" s="1"/>
  <c r="I29" i="44"/>
  <c r="M29" i="44" s="1"/>
  <c r="A29" i="44" s="1"/>
  <c r="B29" i="44"/>
  <c r="J28" i="44"/>
  <c r="K28" i="44" s="1"/>
  <c r="I28" i="44"/>
  <c r="B28" i="44"/>
  <c r="J27" i="44"/>
  <c r="K27" i="44" s="1"/>
  <c r="I27" i="44"/>
  <c r="M27" i="44" s="1"/>
  <c r="A27" i="44" s="1"/>
  <c r="B27" i="44"/>
  <c r="J26" i="44"/>
  <c r="K26" i="44" s="1"/>
  <c r="I26" i="44"/>
  <c r="M26" i="44" s="1"/>
  <c r="A26" i="44" s="1"/>
  <c r="B26" i="44"/>
  <c r="M25" i="44"/>
  <c r="A25" i="44" s="1"/>
  <c r="J25" i="44"/>
  <c r="K25" i="44" s="1"/>
  <c r="I25" i="44"/>
  <c r="B25" i="44"/>
  <c r="J24" i="44"/>
  <c r="K24" i="44" s="1"/>
  <c r="M24" i="44" s="1"/>
  <c r="A24" i="44" s="1"/>
  <c r="I24" i="44"/>
  <c r="B24" i="44"/>
  <c r="J23" i="44"/>
  <c r="K23" i="44" s="1"/>
  <c r="I23" i="44"/>
  <c r="M23" i="44" s="1"/>
  <c r="A23" i="44" s="1"/>
  <c r="B23" i="44"/>
  <c r="J22" i="44"/>
  <c r="K22" i="44" s="1"/>
  <c r="I22" i="44"/>
  <c r="B22" i="44"/>
  <c r="M21" i="44"/>
  <c r="A21" i="44" s="1"/>
  <c r="J21" i="44"/>
  <c r="K21" i="44" s="1"/>
  <c r="I21" i="44"/>
  <c r="B21" i="44"/>
  <c r="J20" i="44"/>
  <c r="K20" i="44" s="1"/>
  <c r="I20" i="44"/>
  <c r="M20" i="44" s="1"/>
  <c r="A20" i="44" s="1"/>
  <c r="B20" i="44"/>
  <c r="J19" i="44"/>
  <c r="K19" i="44" s="1"/>
  <c r="I19" i="44"/>
  <c r="B19" i="44"/>
  <c r="J18" i="44"/>
  <c r="K18" i="44" s="1"/>
  <c r="I18" i="44"/>
  <c r="B18" i="44"/>
  <c r="J17" i="44"/>
  <c r="K17" i="44" s="1"/>
  <c r="I17" i="44"/>
  <c r="B17" i="44"/>
  <c r="K16" i="44"/>
  <c r="J16" i="44"/>
  <c r="I16" i="44"/>
  <c r="M16" i="44" s="1"/>
  <c r="A16" i="44" s="1"/>
  <c r="B16" i="44"/>
  <c r="J15" i="44"/>
  <c r="K15" i="44" s="1"/>
  <c r="I15" i="44"/>
  <c r="B15" i="44"/>
  <c r="AI14" i="44"/>
  <c r="J14" i="44"/>
  <c r="K14" i="44" s="1"/>
  <c r="I14" i="44"/>
  <c r="M14" i="44" s="1"/>
  <c r="A14" i="44" s="1"/>
  <c r="B14" i="44"/>
  <c r="AI13" i="44"/>
  <c r="AI16" i="44" s="1"/>
  <c r="J13" i="44"/>
  <c r="K13" i="44" s="1"/>
  <c r="M13" i="44" s="1"/>
  <c r="A13" i="44" s="1"/>
  <c r="I13" i="44"/>
  <c r="B13" i="44"/>
  <c r="AI12" i="44"/>
  <c r="J12" i="44"/>
  <c r="K12" i="44" s="1"/>
  <c r="I12" i="44"/>
  <c r="B12" i="44"/>
  <c r="J11" i="44"/>
  <c r="K11" i="44" s="1"/>
  <c r="I11" i="44"/>
  <c r="M11" i="44" s="1"/>
  <c r="A11" i="44" s="1"/>
  <c r="B11" i="44"/>
  <c r="J10" i="44"/>
  <c r="K10" i="44" s="1"/>
  <c r="I10" i="44"/>
  <c r="M10" i="44" s="1"/>
  <c r="A10" i="44" s="1"/>
  <c r="B10" i="44"/>
  <c r="J9" i="44"/>
  <c r="K9" i="44" s="1"/>
  <c r="M9" i="44" s="1"/>
  <c r="A9" i="44" s="1"/>
  <c r="I9" i="44"/>
  <c r="B9" i="44"/>
  <c r="J8" i="44"/>
  <c r="K8" i="44" s="1"/>
  <c r="I8" i="44"/>
  <c r="B8" i="44"/>
  <c r="J7" i="44"/>
  <c r="K7" i="44" s="1"/>
  <c r="I7" i="44"/>
  <c r="B7" i="44"/>
  <c r="J6" i="44"/>
  <c r="K6" i="44" s="1"/>
  <c r="I6" i="44"/>
  <c r="B6" i="44"/>
  <c r="AP30" i="31" s="1"/>
  <c r="K2" i="44"/>
  <c r="L9" i="44" s="1"/>
  <c r="J305" i="43"/>
  <c r="K305" i="43" s="1"/>
  <c r="I305" i="43"/>
  <c r="M305" i="43" s="1"/>
  <c r="J304" i="43"/>
  <c r="K304" i="43" s="1"/>
  <c r="I304" i="43"/>
  <c r="M304" i="43" s="1"/>
  <c r="J303" i="43"/>
  <c r="K303" i="43" s="1"/>
  <c r="I303" i="43"/>
  <c r="M303" i="43" s="1"/>
  <c r="J302" i="43"/>
  <c r="K302" i="43" s="1"/>
  <c r="I302" i="43"/>
  <c r="M302" i="43" s="1"/>
  <c r="J301" i="43"/>
  <c r="K301" i="43" s="1"/>
  <c r="I301" i="43"/>
  <c r="M301" i="43" s="1"/>
  <c r="K300" i="43"/>
  <c r="J300" i="43"/>
  <c r="I300" i="43"/>
  <c r="M300" i="43" s="1"/>
  <c r="J299" i="43"/>
  <c r="K299" i="43" s="1"/>
  <c r="I299" i="43"/>
  <c r="M299" i="43" s="1"/>
  <c r="J298" i="43"/>
  <c r="K298" i="43" s="1"/>
  <c r="I298" i="43"/>
  <c r="M298" i="43" s="1"/>
  <c r="J297" i="43"/>
  <c r="K297" i="43" s="1"/>
  <c r="I297" i="43"/>
  <c r="M297" i="43" s="1"/>
  <c r="J296" i="43"/>
  <c r="K296" i="43" s="1"/>
  <c r="I296" i="43"/>
  <c r="M296" i="43" s="1"/>
  <c r="J295" i="43"/>
  <c r="K295" i="43" s="1"/>
  <c r="I295" i="43"/>
  <c r="M295" i="43" s="1"/>
  <c r="J294" i="43"/>
  <c r="K294" i="43" s="1"/>
  <c r="I294" i="43"/>
  <c r="M294" i="43" s="1"/>
  <c r="J293" i="43"/>
  <c r="K293" i="43" s="1"/>
  <c r="I293" i="43"/>
  <c r="M293" i="43" s="1"/>
  <c r="M292" i="43"/>
  <c r="J292" i="43"/>
  <c r="K292" i="43" s="1"/>
  <c r="I292" i="43"/>
  <c r="J291" i="43"/>
  <c r="K291" i="43" s="1"/>
  <c r="I291" i="43"/>
  <c r="M291" i="43" s="1"/>
  <c r="J290" i="43"/>
  <c r="K290" i="43" s="1"/>
  <c r="I290" i="43"/>
  <c r="M290" i="43" s="1"/>
  <c r="J289" i="43"/>
  <c r="K289" i="43" s="1"/>
  <c r="I289" i="43"/>
  <c r="M289" i="43" s="1"/>
  <c r="J288" i="43"/>
  <c r="K288" i="43" s="1"/>
  <c r="I288" i="43"/>
  <c r="M288" i="43" s="1"/>
  <c r="J287" i="43"/>
  <c r="K287" i="43" s="1"/>
  <c r="I287" i="43"/>
  <c r="M287" i="43" s="1"/>
  <c r="J286" i="43"/>
  <c r="K286" i="43" s="1"/>
  <c r="I286" i="43"/>
  <c r="M286" i="43" s="1"/>
  <c r="J285" i="43"/>
  <c r="K285" i="43" s="1"/>
  <c r="I285" i="43"/>
  <c r="M285" i="43" s="1"/>
  <c r="M284" i="43"/>
  <c r="J284" i="43"/>
  <c r="K284" i="43" s="1"/>
  <c r="I284" i="43"/>
  <c r="J283" i="43"/>
  <c r="K283" i="43" s="1"/>
  <c r="I283" i="43"/>
  <c r="M283" i="43" s="1"/>
  <c r="J282" i="43"/>
  <c r="K282" i="43" s="1"/>
  <c r="I282" i="43"/>
  <c r="M282" i="43" s="1"/>
  <c r="J281" i="43"/>
  <c r="K281" i="43" s="1"/>
  <c r="I281" i="43"/>
  <c r="M281" i="43" s="1"/>
  <c r="J280" i="43"/>
  <c r="K280" i="43" s="1"/>
  <c r="I280" i="43"/>
  <c r="M280" i="43" s="1"/>
  <c r="J279" i="43"/>
  <c r="K279" i="43" s="1"/>
  <c r="I279" i="43"/>
  <c r="M279" i="43" s="1"/>
  <c r="J278" i="43"/>
  <c r="K278" i="43" s="1"/>
  <c r="I278" i="43"/>
  <c r="M278" i="43" s="1"/>
  <c r="J277" i="43"/>
  <c r="K277" i="43" s="1"/>
  <c r="I277" i="43"/>
  <c r="M277" i="43" s="1"/>
  <c r="J276" i="43"/>
  <c r="K276" i="43" s="1"/>
  <c r="I276" i="43"/>
  <c r="M276" i="43" s="1"/>
  <c r="J275" i="43"/>
  <c r="K275" i="43" s="1"/>
  <c r="I275" i="43"/>
  <c r="M275" i="43" s="1"/>
  <c r="J274" i="43"/>
  <c r="K274" i="43" s="1"/>
  <c r="I274" i="43"/>
  <c r="M274" i="43" s="1"/>
  <c r="J273" i="43"/>
  <c r="K273" i="43" s="1"/>
  <c r="I273" i="43"/>
  <c r="M273" i="43" s="1"/>
  <c r="J272" i="43"/>
  <c r="K272" i="43" s="1"/>
  <c r="I272" i="43"/>
  <c r="M272" i="43" s="1"/>
  <c r="J271" i="43"/>
  <c r="K271" i="43" s="1"/>
  <c r="I271" i="43"/>
  <c r="M271" i="43" s="1"/>
  <c r="J270" i="43"/>
  <c r="K270" i="43" s="1"/>
  <c r="I270" i="43"/>
  <c r="M270" i="43" s="1"/>
  <c r="J269" i="43"/>
  <c r="K269" i="43" s="1"/>
  <c r="I269" i="43"/>
  <c r="M269" i="43" s="1"/>
  <c r="K268" i="43"/>
  <c r="J268" i="43"/>
  <c r="I268" i="43"/>
  <c r="M268" i="43" s="1"/>
  <c r="J267" i="43"/>
  <c r="K267" i="43" s="1"/>
  <c r="I267" i="43"/>
  <c r="M267" i="43" s="1"/>
  <c r="J266" i="43"/>
  <c r="K266" i="43" s="1"/>
  <c r="I266" i="43"/>
  <c r="M266" i="43" s="1"/>
  <c r="J265" i="43"/>
  <c r="K265" i="43" s="1"/>
  <c r="I265" i="43"/>
  <c r="M265" i="43" s="1"/>
  <c r="J264" i="43"/>
  <c r="K264" i="43" s="1"/>
  <c r="I264" i="43"/>
  <c r="M264" i="43" s="1"/>
  <c r="J263" i="43"/>
  <c r="K263" i="43" s="1"/>
  <c r="I263" i="43"/>
  <c r="M263" i="43" s="1"/>
  <c r="J262" i="43"/>
  <c r="K262" i="43" s="1"/>
  <c r="I262" i="43"/>
  <c r="M262" i="43" s="1"/>
  <c r="J261" i="43"/>
  <c r="K261" i="43" s="1"/>
  <c r="I261" i="43"/>
  <c r="M261" i="43" s="1"/>
  <c r="M260" i="43"/>
  <c r="J260" i="43"/>
  <c r="K260" i="43" s="1"/>
  <c r="I260" i="43"/>
  <c r="J259" i="43"/>
  <c r="K259" i="43" s="1"/>
  <c r="I259" i="43"/>
  <c r="M259" i="43" s="1"/>
  <c r="J258" i="43"/>
  <c r="K258" i="43" s="1"/>
  <c r="I258" i="43"/>
  <c r="M258" i="43" s="1"/>
  <c r="J257" i="43"/>
  <c r="K257" i="43" s="1"/>
  <c r="I257" i="43"/>
  <c r="M257" i="43" s="1"/>
  <c r="J256" i="43"/>
  <c r="K256" i="43" s="1"/>
  <c r="I256" i="43"/>
  <c r="M256" i="43" s="1"/>
  <c r="J255" i="43"/>
  <c r="K255" i="43" s="1"/>
  <c r="I255" i="43"/>
  <c r="M255" i="43" s="1"/>
  <c r="J254" i="43"/>
  <c r="K254" i="43" s="1"/>
  <c r="I254" i="43"/>
  <c r="M254" i="43" s="1"/>
  <c r="J253" i="43"/>
  <c r="K253" i="43" s="1"/>
  <c r="I253" i="43"/>
  <c r="M253" i="43" s="1"/>
  <c r="M252" i="43"/>
  <c r="J252" i="43"/>
  <c r="K252" i="43" s="1"/>
  <c r="I252" i="43"/>
  <c r="J251" i="43"/>
  <c r="K251" i="43" s="1"/>
  <c r="I251" i="43"/>
  <c r="M251" i="43" s="1"/>
  <c r="J250" i="43"/>
  <c r="K250" i="43" s="1"/>
  <c r="I250" i="43"/>
  <c r="M250" i="43" s="1"/>
  <c r="J249" i="43"/>
  <c r="K249" i="43" s="1"/>
  <c r="I249" i="43"/>
  <c r="M249" i="43" s="1"/>
  <c r="J248" i="43"/>
  <c r="K248" i="43" s="1"/>
  <c r="I248" i="43"/>
  <c r="M248" i="43" s="1"/>
  <c r="J247" i="43"/>
  <c r="K247" i="43" s="1"/>
  <c r="I247" i="43"/>
  <c r="M247" i="43" s="1"/>
  <c r="J246" i="43"/>
  <c r="K246" i="43" s="1"/>
  <c r="I246" i="43"/>
  <c r="M246" i="43" s="1"/>
  <c r="J245" i="43"/>
  <c r="K245" i="43" s="1"/>
  <c r="I245" i="43"/>
  <c r="M245" i="43" s="1"/>
  <c r="J244" i="43"/>
  <c r="K244" i="43" s="1"/>
  <c r="I244" i="43"/>
  <c r="M244" i="43" s="1"/>
  <c r="J243" i="43"/>
  <c r="K243" i="43" s="1"/>
  <c r="I243" i="43"/>
  <c r="M243" i="43" s="1"/>
  <c r="J242" i="43"/>
  <c r="K242" i="43" s="1"/>
  <c r="I242" i="43"/>
  <c r="M242" i="43" s="1"/>
  <c r="J241" i="43"/>
  <c r="K241" i="43" s="1"/>
  <c r="I241" i="43"/>
  <c r="M241" i="43" s="1"/>
  <c r="J240" i="43"/>
  <c r="K240" i="43" s="1"/>
  <c r="I240" i="43"/>
  <c r="M240" i="43" s="1"/>
  <c r="J239" i="43"/>
  <c r="K239" i="43" s="1"/>
  <c r="I239" i="43"/>
  <c r="M239" i="43" s="1"/>
  <c r="J238" i="43"/>
  <c r="K238" i="43" s="1"/>
  <c r="I238" i="43"/>
  <c r="M238" i="43" s="1"/>
  <c r="J237" i="43"/>
  <c r="K237" i="43" s="1"/>
  <c r="I237" i="43"/>
  <c r="M237" i="43" s="1"/>
  <c r="K236" i="43"/>
  <c r="J236" i="43"/>
  <c r="I236" i="43"/>
  <c r="M236" i="43" s="1"/>
  <c r="J235" i="43"/>
  <c r="K235" i="43" s="1"/>
  <c r="I235" i="43"/>
  <c r="M235" i="43" s="1"/>
  <c r="J234" i="43"/>
  <c r="K234" i="43" s="1"/>
  <c r="I234" i="43"/>
  <c r="M234" i="43" s="1"/>
  <c r="J233" i="43"/>
  <c r="K233" i="43" s="1"/>
  <c r="I233" i="43"/>
  <c r="M233" i="43" s="1"/>
  <c r="J232" i="43"/>
  <c r="K232" i="43" s="1"/>
  <c r="I232" i="43"/>
  <c r="M232" i="43" s="1"/>
  <c r="J231" i="43"/>
  <c r="K231" i="43" s="1"/>
  <c r="I231" i="43"/>
  <c r="M231" i="43" s="1"/>
  <c r="J230" i="43"/>
  <c r="K230" i="43" s="1"/>
  <c r="I230" i="43"/>
  <c r="M230" i="43" s="1"/>
  <c r="J229" i="43"/>
  <c r="K229" i="43" s="1"/>
  <c r="I229" i="43"/>
  <c r="M229" i="43" s="1"/>
  <c r="M228" i="43"/>
  <c r="J228" i="43"/>
  <c r="K228" i="43" s="1"/>
  <c r="I228" i="43"/>
  <c r="J227" i="43"/>
  <c r="K227" i="43" s="1"/>
  <c r="I227" i="43"/>
  <c r="M227" i="43" s="1"/>
  <c r="J226" i="43"/>
  <c r="K226" i="43" s="1"/>
  <c r="I226" i="43"/>
  <c r="M226" i="43" s="1"/>
  <c r="J225" i="43"/>
  <c r="K225" i="43" s="1"/>
  <c r="I225" i="43"/>
  <c r="M225" i="43" s="1"/>
  <c r="J224" i="43"/>
  <c r="K224" i="43" s="1"/>
  <c r="I224" i="43"/>
  <c r="M224" i="43" s="1"/>
  <c r="J223" i="43"/>
  <c r="K223" i="43" s="1"/>
  <c r="I223" i="43"/>
  <c r="M223" i="43" s="1"/>
  <c r="J222" i="43"/>
  <c r="K222" i="43" s="1"/>
  <c r="I222" i="43"/>
  <c r="M222" i="43" s="1"/>
  <c r="J221" i="43"/>
  <c r="K221" i="43" s="1"/>
  <c r="I221" i="43"/>
  <c r="M221" i="43" s="1"/>
  <c r="M220" i="43"/>
  <c r="J220" i="43"/>
  <c r="K220" i="43" s="1"/>
  <c r="I220" i="43"/>
  <c r="J219" i="43"/>
  <c r="K219" i="43" s="1"/>
  <c r="I219" i="43"/>
  <c r="M219" i="43" s="1"/>
  <c r="J218" i="43"/>
  <c r="K218" i="43" s="1"/>
  <c r="I218" i="43"/>
  <c r="M218" i="43" s="1"/>
  <c r="J217" i="43"/>
  <c r="K217" i="43" s="1"/>
  <c r="I217" i="43"/>
  <c r="M217" i="43" s="1"/>
  <c r="J216" i="43"/>
  <c r="K216" i="43" s="1"/>
  <c r="I216" i="43"/>
  <c r="M216" i="43" s="1"/>
  <c r="J215" i="43"/>
  <c r="K215" i="43" s="1"/>
  <c r="I215" i="43"/>
  <c r="M215" i="43" s="1"/>
  <c r="J214" i="43"/>
  <c r="K214" i="43" s="1"/>
  <c r="I214" i="43"/>
  <c r="M214" i="43" s="1"/>
  <c r="J213" i="43"/>
  <c r="K213" i="43" s="1"/>
  <c r="I213" i="43"/>
  <c r="M213" i="43" s="1"/>
  <c r="J212" i="43"/>
  <c r="K212" i="43" s="1"/>
  <c r="I212" i="43"/>
  <c r="M212" i="43" s="1"/>
  <c r="J211" i="43"/>
  <c r="K211" i="43" s="1"/>
  <c r="I211" i="43"/>
  <c r="M211" i="43" s="1"/>
  <c r="J210" i="43"/>
  <c r="K210" i="43" s="1"/>
  <c r="I210" i="43"/>
  <c r="M210" i="43" s="1"/>
  <c r="J209" i="43"/>
  <c r="K209" i="43" s="1"/>
  <c r="I209" i="43"/>
  <c r="M209" i="43" s="1"/>
  <c r="J208" i="43"/>
  <c r="K208" i="43" s="1"/>
  <c r="I208" i="43"/>
  <c r="M208" i="43" s="1"/>
  <c r="J207" i="43"/>
  <c r="K207" i="43" s="1"/>
  <c r="I207" i="43"/>
  <c r="M207" i="43" s="1"/>
  <c r="J206" i="43"/>
  <c r="K206" i="43" s="1"/>
  <c r="I206" i="43"/>
  <c r="M206" i="43" s="1"/>
  <c r="J205" i="43"/>
  <c r="K205" i="43" s="1"/>
  <c r="I205" i="43"/>
  <c r="M205" i="43" s="1"/>
  <c r="K204" i="43"/>
  <c r="J204" i="43"/>
  <c r="I204" i="43"/>
  <c r="M204" i="43" s="1"/>
  <c r="J203" i="43"/>
  <c r="K203" i="43" s="1"/>
  <c r="I203" i="43"/>
  <c r="M203" i="43" s="1"/>
  <c r="J202" i="43"/>
  <c r="K202" i="43" s="1"/>
  <c r="I202" i="43"/>
  <c r="M202" i="43" s="1"/>
  <c r="J201" i="43"/>
  <c r="K201" i="43" s="1"/>
  <c r="I201" i="43"/>
  <c r="M201" i="43" s="1"/>
  <c r="J200" i="43"/>
  <c r="K200" i="43" s="1"/>
  <c r="I200" i="43"/>
  <c r="M200" i="43" s="1"/>
  <c r="J199" i="43"/>
  <c r="K199" i="43" s="1"/>
  <c r="I199" i="43"/>
  <c r="M199" i="43" s="1"/>
  <c r="J198" i="43"/>
  <c r="K198" i="43" s="1"/>
  <c r="I198" i="43"/>
  <c r="M198" i="43" s="1"/>
  <c r="J197" i="43"/>
  <c r="K197" i="43" s="1"/>
  <c r="I197" i="43"/>
  <c r="M197" i="43" s="1"/>
  <c r="M196" i="43"/>
  <c r="J196" i="43"/>
  <c r="K196" i="43" s="1"/>
  <c r="I196" i="43"/>
  <c r="J195" i="43"/>
  <c r="K195" i="43" s="1"/>
  <c r="I195" i="43"/>
  <c r="M195" i="43" s="1"/>
  <c r="J194" i="43"/>
  <c r="K194" i="43" s="1"/>
  <c r="I194" i="43"/>
  <c r="M194" i="43" s="1"/>
  <c r="J193" i="43"/>
  <c r="K193" i="43" s="1"/>
  <c r="I193" i="43"/>
  <c r="M193" i="43" s="1"/>
  <c r="J192" i="43"/>
  <c r="K192" i="43" s="1"/>
  <c r="I192" i="43"/>
  <c r="M192" i="43" s="1"/>
  <c r="J191" i="43"/>
  <c r="K191" i="43" s="1"/>
  <c r="I191" i="43"/>
  <c r="M191" i="43" s="1"/>
  <c r="J190" i="43"/>
  <c r="K190" i="43" s="1"/>
  <c r="I190" i="43"/>
  <c r="M190" i="43" s="1"/>
  <c r="J189" i="43"/>
  <c r="K189" i="43" s="1"/>
  <c r="I189" i="43"/>
  <c r="M189" i="43" s="1"/>
  <c r="M188" i="43"/>
  <c r="J188" i="43"/>
  <c r="K188" i="43" s="1"/>
  <c r="I188" i="43"/>
  <c r="J187" i="43"/>
  <c r="K187" i="43" s="1"/>
  <c r="I187" i="43"/>
  <c r="M187" i="43" s="1"/>
  <c r="J186" i="43"/>
  <c r="K186" i="43" s="1"/>
  <c r="I186" i="43"/>
  <c r="M186" i="43" s="1"/>
  <c r="J185" i="43"/>
  <c r="K185" i="43" s="1"/>
  <c r="I185" i="43"/>
  <c r="M185" i="43" s="1"/>
  <c r="J184" i="43"/>
  <c r="K184" i="43" s="1"/>
  <c r="I184" i="43"/>
  <c r="M184" i="43" s="1"/>
  <c r="J183" i="43"/>
  <c r="K183" i="43" s="1"/>
  <c r="I183" i="43"/>
  <c r="M183" i="43" s="1"/>
  <c r="J182" i="43"/>
  <c r="K182" i="43" s="1"/>
  <c r="I182" i="43"/>
  <c r="M182" i="43" s="1"/>
  <c r="J181" i="43"/>
  <c r="K181" i="43" s="1"/>
  <c r="I181" i="43"/>
  <c r="M181" i="43" s="1"/>
  <c r="J180" i="43"/>
  <c r="K180" i="43" s="1"/>
  <c r="I180" i="43"/>
  <c r="M180" i="43" s="1"/>
  <c r="J179" i="43"/>
  <c r="K179" i="43" s="1"/>
  <c r="I179" i="43"/>
  <c r="M179" i="43" s="1"/>
  <c r="J178" i="43"/>
  <c r="K178" i="43" s="1"/>
  <c r="I178" i="43"/>
  <c r="M178" i="43" s="1"/>
  <c r="J177" i="43"/>
  <c r="K177" i="43" s="1"/>
  <c r="I177" i="43"/>
  <c r="M177" i="43" s="1"/>
  <c r="J176" i="43"/>
  <c r="K176" i="43" s="1"/>
  <c r="I176" i="43"/>
  <c r="M176" i="43" s="1"/>
  <c r="J175" i="43"/>
  <c r="K175" i="43" s="1"/>
  <c r="I175" i="43"/>
  <c r="M175" i="43" s="1"/>
  <c r="J174" i="43"/>
  <c r="K174" i="43" s="1"/>
  <c r="I174" i="43"/>
  <c r="M174" i="43" s="1"/>
  <c r="J173" i="43"/>
  <c r="K173" i="43" s="1"/>
  <c r="I173" i="43"/>
  <c r="M173" i="43" s="1"/>
  <c r="J172" i="43"/>
  <c r="K172" i="43" s="1"/>
  <c r="I172" i="43"/>
  <c r="M172" i="43" s="1"/>
  <c r="J171" i="43"/>
  <c r="K171" i="43" s="1"/>
  <c r="I171" i="43"/>
  <c r="M171" i="43" s="1"/>
  <c r="J170" i="43"/>
  <c r="K170" i="43" s="1"/>
  <c r="I170" i="43"/>
  <c r="M170" i="43" s="1"/>
  <c r="J169" i="43"/>
  <c r="K169" i="43" s="1"/>
  <c r="I169" i="43"/>
  <c r="M169" i="43" s="1"/>
  <c r="J168" i="43"/>
  <c r="K168" i="43" s="1"/>
  <c r="I168" i="43"/>
  <c r="M168" i="43" s="1"/>
  <c r="J167" i="43"/>
  <c r="K167" i="43" s="1"/>
  <c r="I167" i="43"/>
  <c r="M167" i="43" s="1"/>
  <c r="J166" i="43"/>
  <c r="K166" i="43" s="1"/>
  <c r="I166" i="43"/>
  <c r="M166" i="43" s="1"/>
  <c r="J165" i="43"/>
  <c r="K165" i="43" s="1"/>
  <c r="I165" i="43"/>
  <c r="M165" i="43" s="1"/>
  <c r="M164" i="43"/>
  <c r="K164" i="43"/>
  <c r="J164" i="43"/>
  <c r="I164" i="43"/>
  <c r="J163" i="43"/>
  <c r="K163" i="43" s="1"/>
  <c r="I163" i="43"/>
  <c r="M163" i="43" s="1"/>
  <c r="J162" i="43"/>
  <c r="K162" i="43" s="1"/>
  <c r="I162" i="43"/>
  <c r="M162" i="43" s="1"/>
  <c r="J161" i="43"/>
  <c r="K161" i="43" s="1"/>
  <c r="I161" i="43"/>
  <c r="M161" i="43" s="1"/>
  <c r="J160" i="43"/>
  <c r="K160" i="43" s="1"/>
  <c r="I160" i="43"/>
  <c r="M160" i="43" s="1"/>
  <c r="J159" i="43"/>
  <c r="K159" i="43" s="1"/>
  <c r="I159" i="43"/>
  <c r="M159" i="43" s="1"/>
  <c r="J158" i="43"/>
  <c r="K158" i="43" s="1"/>
  <c r="I158" i="43"/>
  <c r="M158" i="43" s="1"/>
  <c r="J157" i="43"/>
  <c r="K157" i="43" s="1"/>
  <c r="I157" i="43"/>
  <c r="M157" i="43" s="1"/>
  <c r="K156" i="43"/>
  <c r="J156" i="43"/>
  <c r="I156" i="43"/>
  <c r="M156" i="43" s="1"/>
  <c r="J155" i="43"/>
  <c r="K155" i="43" s="1"/>
  <c r="I155" i="43"/>
  <c r="M155" i="43" s="1"/>
  <c r="J154" i="43"/>
  <c r="K154" i="43" s="1"/>
  <c r="I154" i="43"/>
  <c r="M154" i="43" s="1"/>
  <c r="J153" i="43"/>
  <c r="K153" i="43" s="1"/>
  <c r="I153" i="43"/>
  <c r="M153" i="43" s="1"/>
  <c r="J152" i="43"/>
  <c r="K152" i="43" s="1"/>
  <c r="I152" i="43"/>
  <c r="M152" i="43" s="1"/>
  <c r="J151" i="43"/>
  <c r="K151" i="43" s="1"/>
  <c r="I151" i="43"/>
  <c r="M151" i="43" s="1"/>
  <c r="J150" i="43"/>
  <c r="K150" i="43" s="1"/>
  <c r="I150" i="43"/>
  <c r="M150" i="43" s="1"/>
  <c r="J149" i="43"/>
  <c r="K149" i="43" s="1"/>
  <c r="I149" i="43"/>
  <c r="M149" i="43" s="1"/>
  <c r="K148" i="43"/>
  <c r="J148" i="43"/>
  <c r="I148" i="43"/>
  <c r="M148" i="43" s="1"/>
  <c r="J147" i="43"/>
  <c r="K147" i="43" s="1"/>
  <c r="I147" i="43"/>
  <c r="M147" i="43" s="1"/>
  <c r="J146" i="43"/>
  <c r="K146" i="43" s="1"/>
  <c r="I146" i="43"/>
  <c r="M146" i="43" s="1"/>
  <c r="J145" i="43"/>
  <c r="K145" i="43" s="1"/>
  <c r="I145" i="43"/>
  <c r="M145" i="43" s="1"/>
  <c r="J144" i="43"/>
  <c r="K144" i="43" s="1"/>
  <c r="I144" i="43"/>
  <c r="M144" i="43" s="1"/>
  <c r="J143" i="43"/>
  <c r="K143" i="43" s="1"/>
  <c r="I143" i="43"/>
  <c r="M143" i="43" s="1"/>
  <c r="J142" i="43"/>
  <c r="K142" i="43" s="1"/>
  <c r="I142" i="43"/>
  <c r="M142" i="43" s="1"/>
  <c r="J141" i="43"/>
  <c r="K141" i="43" s="1"/>
  <c r="I141" i="43"/>
  <c r="M141" i="43" s="1"/>
  <c r="M140" i="43"/>
  <c r="J140" i="43"/>
  <c r="K140" i="43" s="1"/>
  <c r="I140" i="43"/>
  <c r="J139" i="43"/>
  <c r="K139" i="43" s="1"/>
  <c r="I139" i="43"/>
  <c r="M139" i="43" s="1"/>
  <c r="J138" i="43"/>
  <c r="K138" i="43" s="1"/>
  <c r="I138" i="43"/>
  <c r="M138" i="43" s="1"/>
  <c r="J137" i="43"/>
  <c r="K137" i="43" s="1"/>
  <c r="I137" i="43"/>
  <c r="M137" i="43" s="1"/>
  <c r="J136" i="43"/>
  <c r="K136" i="43" s="1"/>
  <c r="I136" i="43"/>
  <c r="M136" i="43" s="1"/>
  <c r="J135" i="43"/>
  <c r="K135" i="43" s="1"/>
  <c r="I135" i="43"/>
  <c r="M135" i="43" s="1"/>
  <c r="J134" i="43"/>
  <c r="K134" i="43" s="1"/>
  <c r="I134" i="43"/>
  <c r="M134" i="43" s="1"/>
  <c r="M133" i="43"/>
  <c r="J133" i="43"/>
  <c r="K133" i="43" s="1"/>
  <c r="I133" i="43"/>
  <c r="J132" i="43"/>
  <c r="K132" i="43" s="1"/>
  <c r="I132" i="43"/>
  <c r="M132" i="43" s="1"/>
  <c r="M131" i="43"/>
  <c r="J131" i="43"/>
  <c r="K131" i="43" s="1"/>
  <c r="I131" i="43"/>
  <c r="J130" i="43"/>
  <c r="K130" i="43" s="1"/>
  <c r="I130" i="43"/>
  <c r="M130" i="43" s="1"/>
  <c r="K129" i="43"/>
  <c r="J129" i="43"/>
  <c r="I129" i="43"/>
  <c r="M129" i="43" s="1"/>
  <c r="J128" i="43"/>
  <c r="K128" i="43" s="1"/>
  <c r="I128" i="43"/>
  <c r="M128" i="43" s="1"/>
  <c r="J127" i="43"/>
  <c r="K127" i="43" s="1"/>
  <c r="I127" i="43"/>
  <c r="M127" i="43" s="1"/>
  <c r="J126" i="43"/>
  <c r="K126" i="43" s="1"/>
  <c r="I126" i="43"/>
  <c r="M126" i="43" s="1"/>
  <c r="M125" i="43"/>
  <c r="J125" i="43"/>
  <c r="K125" i="43" s="1"/>
  <c r="I125" i="43"/>
  <c r="J124" i="43"/>
  <c r="K124" i="43" s="1"/>
  <c r="I124" i="43"/>
  <c r="M124" i="43" s="1"/>
  <c r="M123" i="43"/>
  <c r="J123" i="43"/>
  <c r="K123" i="43" s="1"/>
  <c r="I123" i="43"/>
  <c r="J122" i="43"/>
  <c r="K122" i="43" s="1"/>
  <c r="I122" i="43"/>
  <c r="M122" i="43" s="1"/>
  <c r="K121" i="43"/>
  <c r="J121" i="43"/>
  <c r="I121" i="43"/>
  <c r="M121" i="43" s="1"/>
  <c r="J120" i="43"/>
  <c r="K120" i="43" s="1"/>
  <c r="I120" i="43"/>
  <c r="M120" i="43" s="1"/>
  <c r="J119" i="43"/>
  <c r="K119" i="43" s="1"/>
  <c r="I119" i="43"/>
  <c r="M119" i="43" s="1"/>
  <c r="J118" i="43"/>
  <c r="K118" i="43" s="1"/>
  <c r="I118" i="43"/>
  <c r="M118" i="43" s="1"/>
  <c r="M117" i="43"/>
  <c r="J117" i="43"/>
  <c r="K117" i="43" s="1"/>
  <c r="I117" i="43"/>
  <c r="J116" i="43"/>
  <c r="K116" i="43" s="1"/>
  <c r="I116" i="43"/>
  <c r="M116" i="43" s="1"/>
  <c r="M115" i="43"/>
  <c r="J115" i="43"/>
  <c r="K115" i="43" s="1"/>
  <c r="I115" i="43"/>
  <c r="J114" i="43"/>
  <c r="K114" i="43" s="1"/>
  <c r="I114" i="43"/>
  <c r="M114" i="43" s="1"/>
  <c r="K113" i="43"/>
  <c r="J113" i="43"/>
  <c r="I113" i="43"/>
  <c r="M113" i="43" s="1"/>
  <c r="J112" i="43"/>
  <c r="K112" i="43" s="1"/>
  <c r="I112" i="43"/>
  <c r="M112" i="43" s="1"/>
  <c r="J111" i="43"/>
  <c r="K111" i="43" s="1"/>
  <c r="I111" i="43"/>
  <c r="M111" i="43" s="1"/>
  <c r="J110" i="43"/>
  <c r="K110" i="43" s="1"/>
  <c r="I110" i="43"/>
  <c r="M110" i="43" s="1"/>
  <c r="M109" i="43"/>
  <c r="J109" i="43"/>
  <c r="K109" i="43" s="1"/>
  <c r="I109" i="43"/>
  <c r="J108" i="43"/>
  <c r="K108" i="43" s="1"/>
  <c r="I108" i="43"/>
  <c r="M108" i="43" s="1"/>
  <c r="M107" i="43"/>
  <c r="J107" i="43"/>
  <c r="K107" i="43" s="1"/>
  <c r="I107" i="43"/>
  <c r="J106" i="43"/>
  <c r="K106" i="43" s="1"/>
  <c r="I106" i="43"/>
  <c r="M106" i="43" s="1"/>
  <c r="K105" i="43"/>
  <c r="J105" i="43"/>
  <c r="I105" i="43"/>
  <c r="M105" i="43" s="1"/>
  <c r="J104" i="43"/>
  <c r="K104" i="43" s="1"/>
  <c r="I104" i="43"/>
  <c r="M104" i="43" s="1"/>
  <c r="J103" i="43"/>
  <c r="K103" i="43" s="1"/>
  <c r="I103" i="43"/>
  <c r="M103" i="43" s="1"/>
  <c r="J102" i="43"/>
  <c r="K102" i="43" s="1"/>
  <c r="I102" i="43"/>
  <c r="M102" i="43" s="1"/>
  <c r="M101" i="43"/>
  <c r="J101" i="43"/>
  <c r="K101" i="43" s="1"/>
  <c r="I101" i="43"/>
  <c r="J100" i="43"/>
  <c r="K100" i="43" s="1"/>
  <c r="I100" i="43"/>
  <c r="M100" i="43" s="1"/>
  <c r="M99" i="43"/>
  <c r="J99" i="43"/>
  <c r="K99" i="43" s="1"/>
  <c r="I99" i="43"/>
  <c r="J98" i="43"/>
  <c r="K98" i="43" s="1"/>
  <c r="I98" i="43"/>
  <c r="M98" i="43" s="1"/>
  <c r="K97" i="43"/>
  <c r="J97" i="43"/>
  <c r="I97" i="43"/>
  <c r="M97" i="43" s="1"/>
  <c r="J96" i="43"/>
  <c r="K96" i="43" s="1"/>
  <c r="I96" i="43"/>
  <c r="M96" i="43" s="1"/>
  <c r="J95" i="43"/>
  <c r="K95" i="43" s="1"/>
  <c r="I95" i="43"/>
  <c r="M95" i="43" s="1"/>
  <c r="J94" i="43"/>
  <c r="K94" i="43" s="1"/>
  <c r="I94" i="43"/>
  <c r="M94" i="43" s="1"/>
  <c r="M93" i="43"/>
  <c r="J93" i="43"/>
  <c r="K93" i="43" s="1"/>
  <c r="I93" i="43"/>
  <c r="J92" i="43"/>
  <c r="K92" i="43" s="1"/>
  <c r="I92" i="43"/>
  <c r="M92" i="43" s="1"/>
  <c r="M91" i="43"/>
  <c r="J91" i="43"/>
  <c r="K91" i="43" s="1"/>
  <c r="I91" i="43"/>
  <c r="J90" i="43"/>
  <c r="K90" i="43" s="1"/>
  <c r="I90" i="43"/>
  <c r="M90" i="43" s="1"/>
  <c r="K89" i="43"/>
  <c r="J89" i="43"/>
  <c r="I89" i="43"/>
  <c r="M89" i="43" s="1"/>
  <c r="J88" i="43"/>
  <c r="K88" i="43" s="1"/>
  <c r="I88" i="43"/>
  <c r="M88" i="43" s="1"/>
  <c r="J87" i="43"/>
  <c r="K87" i="43" s="1"/>
  <c r="I87" i="43"/>
  <c r="M87" i="43" s="1"/>
  <c r="J86" i="43"/>
  <c r="K86" i="43" s="1"/>
  <c r="I86" i="43"/>
  <c r="M86" i="43" s="1"/>
  <c r="M85" i="43"/>
  <c r="J85" i="43"/>
  <c r="K85" i="43" s="1"/>
  <c r="I85" i="43"/>
  <c r="J84" i="43"/>
  <c r="K84" i="43" s="1"/>
  <c r="I84" i="43"/>
  <c r="M84" i="43" s="1"/>
  <c r="M83" i="43"/>
  <c r="J83" i="43"/>
  <c r="K83" i="43" s="1"/>
  <c r="I83" i="43"/>
  <c r="J82" i="43"/>
  <c r="K82" i="43" s="1"/>
  <c r="I82" i="43"/>
  <c r="M82" i="43" s="1"/>
  <c r="K81" i="43"/>
  <c r="J81" i="43"/>
  <c r="I81" i="43"/>
  <c r="M81" i="43" s="1"/>
  <c r="J80" i="43"/>
  <c r="K80" i="43" s="1"/>
  <c r="I80" i="43"/>
  <c r="M80" i="43" s="1"/>
  <c r="J79" i="43"/>
  <c r="K79" i="43" s="1"/>
  <c r="I79" i="43"/>
  <c r="M79" i="43" s="1"/>
  <c r="A79" i="43" s="1"/>
  <c r="J78" i="43"/>
  <c r="K78" i="43" s="1"/>
  <c r="I78" i="43"/>
  <c r="M78" i="43" s="1"/>
  <c r="A78" i="43"/>
  <c r="J77" i="43"/>
  <c r="K77" i="43" s="1"/>
  <c r="I77" i="43"/>
  <c r="M77" i="43" s="1"/>
  <c r="A77" i="43" s="1"/>
  <c r="J76" i="43"/>
  <c r="K76" i="43" s="1"/>
  <c r="I76" i="43"/>
  <c r="M76" i="43" s="1"/>
  <c r="A76" i="43" s="1"/>
  <c r="J75" i="43"/>
  <c r="K75" i="43" s="1"/>
  <c r="I75" i="43"/>
  <c r="M75" i="43" s="1"/>
  <c r="A75" i="43"/>
  <c r="K74" i="43"/>
  <c r="J74" i="43"/>
  <c r="I74" i="43"/>
  <c r="M74" i="43" s="1"/>
  <c r="A74" i="43" s="1"/>
  <c r="J73" i="43"/>
  <c r="K73" i="43" s="1"/>
  <c r="I73" i="43"/>
  <c r="M73" i="43" s="1"/>
  <c r="A73" i="43" s="1"/>
  <c r="J72" i="43"/>
  <c r="K72" i="43" s="1"/>
  <c r="I72" i="43"/>
  <c r="M72" i="43" s="1"/>
  <c r="A72" i="43" s="1"/>
  <c r="J71" i="43"/>
  <c r="K71" i="43" s="1"/>
  <c r="I71" i="43"/>
  <c r="M71" i="43" s="1"/>
  <c r="A71" i="43" s="1"/>
  <c r="J70" i="43"/>
  <c r="K70" i="43" s="1"/>
  <c r="I70" i="43"/>
  <c r="M70" i="43" s="1"/>
  <c r="A70" i="43" s="1"/>
  <c r="J69" i="43"/>
  <c r="K69" i="43" s="1"/>
  <c r="I69" i="43"/>
  <c r="M69" i="43" s="1"/>
  <c r="A69" i="43" s="1"/>
  <c r="J68" i="43"/>
  <c r="K68" i="43" s="1"/>
  <c r="I68" i="43"/>
  <c r="M68" i="43" s="1"/>
  <c r="A68" i="43" s="1"/>
  <c r="J67" i="43"/>
  <c r="K67" i="43" s="1"/>
  <c r="I67" i="43"/>
  <c r="M67" i="43" s="1"/>
  <c r="A67" i="43"/>
  <c r="M66" i="43"/>
  <c r="A66" i="43" s="1"/>
  <c r="J66" i="43"/>
  <c r="K66" i="43" s="1"/>
  <c r="I66" i="43"/>
  <c r="J65" i="43"/>
  <c r="K65" i="43" s="1"/>
  <c r="I65" i="43"/>
  <c r="M65" i="43" s="1"/>
  <c r="A65" i="43" s="1"/>
  <c r="B65" i="43"/>
  <c r="J64" i="43"/>
  <c r="K64" i="43" s="1"/>
  <c r="I64" i="43"/>
  <c r="M64" i="43" s="1"/>
  <c r="A64" i="43" s="1"/>
  <c r="B64" i="43"/>
  <c r="J63" i="43"/>
  <c r="K63" i="43" s="1"/>
  <c r="I63" i="43"/>
  <c r="M63" i="43" s="1"/>
  <c r="A63" i="43" s="1"/>
  <c r="B63" i="43"/>
  <c r="J62" i="43"/>
  <c r="K62" i="43" s="1"/>
  <c r="I62" i="43"/>
  <c r="M62" i="43" s="1"/>
  <c r="A62" i="43" s="1"/>
  <c r="B62" i="43"/>
  <c r="K61" i="43"/>
  <c r="J61" i="43"/>
  <c r="I61" i="43"/>
  <c r="M61" i="43" s="1"/>
  <c r="A61" i="43" s="1"/>
  <c r="B61" i="43"/>
  <c r="J60" i="43"/>
  <c r="K60" i="43" s="1"/>
  <c r="I60" i="43"/>
  <c r="M60" i="43" s="1"/>
  <c r="A60" i="43" s="1"/>
  <c r="B60" i="43"/>
  <c r="J59" i="43"/>
  <c r="K59" i="43" s="1"/>
  <c r="I59" i="43"/>
  <c r="M59" i="43" s="1"/>
  <c r="B59" i="43"/>
  <c r="A59" i="43"/>
  <c r="M58" i="43"/>
  <c r="A58" i="43" s="1"/>
  <c r="J58" i="43"/>
  <c r="K58" i="43" s="1"/>
  <c r="I58" i="43"/>
  <c r="B58" i="43"/>
  <c r="J57" i="43"/>
  <c r="K57" i="43" s="1"/>
  <c r="I57" i="43"/>
  <c r="M57" i="43" s="1"/>
  <c r="A57" i="43" s="1"/>
  <c r="B57" i="43"/>
  <c r="J56" i="43"/>
  <c r="K56" i="43" s="1"/>
  <c r="I56" i="43"/>
  <c r="M56" i="43" s="1"/>
  <c r="A56" i="43" s="1"/>
  <c r="B56" i="43"/>
  <c r="J55" i="43"/>
  <c r="K55" i="43" s="1"/>
  <c r="I55" i="43"/>
  <c r="M55" i="43" s="1"/>
  <c r="B55" i="43"/>
  <c r="A55" i="43"/>
  <c r="M54" i="43"/>
  <c r="A54" i="43" s="1"/>
  <c r="J54" i="43"/>
  <c r="K54" i="43" s="1"/>
  <c r="I54" i="43"/>
  <c r="B54" i="43"/>
  <c r="J53" i="43"/>
  <c r="K53" i="43" s="1"/>
  <c r="I53" i="43"/>
  <c r="M53" i="43" s="1"/>
  <c r="A53" i="43" s="1"/>
  <c r="B53" i="43"/>
  <c r="J52" i="43"/>
  <c r="K52" i="43" s="1"/>
  <c r="I52" i="43"/>
  <c r="M52" i="43" s="1"/>
  <c r="A52" i="43" s="1"/>
  <c r="B52" i="43"/>
  <c r="J51" i="43"/>
  <c r="K51" i="43" s="1"/>
  <c r="I51" i="43"/>
  <c r="M51" i="43" s="1"/>
  <c r="A51" i="43" s="1"/>
  <c r="B51" i="43"/>
  <c r="K50" i="43"/>
  <c r="J50" i="43"/>
  <c r="I50" i="43"/>
  <c r="M50" i="43" s="1"/>
  <c r="A50" i="43" s="1"/>
  <c r="B50" i="43"/>
  <c r="J49" i="43"/>
  <c r="K49" i="43" s="1"/>
  <c r="I49" i="43"/>
  <c r="M49" i="43" s="1"/>
  <c r="A49" i="43" s="1"/>
  <c r="B49" i="43"/>
  <c r="J48" i="43"/>
  <c r="K48" i="43" s="1"/>
  <c r="I48" i="43"/>
  <c r="M48" i="43" s="1"/>
  <c r="A48" i="43" s="1"/>
  <c r="B48" i="43"/>
  <c r="J47" i="43"/>
  <c r="K47" i="43" s="1"/>
  <c r="I47" i="43"/>
  <c r="M47" i="43" s="1"/>
  <c r="A47" i="43" s="1"/>
  <c r="B47" i="43"/>
  <c r="T46" i="43"/>
  <c r="U46" i="43" s="1"/>
  <c r="R46" i="43"/>
  <c r="J46" i="43"/>
  <c r="K46" i="43" s="1"/>
  <c r="I46" i="43"/>
  <c r="M46" i="43" s="1"/>
  <c r="A46" i="43" s="1"/>
  <c r="B46" i="43"/>
  <c r="K45" i="43"/>
  <c r="M45" i="43" s="1"/>
  <c r="A45" i="43" s="1"/>
  <c r="J45" i="43"/>
  <c r="I45" i="43"/>
  <c r="B45" i="43"/>
  <c r="K44" i="43"/>
  <c r="J44" i="43"/>
  <c r="I44" i="43"/>
  <c r="M44" i="43" s="1"/>
  <c r="A44" i="43" s="1"/>
  <c r="B44" i="43"/>
  <c r="J43" i="43"/>
  <c r="K43" i="43" s="1"/>
  <c r="I43" i="43"/>
  <c r="M43" i="43" s="1"/>
  <c r="A43" i="43" s="1"/>
  <c r="B43" i="43"/>
  <c r="J42" i="43"/>
  <c r="K42" i="43" s="1"/>
  <c r="I42" i="43"/>
  <c r="M42" i="43" s="1"/>
  <c r="A42" i="43" s="1"/>
  <c r="B42" i="43"/>
  <c r="K41" i="43"/>
  <c r="M41" i="43" s="1"/>
  <c r="A41" i="43" s="1"/>
  <c r="J41" i="43"/>
  <c r="I41" i="43"/>
  <c r="B41" i="43"/>
  <c r="J40" i="43"/>
  <c r="K40" i="43" s="1"/>
  <c r="I40" i="43"/>
  <c r="M40" i="43" s="1"/>
  <c r="A40" i="43" s="1"/>
  <c r="B40" i="43"/>
  <c r="J39" i="43"/>
  <c r="K39" i="43" s="1"/>
  <c r="I39" i="43"/>
  <c r="B39" i="43"/>
  <c r="J38" i="43"/>
  <c r="K38" i="43" s="1"/>
  <c r="I38" i="43"/>
  <c r="M38" i="43" s="1"/>
  <c r="B38" i="43"/>
  <c r="A38" i="43"/>
  <c r="K37" i="43"/>
  <c r="M37" i="43" s="1"/>
  <c r="A37" i="43" s="1"/>
  <c r="J37" i="43"/>
  <c r="I37" i="43"/>
  <c r="B37" i="43"/>
  <c r="J36" i="43"/>
  <c r="K36" i="43" s="1"/>
  <c r="I36" i="43"/>
  <c r="M36" i="43" s="1"/>
  <c r="A36" i="43" s="1"/>
  <c r="B36" i="43"/>
  <c r="J35" i="43"/>
  <c r="K35" i="43" s="1"/>
  <c r="I35" i="43"/>
  <c r="B35" i="43"/>
  <c r="J34" i="43"/>
  <c r="K34" i="43" s="1"/>
  <c r="I34" i="43"/>
  <c r="M34" i="43" s="1"/>
  <c r="B34" i="43"/>
  <c r="A34" i="43"/>
  <c r="K33" i="43"/>
  <c r="M33" i="43" s="1"/>
  <c r="A33" i="43" s="1"/>
  <c r="J33" i="43"/>
  <c r="I33" i="43"/>
  <c r="B33" i="43"/>
  <c r="J32" i="43"/>
  <c r="K32" i="43" s="1"/>
  <c r="I32" i="43"/>
  <c r="M32" i="43" s="1"/>
  <c r="A32" i="43" s="1"/>
  <c r="B32" i="43"/>
  <c r="J31" i="43"/>
  <c r="K31" i="43" s="1"/>
  <c r="I31" i="43"/>
  <c r="B31" i="43"/>
  <c r="J30" i="43"/>
  <c r="K30" i="43" s="1"/>
  <c r="I30" i="43"/>
  <c r="M30" i="43" s="1"/>
  <c r="A30" i="43" s="1"/>
  <c r="B30" i="43"/>
  <c r="J29" i="43"/>
  <c r="K29" i="43" s="1"/>
  <c r="M29" i="43" s="1"/>
  <c r="A29" i="43" s="1"/>
  <c r="I29" i="43"/>
  <c r="B29" i="43"/>
  <c r="J28" i="43"/>
  <c r="K28" i="43" s="1"/>
  <c r="I28" i="43"/>
  <c r="M28" i="43" s="1"/>
  <c r="A28" i="43" s="1"/>
  <c r="B28" i="43"/>
  <c r="J27" i="43"/>
  <c r="K27" i="43" s="1"/>
  <c r="I27" i="43"/>
  <c r="B27" i="43"/>
  <c r="J26" i="43"/>
  <c r="K26" i="43" s="1"/>
  <c r="I26" i="43"/>
  <c r="M26" i="43" s="1"/>
  <c r="A26" i="43" s="1"/>
  <c r="B26" i="43"/>
  <c r="J25" i="43"/>
  <c r="K25" i="43" s="1"/>
  <c r="M25" i="43" s="1"/>
  <c r="A25" i="43" s="1"/>
  <c r="I25" i="43"/>
  <c r="B25" i="43"/>
  <c r="J24" i="43"/>
  <c r="K24" i="43" s="1"/>
  <c r="I24" i="43"/>
  <c r="M24" i="43" s="1"/>
  <c r="A24" i="43" s="1"/>
  <c r="B24" i="43"/>
  <c r="J23" i="43"/>
  <c r="K23" i="43" s="1"/>
  <c r="I23" i="43"/>
  <c r="M23" i="43" s="1"/>
  <c r="A23" i="43" s="1"/>
  <c r="B23" i="43"/>
  <c r="J22" i="43"/>
  <c r="K22" i="43" s="1"/>
  <c r="I22" i="43"/>
  <c r="B22" i="43"/>
  <c r="J21" i="43"/>
  <c r="K21" i="43" s="1"/>
  <c r="M21" i="43" s="1"/>
  <c r="A21" i="43" s="1"/>
  <c r="I21" i="43"/>
  <c r="B21" i="43"/>
  <c r="J20" i="43"/>
  <c r="K20" i="43" s="1"/>
  <c r="I20" i="43"/>
  <c r="M20" i="43" s="1"/>
  <c r="A20" i="43" s="1"/>
  <c r="B20" i="43"/>
  <c r="J19" i="43"/>
  <c r="K19" i="43" s="1"/>
  <c r="I19" i="43"/>
  <c r="M19" i="43" s="1"/>
  <c r="A19" i="43" s="1"/>
  <c r="B19" i="43"/>
  <c r="J18" i="43"/>
  <c r="K18" i="43" s="1"/>
  <c r="I18" i="43"/>
  <c r="B18" i="43"/>
  <c r="J17" i="43"/>
  <c r="K17" i="43" s="1"/>
  <c r="M17" i="43" s="1"/>
  <c r="A17" i="43" s="1"/>
  <c r="I17" i="43"/>
  <c r="B17" i="43"/>
  <c r="AI16" i="43"/>
  <c r="K16" i="43"/>
  <c r="J16" i="43"/>
  <c r="I16" i="43"/>
  <c r="M16" i="43" s="1"/>
  <c r="A16" i="43" s="1"/>
  <c r="B16" i="43"/>
  <c r="J15" i="43"/>
  <c r="K15" i="43" s="1"/>
  <c r="I15" i="43"/>
  <c r="B15" i="43"/>
  <c r="AI14" i="43"/>
  <c r="J14" i="43"/>
  <c r="K14" i="43" s="1"/>
  <c r="I14" i="43"/>
  <c r="M14" i="43" s="1"/>
  <c r="A14" i="43" s="1"/>
  <c r="B14" i="43"/>
  <c r="AI13" i="43"/>
  <c r="J13" i="43"/>
  <c r="K13" i="43" s="1"/>
  <c r="I13" i="43"/>
  <c r="B13" i="43"/>
  <c r="AI12" i="43"/>
  <c r="J12" i="43"/>
  <c r="K12" i="43" s="1"/>
  <c r="I12" i="43"/>
  <c r="M12" i="43" s="1"/>
  <c r="A12" i="43" s="1"/>
  <c r="B12" i="43"/>
  <c r="J11" i="43"/>
  <c r="K11" i="43" s="1"/>
  <c r="I11" i="43"/>
  <c r="M11" i="43" s="1"/>
  <c r="A11" i="43" s="1"/>
  <c r="B11" i="43"/>
  <c r="K10" i="43"/>
  <c r="M10" i="43" s="1"/>
  <c r="A10" i="43" s="1"/>
  <c r="J10" i="43"/>
  <c r="I10" i="43"/>
  <c r="B10" i="43"/>
  <c r="J9" i="43"/>
  <c r="K9" i="43" s="1"/>
  <c r="I9" i="43"/>
  <c r="B9" i="43"/>
  <c r="J8" i="43"/>
  <c r="K8" i="43" s="1"/>
  <c r="I8" i="43"/>
  <c r="B8" i="43"/>
  <c r="J7" i="43"/>
  <c r="K7" i="43" s="1"/>
  <c r="I7" i="43"/>
  <c r="B7" i="43"/>
  <c r="J6" i="43"/>
  <c r="K6" i="43" s="1"/>
  <c r="I6" i="43"/>
  <c r="B6" i="43"/>
  <c r="AN23" i="31" s="1"/>
  <c r="K2" i="43"/>
  <c r="AX33" i="31" a="1"/>
  <c r="AX33" i="31" s="1"/>
  <c r="AY33" i="31" s="1"/>
  <c r="AH33" i="31"/>
  <c r="AI33" i="31" s="1"/>
  <c r="AB33" i="31"/>
  <c r="AC33" i="31" s="1"/>
  <c r="Z33" i="31"/>
  <c r="AA33" i="31" s="1"/>
  <c r="X33" i="31"/>
  <c r="Y33" i="31" s="1"/>
  <c r="S33" i="31"/>
  <c r="O33" i="31"/>
  <c r="M33" i="31"/>
  <c r="N33" i="31" s="1"/>
  <c r="K33" i="31"/>
  <c r="L33" i="31" s="1"/>
  <c r="I33" i="31"/>
  <c r="J33" i="31" s="1"/>
  <c r="G33" i="31"/>
  <c r="H33" i="31" s="1"/>
  <c r="E33" i="31"/>
  <c r="F33" i="31" s="1"/>
  <c r="A33" i="31"/>
  <c r="AX32" i="31" a="1"/>
  <c r="AX32" i="31" s="1"/>
  <c r="AY32" i="31" s="1"/>
  <c r="AB32" i="31"/>
  <c r="AC32" i="31" s="1"/>
  <c r="Z32" i="31"/>
  <c r="AA32" i="31" s="1"/>
  <c r="X32" i="31"/>
  <c r="Y32" i="31" s="1"/>
  <c r="S32" i="31"/>
  <c r="Q32" i="31"/>
  <c r="O32" i="31"/>
  <c r="P32" i="31" s="1"/>
  <c r="M32" i="31"/>
  <c r="N32" i="31" s="1"/>
  <c r="K32" i="31"/>
  <c r="L32" i="31" s="1"/>
  <c r="I32" i="31"/>
  <c r="J32" i="31" s="1"/>
  <c r="G32" i="31"/>
  <c r="H32" i="31" s="1"/>
  <c r="E32" i="31"/>
  <c r="F32" i="31" s="1"/>
  <c r="A32" i="31"/>
  <c r="AX31" i="31" a="1"/>
  <c r="AX31" i="31" s="1"/>
  <c r="AY31" i="31" s="1"/>
  <c r="AH31" i="31"/>
  <c r="AI31" i="31" s="1"/>
  <c r="AB31" i="31"/>
  <c r="AC31" i="31" s="1"/>
  <c r="Z31" i="31"/>
  <c r="AA31" i="31" s="1"/>
  <c r="X31" i="31"/>
  <c r="Y31" i="31" s="1"/>
  <c r="S31" i="31"/>
  <c r="Q31" i="31"/>
  <c r="O31" i="31"/>
  <c r="M31" i="31"/>
  <c r="N31" i="31" s="1"/>
  <c r="K31" i="31"/>
  <c r="L31" i="31" s="1"/>
  <c r="I31" i="31"/>
  <c r="J31" i="31" s="1"/>
  <c r="G31" i="31"/>
  <c r="H31" i="31" s="1"/>
  <c r="E31" i="31"/>
  <c r="F31" i="31" s="1"/>
  <c r="A31" i="31"/>
  <c r="AX30" i="31" a="1"/>
  <c r="AX30" i="31" s="1"/>
  <c r="AY30" i="31" s="1"/>
  <c r="AH30" i="31"/>
  <c r="AI30" i="31" s="1"/>
  <c r="AB30" i="31"/>
  <c r="AC30" i="31" s="1"/>
  <c r="Z30" i="31"/>
  <c r="AA30" i="31" s="1"/>
  <c r="X30" i="31"/>
  <c r="Y30" i="31" s="1"/>
  <c r="S30" i="31"/>
  <c r="O30" i="31"/>
  <c r="M30" i="31"/>
  <c r="N30" i="31" s="1"/>
  <c r="K30" i="31"/>
  <c r="L30" i="31" s="1"/>
  <c r="I30" i="31"/>
  <c r="J30" i="31" s="1"/>
  <c r="G30" i="31"/>
  <c r="H30" i="31" s="1"/>
  <c r="E30" i="31"/>
  <c r="F30" i="31" s="1"/>
  <c r="A30" i="31"/>
  <c r="AX19" i="31" a="1"/>
  <c r="AX19" i="31" s="1"/>
  <c r="AY19" i="31" s="1"/>
  <c r="AB19" i="31"/>
  <c r="AC19" i="31" s="1"/>
  <c r="Z19" i="31"/>
  <c r="AA19" i="31" s="1"/>
  <c r="X19" i="31"/>
  <c r="Y19" i="31" s="1"/>
  <c r="S19" i="31"/>
  <c r="O19" i="31"/>
  <c r="M19" i="31"/>
  <c r="N19" i="31" s="1"/>
  <c r="K19" i="31"/>
  <c r="L19" i="31" s="1"/>
  <c r="I19" i="31"/>
  <c r="J19" i="31" s="1"/>
  <c r="G19" i="31"/>
  <c r="H19" i="31" s="1"/>
  <c r="E19" i="31"/>
  <c r="F19" i="31" s="1"/>
  <c r="A19" i="31"/>
  <c r="AX23" i="31" a="1"/>
  <c r="AX23" i="31" s="1"/>
  <c r="AY23" i="31" s="1"/>
  <c r="AB23" i="31"/>
  <c r="AC23" i="31" s="1"/>
  <c r="Z23" i="31"/>
  <c r="AA23" i="31" s="1"/>
  <c r="X23" i="31"/>
  <c r="Y23" i="31" s="1"/>
  <c r="S23" i="31"/>
  <c r="O23" i="31"/>
  <c r="M23" i="31"/>
  <c r="N23" i="31" s="1"/>
  <c r="K23" i="31"/>
  <c r="L23" i="31" s="1"/>
  <c r="I23" i="31"/>
  <c r="J23" i="31" s="1"/>
  <c r="G23" i="31"/>
  <c r="H23" i="31" s="1"/>
  <c r="E23" i="31"/>
  <c r="F23" i="31" s="1"/>
  <c r="A23" i="31"/>
  <c r="AX21" i="31" a="1"/>
  <c r="AX21" i="31" s="1"/>
  <c r="AY21" i="31" s="1"/>
  <c r="AH21" i="31"/>
  <c r="AI21" i="31" s="1"/>
  <c r="AB21" i="31"/>
  <c r="AC21" i="31" s="1"/>
  <c r="Z21" i="31"/>
  <c r="AA21" i="31" s="1"/>
  <c r="X21" i="31"/>
  <c r="Y21" i="31" s="1"/>
  <c r="S21" i="31"/>
  <c r="Q21" i="31"/>
  <c r="O21" i="31"/>
  <c r="M21" i="31"/>
  <c r="N21" i="31" s="1"/>
  <c r="K21" i="31"/>
  <c r="L21" i="31" s="1"/>
  <c r="I21" i="31"/>
  <c r="J21" i="31" s="1"/>
  <c r="G21" i="31"/>
  <c r="H21" i="31" s="1"/>
  <c r="E21" i="31"/>
  <c r="F21" i="31" s="1"/>
  <c r="A21" i="31"/>
  <c r="AX24" i="31" a="1"/>
  <c r="AX24" i="31" s="1"/>
  <c r="AY24" i="31" s="1"/>
  <c r="AB24" i="31"/>
  <c r="AC24" i="31" s="1"/>
  <c r="Z24" i="31"/>
  <c r="AA24" i="31" s="1"/>
  <c r="X24" i="31"/>
  <c r="Y24" i="31" s="1"/>
  <c r="U24" i="31"/>
  <c r="S24" i="31"/>
  <c r="Q24" i="31"/>
  <c r="O24" i="31"/>
  <c r="M24" i="31"/>
  <c r="N24" i="31" s="1"/>
  <c r="K24" i="31"/>
  <c r="L24" i="31" s="1"/>
  <c r="I24" i="31"/>
  <c r="J24" i="31" s="1"/>
  <c r="G24" i="31"/>
  <c r="H24" i="31" s="1"/>
  <c r="E24" i="31"/>
  <c r="F24" i="31" s="1"/>
  <c r="A24" i="31"/>
  <c r="AX22" i="31" a="1"/>
  <c r="AX22" i="31" s="1"/>
  <c r="AY22" i="31" s="1"/>
  <c r="AH22" i="31"/>
  <c r="AI22" i="31" s="1"/>
  <c r="AB22" i="31"/>
  <c r="AC22" i="31" s="1"/>
  <c r="Z22" i="31"/>
  <c r="AA22" i="31" s="1"/>
  <c r="X22" i="31"/>
  <c r="Y22" i="31" s="1"/>
  <c r="U22" i="31"/>
  <c r="S22" i="31"/>
  <c r="Q22" i="31"/>
  <c r="O22" i="31"/>
  <c r="M22" i="31"/>
  <c r="N22" i="31" s="1"/>
  <c r="K22" i="31"/>
  <c r="L22" i="31" s="1"/>
  <c r="I22" i="31"/>
  <c r="J22" i="31" s="1"/>
  <c r="G22" i="31"/>
  <c r="H22" i="31" s="1"/>
  <c r="E22" i="31"/>
  <c r="F22" i="31" s="1"/>
  <c r="A22" i="31"/>
  <c r="AX29" i="31" a="1"/>
  <c r="AX29" i="31" s="1"/>
  <c r="AY29" i="31" s="1"/>
  <c r="AB29" i="31"/>
  <c r="AC29" i="31" s="1"/>
  <c r="Z29" i="31"/>
  <c r="AA29" i="31" s="1"/>
  <c r="X29" i="31"/>
  <c r="Y29" i="31" s="1"/>
  <c r="U29" i="31"/>
  <c r="S29" i="31"/>
  <c r="Q29" i="31"/>
  <c r="O29" i="31"/>
  <c r="M29" i="31"/>
  <c r="N29" i="31" s="1"/>
  <c r="K29" i="31"/>
  <c r="L29" i="31" s="1"/>
  <c r="I29" i="31"/>
  <c r="J29" i="31" s="1"/>
  <c r="G29" i="31"/>
  <c r="H29" i="31" s="1"/>
  <c r="E29" i="31"/>
  <c r="F29" i="31" s="1"/>
  <c r="A29" i="31"/>
  <c r="AX26" i="31" a="1"/>
  <c r="AX26" i="31" s="1"/>
  <c r="AY26" i="31" s="1"/>
  <c r="AH26" i="31"/>
  <c r="AI26" i="31" s="1"/>
  <c r="AB26" i="31"/>
  <c r="AC26" i="31" s="1"/>
  <c r="Z26" i="31"/>
  <c r="AA26" i="31" s="1"/>
  <c r="X26" i="31"/>
  <c r="Y26" i="31" s="1"/>
  <c r="U26" i="31"/>
  <c r="S26" i="31"/>
  <c r="Q26" i="31"/>
  <c r="O26" i="31"/>
  <c r="M26" i="31"/>
  <c r="N26" i="31" s="1"/>
  <c r="K26" i="31"/>
  <c r="L26" i="31" s="1"/>
  <c r="I26" i="31"/>
  <c r="J26" i="31" s="1"/>
  <c r="G26" i="31"/>
  <c r="H26" i="31" s="1"/>
  <c r="E26" i="31"/>
  <c r="F26" i="31" s="1"/>
  <c r="A26" i="31"/>
  <c r="AX18" i="31" a="1"/>
  <c r="AX18" i="31" s="1"/>
  <c r="AY18" i="31" s="1"/>
  <c r="AL18" i="31"/>
  <c r="AH18" i="31"/>
  <c r="AI18" i="31" s="1"/>
  <c r="AF18" i="31"/>
  <c r="AG18" i="31" s="1"/>
  <c r="AB18" i="31"/>
  <c r="AC18" i="31" s="1"/>
  <c r="Z18" i="31"/>
  <c r="AA18" i="31" s="1"/>
  <c r="X18" i="31"/>
  <c r="Y18" i="31" s="1"/>
  <c r="U18" i="31"/>
  <c r="S18" i="31"/>
  <c r="Q18" i="31"/>
  <c r="O18" i="31"/>
  <c r="M18" i="31"/>
  <c r="N18" i="31" s="1"/>
  <c r="K18" i="31"/>
  <c r="L18" i="31" s="1"/>
  <c r="I18" i="31"/>
  <c r="J18" i="31" s="1"/>
  <c r="G18" i="31"/>
  <c r="H18" i="31" s="1"/>
  <c r="E18" i="31"/>
  <c r="F18" i="31" s="1"/>
  <c r="A18" i="31"/>
  <c r="S34" i="31"/>
  <c r="O34" i="31"/>
  <c r="S28" i="31"/>
  <c r="Q28" i="31"/>
  <c r="O28" i="31"/>
  <c r="P28" i="31" s="1"/>
  <c r="S25" i="31"/>
  <c r="Q25" i="31"/>
  <c r="O25" i="31"/>
  <c r="S17" i="31"/>
  <c r="Q17" i="31"/>
  <c r="O17" i="31"/>
  <c r="S11" i="31"/>
  <c r="Q11" i="31"/>
  <c r="O11" i="31"/>
  <c r="S27" i="31"/>
  <c r="Q27" i="31"/>
  <c r="O27" i="31"/>
  <c r="S14" i="31"/>
  <c r="Q14" i="31"/>
  <c r="O14" i="31"/>
  <c r="S15" i="31"/>
  <c r="Q15" i="31"/>
  <c r="O15" i="31"/>
  <c r="S20" i="31"/>
  <c r="Q20" i="31"/>
  <c r="O20" i="31"/>
  <c r="S16" i="31"/>
  <c r="Q16" i="31"/>
  <c r="O16" i="31"/>
  <c r="P16" i="31" s="1"/>
  <c r="S9" i="31"/>
  <c r="Q9" i="31"/>
  <c r="O9" i="31"/>
  <c r="S12" i="31"/>
  <c r="Q12" i="31"/>
  <c r="O12" i="31"/>
  <c r="S10" i="31"/>
  <c r="Q10" i="31"/>
  <c r="O10" i="31"/>
  <c r="S13" i="31"/>
  <c r="Q13" i="31"/>
  <c r="R13" i="31" s="1"/>
  <c r="O13" i="31"/>
  <c r="S8" i="31"/>
  <c r="Q8" i="31"/>
  <c r="O8" i="31"/>
  <c r="S7" i="31"/>
  <c r="Q7" i="31"/>
  <c r="O7" i="31"/>
  <c r="S6" i="31"/>
  <c r="Q6" i="31"/>
  <c r="O6" i="31"/>
  <c r="P6" i="31" s="1"/>
  <c r="S29" i="1"/>
  <c r="S21" i="1"/>
  <c r="S25" i="1"/>
  <c r="S19" i="1"/>
  <c r="S23" i="1"/>
  <c r="S22" i="1"/>
  <c r="S28" i="1"/>
  <c r="S27" i="1"/>
  <c r="S24" i="1"/>
  <c r="S20" i="1"/>
  <c r="S17" i="1"/>
  <c r="S16" i="1"/>
  <c r="S10" i="1"/>
  <c r="S18" i="1"/>
  <c r="S13" i="1"/>
  <c r="S15" i="1"/>
  <c r="S26" i="1"/>
  <c r="S8" i="1"/>
  <c r="S12" i="1"/>
  <c r="S11" i="1"/>
  <c r="S14" i="1"/>
  <c r="S9" i="1"/>
  <c r="S7" i="1"/>
  <c r="S6" i="1"/>
  <c r="Q23" i="1"/>
  <c r="Q22" i="1"/>
  <c r="Q28" i="1"/>
  <c r="Q27" i="1"/>
  <c r="Q24" i="1"/>
  <c r="Q20" i="1"/>
  <c r="Q17" i="1"/>
  <c r="Q16" i="1"/>
  <c r="Q10" i="1"/>
  <c r="Q18" i="1"/>
  <c r="Q13" i="1"/>
  <c r="Q15" i="1"/>
  <c r="Q26" i="1"/>
  <c r="Q8" i="1"/>
  <c r="Q12" i="1"/>
  <c r="Q11" i="1"/>
  <c r="Q14" i="1"/>
  <c r="R14" i="1" s="1"/>
  <c r="Q9" i="1"/>
  <c r="Q7" i="1"/>
  <c r="Q6" i="1"/>
  <c r="O29" i="1"/>
  <c r="O21" i="1"/>
  <c r="O25" i="1"/>
  <c r="O19" i="1"/>
  <c r="O23" i="1"/>
  <c r="O22" i="1"/>
  <c r="P22" i="1" s="1"/>
  <c r="O28" i="1"/>
  <c r="O27" i="1"/>
  <c r="O24" i="1"/>
  <c r="O20" i="1"/>
  <c r="O17" i="1"/>
  <c r="O16" i="1"/>
  <c r="O10" i="1"/>
  <c r="P10" i="1" s="1"/>
  <c r="O18" i="1"/>
  <c r="O13" i="1"/>
  <c r="O15" i="1"/>
  <c r="O26" i="1"/>
  <c r="O8" i="1"/>
  <c r="O12" i="1"/>
  <c r="O11" i="1"/>
  <c r="O14" i="1"/>
  <c r="P14" i="1" s="1"/>
  <c r="O9" i="1"/>
  <c r="O7" i="1"/>
  <c r="O6" i="1"/>
  <c r="J305" i="42"/>
  <c r="K305" i="42" s="1"/>
  <c r="I305" i="42"/>
  <c r="M305" i="42" s="1"/>
  <c r="J304" i="42"/>
  <c r="K304" i="42" s="1"/>
  <c r="I304" i="42"/>
  <c r="M304" i="42" s="1"/>
  <c r="M303" i="42"/>
  <c r="J303" i="42"/>
  <c r="K303" i="42" s="1"/>
  <c r="I303" i="42"/>
  <c r="J302" i="42"/>
  <c r="K302" i="42" s="1"/>
  <c r="I302" i="42"/>
  <c r="M302" i="42" s="1"/>
  <c r="J301" i="42"/>
  <c r="K301" i="42" s="1"/>
  <c r="I301" i="42"/>
  <c r="M301" i="42" s="1"/>
  <c r="J300" i="42"/>
  <c r="K300" i="42" s="1"/>
  <c r="I300" i="42"/>
  <c r="M300" i="42" s="1"/>
  <c r="J299" i="42"/>
  <c r="K299" i="42" s="1"/>
  <c r="I299" i="42"/>
  <c r="M299" i="42" s="1"/>
  <c r="J298" i="42"/>
  <c r="K298" i="42" s="1"/>
  <c r="I298" i="42"/>
  <c r="M298" i="42" s="1"/>
  <c r="J297" i="42"/>
  <c r="K297" i="42" s="1"/>
  <c r="I297" i="42"/>
  <c r="M297" i="42" s="1"/>
  <c r="J296" i="42"/>
  <c r="K296" i="42" s="1"/>
  <c r="I296" i="42"/>
  <c r="M296" i="42" s="1"/>
  <c r="J295" i="42"/>
  <c r="K295" i="42" s="1"/>
  <c r="I295" i="42"/>
  <c r="M295" i="42" s="1"/>
  <c r="J294" i="42"/>
  <c r="K294" i="42" s="1"/>
  <c r="I294" i="42"/>
  <c r="M294" i="42" s="1"/>
  <c r="J293" i="42"/>
  <c r="K293" i="42" s="1"/>
  <c r="I293" i="42"/>
  <c r="M293" i="42" s="1"/>
  <c r="J292" i="42"/>
  <c r="K292" i="42" s="1"/>
  <c r="I292" i="42"/>
  <c r="M292" i="42" s="1"/>
  <c r="J291" i="42"/>
  <c r="K291" i="42" s="1"/>
  <c r="I291" i="42"/>
  <c r="M291" i="42" s="1"/>
  <c r="J290" i="42"/>
  <c r="K290" i="42" s="1"/>
  <c r="I290" i="42"/>
  <c r="M290" i="42" s="1"/>
  <c r="J289" i="42"/>
  <c r="K289" i="42" s="1"/>
  <c r="I289" i="42"/>
  <c r="M289" i="42" s="1"/>
  <c r="J288" i="42"/>
  <c r="K288" i="42" s="1"/>
  <c r="I288" i="42"/>
  <c r="M288" i="42" s="1"/>
  <c r="M287" i="42"/>
  <c r="J287" i="42"/>
  <c r="K287" i="42" s="1"/>
  <c r="I287" i="42"/>
  <c r="J286" i="42"/>
  <c r="K286" i="42" s="1"/>
  <c r="I286" i="42"/>
  <c r="M286" i="42" s="1"/>
  <c r="M285" i="42"/>
  <c r="J285" i="42"/>
  <c r="K285" i="42" s="1"/>
  <c r="I285" i="42"/>
  <c r="J284" i="42"/>
  <c r="K284" i="42" s="1"/>
  <c r="I284" i="42"/>
  <c r="M284" i="42" s="1"/>
  <c r="J283" i="42"/>
  <c r="K283" i="42" s="1"/>
  <c r="I283" i="42"/>
  <c r="M283" i="42" s="1"/>
  <c r="J282" i="42"/>
  <c r="K282" i="42" s="1"/>
  <c r="I282" i="42"/>
  <c r="M282" i="42" s="1"/>
  <c r="J281" i="42"/>
  <c r="K281" i="42" s="1"/>
  <c r="I281" i="42"/>
  <c r="M281" i="42" s="1"/>
  <c r="J280" i="42"/>
  <c r="K280" i="42" s="1"/>
  <c r="I280" i="42"/>
  <c r="M280" i="42" s="1"/>
  <c r="J279" i="42"/>
  <c r="K279" i="42" s="1"/>
  <c r="I279" i="42"/>
  <c r="M279" i="42" s="1"/>
  <c r="J278" i="42"/>
  <c r="K278" i="42" s="1"/>
  <c r="I278" i="42"/>
  <c r="M278" i="42" s="1"/>
  <c r="J277" i="42"/>
  <c r="K277" i="42" s="1"/>
  <c r="I277" i="42"/>
  <c r="M277" i="42" s="1"/>
  <c r="J276" i="42"/>
  <c r="K276" i="42" s="1"/>
  <c r="I276" i="42"/>
  <c r="M276" i="42" s="1"/>
  <c r="J275" i="42"/>
  <c r="K275" i="42" s="1"/>
  <c r="I275" i="42"/>
  <c r="M275" i="42" s="1"/>
  <c r="J274" i="42"/>
  <c r="K274" i="42" s="1"/>
  <c r="I274" i="42"/>
  <c r="M274" i="42" s="1"/>
  <c r="J273" i="42"/>
  <c r="K273" i="42" s="1"/>
  <c r="I273" i="42"/>
  <c r="M273" i="42" s="1"/>
  <c r="J272" i="42"/>
  <c r="K272" i="42" s="1"/>
  <c r="I272" i="42"/>
  <c r="M272" i="42" s="1"/>
  <c r="M271" i="42"/>
  <c r="J271" i="42"/>
  <c r="K271" i="42" s="1"/>
  <c r="I271" i="42"/>
  <c r="J270" i="42"/>
  <c r="K270" i="42" s="1"/>
  <c r="I270" i="42"/>
  <c r="M270" i="42" s="1"/>
  <c r="M269" i="42"/>
  <c r="J269" i="42"/>
  <c r="K269" i="42" s="1"/>
  <c r="I269" i="42"/>
  <c r="J268" i="42"/>
  <c r="K268" i="42" s="1"/>
  <c r="I268" i="42"/>
  <c r="M268" i="42" s="1"/>
  <c r="J267" i="42"/>
  <c r="K267" i="42" s="1"/>
  <c r="I267" i="42"/>
  <c r="M267" i="42" s="1"/>
  <c r="J266" i="42"/>
  <c r="K266" i="42" s="1"/>
  <c r="I266" i="42"/>
  <c r="M266" i="42" s="1"/>
  <c r="J265" i="42"/>
  <c r="K265" i="42" s="1"/>
  <c r="I265" i="42"/>
  <c r="M265" i="42" s="1"/>
  <c r="J264" i="42"/>
  <c r="K264" i="42" s="1"/>
  <c r="I264" i="42"/>
  <c r="M264" i="42" s="1"/>
  <c r="J263" i="42"/>
  <c r="K263" i="42" s="1"/>
  <c r="I263" i="42"/>
  <c r="M263" i="42" s="1"/>
  <c r="J262" i="42"/>
  <c r="K262" i="42" s="1"/>
  <c r="I262" i="42"/>
  <c r="M262" i="42" s="1"/>
  <c r="J261" i="42"/>
  <c r="K261" i="42" s="1"/>
  <c r="I261" i="42"/>
  <c r="M261" i="42" s="1"/>
  <c r="J260" i="42"/>
  <c r="K260" i="42" s="1"/>
  <c r="I260" i="42"/>
  <c r="M260" i="42" s="1"/>
  <c r="J259" i="42"/>
  <c r="K259" i="42" s="1"/>
  <c r="I259" i="42"/>
  <c r="M259" i="42" s="1"/>
  <c r="J258" i="42"/>
  <c r="K258" i="42" s="1"/>
  <c r="I258" i="42"/>
  <c r="M258" i="42" s="1"/>
  <c r="J257" i="42"/>
  <c r="K257" i="42" s="1"/>
  <c r="I257" i="42"/>
  <c r="M257" i="42" s="1"/>
  <c r="J256" i="42"/>
  <c r="K256" i="42" s="1"/>
  <c r="I256" i="42"/>
  <c r="M256" i="42" s="1"/>
  <c r="M255" i="42"/>
  <c r="J255" i="42"/>
  <c r="K255" i="42" s="1"/>
  <c r="I255" i="42"/>
  <c r="J254" i="42"/>
  <c r="K254" i="42" s="1"/>
  <c r="I254" i="42"/>
  <c r="M254" i="42" s="1"/>
  <c r="M253" i="42"/>
  <c r="J253" i="42"/>
  <c r="K253" i="42" s="1"/>
  <c r="I253" i="42"/>
  <c r="J252" i="42"/>
  <c r="K252" i="42" s="1"/>
  <c r="I252" i="42"/>
  <c r="M252" i="42" s="1"/>
  <c r="J251" i="42"/>
  <c r="K251" i="42" s="1"/>
  <c r="I251" i="42"/>
  <c r="M251" i="42" s="1"/>
  <c r="J250" i="42"/>
  <c r="K250" i="42" s="1"/>
  <c r="I250" i="42"/>
  <c r="M250" i="42" s="1"/>
  <c r="J249" i="42"/>
  <c r="K249" i="42" s="1"/>
  <c r="I249" i="42"/>
  <c r="M249" i="42" s="1"/>
  <c r="J248" i="42"/>
  <c r="K248" i="42" s="1"/>
  <c r="I248" i="42"/>
  <c r="M248" i="42" s="1"/>
  <c r="J247" i="42"/>
  <c r="K247" i="42" s="1"/>
  <c r="I247" i="42"/>
  <c r="M247" i="42" s="1"/>
  <c r="J246" i="42"/>
  <c r="K246" i="42" s="1"/>
  <c r="I246" i="42"/>
  <c r="M246" i="42" s="1"/>
  <c r="J245" i="42"/>
  <c r="K245" i="42" s="1"/>
  <c r="I245" i="42"/>
  <c r="M245" i="42" s="1"/>
  <c r="J244" i="42"/>
  <c r="K244" i="42" s="1"/>
  <c r="I244" i="42"/>
  <c r="M244" i="42" s="1"/>
  <c r="J243" i="42"/>
  <c r="K243" i="42" s="1"/>
  <c r="I243" i="42"/>
  <c r="M243" i="42" s="1"/>
  <c r="J242" i="42"/>
  <c r="K242" i="42" s="1"/>
  <c r="I242" i="42"/>
  <c r="M242" i="42" s="1"/>
  <c r="J241" i="42"/>
  <c r="K241" i="42" s="1"/>
  <c r="I241" i="42"/>
  <c r="M241" i="42" s="1"/>
  <c r="J240" i="42"/>
  <c r="K240" i="42" s="1"/>
  <c r="I240" i="42"/>
  <c r="M240" i="42" s="1"/>
  <c r="M239" i="42"/>
  <c r="J239" i="42"/>
  <c r="K239" i="42" s="1"/>
  <c r="I239" i="42"/>
  <c r="J238" i="42"/>
  <c r="K238" i="42" s="1"/>
  <c r="I238" i="42"/>
  <c r="M238" i="42" s="1"/>
  <c r="M237" i="42"/>
  <c r="J237" i="42"/>
  <c r="K237" i="42" s="1"/>
  <c r="I237" i="42"/>
  <c r="J236" i="42"/>
  <c r="K236" i="42" s="1"/>
  <c r="I236" i="42"/>
  <c r="M236" i="42" s="1"/>
  <c r="J235" i="42"/>
  <c r="K235" i="42" s="1"/>
  <c r="I235" i="42"/>
  <c r="M235" i="42" s="1"/>
  <c r="J234" i="42"/>
  <c r="K234" i="42" s="1"/>
  <c r="I234" i="42"/>
  <c r="M234" i="42" s="1"/>
  <c r="J233" i="42"/>
  <c r="K233" i="42" s="1"/>
  <c r="I233" i="42"/>
  <c r="M233" i="42" s="1"/>
  <c r="J232" i="42"/>
  <c r="K232" i="42" s="1"/>
  <c r="I232" i="42"/>
  <c r="M232" i="42" s="1"/>
  <c r="J231" i="42"/>
  <c r="K231" i="42" s="1"/>
  <c r="I231" i="42"/>
  <c r="M231" i="42" s="1"/>
  <c r="J230" i="42"/>
  <c r="K230" i="42" s="1"/>
  <c r="I230" i="42"/>
  <c r="M230" i="42" s="1"/>
  <c r="M229" i="42"/>
  <c r="J229" i="42"/>
  <c r="K229" i="42" s="1"/>
  <c r="I229" i="42"/>
  <c r="J228" i="42"/>
  <c r="K228" i="42" s="1"/>
  <c r="I228" i="42"/>
  <c r="M228" i="42" s="1"/>
  <c r="J227" i="42"/>
  <c r="K227" i="42" s="1"/>
  <c r="I227" i="42"/>
  <c r="M227" i="42" s="1"/>
  <c r="J226" i="42"/>
  <c r="K226" i="42" s="1"/>
  <c r="I226" i="42"/>
  <c r="M226" i="42" s="1"/>
  <c r="J225" i="42"/>
  <c r="K225" i="42" s="1"/>
  <c r="I225" i="42"/>
  <c r="M225" i="42" s="1"/>
  <c r="J224" i="42"/>
  <c r="K224" i="42" s="1"/>
  <c r="I224" i="42"/>
  <c r="M224" i="42" s="1"/>
  <c r="M223" i="42"/>
  <c r="J223" i="42"/>
  <c r="K223" i="42" s="1"/>
  <c r="I223" i="42"/>
  <c r="J222" i="42"/>
  <c r="K222" i="42" s="1"/>
  <c r="I222" i="42"/>
  <c r="M222" i="42" s="1"/>
  <c r="M221" i="42"/>
  <c r="J221" i="42"/>
  <c r="K221" i="42" s="1"/>
  <c r="I221" i="42"/>
  <c r="J220" i="42"/>
  <c r="K220" i="42" s="1"/>
  <c r="I220" i="42"/>
  <c r="M220" i="42" s="1"/>
  <c r="J219" i="42"/>
  <c r="K219" i="42" s="1"/>
  <c r="I219" i="42"/>
  <c r="M219" i="42" s="1"/>
  <c r="J218" i="42"/>
  <c r="K218" i="42" s="1"/>
  <c r="I218" i="42"/>
  <c r="M218" i="42" s="1"/>
  <c r="J217" i="42"/>
  <c r="K217" i="42" s="1"/>
  <c r="I217" i="42"/>
  <c r="M217" i="42" s="1"/>
  <c r="J216" i="42"/>
  <c r="K216" i="42" s="1"/>
  <c r="I216" i="42"/>
  <c r="M216" i="42" s="1"/>
  <c r="J215" i="42"/>
  <c r="K215" i="42" s="1"/>
  <c r="I215" i="42"/>
  <c r="M215" i="42" s="1"/>
  <c r="J214" i="42"/>
  <c r="K214" i="42" s="1"/>
  <c r="I214" i="42"/>
  <c r="M214" i="42" s="1"/>
  <c r="M213" i="42"/>
  <c r="J213" i="42"/>
  <c r="K213" i="42" s="1"/>
  <c r="I213" i="42"/>
  <c r="J212" i="42"/>
  <c r="K212" i="42" s="1"/>
  <c r="I212" i="42"/>
  <c r="M212" i="42" s="1"/>
  <c r="J211" i="42"/>
  <c r="K211" i="42" s="1"/>
  <c r="I211" i="42"/>
  <c r="M211" i="42" s="1"/>
  <c r="J210" i="42"/>
  <c r="K210" i="42" s="1"/>
  <c r="I210" i="42"/>
  <c r="M210" i="42" s="1"/>
  <c r="J209" i="42"/>
  <c r="K209" i="42" s="1"/>
  <c r="I209" i="42"/>
  <c r="M209" i="42" s="1"/>
  <c r="J208" i="42"/>
  <c r="K208" i="42" s="1"/>
  <c r="I208" i="42"/>
  <c r="M208" i="42" s="1"/>
  <c r="M207" i="42"/>
  <c r="J207" i="42"/>
  <c r="K207" i="42" s="1"/>
  <c r="I207" i="42"/>
  <c r="J206" i="42"/>
  <c r="K206" i="42" s="1"/>
  <c r="I206" i="42"/>
  <c r="M206" i="42" s="1"/>
  <c r="M205" i="42"/>
  <c r="J205" i="42"/>
  <c r="K205" i="42" s="1"/>
  <c r="I205" i="42"/>
  <c r="J204" i="42"/>
  <c r="K204" i="42" s="1"/>
  <c r="I204" i="42"/>
  <c r="M204" i="42" s="1"/>
  <c r="J203" i="42"/>
  <c r="K203" i="42" s="1"/>
  <c r="I203" i="42"/>
  <c r="M203" i="42" s="1"/>
  <c r="J202" i="42"/>
  <c r="K202" i="42" s="1"/>
  <c r="I202" i="42"/>
  <c r="M202" i="42" s="1"/>
  <c r="J201" i="42"/>
  <c r="K201" i="42" s="1"/>
  <c r="I201" i="42"/>
  <c r="M201" i="42" s="1"/>
  <c r="J200" i="42"/>
  <c r="K200" i="42" s="1"/>
  <c r="I200" i="42"/>
  <c r="M200" i="42" s="1"/>
  <c r="J199" i="42"/>
  <c r="K199" i="42" s="1"/>
  <c r="I199" i="42"/>
  <c r="M199" i="42" s="1"/>
  <c r="J198" i="42"/>
  <c r="K198" i="42" s="1"/>
  <c r="I198" i="42"/>
  <c r="M198" i="42" s="1"/>
  <c r="M197" i="42"/>
  <c r="J197" i="42"/>
  <c r="K197" i="42" s="1"/>
  <c r="I197" i="42"/>
  <c r="J196" i="42"/>
  <c r="K196" i="42" s="1"/>
  <c r="I196" i="42"/>
  <c r="M196" i="42" s="1"/>
  <c r="J195" i="42"/>
  <c r="K195" i="42" s="1"/>
  <c r="I195" i="42"/>
  <c r="M195" i="42" s="1"/>
  <c r="J194" i="42"/>
  <c r="K194" i="42" s="1"/>
  <c r="I194" i="42"/>
  <c r="M194" i="42" s="1"/>
  <c r="J193" i="42"/>
  <c r="K193" i="42" s="1"/>
  <c r="I193" i="42"/>
  <c r="M193" i="42" s="1"/>
  <c r="J192" i="42"/>
  <c r="K192" i="42" s="1"/>
  <c r="I192" i="42"/>
  <c r="M192" i="42" s="1"/>
  <c r="M191" i="42"/>
  <c r="J191" i="42"/>
  <c r="K191" i="42" s="1"/>
  <c r="I191" i="42"/>
  <c r="J190" i="42"/>
  <c r="K190" i="42" s="1"/>
  <c r="I190" i="42"/>
  <c r="M190" i="42" s="1"/>
  <c r="M189" i="42"/>
  <c r="J189" i="42"/>
  <c r="K189" i="42" s="1"/>
  <c r="I189" i="42"/>
  <c r="J188" i="42"/>
  <c r="K188" i="42" s="1"/>
  <c r="I188" i="42"/>
  <c r="M188" i="42" s="1"/>
  <c r="J187" i="42"/>
  <c r="K187" i="42" s="1"/>
  <c r="I187" i="42"/>
  <c r="M187" i="42" s="1"/>
  <c r="J186" i="42"/>
  <c r="K186" i="42" s="1"/>
  <c r="I186" i="42"/>
  <c r="M186" i="42" s="1"/>
  <c r="J185" i="42"/>
  <c r="K185" i="42" s="1"/>
  <c r="I185" i="42"/>
  <c r="M185" i="42" s="1"/>
  <c r="J184" i="42"/>
  <c r="K184" i="42" s="1"/>
  <c r="I184" i="42"/>
  <c r="M184" i="42" s="1"/>
  <c r="J183" i="42"/>
  <c r="K183" i="42" s="1"/>
  <c r="I183" i="42"/>
  <c r="M183" i="42" s="1"/>
  <c r="J182" i="42"/>
  <c r="K182" i="42" s="1"/>
  <c r="I182" i="42"/>
  <c r="M182" i="42" s="1"/>
  <c r="M181" i="42"/>
  <c r="J181" i="42"/>
  <c r="K181" i="42" s="1"/>
  <c r="I181" i="42"/>
  <c r="J180" i="42"/>
  <c r="K180" i="42" s="1"/>
  <c r="I180" i="42"/>
  <c r="M180" i="42" s="1"/>
  <c r="J179" i="42"/>
  <c r="K179" i="42" s="1"/>
  <c r="I179" i="42"/>
  <c r="M179" i="42" s="1"/>
  <c r="J178" i="42"/>
  <c r="K178" i="42" s="1"/>
  <c r="I178" i="42"/>
  <c r="M178" i="42" s="1"/>
  <c r="J177" i="42"/>
  <c r="K177" i="42" s="1"/>
  <c r="I177" i="42"/>
  <c r="M177" i="42" s="1"/>
  <c r="J176" i="42"/>
  <c r="K176" i="42" s="1"/>
  <c r="I176" i="42"/>
  <c r="M176" i="42" s="1"/>
  <c r="M175" i="42"/>
  <c r="J175" i="42"/>
  <c r="K175" i="42" s="1"/>
  <c r="I175" i="42"/>
  <c r="J174" i="42"/>
  <c r="K174" i="42" s="1"/>
  <c r="I174" i="42"/>
  <c r="M174" i="42" s="1"/>
  <c r="M173" i="42"/>
  <c r="J173" i="42"/>
  <c r="K173" i="42" s="1"/>
  <c r="I173" i="42"/>
  <c r="J172" i="42"/>
  <c r="K172" i="42" s="1"/>
  <c r="I172" i="42"/>
  <c r="M172" i="42" s="1"/>
  <c r="J171" i="42"/>
  <c r="K171" i="42" s="1"/>
  <c r="I171" i="42"/>
  <c r="M171" i="42" s="1"/>
  <c r="J170" i="42"/>
  <c r="K170" i="42" s="1"/>
  <c r="I170" i="42"/>
  <c r="M170" i="42" s="1"/>
  <c r="J169" i="42"/>
  <c r="K169" i="42" s="1"/>
  <c r="I169" i="42"/>
  <c r="M169" i="42" s="1"/>
  <c r="J168" i="42"/>
  <c r="K168" i="42" s="1"/>
  <c r="I168" i="42"/>
  <c r="M168" i="42" s="1"/>
  <c r="J167" i="42"/>
  <c r="K167" i="42" s="1"/>
  <c r="I167" i="42"/>
  <c r="M167" i="42" s="1"/>
  <c r="J166" i="42"/>
  <c r="K166" i="42" s="1"/>
  <c r="I166" i="42"/>
  <c r="M166" i="42" s="1"/>
  <c r="M165" i="42"/>
  <c r="J165" i="42"/>
  <c r="K165" i="42" s="1"/>
  <c r="I165" i="42"/>
  <c r="J164" i="42"/>
  <c r="K164" i="42" s="1"/>
  <c r="I164" i="42"/>
  <c r="M164" i="42" s="1"/>
  <c r="J163" i="42"/>
  <c r="K163" i="42" s="1"/>
  <c r="I163" i="42"/>
  <c r="M163" i="42" s="1"/>
  <c r="J162" i="42"/>
  <c r="K162" i="42" s="1"/>
  <c r="I162" i="42"/>
  <c r="M162" i="42" s="1"/>
  <c r="J161" i="42"/>
  <c r="K161" i="42" s="1"/>
  <c r="I161" i="42"/>
  <c r="M161" i="42" s="1"/>
  <c r="J160" i="42"/>
  <c r="K160" i="42" s="1"/>
  <c r="I160" i="42"/>
  <c r="M160" i="42" s="1"/>
  <c r="M159" i="42"/>
  <c r="K159" i="42"/>
  <c r="J159" i="42"/>
  <c r="I159" i="42"/>
  <c r="J158" i="42"/>
  <c r="K158" i="42" s="1"/>
  <c r="I158" i="42"/>
  <c r="M158" i="42" s="1"/>
  <c r="J157" i="42"/>
  <c r="K157" i="42" s="1"/>
  <c r="I157" i="42"/>
  <c r="M157" i="42" s="1"/>
  <c r="J156" i="42"/>
  <c r="K156" i="42" s="1"/>
  <c r="I156" i="42"/>
  <c r="M156" i="42" s="1"/>
  <c r="K155" i="42"/>
  <c r="J155" i="42"/>
  <c r="I155" i="42"/>
  <c r="M155" i="42" s="1"/>
  <c r="J154" i="42"/>
  <c r="K154" i="42" s="1"/>
  <c r="I154" i="42"/>
  <c r="M154" i="42" s="1"/>
  <c r="M153" i="42"/>
  <c r="J153" i="42"/>
  <c r="K153" i="42" s="1"/>
  <c r="I153" i="42"/>
  <c r="K152" i="42"/>
  <c r="J152" i="42"/>
  <c r="I152" i="42"/>
  <c r="M152" i="42" s="1"/>
  <c r="M151" i="42"/>
  <c r="K151" i="42"/>
  <c r="J151" i="42"/>
  <c r="I151" i="42"/>
  <c r="J150" i="42"/>
  <c r="K150" i="42" s="1"/>
  <c r="I150" i="42"/>
  <c r="M150" i="42" s="1"/>
  <c r="J149" i="42"/>
  <c r="K149" i="42" s="1"/>
  <c r="I149" i="42"/>
  <c r="M149" i="42" s="1"/>
  <c r="K148" i="42"/>
  <c r="J148" i="42"/>
  <c r="I148" i="42"/>
  <c r="M148" i="42" s="1"/>
  <c r="J147" i="42"/>
  <c r="K147" i="42" s="1"/>
  <c r="I147" i="42"/>
  <c r="M147" i="42" s="1"/>
  <c r="J146" i="42"/>
  <c r="K146" i="42" s="1"/>
  <c r="I146" i="42"/>
  <c r="M146" i="42" s="1"/>
  <c r="J145" i="42"/>
  <c r="K145" i="42" s="1"/>
  <c r="I145" i="42"/>
  <c r="M145" i="42" s="1"/>
  <c r="J144" i="42"/>
  <c r="K144" i="42" s="1"/>
  <c r="I144" i="42"/>
  <c r="M144" i="42" s="1"/>
  <c r="K143" i="42"/>
  <c r="J143" i="42"/>
  <c r="I143" i="42"/>
  <c r="M143" i="42" s="1"/>
  <c r="J142" i="42"/>
  <c r="K142" i="42" s="1"/>
  <c r="I142" i="42"/>
  <c r="M142" i="42" s="1"/>
  <c r="J141" i="42"/>
  <c r="K141" i="42" s="1"/>
  <c r="I141" i="42"/>
  <c r="M141" i="42" s="1"/>
  <c r="J140" i="42"/>
  <c r="K140" i="42" s="1"/>
  <c r="I140" i="42"/>
  <c r="M140" i="42" s="1"/>
  <c r="J139" i="42"/>
  <c r="K139" i="42" s="1"/>
  <c r="I139" i="42"/>
  <c r="M139" i="42" s="1"/>
  <c r="J138" i="42"/>
  <c r="K138" i="42" s="1"/>
  <c r="I138" i="42"/>
  <c r="M138" i="42" s="1"/>
  <c r="J137" i="42"/>
  <c r="K137" i="42" s="1"/>
  <c r="I137" i="42"/>
  <c r="M137" i="42" s="1"/>
  <c r="J136" i="42"/>
  <c r="K136" i="42" s="1"/>
  <c r="I136" i="42"/>
  <c r="M136" i="42" s="1"/>
  <c r="K135" i="42"/>
  <c r="J135" i="42"/>
  <c r="I135" i="42"/>
  <c r="M135" i="42" s="1"/>
  <c r="J134" i="42"/>
  <c r="K134" i="42" s="1"/>
  <c r="I134" i="42"/>
  <c r="M134" i="42" s="1"/>
  <c r="M133" i="42"/>
  <c r="J133" i="42"/>
  <c r="K133" i="42" s="1"/>
  <c r="I133" i="42"/>
  <c r="K132" i="42"/>
  <c r="J132" i="42"/>
  <c r="I132" i="42"/>
  <c r="M132" i="42" s="1"/>
  <c r="K131" i="42"/>
  <c r="J131" i="42"/>
  <c r="I131" i="42"/>
  <c r="M131" i="42" s="1"/>
  <c r="J130" i="42"/>
  <c r="K130" i="42" s="1"/>
  <c r="I130" i="42"/>
  <c r="M130" i="42" s="1"/>
  <c r="J129" i="42"/>
  <c r="K129" i="42" s="1"/>
  <c r="I129" i="42"/>
  <c r="M129" i="42" s="1"/>
  <c r="K128" i="42"/>
  <c r="J128" i="42"/>
  <c r="I128" i="42"/>
  <c r="M128" i="42" s="1"/>
  <c r="J127" i="42"/>
  <c r="K127" i="42" s="1"/>
  <c r="I127" i="42"/>
  <c r="M127" i="42" s="1"/>
  <c r="J126" i="42"/>
  <c r="K126" i="42" s="1"/>
  <c r="I126" i="42"/>
  <c r="M126" i="42" s="1"/>
  <c r="J125" i="42"/>
  <c r="K125" i="42" s="1"/>
  <c r="I125" i="42"/>
  <c r="M125" i="42" s="1"/>
  <c r="K124" i="42"/>
  <c r="J124" i="42"/>
  <c r="I124" i="42"/>
  <c r="M124" i="42" s="1"/>
  <c r="M123" i="42"/>
  <c r="K123" i="42"/>
  <c r="J123" i="42"/>
  <c r="I123" i="42"/>
  <c r="J122" i="42"/>
  <c r="K122" i="42" s="1"/>
  <c r="I122" i="42"/>
  <c r="M122" i="42" s="1"/>
  <c r="M121" i="42"/>
  <c r="J121" i="42"/>
  <c r="K121" i="42" s="1"/>
  <c r="I121" i="42"/>
  <c r="J120" i="42"/>
  <c r="K120" i="42" s="1"/>
  <c r="I120" i="42"/>
  <c r="M120" i="42" s="1"/>
  <c r="K119" i="42"/>
  <c r="J119" i="42"/>
  <c r="I119" i="42"/>
  <c r="M119" i="42" s="1"/>
  <c r="J118" i="42"/>
  <c r="K118" i="42" s="1"/>
  <c r="I118" i="42"/>
  <c r="M118" i="42" s="1"/>
  <c r="M117" i="42"/>
  <c r="J117" i="42"/>
  <c r="K117" i="42" s="1"/>
  <c r="I117" i="42"/>
  <c r="K116" i="42"/>
  <c r="J116" i="42"/>
  <c r="I116" i="42"/>
  <c r="M116" i="42" s="1"/>
  <c r="K115" i="42"/>
  <c r="J115" i="42"/>
  <c r="I115" i="42"/>
  <c r="M115" i="42" s="1"/>
  <c r="J114" i="42"/>
  <c r="K114" i="42" s="1"/>
  <c r="I114" i="42"/>
  <c r="M114" i="42" s="1"/>
  <c r="J113" i="42"/>
  <c r="K113" i="42" s="1"/>
  <c r="I113" i="42"/>
  <c r="M113" i="42" s="1"/>
  <c r="K112" i="42"/>
  <c r="J112" i="42"/>
  <c r="I112" i="42"/>
  <c r="M112" i="42" s="1"/>
  <c r="J111" i="42"/>
  <c r="K111" i="42" s="1"/>
  <c r="I111" i="42"/>
  <c r="M111" i="42" s="1"/>
  <c r="J110" i="42"/>
  <c r="K110" i="42" s="1"/>
  <c r="I110" i="42"/>
  <c r="M110" i="42" s="1"/>
  <c r="J109" i="42"/>
  <c r="K109" i="42" s="1"/>
  <c r="I109" i="42"/>
  <c r="M109" i="42" s="1"/>
  <c r="K108" i="42"/>
  <c r="J108" i="42"/>
  <c r="I108" i="42"/>
  <c r="M108" i="42" s="1"/>
  <c r="M107" i="42"/>
  <c r="K107" i="42"/>
  <c r="J107" i="42"/>
  <c r="I107" i="42"/>
  <c r="J106" i="42"/>
  <c r="K106" i="42" s="1"/>
  <c r="I106" i="42"/>
  <c r="M106" i="42" s="1"/>
  <c r="M105" i="42"/>
  <c r="J105" i="42"/>
  <c r="K105" i="42" s="1"/>
  <c r="I105" i="42"/>
  <c r="J104" i="42"/>
  <c r="K104" i="42" s="1"/>
  <c r="I104" i="42"/>
  <c r="M104" i="42" s="1"/>
  <c r="K103" i="42"/>
  <c r="J103" i="42"/>
  <c r="I103" i="42"/>
  <c r="M103" i="42" s="1"/>
  <c r="K102" i="42"/>
  <c r="J102" i="42"/>
  <c r="I102" i="42"/>
  <c r="M102" i="42" s="1"/>
  <c r="M101" i="42"/>
  <c r="J101" i="42"/>
  <c r="K101" i="42" s="1"/>
  <c r="I101" i="42"/>
  <c r="K100" i="42"/>
  <c r="J100" i="42"/>
  <c r="I100" i="42"/>
  <c r="M100" i="42" s="1"/>
  <c r="K99" i="42"/>
  <c r="J99" i="42"/>
  <c r="I99" i="42"/>
  <c r="M99" i="42" s="1"/>
  <c r="J98" i="42"/>
  <c r="K98" i="42" s="1"/>
  <c r="I98" i="42"/>
  <c r="M98" i="42" s="1"/>
  <c r="J97" i="42"/>
  <c r="K97" i="42" s="1"/>
  <c r="I97" i="42"/>
  <c r="M97" i="42" s="1"/>
  <c r="K96" i="42"/>
  <c r="J96" i="42"/>
  <c r="I96" i="42"/>
  <c r="M96" i="42" s="1"/>
  <c r="J95" i="42"/>
  <c r="K95" i="42" s="1"/>
  <c r="I95" i="42"/>
  <c r="M95" i="42" s="1"/>
  <c r="J94" i="42"/>
  <c r="K94" i="42" s="1"/>
  <c r="I94" i="42"/>
  <c r="M94" i="42" s="1"/>
  <c r="K93" i="42"/>
  <c r="J93" i="42"/>
  <c r="I93" i="42"/>
  <c r="M93" i="42" s="1"/>
  <c r="K92" i="42"/>
  <c r="J92" i="42"/>
  <c r="I92" i="42"/>
  <c r="M92" i="42" s="1"/>
  <c r="M91" i="42"/>
  <c r="K91" i="42"/>
  <c r="J91" i="42"/>
  <c r="I91" i="42"/>
  <c r="J90" i="42"/>
  <c r="K90" i="42" s="1"/>
  <c r="I90" i="42"/>
  <c r="M90" i="42" s="1"/>
  <c r="M89" i="42"/>
  <c r="J89" i="42"/>
  <c r="K89" i="42" s="1"/>
  <c r="I89" i="42"/>
  <c r="J88" i="42"/>
  <c r="K88" i="42" s="1"/>
  <c r="I88" i="42"/>
  <c r="M88" i="42" s="1"/>
  <c r="K87" i="42"/>
  <c r="J87" i="42"/>
  <c r="I87" i="42"/>
  <c r="M87" i="42" s="1"/>
  <c r="K86" i="42"/>
  <c r="J86" i="42"/>
  <c r="I86" i="42"/>
  <c r="M86" i="42" s="1"/>
  <c r="M85" i="42"/>
  <c r="J85" i="42"/>
  <c r="K85" i="42" s="1"/>
  <c r="I85" i="42"/>
  <c r="K84" i="42"/>
  <c r="J84" i="42"/>
  <c r="I84" i="42"/>
  <c r="M84" i="42" s="1"/>
  <c r="K83" i="42"/>
  <c r="J83" i="42"/>
  <c r="I83" i="42"/>
  <c r="M83" i="42" s="1"/>
  <c r="J82" i="42"/>
  <c r="K82" i="42" s="1"/>
  <c r="I82" i="42"/>
  <c r="M82" i="42" s="1"/>
  <c r="J81" i="42"/>
  <c r="K81" i="42" s="1"/>
  <c r="I81" i="42"/>
  <c r="M81" i="42" s="1"/>
  <c r="K80" i="42"/>
  <c r="J80" i="42"/>
  <c r="I80" i="42"/>
  <c r="M80" i="42" s="1"/>
  <c r="J79" i="42"/>
  <c r="K79" i="42" s="1"/>
  <c r="I79" i="42"/>
  <c r="M79" i="42" s="1"/>
  <c r="J78" i="42"/>
  <c r="K78" i="42" s="1"/>
  <c r="I78" i="42"/>
  <c r="M78" i="42" s="1"/>
  <c r="K77" i="42"/>
  <c r="J77" i="42"/>
  <c r="I77" i="42"/>
  <c r="M77" i="42" s="1"/>
  <c r="K76" i="42"/>
  <c r="J76" i="42"/>
  <c r="I76" i="42"/>
  <c r="M76" i="42" s="1"/>
  <c r="M75" i="42"/>
  <c r="K75" i="42"/>
  <c r="J75" i="42"/>
  <c r="I75" i="42"/>
  <c r="J74" i="42"/>
  <c r="K74" i="42" s="1"/>
  <c r="I74" i="42"/>
  <c r="M74" i="42" s="1"/>
  <c r="M73" i="42"/>
  <c r="J73" i="42"/>
  <c r="K73" i="42" s="1"/>
  <c r="I73" i="42"/>
  <c r="J72" i="42"/>
  <c r="K72" i="42" s="1"/>
  <c r="I72" i="42"/>
  <c r="M72" i="42" s="1"/>
  <c r="K71" i="42"/>
  <c r="J71" i="42"/>
  <c r="I71" i="42"/>
  <c r="M71" i="42" s="1"/>
  <c r="K70" i="42"/>
  <c r="J70" i="42"/>
  <c r="I70" i="42"/>
  <c r="M70" i="42" s="1"/>
  <c r="M69" i="42"/>
  <c r="J69" i="42"/>
  <c r="K69" i="42" s="1"/>
  <c r="I69" i="42"/>
  <c r="K68" i="42"/>
  <c r="J68" i="42"/>
  <c r="I68" i="42"/>
  <c r="M68" i="42" s="1"/>
  <c r="K67" i="42"/>
  <c r="J67" i="42"/>
  <c r="I67" i="42"/>
  <c r="M67" i="42" s="1"/>
  <c r="J66" i="42"/>
  <c r="K66" i="42" s="1"/>
  <c r="I66" i="42"/>
  <c r="M66" i="42" s="1"/>
  <c r="J65" i="42"/>
  <c r="K65" i="42" s="1"/>
  <c r="I65" i="42"/>
  <c r="M65" i="42" s="1"/>
  <c r="B65" i="42"/>
  <c r="J64" i="42"/>
  <c r="K64" i="42" s="1"/>
  <c r="I64" i="42"/>
  <c r="M64" i="42" s="1"/>
  <c r="B64" i="42"/>
  <c r="J63" i="42"/>
  <c r="K63" i="42" s="1"/>
  <c r="I63" i="42"/>
  <c r="M63" i="42" s="1"/>
  <c r="B63" i="42"/>
  <c r="M62" i="42"/>
  <c r="J62" i="42"/>
  <c r="K62" i="42" s="1"/>
  <c r="I62" i="42"/>
  <c r="B62" i="42"/>
  <c r="J61" i="42"/>
  <c r="K61" i="42" s="1"/>
  <c r="I61" i="42"/>
  <c r="M61" i="42" s="1"/>
  <c r="B61" i="42"/>
  <c r="M60" i="42"/>
  <c r="J60" i="42"/>
  <c r="K60" i="42" s="1"/>
  <c r="I60" i="42"/>
  <c r="B60" i="42"/>
  <c r="J59" i="42"/>
  <c r="K59" i="42" s="1"/>
  <c r="I59" i="42"/>
  <c r="M59" i="42" s="1"/>
  <c r="B59" i="42"/>
  <c r="J58" i="42"/>
  <c r="K58" i="42" s="1"/>
  <c r="I58" i="42"/>
  <c r="M58" i="42" s="1"/>
  <c r="B58" i="42"/>
  <c r="J57" i="42"/>
  <c r="K57" i="42" s="1"/>
  <c r="I57" i="42"/>
  <c r="M57" i="42" s="1"/>
  <c r="B57" i="42"/>
  <c r="J56" i="42"/>
  <c r="K56" i="42" s="1"/>
  <c r="I56" i="42"/>
  <c r="M56" i="42" s="1"/>
  <c r="B56" i="42"/>
  <c r="K55" i="42"/>
  <c r="J55" i="42"/>
  <c r="I55" i="42"/>
  <c r="M55" i="42" s="1"/>
  <c r="B55" i="42"/>
  <c r="J54" i="42"/>
  <c r="K54" i="42" s="1"/>
  <c r="I54" i="42"/>
  <c r="M54" i="42" s="1"/>
  <c r="B54" i="42"/>
  <c r="K53" i="42"/>
  <c r="J53" i="42"/>
  <c r="I53" i="42"/>
  <c r="M53" i="42" s="1"/>
  <c r="B53" i="42"/>
  <c r="K52" i="42"/>
  <c r="J52" i="42"/>
  <c r="I52" i="42"/>
  <c r="M52" i="42" s="1"/>
  <c r="B52" i="42"/>
  <c r="J51" i="42"/>
  <c r="K51" i="42" s="1"/>
  <c r="I51" i="42"/>
  <c r="M51" i="42" s="1"/>
  <c r="B51" i="42"/>
  <c r="J50" i="42"/>
  <c r="K50" i="42" s="1"/>
  <c r="I50" i="42"/>
  <c r="M50" i="42" s="1"/>
  <c r="B50" i="42"/>
  <c r="J49" i="42"/>
  <c r="K49" i="42" s="1"/>
  <c r="I49" i="42"/>
  <c r="M49" i="42" s="1"/>
  <c r="B49" i="42"/>
  <c r="J48" i="42"/>
  <c r="K48" i="42" s="1"/>
  <c r="I48" i="42"/>
  <c r="M48" i="42" s="1"/>
  <c r="B48" i="42"/>
  <c r="K47" i="42"/>
  <c r="J47" i="42"/>
  <c r="I47" i="42"/>
  <c r="M47" i="42" s="1"/>
  <c r="B47" i="42"/>
  <c r="T46" i="42"/>
  <c r="R46" i="42"/>
  <c r="U46" i="42" s="1"/>
  <c r="K46" i="42"/>
  <c r="J46" i="42"/>
  <c r="I46" i="42"/>
  <c r="M46" i="42" s="1"/>
  <c r="B46" i="42"/>
  <c r="J45" i="42"/>
  <c r="K45" i="42" s="1"/>
  <c r="I45" i="42"/>
  <c r="M45" i="42" s="1"/>
  <c r="B45" i="42"/>
  <c r="K44" i="42"/>
  <c r="J44" i="42"/>
  <c r="I44" i="42"/>
  <c r="M44" i="42" s="1"/>
  <c r="B44" i="42"/>
  <c r="K43" i="42"/>
  <c r="J43" i="42"/>
  <c r="I43" i="42"/>
  <c r="M43" i="42" s="1"/>
  <c r="B43" i="42"/>
  <c r="J42" i="42"/>
  <c r="K42" i="42" s="1"/>
  <c r="I42" i="42"/>
  <c r="M42" i="42" s="1"/>
  <c r="B42" i="42"/>
  <c r="J41" i="42"/>
  <c r="K41" i="42" s="1"/>
  <c r="I41" i="42"/>
  <c r="M41" i="42" s="1"/>
  <c r="B41" i="42"/>
  <c r="K40" i="42"/>
  <c r="J40" i="42"/>
  <c r="I40" i="42"/>
  <c r="M40" i="42" s="1"/>
  <c r="B40" i="42"/>
  <c r="J39" i="42"/>
  <c r="K39" i="42" s="1"/>
  <c r="I39" i="42"/>
  <c r="M39" i="42" s="1"/>
  <c r="B39" i="42"/>
  <c r="J38" i="42"/>
  <c r="K38" i="42" s="1"/>
  <c r="I38" i="42"/>
  <c r="M38" i="42" s="1"/>
  <c r="B38" i="42"/>
  <c r="J37" i="42"/>
  <c r="K37" i="42" s="1"/>
  <c r="I37" i="42"/>
  <c r="M37" i="42" s="1"/>
  <c r="A37" i="42" s="1"/>
  <c r="B37" i="42"/>
  <c r="J36" i="42"/>
  <c r="K36" i="42" s="1"/>
  <c r="I36" i="42"/>
  <c r="M36" i="42" s="1"/>
  <c r="A36" i="42" s="1"/>
  <c r="B36" i="42"/>
  <c r="J35" i="42"/>
  <c r="K35" i="42" s="1"/>
  <c r="I35" i="42"/>
  <c r="M35" i="42" s="1"/>
  <c r="A35" i="42" s="1"/>
  <c r="B35" i="42"/>
  <c r="K34" i="42"/>
  <c r="J34" i="42"/>
  <c r="I34" i="42"/>
  <c r="M34" i="42" s="1"/>
  <c r="A34" i="42" s="1"/>
  <c r="B34" i="42"/>
  <c r="M33" i="42"/>
  <c r="A33" i="42" s="1"/>
  <c r="J33" i="42"/>
  <c r="K33" i="42" s="1"/>
  <c r="I33" i="42"/>
  <c r="B33" i="42"/>
  <c r="J32" i="42"/>
  <c r="K32" i="42" s="1"/>
  <c r="I32" i="42"/>
  <c r="M32" i="42" s="1"/>
  <c r="A32" i="42" s="1"/>
  <c r="B32" i="42"/>
  <c r="J31" i="42"/>
  <c r="K31" i="42" s="1"/>
  <c r="I31" i="42"/>
  <c r="M31" i="42" s="1"/>
  <c r="A31" i="42" s="1"/>
  <c r="B31" i="42"/>
  <c r="K30" i="42"/>
  <c r="J30" i="42"/>
  <c r="I30" i="42"/>
  <c r="M30" i="42" s="1"/>
  <c r="A30" i="42" s="1"/>
  <c r="B30" i="42"/>
  <c r="M29" i="42"/>
  <c r="A29" i="42" s="1"/>
  <c r="J29" i="42"/>
  <c r="K29" i="42" s="1"/>
  <c r="I29" i="42"/>
  <c r="B29" i="42"/>
  <c r="J28" i="42"/>
  <c r="K28" i="42" s="1"/>
  <c r="I28" i="42"/>
  <c r="M28" i="42" s="1"/>
  <c r="A28" i="42" s="1"/>
  <c r="B28" i="42"/>
  <c r="J27" i="42"/>
  <c r="K27" i="42" s="1"/>
  <c r="I27" i="42"/>
  <c r="M27" i="42" s="1"/>
  <c r="A27" i="42" s="1"/>
  <c r="B27" i="42"/>
  <c r="J26" i="42"/>
  <c r="K26" i="42" s="1"/>
  <c r="I26" i="42"/>
  <c r="M26" i="42" s="1"/>
  <c r="A26" i="42" s="1"/>
  <c r="B26" i="42"/>
  <c r="M25" i="42"/>
  <c r="A25" i="42" s="1"/>
  <c r="J25" i="42"/>
  <c r="K25" i="42" s="1"/>
  <c r="I25" i="42"/>
  <c r="B25" i="42"/>
  <c r="J24" i="42"/>
  <c r="K24" i="42" s="1"/>
  <c r="I24" i="42"/>
  <c r="M24" i="42" s="1"/>
  <c r="A24" i="42" s="1"/>
  <c r="B24" i="42"/>
  <c r="J23" i="42"/>
  <c r="K23" i="42" s="1"/>
  <c r="I23" i="42"/>
  <c r="M23" i="42" s="1"/>
  <c r="A23" i="42" s="1"/>
  <c r="B23" i="42"/>
  <c r="J22" i="42"/>
  <c r="K22" i="42" s="1"/>
  <c r="I22" i="42"/>
  <c r="M22" i="42" s="1"/>
  <c r="A22" i="42" s="1"/>
  <c r="B22" i="42"/>
  <c r="J21" i="42"/>
  <c r="K21" i="42" s="1"/>
  <c r="I21" i="42"/>
  <c r="M21" i="42" s="1"/>
  <c r="A21" i="42" s="1"/>
  <c r="B21" i="42"/>
  <c r="J20" i="42"/>
  <c r="K20" i="42" s="1"/>
  <c r="I20" i="42"/>
  <c r="M20" i="42" s="1"/>
  <c r="A20" i="42" s="1"/>
  <c r="B20" i="42"/>
  <c r="J19" i="42"/>
  <c r="K19" i="42" s="1"/>
  <c r="I19" i="42"/>
  <c r="M19" i="42" s="1"/>
  <c r="A19" i="42" s="1"/>
  <c r="B19" i="42"/>
  <c r="M18" i="42"/>
  <c r="A18" i="42" s="1"/>
  <c r="K18" i="42"/>
  <c r="J18" i="42"/>
  <c r="I18" i="42"/>
  <c r="B18" i="42"/>
  <c r="J17" i="42"/>
  <c r="K17" i="42" s="1"/>
  <c r="I17" i="42"/>
  <c r="M17" i="42" s="1"/>
  <c r="A17" i="42" s="1"/>
  <c r="B17" i="42"/>
  <c r="K16" i="42"/>
  <c r="J16" i="42"/>
  <c r="I16" i="42"/>
  <c r="M16" i="42" s="1"/>
  <c r="A16" i="42" s="1"/>
  <c r="K15" i="42"/>
  <c r="J15" i="42"/>
  <c r="I15" i="42"/>
  <c r="M15" i="42" s="1"/>
  <c r="A15" i="42" s="1"/>
  <c r="AI14" i="42"/>
  <c r="J14" i="42"/>
  <c r="K14" i="42" s="1"/>
  <c r="I14" i="42"/>
  <c r="M14" i="42" s="1"/>
  <c r="A14" i="42" s="1"/>
  <c r="AI13" i="42"/>
  <c r="J13" i="42"/>
  <c r="K13" i="42" s="1"/>
  <c r="I13" i="42"/>
  <c r="AI12" i="42"/>
  <c r="AI16" i="42" s="1"/>
  <c r="J12" i="42"/>
  <c r="K12" i="42" s="1"/>
  <c r="M12" i="42" s="1"/>
  <c r="A12" i="42" s="1"/>
  <c r="I12" i="42"/>
  <c r="J11" i="42"/>
  <c r="K11" i="42" s="1"/>
  <c r="I11" i="42"/>
  <c r="M11" i="42" s="1"/>
  <c r="A11" i="42" s="1"/>
  <c r="J10" i="42"/>
  <c r="K10" i="42" s="1"/>
  <c r="I10" i="42"/>
  <c r="M10" i="42" s="1"/>
  <c r="A10" i="42" s="1"/>
  <c r="J9" i="42"/>
  <c r="K9" i="42" s="1"/>
  <c r="I9" i="42"/>
  <c r="M9" i="42" s="1"/>
  <c r="A9" i="42" s="1"/>
  <c r="K8" i="42"/>
  <c r="J8" i="42"/>
  <c r="I8" i="42"/>
  <c r="M8" i="42" s="1"/>
  <c r="A8" i="42" s="1"/>
  <c r="M7" i="42"/>
  <c r="A7" i="42" s="1"/>
  <c r="L7" i="42"/>
  <c r="K7" i="42"/>
  <c r="J7" i="42"/>
  <c r="I7" i="42"/>
  <c r="L6" i="42"/>
  <c r="J6" i="42"/>
  <c r="K6" i="42" s="1"/>
  <c r="M6" i="42" s="1"/>
  <c r="A6" i="42" s="1"/>
  <c r="I6" i="42"/>
  <c r="K2" i="42"/>
  <c r="L8" i="42" s="1"/>
  <c r="J305" i="41"/>
  <c r="K305" i="41" s="1"/>
  <c r="I305" i="41"/>
  <c r="M305" i="41" s="1"/>
  <c r="J304" i="41"/>
  <c r="K304" i="41" s="1"/>
  <c r="I304" i="41"/>
  <c r="M304" i="41" s="1"/>
  <c r="J303" i="41"/>
  <c r="K303" i="41" s="1"/>
  <c r="I303" i="41"/>
  <c r="M303" i="41" s="1"/>
  <c r="J302" i="41"/>
  <c r="K302" i="41" s="1"/>
  <c r="I302" i="41"/>
  <c r="M302" i="41" s="1"/>
  <c r="J301" i="41"/>
  <c r="K301" i="41" s="1"/>
  <c r="I301" i="41"/>
  <c r="M301" i="41" s="1"/>
  <c r="J300" i="41"/>
  <c r="K300" i="41" s="1"/>
  <c r="I300" i="41"/>
  <c r="M300" i="41" s="1"/>
  <c r="J299" i="41"/>
  <c r="K299" i="41" s="1"/>
  <c r="I299" i="41"/>
  <c r="M299" i="41" s="1"/>
  <c r="J298" i="41"/>
  <c r="K298" i="41" s="1"/>
  <c r="I298" i="41"/>
  <c r="M298" i="41" s="1"/>
  <c r="J297" i="41"/>
  <c r="K297" i="41" s="1"/>
  <c r="I297" i="41"/>
  <c r="M297" i="41" s="1"/>
  <c r="J296" i="41"/>
  <c r="K296" i="41" s="1"/>
  <c r="I296" i="41"/>
  <c r="M296" i="41" s="1"/>
  <c r="J295" i="41"/>
  <c r="K295" i="41" s="1"/>
  <c r="I295" i="41"/>
  <c r="M295" i="41" s="1"/>
  <c r="J294" i="41"/>
  <c r="K294" i="41" s="1"/>
  <c r="I294" i="41"/>
  <c r="M294" i="41" s="1"/>
  <c r="J293" i="41"/>
  <c r="K293" i="41" s="1"/>
  <c r="I293" i="41"/>
  <c r="M293" i="41" s="1"/>
  <c r="M292" i="41"/>
  <c r="K292" i="41"/>
  <c r="J292" i="41"/>
  <c r="I292" i="41"/>
  <c r="J291" i="41"/>
  <c r="K291" i="41" s="1"/>
  <c r="I291" i="41"/>
  <c r="M291" i="41" s="1"/>
  <c r="J290" i="41"/>
  <c r="K290" i="41" s="1"/>
  <c r="I290" i="41"/>
  <c r="M290" i="41" s="1"/>
  <c r="J289" i="41"/>
  <c r="K289" i="41" s="1"/>
  <c r="I289" i="41"/>
  <c r="M289" i="41" s="1"/>
  <c r="J288" i="41"/>
  <c r="K288" i="41" s="1"/>
  <c r="I288" i="41"/>
  <c r="M288" i="41" s="1"/>
  <c r="J287" i="41"/>
  <c r="K287" i="41" s="1"/>
  <c r="I287" i="41"/>
  <c r="M287" i="41" s="1"/>
  <c r="J286" i="41"/>
  <c r="K286" i="41" s="1"/>
  <c r="I286" i="41"/>
  <c r="M286" i="41" s="1"/>
  <c r="J285" i="41"/>
  <c r="K285" i="41" s="1"/>
  <c r="I285" i="41"/>
  <c r="M285" i="41" s="1"/>
  <c r="M284" i="41"/>
  <c r="J284" i="41"/>
  <c r="K284" i="41" s="1"/>
  <c r="I284" i="41"/>
  <c r="J283" i="41"/>
  <c r="K283" i="41" s="1"/>
  <c r="I283" i="41"/>
  <c r="M283" i="41" s="1"/>
  <c r="J282" i="41"/>
  <c r="K282" i="41" s="1"/>
  <c r="I282" i="41"/>
  <c r="M282" i="41" s="1"/>
  <c r="J281" i="41"/>
  <c r="K281" i="41" s="1"/>
  <c r="I281" i="41"/>
  <c r="M281" i="41" s="1"/>
  <c r="K280" i="41"/>
  <c r="J280" i="41"/>
  <c r="I280" i="41"/>
  <c r="M280" i="41" s="1"/>
  <c r="J279" i="41"/>
  <c r="K279" i="41" s="1"/>
  <c r="I279" i="41"/>
  <c r="M279" i="41" s="1"/>
  <c r="J278" i="41"/>
  <c r="K278" i="41" s="1"/>
  <c r="I278" i="41"/>
  <c r="M278" i="41" s="1"/>
  <c r="J277" i="41"/>
  <c r="K277" i="41" s="1"/>
  <c r="I277" i="41"/>
  <c r="M277" i="41" s="1"/>
  <c r="J276" i="41"/>
  <c r="K276" i="41" s="1"/>
  <c r="I276" i="41"/>
  <c r="M276" i="41" s="1"/>
  <c r="J275" i="41"/>
  <c r="K275" i="41" s="1"/>
  <c r="I275" i="41"/>
  <c r="M275" i="41" s="1"/>
  <c r="K274" i="41"/>
  <c r="J274" i="41"/>
  <c r="I274" i="41"/>
  <c r="M274" i="41" s="1"/>
  <c r="J273" i="41"/>
  <c r="K273" i="41" s="1"/>
  <c r="I273" i="41"/>
  <c r="M273" i="41" s="1"/>
  <c r="J272" i="41"/>
  <c r="K272" i="41" s="1"/>
  <c r="I272" i="41"/>
  <c r="M272" i="41" s="1"/>
  <c r="J271" i="41"/>
  <c r="K271" i="41" s="1"/>
  <c r="I271" i="41"/>
  <c r="M271" i="41" s="1"/>
  <c r="J270" i="41"/>
  <c r="K270" i="41" s="1"/>
  <c r="I270" i="41"/>
  <c r="M270" i="41" s="1"/>
  <c r="J269" i="41"/>
  <c r="K269" i="41" s="1"/>
  <c r="I269" i="41"/>
  <c r="M269" i="41" s="1"/>
  <c r="M268" i="41"/>
  <c r="K268" i="41"/>
  <c r="J268" i="41"/>
  <c r="I268" i="41"/>
  <c r="J267" i="41"/>
  <c r="K267" i="41" s="1"/>
  <c r="I267" i="41"/>
  <c r="M267" i="41" s="1"/>
  <c r="J266" i="41"/>
  <c r="K266" i="41" s="1"/>
  <c r="I266" i="41"/>
  <c r="M266" i="41" s="1"/>
  <c r="J265" i="41"/>
  <c r="K265" i="41" s="1"/>
  <c r="I265" i="41"/>
  <c r="M265" i="41" s="1"/>
  <c r="J264" i="41"/>
  <c r="K264" i="41" s="1"/>
  <c r="I264" i="41"/>
  <c r="M264" i="41" s="1"/>
  <c r="J263" i="41"/>
  <c r="K263" i="41" s="1"/>
  <c r="I263" i="41"/>
  <c r="M263" i="41" s="1"/>
  <c r="J262" i="41"/>
  <c r="K262" i="41" s="1"/>
  <c r="I262" i="41"/>
  <c r="M262" i="41" s="1"/>
  <c r="J261" i="41"/>
  <c r="K261" i="41" s="1"/>
  <c r="I261" i="41"/>
  <c r="M261" i="41" s="1"/>
  <c r="K260" i="41"/>
  <c r="J260" i="41"/>
  <c r="I260" i="41"/>
  <c r="M260" i="41" s="1"/>
  <c r="J259" i="41"/>
  <c r="K259" i="41" s="1"/>
  <c r="I259" i="41"/>
  <c r="M259" i="41" s="1"/>
  <c r="J258" i="41"/>
  <c r="K258" i="41" s="1"/>
  <c r="I258" i="41"/>
  <c r="M258" i="41" s="1"/>
  <c r="J257" i="41"/>
  <c r="K257" i="41" s="1"/>
  <c r="I257" i="41"/>
  <c r="M257" i="41" s="1"/>
  <c r="J256" i="41"/>
  <c r="K256" i="41" s="1"/>
  <c r="I256" i="41"/>
  <c r="M256" i="41" s="1"/>
  <c r="J255" i="41"/>
  <c r="K255" i="41" s="1"/>
  <c r="I255" i="41"/>
  <c r="M255" i="41" s="1"/>
  <c r="J254" i="41"/>
  <c r="K254" i="41" s="1"/>
  <c r="I254" i="41"/>
  <c r="M254" i="41" s="1"/>
  <c r="J253" i="41"/>
  <c r="K253" i="41" s="1"/>
  <c r="I253" i="41"/>
  <c r="M253" i="41" s="1"/>
  <c r="J252" i="41"/>
  <c r="K252" i="41" s="1"/>
  <c r="I252" i="41"/>
  <c r="M252" i="41" s="1"/>
  <c r="J251" i="41"/>
  <c r="K251" i="41" s="1"/>
  <c r="I251" i="41"/>
  <c r="M251" i="41" s="1"/>
  <c r="M250" i="41"/>
  <c r="J250" i="41"/>
  <c r="K250" i="41" s="1"/>
  <c r="I250" i="41"/>
  <c r="J249" i="41"/>
  <c r="K249" i="41" s="1"/>
  <c r="I249" i="41"/>
  <c r="M249" i="41" s="1"/>
  <c r="J248" i="41"/>
  <c r="K248" i="41" s="1"/>
  <c r="I248" i="41"/>
  <c r="M248" i="41" s="1"/>
  <c r="J247" i="41"/>
  <c r="K247" i="41" s="1"/>
  <c r="I247" i="41"/>
  <c r="M247" i="41" s="1"/>
  <c r="J246" i="41"/>
  <c r="K246" i="41" s="1"/>
  <c r="I246" i="41"/>
  <c r="M246" i="41" s="1"/>
  <c r="J245" i="41"/>
  <c r="K245" i="41" s="1"/>
  <c r="I245" i="41"/>
  <c r="M245" i="41" s="1"/>
  <c r="M244" i="41"/>
  <c r="K244" i="41"/>
  <c r="J244" i="41"/>
  <c r="I244" i="41"/>
  <c r="J243" i="41"/>
  <c r="K243" i="41" s="1"/>
  <c r="I243" i="41"/>
  <c r="M243" i="41" s="1"/>
  <c r="J242" i="41"/>
  <c r="K242" i="41" s="1"/>
  <c r="I242" i="41"/>
  <c r="M242" i="41" s="1"/>
  <c r="J241" i="41"/>
  <c r="K241" i="41" s="1"/>
  <c r="I241" i="41"/>
  <c r="M241" i="41" s="1"/>
  <c r="K240" i="41"/>
  <c r="J240" i="41"/>
  <c r="I240" i="41"/>
  <c r="M240" i="41" s="1"/>
  <c r="J239" i="41"/>
  <c r="K239" i="41" s="1"/>
  <c r="I239" i="41"/>
  <c r="M239" i="41" s="1"/>
  <c r="J238" i="41"/>
  <c r="K238" i="41" s="1"/>
  <c r="I238" i="41"/>
  <c r="M238" i="41" s="1"/>
  <c r="J237" i="41"/>
  <c r="K237" i="41" s="1"/>
  <c r="I237" i="41"/>
  <c r="M237" i="41" s="1"/>
  <c r="K236" i="41"/>
  <c r="J236" i="41"/>
  <c r="I236" i="41"/>
  <c r="M236" i="41" s="1"/>
  <c r="J235" i="41"/>
  <c r="K235" i="41" s="1"/>
  <c r="I235" i="41"/>
  <c r="M235" i="41" s="1"/>
  <c r="M234" i="41"/>
  <c r="K234" i="41"/>
  <c r="J234" i="41"/>
  <c r="I234" i="41"/>
  <c r="J233" i="41"/>
  <c r="K233" i="41" s="1"/>
  <c r="I233" i="41"/>
  <c r="M233" i="41" s="1"/>
  <c r="J232" i="41"/>
  <c r="K232" i="41" s="1"/>
  <c r="I232" i="41"/>
  <c r="M232" i="41" s="1"/>
  <c r="J231" i="41"/>
  <c r="K231" i="41" s="1"/>
  <c r="I231" i="41"/>
  <c r="M231" i="41" s="1"/>
  <c r="J230" i="41"/>
  <c r="K230" i="41" s="1"/>
  <c r="I230" i="41"/>
  <c r="M230" i="41" s="1"/>
  <c r="J229" i="41"/>
  <c r="K229" i="41" s="1"/>
  <c r="I229" i="41"/>
  <c r="M229" i="41" s="1"/>
  <c r="M228" i="41"/>
  <c r="J228" i="41"/>
  <c r="K228" i="41" s="1"/>
  <c r="I228" i="41"/>
  <c r="J227" i="41"/>
  <c r="K227" i="41" s="1"/>
  <c r="I227" i="41"/>
  <c r="M227" i="41" s="1"/>
  <c r="J226" i="41"/>
  <c r="K226" i="41" s="1"/>
  <c r="I226" i="41"/>
  <c r="M226" i="41" s="1"/>
  <c r="J225" i="41"/>
  <c r="K225" i="41" s="1"/>
  <c r="I225" i="41"/>
  <c r="M225" i="41" s="1"/>
  <c r="J224" i="41"/>
  <c r="K224" i="41" s="1"/>
  <c r="I224" i="41"/>
  <c r="M224" i="41" s="1"/>
  <c r="J223" i="41"/>
  <c r="K223" i="41" s="1"/>
  <c r="I223" i="41"/>
  <c r="M223" i="41" s="1"/>
  <c r="J222" i="41"/>
  <c r="K222" i="41" s="1"/>
  <c r="I222" i="41"/>
  <c r="M222" i="41" s="1"/>
  <c r="J221" i="41"/>
  <c r="K221" i="41" s="1"/>
  <c r="I221" i="41"/>
  <c r="M221" i="41" s="1"/>
  <c r="M220" i="41"/>
  <c r="J220" i="41"/>
  <c r="K220" i="41" s="1"/>
  <c r="I220" i="41"/>
  <c r="J219" i="41"/>
  <c r="K219" i="41" s="1"/>
  <c r="I219" i="41"/>
  <c r="M219" i="41" s="1"/>
  <c r="J218" i="41"/>
  <c r="K218" i="41" s="1"/>
  <c r="I218" i="41"/>
  <c r="M218" i="41" s="1"/>
  <c r="J217" i="41"/>
  <c r="K217" i="41" s="1"/>
  <c r="I217" i="41"/>
  <c r="M217" i="41" s="1"/>
  <c r="J216" i="41"/>
  <c r="K216" i="41" s="1"/>
  <c r="I216" i="41"/>
  <c r="M216" i="41" s="1"/>
  <c r="J215" i="41"/>
  <c r="K215" i="41" s="1"/>
  <c r="I215" i="41"/>
  <c r="M215" i="41" s="1"/>
  <c r="J214" i="41"/>
  <c r="K214" i="41" s="1"/>
  <c r="I214" i="41"/>
  <c r="M214" i="41" s="1"/>
  <c r="J213" i="41"/>
  <c r="K213" i="41" s="1"/>
  <c r="I213" i="41"/>
  <c r="M213" i="41" s="1"/>
  <c r="J212" i="41"/>
  <c r="K212" i="41" s="1"/>
  <c r="I212" i="41"/>
  <c r="M212" i="41" s="1"/>
  <c r="J211" i="41"/>
  <c r="K211" i="41" s="1"/>
  <c r="I211" i="41"/>
  <c r="M211" i="41" s="1"/>
  <c r="J210" i="41"/>
  <c r="K210" i="41" s="1"/>
  <c r="I210" i="41"/>
  <c r="M210" i="41" s="1"/>
  <c r="J209" i="41"/>
  <c r="K209" i="41" s="1"/>
  <c r="I209" i="41"/>
  <c r="M209" i="41" s="1"/>
  <c r="J208" i="41"/>
  <c r="K208" i="41" s="1"/>
  <c r="I208" i="41"/>
  <c r="M208" i="41" s="1"/>
  <c r="J207" i="41"/>
  <c r="K207" i="41" s="1"/>
  <c r="I207" i="41"/>
  <c r="M207" i="41" s="1"/>
  <c r="J206" i="41"/>
  <c r="K206" i="41" s="1"/>
  <c r="I206" i="41"/>
  <c r="M206" i="41" s="1"/>
  <c r="J205" i="41"/>
  <c r="K205" i="41" s="1"/>
  <c r="I205" i="41"/>
  <c r="M205" i="41" s="1"/>
  <c r="M204" i="41"/>
  <c r="K204" i="41"/>
  <c r="J204" i="41"/>
  <c r="I204" i="41"/>
  <c r="J203" i="41"/>
  <c r="K203" i="41" s="1"/>
  <c r="I203" i="41"/>
  <c r="M203" i="41" s="1"/>
  <c r="J202" i="41"/>
  <c r="K202" i="41" s="1"/>
  <c r="I202" i="41"/>
  <c r="M202" i="41" s="1"/>
  <c r="J201" i="41"/>
  <c r="K201" i="41" s="1"/>
  <c r="I201" i="41"/>
  <c r="M201" i="41" s="1"/>
  <c r="J200" i="41"/>
  <c r="K200" i="41" s="1"/>
  <c r="I200" i="41"/>
  <c r="M200" i="41" s="1"/>
  <c r="J199" i="41"/>
  <c r="K199" i="41" s="1"/>
  <c r="I199" i="41"/>
  <c r="M199" i="41" s="1"/>
  <c r="J198" i="41"/>
  <c r="K198" i="41" s="1"/>
  <c r="I198" i="41"/>
  <c r="M198" i="41" s="1"/>
  <c r="J197" i="41"/>
  <c r="K197" i="41" s="1"/>
  <c r="I197" i="41"/>
  <c r="M197" i="41" s="1"/>
  <c r="J196" i="41"/>
  <c r="K196" i="41" s="1"/>
  <c r="I196" i="41"/>
  <c r="M196" i="41" s="1"/>
  <c r="J195" i="41"/>
  <c r="K195" i="41" s="1"/>
  <c r="I195" i="41"/>
  <c r="M195" i="41" s="1"/>
  <c r="J194" i="41"/>
  <c r="K194" i="41" s="1"/>
  <c r="I194" i="41"/>
  <c r="M194" i="41" s="1"/>
  <c r="J193" i="41"/>
  <c r="K193" i="41" s="1"/>
  <c r="I193" i="41"/>
  <c r="M193" i="41" s="1"/>
  <c r="J192" i="41"/>
  <c r="K192" i="41" s="1"/>
  <c r="I192" i="41"/>
  <c r="M192" i="41" s="1"/>
  <c r="J191" i="41"/>
  <c r="K191" i="41" s="1"/>
  <c r="I191" i="41"/>
  <c r="M191" i="41" s="1"/>
  <c r="J190" i="41"/>
  <c r="K190" i="41" s="1"/>
  <c r="I190" i="41"/>
  <c r="M190" i="41" s="1"/>
  <c r="J189" i="41"/>
  <c r="K189" i="41" s="1"/>
  <c r="I189" i="41"/>
  <c r="M189" i="41" s="1"/>
  <c r="J188" i="41"/>
  <c r="K188" i="41" s="1"/>
  <c r="I188" i="41"/>
  <c r="M188" i="41" s="1"/>
  <c r="J187" i="41"/>
  <c r="K187" i="41" s="1"/>
  <c r="I187" i="41"/>
  <c r="M187" i="41" s="1"/>
  <c r="M186" i="41"/>
  <c r="K186" i="41"/>
  <c r="J186" i="41"/>
  <c r="I186" i="41"/>
  <c r="J185" i="41"/>
  <c r="K185" i="41" s="1"/>
  <c r="I185" i="41"/>
  <c r="M185" i="41" s="1"/>
  <c r="J184" i="41"/>
  <c r="K184" i="41" s="1"/>
  <c r="I184" i="41"/>
  <c r="M184" i="41" s="1"/>
  <c r="J183" i="41"/>
  <c r="K183" i="41" s="1"/>
  <c r="I183" i="41"/>
  <c r="M183" i="41" s="1"/>
  <c r="J182" i="41"/>
  <c r="K182" i="41" s="1"/>
  <c r="I182" i="41"/>
  <c r="M182" i="41" s="1"/>
  <c r="J181" i="41"/>
  <c r="K181" i="41" s="1"/>
  <c r="I181" i="41"/>
  <c r="M181" i="41" s="1"/>
  <c r="J180" i="41"/>
  <c r="K180" i="41" s="1"/>
  <c r="I180" i="41"/>
  <c r="M180" i="41" s="1"/>
  <c r="J179" i="41"/>
  <c r="K179" i="41" s="1"/>
  <c r="I179" i="41"/>
  <c r="M179" i="41" s="1"/>
  <c r="J178" i="41"/>
  <c r="K178" i="41" s="1"/>
  <c r="I178" i="41"/>
  <c r="M178" i="41" s="1"/>
  <c r="J177" i="41"/>
  <c r="K177" i="41" s="1"/>
  <c r="I177" i="41"/>
  <c r="M177" i="41" s="1"/>
  <c r="J176" i="41"/>
  <c r="K176" i="41" s="1"/>
  <c r="I176" i="41"/>
  <c r="M176" i="41" s="1"/>
  <c r="J175" i="41"/>
  <c r="K175" i="41" s="1"/>
  <c r="I175" i="41"/>
  <c r="M175" i="41" s="1"/>
  <c r="J174" i="41"/>
  <c r="K174" i="41" s="1"/>
  <c r="I174" i="41"/>
  <c r="M174" i="41" s="1"/>
  <c r="K173" i="41"/>
  <c r="J173" i="41"/>
  <c r="I173" i="41"/>
  <c r="M173" i="41" s="1"/>
  <c r="J172" i="41"/>
  <c r="K172" i="41" s="1"/>
  <c r="I172" i="41"/>
  <c r="M172" i="41" s="1"/>
  <c r="J171" i="41"/>
  <c r="K171" i="41" s="1"/>
  <c r="I171" i="41"/>
  <c r="M171" i="41" s="1"/>
  <c r="M170" i="41"/>
  <c r="K170" i="41"/>
  <c r="J170" i="41"/>
  <c r="I170" i="41"/>
  <c r="J169" i="41"/>
  <c r="K169" i="41" s="1"/>
  <c r="I169" i="41"/>
  <c r="M169" i="41" s="1"/>
  <c r="M168" i="41"/>
  <c r="J168" i="41"/>
  <c r="K168" i="41" s="1"/>
  <c r="I168" i="41"/>
  <c r="J167" i="41"/>
  <c r="K167" i="41" s="1"/>
  <c r="I167" i="41"/>
  <c r="M167" i="41" s="1"/>
  <c r="J166" i="41"/>
  <c r="K166" i="41" s="1"/>
  <c r="I166" i="41"/>
  <c r="M166" i="41" s="1"/>
  <c r="J165" i="41"/>
  <c r="K165" i="41" s="1"/>
  <c r="I165" i="41"/>
  <c r="M165" i="41" s="1"/>
  <c r="J164" i="41"/>
  <c r="K164" i="41" s="1"/>
  <c r="I164" i="41"/>
  <c r="M164" i="41" s="1"/>
  <c r="K163" i="41"/>
  <c r="J163" i="41"/>
  <c r="I163" i="41"/>
  <c r="M163" i="41" s="1"/>
  <c r="J162" i="41"/>
  <c r="K162" i="41" s="1"/>
  <c r="I162" i="41"/>
  <c r="M162" i="41" s="1"/>
  <c r="K161" i="41"/>
  <c r="J161" i="41"/>
  <c r="I161" i="41"/>
  <c r="M161" i="41" s="1"/>
  <c r="K160" i="41"/>
  <c r="J160" i="41"/>
  <c r="I160" i="41"/>
  <c r="M160" i="41" s="1"/>
  <c r="J159" i="41"/>
  <c r="K159" i="41" s="1"/>
  <c r="I159" i="41"/>
  <c r="M159" i="41" s="1"/>
  <c r="J158" i="41"/>
  <c r="K158" i="41" s="1"/>
  <c r="I158" i="41"/>
  <c r="M158" i="41" s="1"/>
  <c r="J157" i="41"/>
  <c r="K157" i="41" s="1"/>
  <c r="I157" i="41"/>
  <c r="M157" i="41" s="1"/>
  <c r="J156" i="41"/>
  <c r="K156" i="41" s="1"/>
  <c r="I156" i="41"/>
  <c r="M156" i="41" s="1"/>
  <c r="J155" i="41"/>
  <c r="K155" i="41" s="1"/>
  <c r="I155" i="41"/>
  <c r="M155" i="41" s="1"/>
  <c r="J154" i="41"/>
  <c r="K154" i="41" s="1"/>
  <c r="I154" i="41"/>
  <c r="M154" i="41" s="1"/>
  <c r="J153" i="41"/>
  <c r="K153" i="41" s="1"/>
  <c r="I153" i="41"/>
  <c r="M153" i="41" s="1"/>
  <c r="M152" i="41"/>
  <c r="K152" i="41"/>
  <c r="J152" i="41"/>
  <c r="I152" i="41"/>
  <c r="J151" i="41"/>
  <c r="K151" i="41" s="1"/>
  <c r="I151" i="41"/>
  <c r="M151" i="41" s="1"/>
  <c r="J150" i="41"/>
  <c r="K150" i="41" s="1"/>
  <c r="I150" i="41"/>
  <c r="M150" i="41" s="1"/>
  <c r="J149" i="41"/>
  <c r="K149" i="41" s="1"/>
  <c r="I149" i="41"/>
  <c r="M149" i="41" s="1"/>
  <c r="J148" i="41"/>
  <c r="K148" i="41" s="1"/>
  <c r="I148" i="41"/>
  <c r="M148" i="41" s="1"/>
  <c r="J147" i="41"/>
  <c r="K147" i="41" s="1"/>
  <c r="I147" i="41"/>
  <c r="M147" i="41" s="1"/>
  <c r="J146" i="41"/>
  <c r="K146" i="41" s="1"/>
  <c r="I146" i="41"/>
  <c r="M146" i="41" s="1"/>
  <c r="K145" i="41"/>
  <c r="J145" i="41"/>
  <c r="I145" i="41"/>
  <c r="M145" i="41" s="1"/>
  <c r="J144" i="41"/>
  <c r="K144" i="41" s="1"/>
  <c r="I144" i="41"/>
  <c r="M144" i="41" s="1"/>
  <c r="J143" i="41"/>
  <c r="K143" i="41" s="1"/>
  <c r="I143" i="41"/>
  <c r="M143" i="41" s="1"/>
  <c r="J142" i="41"/>
  <c r="K142" i="41" s="1"/>
  <c r="I142" i="41"/>
  <c r="M142" i="41" s="1"/>
  <c r="J141" i="41"/>
  <c r="K141" i="41" s="1"/>
  <c r="I141" i="41"/>
  <c r="M141" i="41" s="1"/>
  <c r="J140" i="41"/>
  <c r="K140" i="41" s="1"/>
  <c r="I140" i="41"/>
  <c r="M140" i="41" s="1"/>
  <c r="J139" i="41"/>
  <c r="K139" i="41" s="1"/>
  <c r="I139" i="41"/>
  <c r="M139" i="41" s="1"/>
  <c r="M138" i="41"/>
  <c r="J138" i="41"/>
  <c r="K138" i="41" s="1"/>
  <c r="I138" i="41"/>
  <c r="J137" i="41"/>
  <c r="K137" i="41" s="1"/>
  <c r="I137" i="41"/>
  <c r="M137" i="41" s="1"/>
  <c r="M136" i="41"/>
  <c r="J136" i="41"/>
  <c r="K136" i="41" s="1"/>
  <c r="I136" i="41"/>
  <c r="J135" i="41"/>
  <c r="K135" i="41" s="1"/>
  <c r="I135" i="41"/>
  <c r="M135" i="41" s="1"/>
  <c r="J134" i="41"/>
  <c r="K134" i="41" s="1"/>
  <c r="I134" i="41"/>
  <c r="M134" i="41" s="1"/>
  <c r="J133" i="41"/>
  <c r="K133" i="41" s="1"/>
  <c r="I133" i="41"/>
  <c r="M133" i="41" s="1"/>
  <c r="K132" i="41"/>
  <c r="J132" i="41"/>
  <c r="I132" i="41"/>
  <c r="M132" i="41" s="1"/>
  <c r="J131" i="41"/>
  <c r="K131" i="41" s="1"/>
  <c r="I131" i="41"/>
  <c r="M131" i="41" s="1"/>
  <c r="M130" i="41"/>
  <c r="J130" i="41"/>
  <c r="K130" i="41" s="1"/>
  <c r="I130" i="41"/>
  <c r="J129" i="41"/>
  <c r="K129" i="41" s="1"/>
  <c r="I129" i="41"/>
  <c r="M129" i="41" s="1"/>
  <c r="M128" i="41"/>
  <c r="J128" i="41"/>
  <c r="K128" i="41" s="1"/>
  <c r="I128" i="41"/>
  <c r="J127" i="41"/>
  <c r="K127" i="41" s="1"/>
  <c r="I127" i="41"/>
  <c r="M127" i="41" s="1"/>
  <c r="J126" i="41"/>
  <c r="K126" i="41" s="1"/>
  <c r="I126" i="41"/>
  <c r="M126" i="41" s="1"/>
  <c r="J125" i="41"/>
  <c r="K125" i="41" s="1"/>
  <c r="I125" i="41"/>
  <c r="M125" i="41" s="1"/>
  <c r="J124" i="41"/>
  <c r="K124" i="41" s="1"/>
  <c r="I124" i="41"/>
  <c r="M124" i="41" s="1"/>
  <c r="J123" i="41"/>
  <c r="K123" i="41" s="1"/>
  <c r="I123" i="41"/>
  <c r="M123" i="41" s="1"/>
  <c r="K122" i="41"/>
  <c r="J122" i="41"/>
  <c r="I122" i="41"/>
  <c r="M122" i="41" s="1"/>
  <c r="J121" i="41"/>
  <c r="K121" i="41" s="1"/>
  <c r="I121" i="41"/>
  <c r="M121" i="41" s="1"/>
  <c r="M120" i="41"/>
  <c r="J120" i="41"/>
  <c r="K120" i="41" s="1"/>
  <c r="I120" i="41"/>
  <c r="J119" i="41"/>
  <c r="K119" i="41" s="1"/>
  <c r="I119" i="41"/>
  <c r="M119" i="41" s="1"/>
  <c r="M118" i="41"/>
  <c r="J118" i="41"/>
  <c r="K118" i="41" s="1"/>
  <c r="I118" i="41"/>
  <c r="J117" i="41"/>
  <c r="K117" i="41" s="1"/>
  <c r="I117" i="41"/>
  <c r="M117" i="41" s="1"/>
  <c r="J116" i="41"/>
  <c r="K116" i="41" s="1"/>
  <c r="I116" i="41"/>
  <c r="M116" i="41" s="1"/>
  <c r="J115" i="41"/>
  <c r="K115" i="41" s="1"/>
  <c r="I115" i="41"/>
  <c r="M115" i="41" s="1"/>
  <c r="J114" i="41"/>
  <c r="K114" i="41" s="1"/>
  <c r="I114" i="41"/>
  <c r="M114" i="41" s="1"/>
  <c r="J113" i="41"/>
  <c r="K113" i="41" s="1"/>
  <c r="I113" i="41"/>
  <c r="M113" i="41" s="1"/>
  <c r="M112" i="41"/>
  <c r="J112" i="41"/>
  <c r="K112" i="41" s="1"/>
  <c r="I112" i="41"/>
  <c r="J111" i="41"/>
  <c r="K111" i="41" s="1"/>
  <c r="I111" i="41"/>
  <c r="M111" i="41" s="1"/>
  <c r="M110" i="41"/>
  <c r="K110" i="41"/>
  <c r="J110" i="41"/>
  <c r="I110" i="41"/>
  <c r="J109" i="41"/>
  <c r="K109" i="41" s="1"/>
  <c r="I109" i="41"/>
  <c r="M109" i="41" s="1"/>
  <c r="M108" i="41"/>
  <c r="J108" i="41"/>
  <c r="K108" i="41" s="1"/>
  <c r="I108" i="41"/>
  <c r="J107" i="41"/>
  <c r="K107" i="41" s="1"/>
  <c r="I107" i="41"/>
  <c r="M107" i="41" s="1"/>
  <c r="J106" i="41"/>
  <c r="K106" i="41" s="1"/>
  <c r="I106" i="41"/>
  <c r="M106" i="41" s="1"/>
  <c r="J105" i="41"/>
  <c r="K105" i="41" s="1"/>
  <c r="I105" i="41"/>
  <c r="M105" i="41" s="1"/>
  <c r="J104" i="41"/>
  <c r="K104" i="41" s="1"/>
  <c r="I104" i="41"/>
  <c r="M104" i="41" s="1"/>
  <c r="J103" i="41"/>
  <c r="K103" i="41" s="1"/>
  <c r="I103" i="41"/>
  <c r="M103" i="41" s="1"/>
  <c r="M102" i="41"/>
  <c r="J102" i="41"/>
  <c r="K102" i="41" s="1"/>
  <c r="I102" i="41"/>
  <c r="J101" i="41"/>
  <c r="K101" i="41" s="1"/>
  <c r="I101" i="41"/>
  <c r="M101" i="41" s="1"/>
  <c r="M100" i="41"/>
  <c r="J100" i="41"/>
  <c r="K100" i="41" s="1"/>
  <c r="I100" i="41"/>
  <c r="J99" i="41"/>
  <c r="K99" i="41" s="1"/>
  <c r="I99" i="41"/>
  <c r="M99" i="41" s="1"/>
  <c r="J98" i="41"/>
  <c r="K98" i="41" s="1"/>
  <c r="I98" i="41"/>
  <c r="M98" i="41" s="1"/>
  <c r="J97" i="41"/>
  <c r="K97" i="41" s="1"/>
  <c r="I97" i="41"/>
  <c r="M97" i="41" s="1"/>
  <c r="J96" i="41"/>
  <c r="K96" i="41" s="1"/>
  <c r="I96" i="41"/>
  <c r="M96" i="41" s="1"/>
  <c r="J95" i="41"/>
  <c r="K95" i="41" s="1"/>
  <c r="I95" i="41"/>
  <c r="M95" i="41" s="1"/>
  <c r="K94" i="41"/>
  <c r="J94" i="41"/>
  <c r="I94" i="41"/>
  <c r="M94" i="41" s="1"/>
  <c r="J93" i="41"/>
  <c r="K93" i="41" s="1"/>
  <c r="I93" i="41"/>
  <c r="M93" i="41" s="1"/>
  <c r="M92" i="41"/>
  <c r="J92" i="41"/>
  <c r="K92" i="41" s="1"/>
  <c r="I92" i="41"/>
  <c r="J91" i="41"/>
  <c r="K91" i="41" s="1"/>
  <c r="I91" i="41"/>
  <c r="M91" i="41" s="1"/>
  <c r="M90" i="41"/>
  <c r="J90" i="41"/>
  <c r="K90" i="41" s="1"/>
  <c r="I90" i="41"/>
  <c r="J89" i="41"/>
  <c r="K89" i="41" s="1"/>
  <c r="I89" i="41"/>
  <c r="M89" i="41" s="1"/>
  <c r="J88" i="41"/>
  <c r="K88" i="41" s="1"/>
  <c r="I88" i="41"/>
  <c r="M88" i="41" s="1"/>
  <c r="J87" i="41"/>
  <c r="K87" i="41" s="1"/>
  <c r="I87" i="41"/>
  <c r="M87" i="41" s="1"/>
  <c r="J86" i="41"/>
  <c r="K86" i="41" s="1"/>
  <c r="I86" i="41"/>
  <c r="M86" i="41" s="1"/>
  <c r="J85" i="41"/>
  <c r="K85" i="41" s="1"/>
  <c r="I85" i="41"/>
  <c r="M85" i="41" s="1"/>
  <c r="M84" i="41"/>
  <c r="J84" i="41"/>
  <c r="K84" i="41" s="1"/>
  <c r="I84" i="41"/>
  <c r="J83" i="41"/>
  <c r="K83" i="41" s="1"/>
  <c r="I83" i="41"/>
  <c r="M83" i="41" s="1"/>
  <c r="M82" i="41"/>
  <c r="J82" i="41"/>
  <c r="K82" i="41" s="1"/>
  <c r="I82" i="41"/>
  <c r="J81" i="41"/>
  <c r="K81" i="41" s="1"/>
  <c r="I81" i="41"/>
  <c r="M81" i="41" s="1"/>
  <c r="J80" i="41"/>
  <c r="K80" i="41" s="1"/>
  <c r="I80" i="41"/>
  <c r="M80" i="41" s="1"/>
  <c r="K79" i="41"/>
  <c r="J79" i="41"/>
  <c r="I79" i="41"/>
  <c r="M79" i="41" s="1"/>
  <c r="J78" i="41"/>
  <c r="K78" i="41" s="1"/>
  <c r="I78" i="41"/>
  <c r="M78" i="41" s="1"/>
  <c r="J77" i="41"/>
  <c r="K77" i="41" s="1"/>
  <c r="I77" i="41"/>
  <c r="M77" i="41" s="1"/>
  <c r="J76" i="41"/>
  <c r="K76" i="41" s="1"/>
  <c r="I76" i="41"/>
  <c r="M76" i="41" s="1"/>
  <c r="J75" i="41"/>
  <c r="K75" i="41" s="1"/>
  <c r="I75" i="41"/>
  <c r="M75" i="41" s="1"/>
  <c r="M74" i="41"/>
  <c r="J74" i="41"/>
  <c r="K74" i="41" s="1"/>
  <c r="I74" i="41"/>
  <c r="J73" i="41"/>
  <c r="K73" i="41" s="1"/>
  <c r="I73" i="41"/>
  <c r="M73" i="41" s="1"/>
  <c r="M72" i="41"/>
  <c r="J72" i="41"/>
  <c r="K72" i="41" s="1"/>
  <c r="I72" i="41"/>
  <c r="J71" i="41"/>
  <c r="K71" i="41" s="1"/>
  <c r="I71" i="41"/>
  <c r="M71" i="41" s="1"/>
  <c r="J70" i="41"/>
  <c r="K70" i="41" s="1"/>
  <c r="I70" i="41"/>
  <c r="M70" i="41" s="1"/>
  <c r="J69" i="41"/>
  <c r="K69" i="41" s="1"/>
  <c r="I69" i="41"/>
  <c r="M69" i="41" s="1"/>
  <c r="J68" i="41"/>
  <c r="K68" i="41" s="1"/>
  <c r="I68" i="41"/>
  <c r="M68" i="41" s="1"/>
  <c r="J67" i="41"/>
  <c r="K67" i="41" s="1"/>
  <c r="I67" i="41"/>
  <c r="M67" i="41" s="1"/>
  <c r="M66" i="41"/>
  <c r="J66" i="41"/>
  <c r="K66" i="41" s="1"/>
  <c r="I66" i="41"/>
  <c r="J65" i="41"/>
  <c r="K65" i="41" s="1"/>
  <c r="I65" i="41"/>
  <c r="M65" i="41" s="1"/>
  <c r="B65" i="41"/>
  <c r="M64" i="41"/>
  <c r="K64" i="41"/>
  <c r="J64" i="41"/>
  <c r="I64" i="41"/>
  <c r="B64" i="41"/>
  <c r="J63" i="41"/>
  <c r="K63" i="41" s="1"/>
  <c r="I63" i="41"/>
  <c r="M63" i="41" s="1"/>
  <c r="B63" i="41"/>
  <c r="J62" i="41"/>
  <c r="K62" i="41" s="1"/>
  <c r="I62" i="41"/>
  <c r="M62" i="41" s="1"/>
  <c r="B62" i="41"/>
  <c r="J61" i="41"/>
  <c r="K61" i="41" s="1"/>
  <c r="I61" i="41"/>
  <c r="M61" i="41" s="1"/>
  <c r="B61" i="41"/>
  <c r="M60" i="41"/>
  <c r="K60" i="41"/>
  <c r="J60" i="41"/>
  <c r="I60" i="41"/>
  <c r="B60" i="41"/>
  <c r="J59" i="41"/>
  <c r="K59" i="41" s="1"/>
  <c r="I59" i="41"/>
  <c r="M59" i="41" s="1"/>
  <c r="B59" i="41"/>
  <c r="M58" i="41"/>
  <c r="J58" i="41"/>
  <c r="K58" i="41" s="1"/>
  <c r="I58" i="41"/>
  <c r="B58" i="41"/>
  <c r="J57" i="41"/>
  <c r="K57" i="41" s="1"/>
  <c r="I57" i="41"/>
  <c r="M57" i="41" s="1"/>
  <c r="B57" i="41"/>
  <c r="M56" i="41"/>
  <c r="J56" i="41"/>
  <c r="K56" i="41" s="1"/>
  <c r="I56" i="41"/>
  <c r="B56" i="41"/>
  <c r="J55" i="41"/>
  <c r="K55" i="41" s="1"/>
  <c r="I55" i="41"/>
  <c r="M55" i="41" s="1"/>
  <c r="B55" i="41"/>
  <c r="J54" i="41"/>
  <c r="K54" i="41" s="1"/>
  <c r="I54" i="41"/>
  <c r="M54" i="41" s="1"/>
  <c r="B54" i="41"/>
  <c r="J53" i="41"/>
  <c r="K53" i="41" s="1"/>
  <c r="I53" i="41"/>
  <c r="M53" i="41" s="1"/>
  <c r="B53" i="41"/>
  <c r="J52" i="41"/>
  <c r="K52" i="41" s="1"/>
  <c r="I52" i="41"/>
  <c r="M52" i="41" s="1"/>
  <c r="B52" i="41"/>
  <c r="J51" i="41"/>
  <c r="K51" i="41" s="1"/>
  <c r="I51" i="41"/>
  <c r="M51" i="41" s="1"/>
  <c r="B51" i="41"/>
  <c r="J50" i="41"/>
  <c r="K50" i="41" s="1"/>
  <c r="I50" i="41"/>
  <c r="M50" i="41" s="1"/>
  <c r="B50" i="41"/>
  <c r="J49" i="41"/>
  <c r="K49" i="41" s="1"/>
  <c r="I49" i="41"/>
  <c r="M49" i="41" s="1"/>
  <c r="B49" i="41"/>
  <c r="J48" i="41"/>
  <c r="K48" i="41" s="1"/>
  <c r="I48" i="41"/>
  <c r="M48" i="41" s="1"/>
  <c r="B48" i="41"/>
  <c r="J47" i="41"/>
  <c r="K47" i="41" s="1"/>
  <c r="I47" i="41"/>
  <c r="M47" i="41" s="1"/>
  <c r="B47" i="41"/>
  <c r="T46" i="41"/>
  <c r="R46" i="41"/>
  <c r="U46" i="41" s="1"/>
  <c r="M46" i="41"/>
  <c r="J46" i="41"/>
  <c r="K46" i="41" s="1"/>
  <c r="I46" i="41"/>
  <c r="B46" i="41"/>
  <c r="J45" i="41"/>
  <c r="K45" i="41" s="1"/>
  <c r="I45" i="41"/>
  <c r="M45" i="41" s="1"/>
  <c r="B45" i="41"/>
  <c r="M44" i="41"/>
  <c r="J44" i="41"/>
  <c r="K44" i="41" s="1"/>
  <c r="I44" i="41"/>
  <c r="B44" i="41"/>
  <c r="J43" i="41"/>
  <c r="K43" i="41" s="1"/>
  <c r="I43" i="41"/>
  <c r="M43" i="41" s="1"/>
  <c r="B43" i="41"/>
  <c r="J42" i="41"/>
  <c r="K42" i="41" s="1"/>
  <c r="I42" i="41"/>
  <c r="M42" i="41" s="1"/>
  <c r="B42" i="41"/>
  <c r="J41" i="41"/>
  <c r="K41" i="41" s="1"/>
  <c r="I41" i="41"/>
  <c r="M41" i="41" s="1"/>
  <c r="B41" i="41"/>
  <c r="J40" i="41"/>
  <c r="K40" i="41" s="1"/>
  <c r="I40" i="41"/>
  <c r="M40" i="41" s="1"/>
  <c r="B40" i="41"/>
  <c r="M39" i="41"/>
  <c r="J39" i="41"/>
  <c r="K39" i="41" s="1"/>
  <c r="I39" i="41"/>
  <c r="B39" i="41"/>
  <c r="J38" i="41"/>
  <c r="K38" i="41" s="1"/>
  <c r="I38" i="41"/>
  <c r="M38" i="41" s="1"/>
  <c r="B38" i="41"/>
  <c r="J37" i="41"/>
  <c r="K37" i="41" s="1"/>
  <c r="I37" i="41"/>
  <c r="M37" i="41" s="1"/>
  <c r="B37" i="41"/>
  <c r="A37" i="41"/>
  <c r="J36" i="41"/>
  <c r="K36" i="41" s="1"/>
  <c r="I36" i="41"/>
  <c r="M36" i="41" s="1"/>
  <c r="A36" i="41" s="1"/>
  <c r="B36" i="41"/>
  <c r="J35" i="41"/>
  <c r="K35" i="41" s="1"/>
  <c r="I35" i="41"/>
  <c r="M35" i="41" s="1"/>
  <c r="A35" i="41" s="1"/>
  <c r="B35" i="41"/>
  <c r="J34" i="41"/>
  <c r="K34" i="41" s="1"/>
  <c r="I34" i="41"/>
  <c r="M34" i="41" s="1"/>
  <c r="A34" i="41" s="1"/>
  <c r="B34" i="41"/>
  <c r="J33" i="41"/>
  <c r="K33" i="41" s="1"/>
  <c r="I33" i="41"/>
  <c r="M33" i="41" s="1"/>
  <c r="B33" i="41"/>
  <c r="A33" i="41"/>
  <c r="M32" i="41"/>
  <c r="A32" i="41" s="1"/>
  <c r="J32" i="41"/>
  <c r="K32" i="41" s="1"/>
  <c r="I32" i="41"/>
  <c r="B32" i="41"/>
  <c r="J31" i="41"/>
  <c r="K31" i="41" s="1"/>
  <c r="I31" i="41"/>
  <c r="M31" i="41" s="1"/>
  <c r="A31" i="41" s="1"/>
  <c r="B31" i="41"/>
  <c r="J30" i="41"/>
  <c r="K30" i="41" s="1"/>
  <c r="I30" i="41"/>
  <c r="M30" i="41" s="1"/>
  <c r="A30" i="41" s="1"/>
  <c r="B30" i="41"/>
  <c r="J29" i="41"/>
  <c r="K29" i="41" s="1"/>
  <c r="I29" i="41"/>
  <c r="M29" i="41" s="1"/>
  <c r="B29" i="41"/>
  <c r="A29" i="41"/>
  <c r="M28" i="41"/>
  <c r="A28" i="41" s="1"/>
  <c r="J28" i="41"/>
  <c r="K28" i="41" s="1"/>
  <c r="I28" i="41"/>
  <c r="B28" i="41"/>
  <c r="J27" i="41"/>
  <c r="K27" i="41" s="1"/>
  <c r="I27" i="41"/>
  <c r="M27" i="41" s="1"/>
  <c r="A27" i="41" s="1"/>
  <c r="B27" i="41"/>
  <c r="M26" i="41"/>
  <c r="A26" i="41" s="1"/>
  <c r="K26" i="41"/>
  <c r="J26" i="41"/>
  <c r="I26" i="41"/>
  <c r="B26" i="41"/>
  <c r="J25" i="41"/>
  <c r="K25" i="41" s="1"/>
  <c r="I25" i="41"/>
  <c r="M25" i="41" s="1"/>
  <c r="B25" i="41"/>
  <c r="A25" i="41"/>
  <c r="M24" i="41"/>
  <c r="A24" i="41" s="1"/>
  <c r="J24" i="41"/>
  <c r="K24" i="41" s="1"/>
  <c r="I24" i="41"/>
  <c r="B24" i="41"/>
  <c r="J23" i="41"/>
  <c r="K23" i="41" s="1"/>
  <c r="I23" i="41"/>
  <c r="M23" i="41" s="1"/>
  <c r="A23" i="41" s="1"/>
  <c r="B23" i="41"/>
  <c r="J22" i="41"/>
  <c r="K22" i="41" s="1"/>
  <c r="I22" i="41"/>
  <c r="M22" i="41" s="1"/>
  <c r="A22" i="41" s="1"/>
  <c r="B22" i="41"/>
  <c r="J21" i="41"/>
  <c r="K21" i="41" s="1"/>
  <c r="I21" i="41"/>
  <c r="M21" i="41" s="1"/>
  <c r="B21" i="41"/>
  <c r="A21" i="41"/>
  <c r="M20" i="41"/>
  <c r="A20" i="41" s="1"/>
  <c r="J20" i="41"/>
  <c r="K20" i="41" s="1"/>
  <c r="I20" i="41"/>
  <c r="B20" i="41"/>
  <c r="J19" i="41"/>
  <c r="K19" i="41" s="1"/>
  <c r="I19" i="41"/>
  <c r="M19" i="41" s="1"/>
  <c r="A19" i="41" s="1"/>
  <c r="B19" i="41"/>
  <c r="K18" i="41"/>
  <c r="J18" i="41"/>
  <c r="I18" i="41"/>
  <c r="M18" i="41" s="1"/>
  <c r="A18" i="41" s="1"/>
  <c r="B18" i="41"/>
  <c r="Q33" i="31" s="1"/>
  <c r="J17" i="41"/>
  <c r="K17" i="41" s="1"/>
  <c r="I17" i="41"/>
  <c r="M17" i="41" s="1"/>
  <c r="A17" i="41"/>
  <c r="AI16" i="41"/>
  <c r="J16" i="41"/>
  <c r="K16" i="41" s="1"/>
  <c r="I16" i="41"/>
  <c r="J15" i="41"/>
  <c r="K15" i="41" s="1"/>
  <c r="I15" i="41"/>
  <c r="AI14" i="41"/>
  <c r="M14" i="41"/>
  <c r="A14" i="41" s="1"/>
  <c r="J14" i="41"/>
  <c r="K14" i="41" s="1"/>
  <c r="I14" i="41"/>
  <c r="AI13" i="41"/>
  <c r="J13" i="41"/>
  <c r="K13" i="41" s="1"/>
  <c r="I13" i="41"/>
  <c r="M13" i="41" s="1"/>
  <c r="A13" i="41" s="1"/>
  <c r="AI12" i="41"/>
  <c r="K12" i="41"/>
  <c r="J12" i="41"/>
  <c r="I12" i="41"/>
  <c r="M12" i="41" s="1"/>
  <c r="A12" i="41" s="1"/>
  <c r="J11" i="41"/>
  <c r="K11" i="41" s="1"/>
  <c r="I11" i="41"/>
  <c r="M11" i="41" s="1"/>
  <c r="A11" i="41"/>
  <c r="J10" i="41"/>
  <c r="K10" i="41" s="1"/>
  <c r="M10" i="41" s="1"/>
  <c r="A10" i="41" s="1"/>
  <c r="I10" i="41"/>
  <c r="J9" i="41"/>
  <c r="K9" i="41" s="1"/>
  <c r="I9" i="41"/>
  <c r="M9" i="41" s="1"/>
  <c r="A9" i="41" s="1"/>
  <c r="J8" i="41"/>
  <c r="K8" i="41" s="1"/>
  <c r="I8" i="41"/>
  <c r="J7" i="41"/>
  <c r="K7" i="41" s="1"/>
  <c r="I7" i="41"/>
  <c r="J6" i="41"/>
  <c r="K6" i="41" s="1"/>
  <c r="I6" i="41"/>
  <c r="M6" i="41" s="1"/>
  <c r="A6" i="41" s="1"/>
  <c r="K2" i="41"/>
  <c r="L6" i="41" s="1"/>
  <c r="J305" i="40"/>
  <c r="K305" i="40" s="1"/>
  <c r="I305" i="40"/>
  <c r="M305" i="40" s="1"/>
  <c r="J304" i="40"/>
  <c r="K304" i="40" s="1"/>
  <c r="I304" i="40"/>
  <c r="M304" i="40" s="1"/>
  <c r="J303" i="40"/>
  <c r="K303" i="40" s="1"/>
  <c r="I303" i="40"/>
  <c r="M303" i="40" s="1"/>
  <c r="J302" i="40"/>
  <c r="K302" i="40" s="1"/>
  <c r="I302" i="40"/>
  <c r="M302" i="40" s="1"/>
  <c r="J301" i="40"/>
  <c r="K301" i="40" s="1"/>
  <c r="I301" i="40"/>
  <c r="M301" i="40" s="1"/>
  <c r="M300" i="40"/>
  <c r="K300" i="40"/>
  <c r="J300" i="40"/>
  <c r="I300" i="40"/>
  <c r="J299" i="40"/>
  <c r="K299" i="40" s="1"/>
  <c r="I299" i="40"/>
  <c r="M299" i="40" s="1"/>
  <c r="J298" i="40"/>
  <c r="K298" i="40" s="1"/>
  <c r="I298" i="40"/>
  <c r="M298" i="40" s="1"/>
  <c r="J297" i="40"/>
  <c r="K297" i="40" s="1"/>
  <c r="I297" i="40"/>
  <c r="M297" i="40" s="1"/>
  <c r="J296" i="40"/>
  <c r="K296" i="40" s="1"/>
  <c r="I296" i="40"/>
  <c r="M296" i="40" s="1"/>
  <c r="J295" i="40"/>
  <c r="K295" i="40" s="1"/>
  <c r="I295" i="40"/>
  <c r="M295" i="40" s="1"/>
  <c r="J294" i="40"/>
  <c r="K294" i="40" s="1"/>
  <c r="I294" i="40"/>
  <c r="M294" i="40" s="1"/>
  <c r="J293" i="40"/>
  <c r="K293" i="40" s="1"/>
  <c r="I293" i="40"/>
  <c r="M293" i="40" s="1"/>
  <c r="M292" i="40"/>
  <c r="J292" i="40"/>
  <c r="K292" i="40" s="1"/>
  <c r="I292" i="40"/>
  <c r="J291" i="40"/>
  <c r="K291" i="40" s="1"/>
  <c r="I291" i="40"/>
  <c r="M291" i="40" s="1"/>
  <c r="J290" i="40"/>
  <c r="K290" i="40" s="1"/>
  <c r="I290" i="40"/>
  <c r="M290" i="40" s="1"/>
  <c r="J289" i="40"/>
  <c r="K289" i="40" s="1"/>
  <c r="I289" i="40"/>
  <c r="M289" i="40" s="1"/>
  <c r="J288" i="40"/>
  <c r="K288" i="40" s="1"/>
  <c r="I288" i="40"/>
  <c r="M288" i="40" s="1"/>
  <c r="J287" i="40"/>
  <c r="K287" i="40" s="1"/>
  <c r="I287" i="40"/>
  <c r="M287" i="40" s="1"/>
  <c r="J286" i="40"/>
  <c r="K286" i="40" s="1"/>
  <c r="I286" i="40"/>
  <c r="M286" i="40" s="1"/>
  <c r="J285" i="40"/>
  <c r="K285" i="40" s="1"/>
  <c r="I285" i="40"/>
  <c r="M285" i="40" s="1"/>
  <c r="J284" i="40"/>
  <c r="K284" i="40" s="1"/>
  <c r="I284" i="40"/>
  <c r="M284" i="40" s="1"/>
  <c r="J283" i="40"/>
  <c r="K283" i="40" s="1"/>
  <c r="I283" i="40"/>
  <c r="M283" i="40" s="1"/>
  <c r="J282" i="40"/>
  <c r="K282" i="40" s="1"/>
  <c r="I282" i="40"/>
  <c r="M282" i="40" s="1"/>
  <c r="J281" i="40"/>
  <c r="K281" i="40" s="1"/>
  <c r="I281" i="40"/>
  <c r="M281" i="40" s="1"/>
  <c r="J280" i="40"/>
  <c r="K280" i="40" s="1"/>
  <c r="I280" i="40"/>
  <c r="M280" i="40" s="1"/>
  <c r="J279" i="40"/>
  <c r="K279" i="40" s="1"/>
  <c r="I279" i="40"/>
  <c r="M279" i="40" s="1"/>
  <c r="J278" i="40"/>
  <c r="K278" i="40" s="1"/>
  <c r="I278" i="40"/>
  <c r="M278" i="40" s="1"/>
  <c r="J277" i="40"/>
  <c r="K277" i="40" s="1"/>
  <c r="I277" i="40"/>
  <c r="M277" i="40" s="1"/>
  <c r="K276" i="40"/>
  <c r="J276" i="40"/>
  <c r="I276" i="40"/>
  <c r="M276" i="40" s="1"/>
  <c r="J275" i="40"/>
  <c r="K275" i="40" s="1"/>
  <c r="I275" i="40"/>
  <c r="M275" i="40" s="1"/>
  <c r="J274" i="40"/>
  <c r="K274" i="40" s="1"/>
  <c r="I274" i="40"/>
  <c r="M274" i="40" s="1"/>
  <c r="J273" i="40"/>
  <c r="K273" i="40" s="1"/>
  <c r="I273" i="40"/>
  <c r="M273" i="40" s="1"/>
  <c r="J272" i="40"/>
  <c r="K272" i="40" s="1"/>
  <c r="I272" i="40"/>
  <c r="M272" i="40" s="1"/>
  <c r="J271" i="40"/>
  <c r="K271" i="40" s="1"/>
  <c r="I271" i="40"/>
  <c r="M271" i="40" s="1"/>
  <c r="J270" i="40"/>
  <c r="K270" i="40" s="1"/>
  <c r="I270" i="40"/>
  <c r="M270" i="40" s="1"/>
  <c r="J269" i="40"/>
  <c r="K269" i="40" s="1"/>
  <c r="I269" i="40"/>
  <c r="M269" i="40" s="1"/>
  <c r="M268" i="40"/>
  <c r="K268" i="40"/>
  <c r="J268" i="40"/>
  <c r="I268" i="40"/>
  <c r="J267" i="40"/>
  <c r="K267" i="40" s="1"/>
  <c r="I267" i="40"/>
  <c r="M267" i="40" s="1"/>
  <c r="J266" i="40"/>
  <c r="K266" i="40" s="1"/>
  <c r="I266" i="40"/>
  <c r="M266" i="40" s="1"/>
  <c r="J265" i="40"/>
  <c r="K265" i="40" s="1"/>
  <c r="I265" i="40"/>
  <c r="M265" i="40" s="1"/>
  <c r="J264" i="40"/>
  <c r="K264" i="40" s="1"/>
  <c r="I264" i="40"/>
  <c r="M264" i="40" s="1"/>
  <c r="J263" i="40"/>
  <c r="K263" i="40" s="1"/>
  <c r="I263" i="40"/>
  <c r="M263" i="40" s="1"/>
  <c r="J262" i="40"/>
  <c r="K262" i="40" s="1"/>
  <c r="I262" i="40"/>
  <c r="M262" i="40" s="1"/>
  <c r="J261" i="40"/>
  <c r="K261" i="40" s="1"/>
  <c r="I261" i="40"/>
  <c r="M261" i="40" s="1"/>
  <c r="M260" i="40"/>
  <c r="J260" i="40"/>
  <c r="K260" i="40" s="1"/>
  <c r="I260" i="40"/>
  <c r="J259" i="40"/>
  <c r="K259" i="40" s="1"/>
  <c r="I259" i="40"/>
  <c r="M259" i="40" s="1"/>
  <c r="J258" i="40"/>
  <c r="K258" i="40" s="1"/>
  <c r="I258" i="40"/>
  <c r="M258" i="40" s="1"/>
  <c r="J257" i="40"/>
  <c r="K257" i="40" s="1"/>
  <c r="I257" i="40"/>
  <c r="M257" i="40" s="1"/>
  <c r="J256" i="40"/>
  <c r="K256" i="40" s="1"/>
  <c r="I256" i="40"/>
  <c r="M256" i="40" s="1"/>
  <c r="J255" i="40"/>
  <c r="K255" i="40" s="1"/>
  <c r="I255" i="40"/>
  <c r="M255" i="40" s="1"/>
  <c r="J254" i="40"/>
  <c r="K254" i="40" s="1"/>
  <c r="I254" i="40"/>
  <c r="M254" i="40" s="1"/>
  <c r="J253" i="40"/>
  <c r="K253" i="40" s="1"/>
  <c r="I253" i="40"/>
  <c r="M253" i="40" s="1"/>
  <c r="J252" i="40"/>
  <c r="K252" i="40" s="1"/>
  <c r="I252" i="40"/>
  <c r="M252" i="40" s="1"/>
  <c r="J251" i="40"/>
  <c r="K251" i="40" s="1"/>
  <c r="I251" i="40"/>
  <c r="M251" i="40" s="1"/>
  <c r="J250" i="40"/>
  <c r="K250" i="40" s="1"/>
  <c r="I250" i="40"/>
  <c r="M250" i="40" s="1"/>
  <c r="J249" i="40"/>
  <c r="K249" i="40" s="1"/>
  <c r="I249" i="40"/>
  <c r="M249" i="40" s="1"/>
  <c r="J248" i="40"/>
  <c r="K248" i="40" s="1"/>
  <c r="I248" i="40"/>
  <c r="M248" i="40" s="1"/>
  <c r="J247" i="40"/>
  <c r="K247" i="40" s="1"/>
  <c r="I247" i="40"/>
  <c r="M247" i="40" s="1"/>
  <c r="J246" i="40"/>
  <c r="K246" i="40" s="1"/>
  <c r="I246" i="40"/>
  <c r="M246" i="40" s="1"/>
  <c r="J245" i="40"/>
  <c r="K245" i="40" s="1"/>
  <c r="I245" i="40"/>
  <c r="M245" i="40" s="1"/>
  <c r="K244" i="40"/>
  <c r="J244" i="40"/>
  <c r="I244" i="40"/>
  <c r="M244" i="40" s="1"/>
  <c r="J243" i="40"/>
  <c r="K243" i="40" s="1"/>
  <c r="I243" i="40"/>
  <c r="M243" i="40" s="1"/>
  <c r="J242" i="40"/>
  <c r="K242" i="40" s="1"/>
  <c r="I242" i="40"/>
  <c r="M242" i="40" s="1"/>
  <c r="J241" i="40"/>
  <c r="K241" i="40" s="1"/>
  <c r="I241" i="40"/>
  <c r="M241" i="40" s="1"/>
  <c r="J240" i="40"/>
  <c r="K240" i="40" s="1"/>
  <c r="I240" i="40"/>
  <c r="M240" i="40" s="1"/>
  <c r="J239" i="40"/>
  <c r="K239" i="40" s="1"/>
  <c r="I239" i="40"/>
  <c r="M239" i="40" s="1"/>
  <c r="J238" i="40"/>
  <c r="K238" i="40" s="1"/>
  <c r="I238" i="40"/>
  <c r="M238" i="40" s="1"/>
  <c r="J237" i="40"/>
  <c r="K237" i="40" s="1"/>
  <c r="I237" i="40"/>
  <c r="M237" i="40" s="1"/>
  <c r="M236" i="40"/>
  <c r="K236" i="40"/>
  <c r="J236" i="40"/>
  <c r="I236" i="40"/>
  <c r="J235" i="40"/>
  <c r="K235" i="40" s="1"/>
  <c r="I235" i="40"/>
  <c r="M235" i="40" s="1"/>
  <c r="J234" i="40"/>
  <c r="K234" i="40" s="1"/>
  <c r="I234" i="40"/>
  <c r="M234" i="40" s="1"/>
  <c r="J233" i="40"/>
  <c r="K233" i="40" s="1"/>
  <c r="I233" i="40"/>
  <c r="M233" i="40" s="1"/>
  <c r="J232" i="40"/>
  <c r="K232" i="40" s="1"/>
  <c r="I232" i="40"/>
  <c r="M232" i="40" s="1"/>
  <c r="J231" i="40"/>
  <c r="K231" i="40" s="1"/>
  <c r="I231" i="40"/>
  <c r="M231" i="40" s="1"/>
  <c r="J230" i="40"/>
  <c r="K230" i="40" s="1"/>
  <c r="I230" i="40"/>
  <c r="M230" i="40" s="1"/>
  <c r="J229" i="40"/>
  <c r="K229" i="40" s="1"/>
  <c r="I229" i="40"/>
  <c r="M229" i="40" s="1"/>
  <c r="M228" i="40"/>
  <c r="J228" i="40"/>
  <c r="K228" i="40" s="1"/>
  <c r="I228" i="40"/>
  <c r="J227" i="40"/>
  <c r="K227" i="40" s="1"/>
  <c r="I227" i="40"/>
  <c r="M227" i="40" s="1"/>
  <c r="J226" i="40"/>
  <c r="K226" i="40" s="1"/>
  <c r="I226" i="40"/>
  <c r="M226" i="40" s="1"/>
  <c r="J225" i="40"/>
  <c r="K225" i="40" s="1"/>
  <c r="I225" i="40"/>
  <c r="M225" i="40" s="1"/>
  <c r="J224" i="40"/>
  <c r="K224" i="40" s="1"/>
  <c r="I224" i="40"/>
  <c r="M224" i="40" s="1"/>
  <c r="J223" i="40"/>
  <c r="K223" i="40" s="1"/>
  <c r="I223" i="40"/>
  <c r="M223" i="40" s="1"/>
  <c r="J222" i="40"/>
  <c r="K222" i="40" s="1"/>
  <c r="I222" i="40"/>
  <c r="M222" i="40" s="1"/>
  <c r="J221" i="40"/>
  <c r="K221" i="40" s="1"/>
  <c r="I221" i="40"/>
  <c r="M221" i="40" s="1"/>
  <c r="J220" i="40"/>
  <c r="K220" i="40" s="1"/>
  <c r="I220" i="40"/>
  <c r="M220" i="40" s="1"/>
  <c r="J219" i="40"/>
  <c r="K219" i="40" s="1"/>
  <c r="I219" i="40"/>
  <c r="M219" i="40" s="1"/>
  <c r="J218" i="40"/>
  <c r="K218" i="40" s="1"/>
  <c r="I218" i="40"/>
  <c r="M218" i="40" s="1"/>
  <c r="J217" i="40"/>
  <c r="K217" i="40" s="1"/>
  <c r="I217" i="40"/>
  <c r="M217" i="40" s="1"/>
  <c r="J216" i="40"/>
  <c r="K216" i="40" s="1"/>
  <c r="I216" i="40"/>
  <c r="M216" i="40" s="1"/>
  <c r="J215" i="40"/>
  <c r="K215" i="40" s="1"/>
  <c r="I215" i="40"/>
  <c r="M215" i="40" s="1"/>
  <c r="J214" i="40"/>
  <c r="K214" i="40" s="1"/>
  <c r="I214" i="40"/>
  <c r="M214" i="40" s="1"/>
  <c r="J213" i="40"/>
  <c r="K213" i="40" s="1"/>
  <c r="I213" i="40"/>
  <c r="M213" i="40" s="1"/>
  <c r="K212" i="40"/>
  <c r="J212" i="40"/>
  <c r="I212" i="40"/>
  <c r="M212" i="40" s="1"/>
  <c r="J211" i="40"/>
  <c r="K211" i="40" s="1"/>
  <c r="I211" i="40"/>
  <c r="M211" i="40" s="1"/>
  <c r="J210" i="40"/>
  <c r="K210" i="40" s="1"/>
  <c r="I210" i="40"/>
  <c r="M210" i="40" s="1"/>
  <c r="J209" i="40"/>
  <c r="K209" i="40" s="1"/>
  <c r="I209" i="40"/>
  <c r="M209" i="40" s="1"/>
  <c r="J208" i="40"/>
  <c r="K208" i="40" s="1"/>
  <c r="I208" i="40"/>
  <c r="M208" i="40" s="1"/>
  <c r="J207" i="40"/>
  <c r="K207" i="40" s="1"/>
  <c r="I207" i="40"/>
  <c r="M207" i="40" s="1"/>
  <c r="J206" i="40"/>
  <c r="K206" i="40" s="1"/>
  <c r="I206" i="40"/>
  <c r="M206" i="40" s="1"/>
  <c r="J205" i="40"/>
  <c r="K205" i="40" s="1"/>
  <c r="I205" i="40"/>
  <c r="M205" i="40" s="1"/>
  <c r="M204" i="40"/>
  <c r="K204" i="40"/>
  <c r="J204" i="40"/>
  <c r="I204" i="40"/>
  <c r="J203" i="40"/>
  <c r="K203" i="40" s="1"/>
  <c r="I203" i="40"/>
  <c r="M203" i="40" s="1"/>
  <c r="J202" i="40"/>
  <c r="K202" i="40" s="1"/>
  <c r="I202" i="40"/>
  <c r="M202" i="40" s="1"/>
  <c r="J201" i="40"/>
  <c r="K201" i="40" s="1"/>
  <c r="I201" i="40"/>
  <c r="M201" i="40" s="1"/>
  <c r="J200" i="40"/>
  <c r="K200" i="40" s="1"/>
  <c r="I200" i="40"/>
  <c r="M200" i="40" s="1"/>
  <c r="J199" i="40"/>
  <c r="K199" i="40" s="1"/>
  <c r="I199" i="40"/>
  <c r="M199" i="40" s="1"/>
  <c r="J198" i="40"/>
  <c r="K198" i="40" s="1"/>
  <c r="I198" i="40"/>
  <c r="M198" i="40" s="1"/>
  <c r="J197" i="40"/>
  <c r="K197" i="40" s="1"/>
  <c r="I197" i="40"/>
  <c r="M197" i="40" s="1"/>
  <c r="M196" i="40"/>
  <c r="J196" i="40"/>
  <c r="K196" i="40" s="1"/>
  <c r="I196" i="40"/>
  <c r="J195" i="40"/>
  <c r="K195" i="40" s="1"/>
  <c r="I195" i="40"/>
  <c r="M195" i="40" s="1"/>
  <c r="J194" i="40"/>
  <c r="K194" i="40" s="1"/>
  <c r="I194" i="40"/>
  <c r="M194" i="40" s="1"/>
  <c r="J193" i="40"/>
  <c r="K193" i="40" s="1"/>
  <c r="I193" i="40"/>
  <c r="M193" i="40" s="1"/>
  <c r="J192" i="40"/>
  <c r="K192" i="40" s="1"/>
  <c r="I192" i="40"/>
  <c r="M192" i="40" s="1"/>
  <c r="J191" i="40"/>
  <c r="K191" i="40" s="1"/>
  <c r="I191" i="40"/>
  <c r="M191" i="40" s="1"/>
  <c r="J190" i="40"/>
  <c r="K190" i="40" s="1"/>
  <c r="I190" i="40"/>
  <c r="M190" i="40" s="1"/>
  <c r="J189" i="40"/>
  <c r="K189" i="40" s="1"/>
  <c r="I189" i="40"/>
  <c r="M189" i="40" s="1"/>
  <c r="J188" i="40"/>
  <c r="K188" i="40" s="1"/>
  <c r="I188" i="40"/>
  <c r="M188" i="40" s="1"/>
  <c r="J187" i="40"/>
  <c r="K187" i="40" s="1"/>
  <c r="I187" i="40"/>
  <c r="M187" i="40" s="1"/>
  <c r="J186" i="40"/>
  <c r="K186" i="40" s="1"/>
  <c r="I186" i="40"/>
  <c r="M186" i="40" s="1"/>
  <c r="J185" i="40"/>
  <c r="K185" i="40" s="1"/>
  <c r="I185" i="40"/>
  <c r="M185" i="40" s="1"/>
  <c r="J184" i="40"/>
  <c r="K184" i="40" s="1"/>
  <c r="I184" i="40"/>
  <c r="M184" i="40" s="1"/>
  <c r="J183" i="40"/>
  <c r="K183" i="40" s="1"/>
  <c r="I183" i="40"/>
  <c r="M183" i="40" s="1"/>
  <c r="J182" i="40"/>
  <c r="K182" i="40" s="1"/>
  <c r="I182" i="40"/>
  <c r="M182" i="40" s="1"/>
  <c r="J181" i="40"/>
  <c r="K181" i="40" s="1"/>
  <c r="I181" i="40"/>
  <c r="M181" i="40" s="1"/>
  <c r="K180" i="40"/>
  <c r="J180" i="40"/>
  <c r="I180" i="40"/>
  <c r="M180" i="40" s="1"/>
  <c r="J179" i="40"/>
  <c r="K179" i="40" s="1"/>
  <c r="I179" i="40"/>
  <c r="M179" i="40" s="1"/>
  <c r="J178" i="40"/>
  <c r="K178" i="40" s="1"/>
  <c r="I178" i="40"/>
  <c r="M178" i="40" s="1"/>
  <c r="J177" i="40"/>
  <c r="K177" i="40" s="1"/>
  <c r="I177" i="40"/>
  <c r="M177" i="40" s="1"/>
  <c r="J176" i="40"/>
  <c r="K176" i="40" s="1"/>
  <c r="I176" i="40"/>
  <c r="M176" i="40" s="1"/>
  <c r="J175" i="40"/>
  <c r="K175" i="40" s="1"/>
  <c r="I175" i="40"/>
  <c r="M175" i="40" s="1"/>
  <c r="J174" i="40"/>
  <c r="K174" i="40" s="1"/>
  <c r="I174" i="40"/>
  <c r="M174" i="40" s="1"/>
  <c r="J173" i="40"/>
  <c r="K173" i="40" s="1"/>
  <c r="I173" i="40"/>
  <c r="M173" i="40" s="1"/>
  <c r="M172" i="40"/>
  <c r="K172" i="40"/>
  <c r="J172" i="40"/>
  <c r="I172" i="40"/>
  <c r="J171" i="40"/>
  <c r="K171" i="40" s="1"/>
  <c r="I171" i="40"/>
  <c r="M171" i="40" s="1"/>
  <c r="J170" i="40"/>
  <c r="K170" i="40" s="1"/>
  <c r="I170" i="40"/>
  <c r="M170" i="40" s="1"/>
  <c r="J169" i="40"/>
  <c r="K169" i="40" s="1"/>
  <c r="I169" i="40"/>
  <c r="M169" i="40" s="1"/>
  <c r="J168" i="40"/>
  <c r="K168" i="40" s="1"/>
  <c r="I168" i="40"/>
  <c r="M168" i="40" s="1"/>
  <c r="J167" i="40"/>
  <c r="K167" i="40" s="1"/>
  <c r="I167" i="40"/>
  <c r="M167" i="40" s="1"/>
  <c r="J166" i="40"/>
  <c r="K166" i="40" s="1"/>
  <c r="I166" i="40"/>
  <c r="M166" i="40" s="1"/>
  <c r="J165" i="40"/>
  <c r="K165" i="40" s="1"/>
  <c r="I165" i="40"/>
  <c r="M165" i="40" s="1"/>
  <c r="M164" i="40"/>
  <c r="J164" i="40"/>
  <c r="K164" i="40" s="1"/>
  <c r="I164" i="40"/>
  <c r="J163" i="40"/>
  <c r="K163" i="40" s="1"/>
  <c r="I163" i="40"/>
  <c r="M163" i="40" s="1"/>
  <c r="J162" i="40"/>
  <c r="K162" i="40" s="1"/>
  <c r="I162" i="40"/>
  <c r="M162" i="40" s="1"/>
  <c r="J161" i="40"/>
  <c r="K161" i="40" s="1"/>
  <c r="I161" i="40"/>
  <c r="M161" i="40" s="1"/>
  <c r="J160" i="40"/>
  <c r="K160" i="40" s="1"/>
  <c r="I160" i="40"/>
  <c r="M160" i="40" s="1"/>
  <c r="J159" i="40"/>
  <c r="K159" i="40" s="1"/>
  <c r="I159" i="40"/>
  <c r="M159" i="40" s="1"/>
  <c r="J158" i="40"/>
  <c r="K158" i="40" s="1"/>
  <c r="I158" i="40"/>
  <c r="M158" i="40" s="1"/>
  <c r="J157" i="40"/>
  <c r="K157" i="40" s="1"/>
  <c r="I157" i="40"/>
  <c r="M157" i="40" s="1"/>
  <c r="J156" i="40"/>
  <c r="K156" i="40" s="1"/>
  <c r="I156" i="40"/>
  <c r="M156" i="40" s="1"/>
  <c r="J155" i="40"/>
  <c r="K155" i="40" s="1"/>
  <c r="I155" i="40"/>
  <c r="M155" i="40" s="1"/>
  <c r="J154" i="40"/>
  <c r="K154" i="40" s="1"/>
  <c r="I154" i="40"/>
  <c r="M154" i="40" s="1"/>
  <c r="J153" i="40"/>
  <c r="K153" i="40" s="1"/>
  <c r="I153" i="40"/>
  <c r="M153" i="40" s="1"/>
  <c r="J152" i="40"/>
  <c r="K152" i="40" s="1"/>
  <c r="I152" i="40"/>
  <c r="M152" i="40" s="1"/>
  <c r="J151" i="40"/>
  <c r="K151" i="40" s="1"/>
  <c r="I151" i="40"/>
  <c r="M151" i="40" s="1"/>
  <c r="J150" i="40"/>
  <c r="K150" i="40" s="1"/>
  <c r="I150" i="40"/>
  <c r="M150" i="40" s="1"/>
  <c r="J149" i="40"/>
  <c r="K149" i="40" s="1"/>
  <c r="I149" i="40"/>
  <c r="M149" i="40" s="1"/>
  <c r="K148" i="40"/>
  <c r="J148" i="40"/>
  <c r="I148" i="40"/>
  <c r="M148" i="40" s="1"/>
  <c r="J147" i="40"/>
  <c r="K147" i="40" s="1"/>
  <c r="I147" i="40"/>
  <c r="M147" i="40" s="1"/>
  <c r="J146" i="40"/>
  <c r="K146" i="40" s="1"/>
  <c r="I146" i="40"/>
  <c r="M146" i="40" s="1"/>
  <c r="J145" i="40"/>
  <c r="K145" i="40" s="1"/>
  <c r="I145" i="40"/>
  <c r="M145" i="40" s="1"/>
  <c r="J144" i="40"/>
  <c r="K144" i="40" s="1"/>
  <c r="I144" i="40"/>
  <c r="M144" i="40" s="1"/>
  <c r="J143" i="40"/>
  <c r="K143" i="40" s="1"/>
  <c r="I143" i="40"/>
  <c r="M143" i="40" s="1"/>
  <c r="J142" i="40"/>
  <c r="K142" i="40" s="1"/>
  <c r="I142" i="40"/>
  <c r="M142" i="40" s="1"/>
  <c r="J141" i="40"/>
  <c r="K141" i="40" s="1"/>
  <c r="I141" i="40"/>
  <c r="M141" i="40" s="1"/>
  <c r="M140" i="40"/>
  <c r="K140" i="40"/>
  <c r="J140" i="40"/>
  <c r="I140" i="40"/>
  <c r="J139" i="40"/>
  <c r="K139" i="40" s="1"/>
  <c r="I139" i="40"/>
  <c r="M139" i="40" s="1"/>
  <c r="J138" i="40"/>
  <c r="K138" i="40" s="1"/>
  <c r="I138" i="40"/>
  <c r="M138" i="40" s="1"/>
  <c r="J137" i="40"/>
  <c r="K137" i="40" s="1"/>
  <c r="I137" i="40"/>
  <c r="M137" i="40" s="1"/>
  <c r="J136" i="40"/>
  <c r="K136" i="40" s="1"/>
  <c r="I136" i="40"/>
  <c r="M136" i="40" s="1"/>
  <c r="J135" i="40"/>
  <c r="K135" i="40" s="1"/>
  <c r="I135" i="40"/>
  <c r="M135" i="40" s="1"/>
  <c r="J134" i="40"/>
  <c r="K134" i="40" s="1"/>
  <c r="I134" i="40"/>
  <c r="M134" i="40" s="1"/>
  <c r="M133" i="40"/>
  <c r="J133" i="40"/>
  <c r="K133" i="40" s="1"/>
  <c r="I133" i="40"/>
  <c r="J132" i="40"/>
  <c r="K132" i="40" s="1"/>
  <c r="I132" i="40"/>
  <c r="M132" i="40" s="1"/>
  <c r="M131" i="40"/>
  <c r="K131" i="40"/>
  <c r="J131" i="40"/>
  <c r="I131" i="40"/>
  <c r="J130" i="40"/>
  <c r="K130" i="40" s="1"/>
  <c r="I130" i="40"/>
  <c r="M130" i="40" s="1"/>
  <c r="K129" i="40"/>
  <c r="J129" i="40"/>
  <c r="I129" i="40"/>
  <c r="M129" i="40" s="1"/>
  <c r="J128" i="40"/>
  <c r="K128" i="40" s="1"/>
  <c r="I128" i="40"/>
  <c r="M128" i="40" s="1"/>
  <c r="J127" i="40"/>
  <c r="K127" i="40" s="1"/>
  <c r="I127" i="40"/>
  <c r="M127" i="40" s="1"/>
  <c r="J126" i="40"/>
  <c r="K126" i="40" s="1"/>
  <c r="I126" i="40"/>
  <c r="M126" i="40" s="1"/>
  <c r="M125" i="40"/>
  <c r="J125" i="40"/>
  <c r="K125" i="40" s="1"/>
  <c r="I125" i="40"/>
  <c r="J124" i="40"/>
  <c r="K124" i="40" s="1"/>
  <c r="I124" i="40"/>
  <c r="M124" i="40" s="1"/>
  <c r="M123" i="40"/>
  <c r="K123" i="40"/>
  <c r="J123" i="40"/>
  <c r="I123" i="40"/>
  <c r="J122" i="40"/>
  <c r="K122" i="40" s="1"/>
  <c r="I122" i="40"/>
  <c r="M122" i="40" s="1"/>
  <c r="K121" i="40"/>
  <c r="J121" i="40"/>
  <c r="I121" i="40"/>
  <c r="M121" i="40" s="1"/>
  <c r="J120" i="40"/>
  <c r="K120" i="40" s="1"/>
  <c r="I120" i="40"/>
  <c r="M120" i="40" s="1"/>
  <c r="J119" i="40"/>
  <c r="K119" i="40" s="1"/>
  <c r="I119" i="40"/>
  <c r="M119" i="40" s="1"/>
  <c r="J118" i="40"/>
  <c r="K118" i="40" s="1"/>
  <c r="I118" i="40"/>
  <c r="M118" i="40" s="1"/>
  <c r="M117" i="40"/>
  <c r="J117" i="40"/>
  <c r="K117" i="40" s="1"/>
  <c r="I117" i="40"/>
  <c r="J116" i="40"/>
  <c r="K116" i="40" s="1"/>
  <c r="I116" i="40"/>
  <c r="M116" i="40" s="1"/>
  <c r="M115" i="40"/>
  <c r="K115" i="40"/>
  <c r="J115" i="40"/>
  <c r="I115" i="40"/>
  <c r="J114" i="40"/>
  <c r="K114" i="40" s="1"/>
  <c r="I114" i="40"/>
  <c r="M114" i="40" s="1"/>
  <c r="K113" i="40"/>
  <c r="J113" i="40"/>
  <c r="I113" i="40"/>
  <c r="M113" i="40" s="1"/>
  <c r="J112" i="40"/>
  <c r="K112" i="40" s="1"/>
  <c r="I112" i="40"/>
  <c r="M112" i="40" s="1"/>
  <c r="J111" i="40"/>
  <c r="K111" i="40" s="1"/>
  <c r="I111" i="40"/>
  <c r="M111" i="40" s="1"/>
  <c r="J110" i="40"/>
  <c r="K110" i="40" s="1"/>
  <c r="I110" i="40"/>
  <c r="M110" i="40" s="1"/>
  <c r="M109" i="40"/>
  <c r="J109" i="40"/>
  <c r="K109" i="40" s="1"/>
  <c r="I109" i="40"/>
  <c r="J108" i="40"/>
  <c r="K108" i="40" s="1"/>
  <c r="I108" i="40"/>
  <c r="M108" i="40" s="1"/>
  <c r="M107" i="40"/>
  <c r="K107" i="40"/>
  <c r="J107" i="40"/>
  <c r="I107" i="40"/>
  <c r="J106" i="40"/>
  <c r="K106" i="40" s="1"/>
  <c r="I106" i="40"/>
  <c r="M106" i="40" s="1"/>
  <c r="K105" i="40"/>
  <c r="J105" i="40"/>
  <c r="I105" i="40"/>
  <c r="M105" i="40" s="1"/>
  <c r="J104" i="40"/>
  <c r="K104" i="40" s="1"/>
  <c r="I104" i="40"/>
  <c r="M104" i="40" s="1"/>
  <c r="J103" i="40"/>
  <c r="K103" i="40" s="1"/>
  <c r="I103" i="40"/>
  <c r="M103" i="40" s="1"/>
  <c r="J102" i="40"/>
  <c r="K102" i="40" s="1"/>
  <c r="I102" i="40"/>
  <c r="M102" i="40" s="1"/>
  <c r="M101" i="40"/>
  <c r="J101" i="40"/>
  <c r="K101" i="40" s="1"/>
  <c r="I101" i="40"/>
  <c r="J100" i="40"/>
  <c r="K100" i="40" s="1"/>
  <c r="I100" i="40"/>
  <c r="M100" i="40" s="1"/>
  <c r="M99" i="40"/>
  <c r="K99" i="40"/>
  <c r="J99" i="40"/>
  <c r="I99" i="40"/>
  <c r="J98" i="40"/>
  <c r="K98" i="40" s="1"/>
  <c r="I98" i="40"/>
  <c r="M98" i="40" s="1"/>
  <c r="K97" i="40"/>
  <c r="J97" i="40"/>
  <c r="I97" i="40"/>
  <c r="M97" i="40" s="1"/>
  <c r="J96" i="40"/>
  <c r="K96" i="40" s="1"/>
  <c r="I96" i="40"/>
  <c r="M96" i="40" s="1"/>
  <c r="J95" i="40"/>
  <c r="K95" i="40" s="1"/>
  <c r="I95" i="40"/>
  <c r="M95" i="40" s="1"/>
  <c r="J94" i="40"/>
  <c r="K94" i="40" s="1"/>
  <c r="I94" i="40"/>
  <c r="M94" i="40" s="1"/>
  <c r="M93" i="40"/>
  <c r="J93" i="40"/>
  <c r="K93" i="40" s="1"/>
  <c r="I93" i="40"/>
  <c r="J92" i="40"/>
  <c r="K92" i="40" s="1"/>
  <c r="I92" i="40"/>
  <c r="M92" i="40" s="1"/>
  <c r="M91" i="40"/>
  <c r="K91" i="40"/>
  <c r="J91" i="40"/>
  <c r="I91" i="40"/>
  <c r="J90" i="40"/>
  <c r="K90" i="40" s="1"/>
  <c r="I90" i="40"/>
  <c r="M90" i="40" s="1"/>
  <c r="K89" i="40"/>
  <c r="J89" i="40"/>
  <c r="I89" i="40"/>
  <c r="M89" i="40" s="1"/>
  <c r="J88" i="40"/>
  <c r="K88" i="40" s="1"/>
  <c r="I88" i="40"/>
  <c r="M88" i="40" s="1"/>
  <c r="J87" i="40"/>
  <c r="K87" i="40" s="1"/>
  <c r="I87" i="40"/>
  <c r="M87" i="40" s="1"/>
  <c r="J86" i="40"/>
  <c r="K86" i="40" s="1"/>
  <c r="I86" i="40"/>
  <c r="M86" i="40" s="1"/>
  <c r="M85" i="40"/>
  <c r="J85" i="40"/>
  <c r="K85" i="40" s="1"/>
  <c r="I85" i="40"/>
  <c r="J84" i="40"/>
  <c r="K84" i="40" s="1"/>
  <c r="I84" i="40"/>
  <c r="M84" i="40" s="1"/>
  <c r="M83" i="40"/>
  <c r="K83" i="40"/>
  <c r="J83" i="40"/>
  <c r="I83" i="40"/>
  <c r="J82" i="40"/>
  <c r="K82" i="40" s="1"/>
  <c r="I82" i="40"/>
  <c r="M82" i="40" s="1"/>
  <c r="K81" i="40"/>
  <c r="J81" i="40"/>
  <c r="I81" i="40"/>
  <c r="M81" i="40" s="1"/>
  <c r="J80" i="40"/>
  <c r="K80" i="40" s="1"/>
  <c r="I80" i="40"/>
  <c r="M80" i="40" s="1"/>
  <c r="J79" i="40"/>
  <c r="K79" i="40" s="1"/>
  <c r="I79" i="40"/>
  <c r="M79" i="40" s="1"/>
  <c r="J78" i="40"/>
  <c r="K78" i="40" s="1"/>
  <c r="I78" i="40"/>
  <c r="M78" i="40" s="1"/>
  <c r="M77" i="40"/>
  <c r="J77" i="40"/>
  <c r="K77" i="40" s="1"/>
  <c r="I77" i="40"/>
  <c r="J76" i="40"/>
  <c r="K76" i="40" s="1"/>
  <c r="I76" i="40"/>
  <c r="M76" i="40" s="1"/>
  <c r="M75" i="40"/>
  <c r="K75" i="40"/>
  <c r="J75" i="40"/>
  <c r="I75" i="40"/>
  <c r="J74" i="40"/>
  <c r="K74" i="40" s="1"/>
  <c r="I74" i="40"/>
  <c r="M74" i="40" s="1"/>
  <c r="K73" i="40"/>
  <c r="J73" i="40"/>
  <c r="I73" i="40"/>
  <c r="M73" i="40" s="1"/>
  <c r="J72" i="40"/>
  <c r="K72" i="40" s="1"/>
  <c r="I72" i="40"/>
  <c r="M72" i="40" s="1"/>
  <c r="J71" i="40"/>
  <c r="K71" i="40" s="1"/>
  <c r="I71" i="40"/>
  <c r="M71" i="40" s="1"/>
  <c r="J70" i="40"/>
  <c r="K70" i="40" s="1"/>
  <c r="I70" i="40"/>
  <c r="M70" i="40" s="1"/>
  <c r="M69" i="40"/>
  <c r="J69" i="40"/>
  <c r="K69" i="40" s="1"/>
  <c r="I69" i="40"/>
  <c r="J68" i="40"/>
  <c r="K68" i="40" s="1"/>
  <c r="I68" i="40"/>
  <c r="M68" i="40" s="1"/>
  <c r="M67" i="40"/>
  <c r="K67" i="40"/>
  <c r="J67" i="40"/>
  <c r="I67" i="40"/>
  <c r="J66" i="40"/>
  <c r="K66" i="40" s="1"/>
  <c r="I66" i="40"/>
  <c r="M66" i="40" s="1"/>
  <c r="K65" i="40"/>
  <c r="J65" i="40"/>
  <c r="I65" i="40"/>
  <c r="M65" i="40" s="1"/>
  <c r="B65" i="40"/>
  <c r="J64" i="40"/>
  <c r="K64" i="40" s="1"/>
  <c r="I64" i="40"/>
  <c r="M64" i="40" s="1"/>
  <c r="B64" i="40"/>
  <c r="J63" i="40"/>
  <c r="K63" i="40" s="1"/>
  <c r="I63" i="40"/>
  <c r="M63" i="40" s="1"/>
  <c r="B63" i="40"/>
  <c r="M62" i="40"/>
  <c r="J62" i="40"/>
  <c r="K62" i="40" s="1"/>
  <c r="I62" i="40"/>
  <c r="B62" i="40"/>
  <c r="J61" i="40"/>
  <c r="K61" i="40" s="1"/>
  <c r="I61" i="40"/>
  <c r="M61" i="40" s="1"/>
  <c r="B61" i="40"/>
  <c r="M60" i="40"/>
  <c r="K60" i="40"/>
  <c r="J60" i="40"/>
  <c r="I60" i="40"/>
  <c r="B60" i="40"/>
  <c r="J59" i="40"/>
  <c r="K59" i="40" s="1"/>
  <c r="I59" i="40"/>
  <c r="M59" i="40" s="1"/>
  <c r="B59" i="40"/>
  <c r="J58" i="40"/>
  <c r="K58" i="40" s="1"/>
  <c r="I58" i="40"/>
  <c r="M58" i="40" s="1"/>
  <c r="B58" i="40"/>
  <c r="K57" i="40"/>
  <c r="J57" i="40"/>
  <c r="I57" i="40"/>
  <c r="M57" i="40" s="1"/>
  <c r="B57" i="40"/>
  <c r="J56" i="40"/>
  <c r="K56" i="40" s="1"/>
  <c r="I56" i="40"/>
  <c r="M56" i="40" s="1"/>
  <c r="B56" i="40"/>
  <c r="J55" i="40"/>
  <c r="K55" i="40" s="1"/>
  <c r="I55" i="40"/>
  <c r="M55" i="40" s="1"/>
  <c r="B55" i="40"/>
  <c r="J54" i="40"/>
  <c r="K54" i="40" s="1"/>
  <c r="I54" i="40"/>
  <c r="M54" i="40" s="1"/>
  <c r="B54" i="40"/>
  <c r="J53" i="40"/>
  <c r="K53" i="40" s="1"/>
  <c r="I53" i="40"/>
  <c r="M53" i="40" s="1"/>
  <c r="B53" i="40"/>
  <c r="J52" i="40"/>
  <c r="K52" i="40" s="1"/>
  <c r="I52" i="40"/>
  <c r="M52" i="40" s="1"/>
  <c r="B52" i="40"/>
  <c r="J51" i="40"/>
  <c r="K51" i="40" s="1"/>
  <c r="I51" i="40"/>
  <c r="M51" i="40" s="1"/>
  <c r="B51" i="40"/>
  <c r="J50" i="40"/>
  <c r="K50" i="40" s="1"/>
  <c r="I50" i="40"/>
  <c r="M50" i="40" s="1"/>
  <c r="B50" i="40"/>
  <c r="M49" i="40"/>
  <c r="K49" i="40"/>
  <c r="J49" i="40"/>
  <c r="I49" i="40"/>
  <c r="B49" i="40"/>
  <c r="J48" i="40"/>
  <c r="K48" i="40" s="1"/>
  <c r="I48" i="40"/>
  <c r="M48" i="40" s="1"/>
  <c r="B48" i="40"/>
  <c r="J47" i="40"/>
  <c r="K47" i="40" s="1"/>
  <c r="I47" i="40"/>
  <c r="M47" i="40" s="1"/>
  <c r="B47" i="40"/>
  <c r="T46" i="40"/>
  <c r="R46" i="40"/>
  <c r="U46" i="40" s="1"/>
  <c r="J46" i="40"/>
  <c r="K46" i="40" s="1"/>
  <c r="I46" i="40"/>
  <c r="M46" i="40" s="1"/>
  <c r="B46" i="40"/>
  <c r="J45" i="40"/>
  <c r="K45" i="40" s="1"/>
  <c r="I45" i="40"/>
  <c r="M45" i="40" s="1"/>
  <c r="B45" i="40"/>
  <c r="J44" i="40"/>
  <c r="K44" i="40" s="1"/>
  <c r="I44" i="40"/>
  <c r="M44" i="40" s="1"/>
  <c r="B44" i="40"/>
  <c r="M43" i="40"/>
  <c r="J43" i="40"/>
  <c r="K43" i="40" s="1"/>
  <c r="I43" i="40"/>
  <c r="B43" i="40"/>
  <c r="J42" i="40"/>
  <c r="K42" i="40" s="1"/>
  <c r="I42" i="40"/>
  <c r="M42" i="40" s="1"/>
  <c r="B42" i="40"/>
  <c r="J41" i="40"/>
  <c r="K41" i="40" s="1"/>
  <c r="I41" i="40"/>
  <c r="M41" i="40" s="1"/>
  <c r="B41" i="40"/>
  <c r="M40" i="40"/>
  <c r="J40" i="40"/>
  <c r="K40" i="40" s="1"/>
  <c r="I40" i="40"/>
  <c r="B40" i="40"/>
  <c r="J39" i="40"/>
  <c r="K39" i="40" s="1"/>
  <c r="I39" i="40"/>
  <c r="M39" i="40" s="1"/>
  <c r="B39" i="40"/>
  <c r="J38" i="40"/>
  <c r="K38" i="40" s="1"/>
  <c r="I38" i="40"/>
  <c r="M38" i="40" s="1"/>
  <c r="B38" i="40"/>
  <c r="J37" i="40"/>
  <c r="K37" i="40" s="1"/>
  <c r="I37" i="40"/>
  <c r="M37" i="40" s="1"/>
  <c r="A37" i="40" s="1"/>
  <c r="B37" i="40"/>
  <c r="J36" i="40"/>
  <c r="K36" i="40" s="1"/>
  <c r="I36" i="40"/>
  <c r="M36" i="40" s="1"/>
  <c r="A36" i="40" s="1"/>
  <c r="B36" i="40"/>
  <c r="J35" i="40"/>
  <c r="K35" i="40" s="1"/>
  <c r="I35" i="40"/>
  <c r="M35" i="40" s="1"/>
  <c r="A35" i="40" s="1"/>
  <c r="B35" i="40"/>
  <c r="M34" i="40"/>
  <c r="A34" i="40" s="1"/>
  <c r="J34" i="40"/>
  <c r="K34" i="40" s="1"/>
  <c r="I34" i="40"/>
  <c r="B34" i="40"/>
  <c r="M33" i="40"/>
  <c r="A33" i="40" s="1"/>
  <c r="J33" i="40"/>
  <c r="K33" i="40" s="1"/>
  <c r="I33" i="40"/>
  <c r="B33" i="40"/>
  <c r="J32" i="40"/>
  <c r="K32" i="40" s="1"/>
  <c r="I32" i="40"/>
  <c r="M32" i="40" s="1"/>
  <c r="A32" i="40" s="1"/>
  <c r="B32" i="40"/>
  <c r="J31" i="40"/>
  <c r="K31" i="40" s="1"/>
  <c r="I31" i="40"/>
  <c r="M31" i="40" s="1"/>
  <c r="A31" i="40" s="1"/>
  <c r="B31" i="40"/>
  <c r="K30" i="40"/>
  <c r="J30" i="40"/>
  <c r="I30" i="40"/>
  <c r="M30" i="40" s="1"/>
  <c r="A30" i="40" s="1"/>
  <c r="B30" i="40"/>
  <c r="J29" i="40"/>
  <c r="K29" i="40" s="1"/>
  <c r="I29" i="40"/>
  <c r="M29" i="40" s="1"/>
  <c r="A29" i="40" s="1"/>
  <c r="B29" i="40"/>
  <c r="J28" i="40"/>
  <c r="K28" i="40" s="1"/>
  <c r="I28" i="40"/>
  <c r="M28" i="40" s="1"/>
  <c r="A28" i="40" s="1"/>
  <c r="B28" i="40"/>
  <c r="J27" i="40"/>
  <c r="K27" i="40" s="1"/>
  <c r="I27" i="40"/>
  <c r="M27" i="40" s="1"/>
  <c r="A27" i="40" s="1"/>
  <c r="B27" i="40"/>
  <c r="J26" i="40"/>
  <c r="K26" i="40" s="1"/>
  <c r="I26" i="40"/>
  <c r="M26" i="40" s="1"/>
  <c r="A26" i="40" s="1"/>
  <c r="B26" i="40"/>
  <c r="J25" i="40"/>
  <c r="K25" i="40" s="1"/>
  <c r="I25" i="40"/>
  <c r="M25" i="40" s="1"/>
  <c r="A25" i="40" s="1"/>
  <c r="B25" i="40"/>
  <c r="J24" i="40"/>
  <c r="K24" i="40" s="1"/>
  <c r="I24" i="40"/>
  <c r="M24" i="40" s="1"/>
  <c r="A24" i="40" s="1"/>
  <c r="B24" i="40"/>
  <c r="J23" i="40"/>
  <c r="K23" i="40" s="1"/>
  <c r="I23" i="40"/>
  <c r="M23" i="40" s="1"/>
  <c r="A23" i="40" s="1"/>
  <c r="B23" i="40"/>
  <c r="J22" i="40"/>
  <c r="K22" i="40" s="1"/>
  <c r="I22" i="40"/>
  <c r="M22" i="40" s="1"/>
  <c r="A22" i="40" s="1"/>
  <c r="B22" i="40"/>
  <c r="M21" i="40"/>
  <c r="A21" i="40" s="1"/>
  <c r="J21" i="40"/>
  <c r="K21" i="40" s="1"/>
  <c r="I21" i="40"/>
  <c r="B21" i="40"/>
  <c r="J20" i="40"/>
  <c r="K20" i="40" s="1"/>
  <c r="I20" i="40"/>
  <c r="M20" i="40" s="1"/>
  <c r="A20" i="40" s="1"/>
  <c r="B20" i="40"/>
  <c r="J19" i="40"/>
  <c r="K19" i="40" s="1"/>
  <c r="I19" i="40"/>
  <c r="M19" i="40" s="1"/>
  <c r="A19" i="40" s="1"/>
  <c r="M18" i="40"/>
  <c r="A18" i="40" s="1"/>
  <c r="J18" i="40"/>
  <c r="K18" i="40" s="1"/>
  <c r="I18" i="40"/>
  <c r="J17" i="40"/>
  <c r="K17" i="40" s="1"/>
  <c r="I17" i="40"/>
  <c r="M17" i="40" s="1"/>
  <c r="A17" i="40" s="1"/>
  <c r="J16" i="40"/>
  <c r="K16" i="40" s="1"/>
  <c r="I16" i="40"/>
  <c r="J15" i="40"/>
  <c r="K15" i="40" s="1"/>
  <c r="I15" i="40"/>
  <c r="M15" i="40" s="1"/>
  <c r="A15" i="40" s="1"/>
  <c r="AI14" i="40"/>
  <c r="J14" i="40"/>
  <c r="K14" i="40" s="1"/>
  <c r="I14" i="40"/>
  <c r="M14" i="40" s="1"/>
  <c r="A14" i="40" s="1"/>
  <c r="AI13" i="40"/>
  <c r="J13" i="40"/>
  <c r="K13" i="40" s="1"/>
  <c r="I13" i="40"/>
  <c r="AI12" i="40"/>
  <c r="AI16" i="40" s="1"/>
  <c r="J12" i="40"/>
  <c r="K12" i="40" s="1"/>
  <c r="I12" i="40"/>
  <c r="J11" i="40"/>
  <c r="K11" i="40" s="1"/>
  <c r="I11" i="40"/>
  <c r="M11" i="40" s="1"/>
  <c r="A11" i="40" s="1"/>
  <c r="J10" i="40"/>
  <c r="K10" i="40" s="1"/>
  <c r="I10" i="40"/>
  <c r="M10" i="40" s="1"/>
  <c r="A10" i="40" s="1"/>
  <c r="J9" i="40"/>
  <c r="K9" i="40" s="1"/>
  <c r="I9" i="40"/>
  <c r="M9" i="40" s="1"/>
  <c r="A9" i="40" s="1"/>
  <c r="M8" i="40"/>
  <c r="A8" i="40" s="1"/>
  <c r="J8" i="40"/>
  <c r="K8" i="40" s="1"/>
  <c r="I8" i="40"/>
  <c r="K7" i="40"/>
  <c r="J7" i="40"/>
  <c r="I7" i="40"/>
  <c r="K6" i="40"/>
  <c r="J6" i="40"/>
  <c r="I6" i="40"/>
  <c r="K2" i="40"/>
  <c r="L8" i="40" s="1"/>
  <c r="M29" i="1"/>
  <c r="K29" i="1"/>
  <c r="L29" i="1" s="1"/>
  <c r="I29" i="1"/>
  <c r="J29" i="1" s="1"/>
  <c r="G29" i="1"/>
  <c r="H29" i="1" s="1"/>
  <c r="E29" i="1"/>
  <c r="F29" i="1" s="1"/>
  <c r="A29" i="1"/>
  <c r="M21" i="1"/>
  <c r="K21" i="1"/>
  <c r="I21" i="1"/>
  <c r="J21" i="1" s="1"/>
  <c r="G21" i="1"/>
  <c r="H21" i="1" s="1"/>
  <c r="E21" i="1"/>
  <c r="F21" i="1" s="1"/>
  <c r="A21" i="1"/>
  <c r="M25" i="1"/>
  <c r="K25" i="1"/>
  <c r="I25" i="1"/>
  <c r="J25" i="1" s="1"/>
  <c r="G25" i="1"/>
  <c r="H25" i="1" s="1"/>
  <c r="E25" i="1"/>
  <c r="F25" i="1" s="1"/>
  <c r="A25" i="1"/>
  <c r="M19" i="1"/>
  <c r="K19" i="1"/>
  <c r="I19" i="1"/>
  <c r="J19" i="1" s="1"/>
  <c r="G19" i="1"/>
  <c r="H19" i="1" s="1"/>
  <c r="E19" i="1"/>
  <c r="F19" i="1" s="1"/>
  <c r="A19" i="1"/>
  <c r="U23" i="1"/>
  <c r="M23" i="1"/>
  <c r="K23" i="1"/>
  <c r="I23" i="1"/>
  <c r="J23" i="1" s="1"/>
  <c r="G23" i="1"/>
  <c r="H23" i="1" s="1"/>
  <c r="E23" i="1"/>
  <c r="F23" i="1" s="1"/>
  <c r="A23" i="1"/>
  <c r="U22" i="1"/>
  <c r="M22" i="1"/>
  <c r="K22" i="1"/>
  <c r="I22" i="1"/>
  <c r="J22" i="1" s="1"/>
  <c r="G22" i="1"/>
  <c r="H22" i="1" s="1"/>
  <c r="E22" i="1"/>
  <c r="F22" i="1" s="1"/>
  <c r="A22" i="1"/>
  <c r="B17" i="18"/>
  <c r="B16" i="18"/>
  <c r="B15" i="18"/>
  <c r="B14" i="18"/>
  <c r="K27" i="31" s="1"/>
  <c r="L27" i="31" s="1"/>
  <c r="B13" i="18"/>
  <c r="B12" i="18"/>
  <c r="B11" i="18"/>
  <c r="B10" i="18"/>
  <c r="B9" i="18"/>
  <c r="B7" i="18"/>
  <c r="B6" i="18"/>
  <c r="K10" i="31"/>
  <c r="L10" i="31" s="1"/>
  <c r="AX6" i="31" a="1"/>
  <c r="AX6" i="31" s="1"/>
  <c r="AY6" i="31" s="1"/>
  <c r="AX8" i="31" a="1"/>
  <c r="AX8" i="31" s="1"/>
  <c r="AY8" i="31" s="1"/>
  <c r="AX13" i="31" a="1"/>
  <c r="AX13" i="31" s="1"/>
  <c r="AY13" i="31" s="1"/>
  <c r="AX10" i="31" a="1"/>
  <c r="AX10" i="31" s="1"/>
  <c r="AY10" i="31" s="1"/>
  <c r="AX34" i="31" a="1"/>
  <c r="AX34" i="31" s="1"/>
  <c r="AY34" i="31" s="1"/>
  <c r="AX12" i="31" a="1"/>
  <c r="AX12" i="31" s="1"/>
  <c r="AY12" i="31" s="1"/>
  <c r="AX9" i="31" a="1"/>
  <c r="AX9" i="31" s="1"/>
  <c r="AY9" i="31" s="1"/>
  <c r="AX20" i="31" a="1"/>
  <c r="AX20" i="31" s="1"/>
  <c r="AY20" i="31" s="1"/>
  <c r="AX15" i="31" a="1"/>
  <c r="AX15" i="31" s="1"/>
  <c r="AY15" i="31" s="1"/>
  <c r="AX14" i="31" a="1"/>
  <c r="AX14" i="31" s="1"/>
  <c r="AY14" i="31" s="1"/>
  <c r="AX16" i="31" a="1"/>
  <c r="AX16" i="31" s="1"/>
  <c r="AY16" i="31" s="1"/>
  <c r="AX27" i="31" a="1"/>
  <c r="AX27" i="31" s="1"/>
  <c r="AY27" i="31" s="1"/>
  <c r="AX17" i="31" a="1"/>
  <c r="AX17" i="31" s="1"/>
  <c r="AY17" i="31" s="1"/>
  <c r="AX11" i="31" a="1"/>
  <c r="AX11" i="31" s="1"/>
  <c r="AY11" i="31" s="1"/>
  <c r="AX28" i="31" a="1"/>
  <c r="AX28" i="31" s="1"/>
  <c r="AY28" i="31" s="1"/>
  <c r="AX25" i="31" a="1"/>
  <c r="AX25" i="31" s="1"/>
  <c r="AY25" i="31" s="1"/>
  <c r="AX7" i="31" a="1"/>
  <c r="AX7" i="31" s="1"/>
  <c r="AY7" i="31" s="1"/>
  <c r="B229" i="39"/>
  <c r="B228" i="39"/>
  <c r="B227" i="39"/>
  <c r="B226" i="39"/>
  <c r="B225" i="39"/>
  <c r="B224" i="39"/>
  <c r="B223" i="39"/>
  <c r="B222" i="39"/>
  <c r="B221" i="39"/>
  <c r="B220" i="39"/>
  <c r="B219" i="39"/>
  <c r="B218" i="39"/>
  <c r="B217" i="39"/>
  <c r="B216" i="39"/>
  <c r="B215" i="39"/>
  <c r="B214" i="39"/>
  <c r="B213" i="39"/>
  <c r="B212" i="39"/>
  <c r="B211" i="39"/>
  <c r="B210" i="39"/>
  <c r="B209" i="39"/>
  <c r="B208" i="39"/>
  <c r="B207" i="39"/>
  <c r="B206" i="39"/>
  <c r="B205" i="39"/>
  <c r="B204" i="39"/>
  <c r="B203" i="39"/>
  <c r="B202" i="39"/>
  <c r="B201" i="39"/>
  <c r="B200" i="39"/>
  <c r="B199" i="39"/>
  <c r="B198" i="39"/>
  <c r="B197" i="39"/>
  <c r="B196" i="39"/>
  <c r="B195" i="39"/>
  <c r="B194" i="39"/>
  <c r="B193" i="39"/>
  <c r="B192" i="39"/>
  <c r="B191" i="39"/>
  <c r="B190" i="39"/>
  <c r="B189" i="39"/>
  <c r="B188" i="39"/>
  <c r="B187" i="39"/>
  <c r="B186" i="39"/>
  <c r="B185" i="39"/>
  <c r="B184" i="39"/>
  <c r="B183" i="39"/>
  <c r="B182" i="39"/>
  <c r="B181" i="39"/>
  <c r="B180" i="39"/>
  <c r="B179" i="39"/>
  <c r="B178" i="39"/>
  <c r="B177" i="39"/>
  <c r="B176" i="39"/>
  <c r="B175" i="39"/>
  <c r="B174" i="39"/>
  <c r="B173" i="39"/>
  <c r="B172" i="39"/>
  <c r="B171" i="39"/>
  <c r="B170" i="39"/>
  <c r="B169" i="39"/>
  <c r="B168" i="39"/>
  <c r="B167" i="39"/>
  <c r="B166" i="39"/>
  <c r="B165" i="39"/>
  <c r="B164" i="39"/>
  <c r="B163" i="39"/>
  <c r="B162" i="39"/>
  <c r="B161" i="39"/>
  <c r="B160" i="39"/>
  <c r="B159" i="39"/>
  <c r="B158" i="39"/>
  <c r="B157" i="39"/>
  <c r="B156" i="39"/>
  <c r="B155" i="39"/>
  <c r="B154" i="39"/>
  <c r="B153" i="39"/>
  <c r="B152" i="39"/>
  <c r="B151" i="39"/>
  <c r="B150" i="39"/>
  <c r="B149" i="39"/>
  <c r="B148" i="39"/>
  <c r="B147" i="39"/>
  <c r="B146" i="39"/>
  <c r="B145" i="39"/>
  <c r="B144" i="39"/>
  <c r="B143" i="39"/>
  <c r="B142" i="39"/>
  <c r="B141" i="39"/>
  <c r="B140" i="39"/>
  <c r="B139" i="39"/>
  <c r="B138" i="39"/>
  <c r="B137" i="39"/>
  <c r="B136" i="39"/>
  <c r="B135" i="39"/>
  <c r="B134" i="39"/>
  <c r="B133" i="39"/>
  <c r="B132" i="39"/>
  <c r="B131" i="39"/>
  <c r="B130" i="39"/>
  <c r="B129" i="39"/>
  <c r="B128" i="39"/>
  <c r="B127" i="39"/>
  <c r="B126" i="39"/>
  <c r="B125" i="39"/>
  <c r="B124" i="39"/>
  <c r="B123" i="39"/>
  <c r="B122" i="39"/>
  <c r="B121" i="39"/>
  <c r="B120" i="39"/>
  <c r="B119" i="39"/>
  <c r="B118" i="39"/>
  <c r="B117" i="39"/>
  <c r="B116" i="39"/>
  <c r="B115" i="39"/>
  <c r="B114" i="39"/>
  <c r="B113" i="39"/>
  <c r="B112" i="39"/>
  <c r="B111" i="39"/>
  <c r="B110" i="39"/>
  <c r="B109" i="39"/>
  <c r="B108" i="39"/>
  <c r="B107" i="39"/>
  <c r="B106" i="39"/>
  <c r="B105" i="39"/>
  <c r="B104" i="39"/>
  <c r="B103" i="39"/>
  <c r="B102" i="39"/>
  <c r="B101" i="39"/>
  <c r="B100" i="39"/>
  <c r="B99" i="39"/>
  <c r="B98" i="39"/>
  <c r="B97" i="39"/>
  <c r="B96" i="39"/>
  <c r="B95" i="39"/>
  <c r="B94" i="39"/>
  <c r="B93" i="39"/>
  <c r="B92" i="39"/>
  <c r="B91" i="39"/>
  <c r="B90" i="39"/>
  <c r="B89" i="39"/>
  <c r="B88" i="39"/>
  <c r="B87" i="39"/>
  <c r="B86" i="39"/>
  <c r="B85" i="39"/>
  <c r="B84" i="39"/>
  <c r="B83" i="39"/>
  <c r="B82" i="39"/>
  <c r="B81" i="39"/>
  <c r="B80" i="39"/>
  <c r="B79" i="39"/>
  <c r="B78" i="39"/>
  <c r="B77" i="39"/>
  <c r="B76" i="39"/>
  <c r="B75" i="39"/>
  <c r="B74" i="39"/>
  <c r="B73" i="39"/>
  <c r="B72" i="39"/>
  <c r="B71" i="39"/>
  <c r="B70" i="39"/>
  <c r="B69" i="39"/>
  <c r="B68" i="39"/>
  <c r="B67" i="39"/>
  <c r="B66" i="39"/>
  <c r="B65" i="39"/>
  <c r="B64" i="39"/>
  <c r="B63" i="39"/>
  <c r="B62" i="39"/>
  <c r="B61" i="39"/>
  <c r="B60" i="39"/>
  <c r="B59" i="39"/>
  <c r="B58" i="39"/>
  <c r="B57" i="39"/>
  <c r="B56" i="39"/>
  <c r="B55" i="39"/>
  <c r="B54" i="39"/>
  <c r="B53" i="39"/>
  <c r="B52" i="39"/>
  <c r="B51" i="39"/>
  <c r="B50" i="39"/>
  <c r="B49" i="39"/>
  <c r="B48" i="39"/>
  <c r="B47" i="39"/>
  <c r="B46" i="39"/>
  <c r="B45" i="39"/>
  <c r="B44" i="39"/>
  <c r="B43" i="39"/>
  <c r="B42" i="39"/>
  <c r="B41" i="39"/>
  <c r="B40" i="39"/>
  <c r="B39" i="39"/>
  <c r="B38" i="39"/>
  <c r="B37" i="39"/>
  <c r="B36" i="39"/>
  <c r="B35" i="39"/>
  <c r="B34" i="39"/>
  <c r="B33" i="39"/>
  <c r="B32" i="39"/>
  <c r="B31" i="39"/>
  <c r="B30" i="39"/>
  <c r="B29" i="39"/>
  <c r="B28" i="39"/>
  <c r="B27" i="39"/>
  <c r="B26" i="39"/>
  <c r="B25" i="39"/>
  <c r="B24" i="39"/>
  <c r="B23" i="39"/>
  <c r="B22" i="39"/>
  <c r="B21" i="39"/>
  <c r="B20" i="39"/>
  <c r="B19" i="39"/>
  <c r="B18" i="39"/>
  <c r="B17" i="39"/>
  <c r="B16" i="39"/>
  <c r="B15" i="39"/>
  <c r="B14" i="39"/>
  <c r="B13" i="39"/>
  <c r="B12" i="39"/>
  <c r="B11" i="39"/>
  <c r="B10" i="39"/>
  <c r="B9" i="39"/>
  <c r="B8" i="39"/>
  <c r="B7" i="39"/>
  <c r="B6" i="39"/>
  <c r="A18" i="34"/>
  <c r="B18" i="34"/>
  <c r="G16" i="31"/>
  <c r="H16" i="31" s="1"/>
  <c r="A15" i="14"/>
  <c r="B6" i="14"/>
  <c r="B7" i="14"/>
  <c r="B8" i="14"/>
  <c r="B9" i="14"/>
  <c r="B10" i="14"/>
  <c r="B11" i="14"/>
  <c r="B12" i="14"/>
  <c r="B13" i="14"/>
  <c r="B14" i="14"/>
  <c r="B15" i="14"/>
  <c r="B16" i="14"/>
  <c r="I6" i="20"/>
  <c r="I6" i="19"/>
  <c r="I6" i="18"/>
  <c r="I6" i="17"/>
  <c r="I6" i="16"/>
  <c r="I6" i="14"/>
  <c r="J140" i="35"/>
  <c r="K140" i="35" s="1"/>
  <c r="I140" i="35"/>
  <c r="B140" i="35"/>
  <c r="J139" i="35"/>
  <c r="K139" i="35" s="1"/>
  <c r="I139" i="35"/>
  <c r="B139" i="35"/>
  <c r="J138" i="35"/>
  <c r="K138" i="35" s="1"/>
  <c r="I138" i="35"/>
  <c r="B138" i="35"/>
  <c r="J137" i="35"/>
  <c r="K137" i="35" s="1"/>
  <c r="I137" i="35"/>
  <c r="B137" i="35"/>
  <c r="J136" i="35"/>
  <c r="K136" i="35" s="1"/>
  <c r="I136" i="35"/>
  <c r="B136" i="35"/>
  <c r="J135" i="35"/>
  <c r="K135" i="35" s="1"/>
  <c r="M135" i="35" s="1"/>
  <c r="A135" i="35" s="1"/>
  <c r="I135" i="35"/>
  <c r="B135" i="35"/>
  <c r="J134" i="35"/>
  <c r="K134" i="35" s="1"/>
  <c r="I134" i="35"/>
  <c r="M134" i="35" s="1"/>
  <c r="A134" i="35" s="1"/>
  <c r="B134" i="35"/>
  <c r="J133" i="35"/>
  <c r="K133" i="35" s="1"/>
  <c r="I133" i="35"/>
  <c r="B133" i="35"/>
  <c r="J132" i="35"/>
  <c r="K132" i="35" s="1"/>
  <c r="I132" i="35"/>
  <c r="B132" i="35"/>
  <c r="J131" i="35"/>
  <c r="K131" i="35" s="1"/>
  <c r="I131" i="35"/>
  <c r="B131" i="35"/>
  <c r="J130" i="35"/>
  <c r="K130" i="35" s="1"/>
  <c r="I130" i="35"/>
  <c r="M130" i="35" s="1"/>
  <c r="A130" i="35" s="1"/>
  <c r="B130" i="35"/>
  <c r="J129" i="35"/>
  <c r="K129" i="35" s="1"/>
  <c r="I129" i="35"/>
  <c r="B129" i="35"/>
  <c r="J128" i="35"/>
  <c r="K128" i="35" s="1"/>
  <c r="I128" i="35"/>
  <c r="B128" i="35"/>
  <c r="J127" i="35"/>
  <c r="K127" i="35" s="1"/>
  <c r="I127" i="35"/>
  <c r="B127" i="35"/>
  <c r="J126" i="35"/>
  <c r="K126" i="35" s="1"/>
  <c r="I126" i="35"/>
  <c r="M126" i="35" s="1"/>
  <c r="A126" i="35" s="1"/>
  <c r="B126" i="35"/>
  <c r="J125" i="35"/>
  <c r="K125" i="35" s="1"/>
  <c r="I125" i="35"/>
  <c r="B125" i="35"/>
  <c r="J124" i="35"/>
  <c r="K124" i="35" s="1"/>
  <c r="I124" i="35"/>
  <c r="B124" i="35"/>
  <c r="J123" i="35"/>
  <c r="K123" i="35" s="1"/>
  <c r="I123" i="35"/>
  <c r="B123" i="35"/>
  <c r="J122" i="35"/>
  <c r="K122" i="35" s="1"/>
  <c r="I122" i="35"/>
  <c r="B122" i="35"/>
  <c r="J121" i="35"/>
  <c r="K121" i="35" s="1"/>
  <c r="I121" i="35"/>
  <c r="B121" i="35"/>
  <c r="J120" i="35"/>
  <c r="K120" i="35" s="1"/>
  <c r="I120" i="35"/>
  <c r="B120" i="35"/>
  <c r="J119" i="35"/>
  <c r="K119" i="35" s="1"/>
  <c r="I119" i="35"/>
  <c r="B119" i="35"/>
  <c r="J118" i="35"/>
  <c r="K118" i="35" s="1"/>
  <c r="I118" i="35"/>
  <c r="B118" i="35"/>
  <c r="J117" i="35"/>
  <c r="K117" i="35" s="1"/>
  <c r="I117" i="35"/>
  <c r="B117" i="35"/>
  <c r="J116" i="35"/>
  <c r="K116" i="35" s="1"/>
  <c r="I116" i="35"/>
  <c r="B116" i="35"/>
  <c r="J115" i="35"/>
  <c r="K115" i="35" s="1"/>
  <c r="I115" i="35"/>
  <c r="B115" i="35"/>
  <c r="J114" i="35"/>
  <c r="K114" i="35" s="1"/>
  <c r="I114" i="35"/>
  <c r="B114" i="35"/>
  <c r="J113" i="35"/>
  <c r="K113" i="35" s="1"/>
  <c r="M113" i="35" s="1"/>
  <c r="A113" i="35" s="1"/>
  <c r="I113" i="35"/>
  <c r="B113" i="35"/>
  <c r="J112" i="35"/>
  <c r="K112" i="35" s="1"/>
  <c r="I112" i="35"/>
  <c r="B112" i="35"/>
  <c r="J111" i="35"/>
  <c r="K111" i="35" s="1"/>
  <c r="I111" i="35"/>
  <c r="B111" i="35"/>
  <c r="J110" i="35"/>
  <c r="K110" i="35" s="1"/>
  <c r="I110" i="35"/>
  <c r="B110" i="35"/>
  <c r="J109" i="35"/>
  <c r="K109" i="35" s="1"/>
  <c r="I109" i="35"/>
  <c r="B109" i="35"/>
  <c r="J108" i="35"/>
  <c r="K108" i="35" s="1"/>
  <c r="I108" i="35"/>
  <c r="B108" i="35"/>
  <c r="J107" i="35"/>
  <c r="K107" i="35" s="1"/>
  <c r="M107" i="35" s="1"/>
  <c r="A107" i="35" s="1"/>
  <c r="I107" i="35"/>
  <c r="B107" i="35"/>
  <c r="J106" i="35"/>
  <c r="K106" i="35" s="1"/>
  <c r="I106" i="35"/>
  <c r="B106" i="35"/>
  <c r="J105" i="35"/>
  <c r="K105" i="35" s="1"/>
  <c r="I105" i="35"/>
  <c r="B105" i="35"/>
  <c r="J104" i="35"/>
  <c r="K104" i="35" s="1"/>
  <c r="I104" i="35"/>
  <c r="B104" i="35"/>
  <c r="J103" i="35"/>
  <c r="K103" i="35" s="1"/>
  <c r="I103" i="35"/>
  <c r="B103" i="35"/>
  <c r="J102" i="35"/>
  <c r="K102" i="35" s="1"/>
  <c r="I102" i="35"/>
  <c r="M102" i="35" s="1"/>
  <c r="A102" i="35" s="1"/>
  <c r="B102" i="35"/>
  <c r="J101" i="35"/>
  <c r="K101" i="35" s="1"/>
  <c r="I101" i="35"/>
  <c r="B101" i="35"/>
  <c r="J100" i="35"/>
  <c r="K100" i="35" s="1"/>
  <c r="I100" i="35"/>
  <c r="B100" i="35"/>
  <c r="J99" i="35"/>
  <c r="K99" i="35" s="1"/>
  <c r="M99" i="35" s="1"/>
  <c r="A99" i="35" s="1"/>
  <c r="I99" i="35"/>
  <c r="B99" i="35"/>
  <c r="J98" i="35"/>
  <c r="K98" i="35" s="1"/>
  <c r="I98" i="35"/>
  <c r="B98" i="35"/>
  <c r="J97" i="35"/>
  <c r="K97" i="35" s="1"/>
  <c r="I97" i="35"/>
  <c r="B97" i="35"/>
  <c r="J96" i="35"/>
  <c r="K96" i="35" s="1"/>
  <c r="I96" i="35"/>
  <c r="B96" i="35"/>
  <c r="J95" i="35"/>
  <c r="K95" i="35" s="1"/>
  <c r="I95" i="35"/>
  <c r="B95" i="35"/>
  <c r="J94" i="35"/>
  <c r="K94" i="35" s="1"/>
  <c r="I94" i="35"/>
  <c r="B94" i="35"/>
  <c r="J93" i="35"/>
  <c r="K93" i="35" s="1"/>
  <c r="I93" i="35"/>
  <c r="B93" i="35"/>
  <c r="J92" i="35"/>
  <c r="K92" i="35" s="1"/>
  <c r="I92" i="35"/>
  <c r="B92" i="35"/>
  <c r="J91" i="35"/>
  <c r="K91" i="35" s="1"/>
  <c r="M91" i="35" s="1"/>
  <c r="A91" i="35" s="1"/>
  <c r="I91" i="35"/>
  <c r="B91" i="35"/>
  <c r="J90" i="35"/>
  <c r="K90" i="35" s="1"/>
  <c r="I90" i="35"/>
  <c r="M90" i="35" s="1"/>
  <c r="A90" i="35" s="1"/>
  <c r="B90" i="35"/>
  <c r="J89" i="35"/>
  <c r="K89" i="35" s="1"/>
  <c r="I89" i="35"/>
  <c r="B89" i="35"/>
  <c r="J88" i="35"/>
  <c r="K88" i="35" s="1"/>
  <c r="I88" i="35"/>
  <c r="B88" i="35"/>
  <c r="J87" i="35"/>
  <c r="K87" i="35" s="1"/>
  <c r="I87" i="35"/>
  <c r="B87" i="35"/>
  <c r="J86" i="35"/>
  <c r="K86" i="35" s="1"/>
  <c r="I86" i="35"/>
  <c r="M86" i="35" s="1"/>
  <c r="A86" i="35" s="1"/>
  <c r="B86" i="35"/>
  <c r="J85" i="35"/>
  <c r="K85" i="35" s="1"/>
  <c r="I85" i="35"/>
  <c r="B85" i="35"/>
  <c r="J84" i="35"/>
  <c r="K84" i="35" s="1"/>
  <c r="I84" i="35"/>
  <c r="B84" i="35"/>
  <c r="J83" i="35"/>
  <c r="K83" i="35" s="1"/>
  <c r="I83" i="35"/>
  <c r="B83" i="35"/>
  <c r="J82" i="35"/>
  <c r="K82" i="35" s="1"/>
  <c r="I82" i="35"/>
  <c r="M82" i="35" s="1"/>
  <c r="A82" i="35" s="1"/>
  <c r="B82" i="35"/>
  <c r="J81" i="35"/>
  <c r="K81" i="35" s="1"/>
  <c r="I81" i="35"/>
  <c r="B81" i="35"/>
  <c r="J80" i="35"/>
  <c r="K80" i="35" s="1"/>
  <c r="I80" i="35"/>
  <c r="B80" i="35"/>
  <c r="J79" i="35"/>
  <c r="K79" i="35" s="1"/>
  <c r="I79" i="35"/>
  <c r="B79" i="35"/>
  <c r="J78" i="35"/>
  <c r="K78" i="35" s="1"/>
  <c r="I78" i="35"/>
  <c r="B78" i="35"/>
  <c r="J77" i="35"/>
  <c r="K77" i="35" s="1"/>
  <c r="I77" i="35"/>
  <c r="B77" i="35"/>
  <c r="J76" i="35"/>
  <c r="K76" i="35" s="1"/>
  <c r="I76" i="35"/>
  <c r="B76" i="35"/>
  <c r="J75" i="35"/>
  <c r="K75" i="35" s="1"/>
  <c r="I75" i="35"/>
  <c r="B75" i="35"/>
  <c r="J74" i="35"/>
  <c r="K74" i="35" s="1"/>
  <c r="I74" i="35"/>
  <c r="B74" i="35"/>
  <c r="J73" i="35"/>
  <c r="K73" i="35" s="1"/>
  <c r="I73" i="35"/>
  <c r="B73" i="35"/>
  <c r="J72" i="35"/>
  <c r="K72" i="35" s="1"/>
  <c r="I72" i="35"/>
  <c r="B72" i="35"/>
  <c r="J71" i="35"/>
  <c r="K71" i="35" s="1"/>
  <c r="I71" i="35"/>
  <c r="B71" i="35"/>
  <c r="J70" i="35"/>
  <c r="K70" i="35" s="1"/>
  <c r="I70" i="35"/>
  <c r="B70" i="35"/>
  <c r="J69" i="35"/>
  <c r="K69" i="35" s="1"/>
  <c r="I69" i="35"/>
  <c r="B69" i="35"/>
  <c r="J68" i="35"/>
  <c r="K68" i="35" s="1"/>
  <c r="I68" i="35"/>
  <c r="B68" i="35"/>
  <c r="J67" i="35"/>
  <c r="K67" i="35" s="1"/>
  <c r="I67" i="35"/>
  <c r="B67" i="35"/>
  <c r="J66" i="35"/>
  <c r="K66" i="35" s="1"/>
  <c r="I66" i="35"/>
  <c r="B66" i="35"/>
  <c r="J65" i="35"/>
  <c r="K65" i="35" s="1"/>
  <c r="I65" i="35"/>
  <c r="B65" i="35"/>
  <c r="J64" i="35"/>
  <c r="K64" i="35" s="1"/>
  <c r="I64" i="35"/>
  <c r="B64" i="35"/>
  <c r="J63" i="35"/>
  <c r="K63" i="35" s="1"/>
  <c r="I63" i="35"/>
  <c r="B63" i="35"/>
  <c r="J62" i="35"/>
  <c r="K62" i="35" s="1"/>
  <c r="I62" i="35"/>
  <c r="B62" i="35"/>
  <c r="J61" i="35"/>
  <c r="K61" i="35" s="1"/>
  <c r="I61" i="35"/>
  <c r="B61" i="35"/>
  <c r="J60" i="35"/>
  <c r="K60" i="35" s="1"/>
  <c r="M60" i="35" s="1"/>
  <c r="A60" i="35" s="1"/>
  <c r="I60" i="35"/>
  <c r="B60" i="35"/>
  <c r="A59" i="36"/>
  <c r="A58" i="36"/>
  <c r="A57" i="36"/>
  <c r="A52" i="36"/>
  <c r="A51" i="36"/>
  <c r="A49" i="36"/>
  <c r="A42" i="36"/>
  <c r="U25" i="31"/>
  <c r="M25" i="31"/>
  <c r="N25" i="31" s="1"/>
  <c r="K25" i="31"/>
  <c r="L25" i="31" s="1"/>
  <c r="I25" i="31"/>
  <c r="J25" i="31" s="1"/>
  <c r="U14" i="31"/>
  <c r="M14" i="31"/>
  <c r="N14" i="31" s="1"/>
  <c r="K14" i="31"/>
  <c r="L14" i="31" s="1"/>
  <c r="I14" i="31"/>
  <c r="J14" i="31" s="1"/>
  <c r="U28" i="31"/>
  <c r="M28" i="31"/>
  <c r="N28" i="31" s="1"/>
  <c r="K28" i="31"/>
  <c r="L28" i="31" s="1"/>
  <c r="I28" i="31"/>
  <c r="J28" i="31" s="1"/>
  <c r="U15" i="31"/>
  <c r="M15" i="31"/>
  <c r="N15" i="31" s="1"/>
  <c r="K15" i="31"/>
  <c r="L15" i="31" s="1"/>
  <c r="I15" i="31"/>
  <c r="J15" i="31" s="1"/>
  <c r="G15" i="31"/>
  <c r="H15" i="31" s="1"/>
  <c r="E15" i="31"/>
  <c r="F15" i="31" s="1"/>
  <c r="U27" i="31"/>
  <c r="M27" i="31"/>
  <c r="N27" i="31" s="1"/>
  <c r="I27" i="31"/>
  <c r="J27" i="31" s="1"/>
  <c r="G27" i="31"/>
  <c r="H27" i="31" s="1"/>
  <c r="E27" i="31"/>
  <c r="F27" i="31" s="1"/>
  <c r="U20" i="31"/>
  <c r="M20" i="31"/>
  <c r="N20" i="31" s="1"/>
  <c r="K20" i="31"/>
  <c r="L20" i="31" s="1"/>
  <c r="I20" i="31"/>
  <c r="J20" i="31" s="1"/>
  <c r="G20" i="31"/>
  <c r="H20" i="31" s="1"/>
  <c r="E20" i="31"/>
  <c r="F20" i="31" s="1"/>
  <c r="U17" i="31"/>
  <c r="M17" i="31"/>
  <c r="N17" i="31" s="1"/>
  <c r="I17" i="31"/>
  <c r="J17" i="31" s="1"/>
  <c r="G17" i="31"/>
  <c r="H17" i="31" s="1"/>
  <c r="E17" i="31"/>
  <c r="F17" i="31" s="1"/>
  <c r="U11" i="31"/>
  <c r="M11" i="31"/>
  <c r="N11" i="31" s="1"/>
  <c r="I11" i="31"/>
  <c r="J11" i="31" s="1"/>
  <c r="G11" i="31"/>
  <c r="H11" i="31" s="1"/>
  <c r="E11" i="31"/>
  <c r="F11" i="31" s="1"/>
  <c r="U16" i="31"/>
  <c r="M16" i="31"/>
  <c r="N16" i="31" s="1"/>
  <c r="I16" i="31"/>
  <c r="J16" i="31" s="1"/>
  <c r="E16" i="31"/>
  <c r="F16" i="31" s="1"/>
  <c r="U12" i="31"/>
  <c r="M12" i="31"/>
  <c r="N12" i="31" s="1"/>
  <c r="I12" i="31"/>
  <c r="J12" i="31" s="1"/>
  <c r="G12" i="31"/>
  <c r="H12" i="31" s="1"/>
  <c r="E12" i="31"/>
  <c r="F12" i="31" s="1"/>
  <c r="U9" i="31"/>
  <c r="M9" i="31"/>
  <c r="N9" i="31" s="1"/>
  <c r="K9" i="31"/>
  <c r="L9" i="31" s="1"/>
  <c r="I9" i="31"/>
  <c r="J9" i="31" s="1"/>
  <c r="G9" i="31"/>
  <c r="H9" i="31" s="1"/>
  <c r="E9" i="31"/>
  <c r="F9" i="31" s="1"/>
  <c r="M34" i="31"/>
  <c r="N34" i="31" s="1"/>
  <c r="I34" i="31"/>
  <c r="J34" i="31" s="1"/>
  <c r="G34" i="31"/>
  <c r="H34" i="31" s="1"/>
  <c r="E34" i="31"/>
  <c r="F34" i="31" s="1"/>
  <c r="U13" i="31"/>
  <c r="M13" i="31"/>
  <c r="N13" i="31" s="1"/>
  <c r="K13" i="31"/>
  <c r="L13" i="31" s="1"/>
  <c r="I13" i="31"/>
  <c r="J13" i="31" s="1"/>
  <c r="G13" i="31"/>
  <c r="H13" i="31" s="1"/>
  <c r="E13" i="31"/>
  <c r="F13" i="31" s="1"/>
  <c r="U10" i="31"/>
  <c r="M10" i="31"/>
  <c r="N10" i="31" s="1"/>
  <c r="I10" i="31"/>
  <c r="J10" i="31" s="1"/>
  <c r="G10" i="31"/>
  <c r="H10" i="31" s="1"/>
  <c r="E10" i="31"/>
  <c r="F10" i="31" s="1"/>
  <c r="U8" i="31"/>
  <c r="M8" i="31"/>
  <c r="N8" i="31" s="1"/>
  <c r="I8" i="31"/>
  <c r="J8" i="31" s="1"/>
  <c r="G8" i="31"/>
  <c r="H8" i="31" s="1"/>
  <c r="E8" i="31"/>
  <c r="F8" i="31" s="1"/>
  <c r="U7" i="31"/>
  <c r="M7" i="31"/>
  <c r="N7" i="31" s="1"/>
  <c r="I7" i="31"/>
  <c r="J7" i="31" s="1"/>
  <c r="G7" i="31"/>
  <c r="H7" i="31" s="1"/>
  <c r="E7" i="31"/>
  <c r="F7" i="31" s="1"/>
  <c r="U6" i="31"/>
  <c r="M6" i="31"/>
  <c r="N6" i="31" s="1"/>
  <c r="I6" i="31"/>
  <c r="J6" i="31" s="1"/>
  <c r="G6" i="31"/>
  <c r="H6" i="31" s="1"/>
  <c r="E6" i="31"/>
  <c r="F6" i="31" s="1"/>
  <c r="J305" i="39"/>
  <c r="K305" i="39" s="1"/>
  <c r="I305" i="39"/>
  <c r="N305" i="39" s="1"/>
  <c r="A305" i="39" s="1"/>
  <c r="J304" i="39"/>
  <c r="K304" i="39" s="1"/>
  <c r="I304" i="39"/>
  <c r="N304" i="39" s="1"/>
  <c r="A304" i="39" s="1"/>
  <c r="J303" i="39"/>
  <c r="K303" i="39" s="1"/>
  <c r="I303" i="39"/>
  <c r="N303" i="39" s="1"/>
  <c r="A303" i="39" s="1"/>
  <c r="J302" i="39"/>
  <c r="K302" i="39" s="1"/>
  <c r="I302" i="39"/>
  <c r="J301" i="39"/>
  <c r="K301" i="39" s="1"/>
  <c r="I301" i="39"/>
  <c r="J300" i="39"/>
  <c r="K300" i="39" s="1"/>
  <c r="I300" i="39"/>
  <c r="J299" i="39"/>
  <c r="K299" i="39" s="1"/>
  <c r="I299" i="39"/>
  <c r="N299" i="39" s="1"/>
  <c r="A299" i="39" s="1"/>
  <c r="J298" i="39"/>
  <c r="K298" i="39" s="1"/>
  <c r="I298" i="39"/>
  <c r="J297" i="39"/>
  <c r="K297" i="39" s="1"/>
  <c r="I297" i="39"/>
  <c r="N297" i="39" s="1"/>
  <c r="A297" i="39" s="1"/>
  <c r="J296" i="39"/>
  <c r="K296" i="39" s="1"/>
  <c r="I296" i="39"/>
  <c r="N296" i="39" s="1"/>
  <c r="A296" i="39" s="1"/>
  <c r="J295" i="39"/>
  <c r="K295" i="39" s="1"/>
  <c r="I295" i="39"/>
  <c r="N295" i="39" s="1"/>
  <c r="A295" i="39" s="1"/>
  <c r="J294" i="39"/>
  <c r="K294" i="39" s="1"/>
  <c r="I294" i="39"/>
  <c r="J293" i="39"/>
  <c r="K293" i="39" s="1"/>
  <c r="I293" i="39"/>
  <c r="J292" i="39"/>
  <c r="K292" i="39" s="1"/>
  <c r="I292" i="39"/>
  <c r="J291" i="39"/>
  <c r="K291" i="39" s="1"/>
  <c r="I291" i="39"/>
  <c r="N291" i="39" s="1"/>
  <c r="A291" i="39" s="1"/>
  <c r="J290" i="39"/>
  <c r="K290" i="39" s="1"/>
  <c r="I290" i="39"/>
  <c r="J289" i="39"/>
  <c r="K289" i="39" s="1"/>
  <c r="I289" i="39"/>
  <c r="N289" i="39" s="1"/>
  <c r="A289" i="39" s="1"/>
  <c r="J288" i="39"/>
  <c r="K288" i="39" s="1"/>
  <c r="I288" i="39"/>
  <c r="M288" i="39" s="1"/>
  <c r="J287" i="39"/>
  <c r="K287" i="39" s="1"/>
  <c r="I287" i="39"/>
  <c r="N287" i="39" s="1"/>
  <c r="A287" i="39" s="1"/>
  <c r="J286" i="39"/>
  <c r="K286" i="39" s="1"/>
  <c r="I286" i="39"/>
  <c r="N286" i="39" s="1"/>
  <c r="A286" i="39" s="1"/>
  <c r="J285" i="39"/>
  <c r="K285" i="39" s="1"/>
  <c r="I285" i="39"/>
  <c r="N285" i="39" s="1"/>
  <c r="A285" i="39" s="1"/>
  <c r="J284" i="39"/>
  <c r="K284" i="39" s="1"/>
  <c r="I284" i="39"/>
  <c r="J283" i="39"/>
  <c r="K283" i="39" s="1"/>
  <c r="I283" i="39"/>
  <c r="N283" i="39" s="1"/>
  <c r="A283" i="39" s="1"/>
  <c r="J282" i="39"/>
  <c r="K282" i="39" s="1"/>
  <c r="I282" i="39"/>
  <c r="N282" i="39" s="1"/>
  <c r="A282" i="39" s="1"/>
  <c r="J281" i="39"/>
  <c r="K281" i="39" s="1"/>
  <c r="I281" i="39"/>
  <c r="N281" i="39" s="1"/>
  <c r="A281" i="39" s="1"/>
  <c r="J280" i="39"/>
  <c r="K280" i="39" s="1"/>
  <c r="I280" i="39"/>
  <c r="M280" i="39" s="1"/>
  <c r="J279" i="39"/>
  <c r="K279" i="39" s="1"/>
  <c r="I279" i="39"/>
  <c r="N279" i="39" s="1"/>
  <c r="A279" i="39" s="1"/>
  <c r="J278" i="39"/>
  <c r="K278" i="39" s="1"/>
  <c r="I278" i="39"/>
  <c r="J277" i="39"/>
  <c r="K277" i="39" s="1"/>
  <c r="I277" i="39"/>
  <c r="N277" i="39" s="1"/>
  <c r="A277" i="39" s="1"/>
  <c r="J276" i="39"/>
  <c r="K276" i="39" s="1"/>
  <c r="I276" i="39"/>
  <c r="M276" i="39" s="1"/>
  <c r="J275" i="39"/>
  <c r="K275" i="39" s="1"/>
  <c r="I275" i="39"/>
  <c r="J274" i="39"/>
  <c r="K274" i="39" s="1"/>
  <c r="I274" i="39"/>
  <c r="J273" i="39"/>
  <c r="K273" i="39" s="1"/>
  <c r="I273" i="39"/>
  <c r="N273" i="39" s="1"/>
  <c r="A273" i="39" s="1"/>
  <c r="J272" i="39"/>
  <c r="K272" i="39" s="1"/>
  <c r="I272" i="39"/>
  <c r="M272" i="39" s="1"/>
  <c r="J271" i="39"/>
  <c r="K271" i="39" s="1"/>
  <c r="I271" i="39"/>
  <c r="N271" i="39" s="1"/>
  <c r="A271" i="39" s="1"/>
  <c r="J270" i="39"/>
  <c r="K270" i="39" s="1"/>
  <c r="I270" i="39"/>
  <c r="N270" i="39" s="1"/>
  <c r="A270" i="39"/>
  <c r="J269" i="39"/>
  <c r="K269" i="39" s="1"/>
  <c r="I269" i="39"/>
  <c r="N269" i="39" s="1"/>
  <c r="A269" i="39" s="1"/>
  <c r="J268" i="39"/>
  <c r="K268" i="39" s="1"/>
  <c r="I268" i="39"/>
  <c r="M268" i="39" s="1"/>
  <c r="J267" i="39"/>
  <c r="K267" i="39" s="1"/>
  <c r="I267" i="39"/>
  <c r="N267" i="39" s="1"/>
  <c r="A267" i="39" s="1"/>
  <c r="J266" i="39"/>
  <c r="K266" i="39" s="1"/>
  <c r="I266" i="39"/>
  <c r="J265" i="39"/>
  <c r="K265" i="39" s="1"/>
  <c r="I265" i="39"/>
  <c r="J264" i="39"/>
  <c r="K264" i="39" s="1"/>
  <c r="I264" i="39"/>
  <c r="N264" i="39" s="1"/>
  <c r="A264" i="39" s="1"/>
  <c r="J263" i="39"/>
  <c r="K263" i="39" s="1"/>
  <c r="I263" i="39"/>
  <c r="J262" i="39"/>
  <c r="K262" i="39" s="1"/>
  <c r="I262" i="39"/>
  <c r="J261" i="39"/>
  <c r="K261" i="39" s="1"/>
  <c r="I261" i="39"/>
  <c r="J260" i="39"/>
  <c r="K260" i="39" s="1"/>
  <c r="I260" i="39"/>
  <c r="N260" i="39" s="1"/>
  <c r="A260" i="39" s="1"/>
  <c r="J259" i="39"/>
  <c r="K259" i="39" s="1"/>
  <c r="I259" i="39"/>
  <c r="J258" i="39"/>
  <c r="K258" i="39" s="1"/>
  <c r="I258" i="39"/>
  <c r="J257" i="39"/>
  <c r="K257" i="39" s="1"/>
  <c r="I257" i="39"/>
  <c r="J256" i="39"/>
  <c r="K256" i="39" s="1"/>
  <c r="I256" i="39"/>
  <c r="J255" i="39"/>
  <c r="K255" i="39" s="1"/>
  <c r="I255" i="39"/>
  <c r="J254" i="39"/>
  <c r="K254" i="39" s="1"/>
  <c r="I254" i="39"/>
  <c r="J253" i="39"/>
  <c r="K253" i="39" s="1"/>
  <c r="I253" i="39"/>
  <c r="M253" i="39" s="1"/>
  <c r="N253" i="39" s="1"/>
  <c r="A253" i="39" s="1"/>
  <c r="J252" i="39"/>
  <c r="K252" i="39" s="1"/>
  <c r="I252" i="39"/>
  <c r="M252" i="39" s="1"/>
  <c r="N252" i="39" s="1"/>
  <c r="A252" i="39" s="1"/>
  <c r="J251" i="39"/>
  <c r="K251" i="39" s="1"/>
  <c r="I251" i="39"/>
  <c r="M251" i="39" s="1"/>
  <c r="J250" i="39"/>
  <c r="K250" i="39" s="1"/>
  <c r="I250" i="39"/>
  <c r="B250" i="39"/>
  <c r="J249" i="39"/>
  <c r="K249" i="39" s="1"/>
  <c r="I249" i="39"/>
  <c r="B249" i="39"/>
  <c r="J248" i="39"/>
  <c r="K248" i="39" s="1"/>
  <c r="I248" i="39"/>
  <c r="M248" i="39" s="1"/>
  <c r="B248" i="39"/>
  <c r="J247" i="39"/>
  <c r="K247" i="39" s="1"/>
  <c r="I247" i="39"/>
  <c r="B247" i="39"/>
  <c r="J246" i="39"/>
  <c r="K246" i="39" s="1"/>
  <c r="I246" i="39"/>
  <c r="M246" i="39" s="1"/>
  <c r="N246" i="39" s="1"/>
  <c r="A246" i="39" s="1"/>
  <c r="B246" i="39"/>
  <c r="J245" i="39"/>
  <c r="K245" i="39" s="1"/>
  <c r="I245" i="39"/>
  <c r="B245" i="39"/>
  <c r="J244" i="39"/>
  <c r="K244" i="39" s="1"/>
  <c r="I244" i="39"/>
  <c r="B244" i="39"/>
  <c r="J243" i="39"/>
  <c r="K243" i="39" s="1"/>
  <c r="I243" i="39"/>
  <c r="B243" i="39"/>
  <c r="J242" i="39"/>
  <c r="K242" i="39" s="1"/>
  <c r="I242" i="39"/>
  <c r="B242" i="39"/>
  <c r="J241" i="39"/>
  <c r="K241" i="39" s="1"/>
  <c r="I241" i="39"/>
  <c r="B241" i="39"/>
  <c r="J240" i="39"/>
  <c r="K240" i="39" s="1"/>
  <c r="I240" i="39"/>
  <c r="M240" i="39" s="1"/>
  <c r="B240" i="39"/>
  <c r="J239" i="39"/>
  <c r="K239" i="39" s="1"/>
  <c r="I239" i="39"/>
  <c r="B239" i="39"/>
  <c r="J238" i="39"/>
  <c r="K238" i="39" s="1"/>
  <c r="I238" i="39"/>
  <c r="B238" i="39"/>
  <c r="J237" i="39"/>
  <c r="K237" i="39" s="1"/>
  <c r="I237" i="39"/>
  <c r="B237" i="39"/>
  <c r="J236" i="39"/>
  <c r="K236" i="39" s="1"/>
  <c r="I236" i="39"/>
  <c r="B236" i="39"/>
  <c r="J235" i="39"/>
  <c r="K235" i="39" s="1"/>
  <c r="I235" i="39"/>
  <c r="B235" i="39"/>
  <c r="J234" i="39"/>
  <c r="K234" i="39" s="1"/>
  <c r="I234" i="39"/>
  <c r="B234" i="39"/>
  <c r="J233" i="39"/>
  <c r="K233" i="39" s="1"/>
  <c r="I233" i="39"/>
  <c r="B233" i="39"/>
  <c r="J232" i="39"/>
  <c r="K232" i="39" s="1"/>
  <c r="I232" i="39"/>
  <c r="B232" i="39"/>
  <c r="J231" i="39"/>
  <c r="K231" i="39" s="1"/>
  <c r="I231" i="39"/>
  <c r="B231" i="39"/>
  <c r="J230" i="39"/>
  <c r="K230" i="39" s="1"/>
  <c r="I230" i="39"/>
  <c r="M230" i="39" s="1"/>
  <c r="B230" i="39"/>
  <c r="J229" i="39"/>
  <c r="K229" i="39" s="1"/>
  <c r="I229" i="39"/>
  <c r="J228" i="39"/>
  <c r="K228" i="39" s="1"/>
  <c r="I228" i="39"/>
  <c r="J227" i="39"/>
  <c r="K227" i="39" s="1"/>
  <c r="I227" i="39"/>
  <c r="J226" i="39"/>
  <c r="K226" i="39" s="1"/>
  <c r="I226" i="39"/>
  <c r="M226" i="39" s="1"/>
  <c r="J225" i="39"/>
  <c r="K225" i="39" s="1"/>
  <c r="I225" i="39"/>
  <c r="J224" i="39"/>
  <c r="K224" i="39" s="1"/>
  <c r="I224" i="39"/>
  <c r="J223" i="39"/>
  <c r="K223" i="39" s="1"/>
  <c r="I223" i="39"/>
  <c r="J222" i="39"/>
  <c r="K222" i="39" s="1"/>
  <c r="I222" i="39"/>
  <c r="M222" i="39" s="1"/>
  <c r="N222" i="39" s="1"/>
  <c r="A222" i="39" s="1"/>
  <c r="J221" i="39"/>
  <c r="K221" i="39" s="1"/>
  <c r="I221" i="39"/>
  <c r="J220" i="39"/>
  <c r="K220" i="39" s="1"/>
  <c r="I220" i="39"/>
  <c r="J219" i="39"/>
  <c r="K219" i="39" s="1"/>
  <c r="I219" i="39"/>
  <c r="J218" i="39"/>
  <c r="K218" i="39" s="1"/>
  <c r="I218" i="39"/>
  <c r="J217" i="39"/>
  <c r="K217" i="39" s="1"/>
  <c r="I217" i="39"/>
  <c r="J216" i="39"/>
  <c r="K216" i="39" s="1"/>
  <c r="I216" i="39"/>
  <c r="J215" i="39"/>
  <c r="K215" i="39" s="1"/>
  <c r="I215" i="39"/>
  <c r="J214" i="39"/>
  <c r="K214" i="39" s="1"/>
  <c r="I214" i="39"/>
  <c r="M214" i="39" s="1"/>
  <c r="N214" i="39" s="1"/>
  <c r="A214" i="39" s="1"/>
  <c r="J213" i="39"/>
  <c r="K213" i="39" s="1"/>
  <c r="I213" i="39"/>
  <c r="J212" i="39"/>
  <c r="K212" i="39" s="1"/>
  <c r="I212" i="39"/>
  <c r="J211" i="39"/>
  <c r="K211" i="39" s="1"/>
  <c r="I211" i="39"/>
  <c r="J210" i="39"/>
  <c r="K210" i="39" s="1"/>
  <c r="I210" i="39"/>
  <c r="J209" i="39"/>
  <c r="K209" i="39" s="1"/>
  <c r="I209" i="39"/>
  <c r="J208" i="39"/>
  <c r="K208" i="39" s="1"/>
  <c r="I208" i="39"/>
  <c r="M208" i="39" s="1"/>
  <c r="J207" i="39"/>
  <c r="K207" i="39" s="1"/>
  <c r="I207" i="39"/>
  <c r="J206" i="39"/>
  <c r="K206" i="39" s="1"/>
  <c r="I206" i="39"/>
  <c r="J205" i="39"/>
  <c r="K205" i="39" s="1"/>
  <c r="I205" i="39"/>
  <c r="J204" i="39"/>
  <c r="K204" i="39" s="1"/>
  <c r="I204" i="39"/>
  <c r="J203" i="39"/>
  <c r="K203" i="39" s="1"/>
  <c r="I203" i="39"/>
  <c r="J202" i="39"/>
  <c r="K202" i="39" s="1"/>
  <c r="I202" i="39"/>
  <c r="M202" i="39" s="1"/>
  <c r="J201" i="39"/>
  <c r="K201" i="39" s="1"/>
  <c r="I201" i="39"/>
  <c r="J200" i="39"/>
  <c r="K200" i="39" s="1"/>
  <c r="I200" i="39"/>
  <c r="J199" i="39"/>
  <c r="K199" i="39" s="1"/>
  <c r="I199" i="39"/>
  <c r="J198" i="39"/>
  <c r="K198" i="39" s="1"/>
  <c r="I198" i="39"/>
  <c r="J197" i="39"/>
  <c r="K197" i="39" s="1"/>
  <c r="I197" i="39"/>
  <c r="J196" i="39"/>
  <c r="K196" i="39" s="1"/>
  <c r="I196" i="39"/>
  <c r="J195" i="39"/>
  <c r="K195" i="39" s="1"/>
  <c r="I195" i="39"/>
  <c r="J194" i="39"/>
  <c r="K194" i="39" s="1"/>
  <c r="I194" i="39"/>
  <c r="M194" i="39" s="1"/>
  <c r="J193" i="39"/>
  <c r="K193" i="39" s="1"/>
  <c r="I193" i="39"/>
  <c r="J192" i="39"/>
  <c r="K192" i="39" s="1"/>
  <c r="I192" i="39"/>
  <c r="J191" i="39"/>
  <c r="K191" i="39" s="1"/>
  <c r="I191" i="39"/>
  <c r="J190" i="39"/>
  <c r="K190" i="39" s="1"/>
  <c r="I190" i="39"/>
  <c r="M190" i="39" s="1"/>
  <c r="N190" i="39" s="1"/>
  <c r="A190" i="39" s="1"/>
  <c r="J189" i="39"/>
  <c r="K189" i="39" s="1"/>
  <c r="I189" i="39"/>
  <c r="M189" i="39" s="1"/>
  <c r="J188" i="39"/>
  <c r="K188" i="39" s="1"/>
  <c r="I188" i="39"/>
  <c r="J187" i="39"/>
  <c r="K187" i="39" s="1"/>
  <c r="I187" i="39"/>
  <c r="J186" i="39"/>
  <c r="K186" i="39" s="1"/>
  <c r="I186" i="39"/>
  <c r="J185" i="39"/>
  <c r="K185" i="39" s="1"/>
  <c r="I185" i="39"/>
  <c r="J184" i="39"/>
  <c r="K184" i="39" s="1"/>
  <c r="I184" i="39"/>
  <c r="M184" i="39" s="1"/>
  <c r="J183" i="39"/>
  <c r="K183" i="39" s="1"/>
  <c r="I183" i="39"/>
  <c r="J182" i="39"/>
  <c r="K182" i="39" s="1"/>
  <c r="I182" i="39"/>
  <c r="M182" i="39" s="1"/>
  <c r="N182" i="39" s="1"/>
  <c r="A182" i="39" s="1"/>
  <c r="J181" i="39"/>
  <c r="K181" i="39" s="1"/>
  <c r="I181" i="39"/>
  <c r="J180" i="39"/>
  <c r="K180" i="39" s="1"/>
  <c r="I180" i="39"/>
  <c r="J179" i="39"/>
  <c r="K179" i="39" s="1"/>
  <c r="I179" i="39"/>
  <c r="J178" i="39"/>
  <c r="K178" i="39" s="1"/>
  <c r="I178" i="39"/>
  <c r="J177" i="39"/>
  <c r="K177" i="39" s="1"/>
  <c r="I177" i="39"/>
  <c r="J176" i="39"/>
  <c r="K176" i="39" s="1"/>
  <c r="I176" i="39"/>
  <c r="M176" i="39" s="1"/>
  <c r="J175" i="39"/>
  <c r="K175" i="39" s="1"/>
  <c r="I175" i="39"/>
  <c r="J174" i="39"/>
  <c r="K174" i="39" s="1"/>
  <c r="I174" i="39"/>
  <c r="M174" i="39" s="1"/>
  <c r="N174" i="39" s="1"/>
  <c r="A174" i="39" s="1"/>
  <c r="J173" i="39"/>
  <c r="K173" i="39" s="1"/>
  <c r="I173" i="39"/>
  <c r="J172" i="39"/>
  <c r="K172" i="39" s="1"/>
  <c r="I172" i="39"/>
  <c r="J171" i="39"/>
  <c r="K171" i="39" s="1"/>
  <c r="I171" i="39"/>
  <c r="M171" i="39" s="1"/>
  <c r="J170" i="39"/>
  <c r="K170" i="39" s="1"/>
  <c r="I170" i="39"/>
  <c r="J169" i="39"/>
  <c r="K169" i="39" s="1"/>
  <c r="I169" i="39"/>
  <c r="J168" i="39"/>
  <c r="K168" i="39" s="1"/>
  <c r="I168" i="39"/>
  <c r="J167" i="39"/>
  <c r="K167" i="39" s="1"/>
  <c r="I167" i="39"/>
  <c r="J166" i="39"/>
  <c r="K166" i="39" s="1"/>
  <c r="I166" i="39"/>
  <c r="M166" i="39" s="1"/>
  <c r="N166" i="39" s="1"/>
  <c r="A166" i="39" s="1"/>
  <c r="J165" i="39"/>
  <c r="K165" i="39" s="1"/>
  <c r="I165" i="39"/>
  <c r="J164" i="39"/>
  <c r="K164" i="39" s="1"/>
  <c r="I164" i="39"/>
  <c r="M164" i="39" s="1"/>
  <c r="J163" i="39"/>
  <c r="K163" i="39" s="1"/>
  <c r="I163" i="39"/>
  <c r="M163" i="39" s="1"/>
  <c r="J162" i="39"/>
  <c r="K162" i="39" s="1"/>
  <c r="I162" i="39"/>
  <c r="J161" i="39"/>
  <c r="K161" i="39" s="1"/>
  <c r="I161" i="39"/>
  <c r="J160" i="39"/>
  <c r="K160" i="39" s="1"/>
  <c r="I160" i="39"/>
  <c r="M160" i="39" s="1"/>
  <c r="J159" i="39"/>
  <c r="K159" i="39" s="1"/>
  <c r="I159" i="39"/>
  <c r="J158" i="39"/>
  <c r="K158" i="39" s="1"/>
  <c r="I158" i="39"/>
  <c r="M158" i="39" s="1"/>
  <c r="J157" i="39"/>
  <c r="K157" i="39" s="1"/>
  <c r="I157" i="39"/>
  <c r="J156" i="39"/>
  <c r="K156" i="39" s="1"/>
  <c r="I156" i="39"/>
  <c r="J155" i="39"/>
  <c r="K155" i="39" s="1"/>
  <c r="I155" i="39"/>
  <c r="J154" i="39"/>
  <c r="K154" i="39" s="1"/>
  <c r="I154" i="39"/>
  <c r="J153" i="39"/>
  <c r="K153" i="39" s="1"/>
  <c r="I153" i="39"/>
  <c r="J152" i="39"/>
  <c r="K152" i="39" s="1"/>
  <c r="I152" i="39"/>
  <c r="M152" i="39" s="1"/>
  <c r="J151" i="39"/>
  <c r="K151" i="39" s="1"/>
  <c r="I151" i="39"/>
  <c r="J150" i="39"/>
  <c r="K150" i="39" s="1"/>
  <c r="I150" i="39"/>
  <c r="M150" i="39" s="1"/>
  <c r="N150" i="39" s="1"/>
  <c r="A150" i="39" s="1"/>
  <c r="J149" i="39"/>
  <c r="K149" i="39" s="1"/>
  <c r="I149" i="39"/>
  <c r="J148" i="39"/>
  <c r="K148" i="39" s="1"/>
  <c r="I148" i="39"/>
  <c r="J147" i="39"/>
  <c r="K147" i="39" s="1"/>
  <c r="I147" i="39"/>
  <c r="J146" i="39"/>
  <c r="K146" i="39" s="1"/>
  <c r="I146" i="39"/>
  <c r="J145" i="39"/>
  <c r="K145" i="39" s="1"/>
  <c r="I145" i="39"/>
  <c r="J144" i="39"/>
  <c r="K144" i="39" s="1"/>
  <c r="I144" i="39"/>
  <c r="J143" i="39"/>
  <c r="K143" i="39" s="1"/>
  <c r="I143" i="39"/>
  <c r="J142" i="39"/>
  <c r="K142" i="39" s="1"/>
  <c r="I142" i="39"/>
  <c r="J141" i="39"/>
  <c r="K141" i="39" s="1"/>
  <c r="I141" i="39"/>
  <c r="M141" i="39" s="1"/>
  <c r="N141" i="39" s="1"/>
  <c r="A141" i="39" s="1"/>
  <c r="J140" i="39"/>
  <c r="K140" i="39" s="1"/>
  <c r="I140" i="39"/>
  <c r="J139" i="39"/>
  <c r="K139" i="39" s="1"/>
  <c r="I139" i="39"/>
  <c r="J138" i="39"/>
  <c r="K138" i="39" s="1"/>
  <c r="I138" i="39"/>
  <c r="M138" i="39" s="1"/>
  <c r="J137" i="39"/>
  <c r="K137" i="39" s="1"/>
  <c r="I137" i="39"/>
  <c r="M137" i="39" s="1"/>
  <c r="N137" i="39" s="1"/>
  <c r="A137" i="39" s="1"/>
  <c r="J136" i="39"/>
  <c r="K136" i="39" s="1"/>
  <c r="I136" i="39"/>
  <c r="J135" i="39"/>
  <c r="K135" i="39" s="1"/>
  <c r="I135" i="39"/>
  <c r="J134" i="39"/>
  <c r="K134" i="39" s="1"/>
  <c r="I134" i="39"/>
  <c r="M134" i="39" s="1"/>
  <c r="N134" i="39" s="1"/>
  <c r="A134" i="39" s="1"/>
  <c r="J133" i="39"/>
  <c r="K133" i="39" s="1"/>
  <c r="I133" i="39"/>
  <c r="J132" i="39"/>
  <c r="K132" i="39" s="1"/>
  <c r="I132" i="39"/>
  <c r="J131" i="39"/>
  <c r="K131" i="39" s="1"/>
  <c r="I131" i="39"/>
  <c r="J130" i="39"/>
  <c r="K130" i="39" s="1"/>
  <c r="I130" i="39"/>
  <c r="J129" i="39"/>
  <c r="K129" i="39" s="1"/>
  <c r="I129" i="39"/>
  <c r="J128" i="39"/>
  <c r="K128" i="39" s="1"/>
  <c r="I128" i="39"/>
  <c r="J127" i="39"/>
  <c r="K127" i="39" s="1"/>
  <c r="I127" i="39"/>
  <c r="J126" i="39"/>
  <c r="K126" i="39" s="1"/>
  <c r="I126" i="39"/>
  <c r="J125" i="39"/>
  <c r="K125" i="39" s="1"/>
  <c r="I125" i="39"/>
  <c r="J124" i="39"/>
  <c r="K124" i="39" s="1"/>
  <c r="I124" i="39"/>
  <c r="J123" i="39"/>
  <c r="K123" i="39" s="1"/>
  <c r="I123" i="39"/>
  <c r="J122" i="39"/>
  <c r="K122" i="39" s="1"/>
  <c r="I122" i="39"/>
  <c r="J121" i="39"/>
  <c r="K121" i="39" s="1"/>
  <c r="I121" i="39"/>
  <c r="J120" i="39"/>
  <c r="K120" i="39" s="1"/>
  <c r="I120" i="39"/>
  <c r="J119" i="39"/>
  <c r="K119" i="39" s="1"/>
  <c r="I119" i="39"/>
  <c r="J118" i="39"/>
  <c r="K118" i="39" s="1"/>
  <c r="I118" i="39"/>
  <c r="M118" i="39" s="1"/>
  <c r="N118" i="39" s="1"/>
  <c r="A118" i="39" s="1"/>
  <c r="J117" i="39"/>
  <c r="K117" i="39" s="1"/>
  <c r="I117" i="39"/>
  <c r="M117" i="39" s="1"/>
  <c r="J116" i="39"/>
  <c r="K116" i="39" s="1"/>
  <c r="I116" i="39"/>
  <c r="J115" i="39"/>
  <c r="K115" i="39" s="1"/>
  <c r="I115" i="39"/>
  <c r="J114" i="39"/>
  <c r="K114" i="39" s="1"/>
  <c r="I114" i="39"/>
  <c r="J113" i="39"/>
  <c r="K113" i="39" s="1"/>
  <c r="I113" i="39"/>
  <c r="J112" i="39"/>
  <c r="K112" i="39" s="1"/>
  <c r="I112" i="39"/>
  <c r="J111" i="39"/>
  <c r="K111" i="39" s="1"/>
  <c r="I111" i="39"/>
  <c r="J110" i="39"/>
  <c r="K110" i="39" s="1"/>
  <c r="I110" i="39"/>
  <c r="J109" i="39"/>
  <c r="K109" i="39" s="1"/>
  <c r="I109" i="39"/>
  <c r="J108" i="39"/>
  <c r="K108" i="39" s="1"/>
  <c r="I108" i="39"/>
  <c r="J107" i="39"/>
  <c r="K107" i="39" s="1"/>
  <c r="I107" i="39"/>
  <c r="J106" i="39"/>
  <c r="K106" i="39" s="1"/>
  <c r="I106" i="39"/>
  <c r="J105" i="39"/>
  <c r="K105" i="39" s="1"/>
  <c r="I105" i="39"/>
  <c r="J104" i="39"/>
  <c r="K104" i="39" s="1"/>
  <c r="I104" i="39"/>
  <c r="J103" i="39"/>
  <c r="K103" i="39" s="1"/>
  <c r="I103" i="39"/>
  <c r="J102" i="39"/>
  <c r="K102" i="39" s="1"/>
  <c r="I102" i="39"/>
  <c r="J101" i="39"/>
  <c r="K101" i="39" s="1"/>
  <c r="I101" i="39"/>
  <c r="J100" i="39"/>
  <c r="K100" i="39" s="1"/>
  <c r="I100" i="39"/>
  <c r="J99" i="39"/>
  <c r="K99" i="39" s="1"/>
  <c r="I99" i="39"/>
  <c r="J98" i="39"/>
  <c r="K98" i="39" s="1"/>
  <c r="I98" i="39"/>
  <c r="J97" i="39"/>
  <c r="K97" i="39" s="1"/>
  <c r="I97" i="39"/>
  <c r="J96" i="39"/>
  <c r="K96" i="39" s="1"/>
  <c r="I96" i="39"/>
  <c r="M96" i="39" s="1"/>
  <c r="N96" i="39" s="1"/>
  <c r="A96" i="39" s="1"/>
  <c r="J95" i="39"/>
  <c r="K95" i="39" s="1"/>
  <c r="I95" i="39"/>
  <c r="J94" i="39"/>
  <c r="K94" i="39" s="1"/>
  <c r="I94" i="39"/>
  <c r="J93" i="39"/>
  <c r="K93" i="39" s="1"/>
  <c r="I93" i="39"/>
  <c r="M93" i="39" s="1"/>
  <c r="J92" i="39"/>
  <c r="K92" i="39" s="1"/>
  <c r="I92" i="39"/>
  <c r="J91" i="39"/>
  <c r="K91" i="39" s="1"/>
  <c r="I91" i="39"/>
  <c r="J90" i="39"/>
  <c r="K90" i="39" s="1"/>
  <c r="I90" i="39"/>
  <c r="J89" i="39"/>
  <c r="K89" i="39" s="1"/>
  <c r="I89" i="39"/>
  <c r="J88" i="39"/>
  <c r="K88" i="39" s="1"/>
  <c r="I88" i="39"/>
  <c r="J87" i="39"/>
  <c r="K87" i="39" s="1"/>
  <c r="I87" i="39"/>
  <c r="J86" i="39"/>
  <c r="K86" i="39" s="1"/>
  <c r="I86" i="39"/>
  <c r="J85" i="39"/>
  <c r="K85" i="39" s="1"/>
  <c r="I85" i="39"/>
  <c r="J84" i="39"/>
  <c r="K84" i="39" s="1"/>
  <c r="I84" i="39"/>
  <c r="J83" i="39"/>
  <c r="K83" i="39" s="1"/>
  <c r="I83" i="39"/>
  <c r="J82" i="39"/>
  <c r="K82" i="39" s="1"/>
  <c r="I82" i="39"/>
  <c r="J81" i="39"/>
  <c r="K81" i="39" s="1"/>
  <c r="I81" i="39"/>
  <c r="J80" i="39"/>
  <c r="K80" i="39" s="1"/>
  <c r="I80" i="39"/>
  <c r="J79" i="39"/>
  <c r="K79" i="39" s="1"/>
  <c r="I79" i="39"/>
  <c r="J78" i="39"/>
  <c r="K78" i="39" s="1"/>
  <c r="I78" i="39"/>
  <c r="J77" i="39"/>
  <c r="K77" i="39" s="1"/>
  <c r="I77" i="39"/>
  <c r="J76" i="39"/>
  <c r="K76" i="39" s="1"/>
  <c r="I76" i="39"/>
  <c r="J75" i="39"/>
  <c r="K75" i="39" s="1"/>
  <c r="I75" i="39"/>
  <c r="J74" i="39"/>
  <c r="K74" i="39" s="1"/>
  <c r="I74" i="39"/>
  <c r="J73" i="39"/>
  <c r="K73" i="39" s="1"/>
  <c r="I73" i="39"/>
  <c r="J72" i="39"/>
  <c r="K72" i="39" s="1"/>
  <c r="I72" i="39"/>
  <c r="J71" i="39"/>
  <c r="K71" i="39" s="1"/>
  <c r="I71" i="39"/>
  <c r="J70" i="39"/>
  <c r="K70" i="39" s="1"/>
  <c r="I70" i="39"/>
  <c r="J69" i="39"/>
  <c r="K69" i="39" s="1"/>
  <c r="I69" i="39"/>
  <c r="J68" i="39"/>
  <c r="K68" i="39" s="1"/>
  <c r="I68" i="39"/>
  <c r="J67" i="39"/>
  <c r="K67" i="39" s="1"/>
  <c r="I67" i="39"/>
  <c r="J66" i="39"/>
  <c r="K66" i="39" s="1"/>
  <c r="I66" i="39"/>
  <c r="J65" i="39"/>
  <c r="K65" i="39" s="1"/>
  <c r="I65" i="39"/>
  <c r="J64" i="39"/>
  <c r="K64" i="39" s="1"/>
  <c r="I64" i="39"/>
  <c r="J63" i="39"/>
  <c r="K63" i="39" s="1"/>
  <c r="I63" i="39"/>
  <c r="J62" i="39"/>
  <c r="K62" i="39" s="1"/>
  <c r="I62" i="39"/>
  <c r="J61" i="39"/>
  <c r="K61" i="39" s="1"/>
  <c r="I61" i="39"/>
  <c r="M61" i="39" s="1"/>
  <c r="J60" i="39"/>
  <c r="K60" i="39" s="1"/>
  <c r="I60" i="39"/>
  <c r="J59" i="39"/>
  <c r="K59" i="39" s="1"/>
  <c r="I59" i="39"/>
  <c r="J58" i="39"/>
  <c r="K58" i="39" s="1"/>
  <c r="I58" i="39"/>
  <c r="J57" i="39"/>
  <c r="K57" i="39" s="1"/>
  <c r="I57" i="39"/>
  <c r="J56" i="39"/>
  <c r="K56" i="39" s="1"/>
  <c r="I56" i="39"/>
  <c r="J55" i="39"/>
  <c r="K55" i="39" s="1"/>
  <c r="I55" i="39"/>
  <c r="J54" i="39"/>
  <c r="K54" i="39" s="1"/>
  <c r="I54" i="39"/>
  <c r="J53" i="39"/>
  <c r="K53" i="39" s="1"/>
  <c r="I53" i="39"/>
  <c r="J52" i="39"/>
  <c r="K52" i="39" s="1"/>
  <c r="I52" i="39"/>
  <c r="J51" i="39"/>
  <c r="K51" i="39" s="1"/>
  <c r="I51" i="39"/>
  <c r="J50" i="39"/>
  <c r="K50" i="39" s="1"/>
  <c r="I50" i="39"/>
  <c r="J49" i="39"/>
  <c r="K49" i="39" s="1"/>
  <c r="I49" i="39"/>
  <c r="J48" i="39"/>
  <c r="K48" i="39" s="1"/>
  <c r="I48" i="39"/>
  <c r="J47" i="39"/>
  <c r="K47" i="39" s="1"/>
  <c r="I47" i="39"/>
  <c r="J46" i="39"/>
  <c r="K46" i="39" s="1"/>
  <c r="I46" i="39"/>
  <c r="J45" i="39"/>
  <c r="K45" i="39" s="1"/>
  <c r="I45" i="39"/>
  <c r="J44" i="39"/>
  <c r="K44" i="39" s="1"/>
  <c r="I44" i="39"/>
  <c r="J43" i="39"/>
  <c r="K43" i="39" s="1"/>
  <c r="I43" i="39"/>
  <c r="J42" i="39"/>
  <c r="K42" i="39" s="1"/>
  <c r="I42" i="39"/>
  <c r="J41" i="39"/>
  <c r="K41" i="39" s="1"/>
  <c r="I41" i="39"/>
  <c r="J40" i="39"/>
  <c r="K40" i="39" s="1"/>
  <c r="I40" i="39"/>
  <c r="J39" i="39"/>
  <c r="K39" i="39" s="1"/>
  <c r="I39" i="39"/>
  <c r="J38" i="39"/>
  <c r="K38" i="39" s="1"/>
  <c r="I38" i="39"/>
  <c r="J37" i="39"/>
  <c r="K37" i="39" s="1"/>
  <c r="I37" i="39"/>
  <c r="J36" i="39"/>
  <c r="K36" i="39" s="1"/>
  <c r="I36" i="39"/>
  <c r="J35" i="39"/>
  <c r="K35" i="39" s="1"/>
  <c r="I35" i="39"/>
  <c r="J34" i="39"/>
  <c r="K34" i="39" s="1"/>
  <c r="I34" i="39"/>
  <c r="J33" i="39"/>
  <c r="K33" i="39" s="1"/>
  <c r="I33" i="39"/>
  <c r="J32" i="39"/>
  <c r="K32" i="39" s="1"/>
  <c r="I32" i="39"/>
  <c r="J31" i="39"/>
  <c r="K31" i="39" s="1"/>
  <c r="I31" i="39"/>
  <c r="J30" i="39"/>
  <c r="K30" i="39" s="1"/>
  <c r="I30" i="39"/>
  <c r="J29" i="39"/>
  <c r="K29" i="39" s="1"/>
  <c r="I29" i="39"/>
  <c r="J28" i="39"/>
  <c r="K28" i="39" s="1"/>
  <c r="I28" i="39"/>
  <c r="J27" i="39"/>
  <c r="K27" i="39" s="1"/>
  <c r="I27" i="39"/>
  <c r="J26" i="39"/>
  <c r="K26" i="39" s="1"/>
  <c r="I26" i="39"/>
  <c r="J25" i="39"/>
  <c r="K25" i="39" s="1"/>
  <c r="I25" i="39"/>
  <c r="M25" i="39" s="1"/>
  <c r="J24" i="39"/>
  <c r="K24" i="39" s="1"/>
  <c r="I24" i="39"/>
  <c r="M24" i="39" s="1"/>
  <c r="N24" i="39" s="1"/>
  <c r="A24" i="39" s="1"/>
  <c r="J23" i="39"/>
  <c r="K23" i="39" s="1"/>
  <c r="I23" i="39"/>
  <c r="J22" i="39"/>
  <c r="K22" i="39" s="1"/>
  <c r="I22" i="39"/>
  <c r="J21" i="39"/>
  <c r="K21" i="39" s="1"/>
  <c r="I21" i="39"/>
  <c r="J20" i="39"/>
  <c r="K20" i="39" s="1"/>
  <c r="I20" i="39"/>
  <c r="J19" i="39"/>
  <c r="K19" i="39" s="1"/>
  <c r="I19" i="39"/>
  <c r="J18" i="39"/>
  <c r="K18" i="39" s="1"/>
  <c r="I18" i="39"/>
  <c r="J17" i="39"/>
  <c r="K17" i="39" s="1"/>
  <c r="I17" i="39"/>
  <c r="J16" i="39"/>
  <c r="K16" i="39" s="1"/>
  <c r="I16" i="39"/>
  <c r="M16" i="39" s="1"/>
  <c r="J15" i="39"/>
  <c r="K15" i="39" s="1"/>
  <c r="I15" i="39"/>
  <c r="AJ14" i="39"/>
  <c r="AJ16" i="39" s="1"/>
  <c r="J14" i="39"/>
  <c r="K14" i="39" s="1"/>
  <c r="I14" i="39"/>
  <c r="AJ13" i="39"/>
  <c r="J13" i="39"/>
  <c r="K13" i="39" s="1"/>
  <c r="I13" i="39"/>
  <c r="AJ12" i="39"/>
  <c r="J12" i="39"/>
  <c r="K12" i="39" s="1"/>
  <c r="I12" i="39"/>
  <c r="J11" i="39"/>
  <c r="K11" i="39" s="1"/>
  <c r="I11" i="39"/>
  <c r="J10" i="39"/>
  <c r="K10" i="39" s="1"/>
  <c r="I10" i="39"/>
  <c r="J9" i="39"/>
  <c r="K9" i="39" s="1"/>
  <c r="I9" i="39"/>
  <c r="J8" i="39"/>
  <c r="K8" i="39" s="1"/>
  <c r="I8" i="39"/>
  <c r="J7" i="39"/>
  <c r="K7" i="39" s="1"/>
  <c r="I7" i="39"/>
  <c r="J6" i="39"/>
  <c r="K6" i="39" s="1"/>
  <c r="I6" i="39"/>
  <c r="K2" i="39"/>
  <c r="J305" i="38"/>
  <c r="K305" i="38" s="1"/>
  <c r="I305" i="38"/>
  <c r="M305" i="38" s="1"/>
  <c r="J304" i="38"/>
  <c r="K304" i="38" s="1"/>
  <c r="I304" i="38"/>
  <c r="M304" i="38" s="1"/>
  <c r="J303" i="38"/>
  <c r="K303" i="38" s="1"/>
  <c r="I303" i="38"/>
  <c r="M303" i="38" s="1"/>
  <c r="J302" i="38"/>
  <c r="K302" i="38" s="1"/>
  <c r="I302" i="38"/>
  <c r="M302" i="38" s="1"/>
  <c r="J301" i="38"/>
  <c r="K301" i="38" s="1"/>
  <c r="I301" i="38"/>
  <c r="M301" i="38" s="1"/>
  <c r="J300" i="38"/>
  <c r="K300" i="38" s="1"/>
  <c r="I300" i="38"/>
  <c r="M300" i="38" s="1"/>
  <c r="J299" i="38"/>
  <c r="K299" i="38" s="1"/>
  <c r="I299" i="38"/>
  <c r="M299" i="38" s="1"/>
  <c r="J298" i="38"/>
  <c r="K298" i="38" s="1"/>
  <c r="I298" i="38"/>
  <c r="M298" i="38" s="1"/>
  <c r="J297" i="38"/>
  <c r="K297" i="38" s="1"/>
  <c r="I297" i="38"/>
  <c r="M297" i="38" s="1"/>
  <c r="J296" i="38"/>
  <c r="K296" i="38" s="1"/>
  <c r="I296" i="38"/>
  <c r="M296" i="38" s="1"/>
  <c r="J295" i="38"/>
  <c r="K295" i="38" s="1"/>
  <c r="I295" i="38"/>
  <c r="M295" i="38" s="1"/>
  <c r="J294" i="38"/>
  <c r="K294" i="38" s="1"/>
  <c r="I294" i="38"/>
  <c r="M294" i="38" s="1"/>
  <c r="J293" i="38"/>
  <c r="K293" i="38" s="1"/>
  <c r="I293" i="38"/>
  <c r="M293" i="38" s="1"/>
  <c r="J292" i="38"/>
  <c r="K292" i="38" s="1"/>
  <c r="I292" i="38"/>
  <c r="M292" i="38" s="1"/>
  <c r="J291" i="38"/>
  <c r="K291" i="38" s="1"/>
  <c r="I291" i="38"/>
  <c r="M291" i="38" s="1"/>
  <c r="J290" i="38"/>
  <c r="K290" i="38" s="1"/>
  <c r="I290" i="38"/>
  <c r="M290" i="38" s="1"/>
  <c r="J289" i="38"/>
  <c r="K289" i="38" s="1"/>
  <c r="I289" i="38"/>
  <c r="M289" i="38" s="1"/>
  <c r="J288" i="38"/>
  <c r="K288" i="38" s="1"/>
  <c r="I288" i="38"/>
  <c r="M288" i="38" s="1"/>
  <c r="J287" i="38"/>
  <c r="K287" i="38" s="1"/>
  <c r="I287" i="38"/>
  <c r="M287" i="38" s="1"/>
  <c r="J286" i="38"/>
  <c r="K286" i="38" s="1"/>
  <c r="I286" i="38"/>
  <c r="M286" i="38" s="1"/>
  <c r="J285" i="38"/>
  <c r="K285" i="38" s="1"/>
  <c r="I285" i="38"/>
  <c r="M285" i="38" s="1"/>
  <c r="J284" i="38"/>
  <c r="K284" i="38" s="1"/>
  <c r="I284" i="38"/>
  <c r="M284" i="38" s="1"/>
  <c r="J283" i="38"/>
  <c r="K283" i="38" s="1"/>
  <c r="I283" i="38"/>
  <c r="M283" i="38" s="1"/>
  <c r="J282" i="38"/>
  <c r="K282" i="38" s="1"/>
  <c r="I282" i="38"/>
  <c r="M282" i="38" s="1"/>
  <c r="J281" i="38"/>
  <c r="K281" i="38" s="1"/>
  <c r="I281" i="38"/>
  <c r="M281" i="38" s="1"/>
  <c r="J280" i="38"/>
  <c r="K280" i="38" s="1"/>
  <c r="I280" i="38"/>
  <c r="M280" i="38" s="1"/>
  <c r="J279" i="38"/>
  <c r="K279" i="38" s="1"/>
  <c r="I279" i="38"/>
  <c r="M279" i="38" s="1"/>
  <c r="J278" i="38"/>
  <c r="K278" i="38" s="1"/>
  <c r="I278" i="38"/>
  <c r="M278" i="38" s="1"/>
  <c r="J277" i="38"/>
  <c r="K277" i="38" s="1"/>
  <c r="I277" i="38"/>
  <c r="M277" i="38" s="1"/>
  <c r="J276" i="38"/>
  <c r="K276" i="38" s="1"/>
  <c r="I276" i="38"/>
  <c r="M276" i="38" s="1"/>
  <c r="J275" i="38"/>
  <c r="K275" i="38" s="1"/>
  <c r="I275" i="38"/>
  <c r="M275" i="38" s="1"/>
  <c r="J274" i="38"/>
  <c r="K274" i="38" s="1"/>
  <c r="I274" i="38"/>
  <c r="M274" i="38" s="1"/>
  <c r="J273" i="38"/>
  <c r="K273" i="38" s="1"/>
  <c r="I273" i="38"/>
  <c r="M273" i="38" s="1"/>
  <c r="J272" i="38"/>
  <c r="K272" i="38" s="1"/>
  <c r="I272" i="38"/>
  <c r="M272" i="38" s="1"/>
  <c r="J271" i="38"/>
  <c r="K271" i="38" s="1"/>
  <c r="I271" i="38"/>
  <c r="M271" i="38" s="1"/>
  <c r="J270" i="38"/>
  <c r="K270" i="38" s="1"/>
  <c r="I270" i="38"/>
  <c r="M270" i="38" s="1"/>
  <c r="J269" i="38"/>
  <c r="K269" i="38" s="1"/>
  <c r="I269" i="38"/>
  <c r="M269" i="38" s="1"/>
  <c r="J268" i="38"/>
  <c r="K268" i="38" s="1"/>
  <c r="I268" i="38"/>
  <c r="M268" i="38" s="1"/>
  <c r="J267" i="38"/>
  <c r="K267" i="38" s="1"/>
  <c r="I267" i="38"/>
  <c r="M267" i="38" s="1"/>
  <c r="J266" i="38"/>
  <c r="K266" i="38" s="1"/>
  <c r="I266" i="38"/>
  <c r="M266" i="38" s="1"/>
  <c r="J265" i="38"/>
  <c r="K265" i="38" s="1"/>
  <c r="I265" i="38"/>
  <c r="M265" i="38" s="1"/>
  <c r="J264" i="38"/>
  <c r="K264" i="38" s="1"/>
  <c r="I264" i="38"/>
  <c r="M264" i="38" s="1"/>
  <c r="J263" i="38"/>
  <c r="K263" i="38" s="1"/>
  <c r="I263" i="38"/>
  <c r="M263" i="38" s="1"/>
  <c r="J262" i="38"/>
  <c r="K262" i="38" s="1"/>
  <c r="I262" i="38"/>
  <c r="M262" i="38" s="1"/>
  <c r="J261" i="38"/>
  <c r="K261" i="38" s="1"/>
  <c r="I261" i="38"/>
  <c r="M261" i="38" s="1"/>
  <c r="J260" i="38"/>
  <c r="K260" i="38" s="1"/>
  <c r="I260" i="38"/>
  <c r="M260" i="38" s="1"/>
  <c r="J259" i="38"/>
  <c r="K259" i="38" s="1"/>
  <c r="I259" i="38"/>
  <c r="M259" i="38" s="1"/>
  <c r="J258" i="38"/>
  <c r="K258" i="38" s="1"/>
  <c r="I258" i="38"/>
  <c r="M258" i="38" s="1"/>
  <c r="J257" i="38"/>
  <c r="K257" i="38" s="1"/>
  <c r="I257" i="38"/>
  <c r="M257" i="38" s="1"/>
  <c r="J256" i="38"/>
  <c r="K256" i="38" s="1"/>
  <c r="I256" i="38"/>
  <c r="M256" i="38" s="1"/>
  <c r="J255" i="38"/>
  <c r="K255" i="38" s="1"/>
  <c r="I255" i="38"/>
  <c r="M255" i="38" s="1"/>
  <c r="J254" i="38"/>
  <c r="K254" i="38" s="1"/>
  <c r="I254" i="38"/>
  <c r="M254" i="38" s="1"/>
  <c r="J253" i="38"/>
  <c r="K253" i="38" s="1"/>
  <c r="I253" i="38"/>
  <c r="M253" i="38" s="1"/>
  <c r="J252" i="38"/>
  <c r="K252" i="38" s="1"/>
  <c r="I252" i="38"/>
  <c r="M252" i="38" s="1"/>
  <c r="J251" i="38"/>
  <c r="K251" i="38" s="1"/>
  <c r="I251" i="38"/>
  <c r="M251" i="38" s="1"/>
  <c r="J250" i="38"/>
  <c r="K250" i="38" s="1"/>
  <c r="I250" i="38"/>
  <c r="M250" i="38" s="1"/>
  <c r="J249" i="38"/>
  <c r="K249" i="38" s="1"/>
  <c r="I249" i="38"/>
  <c r="M249" i="38" s="1"/>
  <c r="J248" i="38"/>
  <c r="K248" i="38" s="1"/>
  <c r="I248" i="38"/>
  <c r="M248" i="38" s="1"/>
  <c r="J247" i="38"/>
  <c r="K247" i="38" s="1"/>
  <c r="I247" i="38"/>
  <c r="M247" i="38" s="1"/>
  <c r="J246" i="38"/>
  <c r="K246" i="38" s="1"/>
  <c r="I246" i="38"/>
  <c r="M246" i="38" s="1"/>
  <c r="J245" i="38"/>
  <c r="K245" i="38" s="1"/>
  <c r="I245" i="38"/>
  <c r="M245" i="38" s="1"/>
  <c r="J244" i="38"/>
  <c r="K244" i="38" s="1"/>
  <c r="I244" i="38"/>
  <c r="M244" i="38" s="1"/>
  <c r="J243" i="38"/>
  <c r="K243" i="38" s="1"/>
  <c r="I243" i="38"/>
  <c r="M243" i="38" s="1"/>
  <c r="J242" i="38"/>
  <c r="K242" i="38" s="1"/>
  <c r="I242" i="38"/>
  <c r="M242" i="38" s="1"/>
  <c r="J241" i="38"/>
  <c r="K241" i="38" s="1"/>
  <c r="I241" i="38"/>
  <c r="M241" i="38" s="1"/>
  <c r="J240" i="38"/>
  <c r="K240" i="38" s="1"/>
  <c r="I240" i="38"/>
  <c r="M240" i="38" s="1"/>
  <c r="J239" i="38"/>
  <c r="K239" i="38" s="1"/>
  <c r="I239" i="38"/>
  <c r="M239" i="38" s="1"/>
  <c r="J238" i="38"/>
  <c r="K238" i="38" s="1"/>
  <c r="I238" i="38"/>
  <c r="M238" i="38" s="1"/>
  <c r="J237" i="38"/>
  <c r="K237" i="38" s="1"/>
  <c r="I237" i="38"/>
  <c r="M237" i="38" s="1"/>
  <c r="J236" i="38"/>
  <c r="K236" i="38" s="1"/>
  <c r="I236" i="38"/>
  <c r="M236" i="38" s="1"/>
  <c r="J235" i="38"/>
  <c r="K235" i="38" s="1"/>
  <c r="I235" i="38"/>
  <c r="M235" i="38" s="1"/>
  <c r="J234" i="38"/>
  <c r="K234" i="38" s="1"/>
  <c r="I234" i="38"/>
  <c r="M234" i="38" s="1"/>
  <c r="J233" i="38"/>
  <c r="K233" i="38" s="1"/>
  <c r="I233" i="38"/>
  <c r="M233" i="38" s="1"/>
  <c r="J232" i="38"/>
  <c r="K232" i="38" s="1"/>
  <c r="I232" i="38"/>
  <c r="M232" i="38" s="1"/>
  <c r="J231" i="38"/>
  <c r="K231" i="38" s="1"/>
  <c r="I231" i="38"/>
  <c r="M231" i="38" s="1"/>
  <c r="J230" i="38"/>
  <c r="K230" i="38" s="1"/>
  <c r="I230" i="38"/>
  <c r="M230" i="38" s="1"/>
  <c r="J229" i="38"/>
  <c r="K229" i="38" s="1"/>
  <c r="I229" i="38"/>
  <c r="M229" i="38" s="1"/>
  <c r="J228" i="38"/>
  <c r="K228" i="38" s="1"/>
  <c r="I228" i="38"/>
  <c r="M228" i="38" s="1"/>
  <c r="J227" i="38"/>
  <c r="K227" i="38" s="1"/>
  <c r="I227" i="38"/>
  <c r="M227" i="38" s="1"/>
  <c r="J226" i="38"/>
  <c r="K226" i="38" s="1"/>
  <c r="I226" i="38"/>
  <c r="M226" i="38" s="1"/>
  <c r="J225" i="38"/>
  <c r="K225" i="38" s="1"/>
  <c r="I225" i="38"/>
  <c r="M225" i="38" s="1"/>
  <c r="J224" i="38"/>
  <c r="K224" i="38" s="1"/>
  <c r="I224" i="38"/>
  <c r="M224" i="38" s="1"/>
  <c r="J223" i="38"/>
  <c r="K223" i="38" s="1"/>
  <c r="I223" i="38"/>
  <c r="M223" i="38" s="1"/>
  <c r="J222" i="38"/>
  <c r="K222" i="38" s="1"/>
  <c r="I222" i="38"/>
  <c r="M222" i="38" s="1"/>
  <c r="J221" i="38"/>
  <c r="K221" i="38" s="1"/>
  <c r="I221" i="38"/>
  <c r="M221" i="38" s="1"/>
  <c r="J220" i="38"/>
  <c r="K220" i="38" s="1"/>
  <c r="I220" i="38"/>
  <c r="M220" i="38" s="1"/>
  <c r="J219" i="38"/>
  <c r="K219" i="38" s="1"/>
  <c r="I219" i="38"/>
  <c r="M219" i="38" s="1"/>
  <c r="J218" i="38"/>
  <c r="K218" i="38" s="1"/>
  <c r="I218" i="38"/>
  <c r="M218" i="38" s="1"/>
  <c r="J217" i="38"/>
  <c r="K217" i="38" s="1"/>
  <c r="I217" i="38"/>
  <c r="M217" i="38" s="1"/>
  <c r="J216" i="38"/>
  <c r="K216" i="38" s="1"/>
  <c r="I216" i="38"/>
  <c r="M216" i="38" s="1"/>
  <c r="J215" i="38"/>
  <c r="K215" i="38" s="1"/>
  <c r="I215" i="38"/>
  <c r="M215" i="38" s="1"/>
  <c r="J214" i="38"/>
  <c r="K214" i="38" s="1"/>
  <c r="I214" i="38"/>
  <c r="M214" i="38" s="1"/>
  <c r="J213" i="38"/>
  <c r="K213" i="38" s="1"/>
  <c r="I213" i="38"/>
  <c r="M213" i="38" s="1"/>
  <c r="J212" i="38"/>
  <c r="K212" i="38" s="1"/>
  <c r="I212" i="38"/>
  <c r="M212" i="38" s="1"/>
  <c r="J211" i="38"/>
  <c r="K211" i="38" s="1"/>
  <c r="I211" i="38"/>
  <c r="M211" i="38" s="1"/>
  <c r="J210" i="38"/>
  <c r="K210" i="38" s="1"/>
  <c r="I210" i="38"/>
  <c r="M210" i="38" s="1"/>
  <c r="J209" i="38"/>
  <c r="K209" i="38" s="1"/>
  <c r="I209" i="38"/>
  <c r="M209" i="38" s="1"/>
  <c r="J208" i="38"/>
  <c r="K208" i="38" s="1"/>
  <c r="I208" i="38"/>
  <c r="M208" i="38" s="1"/>
  <c r="J207" i="38"/>
  <c r="K207" i="38" s="1"/>
  <c r="I207" i="38"/>
  <c r="M207" i="38" s="1"/>
  <c r="J206" i="38"/>
  <c r="K206" i="38" s="1"/>
  <c r="I206" i="38"/>
  <c r="M206" i="38" s="1"/>
  <c r="J205" i="38"/>
  <c r="K205" i="38" s="1"/>
  <c r="I205" i="38"/>
  <c r="M205" i="38" s="1"/>
  <c r="J204" i="38"/>
  <c r="K204" i="38" s="1"/>
  <c r="I204" i="38"/>
  <c r="M204" i="38" s="1"/>
  <c r="J203" i="38"/>
  <c r="K203" i="38" s="1"/>
  <c r="I203" i="38"/>
  <c r="M203" i="38" s="1"/>
  <c r="J202" i="38"/>
  <c r="K202" i="38" s="1"/>
  <c r="I202" i="38"/>
  <c r="M202" i="38" s="1"/>
  <c r="J201" i="38"/>
  <c r="K201" i="38" s="1"/>
  <c r="I201" i="38"/>
  <c r="M201" i="38" s="1"/>
  <c r="J200" i="38"/>
  <c r="K200" i="38" s="1"/>
  <c r="I200" i="38"/>
  <c r="M200" i="38" s="1"/>
  <c r="J199" i="38"/>
  <c r="K199" i="38" s="1"/>
  <c r="I199" i="38"/>
  <c r="M199" i="38" s="1"/>
  <c r="J198" i="38"/>
  <c r="K198" i="38" s="1"/>
  <c r="I198" i="38"/>
  <c r="M198" i="38" s="1"/>
  <c r="J197" i="38"/>
  <c r="K197" i="38" s="1"/>
  <c r="I197" i="38"/>
  <c r="M197" i="38" s="1"/>
  <c r="J196" i="38"/>
  <c r="K196" i="38" s="1"/>
  <c r="I196" i="38"/>
  <c r="M196" i="38" s="1"/>
  <c r="J195" i="38"/>
  <c r="K195" i="38" s="1"/>
  <c r="I195" i="38"/>
  <c r="M195" i="38" s="1"/>
  <c r="J194" i="38"/>
  <c r="K194" i="38" s="1"/>
  <c r="I194" i="38"/>
  <c r="M194" i="38" s="1"/>
  <c r="J193" i="38"/>
  <c r="K193" i="38" s="1"/>
  <c r="I193" i="38"/>
  <c r="M193" i="38" s="1"/>
  <c r="J192" i="38"/>
  <c r="K192" i="38" s="1"/>
  <c r="I192" i="38"/>
  <c r="M192" i="38" s="1"/>
  <c r="J191" i="38"/>
  <c r="K191" i="38" s="1"/>
  <c r="I191" i="38"/>
  <c r="M191" i="38" s="1"/>
  <c r="J190" i="38"/>
  <c r="K190" i="38" s="1"/>
  <c r="I190" i="38"/>
  <c r="M190" i="38" s="1"/>
  <c r="J189" i="38"/>
  <c r="K189" i="38" s="1"/>
  <c r="I189" i="38"/>
  <c r="M189" i="38" s="1"/>
  <c r="J188" i="38"/>
  <c r="K188" i="38" s="1"/>
  <c r="I188" i="38"/>
  <c r="M188" i="38" s="1"/>
  <c r="J187" i="38"/>
  <c r="K187" i="38" s="1"/>
  <c r="I187" i="38"/>
  <c r="M187" i="38" s="1"/>
  <c r="J186" i="38"/>
  <c r="K186" i="38" s="1"/>
  <c r="I186" i="38"/>
  <c r="M186" i="38" s="1"/>
  <c r="J185" i="38"/>
  <c r="K185" i="38" s="1"/>
  <c r="I185" i="38"/>
  <c r="M185" i="38" s="1"/>
  <c r="J184" i="38"/>
  <c r="K184" i="38" s="1"/>
  <c r="I184" i="38"/>
  <c r="M184" i="38" s="1"/>
  <c r="J183" i="38"/>
  <c r="K183" i="38" s="1"/>
  <c r="I183" i="38"/>
  <c r="M183" i="38" s="1"/>
  <c r="J182" i="38"/>
  <c r="K182" i="38" s="1"/>
  <c r="I182" i="38"/>
  <c r="M182" i="38" s="1"/>
  <c r="J181" i="38"/>
  <c r="K181" i="38" s="1"/>
  <c r="I181" i="38"/>
  <c r="M181" i="38" s="1"/>
  <c r="J180" i="38"/>
  <c r="K180" i="38" s="1"/>
  <c r="I180" i="38"/>
  <c r="M180" i="38" s="1"/>
  <c r="J179" i="38"/>
  <c r="K179" i="38" s="1"/>
  <c r="I179" i="38"/>
  <c r="M179" i="38" s="1"/>
  <c r="J178" i="38"/>
  <c r="K178" i="38" s="1"/>
  <c r="I178" i="38"/>
  <c r="M178" i="38" s="1"/>
  <c r="J177" i="38"/>
  <c r="K177" i="38" s="1"/>
  <c r="I177" i="38"/>
  <c r="M177" i="38" s="1"/>
  <c r="J176" i="38"/>
  <c r="K176" i="38" s="1"/>
  <c r="I176" i="38"/>
  <c r="M176" i="38" s="1"/>
  <c r="J175" i="38"/>
  <c r="K175" i="38" s="1"/>
  <c r="I175" i="38"/>
  <c r="M175" i="38" s="1"/>
  <c r="J174" i="38"/>
  <c r="K174" i="38" s="1"/>
  <c r="I174" i="38"/>
  <c r="M174" i="38" s="1"/>
  <c r="J173" i="38"/>
  <c r="K173" i="38" s="1"/>
  <c r="I173" i="38"/>
  <c r="M173" i="38" s="1"/>
  <c r="J172" i="38"/>
  <c r="K172" i="38" s="1"/>
  <c r="I172" i="38"/>
  <c r="M172" i="38" s="1"/>
  <c r="J171" i="38"/>
  <c r="K171" i="38" s="1"/>
  <c r="I171" i="38"/>
  <c r="M171" i="38" s="1"/>
  <c r="J170" i="38"/>
  <c r="K170" i="38" s="1"/>
  <c r="I170" i="38"/>
  <c r="M170" i="38" s="1"/>
  <c r="J169" i="38"/>
  <c r="K169" i="38" s="1"/>
  <c r="I169" i="38"/>
  <c r="M169" i="38" s="1"/>
  <c r="J168" i="38"/>
  <c r="K168" i="38" s="1"/>
  <c r="I168" i="38"/>
  <c r="M168" i="38" s="1"/>
  <c r="J167" i="38"/>
  <c r="K167" i="38" s="1"/>
  <c r="I167" i="38"/>
  <c r="M167" i="38" s="1"/>
  <c r="J166" i="38"/>
  <c r="K166" i="38" s="1"/>
  <c r="I166" i="38"/>
  <c r="M166" i="38" s="1"/>
  <c r="J165" i="38"/>
  <c r="K165" i="38" s="1"/>
  <c r="I165" i="38"/>
  <c r="M165" i="38" s="1"/>
  <c r="J164" i="38"/>
  <c r="K164" i="38" s="1"/>
  <c r="I164" i="38"/>
  <c r="M164" i="38" s="1"/>
  <c r="J163" i="38"/>
  <c r="K163" i="38" s="1"/>
  <c r="I163" i="38"/>
  <c r="M163" i="38" s="1"/>
  <c r="J162" i="38"/>
  <c r="K162" i="38" s="1"/>
  <c r="I162" i="38"/>
  <c r="M162" i="38" s="1"/>
  <c r="J161" i="38"/>
  <c r="K161" i="38" s="1"/>
  <c r="I161" i="38"/>
  <c r="M161" i="38" s="1"/>
  <c r="J160" i="38"/>
  <c r="K160" i="38" s="1"/>
  <c r="I160" i="38"/>
  <c r="M160" i="38" s="1"/>
  <c r="J159" i="38"/>
  <c r="K159" i="38" s="1"/>
  <c r="I159" i="38"/>
  <c r="M159" i="38" s="1"/>
  <c r="J158" i="38"/>
  <c r="K158" i="38" s="1"/>
  <c r="I158" i="38"/>
  <c r="M158" i="38" s="1"/>
  <c r="J157" i="38"/>
  <c r="K157" i="38" s="1"/>
  <c r="I157" i="38"/>
  <c r="M157" i="38" s="1"/>
  <c r="J156" i="38"/>
  <c r="K156" i="38" s="1"/>
  <c r="I156" i="38"/>
  <c r="M156" i="38" s="1"/>
  <c r="J155" i="38"/>
  <c r="K155" i="38" s="1"/>
  <c r="I155" i="38"/>
  <c r="M155" i="38" s="1"/>
  <c r="J154" i="38"/>
  <c r="K154" i="38" s="1"/>
  <c r="I154" i="38"/>
  <c r="M154" i="38" s="1"/>
  <c r="J153" i="38"/>
  <c r="K153" i="38" s="1"/>
  <c r="I153" i="38"/>
  <c r="M153" i="38" s="1"/>
  <c r="J152" i="38"/>
  <c r="K152" i="38" s="1"/>
  <c r="I152" i="38"/>
  <c r="M152" i="38" s="1"/>
  <c r="J151" i="38"/>
  <c r="K151" i="38" s="1"/>
  <c r="I151" i="38"/>
  <c r="M151" i="38" s="1"/>
  <c r="J150" i="38"/>
  <c r="K150" i="38" s="1"/>
  <c r="I150" i="38"/>
  <c r="M150" i="38" s="1"/>
  <c r="J149" i="38"/>
  <c r="K149" i="38" s="1"/>
  <c r="I149" i="38"/>
  <c r="M149" i="38" s="1"/>
  <c r="J148" i="38"/>
  <c r="K148" i="38" s="1"/>
  <c r="I148" i="38"/>
  <c r="M148" i="38" s="1"/>
  <c r="J147" i="38"/>
  <c r="K147" i="38" s="1"/>
  <c r="I147" i="38"/>
  <c r="M147" i="38" s="1"/>
  <c r="J146" i="38"/>
  <c r="K146" i="38" s="1"/>
  <c r="I146" i="38"/>
  <c r="M146" i="38" s="1"/>
  <c r="J145" i="38"/>
  <c r="K145" i="38" s="1"/>
  <c r="I145" i="38"/>
  <c r="M145" i="38" s="1"/>
  <c r="J144" i="38"/>
  <c r="K144" i="38" s="1"/>
  <c r="I144" i="38"/>
  <c r="M144" i="38" s="1"/>
  <c r="J143" i="38"/>
  <c r="K143" i="38" s="1"/>
  <c r="I143" i="38"/>
  <c r="M143" i="38" s="1"/>
  <c r="J142" i="38"/>
  <c r="K142" i="38" s="1"/>
  <c r="I142" i="38"/>
  <c r="M142" i="38" s="1"/>
  <c r="J141" i="38"/>
  <c r="K141" i="38" s="1"/>
  <c r="I141" i="38"/>
  <c r="M141" i="38" s="1"/>
  <c r="J140" i="38"/>
  <c r="K140" i="38" s="1"/>
  <c r="I140" i="38"/>
  <c r="M140" i="38" s="1"/>
  <c r="J139" i="38"/>
  <c r="K139" i="38" s="1"/>
  <c r="I139" i="38"/>
  <c r="M139" i="38" s="1"/>
  <c r="J138" i="38"/>
  <c r="K138" i="38" s="1"/>
  <c r="I138" i="38"/>
  <c r="M138" i="38" s="1"/>
  <c r="J137" i="38"/>
  <c r="K137" i="38" s="1"/>
  <c r="I137" i="38"/>
  <c r="M137" i="38" s="1"/>
  <c r="J136" i="38"/>
  <c r="K136" i="38" s="1"/>
  <c r="I136" i="38"/>
  <c r="M136" i="38" s="1"/>
  <c r="J135" i="38"/>
  <c r="K135" i="38" s="1"/>
  <c r="I135" i="38"/>
  <c r="M135" i="38" s="1"/>
  <c r="J134" i="38"/>
  <c r="K134" i="38" s="1"/>
  <c r="I134" i="38"/>
  <c r="M134" i="38" s="1"/>
  <c r="J133" i="38"/>
  <c r="K133" i="38" s="1"/>
  <c r="I133" i="38"/>
  <c r="M133" i="38" s="1"/>
  <c r="J132" i="38"/>
  <c r="K132" i="38" s="1"/>
  <c r="I132" i="38"/>
  <c r="M132" i="38" s="1"/>
  <c r="J131" i="38"/>
  <c r="K131" i="38" s="1"/>
  <c r="I131" i="38"/>
  <c r="M131" i="38" s="1"/>
  <c r="J130" i="38"/>
  <c r="K130" i="38" s="1"/>
  <c r="I130" i="38"/>
  <c r="M130" i="38" s="1"/>
  <c r="J129" i="38"/>
  <c r="K129" i="38" s="1"/>
  <c r="I129" i="38"/>
  <c r="M129" i="38" s="1"/>
  <c r="J128" i="38"/>
  <c r="K128" i="38" s="1"/>
  <c r="I128" i="38"/>
  <c r="M128" i="38" s="1"/>
  <c r="J127" i="38"/>
  <c r="K127" i="38" s="1"/>
  <c r="I127" i="38"/>
  <c r="M127" i="38" s="1"/>
  <c r="J126" i="38"/>
  <c r="K126" i="38" s="1"/>
  <c r="I126" i="38"/>
  <c r="M126" i="38" s="1"/>
  <c r="J125" i="38"/>
  <c r="K125" i="38" s="1"/>
  <c r="I125" i="38"/>
  <c r="M125" i="38" s="1"/>
  <c r="J124" i="38"/>
  <c r="K124" i="38" s="1"/>
  <c r="I124" i="38"/>
  <c r="M124" i="38" s="1"/>
  <c r="J123" i="38"/>
  <c r="K123" i="38" s="1"/>
  <c r="I123" i="38"/>
  <c r="M123" i="38" s="1"/>
  <c r="J122" i="38"/>
  <c r="K122" i="38" s="1"/>
  <c r="I122" i="38"/>
  <c r="M122" i="38" s="1"/>
  <c r="J121" i="38"/>
  <c r="K121" i="38" s="1"/>
  <c r="I121" i="38"/>
  <c r="M121" i="38" s="1"/>
  <c r="J120" i="38"/>
  <c r="K120" i="38" s="1"/>
  <c r="I120" i="38"/>
  <c r="M120" i="38" s="1"/>
  <c r="J119" i="38"/>
  <c r="K119" i="38" s="1"/>
  <c r="I119" i="38"/>
  <c r="M119" i="38" s="1"/>
  <c r="J118" i="38"/>
  <c r="K118" i="38" s="1"/>
  <c r="I118" i="38"/>
  <c r="M118" i="38" s="1"/>
  <c r="J117" i="38"/>
  <c r="K117" i="38" s="1"/>
  <c r="I117" i="38"/>
  <c r="M117" i="38" s="1"/>
  <c r="J116" i="38"/>
  <c r="K116" i="38" s="1"/>
  <c r="I116" i="38"/>
  <c r="M116" i="38" s="1"/>
  <c r="J115" i="38"/>
  <c r="K115" i="38" s="1"/>
  <c r="I115" i="38"/>
  <c r="M115" i="38" s="1"/>
  <c r="J114" i="38"/>
  <c r="K114" i="38" s="1"/>
  <c r="I114" i="38"/>
  <c r="M114" i="38" s="1"/>
  <c r="J113" i="38"/>
  <c r="K113" i="38" s="1"/>
  <c r="I113" i="38"/>
  <c r="M113" i="38" s="1"/>
  <c r="J112" i="38"/>
  <c r="K112" i="38" s="1"/>
  <c r="I112" i="38"/>
  <c r="M112" i="38" s="1"/>
  <c r="J111" i="38"/>
  <c r="K111" i="38" s="1"/>
  <c r="I111" i="38"/>
  <c r="M111" i="38" s="1"/>
  <c r="J110" i="38"/>
  <c r="K110" i="38" s="1"/>
  <c r="I110" i="38"/>
  <c r="M110" i="38" s="1"/>
  <c r="J109" i="38"/>
  <c r="K109" i="38" s="1"/>
  <c r="I109" i="38"/>
  <c r="M109" i="38" s="1"/>
  <c r="J108" i="38"/>
  <c r="K108" i="38" s="1"/>
  <c r="I108" i="38"/>
  <c r="M108" i="38" s="1"/>
  <c r="J107" i="38"/>
  <c r="K107" i="38" s="1"/>
  <c r="I107" i="38"/>
  <c r="M107" i="38" s="1"/>
  <c r="J106" i="38"/>
  <c r="K106" i="38" s="1"/>
  <c r="I106" i="38"/>
  <c r="M106" i="38" s="1"/>
  <c r="J105" i="38"/>
  <c r="K105" i="38" s="1"/>
  <c r="I105" i="38"/>
  <c r="M105" i="38" s="1"/>
  <c r="J104" i="38"/>
  <c r="K104" i="38" s="1"/>
  <c r="I104" i="38"/>
  <c r="M104" i="38" s="1"/>
  <c r="J103" i="38"/>
  <c r="K103" i="38" s="1"/>
  <c r="I103" i="38"/>
  <c r="M103" i="38" s="1"/>
  <c r="J102" i="38"/>
  <c r="K102" i="38" s="1"/>
  <c r="I102" i="38"/>
  <c r="M102" i="38" s="1"/>
  <c r="J101" i="38"/>
  <c r="K101" i="38" s="1"/>
  <c r="I101" i="38"/>
  <c r="M101" i="38" s="1"/>
  <c r="J100" i="38"/>
  <c r="K100" i="38" s="1"/>
  <c r="I100" i="38"/>
  <c r="M100" i="38" s="1"/>
  <c r="J99" i="38"/>
  <c r="K99" i="38" s="1"/>
  <c r="I99" i="38"/>
  <c r="M99" i="38" s="1"/>
  <c r="J98" i="38"/>
  <c r="K98" i="38" s="1"/>
  <c r="I98" i="38"/>
  <c r="M98" i="38" s="1"/>
  <c r="J97" i="38"/>
  <c r="K97" i="38" s="1"/>
  <c r="I97" i="38"/>
  <c r="M97" i="38" s="1"/>
  <c r="J96" i="38"/>
  <c r="K96" i="38" s="1"/>
  <c r="I96" i="38"/>
  <c r="M96" i="38" s="1"/>
  <c r="J95" i="38"/>
  <c r="K95" i="38" s="1"/>
  <c r="I95" i="38"/>
  <c r="M95" i="38" s="1"/>
  <c r="J94" i="38"/>
  <c r="K94" i="38" s="1"/>
  <c r="I94" i="38"/>
  <c r="M94" i="38" s="1"/>
  <c r="J93" i="38"/>
  <c r="K93" i="38" s="1"/>
  <c r="I93" i="38"/>
  <c r="M93" i="38" s="1"/>
  <c r="J92" i="38"/>
  <c r="K92" i="38" s="1"/>
  <c r="I92" i="38"/>
  <c r="M92" i="38" s="1"/>
  <c r="J91" i="38"/>
  <c r="K91" i="38" s="1"/>
  <c r="I91" i="38"/>
  <c r="M91" i="38" s="1"/>
  <c r="J90" i="38"/>
  <c r="K90" i="38" s="1"/>
  <c r="I90" i="38"/>
  <c r="M90" i="38" s="1"/>
  <c r="J89" i="38"/>
  <c r="K89" i="38" s="1"/>
  <c r="I89" i="38"/>
  <c r="M89" i="38" s="1"/>
  <c r="J88" i="38"/>
  <c r="K88" i="38" s="1"/>
  <c r="I88" i="38"/>
  <c r="M88" i="38" s="1"/>
  <c r="J87" i="38"/>
  <c r="K87" i="38" s="1"/>
  <c r="I87" i="38"/>
  <c r="M87" i="38" s="1"/>
  <c r="J86" i="38"/>
  <c r="K86" i="38" s="1"/>
  <c r="I86" i="38"/>
  <c r="M86" i="38" s="1"/>
  <c r="J85" i="38"/>
  <c r="K85" i="38" s="1"/>
  <c r="I85" i="38"/>
  <c r="M85" i="38" s="1"/>
  <c r="J84" i="38"/>
  <c r="K84" i="38" s="1"/>
  <c r="I84" i="38"/>
  <c r="M84" i="38" s="1"/>
  <c r="J83" i="38"/>
  <c r="K83" i="38" s="1"/>
  <c r="I83" i="38"/>
  <c r="M83" i="38" s="1"/>
  <c r="J82" i="38"/>
  <c r="K82" i="38" s="1"/>
  <c r="I82" i="38"/>
  <c r="M82" i="38" s="1"/>
  <c r="J81" i="38"/>
  <c r="K81" i="38" s="1"/>
  <c r="I81" i="38"/>
  <c r="M81" i="38" s="1"/>
  <c r="J80" i="38"/>
  <c r="K80" i="38" s="1"/>
  <c r="I80" i="38"/>
  <c r="M80" i="38" s="1"/>
  <c r="J79" i="38"/>
  <c r="K79" i="38" s="1"/>
  <c r="I79" i="38"/>
  <c r="M79" i="38" s="1"/>
  <c r="A79" i="38" s="1"/>
  <c r="J78" i="38"/>
  <c r="K78" i="38" s="1"/>
  <c r="I78" i="38"/>
  <c r="M78" i="38" s="1"/>
  <c r="A78" i="38" s="1"/>
  <c r="J77" i="38"/>
  <c r="K77" i="38" s="1"/>
  <c r="I77" i="38"/>
  <c r="M77" i="38" s="1"/>
  <c r="A77" i="38" s="1"/>
  <c r="J76" i="38"/>
  <c r="K76" i="38" s="1"/>
  <c r="I76" i="38"/>
  <c r="M76" i="38" s="1"/>
  <c r="A76" i="38" s="1"/>
  <c r="J75" i="38"/>
  <c r="K75" i="38" s="1"/>
  <c r="I75" i="38"/>
  <c r="M75" i="38" s="1"/>
  <c r="A75" i="38" s="1"/>
  <c r="J74" i="38"/>
  <c r="K74" i="38" s="1"/>
  <c r="I74" i="38"/>
  <c r="M74" i="38" s="1"/>
  <c r="A74" i="38" s="1"/>
  <c r="J73" i="38"/>
  <c r="K73" i="38" s="1"/>
  <c r="I73" i="38"/>
  <c r="M73" i="38" s="1"/>
  <c r="A73" i="38" s="1"/>
  <c r="J72" i="38"/>
  <c r="K72" i="38" s="1"/>
  <c r="I72" i="38"/>
  <c r="M72" i="38" s="1"/>
  <c r="A72" i="38" s="1"/>
  <c r="J71" i="38"/>
  <c r="K71" i="38" s="1"/>
  <c r="I71" i="38"/>
  <c r="M71" i="38" s="1"/>
  <c r="A71" i="38" s="1"/>
  <c r="J70" i="38"/>
  <c r="K70" i="38" s="1"/>
  <c r="I70" i="38"/>
  <c r="M70" i="38" s="1"/>
  <c r="A70" i="38" s="1"/>
  <c r="J69" i="38"/>
  <c r="K69" i="38" s="1"/>
  <c r="I69" i="38"/>
  <c r="M69" i="38" s="1"/>
  <c r="A69" i="38" s="1"/>
  <c r="J68" i="38"/>
  <c r="K68" i="38" s="1"/>
  <c r="I68" i="38"/>
  <c r="M68" i="38" s="1"/>
  <c r="A68" i="38" s="1"/>
  <c r="J67" i="38"/>
  <c r="K67" i="38" s="1"/>
  <c r="I67" i="38"/>
  <c r="M67" i="38" s="1"/>
  <c r="A67" i="38" s="1"/>
  <c r="J66" i="38"/>
  <c r="K66" i="38" s="1"/>
  <c r="I66" i="38"/>
  <c r="M66" i="38" s="1"/>
  <c r="A66" i="38" s="1"/>
  <c r="J65" i="38"/>
  <c r="K65" i="38" s="1"/>
  <c r="I65" i="38"/>
  <c r="M65" i="38" s="1"/>
  <c r="A65" i="38" s="1"/>
  <c r="B65" i="38"/>
  <c r="J64" i="38"/>
  <c r="K64" i="38" s="1"/>
  <c r="I64" i="38"/>
  <c r="B64" i="38"/>
  <c r="J63" i="38"/>
  <c r="K63" i="38" s="1"/>
  <c r="I63" i="38"/>
  <c r="M63" i="38" s="1"/>
  <c r="A63" i="38" s="1"/>
  <c r="B63" i="38"/>
  <c r="J62" i="38"/>
  <c r="K62" i="38" s="1"/>
  <c r="I62" i="38"/>
  <c r="M62" i="38" s="1"/>
  <c r="A62" i="38" s="1"/>
  <c r="B62" i="38"/>
  <c r="J61" i="38"/>
  <c r="K61" i="38" s="1"/>
  <c r="I61" i="38"/>
  <c r="B61" i="38"/>
  <c r="J60" i="38"/>
  <c r="K60" i="38" s="1"/>
  <c r="I60" i="38"/>
  <c r="B60" i="38"/>
  <c r="J59" i="38"/>
  <c r="K59" i="38" s="1"/>
  <c r="I59" i="38"/>
  <c r="M59" i="38" s="1"/>
  <c r="A59" i="38" s="1"/>
  <c r="B59" i="38"/>
  <c r="J58" i="38"/>
  <c r="K58" i="38" s="1"/>
  <c r="I58" i="38"/>
  <c r="M58" i="38" s="1"/>
  <c r="A58" i="38" s="1"/>
  <c r="B58" i="38"/>
  <c r="J57" i="38"/>
  <c r="K57" i="38" s="1"/>
  <c r="I57" i="38"/>
  <c r="M57" i="38" s="1"/>
  <c r="A57" i="38" s="1"/>
  <c r="B57" i="38"/>
  <c r="J56" i="38"/>
  <c r="K56" i="38" s="1"/>
  <c r="I56" i="38"/>
  <c r="B56" i="38"/>
  <c r="J55" i="38"/>
  <c r="K55" i="38" s="1"/>
  <c r="I55" i="38"/>
  <c r="M55" i="38" s="1"/>
  <c r="A55" i="38" s="1"/>
  <c r="B55" i="38"/>
  <c r="J54" i="38"/>
  <c r="K54" i="38" s="1"/>
  <c r="I54" i="38"/>
  <c r="M54" i="38" s="1"/>
  <c r="A54" i="38" s="1"/>
  <c r="B54" i="38"/>
  <c r="J53" i="38"/>
  <c r="K53" i="38" s="1"/>
  <c r="I53" i="38"/>
  <c r="M53" i="38" s="1"/>
  <c r="A53" i="38" s="1"/>
  <c r="B53" i="38"/>
  <c r="J52" i="38"/>
  <c r="K52" i="38" s="1"/>
  <c r="I52" i="38"/>
  <c r="B52" i="38"/>
  <c r="J51" i="38"/>
  <c r="K51" i="38" s="1"/>
  <c r="I51" i="38"/>
  <c r="B51" i="38"/>
  <c r="J50" i="38"/>
  <c r="K50" i="38" s="1"/>
  <c r="I50" i="38"/>
  <c r="B50" i="38"/>
  <c r="J49" i="38"/>
  <c r="K49" i="38" s="1"/>
  <c r="I49" i="38"/>
  <c r="B49" i="38"/>
  <c r="J48" i="38"/>
  <c r="K48" i="38" s="1"/>
  <c r="I48" i="38"/>
  <c r="B48" i="38"/>
  <c r="J47" i="38"/>
  <c r="K47" i="38" s="1"/>
  <c r="I47" i="38"/>
  <c r="M47" i="38" s="1"/>
  <c r="A47" i="38" s="1"/>
  <c r="B47" i="38"/>
  <c r="T46" i="38"/>
  <c r="R46" i="38"/>
  <c r="U46" i="38" s="1"/>
  <c r="J46" i="38"/>
  <c r="K46" i="38" s="1"/>
  <c r="I46" i="38"/>
  <c r="B46" i="38"/>
  <c r="J45" i="38"/>
  <c r="K45" i="38" s="1"/>
  <c r="I45" i="38"/>
  <c r="B45" i="38"/>
  <c r="J44" i="38"/>
  <c r="K44" i="38" s="1"/>
  <c r="I44" i="38"/>
  <c r="B44" i="38"/>
  <c r="J43" i="38"/>
  <c r="K43" i="38" s="1"/>
  <c r="I43" i="38"/>
  <c r="B43" i="38"/>
  <c r="J42" i="38"/>
  <c r="K42" i="38" s="1"/>
  <c r="I42" i="38"/>
  <c r="B42" i="38"/>
  <c r="J41" i="38"/>
  <c r="K41" i="38" s="1"/>
  <c r="I41" i="38"/>
  <c r="B41" i="38"/>
  <c r="J40" i="38"/>
  <c r="K40" i="38" s="1"/>
  <c r="I40" i="38"/>
  <c r="M40" i="38" s="1"/>
  <c r="A40" i="38" s="1"/>
  <c r="B40" i="38"/>
  <c r="J39" i="38"/>
  <c r="K39" i="38" s="1"/>
  <c r="I39" i="38"/>
  <c r="B39" i="38"/>
  <c r="J38" i="38"/>
  <c r="K38" i="38" s="1"/>
  <c r="I38" i="38"/>
  <c r="B38" i="38"/>
  <c r="J37" i="38"/>
  <c r="K37" i="38" s="1"/>
  <c r="I37" i="38"/>
  <c r="B37" i="38"/>
  <c r="J36" i="38"/>
  <c r="K36" i="38" s="1"/>
  <c r="I36" i="38"/>
  <c r="M36" i="38" s="1"/>
  <c r="A36" i="38" s="1"/>
  <c r="B36" i="38"/>
  <c r="J35" i="38"/>
  <c r="K35" i="38" s="1"/>
  <c r="I35" i="38"/>
  <c r="B35" i="38"/>
  <c r="J34" i="38"/>
  <c r="K34" i="38" s="1"/>
  <c r="I34" i="38"/>
  <c r="B34" i="38"/>
  <c r="J33" i="38"/>
  <c r="K33" i="38" s="1"/>
  <c r="I33" i="38"/>
  <c r="B33" i="38"/>
  <c r="J32" i="38"/>
  <c r="K32" i="38" s="1"/>
  <c r="I32" i="38"/>
  <c r="M32" i="38" s="1"/>
  <c r="A32" i="38" s="1"/>
  <c r="B32" i="38"/>
  <c r="J31" i="38"/>
  <c r="K31" i="38" s="1"/>
  <c r="I31" i="38"/>
  <c r="B31" i="38"/>
  <c r="J30" i="38"/>
  <c r="K30" i="38" s="1"/>
  <c r="I30" i="38"/>
  <c r="B30" i="38"/>
  <c r="J29" i="38"/>
  <c r="K29" i="38" s="1"/>
  <c r="I29" i="38"/>
  <c r="B29" i="38"/>
  <c r="J28" i="38"/>
  <c r="K28" i="38" s="1"/>
  <c r="I28" i="38"/>
  <c r="B28" i="38"/>
  <c r="J27" i="38"/>
  <c r="K27" i="38" s="1"/>
  <c r="I27" i="38"/>
  <c r="B27" i="38"/>
  <c r="J26" i="38"/>
  <c r="K26" i="38" s="1"/>
  <c r="I26" i="38"/>
  <c r="B26" i="38"/>
  <c r="J25" i="38"/>
  <c r="K25" i="38" s="1"/>
  <c r="I25" i="38"/>
  <c r="B25" i="38"/>
  <c r="J24" i="38"/>
  <c r="K24" i="38" s="1"/>
  <c r="I24" i="38"/>
  <c r="B24" i="38"/>
  <c r="J23" i="38"/>
  <c r="K23" i="38" s="1"/>
  <c r="I23" i="38"/>
  <c r="B23" i="38"/>
  <c r="J22" i="38"/>
  <c r="K22" i="38" s="1"/>
  <c r="I22" i="38"/>
  <c r="B22" i="38"/>
  <c r="J21" i="38"/>
  <c r="K21" i="38" s="1"/>
  <c r="I21" i="38"/>
  <c r="B21" i="38"/>
  <c r="J20" i="38"/>
  <c r="K20" i="38" s="1"/>
  <c r="I20" i="38"/>
  <c r="B20" i="38"/>
  <c r="J19" i="38"/>
  <c r="K19" i="38" s="1"/>
  <c r="I19" i="38"/>
  <c r="B19" i="38"/>
  <c r="J18" i="38"/>
  <c r="K18" i="38" s="1"/>
  <c r="I18" i="38"/>
  <c r="B18" i="38"/>
  <c r="J17" i="38"/>
  <c r="K17" i="38" s="1"/>
  <c r="I17" i="38"/>
  <c r="B17" i="38"/>
  <c r="J16" i="38"/>
  <c r="K16" i="38" s="1"/>
  <c r="I16" i="38"/>
  <c r="B16" i="38"/>
  <c r="J15" i="38"/>
  <c r="K15" i="38" s="1"/>
  <c r="I15" i="38"/>
  <c r="B15" i="38"/>
  <c r="AI14" i="38"/>
  <c r="J14" i="38"/>
  <c r="K14" i="38" s="1"/>
  <c r="I14" i="38"/>
  <c r="B14" i="38"/>
  <c r="AI13" i="38"/>
  <c r="J13" i="38"/>
  <c r="K13" i="38" s="1"/>
  <c r="I13" i="38"/>
  <c r="B13" i="38"/>
  <c r="AI12" i="38"/>
  <c r="J12" i="38"/>
  <c r="K12" i="38" s="1"/>
  <c r="I12" i="38"/>
  <c r="B12" i="38"/>
  <c r="J11" i="38"/>
  <c r="K11" i="38" s="1"/>
  <c r="I11" i="38"/>
  <c r="B11" i="38"/>
  <c r="AL8" i="31" s="1"/>
  <c r="J10" i="38"/>
  <c r="K10" i="38" s="1"/>
  <c r="I10" i="38"/>
  <c r="B10" i="38"/>
  <c r="J9" i="38"/>
  <c r="K9" i="38" s="1"/>
  <c r="I9" i="38"/>
  <c r="B9" i="38"/>
  <c r="J8" i="38"/>
  <c r="K8" i="38" s="1"/>
  <c r="I8" i="38"/>
  <c r="B8" i="38"/>
  <c r="J7" i="38"/>
  <c r="K7" i="38" s="1"/>
  <c r="I7" i="38"/>
  <c r="B7" i="38"/>
  <c r="J6" i="38"/>
  <c r="K6" i="38" s="1"/>
  <c r="I6" i="38"/>
  <c r="B6" i="38"/>
  <c r="AL34" i="31" s="1"/>
  <c r="K2" i="38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J302" i="36"/>
  <c r="K302" i="36" s="1"/>
  <c r="I302" i="36"/>
  <c r="M302" i="36" s="1"/>
  <c r="J301" i="36"/>
  <c r="K301" i="36" s="1"/>
  <c r="I301" i="36"/>
  <c r="M301" i="36" s="1"/>
  <c r="J300" i="36"/>
  <c r="K300" i="36" s="1"/>
  <c r="I300" i="36"/>
  <c r="M300" i="36" s="1"/>
  <c r="M299" i="36"/>
  <c r="J299" i="36"/>
  <c r="K299" i="36" s="1"/>
  <c r="I299" i="36"/>
  <c r="J298" i="36"/>
  <c r="K298" i="36" s="1"/>
  <c r="I298" i="36"/>
  <c r="M298" i="36" s="1"/>
  <c r="J297" i="36"/>
  <c r="K297" i="36" s="1"/>
  <c r="I297" i="36"/>
  <c r="M297" i="36" s="1"/>
  <c r="J296" i="36"/>
  <c r="K296" i="36" s="1"/>
  <c r="I296" i="36"/>
  <c r="M296" i="36" s="1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J286" i="36"/>
  <c r="K286" i="36" s="1"/>
  <c r="I286" i="36"/>
  <c r="M286" i="36" s="1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J278" i="36"/>
  <c r="K278" i="36" s="1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M274" i="36"/>
  <c r="J274" i="36"/>
  <c r="K274" i="36" s="1"/>
  <c r="I274" i="36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J270" i="36"/>
  <c r="K270" i="36" s="1"/>
  <c r="I270" i="36"/>
  <c r="M270" i="36" s="1"/>
  <c r="J269" i="36"/>
  <c r="K269" i="36" s="1"/>
  <c r="I269" i="36"/>
  <c r="M269" i="36" s="1"/>
  <c r="M268" i="36"/>
  <c r="J268" i="36"/>
  <c r="K268" i="36" s="1"/>
  <c r="I268" i="36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M264" i="36"/>
  <c r="J264" i="36"/>
  <c r="K264" i="36" s="1"/>
  <c r="I264" i="36"/>
  <c r="J263" i="36"/>
  <c r="K263" i="36" s="1"/>
  <c r="I263" i="36"/>
  <c r="M263" i="36" s="1"/>
  <c r="J262" i="36"/>
  <c r="K262" i="36" s="1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M258" i="36"/>
  <c r="J258" i="36"/>
  <c r="K258" i="36" s="1"/>
  <c r="I258" i="36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J254" i="36"/>
  <c r="K254" i="36" s="1"/>
  <c r="I254" i="36"/>
  <c r="M254" i="36" s="1"/>
  <c r="J253" i="36"/>
  <c r="K253" i="36" s="1"/>
  <c r="I253" i="36"/>
  <c r="M253" i="36" s="1"/>
  <c r="M252" i="36"/>
  <c r="J252" i="36"/>
  <c r="K252" i="36" s="1"/>
  <c r="I252" i="36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M248" i="36"/>
  <c r="J248" i="36"/>
  <c r="K248" i="36" s="1"/>
  <c r="I248" i="36"/>
  <c r="J247" i="36"/>
  <c r="K247" i="36" s="1"/>
  <c r="I247" i="36"/>
  <c r="M247" i="36" s="1"/>
  <c r="J246" i="36"/>
  <c r="K246" i="36" s="1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M242" i="36"/>
  <c r="J242" i="36"/>
  <c r="K242" i="36" s="1"/>
  <c r="I242" i="36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J238" i="36"/>
  <c r="K238" i="36" s="1"/>
  <c r="I238" i="36"/>
  <c r="M238" i="36" s="1"/>
  <c r="J237" i="36"/>
  <c r="K237" i="36" s="1"/>
  <c r="I237" i="36"/>
  <c r="M237" i="36" s="1"/>
  <c r="M236" i="36"/>
  <c r="J236" i="36"/>
  <c r="K236" i="36" s="1"/>
  <c r="I236" i="36"/>
  <c r="J235" i="36"/>
  <c r="K235" i="36" s="1"/>
  <c r="I235" i="36"/>
  <c r="M235" i="36" s="1"/>
  <c r="J234" i="36"/>
  <c r="K234" i="36" s="1"/>
  <c r="I234" i="36"/>
  <c r="M234" i="36" s="1"/>
  <c r="J233" i="36"/>
  <c r="K233" i="36" s="1"/>
  <c r="I233" i="36"/>
  <c r="M233" i="36" s="1"/>
  <c r="M232" i="36"/>
  <c r="J232" i="36"/>
  <c r="K232" i="36" s="1"/>
  <c r="I232" i="36"/>
  <c r="J231" i="36"/>
  <c r="K231" i="36" s="1"/>
  <c r="I231" i="36"/>
  <c r="M231" i="36" s="1"/>
  <c r="J230" i="36"/>
  <c r="K230" i="36" s="1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M226" i="36"/>
  <c r="J226" i="36"/>
  <c r="K226" i="36" s="1"/>
  <c r="I226" i="36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J222" i="36"/>
  <c r="K222" i="36" s="1"/>
  <c r="I222" i="36"/>
  <c r="M222" i="36" s="1"/>
  <c r="J221" i="36"/>
  <c r="K221" i="36" s="1"/>
  <c r="I221" i="36"/>
  <c r="M221" i="36" s="1"/>
  <c r="M220" i="36"/>
  <c r="J220" i="36"/>
  <c r="K220" i="36" s="1"/>
  <c r="I220" i="36"/>
  <c r="J219" i="36"/>
  <c r="K219" i="36" s="1"/>
  <c r="I219" i="36"/>
  <c r="M219" i="36" s="1"/>
  <c r="J218" i="36"/>
  <c r="K218" i="36" s="1"/>
  <c r="I218" i="36"/>
  <c r="M218" i="36" s="1"/>
  <c r="J217" i="36"/>
  <c r="K217" i="36" s="1"/>
  <c r="I217" i="36"/>
  <c r="M217" i="36" s="1"/>
  <c r="M216" i="36"/>
  <c r="J216" i="36"/>
  <c r="K216" i="36" s="1"/>
  <c r="I216" i="36"/>
  <c r="J215" i="36"/>
  <c r="K215" i="36" s="1"/>
  <c r="I215" i="36"/>
  <c r="M215" i="36" s="1"/>
  <c r="J214" i="36"/>
  <c r="K214" i="36" s="1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M210" i="36"/>
  <c r="J210" i="36"/>
  <c r="K210" i="36" s="1"/>
  <c r="I210" i="36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J206" i="36"/>
  <c r="K206" i="36" s="1"/>
  <c r="I206" i="36"/>
  <c r="M206" i="36" s="1"/>
  <c r="J205" i="36"/>
  <c r="K205" i="36" s="1"/>
  <c r="I205" i="36"/>
  <c r="M205" i="36" s="1"/>
  <c r="M204" i="36"/>
  <c r="J204" i="36"/>
  <c r="K204" i="36" s="1"/>
  <c r="I204" i="36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M200" i="36"/>
  <c r="J200" i="36"/>
  <c r="K200" i="36" s="1"/>
  <c r="I200" i="36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M194" i="36"/>
  <c r="J194" i="36"/>
  <c r="K194" i="36" s="1"/>
  <c r="I194" i="36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J190" i="36"/>
  <c r="K190" i="36" s="1"/>
  <c r="I190" i="36"/>
  <c r="M190" i="36" s="1"/>
  <c r="J189" i="36"/>
  <c r="K189" i="36" s="1"/>
  <c r="I189" i="36"/>
  <c r="M189" i="36" s="1"/>
  <c r="M188" i="36"/>
  <c r="J188" i="36"/>
  <c r="K188" i="36" s="1"/>
  <c r="I188" i="36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M184" i="36"/>
  <c r="J184" i="36"/>
  <c r="K184" i="36" s="1"/>
  <c r="I184" i="36"/>
  <c r="J183" i="36"/>
  <c r="K183" i="36" s="1"/>
  <c r="I183" i="36"/>
  <c r="M183" i="36" s="1"/>
  <c r="J182" i="36"/>
  <c r="K182" i="36" s="1"/>
  <c r="I182" i="36"/>
  <c r="M182" i="36" s="1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M178" i="36"/>
  <c r="J178" i="36"/>
  <c r="K178" i="36" s="1"/>
  <c r="I178" i="36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J174" i="36"/>
  <c r="K174" i="36" s="1"/>
  <c r="I174" i="36"/>
  <c r="M174" i="36" s="1"/>
  <c r="J173" i="36"/>
  <c r="K173" i="36" s="1"/>
  <c r="I173" i="36"/>
  <c r="M173" i="36" s="1"/>
  <c r="M172" i="36"/>
  <c r="J172" i="36"/>
  <c r="K172" i="36" s="1"/>
  <c r="I172" i="36"/>
  <c r="J171" i="36"/>
  <c r="K171" i="36" s="1"/>
  <c r="I171" i="36"/>
  <c r="M171" i="36" s="1"/>
  <c r="J170" i="36"/>
  <c r="K170" i="36" s="1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J166" i="36"/>
  <c r="K166" i="36" s="1"/>
  <c r="I166" i="36"/>
  <c r="M166" i="36" s="1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M162" i="36"/>
  <c r="J162" i="36"/>
  <c r="K162" i="36" s="1"/>
  <c r="I162" i="36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J158" i="36"/>
  <c r="K158" i="36" s="1"/>
  <c r="I158" i="36"/>
  <c r="M158" i="36" s="1"/>
  <c r="J157" i="36"/>
  <c r="K157" i="36" s="1"/>
  <c r="I157" i="36"/>
  <c r="M157" i="36" s="1"/>
  <c r="M156" i="36"/>
  <c r="J156" i="36"/>
  <c r="K156" i="36" s="1"/>
  <c r="I156" i="36"/>
  <c r="J155" i="36"/>
  <c r="K155" i="36" s="1"/>
  <c r="I155" i="36"/>
  <c r="M155" i="36" s="1"/>
  <c r="J154" i="36"/>
  <c r="K154" i="36" s="1"/>
  <c r="I154" i="36"/>
  <c r="M154" i="36" s="1"/>
  <c r="M153" i="36"/>
  <c r="J153" i="36"/>
  <c r="K153" i="36" s="1"/>
  <c r="I153" i="36"/>
  <c r="J152" i="36"/>
  <c r="K152" i="36" s="1"/>
  <c r="I152" i="36"/>
  <c r="M152" i="36" s="1"/>
  <c r="J151" i="36"/>
  <c r="K151" i="36" s="1"/>
  <c r="I151" i="36"/>
  <c r="M151" i="36" s="1"/>
  <c r="K150" i="36"/>
  <c r="J150" i="36"/>
  <c r="I150" i="36"/>
  <c r="M150" i="36" s="1"/>
  <c r="J149" i="36"/>
  <c r="K149" i="36" s="1"/>
  <c r="I149" i="36"/>
  <c r="M149" i="36" s="1"/>
  <c r="J148" i="36"/>
  <c r="K148" i="36" s="1"/>
  <c r="I148" i="36"/>
  <c r="M148" i="36" s="1"/>
  <c r="M147" i="36"/>
  <c r="J147" i="36"/>
  <c r="K147" i="36" s="1"/>
  <c r="I147" i="36"/>
  <c r="J146" i="36"/>
  <c r="K146" i="36" s="1"/>
  <c r="I146" i="36"/>
  <c r="M146" i="36" s="1"/>
  <c r="J145" i="36"/>
  <c r="K145" i="36" s="1"/>
  <c r="I145" i="36"/>
  <c r="M145" i="36" s="1"/>
  <c r="M144" i="36"/>
  <c r="K144" i="36"/>
  <c r="J144" i="36"/>
  <c r="I144" i="36"/>
  <c r="J143" i="36"/>
  <c r="K143" i="36" s="1"/>
  <c r="I143" i="36"/>
  <c r="M143" i="36" s="1"/>
  <c r="M142" i="36"/>
  <c r="J142" i="36"/>
  <c r="K142" i="36" s="1"/>
  <c r="I142" i="36"/>
  <c r="J141" i="36"/>
  <c r="K141" i="36" s="1"/>
  <c r="I141" i="36"/>
  <c r="M141" i="36" s="1"/>
  <c r="J140" i="36"/>
  <c r="K140" i="36" s="1"/>
  <c r="I140" i="36"/>
  <c r="M140" i="36" s="1"/>
  <c r="J139" i="36"/>
  <c r="K139" i="36" s="1"/>
  <c r="I139" i="36"/>
  <c r="M139" i="36" s="1"/>
  <c r="J138" i="36"/>
  <c r="K138" i="36" s="1"/>
  <c r="I138" i="36"/>
  <c r="M138" i="36" s="1"/>
  <c r="J137" i="36"/>
  <c r="K137" i="36" s="1"/>
  <c r="I137" i="36"/>
  <c r="M137" i="36" s="1"/>
  <c r="M136" i="36"/>
  <c r="J136" i="36"/>
  <c r="K136" i="36" s="1"/>
  <c r="I136" i="36"/>
  <c r="J135" i="36"/>
  <c r="K135" i="36" s="1"/>
  <c r="I135" i="36"/>
  <c r="M135" i="36" s="1"/>
  <c r="J134" i="36"/>
  <c r="K134" i="36" s="1"/>
  <c r="I134" i="36"/>
  <c r="M134" i="36" s="1"/>
  <c r="M133" i="36"/>
  <c r="J133" i="36"/>
  <c r="K133" i="36" s="1"/>
  <c r="I133" i="36"/>
  <c r="J132" i="36"/>
  <c r="K132" i="36" s="1"/>
  <c r="I132" i="36"/>
  <c r="M132" i="36" s="1"/>
  <c r="J131" i="36"/>
  <c r="K131" i="36" s="1"/>
  <c r="I131" i="36"/>
  <c r="M131" i="36" s="1"/>
  <c r="J130" i="36"/>
  <c r="K130" i="36" s="1"/>
  <c r="I130" i="36"/>
  <c r="M130" i="36" s="1"/>
  <c r="J129" i="36"/>
  <c r="K129" i="36" s="1"/>
  <c r="I129" i="36"/>
  <c r="M129" i="36" s="1"/>
  <c r="J128" i="36"/>
  <c r="K128" i="36" s="1"/>
  <c r="I128" i="36"/>
  <c r="M128" i="36" s="1"/>
  <c r="M127" i="36"/>
  <c r="J127" i="36"/>
  <c r="K127" i="36" s="1"/>
  <c r="I127" i="36"/>
  <c r="J126" i="36"/>
  <c r="K126" i="36" s="1"/>
  <c r="I126" i="36"/>
  <c r="M126" i="36" s="1"/>
  <c r="J125" i="36"/>
  <c r="K125" i="36" s="1"/>
  <c r="I125" i="36"/>
  <c r="M125" i="36" s="1"/>
  <c r="J124" i="36"/>
  <c r="K124" i="36" s="1"/>
  <c r="I124" i="36"/>
  <c r="M124" i="36" s="1"/>
  <c r="J123" i="36"/>
  <c r="K123" i="36" s="1"/>
  <c r="I123" i="36"/>
  <c r="M123" i="36" s="1"/>
  <c r="J122" i="36"/>
  <c r="K122" i="36" s="1"/>
  <c r="I122" i="36"/>
  <c r="M122" i="36" s="1"/>
  <c r="J121" i="36"/>
  <c r="K121" i="36" s="1"/>
  <c r="I121" i="36"/>
  <c r="M121" i="36" s="1"/>
  <c r="J120" i="36"/>
  <c r="K120" i="36" s="1"/>
  <c r="I120" i="36"/>
  <c r="M120" i="36" s="1"/>
  <c r="M119" i="36"/>
  <c r="J119" i="36"/>
  <c r="K119" i="36" s="1"/>
  <c r="I119" i="36"/>
  <c r="J118" i="36"/>
  <c r="K118" i="36" s="1"/>
  <c r="I118" i="36"/>
  <c r="M118" i="36" s="1"/>
  <c r="J117" i="36"/>
  <c r="K117" i="36" s="1"/>
  <c r="I117" i="36"/>
  <c r="M117" i="36" s="1"/>
  <c r="J116" i="36"/>
  <c r="K116" i="36" s="1"/>
  <c r="I116" i="36"/>
  <c r="M116" i="36" s="1"/>
  <c r="J115" i="36"/>
  <c r="K115" i="36" s="1"/>
  <c r="I115" i="36"/>
  <c r="M115" i="36" s="1"/>
  <c r="J114" i="36"/>
  <c r="K114" i="36" s="1"/>
  <c r="I114" i="36"/>
  <c r="M114" i="36" s="1"/>
  <c r="J113" i="36"/>
  <c r="K113" i="36" s="1"/>
  <c r="I113" i="36"/>
  <c r="M113" i="36" s="1"/>
  <c r="J112" i="36"/>
  <c r="K112" i="36" s="1"/>
  <c r="I112" i="36"/>
  <c r="M112" i="36" s="1"/>
  <c r="J111" i="36"/>
  <c r="K111" i="36" s="1"/>
  <c r="I111" i="36"/>
  <c r="M111" i="36" s="1"/>
  <c r="M110" i="36"/>
  <c r="K110" i="36"/>
  <c r="J110" i="36"/>
  <c r="I110" i="36"/>
  <c r="J109" i="36"/>
  <c r="K109" i="36" s="1"/>
  <c r="I109" i="36"/>
  <c r="M109" i="36" s="1"/>
  <c r="J108" i="36"/>
  <c r="K108" i="36" s="1"/>
  <c r="I108" i="36"/>
  <c r="M108" i="36" s="1"/>
  <c r="J107" i="36"/>
  <c r="K107" i="36" s="1"/>
  <c r="I107" i="36"/>
  <c r="M107" i="36" s="1"/>
  <c r="J106" i="36"/>
  <c r="K106" i="36" s="1"/>
  <c r="I106" i="36"/>
  <c r="M106" i="36" s="1"/>
  <c r="J105" i="36"/>
  <c r="K105" i="36" s="1"/>
  <c r="I105" i="36"/>
  <c r="M105" i="36" s="1"/>
  <c r="M104" i="36"/>
  <c r="J104" i="36"/>
  <c r="K104" i="36" s="1"/>
  <c r="I104" i="36"/>
  <c r="J103" i="36"/>
  <c r="K103" i="36" s="1"/>
  <c r="I103" i="36"/>
  <c r="M103" i="36" s="1"/>
  <c r="J102" i="36"/>
  <c r="K102" i="36" s="1"/>
  <c r="I102" i="36"/>
  <c r="M102" i="36" s="1"/>
  <c r="J101" i="36"/>
  <c r="K101" i="36" s="1"/>
  <c r="I101" i="36"/>
  <c r="M101" i="36" s="1"/>
  <c r="J100" i="36"/>
  <c r="K100" i="36" s="1"/>
  <c r="I100" i="36"/>
  <c r="M100" i="36" s="1"/>
  <c r="J99" i="36"/>
  <c r="K99" i="36" s="1"/>
  <c r="I99" i="36"/>
  <c r="M99" i="36" s="1"/>
  <c r="J98" i="36"/>
  <c r="K98" i="36" s="1"/>
  <c r="I98" i="36"/>
  <c r="M98" i="36" s="1"/>
  <c r="J97" i="36"/>
  <c r="K97" i="36" s="1"/>
  <c r="I97" i="36"/>
  <c r="M97" i="36" s="1"/>
  <c r="J96" i="36"/>
  <c r="K96" i="36" s="1"/>
  <c r="I96" i="36"/>
  <c r="M96" i="36" s="1"/>
  <c r="J95" i="36"/>
  <c r="K95" i="36" s="1"/>
  <c r="I95" i="36"/>
  <c r="M95" i="36" s="1"/>
  <c r="J94" i="36"/>
  <c r="K94" i="36" s="1"/>
  <c r="I94" i="36"/>
  <c r="M94" i="36" s="1"/>
  <c r="J93" i="36"/>
  <c r="K93" i="36" s="1"/>
  <c r="I93" i="36"/>
  <c r="M93" i="36" s="1"/>
  <c r="M92" i="36"/>
  <c r="J92" i="36"/>
  <c r="K92" i="36" s="1"/>
  <c r="I92" i="36"/>
  <c r="J91" i="36"/>
  <c r="K91" i="36" s="1"/>
  <c r="I91" i="36"/>
  <c r="M91" i="36" s="1"/>
  <c r="J90" i="36"/>
  <c r="K90" i="36" s="1"/>
  <c r="I90" i="36"/>
  <c r="M90" i="36" s="1"/>
  <c r="J89" i="36"/>
  <c r="K89" i="36" s="1"/>
  <c r="I89" i="36"/>
  <c r="M89" i="36" s="1"/>
  <c r="J88" i="36"/>
  <c r="K88" i="36" s="1"/>
  <c r="I88" i="36"/>
  <c r="M88" i="36" s="1"/>
  <c r="J87" i="36"/>
  <c r="K87" i="36" s="1"/>
  <c r="I87" i="36"/>
  <c r="M87" i="36" s="1"/>
  <c r="J86" i="36"/>
  <c r="K86" i="36" s="1"/>
  <c r="I86" i="36"/>
  <c r="M86" i="36" s="1"/>
  <c r="J85" i="36"/>
  <c r="K85" i="36" s="1"/>
  <c r="I85" i="36"/>
  <c r="M85" i="36" s="1"/>
  <c r="J84" i="36"/>
  <c r="K84" i="36" s="1"/>
  <c r="I84" i="36"/>
  <c r="M84" i="36" s="1"/>
  <c r="J83" i="36"/>
  <c r="K83" i="36" s="1"/>
  <c r="I83" i="36"/>
  <c r="M83" i="36" s="1"/>
  <c r="J82" i="36"/>
  <c r="K82" i="36" s="1"/>
  <c r="I82" i="36"/>
  <c r="M82" i="36" s="1"/>
  <c r="J81" i="36"/>
  <c r="K81" i="36" s="1"/>
  <c r="I81" i="36"/>
  <c r="M81" i="36" s="1"/>
  <c r="K80" i="36"/>
  <c r="J80" i="36"/>
  <c r="I80" i="36"/>
  <c r="M80" i="36" s="1"/>
  <c r="J79" i="36"/>
  <c r="K79" i="36" s="1"/>
  <c r="I79" i="36"/>
  <c r="M79" i="36" s="1"/>
  <c r="M78" i="36"/>
  <c r="J78" i="36"/>
  <c r="K78" i="36" s="1"/>
  <c r="I78" i="36"/>
  <c r="J77" i="36"/>
  <c r="K77" i="36" s="1"/>
  <c r="I77" i="36"/>
  <c r="M77" i="36" s="1"/>
  <c r="J76" i="36"/>
  <c r="K76" i="36" s="1"/>
  <c r="I76" i="36"/>
  <c r="M76" i="36" s="1"/>
  <c r="J75" i="36"/>
  <c r="K75" i="36" s="1"/>
  <c r="I75" i="36"/>
  <c r="M75" i="36" s="1"/>
  <c r="J74" i="36"/>
  <c r="K74" i="36" s="1"/>
  <c r="I74" i="36"/>
  <c r="M74" i="36" s="1"/>
  <c r="J73" i="36"/>
  <c r="K73" i="36" s="1"/>
  <c r="I73" i="36"/>
  <c r="M73" i="36" s="1"/>
  <c r="M72" i="36"/>
  <c r="J72" i="36"/>
  <c r="K72" i="36" s="1"/>
  <c r="I72" i="36"/>
  <c r="J71" i="36"/>
  <c r="K71" i="36" s="1"/>
  <c r="I71" i="36"/>
  <c r="M71" i="36" s="1"/>
  <c r="J70" i="36"/>
  <c r="K70" i="36" s="1"/>
  <c r="I70" i="36"/>
  <c r="M70" i="36" s="1"/>
  <c r="J69" i="36"/>
  <c r="K69" i="36" s="1"/>
  <c r="I69" i="36"/>
  <c r="M69" i="36" s="1"/>
  <c r="J68" i="36"/>
  <c r="K68" i="36" s="1"/>
  <c r="I68" i="36"/>
  <c r="M68" i="36" s="1"/>
  <c r="J67" i="36"/>
  <c r="K67" i="36" s="1"/>
  <c r="I67" i="36"/>
  <c r="M67" i="36" s="1"/>
  <c r="K66" i="36"/>
  <c r="J66" i="36"/>
  <c r="I66" i="36"/>
  <c r="M66" i="36" s="1"/>
  <c r="J65" i="36"/>
  <c r="K65" i="36" s="1"/>
  <c r="I65" i="36"/>
  <c r="M65" i="36" s="1"/>
  <c r="B65" i="36"/>
  <c r="J64" i="36"/>
  <c r="K64" i="36" s="1"/>
  <c r="I64" i="36"/>
  <c r="M64" i="36" s="1"/>
  <c r="B64" i="36"/>
  <c r="J63" i="36"/>
  <c r="K63" i="36" s="1"/>
  <c r="I63" i="36"/>
  <c r="M63" i="36" s="1"/>
  <c r="B63" i="36"/>
  <c r="J62" i="36"/>
  <c r="K62" i="36" s="1"/>
  <c r="I62" i="36"/>
  <c r="M62" i="36" s="1"/>
  <c r="B62" i="36"/>
  <c r="J61" i="36"/>
  <c r="K61" i="36" s="1"/>
  <c r="I61" i="36"/>
  <c r="M61" i="36" s="1"/>
  <c r="B61" i="36"/>
  <c r="J60" i="36"/>
  <c r="K60" i="36" s="1"/>
  <c r="I60" i="36"/>
  <c r="M60" i="36" s="1"/>
  <c r="A60" i="36" s="1"/>
  <c r="B60" i="36"/>
  <c r="J59" i="36"/>
  <c r="K59" i="36" s="1"/>
  <c r="I59" i="36"/>
  <c r="M59" i="36" s="1"/>
  <c r="B59" i="36"/>
  <c r="J58" i="36"/>
  <c r="K58" i="36" s="1"/>
  <c r="I58" i="36"/>
  <c r="M58" i="36" s="1"/>
  <c r="B58" i="36"/>
  <c r="J57" i="36"/>
  <c r="K57" i="36" s="1"/>
  <c r="I57" i="36"/>
  <c r="M57" i="36" s="1"/>
  <c r="B57" i="36"/>
  <c r="J56" i="36"/>
  <c r="K56" i="36" s="1"/>
  <c r="I56" i="36"/>
  <c r="M56" i="36" s="1"/>
  <c r="A56" i="36" s="1"/>
  <c r="B56" i="36"/>
  <c r="J55" i="36"/>
  <c r="K55" i="36" s="1"/>
  <c r="I55" i="36"/>
  <c r="M55" i="36" s="1"/>
  <c r="A55" i="36" s="1"/>
  <c r="B55" i="36"/>
  <c r="M54" i="36"/>
  <c r="A54" i="36" s="1"/>
  <c r="J54" i="36"/>
  <c r="K54" i="36" s="1"/>
  <c r="I54" i="36"/>
  <c r="B54" i="36"/>
  <c r="J53" i="36"/>
  <c r="K53" i="36" s="1"/>
  <c r="I53" i="36"/>
  <c r="M53" i="36" s="1"/>
  <c r="A53" i="36" s="1"/>
  <c r="B53" i="36"/>
  <c r="J52" i="36"/>
  <c r="K52" i="36" s="1"/>
  <c r="I52" i="36"/>
  <c r="M52" i="36" s="1"/>
  <c r="B52" i="36"/>
  <c r="J51" i="36"/>
  <c r="K51" i="36" s="1"/>
  <c r="I51" i="36"/>
  <c r="M51" i="36" s="1"/>
  <c r="B51" i="36"/>
  <c r="J50" i="36"/>
  <c r="K50" i="36" s="1"/>
  <c r="I50" i="36"/>
  <c r="M50" i="36" s="1"/>
  <c r="A50" i="36" s="1"/>
  <c r="B50" i="36"/>
  <c r="J49" i="36"/>
  <c r="K49" i="36" s="1"/>
  <c r="I49" i="36"/>
  <c r="M49" i="36" s="1"/>
  <c r="B49" i="36"/>
  <c r="J48" i="36"/>
  <c r="K48" i="36" s="1"/>
  <c r="I48" i="36"/>
  <c r="M48" i="36" s="1"/>
  <c r="A48" i="36" s="1"/>
  <c r="B48" i="36"/>
  <c r="M47" i="36"/>
  <c r="A47" i="36" s="1"/>
  <c r="J47" i="36"/>
  <c r="K47" i="36" s="1"/>
  <c r="I47" i="36"/>
  <c r="B47" i="36"/>
  <c r="T46" i="36"/>
  <c r="R46" i="36"/>
  <c r="J46" i="36"/>
  <c r="K46" i="36" s="1"/>
  <c r="I46" i="36"/>
  <c r="M46" i="36" s="1"/>
  <c r="A46" i="36" s="1"/>
  <c r="B46" i="36"/>
  <c r="M45" i="36"/>
  <c r="A45" i="36" s="1"/>
  <c r="J45" i="36"/>
  <c r="K45" i="36" s="1"/>
  <c r="I45" i="36"/>
  <c r="B45" i="36"/>
  <c r="J44" i="36"/>
  <c r="K44" i="36" s="1"/>
  <c r="I44" i="36"/>
  <c r="M44" i="36" s="1"/>
  <c r="A44" i="36" s="1"/>
  <c r="B44" i="36"/>
  <c r="M43" i="36"/>
  <c r="A43" i="36" s="1"/>
  <c r="K43" i="36"/>
  <c r="J43" i="36"/>
  <c r="I43" i="36"/>
  <c r="B43" i="36"/>
  <c r="J42" i="36"/>
  <c r="K42" i="36" s="1"/>
  <c r="I42" i="36"/>
  <c r="M42" i="36" s="1"/>
  <c r="B42" i="36"/>
  <c r="J41" i="36"/>
  <c r="K41" i="36" s="1"/>
  <c r="I41" i="36"/>
  <c r="M41" i="36" s="1"/>
  <c r="A41" i="36" s="1"/>
  <c r="B41" i="36"/>
  <c r="J40" i="36"/>
  <c r="K40" i="36" s="1"/>
  <c r="I40" i="36"/>
  <c r="M40" i="36" s="1"/>
  <c r="A40" i="36" s="1"/>
  <c r="B40" i="36"/>
  <c r="AH32" i="31" s="1"/>
  <c r="AI32" i="31" s="1"/>
  <c r="J39" i="36"/>
  <c r="K39" i="36" s="1"/>
  <c r="I39" i="36"/>
  <c r="B39" i="36"/>
  <c r="J38" i="36"/>
  <c r="K38" i="36" s="1"/>
  <c r="I38" i="36"/>
  <c r="B38" i="36"/>
  <c r="AH15" i="31" s="1"/>
  <c r="AI15" i="31" s="1"/>
  <c r="J37" i="36"/>
  <c r="K37" i="36" s="1"/>
  <c r="I37" i="36"/>
  <c r="M37" i="36" s="1"/>
  <c r="A37" i="36" s="1"/>
  <c r="B37" i="36"/>
  <c r="J36" i="36"/>
  <c r="K36" i="36" s="1"/>
  <c r="I36" i="36"/>
  <c r="B36" i="36"/>
  <c r="J35" i="36"/>
  <c r="K35" i="36" s="1"/>
  <c r="I35" i="36"/>
  <c r="B35" i="36"/>
  <c r="J34" i="36"/>
  <c r="K34" i="36" s="1"/>
  <c r="I34" i="36"/>
  <c r="M34" i="36" s="1"/>
  <c r="A34" i="36" s="1"/>
  <c r="B34" i="36"/>
  <c r="J33" i="36"/>
  <c r="K33" i="36" s="1"/>
  <c r="I33" i="36"/>
  <c r="B33" i="36"/>
  <c r="J32" i="36"/>
  <c r="K32" i="36" s="1"/>
  <c r="M32" i="36" s="1"/>
  <c r="A32" i="36" s="1"/>
  <c r="I32" i="36"/>
  <c r="B32" i="36"/>
  <c r="J31" i="36"/>
  <c r="K31" i="36" s="1"/>
  <c r="I31" i="36"/>
  <c r="B31" i="36"/>
  <c r="J30" i="36"/>
  <c r="K30" i="36" s="1"/>
  <c r="I30" i="36"/>
  <c r="B30" i="36"/>
  <c r="J29" i="36"/>
  <c r="K29" i="36" s="1"/>
  <c r="I29" i="36"/>
  <c r="B29" i="36"/>
  <c r="J28" i="36"/>
  <c r="K28" i="36" s="1"/>
  <c r="I28" i="36"/>
  <c r="B28" i="36"/>
  <c r="J27" i="36"/>
  <c r="K27" i="36" s="1"/>
  <c r="I27" i="36"/>
  <c r="B27" i="36"/>
  <c r="J26" i="36"/>
  <c r="K26" i="36" s="1"/>
  <c r="I26" i="36"/>
  <c r="B26" i="36"/>
  <c r="J25" i="36"/>
  <c r="K25" i="36" s="1"/>
  <c r="I25" i="36"/>
  <c r="B25" i="36"/>
  <c r="J24" i="36"/>
  <c r="K24" i="36" s="1"/>
  <c r="I24" i="36"/>
  <c r="M24" i="36" s="1"/>
  <c r="A24" i="36" s="1"/>
  <c r="B24" i="36"/>
  <c r="AH13" i="31" s="1"/>
  <c r="AI13" i="31" s="1"/>
  <c r="J23" i="36"/>
  <c r="K23" i="36" s="1"/>
  <c r="I23" i="36"/>
  <c r="B23" i="36"/>
  <c r="J22" i="36"/>
  <c r="K22" i="36" s="1"/>
  <c r="I22" i="36"/>
  <c r="M22" i="36" s="1"/>
  <c r="A22" i="36" s="1"/>
  <c r="B22" i="36"/>
  <c r="J21" i="36"/>
  <c r="K21" i="36" s="1"/>
  <c r="I21" i="36"/>
  <c r="B21" i="36"/>
  <c r="J20" i="36"/>
  <c r="K20" i="36" s="1"/>
  <c r="I20" i="36"/>
  <c r="B20" i="36"/>
  <c r="AH8" i="31" s="1"/>
  <c r="AI8" i="31" s="1"/>
  <c r="J19" i="36"/>
  <c r="K19" i="36" s="1"/>
  <c r="I19" i="36"/>
  <c r="B19" i="36"/>
  <c r="J18" i="36"/>
  <c r="K18" i="36" s="1"/>
  <c r="M18" i="36" s="1"/>
  <c r="A18" i="36" s="1"/>
  <c r="I18" i="36"/>
  <c r="B18" i="36"/>
  <c r="J17" i="36"/>
  <c r="K17" i="36" s="1"/>
  <c r="I17" i="36"/>
  <c r="B17" i="36"/>
  <c r="J16" i="36"/>
  <c r="K16" i="36" s="1"/>
  <c r="I16" i="36"/>
  <c r="B16" i="36"/>
  <c r="J15" i="36"/>
  <c r="K15" i="36" s="1"/>
  <c r="I15" i="36"/>
  <c r="B15" i="36"/>
  <c r="AI14" i="36"/>
  <c r="J14" i="36"/>
  <c r="K14" i="36" s="1"/>
  <c r="I14" i="36"/>
  <c r="B14" i="36"/>
  <c r="AH7" i="31" s="1"/>
  <c r="AI7" i="31" s="1"/>
  <c r="AI13" i="36"/>
  <c r="J13" i="36"/>
  <c r="K13" i="36" s="1"/>
  <c r="I13" i="36"/>
  <c r="B13" i="36"/>
  <c r="AI12" i="36"/>
  <c r="AI16" i="36" s="1"/>
  <c r="J12" i="36"/>
  <c r="K12" i="36" s="1"/>
  <c r="I12" i="36"/>
  <c r="B12" i="36"/>
  <c r="J11" i="36"/>
  <c r="K11" i="36" s="1"/>
  <c r="I11" i="36"/>
  <c r="B11" i="36"/>
  <c r="J10" i="36"/>
  <c r="K10" i="36" s="1"/>
  <c r="I10" i="36"/>
  <c r="M10" i="36" s="1"/>
  <c r="A10" i="36" s="1"/>
  <c r="B10" i="36"/>
  <c r="L9" i="36"/>
  <c r="J9" i="36"/>
  <c r="K9" i="36" s="1"/>
  <c r="I9" i="36"/>
  <c r="B9" i="36"/>
  <c r="J8" i="36"/>
  <c r="K8" i="36" s="1"/>
  <c r="I8" i="36"/>
  <c r="B8" i="36"/>
  <c r="AH6" i="31" s="1"/>
  <c r="AI6" i="31" s="1"/>
  <c r="J7" i="36"/>
  <c r="K7" i="36" s="1"/>
  <c r="I7" i="36"/>
  <c r="B7" i="36"/>
  <c r="J6" i="36"/>
  <c r="K6" i="36" s="1"/>
  <c r="I6" i="36"/>
  <c r="B6" i="36"/>
  <c r="K2" i="36"/>
  <c r="L8" i="36" s="1"/>
  <c r="J305" i="35"/>
  <c r="K305" i="35" s="1"/>
  <c r="I305" i="35"/>
  <c r="M305" i="35" s="1"/>
  <c r="J304" i="35"/>
  <c r="K304" i="35" s="1"/>
  <c r="I304" i="35"/>
  <c r="M304" i="35" s="1"/>
  <c r="J303" i="35"/>
  <c r="K303" i="35" s="1"/>
  <c r="I303" i="35"/>
  <c r="M303" i="35" s="1"/>
  <c r="J302" i="35"/>
  <c r="K302" i="35" s="1"/>
  <c r="I302" i="35"/>
  <c r="M302" i="35" s="1"/>
  <c r="J301" i="35"/>
  <c r="K301" i="35" s="1"/>
  <c r="I301" i="35"/>
  <c r="M301" i="35" s="1"/>
  <c r="J300" i="35"/>
  <c r="K300" i="35" s="1"/>
  <c r="I300" i="35"/>
  <c r="M300" i="35" s="1"/>
  <c r="J299" i="35"/>
  <c r="K299" i="35" s="1"/>
  <c r="I299" i="35"/>
  <c r="M299" i="35" s="1"/>
  <c r="J298" i="35"/>
  <c r="K298" i="35" s="1"/>
  <c r="I298" i="35"/>
  <c r="M298" i="35" s="1"/>
  <c r="J297" i="35"/>
  <c r="K297" i="35" s="1"/>
  <c r="I297" i="35"/>
  <c r="M297" i="35" s="1"/>
  <c r="J296" i="35"/>
  <c r="K296" i="35" s="1"/>
  <c r="I296" i="35"/>
  <c r="M296" i="35" s="1"/>
  <c r="J295" i="35"/>
  <c r="K295" i="35" s="1"/>
  <c r="I295" i="35"/>
  <c r="M295" i="35" s="1"/>
  <c r="J294" i="35"/>
  <c r="K294" i="35" s="1"/>
  <c r="I294" i="35"/>
  <c r="M294" i="35" s="1"/>
  <c r="J293" i="35"/>
  <c r="K293" i="35" s="1"/>
  <c r="I293" i="35"/>
  <c r="M293" i="35" s="1"/>
  <c r="K292" i="35"/>
  <c r="J292" i="35"/>
  <c r="I292" i="35"/>
  <c r="M292" i="35" s="1"/>
  <c r="J291" i="35"/>
  <c r="K291" i="35" s="1"/>
  <c r="I291" i="35"/>
  <c r="M291" i="35" s="1"/>
  <c r="J290" i="35"/>
  <c r="K290" i="35" s="1"/>
  <c r="I290" i="35"/>
  <c r="M290" i="35" s="1"/>
  <c r="M289" i="35"/>
  <c r="J289" i="35"/>
  <c r="K289" i="35" s="1"/>
  <c r="I289" i="35"/>
  <c r="J288" i="35"/>
  <c r="K288" i="35" s="1"/>
  <c r="I288" i="35"/>
  <c r="M288" i="35" s="1"/>
  <c r="J287" i="35"/>
  <c r="K287" i="35" s="1"/>
  <c r="I287" i="35"/>
  <c r="M287" i="35" s="1"/>
  <c r="J286" i="35"/>
  <c r="K286" i="35" s="1"/>
  <c r="I286" i="35"/>
  <c r="M286" i="35" s="1"/>
  <c r="J285" i="35"/>
  <c r="K285" i="35" s="1"/>
  <c r="I285" i="35"/>
  <c r="M285" i="35" s="1"/>
  <c r="J284" i="35"/>
  <c r="K284" i="35" s="1"/>
  <c r="I284" i="35"/>
  <c r="M284" i="35" s="1"/>
  <c r="J283" i="35"/>
  <c r="K283" i="35" s="1"/>
  <c r="I283" i="35"/>
  <c r="M283" i="35" s="1"/>
  <c r="J282" i="35"/>
  <c r="K282" i="35" s="1"/>
  <c r="I282" i="35"/>
  <c r="M282" i="35" s="1"/>
  <c r="J281" i="35"/>
  <c r="K281" i="35" s="1"/>
  <c r="I281" i="35"/>
  <c r="M281" i="35" s="1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K277" i="35"/>
  <c r="J277" i="35"/>
  <c r="I277" i="35"/>
  <c r="M277" i="35" s="1"/>
  <c r="J276" i="35"/>
  <c r="K276" i="35" s="1"/>
  <c r="I276" i="35"/>
  <c r="M276" i="35" s="1"/>
  <c r="J275" i="35"/>
  <c r="K275" i="35" s="1"/>
  <c r="I275" i="35"/>
  <c r="M275" i="35" s="1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J271" i="35"/>
  <c r="K271" i="35" s="1"/>
  <c r="I271" i="35"/>
  <c r="M271" i="35" s="1"/>
  <c r="J270" i="35"/>
  <c r="K270" i="35" s="1"/>
  <c r="I270" i="35"/>
  <c r="M270" i="35" s="1"/>
  <c r="J269" i="35"/>
  <c r="K269" i="35" s="1"/>
  <c r="I269" i="35"/>
  <c r="M269" i="35" s="1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M263" i="35"/>
  <c r="J263" i="35"/>
  <c r="K263" i="35" s="1"/>
  <c r="I263" i="35"/>
  <c r="J262" i="35"/>
  <c r="K262" i="35" s="1"/>
  <c r="I262" i="35"/>
  <c r="M262" i="35" s="1"/>
  <c r="J261" i="35"/>
  <c r="K261" i="35" s="1"/>
  <c r="I261" i="35"/>
  <c r="M261" i="35" s="1"/>
  <c r="J260" i="35"/>
  <c r="K260" i="35" s="1"/>
  <c r="I260" i="35"/>
  <c r="M260" i="35" s="1"/>
  <c r="J259" i="35"/>
  <c r="K259" i="35" s="1"/>
  <c r="I259" i="35"/>
  <c r="M259" i="35" s="1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J254" i="35"/>
  <c r="K254" i="35" s="1"/>
  <c r="I254" i="35"/>
  <c r="M254" i="35" s="1"/>
  <c r="J253" i="35"/>
  <c r="K253" i="35" s="1"/>
  <c r="I253" i="35"/>
  <c r="M253" i="35" s="1"/>
  <c r="J252" i="35"/>
  <c r="K252" i="35" s="1"/>
  <c r="I252" i="35"/>
  <c r="M252" i="35" s="1"/>
  <c r="J251" i="35"/>
  <c r="K251" i="35" s="1"/>
  <c r="I251" i="35"/>
  <c r="M251" i="35" s="1"/>
  <c r="J250" i="35"/>
  <c r="K250" i="35" s="1"/>
  <c r="I250" i="35"/>
  <c r="M250" i="35" s="1"/>
  <c r="J249" i="35"/>
  <c r="K249" i="35" s="1"/>
  <c r="I249" i="35"/>
  <c r="M249" i="35" s="1"/>
  <c r="J248" i="35"/>
  <c r="K248" i="35" s="1"/>
  <c r="I248" i="35"/>
  <c r="M248" i="35" s="1"/>
  <c r="J247" i="35"/>
  <c r="K247" i="35" s="1"/>
  <c r="I247" i="35"/>
  <c r="M247" i="35" s="1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J243" i="35"/>
  <c r="K243" i="35" s="1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J237" i="35"/>
  <c r="K237" i="35" s="1"/>
  <c r="I237" i="35"/>
  <c r="M237" i="35" s="1"/>
  <c r="J236" i="35"/>
  <c r="K236" i="35" s="1"/>
  <c r="I236" i="35"/>
  <c r="M236" i="35" s="1"/>
  <c r="J235" i="35"/>
  <c r="K235" i="35" s="1"/>
  <c r="I235" i="35"/>
  <c r="M235" i="35" s="1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J229" i="35"/>
  <c r="K229" i="35" s="1"/>
  <c r="I229" i="35"/>
  <c r="M229" i="35" s="1"/>
  <c r="J228" i="35"/>
  <c r="K228" i="35" s="1"/>
  <c r="I228" i="35"/>
  <c r="M228" i="35" s="1"/>
  <c r="J227" i="35"/>
  <c r="K227" i="35" s="1"/>
  <c r="I227" i="35"/>
  <c r="M227" i="35" s="1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J221" i="35"/>
  <c r="K221" i="35" s="1"/>
  <c r="I221" i="35"/>
  <c r="M221" i="35" s="1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J205" i="35"/>
  <c r="K205" i="35" s="1"/>
  <c r="I205" i="35"/>
  <c r="M205" i="35" s="1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M201" i="35"/>
  <c r="J201" i="35"/>
  <c r="K201" i="35" s="1"/>
  <c r="I201" i="35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J189" i="35"/>
  <c r="K189" i="35" s="1"/>
  <c r="I189" i="35"/>
  <c r="M189" i="35" s="1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J173" i="35"/>
  <c r="K173" i="35" s="1"/>
  <c r="I173" i="35"/>
  <c r="M173" i="35" s="1"/>
  <c r="J172" i="35"/>
  <c r="K172" i="35" s="1"/>
  <c r="I172" i="35"/>
  <c r="M172" i="35" s="1"/>
  <c r="M171" i="35"/>
  <c r="J171" i="35"/>
  <c r="K171" i="35" s="1"/>
  <c r="I171" i="35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J163" i="35"/>
  <c r="K163" i="35" s="1"/>
  <c r="I163" i="35"/>
  <c r="M163" i="35" s="1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J157" i="35"/>
  <c r="K157" i="35" s="1"/>
  <c r="I157" i="35"/>
  <c r="M157" i="35" s="1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J151" i="35"/>
  <c r="K151" i="35" s="1"/>
  <c r="I151" i="35"/>
  <c r="M151" i="35" s="1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J141" i="35"/>
  <c r="K141" i="35" s="1"/>
  <c r="I141" i="35"/>
  <c r="M141" i="35" s="1"/>
  <c r="J59" i="35"/>
  <c r="K59" i="35" s="1"/>
  <c r="I59" i="35"/>
  <c r="B59" i="35"/>
  <c r="J58" i="35"/>
  <c r="K58" i="35" s="1"/>
  <c r="I58" i="35"/>
  <c r="M58" i="35" s="1"/>
  <c r="A58" i="35" s="1"/>
  <c r="B58" i="35"/>
  <c r="J57" i="35"/>
  <c r="K57" i="35" s="1"/>
  <c r="I57" i="35"/>
  <c r="B57" i="35"/>
  <c r="J56" i="35"/>
  <c r="K56" i="35" s="1"/>
  <c r="I56" i="35"/>
  <c r="B56" i="35"/>
  <c r="J55" i="35"/>
  <c r="K55" i="35" s="1"/>
  <c r="I55" i="35"/>
  <c r="B55" i="35"/>
  <c r="J54" i="35"/>
  <c r="K54" i="35" s="1"/>
  <c r="I54" i="35"/>
  <c r="B54" i="35"/>
  <c r="J53" i="35"/>
  <c r="K53" i="35" s="1"/>
  <c r="I53" i="35"/>
  <c r="B53" i="35"/>
  <c r="J52" i="35"/>
  <c r="K52" i="35" s="1"/>
  <c r="I52" i="35"/>
  <c r="B52" i="35"/>
  <c r="J51" i="35"/>
  <c r="K51" i="35" s="1"/>
  <c r="I51" i="35"/>
  <c r="B51" i="35"/>
  <c r="J50" i="35"/>
  <c r="K50" i="35" s="1"/>
  <c r="I50" i="35"/>
  <c r="M50" i="35" s="1"/>
  <c r="A50" i="35" s="1"/>
  <c r="B50" i="35"/>
  <c r="J49" i="35"/>
  <c r="K49" i="35" s="1"/>
  <c r="I49" i="35"/>
  <c r="B49" i="35"/>
  <c r="J48" i="35"/>
  <c r="K48" i="35" s="1"/>
  <c r="I48" i="35"/>
  <c r="B48" i="35"/>
  <c r="J47" i="35"/>
  <c r="K47" i="35" s="1"/>
  <c r="M47" i="35" s="1"/>
  <c r="A47" i="35" s="1"/>
  <c r="I47" i="35"/>
  <c r="B47" i="35"/>
  <c r="J46" i="35"/>
  <c r="K46" i="35" s="1"/>
  <c r="I46" i="35"/>
  <c r="M46" i="35" s="1"/>
  <c r="A46" i="35" s="1"/>
  <c r="B46" i="35"/>
  <c r="J45" i="35"/>
  <c r="K45" i="35" s="1"/>
  <c r="I45" i="35"/>
  <c r="B45" i="35"/>
  <c r="J44" i="35"/>
  <c r="K44" i="35" s="1"/>
  <c r="I44" i="35"/>
  <c r="B44" i="35"/>
  <c r="J43" i="35"/>
  <c r="K43" i="35" s="1"/>
  <c r="I43" i="35"/>
  <c r="B43" i="35"/>
  <c r="J42" i="35"/>
  <c r="K42" i="35" s="1"/>
  <c r="I42" i="35"/>
  <c r="M42" i="35" s="1"/>
  <c r="A42" i="35" s="1"/>
  <c r="B42" i="35"/>
  <c r="J41" i="35"/>
  <c r="K41" i="35" s="1"/>
  <c r="I41" i="35"/>
  <c r="B41" i="35"/>
  <c r="J40" i="35"/>
  <c r="K40" i="35" s="1"/>
  <c r="I40" i="35"/>
  <c r="B40" i="35"/>
  <c r="J39" i="35"/>
  <c r="K39" i="35" s="1"/>
  <c r="I39" i="35"/>
  <c r="B39" i="35"/>
  <c r="J38" i="35"/>
  <c r="K38" i="35" s="1"/>
  <c r="I38" i="35"/>
  <c r="B38" i="35"/>
  <c r="J37" i="35"/>
  <c r="K37" i="35" s="1"/>
  <c r="I37" i="35"/>
  <c r="B37" i="35"/>
  <c r="J36" i="35"/>
  <c r="K36" i="35" s="1"/>
  <c r="I36" i="35"/>
  <c r="B36" i="35"/>
  <c r="J35" i="35"/>
  <c r="K35" i="35" s="1"/>
  <c r="I35" i="35"/>
  <c r="M35" i="35" s="1"/>
  <c r="A35" i="35" s="1"/>
  <c r="B35" i="35"/>
  <c r="J34" i="35"/>
  <c r="K34" i="35" s="1"/>
  <c r="I34" i="35"/>
  <c r="M34" i="35" s="1"/>
  <c r="A34" i="35" s="1"/>
  <c r="B34" i="35"/>
  <c r="J33" i="35"/>
  <c r="K33" i="35" s="1"/>
  <c r="I33" i="35"/>
  <c r="B33" i="35"/>
  <c r="J32" i="35"/>
  <c r="K32" i="35" s="1"/>
  <c r="I32" i="35"/>
  <c r="B32" i="35"/>
  <c r="J31" i="35"/>
  <c r="K31" i="35" s="1"/>
  <c r="I31" i="35"/>
  <c r="B31" i="35"/>
  <c r="J30" i="35"/>
  <c r="K30" i="35" s="1"/>
  <c r="I30" i="35"/>
  <c r="B30" i="35"/>
  <c r="J29" i="35"/>
  <c r="K29" i="35" s="1"/>
  <c r="I29" i="35"/>
  <c r="B29" i="35"/>
  <c r="J28" i="35"/>
  <c r="K28" i="35" s="1"/>
  <c r="I28" i="35"/>
  <c r="B28" i="35"/>
  <c r="J27" i="35"/>
  <c r="K27" i="35" s="1"/>
  <c r="I27" i="35"/>
  <c r="B27" i="35"/>
  <c r="J26" i="35"/>
  <c r="K26" i="35" s="1"/>
  <c r="I26" i="35"/>
  <c r="M26" i="35" s="1"/>
  <c r="A26" i="35" s="1"/>
  <c r="B26" i="35"/>
  <c r="J25" i="35"/>
  <c r="K25" i="35" s="1"/>
  <c r="I25" i="35"/>
  <c r="B25" i="35"/>
  <c r="J24" i="35"/>
  <c r="K24" i="35" s="1"/>
  <c r="M24" i="35" s="1"/>
  <c r="A24" i="35" s="1"/>
  <c r="I24" i="35"/>
  <c r="B24" i="35"/>
  <c r="J23" i="35"/>
  <c r="K23" i="35" s="1"/>
  <c r="I23" i="35"/>
  <c r="B23" i="35"/>
  <c r="J22" i="35"/>
  <c r="K22" i="35" s="1"/>
  <c r="I22" i="35"/>
  <c r="B22" i="35"/>
  <c r="J21" i="35"/>
  <c r="K21" i="35" s="1"/>
  <c r="I21" i="35"/>
  <c r="B21" i="35"/>
  <c r="J20" i="35"/>
  <c r="K20" i="35" s="1"/>
  <c r="I20" i="35"/>
  <c r="M20" i="35" s="1"/>
  <c r="A20" i="35" s="1"/>
  <c r="B20" i="35"/>
  <c r="J19" i="35"/>
  <c r="K19" i="35" s="1"/>
  <c r="I19" i="35"/>
  <c r="M19" i="35" s="1"/>
  <c r="A19" i="35" s="1"/>
  <c r="B19" i="35"/>
  <c r="J18" i="35"/>
  <c r="K18" i="35" s="1"/>
  <c r="I18" i="35"/>
  <c r="M18" i="35" s="1"/>
  <c r="A18" i="35" s="1"/>
  <c r="B18" i="35"/>
  <c r="J17" i="35"/>
  <c r="K17" i="35" s="1"/>
  <c r="I17" i="35"/>
  <c r="B17" i="35"/>
  <c r="J16" i="35"/>
  <c r="K16" i="35" s="1"/>
  <c r="I16" i="35"/>
  <c r="B16" i="35"/>
  <c r="J15" i="35"/>
  <c r="K15" i="35" s="1"/>
  <c r="I15" i="35"/>
  <c r="M15" i="35" s="1"/>
  <c r="A15" i="35" s="1"/>
  <c r="B15" i="35"/>
  <c r="AI14" i="35"/>
  <c r="J14" i="35"/>
  <c r="K14" i="35" s="1"/>
  <c r="I14" i="35"/>
  <c r="B14" i="35"/>
  <c r="AI13" i="35"/>
  <c r="AI16" i="35" s="1"/>
  <c r="J13" i="35"/>
  <c r="K13" i="35" s="1"/>
  <c r="I13" i="35"/>
  <c r="B13" i="35"/>
  <c r="AI12" i="35"/>
  <c r="J12" i="35"/>
  <c r="K12" i="35" s="1"/>
  <c r="I12" i="35"/>
  <c r="B12" i="35"/>
  <c r="J11" i="35"/>
  <c r="K11" i="35" s="1"/>
  <c r="I11" i="35"/>
  <c r="B11" i="35"/>
  <c r="J10" i="35"/>
  <c r="K10" i="35" s="1"/>
  <c r="I10" i="35"/>
  <c r="B10" i="35"/>
  <c r="J9" i="35"/>
  <c r="K9" i="35" s="1"/>
  <c r="I9" i="35"/>
  <c r="B9" i="35"/>
  <c r="J8" i="35"/>
  <c r="K8" i="35" s="1"/>
  <c r="I8" i="35"/>
  <c r="B8" i="35"/>
  <c r="K7" i="35"/>
  <c r="J7" i="35"/>
  <c r="I7" i="35"/>
  <c r="B7" i="35"/>
  <c r="J6" i="35"/>
  <c r="K6" i="35" s="1"/>
  <c r="I6" i="35"/>
  <c r="B6" i="35"/>
  <c r="AF29" i="31" s="1"/>
  <c r="AG29" i="31" s="1"/>
  <c r="K2" i="35"/>
  <c r="L7" i="35" s="1"/>
  <c r="J305" i="34"/>
  <c r="K305" i="34" s="1"/>
  <c r="I305" i="34"/>
  <c r="M305" i="34" s="1"/>
  <c r="J304" i="34"/>
  <c r="K304" i="34" s="1"/>
  <c r="I304" i="34"/>
  <c r="M304" i="34" s="1"/>
  <c r="J303" i="34"/>
  <c r="K303" i="34" s="1"/>
  <c r="I303" i="34"/>
  <c r="M303" i="34" s="1"/>
  <c r="J302" i="34"/>
  <c r="K302" i="34" s="1"/>
  <c r="I302" i="34"/>
  <c r="M302" i="34" s="1"/>
  <c r="J301" i="34"/>
  <c r="K301" i="34" s="1"/>
  <c r="I301" i="34"/>
  <c r="M301" i="34" s="1"/>
  <c r="J300" i="34"/>
  <c r="K300" i="34" s="1"/>
  <c r="I300" i="34"/>
  <c r="M300" i="34" s="1"/>
  <c r="J299" i="34"/>
  <c r="K299" i="34" s="1"/>
  <c r="I299" i="34"/>
  <c r="M299" i="34" s="1"/>
  <c r="J298" i="34"/>
  <c r="K298" i="34" s="1"/>
  <c r="I298" i="34"/>
  <c r="M298" i="34" s="1"/>
  <c r="J297" i="34"/>
  <c r="K297" i="34" s="1"/>
  <c r="I297" i="34"/>
  <c r="M297" i="34" s="1"/>
  <c r="J296" i="34"/>
  <c r="K296" i="34" s="1"/>
  <c r="I296" i="34"/>
  <c r="M296" i="34" s="1"/>
  <c r="J295" i="34"/>
  <c r="K295" i="34" s="1"/>
  <c r="I295" i="34"/>
  <c r="M295" i="34" s="1"/>
  <c r="J294" i="34"/>
  <c r="K294" i="34" s="1"/>
  <c r="I294" i="34"/>
  <c r="M294" i="34" s="1"/>
  <c r="J293" i="34"/>
  <c r="K293" i="34" s="1"/>
  <c r="I293" i="34"/>
  <c r="M293" i="34" s="1"/>
  <c r="J292" i="34"/>
  <c r="K292" i="34" s="1"/>
  <c r="I292" i="34"/>
  <c r="M292" i="34" s="1"/>
  <c r="J291" i="34"/>
  <c r="K291" i="34" s="1"/>
  <c r="I291" i="34"/>
  <c r="M291" i="34" s="1"/>
  <c r="J290" i="34"/>
  <c r="K290" i="34" s="1"/>
  <c r="I290" i="34"/>
  <c r="M290" i="34" s="1"/>
  <c r="J289" i="34"/>
  <c r="K289" i="34" s="1"/>
  <c r="I289" i="34"/>
  <c r="M289" i="34" s="1"/>
  <c r="J288" i="34"/>
  <c r="K288" i="34" s="1"/>
  <c r="I288" i="34"/>
  <c r="M288" i="34" s="1"/>
  <c r="J287" i="34"/>
  <c r="K287" i="34" s="1"/>
  <c r="I287" i="34"/>
  <c r="M287" i="34" s="1"/>
  <c r="J286" i="34"/>
  <c r="K286" i="34" s="1"/>
  <c r="I286" i="34"/>
  <c r="M286" i="34" s="1"/>
  <c r="J285" i="34"/>
  <c r="K285" i="34" s="1"/>
  <c r="I285" i="34"/>
  <c r="M285" i="34" s="1"/>
  <c r="J284" i="34"/>
  <c r="K284" i="34" s="1"/>
  <c r="I284" i="34"/>
  <c r="M284" i="34" s="1"/>
  <c r="J283" i="34"/>
  <c r="K283" i="34" s="1"/>
  <c r="I283" i="34"/>
  <c r="M283" i="34" s="1"/>
  <c r="J282" i="34"/>
  <c r="K282" i="34" s="1"/>
  <c r="I282" i="34"/>
  <c r="M282" i="34" s="1"/>
  <c r="J281" i="34"/>
  <c r="K281" i="34" s="1"/>
  <c r="I281" i="34"/>
  <c r="M281" i="34" s="1"/>
  <c r="J280" i="34"/>
  <c r="K280" i="34" s="1"/>
  <c r="I280" i="34"/>
  <c r="M280" i="34" s="1"/>
  <c r="J279" i="34"/>
  <c r="K279" i="34" s="1"/>
  <c r="I279" i="34"/>
  <c r="M279" i="34" s="1"/>
  <c r="J278" i="34"/>
  <c r="K278" i="34" s="1"/>
  <c r="I278" i="34"/>
  <c r="M278" i="34" s="1"/>
  <c r="J277" i="34"/>
  <c r="K277" i="34" s="1"/>
  <c r="I277" i="34"/>
  <c r="M277" i="34" s="1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J273" i="34"/>
  <c r="K273" i="34" s="1"/>
  <c r="I273" i="34"/>
  <c r="M273" i="34" s="1"/>
  <c r="J272" i="34"/>
  <c r="K272" i="34" s="1"/>
  <c r="I272" i="34"/>
  <c r="M272" i="34" s="1"/>
  <c r="J271" i="34"/>
  <c r="K271" i="34" s="1"/>
  <c r="I271" i="34"/>
  <c r="M271" i="34" s="1"/>
  <c r="J270" i="34"/>
  <c r="K270" i="34" s="1"/>
  <c r="I270" i="34"/>
  <c r="M270" i="34" s="1"/>
  <c r="J269" i="34"/>
  <c r="K269" i="34" s="1"/>
  <c r="I269" i="34"/>
  <c r="M269" i="34" s="1"/>
  <c r="J268" i="34"/>
  <c r="K268" i="34" s="1"/>
  <c r="I268" i="34"/>
  <c r="M268" i="34" s="1"/>
  <c r="J267" i="34"/>
  <c r="K267" i="34" s="1"/>
  <c r="I267" i="34"/>
  <c r="M267" i="34" s="1"/>
  <c r="J266" i="34"/>
  <c r="K266" i="34" s="1"/>
  <c r="I266" i="34"/>
  <c r="M266" i="34" s="1"/>
  <c r="J265" i="34"/>
  <c r="K265" i="34" s="1"/>
  <c r="I265" i="34"/>
  <c r="M265" i="34" s="1"/>
  <c r="J264" i="34"/>
  <c r="K264" i="34" s="1"/>
  <c r="I264" i="34"/>
  <c r="M264" i="34" s="1"/>
  <c r="J263" i="34"/>
  <c r="K263" i="34" s="1"/>
  <c r="I263" i="34"/>
  <c r="M263" i="34" s="1"/>
  <c r="J262" i="34"/>
  <c r="K262" i="34" s="1"/>
  <c r="I262" i="34"/>
  <c r="M262" i="34" s="1"/>
  <c r="J261" i="34"/>
  <c r="K261" i="34" s="1"/>
  <c r="I261" i="34"/>
  <c r="M261" i="34" s="1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J257" i="34"/>
  <c r="K257" i="34" s="1"/>
  <c r="I257" i="34"/>
  <c r="M257" i="34" s="1"/>
  <c r="J256" i="34"/>
  <c r="K256" i="34" s="1"/>
  <c r="I256" i="34"/>
  <c r="M256" i="34" s="1"/>
  <c r="J255" i="34"/>
  <c r="K255" i="34" s="1"/>
  <c r="I255" i="34"/>
  <c r="M255" i="34" s="1"/>
  <c r="J254" i="34"/>
  <c r="K254" i="34" s="1"/>
  <c r="I254" i="34"/>
  <c r="M254" i="34" s="1"/>
  <c r="J253" i="34"/>
  <c r="K253" i="34" s="1"/>
  <c r="I253" i="34"/>
  <c r="M253" i="34" s="1"/>
  <c r="J252" i="34"/>
  <c r="K252" i="34" s="1"/>
  <c r="I252" i="34"/>
  <c r="M252" i="34" s="1"/>
  <c r="J251" i="34"/>
  <c r="K251" i="34" s="1"/>
  <c r="I251" i="34"/>
  <c r="M251" i="34" s="1"/>
  <c r="J250" i="34"/>
  <c r="K250" i="34" s="1"/>
  <c r="I250" i="34"/>
  <c r="M250" i="34" s="1"/>
  <c r="J249" i="34"/>
  <c r="K249" i="34" s="1"/>
  <c r="I249" i="34"/>
  <c r="M249" i="34" s="1"/>
  <c r="J248" i="34"/>
  <c r="K248" i="34" s="1"/>
  <c r="I248" i="34"/>
  <c r="M248" i="34" s="1"/>
  <c r="J247" i="34"/>
  <c r="K247" i="34" s="1"/>
  <c r="I247" i="34"/>
  <c r="M247" i="34" s="1"/>
  <c r="J246" i="34"/>
  <c r="K246" i="34" s="1"/>
  <c r="I246" i="34"/>
  <c r="M246" i="34" s="1"/>
  <c r="J245" i="34"/>
  <c r="K245" i="34" s="1"/>
  <c r="I245" i="34"/>
  <c r="M245" i="34" s="1"/>
  <c r="J244" i="34"/>
  <c r="K244" i="34" s="1"/>
  <c r="I244" i="34"/>
  <c r="M244" i="34" s="1"/>
  <c r="J243" i="34"/>
  <c r="K243" i="34" s="1"/>
  <c r="I243" i="34"/>
  <c r="M243" i="34" s="1"/>
  <c r="J242" i="34"/>
  <c r="K242" i="34" s="1"/>
  <c r="I242" i="34"/>
  <c r="M242" i="34" s="1"/>
  <c r="J241" i="34"/>
  <c r="K241" i="34" s="1"/>
  <c r="I241" i="34"/>
  <c r="M241" i="34" s="1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J237" i="34"/>
  <c r="K237" i="34" s="1"/>
  <c r="I237" i="34"/>
  <c r="M237" i="34" s="1"/>
  <c r="J236" i="34"/>
  <c r="K236" i="34" s="1"/>
  <c r="I236" i="34"/>
  <c r="M236" i="34" s="1"/>
  <c r="J235" i="34"/>
  <c r="K235" i="34" s="1"/>
  <c r="I235" i="34"/>
  <c r="M235" i="34" s="1"/>
  <c r="J234" i="34"/>
  <c r="K234" i="34" s="1"/>
  <c r="I234" i="34"/>
  <c r="M234" i="34" s="1"/>
  <c r="J233" i="34"/>
  <c r="K233" i="34" s="1"/>
  <c r="I233" i="34"/>
  <c r="M233" i="34" s="1"/>
  <c r="J232" i="34"/>
  <c r="K232" i="34" s="1"/>
  <c r="I232" i="34"/>
  <c r="M232" i="34" s="1"/>
  <c r="J231" i="34"/>
  <c r="K231" i="34" s="1"/>
  <c r="I231" i="34"/>
  <c r="M231" i="34" s="1"/>
  <c r="J230" i="34"/>
  <c r="K230" i="34" s="1"/>
  <c r="I230" i="34"/>
  <c r="M230" i="34" s="1"/>
  <c r="J229" i="34"/>
  <c r="K229" i="34" s="1"/>
  <c r="I229" i="34"/>
  <c r="M229" i="34" s="1"/>
  <c r="J228" i="34"/>
  <c r="K228" i="34" s="1"/>
  <c r="I228" i="34"/>
  <c r="M228" i="34" s="1"/>
  <c r="J227" i="34"/>
  <c r="K227" i="34" s="1"/>
  <c r="I227" i="34"/>
  <c r="M227" i="34" s="1"/>
  <c r="J226" i="34"/>
  <c r="K226" i="34" s="1"/>
  <c r="I226" i="34"/>
  <c r="M226" i="34" s="1"/>
  <c r="J225" i="34"/>
  <c r="K225" i="34" s="1"/>
  <c r="I225" i="34"/>
  <c r="M225" i="34" s="1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J221" i="34"/>
  <c r="K221" i="34" s="1"/>
  <c r="I221" i="34"/>
  <c r="M221" i="34" s="1"/>
  <c r="J220" i="34"/>
  <c r="K220" i="34" s="1"/>
  <c r="I220" i="34"/>
  <c r="M220" i="34" s="1"/>
  <c r="J219" i="34"/>
  <c r="K219" i="34" s="1"/>
  <c r="I219" i="34"/>
  <c r="M219" i="34" s="1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J215" i="34"/>
  <c r="K215" i="34" s="1"/>
  <c r="I215" i="34"/>
  <c r="M215" i="34" s="1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J205" i="34"/>
  <c r="K205" i="34" s="1"/>
  <c r="I205" i="34"/>
  <c r="M205" i="34" s="1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J199" i="34"/>
  <c r="K199" i="34" s="1"/>
  <c r="I199" i="34"/>
  <c r="M199" i="34" s="1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J189" i="34"/>
  <c r="K189" i="34" s="1"/>
  <c r="I189" i="34"/>
  <c r="M189" i="34" s="1"/>
  <c r="J188" i="34"/>
  <c r="K188" i="34" s="1"/>
  <c r="I188" i="34"/>
  <c r="M188" i="34" s="1"/>
  <c r="J187" i="34"/>
  <c r="K187" i="34" s="1"/>
  <c r="I187" i="34"/>
  <c r="M187" i="34" s="1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J183" i="34"/>
  <c r="K183" i="34" s="1"/>
  <c r="I183" i="34"/>
  <c r="M183" i="34" s="1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J173" i="34"/>
  <c r="K173" i="34" s="1"/>
  <c r="I173" i="34"/>
  <c r="M173" i="34" s="1"/>
  <c r="J172" i="34"/>
  <c r="K172" i="34" s="1"/>
  <c r="I172" i="34"/>
  <c r="M172" i="34" s="1"/>
  <c r="J171" i="34"/>
  <c r="K171" i="34" s="1"/>
  <c r="I171" i="34"/>
  <c r="M171" i="34" s="1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J167" i="34"/>
  <c r="K167" i="34" s="1"/>
  <c r="I167" i="34"/>
  <c r="M167" i="34" s="1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J157" i="34"/>
  <c r="K157" i="34" s="1"/>
  <c r="I157" i="34"/>
  <c r="M157" i="34" s="1"/>
  <c r="J156" i="34"/>
  <c r="K156" i="34" s="1"/>
  <c r="I156" i="34"/>
  <c r="M156" i="34" s="1"/>
  <c r="J155" i="34"/>
  <c r="K155" i="34" s="1"/>
  <c r="I155" i="34"/>
  <c r="M155" i="34" s="1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J151" i="34"/>
  <c r="K151" i="34" s="1"/>
  <c r="I151" i="34"/>
  <c r="M151" i="34" s="1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J141" i="34"/>
  <c r="K141" i="34" s="1"/>
  <c r="I141" i="34"/>
  <c r="M141" i="34" s="1"/>
  <c r="J140" i="34"/>
  <c r="K140" i="34" s="1"/>
  <c r="I140" i="34"/>
  <c r="M140" i="34" s="1"/>
  <c r="J139" i="34"/>
  <c r="K139" i="34" s="1"/>
  <c r="I139" i="34"/>
  <c r="M139" i="34" s="1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J135" i="34"/>
  <c r="K135" i="34" s="1"/>
  <c r="I135" i="34"/>
  <c r="M135" i="34" s="1"/>
  <c r="J134" i="34"/>
  <c r="K134" i="34" s="1"/>
  <c r="I134" i="34"/>
  <c r="M134" i="34" s="1"/>
  <c r="J133" i="34"/>
  <c r="K133" i="34" s="1"/>
  <c r="I133" i="34"/>
  <c r="M133" i="34" s="1"/>
  <c r="J132" i="34"/>
  <c r="K132" i="34" s="1"/>
  <c r="I132" i="34"/>
  <c r="M132" i="34" s="1"/>
  <c r="J131" i="34"/>
  <c r="K131" i="34" s="1"/>
  <c r="I131" i="34"/>
  <c r="M131" i="34" s="1"/>
  <c r="J130" i="34"/>
  <c r="K130" i="34" s="1"/>
  <c r="I130" i="34"/>
  <c r="M130" i="34" s="1"/>
  <c r="J129" i="34"/>
  <c r="K129" i="34" s="1"/>
  <c r="I129" i="34"/>
  <c r="M129" i="34" s="1"/>
  <c r="J128" i="34"/>
  <c r="K128" i="34" s="1"/>
  <c r="I128" i="34"/>
  <c r="M128" i="34" s="1"/>
  <c r="J127" i="34"/>
  <c r="K127" i="34" s="1"/>
  <c r="I127" i="34"/>
  <c r="M127" i="34" s="1"/>
  <c r="J126" i="34"/>
  <c r="K126" i="34" s="1"/>
  <c r="I126" i="34"/>
  <c r="M126" i="34" s="1"/>
  <c r="J125" i="34"/>
  <c r="K125" i="34" s="1"/>
  <c r="I125" i="34"/>
  <c r="M125" i="34" s="1"/>
  <c r="J124" i="34"/>
  <c r="K124" i="34" s="1"/>
  <c r="I124" i="34"/>
  <c r="M124" i="34" s="1"/>
  <c r="J123" i="34"/>
  <c r="K123" i="34" s="1"/>
  <c r="I123" i="34"/>
  <c r="M123" i="34" s="1"/>
  <c r="J122" i="34"/>
  <c r="K122" i="34" s="1"/>
  <c r="I122" i="34"/>
  <c r="M122" i="34" s="1"/>
  <c r="J121" i="34"/>
  <c r="K121" i="34" s="1"/>
  <c r="I121" i="34"/>
  <c r="M121" i="34" s="1"/>
  <c r="J120" i="34"/>
  <c r="K120" i="34" s="1"/>
  <c r="I120" i="34"/>
  <c r="M120" i="34" s="1"/>
  <c r="J119" i="34"/>
  <c r="K119" i="34" s="1"/>
  <c r="I119" i="34"/>
  <c r="M119" i="34" s="1"/>
  <c r="J118" i="34"/>
  <c r="K118" i="34" s="1"/>
  <c r="I118" i="34"/>
  <c r="M118" i="34" s="1"/>
  <c r="J117" i="34"/>
  <c r="K117" i="34" s="1"/>
  <c r="I117" i="34"/>
  <c r="M117" i="34" s="1"/>
  <c r="J116" i="34"/>
  <c r="K116" i="34" s="1"/>
  <c r="I116" i="34"/>
  <c r="M116" i="34" s="1"/>
  <c r="J115" i="34"/>
  <c r="K115" i="34" s="1"/>
  <c r="I115" i="34"/>
  <c r="M115" i="34" s="1"/>
  <c r="J114" i="34"/>
  <c r="K114" i="34" s="1"/>
  <c r="I114" i="34"/>
  <c r="M114" i="34" s="1"/>
  <c r="J113" i="34"/>
  <c r="K113" i="34" s="1"/>
  <c r="I113" i="34"/>
  <c r="M113" i="34" s="1"/>
  <c r="J112" i="34"/>
  <c r="K112" i="34" s="1"/>
  <c r="I112" i="34"/>
  <c r="M112" i="34" s="1"/>
  <c r="J111" i="34"/>
  <c r="K111" i="34" s="1"/>
  <c r="I111" i="34"/>
  <c r="M111" i="34" s="1"/>
  <c r="J110" i="34"/>
  <c r="K110" i="34" s="1"/>
  <c r="I110" i="34"/>
  <c r="M110" i="34" s="1"/>
  <c r="J109" i="34"/>
  <c r="K109" i="34" s="1"/>
  <c r="I109" i="34"/>
  <c r="M109" i="34" s="1"/>
  <c r="J108" i="34"/>
  <c r="K108" i="34" s="1"/>
  <c r="I108" i="34"/>
  <c r="M108" i="34" s="1"/>
  <c r="J107" i="34"/>
  <c r="K107" i="34" s="1"/>
  <c r="I107" i="34"/>
  <c r="M107" i="34" s="1"/>
  <c r="J106" i="34"/>
  <c r="K106" i="34" s="1"/>
  <c r="I106" i="34"/>
  <c r="M106" i="34" s="1"/>
  <c r="J105" i="34"/>
  <c r="K105" i="34" s="1"/>
  <c r="I105" i="34"/>
  <c r="M105" i="34" s="1"/>
  <c r="J104" i="34"/>
  <c r="K104" i="34" s="1"/>
  <c r="I104" i="34"/>
  <c r="M104" i="34" s="1"/>
  <c r="J103" i="34"/>
  <c r="K103" i="34" s="1"/>
  <c r="I103" i="34"/>
  <c r="M103" i="34" s="1"/>
  <c r="J102" i="34"/>
  <c r="K102" i="34" s="1"/>
  <c r="I102" i="34"/>
  <c r="M102" i="34" s="1"/>
  <c r="J101" i="34"/>
  <c r="K101" i="34" s="1"/>
  <c r="I101" i="34"/>
  <c r="M101" i="34" s="1"/>
  <c r="J100" i="34"/>
  <c r="K100" i="34" s="1"/>
  <c r="I100" i="34"/>
  <c r="M100" i="34" s="1"/>
  <c r="J99" i="34"/>
  <c r="K99" i="34" s="1"/>
  <c r="I99" i="34"/>
  <c r="M99" i="34" s="1"/>
  <c r="J98" i="34"/>
  <c r="K98" i="34" s="1"/>
  <c r="I98" i="34"/>
  <c r="M98" i="34" s="1"/>
  <c r="J97" i="34"/>
  <c r="K97" i="34" s="1"/>
  <c r="I97" i="34"/>
  <c r="M97" i="34" s="1"/>
  <c r="J96" i="34"/>
  <c r="K96" i="34" s="1"/>
  <c r="I96" i="34"/>
  <c r="M96" i="34" s="1"/>
  <c r="J95" i="34"/>
  <c r="K95" i="34" s="1"/>
  <c r="I95" i="34"/>
  <c r="M95" i="34" s="1"/>
  <c r="J94" i="34"/>
  <c r="K94" i="34" s="1"/>
  <c r="I94" i="34"/>
  <c r="M94" i="34" s="1"/>
  <c r="J93" i="34"/>
  <c r="K93" i="34" s="1"/>
  <c r="I93" i="34"/>
  <c r="M93" i="34" s="1"/>
  <c r="J92" i="34"/>
  <c r="K92" i="34" s="1"/>
  <c r="I92" i="34"/>
  <c r="M92" i="34" s="1"/>
  <c r="J91" i="34"/>
  <c r="K91" i="34" s="1"/>
  <c r="I91" i="34"/>
  <c r="M91" i="34" s="1"/>
  <c r="J90" i="34"/>
  <c r="K90" i="34" s="1"/>
  <c r="I90" i="34"/>
  <c r="M90" i="34" s="1"/>
  <c r="J89" i="34"/>
  <c r="K89" i="34" s="1"/>
  <c r="I89" i="34"/>
  <c r="M89" i="34" s="1"/>
  <c r="J88" i="34"/>
  <c r="K88" i="34" s="1"/>
  <c r="I88" i="34"/>
  <c r="M88" i="34" s="1"/>
  <c r="J87" i="34"/>
  <c r="K87" i="34" s="1"/>
  <c r="I87" i="34"/>
  <c r="M87" i="34" s="1"/>
  <c r="J86" i="34"/>
  <c r="K86" i="34" s="1"/>
  <c r="I86" i="34"/>
  <c r="M86" i="34" s="1"/>
  <c r="J85" i="34"/>
  <c r="K85" i="34" s="1"/>
  <c r="I85" i="34"/>
  <c r="M85" i="34" s="1"/>
  <c r="J84" i="34"/>
  <c r="K84" i="34" s="1"/>
  <c r="I84" i="34"/>
  <c r="M84" i="34" s="1"/>
  <c r="J83" i="34"/>
  <c r="K83" i="34" s="1"/>
  <c r="I83" i="34"/>
  <c r="M83" i="34" s="1"/>
  <c r="J82" i="34"/>
  <c r="K82" i="34" s="1"/>
  <c r="I82" i="34"/>
  <c r="M82" i="34" s="1"/>
  <c r="J81" i="34"/>
  <c r="K81" i="34" s="1"/>
  <c r="I81" i="34"/>
  <c r="M81" i="34" s="1"/>
  <c r="J80" i="34"/>
  <c r="K80" i="34" s="1"/>
  <c r="I80" i="34"/>
  <c r="M80" i="34" s="1"/>
  <c r="J79" i="34"/>
  <c r="K79" i="34" s="1"/>
  <c r="I79" i="34"/>
  <c r="M79" i="34" s="1"/>
  <c r="J78" i="34"/>
  <c r="K78" i="34" s="1"/>
  <c r="I78" i="34"/>
  <c r="M78" i="34" s="1"/>
  <c r="J77" i="34"/>
  <c r="K77" i="34" s="1"/>
  <c r="I77" i="34"/>
  <c r="M77" i="34" s="1"/>
  <c r="J76" i="34"/>
  <c r="K76" i="34" s="1"/>
  <c r="I76" i="34"/>
  <c r="M76" i="34" s="1"/>
  <c r="J75" i="34"/>
  <c r="K75" i="34" s="1"/>
  <c r="I75" i="34"/>
  <c r="M75" i="34" s="1"/>
  <c r="J74" i="34"/>
  <c r="K74" i="34" s="1"/>
  <c r="I74" i="34"/>
  <c r="M74" i="34" s="1"/>
  <c r="J73" i="34"/>
  <c r="K73" i="34" s="1"/>
  <c r="I73" i="34"/>
  <c r="M73" i="34" s="1"/>
  <c r="J72" i="34"/>
  <c r="K72" i="34" s="1"/>
  <c r="I72" i="34"/>
  <c r="M72" i="34" s="1"/>
  <c r="J71" i="34"/>
  <c r="K71" i="34" s="1"/>
  <c r="I71" i="34"/>
  <c r="M71" i="34" s="1"/>
  <c r="J70" i="34"/>
  <c r="K70" i="34" s="1"/>
  <c r="I70" i="34"/>
  <c r="M70" i="34" s="1"/>
  <c r="J69" i="34"/>
  <c r="K69" i="34" s="1"/>
  <c r="I69" i="34"/>
  <c r="M69" i="34" s="1"/>
  <c r="J68" i="34"/>
  <c r="K68" i="34" s="1"/>
  <c r="I68" i="34"/>
  <c r="M68" i="34" s="1"/>
  <c r="J67" i="34"/>
  <c r="K67" i="34" s="1"/>
  <c r="I67" i="34"/>
  <c r="M67" i="34" s="1"/>
  <c r="J66" i="34"/>
  <c r="K66" i="34" s="1"/>
  <c r="I66" i="34"/>
  <c r="M66" i="34" s="1"/>
  <c r="J65" i="34"/>
  <c r="K65" i="34" s="1"/>
  <c r="I65" i="34"/>
  <c r="M65" i="34" s="1"/>
  <c r="B65" i="34"/>
  <c r="J64" i="34"/>
  <c r="K64" i="34" s="1"/>
  <c r="I64" i="34"/>
  <c r="M64" i="34" s="1"/>
  <c r="B64" i="34"/>
  <c r="J63" i="34"/>
  <c r="K63" i="34" s="1"/>
  <c r="I63" i="34"/>
  <c r="M63" i="34" s="1"/>
  <c r="B63" i="34"/>
  <c r="J62" i="34"/>
  <c r="K62" i="34" s="1"/>
  <c r="I62" i="34"/>
  <c r="M62" i="34" s="1"/>
  <c r="B62" i="34"/>
  <c r="J61" i="34"/>
  <c r="K61" i="34" s="1"/>
  <c r="I61" i="34"/>
  <c r="M61" i="34" s="1"/>
  <c r="B61" i="34"/>
  <c r="J60" i="34"/>
  <c r="K60" i="34" s="1"/>
  <c r="I60" i="34"/>
  <c r="M60" i="34" s="1"/>
  <c r="B60" i="34"/>
  <c r="J59" i="34"/>
  <c r="K59" i="34" s="1"/>
  <c r="I59" i="34"/>
  <c r="M59" i="34" s="1"/>
  <c r="B59" i="34"/>
  <c r="J58" i="34"/>
  <c r="K58" i="34" s="1"/>
  <c r="I58" i="34"/>
  <c r="M58" i="34" s="1"/>
  <c r="B58" i="34"/>
  <c r="J57" i="34"/>
  <c r="K57" i="34" s="1"/>
  <c r="I57" i="34"/>
  <c r="M57" i="34" s="1"/>
  <c r="B57" i="34"/>
  <c r="J56" i="34"/>
  <c r="K56" i="34" s="1"/>
  <c r="I56" i="34"/>
  <c r="M56" i="34" s="1"/>
  <c r="B56" i="34"/>
  <c r="J55" i="34"/>
  <c r="K55" i="34" s="1"/>
  <c r="I55" i="34"/>
  <c r="M55" i="34" s="1"/>
  <c r="B55" i="34"/>
  <c r="J54" i="34"/>
  <c r="K54" i="34" s="1"/>
  <c r="I54" i="34"/>
  <c r="M54" i="34" s="1"/>
  <c r="B54" i="34"/>
  <c r="J53" i="34"/>
  <c r="K53" i="34" s="1"/>
  <c r="I53" i="34"/>
  <c r="M53" i="34" s="1"/>
  <c r="B53" i="34"/>
  <c r="J52" i="34"/>
  <c r="K52" i="34" s="1"/>
  <c r="I52" i="34"/>
  <c r="M52" i="34" s="1"/>
  <c r="B52" i="34"/>
  <c r="J51" i="34"/>
  <c r="K51" i="34" s="1"/>
  <c r="I51" i="34"/>
  <c r="M51" i="34" s="1"/>
  <c r="B51" i="34"/>
  <c r="J50" i="34"/>
  <c r="K50" i="34" s="1"/>
  <c r="I50" i="34"/>
  <c r="M50" i="34" s="1"/>
  <c r="B50" i="34"/>
  <c r="J49" i="34"/>
  <c r="K49" i="34" s="1"/>
  <c r="I49" i="34"/>
  <c r="M49" i="34" s="1"/>
  <c r="B49" i="34"/>
  <c r="J48" i="34"/>
  <c r="K48" i="34" s="1"/>
  <c r="I48" i="34"/>
  <c r="M48" i="34" s="1"/>
  <c r="B48" i="34"/>
  <c r="J47" i="34"/>
  <c r="K47" i="34" s="1"/>
  <c r="I47" i="34"/>
  <c r="M47" i="34" s="1"/>
  <c r="B47" i="34"/>
  <c r="T46" i="34"/>
  <c r="R46" i="34"/>
  <c r="U46" i="34" s="1"/>
  <c r="J46" i="34"/>
  <c r="K46" i="34" s="1"/>
  <c r="I46" i="34"/>
  <c r="M46" i="34" s="1"/>
  <c r="B46" i="34"/>
  <c r="J45" i="34"/>
  <c r="K45" i="34" s="1"/>
  <c r="I45" i="34"/>
  <c r="M45" i="34" s="1"/>
  <c r="B45" i="34"/>
  <c r="J44" i="34"/>
  <c r="K44" i="34" s="1"/>
  <c r="I44" i="34"/>
  <c r="M44" i="34" s="1"/>
  <c r="B44" i="34"/>
  <c r="J43" i="34"/>
  <c r="K43" i="34" s="1"/>
  <c r="I43" i="34"/>
  <c r="M43" i="34" s="1"/>
  <c r="B43" i="34"/>
  <c r="J42" i="34"/>
  <c r="K42" i="34" s="1"/>
  <c r="I42" i="34"/>
  <c r="M42" i="34" s="1"/>
  <c r="B42" i="34"/>
  <c r="J41" i="34"/>
  <c r="K41" i="34" s="1"/>
  <c r="I41" i="34"/>
  <c r="M41" i="34" s="1"/>
  <c r="B41" i="34"/>
  <c r="J40" i="34"/>
  <c r="K40" i="34" s="1"/>
  <c r="I40" i="34"/>
  <c r="M40" i="34" s="1"/>
  <c r="B40" i="34"/>
  <c r="J39" i="34"/>
  <c r="K39" i="34" s="1"/>
  <c r="I39" i="34"/>
  <c r="M39" i="34" s="1"/>
  <c r="B39" i="34"/>
  <c r="J38" i="34"/>
  <c r="K38" i="34" s="1"/>
  <c r="I38" i="34"/>
  <c r="M38" i="34" s="1"/>
  <c r="B38" i="34"/>
  <c r="J37" i="34"/>
  <c r="K37" i="34" s="1"/>
  <c r="I37" i="34"/>
  <c r="M37" i="34" s="1"/>
  <c r="A37" i="34" s="1"/>
  <c r="B37" i="34"/>
  <c r="J36" i="34"/>
  <c r="K36" i="34" s="1"/>
  <c r="I36" i="34"/>
  <c r="M36" i="34" s="1"/>
  <c r="A36" i="34" s="1"/>
  <c r="B36" i="34"/>
  <c r="J35" i="34"/>
  <c r="K35" i="34" s="1"/>
  <c r="I35" i="34"/>
  <c r="M35" i="34" s="1"/>
  <c r="A35" i="34" s="1"/>
  <c r="B35" i="34"/>
  <c r="J34" i="34"/>
  <c r="K34" i="34" s="1"/>
  <c r="I34" i="34"/>
  <c r="M34" i="34" s="1"/>
  <c r="A34" i="34" s="1"/>
  <c r="B34" i="34"/>
  <c r="J33" i="34"/>
  <c r="K33" i="34" s="1"/>
  <c r="I33" i="34"/>
  <c r="M33" i="34" s="1"/>
  <c r="A33" i="34" s="1"/>
  <c r="B33" i="34"/>
  <c r="J32" i="34"/>
  <c r="K32" i="34" s="1"/>
  <c r="I32" i="34"/>
  <c r="M32" i="34" s="1"/>
  <c r="A32" i="34" s="1"/>
  <c r="B32" i="34"/>
  <c r="J31" i="34"/>
  <c r="K31" i="34" s="1"/>
  <c r="I31" i="34"/>
  <c r="M31" i="34" s="1"/>
  <c r="A31" i="34" s="1"/>
  <c r="B31" i="34"/>
  <c r="J30" i="34"/>
  <c r="K30" i="34" s="1"/>
  <c r="I30" i="34"/>
  <c r="M30" i="34" s="1"/>
  <c r="A30" i="34" s="1"/>
  <c r="B30" i="34"/>
  <c r="J29" i="34"/>
  <c r="K29" i="34" s="1"/>
  <c r="I29" i="34"/>
  <c r="M29" i="34" s="1"/>
  <c r="J28" i="34"/>
  <c r="K28" i="34" s="1"/>
  <c r="I28" i="34"/>
  <c r="M28" i="34" s="1"/>
  <c r="A28" i="34" s="1"/>
  <c r="B28" i="34"/>
  <c r="J27" i="34"/>
  <c r="K27" i="34" s="1"/>
  <c r="I27" i="34"/>
  <c r="M27" i="34" s="1"/>
  <c r="A27" i="34" s="1"/>
  <c r="B27" i="34"/>
  <c r="J26" i="34"/>
  <c r="K26" i="34" s="1"/>
  <c r="I26" i="34"/>
  <c r="M26" i="34" s="1"/>
  <c r="A26" i="34" s="1"/>
  <c r="B26" i="34"/>
  <c r="J25" i="34"/>
  <c r="K25" i="34" s="1"/>
  <c r="I25" i="34"/>
  <c r="M25" i="34" s="1"/>
  <c r="A25" i="34" s="1"/>
  <c r="B25" i="34"/>
  <c r="J24" i="34"/>
  <c r="K24" i="34" s="1"/>
  <c r="I24" i="34"/>
  <c r="M24" i="34" s="1"/>
  <c r="A24" i="34" s="1"/>
  <c r="B24" i="34"/>
  <c r="J23" i="34"/>
  <c r="K23" i="34" s="1"/>
  <c r="I23" i="34"/>
  <c r="M23" i="34" s="1"/>
  <c r="A23" i="34" s="1"/>
  <c r="B23" i="34"/>
  <c r="J22" i="34"/>
  <c r="K22" i="34" s="1"/>
  <c r="I22" i="34"/>
  <c r="M22" i="34" s="1"/>
  <c r="A22" i="34" s="1"/>
  <c r="B22" i="34"/>
  <c r="J21" i="34"/>
  <c r="K21" i="34" s="1"/>
  <c r="I21" i="34"/>
  <c r="M21" i="34" s="1"/>
  <c r="A21" i="34" s="1"/>
  <c r="B21" i="34"/>
  <c r="J20" i="34"/>
  <c r="K20" i="34" s="1"/>
  <c r="I20" i="34"/>
  <c r="M20" i="34" s="1"/>
  <c r="A20" i="34" s="1"/>
  <c r="B20" i="34"/>
  <c r="J19" i="34"/>
  <c r="K19" i="34" s="1"/>
  <c r="I19" i="34"/>
  <c r="M19" i="34" s="1"/>
  <c r="A19" i="34" s="1"/>
  <c r="B19" i="34"/>
  <c r="J18" i="34"/>
  <c r="K18" i="34" s="1"/>
  <c r="I18" i="34"/>
  <c r="J17" i="34"/>
  <c r="K17" i="34" s="1"/>
  <c r="I17" i="34"/>
  <c r="M17" i="34" s="1"/>
  <c r="A17" i="34" s="1"/>
  <c r="B17" i="34"/>
  <c r="AI16" i="34"/>
  <c r="J16" i="34"/>
  <c r="K16" i="34" s="1"/>
  <c r="I16" i="34"/>
  <c r="B16" i="34"/>
  <c r="J15" i="34"/>
  <c r="K15" i="34" s="1"/>
  <c r="I15" i="34"/>
  <c r="B15" i="34"/>
  <c r="AI14" i="34"/>
  <c r="J14" i="34"/>
  <c r="K14" i="34" s="1"/>
  <c r="I14" i="34"/>
  <c r="B14" i="34"/>
  <c r="AI13" i="34"/>
  <c r="J13" i="34"/>
  <c r="K13" i="34" s="1"/>
  <c r="I13" i="34"/>
  <c r="B13" i="34"/>
  <c r="AI12" i="34"/>
  <c r="J12" i="34"/>
  <c r="K12" i="34" s="1"/>
  <c r="I12" i="34"/>
  <c r="B12" i="34"/>
  <c r="J11" i="34"/>
  <c r="K11" i="34" s="1"/>
  <c r="I11" i="34"/>
  <c r="B11" i="34"/>
  <c r="J10" i="34"/>
  <c r="K10" i="34" s="1"/>
  <c r="I10" i="34"/>
  <c r="B10" i="34"/>
  <c r="K9" i="34"/>
  <c r="I9" i="34"/>
  <c r="B9" i="34"/>
  <c r="K8" i="34"/>
  <c r="I8" i="34"/>
  <c r="B8" i="34"/>
  <c r="K7" i="34"/>
  <c r="I7" i="34"/>
  <c r="B7" i="34"/>
  <c r="K6" i="34"/>
  <c r="I6" i="34"/>
  <c r="B6" i="34"/>
  <c r="K2" i="34"/>
  <c r="J374" i="33"/>
  <c r="J373" i="33"/>
  <c r="J372" i="33"/>
  <c r="J371" i="33"/>
  <c r="J370" i="33"/>
  <c r="J369" i="33"/>
  <c r="J368" i="33"/>
  <c r="J367" i="33"/>
  <c r="J366" i="33"/>
  <c r="J365" i="33"/>
  <c r="J364" i="33"/>
  <c r="J363" i="33"/>
  <c r="J362" i="33"/>
  <c r="J361" i="33"/>
  <c r="J360" i="33"/>
  <c r="J359" i="33"/>
  <c r="J358" i="33"/>
  <c r="J357" i="33"/>
  <c r="J356" i="33"/>
  <c r="J355" i="33"/>
  <c r="J354" i="33"/>
  <c r="J353" i="33"/>
  <c r="J352" i="33"/>
  <c r="J351" i="33"/>
  <c r="J350" i="33"/>
  <c r="J349" i="33"/>
  <c r="J348" i="33"/>
  <c r="J347" i="33"/>
  <c r="J346" i="33"/>
  <c r="J345" i="33"/>
  <c r="J344" i="33"/>
  <c r="J343" i="33"/>
  <c r="J342" i="33"/>
  <c r="J341" i="33"/>
  <c r="J340" i="33"/>
  <c r="J339" i="33"/>
  <c r="J338" i="33"/>
  <c r="J337" i="33"/>
  <c r="J336" i="33"/>
  <c r="J335" i="33"/>
  <c r="J334" i="33"/>
  <c r="J333" i="33"/>
  <c r="J332" i="33"/>
  <c r="J331" i="33"/>
  <c r="J330" i="33"/>
  <c r="J329" i="33"/>
  <c r="J328" i="33"/>
  <c r="J327" i="33"/>
  <c r="J326" i="33"/>
  <c r="J325" i="33"/>
  <c r="J324" i="33"/>
  <c r="J323" i="33"/>
  <c r="J322" i="33"/>
  <c r="J321" i="33"/>
  <c r="J320" i="33"/>
  <c r="J319" i="33"/>
  <c r="J318" i="33"/>
  <c r="J317" i="33"/>
  <c r="J316" i="33"/>
  <c r="J315" i="33"/>
  <c r="J314" i="33"/>
  <c r="J313" i="33"/>
  <c r="J312" i="33"/>
  <c r="J311" i="33"/>
  <c r="J310" i="33"/>
  <c r="J309" i="33"/>
  <c r="J308" i="33"/>
  <c r="J307" i="33"/>
  <c r="J306" i="33"/>
  <c r="J305" i="33"/>
  <c r="K305" i="33" s="1"/>
  <c r="I305" i="33"/>
  <c r="M305" i="33" s="1"/>
  <c r="M304" i="33"/>
  <c r="J304" i="33"/>
  <c r="K304" i="33" s="1"/>
  <c r="I304" i="33"/>
  <c r="J303" i="33"/>
  <c r="K303" i="33" s="1"/>
  <c r="I303" i="33"/>
  <c r="M303" i="33" s="1"/>
  <c r="J302" i="33"/>
  <c r="K302" i="33" s="1"/>
  <c r="I302" i="33"/>
  <c r="M302" i="33" s="1"/>
  <c r="J301" i="33"/>
  <c r="K301" i="33" s="1"/>
  <c r="I301" i="33"/>
  <c r="M301" i="33" s="1"/>
  <c r="J300" i="33"/>
  <c r="K300" i="33" s="1"/>
  <c r="I300" i="33"/>
  <c r="M300" i="33" s="1"/>
  <c r="J299" i="33"/>
  <c r="K299" i="33" s="1"/>
  <c r="I299" i="33"/>
  <c r="M299" i="33" s="1"/>
  <c r="M298" i="33"/>
  <c r="J298" i="33"/>
  <c r="K298" i="33" s="1"/>
  <c r="I298" i="33"/>
  <c r="J297" i="33"/>
  <c r="K297" i="33" s="1"/>
  <c r="I297" i="33"/>
  <c r="M297" i="33" s="1"/>
  <c r="M296" i="33"/>
  <c r="K296" i="33"/>
  <c r="J296" i="33"/>
  <c r="I296" i="33"/>
  <c r="J295" i="33"/>
  <c r="K295" i="33" s="1"/>
  <c r="I295" i="33"/>
  <c r="M295" i="33" s="1"/>
  <c r="J294" i="33"/>
  <c r="K294" i="33" s="1"/>
  <c r="I294" i="33"/>
  <c r="M294" i="33" s="1"/>
  <c r="J293" i="33"/>
  <c r="K293" i="33" s="1"/>
  <c r="I293" i="33"/>
  <c r="M293" i="33" s="1"/>
  <c r="J292" i="33"/>
  <c r="K292" i="33" s="1"/>
  <c r="I292" i="33"/>
  <c r="M292" i="33" s="1"/>
  <c r="J291" i="33"/>
  <c r="K291" i="33" s="1"/>
  <c r="I291" i="33"/>
  <c r="M291" i="33" s="1"/>
  <c r="J290" i="33"/>
  <c r="K290" i="33" s="1"/>
  <c r="I290" i="33"/>
  <c r="M290" i="33" s="1"/>
  <c r="J289" i="33"/>
  <c r="K289" i="33" s="1"/>
  <c r="I289" i="33"/>
  <c r="M289" i="33" s="1"/>
  <c r="M288" i="33"/>
  <c r="J288" i="33"/>
  <c r="K288" i="33" s="1"/>
  <c r="I288" i="33"/>
  <c r="J287" i="33"/>
  <c r="K287" i="33" s="1"/>
  <c r="I287" i="33"/>
  <c r="M287" i="33" s="1"/>
  <c r="J286" i="33"/>
  <c r="K286" i="33" s="1"/>
  <c r="I286" i="33"/>
  <c r="M286" i="33" s="1"/>
  <c r="J285" i="33"/>
  <c r="K285" i="33" s="1"/>
  <c r="I285" i="33"/>
  <c r="M285" i="33" s="1"/>
  <c r="J284" i="33"/>
  <c r="K284" i="33" s="1"/>
  <c r="I284" i="33"/>
  <c r="M284" i="33" s="1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M280" i="33"/>
  <c r="K280" i="33"/>
  <c r="J280" i="33"/>
  <c r="I280" i="33"/>
  <c r="J279" i="33"/>
  <c r="K279" i="33" s="1"/>
  <c r="I279" i="33"/>
  <c r="M279" i="33" s="1"/>
  <c r="J278" i="33"/>
  <c r="K278" i="33" s="1"/>
  <c r="I278" i="33"/>
  <c r="M278" i="33" s="1"/>
  <c r="K277" i="33"/>
  <c r="J277" i="33"/>
  <c r="I277" i="33"/>
  <c r="M277" i="33" s="1"/>
  <c r="J276" i="33"/>
  <c r="K276" i="33" s="1"/>
  <c r="I276" i="33"/>
  <c r="M276" i="33" s="1"/>
  <c r="J275" i="33"/>
  <c r="K275" i="33" s="1"/>
  <c r="I275" i="33"/>
  <c r="M275" i="33" s="1"/>
  <c r="J274" i="33"/>
  <c r="K274" i="33" s="1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J270" i="33"/>
  <c r="K270" i="33" s="1"/>
  <c r="I270" i="33"/>
  <c r="M270" i="33" s="1"/>
  <c r="J269" i="33"/>
  <c r="K269" i="33" s="1"/>
  <c r="I269" i="33"/>
  <c r="M269" i="33" s="1"/>
  <c r="M268" i="33"/>
  <c r="J268" i="33"/>
  <c r="K268" i="33" s="1"/>
  <c r="I268" i="33"/>
  <c r="J267" i="33"/>
  <c r="K267" i="33" s="1"/>
  <c r="I267" i="33"/>
  <c r="M267" i="33" s="1"/>
  <c r="M266" i="33"/>
  <c r="J266" i="33"/>
  <c r="K266" i="33" s="1"/>
  <c r="I266" i="33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J262" i="33"/>
  <c r="K262" i="33" s="1"/>
  <c r="I262" i="33"/>
  <c r="M262" i="33" s="1"/>
  <c r="J261" i="33"/>
  <c r="K261" i="33" s="1"/>
  <c r="I261" i="33"/>
  <c r="M261" i="33" s="1"/>
  <c r="K260" i="33"/>
  <c r="J260" i="33"/>
  <c r="I260" i="33"/>
  <c r="M260" i="33" s="1"/>
  <c r="J259" i="33"/>
  <c r="K259" i="33" s="1"/>
  <c r="I259" i="33"/>
  <c r="M259" i="33" s="1"/>
  <c r="J258" i="33"/>
  <c r="K258" i="33" s="1"/>
  <c r="I258" i="33"/>
  <c r="M258" i="33" s="1"/>
  <c r="K257" i="33"/>
  <c r="J257" i="33"/>
  <c r="I257" i="33"/>
  <c r="M257" i="33" s="1"/>
  <c r="J256" i="33"/>
  <c r="K256" i="33" s="1"/>
  <c r="I256" i="33"/>
  <c r="M256" i="33" s="1"/>
  <c r="J255" i="33"/>
  <c r="K255" i="33" s="1"/>
  <c r="I255" i="33"/>
  <c r="M255" i="33" s="1"/>
  <c r="J254" i="33"/>
  <c r="K254" i="33" s="1"/>
  <c r="I254" i="33"/>
  <c r="M254" i="33" s="1"/>
  <c r="J253" i="33"/>
  <c r="K253" i="33" s="1"/>
  <c r="I253" i="33"/>
  <c r="M253" i="33" s="1"/>
  <c r="J252" i="33"/>
  <c r="K252" i="33" s="1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M248" i="33"/>
  <c r="J248" i="33"/>
  <c r="K248" i="33" s="1"/>
  <c r="I248" i="33"/>
  <c r="J247" i="33"/>
  <c r="K247" i="33" s="1"/>
  <c r="I247" i="33"/>
  <c r="M247" i="33" s="1"/>
  <c r="J246" i="33"/>
  <c r="K246" i="33" s="1"/>
  <c r="I246" i="33"/>
  <c r="M246" i="33" s="1"/>
  <c r="J245" i="33"/>
  <c r="K245" i="33" s="1"/>
  <c r="I245" i="33"/>
  <c r="M245" i="33" s="1"/>
  <c r="J244" i="33"/>
  <c r="K244" i="33" s="1"/>
  <c r="I244" i="33"/>
  <c r="M244" i="33" s="1"/>
  <c r="J243" i="33"/>
  <c r="K243" i="33" s="1"/>
  <c r="I243" i="33"/>
  <c r="M243" i="33" s="1"/>
  <c r="J242" i="33"/>
  <c r="K242" i="33" s="1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J238" i="33"/>
  <c r="K238" i="33" s="1"/>
  <c r="I238" i="33"/>
  <c r="M238" i="33" s="1"/>
  <c r="J237" i="33"/>
  <c r="K237" i="33" s="1"/>
  <c r="I237" i="33"/>
  <c r="M237" i="33" s="1"/>
  <c r="M236" i="33"/>
  <c r="K236" i="33"/>
  <c r="J236" i="33"/>
  <c r="I236" i="33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M228" i="33"/>
  <c r="K228" i="33"/>
  <c r="J228" i="33"/>
  <c r="I228" i="33"/>
  <c r="J227" i="33"/>
  <c r="K227" i="33" s="1"/>
  <c r="I227" i="33"/>
  <c r="M227" i="33" s="1"/>
  <c r="J226" i="33"/>
  <c r="K226" i="33" s="1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J222" i="33"/>
  <c r="K222" i="33" s="1"/>
  <c r="I222" i="33"/>
  <c r="M222" i="33" s="1"/>
  <c r="K221" i="33"/>
  <c r="J221" i="33"/>
  <c r="I221" i="33"/>
  <c r="M221" i="33" s="1"/>
  <c r="J220" i="33"/>
  <c r="K220" i="33" s="1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M216" i="33"/>
  <c r="J216" i="33"/>
  <c r="K216" i="33" s="1"/>
  <c r="I216" i="33"/>
  <c r="J215" i="33"/>
  <c r="K215" i="33" s="1"/>
  <c r="I215" i="33"/>
  <c r="M215" i="33" s="1"/>
  <c r="J214" i="33"/>
  <c r="K214" i="33" s="1"/>
  <c r="I214" i="33"/>
  <c r="M214" i="33" s="1"/>
  <c r="J213" i="33"/>
  <c r="K213" i="33" s="1"/>
  <c r="I213" i="33"/>
  <c r="M213" i="33" s="1"/>
  <c r="J212" i="33"/>
  <c r="K212" i="33" s="1"/>
  <c r="I212" i="33"/>
  <c r="M212" i="33" s="1"/>
  <c r="J211" i="33"/>
  <c r="K211" i="33" s="1"/>
  <c r="I211" i="33"/>
  <c r="M211" i="33" s="1"/>
  <c r="K210" i="33"/>
  <c r="J210" i="33"/>
  <c r="I210" i="33"/>
  <c r="M210" i="33" s="1"/>
  <c r="J209" i="33"/>
  <c r="K209" i="33" s="1"/>
  <c r="I209" i="33"/>
  <c r="M209" i="33" s="1"/>
  <c r="M208" i="33"/>
  <c r="K208" i="33"/>
  <c r="J208" i="33"/>
  <c r="I208" i="33"/>
  <c r="J207" i="33"/>
  <c r="K207" i="33" s="1"/>
  <c r="I207" i="33"/>
  <c r="M207" i="33" s="1"/>
  <c r="J206" i="33"/>
  <c r="K206" i="33" s="1"/>
  <c r="I206" i="33"/>
  <c r="M206" i="33" s="1"/>
  <c r="K205" i="33"/>
  <c r="J205" i="33"/>
  <c r="I205" i="33"/>
  <c r="M205" i="33" s="1"/>
  <c r="J204" i="33"/>
  <c r="K204" i="33" s="1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J197" i="33"/>
  <c r="K197" i="33" s="1"/>
  <c r="I197" i="33"/>
  <c r="M197" i="33" s="1"/>
  <c r="J196" i="33"/>
  <c r="K196" i="33" s="1"/>
  <c r="I196" i="33"/>
  <c r="M196" i="33" s="1"/>
  <c r="K195" i="33"/>
  <c r="J195" i="33"/>
  <c r="I195" i="33"/>
  <c r="M195" i="33" s="1"/>
  <c r="J194" i="33"/>
  <c r="K194" i="33" s="1"/>
  <c r="I194" i="33"/>
  <c r="M194" i="33" s="1"/>
  <c r="J193" i="33"/>
  <c r="K193" i="33" s="1"/>
  <c r="I193" i="33"/>
  <c r="M193" i="33" s="1"/>
  <c r="J192" i="33"/>
  <c r="K192" i="33" s="1"/>
  <c r="I192" i="33"/>
  <c r="M192" i="33" s="1"/>
  <c r="J191" i="33"/>
  <c r="K191" i="33" s="1"/>
  <c r="I191" i="33"/>
  <c r="M191" i="33" s="1"/>
  <c r="K190" i="33"/>
  <c r="J190" i="33"/>
  <c r="I190" i="33"/>
  <c r="M190" i="33" s="1"/>
  <c r="J189" i="33"/>
  <c r="K189" i="33" s="1"/>
  <c r="I189" i="33"/>
  <c r="M189" i="33" s="1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K184" i="33"/>
  <c r="J184" i="33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K178" i="33"/>
  <c r="J178" i="33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J174" i="33"/>
  <c r="K174" i="33" s="1"/>
  <c r="I174" i="33"/>
  <c r="M174" i="33" s="1"/>
  <c r="J173" i="33"/>
  <c r="K173" i="33" s="1"/>
  <c r="I173" i="33"/>
  <c r="M173" i="33" s="1"/>
  <c r="M172" i="33"/>
  <c r="K172" i="33"/>
  <c r="J172" i="33"/>
  <c r="I172" i="33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K166" i="33"/>
  <c r="J166" i="33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J162" i="33"/>
  <c r="K162" i="33" s="1"/>
  <c r="I162" i="33"/>
  <c r="M162" i="33" s="1"/>
  <c r="J161" i="33"/>
  <c r="K161" i="33" s="1"/>
  <c r="I161" i="33"/>
  <c r="M161" i="33" s="1"/>
  <c r="J160" i="33"/>
  <c r="K160" i="33" s="1"/>
  <c r="I160" i="33"/>
  <c r="M160" i="33" s="1"/>
  <c r="J159" i="33"/>
  <c r="K159" i="33" s="1"/>
  <c r="I159" i="33"/>
  <c r="M159" i="33" s="1"/>
  <c r="J158" i="33"/>
  <c r="K158" i="33" s="1"/>
  <c r="I158" i="33"/>
  <c r="M158" i="33" s="1"/>
  <c r="J157" i="33"/>
  <c r="K157" i="33" s="1"/>
  <c r="I157" i="33"/>
  <c r="M157" i="33" s="1"/>
  <c r="J156" i="33"/>
  <c r="K156" i="33" s="1"/>
  <c r="I156" i="33"/>
  <c r="M156" i="33" s="1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K150" i="33"/>
  <c r="J150" i="33"/>
  <c r="I150" i="33"/>
  <c r="M150" i="33" s="1"/>
  <c r="J149" i="33"/>
  <c r="K149" i="33" s="1"/>
  <c r="I149" i="33"/>
  <c r="M149" i="33" s="1"/>
  <c r="M148" i="33"/>
  <c r="J148" i="33"/>
  <c r="K148" i="33" s="1"/>
  <c r="I148" i="33"/>
  <c r="J147" i="33"/>
  <c r="K147" i="33" s="1"/>
  <c r="I147" i="33"/>
  <c r="M147" i="33" s="1"/>
  <c r="J146" i="33"/>
  <c r="K146" i="33" s="1"/>
  <c r="I146" i="33"/>
  <c r="M146" i="33" s="1"/>
  <c r="J145" i="33"/>
  <c r="K145" i="33" s="1"/>
  <c r="I145" i="33"/>
  <c r="M145" i="33" s="1"/>
  <c r="K144" i="33"/>
  <c r="J144" i="33"/>
  <c r="I144" i="33"/>
  <c r="M144" i="33" s="1"/>
  <c r="J143" i="33"/>
  <c r="K143" i="33" s="1"/>
  <c r="I143" i="33"/>
  <c r="M143" i="33" s="1"/>
  <c r="J142" i="33"/>
  <c r="K142" i="33" s="1"/>
  <c r="I142" i="33"/>
  <c r="M142" i="33" s="1"/>
  <c r="J141" i="33"/>
  <c r="K141" i="33" s="1"/>
  <c r="I141" i="33"/>
  <c r="M141" i="33" s="1"/>
  <c r="J140" i="33"/>
  <c r="K140" i="33" s="1"/>
  <c r="I140" i="33"/>
  <c r="M140" i="33" s="1"/>
  <c r="J139" i="33"/>
  <c r="K139" i="33" s="1"/>
  <c r="I139" i="33"/>
  <c r="M139" i="33" s="1"/>
  <c r="K138" i="33"/>
  <c r="J138" i="33"/>
  <c r="I138" i="33"/>
  <c r="M138" i="33" s="1"/>
  <c r="J137" i="33"/>
  <c r="K137" i="33" s="1"/>
  <c r="I137" i="33"/>
  <c r="M137" i="33" s="1"/>
  <c r="J136" i="33"/>
  <c r="K136" i="33" s="1"/>
  <c r="I136" i="33"/>
  <c r="M136" i="33" s="1"/>
  <c r="J135" i="33"/>
  <c r="K135" i="33" s="1"/>
  <c r="I135" i="33"/>
  <c r="M135" i="33" s="1"/>
  <c r="J134" i="33"/>
  <c r="K134" i="33" s="1"/>
  <c r="I134" i="33"/>
  <c r="M134" i="33" s="1"/>
  <c r="J133" i="33"/>
  <c r="K133" i="33" s="1"/>
  <c r="I133" i="33"/>
  <c r="M133" i="33" s="1"/>
  <c r="M132" i="33"/>
  <c r="J132" i="33"/>
  <c r="K132" i="33" s="1"/>
  <c r="I132" i="33"/>
  <c r="J131" i="33"/>
  <c r="K131" i="33" s="1"/>
  <c r="I131" i="33"/>
  <c r="M131" i="33" s="1"/>
  <c r="J130" i="33"/>
  <c r="K130" i="33" s="1"/>
  <c r="I130" i="33"/>
  <c r="M130" i="33" s="1"/>
  <c r="J129" i="33"/>
  <c r="K129" i="33" s="1"/>
  <c r="I129" i="33"/>
  <c r="M129" i="33" s="1"/>
  <c r="J128" i="33"/>
  <c r="K128" i="33" s="1"/>
  <c r="I128" i="33"/>
  <c r="M128" i="33" s="1"/>
  <c r="J127" i="33"/>
  <c r="K127" i="33" s="1"/>
  <c r="I127" i="33"/>
  <c r="M127" i="33" s="1"/>
  <c r="K126" i="33"/>
  <c r="J126" i="33"/>
  <c r="I126" i="33"/>
  <c r="M126" i="33" s="1"/>
  <c r="J125" i="33"/>
  <c r="K125" i="33" s="1"/>
  <c r="I125" i="33"/>
  <c r="M125" i="33" s="1"/>
  <c r="J124" i="33"/>
  <c r="K124" i="33" s="1"/>
  <c r="I124" i="33"/>
  <c r="M124" i="33" s="1"/>
  <c r="J123" i="33"/>
  <c r="K123" i="33" s="1"/>
  <c r="I123" i="33"/>
  <c r="M123" i="33" s="1"/>
  <c r="J122" i="33"/>
  <c r="K122" i="33" s="1"/>
  <c r="I122" i="33"/>
  <c r="M122" i="33" s="1"/>
  <c r="J121" i="33"/>
  <c r="K121" i="33" s="1"/>
  <c r="I121" i="33"/>
  <c r="M121" i="33" s="1"/>
  <c r="K120" i="33"/>
  <c r="J120" i="33"/>
  <c r="I120" i="33"/>
  <c r="M120" i="33" s="1"/>
  <c r="J119" i="33"/>
  <c r="K119" i="33" s="1"/>
  <c r="I119" i="33"/>
  <c r="M119" i="33" s="1"/>
  <c r="J118" i="33"/>
  <c r="K118" i="33" s="1"/>
  <c r="I118" i="33"/>
  <c r="M118" i="33" s="1"/>
  <c r="J117" i="33"/>
  <c r="K117" i="33" s="1"/>
  <c r="I117" i="33"/>
  <c r="M117" i="33" s="1"/>
  <c r="J116" i="33"/>
  <c r="K116" i="33" s="1"/>
  <c r="I116" i="33"/>
  <c r="M116" i="33" s="1"/>
  <c r="J115" i="33"/>
  <c r="K115" i="33" s="1"/>
  <c r="I115" i="33"/>
  <c r="M115" i="33" s="1"/>
  <c r="K114" i="33"/>
  <c r="J114" i="33"/>
  <c r="I114" i="33"/>
  <c r="M114" i="33" s="1"/>
  <c r="J113" i="33"/>
  <c r="K113" i="33" s="1"/>
  <c r="I113" i="33"/>
  <c r="M113" i="33" s="1"/>
  <c r="J112" i="33"/>
  <c r="K112" i="33" s="1"/>
  <c r="I112" i="33"/>
  <c r="M112" i="33" s="1"/>
  <c r="J111" i="33"/>
  <c r="K111" i="33" s="1"/>
  <c r="I111" i="33"/>
  <c r="M111" i="33" s="1"/>
  <c r="J110" i="33"/>
  <c r="K110" i="33" s="1"/>
  <c r="I110" i="33"/>
  <c r="M110" i="33" s="1"/>
  <c r="J109" i="33"/>
  <c r="K109" i="33" s="1"/>
  <c r="I109" i="33"/>
  <c r="M109" i="33" s="1"/>
  <c r="M108" i="33"/>
  <c r="K108" i="33"/>
  <c r="J108" i="33"/>
  <c r="I108" i="33"/>
  <c r="J107" i="33"/>
  <c r="K107" i="33" s="1"/>
  <c r="I107" i="33"/>
  <c r="M107" i="33" s="1"/>
  <c r="J106" i="33"/>
  <c r="K106" i="33" s="1"/>
  <c r="I106" i="33"/>
  <c r="M106" i="33" s="1"/>
  <c r="J105" i="33"/>
  <c r="K105" i="33" s="1"/>
  <c r="I105" i="33"/>
  <c r="M105" i="33" s="1"/>
  <c r="J104" i="33"/>
  <c r="K104" i="33" s="1"/>
  <c r="I104" i="33"/>
  <c r="M104" i="33" s="1"/>
  <c r="J103" i="33"/>
  <c r="K103" i="33" s="1"/>
  <c r="I103" i="33"/>
  <c r="M103" i="33" s="1"/>
  <c r="J102" i="33"/>
  <c r="K102" i="33" s="1"/>
  <c r="I102" i="33"/>
  <c r="M102" i="33" s="1"/>
  <c r="J101" i="33"/>
  <c r="K101" i="33" s="1"/>
  <c r="I101" i="33"/>
  <c r="M101" i="33" s="1"/>
  <c r="J100" i="33"/>
  <c r="K100" i="33" s="1"/>
  <c r="I100" i="33"/>
  <c r="M100" i="33" s="1"/>
  <c r="J99" i="33"/>
  <c r="K99" i="33" s="1"/>
  <c r="I99" i="33"/>
  <c r="M99" i="33" s="1"/>
  <c r="J98" i="33"/>
  <c r="K98" i="33" s="1"/>
  <c r="I98" i="33"/>
  <c r="M98" i="33" s="1"/>
  <c r="J97" i="33"/>
  <c r="K97" i="33" s="1"/>
  <c r="I97" i="33"/>
  <c r="M97" i="33" s="1"/>
  <c r="J96" i="33"/>
  <c r="K96" i="33" s="1"/>
  <c r="I96" i="33"/>
  <c r="M96" i="33" s="1"/>
  <c r="J95" i="33"/>
  <c r="K95" i="33" s="1"/>
  <c r="I95" i="33"/>
  <c r="M95" i="33" s="1"/>
  <c r="J94" i="33"/>
  <c r="K94" i="33" s="1"/>
  <c r="I94" i="33"/>
  <c r="M94" i="33" s="1"/>
  <c r="J93" i="33"/>
  <c r="K93" i="33" s="1"/>
  <c r="I93" i="33"/>
  <c r="M93" i="33" s="1"/>
  <c r="J92" i="33"/>
  <c r="K92" i="33" s="1"/>
  <c r="I92" i="33"/>
  <c r="M92" i="33" s="1"/>
  <c r="J91" i="33"/>
  <c r="K91" i="33" s="1"/>
  <c r="I91" i="33"/>
  <c r="M91" i="33" s="1"/>
  <c r="J90" i="33"/>
  <c r="K90" i="33" s="1"/>
  <c r="I90" i="33"/>
  <c r="M90" i="33" s="1"/>
  <c r="J89" i="33"/>
  <c r="K89" i="33" s="1"/>
  <c r="I89" i="33"/>
  <c r="M89" i="33" s="1"/>
  <c r="J88" i="33"/>
  <c r="K88" i="33" s="1"/>
  <c r="I88" i="33"/>
  <c r="M88" i="33" s="1"/>
  <c r="J87" i="33"/>
  <c r="K87" i="33" s="1"/>
  <c r="I87" i="33"/>
  <c r="M87" i="33" s="1"/>
  <c r="K86" i="33"/>
  <c r="J86" i="33"/>
  <c r="I86" i="33"/>
  <c r="M86" i="33" s="1"/>
  <c r="J85" i="33"/>
  <c r="K85" i="33" s="1"/>
  <c r="I85" i="33"/>
  <c r="M85" i="33" s="1"/>
  <c r="M84" i="33"/>
  <c r="J84" i="33"/>
  <c r="K84" i="33" s="1"/>
  <c r="I84" i="33"/>
  <c r="J83" i="33"/>
  <c r="K83" i="33" s="1"/>
  <c r="I83" i="33"/>
  <c r="M83" i="33" s="1"/>
  <c r="J82" i="33"/>
  <c r="K82" i="33" s="1"/>
  <c r="I82" i="33"/>
  <c r="M82" i="33" s="1"/>
  <c r="J81" i="33"/>
  <c r="K81" i="33" s="1"/>
  <c r="I81" i="33"/>
  <c r="M81" i="33" s="1"/>
  <c r="J80" i="33"/>
  <c r="K80" i="33" s="1"/>
  <c r="I80" i="33"/>
  <c r="M80" i="33" s="1"/>
  <c r="J79" i="33"/>
  <c r="K79" i="33" s="1"/>
  <c r="I79" i="33"/>
  <c r="M79" i="33" s="1"/>
  <c r="K78" i="33"/>
  <c r="J78" i="33"/>
  <c r="I78" i="33"/>
  <c r="M78" i="33" s="1"/>
  <c r="J77" i="33"/>
  <c r="K77" i="33" s="1"/>
  <c r="I77" i="33"/>
  <c r="M77" i="33" s="1"/>
  <c r="J76" i="33"/>
  <c r="K76" i="33" s="1"/>
  <c r="I76" i="33"/>
  <c r="M76" i="33" s="1"/>
  <c r="J75" i="33"/>
  <c r="K75" i="33" s="1"/>
  <c r="I75" i="33"/>
  <c r="M75" i="33" s="1"/>
  <c r="J74" i="33"/>
  <c r="K74" i="33" s="1"/>
  <c r="I74" i="33"/>
  <c r="M74" i="33" s="1"/>
  <c r="J73" i="33"/>
  <c r="K73" i="33" s="1"/>
  <c r="I73" i="33"/>
  <c r="M73" i="33" s="1"/>
  <c r="J72" i="33"/>
  <c r="K72" i="33" s="1"/>
  <c r="I72" i="33"/>
  <c r="M72" i="33" s="1"/>
  <c r="J71" i="33"/>
  <c r="K71" i="33" s="1"/>
  <c r="I71" i="33"/>
  <c r="M71" i="33" s="1"/>
  <c r="J70" i="33"/>
  <c r="K70" i="33" s="1"/>
  <c r="I70" i="33"/>
  <c r="M70" i="33" s="1"/>
  <c r="J69" i="33"/>
  <c r="K69" i="33" s="1"/>
  <c r="I69" i="33"/>
  <c r="M69" i="33" s="1"/>
  <c r="M68" i="33"/>
  <c r="J68" i="33"/>
  <c r="K68" i="33" s="1"/>
  <c r="I68" i="33"/>
  <c r="J67" i="33"/>
  <c r="K67" i="33" s="1"/>
  <c r="I67" i="33"/>
  <c r="M67" i="33" s="1"/>
  <c r="J66" i="33"/>
  <c r="K66" i="33" s="1"/>
  <c r="I66" i="33"/>
  <c r="M66" i="33" s="1"/>
  <c r="J65" i="33"/>
  <c r="K65" i="33" s="1"/>
  <c r="I65" i="33"/>
  <c r="M65" i="33" s="1"/>
  <c r="B65" i="33"/>
  <c r="J64" i="33"/>
  <c r="K64" i="33" s="1"/>
  <c r="I64" i="33"/>
  <c r="M64" i="33" s="1"/>
  <c r="B64" i="33"/>
  <c r="J63" i="33"/>
  <c r="K63" i="33" s="1"/>
  <c r="I63" i="33"/>
  <c r="M63" i="33" s="1"/>
  <c r="B63" i="33"/>
  <c r="J62" i="33"/>
  <c r="K62" i="33" s="1"/>
  <c r="I62" i="33"/>
  <c r="M62" i="33" s="1"/>
  <c r="B62" i="33"/>
  <c r="M61" i="33"/>
  <c r="K61" i="33"/>
  <c r="J61" i="33"/>
  <c r="I61" i="33"/>
  <c r="B61" i="33"/>
  <c r="J60" i="33"/>
  <c r="K60" i="33" s="1"/>
  <c r="I60" i="33"/>
  <c r="M60" i="33" s="1"/>
  <c r="B60" i="33"/>
  <c r="M59" i="33"/>
  <c r="J59" i="33"/>
  <c r="K59" i="33" s="1"/>
  <c r="I59" i="33"/>
  <c r="B59" i="33"/>
  <c r="J58" i="33"/>
  <c r="K58" i="33" s="1"/>
  <c r="I58" i="33"/>
  <c r="M58" i="33" s="1"/>
  <c r="B58" i="33"/>
  <c r="J57" i="33"/>
  <c r="K57" i="33" s="1"/>
  <c r="I57" i="33"/>
  <c r="M57" i="33" s="1"/>
  <c r="B57" i="33"/>
  <c r="J56" i="33"/>
  <c r="K56" i="33" s="1"/>
  <c r="I56" i="33"/>
  <c r="M56" i="33" s="1"/>
  <c r="B56" i="33"/>
  <c r="J55" i="33"/>
  <c r="K55" i="33" s="1"/>
  <c r="I55" i="33"/>
  <c r="M55" i="33" s="1"/>
  <c r="B55" i="33"/>
  <c r="J54" i="33"/>
  <c r="K54" i="33" s="1"/>
  <c r="I54" i="33"/>
  <c r="M54" i="33" s="1"/>
  <c r="B54" i="33"/>
  <c r="M53" i="33"/>
  <c r="K53" i="33"/>
  <c r="J53" i="33"/>
  <c r="I53" i="33"/>
  <c r="B53" i="33"/>
  <c r="J52" i="33"/>
  <c r="K52" i="33" s="1"/>
  <c r="I52" i="33"/>
  <c r="M52" i="33" s="1"/>
  <c r="B52" i="33"/>
  <c r="M51" i="33"/>
  <c r="K51" i="33"/>
  <c r="J51" i="33"/>
  <c r="I51" i="33"/>
  <c r="B51" i="33"/>
  <c r="J50" i="33"/>
  <c r="K50" i="33" s="1"/>
  <c r="I50" i="33"/>
  <c r="M50" i="33" s="1"/>
  <c r="B50" i="33"/>
  <c r="J49" i="33"/>
  <c r="K49" i="33" s="1"/>
  <c r="I49" i="33"/>
  <c r="M49" i="33" s="1"/>
  <c r="B49" i="33"/>
  <c r="J48" i="33"/>
  <c r="K48" i="33" s="1"/>
  <c r="I48" i="33"/>
  <c r="M48" i="33" s="1"/>
  <c r="B48" i="33"/>
  <c r="J47" i="33"/>
  <c r="K47" i="33" s="1"/>
  <c r="I47" i="33"/>
  <c r="M47" i="33" s="1"/>
  <c r="B47" i="33"/>
  <c r="T46" i="33"/>
  <c r="R46" i="33"/>
  <c r="U46" i="33" s="1"/>
  <c r="J46" i="33"/>
  <c r="K46" i="33" s="1"/>
  <c r="I46" i="33"/>
  <c r="M46" i="33" s="1"/>
  <c r="B46" i="33"/>
  <c r="J45" i="33"/>
  <c r="K45" i="33" s="1"/>
  <c r="I45" i="33"/>
  <c r="M45" i="33" s="1"/>
  <c r="B45" i="33"/>
  <c r="J44" i="33"/>
  <c r="K44" i="33" s="1"/>
  <c r="I44" i="33"/>
  <c r="M44" i="33" s="1"/>
  <c r="B44" i="33"/>
  <c r="J43" i="33"/>
  <c r="K43" i="33" s="1"/>
  <c r="I43" i="33"/>
  <c r="M43" i="33" s="1"/>
  <c r="B43" i="33"/>
  <c r="J42" i="33"/>
  <c r="K42" i="33" s="1"/>
  <c r="I42" i="33"/>
  <c r="M42" i="33" s="1"/>
  <c r="B42" i="33"/>
  <c r="J41" i="33"/>
  <c r="K41" i="33" s="1"/>
  <c r="I41" i="33"/>
  <c r="M41" i="33" s="1"/>
  <c r="B41" i="33"/>
  <c r="J40" i="33"/>
  <c r="K40" i="33" s="1"/>
  <c r="I40" i="33"/>
  <c r="M40" i="33" s="1"/>
  <c r="B40" i="33"/>
  <c r="M39" i="33"/>
  <c r="J39" i="33"/>
  <c r="K39" i="33" s="1"/>
  <c r="I39" i="33"/>
  <c r="B39" i="33"/>
  <c r="J38" i="33"/>
  <c r="K38" i="33" s="1"/>
  <c r="I38" i="33"/>
  <c r="M38" i="33" s="1"/>
  <c r="B38" i="33"/>
  <c r="M37" i="33"/>
  <c r="A37" i="33" s="1"/>
  <c r="J37" i="33"/>
  <c r="K37" i="33" s="1"/>
  <c r="I37" i="33"/>
  <c r="B37" i="33"/>
  <c r="J36" i="33"/>
  <c r="K36" i="33" s="1"/>
  <c r="I36" i="33"/>
  <c r="M36" i="33" s="1"/>
  <c r="A36" i="33" s="1"/>
  <c r="B36" i="33"/>
  <c r="J35" i="33"/>
  <c r="K35" i="33" s="1"/>
  <c r="I35" i="33"/>
  <c r="M35" i="33" s="1"/>
  <c r="A35" i="33" s="1"/>
  <c r="B35" i="33"/>
  <c r="J34" i="33"/>
  <c r="K34" i="33" s="1"/>
  <c r="I34" i="33"/>
  <c r="M34" i="33" s="1"/>
  <c r="A34" i="33" s="1"/>
  <c r="B34" i="33"/>
  <c r="M33" i="33"/>
  <c r="A33" i="33" s="1"/>
  <c r="J33" i="33"/>
  <c r="K33" i="33" s="1"/>
  <c r="I33" i="33"/>
  <c r="B33" i="33"/>
  <c r="J32" i="33"/>
  <c r="K32" i="33" s="1"/>
  <c r="I32" i="33"/>
  <c r="M32" i="33" s="1"/>
  <c r="A32" i="33" s="1"/>
  <c r="B32" i="33"/>
  <c r="J31" i="33"/>
  <c r="K31" i="33" s="1"/>
  <c r="I31" i="33"/>
  <c r="M31" i="33" s="1"/>
  <c r="A31" i="33" s="1"/>
  <c r="B31" i="33"/>
  <c r="J30" i="33"/>
  <c r="K30" i="33" s="1"/>
  <c r="I30" i="33"/>
  <c r="M30" i="33" s="1"/>
  <c r="A30" i="33" s="1"/>
  <c r="B30" i="33"/>
  <c r="J29" i="33"/>
  <c r="K29" i="33" s="1"/>
  <c r="I29" i="33"/>
  <c r="M29" i="33" s="1"/>
  <c r="A29" i="33" s="1"/>
  <c r="B29" i="33"/>
  <c r="J28" i="33"/>
  <c r="K28" i="33" s="1"/>
  <c r="I28" i="33"/>
  <c r="M28" i="33" s="1"/>
  <c r="A28" i="33" s="1"/>
  <c r="B28" i="33"/>
  <c r="J27" i="33"/>
  <c r="K27" i="33" s="1"/>
  <c r="I27" i="33"/>
  <c r="B27" i="33"/>
  <c r="J26" i="33"/>
  <c r="K26" i="33" s="1"/>
  <c r="I26" i="33"/>
  <c r="B26" i="33"/>
  <c r="M25" i="33"/>
  <c r="A25" i="33" s="1"/>
  <c r="J25" i="33"/>
  <c r="K25" i="33" s="1"/>
  <c r="I25" i="33"/>
  <c r="B25" i="33"/>
  <c r="J24" i="33"/>
  <c r="K24" i="33" s="1"/>
  <c r="I24" i="33"/>
  <c r="M24" i="33" s="1"/>
  <c r="A24" i="33" s="1"/>
  <c r="B24" i="33"/>
  <c r="K23" i="33"/>
  <c r="J23" i="33"/>
  <c r="I23" i="33"/>
  <c r="B23" i="33"/>
  <c r="J22" i="33"/>
  <c r="K22" i="33" s="1"/>
  <c r="I22" i="33"/>
  <c r="M22" i="33" s="1"/>
  <c r="A22" i="33" s="1"/>
  <c r="B22" i="33"/>
  <c r="M21" i="33"/>
  <c r="A21" i="33" s="1"/>
  <c r="J21" i="33"/>
  <c r="K21" i="33" s="1"/>
  <c r="I21" i="33"/>
  <c r="B21" i="33"/>
  <c r="J20" i="33"/>
  <c r="K20" i="33" s="1"/>
  <c r="I20" i="33"/>
  <c r="B20" i="33"/>
  <c r="J19" i="33"/>
  <c r="K19" i="33" s="1"/>
  <c r="I19" i="33"/>
  <c r="B19" i="33"/>
  <c r="J18" i="33"/>
  <c r="K18" i="33" s="1"/>
  <c r="I18" i="33"/>
  <c r="B18" i="33"/>
  <c r="M17" i="33"/>
  <c r="A17" i="33" s="1"/>
  <c r="J17" i="33"/>
  <c r="K17" i="33" s="1"/>
  <c r="I17" i="33"/>
  <c r="B17" i="33"/>
  <c r="AI16" i="33"/>
  <c r="J16" i="33"/>
  <c r="K16" i="33" s="1"/>
  <c r="M16" i="33" s="1"/>
  <c r="A16" i="33" s="1"/>
  <c r="I16" i="33"/>
  <c r="B16" i="33"/>
  <c r="J15" i="33"/>
  <c r="K15" i="33" s="1"/>
  <c r="I15" i="33"/>
  <c r="B15" i="33"/>
  <c r="AI14" i="33"/>
  <c r="J14" i="33"/>
  <c r="K14" i="33" s="1"/>
  <c r="I14" i="33"/>
  <c r="B14" i="33"/>
  <c r="AI13" i="33"/>
  <c r="J13" i="33"/>
  <c r="K13" i="33" s="1"/>
  <c r="I13" i="33"/>
  <c r="M13" i="33" s="1"/>
  <c r="B13" i="33"/>
  <c r="A13" i="33"/>
  <c r="AI12" i="33"/>
  <c r="K12" i="33"/>
  <c r="J12" i="33"/>
  <c r="I12" i="33"/>
  <c r="M12" i="33" s="1"/>
  <c r="A12" i="33" s="1"/>
  <c r="B12" i="33"/>
  <c r="J11" i="33"/>
  <c r="K11" i="33" s="1"/>
  <c r="I11" i="33"/>
  <c r="M11" i="33" s="1"/>
  <c r="A11" i="33" s="1"/>
  <c r="B11" i="33"/>
  <c r="J10" i="33"/>
  <c r="K10" i="33" s="1"/>
  <c r="I10" i="33"/>
  <c r="M10" i="33" s="1"/>
  <c r="A10" i="33" s="1"/>
  <c r="B10" i="33"/>
  <c r="J9" i="33"/>
  <c r="K9" i="33" s="1"/>
  <c r="I9" i="33"/>
  <c r="B9" i="33"/>
  <c r="J8" i="33"/>
  <c r="K8" i="33" s="1"/>
  <c r="I8" i="33"/>
  <c r="B8" i="33"/>
  <c r="J7" i="33"/>
  <c r="K7" i="33" s="1"/>
  <c r="I7" i="33"/>
  <c r="B7" i="33"/>
  <c r="K6" i="33"/>
  <c r="J6" i="33"/>
  <c r="I6" i="33"/>
  <c r="B6" i="33"/>
  <c r="K2" i="33"/>
  <c r="J374" i="32"/>
  <c r="J373" i="32"/>
  <c r="J372" i="32"/>
  <c r="J371" i="32"/>
  <c r="J370" i="32"/>
  <c r="J369" i="32"/>
  <c r="J368" i="32"/>
  <c r="J367" i="32"/>
  <c r="J366" i="32"/>
  <c r="J365" i="32"/>
  <c r="J364" i="32"/>
  <c r="J363" i="32"/>
  <c r="J362" i="32"/>
  <c r="J361" i="32"/>
  <c r="J360" i="32"/>
  <c r="J359" i="32"/>
  <c r="J358" i="32"/>
  <c r="J357" i="32"/>
  <c r="J356" i="32"/>
  <c r="J355" i="32"/>
  <c r="J354" i="32"/>
  <c r="J353" i="32"/>
  <c r="J352" i="32"/>
  <c r="J351" i="32"/>
  <c r="J350" i="32"/>
  <c r="J349" i="32"/>
  <c r="J348" i="32"/>
  <c r="J347" i="32"/>
  <c r="J346" i="32"/>
  <c r="J345" i="32"/>
  <c r="J344" i="32"/>
  <c r="J343" i="32"/>
  <c r="J342" i="32"/>
  <c r="J341" i="32"/>
  <c r="J340" i="32"/>
  <c r="J339" i="32"/>
  <c r="J338" i="32"/>
  <c r="J337" i="32"/>
  <c r="J336" i="32"/>
  <c r="J335" i="32"/>
  <c r="J334" i="32"/>
  <c r="J333" i="32"/>
  <c r="J332" i="32"/>
  <c r="J331" i="32"/>
  <c r="J330" i="32"/>
  <c r="J329" i="32"/>
  <c r="J328" i="32"/>
  <c r="J327" i="32"/>
  <c r="J326" i="32"/>
  <c r="J325" i="32"/>
  <c r="J324" i="32"/>
  <c r="J323" i="32"/>
  <c r="J322" i="32"/>
  <c r="J321" i="32"/>
  <c r="J320" i="32"/>
  <c r="J319" i="32"/>
  <c r="J318" i="32"/>
  <c r="J317" i="32"/>
  <c r="J316" i="32"/>
  <c r="J315" i="32"/>
  <c r="J314" i="32"/>
  <c r="J313" i="32"/>
  <c r="J312" i="32"/>
  <c r="J311" i="32"/>
  <c r="J310" i="32"/>
  <c r="J309" i="32"/>
  <c r="J308" i="32"/>
  <c r="J307" i="32"/>
  <c r="J306" i="32"/>
  <c r="M305" i="32"/>
  <c r="J305" i="32"/>
  <c r="K305" i="32" s="1"/>
  <c r="I305" i="32"/>
  <c r="K304" i="32"/>
  <c r="J304" i="32"/>
  <c r="I304" i="32"/>
  <c r="M304" i="32" s="1"/>
  <c r="J303" i="32"/>
  <c r="K303" i="32" s="1"/>
  <c r="I303" i="32"/>
  <c r="M303" i="32" s="1"/>
  <c r="K302" i="32"/>
  <c r="J302" i="32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K298" i="32"/>
  <c r="J298" i="32"/>
  <c r="I298" i="32"/>
  <c r="M298" i="32" s="1"/>
  <c r="M297" i="32"/>
  <c r="J297" i="32"/>
  <c r="K297" i="32" s="1"/>
  <c r="I297" i="32"/>
  <c r="K296" i="32"/>
  <c r="J296" i="32"/>
  <c r="I296" i="32"/>
  <c r="M296" i="32" s="1"/>
  <c r="J295" i="32"/>
  <c r="K295" i="32" s="1"/>
  <c r="I295" i="32"/>
  <c r="M295" i="32" s="1"/>
  <c r="K294" i="32"/>
  <c r="J294" i="32"/>
  <c r="I294" i="32"/>
  <c r="M294" i="32" s="1"/>
  <c r="J293" i="32"/>
  <c r="K293" i="32" s="1"/>
  <c r="I293" i="32"/>
  <c r="M293" i="32" s="1"/>
  <c r="K292" i="32"/>
  <c r="J292" i="32"/>
  <c r="I292" i="32"/>
  <c r="M292" i="32" s="1"/>
  <c r="M291" i="32"/>
  <c r="J291" i="32"/>
  <c r="K291" i="32" s="1"/>
  <c r="I291" i="32"/>
  <c r="K290" i="32"/>
  <c r="J290" i="32"/>
  <c r="I290" i="32"/>
  <c r="M290" i="32" s="1"/>
  <c r="M289" i="32"/>
  <c r="J289" i="32"/>
  <c r="K289" i="32" s="1"/>
  <c r="I289" i="32"/>
  <c r="K288" i="32"/>
  <c r="J288" i="32"/>
  <c r="I288" i="32"/>
  <c r="M288" i="32" s="1"/>
  <c r="J287" i="32"/>
  <c r="K287" i="32" s="1"/>
  <c r="I287" i="32"/>
  <c r="M287" i="32" s="1"/>
  <c r="K286" i="32"/>
  <c r="J286" i="32"/>
  <c r="I286" i="32"/>
  <c r="M286" i="32" s="1"/>
  <c r="J285" i="32"/>
  <c r="K285" i="32" s="1"/>
  <c r="I285" i="32"/>
  <c r="M285" i="32" s="1"/>
  <c r="K284" i="32"/>
  <c r="J284" i="32"/>
  <c r="I284" i="32"/>
  <c r="M284" i="32" s="1"/>
  <c r="M283" i="32"/>
  <c r="J283" i="32"/>
  <c r="K283" i="32" s="1"/>
  <c r="I283" i="32"/>
  <c r="K282" i="32"/>
  <c r="J282" i="32"/>
  <c r="I282" i="32"/>
  <c r="M282" i="32" s="1"/>
  <c r="M281" i="32"/>
  <c r="J281" i="32"/>
  <c r="K281" i="32" s="1"/>
  <c r="I281" i="32"/>
  <c r="K280" i="32"/>
  <c r="J280" i="32"/>
  <c r="I280" i="32"/>
  <c r="M280" i="32" s="1"/>
  <c r="J279" i="32"/>
  <c r="K279" i="32" s="1"/>
  <c r="I279" i="32"/>
  <c r="M279" i="32" s="1"/>
  <c r="K278" i="32"/>
  <c r="J278" i="32"/>
  <c r="I278" i="32"/>
  <c r="M278" i="32" s="1"/>
  <c r="J277" i="32"/>
  <c r="K277" i="32" s="1"/>
  <c r="I277" i="32"/>
  <c r="M277" i="32" s="1"/>
  <c r="K276" i="32"/>
  <c r="J276" i="32"/>
  <c r="I276" i="32"/>
  <c r="M276" i="32" s="1"/>
  <c r="M275" i="32"/>
  <c r="J275" i="32"/>
  <c r="K275" i="32" s="1"/>
  <c r="I275" i="32"/>
  <c r="K274" i="32"/>
  <c r="J274" i="32"/>
  <c r="I274" i="32"/>
  <c r="M274" i="32" s="1"/>
  <c r="M273" i="32"/>
  <c r="J273" i="32"/>
  <c r="K273" i="32" s="1"/>
  <c r="I273" i="32"/>
  <c r="K272" i="32"/>
  <c r="J272" i="32"/>
  <c r="I272" i="32"/>
  <c r="M272" i="32" s="1"/>
  <c r="J271" i="32"/>
  <c r="K271" i="32" s="1"/>
  <c r="I271" i="32"/>
  <c r="M271" i="32" s="1"/>
  <c r="K270" i="32"/>
  <c r="J270" i="32"/>
  <c r="I270" i="32"/>
  <c r="M270" i="32" s="1"/>
  <c r="J269" i="32"/>
  <c r="K269" i="32" s="1"/>
  <c r="I269" i="32"/>
  <c r="M269" i="32" s="1"/>
  <c r="K268" i="32"/>
  <c r="J268" i="32"/>
  <c r="I268" i="32"/>
  <c r="M268" i="32" s="1"/>
  <c r="M267" i="32"/>
  <c r="J267" i="32"/>
  <c r="K267" i="32" s="1"/>
  <c r="I267" i="32"/>
  <c r="K266" i="32"/>
  <c r="J266" i="32"/>
  <c r="I266" i="32"/>
  <c r="M266" i="32" s="1"/>
  <c r="M265" i="32"/>
  <c r="J265" i="32"/>
  <c r="K265" i="32" s="1"/>
  <c r="I265" i="32"/>
  <c r="K264" i="32"/>
  <c r="J264" i="32"/>
  <c r="I264" i="32"/>
  <c r="M264" i="32" s="1"/>
  <c r="J263" i="32"/>
  <c r="K263" i="32" s="1"/>
  <c r="I263" i="32"/>
  <c r="M263" i="32" s="1"/>
  <c r="K262" i="32"/>
  <c r="J262" i="32"/>
  <c r="I262" i="32"/>
  <c r="M262" i="32" s="1"/>
  <c r="J261" i="32"/>
  <c r="K261" i="32" s="1"/>
  <c r="I261" i="32"/>
  <c r="M261" i="32" s="1"/>
  <c r="K260" i="32"/>
  <c r="J260" i="32"/>
  <c r="I260" i="32"/>
  <c r="M260" i="32" s="1"/>
  <c r="M259" i="32"/>
  <c r="J259" i="32"/>
  <c r="K259" i="32" s="1"/>
  <c r="I259" i="32"/>
  <c r="K258" i="32"/>
  <c r="J258" i="32"/>
  <c r="I258" i="32"/>
  <c r="M258" i="32" s="1"/>
  <c r="M257" i="32"/>
  <c r="J257" i="32"/>
  <c r="K257" i="32" s="1"/>
  <c r="I257" i="32"/>
  <c r="K256" i="32"/>
  <c r="J256" i="32"/>
  <c r="I256" i="32"/>
  <c r="M256" i="32" s="1"/>
  <c r="J255" i="32"/>
  <c r="K255" i="32" s="1"/>
  <c r="I255" i="32"/>
  <c r="M255" i="32" s="1"/>
  <c r="K254" i="32"/>
  <c r="J254" i="32"/>
  <c r="I254" i="32"/>
  <c r="M254" i="32" s="1"/>
  <c r="J253" i="32"/>
  <c r="K253" i="32" s="1"/>
  <c r="I253" i="32"/>
  <c r="M253" i="32" s="1"/>
  <c r="K252" i="32"/>
  <c r="J252" i="32"/>
  <c r="I252" i="32"/>
  <c r="M252" i="32" s="1"/>
  <c r="M251" i="32"/>
  <c r="J251" i="32"/>
  <c r="K251" i="32" s="1"/>
  <c r="I251" i="32"/>
  <c r="K250" i="32"/>
  <c r="J250" i="32"/>
  <c r="I250" i="32"/>
  <c r="M250" i="32" s="1"/>
  <c r="M249" i="32"/>
  <c r="J249" i="32"/>
  <c r="K249" i="32" s="1"/>
  <c r="I249" i="32"/>
  <c r="K248" i="32"/>
  <c r="J248" i="32"/>
  <c r="I248" i="32"/>
  <c r="M248" i="32" s="1"/>
  <c r="J247" i="32"/>
  <c r="K247" i="32" s="1"/>
  <c r="I247" i="32"/>
  <c r="M247" i="32" s="1"/>
  <c r="K246" i="32"/>
  <c r="J246" i="32"/>
  <c r="I246" i="32"/>
  <c r="M246" i="32" s="1"/>
  <c r="J245" i="32"/>
  <c r="K245" i="32" s="1"/>
  <c r="I245" i="32"/>
  <c r="M245" i="32" s="1"/>
  <c r="K244" i="32"/>
  <c r="J244" i="32"/>
  <c r="I244" i="32"/>
  <c r="M244" i="32" s="1"/>
  <c r="M243" i="32"/>
  <c r="J243" i="32"/>
  <c r="K243" i="32" s="1"/>
  <c r="I243" i="32"/>
  <c r="J242" i="32"/>
  <c r="K242" i="32" s="1"/>
  <c r="I242" i="32"/>
  <c r="M242" i="32" s="1"/>
  <c r="J241" i="32"/>
  <c r="K241" i="32" s="1"/>
  <c r="I241" i="32"/>
  <c r="M241" i="32" s="1"/>
  <c r="J240" i="32"/>
  <c r="K240" i="32" s="1"/>
  <c r="I240" i="32"/>
  <c r="M240" i="32" s="1"/>
  <c r="J239" i="32"/>
  <c r="K239" i="32" s="1"/>
  <c r="I239" i="32"/>
  <c r="M239" i="32" s="1"/>
  <c r="J238" i="32"/>
  <c r="K238" i="32" s="1"/>
  <c r="I238" i="32"/>
  <c r="M238" i="32" s="1"/>
  <c r="M237" i="32"/>
  <c r="J237" i="32"/>
  <c r="K237" i="32" s="1"/>
  <c r="I237" i="32"/>
  <c r="J236" i="32"/>
  <c r="K236" i="32" s="1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M231" i="32"/>
  <c r="J231" i="32"/>
  <c r="K231" i="32" s="1"/>
  <c r="I231" i="32"/>
  <c r="J230" i="32"/>
  <c r="K230" i="32" s="1"/>
  <c r="I230" i="32"/>
  <c r="M230" i="32" s="1"/>
  <c r="M229" i="32"/>
  <c r="J229" i="32"/>
  <c r="K229" i="32" s="1"/>
  <c r="I229" i="32"/>
  <c r="J228" i="32"/>
  <c r="K228" i="32" s="1"/>
  <c r="I228" i="32"/>
  <c r="M228" i="32" s="1"/>
  <c r="J227" i="32"/>
  <c r="K227" i="32" s="1"/>
  <c r="I227" i="32"/>
  <c r="M227" i="32" s="1"/>
  <c r="J226" i="32"/>
  <c r="K226" i="32" s="1"/>
  <c r="I226" i="32"/>
  <c r="M226" i="32" s="1"/>
  <c r="M225" i="32"/>
  <c r="J225" i="32"/>
  <c r="K225" i="32" s="1"/>
  <c r="I225" i="32"/>
  <c r="J224" i="32"/>
  <c r="K224" i="32" s="1"/>
  <c r="I224" i="32"/>
  <c r="M224" i="32" s="1"/>
  <c r="M223" i="32"/>
  <c r="J223" i="32"/>
  <c r="K223" i="32" s="1"/>
  <c r="I223" i="32"/>
  <c r="J222" i="32"/>
  <c r="K222" i="32" s="1"/>
  <c r="I222" i="32"/>
  <c r="M222" i="32" s="1"/>
  <c r="K221" i="32"/>
  <c r="J221" i="32"/>
  <c r="I221" i="32"/>
  <c r="M221" i="32" s="1"/>
  <c r="J220" i="32"/>
  <c r="K220" i="32" s="1"/>
  <c r="I220" i="32"/>
  <c r="M220" i="32" s="1"/>
  <c r="M219" i="32"/>
  <c r="J219" i="32"/>
  <c r="K219" i="32" s="1"/>
  <c r="I219" i="32"/>
  <c r="J218" i="32"/>
  <c r="K218" i="32" s="1"/>
  <c r="I218" i="32"/>
  <c r="M218" i="32" s="1"/>
  <c r="M217" i="32"/>
  <c r="J217" i="32"/>
  <c r="K217" i="32" s="1"/>
  <c r="I217" i="32"/>
  <c r="J216" i="32"/>
  <c r="K216" i="32" s="1"/>
  <c r="I216" i="32"/>
  <c r="M216" i="32" s="1"/>
  <c r="M215" i="32"/>
  <c r="J215" i="32"/>
  <c r="K215" i="32" s="1"/>
  <c r="I215" i="32"/>
  <c r="J214" i="32"/>
  <c r="K214" i="32" s="1"/>
  <c r="I214" i="32"/>
  <c r="M214" i="32" s="1"/>
  <c r="M213" i="32"/>
  <c r="J213" i="32"/>
  <c r="K213" i="32" s="1"/>
  <c r="I213" i="32"/>
  <c r="J212" i="32"/>
  <c r="K212" i="32" s="1"/>
  <c r="I212" i="32"/>
  <c r="M212" i="32" s="1"/>
  <c r="M211" i="32"/>
  <c r="J211" i="32"/>
  <c r="K211" i="32" s="1"/>
  <c r="I211" i="32"/>
  <c r="J210" i="32"/>
  <c r="K210" i="32" s="1"/>
  <c r="I210" i="32"/>
  <c r="M210" i="32" s="1"/>
  <c r="M209" i="32"/>
  <c r="J209" i="32"/>
  <c r="K209" i="32" s="1"/>
  <c r="I209" i="32"/>
  <c r="J208" i="32"/>
  <c r="K208" i="32" s="1"/>
  <c r="I208" i="32"/>
  <c r="M208" i="32" s="1"/>
  <c r="J207" i="32"/>
  <c r="K207" i="32" s="1"/>
  <c r="I207" i="32"/>
  <c r="M207" i="32" s="1"/>
  <c r="J206" i="32"/>
  <c r="K206" i="32" s="1"/>
  <c r="I206" i="32"/>
  <c r="M206" i="32" s="1"/>
  <c r="K205" i="32"/>
  <c r="J205" i="32"/>
  <c r="I205" i="32"/>
  <c r="M205" i="32" s="1"/>
  <c r="J204" i="32"/>
  <c r="K204" i="32" s="1"/>
  <c r="I204" i="32"/>
  <c r="M204" i="32" s="1"/>
  <c r="M203" i="32"/>
  <c r="J203" i="32"/>
  <c r="K203" i="32" s="1"/>
  <c r="I203" i="32"/>
  <c r="J202" i="32"/>
  <c r="K202" i="32" s="1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J198" i="32"/>
  <c r="K198" i="32" s="1"/>
  <c r="I198" i="32"/>
  <c r="M198" i="32" s="1"/>
  <c r="M197" i="32"/>
  <c r="J197" i="32"/>
  <c r="K197" i="32" s="1"/>
  <c r="I197" i="32"/>
  <c r="J196" i="32"/>
  <c r="K196" i="32" s="1"/>
  <c r="I196" i="32"/>
  <c r="M196" i="32" s="1"/>
  <c r="J195" i="32"/>
  <c r="K195" i="32" s="1"/>
  <c r="I195" i="32"/>
  <c r="M195" i="32" s="1"/>
  <c r="J194" i="32"/>
  <c r="K194" i="32" s="1"/>
  <c r="I194" i="32"/>
  <c r="M194" i="32" s="1"/>
  <c r="J193" i="32"/>
  <c r="K193" i="32" s="1"/>
  <c r="I193" i="32"/>
  <c r="M193" i="32" s="1"/>
  <c r="J192" i="32"/>
  <c r="K192" i="32" s="1"/>
  <c r="I192" i="32"/>
  <c r="M192" i="32" s="1"/>
  <c r="M191" i="32"/>
  <c r="J191" i="32"/>
  <c r="K191" i="32" s="1"/>
  <c r="I191" i="32"/>
  <c r="J190" i="32"/>
  <c r="K190" i="32" s="1"/>
  <c r="I190" i="32"/>
  <c r="M190" i="32" s="1"/>
  <c r="M189" i="32"/>
  <c r="J189" i="32"/>
  <c r="K189" i="32" s="1"/>
  <c r="I189" i="32"/>
  <c r="J188" i="32"/>
  <c r="K188" i="32" s="1"/>
  <c r="I188" i="32"/>
  <c r="M188" i="32" s="1"/>
  <c r="M187" i="32"/>
  <c r="J187" i="32"/>
  <c r="K187" i="32" s="1"/>
  <c r="I187" i="32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J182" i="32"/>
  <c r="K182" i="32" s="1"/>
  <c r="I182" i="32"/>
  <c r="M182" i="32" s="1"/>
  <c r="M181" i="32"/>
  <c r="J181" i="32"/>
  <c r="K181" i="32" s="1"/>
  <c r="I181" i="32"/>
  <c r="J180" i="32"/>
  <c r="K180" i="32" s="1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J176" i="32"/>
  <c r="K176" i="32" s="1"/>
  <c r="I176" i="32"/>
  <c r="M176" i="32" s="1"/>
  <c r="M175" i="32"/>
  <c r="J175" i="32"/>
  <c r="K175" i="32" s="1"/>
  <c r="I175" i="32"/>
  <c r="J174" i="32"/>
  <c r="K174" i="32" s="1"/>
  <c r="I174" i="32"/>
  <c r="M174" i="32" s="1"/>
  <c r="M173" i="32"/>
  <c r="J173" i="32"/>
  <c r="K173" i="32" s="1"/>
  <c r="I173" i="32"/>
  <c r="J172" i="32"/>
  <c r="K172" i="32" s="1"/>
  <c r="I172" i="32"/>
  <c r="M172" i="32" s="1"/>
  <c r="M171" i="32"/>
  <c r="J171" i="32"/>
  <c r="K171" i="32" s="1"/>
  <c r="I171" i="32"/>
  <c r="J170" i="32"/>
  <c r="K170" i="32" s="1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J166" i="32"/>
  <c r="K166" i="32" s="1"/>
  <c r="I166" i="32"/>
  <c r="M166" i="32" s="1"/>
  <c r="M165" i="32"/>
  <c r="J165" i="32"/>
  <c r="K165" i="32" s="1"/>
  <c r="I165" i="32"/>
  <c r="J164" i="32"/>
  <c r="K164" i="32" s="1"/>
  <c r="I164" i="32"/>
  <c r="M164" i="32" s="1"/>
  <c r="J163" i="32"/>
  <c r="K163" i="32" s="1"/>
  <c r="I163" i="32"/>
  <c r="M163" i="32" s="1"/>
  <c r="J162" i="32"/>
  <c r="K162" i="32" s="1"/>
  <c r="I162" i="32"/>
  <c r="M162" i="32" s="1"/>
  <c r="J161" i="32"/>
  <c r="K161" i="32" s="1"/>
  <c r="I161" i="32"/>
  <c r="M161" i="32" s="1"/>
  <c r="J160" i="32"/>
  <c r="K160" i="32" s="1"/>
  <c r="I160" i="32"/>
  <c r="M160" i="32" s="1"/>
  <c r="M159" i="32"/>
  <c r="J159" i="32"/>
  <c r="K159" i="32" s="1"/>
  <c r="I159" i="32"/>
  <c r="J158" i="32"/>
  <c r="K158" i="32" s="1"/>
  <c r="I158" i="32"/>
  <c r="M158" i="32" s="1"/>
  <c r="M157" i="32"/>
  <c r="J157" i="32"/>
  <c r="K157" i="32" s="1"/>
  <c r="I157" i="32"/>
  <c r="J156" i="32"/>
  <c r="K156" i="32" s="1"/>
  <c r="I156" i="32"/>
  <c r="M156" i="32" s="1"/>
  <c r="M155" i="32"/>
  <c r="J155" i="32"/>
  <c r="K155" i="32" s="1"/>
  <c r="I155" i="32"/>
  <c r="J154" i="32"/>
  <c r="K154" i="32" s="1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J150" i="32"/>
  <c r="K150" i="32" s="1"/>
  <c r="I150" i="32"/>
  <c r="M150" i="32" s="1"/>
  <c r="M149" i="32"/>
  <c r="J149" i="32"/>
  <c r="K149" i="32" s="1"/>
  <c r="I149" i="32"/>
  <c r="J148" i="32"/>
  <c r="K148" i="32" s="1"/>
  <c r="I148" i="32"/>
  <c r="M148" i="32" s="1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J144" i="32"/>
  <c r="K144" i="32" s="1"/>
  <c r="I144" i="32"/>
  <c r="M144" i="32" s="1"/>
  <c r="M143" i="32"/>
  <c r="J143" i="32"/>
  <c r="K143" i="32" s="1"/>
  <c r="I143" i="32"/>
  <c r="J142" i="32"/>
  <c r="K142" i="32" s="1"/>
  <c r="I142" i="32"/>
  <c r="M142" i="32" s="1"/>
  <c r="M141" i="32"/>
  <c r="J141" i="32"/>
  <c r="K141" i="32" s="1"/>
  <c r="I141" i="32"/>
  <c r="J140" i="32"/>
  <c r="K140" i="32" s="1"/>
  <c r="I140" i="32"/>
  <c r="M140" i="32" s="1"/>
  <c r="M139" i="32"/>
  <c r="J139" i="32"/>
  <c r="K139" i="32" s="1"/>
  <c r="I139" i="32"/>
  <c r="J138" i="32"/>
  <c r="K138" i="32" s="1"/>
  <c r="I138" i="32"/>
  <c r="M138" i="32" s="1"/>
  <c r="J137" i="32"/>
  <c r="K137" i="32" s="1"/>
  <c r="I137" i="32"/>
  <c r="M137" i="32" s="1"/>
  <c r="J136" i="32"/>
  <c r="K136" i="32" s="1"/>
  <c r="I136" i="32"/>
  <c r="M136" i="32" s="1"/>
  <c r="J135" i="32"/>
  <c r="K135" i="32" s="1"/>
  <c r="I135" i="32"/>
  <c r="M135" i="32" s="1"/>
  <c r="J134" i="32"/>
  <c r="K134" i="32" s="1"/>
  <c r="I134" i="32"/>
  <c r="M134" i="32" s="1"/>
  <c r="M133" i="32"/>
  <c r="J133" i="32"/>
  <c r="K133" i="32" s="1"/>
  <c r="I133" i="32"/>
  <c r="J132" i="32"/>
  <c r="K132" i="32" s="1"/>
  <c r="I132" i="32"/>
  <c r="M132" i="32" s="1"/>
  <c r="J131" i="32"/>
  <c r="K131" i="32" s="1"/>
  <c r="I131" i="32"/>
  <c r="M131" i="32" s="1"/>
  <c r="J130" i="32"/>
  <c r="K130" i="32" s="1"/>
  <c r="I130" i="32"/>
  <c r="M130" i="32" s="1"/>
  <c r="J129" i="32"/>
  <c r="K129" i="32" s="1"/>
  <c r="I129" i="32"/>
  <c r="M129" i="32" s="1"/>
  <c r="J128" i="32"/>
  <c r="K128" i="32" s="1"/>
  <c r="I128" i="32"/>
  <c r="M128" i="32" s="1"/>
  <c r="M127" i="32"/>
  <c r="J127" i="32"/>
  <c r="K127" i="32" s="1"/>
  <c r="I127" i="32"/>
  <c r="J126" i="32"/>
  <c r="K126" i="32" s="1"/>
  <c r="I126" i="32"/>
  <c r="M126" i="32" s="1"/>
  <c r="M125" i="32"/>
  <c r="J125" i="32"/>
  <c r="K125" i="32" s="1"/>
  <c r="I125" i="32"/>
  <c r="J124" i="32"/>
  <c r="K124" i="32" s="1"/>
  <c r="I124" i="32"/>
  <c r="M124" i="32" s="1"/>
  <c r="M123" i="32"/>
  <c r="J123" i="32"/>
  <c r="K123" i="32" s="1"/>
  <c r="I123" i="32"/>
  <c r="J122" i="32"/>
  <c r="K122" i="32" s="1"/>
  <c r="I122" i="32"/>
  <c r="M122" i="32" s="1"/>
  <c r="J121" i="32"/>
  <c r="K121" i="32" s="1"/>
  <c r="I121" i="32"/>
  <c r="M121" i="32" s="1"/>
  <c r="J120" i="32"/>
  <c r="K120" i="32" s="1"/>
  <c r="I120" i="32"/>
  <c r="M120" i="32" s="1"/>
  <c r="J119" i="32"/>
  <c r="K119" i="32" s="1"/>
  <c r="I119" i="32"/>
  <c r="M119" i="32" s="1"/>
  <c r="J118" i="32"/>
  <c r="K118" i="32" s="1"/>
  <c r="I118" i="32"/>
  <c r="M118" i="32" s="1"/>
  <c r="M117" i="32"/>
  <c r="J117" i="32"/>
  <c r="K117" i="32" s="1"/>
  <c r="I117" i="32"/>
  <c r="J116" i="32"/>
  <c r="K116" i="32" s="1"/>
  <c r="I116" i="32"/>
  <c r="M116" i="32" s="1"/>
  <c r="J115" i="32"/>
  <c r="K115" i="32" s="1"/>
  <c r="I115" i="32"/>
  <c r="M115" i="32" s="1"/>
  <c r="J114" i="32"/>
  <c r="K114" i="32" s="1"/>
  <c r="I114" i="32"/>
  <c r="M114" i="32" s="1"/>
  <c r="J113" i="32"/>
  <c r="K113" i="32" s="1"/>
  <c r="I113" i="32"/>
  <c r="M113" i="32" s="1"/>
  <c r="J112" i="32"/>
  <c r="K112" i="32" s="1"/>
  <c r="I112" i="32"/>
  <c r="M112" i="32" s="1"/>
  <c r="M111" i="32"/>
  <c r="J111" i="32"/>
  <c r="K111" i="32" s="1"/>
  <c r="I111" i="32"/>
  <c r="J110" i="32"/>
  <c r="K110" i="32" s="1"/>
  <c r="I110" i="32"/>
  <c r="M110" i="32" s="1"/>
  <c r="M109" i="32"/>
  <c r="J109" i="32"/>
  <c r="K109" i="32" s="1"/>
  <c r="I109" i="32"/>
  <c r="J108" i="32"/>
  <c r="K108" i="32" s="1"/>
  <c r="I108" i="32"/>
  <c r="M108" i="32" s="1"/>
  <c r="M107" i="32"/>
  <c r="J107" i="32"/>
  <c r="K107" i="32" s="1"/>
  <c r="I107" i="32"/>
  <c r="J106" i="32"/>
  <c r="K106" i="32" s="1"/>
  <c r="I106" i="32"/>
  <c r="M106" i="32" s="1"/>
  <c r="J105" i="32"/>
  <c r="K105" i="32" s="1"/>
  <c r="I105" i="32"/>
  <c r="M105" i="32" s="1"/>
  <c r="J104" i="32"/>
  <c r="K104" i="32" s="1"/>
  <c r="I104" i="32"/>
  <c r="M104" i="32" s="1"/>
  <c r="J103" i="32"/>
  <c r="K103" i="32" s="1"/>
  <c r="I103" i="32"/>
  <c r="M103" i="32" s="1"/>
  <c r="J102" i="32"/>
  <c r="K102" i="32" s="1"/>
  <c r="I102" i="32"/>
  <c r="M102" i="32" s="1"/>
  <c r="M101" i="32"/>
  <c r="J101" i="32"/>
  <c r="K101" i="32" s="1"/>
  <c r="I101" i="32"/>
  <c r="J100" i="32"/>
  <c r="K100" i="32" s="1"/>
  <c r="I100" i="32"/>
  <c r="M100" i="32" s="1"/>
  <c r="J99" i="32"/>
  <c r="K99" i="32" s="1"/>
  <c r="I99" i="32"/>
  <c r="M99" i="32" s="1"/>
  <c r="J98" i="32"/>
  <c r="K98" i="32" s="1"/>
  <c r="I98" i="32"/>
  <c r="M98" i="32" s="1"/>
  <c r="J97" i="32"/>
  <c r="K97" i="32" s="1"/>
  <c r="I97" i="32"/>
  <c r="M97" i="32" s="1"/>
  <c r="J96" i="32"/>
  <c r="K96" i="32" s="1"/>
  <c r="I96" i="32"/>
  <c r="M96" i="32" s="1"/>
  <c r="M95" i="32"/>
  <c r="J95" i="32"/>
  <c r="K95" i="32" s="1"/>
  <c r="I95" i="32"/>
  <c r="J94" i="32"/>
  <c r="K94" i="32" s="1"/>
  <c r="I94" i="32"/>
  <c r="M94" i="32" s="1"/>
  <c r="M93" i="32"/>
  <c r="J93" i="32"/>
  <c r="K93" i="32" s="1"/>
  <c r="I93" i="32"/>
  <c r="J92" i="32"/>
  <c r="K92" i="32" s="1"/>
  <c r="I92" i="32"/>
  <c r="M92" i="32" s="1"/>
  <c r="M91" i="32"/>
  <c r="J91" i="32"/>
  <c r="K91" i="32" s="1"/>
  <c r="I91" i="32"/>
  <c r="J90" i="32"/>
  <c r="K90" i="32" s="1"/>
  <c r="I90" i="32"/>
  <c r="M90" i="32" s="1"/>
  <c r="J89" i="32"/>
  <c r="K89" i="32" s="1"/>
  <c r="I89" i="32"/>
  <c r="M89" i="32" s="1"/>
  <c r="J88" i="32"/>
  <c r="K88" i="32" s="1"/>
  <c r="I88" i="32"/>
  <c r="M88" i="32" s="1"/>
  <c r="J87" i="32"/>
  <c r="K87" i="32" s="1"/>
  <c r="I87" i="32"/>
  <c r="M87" i="32" s="1"/>
  <c r="J86" i="32"/>
  <c r="K86" i="32" s="1"/>
  <c r="I86" i="32"/>
  <c r="M86" i="32" s="1"/>
  <c r="M85" i="32"/>
  <c r="J85" i="32"/>
  <c r="K85" i="32" s="1"/>
  <c r="I85" i="32"/>
  <c r="J84" i="32"/>
  <c r="K84" i="32" s="1"/>
  <c r="I84" i="32"/>
  <c r="M84" i="32" s="1"/>
  <c r="J83" i="32"/>
  <c r="K83" i="32" s="1"/>
  <c r="I83" i="32"/>
  <c r="M83" i="32" s="1"/>
  <c r="J82" i="32"/>
  <c r="K82" i="32" s="1"/>
  <c r="I82" i="32"/>
  <c r="M82" i="32" s="1"/>
  <c r="J81" i="32"/>
  <c r="K81" i="32" s="1"/>
  <c r="I81" i="32"/>
  <c r="M81" i="32" s="1"/>
  <c r="J80" i="32"/>
  <c r="K80" i="32" s="1"/>
  <c r="I80" i="32"/>
  <c r="M80" i="32" s="1"/>
  <c r="M79" i="32"/>
  <c r="J79" i="32"/>
  <c r="K79" i="32" s="1"/>
  <c r="I79" i="32"/>
  <c r="J78" i="32"/>
  <c r="K78" i="32" s="1"/>
  <c r="I78" i="32"/>
  <c r="M78" i="32" s="1"/>
  <c r="M77" i="32"/>
  <c r="J77" i="32"/>
  <c r="K77" i="32" s="1"/>
  <c r="I77" i="32"/>
  <c r="J76" i="32"/>
  <c r="K76" i="32" s="1"/>
  <c r="I76" i="32"/>
  <c r="M76" i="32" s="1"/>
  <c r="M75" i="32"/>
  <c r="J75" i="32"/>
  <c r="K75" i="32" s="1"/>
  <c r="I75" i="32"/>
  <c r="J74" i="32"/>
  <c r="K74" i="32" s="1"/>
  <c r="I74" i="32"/>
  <c r="M74" i="32" s="1"/>
  <c r="J73" i="32"/>
  <c r="K73" i="32" s="1"/>
  <c r="I73" i="32"/>
  <c r="M73" i="32" s="1"/>
  <c r="J72" i="32"/>
  <c r="K72" i="32" s="1"/>
  <c r="I72" i="32"/>
  <c r="M72" i="32" s="1"/>
  <c r="J71" i="32"/>
  <c r="K71" i="32" s="1"/>
  <c r="I71" i="32"/>
  <c r="M71" i="32" s="1"/>
  <c r="J70" i="32"/>
  <c r="K70" i="32" s="1"/>
  <c r="I70" i="32"/>
  <c r="M70" i="32" s="1"/>
  <c r="M69" i="32"/>
  <c r="J69" i="32"/>
  <c r="K69" i="32" s="1"/>
  <c r="I69" i="32"/>
  <c r="J68" i="32"/>
  <c r="K68" i="32" s="1"/>
  <c r="I68" i="32"/>
  <c r="M68" i="32" s="1"/>
  <c r="J67" i="32"/>
  <c r="K67" i="32" s="1"/>
  <c r="I67" i="32"/>
  <c r="M67" i="32" s="1"/>
  <c r="J66" i="32"/>
  <c r="K66" i="32" s="1"/>
  <c r="I66" i="32"/>
  <c r="M66" i="32" s="1"/>
  <c r="J65" i="32"/>
  <c r="K65" i="32" s="1"/>
  <c r="I65" i="32"/>
  <c r="M65" i="32" s="1"/>
  <c r="B65" i="32"/>
  <c r="J64" i="32"/>
  <c r="K64" i="32" s="1"/>
  <c r="I64" i="32"/>
  <c r="M64" i="32" s="1"/>
  <c r="B64" i="32"/>
  <c r="K63" i="32"/>
  <c r="J63" i="32"/>
  <c r="I63" i="32"/>
  <c r="M63" i="32" s="1"/>
  <c r="B63" i="32"/>
  <c r="J62" i="32"/>
  <c r="K62" i="32" s="1"/>
  <c r="I62" i="32"/>
  <c r="M62" i="32" s="1"/>
  <c r="B62" i="32"/>
  <c r="J61" i="32"/>
  <c r="K61" i="32" s="1"/>
  <c r="I61" i="32"/>
  <c r="M61" i="32" s="1"/>
  <c r="B61" i="32"/>
  <c r="M60" i="32"/>
  <c r="J60" i="32"/>
  <c r="K60" i="32" s="1"/>
  <c r="I60" i="32"/>
  <c r="B60" i="32"/>
  <c r="J59" i="32"/>
  <c r="K59" i="32" s="1"/>
  <c r="I59" i="32"/>
  <c r="M59" i="32" s="1"/>
  <c r="B59" i="32"/>
  <c r="J58" i="32"/>
  <c r="K58" i="32" s="1"/>
  <c r="I58" i="32"/>
  <c r="M58" i="32" s="1"/>
  <c r="B58" i="32"/>
  <c r="M57" i="32"/>
  <c r="J57" i="32"/>
  <c r="K57" i="32" s="1"/>
  <c r="I57" i="32"/>
  <c r="B57" i="32"/>
  <c r="J56" i="32"/>
  <c r="K56" i="32" s="1"/>
  <c r="I56" i="32"/>
  <c r="M56" i="32" s="1"/>
  <c r="A56" i="32" s="1"/>
  <c r="B56" i="32"/>
  <c r="J55" i="32"/>
  <c r="K55" i="32" s="1"/>
  <c r="M55" i="32" s="1"/>
  <c r="A55" i="32" s="1"/>
  <c r="I55" i="32"/>
  <c r="B55" i="32"/>
  <c r="J54" i="32"/>
  <c r="K54" i="32" s="1"/>
  <c r="I54" i="32"/>
  <c r="M54" i="32" s="1"/>
  <c r="A54" i="32" s="1"/>
  <c r="B54" i="32"/>
  <c r="J53" i="32"/>
  <c r="K53" i="32" s="1"/>
  <c r="I53" i="32"/>
  <c r="B53" i="32"/>
  <c r="K52" i="32"/>
  <c r="J52" i="32"/>
  <c r="I52" i="32"/>
  <c r="M52" i="32" s="1"/>
  <c r="A52" i="32" s="1"/>
  <c r="B52" i="32"/>
  <c r="J51" i="32"/>
  <c r="K51" i="32" s="1"/>
  <c r="I51" i="32"/>
  <c r="B51" i="32"/>
  <c r="J50" i="32"/>
  <c r="K50" i="32" s="1"/>
  <c r="I50" i="32"/>
  <c r="M50" i="32" s="1"/>
  <c r="A50" i="32" s="1"/>
  <c r="B50" i="32"/>
  <c r="J49" i="32"/>
  <c r="K49" i="32" s="1"/>
  <c r="I49" i="32"/>
  <c r="M49" i="32" s="1"/>
  <c r="A49" i="32" s="1"/>
  <c r="B49" i="32"/>
  <c r="J48" i="32"/>
  <c r="K48" i="32" s="1"/>
  <c r="I48" i="32"/>
  <c r="B48" i="32"/>
  <c r="K47" i="32"/>
  <c r="J47" i="32"/>
  <c r="I47" i="32"/>
  <c r="M47" i="32" s="1"/>
  <c r="A47" i="32" s="1"/>
  <c r="B47" i="32"/>
  <c r="J46" i="32"/>
  <c r="K46" i="32" s="1"/>
  <c r="M46" i="32" s="1"/>
  <c r="A46" i="32" s="1"/>
  <c r="I46" i="32"/>
  <c r="B46" i="32"/>
  <c r="K45" i="32"/>
  <c r="M45" i="32" s="1"/>
  <c r="A45" i="32" s="1"/>
  <c r="J45" i="32"/>
  <c r="I45" i="32"/>
  <c r="B45" i="32"/>
  <c r="J44" i="32"/>
  <c r="K44" i="32" s="1"/>
  <c r="I44" i="32"/>
  <c r="B44" i="32"/>
  <c r="K43" i="32"/>
  <c r="M43" i="32" s="1"/>
  <c r="A43" i="32" s="1"/>
  <c r="J43" i="32"/>
  <c r="I43" i="32"/>
  <c r="B43" i="32"/>
  <c r="K42" i="32"/>
  <c r="J42" i="32"/>
  <c r="I42" i="32"/>
  <c r="B42" i="32"/>
  <c r="J41" i="32"/>
  <c r="K41" i="32" s="1"/>
  <c r="I41" i="32"/>
  <c r="B41" i="32"/>
  <c r="K40" i="32"/>
  <c r="J40" i="32"/>
  <c r="I40" i="32"/>
  <c r="M40" i="32" s="1"/>
  <c r="A40" i="32" s="1"/>
  <c r="B40" i="32"/>
  <c r="J39" i="32"/>
  <c r="K39" i="32" s="1"/>
  <c r="I39" i="32"/>
  <c r="B39" i="32"/>
  <c r="K38" i="32"/>
  <c r="J38" i="32"/>
  <c r="I38" i="32"/>
  <c r="M38" i="32" s="1"/>
  <c r="A38" i="32" s="1"/>
  <c r="B38" i="32"/>
  <c r="M37" i="32"/>
  <c r="A37" i="32" s="1"/>
  <c r="J37" i="32"/>
  <c r="K37" i="32" s="1"/>
  <c r="I37" i="32"/>
  <c r="B37" i="32"/>
  <c r="J36" i="32"/>
  <c r="K36" i="32" s="1"/>
  <c r="I36" i="32"/>
  <c r="B36" i="32"/>
  <c r="J35" i="32"/>
  <c r="K35" i="32" s="1"/>
  <c r="I35" i="32"/>
  <c r="B35" i="32"/>
  <c r="K34" i="32"/>
  <c r="J34" i="32"/>
  <c r="I34" i="32"/>
  <c r="M34" i="32" s="1"/>
  <c r="A34" i="32" s="1"/>
  <c r="B34" i="32"/>
  <c r="M33" i="32"/>
  <c r="A33" i="32" s="1"/>
  <c r="J33" i="32"/>
  <c r="K33" i="32" s="1"/>
  <c r="I33" i="32"/>
  <c r="B33" i="32"/>
  <c r="J32" i="32"/>
  <c r="K32" i="32" s="1"/>
  <c r="I32" i="32"/>
  <c r="B32" i="32"/>
  <c r="J31" i="32"/>
  <c r="K31" i="32" s="1"/>
  <c r="I31" i="32"/>
  <c r="M31" i="32" s="1"/>
  <c r="A31" i="32" s="1"/>
  <c r="B31" i="32"/>
  <c r="J30" i="32"/>
  <c r="K30" i="32" s="1"/>
  <c r="M30" i="32" s="1"/>
  <c r="A30" i="32" s="1"/>
  <c r="I30" i="32"/>
  <c r="B30" i="32"/>
  <c r="J29" i="32"/>
  <c r="K29" i="32" s="1"/>
  <c r="I29" i="32"/>
  <c r="M29" i="32" s="1"/>
  <c r="A29" i="32" s="1"/>
  <c r="B29" i="32"/>
  <c r="J28" i="32"/>
  <c r="K28" i="32" s="1"/>
  <c r="I28" i="32"/>
  <c r="B28" i="32"/>
  <c r="J27" i="32"/>
  <c r="K27" i="32" s="1"/>
  <c r="I27" i="32"/>
  <c r="M27" i="32" s="1"/>
  <c r="B27" i="32"/>
  <c r="A27" i="32"/>
  <c r="K26" i="32"/>
  <c r="J26" i="32"/>
  <c r="I26" i="32"/>
  <c r="M26" i="32" s="1"/>
  <c r="A26" i="32" s="1"/>
  <c r="B26" i="32"/>
  <c r="J25" i="32"/>
  <c r="K25" i="32" s="1"/>
  <c r="I25" i="32"/>
  <c r="B25" i="32"/>
  <c r="J24" i="32"/>
  <c r="K24" i="32" s="1"/>
  <c r="I24" i="32"/>
  <c r="M24" i="32" s="1"/>
  <c r="A24" i="32" s="1"/>
  <c r="B24" i="32"/>
  <c r="J23" i="32"/>
  <c r="K23" i="32" s="1"/>
  <c r="I23" i="32"/>
  <c r="B23" i="32"/>
  <c r="K22" i="32"/>
  <c r="M22" i="32" s="1"/>
  <c r="A22" i="32" s="1"/>
  <c r="J22" i="32"/>
  <c r="I22" i="32"/>
  <c r="B22" i="32"/>
  <c r="M21" i="32"/>
  <c r="A21" i="32" s="1"/>
  <c r="J21" i="32"/>
  <c r="K21" i="32" s="1"/>
  <c r="I21" i="32"/>
  <c r="B21" i="32"/>
  <c r="J20" i="32"/>
  <c r="K20" i="32" s="1"/>
  <c r="I20" i="32"/>
  <c r="B20" i="32"/>
  <c r="J19" i="32"/>
  <c r="K19" i="32" s="1"/>
  <c r="I19" i="32"/>
  <c r="B19" i="32"/>
  <c r="K18" i="32"/>
  <c r="M18" i="32" s="1"/>
  <c r="A18" i="32" s="1"/>
  <c r="J18" i="32"/>
  <c r="I18" i="32"/>
  <c r="B18" i="32"/>
  <c r="M17" i="32"/>
  <c r="A17" i="32" s="1"/>
  <c r="J17" i="32"/>
  <c r="K17" i="32" s="1"/>
  <c r="I17" i="32"/>
  <c r="B17" i="32"/>
  <c r="J16" i="32"/>
  <c r="K16" i="32" s="1"/>
  <c r="I16" i="32"/>
  <c r="B16" i="32"/>
  <c r="J15" i="32"/>
  <c r="K15" i="32" s="1"/>
  <c r="I15" i="32"/>
  <c r="M15" i="32" s="1"/>
  <c r="A15" i="32" s="1"/>
  <c r="B15" i="32"/>
  <c r="AI14" i="32"/>
  <c r="J14" i="32"/>
  <c r="K14" i="32" s="1"/>
  <c r="I14" i="32"/>
  <c r="M14" i="32" s="1"/>
  <c r="A14" i="32" s="1"/>
  <c r="B14" i="32"/>
  <c r="AI13" i="32"/>
  <c r="K13" i="32"/>
  <c r="J13" i="32"/>
  <c r="I13" i="32"/>
  <c r="M13" i="32" s="1"/>
  <c r="A13" i="32" s="1"/>
  <c r="B13" i="32"/>
  <c r="AI12" i="32"/>
  <c r="J12" i="32"/>
  <c r="K12" i="32" s="1"/>
  <c r="M12" i="32" s="1"/>
  <c r="A12" i="32" s="1"/>
  <c r="I12" i="32"/>
  <c r="B12" i="32"/>
  <c r="J11" i="32"/>
  <c r="K11" i="32" s="1"/>
  <c r="I11" i="32"/>
  <c r="B11" i="32"/>
  <c r="J10" i="32"/>
  <c r="K10" i="32" s="1"/>
  <c r="I10" i="32"/>
  <c r="M10" i="32" s="1"/>
  <c r="A10" i="32" s="1"/>
  <c r="B10" i="32"/>
  <c r="J9" i="32"/>
  <c r="K9" i="32" s="1"/>
  <c r="I9" i="32"/>
  <c r="B9" i="32"/>
  <c r="J8" i="32"/>
  <c r="K8" i="32" s="1"/>
  <c r="I8" i="32"/>
  <c r="B8" i="32"/>
  <c r="K7" i="32"/>
  <c r="J7" i="32"/>
  <c r="I7" i="32"/>
  <c r="B7" i="32"/>
  <c r="K6" i="32"/>
  <c r="J6" i="32"/>
  <c r="I6" i="32"/>
  <c r="B6" i="32"/>
  <c r="K2" i="32"/>
  <c r="AL25" i="31"/>
  <c r="AM25" i="31" s="1"/>
  <c r="AF25" i="31"/>
  <c r="AG25" i="31" s="1"/>
  <c r="AB25" i="31"/>
  <c r="AC25" i="31" s="1"/>
  <c r="X25" i="31"/>
  <c r="Y25" i="31" s="1"/>
  <c r="A25" i="31"/>
  <c r="AL14" i="31"/>
  <c r="AM14" i="31" s="1"/>
  <c r="AF14" i="31"/>
  <c r="AG14" i="31" s="1"/>
  <c r="AB14" i="31"/>
  <c r="AC14" i="31" s="1"/>
  <c r="X14" i="31"/>
  <c r="Y14" i="31" s="1"/>
  <c r="A14" i="31"/>
  <c r="AL28" i="31"/>
  <c r="AM28" i="31" s="1"/>
  <c r="AF28" i="31"/>
  <c r="AG28" i="31" s="1"/>
  <c r="AB28" i="31"/>
  <c r="AC28" i="31" s="1"/>
  <c r="Z28" i="31"/>
  <c r="AA28" i="31" s="1"/>
  <c r="X28" i="31"/>
  <c r="Y28" i="31" s="1"/>
  <c r="A28" i="31"/>
  <c r="AL15" i="31"/>
  <c r="AM15" i="31" s="1"/>
  <c r="AF15" i="31"/>
  <c r="AG15" i="31" s="1"/>
  <c r="AB15" i="31"/>
  <c r="AC15" i="31" s="1"/>
  <c r="Z15" i="31"/>
  <c r="AA15" i="31" s="1"/>
  <c r="X15" i="31"/>
  <c r="Y15" i="31" s="1"/>
  <c r="A15" i="31"/>
  <c r="AL27" i="31"/>
  <c r="AM27" i="31" s="1"/>
  <c r="AH27" i="31"/>
  <c r="AI27" i="31" s="1"/>
  <c r="AF27" i="31"/>
  <c r="AG27" i="31" s="1"/>
  <c r="AB27" i="31"/>
  <c r="AC27" i="31" s="1"/>
  <c r="Z27" i="31"/>
  <c r="AA27" i="31" s="1"/>
  <c r="X27" i="31"/>
  <c r="Y27" i="31" s="1"/>
  <c r="A27" i="31"/>
  <c r="AL20" i="31"/>
  <c r="AM20" i="31" s="1"/>
  <c r="AH20" i="31"/>
  <c r="AI20" i="31" s="1"/>
  <c r="AF20" i="31"/>
  <c r="AG20" i="31" s="1"/>
  <c r="AB20" i="31"/>
  <c r="AC20" i="31" s="1"/>
  <c r="Z20" i="31"/>
  <c r="AA20" i="31" s="1"/>
  <c r="X20" i="31"/>
  <c r="Y20" i="31" s="1"/>
  <c r="A20" i="31"/>
  <c r="AL17" i="31"/>
  <c r="AM17" i="31" s="1"/>
  <c r="AH17" i="31"/>
  <c r="AI17" i="31" s="1"/>
  <c r="AF17" i="31"/>
  <c r="AG17" i="31" s="1"/>
  <c r="AB17" i="31"/>
  <c r="AC17" i="31" s="1"/>
  <c r="Z17" i="31"/>
  <c r="AA17" i="31" s="1"/>
  <c r="X17" i="31"/>
  <c r="Y17" i="31" s="1"/>
  <c r="A17" i="31"/>
  <c r="AL11" i="31"/>
  <c r="AM11" i="31" s="1"/>
  <c r="AH11" i="31"/>
  <c r="AI11" i="31" s="1"/>
  <c r="AF11" i="31"/>
  <c r="AG11" i="31" s="1"/>
  <c r="AB11" i="31"/>
  <c r="AC11" i="31" s="1"/>
  <c r="Z11" i="31"/>
  <c r="AA11" i="31" s="1"/>
  <c r="X11" i="31"/>
  <c r="Y11" i="31" s="1"/>
  <c r="A11" i="31"/>
  <c r="AL16" i="31"/>
  <c r="AM16" i="31" s="1"/>
  <c r="AH16" i="31"/>
  <c r="AI16" i="31" s="1"/>
  <c r="AF16" i="31"/>
  <c r="AG16" i="31" s="1"/>
  <c r="Z16" i="31"/>
  <c r="AA16" i="31" s="1"/>
  <c r="X16" i="31"/>
  <c r="Y16" i="31" s="1"/>
  <c r="A16" i="31"/>
  <c r="AL12" i="31"/>
  <c r="AM12" i="31" s="1"/>
  <c r="AH12" i="31"/>
  <c r="AI12" i="31" s="1"/>
  <c r="AF12" i="31"/>
  <c r="AG12" i="31" s="1"/>
  <c r="AB12" i="31"/>
  <c r="AC12" i="31" s="1"/>
  <c r="Z12" i="31"/>
  <c r="AA12" i="31" s="1"/>
  <c r="X12" i="31"/>
  <c r="Y12" i="31" s="1"/>
  <c r="A12" i="31"/>
  <c r="AL9" i="31"/>
  <c r="AM9" i="31" s="1"/>
  <c r="AH9" i="31"/>
  <c r="AI9" i="31" s="1"/>
  <c r="AF9" i="31"/>
  <c r="AG9" i="31" s="1"/>
  <c r="AB9" i="31"/>
  <c r="AC9" i="31" s="1"/>
  <c r="Z9" i="31"/>
  <c r="AA9" i="31" s="1"/>
  <c r="X9" i="31"/>
  <c r="Y9" i="31" s="1"/>
  <c r="A9" i="31"/>
  <c r="AH34" i="31"/>
  <c r="AI34" i="31" s="1"/>
  <c r="AF34" i="31"/>
  <c r="AG34" i="31" s="1"/>
  <c r="AB34" i="31"/>
  <c r="AC34" i="31" s="1"/>
  <c r="Z34" i="31"/>
  <c r="AA34" i="31" s="1"/>
  <c r="X34" i="31"/>
  <c r="Y34" i="31" s="1"/>
  <c r="A34" i="31"/>
  <c r="AL13" i="31"/>
  <c r="AM13" i="31" s="1"/>
  <c r="AF13" i="31"/>
  <c r="AG13" i="31" s="1"/>
  <c r="Z13" i="31"/>
  <c r="AA13" i="31" s="1"/>
  <c r="X13" i="31"/>
  <c r="Y13" i="31" s="1"/>
  <c r="A13" i="31"/>
  <c r="AL10" i="31"/>
  <c r="AM10" i="31" s="1"/>
  <c r="AH10" i="31"/>
  <c r="AI10" i="31" s="1"/>
  <c r="AF10" i="31"/>
  <c r="AG10" i="31" s="1"/>
  <c r="AB10" i="31"/>
  <c r="AC10" i="31" s="1"/>
  <c r="Z10" i="31"/>
  <c r="AA10" i="31" s="1"/>
  <c r="X10" i="31"/>
  <c r="Y10" i="31" s="1"/>
  <c r="A10" i="31"/>
  <c r="AF8" i="31"/>
  <c r="AG8" i="31" s="1"/>
  <c r="AB8" i="31"/>
  <c r="AC8" i="31" s="1"/>
  <c r="Z8" i="31"/>
  <c r="AA8" i="31" s="1"/>
  <c r="X8" i="31"/>
  <c r="Y8" i="31" s="1"/>
  <c r="A8" i="31"/>
  <c r="AL7" i="31"/>
  <c r="AM7" i="31" s="1"/>
  <c r="AF7" i="31"/>
  <c r="AG7" i="31" s="1"/>
  <c r="AB7" i="31"/>
  <c r="AC7" i="31" s="1"/>
  <c r="Z7" i="31"/>
  <c r="AA7" i="31" s="1"/>
  <c r="X7" i="31"/>
  <c r="Y7" i="31" s="1"/>
  <c r="A7" i="31"/>
  <c r="AL6" i="31"/>
  <c r="AM6" i="31" s="1"/>
  <c r="AF6" i="31"/>
  <c r="AG6" i="31" s="1"/>
  <c r="AB6" i="31"/>
  <c r="AC6" i="31" s="1"/>
  <c r="Z6" i="31"/>
  <c r="AA6" i="31" s="1"/>
  <c r="X6" i="31"/>
  <c r="Y6" i="31" s="1"/>
  <c r="A6" i="31"/>
  <c r="M16" i="47" l="1"/>
  <c r="A16" i="47" s="1"/>
  <c r="M26" i="47"/>
  <c r="A26" i="47" s="1"/>
  <c r="AW15" i="31"/>
  <c r="AW18" i="31"/>
  <c r="AV30" i="31"/>
  <c r="AW13" i="31"/>
  <c r="AW14" i="31"/>
  <c r="AW26" i="31"/>
  <c r="AV31" i="31"/>
  <c r="AW20" i="31"/>
  <c r="M8" i="47"/>
  <c r="A8" i="47" s="1"/>
  <c r="L9" i="47"/>
  <c r="M9" i="47" s="1"/>
  <c r="A9" i="47" s="1"/>
  <c r="M13" i="47"/>
  <c r="A13" i="47" s="1"/>
  <c r="AW10" i="31"/>
  <c r="AW27" i="31"/>
  <c r="AW29" i="31"/>
  <c r="AV32" i="31"/>
  <c r="AW7" i="31"/>
  <c r="AW12" i="31"/>
  <c r="AW11" i="31"/>
  <c r="AW22" i="31"/>
  <c r="L8" i="47"/>
  <c r="M29" i="47"/>
  <c r="A29" i="47" s="1"/>
  <c r="AW9" i="31"/>
  <c r="AW17" i="31"/>
  <c r="AW24" i="31"/>
  <c r="L6" i="47"/>
  <c r="M6" i="47" s="1"/>
  <c r="A6" i="47" s="1"/>
  <c r="M25" i="47"/>
  <c r="A25" i="47" s="1"/>
  <c r="AW25" i="31"/>
  <c r="AW21" i="31"/>
  <c r="M12" i="47"/>
  <c r="A12" i="47" s="1"/>
  <c r="AW6" i="31"/>
  <c r="AW16" i="31"/>
  <c r="AW28" i="31"/>
  <c r="AW23" i="31"/>
  <c r="AU33" i="31"/>
  <c r="AU6" i="31"/>
  <c r="M6" i="46"/>
  <c r="A6" i="46" s="1"/>
  <c r="M11" i="46"/>
  <c r="A11" i="46" s="1"/>
  <c r="M24" i="46"/>
  <c r="A24" i="46" s="1"/>
  <c r="AU16" i="31"/>
  <c r="AU28" i="31"/>
  <c r="AU23" i="31"/>
  <c r="AU7" i="31"/>
  <c r="AU20" i="31"/>
  <c r="AT34" i="31"/>
  <c r="AU34" i="31" s="1"/>
  <c r="AT19" i="31"/>
  <c r="AU19" i="31" s="1"/>
  <c r="M29" i="46"/>
  <c r="A29" i="46" s="1"/>
  <c r="AU8" i="31"/>
  <c r="AU15" i="31"/>
  <c r="AU18" i="31"/>
  <c r="AT30" i="31"/>
  <c r="AU30" i="31" s="1"/>
  <c r="AU13" i="31"/>
  <c r="AU14" i="31"/>
  <c r="AU26" i="31"/>
  <c r="AT31" i="31"/>
  <c r="AU31" i="31" s="1"/>
  <c r="AU21" i="31"/>
  <c r="M7" i="46"/>
  <c r="A7" i="46" s="1"/>
  <c r="AU10" i="31"/>
  <c r="AU27" i="31"/>
  <c r="AU29" i="31"/>
  <c r="AT32" i="31"/>
  <c r="AU32" i="31" s="1"/>
  <c r="M17" i="46"/>
  <c r="A17" i="46" s="1"/>
  <c r="AU12" i="31"/>
  <c r="AU11" i="31"/>
  <c r="AU22" i="31"/>
  <c r="AU25" i="31"/>
  <c r="M26" i="46"/>
  <c r="A26" i="46" s="1"/>
  <c r="M28" i="46"/>
  <c r="A28" i="46" s="1"/>
  <c r="AU9" i="31"/>
  <c r="AU17" i="31"/>
  <c r="AU24" i="31"/>
  <c r="T8" i="1"/>
  <c r="T20" i="1"/>
  <c r="T25" i="1"/>
  <c r="T7" i="31"/>
  <c r="T20" i="31"/>
  <c r="T18" i="31"/>
  <c r="T29" i="31"/>
  <c r="T23" i="31"/>
  <c r="T30" i="31"/>
  <c r="T33" i="31"/>
  <c r="T26" i="1"/>
  <c r="T24" i="1"/>
  <c r="T21" i="1"/>
  <c r="T10" i="31"/>
  <c r="T27" i="31"/>
  <c r="T26" i="31"/>
  <c r="T6" i="1"/>
  <c r="T15" i="1"/>
  <c r="T27" i="1"/>
  <c r="T29" i="1"/>
  <c r="T25" i="31"/>
  <c r="T7" i="1"/>
  <c r="T13" i="1"/>
  <c r="T28" i="1"/>
  <c r="T8" i="31"/>
  <c r="T15" i="31"/>
  <c r="T21" i="31"/>
  <c r="T9" i="1"/>
  <c r="T18" i="1"/>
  <c r="T12" i="31"/>
  <c r="T11" i="31"/>
  <c r="T19" i="31"/>
  <c r="T32" i="31"/>
  <c r="M13" i="42"/>
  <c r="A13" i="42" s="1"/>
  <c r="T23" i="1" s="1"/>
  <c r="T14" i="1"/>
  <c r="T10" i="1"/>
  <c r="T22" i="1"/>
  <c r="T6" i="31"/>
  <c r="T16" i="31"/>
  <c r="T28" i="31"/>
  <c r="T24" i="31"/>
  <c r="T11" i="1"/>
  <c r="T16" i="1"/>
  <c r="T13" i="31"/>
  <c r="T14" i="31"/>
  <c r="T22" i="31"/>
  <c r="T31" i="31"/>
  <c r="T12" i="1"/>
  <c r="T17" i="1"/>
  <c r="T19" i="1"/>
  <c r="T9" i="31"/>
  <c r="T17" i="31"/>
  <c r="T34" i="31"/>
  <c r="M18" i="44"/>
  <c r="A18" i="44" s="1"/>
  <c r="M28" i="44"/>
  <c r="A28" i="44" s="1"/>
  <c r="M12" i="44"/>
  <c r="A12" i="44" s="1"/>
  <c r="AQ10" i="31"/>
  <c r="AQ27" i="31"/>
  <c r="AQ29" i="31"/>
  <c r="AP32" i="31"/>
  <c r="M22" i="44"/>
  <c r="A22" i="44" s="1"/>
  <c r="AQ12" i="31"/>
  <c r="AQ11" i="31"/>
  <c r="AQ22" i="31"/>
  <c r="AP33" i="31"/>
  <c r="AQ13" i="31"/>
  <c r="AQ9" i="31"/>
  <c r="AQ17" i="31"/>
  <c r="AQ24" i="31"/>
  <c r="AQ25" i="31"/>
  <c r="AQ21" i="31"/>
  <c r="AQ6" i="31"/>
  <c r="AQ16" i="31"/>
  <c r="AQ28" i="31"/>
  <c r="AQ23" i="31"/>
  <c r="AQ26" i="31"/>
  <c r="AQ7" i="31"/>
  <c r="AQ20" i="31"/>
  <c r="AP34" i="31"/>
  <c r="AP19" i="31"/>
  <c r="AQ14" i="31"/>
  <c r="M15" i="44"/>
  <c r="A15" i="44" s="1"/>
  <c r="M17" i="44"/>
  <c r="A17" i="44" s="1"/>
  <c r="M19" i="44"/>
  <c r="A19" i="44" s="1"/>
  <c r="AQ8" i="31"/>
  <c r="AQ15" i="31"/>
  <c r="AQ18" i="31"/>
  <c r="AO13" i="31"/>
  <c r="AO14" i="31"/>
  <c r="AO26" i="31"/>
  <c r="AN31" i="31"/>
  <c r="AO12" i="31"/>
  <c r="AO22" i="31"/>
  <c r="M13" i="43"/>
  <c r="A13" i="43" s="1"/>
  <c r="M15" i="43"/>
  <c r="A15" i="43" s="1"/>
  <c r="M18" i="43"/>
  <c r="A18" i="43" s="1"/>
  <c r="M22" i="43"/>
  <c r="A22" i="43" s="1"/>
  <c r="AO9" i="31"/>
  <c r="AO17" i="31"/>
  <c r="AN24" i="31"/>
  <c r="AO7" i="31"/>
  <c r="AN19" i="31"/>
  <c r="AO18" i="31"/>
  <c r="AO11" i="31"/>
  <c r="AN33" i="31"/>
  <c r="AO25" i="31"/>
  <c r="AN21" i="31"/>
  <c r="AO20" i="31"/>
  <c r="AN34" i="31"/>
  <c r="AO8" i="31"/>
  <c r="AO15" i="31"/>
  <c r="AN30" i="31"/>
  <c r="AO10" i="31"/>
  <c r="AO27" i="31"/>
  <c r="AO29" i="31"/>
  <c r="AN32" i="31"/>
  <c r="M27" i="43"/>
  <c r="A27" i="43" s="1"/>
  <c r="M31" i="43"/>
  <c r="A31" i="43" s="1"/>
  <c r="M35" i="43"/>
  <c r="A35" i="43" s="1"/>
  <c r="M39" i="43"/>
  <c r="A39" i="43" s="1"/>
  <c r="AO6" i="31"/>
  <c r="AO16" i="31"/>
  <c r="AO28" i="31"/>
  <c r="M15" i="41"/>
  <c r="A15" i="41" s="1"/>
  <c r="R33" i="31"/>
  <c r="R9" i="1"/>
  <c r="R21" i="31"/>
  <c r="R10" i="1"/>
  <c r="R16" i="31"/>
  <c r="M7" i="41"/>
  <c r="A7" i="41" s="1"/>
  <c r="R8" i="1" s="1"/>
  <c r="R16" i="1"/>
  <c r="R24" i="31"/>
  <c r="R17" i="1"/>
  <c r="Q19" i="1"/>
  <c r="R19" i="1" s="1"/>
  <c r="Q30" i="31"/>
  <c r="R30" i="31" s="1"/>
  <c r="L7" i="41"/>
  <c r="R20" i="1"/>
  <c r="Q25" i="1"/>
  <c r="R25" i="1" s="1"/>
  <c r="R20" i="31"/>
  <c r="Q34" i="31"/>
  <c r="R34" i="31" s="1"/>
  <c r="R11" i="31"/>
  <c r="R28" i="31"/>
  <c r="R31" i="31"/>
  <c r="R17" i="31"/>
  <c r="M16" i="41"/>
  <c r="A16" i="41" s="1"/>
  <c r="R26" i="1"/>
  <c r="R24" i="1"/>
  <c r="Q21" i="1"/>
  <c r="R21" i="1" s="1"/>
  <c r="R10" i="31"/>
  <c r="R27" i="31"/>
  <c r="R18" i="31"/>
  <c r="R29" i="31"/>
  <c r="Q19" i="31"/>
  <c r="R19" i="31" s="1"/>
  <c r="R12" i="31"/>
  <c r="R32" i="31"/>
  <c r="R11" i="1"/>
  <c r="R12" i="1"/>
  <c r="R9" i="31"/>
  <c r="R6" i="1"/>
  <c r="R15" i="1"/>
  <c r="R27" i="1"/>
  <c r="Q29" i="1"/>
  <c r="R29" i="1" s="1"/>
  <c r="R25" i="31"/>
  <c r="R26" i="31"/>
  <c r="R18" i="1"/>
  <c r="R22" i="1"/>
  <c r="R6" i="31"/>
  <c r="R23" i="1"/>
  <c r="R14" i="31"/>
  <c r="R22" i="31"/>
  <c r="L8" i="41"/>
  <c r="M8" i="41" s="1"/>
  <c r="A8" i="41" s="1"/>
  <c r="R13" i="1"/>
  <c r="R28" i="1"/>
  <c r="R8" i="31"/>
  <c r="R15" i="31"/>
  <c r="Q23" i="31"/>
  <c r="R23" i="31" s="1"/>
  <c r="L9" i="38"/>
  <c r="L6" i="38"/>
  <c r="AM8" i="31"/>
  <c r="AM18" i="31"/>
  <c r="M12" i="40"/>
  <c r="A12" i="40" s="1"/>
  <c r="P11" i="1"/>
  <c r="P16" i="1"/>
  <c r="P23" i="1"/>
  <c r="P13" i="31"/>
  <c r="P14" i="31"/>
  <c r="P24" i="31"/>
  <c r="P31" i="31"/>
  <c r="P12" i="1"/>
  <c r="P17" i="1"/>
  <c r="P19" i="1"/>
  <c r="P9" i="31"/>
  <c r="P17" i="31"/>
  <c r="P22" i="31"/>
  <c r="P30" i="31"/>
  <c r="P8" i="1"/>
  <c r="P20" i="1"/>
  <c r="P25" i="1"/>
  <c r="P7" i="31"/>
  <c r="P20" i="31"/>
  <c r="P34" i="31"/>
  <c r="L7" i="40"/>
  <c r="M7" i="40" s="1"/>
  <c r="A7" i="40" s="1"/>
  <c r="P26" i="1"/>
  <c r="P24" i="1"/>
  <c r="P21" i="1"/>
  <c r="P10" i="31"/>
  <c r="P27" i="31"/>
  <c r="P18" i="31"/>
  <c r="P29" i="31"/>
  <c r="P19" i="31"/>
  <c r="M13" i="40"/>
  <c r="A13" i="40" s="1"/>
  <c r="M16" i="40"/>
  <c r="A16" i="40" s="1"/>
  <c r="P6" i="1"/>
  <c r="P15" i="1"/>
  <c r="P27" i="1"/>
  <c r="P29" i="1"/>
  <c r="P25" i="31"/>
  <c r="P26" i="31"/>
  <c r="P7" i="1"/>
  <c r="P13" i="1"/>
  <c r="P28" i="1"/>
  <c r="P8" i="31"/>
  <c r="P15" i="31"/>
  <c r="P23" i="31"/>
  <c r="P33" i="31"/>
  <c r="L6" i="40"/>
  <c r="M6" i="40" s="1"/>
  <c r="A6" i="40" s="1"/>
  <c r="P9" i="1"/>
  <c r="P18" i="1"/>
  <c r="P12" i="31"/>
  <c r="P11" i="31"/>
  <c r="P21" i="31"/>
  <c r="M12" i="38"/>
  <c r="A12" i="38" s="1"/>
  <c r="M38" i="38"/>
  <c r="A38" i="38" s="1"/>
  <c r="M46" i="38"/>
  <c r="A46" i="38" s="1"/>
  <c r="M48" i="38"/>
  <c r="A48" i="38" s="1"/>
  <c r="M41" i="38"/>
  <c r="A41" i="38" s="1"/>
  <c r="AL31" i="31"/>
  <c r="M39" i="38"/>
  <c r="A39" i="38" s="1"/>
  <c r="M14" i="38"/>
  <c r="A14" i="38" s="1"/>
  <c r="M19" i="38"/>
  <c r="A19" i="38" s="1"/>
  <c r="M27" i="38"/>
  <c r="A27" i="38" s="1"/>
  <c r="M35" i="38"/>
  <c r="A35" i="38" s="1"/>
  <c r="M52" i="38"/>
  <c r="A52" i="38" s="1"/>
  <c r="M33" i="38"/>
  <c r="A33" i="38" s="1"/>
  <c r="AL19" i="31"/>
  <c r="M50" i="38"/>
  <c r="A50" i="38" s="1"/>
  <c r="M60" i="38"/>
  <c r="A60" i="38" s="1"/>
  <c r="L8" i="38"/>
  <c r="M18" i="38"/>
  <c r="A18" i="38" s="1"/>
  <c r="M26" i="38"/>
  <c r="A26" i="38" s="1"/>
  <c r="M34" i="38"/>
  <c r="A34" i="38" s="1"/>
  <c r="M44" i="38"/>
  <c r="A44" i="38" s="1"/>
  <c r="M51" i="38"/>
  <c r="A51" i="38" s="1"/>
  <c r="M61" i="38"/>
  <c r="A61" i="38" s="1"/>
  <c r="M29" i="38"/>
  <c r="A29" i="38" s="1"/>
  <c r="M37" i="38"/>
  <c r="A37" i="38" s="1"/>
  <c r="M42" i="38"/>
  <c r="A42" i="38" s="1"/>
  <c r="M49" i="38"/>
  <c r="A49" i="38" s="1"/>
  <c r="M56" i="38"/>
  <c r="A56" i="38" s="1"/>
  <c r="M64" i="38"/>
  <c r="A64" i="38" s="1"/>
  <c r="BB29" i="31"/>
  <c r="BA27" i="31"/>
  <c r="BB28" i="31"/>
  <c r="BA32" i="31"/>
  <c r="BA33" i="31"/>
  <c r="BA28" i="31"/>
  <c r="BA31" i="31"/>
  <c r="BB26" i="31"/>
  <c r="BC31" i="31"/>
  <c r="BB31" i="31"/>
  <c r="BC32" i="31"/>
  <c r="BC33" i="31"/>
  <c r="M79" i="35"/>
  <c r="A79" i="35" s="1"/>
  <c r="M119" i="35"/>
  <c r="A119" i="35" s="1"/>
  <c r="M37" i="35"/>
  <c r="A37" i="35" s="1"/>
  <c r="M45" i="35"/>
  <c r="A45" i="35" s="1"/>
  <c r="M67" i="35"/>
  <c r="A67" i="35" s="1"/>
  <c r="M75" i="35"/>
  <c r="A75" i="35" s="1"/>
  <c r="M112" i="35"/>
  <c r="A112" i="35" s="1"/>
  <c r="M128" i="35"/>
  <c r="A128" i="35" s="1"/>
  <c r="AF21" i="31"/>
  <c r="AG21" i="31" s="1"/>
  <c r="AF19" i="31"/>
  <c r="AG19" i="31" s="1"/>
  <c r="AF30" i="31"/>
  <c r="AG30" i="31" s="1"/>
  <c r="AF31" i="31"/>
  <c r="AG31" i="31" s="1"/>
  <c r="M17" i="35"/>
  <c r="A17" i="35" s="1"/>
  <c r="M111" i="35"/>
  <c r="A111" i="35" s="1"/>
  <c r="M39" i="35"/>
  <c r="A39" i="35" s="1"/>
  <c r="M69" i="35"/>
  <c r="A69" i="35" s="1"/>
  <c r="M133" i="35"/>
  <c r="A133" i="35" s="1"/>
  <c r="AF22" i="31"/>
  <c r="AG22" i="31" s="1"/>
  <c r="AF24" i="31"/>
  <c r="AG24" i="31" s="1"/>
  <c r="AF23" i="31"/>
  <c r="AG23" i="31" s="1"/>
  <c r="AF32" i="31"/>
  <c r="AG32" i="31" s="1"/>
  <c r="AF33" i="31"/>
  <c r="AG33" i="31" s="1"/>
  <c r="M31" i="35"/>
  <c r="A31" i="35" s="1"/>
  <c r="M22" i="35"/>
  <c r="A22" i="35" s="1"/>
  <c r="AF26" i="31"/>
  <c r="AG26" i="31" s="1"/>
  <c r="L25" i="1"/>
  <c r="L19" i="1"/>
  <c r="L23" i="1"/>
  <c r="L22" i="1"/>
  <c r="L21" i="1"/>
  <c r="L8" i="44"/>
  <c r="M8" i="44" s="1"/>
  <c r="A8" i="44" s="1"/>
  <c r="L7" i="44"/>
  <c r="M7" i="44" s="1"/>
  <c r="A7" i="44" s="1"/>
  <c r="L6" i="44"/>
  <c r="M6" i="44" s="1"/>
  <c r="A6" i="44" s="1"/>
  <c r="L8" i="43"/>
  <c r="M8" i="43" s="1"/>
  <c r="A8" i="43" s="1"/>
  <c r="L6" i="43"/>
  <c r="M6" i="43" s="1"/>
  <c r="A6" i="43" s="1"/>
  <c r="AO23" i="31" s="1"/>
  <c r="L7" i="43"/>
  <c r="M7" i="43" s="1"/>
  <c r="A7" i="43" s="1"/>
  <c r="L9" i="43"/>
  <c r="M9" i="43" s="1"/>
  <c r="A9" i="43" s="1"/>
  <c r="AL21" i="31"/>
  <c r="AL29" i="31"/>
  <c r="AM29" i="31" s="1"/>
  <c r="AL23" i="31"/>
  <c r="L7" i="38"/>
  <c r="M7" i="38" s="1"/>
  <c r="A7" i="38" s="1"/>
  <c r="AL22" i="31"/>
  <c r="AM22" i="31" s="1"/>
  <c r="AL30" i="31"/>
  <c r="AL32" i="31"/>
  <c r="M31" i="38"/>
  <c r="A31" i="38" s="1"/>
  <c r="M23" i="38"/>
  <c r="A23" i="38" s="1"/>
  <c r="M30" i="38"/>
  <c r="A30" i="38" s="1"/>
  <c r="AL24" i="31"/>
  <c r="AL33" i="31"/>
  <c r="AL26" i="31"/>
  <c r="AM26" i="31" s="1"/>
  <c r="M15" i="38"/>
  <c r="A15" i="38" s="1"/>
  <c r="M6" i="38"/>
  <c r="A6" i="38" s="1"/>
  <c r="M8" i="38"/>
  <c r="A8" i="38" s="1"/>
  <c r="M17" i="36"/>
  <c r="A17" i="36" s="1"/>
  <c r="M25" i="36"/>
  <c r="A25" i="36" s="1"/>
  <c r="U46" i="36"/>
  <c r="AH29" i="31"/>
  <c r="AI29" i="31" s="1"/>
  <c r="AH19" i="31"/>
  <c r="AI19" i="31" s="1"/>
  <c r="AH24" i="31"/>
  <c r="AI24" i="31" s="1"/>
  <c r="AH23" i="31"/>
  <c r="AI23" i="31" s="1"/>
  <c r="M36" i="36"/>
  <c r="A36" i="36" s="1"/>
  <c r="M115" i="35"/>
  <c r="A115" i="35" s="1"/>
  <c r="M92" i="35"/>
  <c r="A92" i="35" s="1"/>
  <c r="M97" i="35"/>
  <c r="A97" i="35" s="1"/>
  <c r="M136" i="35"/>
  <c r="A136" i="35" s="1"/>
  <c r="M84" i="35"/>
  <c r="A84" i="35" s="1"/>
  <c r="M23" i="35"/>
  <c r="A23" i="35" s="1"/>
  <c r="M28" i="35"/>
  <c r="A28" i="35" s="1"/>
  <c r="M33" i="35"/>
  <c r="A33" i="35" s="1"/>
  <c r="M48" i="35"/>
  <c r="A48" i="35" s="1"/>
  <c r="M87" i="35"/>
  <c r="A87" i="35" s="1"/>
  <c r="M40" i="35"/>
  <c r="A40" i="35" s="1"/>
  <c r="M71" i="35"/>
  <c r="A71" i="35" s="1"/>
  <c r="M123" i="35"/>
  <c r="A123" i="35" s="1"/>
  <c r="M103" i="35"/>
  <c r="A103" i="35" s="1"/>
  <c r="M44" i="35"/>
  <c r="A44" i="35" s="1"/>
  <c r="M101" i="35"/>
  <c r="A101" i="35" s="1"/>
  <c r="M89" i="35"/>
  <c r="A89" i="35" s="1"/>
  <c r="M10" i="35"/>
  <c r="A10" i="35" s="1"/>
  <c r="M52" i="35"/>
  <c r="A52" i="35" s="1"/>
  <c r="M57" i="35"/>
  <c r="A57" i="35" s="1"/>
  <c r="L9" i="39"/>
  <c r="L8" i="39"/>
  <c r="L7" i="39"/>
  <c r="L6" i="39"/>
  <c r="M8" i="39"/>
  <c r="N8" i="39" s="1"/>
  <c r="A8" i="39" s="1"/>
  <c r="M10" i="39"/>
  <c r="N10" i="39" s="1"/>
  <c r="A10" i="39" s="1"/>
  <c r="M11" i="39"/>
  <c r="N11" i="39" s="1"/>
  <c r="A11" i="39" s="1"/>
  <c r="M12" i="39"/>
  <c r="N12" i="39" s="1"/>
  <c r="A12" i="39" s="1"/>
  <c r="M13" i="39"/>
  <c r="N13" i="39" s="1"/>
  <c r="A13" i="39" s="1"/>
  <c r="M15" i="39"/>
  <c r="M21" i="39"/>
  <c r="M22" i="39"/>
  <c r="N22" i="39" s="1"/>
  <c r="A22" i="39" s="1"/>
  <c r="M23" i="39"/>
  <c r="N23" i="39" s="1"/>
  <c r="A23" i="39" s="1"/>
  <c r="M29" i="39"/>
  <c r="M30" i="39"/>
  <c r="N30" i="39" s="1"/>
  <c r="A30" i="39" s="1"/>
  <c r="M31" i="39"/>
  <c r="N31" i="39" s="1"/>
  <c r="A31" i="39" s="1"/>
  <c r="M32" i="39"/>
  <c r="N32" i="39" s="1"/>
  <c r="A32" i="39" s="1"/>
  <c r="M38" i="39"/>
  <c r="N38" i="39" s="1"/>
  <c r="A38" i="39" s="1"/>
  <c r="M39" i="39"/>
  <c r="N39" i="39" s="1"/>
  <c r="A39" i="39" s="1"/>
  <c r="M40" i="39"/>
  <c r="N40" i="39" s="1"/>
  <c r="A40" i="39" s="1"/>
  <c r="M46" i="39"/>
  <c r="N46" i="39" s="1"/>
  <c r="A46" i="39" s="1"/>
  <c r="M47" i="39"/>
  <c r="N47" i="39" s="1"/>
  <c r="A47" i="39" s="1"/>
  <c r="M48" i="39"/>
  <c r="N48" i="39" s="1"/>
  <c r="A48" i="39" s="1"/>
  <c r="M55" i="39"/>
  <c r="N55" i="39" s="1"/>
  <c r="A55" i="39" s="1"/>
  <c r="M56" i="39"/>
  <c r="N56" i="39" s="1"/>
  <c r="A56" i="39" s="1"/>
  <c r="M64" i="39"/>
  <c r="N64" i="39" s="1"/>
  <c r="A64" i="39" s="1"/>
  <c r="M72" i="39"/>
  <c r="N72" i="39" s="1"/>
  <c r="A72" i="39" s="1"/>
  <c r="M79" i="39"/>
  <c r="N79" i="39" s="1"/>
  <c r="A79" i="39" s="1"/>
  <c r="M80" i="39"/>
  <c r="M87" i="39"/>
  <c r="N87" i="39" s="1"/>
  <c r="A87" i="39" s="1"/>
  <c r="M88" i="39"/>
  <c r="N88" i="39" s="1"/>
  <c r="A88" i="39" s="1"/>
  <c r="M95" i="39"/>
  <c r="N95" i="39" s="1"/>
  <c r="A95" i="39" s="1"/>
  <c r="M97" i="39"/>
  <c r="N97" i="39"/>
  <c r="A97" i="39" s="1"/>
  <c r="M101" i="39"/>
  <c r="M102" i="39"/>
  <c r="N102" i="39" s="1"/>
  <c r="A102" i="39" s="1"/>
  <c r="M103" i="39"/>
  <c r="N103" i="39" s="1"/>
  <c r="A103" i="39" s="1"/>
  <c r="M104" i="39"/>
  <c r="N104" i="39" s="1"/>
  <c r="A104" i="39" s="1"/>
  <c r="M109" i="39"/>
  <c r="M110" i="39"/>
  <c r="N110" i="39" s="1"/>
  <c r="A110" i="39" s="1"/>
  <c r="M111" i="39"/>
  <c r="N111" i="39" s="1"/>
  <c r="A111" i="39" s="1"/>
  <c r="M112" i="39"/>
  <c r="N112" i="39" s="1"/>
  <c r="A112" i="39" s="1"/>
  <c r="M119" i="39"/>
  <c r="N119" i="39" s="1"/>
  <c r="A119" i="39" s="1"/>
  <c r="M120" i="39"/>
  <c r="M126" i="39"/>
  <c r="M127" i="39"/>
  <c r="N127" i="39" s="1"/>
  <c r="A127" i="39" s="1"/>
  <c r="M128" i="39"/>
  <c r="N128" i="39" s="1"/>
  <c r="A128" i="39" s="1"/>
  <c r="M133" i="39"/>
  <c r="N133" i="39" s="1"/>
  <c r="A133" i="39" s="1"/>
  <c r="M144" i="39"/>
  <c r="M146" i="39"/>
  <c r="M156" i="39"/>
  <c r="M168" i="39"/>
  <c r="M169" i="39"/>
  <c r="N169" i="39"/>
  <c r="A169" i="39" s="1"/>
  <c r="M173" i="39"/>
  <c r="M178" i="39"/>
  <c r="M180" i="39"/>
  <c r="M186" i="39"/>
  <c r="M188" i="39"/>
  <c r="M196" i="39"/>
  <c r="M197" i="39"/>
  <c r="M200" i="39"/>
  <c r="M205" i="39"/>
  <c r="M206" i="39"/>
  <c r="N206" i="39" s="1"/>
  <c r="A206" i="39" s="1"/>
  <c r="M212" i="39"/>
  <c r="M213" i="39"/>
  <c r="M218" i="39"/>
  <c r="M220" i="39"/>
  <c r="M228" i="39"/>
  <c r="M229" i="39"/>
  <c r="M232" i="39"/>
  <c r="M237" i="39"/>
  <c r="M238" i="39"/>
  <c r="N238" i="39" s="1"/>
  <c r="A238" i="39" s="1"/>
  <c r="M244" i="39"/>
  <c r="M245" i="39"/>
  <c r="N257" i="39"/>
  <c r="A257" i="39" s="1"/>
  <c r="M257" i="39"/>
  <c r="N261" i="39"/>
  <c r="A261" i="39" s="1"/>
  <c r="M261" i="39"/>
  <c r="N262" i="39"/>
  <c r="A262" i="39" s="1"/>
  <c r="M262" i="39"/>
  <c r="N263" i="39"/>
  <c r="A263" i="39" s="1"/>
  <c r="M263" i="39"/>
  <c r="N265" i="39"/>
  <c r="A265" i="39" s="1"/>
  <c r="M265" i="39"/>
  <c r="N266" i="39"/>
  <c r="A266" i="39" s="1"/>
  <c r="M266" i="39"/>
  <c r="N275" i="39"/>
  <c r="A275" i="39" s="1"/>
  <c r="M275" i="39"/>
  <c r="N278" i="39"/>
  <c r="A278" i="39" s="1"/>
  <c r="M278" i="39"/>
  <c r="N284" i="39"/>
  <c r="A284" i="39" s="1"/>
  <c r="M284" i="39"/>
  <c r="N292" i="39"/>
  <c r="A292" i="39" s="1"/>
  <c r="M292" i="39"/>
  <c r="N293" i="39"/>
  <c r="A293" i="39" s="1"/>
  <c r="M293" i="39"/>
  <c r="N300" i="39"/>
  <c r="A300" i="39" s="1"/>
  <c r="M300" i="39"/>
  <c r="N301" i="39"/>
  <c r="A301" i="39" s="1"/>
  <c r="M301" i="39"/>
  <c r="L8" i="34"/>
  <c r="L6" i="34"/>
  <c r="M6" i="34"/>
  <c r="A6" i="34" s="1"/>
  <c r="M10" i="34"/>
  <c r="A10" i="34" s="1"/>
  <c r="M11" i="34"/>
  <c r="A11" i="34" s="1"/>
  <c r="AB13" i="31"/>
  <c r="AC13" i="31" s="1"/>
  <c r="M16" i="34"/>
  <c r="A16" i="34" s="1"/>
  <c r="AB16" i="31"/>
  <c r="AC16" i="31" s="1"/>
  <c r="BB30" i="31"/>
  <c r="M20" i="33"/>
  <c r="A20" i="33" s="1"/>
  <c r="M18" i="33"/>
  <c r="A18" i="33" s="1"/>
  <c r="M15" i="33"/>
  <c r="A15" i="33" s="1"/>
  <c r="M26" i="33"/>
  <c r="A26" i="33" s="1"/>
  <c r="M8" i="33"/>
  <c r="A8" i="33" s="1"/>
  <c r="M19" i="33"/>
  <c r="A19" i="33" s="1"/>
  <c r="M23" i="33"/>
  <c r="A23" i="33" s="1"/>
  <c r="M14" i="33"/>
  <c r="A14" i="33" s="1"/>
  <c r="M27" i="33"/>
  <c r="A27" i="33" s="1"/>
  <c r="M25" i="32"/>
  <c r="A25" i="32" s="1"/>
  <c r="M42" i="32"/>
  <c r="A42" i="32" s="1"/>
  <c r="M19" i="32"/>
  <c r="A19" i="32" s="1"/>
  <c r="M23" i="32"/>
  <c r="A23" i="32" s="1"/>
  <c r="M32" i="32"/>
  <c r="A32" i="32" s="1"/>
  <c r="M36" i="32"/>
  <c r="A36" i="32" s="1"/>
  <c r="M44" i="32"/>
  <c r="A44" i="32" s="1"/>
  <c r="M28" i="32"/>
  <c r="A28" i="32" s="1"/>
  <c r="M48" i="32"/>
  <c r="A48" i="32" s="1"/>
  <c r="BA30" i="31"/>
  <c r="M11" i="32"/>
  <c r="A11" i="32" s="1"/>
  <c r="M16" i="32"/>
  <c r="A16" i="32" s="1"/>
  <c r="M20" i="32"/>
  <c r="A20" i="32" s="1"/>
  <c r="M35" i="32"/>
  <c r="A35" i="32" s="1"/>
  <c r="M39" i="32"/>
  <c r="A39" i="32" s="1"/>
  <c r="M41" i="32"/>
  <c r="A41" i="32" s="1"/>
  <c r="M51" i="32"/>
  <c r="A51" i="32" s="1"/>
  <c r="M53" i="32"/>
  <c r="A53" i="32" s="1"/>
  <c r="M64" i="35"/>
  <c r="A64" i="35" s="1"/>
  <c r="M95" i="35"/>
  <c r="A95" i="35" s="1"/>
  <c r="M83" i="35"/>
  <c r="A83" i="35" s="1"/>
  <c r="M108" i="35"/>
  <c r="A108" i="35" s="1"/>
  <c r="M65" i="35"/>
  <c r="A65" i="35" s="1"/>
  <c r="M73" i="35"/>
  <c r="A73" i="35" s="1"/>
  <c r="M139" i="35"/>
  <c r="A139" i="35" s="1"/>
  <c r="M68" i="35"/>
  <c r="A68" i="35" s="1"/>
  <c r="M96" i="35"/>
  <c r="A96" i="35" s="1"/>
  <c r="M127" i="35"/>
  <c r="A127" i="35" s="1"/>
  <c r="M66" i="35"/>
  <c r="A66" i="35" s="1"/>
  <c r="M104" i="35"/>
  <c r="A104" i="35" s="1"/>
  <c r="M109" i="35"/>
  <c r="A109" i="35" s="1"/>
  <c r="M117" i="35"/>
  <c r="A117" i="35" s="1"/>
  <c r="M72" i="35"/>
  <c r="A72" i="35" s="1"/>
  <c r="M77" i="35"/>
  <c r="A77" i="35" s="1"/>
  <c r="M116" i="35"/>
  <c r="A116" i="35" s="1"/>
  <c r="M121" i="35"/>
  <c r="A121" i="35" s="1"/>
  <c r="M131" i="35"/>
  <c r="A131" i="35" s="1"/>
  <c r="M78" i="35"/>
  <c r="A78" i="35" s="1"/>
  <c r="M80" i="35"/>
  <c r="A80" i="35" s="1"/>
  <c r="M85" i="35"/>
  <c r="A85" i="35" s="1"/>
  <c r="M122" i="35"/>
  <c r="A122" i="35" s="1"/>
  <c r="M124" i="35"/>
  <c r="A124" i="35" s="1"/>
  <c r="M129" i="35"/>
  <c r="A129" i="35" s="1"/>
  <c r="M61" i="35"/>
  <c r="A61" i="35" s="1"/>
  <c r="M88" i="35"/>
  <c r="A88" i="35" s="1"/>
  <c r="M93" i="35"/>
  <c r="A93" i="35" s="1"/>
  <c r="M100" i="35"/>
  <c r="A100" i="35" s="1"/>
  <c r="M105" i="35"/>
  <c r="A105" i="35" s="1"/>
  <c r="M132" i="35"/>
  <c r="A132" i="35" s="1"/>
  <c r="M137" i="35"/>
  <c r="A137" i="35" s="1"/>
  <c r="M63" i="35"/>
  <c r="A63" i="35" s="1"/>
  <c r="M76" i="35"/>
  <c r="A76" i="35" s="1"/>
  <c r="M81" i="35"/>
  <c r="A81" i="35" s="1"/>
  <c r="M120" i="35"/>
  <c r="A120" i="35" s="1"/>
  <c r="M125" i="35"/>
  <c r="A125" i="35" s="1"/>
  <c r="M70" i="35"/>
  <c r="A70" i="35" s="1"/>
  <c r="M114" i="35"/>
  <c r="A114" i="35" s="1"/>
  <c r="M98" i="35"/>
  <c r="A98" i="35" s="1"/>
  <c r="M110" i="35"/>
  <c r="A110" i="35" s="1"/>
  <c r="M74" i="35"/>
  <c r="A74" i="35" s="1"/>
  <c r="M118" i="35"/>
  <c r="A118" i="35" s="1"/>
  <c r="M140" i="35"/>
  <c r="A140" i="35" s="1"/>
  <c r="M62" i="35"/>
  <c r="A62" i="35" s="1"/>
  <c r="M94" i="35"/>
  <c r="A94" i="35" s="1"/>
  <c r="M106" i="35"/>
  <c r="A106" i="35" s="1"/>
  <c r="M138" i="35"/>
  <c r="A138" i="35" s="1"/>
  <c r="M43" i="38"/>
  <c r="A43" i="38" s="1"/>
  <c r="M11" i="38"/>
  <c r="A11" i="38" s="1"/>
  <c r="M13" i="38"/>
  <c r="A13" i="38" s="1"/>
  <c r="M9" i="38"/>
  <c r="A9" i="38" s="1"/>
  <c r="M22" i="38"/>
  <c r="A22" i="38" s="1"/>
  <c r="M45" i="38"/>
  <c r="A45" i="38" s="1"/>
  <c r="N15" i="39"/>
  <c r="A15" i="39" s="1"/>
  <c r="M63" i="39"/>
  <c r="N63" i="39" s="1"/>
  <c r="A63" i="39" s="1"/>
  <c r="N168" i="39"/>
  <c r="A168" i="39" s="1"/>
  <c r="N244" i="39"/>
  <c r="A244" i="39" s="1"/>
  <c r="M71" i="39"/>
  <c r="N71" i="39" s="1"/>
  <c r="A71" i="39" s="1"/>
  <c r="M14" i="39"/>
  <c r="N14" i="39" s="1"/>
  <c r="A14" i="39" s="1"/>
  <c r="N120" i="39"/>
  <c r="A120" i="39" s="1"/>
  <c r="M181" i="39"/>
  <c r="N80" i="39"/>
  <c r="A80" i="39" s="1"/>
  <c r="N126" i="39"/>
  <c r="A126" i="39" s="1"/>
  <c r="M204" i="39"/>
  <c r="N204" i="39" s="1"/>
  <c r="A204" i="39" s="1"/>
  <c r="M9" i="39"/>
  <c r="N9" i="39" s="1"/>
  <c r="A9" i="39" s="1"/>
  <c r="N25" i="39"/>
  <c r="A25" i="39" s="1"/>
  <c r="M41" i="39"/>
  <c r="M78" i="39"/>
  <c r="N78" i="39" s="1"/>
  <c r="A78" i="39" s="1"/>
  <c r="M86" i="39"/>
  <c r="N86" i="39" s="1"/>
  <c r="A86" i="39" s="1"/>
  <c r="M145" i="39"/>
  <c r="M149" i="39"/>
  <c r="M153" i="39"/>
  <c r="M155" i="39"/>
  <c r="N155" i="39" s="1"/>
  <c r="A155" i="39" s="1"/>
  <c r="N158" i="39"/>
  <c r="A158" i="39" s="1"/>
  <c r="M175" i="39"/>
  <c r="N176" i="39"/>
  <c r="A176" i="39" s="1"/>
  <c r="N178" i="39"/>
  <c r="A178" i="39" s="1"/>
  <c r="N184" i="39"/>
  <c r="A184" i="39" s="1"/>
  <c r="N186" i="39"/>
  <c r="A186" i="39" s="1"/>
  <c r="M209" i="39"/>
  <c r="N209" i="39" s="1"/>
  <c r="A209" i="39" s="1"/>
  <c r="N229" i="39"/>
  <c r="A229" i="39" s="1"/>
  <c r="N230" i="39"/>
  <c r="A230" i="39" s="1"/>
  <c r="N232" i="39"/>
  <c r="A232" i="39" s="1"/>
  <c r="M256" i="39"/>
  <c r="N256" i="39" s="1"/>
  <c r="A256" i="39" s="1"/>
  <c r="M260" i="39"/>
  <c r="M264" i="39"/>
  <c r="N268" i="39"/>
  <c r="A268" i="39" s="1"/>
  <c r="N272" i="39"/>
  <c r="A272" i="39" s="1"/>
  <c r="N276" i="39"/>
  <c r="A276" i="39" s="1"/>
  <c r="N280" i="39"/>
  <c r="A280" i="39" s="1"/>
  <c r="M282" i="39"/>
  <c r="M286" i="39"/>
  <c r="N288" i="39"/>
  <c r="A288" i="39" s="1"/>
  <c r="M297" i="39"/>
  <c r="M304" i="39"/>
  <c r="M201" i="39"/>
  <c r="N201" i="39" s="1"/>
  <c r="A201" i="39" s="1"/>
  <c r="N236" i="39"/>
  <c r="A236" i="39" s="1"/>
  <c r="M239" i="39"/>
  <c r="M247" i="39"/>
  <c r="M161" i="39"/>
  <c r="N161" i="39" s="1"/>
  <c r="A161" i="39" s="1"/>
  <c r="M193" i="39"/>
  <c r="N193" i="39" s="1"/>
  <c r="A193" i="39" s="1"/>
  <c r="N213" i="39"/>
  <c r="A213" i="39" s="1"/>
  <c r="N228" i="39"/>
  <c r="A228" i="39" s="1"/>
  <c r="M231" i="39"/>
  <c r="M7" i="39"/>
  <c r="N7" i="39" s="1"/>
  <c r="A7" i="39" s="1"/>
  <c r="M6" i="39"/>
  <c r="N6" i="39" s="1"/>
  <c r="A6" i="39" s="1"/>
  <c r="N41" i="39"/>
  <c r="A41" i="39" s="1"/>
  <c r="M57" i="39"/>
  <c r="N57" i="39" s="1"/>
  <c r="A57" i="39" s="1"/>
  <c r="N152" i="39"/>
  <c r="A152" i="39" s="1"/>
  <c r="N153" i="39"/>
  <c r="A153" i="39" s="1"/>
  <c r="M157" i="39"/>
  <c r="N157" i="39" s="1"/>
  <c r="A157" i="39" s="1"/>
  <c r="M172" i="39"/>
  <c r="N172" i="39" s="1"/>
  <c r="A172" i="39" s="1"/>
  <c r="M177" i="39"/>
  <c r="N177" i="39" s="1"/>
  <c r="A177" i="39" s="1"/>
  <c r="M185" i="39"/>
  <c r="N185" i="39" s="1"/>
  <c r="A185" i="39" s="1"/>
  <c r="M198" i="39"/>
  <c r="N198" i="39" s="1"/>
  <c r="A198" i="39" s="1"/>
  <c r="N205" i="39"/>
  <c r="A205" i="39" s="1"/>
  <c r="N208" i="39"/>
  <c r="A208" i="39" s="1"/>
  <c r="N220" i="39"/>
  <c r="A220" i="39" s="1"/>
  <c r="M223" i="39"/>
  <c r="N223" i="39" s="1"/>
  <c r="A223" i="39" s="1"/>
  <c r="M224" i="39"/>
  <c r="N224" i="39" s="1"/>
  <c r="A224" i="39" s="1"/>
  <c r="N226" i="39"/>
  <c r="A226" i="39" s="1"/>
  <c r="M242" i="39"/>
  <c r="N242" i="39" s="1"/>
  <c r="A242" i="39" s="1"/>
  <c r="M250" i="39"/>
  <c r="N250" i="39" s="1"/>
  <c r="A250" i="39" s="1"/>
  <c r="M271" i="39"/>
  <c r="M283" i="39"/>
  <c r="M285" i="39"/>
  <c r="M287" i="39"/>
  <c r="N16" i="39"/>
  <c r="A16" i="39" s="1"/>
  <c r="M49" i="39"/>
  <c r="N49" i="39" s="1"/>
  <c r="A49" i="39" s="1"/>
  <c r="M65" i="39"/>
  <c r="N65" i="39" s="1"/>
  <c r="A65" i="39" s="1"/>
  <c r="M69" i="39"/>
  <c r="N69" i="39" s="1"/>
  <c r="A69" i="39" s="1"/>
  <c r="M148" i="39"/>
  <c r="N156" i="39"/>
  <c r="A156" i="39" s="1"/>
  <c r="N163" i="39"/>
  <c r="A163" i="39" s="1"/>
  <c r="M179" i="39"/>
  <c r="N179" i="39" s="1"/>
  <c r="A179" i="39" s="1"/>
  <c r="N197" i="39"/>
  <c r="A197" i="39" s="1"/>
  <c r="N200" i="39"/>
  <c r="A200" i="39" s="1"/>
  <c r="N212" i="39"/>
  <c r="A212" i="39" s="1"/>
  <c r="M215" i="39"/>
  <c r="N215" i="39" s="1"/>
  <c r="A215" i="39" s="1"/>
  <c r="M216" i="39"/>
  <c r="N216" i="39" s="1"/>
  <c r="A216" i="39" s="1"/>
  <c r="N218" i="39"/>
  <c r="A218" i="39" s="1"/>
  <c r="M221" i="39"/>
  <c r="N221" i="39" s="1"/>
  <c r="A221" i="39" s="1"/>
  <c r="M234" i="39"/>
  <c r="N234" i="39" s="1"/>
  <c r="A234" i="39" s="1"/>
  <c r="M236" i="39"/>
  <c r="N239" i="39"/>
  <c r="A239" i="39" s="1"/>
  <c r="M241" i="39"/>
  <c r="N241" i="39" s="1"/>
  <c r="A241" i="39" s="1"/>
  <c r="N247" i="39"/>
  <c r="A247" i="39" s="1"/>
  <c r="M249" i="39"/>
  <c r="N249" i="39" s="1"/>
  <c r="A249" i="39" s="1"/>
  <c r="N251" i="39"/>
  <c r="A251" i="39" s="1"/>
  <c r="M255" i="39"/>
  <c r="N255" i="39" s="1"/>
  <c r="A255" i="39" s="1"/>
  <c r="M259" i="39"/>
  <c r="N259" i="39" s="1"/>
  <c r="A259" i="39" s="1"/>
  <c r="M267" i="39"/>
  <c r="M269" i="39"/>
  <c r="M273" i="39"/>
  <c r="M277" i="39"/>
  <c r="M279" i="39"/>
  <c r="M281" i="39"/>
  <c r="M289" i="39"/>
  <c r="M296" i="39"/>
  <c r="N181" i="39"/>
  <c r="A181" i="39" s="1"/>
  <c r="N189" i="39"/>
  <c r="A189" i="39" s="1"/>
  <c r="M207" i="39"/>
  <c r="N207" i="39" s="1"/>
  <c r="A207" i="39" s="1"/>
  <c r="N231" i="39"/>
  <c r="A231" i="39" s="1"/>
  <c r="M233" i="39"/>
  <c r="N233" i="39" s="1"/>
  <c r="A233" i="39" s="1"/>
  <c r="M17" i="39"/>
  <c r="N17" i="39" s="1"/>
  <c r="A17" i="39" s="1"/>
  <c r="M54" i="39"/>
  <c r="N54" i="39" s="1"/>
  <c r="A54" i="39" s="1"/>
  <c r="M81" i="39"/>
  <c r="N81" i="39" s="1"/>
  <c r="A81" i="39" s="1"/>
  <c r="M94" i="39"/>
  <c r="N94" i="39" s="1"/>
  <c r="A94" i="39" s="1"/>
  <c r="M140" i="39"/>
  <c r="N140" i="39" s="1"/>
  <c r="A140" i="39" s="1"/>
  <c r="M142" i="39"/>
  <c r="N142" i="39" s="1"/>
  <c r="A142" i="39" s="1"/>
  <c r="N160" i="39"/>
  <c r="A160" i="39" s="1"/>
  <c r="N164" i="39"/>
  <c r="A164" i="39" s="1"/>
  <c r="N173" i="39"/>
  <c r="A173" i="39" s="1"/>
  <c r="N196" i="39"/>
  <c r="A196" i="39" s="1"/>
  <c r="M199" i="39"/>
  <c r="N199" i="39" s="1"/>
  <c r="A199" i="39" s="1"/>
  <c r="N202" i="39"/>
  <c r="A202" i="39" s="1"/>
  <c r="M225" i="39"/>
  <c r="N225" i="39" s="1"/>
  <c r="A225" i="39" s="1"/>
  <c r="M33" i="39"/>
  <c r="N33" i="39" s="1"/>
  <c r="A33" i="39" s="1"/>
  <c r="M73" i="39"/>
  <c r="N73" i="39" s="1"/>
  <c r="A73" i="39" s="1"/>
  <c r="M62" i="39"/>
  <c r="N62" i="39" s="1"/>
  <c r="A62" i="39" s="1"/>
  <c r="M70" i="39"/>
  <c r="N70" i="39" s="1"/>
  <c r="A70" i="39" s="1"/>
  <c r="M136" i="39"/>
  <c r="N136" i="39" s="1"/>
  <c r="A136" i="39" s="1"/>
  <c r="N180" i="39"/>
  <c r="A180" i="39" s="1"/>
  <c r="M183" i="39"/>
  <c r="N183" i="39" s="1"/>
  <c r="A183" i="39" s="1"/>
  <c r="N188" i="39"/>
  <c r="A188" i="39" s="1"/>
  <c r="M191" i="39"/>
  <c r="N191" i="39" s="1"/>
  <c r="A191" i="39" s="1"/>
  <c r="M192" i="39"/>
  <c r="N192" i="39" s="1"/>
  <c r="A192" i="39" s="1"/>
  <c r="N194" i="39"/>
  <c r="A194" i="39" s="1"/>
  <c r="M210" i="39"/>
  <c r="N210" i="39" s="1"/>
  <c r="A210" i="39" s="1"/>
  <c r="M217" i="39"/>
  <c r="N217" i="39" s="1"/>
  <c r="A217" i="39" s="1"/>
  <c r="N237" i="39"/>
  <c r="A237" i="39" s="1"/>
  <c r="N240" i="39"/>
  <c r="A240" i="39" s="1"/>
  <c r="N245" i="39"/>
  <c r="A245" i="39" s="1"/>
  <c r="N248" i="39"/>
  <c r="A248" i="39" s="1"/>
  <c r="M29" i="36"/>
  <c r="A29" i="36" s="1"/>
  <c r="AH14" i="31"/>
  <c r="AI14" i="31" s="1"/>
  <c r="AH25" i="31"/>
  <c r="AI25" i="31" s="1"/>
  <c r="M21" i="36"/>
  <c r="A21" i="36" s="1"/>
  <c r="M39" i="36"/>
  <c r="A39" i="36" s="1"/>
  <c r="M11" i="36"/>
  <c r="A11" i="36" s="1"/>
  <c r="M13" i="36"/>
  <c r="A13" i="36" s="1"/>
  <c r="M28" i="36"/>
  <c r="A28" i="36" s="1"/>
  <c r="M26" i="36"/>
  <c r="A26" i="36" s="1"/>
  <c r="M35" i="36"/>
  <c r="A35" i="36" s="1"/>
  <c r="AH28" i="31"/>
  <c r="AI28" i="31" s="1"/>
  <c r="M33" i="36"/>
  <c r="A33" i="36" s="1"/>
  <c r="M16" i="36"/>
  <c r="A16" i="36" s="1"/>
  <c r="M30" i="36"/>
  <c r="A30" i="36" s="1"/>
  <c r="M38" i="36"/>
  <c r="A38" i="36" s="1"/>
  <c r="M7" i="35"/>
  <c r="A7" i="35" s="1"/>
  <c r="M14" i="35"/>
  <c r="A14" i="35" s="1"/>
  <c r="M16" i="35"/>
  <c r="A16" i="35" s="1"/>
  <c r="M27" i="35"/>
  <c r="A27" i="35" s="1"/>
  <c r="M29" i="35"/>
  <c r="A29" i="35" s="1"/>
  <c r="M36" i="35"/>
  <c r="A36" i="35" s="1"/>
  <c r="M41" i="35"/>
  <c r="A41" i="35" s="1"/>
  <c r="M25" i="35"/>
  <c r="A25" i="35" s="1"/>
  <c r="M30" i="35"/>
  <c r="A30" i="35" s="1"/>
  <c r="M32" i="35"/>
  <c r="A32" i="35" s="1"/>
  <c r="M51" i="35"/>
  <c r="A51" i="35" s="1"/>
  <c r="M53" i="35"/>
  <c r="A53" i="35" s="1"/>
  <c r="L6" i="35"/>
  <c r="M6" i="35" s="1"/>
  <c r="A6" i="35" s="1"/>
  <c r="M11" i="35"/>
  <c r="A11" i="35" s="1"/>
  <c r="M21" i="35"/>
  <c r="A21" i="35" s="1"/>
  <c r="M49" i="35"/>
  <c r="A49" i="35" s="1"/>
  <c r="M54" i="35"/>
  <c r="A54" i="35" s="1"/>
  <c r="M56" i="35"/>
  <c r="A56" i="35" s="1"/>
  <c r="M38" i="35"/>
  <c r="A38" i="35" s="1"/>
  <c r="M59" i="35"/>
  <c r="A59" i="35" s="1"/>
  <c r="M55" i="35"/>
  <c r="A55" i="35" s="1"/>
  <c r="L9" i="35"/>
  <c r="M12" i="35"/>
  <c r="A12" i="35" s="1"/>
  <c r="M43" i="35"/>
  <c r="A43" i="35" s="1"/>
  <c r="M14" i="34"/>
  <c r="A14" i="34" s="1"/>
  <c r="BC25" i="31"/>
  <c r="M13" i="34"/>
  <c r="A13" i="34" s="1"/>
  <c r="BC29" i="31"/>
  <c r="L6" i="33"/>
  <c r="M6" i="33" s="1"/>
  <c r="A6" i="33" s="1"/>
  <c r="L7" i="33"/>
  <c r="M7" i="33" s="1"/>
  <c r="A7" i="33" s="1"/>
  <c r="L8" i="33"/>
  <c r="Z14" i="31"/>
  <c r="AA14" i="31" s="1"/>
  <c r="Z25" i="31"/>
  <c r="AA25" i="31" s="1"/>
  <c r="BB25" i="31" s="1"/>
  <c r="L9" i="33"/>
  <c r="M9" i="33" s="1"/>
  <c r="A9" i="33" s="1"/>
  <c r="L8" i="32"/>
  <c r="M8" i="32" s="1"/>
  <c r="A8" i="32" s="1"/>
  <c r="L9" i="32"/>
  <c r="M9" i="32" s="1"/>
  <c r="A9" i="32" s="1"/>
  <c r="BA29" i="31"/>
  <c r="BC28" i="31"/>
  <c r="M8" i="34"/>
  <c r="A8" i="34" s="1"/>
  <c r="L7" i="32"/>
  <c r="M7" i="32" s="1"/>
  <c r="A7" i="32" s="1"/>
  <c r="BA7" i="31"/>
  <c r="BC27" i="31"/>
  <c r="L6" i="32"/>
  <c r="M6" i="32" s="1"/>
  <c r="A6" i="32" s="1"/>
  <c r="AI16" i="32"/>
  <c r="L7" i="34"/>
  <c r="M7" i="34" s="1"/>
  <c r="A7" i="34" s="1"/>
  <c r="L9" i="34"/>
  <c r="M9" i="34" s="1"/>
  <c r="A9" i="34" s="1"/>
  <c r="M12" i="34"/>
  <c r="A12" i="34" s="1"/>
  <c r="M9" i="35"/>
  <c r="A9" i="35" s="1"/>
  <c r="M13" i="35"/>
  <c r="A13" i="35" s="1"/>
  <c r="M15" i="34"/>
  <c r="A15" i="34" s="1"/>
  <c r="M18" i="34"/>
  <c r="M23" i="36"/>
  <c r="A23" i="36" s="1"/>
  <c r="M20" i="36"/>
  <c r="A20" i="36" s="1"/>
  <c r="M27" i="36"/>
  <c r="A27" i="36" s="1"/>
  <c r="L8" i="35"/>
  <c r="M8" i="35" s="1"/>
  <c r="A8" i="35" s="1"/>
  <c r="M8" i="36"/>
  <c r="A8" i="36" s="1"/>
  <c r="M12" i="36"/>
  <c r="A12" i="36" s="1"/>
  <c r="M15" i="36"/>
  <c r="A15" i="36" s="1"/>
  <c r="M31" i="36"/>
  <c r="A31" i="36" s="1"/>
  <c r="M19" i="36"/>
  <c r="A19" i="36" s="1"/>
  <c r="L7" i="36"/>
  <c r="M7" i="36" s="1"/>
  <c r="A7" i="36" s="1"/>
  <c r="M14" i="36"/>
  <c r="A14" i="36" s="1"/>
  <c r="L6" i="36"/>
  <c r="M6" i="36" s="1"/>
  <c r="A6" i="36" s="1"/>
  <c r="M9" i="36"/>
  <c r="A9" i="36" s="1"/>
  <c r="M10" i="38"/>
  <c r="A10" i="38" s="1"/>
  <c r="M92" i="39"/>
  <c r="N92" i="39" s="1"/>
  <c r="A92" i="39" s="1"/>
  <c r="M100" i="39"/>
  <c r="N100" i="39" s="1"/>
  <c r="A100" i="39" s="1"/>
  <c r="M84" i="39"/>
  <c r="N84" i="39" s="1"/>
  <c r="A84" i="39" s="1"/>
  <c r="M16" i="38"/>
  <c r="A16" i="38" s="1"/>
  <c r="M21" i="38"/>
  <c r="A21" i="38" s="1"/>
  <c r="M24" i="38"/>
  <c r="A24" i="38" s="1"/>
  <c r="N258" i="39"/>
  <c r="A258" i="39" s="1"/>
  <c r="M258" i="39"/>
  <c r="M37" i="39"/>
  <c r="N37" i="39" s="1"/>
  <c r="A37" i="39" s="1"/>
  <c r="AI16" i="38"/>
  <c r="M17" i="38"/>
  <c r="A17" i="38" s="1"/>
  <c r="M20" i="38"/>
  <c r="A20" i="38" s="1"/>
  <c r="M25" i="38"/>
  <c r="A25" i="38" s="1"/>
  <c r="M28" i="38"/>
  <c r="A28" i="38" s="1"/>
  <c r="M35" i="39"/>
  <c r="N35" i="39" s="1"/>
  <c r="A35" i="39" s="1"/>
  <c r="M58" i="39"/>
  <c r="N58" i="39" s="1"/>
  <c r="A58" i="39" s="1"/>
  <c r="M82" i="39"/>
  <c r="N82" i="39" s="1"/>
  <c r="A82" i="39" s="1"/>
  <c r="M125" i="39"/>
  <c r="N125" i="39" s="1"/>
  <c r="A125" i="39" s="1"/>
  <c r="N254" i="39"/>
  <c r="A254" i="39" s="1"/>
  <c r="M254" i="39"/>
  <c r="M28" i="39"/>
  <c r="N28" i="39" s="1"/>
  <c r="A28" i="39" s="1"/>
  <c r="M52" i="39"/>
  <c r="N52" i="39" s="1"/>
  <c r="A52" i="39" s="1"/>
  <c r="M211" i="39"/>
  <c r="N211" i="39"/>
  <c r="A211" i="39" s="1"/>
  <c r="M43" i="39"/>
  <c r="N43" i="39" s="1"/>
  <c r="A43" i="39" s="1"/>
  <c r="M139" i="39"/>
  <c r="N139" i="39" s="1"/>
  <c r="A139" i="39" s="1"/>
  <c r="M159" i="39"/>
  <c r="N159" i="39"/>
  <c r="A159" i="39" s="1"/>
  <c r="M165" i="39"/>
  <c r="N165" i="39" s="1"/>
  <c r="A165" i="39" s="1"/>
  <c r="M203" i="39"/>
  <c r="N203" i="39" s="1"/>
  <c r="A203" i="39" s="1"/>
  <c r="M50" i="39"/>
  <c r="N50" i="39" s="1"/>
  <c r="A50" i="39" s="1"/>
  <c r="M67" i="39"/>
  <c r="N67" i="39" s="1"/>
  <c r="A67" i="39" s="1"/>
  <c r="M167" i="39"/>
  <c r="N167" i="39"/>
  <c r="A167" i="39" s="1"/>
  <c r="M60" i="39"/>
  <c r="N60" i="39" s="1"/>
  <c r="A60" i="39" s="1"/>
  <c r="M108" i="39"/>
  <c r="N108" i="39" s="1"/>
  <c r="A108" i="39" s="1"/>
  <c r="M129" i="39"/>
  <c r="N129" i="39" s="1"/>
  <c r="A129" i="39" s="1"/>
  <c r="M26" i="39"/>
  <c r="N26" i="39" s="1"/>
  <c r="A26" i="39" s="1"/>
  <c r="M68" i="39"/>
  <c r="N68" i="39" s="1"/>
  <c r="A68" i="39" s="1"/>
  <c r="M90" i="39"/>
  <c r="N90" i="39" s="1"/>
  <c r="A90" i="39" s="1"/>
  <c r="M121" i="39"/>
  <c r="N121" i="39" s="1"/>
  <c r="A121" i="39" s="1"/>
  <c r="M123" i="39"/>
  <c r="N123" i="39" s="1"/>
  <c r="A123" i="39" s="1"/>
  <c r="M154" i="39"/>
  <c r="N154" i="39" s="1"/>
  <c r="A154" i="39" s="1"/>
  <c r="M36" i="39"/>
  <c r="N36" i="39" s="1"/>
  <c r="A36" i="39" s="1"/>
  <c r="M98" i="39"/>
  <c r="N98" i="39" s="1"/>
  <c r="A98" i="39" s="1"/>
  <c r="M20" i="39"/>
  <c r="N20" i="39" s="1"/>
  <c r="A20" i="39" s="1"/>
  <c r="M53" i="39"/>
  <c r="N53" i="39" s="1"/>
  <c r="A53" i="39" s="1"/>
  <c r="M77" i="39"/>
  <c r="N77" i="39" s="1"/>
  <c r="A77" i="39" s="1"/>
  <c r="N117" i="39"/>
  <c r="A117" i="39" s="1"/>
  <c r="M143" i="39"/>
  <c r="N143" i="39"/>
  <c r="A143" i="39" s="1"/>
  <c r="M227" i="39"/>
  <c r="N227" i="39" s="1"/>
  <c r="A227" i="39" s="1"/>
  <c r="M18" i="39"/>
  <c r="N18" i="39" s="1"/>
  <c r="A18" i="39" s="1"/>
  <c r="M45" i="39"/>
  <c r="N45" i="39" s="1"/>
  <c r="A45" i="39" s="1"/>
  <c r="M75" i="39"/>
  <c r="N75" i="39" s="1"/>
  <c r="A75" i="39" s="1"/>
  <c r="M107" i="39"/>
  <c r="N107" i="39" s="1"/>
  <c r="A107" i="39" s="1"/>
  <c r="M113" i="39"/>
  <c r="N113" i="39" s="1"/>
  <c r="A113" i="39" s="1"/>
  <c r="M115" i="39"/>
  <c r="N115" i="39" s="1"/>
  <c r="A115" i="39" s="1"/>
  <c r="M131" i="39"/>
  <c r="N131" i="39" s="1"/>
  <c r="A131" i="39" s="1"/>
  <c r="M219" i="39"/>
  <c r="N219" i="39" s="1"/>
  <c r="A219" i="39" s="1"/>
  <c r="M106" i="39"/>
  <c r="N106" i="39" s="1"/>
  <c r="A106" i="39" s="1"/>
  <c r="M116" i="39"/>
  <c r="N116" i="39" s="1"/>
  <c r="A116" i="39" s="1"/>
  <c r="M151" i="39"/>
  <c r="N151" i="39"/>
  <c r="A151" i="39" s="1"/>
  <c r="M195" i="39"/>
  <c r="N195" i="39" s="1"/>
  <c r="A195" i="39" s="1"/>
  <c r="N302" i="39"/>
  <c r="A302" i="39" s="1"/>
  <c r="M302" i="39"/>
  <c r="N21" i="39"/>
  <c r="A21" i="39" s="1"/>
  <c r="M34" i="39"/>
  <c r="N34" i="39" s="1"/>
  <c r="A34" i="39" s="1"/>
  <c r="M51" i="39"/>
  <c r="N51" i="39" s="1"/>
  <c r="A51" i="39" s="1"/>
  <c r="M66" i="39"/>
  <c r="N66" i="39" s="1"/>
  <c r="A66" i="39" s="1"/>
  <c r="M83" i="39"/>
  <c r="N83" i="39" s="1"/>
  <c r="A83" i="39" s="1"/>
  <c r="M89" i="39"/>
  <c r="N89" i="39" s="1"/>
  <c r="A89" i="39" s="1"/>
  <c r="N93" i="39"/>
  <c r="A93" i="39" s="1"/>
  <c r="M114" i="39"/>
  <c r="N114" i="39" s="1"/>
  <c r="A114" i="39" s="1"/>
  <c r="M124" i="39"/>
  <c r="N124" i="39" s="1"/>
  <c r="A124" i="39" s="1"/>
  <c r="M187" i="39"/>
  <c r="N187" i="39"/>
  <c r="A187" i="39" s="1"/>
  <c r="N274" i="39"/>
  <c r="A274" i="39" s="1"/>
  <c r="M274" i="39"/>
  <c r="N298" i="39"/>
  <c r="A298" i="39" s="1"/>
  <c r="M298" i="39"/>
  <c r="M19" i="39"/>
  <c r="N19" i="39" s="1"/>
  <c r="A19" i="39" s="1"/>
  <c r="N29" i="39"/>
  <c r="A29" i="39" s="1"/>
  <c r="M44" i="39"/>
  <c r="N44" i="39" s="1"/>
  <c r="A44" i="39" s="1"/>
  <c r="N61" i="39"/>
  <c r="A61" i="39" s="1"/>
  <c r="M76" i="39"/>
  <c r="N76" i="39" s="1"/>
  <c r="A76" i="39" s="1"/>
  <c r="M91" i="39"/>
  <c r="N91" i="39" s="1"/>
  <c r="A91" i="39" s="1"/>
  <c r="N101" i="39"/>
  <c r="A101" i="39" s="1"/>
  <c r="M122" i="39"/>
  <c r="N122" i="39" s="1"/>
  <c r="A122" i="39" s="1"/>
  <c r="M132" i="39"/>
  <c r="N132" i="39" s="1"/>
  <c r="A132" i="39" s="1"/>
  <c r="M135" i="39"/>
  <c r="N135" i="39" s="1"/>
  <c r="A135" i="39" s="1"/>
  <c r="M162" i="39"/>
  <c r="N162" i="39" s="1"/>
  <c r="A162" i="39" s="1"/>
  <c r="M243" i="39"/>
  <c r="N243" i="39" s="1"/>
  <c r="A243" i="39" s="1"/>
  <c r="M270" i="39"/>
  <c r="N294" i="39"/>
  <c r="A294" i="39" s="1"/>
  <c r="M294" i="39"/>
  <c r="M27" i="39"/>
  <c r="N27" i="39" s="1"/>
  <c r="A27" i="39" s="1"/>
  <c r="M42" i="39"/>
  <c r="N42" i="39" s="1"/>
  <c r="A42" i="39" s="1"/>
  <c r="M59" i="39"/>
  <c r="N59" i="39" s="1"/>
  <c r="A59" i="39" s="1"/>
  <c r="M74" i="39"/>
  <c r="N74" i="39" s="1"/>
  <c r="A74" i="39" s="1"/>
  <c r="M85" i="39"/>
  <c r="N85" i="39" s="1"/>
  <c r="A85" i="39" s="1"/>
  <c r="M99" i="39"/>
  <c r="N99" i="39" s="1"/>
  <c r="A99" i="39" s="1"/>
  <c r="M105" i="39"/>
  <c r="N105" i="39" s="1"/>
  <c r="A105" i="39" s="1"/>
  <c r="N109" i="39"/>
  <c r="A109" i="39" s="1"/>
  <c r="M130" i="39"/>
  <c r="N130" i="39" s="1"/>
  <c r="A130" i="39" s="1"/>
  <c r="N146" i="39"/>
  <c r="A146" i="39" s="1"/>
  <c r="N148" i="39"/>
  <c r="A148" i="39" s="1"/>
  <c r="N171" i="39"/>
  <c r="A171" i="39" s="1"/>
  <c r="M235" i="39"/>
  <c r="N235" i="39"/>
  <c r="A235" i="39" s="1"/>
  <c r="N290" i="39"/>
  <c r="A290" i="39" s="1"/>
  <c r="M290" i="39"/>
  <c r="N138" i="39"/>
  <c r="A138" i="39" s="1"/>
  <c r="M147" i="39"/>
  <c r="N147" i="39" s="1"/>
  <c r="A147" i="39" s="1"/>
  <c r="M170" i="39"/>
  <c r="N170" i="39" s="1"/>
  <c r="A170" i="39" s="1"/>
  <c r="N144" i="39"/>
  <c r="A144" i="39" s="1"/>
  <c r="N145" i="39"/>
  <c r="A145" i="39" s="1"/>
  <c r="N149" i="39"/>
  <c r="A149" i="39" s="1"/>
  <c r="N175" i="39"/>
  <c r="A175" i="39" s="1"/>
  <c r="M291" i="39"/>
  <c r="M295" i="39"/>
  <c r="M299" i="39"/>
  <c r="M303" i="39"/>
  <c r="M305" i="39"/>
  <c r="AW33" i="31" l="1"/>
  <c r="AW34" i="31"/>
  <c r="AW19" i="31"/>
  <c r="AW30" i="31"/>
  <c r="AW32" i="31"/>
  <c r="AW31" i="31"/>
  <c r="AQ30" i="31"/>
  <c r="AQ31" i="31"/>
  <c r="AQ33" i="31"/>
  <c r="AQ34" i="31"/>
  <c r="AQ19" i="31"/>
  <c r="AQ32" i="31"/>
  <c r="AO24" i="31"/>
  <c r="AO21" i="31"/>
  <c r="AO31" i="31"/>
  <c r="AO33" i="31"/>
  <c r="AO30" i="31"/>
  <c r="AO32" i="31"/>
  <c r="AO34" i="31"/>
  <c r="AO19" i="31"/>
  <c r="R7" i="31"/>
  <c r="R7" i="1"/>
  <c r="BG8" i="31"/>
  <c r="AM34" i="31"/>
  <c r="BG34" i="31" s="1"/>
  <c r="AM33" i="31"/>
  <c r="AM24" i="31"/>
  <c r="BG27" i="31" s="1"/>
  <c r="AM32" i="31"/>
  <c r="BG32" i="31" s="1"/>
  <c r="AM30" i="31"/>
  <c r="BG30" i="31" s="1"/>
  <c r="AM23" i="31"/>
  <c r="BG23" i="31" s="1"/>
  <c r="AM21" i="31"/>
  <c r="AM19" i="31"/>
  <c r="BG19" i="31" s="1"/>
  <c r="AM31" i="31"/>
  <c r="BA13" i="31"/>
  <c r="BB9" i="31"/>
  <c r="BG9" i="31"/>
  <c r="BG10" i="31"/>
  <c r="BC24" i="31"/>
  <c r="BA14" i="31"/>
  <c r="BF34" i="31"/>
  <c r="BB34" i="31"/>
  <c r="BA26" i="31"/>
  <c r="BA11" i="31"/>
  <c r="BE25" i="31"/>
  <c r="BA34" i="31"/>
  <c r="BG12" i="31"/>
  <c r="BC34" i="31"/>
  <c r="BB10" i="31"/>
  <c r="BA25" i="31"/>
  <c r="BA24" i="31"/>
  <c r="BA17" i="31"/>
  <c r="BG18" i="31"/>
  <c r="BG17" i="31"/>
  <c r="BG7" i="31"/>
  <c r="BF14" i="31"/>
  <c r="BF25" i="31"/>
  <c r="BF8" i="31"/>
  <c r="BF29" i="31"/>
  <c r="BF23" i="31"/>
  <c r="BF33" i="31"/>
  <c r="BE7" i="31"/>
  <c r="BE18" i="31"/>
  <c r="BE8" i="31"/>
  <c r="BE28" i="31"/>
  <c r="BE31" i="31"/>
  <c r="BE23" i="31"/>
  <c r="BE10" i="31"/>
  <c r="BE33" i="31"/>
  <c r="BE17" i="31"/>
  <c r="BE27" i="31"/>
  <c r="BD8" i="31"/>
  <c r="BD7" i="31"/>
  <c r="BD6" i="31"/>
  <c r="BD10" i="31"/>
  <c r="BA23" i="31"/>
  <c r="BA10" i="31"/>
  <c r="BB19" i="31"/>
  <c r="BC23" i="31"/>
  <c r="BA19" i="31"/>
  <c r="BE6" i="31"/>
  <c r="BC19" i="31"/>
  <c r="BC15" i="31"/>
  <c r="BB15" i="31"/>
  <c r="BA22" i="31"/>
  <c r="BC13" i="31"/>
  <c r="BC11" i="31"/>
  <c r="BC8" i="31"/>
  <c r="BC22" i="31"/>
  <c r="BC7" i="31"/>
  <c r="BA12" i="31"/>
  <c r="BE22" i="31"/>
  <c r="BA8" i="31"/>
  <c r="BA21" i="31"/>
  <c r="BA18" i="31"/>
  <c r="BG14" i="31"/>
  <c r="BC12" i="31"/>
  <c r="BE13" i="31"/>
  <c r="BB33" i="31"/>
  <c r="BB16" i="31"/>
  <c r="BB32" i="31"/>
  <c r="BB11" i="31"/>
  <c r="BF17" i="31"/>
  <c r="BA15" i="31"/>
  <c r="BC9" i="31"/>
  <c r="BG6" i="31"/>
  <c r="BG16" i="31"/>
  <c r="BC10" i="31"/>
  <c r="BA20" i="31"/>
  <c r="BA9" i="31"/>
  <c r="BA6" i="31"/>
  <c r="BC17" i="31"/>
  <c r="BE9" i="31"/>
  <c r="BA16" i="31"/>
  <c r="BF6" i="31"/>
  <c r="BG15" i="31"/>
  <c r="BC6" i="31"/>
  <c r="BG25" i="31" l="1"/>
  <c r="BD13" i="31"/>
  <c r="BC16" i="31"/>
  <c r="BE20" i="31"/>
  <c r="BF9" i="31"/>
  <c r="BD9" i="31"/>
  <c r="BD19" i="31"/>
  <c r="BF27" i="31"/>
  <c r="BG29" i="31"/>
  <c r="BB12" i="31"/>
  <c r="BB24" i="31"/>
  <c r="BG22" i="31"/>
  <c r="BE11" i="31"/>
  <c r="BE19" i="31"/>
  <c r="BE26" i="31"/>
  <c r="BD14" i="31"/>
  <c r="BD16" i="31"/>
  <c r="BG24" i="31"/>
  <c r="BD33" i="31"/>
  <c r="BG31" i="31"/>
  <c r="BG28" i="31"/>
  <c r="BE32" i="31"/>
  <c r="BE14" i="31"/>
  <c r="BE30" i="31"/>
  <c r="BG26" i="31"/>
  <c r="BF30" i="31"/>
  <c r="BF10" i="31"/>
  <c r="BF20" i="31"/>
  <c r="BF32" i="31"/>
  <c r="BF19" i="31"/>
  <c r="BF28" i="31"/>
  <c r="BF24" i="31"/>
  <c r="BB20" i="31"/>
  <c r="BB27" i="31"/>
  <c r="BC18" i="31"/>
  <c r="BC26" i="31"/>
  <c r="BE12" i="31"/>
  <c r="BG20" i="31"/>
  <c r="BF31" i="31"/>
  <c r="BE34" i="31"/>
  <c r="BG33" i="31"/>
  <c r="BF13" i="31"/>
  <c r="BD12" i="31"/>
  <c r="BE15" i="31"/>
  <c r="BF16" i="31"/>
  <c r="BG13" i="31"/>
  <c r="BE29" i="31"/>
  <c r="BD20" i="31"/>
  <c r="BD11" i="31"/>
  <c r="BF11" i="31"/>
  <c r="BC21" i="31"/>
  <c r="BC30" i="31"/>
  <c r="BF18" i="31"/>
  <c r="BF12" i="31"/>
  <c r="BG11" i="31"/>
  <c r="BF26" i="31"/>
  <c r="BF21" i="31"/>
  <c r="BD18" i="31"/>
  <c r="BD23" i="31"/>
  <c r="BD25" i="31"/>
  <c r="BF15" i="31"/>
  <c r="BD34" i="31"/>
  <c r="BD30" i="31"/>
  <c r="BD28" i="31"/>
  <c r="BD29" i="31"/>
  <c r="BD26" i="31"/>
  <c r="BD32" i="31"/>
  <c r="BE24" i="31"/>
  <c r="BE21" i="31"/>
  <c r="BD15" i="31"/>
  <c r="BD31" i="31"/>
  <c r="BD17" i="31"/>
  <c r="BD27" i="31"/>
  <c r="BD22" i="31"/>
  <c r="BD24" i="31"/>
  <c r="BD21" i="31"/>
  <c r="BG21" i="31"/>
  <c r="BE16" i="31"/>
  <c r="BF22" i="31"/>
  <c r="BF7" i="31"/>
  <c r="BC14" i="31"/>
  <c r="BB21" i="31"/>
  <c r="BC20" i="31"/>
  <c r="BB13" i="31"/>
  <c r="BB22" i="31"/>
  <c r="BB18" i="31"/>
  <c r="BB23" i="31"/>
  <c r="BB17" i="31"/>
  <c r="BB6" i="31"/>
  <c r="BB7" i="31"/>
  <c r="BB8" i="31"/>
  <c r="BB14" i="31"/>
  <c r="U6" i="1"/>
  <c r="U7" i="1"/>
  <c r="U9" i="1"/>
  <c r="U14" i="1"/>
  <c r="U11" i="1"/>
  <c r="U8" i="1"/>
  <c r="U18" i="1"/>
  <c r="U13" i="1"/>
  <c r="U12" i="1"/>
  <c r="U26" i="1"/>
  <c r="U28" i="1"/>
  <c r="U15" i="1"/>
  <c r="U20" i="1"/>
  <c r="U17" i="1"/>
  <c r="U16" i="1"/>
  <c r="U27" i="1"/>
  <c r="U10" i="1"/>
  <c r="U24" i="1"/>
  <c r="M6" i="1"/>
  <c r="M7" i="1"/>
  <c r="M9" i="1"/>
  <c r="M8" i="1"/>
  <c r="M18" i="1"/>
  <c r="M14" i="1"/>
  <c r="M13" i="1"/>
  <c r="M11" i="1"/>
  <c r="M12" i="1"/>
  <c r="M28" i="1"/>
  <c r="M15" i="1"/>
  <c r="M20" i="1"/>
  <c r="M17" i="1"/>
  <c r="M16" i="1"/>
  <c r="M27" i="1"/>
  <c r="M10" i="1"/>
  <c r="M24" i="1"/>
  <c r="B25" i="18"/>
  <c r="B24" i="18"/>
  <c r="B23" i="18"/>
  <c r="B22" i="18"/>
  <c r="B21" i="18"/>
  <c r="B20" i="18"/>
  <c r="B19" i="18"/>
  <c r="B18" i="18"/>
  <c r="K34" i="31"/>
  <c r="L34" i="31" s="1"/>
  <c r="K17" i="31"/>
  <c r="L17" i="31" s="1"/>
  <c r="K16" i="31"/>
  <c r="L16" i="31" s="1"/>
  <c r="K12" i="31"/>
  <c r="L12" i="31" s="1"/>
  <c r="K11" i="31"/>
  <c r="L11" i="31" s="1"/>
  <c r="K8" i="31"/>
  <c r="L8" i="31" s="1"/>
  <c r="K7" i="31"/>
  <c r="L7" i="31" s="1"/>
  <c r="K6" i="1"/>
  <c r="K8" i="1"/>
  <c r="K18" i="1"/>
  <c r="K14" i="1"/>
  <c r="K13" i="1"/>
  <c r="K17" i="1"/>
  <c r="K16" i="1"/>
  <c r="K27" i="1"/>
  <c r="K11" i="1"/>
  <c r="K12" i="1"/>
  <c r="K20" i="1"/>
  <c r="K15" i="1"/>
  <c r="K10" i="1"/>
  <c r="K24" i="1"/>
  <c r="K26" i="1"/>
  <c r="I15" i="1"/>
  <c r="I11" i="1"/>
  <c r="I27" i="1"/>
  <c r="I16" i="1"/>
  <c r="I17" i="1"/>
  <c r="I13" i="1"/>
  <c r="I14" i="1"/>
  <c r="I18" i="1"/>
  <c r="I8" i="1"/>
  <c r="I9" i="1"/>
  <c r="I7" i="1"/>
  <c r="I6" i="1"/>
  <c r="G28" i="1"/>
  <c r="E28" i="1"/>
  <c r="G20" i="1"/>
  <c r="E20" i="1"/>
  <c r="G12" i="1"/>
  <c r="E12" i="1"/>
  <c r="G11" i="1"/>
  <c r="G16" i="1"/>
  <c r="E16" i="1"/>
  <c r="E17" i="1"/>
  <c r="G13" i="1"/>
  <c r="E13" i="1"/>
  <c r="E18" i="1"/>
  <c r="J65" i="16"/>
  <c r="K65" i="16" s="1"/>
  <c r="I65" i="16"/>
  <c r="M65" i="16" s="1"/>
  <c r="J64" i="16"/>
  <c r="K64" i="16" s="1"/>
  <c r="I64" i="16"/>
  <c r="M64" i="16" s="1"/>
  <c r="J63" i="16"/>
  <c r="K63" i="16" s="1"/>
  <c r="I63" i="16"/>
  <c r="M63" i="16" s="1"/>
  <c r="J62" i="16"/>
  <c r="K62" i="16" s="1"/>
  <c r="I62" i="16"/>
  <c r="M62" i="16" s="1"/>
  <c r="J61" i="16"/>
  <c r="K61" i="16" s="1"/>
  <c r="I61" i="16"/>
  <c r="M61" i="16" s="1"/>
  <c r="J60" i="16"/>
  <c r="K60" i="16" s="1"/>
  <c r="I60" i="16"/>
  <c r="M60" i="16" s="1"/>
  <c r="J59" i="16"/>
  <c r="K59" i="16" s="1"/>
  <c r="I59" i="16"/>
  <c r="M59" i="16" s="1"/>
  <c r="J58" i="16"/>
  <c r="K58" i="16" s="1"/>
  <c r="I58" i="16"/>
  <c r="M58" i="16" s="1"/>
  <c r="J57" i="16"/>
  <c r="K57" i="16" s="1"/>
  <c r="I57" i="16"/>
  <c r="M57" i="16" s="1"/>
  <c r="J56" i="16"/>
  <c r="K56" i="16" s="1"/>
  <c r="I56" i="16"/>
  <c r="M56" i="16" s="1"/>
  <c r="J55" i="16"/>
  <c r="K55" i="16" s="1"/>
  <c r="I55" i="16"/>
  <c r="M55" i="16" s="1"/>
  <c r="J54" i="16"/>
  <c r="K54" i="16" s="1"/>
  <c r="I54" i="16"/>
  <c r="M54" i="16" s="1"/>
  <c r="J53" i="16"/>
  <c r="K53" i="16" s="1"/>
  <c r="I53" i="16"/>
  <c r="M53" i="16" s="1"/>
  <c r="J52" i="16"/>
  <c r="K52" i="16" s="1"/>
  <c r="I52" i="16"/>
  <c r="M52" i="16" s="1"/>
  <c r="J51" i="16"/>
  <c r="K51" i="16" s="1"/>
  <c r="I51" i="16"/>
  <c r="M51" i="16" s="1"/>
  <c r="J50" i="16"/>
  <c r="K50" i="16" s="1"/>
  <c r="I50" i="16"/>
  <c r="M50" i="16" s="1"/>
  <c r="J49" i="16"/>
  <c r="K49" i="16" s="1"/>
  <c r="I49" i="16"/>
  <c r="M49" i="16" s="1"/>
  <c r="J48" i="16"/>
  <c r="K48" i="16" s="1"/>
  <c r="I48" i="16"/>
  <c r="M48" i="16" s="1"/>
  <c r="J47" i="16"/>
  <c r="K47" i="16" s="1"/>
  <c r="I47" i="16"/>
  <c r="M47" i="16" s="1"/>
  <c r="J46" i="16"/>
  <c r="K46" i="16" s="1"/>
  <c r="I46" i="16"/>
  <c r="M46" i="16" s="1"/>
  <c r="J45" i="16"/>
  <c r="K45" i="16" s="1"/>
  <c r="I45" i="16"/>
  <c r="M45" i="16" s="1"/>
  <c r="J44" i="16"/>
  <c r="K44" i="16" s="1"/>
  <c r="I44" i="16"/>
  <c r="M44" i="16" s="1"/>
  <c r="J43" i="16"/>
  <c r="K43" i="16" s="1"/>
  <c r="I43" i="16"/>
  <c r="M43" i="16" s="1"/>
  <c r="J42" i="16"/>
  <c r="K42" i="16" s="1"/>
  <c r="I42" i="16"/>
  <c r="M42" i="16" s="1"/>
  <c r="J41" i="16"/>
  <c r="K41" i="16" s="1"/>
  <c r="I41" i="16"/>
  <c r="M41" i="16" s="1"/>
  <c r="J40" i="16"/>
  <c r="K40" i="16" s="1"/>
  <c r="I40" i="16"/>
  <c r="M40" i="16" s="1"/>
  <c r="J39" i="16"/>
  <c r="K39" i="16" s="1"/>
  <c r="I39" i="16"/>
  <c r="M39" i="16" s="1"/>
  <c r="J38" i="16"/>
  <c r="K38" i="16" s="1"/>
  <c r="I38" i="16"/>
  <c r="M38" i="16" s="1"/>
  <c r="J37" i="16"/>
  <c r="K37" i="16" s="1"/>
  <c r="I37" i="16"/>
  <c r="M37" i="16" s="1"/>
  <c r="J36" i="16"/>
  <c r="K36" i="16" s="1"/>
  <c r="I36" i="16"/>
  <c r="M36" i="16" s="1"/>
  <c r="J35" i="16"/>
  <c r="K35" i="16" s="1"/>
  <c r="I35" i="16"/>
  <c r="M35" i="16" s="1"/>
  <c r="J34" i="16"/>
  <c r="K34" i="16" s="1"/>
  <c r="I34" i="16"/>
  <c r="M34" i="16" s="1"/>
  <c r="J33" i="16"/>
  <c r="K33" i="16" s="1"/>
  <c r="I33" i="16"/>
  <c r="M33" i="16" s="1"/>
  <c r="J32" i="16"/>
  <c r="K32" i="16" s="1"/>
  <c r="I32" i="16"/>
  <c r="M32" i="16" s="1"/>
  <c r="J31" i="16"/>
  <c r="K31" i="16" s="1"/>
  <c r="I31" i="16"/>
  <c r="M31" i="16" s="1"/>
  <c r="J30" i="16"/>
  <c r="K30" i="16" s="1"/>
  <c r="I30" i="16"/>
  <c r="M30" i="16" s="1"/>
  <c r="J29" i="16"/>
  <c r="K29" i="16" s="1"/>
  <c r="I29" i="16"/>
  <c r="M29" i="16" s="1"/>
  <c r="J28" i="16"/>
  <c r="K28" i="16" s="1"/>
  <c r="I28" i="16"/>
  <c r="M28" i="16" s="1"/>
  <c r="J27" i="16"/>
  <c r="K27" i="16" s="1"/>
  <c r="I27" i="16"/>
  <c r="M27" i="16" s="1"/>
  <c r="J26" i="16"/>
  <c r="K26" i="16" s="1"/>
  <c r="I26" i="16"/>
  <c r="M26" i="16" s="1"/>
  <c r="J25" i="16"/>
  <c r="K25" i="16" s="1"/>
  <c r="I25" i="16"/>
  <c r="M25" i="16" s="1"/>
  <c r="J24" i="16"/>
  <c r="K24" i="16" s="1"/>
  <c r="I24" i="16"/>
  <c r="M24" i="16" s="1"/>
  <c r="J23" i="16"/>
  <c r="K23" i="16" s="1"/>
  <c r="I23" i="16"/>
  <c r="M23" i="16" s="1"/>
  <c r="J22" i="16"/>
  <c r="K22" i="16" s="1"/>
  <c r="I22" i="16"/>
  <c r="M22" i="16" s="1"/>
  <c r="J21" i="16"/>
  <c r="K21" i="16" s="1"/>
  <c r="I21" i="16"/>
  <c r="M21" i="16" s="1"/>
  <c r="J20" i="16"/>
  <c r="K20" i="16" s="1"/>
  <c r="I20" i="16"/>
  <c r="M20" i="16" s="1"/>
  <c r="J19" i="16"/>
  <c r="K19" i="16" s="1"/>
  <c r="I19" i="16"/>
  <c r="M19" i="16" s="1"/>
  <c r="J18" i="16"/>
  <c r="K18" i="16" s="1"/>
  <c r="I18" i="16"/>
  <c r="M18" i="16" s="1"/>
  <c r="J17" i="16"/>
  <c r="K17" i="16" s="1"/>
  <c r="I17" i="16"/>
  <c r="M17" i="16" s="1"/>
  <c r="J16" i="16"/>
  <c r="K16" i="16" s="1"/>
  <c r="I16" i="16"/>
  <c r="M16" i="16" s="1"/>
  <c r="J15" i="16"/>
  <c r="K15" i="16" s="1"/>
  <c r="I15" i="16"/>
  <c r="M15" i="16" s="1"/>
  <c r="J14" i="16"/>
  <c r="K14" i="16" s="1"/>
  <c r="I14" i="16"/>
  <c r="M14" i="16" s="1"/>
  <c r="J13" i="16"/>
  <c r="K13" i="16" s="1"/>
  <c r="I13" i="16"/>
  <c r="J12" i="16"/>
  <c r="K12" i="16" s="1"/>
  <c r="I12" i="16"/>
  <c r="M12" i="16" s="1"/>
  <c r="J11" i="16"/>
  <c r="K11" i="16" s="1"/>
  <c r="I11" i="16"/>
  <c r="M11" i="16" s="1"/>
  <c r="J10" i="16"/>
  <c r="K10" i="16" s="1"/>
  <c r="I10" i="16"/>
  <c r="M10" i="16" s="1"/>
  <c r="J9" i="16"/>
  <c r="K9" i="16" s="1"/>
  <c r="I9" i="16"/>
  <c r="J8" i="16"/>
  <c r="K8" i="16" s="1"/>
  <c r="I8" i="16"/>
  <c r="J7" i="16"/>
  <c r="K7" i="16" s="1"/>
  <c r="I7" i="16"/>
  <c r="J6" i="16"/>
  <c r="K6" i="16" s="1"/>
  <c r="A26" i="1"/>
  <c r="A28" i="1"/>
  <c r="A20" i="1"/>
  <c r="A12" i="1"/>
  <c r="A24" i="1"/>
  <c r="A10" i="1"/>
  <c r="A15" i="1"/>
  <c r="A11" i="1"/>
  <c r="A27" i="1"/>
  <c r="A16" i="1"/>
  <c r="A17" i="1"/>
  <c r="A13" i="1"/>
  <c r="A18" i="1"/>
  <c r="A14" i="1"/>
  <c r="A8" i="1"/>
  <c r="A9" i="1"/>
  <c r="A7" i="1"/>
  <c r="A6" i="1"/>
  <c r="J373" i="20"/>
  <c r="J372" i="20"/>
  <c r="J371" i="20"/>
  <c r="J370" i="20"/>
  <c r="J369" i="20"/>
  <c r="J368" i="20"/>
  <c r="J367" i="20"/>
  <c r="J366" i="20"/>
  <c r="J365" i="20"/>
  <c r="J364" i="20"/>
  <c r="J363" i="20"/>
  <c r="J362" i="20"/>
  <c r="J361" i="20"/>
  <c r="J360" i="20"/>
  <c r="J359" i="20"/>
  <c r="J358" i="20"/>
  <c r="J357" i="20"/>
  <c r="J356" i="20"/>
  <c r="J355" i="20"/>
  <c r="J354" i="20"/>
  <c r="J353" i="20"/>
  <c r="J352" i="20"/>
  <c r="J351" i="20"/>
  <c r="J350" i="20"/>
  <c r="J349" i="20"/>
  <c r="J348" i="20"/>
  <c r="J347" i="20"/>
  <c r="J346" i="20"/>
  <c r="J345" i="20"/>
  <c r="J344" i="20"/>
  <c r="J343" i="20"/>
  <c r="J342" i="20"/>
  <c r="J341" i="20"/>
  <c r="J340" i="20"/>
  <c r="J339" i="20"/>
  <c r="J338" i="20"/>
  <c r="J337" i="20"/>
  <c r="J336" i="20"/>
  <c r="J335" i="20"/>
  <c r="J334" i="20"/>
  <c r="J333" i="20"/>
  <c r="J332" i="20"/>
  <c r="J331" i="20"/>
  <c r="J330" i="20"/>
  <c r="J329" i="20"/>
  <c r="J328" i="20"/>
  <c r="J327" i="20"/>
  <c r="J326" i="20"/>
  <c r="J325" i="20"/>
  <c r="J324" i="20"/>
  <c r="J323" i="20"/>
  <c r="J322" i="20"/>
  <c r="J321" i="20"/>
  <c r="J320" i="20"/>
  <c r="J319" i="20"/>
  <c r="J318" i="20"/>
  <c r="J317" i="20"/>
  <c r="J316" i="20"/>
  <c r="J315" i="20"/>
  <c r="J314" i="20"/>
  <c r="J313" i="20"/>
  <c r="J312" i="20"/>
  <c r="J311" i="20"/>
  <c r="J310" i="20"/>
  <c r="J309" i="20"/>
  <c r="J308" i="20"/>
  <c r="J307" i="20"/>
  <c r="J306" i="20"/>
  <c r="J305" i="20"/>
  <c r="J304" i="20"/>
  <c r="J303" i="20"/>
  <c r="J302" i="20"/>
  <c r="J301" i="20"/>
  <c r="J300" i="20"/>
  <c r="J299" i="20"/>
  <c r="J298" i="20"/>
  <c r="J297" i="20"/>
  <c r="J296" i="20"/>
  <c r="J295" i="20"/>
  <c r="J294" i="20"/>
  <c r="J293" i="20"/>
  <c r="J292" i="20"/>
  <c r="J291" i="20"/>
  <c r="J290" i="20"/>
  <c r="J289" i="20"/>
  <c r="J288" i="20"/>
  <c r="J287" i="20"/>
  <c r="J286" i="20"/>
  <c r="J285" i="20"/>
  <c r="J284" i="20"/>
  <c r="J283" i="20"/>
  <c r="J282" i="20"/>
  <c r="J281" i="20"/>
  <c r="J280" i="20"/>
  <c r="J279" i="20"/>
  <c r="J278" i="20"/>
  <c r="J277" i="20"/>
  <c r="J276" i="20"/>
  <c r="J275" i="20"/>
  <c r="J274" i="20"/>
  <c r="J273" i="20"/>
  <c r="J272" i="20"/>
  <c r="J271" i="20"/>
  <c r="J270" i="20"/>
  <c r="J269" i="20"/>
  <c r="J268" i="20"/>
  <c r="J267" i="20"/>
  <c r="J266" i="20"/>
  <c r="J265" i="20"/>
  <c r="J264" i="20"/>
  <c r="J263" i="20"/>
  <c r="J262" i="20"/>
  <c r="J261" i="20"/>
  <c r="J260" i="20"/>
  <c r="J259" i="20"/>
  <c r="J258" i="20"/>
  <c r="J257" i="20"/>
  <c r="J256" i="20"/>
  <c r="J255" i="20"/>
  <c r="J254" i="20"/>
  <c r="J253" i="20"/>
  <c r="J252" i="20"/>
  <c r="J251" i="20"/>
  <c r="J250" i="20"/>
  <c r="J249" i="20"/>
  <c r="J248" i="20"/>
  <c r="J247" i="20"/>
  <c r="J246" i="20"/>
  <c r="J245" i="20"/>
  <c r="J244" i="20"/>
  <c r="J243" i="20"/>
  <c r="J242" i="20"/>
  <c r="J241" i="20"/>
  <c r="J240" i="20"/>
  <c r="J239" i="20"/>
  <c r="J238" i="20"/>
  <c r="J237" i="20"/>
  <c r="J236" i="20"/>
  <c r="J235" i="20"/>
  <c r="J234" i="20"/>
  <c r="J233" i="20"/>
  <c r="J232" i="20"/>
  <c r="J231" i="20"/>
  <c r="J230" i="20"/>
  <c r="J229" i="20"/>
  <c r="J228" i="20"/>
  <c r="J227" i="20"/>
  <c r="J226" i="20"/>
  <c r="J225" i="20"/>
  <c r="J224" i="20"/>
  <c r="J223" i="20"/>
  <c r="J222" i="20"/>
  <c r="J221" i="20"/>
  <c r="J220" i="20"/>
  <c r="J219" i="20"/>
  <c r="J218" i="20"/>
  <c r="J217" i="20"/>
  <c r="J216" i="20"/>
  <c r="J215" i="20"/>
  <c r="J214" i="20"/>
  <c r="J213" i="20"/>
  <c r="J212" i="20"/>
  <c r="J211" i="20"/>
  <c r="J210" i="20"/>
  <c r="J209" i="20"/>
  <c r="J208" i="20"/>
  <c r="J207" i="20"/>
  <c r="J206" i="20"/>
  <c r="J205" i="20"/>
  <c r="J204" i="20"/>
  <c r="J203" i="20"/>
  <c r="J202" i="20"/>
  <c r="J201" i="20"/>
  <c r="J200" i="20"/>
  <c r="J199" i="20"/>
  <c r="J198" i="20"/>
  <c r="J197" i="20"/>
  <c r="J196" i="20"/>
  <c r="J195" i="20"/>
  <c r="J194" i="20"/>
  <c r="J193" i="20"/>
  <c r="J192" i="20"/>
  <c r="J191" i="20"/>
  <c r="J190" i="20"/>
  <c r="J189" i="20"/>
  <c r="J188" i="20"/>
  <c r="J187" i="20"/>
  <c r="J186" i="20"/>
  <c r="J185" i="20"/>
  <c r="J184" i="20"/>
  <c r="J183" i="20"/>
  <c r="J182" i="20"/>
  <c r="J181" i="20"/>
  <c r="J180" i="20"/>
  <c r="J179" i="20"/>
  <c r="J178" i="20"/>
  <c r="J177" i="20"/>
  <c r="J176" i="20"/>
  <c r="J175" i="20"/>
  <c r="J174" i="20"/>
  <c r="J173" i="20"/>
  <c r="J172" i="20"/>
  <c r="J171" i="20"/>
  <c r="J170" i="20"/>
  <c r="J169" i="20"/>
  <c r="J168" i="20"/>
  <c r="J167" i="20"/>
  <c r="J166" i="20"/>
  <c r="J165" i="20"/>
  <c r="J164" i="20"/>
  <c r="J163" i="20"/>
  <c r="J162" i="20"/>
  <c r="J161" i="20"/>
  <c r="J160" i="20"/>
  <c r="J159" i="20"/>
  <c r="J158" i="20"/>
  <c r="J157" i="20"/>
  <c r="J156" i="20"/>
  <c r="J155" i="20"/>
  <c r="J154" i="20"/>
  <c r="J153" i="20"/>
  <c r="J152" i="20"/>
  <c r="J151" i="20"/>
  <c r="J150" i="20"/>
  <c r="J149" i="20"/>
  <c r="J148" i="20"/>
  <c r="J147" i="20"/>
  <c r="J146" i="20"/>
  <c r="J145" i="20"/>
  <c r="J144" i="20"/>
  <c r="J143" i="20"/>
  <c r="J142" i="20"/>
  <c r="J141" i="20"/>
  <c r="J140" i="20"/>
  <c r="J139" i="20"/>
  <c r="J138" i="20"/>
  <c r="J137" i="20"/>
  <c r="J136" i="20"/>
  <c r="J135" i="20"/>
  <c r="J134" i="20"/>
  <c r="J133" i="20"/>
  <c r="J132" i="20"/>
  <c r="J131" i="20"/>
  <c r="J130" i="20"/>
  <c r="J129" i="20"/>
  <c r="J128" i="20"/>
  <c r="J127" i="20"/>
  <c r="J126" i="20"/>
  <c r="J125" i="20"/>
  <c r="J124" i="20"/>
  <c r="J123" i="20"/>
  <c r="J122" i="20"/>
  <c r="J121" i="20"/>
  <c r="J120" i="20"/>
  <c r="J119" i="20"/>
  <c r="J118" i="20"/>
  <c r="J117" i="20"/>
  <c r="J116" i="20"/>
  <c r="J115" i="20"/>
  <c r="J114" i="20"/>
  <c r="J113" i="20"/>
  <c r="J112" i="20"/>
  <c r="J111" i="20"/>
  <c r="J110" i="20"/>
  <c r="J109" i="20"/>
  <c r="J108" i="20"/>
  <c r="J107" i="20"/>
  <c r="J106" i="20"/>
  <c r="J105" i="20"/>
  <c r="J104" i="20"/>
  <c r="J103" i="20"/>
  <c r="J102" i="20"/>
  <c r="J101" i="20"/>
  <c r="J100" i="20"/>
  <c r="J99" i="20"/>
  <c r="J98" i="20"/>
  <c r="J97" i="20"/>
  <c r="J96" i="20"/>
  <c r="J95" i="20"/>
  <c r="J94" i="20"/>
  <c r="J93" i="20"/>
  <c r="J92" i="20"/>
  <c r="J91" i="20"/>
  <c r="J90" i="20"/>
  <c r="J89" i="20"/>
  <c r="J88" i="20"/>
  <c r="J87" i="20"/>
  <c r="J86" i="20"/>
  <c r="J85" i="20"/>
  <c r="J84" i="20"/>
  <c r="J83" i="20"/>
  <c r="J82" i="20"/>
  <c r="J81" i="20"/>
  <c r="J80" i="20"/>
  <c r="J79" i="20"/>
  <c r="J78" i="20"/>
  <c r="J77" i="20"/>
  <c r="J76" i="20"/>
  <c r="J75" i="20"/>
  <c r="J74" i="20"/>
  <c r="J73" i="20"/>
  <c r="J72" i="20"/>
  <c r="J71" i="20"/>
  <c r="J70" i="20"/>
  <c r="J69" i="20"/>
  <c r="J68" i="20"/>
  <c r="J67" i="20"/>
  <c r="J66" i="20"/>
  <c r="J65" i="20"/>
  <c r="J64" i="20"/>
  <c r="J63" i="20"/>
  <c r="J62" i="20"/>
  <c r="J61" i="20"/>
  <c r="J60" i="20"/>
  <c r="J59" i="20"/>
  <c r="J58" i="20"/>
  <c r="J57" i="20"/>
  <c r="J56" i="20"/>
  <c r="J55" i="20"/>
  <c r="J54" i="20"/>
  <c r="J53" i="20"/>
  <c r="J52" i="20"/>
  <c r="J51" i="20"/>
  <c r="J50" i="20"/>
  <c r="J49" i="20"/>
  <c r="J48" i="20"/>
  <c r="J47" i="20"/>
  <c r="J46" i="20"/>
  <c r="J45" i="20"/>
  <c r="J44" i="20"/>
  <c r="J43" i="20"/>
  <c r="J42" i="20"/>
  <c r="J41" i="20"/>
  <c r="J40" i="20"/>
  <c r="J39" i="20"/>
  <c r="J38" i="20"/>
  <c r="J37" i="20"/>
  <c r="J36" i="20"/>
  <c r="J35" i="20"/>
  <c r="J34" i="20"/>
  <c r="J33" i="20"/>
  <c r="J32" i="20"/>
  <c r="J31" i="20"/>
  <c r="J30" i="20"/>
  <c r="J29" i="20"/>
  <c r="J28" i="20"/>
  <c r="J27" i="20"/>
  <c r="J26" i="20"/>
  <c r="J25" i="20"/>
  <c r="J24" i="20"/>
  <c r="J23" i="20"/>
  <c r="J22" i="20"/>
  <c r="J21" i="20"/>
  <c r="J20" i="20"/>
  <c r="J19" i="20"/>
  <c r="J18" i="20"/>
  <c r="J17" i="20"/>
  <c r="J16" i="20"/>
  <c r="J15" i="20"/>
  <c r="J14" i="20"/>
  <c r="J13" i="20"/>
  <c r="J12" i="20"/>
  <c r="J11" i="20"/>
  <c r="J10" i="20"/>
  <c r="J9" i="20"/>
  <c r="J8" i="20"/>
  <c r="J7" i="20"/>
  <c r="J373" i="19"/>
  <c r="J372" i="19"/>
  <c r="J371" i="19"/>
  <c r="J370" i="19"/>
  <c r="J369" i="19"/>
  <c r="J368" i="19"/>
  <c r="J367" i="19"/>
  <c r="J366" i="19"/>
  <c r="J365" i="19"/>
  <c r="J364" i="19"/>
  <c r="J363" i="19"/>
  <c r="J362" i="19"/>
  <c r="J361" i="19"/>
  <c r="J360" i="19"/>
  <c r="J359" i="19"/>
  <c r="J358" i="19"/>
  <c r="J357" i="19"/>
  <c r="J356" i="19"/>
  <c r="J355" i="19"/>
  <c r="J354" i="19"/>
  <c r="J353" i="19"/>
  <c r="J352" i="19"/>
  <c r="J351" i="19"/>
  <c r="J350" i="19"/>
  <c r="J349" i="19"/>
  <c r="J348" i="19"/>
  <c r="J347" i="19"/>
  <c r="J346" i="19"/>
  <c r="J345" i="19"/>
  <c r="J344" i="19"/>
  <c r="J343" i="19"/>
  <c r="J342" i="19"/>
  <c r="J341" i="19"/>
  <c r="J340" i="19"/>
  <c r="J339" i="19"/>
  <c r="J338" i="19"/>
  <c r="J337" i="19"/>
  <c r="J336" i="19"/>
  <c r="J335" i="19"/>
  <c r="J334" i="19"/>
  <c r="J333" i="19"/>
  <c r="J332" i="19"/>
  <c r="J331" i="19"/>
  <c r="J330" i="19"/>
  <c r="J329" i="19"/>
  <c r="J328" i="19"/>
  <c r="J327" i="19"/>
  <c r="J326" i="19"/>
  <c r="J325" i="19"/>
  <c r="J324" i="19"/>
  <c r="J323" i="19"/>
  <c r="J322" i="19"/>
  <c r="J321" i="19"/>
  <c r="J320" i="19"/>
  <c r="J319" i="19"/>
  <c r="J318" i="19"/>
  <c r="J317" i="19"/>
  <c r="J316" i="19"/>
  <c r="J315" i="19"/>
  <c r="J314" i="19"/>
  <c r="J313" i="19"/>
  <c r="J312" i="19"/>
  <c r="J311" i="19"/>
  <c r="J310" i="19"/>
  <c r="J309" i="19"/>
  <c r="J308" i="19"/>
  <c r="J307" i="19"/>
  <c r="J306" i="19"/>
  <c r="J305" i="19"/>
  <c r="J304" i="19"/>
  <c r="J303" i="19"/>
  <c r="J302" i="19"/>
  <c r="J301" i="19"/>
  <c r="J300" i="19"/>
  <c r="J299" i="19"/>
  <c r="J298" i="19"/>
  <c r="J297" i="19"/>
  <c r="J296" i="19"/>
  <c r="J295" i="19"/>
  <c r="J294" i="19"/>
  <c r="J293" i="19"/>
  <c r="J292" i="19"/>
  <c r="J291" i="19"/>
  <c r="J290" i="19"/>
  <c r="J289" i="19"/>
  <c r="J288" i="19"/>
  <c r="J287" i="19"/>
  <c r="J286" i="19"/>
  <c r="J285" i="19"/>
  <c r="J284" i="19"/>
  <c r="J283" i="19"/>
  <c r="J282" i="19"/>
  <c r="J281" i="19"/>
  <c r="J280" i="19"/>
  <c r="J279" i="19"/>
  <c r="J278" i="19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87" i="18"/>
  <c r="J686" i="18"/>
  <c r="J685" i="18"/>
  <c r="J684" i="18"/>
  <c r="J683" i="18"/>
  <c r="J682" i="18"/>
  <c r="J681" i="18"/>
  <c r="J680" i="18"/>
  <c r="J679" i="18"/>
  <c r="J678" i="18"/>
  <c r="J677" i="18"/>
  <c r="J676" i="18"/>
  <c r="J675" i="18"/>
  <c r="J674" i="18"/>
  <c r="J673" i="18"/>
  <c r="J672" i="18"/>
  <c r="J671" i="18"/>
  <c r="J670" i="18"/>
  <c r="J669" i="18"/>
  <c r="J668" i="18"/>
  <c r="J667" i="18"/>
  <c r="J666" i="18"/>
  <c r="J665" i="18"/>
  <c r="J664" i="18"/>
  <c r="J663" i="18"/>
  <c r="J662" i="18"/>
  <c r="J661" i="18"/>
  <c r="J660" i="18"/>
  <c r="J659" i="18"/>
  <c r="J658" i="18"/>
  <c r="J657" i="18"/>
  <c r="J656" i="18"/>
  <c r="J655" i="18"/>
  <c r="J654" i="18"/>
  <c r="J653" i="18"/>
  <c r="J652" i="18"/>
  <c r="J651" i="18"/>
  <c r="J650" i="18"/>
  <c r="J649" i="18"/>
  <c r="J648" i="18"/>
  <c r="J647" i="18"/>
  <c r="J646" i="18"/>
  <c r="J645" i="18"/>
  <c r="J644" i="18"/>
  <c r="J643" i="18"/>
  <c r="J642" i="18"/>
  <c r="J641" i="18"/>
  <c r="J640" i="18"/>
  <c r="J639" i="18"/>
  <c r="J638" i="18"/>
  <c r="J637" i="18"/>
  <c r="J636" i="18"/>
  <c r="J635" i="18"/>
  <c r="J634" i="18"/>
  <c r="J633" i="18"/>
  <c r="J632" i="18"/>
  <c r="J631" i="18"/>
  <c r="J630" i="18"/>
  <c r="J629" i="18"/>
  <c r="J628" i="18"/>
  <c r="J627" i="18"/>
  <c r="J626" i="18"/>
  <c r="J625" i="18"/>
  <c r="J624" i="18"/>
  <c r="J623" i="18"/>
  <c r="J622" i="18"/>
  <c r="J621" i="18"/>
  <c r="J620" i="18"/>
  <c r="J619" i="18"/>
  <c r="J618" i="18"/>
  <c r="J617" i="18"/>
  <c r="J616" i="18"/>
  <c r="J615" i="18"/>
  <c r="J614" i="18"/>
  <c r="J613" i="18"/>
  <c r="J612" i="18"/>
  <c r="J611" i="18"/>
  <c r="J610" i="18"/>
  <c r="J609" i="18"/>
  <c r="J608" i="18"/>
  <c r="J607" i="18"/>
  <c r="J606" i="18"/>
  <c r="J605" i="18"/>
  <c r="J604" i="18"/>
  <c r="J603" i="18"/>
  <c r="J602" i="18"/>
  <c r="J601" i="18"/>
  <c r="J600" i="18"/>
  <c r="J599" i="18"/>
  <c r="J598" i="18"/>
  <c r="J597" i="18"/>
  <c r="J596" i="18"/>
  <c r="J595" i="18"/>
  <c r="J594" i="18"/>
  <c r="J593" i="18"/>
  <c r="J592" i="18"/>
  <c r="J591" i="18"/>
  <c r="J590" i="18"/>
  <c r="J589" i="18"/>
  <c r="J588" i="18"/>
  <c r="J587" i="18"/>
  <c r="J586" i="18"/>
  <c r="J585" i="18"/>
  <c r="J584" i="18"/>
  <c r="J583" i="18"/>
  <c r="J582" i="18"/>
  <c r="J581" i="18"/>
  <c r="J580" i="18"/>
  <c r="J579" i="18"/>
  <c r="J578" i="18"/>
  <c r="J577" i="18"/>
  <c r="J576" i="18"/>
  <c r="J575" i="18"/>
  <c r="J574" i="18"/>
  <c r="J573" i="18"/>
  <c r="J572" i="18"/>
  <c r="J571" i="18"/>
  <c r="J570" i="18"/>
  <c r="J569" i="18"/>
  <c r="J568" i="18"/>
  <c r="J567" i="18"/>
  <c r="J566" i="18"/>
  <c r="J565" i="18"/>
  <c r="J564" i="18"/>
  <c r="J563" i="18"/>
  <c r="J562" i="18"/>
  <c r="J561" i="18"/>
  <c r="J560" i="18"/>
  <c r="J559" i="18"/>
  <c r="J558" i="18"/>
  <c r="J557" i="18"/>
  <c r="J556" i="18"/>
  <c r="J555" i="18"/>
  <c r="J554" i="18"/>
  <c r="J553" i="18"/>
  <c r="J552" i="18"/>
  <c r="J551" i="18"/>
  <c r="J550" i="18"/>
  <c r="J549" i="18"/>
  <c r="J548" i="18"/>
  <c r="J547" i="18"/>
  <c r="J546" i="18"/>
  <c r="J545" i="18"/>
  <c r="J544" i="18"/>
  <c r="J543" i="18"/>
  <c r="J542" i="18"/>
  <c r="J541" i="18"/>
  <c r="J540" i="18"/>
  <c r="J539" i="18"/>
  <c r="J538" i="18"/>
  <c r="J537" i="18"/>
  <c r="J536" i="18"/>
  <c r="J535" i="18"/>
  <c r="J534" i="18"/>
  <c r="J533" i="18"/>
  <c r="J532" i="18"/>
  <c r="J531" i="18"/>
  <c r="J530" i="18"/>
  <c r="J529" i="18"/>
  <c r="J528" i="18"/>
  <c r="J527" i="18"/>
  <c r="J526" i="18"/>
  <c r="J525" i="18"/>
  <c r="J524" i="18"/>
  <c r="J523" i="18"/>
  <c r="J522" i="18"/>
  <c r="J521" i="18"/>
  <c r="J520" i="18"/>
  <c r="J519" i="18"/>
  <c r="J518" i="18"/>
  <c r="J517" i="18"/>
  <c r="J516" i="18"/>
  <c r="J515" i="18"/>
  <c r="J514" i="18"/>
  <c r="J513" i="18"/>
  <c r="J512" i="18"/>
  <c r="J511" i="18"/>
  <c r="J510" i="18"/>
  <c r="J509" i="18"/>
  <c r="J508" i="18"/>
  <c r="J507" i="18"/>
  <c r="J506" i="18"/>
  <c r="J505" i="18"/>
  <c r="J504" i="18"/>
  <c r="J503" i="18"/>
  <c r="J502" i="18"/>
  <c r="J501" i="18"/>
  <c r="J500" i="18"/>
  <c r="J499" i="18"/>
  <c r="J498" i="18"/>
  <c r="J497" i="18"/>
  <c r="J496" i="18"/>
  <c r="J495" i="18"/>
  <c r="J494" i="18"/>
  <c r="J493" i="18"/>
  <c r="J492" i="18"/>
  <c r="J491" i="18"/>
  <c r="J490" i="18"/>
  <c r="J489" i="18"/>
  <c r="J488" i="18"/>
  <c r="J487" i="18"/>
  <c r="J486" i="18"/>
  <c r="J485" i="18"/>
  <c r="J484" i="18"/>
  <c r="J483" i="18"/>
  <c r="J482" i="18"/>
  <c r="J481" i="18"/>
  <c r="J480" i="18"/>
  <c r="J479" i="18"/>
  <c r="J478" i="18"/>
  <c r="J477" i="18"/>
  <c r="J476" i="18"/>
  <c r="J475" i="18"/>
  <c r="J474" i="18"/>
  <c r="J473" i="18"/>
  <c r="J472" i="18"/>
  <c r="J471" i="18"/>
  <c r="J470" i="18"/>
  <c r="J469" i="18"/>
  <c r="J468" i="18"/>
  <c r="J467" i="18"/>
  <c r="J466" i="18"/>
  <c r="J465" i="18"/>
  <c r="J464" i="18"/>
  <c r="J463" i="18"/>
  <c r="J462" i="18"/>
  <c r="J461" i="18"/>
  <c r="J460" i="18"/>
  <c r="J459" i="18"/>
  <c r="J458" i="18"/>
  <c r="J457" i="18"/>
  <c r="J456" i="18"/>
  <c r="J455" i="18"/>
  <c r="J454" i="18"/>
  <c r="J453" i="18"/>
  <c r="J452" i="18"/>
  <c r="J451" i="18"/>
  <c r="J450" i="18"/>
  <c r="J449" i="18"/>
  <c r="J448" i="18"/>
  <c r="J447" i="18"/>
  <c r="J446" i="18"/>
  <c r="J445" i="18"/>
  <c r="J444" i="18"/>
  <c r="J443" i="18"/>
  <c r="J442" i="18"/>
  <c r="J441" i="18"/>
  <c r="J440" i="18"/>
  <c r="J439" i="18"/>
  <c r="J438" i="18"/>
  <c r="J437" i="18"/>
  <c r="J436" i="18"/>
  <c r="J435" i="18"/>
  <c r="J434" i="18"/>
  <c r="J433" i="18"/>
  <c r="J432" i="18"/>
  <c r="J431" i="18"/>
  <c r="J430" i="18"/>
  <c r="J429" i="18"/>
  <c r="J428" i="18"/>
  <c r="J427" i="18"/>
  <c r="J426" i="18"/>
  <c r="J425" i="18"/>
  <c r="J424" i="18"/>
  <c r="J423" i="18"/>
  <c r="J422" i="18"/>
  <c r="J421" i="18"/>
  <c r="J420" i="18"/>
  <c r="J419" i="18"/>
  <c r="J418" i="18"/>
  <c r="J417" i="18"/>
  <c r="J416" i="18"/>
  <c r="J415" i="18"/>
  <c r="J414" i="18"/>
  <c r="J413" i="18"/>
  <c r="J412" i="18"/>
  <c r="J411" i="18"/>
  <c r="J410" i="18"/>
  <c r="J409" i="18"/>
  <c r="J408" i="18"/>
  <c r="J407" i="18"/>
  <c r="J406" i="18"/>
  <c r="J405" i="18"/>
  <c r="J404" i="18"/>
  <c r="J403" i="18"/>
  <c r="J402" i="18"/>
  <c r="J401" i="18"/>
  <c r="J400" i="18"/>
  <c r="J399" i="18"/>
  <c r="J398" i="18"/>
  <c r="J397" i="18"/>
  <c r="J396" i="18"/>
  <c r="J395" i="18"/>
  <c r="J394" i="18"/>
  <c r="J393" i="18"/>
  <c r="J392" i="18"/>
  <c r="J391" i="18"/>
  <c r="J390" i="18"/>
  <c r="J389" i="18"/>
  <c r="J388" i="18"/>
  <c r="J387" i="18"/>
  <c r="J386" i="18"/>
  <c r="J385" i="18"/>
  <c r="J384" i="18"/>
  <c r="J383" i="18"/>
  <c r="J382" i="18"/>
  <c r="J381" i="18"/>
  <c r="J380" i="18"/>
  <c r="J379" i="18"/>
  <c r="J378" i="18"/>
  <c r="J377" i="18"/>
  <c r="J376" i="18"/>
  <c r="J375" i="18"/>
  <c r="J374" i="18"/>
  <c r="J373" i="18"/>
  <c r="J372" i="18"/>
  <c r="J371" i="18"/>
  <c r="J370" i="18"/>
  <c r="J369" i="18"/>
  <c r="J368" i="18"/>
  <c r="J367" i="18"/>
  <c r="J366" i="18"/>
  <c r="J365" i="18"/>
  <c r="J364" i="18"/>
  <c r="J363" i="18"/>
  <c r="J362" i="18"/>
  <c r="J361" i="18"/>
  <c r="J360" i="18"/>
  <c r="J359" i="18"/>
  <c r="J358" i="18"/>
  <c r="J357" i="18"/>
  <c r="J356" i="18"/>
  <c r="J355" i="18"/>
  <c r="J354" i="18"/>
  <c r="J353" i="18"/>
  <c r="J352" i="18"/>
  <c r="J351" i="18"/>
  <c r="J350" i="18"/>
  <c r="J349" i="18"/>
  <c r="J348" i="18"/>
  <c r="J347" i="18"/>
  <c r="J346" i="18"/>
  <c r="J345" i="18"/>
  <c r="J344" i="18"/>
  <c r="J343" i="18"/>
  <c r="J342" i="18"/>
  <c r="J341" i="18"/>
  <c r="J340" i="18"/>
  <c r="J339" i="18"/>
  <c r="J338" i="18"/>
  <c r="J337" i="18"/>
  <c r="J336" i="18"/>
  <c r="J335" i="18"/>
  <c r="J334" i="18"/>
  <c r="J333" i="18"/>
  <c r="J332" i="18"/>
  <c r="J331" i="18"/>
  <c r="J330" i="18"/>
  <c r="J329" i="18"/>
  <c r="J328" i="18"/>
  <c r="J327" i="18"/>
  <c r="J326" i="18"/>
  <c r="J325" i="18"/>
  <c r="J324" i="18"/>
  <c r="J323" i="18"/>
  <c r="J322" i="18"/>
  <c r="J321" i="18"/>
  <c r="J320" i="18"/>
  <c r="J319" i="18"/>
  <c r="J318" i="18"/>
  <c r="J317" i="18"/>
  <c r="J316" i="18"/>
  <c r="J315" i="18"/>
  <c r="J314" i="18"/>
  <c r="J313" i="18"/>
  <c r="J312" i="18"/>
  <c r="J311" i="18"/>
  <c r="J310" i="18"/>
  <c r="J309" i="18"/>
  <c r="J308" i="18"/>
  <c r="J307" i="18"/>
  <c r="J306" i="18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J105" i="18"/>
  <c r="J104" i="18"/>
  <c r="J103" i="18"/>
  <c r="J102" i="18"/>
  <c r="J101" i="18"/>
  <c r="J100" i="18"/>
  <c r="J99" i="18"/>
  <c r="J98" i="18"/>
  <c r="J97" i="18"/>
  <c r="J96" i="18"/>
  <c r="J95" i="18"/>
  <c r="J94" i="18"/>
  <c r="J93" i="18"/>
  <c r="J92" i="18"/>
  <c r="J91" i="18"/>
  <c r="J90" i="18"/>
  <c r="J89" i="18"/>
  <c r="J88" i="18"/>
  <c r="J87" i="18"/>
  <c r="J86" i="18"/>
  <c r="J85" i="18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7" i="18"/>
  <c r="J846" i="17"/>
  <c r="J845" i="17"/>
  <c r="J844" i="17"/>
  <c r="J843" i="17"/>
  <c r="J842" i="17"/>
  <c r="J841" i="17"/>
  <c r="J840" i="17"/>
  <c r="J839" i="17"/>
  <c r="J838" i="17"/>
  <c r="J837" i="17"/>
  <c r="J836" i="17"/>
  <c r="J835" i="17"/>
  <c r="J834" i="17"/>
  <c r="J833" i="17"/>
  <c r="J832" i="17"/>
  <c r="J831" i="17"/>
  <c r="J830" i="17"/>
  <c r="J829" i="17"/>
  <c r="J828" i="17"/>
  <c r="J827" i="17"/>
  <c r="J826" i="17"/>
  <c r="J825" i="17"/>
  <c r="J824" i="17"/>
  <c r="J823" i="17"/>
  <c r="J822" i="17"/>
  <c r="J821" i="17"/>
  <c r="J820" i="17"/>
  <c r="J819" i="17"/>
  <c r="J818" i="17"/>
  <c r="J817" i="17"/>
  <c r="J816" i="17"/>
  <c r="J815" i="17"/>
  <c r="J814" i="17"/>
  <c r="J813" i="17"/>
  <c r="J812" i="17"/>
  <c r="J811" i="17"/>
  <c r="J810" i="17"/>
  <c r="J809" i="17"/>
  <c r="J808" i="17"/>
  <c r="J807" i="17"/>
  <c r="J806" i="17"/>
  <c r="J805" i="17"/>
  <c r="J804" i="17"/>
  <c r="J803" i="17"/>
  <c r="J802" i="17"/>
  <c r="J801" i="17"/>
  <c r="J800" i="17"/>
  <c r="J799" i="17"/>
  <c r="J798" i="17"/>
  <c r="J797" i="17"/>
  <c r="J796" i="17"/>
  <c r="J795" i="17"/>
  <c r="J794" i="17"/>
  <c r="J793" i="17"/>
  <c r="J792" i="17"/>
  <c r="J791" i="17"/>
  <c r="J790" i="17"/>
  <c r="J789" i="17"/>
  <c r="J788" i="17"/>
  <c r="J787" i="17"/>
  <c r="J786" i="17"/>
  <c r="J785" i="17"/>
  <c r="J784" i="17"/>
  <c r="J783" i="17"/>
  <c r="J782" i="17"/>
  <c r="J781" i="17"/>
  <c r="J780" i="17"/>
  <c r="J779" i="17"/>
  <c r="J778" i="17"/>
  <c r="J777" i="17"/>
  <c r="J776" i="17"/>
  <c r="J775" i="17"/>
  <c r="J774" i="17"/>
  <c r="J773" i="17"/>
  <c r="J772" i="17"/>
  <c r="J771" i="17"/>
  <c r="J770" i="17"/>
  <c r="J769" i="17"/>
  <c r="J768" i="17"/>
  <c r="J767" i="17"/>
  <c r="J766" i="17"/>
  <c r="J765" i="17"/>
  <c r="J764" i="17"/>
  <c r="J763" i="17"/>
  <c r="J762" i="17"/>
  <c r="J761" i="17"/>
  <c r="J760" i="17"/>
  <c r="J759" i="17"/>
  <c r="J758" i="17"/>
  <c r="J757" i="17"/>
  <c r="J756" i="17"/>
  <c r="J755" i="17"/>
  <c r="J754" i="17"/>
  <c r="J753" i="17"/>
  <c r="J752" i="17"/>
  <c r="J751" i="17"/>
  <c r="J750" i="17"/>
  <c r="J749" i="17"/>
  <c r="J748" i="17"/>
  <c r="J747" i="17"/>
  <c r="J746" i="17"/>
  <c r="J745" i="17"/>
  <c r="J744" i="17"/>
  <c r="J743" i="17"/>
  <c r="J742" i="17"/>
  <c r="J741" i="17"/>
  <c r="J740" i="17"/>
  <c r="J739" i="17"/>
  <c r="J738" i="17"/>
  <c r="J737" i="17"/>
  <c r="J736" i="17"/>
  <c r="J735" i="17"/>
  <c r="J734" i="17"/>
  <c r="J733" i="17"/>
  <c r="J732" i="17"/>
  <c r="J731" i="17"/>
  <c r="J730" i="17"/>
  <c r="J729" i="17"/>
  <c r="J728" i="17"/>
  <c r="J727" i="17"/>
  <c r="J726" i="17"/>
  <c r="J725" i="17"/>
  <c r="J724" i="17"/>
  <c r="J723" i="17"/>
  <c r="J722" i="17"/>
  <c r="J721" i="17"/>
  <c r="J720" i="17"/>
  <c r="J719" i="17"/>
  <c r="J718" i="17"/>
  <c r="J717" i="17"/>
  <c r="J716" i="17"/>
  <c r="J715" i="17"/>
  <c r="J714" i="17"/>
  <c r="J713" i="17"/>
  <c r="J712" i="17"/>
  <c r="J711" i="17"/>
  <c r="J710" i="17"/>
  <c r="J709" i="17"/>
  <c r="J708" i="17"/>
  <c r="J707" i="17"/>
  <c r="J706" i="17"/>
  <c r="J705" i="17"/>
  <c r="J704" i="17"/>
  <c r="J703" i="17"/>
  <c r="J702" i="17"/>
  <c r="J701" i="17"/>
  <c r="J700" i="17"/>
  <c r="J699" i="17"/>
  <c r="J698" i="17"/>
  <c r="J697" i="17"/>
  <c r="J696" i="17"/>
  <c r="J695" i="17"/>
  <c r="J694" i="17"/>
  <c r="J693" i="17"/>
  <c r="J692" i="17"/>
  <c r="J691" i="17"/>
  <c r="J690" i="17"/>
  <c r="J689" i="17"/>
  <c r="J688" i="17"/>
  <c r="J687" i="17"/>
  <c r="J686" i="17"/>
  <c r="J685" i="17"/>
  <c r="J684" i="17"/>
  <c r="J683" i="17"/>
  <c r="J682" i="17"/>
  <c r="J681" i="17"/>
  <c r="J680" i="17"/>
  <c r="J679" i="17"/>
  <c r="J678" i="17"/>
  <c r="J677" i="17"/>
  <c r="J676" i="17"/>
  <c r="J675" i="17"/>
  <c r="J674" i="17"/>
  <c r="J673" i="17"/>
  <c r="J672" i="17"/>
  <c r="J671" i="17"/>
  <c r="J670" i="17"/>
  <c r="J669" i="17"/>
  <c r="J668" i="17"/>
  <c r="J667" i="17"/>
  <c r="J666" i="17"/>
  <c r="J665" i="17"/>
  <c r="J664" i="17"/>
  <c r="J663" i="17"/>
  <c r="J662" i="17"/>
  <c r="J661" i="17"/>
  <c r="J660" i="17"/>
  <c r="J659" i="17"/>
  <c r="J658" i="17"/>
  <c r="J657" i="17"/>
  <c r="J656" i="17"/>
  <c r="J655" i="17"/>
  <c r="J654" i="17"/>
  <c r="J653" i="17"/>
  <c r="J652" i="17"/>
  <c r="J651" i="17"/>
  <c r="J650" i="17"/>
  <c r="J649" i="17"/>
  <c r="J648" i="17"/>
  <c r="J647" i="17"/>
  <c r="J646" i="17"/>
  <c r="J645" i="17"/>
  <c r="J644" i="17"/>
  <c r="J643" i="17"/>
  <c r="J642" i="17"/>
  <c r="J641" i="17"/>
  <c r="J640" i="17"/>
  <c r="J639" i="17"/>
  <c r="J638" i="17"/>
  <c r="J637" i="17"/>
  <c r="J636" i="17"/>
  <c r="J635" i="17"/>
  <c r="J634" i="17"/>
  <c r="J633" i="17"/>
  <c r="J632" i="17"/>
  <c r="J631" i="17"/>
  <c r="J630" i="17"/>
  <c r="J629" i="17"/>
  <c r="J628" i="17"/>
  <c r="J627" i="17"/>
  <c r="J626" i="17"/>
  <c r="J625" i="17"/>
  <c r="J624" i="17"/>
  <c r="J623" i="17"/>
  <c r="J622" i="17"/>
  <c r="J621" i="17"/>
  <c r="J620" i="17"/>
  <c r="J619" i="17"/>
  <c r="J618" i="17"/>
  <c r="J617" i="17"/>
  <c r="J616" i="17"/>
  <c r="J615" i="17"/>
  <c r="J614" i="17"/>
  <c r="J613" i="17"/>
  <c r="J612" i="17"/>
  <c r="J611" i="17"/>
  <c r="J610" i="17"/>
  <c r="J609" i="17"/>
  <c r="J608" i="17"/>
  <c r="J607" i="17"/>
  <c r="J606" i="17"/>
  <c r="J605" i="17"/>
  <c r="J604" i="17"/>
  <c r="J603" i="17"/>
  <c r="J602" i="17"/>
  <c r="J601" i="17"/>
  <c r="J600" i="17"/>
  <c r="J599" i="17"/>
  <c r="J598" i="17"/>
  <c r="J597" i="17"/>
  <c r="J596" i="17"/>
  <c r="J595" i="17"/>
  <c r="J594" i="17"/>
  <c r="J593" i="17"/>
  <c r="J592" i="17"/>
  <c r="J591" i="17"/>
  <c r="J590" i="17"/>
  <c r="J589" i="17"/>
  <c r="J588" i="17"/>
  <c r="J587" i="17"/>
  <c r="J586" i="17"/>
  <c r="J585" i="17"/>
  <c r="J584" i="17"/>
  <c r="J583" i="17"/>
  <c r="J582" i="17"/>
  <c r="J581" i="17"/>
  <c r="J580" i="17"/>
  <c r="J579" i="17"/>
  <c r="J578" i="17"/>
  <c r="J577" i="17"/>
  <c r="J576" i="17"/>
  <c r="J575" i="17"/>
  <c r="J574" i="17"/>
  <c r="J573" i="17"/>
  <c r="J572" i="17"/>
  <c r="J571" i="17"/>
  <c r="J570" i="17"/>
  <c r="J569" i="17"/>
  <c r="J568" i="17"/>
  <c r="J567" i="17"/>
  <c r="J566" i="17"/>
  <c r="J565" i="17"/>
  <c r="J564" i="17"/>
  <c r="J563" i="17"/>
  <c r="J562" i="17"/>
  <c r="J561" i="17"/>
  <c r="J560" i="17"/>
  <c r="J559" i="17"/>
  <c r="J558" i="17"/>
  <c r="J557" i="17"/>
  <c r="J556" i="17"/>
  <c r="J555" i="17"/>
  <c r="J554" i="17"/>
  <c r="J553" i="17"/>
  <c r="J552" i="17"/>
  <c r="J551" i="17"/>
  <c r="J550" i="17"/>
  <c r="J549" i="17"/>
  <c r="J548" i="17"/>
  <c r="J547" i="17"/>
  <c r="J546" i="17"/>
  <c r="J545" i="17"/>
  <c r="J544" i="17"/>
  <c r="J543" i="17"/>
  <c r="J542" i="17"/>
  <c r="J541" i="17"/>
  <c r="J540" i="17"/>
  <c r="J539" i="17"/>
  <c r="J538" i="17"/>
  <c r="J537" i="17"/>
  <c r="J536" i="17"/>
  <c r="J535" i="17"/>
  <c r="J534" i="17"/>
  <c r="J533" i="17"/>
  <c r="J532" i="17"/>
  <c r="J531" i="17"/>
  <c r="J530" i="17"/>
  <c r="J529" i="17"/>
  <c r="J528" i="17"/>
  <c r="J527" i="17"/>
  <c r="J526" i="17"/>
  <c r="J525" i="17"/>
  <c r="J524" i="17"/>
  <c r="J523" i="17"/>
  <c r="J522" i="17"/>
  <c r="J521" i="17"/>
  <c r="J520" i="17"/>
  <c r="J519" i="17"/>
  <c r="J518" i="17"/>
  <c r="J517" i="17"/>
  <c r="J516" i="17"/>
  <c r="J515" i="17"/>
  <c r="J514" i="17"/>
  <c r="J513" i="17"/>
  <c r="J512" i="17"/>
  <c r="J511" i="17"/>
  <c r="J510" i="17"/>
  <c r="J509" i="17"/>
  <c r="J508" i="17"/>
  <c r="J507" i="17"/>
  <c r="J506" i="17"/>
  <c r="J505" i="17"/>
  <c r="J504" i="17"/>
  <c r="J503" i="17"/>
  <c r="J502" i="17"/>
  <c r="J501" i="17"/>
  <c r="J500" i="17"/>
  <c r="J499" i="17"/>
  <c r="J498" i="17"/>
  <c r="J497" i="17"/>
  <c r="J496" i="17"/>
  <c r="J495" i="17"/>
  <c r="J494" i="17"/>
  <c r="J493" i="17"/>
  <c r="J492" i="17"/>
  <c r="J491" i="17"/>
  <c r="J490" i="17"/>
  <c r="J489" i="17"/>
  <c r="J488" i="17"/>
  <c r="J487" i="17"/>
  <c r="J486" i="17"/>
  <c r="J485" i="17"/>
  <c r="J484" i="17"/>
  <c r="J483" i="17"/>
  <c r="J482" i="17"/>
  <c r="J481" i="17"/>
  <c r="J480" i="17"/>
  <c r="J479" i="17"/>
  <c r="J478" i="17"/>
  <c r="J477" i="17"/>
  <c r="J476" i="17"/>
  <c r="J475" i="17"/>
  <c r="J474" i="17"/>
  <c r="J473" i="17"/>
  <c r="J472" i="17"/>
  <c r="J471" i="17"/>
  <c r="J470" i="17"/>
  <c r="J469" i="17"/>
  <c r="J468" i="17"/>
  <c r="J467" i="17"/>
  <c r="J466" i="17"/>
  <c r="J465" i="17"/>
  <c r="J464" i="17"/>
  <c r="J463" i="17"/>
  <c r="J462" i="17"/>
  <c r="J461" i="17"/>
  <c r="J460" i="17"/>
  <c r="J459" i="17"/>
  <c r="J458" i="17"/>
  <c r="J457" i="17"/>
  <c r="J456" i="17"/>
  <c r="J455" i="17"/>
  <c r="J454" i="17"/>
  <c r="J453" i="17"/>
  <c r="J452" i="17"/>
  <c r="J451" i="17"/>
  <c r="J450" i="17"/>
  <c r="J449" i="17"/>
  <c r="J448" i="17"/>
  <c r="J447" i="17"/>
  <c r="J446" i="17"/>
  <c r="J445" i="17"/>
  <c r="J444" i="17"/>
  <c r="J443" i="17"/>
  <c r="J442" i="17"/>
  <c r="J441" i="17"/>
  <c r="J440" i="17"/>
  <c r="J439" i="17"/>
  <c r="J438" i="17"/>
  <c r="J437" i="17"/>
  <c r="J436" i="17"/>
  <c r="J435" i="17"/>
  <c r="J434" i="17"/>
  <c r="J433" i="17"/>
  <c r="J432" i="17"/>
  <c r="J431" i="17"/>
  <c r="J430" i="17"/>
  <c r="J429" i="17"/>
  <c r="J428" i="17"/>
  <c r="J427" i="17"/>
  <c r="J426" i="17"/>
  <c r="J425" i="17"/>
  <c r="J424" i="17"/>
  <c r="J423" i="17"/>
  <c r="J422" i="17"/>
  <c r="J421" i="17"/>
  <c r="J420" i="17"/>
  <c r="J419" i="17"/>
  <c r="J418" i="17"/>
  <c r="J417" i="17"/>
  <c r="J416" i="17"/>
  <c r="J415" i="17"/>
  <c r="J414" i="17"/>
  <c r="J413" i="17"/>
  <c r="J412" i="17"/>
  <c r="J411" i="17"/>
  <c r="J410" i="17"/>
  <c r="J409" i="17"/>
  <c r="J408" i="17"/>
  <c r="J407" i="17"/>
  <c r="J406" i="17"/>
  <c r="J405" i="17"/>
  <c r="J404" i="17"/>
  <c r="J403" i="17"/>
  <c r="J402" i="17"/>
  <c r="J401" i="17"/>
  <c r="J400" i="17"/>
  <c r="J399" i="17"/>
  <c r="J398" i="17"/>
  <c r="J397" i="17"/>
  <c r="J396" i="17"/>
  <c r="J395" i="17"/>
  <c r="J394" i="17"/>
  <c r="J393" i="17"/>
  <c r="J392" i="17"/>
  <c r="J391" i="17"/>
  <c r="J390" i="17"/>
  <c r="J389" i="17"/>
  <c r="J388" i="17"/>
  <c r="J387" i="17"/>
  <c r="J386" i="17"/>
  <c r="J385" i="17"/>
  <c r="J384" i="17"/>
  <c r="J383" i="17"/>
  <c r="J382" i="17"/>
  <c r="J381" i="17"/>
  <c r="J380" i="17"/>
  <c r="J379" i="17"/>
  <c r="J378" i="17"/>
  <c r="J377" i="17"/>
  <c r="J376" i="17"/>
  <c r="J375" i="17"/>
  <c r="J374" i="17"/>
  <c r="J373" i="17"/>
  <c r="J372" i="17"/>
  <c r="J371" i="17"/>
  <c r="J370" i="17"/>
  <c r="J369" i="17"/>
  <c r="J368" i="17"/>
  <c r="J367" i="17"/>
  <c r="J366" i="17"/>
  <c r="J365" i="17"/>
  <c r="J364" i="17"/>
  <c r="J363" i="17"/>
  <c r="J362" i="17"/>
  <c r="J361" i="17"/>
  <c r="J360" i="17"/>
  <c r="J359" i="17"/>
  <c r="J358" i="17"/>
  <c r="J357" i="17"/>
  <c r="J356" i="17"/>
  <c r="J355" i="17"/>
  <c r="J354" i="17"/>
  <c r="J353" i="17"/>
  <c r="J352" i="17"/>
  <c r="J351" i="17"/>
  <c r="J350" i="17"/>
  <c r="J349" i="17"/>
  <c r="J348" i="17"/>
  <c r="J347" i="17"/>
  <c r="J346" i="17"/>
  <c r="J345" i="17"/>
  <c r="J344" i="17"/>
  <c r="J343" i="17"/>
  <c r="J342" i="17"/>
  <c r="J341" i="17"/>
  <c r="J340" i="17"/>
  <c r="J339" i="17"/>
  <c r="J338" i="17"/>
  <c r="J337" i="17"/>
  <c r="J336" i="17"/>
  <c r="J335" i="17"/>
  <c r="J334" i="17"/>
  <c r="J333" i="17"/>
  <c r="J332" i="17"/>
  <c r="J331" i="17"/>
  <c r="J330" i="17"/>
  <c r="J329" i="17"/>
  <c r="J328" i="17"/>
  <c r="J327" i="17"/>
  <c r="J326" i="17"/>
  <c r="J325" i="17"/>
  <c r="J324" i="17"/>
  <c r="J323" i="17"/>
  <c r="J322" i="17"/>
  <c r="J321" i="17"/>
  <c r="J320" i="17"/>
  <c r="J319" i="17"/>
  <c r="J318" i="17"/>
  <c r="J317" i="17"/>
  <c r="J316" i="17"/>
  <c r="J315" i="17"/>
  <c r="J314" i="17"/>
  <c r="J313" i="17"/>
  <c r="J312" i="17"/>
  <c r="J311" i="17"/>
  <c r="J310" i="17"/>
  <c r="J309" i="17"/>
  <c r="J308" i="17"/>
  <c r="J307" i="17"/>
  <c r="J306" i="17"/>
  <c r="J305" i="17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1159" i="16"/>
  <c r="J1158" i="16"/>
  <c r="J1157" i="16"/>
  <c r="J1156" i="16"/>
  <c r="J1155" i="16"/>
  <c r="J1154" i="16"/>
  <c r="J1153" i="16"/>
  <c r="J1152" i="16"/>
  <c r="J1151" i="16"/>
  <c r="J1150" i="16"/>
  <c r="J1149" i="16"/>
  <c r="J1148" i="16"/>
  <c r="J1147" i="16"/>
  <c r="J1146" i="16"/>
  <c r="J1145" i="16"/>
  <c r="J1144" i="16"/>
  <c r="J1143" i="16"/>
  <c r="J1142" i="16"/>
  <c r="J1141" i="16"/>
  <c r="J1140" i="16"/>
  <c r="J1139" i="16"/>
  <c r="J1138" i="16"/>
  <c r="J1137" i="16"/>
  <c r="J1136" i="16"/>
  <c r="J1135" i="16"/>
  <c r="J1134" i="16"/>
  <c r="J1133" i="16"/>
  <c r="J1132" i="16"/>
  <c r="J1131" i="16"/>
  <c r="J1130" i="16"/>
  <c r="J1129" i="16"/>
  <c r="J1128" i="16"/>
  <c r="J1127" i="16"/>
  <c r="J1126" i="16"/>
  <c r="J1125" i="16"/>
  <c r="J1124" i="16"/>
  <c r="J1123" i="16"/>
  <c r="J1122" i="16"/>
  <c r="J1121" i="16"/>
  <c r="J1120" i="16"/>
  <c r="J1119" i="16"/>
  <c r="J1118" i="16"/>
  <c r="J1117" i="16"/>
  <c r="J1116" i="16"/>
  <c r="J1115" i="16"/>
  <c r="J1114" i="16"/>
  <c r="J1113" i="16"/>
  <c r="J1112" i="16"/>
  <c r="J1111" i="16"/>
  <c r="J1110" i="16"/>
  <c r="J1109" i="16"/>
  <c r="J1108" i="16"/>
  <c r="J1107" i="16"/>
  <c r="J1106" i="16"/>
  <c r="J1105" i="16"/>
  <c r="J1104" i="16"/>
  <c r="J1103" i="16"/>
  <c r="J1102" i="16"/>
  <c r="J1101" i="16"/>
  <c r="J1100" i="16"/>
  <c r="J1099" i="16"/>
  <c r="J1098" i="16"/>
  <c r="J1097" i="16"/>
  <c r="J1096" i="16"/>
  <c r="J1095" i="16"/>
  <c r="J1094" i="16"/>
  <c r="J1093" i="16"/>
  <c r="J1092" i="16"/>
  <c r="J1091" i="16"/>
  <c r="J1090" i="16"/>
  <c r="J1089" i="16"/>
  <c r="J1088" i="16"/>
  <c r="J1087" i="16"/>
  <c r="J1086" i="16"/>
  <c r="J1085" i="16"/>
  <c r="J1084" i="16"/>
  <c r="J1083" i="16"/>
  <c r="J1082" i="16"/>
  <c r="J1081" i="16"/>
  <c r="J1080" i="16"/>
  <c r="J1079" i="16"/>
  <c r="J1078" i="16"/>
  <c r="J1077" i="16"/>
  <c r="J1076" i="16"/>
  <c r="J1075" i="16"/>
  <c r="J1074" i="16"/>
  <c r="J1073" i="16"/>
  <c r="J1072" i="16"/>
  <c r="J1071" i="16"/>
  <c r="J1070" i="16"/>
  <c r="J1069" i="16"/>
  <c r="J1068" i="16"/>
  <c r="J1067" i="16"/>
  <c r="J1066" i="16"/>
  <c r="J1065" i="16"/>
  <c r="J1064" i="16"/>
  <c r="J1063" i="16"/>
  <c r="J1062" i="16"/>
  <c r="J1061" i="16"/>
  <c r="J1060" i="16"/>
  <c r="J1059" i="16"/>
  <c r="J1058" i="16"/>
  <c r="J1057" i="16"/>
  <c r="J1056" i="16"/>
  <c r="J1055" i="16"/>
  <c r="J1054" i="16"/>
  <c r="J1053" i="16"/>
  <c r="J1052" i="16"/>
  <c r="J1051" i="16"/>
  <c r="J1050" i="16"/>
  <c r="J1049" i="16"/>
  <c r="J1048" i="16"/>
  <c r="J1047" i="16"/>
  <c r="J1046" i="16"/>
  <c r="J1045" i="16"/>
  <c r="J1044" i="16"/>
  <c r="J1043" i="16"/>
  <c r="J1042" i="16"/>
  <c r="J1041" i="16"/>
  <c r="J1040" i="16"/>
  <c r="J1039" i="16"/>
  <c r="J1038" i="16"/>
  <c r="J1037" i="16"/>
  <c r="J1036" i="16"/>
  <c r="J1035" i="16"/>
  <c r="J1034" i="16"/>
  <c r="J1033" i="16"/>
  <c r="J1032" i="16"/>
  <c r="J1031" i="16"/>
  <c r="J1030" i="16"/>
  <c r="J1029" i="16"/>
  <c r="J1028" i="16"/>
  <c r="J1027" i="16"/>
  <c r="J1026" i="16"/>
  <c r="J1025" i="16"/>
  <c r="J1024" i="16"/>
  <c r="J1023" i="16"/>
  <c r="J1022" i="16"/>
  <c r="J1021" i="16"/>
  <c r="J1020" i="16"/>
  <c r="J1019" i="16"/>
  <c r="J1018" i="16"/>
  <c r="J1017" i="16"/>
  <c r="J1016" i="16"/>
  <c r="J1015" i="16"/>
  <c r="J1014" i="16"/>
  <c r="J1013" i="16"/>
  <c r="J1012" i="16"/>
  <c r="J1011" i="16"/>
  <c r="J1010" i="16"/>
  <c r="J1009" i="16"/>
  <c r="J1008" i="16"/>
  <c r="J1007" i="16"/>
  <c r="J1006" i="16"/>
  <c r="J1005" i="16"/>
  <c r="J1004" i="16"/>
  <c r="J1003" i="16"/>
  <c r="J1002" i="16"/>
  <c r="J1001" i="16"/>
  <c r="J1000" i="16"/>
  <c r="J999" i="16"/>
  <c r="J998" i="16"/>
  <c r="J997" i="16"/>
  <c r="J996" i="16"/>
  <c r="J995" i="16"/>
  <c r="J994" i="16"/>
  <c r="J993" i="16"/>
  <c r="J992" i="16"/>
  <c r="J991" i="16"/>
  <c r="J990" i="16"/>
  <c r="J989" i="16"/>
  <c r="J988" i="16"/>
  <c r="J987" i="16"/>
  <c r="J986" i="16"/>
  <c r="J985" i="16"/>
  <c r="J984" i="16"/>
  <c r="J983" i="16"/>
  <c r="J982" i="16"/>
  <c r="J981" i="16"/>
  <c r="J980" i="16"/>
  <c r="J979" i="16"/>
  <c r="J978" i="16"/>
  <c r="J977" i="16"/>
  <c r="J976" i="16"/>
  <c r="J975" i="16"/>
  <c r="J974" i="16"/>
  <c r="J973" i="16"/>
  <c r="J972" i="16"/>
  <c r="J971" i="16"/>
  <c r="J970" i="16"/>
  <c r="J969" i="16"/>
  <c r="J968" i="16"/>
  <c r="J967" i="16"/>
  <c r="J966" i="16"/>
  <c r="J965" i="16"/>
  <c r="J964" i="16"/>
  <c r="J963" i="16"/>
  <c r="J962" i="16"/>
  <c r="J961" i="16"/>
  <c r="J960" i="16"/>
  <c r="J959" i="16"/>
  <c r="J958" i="16"/>
  <c r="J957" i="16"/>
  <c r="J956" i="16"/>
  <c r="J955" i="16"/>
  <c r="J954" i="16"/>
  <c r="J953" i="16"/>
  <c r="J952" i="16"/>
  <c r="J951" i="16"/>
  <c r="J950" i="16"/>
  <c r="J949" i="16"/>
  <c r="J948" i="16"/>
  <c r="J947" i="16"/>
  <c r="J946" i="16"/>
  <c r="J945" i="16"/>
  <c r="J944" i="16"/>
  <c r="J943" i="16"/>
  <c r="J942" i="16"/>
  <c r="J941" i="16"/>
  <c r="J940" i="16"/>
  <c r="J939" i="16"/>
  <c r="J938" i="16"/>
  <c r="J937" i="16"/>
  <c r="J936" i="16"/>
  <c r="J935" i="16"/>
  <c r="J934" i="16"/>
  <c r="J933" i="16"/>
  <c r="J932" i="16"/>
  <c r="J931" i="16"/>
  <c r="J930" i="16"/>
  <c r="J929" i="16"/>
  <c r="J928" i="16"/>
  <c r="J927" i="16"/>
  <c r="J926" i="16"/>
  <c r="J925" i="16"/>
  <c r="J924" i="16"/>
  <c r="J923" i="16"/>
  <c r="J922" i="16"/>
  <c r="J921" i="16"/>
  <c r="J920" i="16"/>
  <c r="J919" i="16"/>
  <c r="J918" i="16"/>
  <c r="J917" i="16"/>
  <c r="J916" i="16"/>
  <c r="J915" i="16"/>
  <c r="J914" i="16"/>
  <c r="J913" i="16"/>
  <c r="J912" i="16"/>
  <c r="J911" i="16"/>
  <c r="J910" i="16"/>
  <c r="J909" i="16"/>
  <c r="J908" i="16"/>
  <c r="J907" i="16"/>
  <c r="J906" i="16"/>
  <c r="J905" i="16"/>
  <c r="J904" i="16"/>
  <c r="J903" i="16"/>
  <c r="J902" i="16"/>
  <c r="J901" i="16"/>
  <c r="J900" i="16"/>
  <c r="J899" i="16"/>
  <c r="J898" i="16"/>
  <c r="J897" i="16"/>
  <c r="J896" i="16"/>
  <c r="J895" i="16"/>
  <c r="J894" i="16"/>
  <c r="J893" i="16"/>
  <c r="J892" i="16"/>
  <c r="J891" i="16"/>
  <c r="J890" i="16"/>
  <c r="J889" i="16"/>
  <c r="J888" i="16"/>
  <c r="J887" i="16"/>
  <c r="J886" i="16"/>
  <c r="J885" i="16"/>
  <c r="J884" i="16"/>
  <c r="J883" i="16"/>
  <c r="J882" i="16"/>
  <c r="J881" i="16"/>
  <c r="J880" i="16"/>
  <c r="J879" i="16"/>
  <c r="J878" i="16"/>
  <c r="J877" i="16"/>
  <c r="J876" i="16"/>
  <c r="J875" i="16"/>
  <c r="J874" i="16"/>
  <c r="J873" i="16"/>
  <c r="J872" i="16"/>
  <c r="J871" i="16"/>
  <c r="J870" i="16"/>
  <c r="J869" i="16"/>
  <c r="J868" i="16"/>
  <c r="J867" i="16"/>
  <c r="J866" i="16"/>
  <c r="J865" i="16"/>
  <c r="J864" i="16"/>
  <c r="J863" i="16"/>
  <c r="J862" i="16"/>
  <c r="J861" i="16"/>
  <c r="J860" i="16"/>
  <c r="J859" i="16"/>
  <c r="J858" i="16"/>
  <c r="J857" i="16"/>
  <c r="J856" i="16"/>
  <c r="J855" i="16"/>
  <c r="J854" i="16"/>
  <c r="J853" i="16"/>
  <c r="J852" i="16"/>
  <c r="J851" i="16"/>
  <c r="J850" i="16"/>
  <c r="J849" i="16"/>
  <c r="J848" i="16"/>
  <c r="J847" i="16"/>
  <c r="J846" i="16"/>
  <c r="J845" i="16"/>
  <c r="J844" i="16"/>
  <c r="J843" i="16"/>
  <c r="J842" i="16"/>
  <c r="J841" i="16"/>
  <c r="J840" i="16"/>
  <c r="J839" i="16"/>
  <c r="J838" i="16"/>
  <c r="J837" i="16"/>
  <c r="J836" i="16"/>
  <c r="J835" i="16"/>
  <c r="J834" i="16"/>
  <c r="J833" i="16"/>
  <c r="J832" i="16"/>
  <c r="J831" i="16"/>
  <c r="J830" i="16"/>
  <c r="J829" i="16"/>
  <c r="J828" i="16"/>
  <c r="J827" i="16"/>
  <c r="J826" i="16"/>
  <c r="J825" i="16"/>
  <c r="J824" i="16"/>
  <c r="J823" i="16"/>
  <c r="J822" i="16"/>
  <c r="J821" i="16"/>
  <c r="J820" i="16"/>
  <c r="J819" i="16"/>
  <c r="J818" i="16"/>
  <c r="J817" i="16"/>
  <c r="J816" i="16"/>
  <c r="J815" i="16"/>
  <c r="J814" i="16"/>
  <c r="J813" i="16"/>
  <c r="J812" i="16"/>
  <c r="J811" i="16"/>
  <c r="J810" i="16"/>
  <c r="J809" i="16"/>
  <c r="J808" i="16"/>
  <c r="J807" i="16"/>
  <c r="J806" i="16"/>
  <c r="J805" i="16"/>
  <c r="J804" i="16"/>
  <c r="J803" i="16"/>
  <c r="J802" i="16"/>
  <c r="J801" i="16"/>
  <c r="J800" i="16"/>
  <c r="J799" i="16"/>
  <c r="J798" i="16"/>
  <c r="J797" i="16"/>
  <c r="J796" i="16"/>
  <c r="J795" i="16"/>
  <c r="J794" i="16"/>
  <c r="J793" i="16"/>
  <c r="J792" i="16"/>
  <c r="J791" i="16"/>
  <c r="J790" i="16"/>
  <c r="J789" i="16"/>
  <c r="J788" i="16"/>
  <c r="J787" i="16"/>
  <c r="J786" i="16"/>
  <c r="J785" i="16"/>
  <c r="J784" i="16"/>
  <c r="J783" i="16"/>
  <c r="J782" i="16"/>
  <c r="J781" i="16"/>
  <c r="J780" i="16"/>
  <c r="J779" i="16"/>
  <c r="J778" i="16"/>
  <c r="J777" i="16"/>
  <c r="J776" i="16"/>
  <c r="J775" i="16"/>
  <c r="J774" i="16"/>
  <c r="J773" i="16"/>
  <c r="J772" i="16"/>
  <c r="J771" i="16"/>
  <c r="J770" i="16"/>
  <c r="J769" i="16"/>
  <c r="J768" i="16"/>
  <c r="J767" i="16"/>
  <c r="J766" i="16"/>
  <c r="J765" i="16"/>
  <c r="J764" i="16"/>
  <c r="J763" i="16"/>
  <c r="J762" i="16"/>
  <c r="J761" i="16"/>
  <c r="J760" i="16"/>
  <c r="J759" i="16"/>
  <c r="J758" i="16"/>
  <c r="J757" i="16"/>
  <c r="J756" i="16"/>
  <c r="J755" i="16"/>
  <c r="J754" i="16"/>
  <c r="J753" i="16"/>
  <c r="J752" i="16"/>
  <c r="J751" i="16"/>
  <c r="J750" i="16"/>
  <c r="J749" i="16"/>
  <c r="J748" i="16"/>
  <c r="J747" i="16"/>
  <c r="J746" i="16"/>
  <c r="J745" i="16"/>
  <c r="J744" i="16"/>
  <c r="J743" i="16"/>
  <c r="J742" i="16"/>
  <c r="J741" i="16"/>
  <c r="J740" i="16"/>
  <c r="J739" i="16"/>
  <c r="J738" i="16"/>
  <c r="J737" i="16"/>
  <c r="J736" i="16"/>
  <c r="J735" i="16"/>
  <c r="J734" i="16"/>
  <c r="J733" i="16"/>
  <c r="J732" i="16"/>
  <c r="J731" i="16"/>
  <c r="J730" i="16"/>
  <c r="J729" i="16"/>
  <c r="J728" i="16"/>
  <c r="J727" i="16"/>
  <c r="J726" i="16"/>
  <c r="J725" i="16"/>
  <c r="J724" i="16"/>
  <c r="J723" i="16"/>
  <c r="J722" i="16"/>
  <c r="J721" i="16"/>
  <c r="J720" i="16"/>
  <c r="J719" i="16"/>
  <c r="J718" i="16"/>
  <c r="J717" i="16"/>
  <c r="J716" i="16"/>
  <c r="J715" i="16"/>
  <c r="J714" i="16"/>
  <c r="J713" i="16"/>
  <c r="J712" i="16"/>
  <c r="J711" i="16"/>
  <c r="J710" i="16"/>
  <c r="J709" i="16"/>
  <c r="J708" i="16"/>
  <c r="J707" i="16"/>
  <c r="J706" i="16"/>
  <c r="J705" i="16"/>
  <c r="J704" i="16"/>
  <c r="J703" i="16"/>
  <c r="J702" i="16"/>
  <c r="J701" i="16"/>
  <c r="J700" i="16"/>
  <c r="J699" i="16"/>
  <c r="J698" i="16"/>
  <c r="J697" i="16"/>
  <c r="J696" i="16"/>
  <c r="J695" i="16"/>
  <c r="J694" i="16"/>
  <c r="J693" i="16"/>
  <c r="J692" i="16"/>
  <c r="J691" i="16"/>
  <c r="J690" i="16"/>
  <c r="J689" i="16"/>
  <c r="J688" i="16"/>
  <c r="J687" i="16"/>
  <c r="J686" i="16"/>
  <c r="J685" i="16"/>
  <c r="J684" i="16"/>
  <c r="J683" i="16"/>
  <c r="J682" i="16"/>
  <c r="J681" i="16"/>
  <c r="J680" i="16"/>
  <c r="J679" i="16"/>
  <c r="J678" i="16"/>
  <c r="J677" i="16"/>
  <c r="J676" i="16"/>
  <c r="J675" i="16"/>
  <c r="J674" i="16"/>
  <c r="J673" i="16"/>
  <c r="J672" i="16"/>
  <c r="J671" i="16"/>
  <c r="J670" i="16"/>
  <c r="J669" i="16"/>
  <c r="J668" i="16"/>
  <c r="J667" i="16"/>
  <c r="J666" i="16"/>
  <c r="J665" i="16"/>
  <c r="J664" i="16"/>
  <c r="J663" i="16"/>
  <c r="J662" i="16"/>
  <c r="J661" i="16"/>
  <c r="J660" i="16"/>
  <c r="J659" i="16"/>
  <c r="J658" i="16"/>
  <c r="J657" i="16"/>
  <c r="J656" i="16"/>
  <c r="J655" i="16"/>
  <c r="J654" i="16"/>
  <c r="J653" i="16"/>
  <c r="J652" i="16"/>
  <c r="J651" i="16"/>
  <c r="J650" i="16"/>
  <c r="J649" i="16"/>
  <c r="J648" i="16"/>
  <c r="J647" i="16"/>
  <c r="J646" i="16"/>
  <c r="J645" i="16"/>
  <c r="J644" i="16"/>
  <c r="J643" i="16"/>
  <c r="J642" i="16"/>
  <c r="J641" i="16"/>
  <c r="J640" i="16"/>
  <c r="J639" i="16"/>
  <c r="J638" i="16"/>
  <c r="J637" i="16"/>
  <c r="J636" i="16"/>
  <c r="J635" i="16"/>
  <c r="J634" i="16"/>
  <c r="J633" i="16"/>
  <c r="J632" i="16"/>
  <c r="J631" i="16"/>
  <c r="J630" i="16"/>
  <c r="J629" i="16"/>
  <c r="J628" i="16"/>
  <c r="J627" i="16"/>
  <c r="J626" i="16"/>
  <c r="J625" i="16"/>
  <c r="J624" i="16"/>
  <c r="J623" i="16"/>
  <c r="J622" i="16"/>
  <c r="J621" i="16"/>
  <c r="J620" i="16"/>
  <c r="J619" i="16"/>
  <c r="J618" i="16"/>
  <c r="J617" i="16"/>
  <c r="J616" i="16"/>
  <c r="J615" i="16"/>
  <c r="J614" i="16"/>
  <c r="J613" i="16"/>
  <c r="J612" i="16"/>
  <c r="J611" i="16"/>
  <c r="J610" i="16"/>
  <c r="J609" i="16"/>
  <c r="J608" i="16"/>
  <c r="J607" i="16"/>
  <c r="J606" i="16"/>
  <c r="J605" i="16"/>
  <c r="J604" i="16"/>
  <c r="J603" i="16"/>
  <c r="J602" i="16"/>
  <c r="J601" i="16"/>
  <c r="J600" i="16"/>
  <c r="J599" i="16"/>
  <c r="J598" i="16"/>
  <c r="J597" i="16"/>
  <c r="J596" i="16"/>
  <c r="J595" i="16"/>
  <c r="J594" i="16"/>
  <c r="J593" i="16"/>
  <c r="J592" i="16"/>
  <c r="J591" i="16"/>
  <c r="J590" i="16"/>
  <c r="J589" i="16"/>
  <c r="J588" i="16"/>
  <c r="J587" i="16"/>
  <c r="J586" i="16"/>
  <c r="J585" i="16"/>
  <c r="J584" i="16"/>
  <c r="J583" i="16"/>
  <c r="J582" i="16"/>
  <c r="J581" i="16"/>
  <c r="J580" i="16"/>
  <c r="J579" i="16"/>
  <c r="J578" i="16"/>
  <c r="J577" i="16"/>
  <c r="J576" i="16"/>
  <c r="J575" i="16"/>
  <c r="J574" i="16"/>
  <c r="J573" i="16"/>
  <c r="J572" i="16"/>
  <c r="J571" i="16"/>
  <c r="J570" i="16"/>
  <c r="J569" i="16"/>
  <c r="J568" i="16"/>
  <c r="J567" i="16"/>
  <c r="J566" i="16"/>
  <c r="J565" i="16"/>
  <c r="J564" i="16"/>
  <c r="J563" i="16"/>
  <c r="J562" i="16"/>
  <c r="J561" i="16"/>
  <c r="J560" i="16"/>
  <c r="J559" i="16"/>
  <c r="J558" i="16"/>
  <c r="J557" i="16"/>
  <c r="J556" i="16"/>
  <c r="J555" i="16"/>
  <c r="J554" i="16"/>
  <c r="J553" i="16"/>
  <c r="J552" i="16"/>
  <c r="J551" i="16"/>
  <c r="J550" i="16"/>
  <c r="J549" i="16"/>
  <c r="J548" i="16"/>
  <c r="J547" i="16"/>
  <c r="J546" i="16"/>
  <c r="J545" i="16"/>
  <c r="J544" i="16"/>
  <c r="J543" i="16"/>
  <c r="J542" i="16"/>
  <c r="J541" i="16"/>
  <c r="J540" i="16"/>
  <c r="J539" i="16"/>
  <c r="J538" i="16"/>
  <c r="J537" i="16"/>
  <c r="J536" i="16"/>
  <c r="J535" i="16"/>
  <c r="J534" i="16"/>
  <c r="J533" i="16"/>
  <c r="J532" i="16"/>
  <c r="J531" i="16"/>
  <c r="J530" i="16"/>
  <c r="J529" i="16"/>
  <c r="J528" i="16"/>
  <c r="J527" i="16"/>
  <c r="J526" i="16"/>
  <c r="J525" i="16"/>
  <c r="J524" i="16"/>
  <c r="J523" i="16"/>
  <c r="J522" i="16"/>
  <c r="J521" i="16"/>
  <c r="J520" i="16"/>
  <c r="J519" i="16"/>
  <c r="J518" i="16"/>
  <c r="J517" i="16"/>
  <c r="J516" i="16"/>
  <c r="J515" i="16"/>
  <c r="J514" i="16"/>
  <c r="J513" i="16"/>
  <c r="J512" i="16"/>
  <c r="J511" i="16"/>
  <c r="J510" i="16"/>
  <c r="J509" i="16"/>
  <c r="J508" i="16"/>
  <c r="J507" i="16"/>
  <c r="J506" i="16"/>
  <c r="J505" i="16"/>
  <c r="J504" i="16"/>
  <c r="J503" i="16"/>
  <c r="J502" i="16"/>
  <c r="J501" i="16"/>
  <c r="J500" i="16"/>
  <c r="J499" i="16"/>
  <c r="J498" i="16"/>
  <c r="J497" i="16"/>
  <c r="J496" i="16"/>
  <c r="J495" i="16"/>
  <c r="J494" i="16"/>
  <c r="J493" i="16"/>
  <c r="J492" i="16"/>
  <c r="J491" i="16"/>
  <c r="J490" i="16"/>
  <c r="J489" i="16"/>
  <c r="J488" i="16"/>
  <c r="J487" i="16"/>
  <c r="J486" i="16"/>
  <c r="J485" i="16"/>
  <c r="J484" i="16"/>
  <c r="J483" i="16"/>
  <c r="J482" i="16"/>
  <c r="J481" i="16"/>
  <c r="J480" i="16"/>
  <c r="J479" i="16"/>
  <c r="J478" i="16"/>
  <c r="J477" i="16"/>
  <c r="J476" i="16"/>
  <c r="J475" i="16"/>
  <c r="J474" i="16"/>
  <c r="J473" i="16"/>
  <c r="J472" i="16"/>
  <c r="J471" i="16"/>
  <c r="J470" i="16"/>
  <c r="J469" i="16"/>
  <c r="J468" i="16"/>
  <c r="J467" i="16"/>
  <c r="J466" i="16"/>
  <c r="J465" i="16"/>
  <c r="J464" i="16"/>
  <c r="J463" i="16"/>
  <c r="J462" i="16"/>
  <c r="J461" i="16"/>
  <c r="J460" i="16"/>
  <c r="J459" i="16"/>
  <c r="J458" i="16"/>
  <c r="J457" i="16"/>
  <c r="J456" i="16"/>
  <c r="J455" i="16"/>
  <c r="J454" i="16"/>
  <c r="J453" i="16"/>
  <c r="J452" i="16"/>
  <c r="J451" i="16"/>
  <c r="J450" i="16"/>
  <c r="J449" i="16"/>
  <c r="J448" i="16"/>
  <c r="J447" i="16"/>
  <c r="J446" i="16"/>
  <c r="J445" i="16"/>
  <c r="J444" i="16"/>
  <c r="J443" i="16"/>
  <c r="J442" i="16"/>
  <c r="J441" i="16"/>
  <c r="J440" i="16"/>
  <c r="J439" i="16"/>
  <c r="J438" i="16"/>
  <c r="J437" i="16"/>
  <c r="J436" i="16"/>
  <c r="J435" i="16"/>
  <c r="J434" i="16"/>
  <c r="J433" i="16"/>
  <c r="J432" i="16"/>
  <c r="J431" i="16"/>
  <c r="J430" i="16"/>
  <c r="J429" i="16"/>
  <c r="J428" i="16"/>
  <c r="J427" i="16"/>
  <c r="J426" i="16"/>
  <c r="J425" i="16"/>
  <c r="J424" i="16"/>
  <c r="J423" i="16"/>
  <c r="J422" i="16"/>
  <c r="J421" i="16"/>
  <c r="J420" i="16"/>
  <c r="J419" i="16"/>
  <c r="J418" i="16"/>
  <c r="J417" i="16"/>
  <c r="J416" i="16"/>
  <c r="J415" i="16"/>
  <c r="J414" i="16"/>
  <c r="J413" i="16"/>
  <c r="J412" i="16"/>
  <c r="J411" i="16"/>
  <c r="J410" i="16"/>
  <c r="J409" i="16"/>
  <c r="J408" i="16"/>
  <c r="J407" i="16"/>
  <c r="J406" i="16"/>
  <c r="J405" i="16"/>
  <c r="J404" i="16"/>
  <c r="J403" i="16"/>
  <c r="J402" i="16"/>
  <c r="J401" i="16"/>
  <c r="J400" i="16"/>
  <c r="J399" i="16"/>
  <c r="J398" i="16"/>
  <c r="J397" i="16"/>
  <c r="J396" i="16"/>
  <c r="J395" i="16"/>
  <c r="J394" i="16"/>
  <c r="J393" i="16"/>
  <c r="J392" i="16"/>
  <c r="J391" i="16"/>
  <c r="J390" i="16"/>
  <c r="J389" i="16"/>
  <c r="J388" i="16"/>
  <c r="J387" i="16"/>
  <c r="J386" i="16"/>
  <c r="J385" i="16"/>
  <c r="J384" i="16"/>
  <c r="J383" i="16"/>
  <c r="J382" i="16"/>
  <c r="J381" i="16"/>
  <c r="J380" i="16"/>
  <c r="J379" i="16"/>
  <c r="J378" i="16"/>
  <c r="J377" i="16"/>
  <c r="J376" i="16"/>
  <c r="J375" i="16"/>
  <c r="J374" i="16"/>
  <c r="J373" i="16"/>
  <c r="J372" i="16"/>
  <c r="J371" i="16"/>
  <c r="J370" i="16"/>
  <c r="J369" i="16"/>
  <c r="J368" i="16"/>
  <c r="J367" i="16"/>
  <c r="J366" i="16"/>
  <c r="J365" i="16"/>
  <c r="J364" i="16"/>
  <c r="J363" i="16"/>
  <c r="J362" i="16"/>
  <c r="J361" i="16"/>
  <c r="J360" i="16"/>
  <c r="J359" i="16"/>
  <c r="J358" i="16"/>
  <c r="J357" i="16"/>
  <c r="J356" i="16"/>
  <c r="J355" i="16"/>
  <c r="J354" i="16"/>
  <c r="J353" i="16"/>
  <c r="J352" i="16"/>
  <c r="J351" i="16"/>
  <c r="J350" i="16"/>
  <c r="J349" i="16"/>
  <c r="J348" i="16"/>
  <c r="J347" i="16"/>
  <c r="J346" i="16"/>
  <c r="J345" i="16"/>
  <c r="J344" i="16"/>
  <c r="J343" i="16"/>
  <c r="J342" i="16"/>
  <c r="J341" i="16"/>
  <c r="J340" i="16"/>
  <c r="J339" i="16"/>
  <c r="J338" i="16"/>
  <c r="J337" i="16"/>
  <c r="J336" i="16"/>
  <c r="J335" i="16"/>
  <c r="J334" i="16"/>
  <c r="J333" i="16"/>
  <c r="J332" i="16"/>
  <c r="J331" i="16"/>
  <c r="J330" i="16"/>
  <c r="J329" i="16"/>
  <c r="J328" i="16"/>
  <c r="J327" i="16"/>
  <c r="J326" i="16"/>
  <c r="J325" i="16"/>
  <c r="J324" i="16"/>
  <c r="J323" i="16"/>
  <c r="J322" i="16"/>
  <c r="J321" i="16"/>
  <c r="J320" i="16"/>
  <c r="J319" i="16"/>
  <c r="J318" i="16"/>
  <c r="J317" i="16"/>
  <c r="J316" i="16"/>
  <c r="J315" i="16"/>
  <c r="J314" i="16"/>
  <c r="J313" i="16"/>
  <c r="J312" i="16"/>
  <c r="J311" i="16"/>
  <c r="J310" i="16"/>
  <c r="J309" i="16"/>
  <c r="J308" i="16"/>
  <c r="J307" i="16"/>
  <c r="J306" i="16"/>
  <c r="J305" i="16"/>
  <c r="J304" i="16"/>
  <c r="J303" i="16"/>
  <c r="J302" i="16"/>
  <c r="J301" i="16"/>
  <c r="J300" i="16"/>
  <c r="J299" i="16"/>
  <c r="J298" i="16"/>
  <c r="J297" i="16"/>
  <c r="J296" i="16"/>
  <c r="J295" i="16"/>
  <c r="J294" i="16"/>
  <c r="J293" i="16"/>
  <c r="J292" i="16"/>
  <c r="J291" i="16"/>
  <c r="J290" i="16"/>
  <c r="J289" i="16"/>
  <c r="J288" i="16"/>
  <c r="J287" i="16"/>
  <c r="J286" i="16"/>
  <c r="J285" i="16"/>
  <c r="J284" i="16"/>
  <c r="J283" i="16"/>
  <c r="J282" i="16"/>
  <c r="J281" i="16"/>
  <c r="J280" i="16"/>
  <c r="J279" i="16"/>
  <c r="J278" i="16"/>
  <c r="J277" i="16"/>
  <c r="J276" i="16"/>
  <c r="J275" i="16"/>
  <c r="J274" i="16"/>
  <c r="J273" i="16"/>
  <c r="J272" i="16"/>
  <c r="J271" i="16"/>
  <c r="J270" i="16"/>
  <c r="J269" i="16"/>
  <c r="J268" i="16"/>
  <c r="J267" i="16"/>
  <c r="J266" i="16"/>
  <c r="J265" i="16"/>
  <c r="J264" i="16"/>
  <c r="J263" i="16"/>
  <c r="J262" i="16"/>
  <c r="J261" i="16"/>
  <c r="J260" i="16"/>
  <c r="J259" i="16"/>
  <c r="J258" i="16"/>
  <c r="J257" i="16"/>
  <c r="J256" i="16"/>
  <c r="J255" i="16"/>
  <c r="J254" i="16"/>
  <c r="J253" i="16"/>
  <c r="J252" i="16"/>
  <c r="J251" i="16"/>
  <c r="J250" i="16"/>
  <c r="J249" i="16"/>
  <c r="J248" i="16"/>
  <c r="J247" i="16"/>
  <c r="J246" i="16"/>
  <c r="J245" i="16"/>
  <c r="J244" i="16"/>
  <c r="J243" i="16"/>
  <c r="J242" i="16"/>
  <c r="J241" i="16"/>
  <c r="J240" i="16"/>
  <c r="J239" i="16"/>
  <c r="J238" i="16"/>
  <c r="J237" i="16"/>
  <c r="J236" i="16"/>
  <c r="J235" i="16"/>
  <c r="J234" i="16"/>
  <c r="J233" i="16"/>
  <c r="J232" i="16"/>
  <c r="J231" i="16"/>
  <c r="J230" i="16"/>
  <c r="J229" i="16"/>
  <c r="J228" i="16"/>
  <c r="J227" i="16"/>
  <c r="J226" i="16"/>
  <c r="J225" i="16"/>
  <c r="J224" i="16"/>
  <c r="J223" i="16"/>
  <c r="J222" i="16"/>
  <c r="J221" i="16"/>
  <c r="J220" i="16"/>
  <c r="J219" i="16"/>
  <c r="J218" i="16"/>
  <c r="J217" i="16"/>
  <c r="J216" i="16"/>
  <c r="J215" i="16"/>
  <c r="J214" i="16"/>
  <c r="J213" i="16"/>
  <c r="J212" i="16"/>
  <c r="J211" i="16"/>
  <c r="J210" i="16"/>
  <c r="J209" i="16"/>
  <c r="J208" i="16"/>
  <c r="J207" i="16"/>
  <c r="J206" i="16"/>
  <c r="J205" i="16"/>
  <c r="J204" i="16"/>
  <c r="J203" i="16"/>
  <c r="J202" i="16"/>
  <c r="J201" i="16"/>
  <c r="J200" i="16"/>
  <c r="J199" i="16"/>
  <c r="J198" i="16"/>
  <c r="J197" i="16"/>
  <c r="J196" i="16"/>
  <c r="J195" i="16"/>
  <c r="J194" i="16"/>
  <c r="J193" i="16"/>
  <c r="J192" i="16"/>
  <c r="J191" i="16"/>
  <c r="J190" i="16"/>
  <c r="J189" i="16"/>
  <c r="J188" i="16"/>
  <c r="J187" i="16"/>
  <c r="J186" i="16"/>
  <c r="J185" i="16"/>
  <c r="J184" i="16"/>
  <c r="J183" i="16"/>
  <c r="J182" i="16"/>
  <c r="J181" i="16"/>
  <c r="J180" i="16"/>
  <c r="J179" i="16"/>
  <c r="J178" i="16"/>
  <c r="J177" i="16"/>
  <c r="J176" i="16"/>
  <c r="J175" i="16"/>
  <c r="J174" i="16"/>
  <c r="J173" i="16"/>
  <c r="J172" i="16"/>
  <c r="J171" i="16"/>
  <c r="J170" i="16"/>
  <c r="J169" i="16"/>
  <c r="J168" i="16"/>
  <c r="J167" i="16"/>
  <c r="J166" i="16"/>
  <c r="J165" i="16"/>
  <c r="J164" i="16"/>
  <c r="J163" i="16"/>
  <c r="J162" i="16"/>
  <c r="J161" i="16"/>
  <c r="J160" i="16"/>
  <c r="J159" i="16"/>
  <c r="J158" i="16"/>
  <c r="J157" i="16"/>
  <c r="J156" i="16"/>
  <c r="J155" i="16"/>
  <c r="J154" i="16"/>
  <c r="J153" i="16"/>
  <c r="J152" i="16"/>
  <c r="J151" i="16"/>
  <c r="J150" i="16"/>
  <c r="J149" i="16"/>
  <c r="J148" i="16"/>
  <c r="J147" i="16"/>
  <c r="J146" i="16"/>
  <c r="J145" i="16"/>
  <c r="J144" i="16"/>
  <c r="J143" i="16"/>
  <c r="J142" i="16"/>
  <c r="J141" i="16"/>
  <c r="J140" i="16"/>
  <c r="J139" i="16"/>
  <c r="J138" i="16"/>
  <c r="J137" i="16"/>
  <c r="J136" i="16"/>
  <c r="J135" i="16"/>
  <c r="J134" i="16"/>
  <c r="J133" i="16"/>
  <c r="J132" i="16"/>
  <c r="J131" i="16"/>
  <c r="J130" i="16"/>
  <c r="J129" i="16"/>
  <c r="J128" i="16"/>
  <c r="J127" i="16"/>
  <c r="J126" i="16"/>
  <c r="J125" i="16"/>
  <c r="J124" i="16"/>
  <c r="J123" i="16"/>
  <c r="J122" i="16"/>
  <c r="J121" i="16"/>
  <c r="J120" i="16"/>
  <c r="J119" i="16"/>
  <c r="J118" i="16"/>
  <c r="J117" i="16"/>
  <c r="J116" i="16"/>
  <c r="J115" i="16"/>
  <c r="J114" i="16"/>
  <c r="J113" i="16"/>
  <c r="J112" i="16"/>
  <c r="J111" i="16"/>
  <c r="J110" i="16"/>
  <c r="J109" i="16"/>
  <c r="J108" i="16"/>
  <c r="J107" i="16"/>
  <c r="J106" i="16"/>
  <c r="J105" i="16"/>
  <c r="J104" i="16"/>
  <c r="J103" i="16"/>
  <c r="J102" i="16"/>
  <c r="J101" i="16"/>
  <c r="J100" i="16"/>
  <c r="J99" i="16"/>
  <c r="J98" i="16"/>
  <c r="J97" i="16"/>
  <c r="J96" i="16"/>
  <c r="J95" i="16"/>
  <c r="J94" i="16"/>
  <c r="J93" i="16"/>
  <c r="J92" i="16"/>
  <c r="J91" i="16"/>
  <c r="J90" i="16"/>
  <c r="J89" i="16"/>
  <c r="J88" i="16"/>
  <c r="J87" i="16"/>
  <c r="J86" i="16"/>
  <c r="J85" i="16"/>
  <c r="J84" i="16"/>
  <c r="J83" i="16"/>
  <c r="J82" i="16"/>
  <c r="J81" i="16"/>
  <c r="J80" i="16"/>
  <c r="J79" i="16"/>
  <c r="J78" i="16"/>
  <c r="J77" i="16"/>
  <c r="J76" i="16"/>
  <c r="J75" i="16"/>
  <c r="J74" i="16"/>
  <c r="J73" i="16"/>
  <c r="J72" i="16"/>
  <c r="J71" i="16"/>
  <c r="J70" i="16"/>
  <c r="J69" i="16"/>
  <c r="J68" i="16"/>
  <c r="J67" i="16"/>
  <c r="J66" i="16"/>
  <c r="J6" i="20"/>
  <c r="K6" i="20" s="1"/>
  <c r="J6" i="19"/>
  <c r="K6" i="19" s="1"/>
  <c r="J6" i="18"/>
  <c r="K6" i="18" s="1"/>
  <c r="J6" i="17"/>
  <c r="K6" i="17" s="1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J171" i="14"/>
  <c r="J170" i="14"/>
  <c r="J169" i="14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J99" i="14"/>
  <c r="J98" i="14"/>
  <c r="J97" i="14"/>
  <c r="J96" i="14"/>
  <c r="J9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1" i="14"/>
  <c r="J70" i="14"/>
  <c r="J69" i="14"/>
  <c r="J68" i="14"/>
  <c r="J67" i="14"/>
  <c r="J66" i="14"/>
  <c r="J65" i="14"/>
  <c r="J64" i="14"/>
  <c r="J63" i="14"/>
  <c r="J62" i="14"/>
  <c r="J61" i="14"/>
  <c r="J60" i="14"/>
  <c r="J59" i="14"/>
  <c r="J58" i="14"/>
  <c r="J57" i="14"/>
  <c r="J56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K9" i="1" l="1"/>
  <c r="K7" i="1"/>
  <c r="K28" i="1"/>
  <c r="K6" i="31"/>
  <c r="L6" i="31" s="1"/>
  <c r="M9" i="16"/>
  <c r="M13" i="16"/>
  <c r="L2" i="20"/>
  <c r="K305" i="20"/>
  <c r="I305" i="20"/>
  <c r="K304" i="20"/>
  <c r="I304" i="20"/>
  <c r="K303" i="20"/>
  <c r="I303" i="20"/>
  <c r="K302" i="20"/>
  <c r="I302" i="20"/>
  <c r="K301" i="20"/>
  <c r="I301" i="20"/>
  <c r="K300" i="20"/>
  <c r="I300" i="20"/>
  <c r="K299" i="20"/>
  <c r="I299" i="20"/>
  <c r="K298" i="20"/>
  <c r="I298" i="20"/>
  <c r="K297" i="20"/>
  <c r="I297" i="20"/>
  <c r="K296" i="20"/>
  <c r="I296" i="20"/>
  <c r="K295" i="20"/>
  <c r="I295" i="20"/>
  <c r="K294" i="20"/>
  <c r="I294" i="20"/>
  <c r="K293" i="20"/>
  <c r="I293" i="20"/>
  <c r="K292" i="20"/>
  <c r="I292" i="20"/>
  <c r="K291" i="20"/>
  <c r="I291" i="20"/>
  <c r="K290" i="20"/>
  <c r="I290" i="20"/>
  <c r="K289" i="20"/>
  <c r="I289" i="20"/>
  <c r="K288" i="20"/>
  <c r="I288" i="20"/>
  <c r="K287" i="20"/>
  <c r="I287" i="20"/>
  <c r="K286" i="20"/>
  <c r="I286" i="20"/>
  <c r="K285" i="20"/>
  <c r="I285" i="20"/>
  <c r="K284" i="20"/>
  <c r="I284" i="20"/>
  <c r="K283" i="20"/>
  <c r="I283" i="20"/>
  <c r="K282" i="20"/>
  <c r="I282" i="20"/>
  <c r="K281" i="20"/>
  <c r="I281" i="20"/>
  <c r="K280" i="20"/>
  <c r="I280" i="20"/>
  <c r="K279" i="20"/>
  <c r="I279" i="20"/>
  <c r="K278" i="20"/>
  <c r="I278" i="20"/>
  <c r="K277" i="20"/>
  <c r="I277" i="20"/>
  <c r="K276" i="20"/>
  <c r="I276" i="20"/>
  <c r="K275" i="20"/>
  <c r="I275" i="20"/>
  <c r="K274" i="20"/>
  <c r="I274" i="20"/>
  <c r="K273" i="20"/>
  <c r="I273" i="20"/>
  <c r="K272" i="20"/>
  <c r="I272" i="20"/>
  <c r="K271" i="20"/>
  <c r="I271" i="20"/>
  <c r="K270" i="20"/>
  <c r="I270" i="20"/>
  <c r="K269" i="20"/>
  <c r="I269" i="20"/>
  <c r="K268" i="20"/>
  <c r="I268" i="20"/>
  <c r="K267" i="20"/>
  <c r="I267" i="20"/>
  <c r="K266" i="20"/>
  <c r="I266" i="20"/>
  <c r="K265" i="20"/>
  <c r="I265" i="20"/>
  <c r="K264" i="20"/>
  <c r="I264" i="20"/>
  <c r="K263" i="20"/>
  <c r="I263" i="20"/>
  <c r="K262" i="20"/>
  <c r="I262" i="20"/>
  <c r="K261" i="20"/>
  <c r="I261" i="20"/>
  <c r="K260" i="20"/>
  <c r="I260" i="20"/>
  <c r="K259" i="20"/>
  <c r="I259" i="20"/>
  <c r="K258" i="20"/>
  <c r="I258" i="20"/>
  <c r="K257" i="20"/>
  <c r="I257" i="20"/>
  <c r="K256" i="20"/>
  <c r="I256" i="20"/>
  <c r="K255" i="20"/>
  <c r="I255" i="20"/>
  <c r="K254" i="20"/>
  <c r="I254" i="20"/>
  <c r="K253" i="20"/>
  <c r="I253" i="20"/>
  <c r="K252" i="20"/>
  <c r="I252" i="20"/>
  <c r="K251" i="20"/>
  <c r="I251" i="20"/>
  <c r="K250" i="20"/>
  <c r="I250" i="20"/>
  <c r="K249" i="20"/>
  <c r="I249" i="20"/>
  <c r="K248" i="20"/>
  <c r="I248" i="20"/>
  <c r="K247" i="20"/>
  <c r="I247" i="20"/>
  <c r="K246" i="20"/>
  <c r="I246" i="20"/>
  <c r="K245" i="20"/>
  <c r="I245" i="20"/>
  <c r="K244" i="20"/>
  <c r="I244" i="20"/>
  <c r="K243" i="20"/>
  <c r="I243" i="20"/>
  <c r="K242" i="20"/>
  <c r="I242" i="20"/>
  <c r="K241" i="20"/>
  <c r="I241" i="20"/>
  <c r="K240" i="20"/>
  <c r="I240" i="20"/>
  <c r="K239" i="20"/>
  <c r="I239" i="20"/>
  <c r="K238" i="20"/>
  <c r="I238" i="20"/>
  <c r="K237" i="20"/>
  <c r="I237" i="20"/>
  <c r="K236" i="20"/>
  <c r="I236" i="20"/>
  <c r="K235" i="20"/>
  <c r="I235" i="20"/>
  <c r="K234" i="20"/>
  <c r="I234" i="20"/>
  <c r="K233" i="20"/>
  <c r="I233" i="20"/>
  <c r="K232" i="20"/>
  <c r="I232" i="20"/>
  <c r="K231" i="20"/>
  <c r="I231" i="20"/>
  <c r="K230" i="20"/>
  <c r="I230" i="20"/>
  <c r="K229" i="20"/>
  <c r="I229" i="20"/>
  <c r="K228" i="20"/>
  <c r="I228" i="20"/>
  <c r="K227" i="20"/>
  <c r="I227" i="20"/>
  <c r="K226" i="20"/>
  <c r="I226" i="20"/>
  <c r="K225" i="20"/>
  <c r="I225" i="20"/>
  <c r="K224" i="20"/>
  <c r="I224" i="20"/>
  <c r="K223" i="20"/>
  <c r="I223" i="20"/>
  <c r="K222" i="20"/>
  <c r="I222" i="20"/>
  <c r="K221" i="20"/>
  <c r="I221" i="20"/>
  <c r="K220" i="20"/>
  <c r="I220" i="20"/>
  <c r="K219" i="20"/>
  <c r="I219" i="20"/>
  <c r="K218" i="20"/>
  <c r="I218" i="20"/>
  <c r="K217" i="20"/>
  <c r="I217" i="20"/>
  <c r="K216" i="20"/>
  <c r="I216" i="20"/>
  <c r="K215" i="20"/>
  <c r="I215" i="20"/>
  <c r="K214" i="20"/>
  <c r="I214" i="20"/>
  <c r="K213" i="20"/>
  <c r="I213" i="20"/>
  <c r="K212" i="20"/>
  <c r="I212" i="20"/>
  <c r="K211" i="20"/>
  <c r="I211" i="20"/>
  <c r="K210" i="20"/>
  <c r="I210" i="20"/>
  <c r="K209" i="20"/>
  <c r="I209" i="20"/>
  <c r="K208" i="20"/>
  <c r="I208" i="20"/>
  <c r="K207" i="20"/>
  <c r="I207" i="20"/>
  <c r="K206" i="20"/>
  <c r="I206" i="20"/>
  <c r="K205" i="20"/>
  <c r="I205" i="20"/>
  <c r="K204" i="20"/>
  <c r="I204" i="20"/>
  <c r="K203" i="20"/>
  <c r="I203" i="20"/>
  <c r="K202" i="20"/>
  <c r="I202" i="20"/>
  <c r="K201" i="20"/>
  <c r="I201" i="20"/>
  <c r="K200" i="20"/>
  <c r="I200" i="20"/>
  <c r="K199" i="20"/>
  <c r="I199" i="20"/>
  <c r="K198" i="20"/>
  <c r="I198" i="20"/>
  <c r="K197" i="20"/>
  <c r="I197" i="20"/>
  <c r="K196" i="20"/>
  <c r="I196" i="20"/>
  <c r="K195" i="20"/>
  <c r="I195" i="20"/>
  <c r="K194" i="20"/>
  <c r="I194" i="20"/>
  <c r="K193" i="20"/>
  <c r="I193" i="20"/>
  <c r="K192" i="20"/>
  <c r="I192" i="20"/>
  <c r="K191" i="20"/>
  <c r="I191" i="20"/>
  <c r="K190" i="20"/>
  <c r="I190" i="20"/>
  <c r="K189" i="20"/>
  <c r="I189" i="20"/>
  <c r="K188" i="20"/>
  <c r="I188" i="20"/>
  <c r="K187" i="20"/>
  <c r="I187" i="20"/>
  <c r="K186" i="20"/>
  <c r="I186" i="20"/>
  <c r="K185" i="20"/>
  <c r="I185" i="20"/>
  <c r="K184" i="20"/>
  <c r="I184" i="20"/>
  <c r="K183" i="20"/>
  <c r="I183" i="20"/>
  <c r="K182" i="20"/>
  <c r="I182" i="20"/>
  <c r="K181" i="20"/>
  <c r="I181" i="20"/>
  <c r="K180" i="20"/>
  <c r="I180" i="20"/>
  <c r="K179" i="20"/>
  <c r="I179" i="20"/>
  <c r="K178" i="20"/>
  <c r="I178" i="20"/>
  <c r="K177" i="20"/>
  <c r="I177" i="20"/>
  <c r="K176" i="20"/>
  <c r="I176" i="20"/>
  <c r="K175" i="20"/>
  <c r="I175" i="20"/>
  <c r="K174" i="20"/>
  <c r="I174" i="20"/>
  <c r="K173" i="20"/>
  <c r="I173" i="20"/>
  <c r="K172" i="20"/>
  <c r="I172" i="20"/>
  <c r="K171" i="20"/>
  <c r="I171" i="20"/>
  <c r="K170" i="20"/>
  <c r="I170" i="20"/>
  <c r="K169" i="20"/>
  <c r="I169" i="20"/>
  <c r="K168" i="20"/>
  <c r="I168" i="20"/>
  <c r="K167" i="20"/>
  <c r="I167" i="20"/>
  <c r="K166" i="20"/>
  <c r="I166" i="20"/>
  <c r="K165" i="20"/>
  <c r="I165" i="20"/>
  <c r="K164" i="20"/>
  <c r="I164" i="20"/>
  <c r="K163" i="20"/>
  <c r="I163" i="20"/>
  <c r="K162" i="20"/>
  <c r="I162" i="20"/>
  <c r="K161" i="20"/>
  <c r="I161" i="20"/>
  <c r="K160" i="20"/>
  <c r="I160" i="20"/>
  <c r="K159" i="20"/>
  <c r="I159" i="20"/>
  <c r="K158" i="20"/>
  <c r="I158" i="20"/>
  <c r="K157" i="20"/>
  <c r="I157" i="20"/>
  <c r="K156" i="20"/>
  <c r="I156" i="20"/>
  <c r="K155" i="20"/>
  <c r="I155" i="20"/>
  <c r="K154" i="20"/>
  <c r="I154" i="20"/>
  <c r="K153" i="20"/>
  <c r="I153" i="20"/>
  <c r="K152" i="20"/>
  <c r="I152" i="20"/>
  <c r="K151" i="20"/>
  <c r="I151" i="20"/>
  <c r="K150" i="20"/>
  <c r="I150" i="20"/>
  <c r="K149" i="20"/>
  <c r="I149" i="20"/>
  <c r="K148" i="20"/>
  <c r="I148" i="20"/>
  <c r="K147" i="20"/>
  <c r="I147" i="20"/>
  <c r="K146" i="20"/>
  <c r="I146" i="20"/>
  <c r="K145" i="20"/>
  <c r="I145" i="20"/>
  <c r="K144" i="20"/>
  <c r="I144" i="20"/>
  <c r="K143" i="20"/>
  <c r="I143" i="20"/>
  <c r="K142" i="20"/>
  <c r="I142" i="20"/>
  <c r="K141" i="20"/>
  <c r="I141" i="20"/>
  <c r="K140" i="20"/>
  <c r="I140" i="20"/>
  <c r="K139" i="20"/>
  <c r="I139" i="20"/>
  <c r="K138" i="20"/>
  <c r="I138" i="20"/>
  <c r="K137" i="20"/>
  <c r="I137" i="20"/>
  <c r="K136" i="20"/>
  <c r="I136" i="20"/>
  <c r="K135" i="20"/>
  <c r="I135" i="20"/>
  <c r="K134" i="20"/>
  <c r="I134" i="20"/>
  <c r="K133" i="20"/>
  <c r="I133" i="20"/>
  <c r="K132" i="20"/>
  <c r="I132" i="20"/>
  <c r="K131" i="20"/>
  <c r="I131" i="20"/>
  <c r="K130" i="20"/>
  <c r="I130" i="20"/>
  <c r="K129" i="20"/>
  <c r="I129" i="20"/>
  <c r="K128" i="20"/>
  <c r="I128" i="20"/>
  <c r="K127" i="20"/>
  <c r="I127" i="20"/>
  <c r="K126" i="20"/>
  <c r="I126" i="20"/>
  <c r="K125" i="20"/>
  <c r="I125" i="20"/>
  <c r="K124" i="20"/>
  <c r="I124" i="20"/>
  <c r="K123" i="20"/>
  <c r="I123" i="20"/>
  <c r="K122" i="20"/>
  <c r="I122" i="20"/>
  <c r="K121" i="20"/>
  <c r="I121" i="20"/>
  <c r="K120" i="20"/>
  <c r="I120" i="20"/>
  <c r="K119" i="20"/>
  <c r="I119" i="20"/>
  <c r="K118" i="20"/>
  <c r="I118" i="20"/>
  <c r="K117" i="20"/>
  <c r="I117" i="20"/>
  <c r="K116" i="20"/>
  <c r="I116" i="20"/>
  <c r="K115" i="20"/>
  <c r="I115" i="20"/>
  <c r="K114" i="20"/>
  <c r="I114" i="20"/>
  <c r="K113" i="20"/>
  <c r="I113" i="20"/>
  <c r="K112" i="20"/>
  <c r="I112" i="20"/>
  <c r="K111" i="20"/>
  <c r="I111" i="20"/>
  <c r="K110" i="20"/>
  <c r="I110" i="20"/>
  <c r="K109" i="20"/>
  <c r="I109" i="20"/>
  <c r="K108" i="20"/>
  <c r="I108" i="20"/>
  <c r="K107" i="20"/>
  <c r="I107" i="20"/>
  <c r="K106" i="20"/>
  <c r="I106" i="20"/>
  <c r="K105" i="20"/>
  <c r="I105" i="20"/>
  <c r="K104" i="20"/>
  <c r="I104" i="20"/>
  <c r="K103" i="20"/>
  <c r="I103" i="20"/>
  <c r="K102" i="20"/>
  <c r="I102" i="20"/>
  <c r="K101" i="20"/>
  <c r="I101" i="20"/>
  <c r="K100" i="20"/>
  <c r="I100" i="20"/>
  <c r="K99" i="20"/>
  <c r="I99" i="20"/>
  <c r="K98" i="20"/>
  <c r="I98" i="20"/>
  <c r="K97" i="20"/>
  <c r="I97" i="20"/>
  <c r="K96" i="20"/>
  <c r="I96" i="20"/>
  <c r="K95" i="20"/>
  <c r="I95" i="20"/>
  <c r="K94" i="20"/>
  <c r="I94" i="20"/>
  <c r="K93" i="20"/>
  <c r="I93" i="20"/>
  <c r="K92" i="20"/>
  <c r="I92" i="20"/>
  <c r="K91" i="20"/>
  <c r="I91" i="20"/>
  <c r="K90" i="20"/>
  <c r="I90" i="20"/>
  <c r="K89" i="20"/>
  <c r="I89" i="20"/>
  <c r="K88" i="20"/>
  <c r="I88" i="20"/>
  <c r="K87" i="20"/>
  <c r="I87" i="20"/>
  <c r="K86" i="20"/>
  <c r="I86" i="20"/>
  <c r="K85" i="20"/>
  <c r="I85" i="20"/>
  <c r="K84" i="20"/>
  <c r="I84" i="20"/>
  <c r="K83" i="20"/>
  <c r="I83" i="20"/>
  <c r="K82" i="20"/>
  <c r="I82" i="20"/>
  <c r="K81" i="20"/>
  <c r="I81" i="20"/>
  <c r="K80" i="20"/>
  <c r="I80" i="20"/>
  <c r="K79" i="20"/>
  <c r="I79" i="20"/>
  <c r="K78" i="20"/>
  <c r="I78" i="20"/>
  <c r="K77" i="20"/>
  <c r="I77" i="20"/>
  <c r="K76" i="20"/>
  <c r="I76" i="20"/>
  <c r="K75" i="20"/>
  <c r="I75" i="20"/>
  <c r="K74" i="20"/>
  <c r="I74" i="20"/>
  <c r="K73" i="20"/>
  <c r="I73" i="20"/>
  <c r="K72" i="20"/>
  <c r="I72" i="20"/>
  <c r="K71" i="20"/>
  <c r="I71" i="20"/>
  <c r="K70" i="20"/>
  <c r="I70" i="20"/>
  <c r="K69" i="20"/>
  <c r="I69" i="20"/>
  <c r="K68" i="20"/>
  <c r="I68" i="20"/>
  <c r="K67" i="20"/>
  <c r="I67" i="20"/>
  <c r="K66" i="20"/>
  <c r="I66" i="20"/>
  <c r="K65" i="20"/>
  <c r="I65" i="20"/>
  <c r="B65" i="20"/>
  <c r="K64" i="20"/>
  <c r="I64" i="20"/>
  <c r="B64" i="20"/>
  <c r="K63" i="20"/>
  <c r="I63" i="20"/>
  <c r="B63" i="20"/>
  <c r="K62" i="20"/>
  <c r="I62" i="20"/>
  <c r="B62" i="20"/>
  <c r="K61" i="20"/>
  <c r="I61" i="20"/>
  <c r="B61" i="20"/>
  <c r="K60" i="20"/>
  <c r="I60" i="20"/>
  <c r="B60" i="20"/>
  <c r="K59" i="20"/>
  <c r="I59" i="20"/>
  <c r="B59" i="20"/>
  <c r="K58" i="20"/>
  <c r="I58" i="20"/>
  <c r="B58" i="20"/>
  <c r="K57" i="20"/>
  <c r="I57" i="20"/>
  <c r="B57" i="20"/>
  <c r="K56" i="20"/>
  <c r="I56" i="20"/>
  <c r="B56" i="20"/>
  <c r="K55" i="20"/>
  <c r="I55" i="20"/>
  <c r="B55" i="20"/>
  <c r="K54" i="20"/>
  <c r="I54" i="20"/>
  <c r="B54" i="20"/>
  <c r="K53" i="20"/>
  <c r="I53" i="20"/>
  <c r="B53" i="20"/>
  <c r="K52" i="20"/>
  <c r="I52" i="20"/>
  <c r="B52" i="20"/>
  <c r="K51" i="20"/>
  <c r="I51" i="20"/>
  <c r="B51" i="20"/>
  <c r="K50" i="20"/>
  <c r="I50" i="20"/>
  <c r="B50" i="20"/>
  <c r="K49" i="20"/>
  <c r="I49" i="20"/>
  <c r="B49" i="20"/>
  <c r="K48" i="20"/>
  <c r="I48" i="20"/>
  <c r="B48" i="20"/>
  <c r="K47" i="20"/>
  <c r="I47" i="20"/>
  <c r="B47" i="20"/>
  <c r="K46" i="20"/>
  <c r="I46" i="20"/>
  <c r="B46" i="20"/>
  <c r="K45" i="20"/>
  <c r="I45" i="20"/>
  <c r="B45" i="20"/>
  <c r="K44" i="20"/>
  <c r="I44" i="20"/>
  <c r="B44" i="20"/>
  <c r="K43" i="20"/>
  <c r="I43" i="20"/>
  <c r="B43" i="20"/>
  <c r="K42" i="20"/>
  <c r="I42" i="20"/>
  <c r="B42" i="20"/>
  <c r="K41" i="20"/>
  <c r="I41" i="20"/>
  <c r="B41" i="20"/>
  <c r="K40" i="20"/>
  <c r="I40" i="20"/>
  <c r="B40" i="20"/>
  <c r="K39" i="20"/>
  <c r="I39" i="20"/>
  <c r="B39" i="20"/>
  <c r="K38" i="20"/>
  <c r="I38" i="20"/>
  <c r="B38" i="20"/>
  <c r="K37" i="20"/>
  <c r="I37" i="20"/>
  <c r="B37" i="20"/>
  <c r="K36" i="20"/>
  <c r="I36" i="20"/>
  <c r="B36" i="20"/>
  <c r="K35" i="20"/>
  <c r="I35" i="20"/>
  <c r="B35" i="20"/>
  <c r="K34" i="20"/>
  <c r="I34" i="20"/>
  <c r="M34" i="20" s="1"/>
  <c r="B34" i="20"/>
  <c r="K33" i="20"/>
  <c r="I33" i="20"/>
  <c r="B33" i="20"/>
  <c r="K32" i="20"/>
  <c r="I32" i="20"/>
  <c r="B32" i="20"/>
  <c r="K31" i="20"/>
  <c r="I31" i="20"/>
  <c r="B31" i="20"/>
  <c r="K30" i="20"/>
  <c r="I30" i="20"/>
  <c r="B30" i="20"/>
  <c r="K29" i="20"/>
  <c r="I29" i="20"/>
  <c r="B29" i="20"/>
  <c r="K28" i="20"/>
  <c r="I28" i="20"/>
  <c r="M28" i="20" s="1"/>
  <c r="B28" i="20"/>
  <c r="K27" i="20"/>
  <c r="I27" i="20"/>
  <c r="B27" i="20"/>
  <c r="K26" i="20"/>
  <c r="I26" i="20"/>
  <c r="B26" i="20"/>
  <c r="K25" i="20"/>
  <c r="I25" i="20"/>
  <c r="B25" i="20"/>
  <c r="K24" i="20"/>
  <c r="I24" i="20"/>
  <c r="B24" i="20"/>
  <c r="K23" i="20"/>
  <c r="I23" i="20"/>
  <c r="B23" i="20"/>
  <c r="K22" i="20"/>
  <c r="I22" i="20"/>
  <c r="B22" i="20"/>
  <c r="K21" i="20"/>
  <c r="I21" i="20"/>
  <c r="K20" i="20"/>
  <c r="I20" i="20"/>
  <c r="K19" i="20"/>
  <c r="I19" i="20"/>
  <c r="K18" i="20"/>
  <c r="I18" i="20"/>
  <c r="K17" i="20"/>
  <c r="I17" i="20"/>
  <c r="K16" i="20"/>
  <c r="I16" i="20"/>
  <c r="K15" i="20"/>
  <c r="I15" i="20"/>
  <c r="K14" i="20"/>
  <c r="I14" i="20"/>
  <c r="K13" i="20"/>
  <c r="I13" i="20"/>
  <c r="K12" i="20"/>
  <c r="I12" i="20"/>
  <c r="M12" i="20" s="1"/>
  <c r="K11" i="20"/>
  <c r="I11" i="20"/>
  <c r="K10" i="20"/>
  <c r="I10" i="20"/>
  <c r="K9" i="20"/>
  <c r="I9" i="20"/>
  <c r="K8" i="20"/>
  <c r="I8" i="20"/>
  <c r="K7" i="20"/>
  <c r="I7" i="20"/>
  <c r="K2" i="20"/>
  <c r="L8" i="20" s="1"/>
  <c r="K305" i="19"/>
  <c r="I305" i="19"/>
  <c r="M305" i="19" s="1"/>
  <c r="K304" i="19"/>
  <c r="I304" i="19"/>
  <c r="M304" i="19" s="1"/>
  <c r="K303" i="19"/>
  <c r="I303" i="19"/>
  <c r="M303" i="19" s="1"/>
  <c r="K302" i="19"/>
  <c r="I302" i="19"/>
  <c r="M302" i="19" s="1"/>
  <c r="K301" i="19"/>
  <c r="I301" i="19"/>
  <c r="M301" i="19" s="1"/>
  <c r="K300" i="19"/>
  <c r="I300" i="19"/>
  <c r="M300" i="19" s="1"/>
  <c r="K299" i="19"/>
  <c r="I299" i="19"/>
  <c r="M299" i="19" s="1"/>
  <c r="K298" i="19"/>
  <c r="I298" i="19"/>
  <c r="M298" i="19" s="1"/>
  <c r="K297" i="19"/>
  <c r="I297" i="19"/>
  <c r="M297" i="19" s="1"/>
  <c r="K296" i="19"/>
  <c r="I296" i="19"/>
  <c r="M296" i="19" s="1"/>
  <c r="K295" i="19"/>
  <c r="I295" i="19"/>
  <c r="M295" i="19" s="1"/>
  <c r="K294" i="19"/>
  <c r="I294" i="19"/>
  <c r="M294" i="19" s="1"/>
  <c r="K293" i="19"/>
  <c r="I293" i="19"/>
  <c r="M293" i="19" s="1"/>
  <c r="K292" i="19"/>
  <c r="I292" i="19"/>
  <c r="M292" i="19" s="1"/>
  <c r="K291" i="19"/>
  <c r="I291" i="19"/>
  <c r="M291" i="19" s="1"/>
  <c r="K290" i="19"/>
  <c r="I290" i="19"/>
  <c r="M290" i="19" s="1"/>
  <c r="K289" i="19"/>
  <c r="I289" i="19"/>
  <c r="M289" i="19" s="1"/>
  <c r="K288" i="19"/>
  <c r="I288" i="19"/>
  <c r="M288" i="19" s="1"/>
  <c r="K287" i="19"/>
  <c r="I287" i="19"/>
  <c r="M287" i="19" s="1"/>
  <c r="K286" i="19"/>
  <c r="I286" i="19"/>
  <c r="M286" i="19" s="1"/>
  <c r="K285" i="19"/>
  <c r="I285" i="19"/>
  <c r="M285" i="19" s="1"/>
  <c r="K284" i="19"/>
  <c r="I284" i="19"/>
  <c r="M284" i="19" s="1"/>
  <c r="K283" i="19"/>
  <c r="I283" i="19"/>
  <c r="M283" i="19" s="1"/>
  <c r="K282" i="19"/>
  <c r="I282" i="19"/>
  <c r="M282" i="19" s="1"/>
  <c r="K281" i="19"/>
  <c r="I281" i="19"/>
  <c r="M281" i="19" s="1"/>
  <c r="K280" i="19"/>
  <c r="I280" i="19"/>
  <c r="M280" i="19" s="1"/>
  <c r="K279" i="19"/>
  <c r="I279" i="19"/>
  <c r="M279" i="19" s="1"/>
  <c r="K278" i="19"/>
  <c r="I278" i="19"/>
  <c r="M278" i="19" s="1"/>
  <c r="K277" i="19"/>
  <c r="I277" i="19"/>
  <c r="M277" i="19" s="1"/>
  <c r="K276" i="19"/>
  <c r="I276" i="19"/>
  <c r="M276" i="19" s="1"/>
  <c r="K275" i="19"/>
  <c r="I275" i="19"/>
  <c r="M275" i="19" s="1"/>
  <c r="K274" i="19"/>
  <c r="I274" i="19"/>
  <c r="M274" i="19" s="1"/>
  <c r="K273" i="19"/>
  <c r="I273" i="19"/>
  <c r="M273" i="19" s="1"/>
  <c r="K272" i="19"/>
  <c r="I272" i="19"/>
  <c r="M272" i="19" s="1"/>
  <c r="K271" i="19"/>
  <c r="I271" i="19"/>
  <c r="M271" i="19" s="1"/>
  <c r="K270" i="19"/>
  <c r="I270" i="19"/>
  <c r="M270" i="19" s="1"/>
  <c r="K269" i="19"/>
  <c r="I269" i="19"/>
  <c r="M269" i="19" s="1"/>
  <c r="K268" i="19"/>
  <c r="I268" i="19"/>
  <c r="M268" i="19" s="1"/>
  <c r="K267" i="19"/>
  <c r="I267" i="19"/>
  <c r="M267" i="19" s="1"/>
  <c r="K266" i="19"/>
  <c r="I266" i="19"/>
  <c r="M266" i="19" s="1"/>
  <c r="K265" i="19"/>
  <c r="I265" i="19"/>
  <c r="M265" i="19" s="1"/>
  <c r="K264" i="19"/>
  <c r="I264" i="19"/>
  <c r="M264" i="19" s="1"/>
  <c r="K263" i="19"/>
  <c r="I263" i="19"/>
  <c r="M263" i="19" s="1"/>
  <c r="K262" i="19"/>
  <c r="I262" i="19"/>
  <c r="M262" i="19" s="1"/>
  <c r="K261" i="19"/>
  <c r="I261" i="19"/>
  <c r="M261" i="19" s="1"/>
  <c r="K260" i="19"/>
  <c r="I260" i="19"/>
  <c r="M260" i="19" s="1"/>
  <c r="K259" i="19"/>
  <c r="I259" i="19"/>
  <c r="M259" i="19" s="1"/>
  <c r="K258" i="19"/>
  <c r="I258" i="19"/>
  <c r="M258" i="19" s="1"/>
  <c r="K257" i="19"/>
  <c r="I257" i="19"/>
  <c r="M257" i="19" s="1"/>
  <c r="K256" i="19"/>
  <c r="I256" i="19"/>
  <c r="M256" i="19" s="1"/>
  <c r="K255" i="19"/>
  <c r="I255" i="19"/>
  <c r="M255" i="19" s="1"/>
  <c r="K254" i="19"/>
  <c r="I254" i="19"/>
  <c r="M254" i="19" s="1"/>
  <c r="K253" i="19"/>
  <c r="I253" i="19"/>
  <c r="M253" i="19" s="1"/>
  <c r="K252" i="19"/>
  <c r="I252" i="19"/>
  <c r="M252" i="19" s="1"/>
  <c r="K251" i="19"/>
  <c r="I251" i="19"/>
  <c r="M251" i="19" s="1"/>
  <c r="K250" i="19"/>
  <c r="I250" i="19"/>
  <c r="M250" i="19" s="1"/>
  <c r="K249" i="19"/>
  <c r="I249" i="19"/>
  <c r="M249" i="19" s="1"/>
  <c r="K248" i="19"/>
  <c r="I248" i="19"/>
  <c r="M248" i="19" s="1"/>
  <c r="K247" i="19"/>
  <c r="I247" i="19"/>
  <c r="M247" i="19" s="1"/>
  <c r="K246" i="19"/>
  <c r="I246" i="19"/>
  <c r="M246" i="19" s="1"/>
  <c r="K245" i="19"/>
  <c r="I245" i="19"/>
  <c r="M245" i="19" s="1"/>
  <c r="K244" i="19"/>
  <c r="I244" i="19"/>
  <c r="M244" i="19" s="1"/>
  <c r="K243" i="19"/>
  <c r="I243" i="19"/>
  <c r="M243" i="19" s="1"/>
  <c r="K242" i="19"/>
  <c r="I242" i="19"/>
  <c r="M242" i="19" s="1"/>
  <c r="K241" i="19"/>
  <c r="I241" i="19"/>
  <c r="M241" i="19" s="1"/>
  <c r="K240" i="19"/>
  <c r="I240" i="19"/>
  <c r="M240" i="19" s="1"/>
  <c r="K239" i="19"/>
  <c r="I239" i="19"/>
  <c r="M239" i="19" s="1"/>
  <c r="K238" i="19"/>
  <c r="I238" i="19"/>
  <c r="M238" i="19" s="1"/>
  <c r="K237" i="19"/>
  <c r="I237" i="19"/>
  <c r="M237" i="19" s="1"/>
  <c r="K236" i="19"/>
  <c r="I236" i="19"/>
  <c r="M236" i="19" s="1"/>
  <c r="K235" i="19"/>
  <c r="I235" i="19"/>
  <c r="M235" i="19" s="1"/>
  <c r="K234" i="19"/>
  <c r="I234" i="19"/>
  <c r="M234" i="19" s="1"/>
  <c r="K233" i="19"/>
  <c r="I233" i="19"/>
  <c r="M233" i="19" s="1"/>
  <c r="K232" i="19"/>
  <c r="I232" i="19"/>
  <c r="M232" i="19" s="1"/>
  <c r="K231" i="19"/>
  <c r="I231" i="19"/>
  <c r="M231" i="19" s="1"/>
  <c r="K230" i="19"/>
  <c r="I230" i="19"/>
  <c r="M230" i="19" s="1"/>
  <c r="K229" i="19"/>
  <c r="I229" i="19"/>
  <c r="M229" i="19" s="1"/>
  <c r="K228" i="19"/>
  <c r="I228" i="19"/>
  <c r="M228" i="19" s="1"/>
  <c r="K227" i="19"/>
  <c r="I227" i="19"/>
  <c r="M227" i="19" s="1"/>
  <c r="K226" i="19"/>
  <c r="I226" i="19"/>
  <c r="M226" i="19" s="1"/>
  <c r="K225" i="19"/>
  <c r="I225" i="19"/>
  <c r="M225" i="19" s="1"/>
  <c r="K224" i="19"/>
  <c r="I224" i="19"/>
  <c r="M224" i="19" s="1"/>
  <c r="K223" i="19"/>
  <c r="I223" i="19"/>
  <c r="M223" i="19" s="1"/>
  <c r="K222" i="19"/>
  <c r="I222" i="19"/>
  <c r="M222" i="19" s="1"/>
  <c r="K221" i="19"/>
  <c r="I221" i="19"/>
  <c r="M221" i="19" s="1"/>
  <c r="K220" i="19"/>
  <c r="I220" i="19"/>
  <c r="M220" i="19" s="1"/>
  <c r="K219" i="19"/>
  <c r="I219" i="19"/>
  <c r="M219" i="19" s="1"/>
  <c r="K218" i="19"/>
  <c r="I218" i="19"/>
  <c r="M218" i="19" s="1"/>
  <c r="K217" i="19"/>
  <c r="I217" i="19"/>
  <c r="M217" i="19" s="1"/>
  <c r="K216" i="19"/>
  <c r="I216" i="19"/>
  <c r="M216" i="19" s="1"/>
  <c r="K215" i="19"/>
  <c r="I215" i="19"/>
  <c r="M215" i="19" s="1"/>
  <c r="K214" i="19"/>
  <c r="I214" i="19"/>
  <c r="M214" i="19" s="1"/>
  <c r="K213" i="19"/>
  <c r="I213" i="19"/>
  <c r="M213" i="19" s="1"/>
  <c r="K212" i="19"/>
  <c r="I212" i="19"/>
  <c r="M212" i="19" s="1"/>
  <c r="K211" i="19"/>
  <c r="I211" i="19"/>
  <c r="M211" i="19" s="1"/>
  <c r="K210" i="19"/>
  <c r="I210" i="19"/>
  <c r="M210" i="19" s="1"/>
  <c r="K209" i="19"/>
  <c r="I209" i="19"/>
  <c r="M209" i="19" s="1"/>
  <c r="K208" i="19"/>
  <c r="I208" i="19"/>
  <c r="M208" i="19" s="1"/>
  <c r="K207" i="19"/>
  <c r="I207" i="19"/>
  <c r="M207" i="19" s="1"/>
  <c r="K206" i="19"/>
  <c r="I206" i="19"/>
  <c r="M206" i="19" s="1"/>
  <c r="K205" i="19"/>
  <c r="I205" i="19"/>
  <c r="M205" i="19" s="1"/>
  <c r="K204" i="19"/>
  <c r="I204" i="19"/>
  <c r="M204" i="19" s="1"/>
  <c r="K203" i="19"/>
  <c r="I203" i="19"/>
  <c r="M203" i="19" s="1"/>
  <c r="K202" i="19"/>
  <c r="I202" i="19"/>
  <c r="M202" i="19" s="1"/>
  <c r="K201" i="19"/>
  <c r="I201" i="19"/>
  <c r="M201" i="19" s="1"/>
  <c r="K200" i="19"/>
  <c r="I200" i="19"/>
  <c r="M200" i="19" s="1"/>
  <c r="K199" i="19"/>
  <c r="I199" i="19"/>
  <c r="M199" i="19" s="1"/>
  <c r="K198" i="19"/>
  <c r="I198" i="19"/>
  <c r="M198" i="19" s="1"/>
  <c r="K197" i="19"/>
  <c r="I197" i="19"/>
  <c r="M197" i="19" s="1"/>
  <c r="K196" i="19"/>
  <c r="I196" i="19"/>
  <c r="M196" i="19" s="1"/>
  <c r="K195" i="19"/>
  <c r="I195" i="19"/>
  <c r="M195" i="19" s="1"/>
  <c r="K194" i="19"/>
  <c r="I194" i="19"/>
  <c r="M194" i="19" s="1"/>
  <c r="K193" i="19"/>
  <c r="I193" i="19"/>
  <c r="M193" i="19" s="1"/>
  <c r="K192" i="19"/>
  <c r="I192" i="19"/>
  <c r="M192" i="19" s="1"/>
  <c r="K191" i="19"/>
  <c r="I191" i="19"/>
  <c r="M191" i="19" s="1"/>
  <c r="K190" i="19"/>
  <c r="I190" i="19"/>
  <c r="M190" i="19" s="1"/>
  <c r="K189" i="19"/>
  <c r="I189" i="19"/>
  <c r="M189" i="19" s="1"/>
  <c r="K188" i="19"/>
  <c r="I188" i="19"/>
  <c r="M188" i="19" s="1"/>
  <c r="K187" i="19"/>
  <c r="I187" i="19"/>
  <c r="M187" i="19" s="1"/>
  <c r="K186" i="19"/>
  <c r="I186" i="19"/>
  <c r="M186" i="19" s="1"/>
  <c r="K185" i="19"/>
  <c r="I185" i="19"/>
  <c r="M185" i="19" s="1"/>
  <c r="K184" i="19"/>
  <c r="I184" i="19"/>
  <c r="M184" i="19" s="1"/>
  <c r="K183" i="19"/>
  <c r="I183" i="19"/>
  <c r="M183" i="19" s="1"/>
  <c r="K182" i="19"/>
  <c r="I182" i="19"/>
  <c r="M182" i="19" s="1"/>
  <c r="K181" i="19"/>
  <c r="I181" i="19"/>
  <c r="M181" i="19" s="1"/>
  <c r="K180" i="19"/>
  <c r="I180" i="19"/>
  <c r="M180" i="19" s="1"/>
  <c r="K179" i="19"/>
  <c r="I179" i="19"/>
  <c r="M179" i="19" s="1"/>
  <c r="K178" i="19"/>
  <c r="I178" i="19"/>
  <c r="M178" i="19" s="1"/>
  <c r="K177" i="19"/>
  <c r="I177" i="19"/>
  <c r="M177" i="19" s="1"/>
  <c r="K176" i="19"/>
  <c r="I176" i="19"/>
  <c r="M176" i="19" s="1"/>
  <c r="K175" i="19"/>
  <c r="I175" i="19"/>
  <c r="M175" i="19" s="1"/>
  <c r="K174" i="19"/>
  <c r="I174" i="19"/>
  <c r="M174" i="19" s="1"/>
  <c r="K173" i="19"/>
  <c r="I173" i="19"/>
  <c r="M173" i="19" s="1"/>
  <c r="K172" i="19"/>
  <c r="I172" i="19"/>
  <c r="M172" i="19" s="1"/>
  <c r="K171" i="19"/>
  <c r="I171" i="19"/>
  <c r="M171" i="19" s="1"/>
  <c r="K170" i="19"/>
  <c r="I170" i="19"/>
  <c r="M170" i="19" s="1"/>
  <c r="K169" i="19"/>
  <c r="I169" i="19"/>
  <c r="M169" i="19" s="1"/>
  <c r="K168" i="19"/>
  <c r="I168" i="19"/>
  <c r="M168" i="19" s="1"/>
  <c r="K167" i="19"/>
  <c r="I167" i="19"/>
  <c r="M167" i="19" s="1"/>
  <c r="K166" i="19"/>
  <c r="I166" i="19"/>
  <c r="M166" i="19" s="1"/>
  <c r="K165" i="19"/>
  <c r="I165" i="19"/>
  <c r="M165" i="19" s="1"/>
  <c r="K164" i="19"/>
  <c r="I164" i="19"/>
  <c r="M164" i="19" s="1"/>
  <c r="K163" i="19"/>
  <c r="I163" i="19"/>
  <c r="M163" i="19" s="1"/>
  <c r="K162" i="19"/>
  <c r="I162" i="19"/>
  <c r="M162" i="19" s="1"/>
  <c r="K161" i="19"/>
  <c r="I161" i="19"/>
  <c r="M161" i="19" s="1"/>
  <c r="K160" i="19"/>
  <c r="I160" i="19"/>
  <c r="M160" i="19" s="1"/>
  <c r="K159" i="19"/>
  <c r="I159" i="19"/>
  <c r="M159" i="19" s="1"/>
  <c r="K158" i="19"/>
  <c r="I158" i="19"/>
  <c r="M158" i="19" s="1"/>
  <c r="K157" i="19"/>
  <c r="I157" i="19"/>
  <c r="M157" i="19" s="1"/>
  <c r="K156" i="19"/>
  <c r="I156" i="19"/>
  <c r="M156" i="19" s="1"/>
  <c r="K155" i="19"/>
  <c r="I155" i="19"/>
  <c r="M155" i="19" s="1"/>
  <c r="K154" i="19"/>
  <c r="I154" i="19"/>
  <c r="M154" i="19" s="1"/>
  <c r="K153" i="19"/>
  <c r="I153" i="19"/>
  <c r="M153" i="19" s="1"/>
  <c r="K152" i="19"/>
  <c r="I152" i="19"/>
  <c r="M152" i="19" s="1"/>
  <c r="K151" i="19"/>
  <c r="I151" i="19"/>
  <c r="M151" i="19" s="1"/>
  <c r="K150" i="19"/>
  <c r="I150" i="19"/>
  <c r="M150" i="19" s="1"/>
  <c r="K149" i="19"/>
  <c r="I149" i="19"/>
  <c r="M149" i="19" s="1"/>
  <c r="K148" i="19"/>
  <c r="I148" i="19"/>
  <c r="M148" i="19" s="1"/>
  <c r="K147" i="19"/>
  <c r="I147" i="19"/>
  <c r="M147" i="19" s="1"/>
  <c r="K146" i="19"/>
  <c r="I146" i="19"/>
  <c r="M146" i="19" s="1"/>
  <c r="K145" i="19"/>
  <c r="I145" i="19"/>
  <c r="M145" i="19" s="1"/>
  <c r="K144" i="19"/>
  <c r="I144" i="19"/>
  <c r="M144" i="19" s="1"/>
  <c r="K143" i="19"/>
  <c r="I143" i="19"/>
  <c r="M143" i="19" s="1"/>
  <c r="K142" i="19"/>
  <c r="I142" i="19"/>
  <c r="M142" i="19" s="1"/>
  <c r="K141" i="19"/>
  <c r="I141" i="19"/>
  <c r="M141" i="19" s="1"/>
  <c r="K140" i="19"/>
  <c r="I140" i="19"/>
  <c r="M140" i="19" s="1"/>
  <c r="K139" i="19"/>
  <c r="I139" i="19"/>
  <c r="M139" i="19" s="1"/>
  <c r="K138" i="19"/>
  <c r="I138" i="19"/>
  <c r="M138" i="19" s="1"/>
  <c r="K137" i="19"/>
  <c r="I137" i="19"/>
  <c r="M137" i="19" s="1"/>
  <c r="K136" i="19"/>
  <c r="I136" i="19"/>
  <c r="M136" i="19" s="1"/>
  <c r="K135" i="19"/>
  <c r="I135" i="19"/>
  <c r="M135" i="19" s="1"/>
  <c r="K134" i="19"/>
  <c r="I134" i="19"/>
  <c r="M134" i="19" s="1"/>
  <c r="K133" i="19"/>
  <c r="I133" i="19"/>
  <c r="M133" i="19" s="1"/>
  <c r="K132" i="19"/>
  <c r="I132" i="19"/>
  <c r="M132" i="19" s="1"/>
  <c r="K131" i="19"/>
  <c r="I131" i="19"/>
  <c r="M131" i="19" s="1"/>
  <c r="K130" i="19"/>
  <c r="I130" i="19"/>
  <c r="M130" i="19" s="1"/>
  <c r="K129" i="19"/>
  <c r="I129" i="19"/>
  <c r="M129" i="19" s="1"/>
  <c r="K128" i="19"/>
  <c r="I128" i="19"/>
  <c r="M128" i="19" s="1"/>
  <c r="K127" i="19"/>
  <c r="I127" i="19"/>
  <c r="M127" i="19" s="1"/>
  <c r="K126" i="19"/>
  <c r="I126" i="19"/>
  <c r="M126" i="19" s="1"/>
  <c r="K125" i="19"/>
  <c r="I125" i="19"/>
  <c r="M125" i="19" s="1"/>
  <c r="K124" i="19"/>
  <c r="I124" i="19"/>
  <c r="M124" i="19" s="1"/>
  <c r="K123" i="19"/>
  <c r="I123" i="19"/>
  <c r="M123" i="19" s="1"/>
  <c r="K122" i="19"/>
  <c r="I122" i="19"/>
  <c r="M122" i="19" s="1"/>
  <c r="K121" i="19"/>
  <c r="I121" i="19"/>
  <c r="M121" i="19" s="1"/>
  <c r="K120" i="19"/>
  <c r="I120" i="19"/>
  <c r="M120" i="19" s="1"/>
  <c r="K119" i="19"/>
  <c r="I119" i="19"/>
  <c r="M119" i="19" s="1"/>
  <c r="K118" i="19"/>
  <c r="I118" i="19"/>
  <c r="M118" i="19" s="1"/>
  <c r="K117" i="19"/>
  <c r="I117" i="19"/>
  <c r="M117" i="19" s="1"/>
  <c r="K116" i="19"/>
  <c r="I116" i="19"/>
  <c r="M116" i="19" s="1"/>
  <c r="K115" i="19"/>
  <c r="I115" i="19"/>
  <c r="M115" i="19" s="1"/>
  <c r="K114" i="19"/>
  <c r="I114" i="19"/>
  <c r="M114" i="19" s="1"/>
  <c r="K113" i="19"/>
  <c r="I113" i="19"/>
  <c r="M113" i="19" s="1"/>
  <c r="K112" i="19"/>
  <c r="I112" i="19"/>
  <c r="M112" i="19" s="1"/>
  <c r="K111" i="19"/>
  <c r="I111" i="19"/>
  <c r="M111" i="19" s="1"/>
  <c r="K110" i="19"/>
  <c r="I110" i="19"/>
  <c r="M110" i="19" s="1"/>
  <c r="K109" i="19"/>
  <c r="I109" i="19"/>
  <c r="M109" i="19" s="1"/>
  <c r="K108" i="19"/>
  <c r="I108" i="19"/>
  <c r="M108" i="19" s="1"/>
  <c r="K107" i="19"/>
  <c r="I107" i="19"/>
  <c r="M107" i="19" s="1"/>
  <c r="K106" i="19"/>
  <c r="I106" i="19"/>
  <c r="M106" i="19" s="1"/>
  <c r="K105" i="19"/>
  <c r="I105" i="19"/>
  <c r="M105" i="19" s="1"/>
  <c r="K104" i="19"/>
  <c r="I104" i="19"/>
  <c r="M104" i="19" s="1"/>
  <c r="K103" i="19"/>
  <c r="I103" i="19"/>
  <c r="M103" i="19" s="1"/>
  <c r="K102" i="19"/>
  <c r="I102" i="19"/>
  <c r="M102" i="19" s="1"/>
  <c r="K101" i="19"/>
  <c r="I101" i="19"/>
  <c r="M101" i="19" s="1"/>
  <c r="K100" i="19"/>
  <c r="I100" i="19"/>
  <c r="M100" i="19" s="1"/>
  <c r="K99" i="19"/>
  <c r="I99" i="19"/>
  <c r="M99" i="19" s="1"/>
  <c r="K98" i="19"/>
  <c r="I98" i="19"/>
  <c r="M98" i="19" s="1"/>
  <c r="K97" i="19"/>
  <c r="I97" i="19"/>
  <c r="M97" i="19" s="1"/>
  <c r="K96" i="19"/>
  <c r="I96" i="19"/>
  <c r="M96" i="19" s="1"/>
  <c r="K95" i="19"/>
  <c r="I95" i="19"/>
  <c r="M95" i="19" s="1"/>
  <c r="K94" i="19"/>
  <c r="I94" i="19"/>
  <c r="M94" i="19" s="1"/>
  <c r="K93" i="19"/>
  <c r="I93" i="19"/>
  <c r="M93" i="19" s="1"/>
  <c r="K92" i="19"/>
  <c r="I92" i="19"/>
  <c r="M92" i="19" s="1"/>
  <c r="K91" i="19"/>
  <c r="I91" i="19"/>
  <c r="M91" i="19" s="1"/>
  <c r="K90" i="19"/>
  <c r="I90" i="19"/>
  <c r="M90" i="19" s="1"/>
  <c r="K89" i="19"/>
  <c r="I89" i="19"/>
  <c r="M89" i="19" s="1"/>
  <c r="K88" i="19"/>
  <c r="I88" i="19"/>
  <c r="M88" i="19" s="1"/>
  <c r="K87" i="19"/>
  <c r="I87" i="19"/>
  <c r="M87" i="19" s="1"/>
  <c r="K86" i="19"/>
  <c r="I86" i="19"/>
  <c r="M86" i="19" s="1"/>
  <c r="K85" i="19"/>
  <c r="I85" i="19"/>
  <c r="M85" i="19" s="1"/>
  <c r="K84" i="19"/>
  <c r="I84" i="19"/>
  <c r="M84" i="19" s="1"/>
  <c r="K83" i="19"/>
  <c r="I83" i="19"/>
  <c r="M83" i="19" s="1"/>
  <c r="K82" i="19"/>
  <c r="I82" i="19"/>
  <c r="M82" i="19" s="1"/>
  <c r="K81" i="19"/>
  <c r="I81" i="19"/>
  <c r="M81" i="19" s="1"/>
  <c r="K80" i="19"/>
  <c r="I80" i="19"/>
  <c r="M80" i="19" s="1"/>
  <c r="K79" i="19"/>
  <c r="I79" i="19"/>
  <c r="M79" i="19" s="1"/>
  <c r="K78" i="19"/>
  <c r="I78" i="19"/>
  <c r="M78" i="19" s="1"/>
  <c r="K77" i="19"/>
  <c r="I77" i="19"/>
  <c r="M77" i="19" s="1"/>
  <c r="K76" i="19"/>
  <c r="I76" i="19"/>
  <c r="M76" i="19" s="1"/>
  <c r="K75" i="19"/>
  <c r="I75" i="19"/>
  <c r="M75" i="19" s="1"/>
  <c r="K74" i="19"/>
  <c r="I74" i="19"/>
  <c r="M74" i="19" s="1"/>
  <c r="K73" i="19"/>
  <c r="I73" i="19"/>
  <c r="M73" i="19" s="1"/>
  <c r="K72" i="19"/>
  <c r="I72" i="19"/>
  <c r="M72" i="19" s="1"/>
  <c r="K71" i="19"/>
  <c r="I71" i="19"/>
  <c r="M71" i="19" s="1"/>
  <c r="K70" i="19"/>
  <c r="I70" i="19"/>
  <c r="M70" i="19" s="1"/>
  <c r="K69" i="19"/>
  <c r="I69" i="19"/>
  <c r="M69" i="19" s="1"/>
  <c r="K68" i="19"/>
  <c r="I68" i="19"/>
  <c r="M68" i="19" s="1"/>
  <c r="K67" i="19"/>
  <c r="I67" i="19"/>
  <c r="M67" i="19" s="1"/>
  <c r="K66" i="19"/>
  <c r="I66" i="19"/>
  <c r="M66" i="19" s="1"/>
  <c r="K65" i="19"/>
  <c r="I65" i="19"/>
  <c r="M65" i="19" s="1"/>
  <c r="B65" i="19"/>
  <c r="K64" i="19"/>
  <c r="I64" i="19"/>
  <c r="M64" i="19" s="1"/>
  <c r="B64" i="19"/>
  <c r="K63" i="19"/>
  <c r="I63" i="19"/>
  <c r="M63" i="19" s="1"/>
  <c r="B63" i="19"/>
  <c r="K62" i="19"/>
  <c r="I62" i="19"/>
  <c r="M62" i="19" s="1"/>
  <c r="B62" i="19"/>
  <c r="K61" i="19"/>
  <c r="I61" i="19"/>
  <c r="M61" i="19" s="1"/>
  <c r="B61" i="19"/>
  <c r="K60" i="19"/>
  <c r="I60" i="19"/>
  <c r="M60" i="19" s="1"/>
  <c r="B60" i="19"/>
  <c r="K59" i="19"/>
  <c r="I59" i="19"/>
  <c r="M59" i="19" s="1"/>
  <c r="B59" i="19"/>
  <c r="K58" i="19"/>
  <c r="I58" i="19"/>
  <c r="M58" i="19" s="1"/>
  <c r="B58" i="19"/>
  <c r="K57" i="19"/>
  <c r="I57" i="19"/>
  <c r="M57" i="19" s="1"/>
  <c r="B57" i="19"/>
  <c r="K56" i="19"/>
  <c r="I56" i="19"/>
  <c r="M56" i="19" s="1"/>
  <c r="B56" i="19"/>
  <c r="K55" i="19"/>
  <c r="I55" i="19"/>
  <c r="M55" i="19" s="1"/>
  <c r="B55" i="19"/>
  <c r="K54" i="19"/>
  <c r="I54" i="19"/>
  <c r="M54" i="19" s="1"/>
  <c r="B54" i="19"/>
  <c r="K53" i="19"/>
  <c r="I53" i="19"/>
  <c r="M53" i="19" s="1"/>
  <c r="B53" i="19"/>
  <c r="K52" i="19"/>
  <c r="I52" i="19"/>
  <c r="M52" i="19" s="1"/>
  <c r="B52" i="19"/>
  <c r="K51" i="19"/>
  <c r="I51" i="19"/>
  <c r="M51" i="19" s="1"/>
  <c r="B51" i="19"/>
  <c r="K50" i="19"/>
  <c r="I50" i="19"/>
  <c r="M50" i="19" s="1"/>
  <c r="B50" i="19"/>
  <c r="K49" i="19"/>
  <c r="I49" i="19"/>
  <c r="M49" i="19" s="1"/>
  <c r="B49" i="19"/>
  <c r="K48" i="19"/>
  <c r="I48" i="19"/>
  <c r="M48" i="19" s="1"/>
  <c r="B48" i="19"/>
  <c r="K47" i="19"/>
  <c r="I47" i="19"/>
  <c r="M47" i="19" s="1"/>
  <c r="B47" i="19"/>
  <c r="K46" i="19"/>
  <c r="I46" i="19"/>
  <c r="M46" i="19" s="1"/>
  <c r="B46" i="19"/>
  <c r="K45" i="19"/>
  <c r="I45" i="19"/>
  <c r="M45" i="19" s="1"/>
  <c r="B45" i="19"/>
  <c r="K44" i="19"/>
  <c r="I44" i="19"/>
  <c r="M44" i="19" s="1"/>
  <c r="B44" i="19"/>
  <c r="K43" i="19"/>
  <c r="I43" i="19"/>
  <c r="M43" i="19" s="1"/>
  <c r="B43" i="19"/>
  <c r="K42" i="19"/>
  <c r="I42" i="19"/>
  <c r="M42" i="19" s="1"/>
  <c r="B42" i="19"/>
  <c r="K41" i="19"/>
  <c r="I41" i="19"/>
  <c r="M41" i="19" s="1"/>
  <c r="B41" i="19"/>
  <c r="K40" i="19"/>
  <c r="I40" i="19"/>
  <c r="M40" i="19" s="1"/>
  <c r="B40" i="19"/>
  <c r="K39" i="19"/>
  <c r="I39" i="19"/>
  <c r="M39" i="19" s="1"/>
  <c r="B39" i="19"/>
  <c r="K38" i="19"/>
  <c r="I38" i="19"/>
  <c r="M38" i="19" s="1"/>
  <c r="B38" i="19"/>
  <c r="K37" i="19"/>
  <c r="I37" i="19"/>
  <c r="B37" i="19"/>
  <c r="K36" i="19"/>
  <c r="I36" i="19"/>
  <c r="B36" i="19"/>
  <c r="K35" i="19"/>
  <c r="I35" i="19"/>
  <c r="B35" i="19"/>
  <c r="K34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K29" i="19"/>
  <c r="I29" i="19"/>
  <c r="B29" i="19"/>
  <c r="K28" i="19"/>
  <c r="I28" i="19"/>
  <c r="B28" i="19"/>
  <c r="K27" i="19"/>
  <c r="I27" i="19"/>
  <c r="B27" i="19"/>
  <c r="K26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K20" i="19"/>
  <c r="I20" i="19"/>
  <c r="B20" i="19"/>
  <c r="K19" i="19"/>
  <c r="I19" i="19"/>
  <c r="B19" i="19"/>
  <c r="K18" i="19"/>
  <c r="I18" i="19"/>
  <c r="K17" i="19"/>
  <c r="I17" i="19"/>
  <c r="K16" i="19"/>
  <c r="I16" i="19"/>
  <c r="K15" i="19"/>
  <c r="I15" i="19"/>
  <c r="M15" i="19" s="1"/>
  <c r="A15" i="19"/>
  <c r="K14" i="19"/>
  <c r="I14" i="19"/>
  <c r="M14" i="19" s="1"/>
  <c r="A14" i="19" s="1"/>
  <c r="K13" i="19"/>
  <c r="I13" i="19"/>
  <c r="M13" i="19" s="1"/>
  <c r="A13" i="19" s="1"/>
  <c r="K12" i="19"/>
  <c r="I12" i="19"/>
  <c r="K11" i="19"/>
  <c r="I11" i="19"/>
  <c r="K10" i="19"/>
  <c r="I10" i="19"/>
  <c r="K9" i="19"/>
  <c r="I9" i="19"/>
  <c r="K8" i="19"/>
  <c r="I8" i="19"/>
  <c r="K7" i="19"/>
  <c r="I7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K298" i="18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K290" i="18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K282" i="18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K274" i="18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K258" i="18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K250" i="18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K234" i="18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K226" i="18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K218" i="18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K210" i="18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K202" i="18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K186" i="18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K162" i="18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K154" i="18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K138" i="18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K130" i="18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K106" i="18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K101" i="18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K90" i="18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K85" i="18"/>
  <c r="I85" i="18"/>
  <c r="M85" i="18" s="1"/>
  <c r="K84" i="18"/>
  <c r="I84" i="18"/>
  <c r="M84" i="18" s="1"/>
  <c r="K83" i="18"/>
  <c r="I83" i="18"/>
  <c r="M83" i="18" s="1"/>
  <c r="K82" i="18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K69" i="18"/>
  <c r="I69" i="18"/>
  <c r="M69" i="18" s="1"/>
  <c r="K68" i="18"/>
  <c r="I68" i="18"/>
  <c r="M68" i="18" s="1"/>
  <c r="K67" i="18"/>
  <c r="I67" i="18"/>
  <c r="M67" i="18" s="1"/>
  <c r="K66" i="18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K58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K50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K46" i="18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K42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M37" i="18" s="1"/>
  <c r="A37" i="18" s="1"/>
  <c r="B37" i="18"/>
  <c r="K36" i="18"/>
  <c r="I36" i="18"/>
  <c r="M36" i="18" s="1"/>
  <c r="B36" i="18"/>
  <c r="A36" i="18"/>
  <c r="K35" i="18"/>
  <c r="I35" i="18"/>
  <c r="M35" i="18" s="1"/>
  <c r="A35" i="18" s="1"/>
  <c r="B35" i="18"/>
  <c r="K34" i="18"/>
  <c r="I34" i="18"/>
  <c r="M34" i="18" s="1"/>
  <c r="A34" i="18" s="1"/>
  <c r="B34" i="18"/>
  <c r="K33" i="18"/>
  <c r="I33" i="18"/>
  <c r="M33" i="18" s="1"/>
  <c r="A33" i="18" s="1"/>
  <c r="B33" i="18"/>
  <c r="K32" i="18"/>
  <c r="I32" i="18"/>
  <c r="M32" i="18" s="1"/>
  <c r="A32" i="18" s="1"/>
  <c r="B32" i="18"/>
  <c r="K31" i="18"/>
  <c r="I31" i="18"/>
  <c r="M31" i="18" s="1"/>
  <c r="A31" i="18" s="1"/>
  <c r="B31" i="18"/>
  <c r="K30" i="18"/>
  <c r="I30" i="18"/>
  <c r="M30" i="18" s="1"/>
  <c r="B30" i="18"/>
  <c r="A30" i="18"/>
  <c r="K29" i="18"/>
  <c r="I29" i="18"/>
  <c r="M29" i="18" s="1"/>
  <c r="A29" i="18" s="1"/>
  <c r="B29" i="18"/>
  <c r="K28" i="18"/>
  <c r="I28" i="18"/>
  <c r="M28" i="18" s="1"/>
  <c r="B28" i="18"/>
  <c r="A28" i="18"/>
  <c r="K27" i="18"/>
  <c r="I27" i="18"/>
  <c r="M27" i="18" s="1"/>
  <c r="A27" i="18" s="1"/>
  <c r="B27" i="18"/>
  <c r="K26" i="18"/>
  <c r="I26" i="18"/>
  <c r="M26" i="18" s="1"/>
  <c r="A26" i="18" s="1"/>
  <c r="B26" i="18"/>
  <c r="K25" i="18"/>
  <c r="I25" i="18"/>
  <c r="M25" i="18" s="1"/>
  <c r="A25" i="18" s="1"/>
  <c r="K24" i="18"/>
  <c r="I24" i="18"/>
  <c r="M24" i="18" s="1"/>
  <c r="A24" i="18" s="1"/>
  <c r="K23" i="18"/>
  <c r="I23" i="18"/>
  <c r="M23" i="18" s="1"/>
  <c r="A23" i="18" s="1"/>
  <c r="K22" i="18"/>
  <c r="I22" i="18"/>
  <c r="M22" i="18" s="1"/>
  <c r="A22" i="18"/>
  <c r="K21" i="18"/>
  <c r="I21" i="18"/>
  <c r="M21" i="18" s="1"/>
  <c r="A21" i="18" s="1"/>
  <c r="K20" i="18"/>
  <c r="I20" i="18"/>
  <c r="M20" i="18" s="1"/>
  <c r="A20" i="18" s="1"/>
  <c r="K19" i="18"/>
  <c r="I19" i="18"/>
  <c r="M19" i="18" s="1"/>
  <c r="A19" i="18" s="1"/>
  <c r="K18" i="18"/>
  <c r="I18" i="18"/>
  <c r="M18" i="18" s="1"/>
  <c r="A18" i="18" s="1"/>
  <c r="K17" i="18"/>
  <c r="I17" i="18"/>
  <c r="M17" i="18" s="1"/>
  <c r="A17" i="18" s="1"/>
  <c r="K16" i="18"/>
  <c r="I16" i="18"/>
  <c r="K15" i="18"/>
  <c r="I15" i="18"/>
  <c r="M15" i="18" s="1"/>
  <c r="A15" i="18" s="1"/>
  <c r="K14" i="18"/>
  <c r="I14" i="18"/>
  <c r="K13" i="18"/>
  <c r="I13" i="18"/>
  <c r="K12" i="18"/>
  <c r="I12" i="18"/>
  <c r="K11" i="18"/>
  <c r="I11" i="18"/>
  <c r="K10" i="18"/>
  <c r="I10" i="18"/>
  <c r="K7" i="18"/>
  <c r="I7" i="18"/>
  <c r="K2" i="18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K298" i="17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K290" i="17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K282" i="17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K274" i="17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K266" i="17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K258" i="17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K250" i="17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K234" i="17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K226" i="17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K210" i="17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K202" i="17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K194" i="17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K186" i="17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K178" i="17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K170" i="17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K162" i="17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K154" i="17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K138" i="17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K130" i="17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K122" i="17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K114" i="17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K106" i="17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K98" i="17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K93" i="17"/>
  <c r="I93" i="17"/>
  <c r="M93" i="17" s="1"/>
  <c r="K92" i="17"/>
  <c r="I92" i="17"/>
  <c r="M92" i="17" s="1"/>
  <c r="K91" i="17"/>
  <c r="I91" i="17"/>
  <c r="M91" i="17" s="1"/>
  <c r="K90" i="17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K85" i="17"/>
  <c r="I85" i="17"/>
  <c r="M85" i="17" s="1"/>
  <c r="K84" i="17"/>
  <c r="I84" i="17"/>
  <c r="M84" i="17" s="1"/>
  <c r="K83" i="17"/>
  <c r="I83" i="17"/>
  <c r="M83" i="17" s="1"/>
  <c r="K82" i="17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K77" i="17"/>
  <c r="I77" i="17"/>
  <c r="M77" i="17" s="1"/>
  <c r="K76" i="17"/>
  <c r="I76" i="17"/>
  <c r="M76" i="17" s="1"/>
  <c r="K75" i="17"/>
  <c r="I75" i="17"/>
  <c r="M75" i="17" s="1"/>
  <c r="K74" i="17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K69" i="17"/>
  <c r="I69" i="17"/>
  <c r="M69" i="17" s="1"/>
  <c r="K68" i="17"/>
  <c r="I68" i="17"/>
  <c r="M68" i="17" s="1"/>
  <c r="K67" i="17"/>
  <c r="I67" i="17"/>
  <c r="M67" i="17" s="1"/>
  <c r="K66" i="17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K58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K50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K46" i="17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K42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K37" i="17"/>
  <c r="I37" i="17"/>
  <c r="M37" i="17" s="1"/>
  <c r="A37" i="17" s="1"/>
  <c r="B37" i="17"/>
  <c r="K36" i="17"/>
  <c r="I36" i="17"/>
  <c r="M36" i="17" s="1"/>
  <c r="A36" i="17" s="1"/>
  <c r="B36" i="17"/>
  <c r="K35" i="17"/>
  <c r="I35" i="17"/>
  <c r="B35" i="17"/>
  <c r="K34" i="17"/>
  <c r="I34" i="17"/>
  <c r="M34" i="17" s="1"/>
  <c r="A34" i="17" s="1"/>
  <c r="B34" i="17"/>
  <c r="K33" i="17"/>
  <c r="I33" i="17"/>
  <c r="B33" i="17"/>
  <c r="K32" i="17"/>
  <c r="I32" i="17"/>
  <c r="M32" i="17" s="1"/>
  <c r="A32" i="17" s="1"/>
  <c r="B32" i="17"/>
  <c r="K31" i="17"/>
  <c r="I31" i="17"/>
  <c r="B31" i="17"/>
  <c r="K30" i="17"/>
  <c r="I30" i="17"/>
  <c r="M30" i="17" s="1"/>
  <c r="A30" i="17" s="1"/>
  <c r="B30" i="17"/>
  <c r="K29" i="17"/>
  <c r="I29" i="17"/>
  <c r="B29" i="17"/>
  <c r="K28" i="17"/>
  <c r="I28" i="17"/>
  <c r="M28" i="17" s="1"/>
  <c r="A28" i="17" s="1"/>
  <c r="B28" i="17"/>
  <c r="K27" i="17"/>
  <c r="I27" i="17"/>
  <c r="B27" i="17"/>
  <c r="K26" i="17"/>
  <c r="I26" i="17"/>
  <c r="M26" i="17" s="1"/>
  <c r="A26" i="17" s="1"/>
  <c r="B26" i="17"/>
  <c r="K25" i="17"/>
  <c r="I25" i="17"/>
  <c r="B25" i="17"/>
  <c r="K24" i="17"/>
  <c r="I24" i="17"/>
  <c r="M24" i="17" s="1"/>
  <c r="A24" i="17" s="1"/>
  <c r="B24" i="17"/>
  <c r="K23" i="17"/>
  <c r="I23" i="17"/>
  <c r="B23" i="17"/>
  <c r="K22" i="17"/>
  <c r="I22" i="17"/>
  <c r="M22" i="17" s="1"/>
  <c r="A22" i="17" s="1"/>
  <c r="B22" i="17"/>
  <c r="K21" i="17"/>
  <c r="I21" i="17"/>
  <c r="B21" i="17"/>
  <c r="K20" i="17"/>
  <c r="I20" i="17"/>
  <c r="M20" i="17" s="1"/>
  <c r="A20" i="17" s="1"/>
  <c r="B20" i="17"/>
  <c r="K19" i="17"/>
  <c r="I19" i="17"/>
  <c r="B19" i="17"/>
  <c r="K18" i="17"/>
  <c r="I18" i="17"/>
  <c r="M18" i="17" s="1"/>
  <c r="A18" i="17" s="1"/>
  <c r="B18" i="17"/>
  <c r="K17" i="17"/>
  <c r="I17" i="17"/>
  <c r="K16" i="17"/>
  <c r="I16" i="17"/>
  <c r="M16" i="17" s="1"/>
  <c r="K15" i="17"/>
  <c r="I15" i="17"/>
  <c r="M15" i="17" s="1"/>
  <c r="A15" i="17" s="1"/>
  <c r="B15" i="17"/>
  <c r="K14" i="17"/>
  <c r="I14" i="17"/>
  <c r="M14" i="17" s="1"/>
  <c r="A14" i="17" s="1"/>
  <c r="J18" i="1"/>
  <c r="K13" i="17"/>
  <c r="I13" i="17"/>
  <c r="K12" i="17"/>
  <c r="I12" i="17"/>
  <c r="K11" i="17"/>
  <c r="I11" i="17"/>
  <c r="K10" i="17"/>
  <c r="I10" i="17"/>
  <c r="K9" i="17"/>
  <c r="I9" i="17"/>
  <c r="K8" i="17"/>
  <c r="I8" i="17"/>
  <c r="K7" i="17"/>
  <c r="I7" i="17"/>
  <c r="K2" i="17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E26" i="1"/>
  <c r="E15" i="1"/>
  <c r="E14" i="1"/>
  <c r="E8" i="1"/>
  <c r="E11" i="1"/>
  <c r="E9" i="1"/>
  <c r="E7" i="1"/>
  <c r="B65" i="16"/>
  <c r="B64" i="16"/>
  <c r="B63" i="16"/>
  <c r="B62" i="16"/>
  <c r="B61" i="16"/>
  <c r="B60" i="16"/>
  <c r="B59" i="16"/>
  <c r="B58" i="16"/>
  <c r="B57" i="16"/>
  <c r="B56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8" i="16"/>
  <c r="B17" i="16"/>
  <c r="G26" i="1"/>
  <c r="G15" i="1"/>
  <c r="G17" i="1"/>
  <c r="G8" i="1"/>
  <c r="G9" i="1"/>
  <c r="G7" i="1"/>
  <c r="G14" i="1"/>
  <c r="G6" i="1"/>
  <c r="K305" i="16"/>
  <c r="I305" i="16"/>
  <c r="M305" i="16" s="1"/>
  <c r="K304" i="16"/>
  <c r="I304" i="16"/>
  <c r="M304" i="16" s="1"/>
  <c r="K303" i="16"/>
  <c r="I303" i="16"/>
  <c r="M303" i="16" s="1"/>
  <c r="K302" i="16"/>
  <c r="I302" i="16"/>
  <c r="M302" i="16" s="1"/>
  <c r="K301" i="16"/>
  <c r="I301" i="16"/>
  <c r="M301" i="16" s="1"/>
  <c r="K300" i="16"/>
  <c r="I300" i="16"/>
  <c r="M300" i="16" s="1"/>
  <c r="K299" i="16"/>
  <c r="I299" i="16"/>
  <c r="M299" i="16" s="1"/>
  <c r="K298" i="16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K294" i="16"/>
  <c r="I294" i="16"/>
  <c r="M294" i="16" s="1"/>
  <c r="K293" i="16"/>
  <c r="I293" i="16"/>
  <c r="M293" i="16" s="1"/>
  <c r="K292" i="16"/>
  <c r="I292" i="16"/>
  <c r="M292" i="16" s="1"/>
  <c r="K291" i="16"/>
  <c r="I291" i="16"/>
  <c r="M291" i="16" s="1"/>
  <c r="K290" i="16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K286" i="16"/>
  <c r="I286" i="16"/>
  <c r="M286" i="16" s="1"/>
  <c r="K285" i="16"/>
  <c r="I285" i="16"/>
  <c r="M285" i="16" s="1"/>
  <c r="K284" i="16"/>
  <c r="I284" i="16"/>
  <c r="M284" i="16" s="1"/>
  <c r="K283" i="16"/>
  <c r="I283" i="16"/>
  <c r="M283" i="16" s="1"/>
  <c r="K282" i="16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K278" i="16"/>
  <c r="I278" i="16"/>
  <c r="M278" i="16" s="1"/>
  <c r="K277" i="16"/>
  <c r="I277" i="16"/>
  <c r="M277" i="16" s="1"/>
  <c r="K276" i="16"/>
  <c r="I276" i="16"/>
  <c r="M276" i="16" s="1"/>
  <c r="K275" i="16"/>
  <c r="I275" i="16"/>
  <c r="M275" i="16" s="1"/>
  <c r="K274" i="16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K270" i="16"/>
  <c r="I270" i="16"/>
  <c r="M270" i="16" s="1"/>
  <c r="K269" i="16"/>
  <c r="I269" i="16"/>
  <c r="M269" i="16" s="1"/>
  <c r="K268" i="16"/>
  <c r="I268" i="16"/>
  <c r="M268" i="16" s="1"/>
  <c r="K267" i="16"/>
  <c r="I267" i="16"/>
  <c r="M267" i="16" s="1"/>
  <c r="K266" i="16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K262" i="16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K258" i="16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K254" i="16"/>
  <c r="I254" i="16"/>
  <c r="M254" i="16" s="1"/>
  <c r="K253" i="16"/>
  <c r="I253" i="16"/>
  <c r="M253" i="16" s="1"/>
  <c r="K252" i="16"/>
  <c r="I252" i="16"/>
  <c r="M252" i="16" s="1"/>
  <c r="K251" i="16"/>
  <c r="I251" i="16"/>
  <c r="M251" i="16" s="1"/>
  <c r="K250" i="16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K246" i="16"/>
  <c r="I246" i="16"/>
  <c r="M246" i="16" s="1"/>
  <c r="K245" i="16"/>
  <c r="I245" i="16"/>
  <c r="M245" i="16" s="1"/>
  <c r="K244" i="16"/>
  <c r="I244" i="16"/>
  <c r="M244" i="16" s="1"/>
  <c r="K243" i="16"/>
  <c r="I243" i="16"/>
  <c r="M243" i="16" s="1"/>
  <c r="K242" i="16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K238" i="16"/>
  <c r="I238" i="16"/>
  <c r="M238" i="16" s="1"/>
  <c r="K237" i="16"/>
  <c r="I237" i="16"/>
  <c r="M237" i="16" s="1"/>
  <c r="K236" i="16"/>
  <c r="I236" i="16"/>
  <c r="M236" i="16" s="1"/>
  <c r="K235" i="16"/>
  <c r="I235" i="16"/>
  <c r="M235" i="16" s="1"/>
  <c r="K234" i="16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K230" i="16"/>
  <c r="I230" i="16"/>
  <c r="M230" i="16" s="1"/>
  <c r="K229" i="16"/>
  <c r="I229" i="16"/>
  <c r="M229" i="16" s="1"/>
  <c r="K228" i="16"/>
  <c r="I228" i="16"/>
  <c r="M228" i="16" s="1"/>
  <c r="K227" i="16"/>
  <c r="I227" i="16"/>
  <c r="M227" i="16" s="1"/>
  <c r="K226" i="16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K222" i="16"/>
  <c r="I222" i="16"/>
  <c r="M222" i="16" s="1"/>
  <c r="K221" i="16"/>
  <c r="I221" i="16"/>
  <c r="M221" i="16" s="1"/>
  <c r="K220" i="16"/>
  <c r="I220" i="16"/>
  <c r="M220" i="16" s="1"/>
  <c r="K219" i="16"/>
  <c r="I219" i="16"/>
  <c r="M219" i="16" s="1"/>
  <c r="K218" i="16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K214" i="16"/>
  <c r="I214" i="16"/>
  <c r="M214" i="16" s="1"/>
  <c r="K213" i="16"/>
  <c r="I213" i="16"/>
  <c r="M213" i="16" s="1"/>
  <c r="K212" i="16"/>
  <c r="I212" i="16"/>
  <c r="M212" i="16" s="1"/>
  <c r="K211" i="16"/>
  <c r="I211" i="16"/>
  <c r="M211" i="16" s="1"/>
  <c r="K210" i="16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K206" i="16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K202" i="16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K198" i="16"/>
  <c r="I198" i="16"/>
  <c r="M198" i="16" s="1"/>
  <c r="K197" i="16"/>
  <c r="I197" i="16"/>
  <c r="M197" i="16" s="1"/>
  <c r="K196" i="16"/>
  <c r="I196" i="16"/>
  <c r="M196" i="16" s="1"/>
  <c r="K195" i="16"/>
  <c r="I195" i="16"/>
  <c r="M195" i="16" s="1"/>
  <c r="K194" i="16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K190" i="16"/>
  <c r="I190" i="16"/>
  <c r="M190" i="16" s="1"/>
  <c r="K189" i="16"/>
  <c r="I189" i="16"/>
  <c r="M189" i="16" s="1"/>
  <c r="K188" i="16"/>
  <c r="I188" i="16"/>
  <c r="M188" i="16" s="1"/>
  <c r="K187" i="16"/>
  <c r="I187" i="16"/>
  <c r="M187" i="16" s="1"/>
  <c r="K186" i="16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K182" i="16"/>
  <c r="I182" i="16"/>
  <c r="M182" i="16" s="1"/>
  <c r="K181" i="16"/>
  <c r="I181" i="16"/>
  <c r="M181" i="16" s="1"/>
  <c r="K180" i="16"/>
  <c r="I180" i="16"/>
  <c r="M180" i="16" s="1"/>
  <c r="K179" i="16"/>
  <c r="I179" i="16"/>
  <c r="M179" i="16" s="1"/>
  <c r="K178" i="16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K174" i="16"/>
  <c r="I174" i="16"/>
  <c r="M174" i="16" s="1"/>
  <c r="K173" i="16"/>
  <c r="I173" i="16"/>
  <c r="M173" i="16" s="1"/>
  <c r="K172" i="16"/>
  <c r="I172" i="16"/>
  <c r="M172" i="16" s="1"/>
  <c r="K171" i="16"/>
  <c r="I171" i="16"/>
  <c r="M171" i="16" s="1"/>
  <c r="K170" i="16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K166" i="16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K162" i="16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K158" i="16"/>
  <c r="I158" i="16"/>
  <c r="M158" i="16" s="1"/>
  <c r="K157" i="16"/>
  <c r="I157" i="16"/>
  <c r="M157" i="16" s="1"/>
  <c r="K156" i="16"/>
  <c r="I156" i="16"/>
  <c r="M156" i="16" s="1"/>
  <c r="K155" i="16"/>
  <c r="I155" i="16"/>
  <c r="M155" i="16" s="1"/>
  <c r="K154" i="16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K150" i="16"/>
  <c r="I150" i="16"/>
  <c r="M150" i="16" s="1"/>
  <c r="K149" i="16"/>
  <c r="I149" i="16"/>
  <c r="M149" i="16" s="1"/>
  <c r="K148" i="16"/>
  <c r="I148" i="16"/>
  <c r="M148" i="16" s="1"/>
  <c r="K147" i="16"/>
  <c r="I147" i="16"/>
  <c r="M147" i="16" s="1"/>
  <c r="K146" i="16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K142" i="16"/>
  <c r="I142" i="16"/>
  <c r="M142" i="16" s="1"/>
  <c r="K141" i="16"/>
  <c r="I141" i="16"/>
  <c r="M141" i="16" s="1"/>
  <c r="K140" i="16"/>
  <c r="I140" i="16"/>
  <c r="M140" i="16" s="1"/>
  <c r="K139" i="16"/>
  <c r="I139" i="16"/>
  <c r="M139" i="16" s="1"/>
  <c r="K138" i="16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K134" i="16"/>
  <c r="I134" i="16"/>
  <c r="M134" i="16" s="1"/>
  <c r="K133" i="16"/>
  <c r="I133" i="16"/>
  <c r="M133" i="16" s="1"/>
  <c r="K132" i="16"/>
  <c r="I132" i="16"/>
  <c r="M132" i="16" s="1"/>
  <c r="K131" i="16"/>
  <c r="I131" i="16"/>
  <c r="M131" i="16" s="1"/>
  <c r="K130" i="16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K126" i="16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K122" i="16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K118" i="16"/>
  <c r="I118" i="16"/>
  <c r="M118" i="16" s="1"/>
  <c r="K117" i="16"/>
  <c r="I117" i="16"/>
  <c r="M117" i="16" s="1"/>
  <c r="K116" i="16"/>
  <c r="I116" i="16"/>
  <c r="M116" i="16" s="1"/>
  <c r="K115" i="16"/>
  <c r="I115" i="16"/>
  <c r="M115" i="16" s="1"/>
  <c r="K114" i="16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K110" i="16"/>
  <c r="I110" i="16"/>
  <c r="M110" i="16" s="1"/>
  <c r="K109" i="16"/>
  <c r="I109" i="16"/>
  <c r="M109" i="16" s="1"/>
  <c r="K108" i="16"/>
  <c r="I108" i="16"/>
  <c r="M108" i="16" s="1"/>
  <c r="K107" i="16"/>
  <c r="I107" i="16"/>
  <c r="M107" i="16" s="1"/>
  <c r="K106" i="16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K102" i="16"/>
  <c r="I102" i="16"/>
  <c r="M102" i="16" s="1"/>
  <c r="K101" i="16"/>
  <c r="I101" i="16"/>
  <c r="M101" i="16" s="1"/>
  <c r="K100" i="16"/>
  <c r="I100" i="16"/>
  <c r="M100" i="16" s="1"/>
  <c r="K99" i="16"/>
  <c r="I99" i="16"/>
  <c r="M99" i="16" s="1"/>
  <c r="K98" i="16"/>
  <c r="I98" i="16"/>
  <c r="M98" i="16" s="1"/>
  <c r="K97" i="16"/>
  <c r="I97" i="16"/>
  <c r="M97" i="16" s="1"/>
  <c r="K96" i="16"/>
  <c r="I96" i="16"/>
  <c r="M96" i="16" s="1"/>
  <c r="K95" i="16"/>
  <c r="I95" i="16"/>
  <c r="M95" i="16" s="1"/>
  <c r="K94" i="16"/>
  <c r="I94" i="16"/>
  <c r="M94" i="16" s="1"/>
  <c r="K93" i="16"/>
  <c r="I93" i="16"/>
  <c r="M93" i="16" s="1"/>
  <c r="K92" i="16"/>
  <c r="I92" i="16"/>
  <c r="M92" i="16" s="1"/>
  <c r="K91" i="16"/>
  <c r="I91" i="16"/>
  <c r="M91" i="16" s="1"/>
  <c r="K90" i="16"/>
  <c r="I90" i="16"/>
  <c r="M90" i="16" s="1"/>
  <c r="K89" i="16"/>
  <c r="I89" i="16"/>
  <c r="M89" i="16" s="1"/>
  <c r="K88" i="16"/>
  <c r="I88" i="16"/>
  <c r="M88" i="16" s="1"/>
  <c r="K87" i="16"/>
  <c r="I87" i="16"/>
  <c r="M87" i="16" s="1"/>
  <c r="K86" i="16"/>
  <c r="I86" i="16"/>
  <c r="M86" i="16" s="1"/>
  <c r="K85" i="16"/>
  <c r="I85" i="16"/>
  <c r="M85" i="16" s="1"/>
  <c r="K84" i="16"/>
  <c r="I84" i="16"/>
  <c r="M84" i="16" s="1"/>
  <c r="K83" i="16"/>
  <c r="I83" i="16"/>
  <c r="M83" i="16" s="1"/>
  <c r="K82" i="16"/>
  <c r="I82" i="16"/>
  <c r="M82" i="16" s="1"/>
  <c r="K81" i="16"/>
  <c r="I81" i="16"/>
  <c r="M81" i="16" s="1"/>
  <c r="K80" i="16"/>
  <c r="I80" i="16"/>
  <c r="M80" i="16" s="1"/>
  <c r="K79" i="16"/>
  <c r="I79" i="16"/>
  <c r="M79" i="16" s="1"/>
  <c r="K78" i="16"/>
  <c r="I78" i="16"/>
  <c r="M78" i="16" s="1"/>
  <c r="K77" i="16"/>
  <c r="I77" i="16"/>
  <c r="M77" i="16" s="1"/>
  <c r="K76" i="16"/>
  <c r="I76" i="16"/>
  <c r="M76" i="16" s="1"/>
  <c r="K75" i="16"/>
  <c r="I75" i="16"/>
  <c r="M75" i="16" s="1"/>
  <c r="K74" i="16"/>
  <c r="I74" i="16"/>
  <c r="M74" i="16" s="1"/>
  <c r="K73" i="16"/>
  <c r="I73" i="16"/>
  <c r="M73" i="16" s="1"/>
  <c r="K72" i="16"/>
  <c r="I72" i="16"/>
  <c r="M72" i="16" s="1"/>
  <c r="K71" i="16"/>
  <c r="I71" i="16"/>
  <c r="M71" i="16" s="1"/>
  <c r="K70" i="16"/>
  <c r="I70" i="16"/>
  <c r="M70" i="16" s="1"/>
  <c r="K69" i="16"/>
  <c r="I69" i="16"/>
  <c r="M69" i="16" s="1"/>
  <c r="K68" i="16"/>
  <c r="I68" i="16"/>
  <c r="M68" i="16" s="1"/>
  <c r="K67" i="16"/>
  <c r="I67" i="16"/>
  <c r="M67" i="16" s="1"/>
  <c r="K66" i="16"/>
  <c r="I66" i="16"/>
  <c r="M66" i="16" s="1"/>
  <c r="A37" i="16"/>
  <c r="A36" i="16"/>
  <c r="A34" i="16"/>
  <c r="A33" i="16"/>
  <c r="A31" i="16"/>
  <c r="A25" i="16"/>
  <c r="A20" i="16"/>
  <c r="A17" i="16"/>
  <c r="A16" i="16"/>
  <c r="A15" i="16"/>
  <c r="A14" i="16"/>
  <c r="K2" i="16"/>
  <c r="E6" i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K64" i="14"/>
  <c r="I64" i="14"/>
  <c r="M64" i="14" s="1"/>
  <c r="K63" i="14"/>
  <c r="I63" i="14"/>
  <c r="M63" i="14" s="1"/>
  <c r="K62" i="14"/>
  <c r="I62" i="14"/>
  <c r="M62" i="14" s="1"/>
  <c r="K61" i="14"/>
  <c r="I61" i="14"/>
  <c r="M61" i="14" s="1"/>
  <c r="K60" i="14"/>
  <c r="I60" i="14"/>
  <c r="M60" i="14" s="1"/>
  <c r="K59" i="14"/>
  <c r="I59" i="14"/>
  <c r="M59" i="14" s="1"/>
  <c r="K58" i="14"/>
  <c r="I58" i="14"/>
  <c r="M58" i="14" s="1"/>
  <c r="K57" i="14"/>
  <c r="I57" i="14"/>
  <c r="M57" i="14" s="1"/>
  <c r="K56" i="14"/>
  <c r="I56" i="14"/>
  <c r="M56" i="14" s="1"/>
  <c r="K55" i="14"/>
  <c r="I55" i="14"/>
  <c r="M55" i="14" s="1"/>
  <c r="K54" i="14"/>
  <c r="I54" i="14"/>
  <c r="M54" i="14" s="1"/>
  <c r="K53" i="14"/>
  <c r="I53" i="14"/>
  <c r="M53" i="14" s="1"/>
  <c r="K52" i="14"/>
  <c r="I52" i="14"/>
  <c r="M52" i="14" s="1"/>
  <c r="K51" i="14"/>
  <c r="I51" i="14"/>
  <c r="M51" i="14" s="1"/>
  <c r="K50" i="14"/>
  <c r="I50" i="14"/>
  <c r="M50" i="14" s="1"/>
  <c r="K49" i="14"/>
  <c r="I49" i="14"/>
  <c r="M49" i="14" s="1"/>
  <c r="K48" i="14"/>
  <c r="I48" i="14"/>
  <c r="M48" i="14" s="1"/>
  <c r="K47" i="14"/>
  <c r="I47" i="14"/>
  <c r="M47" i="14" s="1"/>
  <c r="K46" i="14"/>
  <c r="I46" i="14"/>
  <c r="M46" i="14" s="1"/>
  <c r="K45" i="14"/>
  <c r="I45" i="14"/>
  <c r="M45" i="14" s="1"/>
  <c r="K44" i="14"/>
  <c r="I44" i="14"/>
  <c r="M44" i="14" s="1"/>
  <c r="K43" i="14"/>
  <c r="I43" i="14"/>
  <c r="M43" i="14" s="1"/>
  <c r="K42" i="14"/>
  <c r="I42" i="14"/>
  <c r="M42" i="14" s="1"/>
  <c r="K41" i="14"/>
  <c r="I41" i="14"/>
  <c r="M41" i="14" s="1"/>
  <c r="K40" i="14"/>
  <c r="I40" i="14"/>
  <c r="M40" i="14" s="1"/>
  <c r="K39" i="14"/>
  <c r="I39" i="14"/>
  <c r="M39" i="14" s="1"/>
  <c r="K38" i="14"/>
  <c r="I38" i="14"/>
  <c r="M38" i="14" s="1"/>
  <c r="K37" i="14"/>
  <c r="I37" i="14"/>
  <c r="M37" i="14" s="1"/>
  <c r="K36" i="14"/>
  <c r="I36" i="14"/>
  <c r="M36" i="14" s="1"/>
  <c r="K35" i="14"/>
  <c r="I35" i="14"/>
  <c r="M35" i="14" s="1"/>
  <c r="K34" i="14"/>
  <c r="I34" i="14"/>
  <c r="M34" i="14" s="1"/>
  <c r="K33" i="14"/>
  <c r="I33" i="14"/>
  <c r="M33" i="14" s="1"/>
  <c r="K32" i="14"/>
  <c r="I32" i="14"/>
  <c r="M32" i="14" s="1"/>
  <c r="K31" i="14"/>
  <c r="I31" i="14"/>
  <c r="M31" i="14" s="1"/>
  <c r="K30" i="14"/>
  <c r="I30" i="14"/>
  <c r="M30" i="14" s="1"/>
  <c r="K29" i="14"/>
  <c r="I29" i="14"/>
  <c r="M29" i="14" s="1"/>
  <c r="K28" i="14"/>
  <c r="I28" i="14"/>
  <c r="M28" i="14" s="1"/>
  <c r="K27" i="14"/>
  <c r="I27" i="14"/>
  <c r="M27" i="14" s="1"/>
  <c r="K26" i="14"/>
  <c r="I26" i="14"/>
  <c r="M26" i="14" s="1"/>
  <c r="K25" i="14"/>
  <c r="I25" i="14"/>
  <c r="M25" i="14" s="1"/>
  <c r="K24" i="14"/>
  <c r="I24" i="14"/>
  <c r="M24" i="14" s="1"/>
  <c r="K23" i="14"/>
  <c r="I23" i="14"/>
  <c r="M23" i="14" s="1"/>
  <c r="K22" i="14"/>
  <c r="I22" i="14"/>
  <c r="M22" i="14" s="1"/>
  <c r="K21" i="14"/>
  <c r="I21" i="14"/>
  <c r="M21" i="14" s="1"/>
  <c r="K20" i="14"/>
  <c r="I20" i="14"/>
  <c r="M20" i="14" s="1"/>
  <c r="K19" i="14"/>
  <c r="I19" i="14"/>
  <c r="M19" i="14" s="1"/>
  <c r="K18" i="14"/>
  <c r="I18" i="14"/>
  <c r="M18" i="14" s="1"/>
  <c r="K17" i="14"/>
  <c r="I17" i="14"/>
  <c r="M17" i="14" s="1"/>
  <c r="K16" i="14"/>
  <c r="I16" i="14"/>
  <c r="M16" i="14" s="1"/>
  <c r="K15" i="14"/>
  <c r="I15" i="14"/>
  <c r="M15" i="14" s="1"/>
  <c r="K14" i="14"/>
  <c r="I14" i="14"/>
  <c r="M14" i="14" s="1"/>
  <c r="K13" i="14"/>
  <c r="I13" i="14"/>
  <c r="M13" i="14" s="1"/>
  <c r="K12" i="14"/>
  <c r="I12" i="14"/>
  <c r="M12" i="14" s="1"/>
  <c r="K11" i="14"/>
  <c r="I11" i="14"/>
  <c r="M11" i="14" s="1"/>
  <c r="K10" i="14"/>
  <c r="I10" i="14"/>
  <c r="M10" i="14" s="1"/>
  <c r="K9" i="14"/>
  <c r="I9" i="14"/>
  <c r="M9" i="14" s="1"/>
  <c r="K8" i="14"/>
  <c r="I8" i="14"/>
  <c r="K7" i="14"/>
  <c r="I7" i="14"/>
  <c r="K6" i="14"/>
  <c r="K2" i="14"/>
  <c r="L7" i="14" s="1"/>
  <c r="M9" i="20" l="1"/>
  <c r="M10" i="20"/>
  <c r="N10" i="20" s="1"/>
  <c r="V8" i="1" s="1"/>
  <c r="M11" i="20"/>
  <c r="U21" i="1"/>
  <c r="U29" i="1"/>
  <c r="U34" i="31"/>
  <c r="U33" i="31"/>
  <c r="U19" i="31"/>
  <c r="U30" i="31"/>
  <c r="U21" i="31"/>
  <c r="U31" i="31"/>
  <c r="U19" i="1"/>
  <c r="U32" i="31"/>
  <c r="U23" i="31"/>
  <c r="U25" i="1"/>
  <c r="V29" i="31"/>
  <c r="D29" i="31" s="1"/>
  <c r="V10" i="31"/>
  <c r="V24" i="31"/>
  <c r="D24" i="31" s="1"/>
  <c r="V9" i="31"/>
  <c r="M9" i="19"/>
  <c r="A9" i="19" s="1"/>
  <c r="N22" i="1"/>
  <c r="N19" i="1"/>
  <c r="N29" i="1"/>
  <c r="N21" i="1"/>
  <c r="N25" i="1"/>
  <c r="N23" i="1"/>
  <c r="M11" i="19"/>
  <c r="A11" i="19" s="1"/>
  <c r="I24" i="1"/>
  <c r="J24" i="1" s="1"/>
  <c r="I10" i="1"/>
  <c r="J10" i="1" s="1"/>
  <c r="G28" i="31"/>
  <c r="H28" i="31" s="1"/>
  <c r="G14" i="31"/>
  <c r="H14" i="31" s="1"/>
  <c r="G25" i="31"/>
  <c r="H25" i="31" s="1"/>
  <c r="G24" i="1"/>
  <c r="G10" i="1"/>
  <c r="G18" i="1"/>
  <c r="G27" i="1"/>
  <c r="E14" i="31"/>
  <c r="F14" i="31" s="1"/>
  <c r="E25" i="31"/>
  <c r="F25" i="31" s="1"/>
  <c r="E28" i="31"/>
  <c r="F28" i="31" s="1"/>
  <c r="E27" i="1"/>
  <c r="E24" i="1"/>
  <c r="E10" i="1"/>
  <c r="N6" i="1"/>
  <c r="N7" i="1"/>
  <c r="N9" i="1"/>
  <c r="N8" i="1"/>
  <c r="N18" i="1"/>
  <c r="N13" i="1"/>
  <c r="N12" i="1"/>
  <c r="N28" i="1"/>
  <c r="N15" i="1"/>
  <c r="N17" i="1"/>
  <c r="N16" i="1"/>
  <c r="N27" i="1"/>
  <c r="N10" i="1"/>
  <c r="N24" i="1"/>
  <c r="M26" i="1"/>
  <c r="M7" i="14"/>
  <c r="L8" i="17"/>
  <c r="L7" i="17"/>
  <c r="L8" i="19"/>
  <c r="L7" i="19"/>
  <c r="M7" i="19" s="1"/>
  <c r="A7" i="19" s="1"/>
  <c r="N11" i="1" s="1"/>
  <c r="L6" i="19"/>
  <c r="M6" i="19" s="1"/>
  <c r="A6" i="19" s="1"/>
  <c r="M8" i="19"/>
  <c r="A8" i="19" s="1"/>
  <c r="M10" i="19"/>
  <c r="A10" i="19" s="1"/>
  <c r="N20" i="1" s="1"/>
  <c r="M12" i="19"/>
  <c r="A12" i="19" s="1"/>
  <c r="M16" i="19"/>
  <c r="A16" i="19" s="1"/>
  <c r="M17" i="19"/>
  <c r="A17" i="19" s="1"/>
  <c r="M18" i="19"/>
  <c r="A18" i="19" s="1"/>
  <c r="M19" i="19"/>
  <c r="A19" i="19" s="1"/>
  <c r="M20" i="19"/>
  <c r="A20" i="19" s="1"/>
  <c r="M21" i="19"/>
  <c r="A21" i="19" s="1"/>
  <c r="M22" i="19"/>
  <c r="A22" i="19" s="1"/>
  <c r="M23" i="19"/>
  <c r="A23" i="19" s="1"/>
  <c r="M24" i="19"/>
  <c r="A24" i="19" s="1"/>
  <c r="M25" i="19"/>
  <c r="A25" i="19" s="1"/>
  <c r="M26" i="19"/>
  <c r="A26" i="19" s="1"/>
  <c r="M27" i="19"/>
  <c r="A27" i="19" s="1"/>
  <c r="M28" i="19"/>
  <c r="A28" i="19" s="1"/>
  <c r="M29" i="19"/>
  <c r="A29" i="19" s="1"/>
  <c r="M30" i="19"/>
  <c r="A30" i="19" s="1"/>
  <c r="M31" i="19"/>
  <c r="A31" i="19" s="1"/>
  <c r="M32" i="19"/>
  <c r="A32" i="19" s="1"/>
  <c r="M33" i="19"/>
  <c r="A33" i="19" s="1"/>
  <c r="M34" i="19"/>
  <c r="A34" i="19" s="1"/>
  <c r="M35" i="19"/>
  <c r="A35" i="19" s="1"/>
  <c r="M36" i="19"/>
  <c r="A36" i="19" s="1"/>
  <c r="M37" i="19"/>
  <c r="A37" i="19" s="1"/>
  <c r="M8" i="20"/>
  <c r="M13" i="20"/>
  <c r="N13" i="20" s="1"/>
  <c r="M14" i="20"/>
  <c r="N14" i="20" s="1"/>
  <c r="M15" i="20"/>
  <c r="N15" i="20" s="1"/>
  <c r="M16" i="20"/>
  <c r="N16" i="20" s="1"/>
  <c r="M17" i="20"/>
  <c r="N17" i="20" s="1"/>
  <c r="M18" i="20"/>
  <c r="N18" i="20" s="1"/>
  <c r="N19" i="20"/>
  <c r="V20" i="31" s="1"/>
  <c r="M19" i="20"/>
  <c r="N20" i="20"/>
  <c r="M20" i="20"/>
  <c r="N21" i="20"/>
  <c r="M21" i="20"/>
  <c r="N22" i="20"/>
  <c r="A22" i="20" s="1"/>
  <c r="M22" i="20"/>
  <c r="N23" i="20"/>
  <c r="A23" i="20" s="1"/>
  <c r="M23" i="20"/>
  <c r="N24" i="20"/>
  <c r="A24" i="20" s="1"/>
  <c r="M24" i="20"/>
  <c r="N25" i="20"/>
  <c r="A25" i="20" s="1"/>
  <c r="M25" i="20"/>
  <c r="N26" i="20"/>
  <c r="A26" i="20" s="1"/>
  <c r="M26" i="20"/>
  <c r="N27" i="20"/>
  <c r="A27" i="20" s="1"/>
  <c r="M27" i="20"/>
  <c r="N29" i="20"/>
  <c r="A29" i="20" s="1"/>
  <c r="M29" i="20"/>
  <c r="N30" i="20"/>
  <c r="A30" i="20" s="1"/>
  <c r="M30" i="20"/>
  <c r="N31" i="20"/>
  <c r="A31" i="20" s="1"/>
  <c r="M31" i="20"/>
  <c r="N32" i="20"/>
  <c r="A32" i="20" s="1"/>
  <c r="M32" i="20"/>
  <c r="N33" i="20"/>
  <c r="A33" i="20" s="1"/>
  <c r="M33" i="20"/>
  <c r="N35" i="20"/>
  <c r="A35" i="20" s="1"/>
  <c r="M35" i="20"/>
  <c r="N36" i="20"/>
  <c r="A36" i="20" s="1"/>
  <c r="M36" i="20"/>
  <c r="N37" i="20"/>
  <c r="A37" i="20" s="1"/>
  <c r="M37" i="20"/>
  <c r="N38" i="20"/>
  <c r="A38" i="20" s="1"/>
  <c r="M38" i="20"/>
  <c r="N39" i="20"/>
  <c r="A39" i="20" s="1"/>
  <c r="M39" i="20"/>
  <c r="N40" i="20"/>
  <c r="A40" i="20" s="1"/>
  <c r="M40" i="20"/>
  <c r="N41" i="20"/>
  <c r="A41" i="20" s="1"/>
  <c r="M41" i="20"/>
  <c r="N42" i="20"/>
  <c r="A42" i="20" s="1"/>
  <c r="M42" i="20"/>
  <c r="N43" i="20"/>
  <c r="A43" i="20" s="1"/>
  <c r="M43" i="20"/>
  <c r="N44" i="20"/>
  <c r="A44" i="20" s="1"/>
  <c r="M44" i="20"/>
  <c r="N45" i="20"/>
  <c r="A45" i="20" s="1"/>
  <c r="M45" i="20"/>
  <c r="N46" i="20"/>
  <c r="A46" i="20" s="1"/>
  <c r="M46" i="20"/>
  <c r="N47" i="20"/>
  <c r="A47" i="20" s="1"/>
  <c r="M47" i="20"/>
  <c r="N48" i="20"/>
  <c r="A48" i="20" s="1"/>
  <c r="M48" i="20"/>
  <c r="N49" i="20"/>
  <c r="A49" i="20" s="1"/>
  <c r="M49" i="20"/>
  <c r="N50" i="20"/>
  <c r="A50" i="20" s="1"/>
  <c r="M50" i="20"/>
  <c r="N51" i="20"/>
  <c r="A51" i="20" s="1"/>
  <c r="M51" i="20"/>
  <c r="N52" i="20"/>
  <c r="A52" i="20" s="1"/>
  <c r="M52" i="20"/>
  <c r="N53" i="20"/>
  <c r="A53" i="20" s="1"/>
  <c r="M53" i="20"/>
  <c r="N54" i="20"/>
  <c r="A54" i="20" s="1"/>
  <c r="M54" i="20"/>
  <c r="N55" i="20"/>
  <c r="A55" i="20" s="1"/>
  <c r="M55" i="20"/>
  <c r="N56" i="20"/>
  <c r="A56" i="20" s="1"/>
  <c r="M56" i="20"/>
  <c r="N57" i="20"/>
  <c r="A57" i="20" s="1"/>
  <c r="M57" i="20"/>
  <c r="N58" i="20"/>
  <c r="A58" i="20" s="1"/>
  <c r="M58" i="20"/>
  <c r="N59" i="20"/>
  <c r="A59" i="20" s="1"/>
  <c r="M59" i="20"/>
  <c r="N60" i="20"/>
  <c r="A60" i="20" s="1"/>
  <c r="M60" i="20"/>
  <c r="N61" i="20"/>
  <c r="A61" i="20" s="1"/>
  <c r="M61" i="20"/>
  <c r="N62" i="20"/>
  <c r="A62" i="20" s="1"/>
  <c r="M62" i="20"/>
  <c r="N63" i="20"/>
  <c r="A63" i="20" s="1"/>
  <c r="M63" i="20"/>
  <c r="N64" i="20"/>
  <c r="A64" i="20" s="1"/>
  <c r="M64" i="20"/>
  <c r="N65" i="20"/>
  <c r="A65" i="20" s="1"/>
  <c r="M65" i="20"/>
  <c r="N66" i="20"/>
  <c r="A66" i="20" s="1"/>
  <c r="M66" i="20"/>
  <c r="N67" i="20"/>
  <c r="A67" i="20" s="1"/>
  <c r="M67" i="20"/>
  <c r="N68" i="20"/>
  <c r="A68" i="20" s="1"/>
  <c r="M68" i="20"/>
  <c r="N69" i="20"/>
  <c r="A69" i="20" s="1"/>
  <c r="M69" i="20"/>
  <c r="N70" i="20"/>
  <c r="A70" i="20" s="1"/>
  <c r="M70" i="20"/>
  <c r="N71" i="20"/>
  <c r="A71" i="20" s="1"/>
  <c r="M71" i="20"/>
  <c r="N72" i="20"/>
  <c r="A72" i="20" s="1"/>
  <c r="M72" i="20"/>
  <c r="N73" i="20"/>
  <c r="A73" i="20" s="1"/>
  <c r="M73" i="20"/>
  <c r="N74" i="20"/>
  <c r="A74" i="20" s="1"/>
  <c r="M74" i="20"/>
  <c r="N75" i="20"/>
  <c r="A75" i="20" s="1"/>
  <c r="M75" i="20"/>
  <c r="N76" i="20"/>
  <c r="A76" i="20" s="1"/>
  <c r="M76" i="20"/>
  <c r="N77" i="20"/>
  <c r="A77" i="20" s="1"/>
  <c r="M77" i="20"/>
  <c r="N78" i="20"/>
  <c r="A78" i="20" s="1"/>
  <c r="M78" i="20"/>
  <c r="N79" i="20"/>
  <c r="A79" i="20" s="1"/>
  <c r="M79" i="20"/>
  <c r="N80" i="20"/>
  <c r="A80" i="20" s="1"/>
  <c r="M80" i="20"/>
  <c r="N81" i="20"/>
  <c r="A81" i="20" s="1"/>
  <c r="M81" i="20"/>
  <c r="N82" i="20"/>
  <c r="A82" i="20" s="1"/>
  <c r="M82" i="20"/>
  <c r="N83" i="20"/>
  <c r="A83" i="20" s="1"/>
  <c r="M83" i="20"/>
  <c r="N84" i="20"/>
  <c r="A84" i="20" s="1"/>
  <c r="M84" i="20"/>
  <c r="N85" i="20"/>
  <c r="A85" i="20" s="1"/>
  <c r="M85" i="20"/>
  <c r="N86" i="20"/>
  <c r="A86" i="20" s="1"/>
  <c r="M86" i="20"/>
  <c r="N87" i="20"/>
  <c r="A87" i="20" s="1"/>
  <c r="M87" i="20"/>
  <c r="N88" i="20"/>
  <c r="A88" i="20" s="1"/>
  <c r="M88" i="20"/>
  <c r="N89" i="20"/>
  <c r="A89" i="20" s="1"/>
  <c r="M89" i="20"/>
  <c r="N90" i="20"/>
  <c r="A90" i="20" s="1"/>
  <c r="M90" i="20"/>
  <c r="N91" i="20"/>
  <c r="A91" i="20" s="1"/>
  <c r="M91" i="20"/>
  <c r="N92" i="20"/>
  <c r="A92" i="20" s="1"/>
  <c r="M92" i="20"/>
  <c r="N93" i="20"/>
  <c r="A93" i="20" s="1"/>
  <c r="M93" i="20"/>
  <c r="N94" i="20"/>
  <c r="A94" i="20" s="1"/>
  <c r="M94" i="20"/>
  <c r="N95" i="20"/>
  <c r="A95" i="20" s="1"/>
  <c r="M95" i="20"/>
  <c r="N96" i="20"/>
  <c r="A96" i="20" s="1"/>
  <c r="M96" i="20"/>
  <c r="N97" i="20"/>
  <c r="A97" i="20" s="1"/>
  <c r="M97" i="20"/>
  <c r="N98" i="20"/>
  <c r="A98" i="20" s="1"/>
  <c r="M98" i="20"/>
  <c r="N99" i="20"/>
  <c r="A99" i="20" s="1"/>
  <c r="M99" i="20"/>
  <c r="N100" i="20"/>
  <c r="A100" i="20" s="1"/>
  <c r="M100" i="20"/>
  <c r="N101" i="20"/>
  <c r="A101" i="20" s="1"/>
  <c r="M101" i="20"/>
  <c r="N102" i="20"/>
  <c r="A102" i="20" s="1"/>
  <c r="M102" i="20"/>
  <c r="N103" i="20"/>
  <c r="A103" i="20" s="1"/>
  <c r="M103" i="20"/>
  <c r="N104" i="20"/>
  <c r="A104" i="20" s="1"/>
  <c r="M104" i="20"/>
  <c r="N105" i="20"/>
  <c r="A105" i="20" s="1"/>
  <c r="M105" i="20"/>
  <c r="N106" i="20"/>
  <c r="A106" i="20" s="1"/>
  <c r="M106" i="20"/>
  <c r="N107" i="20"/>
  <c r="A107" i="20" s="1"/>
  <c r="M107" i="20"/>
  <c r="N108" i="20"/>
  <c r="A108" i="20" s="1"/>
  <c r="M108" i="20"/>
  <c r="N109" i="20"/>
  <c r="A109" i="20" s="1"/>
  <c r="M109" i="20"/>
  <c r="N110" i="20"/>
  <c r="A110" i="20" s="1"/>
  <c r="M110" i="20"/>
  <c r="N111" i="20"/>
  <c r="A111" i="20" s="1"/>
  <c r="M111" i="20"/>
  <c r="N112" i="20"/>
  <c r="A112" i="20" s="1"/>
  <c r="M112" i="20"/>
  <c r="N113" i="20"/>
  <c r="A113" i="20" s="1"/>
  <c r="M113" i="20"/>
  <c r="N114" i="20"/>
  <c r="A114" i="20" s="1"/>
  <c r="M114" i="20"/>
  <c r="N115" i="20"/>
  <c r="A115" i="20" s="1"/>
  <c r="M115" i="20"/>
  <c r="N116" i="20"/>
  <c r="A116" i="20" s="1"/>
  <c r="M116" i="20"/>
  <c r="N117" i="20"/>
  <c r="A117" i="20" s="1"/>
  <c r="M117" i="20"/>
  <c r="N118" i="20"/>
  <c r="A118" i="20" s="1"/>
  <c r="M118" i="20"/>
  <c r="N119" i="20"/>
  <c r="A119" i="20" s="1"/>
  <c r="M119" i="20"/>
  <c r="N120" i="20"/>
  <c r="A120" i="20" s="1"/>
  <c r="M120" i="20"/>
  <c r="N121" i="20"/>
  <c r="A121" i="20" s="1"/>
  <c r="M121" i="20"/>
  <c r="N122" i="20"/>
  <c r="A122" i="20" s="1"/>
  <c r="M122" i="20"/>
  <c r="N123" i="20"/>
  <c r="A123" i="20" s="1"/>
  <c r="M123" i="20"/>
  <c r="N124" i="20"/>
  <c r="A124" i="20" s="1"/>
  <c r="M124" i="20"/>
  <c r="N125" i="20"/>
  <c r="A125" i="20" s="1"/>
  <c r="M125" i="20"/>
  <c r="N126" i="20"/>
  <c r="A126" i="20" s="1"/>
  <c r="M126" i="20"/>
  <c r="N127" i="20"/>
  <c r="A127" i="20" s="1"/>
  <c r="M127" i="20"/>
  <c r="N128" i="20"/>
  <c r="A128" i="20" s="1"/>
  <c r="M128" i="20"/>
  <c r="N129" i="20"/>
  <c r="A129" i="20" s="1"/>
  <c r="M129" i="20"/>
  <c r="N130" i="20"/>
  <c r="A130" i="20" s="1"/>
  <c r="M130" i="20"/>
  <c r="N131" i="20"/>
  <c r="A131" i="20" s="1"/>
  <c r="M131" i="20"/>
  <c r="N132" i="20"/>
  <c r="A132" i="20" s="1"/>
  <c r="M132" i="20"/>
  <c r="N133" i="20"/>
  <c r="A133" i="20" s="1"/>
  <c r="M133" i="20"/>
  <c r="N134" i="20"/>
  <c r="A134" i="20" s="1"/>
  <c r="M134" i="20"/>
  <c r="N135" i="20"/>
  <c r="A135" i="20" s="1"/>
  <c r="M135" i="20"/>
  <c r="N136" i="20"/>
  <c r="A136" i="20" s="1"/>
  <c r="M136" i="20"/>
  <c r="N137" i="20"/>
  <c r="A137" i="20" s="1"/>
  <c r="M137" i="20"/>
  <c r="N138" i="20"/>
  <c r="A138" i="20" s="1"/>
  <c r="M138" i="20"/>
  <c r="N139" i="20"/>
  <c r="A139" i="20" s="1"/>
  <c r="M139" i="20"/>
  <c r="N140" i="20"/>
  <c r="A140" i="20" s="1"/>
  <c r="M140" i="20"/>
  <c r="N141" i="20"/>
  <c r="A141" i="20" s="1"/>
  <c r="M141" i="20"/>
  <c r="N142" i="20"/>
  <c r="A142" i="20" s="1"/>
  <c r="M142" i="20"/>
  <c r="N143" i="20"/>
  <c r="A143" i="20" s="1"/>
  <c r="M143" i="20"/>
  <c r="N144" i="20"/>
  <c r="A144" i="20" s="1"/>
  <c r="M144" i="20"/>
  <c r="N145" i="20"/>
  <c r="A145" i="20" s="1"/>
  <c r="M145" i="20"/>
  <c r="N146" i="20"/>
  <c r="A146" i="20" s="1"/>
  <c r="M146" i="20"/>
  <c r="N147" i="20"/>
  <c r="A147" i="20" s="1"/>
  <c r="M147" i="20"/>
  <c r="N148" i="20"/>
  <c r="A148" i="20" s="1"/>
  <c r="M148" i="20"/>
  <c r="N149" i="20"/>
  <c r="A149" i="20" s="1"/>
  <c r="M149" i="20"/>
  <c r="N150" i="20"/>
  <c r="A150" i="20" s="1"/>
  <c r="M150" i="20"/>
  <c r="N151" i="20"/>
  <c r="A151" i="20" s="1"/>
  <c r="M151" i="20"/>
  <c r="N152" i="20"/>
  <c r="A152" i="20" s="1"/>
  <c r="M152" i="20"/>
  <c r="N153" i="20"/>
  <c r="A153" i="20" s="1"/>
  <c r="M153" i="20"/>
  <c r="N154" i="20"/>
  <c r="A154" i="20" s="1"/>
  <c r="M154" i="20"/>
  <c r="N155" i="20"/>
  <c r="A155" i="20" s="1"/>
  <c r="M155" i="20"/>
  <c r="N156" i="20"/>
  <c r="A156" i="20" s="1"/>
  <c r="M156" i="20"/>
  <c r="N157" i="20"/>
  <c r="A157" i="20" s="1"/>
  <c r="M157" i="20"/>
  <c r="N158" i="20"/>
  <c r="A158" i="20" s="1"/>
  <c r="M158" i="20"/>
  <c r="N159" i="20"/>
  <c r="A159" i="20" s="1"/>
  <c r="M159" i="20"/>
  <c r="N160" i="20"/>
  <c r="A160" i="20" s="1"/>
  <c r="M160" i="20"/>
  <c r="N161" i="20"/>
  <c r="A161" i="20" s="1"/>
  <c r="M161" i="20"/>
  <c r="N162" i="20"/>
  <c r="A162" i="20" s="1"/>
  <c r="M162" i="20"/>
  <c r="N163" i="20"/>
  <c r="A163" i="20" s="1"/>
  <c r="M163" i="20"/>
  <c r="N164" i="20"/>
  <c r="A164" i="20" s="1"/>
  <c r="M164" i="20"/>
  <c r="N165" i="20"/>
  <c r="A165" i="20" s="1"/>
  <c r="M165" i="20"/>
  <c r="N166" i="20"/>
  <c r="A166" i="20" s="1"/>
  <c r="M166" i="20"/>
  <c r="N167" i="20"/>
  <c r="A167" i="20" s="1"/>
  <c r="M167" i="20"/>
  <c r="N168" i="20"/>
  <c r="A168" i="20" s="1"/>
  <c r="M168" i="20"/>
  <c r="N169" i="20"/>
  <c r="A169" i="20" s="1"/>
  <c r="M169" i="20"/>
  <c r="N170" i="20"/>
  <c r="A170" i="20" s="1"/>
  <c r="M170" i="20"/>
  <c r="N171" i="20"/>
  <c r="A171" i="20" s="1"/>
  <c r="M171" i="20"/>
  <c r="N172" i="20"/>
  <c r="A172" i="20" s="1"/>
  <c r="M172" i="20"/>
  <c r="N173" i="20"/>
  <c r="A173" i="20" s="1"/>
  <c r="M173" i="20"/>
  <c r="N174" i="20"/>
  <c r="A174" i="20" s="1"/>
  <c r="M174" i="20"/>
  <c r="N175" i="20"/>
  <c r="A175" i="20" s="1"/>
  <c r="M175" i="20"/>
  <c r="N176" i="20"/>
  <c r="A176" i="20" s="1"/>
  <c r="M176" i="20"/>
  <c r="N177" i="20"/>
  <c r="A177" i="20" s="1"/>
  <c r="M177" i="20"/>
  <c r="N178" i="20"/>
  <c r="A178" i="20" s="1"/>
  <c r="M178" i="20"/>
  <c r="N179" i="20"/>
  <c r="A179" i="20" s="1"/>
  <c r="M179" i="20"/>
  <c r="N180" i="20"/>
  <c r="A180" i="20" s="1"/>
  <c r="M180" i="20"/>
  <c r="N181" i="20"/>
  <c r="A181" i="20" s="1"/>
  <c r="M181" i="20"/>
  <c r="N182" i="20"/>
  <c r="A182" i="20" s="1"/>
  <c r="M182" i="20"/>
  <c r="N183" i="20"/>
  <c r="A183" i="20" s="1"/>
  <c r="M183" i="20"/>
  <c r="N184" i="20"/>
  <c r="A184" i="20" s="1"/>
  <c r="M184" i="20"/>
  <c r="N185" i="20"/>
  <c r="A185" i="20" s="1"/>
  <c r="M185" i="20"/>
  <c r="N186" i="20"/>
  <c r="A186" i="20" s="1"/>
  <c r="M186" i="20"/>
  <c r="N187" i="20"/>
  <c r="A187" i="20" s="1"/>
  <c r="M187" i="20"/>
  <c r="N188" i="20"/>
  <c r="A188" i="20" s="1"/>
  <c r="M188" i="20"/>
  <c r="N189" i="20"/>
  <c r="A189" i="20" s="1"/>
  <c r="M189" i="20"/>
  <c r="N190" i="20"/>
  <c r="A190" i="20" s="1"/>
  <c r="M190" i="20"/>
  <c r="N191" i="20"/>
  <c r="A191" i="20" s="1"/>
  <c r="M191" i="20"/>
  <c r="N192" i="20"/>
  <c r="A192" i="20" s="1"/>
  <c r="M192" i="20"/>
  <c r="N193" i="20"/>
  <c r="A193" i="20" s="1"/>
  <c r="M193" i="20"/>
  <c r="N194" i="20"/>
  <c r="A194" i="20" s="1"/>
  <c r="M194" i="20"/>
  <c r="N195" i="20"/>
  <c r="A195" i="20" s="1"/>
  <c r="M195" i="20"/>
  <c r="N196" i="20"/>
  <c r="A196" i="20" s="1"/>
  <c r="M196" i="20"/>
  <c r="N197" i="20"/>
  <c r="A197" i="20" s="1"/>
  <c r="M197" i="20"/>
  <c r="N198" i="20"/>
  <c r="A198" i="20" s="1"/>
  <c r="M198" i="20"/>
  <c r="N199" i="20"/>
  <c r="A199" i="20" s="1"/>
  <c r="M199" i="20"/>
  <c r="N200" i="20"/>
  <c r="A200" i="20" s="1"/>
  <c r="M200" i="20"/>
  <c r="N201" i="20"/>
  <c r="A201" i="20" s="1"/>
  <c r="M201" i="20"/>
  <c r="N202" i="20"/>
  <c r="A202" i="20" s="1"/>
  <c r="M202" i="20"/>
  <c r="N203" i="20"/>
  <c r="A203" i="20" s="1"/>
  <c r="M203" i="20"/>
  <c r="N204" i="20"/>
  <c r="A204" i="20" s="1"/>
  <c r="M204" i="20"/>
  <c r="N205" i="20"/>
  <c r="A205" i="20" s="1"/>
  <c r="M205" i="20"/>
  <c r="N206" i="20"/>
  <c r="A206" i="20" s="1"/>
  <c r="M206" i="20"/>
  <c r="N207" i="20"/>
  <c r="A207" i="20" s="1"/>
  <c r="M207" i="20"/>
  <c r="N208" i="20"/>
  <c r="A208" i="20" s="1"/>
  <c r="M208" i="20"/>
  <c r="N209" i="20"/>
  <c r="A209" i="20" s="1"/>
  <c r="M209" i="20"/>
  <c r="N210" i="20"/>
  <c r="A210" i="20" s="1"/>
  <c r="M210" i="20"/>
  <c r="N211" i="20"/>
  <c r="A211" i="20" s="1"/>
  <c r="M211" i="20"/>
  <c r="N212" i="20"/>
  <c r="A212" i="20" s="1"/>
  <c r="M212" i="20"/>
  <c r="N213" i="20"/>
  <c r="A213" i="20" s="1"/>
  <c r="M213" i="20"/>
  <c r="N214" i="20"/>
  <c r="A214" i="20" s="1"/>
  <c r="M214" i="20"/>
  <c r="N215" i="20"/>
  <c r="A215" i="20" s="1"/>
  <c r="M215" i="20"/>
  <c r="N216" i="20"/>
  <c r="A216" i="20" s="1"/>
  <c r="M216" i="20"/>
  <c r="N217" i="20"/>
  <c r="A217" i="20" s="1"/>
  <c r="M217" i="20"/>
  <c r="N218" i="20"/>
  <c r="A218" i="20" s="1"/>
  <c r="M218" i="20"/>
  <c r="N219" i="20"/>
  <c r="A219" i="20" s="1"/>
  <c r="M219" i="20"/>
  <c r="N220" i="20"/>
  <c r="A220" i="20" s="1"/>
  <c r="M220" i="20"/>
  <c r="N221" i="20"/>
  <c r="A221" i="20" s="1"/>
  <c r="M221" i="20"/>
  <c r="N222" i="20"/>
  <c r="A222" i="20" s="1"/>
  <c r="M222" i="20"/>
  <c r="N223" i="20"/>
  <c r="A223" i="20" s="1"/>
  <c r="M223" i="20"/>
  <c r="N224" i="20"/>
  <c r="A224" i="20" s="1"/>
  <c r="M224" i="20"/>
  <c r="N225" i="20"/>
  <c r="A225" i="20" s="1"/>
  <c r="M225" i="20"/>
  <c r="N226" i="20"/>
  <c r="A226" i="20" s="1"/>
  <c r="M226" i="20"/>
  <c r="N227" i="20"/>
  <c r="A227" i="20" s="1"/>
  <c r="M227" i="20"/>
  <c r="N228" i="20"/>
  <c r="A228" i="20" s="1"/>
  <c r="M228" i="20"/>
  <c r="N229" i="20"/>
  <c r="A229" i="20" s="1"/>
  <c r="M229" i="20"/>
  <c r="N230" i="20"/>
  <c r="A230" i="20" s="1"/>
  <c r="M230" i="20"/>
  <c r="N231" i="20"/>
  <c r="A231" i="20" s="1"/>
  <c r="M231" i="20"/>
  <c r="N232" i="20"/>
  <c r="A232" i="20" s="1"/>
  <c r="M232" i="20"/>
  <c r="N233" i="20"/>
  <c r="A233" i="20" s="1"/>
  <c r="M233" i="20"/>
  <c r="N234" i="20"/>
  <c r="A234" i="20" s="1"/>
  <c r="M234" i="20"/>
  <c r="N235" i="20"/>
  <c r="A235" i="20" s="1"/>
  <c r="M235" i="20"/>
  <c r="N236" i="20"/>
  <c r="A236" i="20" s="1"/>
  <c r="M236" i="20"/>
  <c r="N237" i="20"/>
  <c r="A237" i="20" s="1"/>
  <c r="M237" i="20"/>
  <c r="N238" i="20"/>
  <c r="A238" i="20" s="1"/>
  <c r="M238" i="20"/>
  <c r="N239" i="20"/>
  <c r="A239" i="20" s="1"/>
  <c r="M239" i="20"/>
  <c r="N240" i="20"/>
  <c r="A240" i="20" s="1"/>
  <c r="M240" i="20"/>
  <c r="N241" i="20"/>
  <c r="A241" i="20" s="1"/>
  <c r="M241" i="20"/>
  <c r="N242" i="20"/>
  <c r="A242" i="20" s="1"/>
  <c r="M242" i="20"/>
  <c r="N243" i="20"/>
  <c r="A243" i="20" s="1"/>
  <c r="M243" i="20"/>
  <c r="N244" i="20"/>
  <c r="A244" i="20" s="1"/>
  <c r="M244" i="20"/>
  <c r="N245" i="20"/>
  <c r="A245" i="20" s="1"/>
  <c r="M245" i="20"/>
  <c r="N246" i="20"/>
  <c r="A246" i="20" s="1"/>
  <c r="M246" i="20"/>
  <c r="N247" i="20"/>
  <c r="A247" i="20" s="1"/>
  <c r="M247" i="20"/>
  <c r="N248" i="20"/>
  <c r="A248" i="20" s="1"/>
  <c r="M248" i="20"/>
  <c r="N249" i="20"/>
  <c r="A249" i="20" s="1"/>
  <c r="M249" i="20"/>
  <c r="N250" i="20"/>
  <c r="A250" i="20" s="1"/>
  <c r="M250" i="20"/>
  <c r="N251" i="20"/>
  <c r="A251" i="20" s="1"/>
  <c r="M251" i="20"/>
  <c r="N252" i="20"/>
  <c r="A252" i="20" s="1"/>
  <c r="M252" i="20"/>
  <c r="N253" i="20"/>
  <c r="A253" i="20" s="1"/>
  <c r="M253" i="20"/>
  <c r="N254" i="20"/>
  <c r="A254" i="20" s="1"/>
  <c r="M254" i="20"/>
  <c r="N255" i="20"/>
  <c r="A255" i="20" s="1"/>
  <c r="M255" i="20"/>
  <c r="N256" i="20"/>
  <c r="A256" i="20" s="1"/>
  <c r="M256" i="20"/>
  <c r="N257" i="20"/>
  <c r="A257" i="20" s="1"/>
  <c r="M257" i="20"/>
  <c r="N258" i="20"/>
  <c r="A258" i="20" s="1"/>
  <c r="M258" i="20"/>
  <c r="M259" i="20"/>
  <c r="N259" i="20"/>
  <c r="A259" i="20" s="1"/>
  <c r="N260" i="20"/>
  <c r="A260" i="20" s="1"/>
  <c r="M260" i="20"/>
  <c r="N261" i="20"/>
  <c r="A261" i="20" s="1"/>
  <c r="M261" i="20"/>
  <c r="N262" i="20"/>
  <c r="A262" i="20" s="1"/>
  <c r="M262" i="20"/>
  <c r="N263" i="20"/>
  <c r="A263" i="20" s="1"/>
  <c r="M263" i="20"/>
  <c r="N264" i="20"/>
  <c r="A264" i="20" s="1"/>
  <c r="M264" i="20"/>
  <c r="N265" i="20"/>
  <c r="A265" i="20" s="1"/>
  <c r="M265" i="20"/>
  <c r="N266" i="20"/>
  <c r="A266" i="20" s="1"/>
  <c r="M266" i="20"/>
  <c r="N267" i="20"/>
  <c r="A267" i="20" s="1"/>
  <c r="M267" i="20"/>
  <c r="N268" i="20"/>
  <c r="A268" i="20" s="1"/>
  <c r="M268" i="20"/>
  <c r="N269" i="20"/>
  <c r="A269" i="20" s="1"/>
  <c r="M269" i="20"/>
  <c r="N270" i="20"/>
  <c r="A270" i="20" s="1"/>
  <c r="M270" i="20"/>
  <c r="M271" i="20"/>
  <c r="N271" i="20"/>
  <c r="A271" i="20" s="1"/>
  <c r="N272" i="20"/>
  <c r="A272" i="20" s="1"/>
  <c r="M272" i="20"/>
  <c r="N273" i="20"/>
  <c r="A273" i="20" s="1"/>
  <c r="M273" i="20"/>
  <c r="N274" i="20"/>
  <c r="A274" i="20" s="1"/>
  <c r="M274" i="20"/>
  <c r="N275" i="20"/>
  <c r="A275" i="20" s="1"/>
  <c r="M275" i="20"/>
  <c r="N276" i="20"/>
  <c r="A276" i="20" s="1"/>
  <c r="M276" i="20"/>
  <c r="N277" i="20"/>
  <c r="A277" i="20" s="1"/>
  <c r="M277" i="20"/>
  <c r="N278" i="20"/>
  <c r="A278" i="20" s="1"/>
  <c r="M278" i="20"/>
  <c r="N279" i="20"/>
  <c r="A279" i="20" s="1"/>
  <c r="M279" i="20"/>
  <c r="N280" i="20"/>
  <c r="A280" i="20" s="1"/>
  <c r="M280" i="20"/>
  <c r="N281" i="20"/>
  <c r="A281" i="20" s="1"/>
  <c r="M281" i="20"/>
  <c r="N282" i="20"/>
  <c r="A282" i="20" s="1"/>
  <c r="M282" i="20"/>
  <c r="M283" i="20"/>
  <c r="N283" i="20"/>
  <c r="A283" i="20" s="1"/>
  <c r="N284" i="20"/>
  <c r="A284" i="20" s="1"/>
  <c r="M284" i="20"/>
  <c r="N285" i="20"/>
  <c r="A285" i="20" s="1"/>
  <c r="M285" i="20"/>
  <c r="N286" i="20"/>
  <c r="A286" i="20" s="1"/>
  <c r="M286" i="20"/>
  <c r="N287" i="20"/>
  <c r="A287" i="20" s="1"/>
  <c r="M287" i="20"/>
  <c r="N288" i="20"/>
  <c r="A288" i="20" s="1"/>
  <c r="M288" i="20"/>
  <c r="N289" i="20"/>
  <c r="A289" i="20" s="1"/>
  <c r="M289" i="20"/>
  <c r="N290" i="20"/>
  <c r="A290" i="20" s="1"/>
  <c r="M290" i="20"/>
  <c r="N291" i="20"/>
  <c r="A291" i="20" s="1"/>
  <c r="M291" i="20"/>
  <c r="N292" i="20"/>
  <c r="A292" i="20" s="1"/>
  <c r="M292" i="20"/>
  <c r="N293" i="20"/>
  <c r="A293" i="20" s="1"/>
  <c r="M293" i="20"/>
  <c r="N294" i="20"/>
  <c r="A294" i="20" s="1"/>
  <c r="M294" i="20"/>
  <c r="N295" i="20"/>
  <c r="A295" i="20" s="1"/>
  <c r="M295" i="20"/>
  <c r="N296" i="20"/>
  <c r="A296" i="20" s="1"/>
  <c r="M296" i="20"/>
  <c r="N297" i="20"/>
  <c r="A297" i="20" s="1"/>
  <c r="M297" i="20"/>
  <c r="N298" i="20"/>
  <c r="A298" i="20" s="1"/>
  <c r="M298" i="20"/>
  <c r="N299" i="20"/>
  <c r="A299" i="20" s="1"/>
  <c r="M299" i="20"/>
  <c r="N300" i="20"/>
  <c r="A300" i="20" s="1"/>
  <c r="M300" i="20"/>
  <c r="N301" i="20"/>
  <c r="A301" i="20" s="1"/>
  <c r="M301" i="20"/>
  <c r="N302" i="20"/>
  <c r="A302" i="20" s="1"/>
  <c r="M302" i="20"/>
  <c r="N303" i="20"/>
  <c r="A303" i="20" s="1"/>
  <c r="M303" i="20"/>
  <c r="N304" i="20"/>
  <c r="A304" i="20" s="1"/>
  <c r="M304" i="20"/>
  <c r="N305" i="20"/>
  <c r="A305" i="20" s="1"/>
  <c r="M305" i="20"/>
  <c r="L7" i="18"/>
  <c r="L6" i="18"/>
  <c r="M6" i="18"/>
  <c r="A6" i="18" s="1"/>
  <c r="M7" i="18"/>
  <c r="A7" i="18"/>
  <c r="A9" i="18"/>
  <c r="M10" i="18"/>
  <c r="A10" i="18" s="1"/>
  <c r="M11" i="18"/>
  <c r="A11" i="18" s="1"/>
  <c r="M12" i="18"/>
  <c r="A12" i="18" s="1"/>
  <c r="M13" i="18"/>
  <c r="A13" i="18" s="1"/>
  <c r="M14" i="18"/>
  <c r="A14" i="18" s="1"/>
  <c r="M16" i="18"/>
  <c r="A16" i="18" s="1"/>
  <c r="M9" i="17"/>
  <c r="A9" i="17" s="1"/>
  <c r="J16" i="1"/>
  <c r="M29" i="17"/>
  <c r="A29" i="17" s="1"/>
  <c r="J27" i="1"/>
  <c r="M10" i="17"/>
  <c r="A10" i="17" s="1"/>
  <c r="J17" i="1"/>
  <c r="M13" i="17"/>
  <c r="A13" i="17" s="1"/>
  <c r="I20" i="1"/>
  <c r="I26" i="1"/>
  <c r="J26" i="1" s="1"/>
  <c r="I28" i="1"/>
  <c r="J28" i="1" s="1"/>
  <c r="M27" i="17"/>
  <c r="A27" i="17" s="1"/>
  <c r="M7" i="17"/>
  <c r="A7" i="17" s="1"/>
  <c r="M25" i="17"/>
  <c r="A25" i="17" s="1"/>
  <c r="I12" i="1"/>
  <c r="M11" i="17"/>
  <c r="A11" i="17" s="1"/>
  <c r="M23" i="17"/>
  <c r="A23" i="17" s="1"/>
  <c r="J13" i="1"/>
  <c r="M31" i="17"/>
  <c r="A31" i="17" s="1"/>
  <c r="M21" i="17"/>
  <c r="A21" i="17" s="1"/>
  <c r="J11" i="1"/>
  <c r="M8" i="17"/>
  <c r="A8" i="17" s="1"/>
  <c r="M19" i="17"/>
  <c r="A19" i="17" s="1"/>
  <c r="J14" i="1"/>
  <c r="M12" i="17"/>
  <c r="A12" i="17" s="1"/>
  <c r="M35" i="17"/>
  <c r="A35" i="17" s="1"/>
  <c r="M17" i="17"/>
  <c r="M33" i="17"/>
  <c r="A33" i="17" s="1"/>
  <c r="L6" i="16"/>
  <c r="M6" i="16" s="1"/>
  <c r="L8" i="16"/>
  <c r="M8" i="16" s="1"/>
  <c r="A8" i="16" s="1"/>
  <c r="L7" i="16"/>
  <c r="M7" i="16" s="1"/>
  <c r="L7" i="20"/>
  <c r="M7" i="20" s="1"/>
  <c r="N7" i="20" s="1"/>
  <c r="N8" i="20"/>
  <c r="N9" i="20"/>
  <c r="N34" i="20"/>
  <c r="A34" i="20" s="1"/>
  <c r="N11" i="20"/>
  <c r="N12" i="20"/>
  <c r="N28" i="20"/>
  <c r="A28" i="20" s="1"/>
  <c r="L6" i="20"/>
  <c r="M6" i="20" s="1"/>
  <c r="L6" i="17"/>
  <c r="M6" i="17" s="1"/>
  <c r="A23" i="16"/>
  <c r="A29" i="16"/>
  <c r="A18" i="16"/>
  <c r="A35" i="16"/>
  <c r="A24" i="16"/>
  <c r="A30" i="16"/>
  <c r="A9" i="16"/>
  <c r="A26" i="16"/>
  <c r="A32" i="16"/>
  <c r="A21" i="16"/>
  <c r="A27" i="16"/>
  <c r="A12" i="16"/>
  <c r="A22" i="16"/>
  <c r="A28" i="16"/>
  <c r="A7" i="16"/>
  <c r="A13" i="16"/>
  <c r="A10" i="16"/>
  <c r="A11" i="16"/>
  <c r="A6" i="16"/>
  <c r="A36" i="14"/>
  <c r="A33" i="14"/>
  <c r="A34" i="14"/>
  <c r="A35" i="14"/>
  <c r="A25" i="14"/>
  <c r="A17" i="14"/>
  <c r="A23" i="14"/>
  <c r="A30" i="14"/>
  <c r="A18" i="14"/>
  <c r="A31" i="14"/>
  <c r="A16" i="14"/>
  <c r="A24" i="14"/>
  <c r="A27" i="14"/>
  <c r="A26" i="14"/>
  <c r="A29" i="14"/>
  <c r="A12" i="14"/>
  <c r="A19" i="14"/>
  <c r="A22" i="14"/>
  <c r="A7" i="14"/>
  <c r="A20" i="14"/>
  <c r="A28" i="14"/>
  <c r="A11" i="14"/>
  <c r="A14" i="14"/>
  <c r="A32" i="14"/>
  <c r="L6" i="14"/>
  <c r="M6" i="14" s="1"/>
  <c r="A9" i="14"/>
  <c r="L8" i="14"/>
  <c r="V6" i="1" l="1"/>
  <c r="V6" i="31"/>
  <c r="V26" i="1"/>
  <c r="V27" i="31"/>
  <c r="D27" i="31" s="1"/>
  <c r="V20" i="1"/>
  <c r="V18" i="31"/>
  <c r="D18" i="31" s="1"/>
  <c r="V22" i="1"/>
  <c r="D22" i="1" s="1"/>
  <c r="V15" i="31"/>
  <c r="D15" i="31" s="1"/>
  <c r="V19" i="31"/>
  <c r="D19" i="31" s="1"/>
  <c r="V12" i="1"/>
  <c r="V12" i="31"/>
  <c r="V23" i="1"/>
  <c r="D23" i="1" s="1"/>
  <c r="V26" i="31"/>
  <c r="D26" i="31" s="1"/>
  <c r="V25" i="1"/>
  <c r="D25" i="1" s="1"/>
  <c r="V33" i="31"/>
  <c r="D33" i="31" s="1"/>
  <c r="V15" i="1"/>
  <c r="V16" i="31"/>
  <c r="D16" i="31" s="1"/>
  <c r="V11" i="31"/>
  <c r="D11" i="31" s="1"/>
  <c r="V17" i="31"/>
  <c r="D17" i="31" s="1"/>
  <c r="V23" i="31"/>
  <c r="D23" i="31" s="1"/>
  <c r="V34" i="31"/>
  <c r="D34" i="31" s="1"/>
  <c r="V32" i="31"/>
  <c r="D32" i="31" s="1"/>
  <c r="V29" i="1"/>
  <c r="D29" i="1" s="1"/>
  <c r="V14" i="1"/>
  <c r="V13" i="31"/>
  <c r="V11" i="1"/>
  <c r="V14" i="31"/>
  <c r="D14" i="31" s="1"/>
  <c r="V25" i="31"/>
  <c r="D25" i="31" s="1"/>
  <c r="V19" i="1"/>
  <c r="D19" i="1" s="1"/>
  <c r="V21" i="1"/>
  <c r="D21" i="1" s="1"/>
  <c r="V9" i="1"/>
  <c r="V8" i="31"/>
  <c r="D8" i="31" s="1"/>
  <c r="V22" i="31"/>
  <c r="D22" i="31" s="1"/>
  <c r="V28" i="31"/>
  <c r="D28" i="31" s="1"/>
  <c r="V31" i="31"/>
  <c r="D31" i="31" s="1"/>
  <c r="V21" i="31"/>
  <c r="D21" i="31" s="1"/>
  <c r="V30" i="31"/>
  <c r="D30" i="31" s="1"/>
  <c r="D9" i="31"/>
  <c r="L9" i="1"/>
  <c r="L20" i="1"/>
  <c r="L15" i="1"/>
  <c r="L7" i="1"/>
  <c r="L12" i="1"/>
  <c r="L28" i="1"/>
  <c r="J9" i="1"/>
  <c r="J7" i="1"/>
  <c r="J15" i="1"/>
  <c r="J8" i="1"/>
  <c r="H7" i="1"/>
  <c r="H8" i="1"/>
  <c r="H9" i="1"/>
  <c r="H17" i="1"/>
  <c r="H14" i="1"/>
  <c r="H15" i="1"/>
  <c r="H6" i="1"/>
  <c r="D20" i="31"/>
  <c r="F15" i="1"/>
  <c r="F14" i="1"/>
  <c r="L6" i="1"/>
  <c r="N14" i="1"/>
  <c r="F7" i="1"/>
  <c r="V18" i="1"/>
  <c r="V13" i="1"/>
  <c r="V28" i="1"/>
  <c r="V17" i="1"/>
  <c r="V16" i="1"/>
  <c r="V27" i="1"/>
  <c r="V10" i="1"/>
  <c r="V24" i="1"/>
  <c r="N26" i="1"/>
  <c r="M8" i="14"/>
  <c r="A8" i="14" s="1"/>
  <c r="J12" i="1"/>
  <c r="J20" i="1"/>
  <c r="L8" i="1"/>
  <c r="L18" i="1"/>
  <c r="L14" i="1"/>
  <c r="L13" i="1"/>
  <c r="L17" i="1"/>
  <c r="L16" i="1"/>
  <c r="L27" i="1"/>
  <c r="L10" i="1"/>
  <c r="L24" i="1"/>
  <c r="L26" i="1"/>
  <c r="L11" i="1"/>
  <c r="A6" i="17"/>
  <c r="H24" i="1"/>
  <c r="H13" i="1"/>
  <c r="H18" i="1"/>
  <c r="H26" i="1"/>
  <c r="H11" i="1"/>
  <c r="H16" i="1"/>
  <c r="H12" i="1"/>
  <c r="H10" i="1"/>
  <c r="H28" i="1"/>
  <c r="H27" i="1"/>
  <c r="H20" i="1"/>
  <c r="N6" i="20"/>
  <c r="V7" i="31" s="1"/>
  <c r="A13" i="14"/>
  <c r="A10" i="14"/>
  <c r="A37" i="14"/>
  <c r="A6" i="14"/>
  <c r="A21" i="14"/>
  <c r="D13" i="31" l="1"/>
  <c r="D15" i="1"/>
  <c r="D14" i="1"/>
  <c r="J6" i="1"/>
  <c r="F11" i="1"/>
  <c r="D11" i="1" s="1"/>
  <c r="D10" i="31"/>
  <c r="V7" i="1"/>
  <c r="D7" i="1" s="1"/>
  <c r="D7" i="31"/>
  <c r="F9" i="1"/>
  <c r="D9" i="1" s="1"/>
  <c r="F8" i="1"/>
  <c r="D8" i="1" s="1"/>
  <c r="D12" i="31"/>
  <c r="F6" i="1"/>
  <c r="D6" i="1" s="1"/>
  <c r="D6" i="31"/>
  <c r="F18" i="1"/>
  <c r="D18" i="1" s="1"/>
  <c r="F10" i="1"/>
  <c r="D10" i="1" s="1"/>
  <c r="F13" i="1"/>
  <c r="D13" i="1" s="1"/>
  <c r="F27" i="1"/>
  <c r="D27" i="1" s="1"/>
  <c r="F12" i="1"/>
  <c r="D12" i="1" s="1"/>
  <c r="F24" i="1"/>
  <c r="D24" i="1" s="1"/>
  <c r="F26" i="1"/>
  <c r="D26" i="1" s="1"/>
  <c r="F17" i="1"/>
  <c r="D17" i="1" s="1"/>
  <c r="F20" i="1"/>
  <c r="D20" i="1" s="1"/>
  <c r="F28" i="1"/>
  <c r="D28" i="1" s="1"/>
  <c r="F16" i="1"/>
  <c r="D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<sst xmlns="http://schemas.openxmlformats.org/spreadsheetml/2006/main" count="2370" uniqueCount="577">
  <si>
    <t>Dołączył/a do kategorii w tym roku</t>
  </si>
  <si>
    <r>
      <t xml:space="preserve">Ranking Grand Prix Pucharu Polski Weteranów (PPW) sezon </t>
    </r>
    <r>
      <rPr>
        <b/>
        <sz val="10"/>
        <color rgb="FFFF0000"/>
        <rFont val="Arial"/>
        <family val="2"/>
      </rPr>
      <t>2023 - 2024</t>
    </r>
  </si>
  <si>
    <t>Na sumę punktów w rankingu skłąda się 6 najlepszych wyników (z 8 możliwych) w turniejach GP PPW oraz wynik z Mistrzostw Polski Weteranów.</t>
  </si>
  <si>
    <t>Kat. 2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</si>
  <si>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</si>
  <si>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</si>
  <si>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</si>
  <si>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</si>
  <si>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</si>
  <si>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</si>
  <si>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</si>
  <si>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</si>
  <si>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</si>
  <si>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</si>
  <si>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</si>
  <si>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</si>
  <si>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</si>
  <si>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</si>
  <si>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</si>
  <si>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ATANASSOW Aleksander</t>
  </si>
  <si>
    <t>ZIELIŃSKI Dariusz</t>
  </si>
  <si>
    <t>KOSTRZEWA Ireneusz</t>
  </si>
  <si>
    <t>JENDRYŚ Marek</t>
  </si>
  <si>
    <t>HAŚKO Sergiusz</t>
  </si>
  <si>
    <t>WOJTAS Bogdan</t>
  </si>
  <si>
    <t>KOTERSKI Paweł</t>
  </si>
  <si>
    <t>BURLIKOWSKI Bartosz</t>
  </si>
  <si>
    <t>SKOCZEK Artur</t>
  </si>
  <si>
    <t>WIERZBICKI Jacek</t>
  </si>
  <si>
    <t>JASZCZAK Piotr</t>
  </si>
  <si>
    <t>DUDEK Mariusz</t>
  </si>
  <si>
    <t>GĄSIOROWSKI Maciej</t>
  </si>
  <si>
    <t>GRZYWACZ Mirosław</t>
  </si>
  <si>
    <t>PARDUS Borys</t>
  </si>
  <si>
    <t>PURGINA Marian</t>
  </si>
  <si>
    <t>TRACZ Jerzy</t>
  </si>
  <si>
    <t>KASZTELOWICZ Piotr</t>
  </si>
  <si>
    <t>WRONA Grzegorz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</si>
  <si>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</si>
  <si>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</si>
  <si>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</si>
  <si>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</si>
  <si>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</si>
  <si>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</si>
  <si>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</si>
  <si>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</si>
  <si>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</si>
  <si>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</si>
  <si>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</si>
  <si>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</si>
  <si>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</si>
  <si>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</si>
  <si>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</si>
  <si>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liczba wygranych walk pucharowych</t>
  </si>
  <si>
    <t>bonus z rundy pucharowej</t>
  </si>
  <si>
    <t>punkty za podium</t>
  </si>
  <si>
    <t>Suma</t>
  </si>
  <si>
    <t>KS CRACOVIA 1906.</t>
  </si>
  <si>
    <t>POL</t>
  </si>
  <si>
    <t>PIAST GLIWICE</t>
  </si>
  <si>
    <t>KSz WARSZAWIANKA</t>
  </si>
  <si>
    <t>AZS AWF WARSZAWA</t>
  </si>
  <si>
    <t>KS SZPADA ŁÓDŹ</t>
  </si>
  <si>
    <t>AZS WRATISLAVIA WROCŁAW</t>
  </si>
  <si>
    <t>KKS KRAKÓW</t>
  </si>
  <si>
    <t>AZS KU POLITECHNIKI OPOLSKIEJ</t>
  </si>
  <si>
    <t>AKADEMIA SZERMIERKI W-WA</t>
  </si>
  <si>
    <t>TORUŃ</t>
  </si>
  <si>
    <t>Alex Toruń</t>
  </si>
  <si>
    <t>DRAPELLA Maciej</t>
  </si>
  <si>
    <t>KS AZS AWFIS GDAŃSK.</t>
  </si>
  <si>
    <t>Feniks Nowy Dwór Mazowiecki</t>
  </si>
  <si>
    <t>6k1</t>
  </si>
  <si>
    <t>BYTOMSKIE TOWARZYSTWO SZERMIERCZE</t>
  </si>
  <si>
    <t>NIEPOŁOMICE</t>
  </si>
  <si>
    <t>KS AGH Kraków</t>
  </si>
  <si>
    <t xml:space="preserve"> POL</t>
  </si>
  <si>
    <t>2k1</t>
  </si>
  <si>
    <t>OPOLE</t>
  </si>
  <si>
    <t>23-24.10.2023</t>
  </si>
  <si>
    <t>ST. POLSKICH WETERANÓW SZERMIERKI</t>
  </si>
  <si>
    <t xml:space="preserve"> UKR</t>
  </si>
  <si>
    <t>NAUKA SZERMIERKI</t>
  </si>
  <si>
    <t>GDAŃSK</t>
  </si>
  <si>
    <t>28.10.2023</t>
  </si>
  <si>
    <t>Warszawianka</t>
  </si>
  <si>
    <t> POL</t>
  </si>
  <si>
    <t>Stowarzyszenie Polskich Weteranów Szermierki</t>
  </si>
  <si>
    <t>Nauka Szermierki</t>
  </si>
  <si>
    <t>Fenix</t>
  </si>
  <si>
    <t>AZS Politechnika Opolska</t>
  </si>
  <si>
    <t>KRAKÓW</t>
  </si>
  <si>
    <t>18-19.11.2023</t>
  </si>
  <si>
    <t>awans do kolejnej rundy pucharowej</t>
  </si>
  <si>
    <t>bonus za rundy pucharowe</t>
  </si>
  <si>
    <t>x</t>
  </si>
  <si>
    <t>N</t>
  </si>
  <si>
    <t>MP</t>
  </si>
  <si>
    <t>MP-1</t>
  </si>
  <si>
    <t>AKADEMIA SERMU</t>
  </si>
  <si>
    <t> SVK</t>
  </si>
  <si>
    <t>log(x)</t>
  </si>
  <si>
    <t>Log(N)</t>
  </si>
  <si>
    <t>FENIX</t>
  </si>
  <si>
    <t>MP - (MP-1)*LOG(x)/LOG(N)</t>
  </si>
  <si>
    <t>points</t>
  </si>
  <si>
    <t>Podium</t>
  </si>
  <si>
    <t>Współczynnik MPW</t>
  </si>
  <si>
    <t>Punkty MPW</t>
  </si>
  <si>
    <t>Opolskie</t>
  </si>
  <si>
    <t>Klasyfikacja będą podstawą do rekomendacji dla PZSZERM powołań do kadry na międzynarodowe zawody rangi mistrzowskiej.</t>
  </si>
  <si>
    <t>Na sumę punktów w rankingu składa się 6 najlepszych wyników (z 8 możliwych) w turniejach GP PPW, wynik z Mistrzostw Polski Weteranów, 3 najlepsze wyniki z PEW i VFC w ciągu roku (krocząco, w sezonie przejściowym 1,5 roku) oraz punkty zdobyte w IMEW.</t>
  </si>
  <si>
    <t>MĘŻCZYŹNI Kat.2</t>
  </si>
  <si>
    <t>I PEW</t>
  </si>
  <si>
    <t>II PEW</t>
  </si>
  <si>
    <t>III PEW</t>
  </si>
  <si>
    <t>VFC</t>
  </si>
  <si>
    <t>IV PEW</t>
  </si>
  <si>
    <t>V PEW</t>
  </si>
  <si>
    <t>VI PEW</t>
  </si>
  <si>
    <t>VII PEW</t>
  </si>
  <si>
    <t>VIII PEW</t>
  </si>
  <si>
    <t>IX PEW</t>
  </si>
  <si>
    <t>X PEW</t>
  </si>
  <si>
    <t>XI PEW</t>
  </si>
  <si>
    <t>XII PEW</t>
  </si>
  <si>
    <t>IMEW</t>
  </si>
  <si>
    <t>TK</t>
  </si>
  <si>
    <t>Bonus za podium</t>
  </si>
  <si>
    <t>Guildford</t>
  </si>
  <si>
    <t>Kiev/Santander</t>
  </si>
  <si>
    <t>25.02.2023</t>
  </si>
  <si>
    <t>Gdańsk</t>
  </si>
  <si>
    <t>14-15.04.2023</t>
  </si>
  <si>
    <t>ZAWALICH Leszek</t>
  </si>
  <si>
    <t>12k1</t>
  </si>
  <si>
    <t>Paryż</t>
  </si>
  <si>
    <t>Budapest</t>
  </si>
  <si>
    <t>16-17.09.2023</t>
  </si>
  <si>
    <t>Turku</t>
  </si>
  <si>
    <t>24.09.2023</t>
  </si>
  <si>
    <t>Madrid</t>
  </si>
  <si>
    <t>11.11.2023</t>
  </si>
  <si>
    <t>Terni</t>
  </si>
  <si>
    <t>16.12.2023</t>
  </si>
  <si>
    <t>06.01.2024</t>
  </si>
  <si>
    <t>Stockholm (SWE)</t>
  </si>
  <si>
    <t>24.02.2024</t>
  </si>
  <si>
    <t>Graz</t>
  </si>
  <si>
    <t>23.03.2024</t>
  </si>
  <si>
    <t>Gdańsk (POL)</t>
  </si>
  <si>
    <t>6-7.04.2024</t>
  </si>
  <si>
    <t>Ateny (GRE)</t>
  </si>
  <si>
    <t>27.04.2024</t>
  </si>
  <si>
    <t>Thionville</t>
  </si>
  <si>
    <t xml:space="preserve"> PEYRET LACOMBE </t>
  </si>
  <si>
    <t xml:space="preserve"> EMMANUEL </t>
  </si>
  <si>
    <t xml:space="preserve">  FRA  </t>
  </si>
  <si>
    <t xml:space="preserve">  </t>
  </si>
  <si>
    <t xml:space="preserve"> VICHI </t>
  </si>
  <si>
    <t xml:space="preserve"> TOMMASO </t>
  </si>
  <si>
    <t xml:space="preserve">  ITA  </t>
  </si>
  <si>
    <t xml:space="preserve"> CRESPELLE </t>
  </si>
  <si>
    <t xml:space="preserve"> RAPHAEL </t>
  </si>
  <si>
    <t xml:space="preserve"> MARCHET </t>
  </si>
  <si>
    <t xml:space="preserve"> ALEXANDER </t>
  </si>
  <si>
    <t xml:space="preserve">  GER  </t>
  </si>
  <si>
    <t xml:space="preserve"> DARIUSZ </t>
  </si>
  <si>
    <t xml:space="preserve">  POL  </t>
  </si>
  <si>
    <t xml:space="preserve"> ALEKSANDER </t>
  </si>
  <si>
    <t xml:space="preserve"> SERGUN </t>
  </si>
  <si>
    <t xml:space="preserve"> EDUARD </t>
  </si>
  <si>
    <t xml:space="preserve">  FIN  </t>
  </si>
  <si>
    <t xml:space="preserve"> TRUETZSCHLER </t>
  </si>
  <si>
    <t xml:space="preserve"> FRITSCH </t>
  </si>
  <si>
    <t xml:space="preserve"> VINCENT </t>
  </si>
  <si>
    <t xml:space="preserve"> WACQUEZ </t>
  </si>
  <si>
    <t xml:space="preserve"> FRANCOIS </t>
  </si>
  <si>
    <t xml:space="preserve"> JOUVE </t>
  </si>
  <si>
    <t xml:space="preserve"> STEPHANE </t>
  </si>
  <si>
    <t xml:space="preserve"> AYANWALE </t>
  </si>
  <si>
    <t xml:space="preserve"> KOLA </t>
  </si>
  <si>
    <t xml:space="preserve">  GBR  </t>
  </si>
  <si>
    <t xml:space="preserve"> CONRAD </t>
  </si>
  <si>
    <t xml:space="preserve"> CHRISTOPHE </t>
  </si>
  <si>
    <t xml:space="preserve"> GRAND D'HAUTEVILLE </t>
  </si>
  <si>
    <t xml:space="preserve"> ERIC </t>
  </si>
  <si>
    <t xml:space="preserve">  SUI  </t>
  </si>
  <si>
    <t xml:space="preserve"> HAYEK </t>
  </si>
  <si>
    <t xml:space="preserve"> GUNTHER </t>
  </si>
  <si>
    <t xml:space="preserve">  AUT  </t>
  </si>
  <si>
    <t xml:space="preserve"> HOWSER </t>
  </si>
  <si>
    <t xml:space="preserve"> CHRIS </t>
  </si>
  <si>
    <t xml:space="preserve"> HESS </t>
  </si>
  <si>
    <t xml:space="preserve"> ALLEN </t>
  </si>
  <si>
    <t xml:space="preserve"> GREG </t>
  </si>
  <si>
    <t xml:space="preserve"> LESNE </t>
  </si>
  <si>
    <t xml:space="preserve"> LUDOVIC </t>
  </si>
  <si>
    <t xml:space="preserve"> ZURABISHVILI </t>
  </si>
  <si>
    <t xml:space="preserve"> GOCHA </t>
  </si>
  <si>
    <t xml:space="preserve">  GEO  </t>
  </si>
  <si>
    <t xml:space="preserve"> ELMFELDT </t>
  </si>
  <si>
    <t xml:space="preserve"> MATHIAS </t>
  </si>
  <si>
    <t xml:space="preserve">  SWE  </t>
  </si>
  <si>
    <t xml:space="preserve"> RONDIN </t>
  </si>
  <si>
    <t xml:space="preserve"> IRENEUSZ </t>
  </si>
  <si>
    <t xml:space="preserve"> PRADON </t>
  </si>
  <si>
    <t xml:space="preserve"> COLLING </t>
  </si>
  <si>
    <t xml:space="preserve"> EMILE </t>
  </si>
  <si>
    <t xml:space="preserve">  LUX  </t>
  </si>
  <si>
    <t xml:space="preserve"> CICOIRA </t>
  </si>
  <si>
    <t xml:space="preserve"> MARIO </t>
  </si>
  <si>
    <t xml:space="preserve"> GIRIN </t>
  </si>
  <si>
    <t xml:space="preserve"> CHAUVAT </t>
  </si>
  <si>
    <t xml:space="preserve"> PATRICK </t>
  </si>
  <si>
    <t xml:space="preserve"> WÄLLE </t>
  </si>
  <si>
    <t xml:space="preserve"> PHILIPPE </t>
  </si>
  <si>
    <t xml:space="preserve"> SZAKMARY </t>
  </si>
  <si>
    <t xml:space="preserve"> SANDOR </t>
  </si>
  <si>
    <t xml:space="preserve">  HUN  </t>
  </si>
  <si>
    <t xml:space="preserve"> KAEMPER </t>
  </si>
  <si>
    <t xml:space="preserve"> MARC </t>
  </si>
  <si>
    <t xml:space="preserve"> MAGHON </t>
  </si>
  <si>
    <t xml:space="preserve"> HANS </t>
  </si>
  <si>
    <t xml:space="preserve"> BAHLKE </t>
  </si>
  <si>
    <t xml:space="preserve"> CHRISTIAN </t>
  </si>
  <si>
    <t xml:space="preserve"> BRUDY-ZIPPELIUS </t>
  </si>
  <si>
    <t xml:space="preserve"> THOMAS </t>
  </si>
  <si>
    <t xml:space="preserve"> FEZARD </t>
  </si>
  <si>
    <t xml:space="preserve"> JULIEN </t>
  </si>
  <si>
    <t xml:space="preserve"> GRANJON </t>
  </si>
  <si>
    <t xml:space="preserve"> NICOLAS </t>
  </si>
  <si>
    <t xml:space="preserve"> CARACCIOLO </t>
  </si>
  <si>
    <t xml:space="preserve"> STEFANO </t>
  </si>
  <si>
    <t xml:space="preserve"> WALLE </t>
  </si>
  <si>
    <t xml:space="preserve"> FREMALLE </t>
  </si>
  <si>
    <t xml:space="preserve"> THIERRY </t>
  </si>
  <si>
    <t xml:space="preserve">  BEL  </t>
  </si>
  <si>
    <t xml:space="preserve"> PULEGA </t>
  </si>
  <si>
    <t xml:space="preserve"> ROBERTO ANDREA ENZO </t>
  </si>
  <si>
    <t xml:space="preserve"> LE TREUT </t>
  </si>
  <si>
    <t xml:space="preserve"> GILDAS </t>
  </si>
  <si>
    <t xml:space="preserve"> RUMETSCH </t>
  </si>
  <si>
    <t xml:space="preserve"> HANNES </t>
  </si>
  <si>
    <t xml:space="preserve"> WENDT </t>
  </si>
  <si>
    <t xml:space="preserve"> CARL-HENRIK </t>
  </si>
  <si>
    <t xml:space="preserve"> EYQUEM </t>
  </si>
  <si>
    <t xml:space="preserve"> XAVIER </t>
  </si>
  <si>
    <t xml:space="preserve"> LEAHEY </t>
  </si>
  <si>
    <t xml:space="preserve"> JOHN </t>
  </si>
  <si>
    <t xml:space="preserve"> DELMAS </t>
  </si>
  <si>
    <t xml:space="preserve"> LAMOTHE </t>
  </si>
  <si>
    <t xml:space="preserve"> OLIVIER </t>
  </si>
  <si>
    <t xml:space="preserve"> SMEYERS </t>
  </si>
  <si>
    <t xml:space="preserve"> GUY </t>
  </si>
  <si>
    <t xml:space="preserve"> MICHEL </t>
  </si>
  <si>
    <t xml:space="preserve"> SZALAY </t>
  </si>
  <si>
    <t xml:space="preserve"> KAROLY </t>
  </si>
  <si>
    <t xml:space="preserve"> TSIMERINOV </t>
  </si>
  <si>
    <t xml:space="preserve"> BORIS </t>
  </si>
  <si>
    <t xml:space="preserve">  ISR  </t>
  </si>
  <si>
    <t xml:space="preserve"> KLASS </t>
  </si>
  <si>
    <t xml:space="preserve"> OLIVER </t>
  </si>
  <si>
    <t xml:space="preserve"> PIRANI </t>
  </si>
  <si>
    <t xml:space="preserve"> CLAUDIO </t>
  </si>
  <si>
    <t xml:space="preserve"> ELLISON </t>
  </si>
  <si>
    <t xml:space="preserve"> CHRISTENSEN </t>
  </si>
  <si>
    <t xml:space="preserve"> STIG </t>
  </si>
  <si>
    <t xml:space="preserve">  DEN  </t>
  </si>
  <si>
    <t xml:space="preserve"> LARSSON </t>
  </si>
  <si>
    <t xml:space="preserve"> RICKARD </t>
  </si>
  <si>
    <t xml:space="preserve"> GOETTMANN </t>
  </si>
  <si>
    <t xml:space="preserve"> JEAN-JULIEN </t>
  </si>
  <si>
    <t xml:space="preserve"> LINOW </t>
  </si>
  <si>
    <t xml:space="preserve"> HOLGER </t>
  </si>
  <si>
    <t xml:space="preserve"> MARHEINEKE </t>
  </si>
  <si>
    <t xml:space="preserve"> TORSTEN </t>
  </si>
  <si>
    <t xml:space="preserve"> WAFFELAERT </t>
  </si>
  <si>
    <t xml:space="preserve"> ANTONIO </t>
  </si>
  <si>
    <t xml:space="preserve"> PIRA </t>
  </si>
  <si>
    <t xml:space="preserve"> ANDREAS </t>
  </si>
  <si>
    <t xml:space="preserve"> LAHTI </t>
  </si>
  <si>
    <t xml:space="preserve"> TANELI </t>
  </si>
  <si>
    <t xml:space="preserve"> GUILLEMIER </t>
  </si>
  <si>
    <t xml:space="preserve"> GAEL </t>
  </si>
  <si>
    <t xml:space="preserve"> PORTMANN </t>
  </si>
  <si>
    <t xml:space="preserve"> LIONEL </t>
  </si>
  <si>
    <t xml:space="preserve"> DUCROCQ </t>
  </si>
  <si>
    <t xml:space="preserve"> SCHUELER </t>
  </si>
  <si>
    <t xml:space="preserve"> LOUE </t>
  </si>
  <si>
    <t xml:space="preserve"> FRANCK </t>
  </si>
  <si>
    <t xml:space="preserve"> NANI </t>
  </si>
  <si>
    <t xml:space="preserve"> MAURIZIO </t>
  </si>
  <si>
    <t xml:space="preserve"> JILEK </t>
  </si>
  <si>
    <t xml:space="preserve"> JAROSLAV </t>
  </si>
  <si>
    <t xml:space="preserve">  CZE  </t>
  </si>
  <si>
    <t xml:space="preserve"> FARGEOT </t>
  </si>
  <si>
    <t xml:space="preserve"> JEAN-PHILIPPE </t>
  </si>
  <si>
    <t xml:space="preserve"> SPADARO </t>
  </si>
  <si>
    <t xml:space="preserve"> VLADIMIRO </t>
  </si>
  <si>
    <t xml:space="preserve"> FOUCO </t>
  </si>
  <si>
    <t xml:space="preserve"> JEROME </t>
  </si>
  <si>
    <t xml:space="preserve"> HINZ </t>
  </si>
  <si>
    <t xml:space="preserve"> GERALD </t>
  </si>
  <si>
    <t xml:space="preserve"> BOYKOV </t>
  </si>
  <si>
    <t xml:space="preserve"> VLADYSLAV </t>
  </si>
  <si>
    <t xml:space="preserve">  UKR  </t>
  </si>
  <si>
    <t xml:space="preserve"> JARSETZ </t>
  </si>
  <si>
    <t xml:space="preserve"> JENS </t>
  </si>
  <si>
    <t xml:space="preserve"> STRICKER </t>
  </si>
  <si>
    <t xml:space="preserve"> STEPHAN </t>
  </si>
  <si>
    <t xml:space="preserve"> BUSSY </t>
  </si>
  <si>
    <t xml:space="preserve"> JEAN-CHRISTOPHE </t>
  </si>
  <si>
    <t xml:space="preserve"> MELNIKOV </t>
  </si>
  <si>
    <t xml:space="preserve"> SERGEI </t>
  </si>
  <si>
    <t xml:space="preserve">  EST  </t>
  </si>
  <si>
    <t xml:space="preserve"> CALAMBE </t>
  </si>
  <si>
    <t xml:space="preserve"> GARCIA </t>
  </si>
  <si>
    <t xml:space="preserve"> DANIELSON </t>
  </si>
  <si>
    <t xml:space="preserve"> MARTIN </t>
  </si>
  <si>
    <t xml:space="preserve"> LE CHEVALLIER </t>
  </si>
  <si>
    <t xml:space="preserve"> DALLA GIOVANNA </t>
  </si>
  <si>
    <t xml:space="preserve"> GIANNI </t>
  </si>
  <si>
    <t xml:space="preserve"> HIRNER </t>
  </si>
  <si>
    <t xml:space="preserve"> WOLFGANG </t>
  </si>
  <si>
    <t xml:space="preserve"> GOMEZ PAZ </t>
  </si>
  <si>
    <t xml:space="preserve"> RAUL </t>
  </si>
  <si>
    <t xml:space="preserve">  ESP  </t>
  </si>
  <si>
    <t xml:space="preserve"> HOYER </t>
  </si>
  <si>
    <t xml:space="preserve"> STANCIU </t>
  </si>
  <si>
    <t xml:space="preserve"> ADRIAN </t>
  </si>
  <si>
    <t xml:space="preserve">  ROU  </t>
  </si>
  <si>
    <t xml:space="preserve"> MAIWALD </t>
  </si>
  <si>
    <t xml:space="preserve"> OLE-HANS </t>
  </si>
  <si>
    <t xml:space="preserve"> BOUGEARD </t>
  </si>
  <si>
    <t xml:space="preserve"> PIERRE </t>
  </si>
  <si>
    <t xml:space="preserve"> GARCIA CALDERON </t>
  </si>
  <si>
    <t xml:space="preserve"> SERGIO </t>
  </si>
  <si>
    <t xml:space="preserve"> MARBEUF </t>
  </si>
  <si>
    <t xml:space="preserve"> GILLES </t>
  </si>
  <si>
    <t xml:space="preserve"> BESSEMOULIN </t>
  </si>
  <si>
    <t xml:space="preserve"> ALEXANDRE </t>
  </si>
  <si>
    <t xml:space="preserve"> LECORRE </t>
  </si>
  <si>
    <t xml:space="preserve"> BIJKER </t>
  </si>
  <si>
    <t xml:space="preserve"> PETER </t>
  </si>
  <si>
    <t xml:space="preserve">  NED  </t>
  </si>
  <si>
    <t xml:space="preserve"> KAMANY </t>
  </si>
  <si>
    <t xml:space="preserve"> ROLAND </t>
  </si>
  <si>
    <t xml:space="preserve"> EVERTZ </t>
  </si>
  <si>
    <t xml:space="preserve"> EGGERMONT </t>
  </si>
  <si>
    <t xml:space="preserve"> MARKUS </t>
  </si>
  <si>
    <t xml:space="preserve"> DELIEGE </t>
  </si>
  <si>
    <t xml:space="preserve"> KANASHENKOV </t>
  </si>
  <si>
    <t xml:space="preserve"> PAVEL </t>
  </si>
  <si>
    <t xml:space="preserve"> FOTH </t>
  </si>
  <si>
    <t xml:space="preserve"> THOMAS GERALD </t>
  </si>
  <si>
    <t xml:space="preserve"> PRIME </t>
  </si>
  <si>
    <t xml:space="preserve"> BERNARD </t>
  </si>
  <si>
    <t xml:space="preserve"> SYLVAIN </t>
  </si>
  <si>
    <t xml:space="preserve"> CARADANT </t>
  </si>
  <si>
    <t xml:space="preserve"> FREDERIC </t>
  </si>
  <si>
    <t xml:space="preserve"> BROCVIELLE </t>
  </si>
  <si>
    <t xml:space="preserve"> ABASSI </t>
  </si>
  <si>
    <t xml:space="preserve"> WAJDI </t>
  </si>
  <si>
    <t xml:space="preserve"> VANDIEKEN </t>
  </si>
  <si>
    <t xml:space="preserve"> KARSTEN </t>
  </si>
  <si>
    <t xml:space="preserve"> REZE </t>
  </si>
  <si>
    <t xml:space="preserve"> KOEMETS </t>
  </si>
  <si>
    <t xml:space="preserve"> SVEN </t>
  </si>
  <si>
    <t xml:space="preserve"> DIDASKALOU </t>
  </si>
  <si>
    <t xml:space="preserve"> ILIAS </t>
  </si>
  <si>
    <t xml:space="preserve">  GRE  </t>
  </si>
  <si>
    <t xml:space="preserve"> PINK </t>
  </si>
  <si>
    <t xml:space="preserve"> SIMON </t>
  </si>
  <si>
    <t xml:space="preserve"> FOURTAUX </t>
  </si>
  <si>
    <t xml:space="preserve"> GUILLAUME </t>
  </si>
  <si>
    <t xml:space="preserve"> DEBURGH </t>
  </si>
  <si>
    <t xml:space="preserve"> ETIENNE </t>
  </si>
  <si>
    <t xml:space="preserve"> WOITAS </t>
  </si>
  <si>
    <t xml:space="preserve"> ULF </t>
  </si>
  <si>
    <t xml:space="preserve"> NGUYEN QUANG </t>
  </si>
  <si>
    <t xml:space="preserve"> SON </t>
  </si>
  <si>
    <t xml:space="preserve"> VAN LAECKE </t>
  </si>
  <si>
    <t xml:space="preserve"> GREGORY </t>
  </si>
  <si>
    <t xml:space="preserve"> KLIMKIN </t>
  </si>
  <si>
    <t xml:space="preserve"> BILLING </t>
  </si>
  <si>
    <t xml:space="preserve"> JONAS </t>
  </si>
  <si>
    <t xml:space="preserve"> BERNERON </t>
  </si>
  <si>
    <t xml:space="preserve"> HUNDERTMARK </t>
  </si>
  <si>
    <t xml:space="preserve"> GROSSE </t>
  </si>
  <si>
    <t xml:space="preserve"> MALTE </t>
  </si>
  <si>
    <t xml:space="preserve"> JANET </t>
  </si>
  <si>
    <t xml:space="preserve"> JEAN-LUC </t>
  </si>
  <si>
    <t xml:space="preserve"> BENITAH </t>
  </si>
  <si>
    <t xml:space="preserve"> ELIAHU </t>
  </si>
  <si>
    <t xml:space="preserve"> MOISI </t>
  </si>
  <si>
    <t xml:space="preserve"> MIHAI </t>
  </si>
  <si>
    <t xml:space="preserve"> GRASSET </t>
  </si>
  <si>
    <t xml:space="preserve"> LAURENT </t>
  </si>
  <si>
    <t xml:space="preserve"> BOSSI </t>
  </si>
  <si>
    <t xml:space="preserve"> SEBASTIEN </t>
  </si>
  <si>
    <t xml:space="preserve"> KUJAWA </t>
  </si>
  <si>
    <t xml:space="preserve"> GUERIN </t>
  </si>
  <si>
    <t xml:space="preserve"> MAYSAMI </t>
  </si>
  <si>
    <t xml:space="preserve"> MAHMOUD </t>
  </si>
  <si>
    <t xml:space="preserve"> BERGER </t>
  </si>
  <si>
    <t xml:space="preserve"> MATTHIAS </t>
  </si>
  <si>
    <t xml:space="preserve"> AUTZEN </t>
  </si>
  <si>
    <t xml:space="preserve"> OLAF </t>
  </si>
  <si>
    <t xml:space="preserve"> MACIEJ </t>
  </si>
  <si>
    <t xml:space="preserve"> TULUMELLO </t>
  </si>
  <si>
    <t xml:space="preserve"> CARMELO </t>
  </si>
  <si>
    <t xml:space="preserve"> MATYAS </t>
  </si>
  <si>
    <t xml:space="preserve"> PAL </t>
  </si>
  <si>
    <t xml:space="preserve"> DAHLSTEN </t>
  </si>
  <si>
    <t xml:space="preserve"> TISSIER </t>
  </si>
  <si>
    <t xml:space="preserve"> TRAKHTENBERG </t>
  </si>
  <si>
    <t xml:space="preserve"> VALERI </t>
  </si>
  <si>
    <t xml:space="preserve"> MELO </t>
  </si>
  <si>
    <t xml:space="preserve"> PEDRO </t>
  </si>
  <si>
    <t xml:space="preserve">  POR  </t>
  </si>
  <si>
    <t xml:space="preserve"> ESSNER </t>
  </si>
  <si>
    <t xml:space="preserve"> TRUET </t>
  </si>
  <si>
    <t xml:space="preserve"> HILSE </t>
  </si>
  <si>
    <t xml:space="preserve"> KIRNBAUER </t>
  </si>
  <si>
    <t xml:space="preserve"> BERNHARD </t>
  </si>
  <si>
    <t xml:space="preserve"> BRENDLE </t>
  </si>
  <si>
    <t xml:space="preserve"> KNOBELSDORF </t>
  </si>
  <si>
    <t xml:space="preserve"> THIELEMANS </t>
  </si>
  <si>
    <t xml:space="preserve"> ALAIN </t>
  </si>
  <si>
    <t xml:space="preserve"> MARCHAL </t>
  </si>
  <si>
    <t xml:space="preserve"> FRANCIS </t>
  </si>
  <si>
    <t xml:space="preserve"> BAKER </t>
  </si>
  <si>
    <t xml:space="preserve"> JEREMY </t>
  </si>
  <si>
    <t xml:space="preserve"> DNF </t>
  </si>
  <si>
    <t xml:space="preserve"> WEBERG </t>
  </si>
  <si>
    <t xml:space="preserve"> JENS-CHRISTIAN </t>
  </si>
  <si>
    <t xml:space="preserve"> SWENNING </t>
  </si>
  <si>
    <t xml:space="preserve"> JOAR </t>
  </si>
  <si>
    <t xml:space="preserve"> VALLETTE VIALLARD </t>
  </si>
  <si>
    <t xml:space="preserve"> HUGUES </t>
  </si>
  <si>
    <t xml:space="preserve"> BEHR </t>
  </si>
  <si>
    <t xml:space="preserve"> PETER CHRISTIAN </t>
  </si>
  <si>
    <t xml:space="preserve"> RODARY </t>
  </si>
  <si>
    <t xml:space="preserve"> SPICER </t>
  </si>
  <si>
    <t xml:space="preserve"> TRISTAN </t>
  </si>
  <si>
    <t xml:space="preserve"> TELLIER </t>
  </si>
  <si>
    <t xml:space="preserve"> ZOSEL </t>
  </si>
  <si>
    <t xml:space="preserve"> RALPH </t>
  </si>
  <si>
    <t xml:space="preserve"> BARDELOT </t>
  </si>
  <si>
    <t xml:space="preserve"> LOIC </t>
  </si>
  <si>
    <t xml:space="preserve"> IWERSEN </t>
  </si>
  <si>
    <t xml:space="preserve"> LEDENT </t>
  </si>
  <si>
    <t xml:space="preserve"> YVES </t>
  </si>
  <si>
    <t xml:space="preserve"> AUERBACH </t>
  </si>
  <si>
    <t xml:space="preserve"> KIM </t>
  </si>
  <si>
    <t xml:space="preserve"> LEONCINI BARTOLI </t>
  </si>
  <si>
    <t xml:space="preserve"> LUIGI </t>
  </si>
  <si>
    <t xml:space="preserve"> VOSSENBERG </t>
  </si>
  <si>
    <t xml:space="preserve"> WILLMOTT </t>
  </si>
  <si>
    <t xml:space="preserve"> PAUL </t>
  </si>
  <si>
    <t xml:space="preserve"> ROUL </t>
  </si>
  <si>
    <t xml:space="preserve"> AIRPACH </t>
  </si>
  <si>
    <t xml:space="preserve"> FABRICE </t>
  </si>
  <si>
    <t xml:space="preserve"> FLAMME </t>
  </si>
  <si>
    <t xml:space="preserve"> GOUFFE </t>
  </si>
  <si>
    <t xml:space="preserve"> MICKAEL </t>
  </si>
  <si>
    <t xml:space="preserve"> DEUTSCH </t>
  </si>
  <si>
    <t xml:space="preserve"> WOLFRAM </t>
  </si>
  <si>
    <t xml:space="preserve"> SANDGREN </t>
  </si>
  <si>
    <t xml:space="preserve"> PER </t>
  </si>
  <si>
    <t xml:space="preserve"> HELL </t>
  </si>
  <si>
    <t xml:space="preserve"> KORZH </t>
  </si>
  <si>
    <t xml:space="preserve"> VITALIY </t>
  </si>
  <si>
    <t xml:space="preserve"> HAZLEWOOD </t>
  </si>
  <si>
    <t xml:space="preserve"> DARRYL </t>
  </si>
  <si>
    <t xml:space="preserve"> KESKINIVA </t>
  </si>
  <si>
    <t xml:space="preserve"> ARTO </t>
  </si>
  <si>
    <t xml:space="preserve"> SALONIKIDIS </t>
  </si>
  <si>
    <t xml:space="preserve"> PETRUS </t>
  </si>
  <si>
    <t xml:space="preserve"> VETILLARD </t>
  </si>
  <si>
    <t xml:space="preserve"> DEMARLY </t>
  </si>
  <si>
    <t xml:space="preserve"> KLOBES </t>
  </si>
  <si>
    <t xml:space="preserve"> WINTER </t>
  </si>
  <si>
    <t xml:space="preserve"> JENS-PETER </t>
  </si>
  <si>
    <t xml:space="preserve"> MARCAILLOU </t>
  </si>
  <si>
    <t xml:space="preserve"> FLORIAN </t>
  </si>
  <si>
    <t xml:space="preserve"> QUINON </t>
  </si>
  <si>
    <t xml:space="preserve"> CYRIL </t>
  </si>
  <si>
    <t xml:space="preserve"> AKSONOV </t>
  </si>
  <si>
    <t xml:space="preserve"> YURII </t>
  </si>
  <si>
    <t xml:space="preserve"> STRAT </t>
  </si>
  <si>
    <t xml:space="preserve"> VALENTIN RARES </t>
  </si>
  <si>
    <t xml:space="preserve"> VON GEIJER </t>
  </si>
  <si>
    <t xml:space="preserve"> EZAMA TOLEDO </t>
  </si>
  <si>
    <t xml:space="preserve"> EDUARDO </t>
  </si>
  <si>
    <t xml:space="preserve"> FLOCH </t>
  </si>
  <si>
    <t xml:space="preserve"> JACQUES-YVES </t>
  </si>
  <si>
    <t xml:space="preserve"> VICTORY </t>
  </si>
  <si>
    <t xml:space="preserve"> DAVID </t>
  </si>
  <si>
    <t xml:space="preserve"> OCSAI </t>
  </si>
  <si>
    <t xml:space="preserve"> JANOS </t>
  </si>
  <si>
    <t xml:space="preserve"> HELSPER </t>
  </si>
  <si>
    <t xml:space="preserve"> EMIL </t>
  </si>
  <si>
    <t xml:space="preserve"> ARTEAGA QUINTANA </t>
  </si>
  <si>
    <t xml:space="preserve"> JESUS </t>
  </si>
  <si>
    <t xml:space="preserve"> ORLANDO </t>
  </si>
  <si>
    <t xml:space="preserve"> ROBERTO </t>
  </si>
  <si>
    <t xml:space="preserve"> HOUDEBERT </t>
  </si>
  <si>
    <t xml:space="preserve"> ZINAI </t>
  </si>
  <si>
    <t xml:space="preserve"> AMINE </t>
  </si>
  <si>
    <t xml:space="preserve"> JACEK </t>
  </si>
  <si>
    <t xml:space="preserve"> GAUTIER </t>
  </si>
  <si>
    <t xml:space="preserve"> RANKL </t>
  </si>
  <si>
    <t xml:space="preserve"> HEINZ </t>
  </si>
  <si>
    <t xml:space="preserve"> SOUCHOIS </t>
  </si>
  <si>
    <t xml:space="preserve"> EDDIE </t>
  </si>
  <si>
    <t xml:space="preserve"> WIMAN </t>
  </si>
  <si>
    <t xml:space="preserve"> CARL-JOHAN </t>
  </si>
  <si>
    <t xml:space="preserve"> BEZARD FALGAS </t>
  </si>
  <si>
    <t xml:space="preserve"> CYRILLE </t>
  </si>
  <si>
    <t xml:space="preserve"> HAEMMERLE </t>
  </si>
  <si>
    <t xml:space="preserve"> WALTER </t>
  </si>
  <si>
    <t xml:space="preserve"> SICART </t>
  </si>
  <si>
    <t xml:space="preserve"> JEAN </t>
  </si>
  <si>
    <t xml:space="preserve"> MILDE </t>
  </si>
  <si>
    <t xml:space="preserve"> BERND </t>
  </si>
  <si>
    <t xml:space="preserve"> BADEA </t>
  </si>
  <si>
    <t xml:space="preserve"> NICUSOR </t>
  </si>
  <si>
    <t xml:space="preserve"> SEFRIN </t>
  </si>
  <si>
    <t xml:space="preserve"> JEAN-JACQUES </t>
  </si>
  <si>
    <t xml:space="preserve"> SHUQAIR </t>
  </si>
  <si>
    <t xml:space="preserve"> GROSSETETE </t>
  </si>
  <si>
    <t xml:space="preserve"> RESCHKO </t>
  </si>
  <si>
    <t xml:space="preserve"> LEONID </t>
  </si>
  <si>
    <t xml:space="preserve"> RODRIGUEZ SANCHEZ </t>
  </si>
  <si>
    <t xml:space="preserve"> BORYS </t>
  </si>
  <si>
    <t xml:space="preserve">GARNIER </t>
  </si>
  <si>
    <t xml:space="preserve"> HASSINGER </t>
  </si>
  <si>
    <t xml:space="preserve"> KAI </t>
  </si>
  <si>
    <t xml:space="preserve"> PURGINA </t>
  </si>
  <si>
    <t xml:space="preserve"> MARIAN </t>
  </si>
  <si>
    <t xml:space="preserve">  SVK  </t>
  </si>
  <si>
    <t xml:space="preserve"> MULLER </t>
  </si>
  <si>
    <t xml:space="preserve"> FERENC </t>
  </si>
  <si>
    <t xml:space="preserve"> GUILLOIR </t>
  </si>
  <si>
    <t xml:space="preserve"> CWIKLA </t>
  </si>
  <si>
    <t xml:space="preserve"> RICARDO </t>
  </si>
  <si>
    <t xml:space="preserve"> BRAMBILLA </t>
  </si>
  <si>
    <t xml:space="preserve"> MARCO </t>
  </si>
  <si>
    <t xml:space="preserve"> FELLMANN </t>
  </si>
  <si>
    <t xml:space="preserve"> STEFFEN </t>
  </si>
  <si>
    <t xml:space="preserve"> FOUILLARD </t>
  </si>
  <si>
    <t xml:space="preserve"> GHIGLIANI </t>
  </si>
  <si>
    <t xml:space="preserve"> LEGRAND </t>
  </si>
  <si>
    <t xml:space="preserve"> DENIS </t>
  </si>
  <si>
    <t xml:space="preserve"> GURI LOPEZ </t>
  </si>
  <si>
    <t xml:space="preserve"> ALBERTO </t>
  </si>
  <si>
    <t xml:space="preserve"> LUCREZI </t>
  </si>
  <si>
    <t xml:space="preserve"> GINO </t>
  </si>
  <si>
    <t xml:space="preserve"> NORRBY </t>
  </si>
  <si>
    <t xml:space="preserve"> SOREN </t>
  </si>
  <si>
    <t xml:space="preserve"> ATTILA </t>
  </si>
  <si>
    <t xml:space="preserve"> MAZZONI </t>
  </si>
  <si>
    <t xml:space="preserve"> MARCO ETTORE </t>
  </si>
  <si>
    <t>SPAŁA</t>
  </si>
  <si>
    <t>27.01.2024</t>
  </si>
  <si>
    <t>SZERMIERKA SZCZECIN</t>
  </si>
  <si>
    <t>WIERZBICKI JACEK</t>
  </si>
  <si>
    <t>ŻUKOWSKI Wojciech</t>
  </si>
  <si>
    <t>WARSZAWA</t>
  </si>
  <si>
    <t>2-3.03.2024</t>
  </si>
  <si>
    <t>OLSZEWSKI Mikołaj</t>
  </si>
  <si>
    <t>SZKODA Marek Tomasz</t>
  </si>
  <si>
    <t>PTG SOKÓŁ 1893 MIELEC</t>
  </si>
  <si>
    <t>GWIAZDA Paweł</t>
  </si>
  <si>
    <t>22.06.2024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</si>
</sst>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ndara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sz val="11"/>
      <color theme="0" tint="-0.499984740745262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b/>
      <sz val="10"/>
      <name val="Arial"/>
      <family val="2"/>
    </font>
    <font>
      <b/>
      <sz val="9"/>
      <color theme="2" tint="-0.499984740745262"/>
      <name val="Arial"/>
      <family val="2"/>
    </font>
    <font>
      <b/>
      <sz val="10"/>
      <color rgb="FFFF0000"/>
      <name val="Arial"/>
      <family val="2"/>
    </font>
    <font>
      <sz val="11"/>
      <color theme="4" tint="-0.499984740745262"/>
      <name val="Agency FB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9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D9D9D9"/>
        <bgColor rgb="FF000000"/>
      </patternFill>
    </fill>
    <fill>
      <patternFill patternType="solid">
        <fgColor rgb="FF404040"/>
        <bgColor rgb="FF000000"/>
      </patternFill>
    </fill>
    <fill>
      <patternFill patternType="solid">
        <fgColor rgb="FFF2F2F2"/>
        <bgColor rgb="FF000000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7" fillId="3" borderId="0" applyNumberFormat="0" applyBorder="0" applyAlignment="0" applyProtection="0"/>
    <xf numFmtId="0" fontId="3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8" fillId="0" borderId="0" applyNumberFormat="0" applyFill="0" applyBorder="0" applyAlignment="0" applyProtection="0"/>
  </cellStyleXfs>
  <cellXfs count="300">
    <xf numFmtId="0" fontId="0" fillId="0" borderId="0" xfId="0"/>
    <xf numFmtId="0" fontId="7" fillId="3" borderId="0" xfId="1" applyAlignment="1">
      <alignment horizontal="center" vertical="center" wrapText="1"/>
    </xf>
    <xf numFmtId="0" fontId="0" fillId="4" borderId="0" xfId="0" applyFill="1"/>
    <xf numFmtId="0" fontId="3" fillId="0" borderId="0" xfId="2"/>
    <xf numFmtId="164" fontId="3" fillId="0" borderId="0" xfId="2" applyNumberFormat="1" applyAlignment="1">
      <alignment horizontal="center"/>
    </xf>
    <xf numFmtId="0" fontId="3" fillId="7" borderId="0" xfId="2" applyFill="1"/>
    <xf numFmtId="0" fontId="14" fillId="7" borderId="0" xfId="0" applyFont="1" applyFill="1" applyAlignment="1">
      <alignment horizontal="right"/>
    </xf>
    <xf numFmtId="0" fontId="0" fillId="7" borderId="0" xfId="0" applyFill="1" applyAlignment="1">
      <alignment horizontal="center"/>
    </xf>
    <xf numFmtId="0" fontId="0" fillId="7" borderId="0" xfId="0" applyFill="1"/>
    <xf numFmtId="0" fontId="16" fillId="5" borderId="0" xfId="2" applyFont="1" applyFill="1" applyAlignment="1">
      <alignment horizontal="center" vertical="center"/>
    </xf>
    <xf numFmtId="0" fontId="16" fillId="5" borderId="0" xfId="2" applyFont="1" applyFill="1" applyAlignment="1">
      <alignment horizontal="center" vertical="center" wrapText="1"/>
    </xf>
    <xf numFmtId="1" fontId="16" fillId="5" borderId="0" xfId="2" applyNumberFormat="1" applyFont="1" applyFill="1" applyAlignment="1">
      <alignment horizontal="center" vertical="center" wrapText="1"/>
    </xf>
    <xf numFmtId="0" fontId="12" fillId="7" borderId="0" xfId="2" applyFont="1" applyFill="1" applyAlignment="1">
      <alignment horizontal="center" vertical="center"/>
    </xf>
    <xf numFmtId="0" fontId="3" fillId="7" borderId="0" xfId="2" applyFill="1" applyAlignment="1">
      <alignment horizontal="center" vertical="center"/>
    </xf>
    <xf numFmtId="0" fontId="9" fillId="6" borderId="0" xfId="2" applyFont="1" applyFill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1" fontId="3" fillId="7" borderId="0" xfId="2" applyNumberFormat="1" applyFill="1" applyAlignment="1">
      <alignment horizontal="center" vertical="center"/>
    </xf>
    <xf numFmtId="0" fontId="15" fillId="7" borderId="0" xfId="2" applyFont="1" applyFill="1" applyAlignment="1">
      <alignment horizontal="center" vertical="center"/>
    </xf>
    <xf numFmtId="2" fontId="15" fillId="7" borderId="0" xfId="2" applyNumberFormat="1" applyFont="1" applyFill="1" applyAlignment="1">
      <alignment horizontal="center" vertical="center"/>
    </xf>
    <xf numFmtId="164" fontId="15" fillId="7" borderId="0" xfId="2" applyNumberFormat="1" applyFont="1" applyFill="1" applyAlignment="1">
      <alignment horizontal="center" vertical="center"/>
    </xf>
    <xf numFmtId="0" fontId="3" fillId="0" borderId="0" xfId="2" applyAlignment="1">
      <alignment horizontal="center" vertical="center"/>
    </xf>
    <xf numFmtId="164" fontId="3" fillId="0" borderId="0" xfId="2" applyNumberFormat="1" applyAlignment="1">
      <alignment horizontal="center" vertical="center"/>
    </xf>
    <xf numFmtId="0" fontId="12" fillId="7" borderId="0" xfId="2" applyFont="1" applyFill="1" applyAlignment="1">
      <alignment horizontal="right" vertical="center"/>
    </xf>
    <xf numFmtId="1" fontId="13" fillId="7" borderId="0" xfId="2" applyNumberFormat="1" applyFont="1" applyFill="1" applyAlignment="1">
      <alignment horizontal="left" vertical="center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3" fillId="8" borderId="0" xfId="2" applyFill="1"/>
    <xf numFmtId="0" fontId="10" fillId="8" borderId="0" xfId="2" applyFont="1" applyFill="1"/>
    <xf numFmtId="1" fontId="3" fillId="8" borderId="0" xfId="2" applyNumberFormat="1" applyFill="1"/>
    <xf numFmtId="0" fontId="3" fillId="8" borderId="0" xfId="2" applyFill="1" applyAlignment="1">
      <alignment horizontal="right"/>
    </xf>
    <xf numFmtId="0" fontId="9" fillId="8" borderId="0" xfId="2" applyFont="1" applyFill="1"/>
    <xf numFmtId="0" fontId="11" fillId="8" borderId="0" xfId="2" applyFont="1" applyFill="1"/>
    <xf numFmtId="164" fontId="3" fillId="8" borderId="0" xfId="2" applyNumberFormat="1" applyFill="1"/>
    <xf numFmtId="49" fontId="3" fillId="8" borderId="0" xfId="2" applyNumberFormat="1" applyFill="1"/>
    <xf numFmtId="164" fontId="9" fillId="8" borderId="0" xfId="2" applyNumberFormat="1" applyFont="1" applyFill="1"/>
    <xf numFmtId="0" fontId="17" fillId="9" borderId="3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/>
    </xf>
    <xf numFmtId="0" fontId="7" fillId="3" borderId="4" xfId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6" fillId="8" borderId="0" xfId="0" applyNumberFormat="1" applyFont="1" applyFill="1" applyAlignment="1">
      <alignment horizontal="center" vertical="center"/>
    </xf>
    <xf numFmtId="1" fontId="6" fillId="9" borderId="0" xfId="0" applyNumberFormat="1" applyFont="1" applyFill="1" applyAlignment="1">
      <alignment horizontal="center" vertical="center"/>
    </xf>
    <xf numFmtId="1" fontId="0" fillId="9" borderId="0" xfId="0" applyNumberFormat="1" applyFill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1" fontId="3" fillId="0" borderId="0" xfId="2" applyNumberFormat="1" applyAlignment="1">
      <alignment horizontal="center"/>
    </xf>
    <xf numFmtId="0" fontId="15" fillId="10" borderId="0" xfId="2" applyFont="1" applyFill="1" applyAlignment="1">
      <alignment horizontal="center" vertical="center"/>
    </xf>
    <xf numFmtId="2" fontId="15" fillId="10" borderId="0" xfId="2" applyNumberFormat="1" applyFont="1" applyFill="1" applyAlignment="1">
      <alignment horizontal="center" vertical="center"/>
    </xf>
    <xf numFmtId="164" fontId="15" fillId="10" borderId="0" xfId="2" applyNumberFormat="1" applyFont="1" applyFill="1" applyAlignment="1">
      <alignment horizontal="center" vertical="center"/>
    </xf>
    <xf numFmtId="0" fontId="5" fillId="7" borderId="0" xfId="0" applyFont="1" applyFill="1" applyAlignment="1">
      <alignment horizontal="right"/>
    </xf>
    <xf numFmtId="0" fontId="3" fillId="7" borderId="0" xfId="2" applyFill="1" applyAlignment="1">
      <alignment horizontal="right"/>
    </xf>
    <xf numFmtId="164" fontId="3" fillId="7" borderId="0" xfId="2" applyNumberFormat="1" applyFill="1"/>
    <xf numFmtId="0" fontId="9" fillId="7" borderId="0" xfId="2" applyFont="1" applyFill="1"/>
    <xf numFmtId="0" fontId="6" fillId="8" borderId="6" xfId="0" applyFont="1" applyFill="1" applyBorder="1" applyAlignment="1">
      <alignment horizontal="left"/>
    </xf>
    <xf numFmtId="0" fontId="0" fillId="8" borderId="6" xfId="0" applyFill="1" applyBorder="1" applyAlignment="1">
      <alignment horizontal="center"/>
    </xf>
    <xf numFmtId="0" fontId="6" fillId="8" borderId="8" xfId="0" applyFont="1" applyFill="1" applyBorder="1" applyAlignment="1">
      <alignment horizontal="left"/>
    </xf>
    <xf numFmtId="0" fontId="6" fillId="8" borderId="8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/>
    </xf>
    <xf numFmtId="0" fontId="0" fillId="8" borderId="0" xfId="0" applyFill="1"/>
    <xf numFmtId="0" fontId="0" fillId="11" borderId="0" xfId="0" applyFill="1"/>
    <xf numFmtId="0" fontId="18" fillId="11" borderId="0" xfId="0" applyFont="1" applyFill="1"/>
    <xf numFmtId="0" fontId="20" fillId="11" borderId="0" xfId="0" applyFont="1" applyFill="1"/>
    <xf numFmtId="0" fontId="9" fillId="8" borderId="0" xfId="2" applyFont="1" applyFill="1" applyAlignment="1">
      <alignment horizontal="center" vertical="center"/>
    </xf>
    <xf numFmtId="1" fontId="3" fillId="8" borderId="0" xfId="2" applyNumberFormat="1" applyFill="1" applyAlignment="1">
      <alignment horizontal="center" vertical="center"/>
    </xf>
    <xf numFmtId="164" fontId="3" fillId="8" borderId="0" xfId="2" applyNumberFormat="1" applyFill="1" applyAlignment="1">
      <alignment horizontal="center" vertical="center"/>
    </xf>
    <xf numFmtId="0" fontId="10" fillId="7" borderId="0" xfId="2" applyFont="1" applyFill="1" applyAlignment="1">
      <alignment horizontal="left" vertical="center"/>
    </xf>
    <xf numFmtId="0" fontId="21" fillId="8" borderId="7" xfId="0" applyFont="1" applyFill="1" applyBorder="1" applyAlignment="1">
      <alignment horizontal="center" vertical="center"/>
    </xf>
    <xf numFmtId="0" fontId="21" fillId="8" borderId="9" xfId="0" applyFont="1" applyFill="1" applyBorder="1" applyAlignment="1">
      <alignment horizontal="center" vertical="center"/>
    </xf>
    <xf numFmtId="2" fontId="3" fillId="8" borderId="0" xfId="2" applyNumberFormat="1" applyFill="1" applyAlignment="1">
      <alignment horizontal="center" vertical="center"/>
    </xf>
    <xf numFmtId="0" fontId="8" fillId="7" borderId="0" xfId="8" applyFill="1" applyAlignment="1">
      <alignment horizontal="left" vertical="center"/>
    </xf>
    <xf numFmtId="14" fontId="0" fillId="7" borderId="0" xfId="0" applyNumberFormat="1" applyFill="1" applyAlignment="1">
      <alignment horizontal="left"/>
    </xf>
    <xf numFmtId="0" fontId="23" fillId="11" borderId="0" xfId="0" applyFont="1" applyFill="1"/>
    <xf numFmtId="0" fontId="24" fillId="2" borderId="1" xfId="0" applyFont="1" applyFill="1" applyBorder="1" applyAlignment="1">
      <alignment horizontal="center" vertical="center" wrapText="1"/>
    </xf>
    <xf numFmtId="0" fontId="24" fillId="2" borderId="15" xfId="0" applyFont="1" applyFill="1" applyBorder="1" applyAlignment="1">
      <alignment horizontal="center" vertical="center" wrapText="1"/>
    </xf>
    <xf numFmtId="0" fontId="10" fillId="12" borderId="1" xfId="3" applyFont="1" applyBorder="1" applyAlignment="1">
      <alignment horizontal="center" vertical="center" wrapText="1"/>
    </xf>
    <xf numFmtId="0" fontId="10" fillId="12" borderId="15" xfId="3" applyFont="1" applyBorder="1" applyAlignment="1">
      <alignment horizontal="center" vertical="center" wrapText="1"/>
    </xf>
    <xf numFmtId="2" fontId="18" fillId="8" borderId="6" xfId="0" applyNumberFormat="1" applyFont="1" applyFill="1" applyBorder="1" applyAlignment="1">
      <alignment horizontal="center" vertical="center"/>
    </xf>
    <xf numFmtId="2" fontId="25" fillId="8" borderId="6" xfId="0" applyNumberFormat="1" applyFont="1" applyFill="1" applyBorder="1" applyAlignment="1">
      <alignment horizontal="center" vertical="center"/>
    </xf>
    <xf numFmtId="2" fontId="25" fillId="8" borderId="18" xfId="0" applyNumberFormat="1" applyFont="1" applyFill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2" fontId="25" fillId="8" borderId="8" xfId="0" applyNumberFormat="1" applyFont="1" applyFill="1" applyBorder="1" applyAlignment="1">
      <alignment horizontal="center" vertical="center"/>
    </xf>
    <xf numFmtId="0" fontId="2" fillId="7" borderId="0" xfId="4" applyFill="1"/>
    <xf numFmtId="0" fontId="12" fillId="7" borderId="0" xfId="4" applyFont="1" applyFill="1" applyAlignment="1">
      <alignment horizontal="right" vertical="center"/>
    </xf>
    <xf numFmtId="0" fontId="12" fillId="7" borderId="0" xfId="4" applyFont="1" applyFill="1" applyAlignment="1">
      <alignment horizontal="center" vertical="center"/>
    </xf>
    <xf numFmtId="1" fontId="13" fillId="7" borderId="0" xfId="4" applyNumberFormat="1" applyFont="1" applyFill="1" applyAlignment="1">
      <alignment horizontal="left" vertical="center"/>
    </xf>
    <xf numFmtId="0" fontId="2" fillId="7" borderId="0" xfId="4" applyFill="1" applyAlignment="1">
      <alignment horizontal="center" vertical="center"/>
    </xf>
    <xf numFmtId="0" fontId="2" fillId="8" borderId="0" xfId="4" applyFill="1"/>
    <xf numFmtId="0" fontId="9" fillId="6" borderId="0" xfId="4" applyFont="1" applyFill="1" applyAlignment="1">
      <alignment horizontal="center" vertical="center"/>
    </xf>
    <xf numFmtId="0" fontId="9" fillId="8" borderId="0" xfId="4" applyFont="1" applyFill="1" applyAlignment="1">
      <alignment horizontal="center" vertical="center"/>
    </xf>
    <xf numFmtId="2" fontId="2" fillId="8" borderId="0" xfId="4" applyNumberFormat="1" applyFill="1" applyAlignment="1">
      <alignment horizontal="center" vertical="center"/>
    </xf>
    <xf numFmtId="0" fontId="2" fillId="7" borderId="0" xfId="4" applyFill="1" applyAlignment="1">
      <alignment horizontal="right"/>
    </xf>
    <xf numFmtId="1" fontId="2" fillId="7" borderId="0" xfId="4" applyNumberFormat="1" applyFill="1" applyAlignment="1">
      <alignment horizontal="center" vertical="center"/>
    </xf>
    <xf numFmtId="0" fontId="16" fillId="5" borderId="0" xfId="4" applyFont="1" applyFill="1" applyAlignment="1">
      <alignment horizontal="center" vertical="center"/>
    </xf>
    <xf numFmtId="0" fontId="16" fillId="5" borderId="0" xfId="4" applyFont="1" applyFill="1" applyAlignment="1">
      <alignment horizontal="center" vertical="center" wrapText="1"/>
    </xf>
    <xf numFmtId="1" fontId="16" fillId="5" borderId="0" xfId="4" applyNumberFormat="1" applyFont="1" applyFill="1" applyAlignment="1">
      <alignment horizontal="center" vertical="center" wrapText="1"/>
    </xf>
    <xf numFmtId="2" fontId="6" fillId="8" borderId="0" xfId="0" applyNumberFormat="1" applyFont="1" applyFill="1" applyAlignment="1">
      <alignment horizontal="center" vertical="center"/>
    </xf>
    <xf numFmtId="0" fontId="15" fillId="7" borderId="0" xfId="4" applyFont="1" applyFill="1" applyAlignment="1">
      <alignment horizontal="center" vertical="center"/>
    </xf>
    <xf numFmtId="2" fontId="15" fillId="7" borderId="0" xfId="4" applyNumberFormat="1" applyFont="1" applyFill="1" applyAlignment="1">
      <alignment horizontal="center" vertical="center"/>
    </xf>
    <xf numFmtId="164" fontId="15" fillId="7" borderId="0" xfId="4" applyNumberFormat="1" applyFont="1" applyFill="1" applyAlignment="1">
      <alignment horizontal="center" vertical="center"/>
    </xf>
    <xf numFmtId="2" fontId="6" fillId="9" borderId="0" xfId="0" applyNumberFormat="1" applyFont="1" applyFill="1" applyAlignment="1">
      <alignment horizontal="center" vertical="center"/>
    </xf>
    <xf numFmtId="0" fontId="15" fillId="10" borderId="0" xfId="4" applyFont="1" applyFill="1" applyAlignment="1">
      <alignment horizontal="center" vertical="center"/>
    </xf>
    <xf numFmtId="2" fontId="15" fillId="10" borderId="0" xfId="4" applyNumberFormat="1" applyFont="1" applyFill="1" applyAlignment="1">
      <alignment horizontal="center" vertical="center"/>
    </xf>
    <xf numFmtId="164" fontId="15" fillId="10" borderId="0" xfId="4" applyNumberFormat="1" applyFont="1" applyFill="1" applyAlignment="1">
      <alignment horizontal="center" vertical="center"/>
    </xf>
    <xf numFmtId="0" fontId="10" fillId="8" borderId="0" xfId="4" applyFont="1" applyFill="1"/>
    <xf numFmtId="1" fontId="2" fillId="8" borderId="0" xfId="4" applyNumberFormat="1" applyFill="1"/>
    <xf numFmtId="0" fontId="2" fillId="8" borderId="0" xfId="4" applyFill="1" applyAlignment="1">
      <alignment horizontal="right"/>
    </xf>
    <xf numFmtId="0" fontId="9" fillId="8" borderId="0" xfId="4" applyFont="1" applyFill="1"/>
    <xf numFmtId="0" fontId="11" fillId="8" borderId="0" xfId="4" applyFont="1" applyFill="1"/>
    <xf numFmtId="164" fontId="2" fillId="7" borderId="0" xfId="4" applyNumberFormat="1" applyFill="1"/>
    <xf numFmtId="49" fontId="2" fillId="8" borderId="0" xfId="4" applyNumberFormat="1" applyFill="1"/>
    <xf numFmtId="0" fontId="9" fillId="7" borderId="0" xfId="4" applyFont="1" applyFill="1"/>
    <xf numFmtId="164" fontId="9" fillId="8" borderId="0" xfId="4" applyNumberFormat="1" applyFont="1" applyFill="1"/>
    <xf numFmtId="164" fontId="2" fillId="8" borderId="0" xfId="4" applyNumberFormat="1" applyFill="1"/>
    <xf numFmtId="2" fontId="0" fillId="8" borderId="0" xfId="0" applyNumberFormat="1" applyFill="1" applyAlignment="1">
      <alignment horizontal="center" vertical="center"/>
    </xf>
    <xf numFmtId="2" fontId="0" fillId="9" borderId="0" xfId="0" applyNumberFormat="1" applyFill="1" applyAlignment="1">
      <alignment horizontal="center" vertical="center"/>
    </xf>
    <xf numFmtId="2" fontId="2" fillId="0" borderId="0" xfId="4" applyNumberFormat="1" applyAlignment="1">
      <alignment horizontal="center"/>
    </xf>
    <xf numFmtId="0" fontId="2" fillId="0" borderId="0" xfId="4"/>
    <xf numFmtId="1" fontId="2" fillId="0" borderId="0" xfId="4" applyNumberFormat="1" applyAlignment="1">
      <alignment horizontal="center"/>
    </xf>
    <xf numFmtId="164" fontId="2" fillId="0" borderId="0" xfId="4" applyNumberFormat="1" applyAlignment="1">
      <alignment horizontal="center"/>
    </xf>
    <xf numFmtId="0" fontId="2" fillId="0" borderId="0" xfId="4" applyAlignment="1">
      <alignment horizontal="center" vertical="center"/>
    </xf>
    <xf numFmtId="1" fontId="2" fillId="0" borderId="0" xfId="4" applyNumberFormat="1" applyAlignment="1">
      <alignment horizontal="center" vertical="center"/>
    </xf>
    <xf numFmtId="164" fontId="2" fillId="0" borderId="0" xfId="4" applyNumberFormat="1" applyAlignment="1">
      <alignment horizontal="center" vertical="center"/>
    </xf>
    <xf numFmtId="1" fontId="2" fillId="8" borderId="0" xfId="4" applyNumberFormat="1" applyFill="1" applyAlignment="1">
      <alignment horizontal="center" vertical="center"/>
    </xf>
    <xf numFmtId="0" fontId="10" fillId="7" borderId="0" xfId="4" applyFont="1" applyFill="1" applyAlignment="1">
      <alignment horizontal="left" vertical="center"/>
    </xf>
    <xf numFmtId="0" fontId="2" fillId="7" borderId="0" xfId="4" applyFill="1" applyAlignment="1">
      <alignment horizontal="left" vertical="center"/>
    </xf>
    <xf numFmtId="164" fontId="2" fillId="8" borderId="0" xfId="4" applyNumberFormat="1" applyFill="1" applyAlignment="1">
      <alignment horizontal="center" vertical="center"/>
    </xf>
    <xf numFmtId="14" fontId="8" fillId="7" borderId="0" xfId="8" applyNumberFormat="1" applyFill="1" applyAlignment="1">
      <alignment horizontal="left"/>
    </xf>
    <xf numFmtId="1" fontId="21" fillId="8" borderId="7" xfId="0" applyNumberFormat="1" applyFont="1" applyFill="1" applyBorder="1" applyAlignment="1">
      <alignment horizontal="center" vertical="center"/>
    </xf>
    <xf numFmtId="1" fontId="21" fillId="8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6" fillId="8" borderId="6" xfId="0" applyFont="1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13" borderId="0" xfId="0" applyFill="1" applyAlignment="1">
      <alignment horizontal="left"/>
    </xf>
    <xf numFmtId="0" fontId="22" fillId="14" borderId="0" xfId="0" applyFont="1" applyFill="1"/>
    <xf numFmtId="2" fontId="19" fillId="8" borderId="6" xfId="0" applyNumberFormat="1" applyFont="1" applyFill="1" applyBorder="1" applyAlignment="1">
      <alignment horizontal="center" vertical="center"/>
    </xf>
    <xf numFmtId="2" fontId="19" fillId="8" borderId="8" xfId="0" applyNumberFormat="1" applyFont="1" applyFill="1" applyBorder="1" applyAlignment="1">
      <alignment horizontal="center" vertical="center"/>
    </xf>
    <xf numFmtId="2" fontId="19" fillId="8" borderId="17" xfId="0" applyNumberFormat="1" applyFont="1" applyFill="1" applyBorder="1" applyAlignment="1">
      <alignment horizontal="center" vertical="center"/>
    </xf>
    <xf numFmtId="2" fontId="19" fillId="8" borderId="18" xfId="0" applyNumberFormat="1" applyFont="1" applyFill="1" applyBorder="1" applyAlignment="1">
      <alignment horizontal="center" vertical="center"/>
    </xf>
    <xf numFmtId="0" fontId="2" fillId="12" borderId="8" xfId="3" applyBorder="1" applyAlignment="1">
      <alignment horizontal="left"/>
    </xf>
    <xf numFmtId="0" fontId="2" fillId="7" borderId="0" xfId="5" applyFill="1"/>
    <xf numFmtId="0" fontId="12" fillId="7" borderId="0" xfId="5" applyFont="1" applyFill="1" applyAlignment="1">
      <alignment horizontal="right" vertical="center"/>
    </xf>
    <xf numFmtId="0" fontId="12" fillId="7" borderId="0" xfId="5" applyFont="1" applyFill="1" applyAlignment="1">
      <alignment horizontal="center" vertical="center"/>
    </xf>
    <xf numFmtId="1" fontId="13" fillId="7" borderId="0" xfId="5" applyNumberFormat="1" applyFont="1" applyFill="1" applyAlignment="1">
      <alignment horizontal="left" vertical="center"/>
    </xf>
    <xf numFmtId="0" fontId="2" fillId="7" borderId="0" xfId="5" applyFill="1" applyAlignment="1">
      <alignment horizontal="center" vertical="center"/>
    </xf>
    <xf numFmtId="0" fontId="2" fillId="8" borderId="0" xfId="5" applyFill="1"/>
    <xf numFmtId="0" fontId="9" fillId="6" borderId="0" xfId="5" applyFont="1" applyFill="1" applyAlignment="1">
      <alignment horizontal="center" vertical="center"/>
    </xf>
    <xf numFmtId="0" fontId="9" fillId="8" borderId="0" xfId="5" applyFont="1" applyFill="1" applyAlignment="1">
      <alignment horizontal="center" vertical="center"/>
    </xf>
    <xf numFmtId="1" fontId="2" fillId="8" borderId="0" xfId="5" applyNumberFormat="1" applyFill="1" applyAlignment="1">
      <alignment horizontal="center" vertical="center"/>
    </xf>
    <xf numFmtId="0" fontId="2" fillId="7" borderId="0" xfId="5" applyFill="1" applyAlignment="1">
      <alignment horizontal="right"/>
    </xf>
    <xf numFmtId="1" fontId="2" fillId="7" borderId="0" xfId="5" applyNumberFormat="1" applyFill="1" applyAlignment="1">
      <alignment horizontal="center" vertical="center"/>
    </xf>
    <xf numFmtId="0" fontId="16" fillId="5" borderId="0" xfId="5" applyFont="1" applyFill="1" applyAlignment="1">
      <alignment horizontal="center" vertical="center"/>
    </xf>
    <xf numFmtId="0" fontId="16" fillId="5" borderId="0" xfId="5" applyFont="1" applyFill="1" applyAlignment="1">
      <alignment horizontal="center" vertical="center" wrapText="1"/>
    </xf>
    <xf numFmtId="1" fontId="16" fillId="5" borderId="0" xfId="5" applyNumberFormat="1" applyFont="1" applyFill="1" applyAlignment="1">
      <alignment horizontal="center" vertical="center" wrapText="1"/>
    </xf>
    <xf numFmtId="0" fontId="15" fillId="7" borderId="0" xfId="5" applyFont="1" applyFill="1" applyAlignment="1">
      <alignment horizontal="center" vertical="center"/>
    </xf>
    <xf numFmtId="2" fontId="15" fillId="7" borderId="0" xfId="5" applyNumberFormat="1" applyFont="1" applyFill="1" applyAlignment="1">
      <alignment horizontal="center" vertical="center"/>
    </xf>
    <xf numFmtId="164" fontId="15" fillId="7" borderId="0" xfId="5" applyNumberFormat="1" applyFont="1" applyFill="1" applyAlignment="1">
      <alignment horizontal="center" vertical="center"/>
    </xf>
    <xf numFmtId="0" fontId="15" fillId="10" borderId="0" xfId="5" applyFont="1" applyFill="1" applyAlignment="1">
      <alignment horizontal="center" vertical="center"/>
    </xf>
    <xf numFmtId="2" fontId="15" fillId="10" borderId="0" xfId="5" applyNumberFormat="1" applyFont="1" applyFill="1" applyAlignment="1">
      <alignment horizontal="center" vertical="center"/>
    </xf>
    <xf numFmtId="164" fontId="15" fillId="10" borderId="0" xfId="5" applyNumberFormat="1" applyFont="1" applyFill="1" applyAlignment="1">
      <alignment horizontal="center" vertical="center"/>
    </xf>
    <xf numFmtId="0" fontId="10" fillId="8" borderId="0" xfId="5" applyFont="1" applyFill="1"/>
    <xf numFmtId="1" fontId="2" fillId="8" borderId="0" xfId="5" applyNumberFormat="1" applyFill="1"/>
    <xf numFmtId="0" fontId="2" fillId="8" borderId="0" xfId="5" applyFill="1" applyAlignment="1">
      <alignment horizontal="right"/>
    </xf>
    <xf numFmtId="0" fontId="9" fillId="8" borderId="0" xfId="5" applyFont="1" applyFill="1"/>
    <xf numFmtId="0" fontId="11" fillId="8" borderId="0" xfId="5" applyFont="1" applyFill="1"/>
    <xf numFmtId="164" fontId="2" fillId="7" borderId="0" xfId="5" applyNumberFormat="1" applyFill="1"/>
    <xf numFmtId="49" fontId="2" fillId="8" borderId="0" xfId="5" applyNumberFormat="1" applyFill="1"/>
    <xf numFmtId="0" fontId="9" fillId="7" borderId="0" xfId="5" applyFont="1" applyFill="1"/>
    <xf numFmtId="164" fontId="9" fillId="8" borderId="0" xfId="5" applyNumberFormat="1" applyFont="1" applyFill="1"/>
    <xf numFmtId="164" fontId="2" fillId="8" borderId="0" xfId="5" applyNumberFormat="1" applyFill="1"/>
    <xf numFmtId="1" fontId="2" fillId="0" borderId="0" xfId="5" applyNumberFormat="1" applyAlignment="1">
      <alignment horizontal="center"/>
    </xf>
    <xf numFmtId="0" fontId="2" fillId="0" borderId="0" xfId="5"/>
    <xf numFmtId="164" fontId="2" fillId="0" borderId="0" xfId="5" applyNumberFormat="1" applyAlignment="1">
      <alignment horizontal="center"/>
    </xf>
    <xf numFmtId="0" fontId="2" fillId="0" borderId="0" xfId="5" applyAlignment="1">
      <alignment horizontal="center" vertical="center"/>
    </xf>
    <xf numFmtId="1" fontId="2" fillId="0" borderId="0" xfId="5" applyNumberFormat="1" applyAlignment="1">
      <alignment horizontal="center" vertical="center"/>
    </xf>
    <xf numFmtId="164" fontId="2" fillId="0" borderId="0" xfId="5" applyNumberFormat="1" applyAlignment="1">
      <alignment horizontal="center" vertical="center"/>
    </xf>
    <xf numFmtId="0" fontId="8" fillId="13" borderId="0" xfId="8" applyFill="1" applyAlignment="1">
      <alignment horizontal="left"/>
    </xf>
    <xf numFmtId="0" fontId="2" fillId="7" borderId="0" xfId="6" applyFill="1"/>
    <xf numFmtId="0" fontId="12" fillId="7" borderId="0" xfId="6" applyFont="1" applyFill="1" applyAlignment="1">
      <alignment horizontal="right" vertical="center"/>
    </xf>
    <xf numFmtId="0" fontId="12" fillId="7" borderId="0" xfId="6" applyFont="1" applyFill="1" applyAlignment="1">
      <alignment horizontal="center" vertical="center"/>
    </xf>
    <xf numFmtId="1" fontId="13" fillId="7" borderId="0" xfId="6" applyNumberFormat="1" applyFont="1" applyFill="1" applyAlignment="1">
      <alignment horizontal="left" vertical="center"/>
    </xf>
    <xf numFmtId="0" fontId="2" fillId="7" borderId="0" xfId="6" applyFill="1" applyAlignment="1">
      <alignment horizontal="center" vertical="center"/>
    </xf>
    <xf numFmtId="0" fontId="2" fillId="8" borderId="0" xfId="6" applyFill="1"/>
    <xf numFmtId="0" fontId="9" fillId="6" borderId="0" xfId="6" applyFont="1" applyFill="1" applyAlignment="1">
      <alignment horizontal="center" vertical="center"/>
    </xf>
    <xf numFmtId="0" fontId="9" fillId="8" borderId="0" xfId="6" applyFont="1" applyFill="1" applyAlignment="1">
      <alignment horizontal="center" vertical="center"/>
    </xf>
    <xf numFmtId="1" fontId="2" fillId="8" borderId="0" xfId="6" applyNumberFormat="1" applyFill="1" applyAlignment="1">
      <alignment horizontal="center" vertical="center"/>
    </xf>
    <xf numFmtId="0" fontId="2" fillId="7" borderId="0" xfId="6" applyFill="1" applyAlignment="1">
      <alignment horizontal="right"/>
    </xf>
    <xf numFmtId="0" fontId="16" fillId="5" borderId="0" xfId="6" applyFont="1" applyFill="1" applyAlignment="1">
      <alignment horizontal="center" vertical="center"/>
    </xf>
    <xf numFmtId="0" fontId="16" fillId="5" borderId="0" xfId="6" applyFont="1" applyFill="1" applyAlignment="1">
      <alignment horizontal="center" vertical="center" wrapText="1"/>
    </xf>
    <xf numFmtId="0" fontId="15" fillId="7" borderId="0" xfId="6" applyFont="1" applyFill="1" applyAlignment="1">
      <alignment horizontal="center" vertical="center"/>
    </xf>
    <xf numFmtId="2" fontId="15" fillId="7" borderId="0" xfId="6" applyNumberFormat="1" applyFont="1" applyFill="1" applyAlignment="1">
      <alignment horizontal="center" vertical="center"/>
    </xf>
    <xf numFmtId="164" fontId="15" fillId="7" borderId="0" xfId="6" applyNumberFormat="1" applyFont="1" applyFill="1" applyAlignment="1">
      <alignment horizontal="center" vertical="center"/>
    </xf>
    <xf numFmtId="0" fontId="15" fillId="10" borderId="0" xfId="6" applyFont="1" applyFill="1" applyAlignment="1">
      <alignment horizontal="center" vertical="center"/>
    </xf>
    <xf numFmtId="2" fontId="15" fillId="10" borderId="0" xfId="6" applyNumberFormat="1" applyFont="1" applyFill="1" applyAlignment="1">
      <alignment horizontal="center" vertical="center"/>
    </xf>
    <xf numFmtId="164" fontId="15" fillId="10" borderId="0" xfId="6" applyNumberFormat="1" applyFont="1" applyFill="1" applyAlignment="1">
      <alignment horizontal="center" vertical="center"/>
    </xf>
    <xf numFmtId="0" fontId="10" fillId="8" borderId="0" xfId="6" applyFont="1" applyFill="1"/>
    <xf numFmtId="1" fontId="2" fillId="8" borderId="0" xfId="6" applyNumberFormat="1" applyFill="1"/>
    <xf numFmtId="0" fontId="2" fillId="8" borderId="0" xfId="6" applyFill="1" applyAlignment="1">
      <alignment horizontal="right"/>
    </xf>
    <xf numFmtId="0" fontId="9" fillId="8" borderId="0" xfId="6" applyFont="1" applyFill="1"/>
    <xf numFmtId="0" fontId="11" fillId="8" borderId="0" xfId="6" applyFont="1" applyFill="1"/>
    <xf numFmtId="164" fontId="2" fillId="7" borderId="0" xfId="6" applyNumberFormat="1" applyFill="1"/>
    <xf numFmtId="49" fontId="2" fillId="8" borderId="0" xfId="6" applyNumberFormat="1" applyFill="1"/>
    <xf numFmtId="0" fontId="9" fillId="7" borderId="0" xfId="6" applyFont="1" applyFill="1"/>
    <xf numFmtId="164" fontId="9" fillId="8" borderId="0" xfId="6" applyNumberFormat="1" applyFont="1" applyFill="1"/>
    <xf numFmtId="164" fontId="2" fillId="8" borderId="0" xfId="6" applyNumberFormat="1" applyFill="1"/>
    <xf numFmtId="0" fontId="2" fillId="0" borderId="0" xfId="6"/>
    <xf numFmtId="1" fontId="2" fillId="0" borderId="0" xfId="6" applyNumberFormat="1" applyAlignment="1">
      <alignment horizontal="center"/>
    </xf>
    <xf numFmtId="164" fontId="2" fillId="0" borderId="0" xfId="6" applyNumberFormat="1" applyAlignment="1">
      <alignment horizontal="center"/>
    </xf>
    <xf numFmtId="0" fontId="2" fillId="0" borderId="0" xfId="6" applyAlignment="1">
      <alignment horizontal="center" vertical="center"/>
    </xf>
    <xf numFmtId="1" fontId="2" fillId="0" borderId="0" xfId="6" applyNumberFormat="1" applyAlignment="1">
      <alignment horizontal="center" vertical="center"/>
    </xf>
    <xf numFmtId="164" fontId="2" fillId="0" borderId="0" xfId="6" applyNumberFormat="1" applyAlignment="1">
      <alignment horizontal="center" vertical="center"/>
    </xf>
    <xf numFmtId="2" fontId="2" fillId="8" borderId="0" xfId="6" applyNumberFormat="1" applyFill="1" applyAlignment="1">
      <alignment horizontal="center" vertical="center"/>
    </xf>
    <xf numFmtId="1" fontId="2" fillId="7" borderId="0" xfId="6" applyNumberFormat="1" applyFill="1" applyAlignment="1">
      <alignment horizontal="center" vertical="center"/>
    </xf>
    <xf numFmtId="1" fontId="16" fillId="5" borderId="0" xfId="6" applyNumberFormat="1" applyFont="1" applyFill="1" applyAlignment="1">
      <alignment horizontal="center" vertical="center" wrapText="1"/>
    </xf>
    <xf numFmtId="2" fontId="2" fillId="0" borderId="0" xfId="6" applyNumberFormat="1" applyAlignment="1">
      <alignment horizontal="center"/>
    </xf>
    <xf numFmtId="1" fontId="2" fillId="12" borderId="0" xfId="3" applyNumberFormat="1" applyAlignment="1">
      <alignment horizontal="center" vertical="center"/>
    </xf>
    <xf numFmtId="0" fontId="2" fillId="12" borderId="3" xfId="3" applyBorder="1" applyAlignment="1">
      <alignment horizontal="center" vertical="center"/>
    </xf>
    <xf numFmtId="0" fontId="2" fillId="12" borderId="0" xfId="3" applyAlignment="1">
      <alignment vertical="center" wrapText="1"/>
    </xf>
    <xf numFmtId="2" fontId="2" fillId="12" borderId="0" xfId="3" applyNumberFormat="1" applyAlignment="1">
      <alignment horizontal="center" vertical="center"/>
    </xf>
    <xf numFmtId="0" fontId="6" fillId="8" borderId="0" xfId="0" applyFont="1" applyFill="1" applyAlignment="1">
      <alignment horizontal="left"/>
    </xf>
    <xf numFmtId="0" fontId="1" fillId="7" borderId="0" xfId="7" applyFill="1"/>
    <xf numFmtId="0" fontId="12" fillId="7" borderId="0" xfId="7" applyFont="1" applyFill="1" applyAlignment="1">
      <alignment horizontal="right" vertical="center"/>
    </xf>
    <xf numFmtId="0" fontId="12" fillId="7" borderId="0" xfId="7" applyFont="1" applyFill="1" applyAlignment="1">
      <alignment horizontal="center" vertical="center"/>
    </xf>
    <xf numFmtId="1" fontId="13" fillId="7" borderId="0" xfId="7" applyNumberFormat="1" applyFont="1" applyFill="1" applyAlignment="1">
      <alignment horizontal="left" vertical="center"/>
    </xf>
    <xf numFmtId="0" fontId="1" fillId="7" borderId="0" xfId="7" applyFill="1" applyAlignment="1">
      <alignment horizontal="center" vertical="center"/>
    </xf>
    <xf numFmtId="0" fontId="1" fillId="8" borderId="0" xfId="7" applyFill="1"/>
    <xf numFmtId="0" fontId="9" fillId="6" borderId="0" xfId="7" applyFont="1" applyFill="1" applyAlignment="1">
      <alignment horizontal="center" vertical="center"/>
    </xf>
    <xf numFmtId="0" fontId="9" fillId="8" borderId="0" xfId="7" applyFont="1" applyFill="1" applyAlignment="1">
      <alignment horizontal="center" vertical="center"/>
    </xf>
    <xf numFmtId="1" fontId="1" fillId="8" borderId="0" xfId="7" applyNumberFormat="1" applyFill="1" applyAlignment="1">
      <alignment horizontal="center" vertical="center"/>
    </xf>
    <xf numFmtId="0" fontId="1" fillId="7" borderId="0" xfId="7" applyFill="1" applyAlignment="1">
      <alignment horizontal="right"/>
    </xf>
    <xf numFmtId="1" fontId="1" fillId="7" borderId="0" xfId="7" applyNumberFormat="1" applyFill="1" applyAlignment="1">
      <alignment horizontal="center" vertical="center"/>
    </xf>
    <xf numFmtId="0" fontId="16" fillId="5" borderId="0" xfId="7" applyFont="1" applyFill="1" applyAlignment="1">
      <alignment horizontal="center" vertical="center"/>
    </xf>
    <xf numFmtId="0" fontId="16" fillId="5" borderId="0" xfId="7" applyFont="1" applyFill="1" applyAlignment="1">
      <alignment horizontal="center" vertical="center" wrapText="1"/>
    </xf>
    <xf numFmtId="1" fontId="16" fillId="5" borderId="0" xfId="7" applyNumberFormat="1" applyFont="1" applyFill="1" applyAlignment="1">
      <alignment horizontal="center" vertical="center" wrapText="1"/>
    </xf>
    <xf numFmtId="0" fontId="15" fillId="7" borderId="0" xfId="7" applyFont="1" applyFill="1" applyAlignment="1">
      <alignment horizontal="center" vertical="center"/>
    </xf>
    <xf numFmtId="2" fontId="15" fillId="7" borderId="0" xfId="7" applyNumberFormat="1" applyFont="1" applyFill="1" applyAlignment="1">
      <alignment horizontal="center" vertical="center"/>
    </xf>
    <xf numFmtId="164" fontId="15" fillId="7" borderId="0" xfId="7" applyNumberFormat="1" applyFont="1" applyFill="1" applyAlignment="1">
      <alignment horizontal="center" vertical="center"/>
    </xf>
    <xf numFmtId="0" fontId="15" fillId="10" borderId="0" xfId="7" applyFont="1" applyFill="1" applyAlignment="1">
      <alignment horizontal="center" vertical="center"/>
    </xf>
    <xf numFmtId="2" fontId="15" fillId="10" borderId="0" xfId="7" applyNumberFormat="1" applyFont="1" applyFill="1" applyAlignment="1">
      <alignment horizontal="center" vertical="center"/>
    </xf>
    <xf numFmtId="164" fontId="15" fillId="10" borderId="0" xfId="7" applyNumberFormat="1" applyFont="1" applyFill="1" applyAlignment="1">
      <alignment horizontal="center" vertical="center"/>
    </xf>
    <xf numFmtId="0" fontId="10" fillId="8" borderId="0" xfId="7" applyFont="1" applyFill="1"/>
    <xf numFmtId="1" fontId="1" fillId="8" borderId="0" xfId="7" applyNumberFormat="1" applyFill="1"/>
    <xf numFmtId="0" fontId="1" fillId="8" borderId="0" xfId="7" applyFill="1" applyAlignment="1">
      <alignment horizontal="right"/>
    </xf>
    <xf numFmtId="0" fontId="9" fillId="8" borderId="0" xfId="7" applyFont="1" applyFill="1"/>
    <xf numFmtId="0" fontId="11" fillId="8" borderId="0" xfId="7" applyFont="1" applyFill="1"/>
    <xf numFmtId="164" fontId="1" fillId="7" borderId="0" xfId="7" applyNumberFormat="1" applyFill="1"/>
    <xf numFmtId="49" fontId="1" fillId="8" borderId="0" xfId="7" applyNumberFormat="1" applyFill="1"/>
    <xf numFmtId="0" fontId="9" fillId="7" borderId="0" xfId="7" applyFont="1" applyFill="1"/>
    <xf numFmtId="164" fontId="9" fillId="8" borderId="0" xfId="7" applyNumberFormat="1" applyFont="1" applyFill="1"/>
    <xf numFmtId="164" fontId="1" fillId="8" borderId="0" xfId="7" applyNumberFormat="1" applyFill="1"/>
    <xf numFmtId="0" fontId="1" fillId="0" borderId="0" xfId="7"/>
    <xf numFmtId="1" fontId="1" fillId="0" borderId="0" xfId="7" applyNumberFormat="1" applyAlignment="1">
      <alignment horizontal="center"/>
    </xf>
    <xf numFmtId="164" fontId="1" fillId="0" borderId="0" xfId="7" applyNumberFormat="1" applyAlignment="1">
      <alignment horizontal="center"/>
    </xf>
    <xf numFmtId="0" fontId="1" fillId="0" borderId="0" xfId="7" applyAlignment="1">
      <alignment horizontal="center" vertical="center"/>
    </xf>
    <xf numFmtId="1" fontId="1" fillId="0" borderId="0" xfId="7" applyNumberFormat="1" applyAlignment="1">
      <alignment horizontal="center" vertical="center"/>
    </xf>
    <xf numFmtId="164" fontId="1" fillId="0" borderId="0" xfId="7" applyNumberFormat="1" applyAlignment="1">
      <alignment horizontal="center" vertical="center"/>
    </xf>
    <xf numFmtId="0" fontId="1" fillId="7" borderId="0" xfId="2" applyFont="1" applyFill="1" applyAlignment="1">
      <alignment horizontal="left" vertical="center"/>
    </xf>
    <xf numFmtId="0" fontId="0" fillId="9" borderId="19" xfId="0" applyFill="1" applyBorder="1" applyAlignment="1">
      <alignment horizontal="center" vertical="center" wrapText="1"/>
    </xf>
    <xf numFmtId="0" fontId="0" fillId="9" borderId="20" xfId="0" applyFill="1" applyBorder="1" applyAlignment="1">
      <alignment horizontal="center" vertical="center" wrapText="1"/>
    </xf>
    <xf numFmtId="0" fontId="0" fillId="9" borderId="21" xfId="0" applyFill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3" xfId="0" applyFill="1" applyBorder="1" applyAlignment="1">
      <alignment horizontal="center" vertical="center" wrapText="1"/>
    </xf>
    <xf numFmtId="0" fontId="0" fillId="9" borderId="24" xfId="0" applyFill="1" applyBorder="1" applyAlignment="1">
      <alignment horizontal="center" vertical="center" wrapText="1"/>
    </xf>
    <xf numFmtId="0" fontId="0" fillId="9" borderId="25" xfId="0" applyFill="1" applyBorder="1" applyAlignment="1">
      <alignment horizontal="center" vertical="center" wrapText="1"/>
    </xf>
    <xf numFmtId="0" fontId="0" fillId="9" borderId="26" xfId="0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8" fillId="7" borderId="0" xfId="8" applyFill="1" applyAlignment="1">
      <alignment horizontal="left" vertical="center"/>
    </xf>
    <xf numFmtId="14" fontId="0" fillId="7" borderId="0" xfId="0" applyNumberFormat="1" applyFill="1" applyAlignment="1">
      <alignment horizontal="left"/>
    </xf>
    <xf numFmtId="0" fontId="22" fillId="11" borderId="0" xfId="0" applyFont="1" applyFill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/>
    </xf>
    <xf numFmtId="0" fontId="24" fillId="2" borderId="13" xfId="0" applyFont="1" applyFill="1" applyBorder="1" applyAlignment="1">
      <alignment horizontal="center" vertical="center"/>
    </xf>
    <xf numFmtId="0" fontId="10" fillId="12" borderId="27" xfId="3" applyFont="1" applyBorder="1" applyAlignment="1">
      <alignment horizontal="center" vertical="center"/>
    </xf>
    <xf numFmtId="0" fontId="10" fillId="12" borderId="28" xfId="3" applyFont="1" applyBorder="1" applyAlignment="1">
      <alignment horizontal="center" vertical="center"/>
    </xf>
    <xf numFmtId="0" fontId="0" fillId="15" borderId="19" xfId="0" applyFill="1" applyBorder="1" applyAlignment="1">
      <alignment horizontal="center" vertical="center" wrapText="1"/>
    </xf>
    <xf numFmtId="0" fontId="0" fillId="15" borderId="20" xfId="0" applyFill="1" applyBorder="1" applyAlignment="1">
      <alignment horizontal="center" vertical="center" wrapText="1"/>
    </xf>
    <xf numFmtId="0" fontId="0" fillId="15" borderId="21" xfId="0" applyFill="1" applyBorder="1" applyAlignment="1">
      <alignment horizontal="center" vertical="center" wrapText="1"/>
    </xf>
    <xf numFmtId="0" fontId="0" fillId="15" borderId="22" xfId="0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0" fillId="15" borderId="23" xfId="0" applyFill="1" applyBorder="1" applyAlignment="1">
      <alignment horizontal="center" vertical="center" wrapText="1"/>
    </xf>
    <xf numFmtId="0" fontId="0" fillId="15" borderId="24" xfId="0" applyFill="1" applyBorder="1" applyAlignment="1">
      <alignment horizontal="center" vertical="center" wrapText="1"/>
    </xf>
    <xf numFmtId="0" fontId="0" fillId="15" borderId="25" xfId="0" applyFill="1" applyBorder="1" applyAlignment="1">
      <alignment horizontal="center" vertical="center" wrapText="1"/>
    </xf>
    <xf numFmtId="0" fontId="0" fillId="15" borderId="26" xfId="0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/>
    </xf>
    <xf numFmtId="0" fontId="24" fillId="2" borderId="14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14" fontId="8" fillId="7" borderId="0" xfId="8" applyNumberFormat="1" applyFill="1" applyAlignment="1">
      <alignment horizontal="left"/>
    </xf>
    <xf numFmtId="14" fontId="0" fillId="7" borderId="0" xfId="0" quotePrefix="1" applyNumberFormat="1" applyFill="1" applyAlignment="1">
      <alignment horizontal="left"/>
    </xf>
    <xf numFmtId="0" fontId="8" fillId="13" borderId="0" xfId="8" applyFill="1" applyBorder="1" applyAlignment="1"/>
    <xf numFmtId="0" fontId="0" fillId="13" borderId="0" xfId="0" applyFill="1" applyAlignment="1">
      <alignment horizontal="left"/>
    </xf>
    <xf numFmtId="0" fontId="6" fillId="8" borderId="0" xfId="0" applyFont="1" applyFill="1"/>
    <xf numFmtId="0" fontId="27" fillId="12" borderId="8" xfId="3" applyFont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0" fontId="8" fillId="7" borderId="0" xfId="8" applyFill="1"/>
  </cellXfs>
  <cellStyles count="9">
    <cellStyle name="20% — akcent 1" xfId="3" builtinId="30"/>
    <cellStyle name="Akcent 1" xfId="1" builtinId="29"/>
    <cellStyle name="Hiperłącze" xfId="8" builtinId="8"/>
    <cellStyle name="Normal 2" xfId="2" xr:uid="{E6D76357-EFED-411E-9BE2-64F7993DD5ED}"/>
    <cellStyle name="Normal 2 2" xfId="4" xr:uid="{DF3EBC8F-3E56-4691-9453-36968B8848D7}"/>
    <cellStyle name="Normal 2 2 2" xfId="5" xr:uid="{2BDC1B1A-8475-4626-934A-25BDE96E4313}"/>
    <cellStyle name="Normal 2 2 2 2" xfId="6" xr:uid="{9457E5F1-D940-4E35-851C-A65C9FF854FF}"/>
    <cellStyle name="Normal 2 2 2 3" xfId="7" xr:uid="{92B7BE7E-08FB-451F-8FF5-546628D8355F}"/>
    <cellStyle name="Normalny" xfId="0" builtinId="0"/>
  </cellStyles>
  <dxfs count="36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1D84C2D35F9E4C3DA89F0EB7F4668612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526CDE0F02E74CE89A10C566FEEA05B7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2A305C5745BC4A55B83A221B1DB5A238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BC806A0FB52C4E99A2ABDDC4AF4D6462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A62375ABB1D742A59E6F54AD212093F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events/results/10D132CBD4F94596B378F51BDF250041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1CE9E480C97E4E7A8156F36B08407F3F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5FB199770880472EB2FF1D3CBBF0E907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807189A3AEA64E09A3F3545109C57FD9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engarde-service.com/index.php?lang=en&amp;Organisme=santanderfencing&amp;Event=evf_epee_circuit_santander&amp;Compe=m_epee_v2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3/ehv2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engarde-service.com/?fbclid=IwAR1q8b20973WNdhLRYbl3vdP-rPK0cilvuHZi37KFNf-Dodoicffb3YOQe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engarde-service.com/competition/aeve_esgrima/evf_madrid_2023/em_2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www.4fence.it/FIS/Risultati/2023-12-17-16_Terni_(TR)_-_3_Prova_Circuito_Naz.le_Master/index.php?a=SP&amp;s=M&amp;c=7&amp;f=clafinale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engarde-service.com/competition/sthlm/efv2024/emv2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veteransfencing.eu/fencing/rankings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s://www.veteransfencing.eu/fencing/rankings/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www.veteransfencing.eu/fencing/rankings/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hyperlink" Target="https://engarde-service.com/competition/e3f/efcv/menepeev2" TargetMode="External"/><Relationship Id="rId1" Type="http://schemas.openxmlformats.org/officeDocument/2006/relationships/hyperlink" Target="https://engarde-service.com/competition/e3f/efcv/menepee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8"/>
  <sheetViews>
    <sheetView tabSelected="1" zoomScaleNormal="100" workbookViewId="0">
      <selection activeCell="B6" sqref="B6"/>
    </sheetView>
  </sheetViews>
  <sheetFormatPr defaultColWidth="11.375" defaultRowHeight="12.75" customHeight="1" x14ac:dyDescent="0.2"/>
  <cols>
    <col min="1" max="1" width="6" customWidth="1"/>
    <col min="2" max="2" width="29.25" customWidth="1"/>
    <col min="3" max="3" width="13.875" customWidth="1"/>
    <col min="5" max="5" width="6.375" customWidth="1"/>
    <col min="6" max="6" width="6.75" bestFit="1" customWidth="1"/>
    <col min="7" max="7" width="4.375" customWidth="1"/>
    <col min="8" max="8" width="6.375" bestFit="1" customWidth="1"/>
    <col min="9" max="9" width="5.125" customWidth="1"/>
    <col min="10" max="10" width="6.75" bestFit="1" customWidth="1"/>
    <col min="11" max="11" width="3.75" customWidth="1"/>
    <col min="12" max="12" width="6.75" bestFit="1" customWidth="1"/>
    <col min="13" max="13" width="3.75" customWidth="1"/>
    <col min="14" max="14" width="6.75" bestFit="1" customWidth="1"/>
    <col min="15" max="20" width="6" customWidth="1"/>
    <col min="21" max="21" width="3.75" customWidth="1"/>
    <col min="22" max="22" width="7.25" customWidth="1"/>
    <col min="23" max="23" width="2.375" customWidth="1"/>
  </cols>
  <sheetData>
    <row r="1" spans="1:27" ht="13.6" x14ac:dyDescent="0.25">
      <c r="A1" s="58"/>
      <c r="B1" s="58"/>
      <c r="C1" s="58"/>
      <c r="D1" s="60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7" ht="12.75" customHeight="1" x14ac:dyDescent="0.25">
      <c r="A2" s="58"/>
      <c r="B2" s="2" t="s">
        <v>0</v>
      </c>
      <c r="C2" s="58"/>
      <c r="D2" s="132" t="s">
        <v>1</v>
      </c>
      <c r="E2" s="59"/>
      <c r="F2" s="59"/>
      <c r="G2" s="59"/>
      <c r="H2" s="59"/>
      <c r="I2" s="59"/>
      <c r="J2" s="59"/>
      <c r="K2" s="59"/>
      <c r="L2" s="59"/>
      <c r="M2" s="59"/>
      <c r="N2" s="58"/>
      <c r="O2" s="58"/>
      <c r="P2" s="58"/>
      <c r="Q2" s="58"/>
      <c r="R2" s="58"/>
      <c r="S2" s="58"/>
      <c r="T2" s="58"/>
      <c r="U2" s="58"/>
      <c r="V2" s="58"/>
      <c r="X2" s="255" t="s">
        <v>2</v>
      </c>
      <c r="Y2" s="256"/>
      <c r="Z2" s="256"/>
      <c r="AA2" s="257"/>
    </row>
    <row r="3" spans="1:27" ht="13.6" x14ac:dyDescent="0.25">
      <c r="A3" s="58"/>
      <c r="B3" s="58"/>
      <c r="C3" s="58"/>
      <c r="D3" s="60" t="s">
        <v>3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X3" s="258"/>
      <c r="Y3" s="259"/>
      <c r="Z3" s="259"/>
      <c r="AA3" s="260"/>
    </row>
    <row r="4" spans="1:27" ht="24.8" customHeight="1" x14ac:dyDescent="0.2">
      <c r="A4" s="266" t="s">
        <v>4</v>
      </c>
      <c r="B4" s="268" t="s">
        <v>5</v>
      </c>
      <c r="C4" s="268" t="s">
        <v>6</v>
      </c>
      <c r="D4" s="268" t="s">
        <v>7</v>
      </c>
      <c r="E4" s="264" t="s">
        <v>8</v>
      </c>
      <c r="F4" s="265"/>
      <c r="G4" s="264" t="s">
        <v>9</v>
      </c>
      <c r="H4" s="265"/>
      <c r="I4" s="264" t="s">
        <v>10</v>
      </c>
      <c r="J4" s="265"/>
      <c r="K4" s="264" t="s">
        <v>11</v>
      </c>
      <c r="L4" s="265"/>
      <c r="M4" s="264" t="s">
        <v>12</v>
      </c>
      <c r="N4" s="265"/>
      <c r="O4" s="264" t="s">
        <v>13</v>
      </c>
      <c r="P4" s="265"/>
      <c r="Q4" s="264" t="s">
        <v>14</v>
      </c>
      <c r="R4" s="265"/>
      <c r="S4" s="264" t="s">
        <v>15</v>
      </c>
      <c r="T4" s="265"/>
      <c r="U4" s="264" t="s">
        <v>16</v>
      </c>
      <c r="V4" s="265"/>
      <c r="X4" s="261"/>
      <c r="Y4" s="262"/>
      <c r="Z4" s="262"/>
      <c r="AA4" s="263"/>
    </row>
    <row r="5" spans="1:27" ht="18" customHeight="1" x14ac:dyDescent="0.2">
      <c r="A5" s="267"/>
      <c r="B5" s="269"/>
      <c r="C5" s="269"/>
      <c r="D5" s="270"/>
      <c r="E5" s="38" t="s">
        <v>17</v>
      </c>
      <c r="F5" s="38" t="s">
        <v>18</v>
      </c>
      <c r="G5" s="38" t="s">
        <v>17</v>
      </c>
      <c r="H5" s="38" t="s">
        <v>18</v>
      </c>
      <c r="I5" s="38" t="s">
        <v>17</v>
      </c>
      <c r="J5" s="38" t="s">
        <v>18</v>
      </c>
      <c r="K5" s="38" t="s">
        <v>17</v>
      </c>
      <c r="L5" s="38" t="s">
        <v>18</v>
      </c>
      <c r="M5" s="38" t="s">
        <v>17</v>
      </c>
      <c r="N5" s="55" t="s">
        <v>18</v>
      </c>
      <c r="O5" s="38" t="s">
        <v>17</v>
      </c>
      <c r="P5" s="55" t="s">
        <v>18</v>
      </c>
      <c r="Q5" s="38" t="s">
        <v>17</v>
      </c>
      <c r="R5" s="55" t="s">
        <v>18</v>
      </c>
      <c r="S5" s="38" t="s">
        <v>17</v>
      </c>
      <c r="T5" s="55" t="s">
        <v>18</v>
      </c>
      <c r="U5" s="38" t="s">
        <v>17</v>
      </c>
      <c r="V5" s="55" t="s">
        <v>18</v>
      </c>
    </row>
    <row r="6" spans="1:27" ht="14.8" customHeight="1" x14ac:dyDescent="0.25">
      <c r="A6" s="56">
        <f>ROW()-5</f>
        <v>1</v>
      </c>
      <c r="B6" s="51" t="s">
        <v>19</v>
      </c>
      <c r="C6" s="52"/>
      <c r="D6" s="75">
        <f>SUM(F6,H6,J6,L6,N6,P6,R6,T6,V6)-SUM(SMALL((F6,H6,J6,L6,N6,P6,R6,T6),1),SMALL((F6,H6,J6,L6,N6,P6,R6,T6),2))</f>
        <v>762.8358544199175</v>
      </c>
      <c r="E6" s="126">
        <f>_xlfn.XLOOKUP($B6,'GP1'!$C$6:$C$101,'GP1'!$B$6:$B$101,"")</f>
        <v>1</v>
      </c>
      <c r="F6" s="133">
        <f>_xlfn.XLOOKUP(E6,'GP1'!$B$6:$B$55,'GP1'!$A$6:$A$55,0)</f>
        <v>110.01582081512385</v>
      </c>
      <c r="G6" s="126">
        <f>_xlfn.XLOOKUP($B6,'GP2'!$C$6:$C$101,'GP2'!$B$6:$B$101,"")</f>
        <v>1</v>
      </c>
      <c r="H6" s="133">
        <f>_xlfn.XLOOKUP(G6,'GP2'!$B$6:$B$55,'GP2'!$A$6:$A$55,0)</f>
        <v>110.01582081512385</v>
      </c>
      <c r="I6" s="126">
        <f>_xlfn.XLOOKUP($B6,'GP3'!$C$6:$C$101,'GP3'!$B$6:$B$101,"")</f>
        <v>1</v>
      </c>
      <c r="J6" s="133">
        <f>_xlfn.XLOOKUP(I6,'GP3'!$B$6:$B$55,'GP3'!$A$6:$A$55,0)</f>
        <v>108.72075440746714</v>
      </c>
      <c r="K6" s="126">
        <f>_xlfn.XLOOKUP($B6,'GP4'!$C$6:$C$101,'GP4'!$B$6:$B$101,"")</f>
        <v>1</v>
      </c>
      <c r="L6" s="133">
        <f>_xlfn.XLOOKUP(K6,'GP4'!$B$6:$B$55,'GP4'!$A$6:$A$55,0)</f>
        <v>110.01582081512385</v>
      </c>
      <c r="M6" s="126" t="str">
        <f>_xlfn.XLOOKUP($B6,'GP5'!$C$6:$C$101,'GP5'!$B$6:$B$101,"")</f>
        <v/>
      </c>
      <c r="N6" s="135">
        <f>_xlfn.XLOOKUP(M6,'GP5'!$B$6:$B$55,'GP5'!$A$6:$A$55,0)</f>
        <v>0</v>
      </c>
      <c r="O6" s="126">
        <f>_xlfn.XLOOKUP($B6,'GP6'!$C$6:$C$101,'GP6'!$B$6:$B$101,"")</f>
        <v>2</v>
      </c>
      <c r="P6" s="135">
        <f>_xlfn.XLOOKUP(O6,'GP6'!$B$6:$B$55,'GP6'!$A$6:$A$55,0)</f>
        <v>80.068366573734622</v>
      </c>
      <c r="Q6" s="126">
        <f>_xlfn.XLOOKUP($B6,'GP7'!$C$6:$C$101,'GP7'!$B$6:$B$101,"")</f>
        <v>1</v>
      </c>
      <c r="R6" s="135">
        <f>_xlfn.XLOOKUP(Q6,'GP7'!$B$6:$B$55,'GP7'!$A$6:$A$55,0)</f>
        <v>110.60485636595998</v>
      </c>
      <c r="S6" s="126">
        <f>_xlfn.XLOOKUP($B6,'GP8'!$C$6:$C$101,'GP8'!$B$6:$B$101,"")</f>
        <v>5</v>
      </c>
      <c r="T6" s="135">
        <f>_xlfn.XLOOKUP(S6,'GP8'!$B$6:$B$55,'GP8'!$A$6:$A$55,0)</f>
        <v>24.108148742410783</v>
      </c>
      <c r="U6" s="126">
        <f>_xlfn.XLOOKUP(B6,MPW!C$6:C$101,MPW!B$6:B$101,"")</f>
        <v>1</v>
      </c>
      <c r="V6" s="135">
        <f>_xlfn.XLOOKUP(U6,MPW!B$6:B$55,MPW!A$6:A$55,0)</f>
        <v>133.39441462738418</v>
      </c>
    </row>
    <row r="7" spans="1:27" ht="14.8" customHeight="1" x14ac:dyDescent="0.25">
      <c r="A7" s="56">
        <f>ROW()-5</f>
        <v>2</v>
      </c>
      <c r="B7" s="53" t="s">
        <v>20</v>
      </c>
      <c r="C7" s="54"/>
      <c r="D7" s="75">
        <f>SUM(F7,H7,J7,L7,N7,P7,R7,T7,V7)-SUM(SMALL((F7,H7,J7,L7,N7,P7,R7,T7),1),SMALL((F7,H7,J7,L7,N7,P7,R7,T7),2))</f>
        <v>520.21167927088459</v>
      </c>
      <c r="E7" s="126">
        <f>_xlfn.XLOOKUP($B7,'GP1'!$C$6:$C$101,'GP1'!$B$6:$B$101,"")</f>
        <v>2</v>
      </c>
      <c r="F7" s="133">
        <f>_xlfn.XLOOKUP(E7,'GP1'!$B$6:$B$55,'GP1'!$A$6:$A$55,0)</f>
        <v>79.179704053839387</v>
      </c>
      <c r="G7" s="126">
        <f>_xlfn.XLOOKUP($B7,'GP2'!$C$6:$C$101,'GP2'!$B$6:$B$101,"")</f>
        <v>2</v>
      </c>
      <c r="H7" s="133">
        <f>_xlfn.XLOOKUP(G7,'GP2'!$B$6:$B$55,'GP2'!$A$6:$A$55,0)</f>
        <v>79.179704053839387</v>
      </c>
      <c r="I7" s="127">
        <f>_xlfn.XLOOKUP($B7,'GP3'!$C$6:$C$101,'GP3'!$B$6:$B$101,"")</f>
        <v>3</v>
      </c>
      <c r="J7" s="134">
        <f>_xlfn.XLOOKUP(I7,'GP3'!$B$6:$B$55,'GP3'!$A$6:$A$55,0)</f>
        <v>51.740251469155709</v>
      </c>
      <c r="K7" s="127">
        <f>_xlfn.XLOOKUP($B7,'GP4'!$C$6:$C$101,'GP4'!$B$6:$B$101,"")</f>
        <v>4</v>
      </c>
      <c r="L7" s="134">
        <f>_xlfn.XLOOKUP(K7,'GP4'!$B$6:$B$55,'GP4'!$A$6:$A$55,0)</f>
        <v>41.67164702084699</v>
      </c>
      <c r="M7" s="127" t="str">
        <f>_xlfn.XLOOKUP($B7,'GP5'!$C$6:$C$101,'GP5'!$B$6:$B$101,"")</f>
        <v/>
      </c>
      <c r="N7" s="136">
        <f>_xlfn.XLOOKUP(M7,'GP5'!$B$6:$B$55,'GP5'!$A$6:$A$55,0)</f>
        <v>0</v>
      </c>
      <c r="O7" s="127">
        <f>_xlfn.XLOOKUP($B7,'GP6'!$C$6:$C$101,'GP6'!$B$6:$B$101,"")</f>
        <v>1</v>
      </c>
      <c r="P7" s="136">
        <f>_xlfn.XLOOKUP(O7,'GP6'!$B$6:$B$55,'GP6'!$A$6:$A$55,0)</f>
        <v>110.60485636595998</v>
      </c>
      <c r="Q7" s="127">
        <f>_xlfn.XLOOKUP($B7,'GP7'!$C$6:$C$101,'GP7'!$B$6:$B$101,"")</f>
        <v>3</v>
      </c>
      <c r="R7" s="136">
        <f>_xlfn.XLOOKUP(Q7,'GP7'!$B$6:$B$55,'GP7'!$A$6:$A$55,0)</f>
        <v>55.204694129130715</v>
      </c>
      <c r="S7" s="127">
        <f>_xlfn.XLOOKUP($B7,'GP8'!$C$6:$C$101,'GP8'!$B$6:$B$101,"")</f>
        <v>2</v>
      </c>
      <c r="T7" s="136">
        <f>_xlfn.XLOOKUP(S7,'GP8'!$B$6:$B$55,'GP8'!$A$6:$A$55,0)</f>
        <v>77.02272397581072</v>
      </c>
      <c r="U7" s="127">
        <f>_xlfn.XLOOKUP(B7,MPW!C$6:C$101,MPW!B$6:B$101,"")</f>
        <v>3</v>
      </c>
      <c r="V7" s="136">
        <f>_xlfn.XLOOKUP(U7,MPW!B$6:B$55,MPW!A$6:A$55,0)</f>
        <v>67.279745223148723</v>
      </c>
    </row>
    <row r="8" spans="1:27" ht="15.8" customHeight="1" x14ac:dyDescent="0.25">
      <c r="A8" s="56">
        <f>ROW()-5</f>
        <v>3</v>
      </c>
      <c r="B8" s="297" t="s">
        <v>22</v>
      </c>
      <c r="C8" s="54"/>
      <c r="D8" s="75">
        <f>SUM(F8,H8,J8,L8,N8,P8,R8,T8,V8)-SUM(SMALL((F8,H8,J8,L8,N8,P8,R8,T8),1),SMALL((F8,H8,J8,L8,N8,P8,R8,T8),2))</f>
        <v>445.8747698656901</v>
      </c>
      <c r="E8" s="126" t="str">
        <f>_xlfn.XLOOKUP($B8,'GP1'!$C$6:$C$101,'GP1'!$B$6:$B$101,"")</f>
        <v/>
      </c>
      <c r="F8" s="133">
        <f>_xlfn.XLOOKUP(E8,'GP1'!$B$6:$B$55,'GP1'!$A$6:$A$55,0)</f>
        <v>0</v>
      </c>
      <c r="G8" s="126" t="str">
        <f>_xlfn.XLOOKUP($B8,'GP2'!$C$6:$C$101,'GP2'!$B$6:$B$101,"")</f>
        <v/>
      </c>
      <c r="H8" s="133">
        <f>_xlfn.XLOOKUP(G8,'GP2'!$B$6:$B$55,'GP2'!$A$6:$A$55,0)</f>
        <v>0</v>
      </c>
      <c r="I8" s="127" t="str">
        <f>_xlfn.XLOOKUP($B8,'GP3'!$C$6:$C$101,'GP3'!$B$6:$B$101,"")</f>
        <v>2k1</v>
      </c>
      <c r="J8" s="134">
        <f>_xlfn.XLOOKUP(I8,'GP3'!$B$6:$B$55,'GP3'!$A$6:$A$55,0)</f>
        <v>80.866338559385881</v>
      </c>
      <c r="K8" s="127">
        <f>_xlfn.XLOOKUP($B8,'GP4'!$C$6:$C$101,'GP4'!$B$6:$B$101,"")</f>
        <v>2</v>
      </c>
      <c r="L8" s="134">
        <f>_xlfn.XLOOKUP(K8,'GP4'!$B$6:$B$55,'GP4'!$A$6:$A$55,0)</f>
        <v>79.179704053839387</v>
      </c>
      <c r="M8" s="127" t="str">
        <f>_xlfn.XLOOKUP($B8,'GP5'!$C$6:$C$101,'GP5'!$B$6:$B$101,"")</f>
        <v/>
      </c>
      <c r="N8" s="136">
        <f>_xlfn.XLOOKUP(M8,'GP5'!$B$6:$B$55,'GP5'!$A$6:$A$55,0)</f>
        <v>0</v>
      </c>
      <c r="O8" s="127" t="str">
        <f>_xlfn.XLOOKUP($B8,'GP6'!$C$6:$C$101,'GP6'!$B$6:$B$101,"")</f>
        <v/>
      </c>
      <c r="P8" s="136">
        <f>_xlfn.XLOOKUP(O8,'GP6'!$B$6:$B$55,'GP6'!$A$6:$A$55,0)</f>
        <v>0</v>
      </c>
      <c r="Q8" s="127">
        <f>_xlfn.XLOOKUP($B8,'GP7'!$C$6:$C$101,'GP7'!$B$6:$B$101,"")</f>
        <v>2</v>
      </c>
      <c r="R8" s="136">
        <f>_xlfn.XLOOKUP(Q8,'GP7'!$B$6:$B$55,'GP7'!$A$6:$A$55,0)</f>
        <v>80.068366573734622</v>
      </c>
      <c r="S8" s="127">
        <f>_xlfn.XLOOKUP($B8,'GP8'!$C$6:$C$101,'GP8'!$B$6:$B$101,"")</f>
        <v>1</v>
      </c>
      <c r="T8" s="136">
        <f>_xlfn.XLOOKUP(S8,'GP8'!$B$6:$B$55,'GP8'!$A$6:$A$55,0)</f>
        <v>108.72075440746714</v>
      </c>
      <c r="U8" s="127">
        <f>_xlfn.XLOOKUP(B8,MPW!C$6:C$101,MPW!B$6:B$101,"")</f>
        <v>2</v>
      </c>
      <c r="V8" s="136">
        <f>_xlfn.XLOOKUP(U8,MPW!B$6:B$55,MPW!A$6:A$55,0)</f>
        <v>97.039606271263054</v>
      </c>
    </row>
    <row r="9" spans="1:27" ht="14.8" customHeight="1" x14ac:dyDescent="0.25">
      <c r="A9" s="56">
        <f>ROW()-5</f>
        <v>4</v>
      </c>
      <c r="B9" s="53" t="s">
        <v>21</v>
      </c>
      <c r="C9" s="54"/>
      <c r="D9" s="75">
        <f>SUM(F9,H9,J9,L9,N9,P9,R9,T9,V9)-SUM(SMALL((F9,H9,J9,L9,N9,P9,R9,T9),1),SMALL((F9,H9,J9,L9,N9,P9,R9,T9),2))</f>
        <v>430.55244809149963</v>
      </c>
      <c r="E9" s="126">
        <f>_xlfn.XLOOKUP($B9,'GP1'!$C$6:$C$101,'GP1'!$B$6:$B$101,"")</f>
        <v>3</v>
      </c>
      <c r="F9" s="133">
        <f>_xlfn.XLOOKUP(E9,'GP1'!$B$6:$B$55,'GP1'!$A$6:$A$55,0)</f>
        <v>54.222251682132963</v>
      </c>
      <c r="G9" s="126">
        <f>_xlfn.XLOOKUP($B9,'GP2'!$C$6:$C$101,'GP2'!$B$6:$B$101,"")</f>
        <v>3</v>
      </c>
      <c r="H9" s="133">
        <f>_xlfn.XLOOKUP(G9,'GP2'!$B$6:$B$55,'GP2'!$A$6:$A$55,0)</f>
        <v>54.222251682132963</v>
      </c>
      <c r="I9" s="127">
        <f>_xlfn.XLOOKUP($B9,'GP3'!$C$6:$C$101,'GP3'!$B$6:$B$101,"")</f>
        <v>4</v>
      </c>
      <c r="J9" s="134">
        <f>_xlfn.XLOOKUP(I9,'GP3'!$B$6:$B$55,'GP3'!$A$6:$A$55,0)</f>
        <v>39.084442074998591</v>
      </c>
      <c r="K9" s="127">
        <f>_xlfn.XLOOKUP($B9,'GP4'!$C$6:$C$101,'GP4'!$B$6:$B$101,"")</f>
        <v>3</v>
      </c>
      <c r="L9" s="134">
        <f>_xlfn.XLOOKUP(K9,'GP4'!$B$6:$B$55,'GP4'!$A$6:$A$55,0)</f>
        <v>54.222251682132963</v>
      </c>
      <c r="M9" s="127">
        <f>_xlfn.XLOOKUP($B9,'GP5'!$C$6:$C$101,'GP5'!$B$6:$B$101,"")</f>
        <v>1</v>
      </c>
      <c r="N9" s="136">
        <f>_xlfn.XLOOKUP(M9,'GP5'!$B$6:$B$55,'GP5'!$A$6:$A$55,0)</f>
        <v>108.72075440746714</v>
      </c>
      <c r="O9" s="127">
        <f>_xlfn.XLOOKUP($B9,'GP6'!$C$6:$C$101,'GP6'!$B$6:$B$101,"")</f>
        <v>3</v>
      </c>
      <c r="P9" s="136">
        <f>_xlfn.XLOOKUP(O9,'GP6'!$B$6:$B$55,'GP6'!$A$6:$A$55,0)</f>
        <v>55.204694129130715</v>
      </c>
      <c r="Q9" s="127">
        <f>_xlfn.XLOOKUP($B9,'GP7'!$C$6:$C$101,'GP7'!$B$6:$B$101,"")</f>
        <v>4</v>
      </c>
      <c r="R9" s="136">
        <f>_xlfn.XLOOKUP(Q9,'GP7'!$B$6:$B$55,'GP7'!$A$6:$A$55,0)</f>
        <v>42.663591326189277</v>
      </c>
      <c r="S9" s="127">
        <f>_xlfn.XLOOKUP($B9,'GP8'!$C$6:$C$101,'GP8'!$B$6:$B$101,"")</f>
        <v>3</v>
      </c>
      <c r="T9" s="136">
        <f>_xlfn.XLOOKUP(S9,'GP8'!$B$6:$B$55,'GP8'!$A$6:$A$55,0)</f>
        <v>51.740251469155709</v>
      </c>
      <c r="U9" s="127">
        <f>_xlfn.XLOOKUP(B9,MPW!C$6:C$101,MPW!B$6:B$101,"")</f>
        <v>4</v>
      </c>
      <c r="V9" s="136">
        <f>_xlfn.XLOOKUP(U9,MPW!B$6:B$55,MPW!A$6:A$55,0)</f>
        <v>52.219993039347194</v>
      </c>
    </row>
    <row r="10" spans="1:27" ht="14.8" customHeight="1" x14ac:dyDescent="0.25">
      <c r="A10" s="56">
        <f>ROW()-5</f>
        <v>5</v>
      </c>
      <c r="B10" s="297" t="s">
        <v>23</v>
      </c>
      <c r="C10" s="54"/>
      <c r="D10" s="75">
        <f>SUM(F10,H10,J10,L10,N10,P10,R10,T10,V10)-SUM(SMALL((F10,H10,J10,L10,N10,P10,R10,T10),1),SMALL((F10,H10,J10,L10,N10,P10,R10,T10),2))</f>
        <v>264.44886436565992</v>
      </c>
      <c r="E10" s="126" t="str">
        <f>_xlfn.XLOOKUP($B10,'GP1'!$C$6:$C$101,'GP1'!$B$6:$B$101,"")</f>
        <v/>
      </c>
      <c r="F10" s="133">
        <f>_xlfn.XLOOKUP(E10,'GP1'!$B$6:$B$55,'GP1'!$A$6:$A$55,0)</f>
        <v>0</v>
      </c>
      <c r="G10" s="126" t="str">
        <f>_xlfn.XLOOKUP($B10,'GP2'!$C$6:$C$101,'GP2'!$B$6:$B$101,"")</f>
        <v>6k1</v>
      </c>
      <c r="H10" s="133">
        <f>_xlfn.XLOOKUP(G10,'GP2'!$B$6:$B$55,'GP2'!$A$6:$A$55,0)</f>
        <v>21.870588731201465</v>
      </c>
      <c r="I10" s="127" t="str">
        <f>_xlfn.XLOOKUP($B10,'GP3'!$C$6:$C$101,'GP3'!$B$6:$B$101,"")</f>
        <v>6k1</v>
      </c>
      <c r="J10" s="134">
        <f>_xlfn.XLOOKUP(I10,'GP3'!$B$6:$B$55,'GP3'!$A$6:$A$55,0)</f>
        <v>25.770780722522993</v>
      </c>
      <c r="K10" s="127">
        <f>_xlfn.XLOOKUP($B10,'GP4'!$C$6:$C$101,'GP4'!$B$6:$B$101,"")</f>
        <v>5</v>
      </c>
      <c r="L10" s="134">
        <f>_xlfn.XLOOKUP(K10,'GP4'!$B$6:$B$55,'GP4'!$A$6:$A$55,0)</f>
        <v>27.111800667909257</v>
      </c>
      <c r="M10" s="127">
        <f>_xlfn.XLOOKUP($B10,'GP5'!$C$6:$C$101,'GP5'!$B$6:$B$101,"")</f>
        <v>2</v>
      </c>
      <c r="N10" s="136">
        <f>_xlfn.XLOOKUP(M10,'GP5'!$B$6:$B$55,'GP5'!$A$6:$A$55,0)</f>
        <v>77.02272397581072</v>
      </c>
      <c r="O10" s="127">
        <f>_xlfn.XLOOKUP($B10,'GP6'!$C$6:$C$101,'GP6'!$B$6:$B$101,"")</f>
        <v>4</v>
      </c>
      <c r="P10" s="136">
        <f>_xlfn.XLOOKUP(O10,'GP6'!$B$6:$B$55,'GP6'!$A$6:$A$55,0)</f>
        <v>42.663591326189277</v>
      </c>
      <c r="Q10" s="127" t="str">
        <f>_xlfn.XLOOKUP($B10,'GP7'!$C$6:$C$101,'GP7'!$B$6:$B$101,"")</f>
        <v/>
      </c>
      <c r="R10" s="136">
        <f>_xlfn.XLOOKUP(Q10,'GP7'!$B$6:$B$55,'GP7'!$A$6:$A$55,0)</f>
        <v>0</v>
      </c>
      <c r="S10" s="127">
        <f>_xlfn.XLOOKUP($B10,'GP8'!$C$6:$C$101,'GP8'!$B$6:$B$101,"")</f>
        <v>4</v>
      </c>
      <c r="T10" s="136">
        <f>_xlfn.XLOOKUP(S10,'GP8'!$B$6:$B$55,'GP8'!$A$6:$A$55,0)</f>
        <v>39.084442074998591</v>
      </c>
      <c r="U10" s="127">
        <f>_xlfn.XLOOKUP(B10,MPW!C$6:C$101,MPW!B$6:B$101,"")</f>
        <v>6</v>
      </c>
      <c r="V10" s="136">
        <f>_xlfn.XLOOKUP(U10,MPW!B$6:B$55,MPW!A$6:A$55,0)</f>
        <v>30.92493686702759</v>
      </c>
    </row>
    <row r="11" spans="1:27" ht="14.8" customHeight="1" x14ac:dyDescent="0.25">
      <c r="A11" s="56">
        <f>ROW()-5</f>
        <v>6</v>
      </c>
      <c r="B11" s="53" t="s">
        <v>24</v>
      </c>
      <c r="C11" s="54"/>
      <c r="D11" s="75">
        <f>SUM(F11,H11,J11,L11,N11,P11,R11,T11,V11)-SUM(SMALL((F11,H11,J11,L11,N11,P11,R11,T11),1),SMALL((F11,H11,J11,L11,N11,P11,R11,T11),2))</f>
        <v>135.06885312443558</v>
      </c>
      <c r="E11" s="126">
        <f>_xlfn.XLOOKUP($B11,'GP1'!$C$6:$C$101,'GP1'!$B$6:$B$101,"")</f>
        <v>8</v>
      </c>
      <c r="F11" s="133">
        <f>_xlfn.XLOOKUP(E11,'GP1'!$B$6:$B$55,'GP1'!$A$6:$A$55,0)</f>
        <v>17.507470531270492</v>
      </c>
      <c r="G11" s="126" t="str">
        <f>_xlfn.XLOOKUP($B11,'GP2'!$C$6:$C$101,'GP2'!$B$6:$B$101,"")</f>
        <v/>
      </c>
      <c r="H11" s="133">
        <f>_xlfn.XLOOKUP(G11,'GP2'!$B$6:$B$55,'GP2'!$A$6:$A$55,0)</f>
        <v>0</v>
      </c>
      <c r="I11" s="127">
        <f>_xlfn.XLOOKUP($B11,'GP3'!$C$6:$C$101,'GP3'!$B$6:$B$101,"")</f>
        <v>6</v>
      </c>
      <c r="J11" s="134">
        <f>_xlfn.XLOOKUP(I11,'GP3'!$B$6:$B$55,'GP3'!$A$6:$A$55,0)</f>
        <v>20.042221037499289</v>
      </c>
      <c r="K11" s="127">
        <f>_xlfn.XLOOKUP($B11,'GP4'!$C$6:$C$101,'GP4'!$B$6:$B$101,"")</f>
        <v>7</v>
      </c>
      <c r="L11" s="134">
        <f>_xlfn.XLOOKUP(K11,'GP4'!$B$6:$B$55,'GP4'!$A$6:$A$55,0)</f>
        <v>20.236129415094808</v>
      </c>
      <c r="M11" s="127" t="str">
        <f>_xlfn.XLOOKUP($B11,'GP5'!$C$6:$C$101,'GP5'!$B$6:$B$101,"")</f>
        <v/>
      </c>
      <c r="N11" s="136">
        <f>_xlfn.XLOOKUP(M11,'GP5'!$B$6:$B$55,'GP5'!$A$6:$A$55,0)</f>
        <v>0</v>
      </c>
      <c r="O11" s="127">
        <f>_xlfn.XLOOKUP($B11,'GP6'!$C$6:$C$101,'GP6'!$B$6:$B$101,"")</f>
        <v>5</v>
      </c>
      <c r="P11" s="136">
        <f>_xlfn.XLOOKUP(O11,'GP6'!$B$6:$B$55,'GP6'!$A$6:$A$55,0)</f>
        <v>28.263412343478148</v>
      </c>
      <c r="Q11" s="127">
        <f>_xlfn.XLOOKUP($B11,'GP7'!$C$6:$C$101,'GP7'!$B$6:$B$101,"")</f>
        <v>7</v>
      </c>
      <c r="R11" s="136">
        <f>_xlfn.XLOOKUP(Q11,'GP7'!$B$6:$B$55,'GP7'!$A$6:$A$55,0)</f>
        <v>21.628499279099643</v>
      </c>
      <c r="S11" s="127" t="str">
        <f>_xlfn.XLOOKUP($B11,'GP8'!$C$6:$C$101,'GP8'!$B$6:$B$101,"")</f>
        <v/>
      </c>
      <c r="T11" s="136">
        <f>_xlfn.XLOOKUP(S11,'GP8'!$B$6:$B$55,'GP8'!$A$6:$A$55,0)</f>
        <v>0</v>
      </c>
      <c r="U11" s="127">
        <f>_xlfn.XLOOKUP(B11,MPW!C$6:C$101,MPW!B$6:B$101,"")</f>
        <v>7</v>
      </c>
      <c r="V11" s="136">
        <f>_xlfn.XLOOKUP(U11,MPW!B$6:B$55,MPW!A$6:A$55,0)</f>
        <v>27.391120517993215</v>
      </c>
    </row>
    <row r="12" spans="1:27" ht="14.8" customHeight="1" x14ac:dyDescent="0.25">
      <c r="A12" s="56">
        <f>ROW()-5</f>
        <v>7</v>
      </c>
      <c r="B12" s="298" t="s">
        <v>27</v>
      </c>
      <c r="C12" s="54"/>
      <c r="D12" s="75">
        <f>SUM(F12,H12,J12,L12,N12,P12,R12,T12,V12)-SUM(SMALL((F12,H12,J12,L12,N12,P12,R12,T12),1),SMALL((F12,H12,J12,L12,N12,P12,R12,T12),2))</f>
        <v>133.47706226779366</v>
      </c>
      <c r="E12" s="126">
        <f>_xlfn.XLOOKUP($B12,'GP1'!$C$6:$C$101,'GP1'!$B$6:$B$101,"")</f>
        <v>5</v>
      </c>
      <c r="F12" s="133">
        <f>_xlfn.XLOOKUP(E12,'GP1'!$B$6:$B$55,'GP1'!$A$6:$A$55,0)</f>
        <v>27.111800667909257</v>
      </c>
      <c r="G12" s="126">
        <f>_xlfn.XLOOKUP($B12,'GP2'!$C$6:$C$101,'GP2'!$B$6:$B$101,"")</f>
        <v>7</v>
      </c>
      <c r="H12" s="133">
        <f>_xlfn.XLOOKUP(G12,'GP2'!$B$6:$B$55,'GP2'!$A$6:$A$55,0)</f>
        <v>20.236129415094808</v>
      </c>
      <c r="I12" s="127">
        <f>_xlfn.XLOOKUP($B12,'GP3'!$C$6:$C$101,'GP3'!$B$6:$B$101,"")</f>
        <v>7</v>
      </c>
      <c r="J12" s="134">
        <f>_xlfn.XLOOKUP(I12,'GP3'!$B$6:$B$55,'GP3'!$A$6:$A$55,0)</f>
        <v>16.60452814554516</v>
      </c>
      <c r="K12" s="127">
        <f>_xlfn.XLOOKUP($B12,'GP4'!$C$6:$C$101,'GP4'!$B$6:$B$101,"")</f>
        <v>6</v>
      </c>
      <c r="L12" s="134">
        <f>_xlfn.XLOOKUP(K12,'GP4'!$B$6:$B$55,'GP4'!$A$6:$A$55,0)</f>
        <v>23.386134920848519</v>
      </c>
      <c r="M12" s="127">
        <f>_xlfn.XLOOKUP($B12,'GP5'!$C$6:$C$101,'GP5'!$B$6:$B$101,"")</f>
        <v>5</v>
      </c>
      <c r="N12" s="136">
        <f>_xlfn.XLOOKUP(M12,'GP5'!$B$6:$B$55,'GP5'!$A$6:$A$55,0)</f>
        <v>24.108148742410783</v>
      </c>
      <c r="O12" s="127" t="str">
        <f>_xlfn.XLOOKUP($B12,'GP6'!$C$6:$C$101,'GP6'!$B$6:$B$101,"")</f>
        <v/>
      </c>
      <c r="P12" s="136">
        <f>_xlfn.XLOOKUP(O12,'GP6'!$B$6:$B$55,'GP6'!$A$6:$A$55,0)</f>
        <v>0</v>
      </c>
      <c r="Q12" s="127">
        <f>_xlfn.XLOOKUP($B12,'GP7'!$C$6:$C$101,'GP7'!$B$6:$B$101,"")</f>
        <v>8</v>
      </c>
      <c r="R12" s="136">
        <f>_xlfn.XLOOKUP(Q12,'GP7'!$B$6:$B$55,'GP7'!$A$6:$A$55,0)</f>
        <v>18.995386989283922</v>
      </c>
      <c r="S12" s="127">
        <f>_xlfn.XLOOKUP($B12,'GP8'!$C$6:$C$101,'GP8'!$B$6:$B$101,"")</f>
        <v>7</v>
      </c>
      <c r="T12" s="136">
        <f>_xlfn.XLOOKUP(S12,'GP8'!$B$6:$B$55,'GP8'!$A$6:$A$55,0)</f>
        <v>16.60452814554516</v>
      </c>
      <c r="U12" s="127">
        <f>_xlfn.XLOOKUP(B12,MPW!C$6:C$101,MPW!B$6:B$101,"")</f>
        <v>12</v>
      </c>
      <c r="V12" s="136">
        <f>_xlfn.XLOOKUP(U12,MPW!B$6:B$55,MPW!A$6:A$55,0)</f>
        <v>3.0349333867011894</v>
      </c>
    </row>
    <row r="13" spans="1:27" ht="14.8" customHeight="1" x14ac:dyDescent="0.25">
      <c r="A13" s="56">
        <f>ROW()-5</f>
        <v>8</v>
      </c>
      <c r="B13" s="53" t="s">
        <v>26</v>
      </c>
      <c r="C13" s="54"/>
      <c r="D13" s="75">
        <f>SUM(F13,H13,J13,L13,N13,P13,R13,T13,V13)-SUM(SMALL((F13,H13,J13,L13,N13,P13,R13,T13),1),SMALL((F13,H13,J13,L13,N13,P13,R13,T13),2))</f>
        <v>118.08010282690806</v>
      </c>
      <c r="E13" s="126">
        <f>_xlfn.XLOOKUP($B13,'GP1'!$C$6:$C$101,'GP1'!$B$6:$B$101,"")</f>
        <v>4</v>
      </c>
      <c r="F13" s="133">
        <f>_xlfn.XLOOKUP(E13,'GP1'!$B$6:$B$55,'GP1'!$A$6:$A$55,0)</f>
        <v>41.67164702084699</v>
      </c>
      <c r="G13" s="126" t="str">
        <f>_xlfn.XLOOKUP($B13,'GP2'!$C$6:$C$101,'GP2'!$B$6:$B$101,"")</f>
        <v/>
      </c>
      <c r="H13" s="133">
        <f>_xlfn.XLOOKUP(G13,'GP2'!$B$6:$B$55,'GP2'!$A$6:$A$55,0)</f>
        <v>0</v>
      </c>
      <c r="I13" s="127" t="str">
        <f>_xlfn.XLOOKUP($B13,'GP3'!$C$6:$C$101,'GP3'!$B$6:$B$101,"")</f>
        <v/>
      </c>
      <c r="J13" s="134">
        <f>_xlfn.XLOOKUP(I13,'GP3'!$B$6:$B$55,'GP3'!$A$6:$A$55,0)</f>
        <v>0</v>
      </c>
      <c r="K13" s="127" t="str">
        <f>_xlfn.XLOOKUP($B13,'GP4'!$C$6:$C$101,'GP4'!$B$6:$B$101,"")</f>
        <v/>
      </c>
      <c r="L13" s="134">
        <f>_xlfn.XLOOKUP(K13,'GP4'!$B$6:$B$55,'GP4'!$A$6:$A$55,0)</f>
        <v>0</v>
      </c>
      <c r="M13" s="127">
        <f>_xlfn.XLOOKUP($B13,'GP5'!$C$6:$C$101,'GP5'!$B$6:$B$101,"")</f>
        <v>3</v>
      </c>
      <c r="N13" s="136">
        <f>_xlfn.XLOOKUP(M13,'GP5'!$B$6:$B$55,'GP5'!$A$6:$A$55,0)</f>
        <v>51.740251469155709</v>
      </c>
      <c r="O13" s="127">
        <f>_xlfn.XLOOKUP($B13,'GP6'!$C$6:$C$101,'GP6'!$B$6:$B$101,"")</f>
        <v>6</v>
      </c>
      <c r="P13" s="136">
        <f>_xlfn.XLOOKUP(O13,'GP6'!$B$6:$B$55,'GP6'!$A$6:$A$55,0)</f>
        <v>24.668204336905362</v>
      </c>
      <c r="Q13" s="127" t="str">
        <f>_xlfn.XLOOKUP($B13,'GP7'!$C$6:$C$101,'GP7'!$B$6:$B$101,"")</f>
        <v/>
      </c>
      <c r="R13" s="136">
        <f>_xlfn.XLOOKUP(Q13,'GP7'!$B$6:$B$55,'GP7'!$A$6:$A$55,0)</f>
        <v>0</v>
      </c>
      <c r="S13" s="127" t="str">
        <f>_xlfn.XLOOKUP($B13,'GP8'!$C$6:$C$101,'GP8'!$B$6:$B$101,"")</f>
        <v/>
      </c>
      <c r="T13" s="136">
        <f>_xlfn.XLOOKUP(S13,'GP8'!$B$6:$B$55,'GP8'!$A$6:$A$55,0)</f>
        <v>0</v>
      </c>
      <c r="U13" s="127" t="str">
        <f>_xlfn.XLOOKUP(B13,MPW!C$6:C$101,MPW!B$6:B$101,"")</f>
        <v/>
      </c>
      <c r="V13" s="136" t="str">
        <f>_xlfn.XLOOKUP(U13,MPW!B$6:B$55,MPW!A$6:A$55,0)</f>
        <v/>
      </c>
    </row>
    <row r="14" spans="1:27" ht="14.8" customHeight="1" x14ac:dyDescent="0.25">
      <c r="A14" s="56">
        <f>ROW()-5</f>
        <v>9</v>
      </c>
      <c r="B14" s="53" t="s">
        <v>25</v>
      </c>
      <c r="C14" s="54"/>
      <c r="D14" s="75">
        <f>SUM(F14,H14,J14,L14,N14,P14,R14,T14,V14)-SUM(SMALL((F14,H14,J14,L14,N14,P14,R14,T14),1),SMALL((F14,H14,J14,L14,N14,P14,R14,T14),2))</f>
        <v>99.757395452135938</v>
      </c>
      <c r="E14" s="126">
        <f>_xlfn.XLOOKUP($B14,'GP1'!$C$6:$C$101,'GP1'!$B$6:$B$101,"")</f>
        <v>7</v>
      </c>
      <c r="F14" s="133">
        <f>_xlfn.XLOOKUP(E14,'GP1'!$B$6:$B$55,'GP1'!$A$6:$A$55,0)</f>
        <v>20.236129415094808</v>
      </c>
      <c r="G14" s="126">
        <f>_xlfn.XLOOKUP($B14,'GP2'!$C$6:$C$101,'GP2'!$B$6:$B$101,"")</f>
        <v>5</v>
      </c>
      <c r="H14" s="133">
        <f>_xlfn.XLOOKUP(G14,'GP2'!$B$6:$B$55,'GP2'!$A$6:$A$55,0)</f>
        <v>27.111800667909257</v>
      </c>
      <c r="I14" s="127">
        <f>_xlfn.XLOOKUP($B14,'GP3'!$C$6:$C$101,'GP3'!$B$6:$B$101,"")</f>
        <v>5</v>
      </c>
      <c r="J14" s="134">
        <f>_xlfn.XLOOKUP(I14,'GP3'!$B$6:$B$55,'GP3'!$A$6:$A$55,0)</f>
        <v>24.108148742410783</v>
      </c>
      <c r="K14" s="127" t="str">
        <f>_xlfn.XLOOKUP($B14,'GP4'!$C$6:$C$101,'GP4'!$B$6:$B$101,"")</f>
        <v/>
      </c>
      <c r="L14" s="134">
        <f>_xlfn.XLOOKUP(K14,'GP4'!$B$6:$B$55,'GP4'!$A$6:$A$55,0)</f>
        <v>0</v>
      </c>
      <c r="M14" s="127" t="str">
        <f>_xlfn.XLOOKUP($B14,'GP5'!$C$6:$C$101,'GP5'!$B$6:$B$101,"")</f>
        <v/>
      </c>
      <c r="N14" s="136">
        <f>_xlfn.XLOOKUP(M14,'GP5'!$B$6:$B$55,'GP5'!$A$6:$A$55,0)</f>
        <v>0</v>
      </c>
      <c r="O14" s="127">
        <f>_xlfn.XLOOKUP($B14,'GP6'!$C$6:$C$101,'GP6'!$B$6:$B$101,"")</f>
        <v>7</v>
      </c>
      <c r="P14" s="136">
        <f>_xlfn.XLOOKUP(O14,'GP6'!$B$6:$B$55,'GP6'!$A$6:$A$55,0)</f>
        <v>21.628499279099643</v>
      </c>
      <c r="Q14" s="127">
        <f>_xlfn.XLOOKUP($B14,'GP7'!$C$6:$C$101,'GP7'!$B$6:$B$101,"")</f>
        <v>9</v>
      </c>
      <c r="R14" s="136">
        <f>_xlfn.XLOOKUP(Q14,'GP7'!$B$6:$B$55,'GP7'!$A$6:$A$55,0)</f>
        <v>6.6728173476214536</v>
      </c>
      <c r="S14" s="127" t="str">
        <f>_xlfn.XLOOKUP($B14,'GP8'!$C$6:$C$101,'GP8'!$B$6:$B$101,"")</f>
        <v/>
      </c>
      <c r="T14" s="136">
        <f>_xlfn.XLOOKUP(S14,'GP8'!$B$6:$B$55,'GP8'!$A$6:$A$55,0)</f>
        <v>0</v>
      </c>
      <c r="U14" s="127" t="str">
        <f>_xlfn.XLOOKUP(B14,MPW!C$6:C$101,MPW!B$6:B$101,"")</f>
        <v/>
      </c>
      <c r="V14" s="136" t="str">
        <f>_xlfn.XLOOKUP(U14,MPW!B$6:B$55,MPW!A$6:A$55,0)</f>
        <v/>
      </c>
    </row>
    <row r="15" spans="1:27" ht="14.8" customHeight="1" x14ac:dyDescent="0.25">
      <c r="A15" s="56">
        <f>ROW()-5</f>
        <v>10</v>
      </c>
      <c r="B15" s="53" t="s">
        <v>28</v>
      </c>
      <c r="C15" s="54"/>
      <c r="D15" s="75">
        <f>SUM(F15,H15,J15,L15,N15,P15,R15,T15,V15)-SUM(SMALL((F15,H15,J15,L15,N15,P15,R15,T15),1),SMALL((F15,H15,J15,L15,N15,P15,R15,T15),2))</f>
        <v>91.394857305536149</v>
      </c>
      <c r="E15" s="126">
        <f>_xlfn.XLOOKUP($B15,'GP1'!$C$6:$C$101,'GP1'!$B$6:$B$101,"")</f>
        <v>10</v>
      </c>
      <c r="F15" s="133">
        <f>_xlfn.XLOOKUP(E15,'GP1'!$B$6:$B$55,'GP1'!$A$6:$A$55,0)</f>
        <v>2.9476241783327595</v>
      </c>
      <c r="G15" s="126">
        <f>_xlfn.XLOOKUP($B15,'GP2'!$C$6:$C$101,'GP2'!$B$6:$B$101,"")</f>
        <v>9</v>
      </c>
      <c r="H15" s="133">
        <f>_xlfn.XLOOKUP(G15,'GP2'!$B$6:$B$55,'GP2'!$A$6:$A$55,0)</f>
        <v>5.1006228208500346</v>
      </c>
      <c r="I15" s="127">
        <f>_xlfn.XLOOKUP($B15,'GP3'!$C$6:$C$101,'GP3'!$B$6:$B$101,"")</f>
        <v>8</v>
      </c>
      <c r="J15" s="134">
        <f>_xlfn.XLOOKUP(I15,'GP3'!$B$6:$B$55,'GP3'!$A$6:$A$55,0)</f>
        <v>13.62666311249788</v>
      </c>
      <c r="K15" s="127">
        <f>_xlfn.XLOOKUP($B15,'GP4'!$C$6:$C$101,'GP4'!$B$6:$B$101,"")</f>
        <v>8</v>
      </c>
      <c r="L15" s="134">
        <f>_xlfn.XLOOKUP(K15,'GP4'!$B$6:$B$55,'GP4'!$A$6:$A$55,0)</f>
        <v>17.507470531270492</v>
      </c>
      <c r="M15" s="127">
        <f>_xlfn.XLOOKUP($B15,'GP5'!$C$6:$C$101,'GP5'!$B$6:$B$101,"")</f>
        <v>7</v>
      </c>
      <c r="N15" s="136">
        <f>_xlfn.XLOOKUP(M15,'GP5'!$B$6:$B$55,'GP5'!$A$6:$A$55,0)</f>
        <v>16.60452814554516</v>
      </c>
      <c r="O15" s="127">
        <f>_xlfn.XLOOKUP($B15,'GP6'!$C$6:$C$101,'GP6'!$B$6:$B$101,"")</f>
        <v>9</v>
      </c>
      <c r="P15" s="136">
        <f>_xlfn.XLOOKUP(O15,'GP6'!$B$6:$B$55,'GP6'!$A$6:$A$55,0)</f>
        <v>6.6728173476214536</v>
      </c>
      <c r="Q15" s="127">
        <f>_xlfn.XLOOKUP($B15,'GP7'!$C$6:$C$101,'GP7'!$B$6:$B$101,"")</f>
        <v>6</v>
      </c>
      <c r="R15" s="136">
        <f>_xlfn.XLOOKUP(Q15,'GP7'!$B$6:$B$55,'GP7'!$A$6:$A$55,0)</f>
        <v>24.668204336905362</v>
      </c>
      <c r="S15" s="127">
        <f>_xlfn.XLOOKUP($B15,'GP8'!$C$6:$C$101,'GP8'!$B$6:$B$101,"")</f>
        <v>9</v>
      </c>
      <c r="T15" s="136">
        <f>_xlfn.XLOOKUP(S15,'GP8'!$B$6:$B$55,'GP8'!$A$6:$A$55,0)</f>
        <v>1</v>
      </c>
      <c r="U15" s="127">
        <f>_xlfn.XLOOKUP(B15,MPW!C$6:C$101,MPW!B$6:B$101,"")</f>
        <v>10</v>
      </c>
      <c r="V15" s="136">
        <f>_xlfn.XLOOKUP(U15,MPW!B$6:B$55,MPW!A$6:A$55,0)</f>
        <v>7.2145510108457609</v>
      </c>
    </row>
    <row r="16" spans="1:27" ht="14.8" customHeight="1" x14ac:dyDescent="0.25">
      <c r="A16" s="56">
        <f>ROW()-5</f>
        <v>11</v>
      </c>
      <c r="B16" s="53" t="s">
        <v>29</v>
      </c>
      <c r="C16" s="54"/>
      <c r="D16" s="75">
        <f>SUM(F16,H16,J16,L16,N16,P16,R16,T16,V16)-SUM(SMALL((F16,H16,J16,L16,N16,P16,R16,T16),1),SMALL((F16,H16,J16,L16,N16,P16,R16,T16),2))</f>
        <v>90.733989339325262</v>
      </c>
      <c r="E16" s="126">
        <f>_xlfn.XLOOKUP($B16,'GP1'!$C$6:$C$101,'GP1'!$B$6:$B$101,"")</f>
        <v>6</v>
      </c>
      <c r="F16" s="133">
        <f>_xlfn.XLOOKUP(E16,'GP1'!$B$6:$B$55,'GP1'!$A$6:$A$55,0)</f>
        <v>23.386134920848519</v>
      </c>
      <c r="G16" s="126" t="str">
        <f>_xlfn.XLOOKUP($B16,'GP2'!$C$6:$C$101,'GP2'!$B$6:$B$101,"")</f>
        <v/>
      </c>
      <c r="H16" s="133">
        <f>_xlfn.XLOOKUP(G16,'GP2'!$B$6:$B$55,'GP2'!$A$6:$A$55,0)</f>
        <v>0</v>
      </c>
      <c r="I16" s="127" t="str">
        <f>_xlfn.XLOOKUP($B16,'GP3'!$C$6:$C$101,'GP3'!$B$6:$B$101,"")</f>
        <v/>
      </c>
      <c r="J16" s="134">
        <f>_xlfn.XLOOKUP(I16,'GP3'!$B$6:$B$55,'GP3'!$A$6:$A$55,0)</f>
        <v>0</v>
      </c>
      <c r="K16" s="127" t="str">
        <f>_xlfn.XLOOKUP($B16,'GP4'!$C$6:$C$101,'GP4'!$B$6:$B$101,"")</f>
        <v/>
      </c>
      <c r="L16" s="134">
        <f>_xlfn.XLOOKUP(K16,'GP4'!$B$6:$B$55,'GP4'!$A$6:$A$55,0)</f>
        <v>0</v>
      </c>
      <c r="M16" s="127">
        <f>_xlfn.XLOOKUP($B16,'GP5'!$C$6:$C$101,'GP5'!$B$6:$B$101,"")</f>
        <v>4</v>
      </c>
      <c r="N16" s="136">
        <f>_xlfn.XLOOKUP(M16,'GP5'!$B$6:$B$55,'GP5'!$A$6:$A$55,0)</f>
        <v>39.084442074998591</v>
      </c>
      <c r="O16" s="127" t="str">
        <f>_xlfn.XLOOKUP($B16,'GP6'!$C$6:$C$101,'GP6'!$B$6:$B$101,"")</f>
        <v/>
      </c>
      <c r="P16" s="136">
        <f>_xlfn.XLOOKUP(O16,'GP6'!$B$6:$B$55,'GP6'!$A$6:$A$55,0)</f>
        <v>0</v>
      </c>
      <c r="Q16" s="127">
        <f>_xlfn.XLOOKUP($B16,'GP7'!$C$6:$C$101,'GP7'!$B$6:$B$101,"")</f>
        <v>5</v>
      </c>
      <c r="R16" s="136">
        <f>_xlfn.XLOOKUP(Q16,'GP7'!$B$6:$B$55,'GP7'!$A$6:$A$55,0)</f>
        <v>28.263412343478148</v>
      </c>
      <c r="S16" s="127" t="str">
        <f>_xlfn.XLOOKUP($B16,'GP8'!$C$6:$C$101,'GP8'!$B$6:$B$101,"")</f>
        <v/>
      </c>
      <c r="T16" s="136">
        <f>_xlfn.XLOOKUP(S16,'GP8'!$B$6:$B$55,'GP8'!$A$6:$A$55,0)</f>
        <v>0</v>
      </c>
      <c r="U16" s="127" t="str">
        <f>_xlfn.XLOOKUP(B16,MPW!C$6:C$101,MPW!B$6:B$101,"")</f>
        <v/>
      </c>
      <c r="V16" s="136" t="str">
        <f>_xlfn.XLOOKUP(U16,MPW!B$6:B$55,MPW!A$6:A$55,0)</f>
        <v/>
      </c>
    </row>
    <row r="17" spans="1:22" ht="14.8" customHeight="1" x14ac:dyDescent="0.25">
      <c r="A17" s="56">
        <f>ROW()-5</f>
        <v>12</v>
      </c>
      <c r="B17" s="297" t="s">
        <v>30</v>
      </c>
      <c r="C17" s="54"/>
      <c r="D17" s="75">
        <f>SUM(F17,H17,J17,L17,N17,P17,R17,T17,V17)-SUM(SMALL((F17,H17,J17,L17,N17,P17,R17,T17),1),SMALL((F17,H17,J17,L17,N17,P17,R17,T17),2))</f>
        <v>71.575511955213415</v>
      </c>
      <c r="E17" s="126" t="str">
        <f>_xlfn.XLOOKUP($B17,'GP1'!$C$6:$C$101,'GP1'!$B$6:$B$101,"")</f>
        <v/>
      </c>
      <c r="F17" s="133">
        <f>_xlfn.XLOOKUP(E17,'GP1'!$B$6:$B$55,'GP1'!$A$6:$A$55,0)</f>
        <v>0</v>
      </c>
      <c r="G17" s="126">
        <f>_xlfn.XLOOKUP($B17,'GP2'!$C$6:$C$101,'GP2'!$B$6:$B$101,"")</f>
        <v>8</v>
      </c>
      <c r="H17" s="133">
        <f>_xlfn.XLOOKUP(G17,'GP2'!$B$6:$B$55,'GP2'!$A$6:$A$55,0)</f>
        <v>17.507470531270492</v>
      </c>
      <c r="I17" s="127" t="str">
        <f>_xlfn.XLOOKUP($B17,'GP3'!$C$6:$C$101,'GP3'!$B$6:$B$101,"")</f>
        <v/>
      </c>
      <c r="J17" s="134">
        <f>_xlfn.XLOOKUP(I17,'GP3'!$B$6:$B$55,'GP3'!$A$6:$A$55,0)</f>
        <v>0</v>
      </c>
      <c r="K17" s="127">
        <f>_xlfn.XLOOKUP($B17,'GP4'!$C$6:$C$101,'GP4'!$B$6:$B$101,"")</f>
        <v>9</v>
      </c>
      <c r="L17" s="134">
        <f>_xlfn.XLOOKUP(K17,'GP4'!$B$6:$B$55,'GP4'!$A$6:$A$55,0)</f>
        <v>5.1006228208500346</v>
      </c>
      <c r="M17" s="127">
        <f>_xlfn.XLOOKUP($B17,'GP5'!$C$6:$C$101,'GP5'!$B$6:$B$101,"")</f>
        <v>6</v>
      </c>
      <c r="N17" s="136">
        <f>_xlfn.XLOOKUP(M17,'GP5'!$B$6:$B$55,'GP5'!$A$6:$A$55,0)</f>
        <v>20.042221037499289</v>
      </c>
      <c r="O17" s="127">
        <f>_xlfn.XLOOKUP($B17,'GP6'!$C$6:$C$101,'GP6'!$B$6:$B$101,"")</f>
        <v>10</v>
      </c>
      <c r="P17" s="136">
        <f>_xlfn.XLOOKUP(O17,'GP6'!$B$6:$B$55,'GP6'!$A$6:$A$55,0)</f>
        <v>4.5952080065727898</v>
      </c>
      <c r="Q17" s="127" t="str">
        <f>_xlfn.XLOOKUP($B17,'GP7'!$C$6:$C$101,'GP7'!$B$6:$B$101,"")</f>
        <v/>
      </c>
      <c r="R17" s="136">
        <f>_xlfn.XLOOKUP(Q17,'GP7'!$B$6:$B$55,'GP7'!$A$6:$A$55,0)</f>
        <v>0</v>
      </c>
      <c r="S17" s="127" t="str">
        <f>_xlfn.XLOOKUP($B17,'GP8'!$C$6:$C$101,'GP8'!$B$6:$B$101,"")</f>
        <v/>
      </c>
      <c r="T17" s="136">
        <f>_xlfn.XLOOKUP(S17,'GP8'!$B$6:$B$55,'GP8'!$A$6:$A$55,0)</f>
        <v>0</v>
      </c>
      <c r="U17" s="127">
        <f>_xlfn.XLOOKUP(B17,MPW!C$6:C$101,MPW!B$6:B$101,"")</f>
        <v>8</v>
      </c>
      <c r="V17" s="136">
        <f>_xlfn.XLOOKUP(U17,MPW!B$6:B$55,MPW!A$6:A$55,0)</f>
        <v>24.329989559020802</v>
      </c>
    </row>
    <row r="18" spans="1:22" ht="14.8" customHeight="1" x14ac:dyDescent="0.25">
      <c r="A18" s="56">
        <f>ROW()-5</f>
        <v>13</v>
      </c>
      <c r="B18" s="53" t="s">
        <v>31</v>
      </c>
      <c r="C18" s="54"/>
      <c r="D18" s="75">
        <f>SUM(F18,H18,J18,L18,N18,P18,R18,T18,V18)-SUM(SMALL((F18,H18,J18,L18,N18,P18,R18,T18),1),SMALL((F18,H18,J18,L18,N18,P18,R18,T18),2))</f>
        <v>41.67164702084699</v>
      </c>
      <c r="E18" s="126" t="str">
        <f>_xlfn.XLOOKUP($B18,'GP1'!$C$6:$C$101,'GP1'!$B$6:$B$101,"")</f>
        <v/>
      </c>
      <c r="F18" s="133">
        <f>_xlfn.XLOOKUP(E18,'GP1'!$B$6:$B$55,'GP1'!$A$6:$A$55,0)</f>
        <v>0</v>
      </c>
      <c r="G18" s="126">
        <f>_xlfn.XLOOKUP($B18,'GP2'!$C$6:$C$101,'GP2'!$B$6:$B$101,"")</f>
        <v>4</v>
      </c>
      <c r="H18" s="133">
        <f>_xlfn.XLOOKUP(G18,'GP2'!$B$6:$B$55,'GP2'!$A$6:$A$55,0)</f>
        <v>41.67164702084699</v>
      </c>
      <c r="I18" s="127" t="str">
        <f>_xlfn.XLOOKUP($B18,'GP3'!$C$6:$C$101,'GP3'!$B$6:$B$101,"")</f>
        <v/>
      </c>
      <c r="J18" s="134">
        <f>_xlfn.XLOOKUP(I18,'GP3'!$B$6:$B$55,'GP3'!$A$6:$A$55,0)</f>
        <v>0</v>
      </c>
      <c r="K18" s="127" t="str">
        <f>_xlfn.XLOOKUP($B18,'GP4'!$C$6:$C$101,'GP4'!$B$6:$B$101,"")</f>
        <v/>
      </c>
      <c r="L18" s="134">
        <f>_xlfn.XLOOKUP(K18,'GP4'!$B$6:$B$55,'GP4'!$A$6:$A$55,0)</f>
        <v>0</v>
      </c>
      <c r="M18" s="127" t="str">
        <f>_xlfn.XLOOKUP($B18,'GP5'!$C$6:$C$101,'GP5'!$B$6:$B$101,"")</f>
        <v/>
      </c>
      <c r="N18" s="136">
        <f>_xlfn.XLOOKUP(M18,'GP5'!$B$6:$B$55,'GP5'!$A$6:$A$55,0)</f>
        <v>0</v>
      </c>
      <c r="O18" s="127" t="str">
        <f>_xlfn.XLOOKUP($B18,'GP6'!$C$6:$C$101,'GP6'!$B$6:$B$101,"")</f>
        <v/>
      </c>
      <c r="P18" s="136">
        <f>_xlfn.XLOOKUP(O18,'GP6'!$B$6:$B$55,'GP6'!$A$6:$A$55,0)</f>
        <v>0</v>
      </c>
      <c r="Q18" s="127" t="str">
        <f>_xlfn.XLOOKUP($B18,'GP7'!$C$6:$C$101,'GP7'!$B$6:$B$101,"")</f>
        <v/>
      </c>
      <c r="R18" s="136">
        <f>_xlfn.XLOOKUP(Q18,'GP7'!$B$6:$B$55,'GP7'!$A$6:$A$55,0)</f>
        <v>0</v>
      </c>
      <c r="S18" s="127" t="str">
        <f>_xlfn.XLOOKUP($B18,'GP8'!$C$6:$C$101,'GP8'!$B$6:$B$101,"")</f>
        <v/>
      </c>
      <c r="T18" s="136">
        <f>_xlfn.XLOOKUP(S18,'GP8'!$B$6:$B$55,'GP8'!$A$6:$A$55,0)</f>
        <v>0</v>
      </c>
      <c r="U18" s="127" t="str">
        <f>_xlfn.XLOOKUP(B18,MPW!C$6:C$101,MPW!B$6:B$101,"")</f>
        <v/>
      </c>
      <c r="V18" s="136" t="str">
        <f>_xlfn.XLOOKUP(U18,MPW!B$6:B$55,MPW!A$6:A$55,0)</f>
        <v/>
      </c>
    </row>
    <row r="19" spans="1:22" ht="14.8" customHeight="1" x14ac:dyDescent="0.25">
      <c r="A19" s="56">
        <f>ROW()-5</f>
        <v>14</v>
      </c>
      <c r="B19" s="53" t="s">
        <v>572</v>
      </c>
      <c r="C19" s="54"/>
      <c r="D19" s="75">
        <f>SUM(F19,H19,J19,L19,N19,P19,R19,T19,V19)-SUM(SMALL((F19,H19,J19,L19,N19,P19,R19,T19),1),SMALL((F19,H19,J19,L19,N19,P19,R19,T19),2))</f>
        <v>35.104554491172159</v>
      </c>
      <c r="E19" s="126" t="str">
        <f>_xlfn.XLOOKUP($B19,'GP1'!$C$6:$C$101,'GP1'!$B$6:$B$101,"")</f>
        <v/>
      </c>
      <c r="F19" s="133">
        <f>_xlfn.XLOOKUP(E19,'GP1'!$B$6:$B$55,'GP1'!$A$6:$A$55,0)</f>
        <v>0</v>
      </c>
      <c r="G19" s="126" t="str">
        <f>_xlfn.XLOOKUP($B19,'GP2'!$C$6:$C$101,'GP2'!$B$6:$B$101,"")</f>
        <v/>
      </c>
      <c r="H19" s="133">
        <f>_xlfn.XLOOKUP(G19,'GP2'!$B$6:$B$55,'GP2'!$A$6:$A$55,0)</f>
        <v>0</v>
      </c>
      <c r="I19" s="127" t="str">
        <f>_xlfn.XLOOKUP($B19,'GP3'!$C$6:$C$101,'GP3'!$B$6:$B$101,"")</f>
        <v/>
      </c>
      <c r="J19" s="134">
        <f>_xlfn.XLOOKUP(I19,'GP3'!$B$6:$B$55,'GP3'!$A$6:$A$55,0)</f>
        <v>0</v>
      </c>
      <c r="K19" s="127" t="str">
        <f>_xlfn.XLOOKUP($B19,'GP4'!$C$6:$C$101,'GP4'!$B$6:$B$101,"")</f>
        <v/>
      </c>
      <c r="L19" s="134">
        <f>_xlfn.XLOOKUP(K19,'GP4'!$B$6:$B$55,'GP4'!$A$6:$A$55,0)</f>
        <v>0</v>
      </c>
      <c r="M19" s="127" t="str">
        <f>_xlfn.XLOOKUP($B19,'GP5'!$C$6:$C$101,'GP5'!$B$6:$B$101,"")</f>
        <v/>
      </c>
      <c r="N19" s="136">
        <f>_xlfn.XLOOKUP(M19,'GP5'!$B$6:$B$55,'GP5'!$A$6:$A$55,0)</f>
        <v>0</v>
      </c>
      <c r="O19" s="127" t="str">
        <f>_xlfn.XLOOKUP($B19,'GP6'!$C$6:$C$101,'GP6'!$B$6:$B$101,"")</f>
        <v/>
      </c>
      <c r="P19" s="136">
        <f>_xlfn.XLOOKUP(O19,'GP6'!$B$6:$B$55,'GP6'!$A$6:$A$55,0)</f>
        <v>0</v>
      </c>
      <c r="Q19" s="127" t="str">
        <f>_xlfn.XLOOKUP($B19,'GP7'!$C$6:$C$101,'GP7'!$B$6:$B$101,"")</f>
        <v/>
      </c>
      <c r="R19" s="136">
        <f>_xlfn.XLOOKUP(Q19,'GP7'!$B$6:$B$55,'GP7'!$A$6:$A$55,0)</f>
        <v>0</v>
      </c>
      <c r="S19" s="127" t="str">
        <f>_xlfn.XLOOKUP($B19,'GP8'!$C$6:$C$101,'GP8'!$B$6:$B$101,"")</f>
        <v/>
      </c>
      <c r="T19" s="136">
        <f>_xlfn.XLOOKUP(S19,'GP8'!$B$6:$B$55,'GP8'!$A$6:$A$55,0)</f>
        <v>0</v>
      </c>
      <c r="U19" s="127">
        <f>_xlfn.XLOOKUP(B19,MPW!C$6:C$101,MPW!B$6:B$101,"")</f>
        <v>5</v>
      </c>
      <c r="V19" s="136">
        <f>_xlfn.XLOOKUP(U19,MPW!B$6:B$55,MPW!A$6:A$55,0)</f>
        <v>35.104554491172159</v>
      </c>
    </row>
    <row r="20" spans="1:22" ht="14.8" customHeight="1" x14ac:dyDescent="0.25">
      <c r="A20" s="56">
        <f>ROW()-5</f>
        <v>15</v>
      </c>
      <c r="B20" s="53" t="s">
        <v>33</v>
      </c>
      <c r="C20" s="54"/>
      <c r="D20" s="75">
        <f>SUM(F20,H20,J20,L20,N20,P20,R20,T20,V20)-SUM(SMALL((F20,H20,J20,L20,N20,P20,R20,T20),1),SMALL((F20,H20,J20,L20,N20,P20,R20,T20),2))</f>
        <v>27.085277044317582</v>
      </c>
      <c r="E20" s="126">
        <f>_xlfn.XLOOKUP($B20,'GP1'!$C$6:$C$101,'GP1'!$B$6:$B$101,"")</f>
        <v>11</v>
      </c>
      <c r="F20" s="133">
        <f>_xlfn.XLOOKUP(E20,'GP1'!$B$6:$B$55,'GP1'!$A$6:$A$55,0)</f>
        <v>1</v>
      </c>
      <c r="G20" s="126">
        <f>_xlfn.XLOOKUP($B20,'GP2'!$C$6:$C$101,'GP2'!$B$6:$B$101,"")</f>
        <v>10</v>
      </c>
      <c r="H20" s="133">
        <f>_xlfn.XLOOKUP(G20,'GP2'!$B$6:$B$55,'GP2'!$A$6:$A$55,0)</f>
        <v>2.9476241783327595</v>
      </c>
      <c r="I20" s="127">
        <f>_xlfn.XLOOKUP($B20,'GP3'!$C$6:$C$101,'GP3'!$B$6:$B$101,"")</f>
        <v>9</v>
      </c>
      <c r="J20" s="134">
        <f>_xlfn.XLOOKUP(I20,'GP3'!$B$6:$B$55,'GP3'!$A$6:$A$55,0)</f>
        <v>1</v>
      </c>
      <c r="K20" s="127">
        <f>_xlfn.XLOOKUP($B20,'GP4'!$C$6:$C$101,'GP4'!$B$6:$B$101,"")</f>
        <v>11</v>
      </c>
      <c r="L20" s="134">
        <f>_xlfn.XLOOKUP(K20,'GP4'!$B$6:$B$55,'GP4'!$A$6:$A$55,0)</f>
        <v>1</v>
      </c>
      <c r="M20" s="127">
        <f>_xlfn.XLOOKUP($B20,'GP5'!$C$6:$C$101,'GP5'!$B$6:$B$101,"")</f>
        <v>8</v>
      </c>
      <c r="N20" s="136">
        <f>_xlfn.XLOOKUP(M20,'GP5'!$B$6:$B$55,'GP5'!$A$6:$A$55,0)</f>
        <v>13.62666311249788</v>
      </c>
      <c r="O20" s="127">
        <f>_xlfn.XLOOKUP($B20,'GP6'!$C$6:$C$101,'GP6'!$B$6:$B$101,"")</f>
        <v>11</v>
      </c>
      <c r="P20" s="136">
        <f>_xlfn.XLOOKUP(O20,'GP6'!$B$6:$B$55,'GP6'!$A$6:$A$55,0)</f>
        <v>2.7157817469141534</v>
      </c>
      <c r="Q20" s="127">
        <f>_xlfn.XLOOKUP($B20,'GP7'!$C$6:$C$101,'GP7'!$B$6:$B$101,"")</f>
        <v>10</v>
      </c>
      <c r="R20" s="136">
        <f>_xlfn.XLOOKUP(Q20,'GP7'!$B$6:$B$55,'GP7'!$A$6:$A$55,0)</f>
        <v>4.5952080065727898</v>
      </c>
      <c r="S20" s="127" t="str">
        <f>_xlfn.XLOOKUP($B20,'GP8'!$C$6:$C$101,'GP8'!$B$6:$B$101,"")</f>
        <v/>
      </c>
      <c r="T20" s="136">
        <f>_xlfn.XLOOKUP(S20,'GP8'!$B$6:$B$55,'GP8'!$A$6:$A$55,0)</f>
        <v>0</v>
      </c>
      <c r="U20" s="127">
        <f>_xlfn.XLOOKUP(B20,MPW!C$6:C$101,MPW!B$6:B$101,"")</f>
        <v>13</v>
      </c>
      <c r="V20" s="136">
        <f>_xlfn.XLOOKUP(U20,MPW!B$6:B$55,MPW!A$6:A$55,0)</f>
        <v>1.2</v>
      </c>
    </row>
    <row r="21" spans="1:22" ht="14.8" customHeight="1" x14ac:dyDescent="0.25">
      <c r="A21" s="56">
        <f>ROW()-5</f>
        <v>16</v>
      </c>
      <c r="B21" s="53" t="s">
        <v>575</v>
      </c>
      <c r="C21" s="54"/>
      <c r="D21" s="75">
        <f>SUM(F21,H21,J21,L21,N21,P21,R21,T21,V21)-SUM(SMALL((F21,H21,J21,L21,N21,P21,R21,T21),1),SMALL((F21,H21,J21,L21,N21,P21,R21,T21),2))</f>
        <v>20.042221037499289</v>
      </c>
      <c r="E21" s="126" t="str">
        <f>_xlfn.XLOOKUP($B21,'GP1'!$C$6:$C$101,'GP1'!$B$6:$B$101,"")</f>
        <v/>
      </c>
      <c r="F21" s="133">
        <f>_xlfn.XLOOKUP(E21,'GP1'!$B$6:$B$55,'GP1'!$A$6:$A$55,0)</f>
        <v>0</v>
      </c>
      <c r="G21" s="126" t="str">
        <f>_xlfn.XLOOKUP($B21,'GP2'!$C$6:$C$101,'GP2'!$B$6:$B$101,"")</f>
        <v/>
      </c>
      <c r="H21" s="133">
        <f>_xlfn.XLOOKUP(G21,'GP2'!$B$6:$B$55,'GP2'!$A$6:$A$55,0)</f>
        <v>0</v>
      </c>
      <c r="I21" s="127" t="str">
        <f>_xlfn.XLOOKUP($B21,'GP3'!$C$6:$C$101,'GP3'!$B$6:$B$101,"")</f>
        <v/>
      </c>
      <c r="J21" s="134">
        <f>_xlfn.XLOOKUP(I21,'GP3'!$B$6:$B$55,'GP3'!$A$6:$A$55,0)</f>
        <v>0</v>
      </c>
      <c r="K21" s="127" t="str">
        <f>_xlfn.XLOOKUP($B21,'GP4'!$C$6:$C$101,'GP4'!$B$6:$B$101,"")</f>
        <v/>
      </c>
      <c r="L21" s="134">
        <f>_xlfn.XLOOKUP(K21,'GP4'!$B$6:$B$55,'GP4'!$A$6:$A$55,0)</f>
        <v>0</v>
      </c>
      <c r="M21" s="127" t="str">
        <f>_xlfn.XLOOKUP($B21,'GP5'!$C$6:$C$101,'GP5'!$B$6:$B$101,"")</f>
        <v/>
      </c>
      <c r="N21" s="136">
        <f>_xlfn.XLOOKUP(M21,'GP5'!$B$6:$B$55,'GP5'!$A$6:$A$55,0)</f>
        <v>0</v>
      </c>
      <c r="O21" s="127" t="str">
        <f>_xlfn.XLOOKUP($B21,'GP6'!$C$6:$C$101,'GP6'!$B$6:$B$101,"")</f>
        <v/>
      </c>
      <c r="P21" s="136">
        <f>_xlfn.XLOOKUP(O21,'GP6'!$B$6:$B$55,'GP6'!$A$6:$A$55,0)</f>
        <v>0</v>
      </c>
      <c r="Q21" s="127" t="str">
        <f>_xlfn.XLOOKUP($B21,'GP7'!$C$6:$C$101,'GP7'!$B$6:$B$101,"")</f>
        <v/>
      </c>
      <c r="R21" s="136">
        <f>_xlfn.XLOOKUP(Q21,'GP7'!$B$6:$B$55,'GP7'!$A$6:$A$55,0)</f>
        <v>0</v>
      </c>
      <c r="S21" s="127">
        <f>_xlfn.XLOOKUP($B21,'GP8'!$C$6:$C$101,'GP8'!$B$6:$B$101,"")</f>
        <v>6</v>
      </c>
      <c r="T21" s="136">
        <f>_xlfn.XLOOKUP(S21,'GP8'!$B$6:$B$55,'GP8'!$A$6:$A$55,0)</f>
        <v>20.042221037499289</v>
      </c>
      <c r="U21" s="127" t="str">
        <f>_xlfn.XLOOKUP(B21,MPW!C$6:C$101,MPW!B$6:B$101,"")</f>
        <v/>
      </c>
      <c r="V21" s="136" t="str">
        <f>_xlfn.XLOOKUP(U21,MPW!B$6:B$55,MPW!A$6:A$55,0)</f>
        <v/>
      </c>
    </row>
    <row r="22" spans="1:22" ht="14.8" customHeight="1" x14ac:dyDescent="0.25">
      <c r="A22" s="56">
        <f>ROW()-5</f>
        <v>17</v>
      </c>
      <c r="B22" s="53" t="s">
        <v>34</v>
      </c>
      <c r="C22" s="54"/>
      <c r="D22" s="75">
        <f>SUM(F22,H22,J22,L22,N22,P22,R22,T22,V22)-SUM(SMALL((F22,H22,J22,L22,N22,P22,R22,T22),1),SMALL((F22,H22,J22,L22,N22,P22,R22,T22),2))</f>
        <v>18.995386989283922</v>
      </c>
      <c r="E22" s="126" t="str">
        <f>_xlfn.XLOOKUP($B22,'GP1'!$C$6:$C$101,'GP1'!$B$6:$B$101,"")</f>
        <v/>
      </c>
      <c r="F22" s="133">
        <f>_xlfn.XLOOKUP(E22,'GP1'!$B$6:$B$55,'GP1'!$A$6:$A$55,0)</f>
        <v>0</v>
      </c>
      <c r="G22" s="126" t="str">
        <f>_xlfn.XLOOKUP($B22,'GP2'!$C$6:$C$101,'GP2'!$B$6:$B$101,"")</f>
        <v/>
      </c>
      <c r="H22" s="133">
        <f>_xlfn.XLOOKUP(G22,'GP2'!$B$6:$B$55,'GP2'!$A$6:$A$55,0)</f>
        <v>0</v>
      </c>
      <c r="I22" s="127" t="str">
        <f>_xlfn.XLOOKUP($B22,'GP3'!$C$6:$C$101,'GP3'!$B$6:$B$101,"")</f>
        <v/>
      </c>
      <c r="J22" s="134">
        <f>_xlfn.XLOOKUP(I22,'GP3'!$B$6:$B$55,'GP3'!$A$6:$A$55,0)</f>
        <v>0</v>
      </c>
      <c r="K22" s="127" t="str">
        <f>_xlfn.XLOOKUP($B22,'GP4'!$C$6:$C$101,'GP4'!$B$6:$B$101,"")</f>
        <v/>
      </c>
      <c r="L22" s="134">
        <f>_xlfn.XLOOKUP(K22,'GP4'!$B$6:$B$55,'GP4'!$A$6:$A$55,0)</f>
        <v>0</v>
      </c>
      <c r="M22" s="127" t="str">
        <f>_xlfn.XLOOKUP($B22,'GP5'!$C$6:$C$101,'GP5'!$B$6:$B$101,"")</f>
        <v/>
      </c>
      <c r="N22" s="136">
        <f>_xlfn.XLOOKUP(M22,'GP5'!$B$6:$B$55,'GP5'!$A$6:$A$55,0)</f>
        <v>0</v>
      </c>
      <c r="O22" s="127">
        <f>_xlfn.XLOOKUP($B22,'GP6'!$C$6:$C$101,'GP6'!$B$6:$B$101,"")</f>
        <v>8</v>
      </c>
      <c r="P22" s="136">
        <f>_xlfn.XLOOKUP(O22,'GP6'!$B$6:$B$55,'GP6'!$A$6:$A$55,0)</f>
        <v>18.995386989283922</v>
      </c>
      <c r="Q22" s="127" t="str">
        <f>_xlfn.XLOOKUP($B22,'GP7'!$C$6:$C$101,'GP7'!$B$6:$B$101,"")</f>
        <v/>
      </c>
      <c r="R22" s="136">
        <f>_xlfn.XLOOKUP(Q22,'GP7'!$B$6:$B$55,'GP7'!$A$6:$A$55,0)</f>
        <v>0</v>
      </c>
      <c r="S22" s="127" t="str">
        <f>_xlfn.XLOOKUP($B22,'GP8'!$C$6:$C$101,'GP8'!$B$6:$B$101,"")</f>
        <v/>
      </c>
      <c r="T22" s="136">
        <f>_xlfn.XLOOKUP(S22,'GP8'!$B$6:$B$55,'GP8'!$A$6:$A$55,0)</f>
        <v>0</v>
      </c>
      <c r="U22" s="127" t="str">
        <f>_xlfn.XLOOKUP(B22,MPW!C$6:C$101,MPW!B$6:B$101,"")</f>
        <v/>
      </c>
      <c r="V22" s="136" t="str">
        <f>_xlfn.XLOOKUP(U22,MPW!B$6:B$55,MPW!A$6:A$55,0)</f>
        <v/>
      </c>
    </row>
    <row r="23" spans="1:22" ht="14.8" customHeight="1" x14ac:dyDescent="0.25">
      <c r="A23" s="56">
        <f>ROW()-5</f>
        <v>18</v>
      </c>
      <c r="B23" s="53" t="s">
        <v>569</v>
      </c>
      <c r="C23" s="54"/>
      <c r="D23" s="75">
        <f>SUM(F23,H23,J23,L23,N23,P23,R23,T23,V23)-SUM(SMALL((F23,H23,J23,L23,N23,P23,R23,T23),1),SMALL((F23,H23,J23,L23,N23,P23,R23,T23),2))</f>
        <v>14.62666311249788</v>
      </c>
      <c r="E23" s="126" t="str">
        <f>_xlfn.XLOOKUP($B23,'GP1'!$C$6:$C$101,'GP1'!$B$6:$B$101,"")</f>
        <v/>
      </c>
      <c r="F23" s="133">
        <f>_xlfn.XLOOKUP(E23,'GP1'!$B$6:$B$55,'GP1'!$A$6:$A$55,0)</f>
        <v>0</v>
      </c>
      <c r="G23" s="126" t="str">
        <f>_xlfn.XLOOKUP($B23,'GP2'!$C$6:$C$101,'GP2'!$B$6:$B$101,"")</f>
        <v/>
      </c>
      <c r="H23" s="133">
        <f>_xlfn.XLOOKUP(G23,'GP2'!$B$6:$B$55,'GP2'!$A$6:$A$55,0)</f>
        <v>0</v>
      </c>
      <c r="I23" s="127" t="str">
        <f>_xlfn.XLOOKUP($B23,'GP3'!$C$6:$C$101,'GP3'!$B$6:$B$101,"")</f>
        <v/>
      </c>
      <c r="J23" s="134">
        <f>_xlfn.XLOOKUP(I23,'GP3'!$B$6:$B$55,'GP3'!$A$6:$A$55,0)</f>
        <v>0</v>
      </c>
      <c r="K23" s="127" t="str">
        <f>_xlfn.XLOOKUP($B23,'GP4'!$C$6:$C$101,'GP4'!$B$6:$B$101,"")</f>
        <v/>
      </c>
      <c r="L23" s="134">
        <f>_xlfn.XLOOKUP(K23,'GP4'!$B$6:$B$55,'GP4'!$A$6:$A$55,0)</f>
        <v>0</v>
      </c>
      <c r="M23" s="127" t="str">
        <f>_xlfn.XLOOKUP($B23,'GP5'!$C$6:$C$101,'GP5'!$B$6:$B$101,"")</f>
        <v/>
      </c>
      <c r="N23" s="136">
        <f>_xlfn.XLOOKUP(M23,'GP5'!$B$6:$B$55,'GP5'!$A$6:$A$55,0)</f>
        <v>0</v>
      </c>
      <c r="O23" s="127" t="str">
        <f>_xlfn.XLOOKUP($B23,'GP6'!$C$6:$C$101,'GP6'!$B$6:$B$101,"")</f>
        <v/>
      </c>
      <c r="P23" s="136">
        <f>_xlfn.XLOOKUP(O23,'GP6'!$B$6:$B$55,'GP6'!$A$6:$A$55,0)</f>
        <v>0</v>
      </c>
      <c r="Q23" s="127">
        <f>_xlfn.XLOOKUP($B23,'GP7'!$C$6:$C$101,'GP7'!$B$6:$B$101,"")</f>
        <v>12</v>
      </c>
      <c r="R23" s="136">
        <f>_xlfn.XLOOKUP(Q23,'GP7'!$B$6:$B$55,'GP7'!$A$6:$A$55,0)</f>
        <v>1</v>
      </c>
      <c r="S23" s="127">
        <f>_xlfn.XLOOKUP($B23,'GP8'!$C$6:$C$101,'GP8'!$B$6:$B$101,"")</f>
        <v>8</v>
      </c>
      <c r="T23" s="136">
        <f>_xlfn.XLOOKUP(S23,'GP8'!$B$6:$B$55,'GP8'!$A$6:$A$55,0)</f>
        <v>13.62666311249788</v>
      </c>
      <c r="U23" s="127" t="str">
        <f>_xlfn.XLOOKUP(B23,MPW!C$6:C$101,MPW!B$6:B$101,"")</f>
        <v/>
      </c>
      <c r="V23" s="136" t="str">
        <f>_xlfn.XLOOKUP(U23,MPW!B$6:B$55,MPW!A$6:A$55,0)</f>
        <v/>
      </c>
    </row>
    <row r="24" spans="1:22" ht="14.8" customHeight="1" x14ac:dyDescent="0.25">
      <c r="A24" s="56">
        <f>ROW()-5</f>
        <v>19</v>
      </c>
      <c r="B24" s="53" t="s">
        <v>35</v>
      </c>
      <c r="C24" s="54"/>
      <c r="D24" s="75">
        <f>SUM(F24,H24,J24,L24,N24,P24,R24,T24,V24)-SUM(SMALL((F24,H24,J24,L24,N24,P24,R24,T24),1),SMALL((F24,H24,J24,L24,N24,P24,R24,T24),2))</f>
        <v>11.693025465149059</v>
      </c>
      <c r="E24" s="126" t="str">
        <f>_xlfn.XLOOKUP($B24,'GP1'!$C$6:$C$101,'GP1'!$B$6:$B$101,"")</f>
        <v/>
      </c>
      <c r="F24" s="133">
        <f>_xlfn.XLOOKUP(E24,'GP1'!$B$6:$B$55,'GP1'!$A$6:$A$55,0)</f>
        <v>0</v>
      </c>
      <c r="G24" s="126" t="str">
        <f>_xlfn.XLOOKUP($B24,'GP2'!$C$6:$C$101,'GP2'!$B$6:$B$101,"")</f>
        <v/>
      </c>
      <c r="H24" s="133">
        <f>_xlfn.XLOOKUP(G24,'GP2'!$B$6:$B$55,'GP2'!$A$6:$A$55,0)</f>
        <v>0</v>
      </c>
      <c r="I24" s="127" t="str">
        <f>_xlfn.XLOOKUP($B24,'GP3'!$C$6:$C$101,'GP3'!$B$6:$B$101,"")</f>
        <v/>
      </c>
      <c r="J24" s="134">
        <f>_xlfn.XLOOKUP(I24,'GP3'!$B$6:$B$55,'GP3'!$A$6:$A$55,0)</f>
        <v>0</v>
      </c>
      <c r="K24" s="127">
        <f>_xlfn.XLOOKUP($B24,'GP4'!$C$6:$C$101,'GP4'!$B$6:$B$101,"")</f>
        <v>10</v>
      </c>
      <c r="L24" s="134">
        <f>_xlfn.XLOOKUP(K24,'GP4'!$B$6:$B$55,'GP4'!$A$6:$A$55,0)</f>
        <v>2.9476241783327595</v>
      </c>
      <c r="M24" s="127">
        <f>_xlfn.XLOOKUP($B24,'GP5'!$C$6:$C$101,'GP5'!$B$6:$B$101,"")</f>
        <v>9</v>
      </c>
      <c r="N24" s="136">
        <f>_xlfn.XLOOKUP(M24,'GP5'!$B$6:$B$55,'GP5'!$A$6:$A$55,0)</f>
        <v>1</v>
      </c>
      <c r="O24" s="127" t="str">
        <f>_xlfn.XLOOKUP($B24,'GP6'!$C$6:$C$101,'GP6'!$B$6:$B$101,"")</f>
        <v/>
      </c>
      <c r="P24" s="136">
        <f>_xlfn.XLOOKUP(O24,'GP6'!$B$6:$B$55,'GP6'!$A$6:$A$55,0)</f>
        <v>0</v>
      </c>
      <c r="Q24" s="127">
        <f>_xlfn.XLOOKUP($B24,'GP7'!$C$6:$C$101,'GP7'!$B$6:$B$101,"")</f>
        <v>11</v>
      </c>
      <c r="R24" s="136">
        <f>_xlfn.XLOOKUP(Q24,'GP7'!$B$6:$B$55,'GP7'!$A$6:$A$55,0)</f>
        <v>2.7157817469141534</v>
      </c>
      <c r="S24" s="127" t="str">
        <f>_xlfn.XLOOKUP($B24,'GP8'!$C$6:$C$101,'GP8'!$B$6:$B$101,"")</f>
        <v/>
      </c>
      <c r="T24" s="136">
        <f>_xlfn.XLOOKUP(S24,'GP8'!$B$6:$B$55,'GP8'!$A$6:$A$55,0)</f>
        <v>0</v>
      </c>
      <c r="U24" s="127">
        <f>_xlfn.XLOOKUP(B24,MPW!C$6:C$101,MPW!B$6:B$101,"")</f>
        <v>11</v>
      </c>
      <c r="V24" s="136">
        <f>_xlfn.XLOOKUP(U24,MPW!B$6:B$55,MPW!A$6:A$55,0)</f>
        <v>5.0296195399021455</v>
      </c>
    </row>
    <row r="25" spans="1:22" ht="14.8" customHeight="1" x14ac:dyDescent="0.25">
      <c r="A25" s="56">
        <f>ROW()-5</f>
        <v>20</v>
      </c>
      <c r="B25" s="53" t="s">
        <v>573</v>
      </c>
      <c r="C25" s="54"/>
      <c r="D25" s="75">
        <f>SUM(F25,H25,J25,L25,N25,P25,R25,T25,V25)-SUM(SMALL((F25,H25,J25,L25,N25,P25,R25,T25),1),SMALL((F25,H25,J25,L25,N25,P25,R25,T25),2))</f>
        <v>9.6298806947079871</v>
      </c>
      <c r="E25" s="126" t="str">
        <f>_xlfn.XLOOKUP($B25,'GP1'!$C$6:$C$101,'GP1'!$B$6:$B$101,"")</f>
        <v/>
      </c>
      <c r="F25" s="133">
        <f>_xlfn.XLOOKUP(E25,'GP1'!$B$6:$B$55,'GP1'!$A$6:$A$55,0)</f>
        <v>0</v>
      </c>
      <c r="G25" s="126" t="str">
        <f>_xlfn.XLOOKUP($B25,'GP2'!$C$6:$C$101,'GP2'!$B$6:$B$101,"")</f>
        <v/>
      </c>
      <c r="H25" s="133">
        <f>_xlfn.XLOOKUP(G25,'GP2'!$B$6:$B$55,'GP2'!$A$6:$A$55,0)</f>
        <v>0</v>
      </c>
      <c r="I25" s="127" t="str">
        <f>_xlfn.XLOOKUP($B25,'GP3'!$C$6:$C$101,'GP3'!$B$6:$B$101,"")</f>
        <v/>
      </c>
      <c r="J25" s="134">
        <f>_xlfn.XLOOKUP(I25,'GP3'!$B$6:$B$55,'GP3'!$A$6:$A$55,0)</f>
        <v>0</v>
      </c>
      <c r="K25" s="127" t="str">
        <f>_xlfn.XLOOKUP($B25,'GP4'!$C$6:$C$101,'GP4'!$B$6:$B$101,"")</f>
        <v/>
      </c>
      <c r="L25" s="134">
        <f>_xlfn.XLOOKUP(K25,'GP4'!$B$6:$B$55,'GP4'!$A$6:$A$55,0)</f>
        <v>0</v>
      </c>
      <c r="M25" s="127" t="str">
        <f>_xlfn.XLOOKUP($B25,'GP5'!$C$6:$C$101,'GP5'!$B$6:$B$101,"")</f>
        <v/>
      </c>
      <c r="N25" s="136">
        <f>_xlfn.XLOOKUP(M25,'GP5'!$B$6:$B$55,'GP5'!$A$6:$A$55,0)</f>
        <v>0</v>
      </c>
      <c r="O25" s="127" t="str">
        <f>_xlfn.XLOOKUP($B25,'GP6'!$C$6:$C$101,'GP6'!$B$6:$B$101,"")</f>
        <v/>
      </c>
      <c r="P25" s="136">
        <f>_xlfn.XLOOKUP(O25,'GP6'!$B$6:$B$55,'GP6'!$A$6:$A$55,0)</f>
        <v>0</v>
      </c>
      <c r="Q25" s="127" t="str">
        <f>_xlfn.XLOOKUP($B25,'GP7'!$C$6:$C$101,'GP7'!$B$6:$B$101,"")</f>
        <v/>
      </c>
      <c r="R25" s="136">
        <f>_xlfn.XLOOKUP(Q25,'GP7'!$B$6:$B$55,'GP7'!$A$6:$A$55,0)</f>
        <v>0</v>
      </c>
      <c r="S25" s="127" t="str">
        <f>_xlfn.XLOOKUP($B25,'GP8'!$C$6:$C$101,'GP8'!$B$6:$B$101,"")</f>
        <v/>
      </c>
      <c r="T25" s="136">
        <f>_xlfn.XLOOKUP(S25,'GP8'!$B$6:$B$55,'GP8'!$A$6:$A$55,0)</f>
        <v>0</v>
      </c>
      <c r="U25" s="127">
        <f>_xlfn.XLOOKUP(B25,MPW!C$6:C$101,MPW!B$6:B$101,"")</f>
        <v>9</v>
      </c>
      <c r="V25" s="136">
        <f>_xlfn.XLOOKUP(U25,MPW!B$6:B$55,MPW!A$6:A$55,0)</f>
        <v>9.6298806947079871</v>
      </c>
    </row>
    <row r="26" spans="1:22" ht="14.8" customHeight="1" x14ac:dyDescent="0.25">
      <c r="A26" s="56">
        <f>ROW()-5</f>
        <v>21</v>
      </c>
      <c r="B26" s="53" t="s">
        <v>32</v>
      </c>
      <c r="C26" s="54"/>
      <c r="D26" s="75">
        <f>SUM(F26,H26,J26,L26,N26,P26,R26,T26,V26)-SUM(SMALL((F26,H26,J26,L26,N26,P26,R26,T26),1),SMALL((F26,H26,J26,L26,N26,P26,R26,T26),2))</f>
        <v>5.1006228208500346</v>
      </c>
      <c r="E26" s="126">
        <f>_xlfn.XLOOKUP($B26,'GP1'!$C$6:$C$101,'GP1'!$B$6:$B$101,"")</f>
        <v>9</v>
      </c>
      <c r="F26" s="133">
        <f>_xlfn.XLOOKUP(E26,'GP1'!$B$6:$B$55,'GP1'!$A$6:$A$55,0)</f>
        <v>5.1006228208500346</v>
      </c>
      <c r="G26" s="126" t="str">
        <f>_xlfn.XLOOKUP($B26,'GP2'!$C$6:$C$101,'GP2'!$B$6:$B$101,"")</f>
        <v/>
      </c>
      <c r="H26" s="133">
        <f>_xlfn.XLOOKUP(G26,'GP2'!$B$6:$B$55,'GP2'!$A$6:$A$55,0)</f>
        <v>0</v>
      </c>
      <c r="I26" s="127" t="str">
        <f>_xlfn.XLOOKUP($B26,'GP3'!$C$6:$C$101,'GP3'!$B$6:$B$101,"")</f>
        <v/>
      </c>
      <c r="J26" s="134">
        <f>_xlfn.XLOOKUP(I26,'GP3'!$B$6:$B$55,'GP3'!$A$6:$A$55,0)</f>
        <v>0</v>
      </c>
      <c r="K26" s="127" t="str">
        <f>_xlfn.XLOOKUP($B26,'GP4'!$C$6:$C$101,'GP4'!$B$6:$B$101,"")</f>
        <v/>
      </c>
      <c r="L26" s="134">
        <f>_xlfn.XLOOKUP(K26,'GP4'!$B$6:$B$55,'GP4'!$A$6:$A$55,0)</f>
        <v>0</v>
      </c>
      <c r="M26" s="127" t="str">
        <f>_xlfn.XLOOKUP($B26,'GP5'!$C$6:$C$101,'GP5'!$B$6:$B$101,"")</f>
        <v/>
      </c>
      <c r="N26" s="136">
        <f>_xlfn.XLOOKUP(M26,'GP5'!$B$6:$B$55,'GP5'!$A$6:$A$55,0)</f>
        <v>0</v>
      </c>
      <c r="O26" s="127" t="str">
        <f>_xlfn.XLOOKUP($B26,'GP6'!$C$6:$C$101,'GP6'!$B$6:$B$101,"")</f>
        <v/>
      </c>
      <c r="P26" s="136">
        <f>_xlfn.XLOOKUP(O26,'GP6'!$B$6:$B$55,'GP6'!$A$6:$A$55,0)</f>
        <v>0</v>
      </c>
      <c r="Q26" s="127" t="str">
        <f>_xlfn.XLOOKUP($B26,'GP7'!$C$6:$C$101,'GP7'!$B$6:$B$101,"")</f>
        <v/>
      </c>
      <c r="R26" s="136">
        <f>_xlfn.XLOOKUP(Q26,'GP7'!$B$6:$B$55,'GP7'!$A$6:$A$55,0)</f>
        <v>0</v>
      </c>
      <c r="S26" s="127" t="str">
        <f>_xlfn.XLOOKUP($B26,'GP8'!$C$6:$C$101,'GP8'!$B$6:$B$101,"")</f>
        <v/>
      </c>
      <c r="T26" s="136">
        <f>_xlfn.XLOOKUP(S26,'GP8'!$B$6:$B$55,'GP8'!$A$6:$A$55,0)</f>
        <v>0</v>
      </c>
      <c r="U26" s="127" t="str">
        <f>_xlfn.XLOOKUP(B26,MPW!C$6:C$101,MPW!B$6:B$101,"")</f>
        <v/>
      </c>
      <c r="V26" s="136" t="str">
        <f>_xlfn.XLOOKUP(U26,MPW!B$6:B$55,MPW!A$6:A$55,0)</f>
        <v/>
      </c>
    </row>
    <row r="27" spans="1:22" ht="14.8" customHeight="1" x14ac:dyDescent="0.25">
      <c r="A27" s="56">
        <f>ROW()-5</f>
        <v>22</v>
      </c>
      <c r="B27" s="53" t="s">
        <v>36</v>
      </c>
      <c r="C27" s="54"/>
      <c r="D27" s="75">
        <f>SUM(F27,H27,J27,L27,N27,P27,R27,T27,V27)-SUM(SMALL((F27,H27,J27,L27,N27,P27,R27,T27),1),SMALL((F27,H27,J27,L27,N27,P27,R27,T27),2))</f>
        <v>1</v>
      </c>
      <c r="E27" s="126" t="str">
        <f>_xlfn.XLOOKUP($B27,'GP1'!$C$6:$C$101,'GP1'!$B$6:$B$101,"")</f>
        <v/>
      </c>
      <c r="F27" s="133">
        <f>_xlfn.XLOOKUP(E27,'GP1'!$B$6:$B$55,'GP1'!$A$6:$A$55,0)</f>
        <v>0</v>
      </c>
      <c r="G27" s="126">
        <f>_xlfn.XLOOKUP($B27,'GP2'!$C$6:$C$101,'GP2'!$B$6:$B$101,"")</f>
        <v>11</v>
      </c>
      <c r="H27" s="133">
        <f>_xlfn.XLOOKUP(G27,'GP2'!$B$6:$B$55,'GP2'!$A$6:$A$55,0)</f>
        <v>1</v>
      </c>
      <c r="I27" s="127" t="str">
        <f>_xlfn.XLOOKUP($B27,'GP3'!$C$6:$C$101,'GP3'!$B$6:$B$101,"")</f>
        <v/>
      </c>
      <c r="J27" s="134">
        <f>_xlfn.XLOOKUP(I27,'GP3'!$B$6:$B$55,'GP3'!$A$6:$A$55,0)</f>
        <v>0</v>
      </c>
      <c r="K27" s="127" t="str">
        <f>_xlfn.XLOOKUP($B27,'GP4'!$C$6:$C$101,'GP4'!$B$6:$B$101,"")</f>
        <v/>
      </c>
      <c r="L27" s="134">
        <f>_xlfn.XLOOKUP(K27,'GP4'!$B$6:$B$55,'GP4'!$A$6:$A$55,0)</f>
        <v>0</v>
      </c>
      <c r="M27" s="127" t="str">
        <f>_xlfn.XLOOKUP($B27,'GP5'!$C$6:$C$101,'GP5'!$B$6:$B$101,"")</f>
        <v/>
      </c>
      <c r="N27" s="136">
        <f>_xlfn.XLOOKUP(M27,'GP5'!$B$6:$B$55,'GP5'!$A$6:$A$55,0)</f>
        <v>0</v>
      </c>
      <c r="O27" s="127" t="str">
        <f>_xlfn.XLOOKUP($B27,'GP6'!$C$6:$C$101,'GP6'!$B$6:$B$101,"")</f>
        <v/>
      </c>
      <c r="P27" s="136">
        <f>_xlfn.XLOOKUP(O27,'GP6'!$B$6:$B$55,'GP6'!$A$6:$A$55,0)</f>
        <v>0</v>
      </c>
      <c r="Q27" s="127" t="str">
        <f>_xlfn.XLOOKUP($B27,'GP7'!$C$6:$C$101,'GP7'!$B$6:$B$101,"")</f>
        <v/>
      </c>
      <c r="R27" s="136">
        <f>_xlfn.XLOOKUP(Q27,'GP7'!$B$6:$B$55,'GP7'!$A$6:$A$55,0)</f>
        <v>0</v>
      </c>
      <c r="S27" s="127" t="str">
        <f>_xlfn.XLOOKUP($B27,'GP8'!$C$6:$C$101,'GP8'!$B$6:$B$101,"")</f>
        <v/>
      </c>
      <c r="T27" s="136">
        <f>_xlfn.XLOOKUP(S27,'GP8'!$B$6:$B$55,'GP8'!$A$6:$A$55,0)</f>
        <v>0</v>
      </c>
      <c r="U27" s="127" t="str">
        <f>_xlfn.XLOOKUP(B27,MPW!C$6:C$101,MPW!B$6:B$101,"")</f>
        <v/>
      </c>
      <c r="V27" s="136" t="str">
        <f>_xlfn.XLOOKUP(U27,MPW!B$6:B$55,MPW!A$6:A$55,0)</f>
        <v/>
      </c>
    </row>
    <row r="28" spans="1:22" ht="14.8" customHeight="1" x14ac:dyDescent="0.25">
      <c r="A28" s="56">
        <f>ROW()-5</f>
        <v>23</v>
      </c>
      <c r="B28" s="53" t="s">
        <v>37</v>
      </c>
      <c r="C28" s="54"/>
      <c r="D28" s="75">
        <f>SUM(F28,H28,J28,L28,N28,P28,R28,T28,V28)-SUM(SMALL((F28,H28,J28,L28,N28,P28,R28,T28),1),SMALL((F28,H28,J28,L28,N28,P28,R28,T28),2))</f>
        <v>1</v>
      </c>
      <c r="E28" s="126" t="str">
        <f>_xlfn.XLOOKUP($B28,'GP1'!$C$6:$C$101,'GP1'!$B$6:$B$101,"")</f>
        <v/>
      </c>
      <c r="F28" s="133">
        <f>_xlfn.XLOOKUP(E28,'GP1'!$B$6:$B$55,'GP1'!$A$6:$A$55,0)</f>
        <v>0</v>
      </c>
      <c r="G28" s="126" t="str">
        <f>_xlfn.XLOOKUP($B28,'GP2'!$C$6:$C$101,'GP2'!$B$6:$B$101,"")</f>
        <v/>
      </c>
      <c r="H28" s="133">
        <f>_xlfn.XLOOKUP(G28,'GP2'!$B$6:$B$55,'GP2'!$A$6:$A$55,0)</f>
        <v>0</v>
      </c>
      <c r="I28" s="127" t="str">
        <f>_xlfn.XLOOKUP($B28,'GP3'!$C$6:$C$101,'GP3'!$B$6:$B$101,"")</f>
        <v/>
      </c>
      <c r="J28" s="134">
        <f>_xlfn.XLOOKUP(I28,'GP3'!$B$6:$B$55,'GP3'!$A$6:$A$55,0)</f>
        <v>0</v>
      </c>
      <c r="K28" s="127" t="str">
        <f>_xlfn.XLOOKUP($B28,'GP4'!$C$6:$C$101,'GP4'!$B$6:$B$101,"")</f>
        <v/>
      </c>
      <c r="L28" s="134">
        <f>_xlfn.XLOOKUP(K28,'GP4'!$B$6:$B$55,'GP4'!$A$6:$A$55,0)</f>
        <v>0</v>
      </c>
      <c r="M28" s="127" t="str">
        <f>_xlfn.XLOOKUP($B28,'GP5'!$C$6:$C$101,'GP5'!$B$6:$B$101,"")</f>
        <v/>
      </c>
      <c r="N28" s="136">
        <f>_xlfn.XLOOKUP(M28,'GP5'!$B$6:$B$55,'GP5'!$A$6:$A$55,0)</f>
        <v>0</v>
      </c>
      <c r="O28" s="127">
        <f>_xlfn.XLOOKUP($B28,'GP6'!$C$6:$C$101,'GP6'!$B$6:$B$101,"")</f>
        <v>12</v>
      </c>
      <c r="P28" s="136">
        <f>_xlfn.XLOOKUP(O28,'GP6'!$B$6:$B$55,'GP6'!$A$6:$A$55,0)</f>
        <v>1</v>
      </c>
      <c r="Q28" s="127" t="str">
        <f>_xlfn.XLOOKUP($B28,'GP7'!$C$6:$C$101,'GP7'!$B$6:$B$101,"")</f>
        <v/>
      </c>
      <c r="R28" s="136">
        <f>_xlfn.XLOOKUP(Q28,'GP7'!$B$6:$B$55,'GP7'!$A$6:$A$55,0)</f>
        <v>0</v>
      </c>
      <c r="S28" s="127" t="str">
        <f>_xlfn.XLOOKUP($B28,'GP8'!$C$6:$C$101,'GP8'!$B$6:$B$101,"")</f>
        <v/>
      </c>
      <c r="T28" s="136">
        <f>_xlfn.XLOOKUP(S28,'GP8'!$B$6:$B$55,'GP8'!$A$6:$A$55,0)</f>
        <v>0</v>
      </c>
      <c r="U28" s="127" t="str">
        <f>_xlfn.XLOOKUP(B28,MPW!C$6:C$101,MPW!B$6:B$101,"")</f>
        <v/>
      </c>
      <c r="V28" s="136" t="str">
        <f>_xlfn.XLOOKUP(U28,MPW!B$6:B$55,MPW!A$6:A$55,0)</f>
        <v/>
      </c>
    </row>
    <row r="29" spans="1:22" ht="14.8" customHeight="1" x14ac:dyDescent="0.25">
      <c r="A29" s="56">
        <f>ROW()-5</f>
        <v>24</v>
      </c>
      <c r="B29" s="53"/>
      <c r="C29" s="54"/>
      <c r="D29" s="75">
        <f>SUM(F29,H29,J29,L29,N29,P29,R29,T29,V29)-SUM(SMALL((F29,H29,J29,L29,N29,P29,R29,T29),1),SMALL((F29,H29,J29,L29,N29,P29,R29,T29),2))</f>
        <v>0</v>
      </c>
      <c r="E29" s="126" t="str">
        <f>_xlfn.XLOOKUP($B29,'GP1'!$C$6:$C$101,'GP1'!$B$6:$B$101,"")</f>
        <v/>
      </c>
      <c r="F29" s="133">
        <f>_xlfn.XLOOKUP(E29,'GP1'!$B$6:$B$55,'GP1'!$A$6:$A$55,0)</f>
        <v>0</v>
      </c>
      <c r="G29" s="126" t="str">
        <f>_xlfn.XLOOKUP($B29,'GP2'!$C$6:$C$101,'GP2'!$B$6:$B$101,"")</f>
        <v/>
      </c>
      <c r="H29" s="133">
        <f>_xlfn.XLOOKUP(G29,'GP2'!$B$6:$B$55,'GP2'!$A$6:$A$55,0)</f>
        <v>0</v>
      </c>
      <c r="I29" s="127" t="str">
        <f>_xlfn.XLOOKUP($B29,'GP3'!$C$6:$C$101,'GP3'!$B$6:$B$101,"")</f>
        <v/>
      </c>
      <c r="J29" s="134">
        <f>_xlfn.XLOOKUP(I29,'GP3'!$B$6:$B$55,'GP3'!$A$6:$A$55,0)</f>
        <v>0</v>
      </c>
      <c r="K29" s="127" t="str">
        <f>_xlfn.XLOOKUP($B29,'GP4'!$C$6:$C$101,'GP4'!$B$6:$B$101,"")</f>
        <v/>
      </c>
      <c r="L29" s="134">
        <f>_xlfn.XLOOKUP(K29,'GP4'!$B$6:$B$55,'GP4'!$A$6:$A$55,0)</f>
        <v>0</v>
      </c>
      <c r="M29" s="127" t="str">
        <f>_xlfn.XLOOKUP($B29,'GP5'!$C$6:$C$101,'GP5'!$B$6:$B$101,"")</f>
        <v/>
      </c>
      <c r="N29" s="136">
        <f>_xlfn.XLOOKUP(M29,'GP5'!$B$6:$B$55,'GP5'!$A$6:$A$55,0)</f>
        <v>0</v>
      </c>
      <c r="O29" s="127" t="str">
        <f>_xlfn.XLOOKUP($B29,'GP6'!$C$6:$C$101,'GP6'!$B$6:$B$101,"")</f>
        <v/>
      </c>
      <c r="P29" s="136">
        <f>_xlfn.XLOOKUP(O29,'GP6'!$B$6:$B$55,'GP6'!$A$6:$A$55,0)</f>
        <v>0</v>
      </c>
      <c r="Q29" s="127" t="str">
        <f>_xlfn.XLOOKUP($B29,'GP7'!$C$6:$C$101,'GP7'!$B$6:$B$101,"")</f>
        <v/>
      </c>
      <c r="R29" s="136">
        <f>_xlfn.XLOOKUP(Q29,'GP7'!$B$6:$B$55,'GP7'!$A$6:$A$55,0)</f>
        <v>0</v>
      </c>
      <c r="S29" s="127" t="str">
        <f>_xlfn.XLOOKUP($B29,'GP8'!$C$6:$C$101,'GP8'!$B$6:$B$101,"")</f>
        <v/>
      </c>
      <c r="T29" s="136">
        <f>_xlfn.XLOOKUP(S29,'GP8'!$B$6:$B$55,'GP8'!$A$6:$A$55,0)</f>
        <v>0</v>
      </c>
      <c r="U29" s="127" t="str">
        <f>_xlfn.XLOOKUP(B29,MPW!C$6:C$101,MPW!B$6:B$101,"")</f>
        <v/>
      </c>
      <c r="V29" s="136" t="str">
        <f>_xlfn.XLOOKUP(U29,MPW!B$6:B$55,MPW!A$6:A$55,0)</f>
        <v/>
      </c>
    </row>
    <row r="30" spans="1:22" ht="12.9" x14ac:dyDescent="0.2">
      <c r="A30" s="57"/>
      <c r="B30" s="296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</row>
    <row r="31" spans="1:22" ht="12.9" x14ac:dyDescent="0.2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</row>
    <row r="32" spans="1:22" ht="12.9" x14ac:dyDescent="0.2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</row>
    <row r="33" spans="1:22" ht="12.9" x14ac:dyDescent="0.2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</row>
    <row r="34" spans="1:22" ht="12.9" x14ac:dyDescent="0.2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</row>
    <row r="35" spans="1:22" ht="12.9" x14ac:dyDescent="0.2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</row>
    <row r="36" spans="1:22" ht="12.9" x14ac:dyDescent="0.2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</row>
    <row r="37" spans="1:22" ht="12.9" x14ac:dyDescent="0.2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</row>
    <row r="38" spans="1:22" ht="12.9" x14ac:dyDescent="0.2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</row>
  </sheetData>
  <sheetProtection selectLockedCells="1" selectUnlockedCells="1"/>
  <autoFilter ref="A5:V5" xr:uid="{00000000-0001-0000-0000-000000000000}">
    <sortState xmlns:xlrd2="http://schemas.microsoft.com/office/spreadsheetml/2017/richdata2" ref="A7:V29">
      <sortCondition descending="1" ref="D5"/>
    </sortState>
  </autoFilter>
  <sortState xmlns:xlrd2="http://schemas.microsoft.com/office/spreadsheetml/2017/richdata2" ref="B7:D23">
    <sortCondition descending="1" ref="D6:D23"/>
  </sortState>
  <mergeCells count="14">
    <mergeCell ref="X2:AA4"/>
    <mergeCell ref="U4:V4"/>
    <mergeCell ref="A4:A5"/>
    <mergeCell ref="B4:B5"/>
    <mergeCell ref="C4:C5"/>
    <mergeCell ref="D4:D5"/>
    <mergeCell ref="G4:H4"/>
    <mergeCell ref="I4:J4"/>
    <mergeCell ref="K4:L4"/>
    <mergeCell ref="M4:N4"/>
    <mergeCell ref="E4:F4"/>
    <mergeCell ref="O4:P4"/>
    <mergeCell ref="Q4:R4"/>
    <mergeCell ref="S4:T4"/>
  </mergeCells>
  <conditionalFormatting sqref="A6:A29">
    <cfRule type="cellIs" dxfId="35" priority="20" operator="equal">
      <formula>3</formula>
    </cfRule>
    <cfRule type="cellIs" dxfId="34" priority="25" operator="equal">
      <formula>2</formula>
    </cfRule>
    <cfRule type="cellIs" dxfId="33" priority="26" operator="equal">
      <formula>1</formula>
    </cfRule>
  </conditionalFormatting>
  <conditionalFormatting sqref="D6:V29">
    <cfRule type="cellIs" dxfId="32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E53A5-42E7-40EA-B38B-C94C8C2D76F9}">
  <sheetPr>
    <tabColor rgb="FF92D050"/>
  </sheetPr>
  <dimension ref="A1:AL374"/>
  <sheetViews>
    <sheetView zoomScaleNormal="100" workbookViewId="0">
      <selection activeCell="C20" sqref="C20"/>
    </sheetView>
  </sheetViews>
  <sheetFormatPr defaultColWidth="8.875" defaultRowHeight="14.3" x14ac:dyDescent="0.25"/>
  <cols>
    <col min="1" max="1" width="8" style="3" customWidth="1"/>
    <col min="2" max="2" width="8.25" style="3" customWidth="1"/>
    <col min="3" max="3" width="34.75" style="3" customWidth="1"/>
    <col min="4" max="4" width="11.25" style="3" customWidth="1"/>
    <col min="5" max="6" width="8.875" style="3"/>
    <col min="7" max="7" width="0.875" style="3" customWidth="1"/>
    <col min="8" max="8" width="8.875" style="20"/>
    <col min="9" max="9" width="11" style="20" customWidth="1"/>
    <col min="10" max="10" width="15.25" style="20" customWidth="1"/>
    <col min="11" max="11" width="10" style="20" customWidth="1"/>
    <col min="12" max="12" width="11" style="20" customWidth="1"/>
    <col min="13" max="13" width="12.25" style="15" customWidth="1"/>
    <col min="14" max="15" width="13.875" style="5" customWidth="1"/>
    <col min="16" max="18" width="8.875" style="5"/>
    <col min="19" max="20" width="8.875" style="26"/>
    <col min="21" max="21" width="12.125" style="26" customWidth="1"/>
    <col min="22" max="22" width="27.375" style="26" customWidth="1"/>
    <col min="23" max="38" width="8.875" style="26"/>
    <col min="39" max="16384" width="8.875" style="3"/>
  </cols>
  <sheetData>
    <row r="1" spans="1:34" x14ac:dyDescent="0.25">
      <c r="A1" s="5"/>
      <c r="B1" s="5"/>
      <c r="C1" s="5"/>
      <c r="D1" s="5"/>
      <c r="E1" s="5"/>
      <c r="F1" s="5"/>
      <c r="G1" s="5"/>
      <c r="H1" s="22" t="s">
        <v>38</v>
      </c>
      <c r="I1" s="12" t="s">
        <v>39</v>
      </c>
      <c r="J1" s="12" t="s">
        <v>40</v>
      </c>
      <c r="K1" s="23" t="s">
        <v>41</v>
      </c>
      <c r="L1" s="13"/>
      <c r="M1" s="13"/>
    </row>
    <row r="2" spans="1:34" x14ac:dyDescent="0.25">
      <c r="A2" s="5"/>
      <c r="B2" s="47" t="s">
        <v>42</v>
      </c>
      <c r="C2" s="271" t="s">
        <v>43</v>
      </c>
      <c r="D2" s="271"/>
      <c r="E2" s="6"/>
      <c r="F2" s="6"/>
      <c r="G2" s="6"/>
      <c r="H2" s="14">
        <v>11</v>
      </c>
      <c r="I2" s="61">
        <v>50</v>
      </c>
      <c r="J2" s="61">
        <v>10</v>
      </c>
      <c r="K2" s="67">
        <f>3*H2^(1/3)</f>
        <v>6.671940271707947</v>
      </c>
      <c r="L2" s="13"/>
      <c r="M2" s="13"/>
    </row>
    <row r="3" spans="1:34" x14ac:dyDescent="0.25">
      <c r="A3" s="5"/>
      <c r="B3" s="48" t="s">
        <v>44</v>
      </c>
      <c r="C3" s="272">
        <v>44940</v>
      </c>
      <c r="D3" s="272"/>
      <c r="E3" s="7"/>
      <c r="F3" s="7"/>
      <c r="G3" s="7"/>
      <c r="H3" s="13"/>
      <c r="I3" s="13"/>
      <c r="J3" s="16"/>
      <c r="K3" s="13"/>
      <c r="L3" s="13"/>
      <c r="M3" s="13"/>
    </row>
    <row r="4" spans="1:34" ht="10.4" customHeight="1" x14ac:dyDescent="0.25">
      <c r="A4" s="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</row>
    <row r="5" spans="1:34" ht="34.65" x14ac:dyDescent="0.25">
      <c r="A5" s="1" t="s">
        <v>45</v>
      </c>
      <c r="B5" s="37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8"/>
      <c r="H5" s="9" t="s">
        <v>51</v>
      </c>
      <c r="I5" s="10" t="s">
        <v>52</v>
      </c>
      <c r="J5" s="11" t="s">
        <v>53</v>
      </c>
      <c r="K5" s="10" t="s">
        <v>54</v>
      </c>
      <c r="L5" s="10" t="s">
        <v>55</v>
      </c>
      <c r="M5" s="9" t="s">
        <v>56</v>
      </c>
    </row>
    <row r="6" spans="1:34" ht="14.45" customHeight="1" x14ac:dyDescent="0.25">
      <c r="A6" s="39">
        <f>M6</f>
        <v>110.01582081512385</v>
      </c>
      <c r="B6" s="36">
        <f t="shared" ref="B6:B16" si="0">IF(H6&gt;$H$2,"",(ROW()-5))</f>
        <v>1</v>
      </c>
      <c r="C6" s="24" t="s">
        <v>19</v>
      </c>
      <c r="D6" s="24" t="s">
        <v>57</v>
      </c>
      <c r="E6" s="24"/>
      <c r="F6" s="24" t="s">
        <v>58</v>
      </c>
      <c r="G6" s="8"/>
      <c r="H6" s="17">
        <v>1</v>
      </c>
      <c r="I6" s="18">
        <f>IF(H2=1,50,IF(H6&lt;$H$2+1,($I$2-($I$2-1)*(LOG(H6)/LOG($H$2))),""))</f>
        <v>50</v>
      </c>
      <c r="J6" s="17">
        <f>INT(LOG($H$2,2))-ROUNDUP(LOG(H6,2),0)+IF(OR($H$2=1,$H$2=2,$H$2=4,$H$2=8,$H$2=16,$H$2=32,$H$2=64,$H$2=128,$H$2=256),0,1)</f>
        <v>4</v>
      </c>
      <c r="K6" s="17">
        <f t="shared" ref="K6:K69" si="1">J6*$J$2</f>
        <v>40</v>
      </c>
      <c r="L6" s="19">
        <f>3*K2</f>
        <v>20.015820815123842</v>
      </c>
      <c r="M6" s="19">
        <f t="shared" ref="M6:M69" si="2">IF(I6&lt;&gt;"",K6+I6+L6,0)</f>
        <v>110.01582081512385</v>
      </c>
    </row>
    <row r="7" spans="1:34" ht="14.45" customHeight="1" x14ac:dyDescent="0.25">
      <c r="A7" s="40">
        <f t="shared" ref="A7:A37" si="3">M7</f>
        <v>79.179704053839387</v>
      </c>
      <c r="B7" s="35">
        <f t="shared" si="0"/>
        <v>2</v>
      </c>
      <c r="C7" s="25" t="s">
        <v>20</v>
      </c>
      <c r="D7" s="25" t="s">
        <v>59</v>
      </c>
      <c r="E7" s="25"/>
      <c r="F7" s="25" t="s">
        <v>58</v>
      </c>
      <c r="G7" s="8"/>
      <c r="H7" s="44">
        <v>2</v>
      </c>
      <c r="I7" s="45">
        <f t="shared" ref="I7:I69" si="4">IF(H7&lt;$H$2+1,($I$2-($I$2-1)*(LOG(H7)/LOG($H$2))),"")</f>
        <v>35.835823510423495</v>
      </c>
      <c r="J7" s="44">
        <f t="shared" ref="J7:J70" si="5">INT(LOG($H$2,2))-ROUNDUP(LOG(H7,2),0)+IF(OR($H$2=1,$H$2=2,$H$2=4,$H$2=8,$H$2=16,$H$2=32,$H$2=64,$H$2=128,$H$2=256),0,1)</f>
        <v>3</v>
      </c>
      <c r="K7" s="44">
        <f t="shared" si="1"/>
        <v>30</v>
      </c>
      <c r="L7" s="46">
        <f>2*K2</f>
        <v>13.343880543415894</v>
      </c>
      <c r="M7" s="46">
        <f t="shared" si="2"/>
        <v>79.179704053839387</v>
      </c>
    </row>
    <row r="8" spans="1:34" ht="14.45" customHeight="1" x14ac:dyDescent="0.25">
      <c r="A8" s="39">
        <f t="shared" si="3"/>
        <v>54.222251682132963</v>
      </c>
      <c r="B8" s="36">
        <f t="shared" si="0"/>
        <v>3</v>
      </c>
      <c r="C8" s="24" t="s">
        <v>21</v>
      </c>
      <c r="D8" s="24" t="s">
        <v>60</v>
      </c>
      <c r="E8" s="24"/>
      <c r="F8" s="24" t="s">
        <v>58</v>
      </c>
      <c r="G8" s="8"/>
      <c r="H8" s="17">
        <v>3</v>
      </c>
      <c r="I8" s="18">
        <f t="shared" si="4"/>
        <v>27.550311410425017</v>
      </c>
      <c r="J8" s="17">
        <f t="shared" si="5"/>
        <v>2</v>
      </c>
      <c r="K8" s="17">
        <f t="shared" si="1"/>
        <v>20</v>
      </c>
      <c r="L8" s="19">
        <f>K2</f>
        <v>6.671940271707947</v>
      </c>
      <c r="M8" s="19">
        <f t="shared" si="2"/>
        <v>54.222251682132963</v>
      </c>
    </row>
    <row r="9" spans="1:34" ht="14.45" customHeight="1" x14ac:dyDescent="0.25">
      <c r="A9" s="40">
        <f t="shared" si="3"/>
        <v>41.67164702084699</v>
      </c>
      <c r="B9" s="35">
        <f t="shared" si="0"/>
        <v>4</v>
      </c>
      <c r="C9" s="25" t="s">
        <v>26</v>
      </c>
      <c r="D9" s="25" t="s">
        <v>61</v>
      </c>
      <c r="E9" s="25"/>
      <c r="F9" s="25" t="s">
        <v>58</v>
      </c>
      <c r="G9" s="8"/>
      <c r="H9" s="44">
        <v>4</v>
      </c>
      <c r="I9" s="45">
        <f t="shared" si="4"/>
        <v>21.671647020846994</v>
      </c>
      <c r="J9" s="44">
        <f t="shared" si="5"/>
        <v>2</v>
      </c>
      <c r="K9" s="44">
        <f t="shared" si="1"/>
        <v>20</v>
      </c>
      <c r="L9" s="46"/>
      <c r="M9" s="46">
        <f t="shared" si="2"/>
        <v>41.67164702084699</v>
      </c>
      <c r="V9" s="27"/>
      <c r="Z9" s="28"/>
      <c r="AA9" s="28"/>
      <c r="AG9" s="29"/>
    </row>
    <row r="10" spans="1:34" ht="14.45" customHeight="1" x14ac:dyDescent="0.25">
      <c r="A10" s="39">
        <f t="shared" si="3"/>
        <v>27.111800667909257</v>
      </c>
      <c r="B10" s="36">
        <f t="shared" si="0"/>
        <v>5</v>
      </c>
      <c r="C10" s="24" t="s">
        <v>27</v>
      </c>
      <c r="D10" s="24" t="s">
        <v>60</v>
      </c>
      <c r="E10" s="24"/>
      <c r="F10" s="24" t="s">
        <v>58</v>
      </c>
      <c r="G10" s="8"/>
      <c r="H10" s="17">
        <v>5</v>
      </c>
      <c r="I10" s="18">
        <f t="shared" si="4"/>
        <v>17.111800667909257</v>
      </c>
      <c r="J10" s="17">
        <f t="shared" si="5"/>
        <v>1</v>
      </c>
      <c r="K10" s="17">
        <f t="shared" si="1"/>
        <v>10</v>
      </c>
      <c r="L10" s="17"/>
      <c r="M10" s="19">
        <f t="shared" si="2"/>
        <v>27.111800667909257</v>
      </c>
      <c r="V10" s="27"/>
      <c r="Z10" s="28"/>
      <c r="AA10" s="28"/>
      <c r="AG10" s="29"/>
    </row>
    <row r="11" spans="1:34" ht="14.45" customHeight="1" x14ac:dyDescent="0.25">
      <c r="A11" s="40">
        <f t="shared" si="3"/>
        <v>23.386134920848519</v>
      </c>
      <c r="B11" s="35">
        <f t="shared" si="0"/>
        <v>6</v>
      </c>
      <c r="C11" s="25" t="s">
        <v>29</v>
      </c>
      <c r="D11" s="25" t="s">
        <v>62</v>
      </c>
      <c r="E11" s="25"/>
      <c r="F11" s="25" t="s">
        <v>58</v>
      </c>
      <c r="G11" s="8"/>
      <c r="H11" s="44">
        <v>6</v>
      </c>
      <c r="I11" s="45">
        <f t="shared" si="4"/>
        <v>13.386134920848519</v>
      </c>
      <c r="J11" s="44">
        <f t="shared" si="5"/>
        <v>1</v>
      </c>
      <c r="K11" s="44">
        <f t="shared" si="1"/>
        <v>10</v>
      </c>
      <c r="L11" s="44"/>
      <c r="M11" s="46">
        <f t="shared" si="2"/>
        <v>23.386134920848519</v>
      </c>
      <c r="V11" s="30"/>
      <c r="Z11" s="28"/>
      <c r="AA11" s="28"/>
      <c r="AG11" s="29"/>
    </row>
    <row r="12" spans="1:34" ht="14.45" customHeight="1" x14ac:dyDescent="0.25">
      <c r="A12" s="39">
        <f t="shared" si="3"/>
        <v>20.236129415094808</v>
      </c>
      <c r="B12" s="36">
        <f t="shared" si="0"/>
        <v>7</v>
      </c>
      <c r="C12" s="24" t="s">
        <v>25</v>
      </c>
      <c r="D12" s="24" t="s">
        <v>63</v>
      </c>
      <c r="E12" s="24"/>
      <c r="F12" s="24" t="s">
        <v>58</v>
      </c>
      <c r="G12" s="8"/>
      <c r="H12" s="17">
        <v>7</v>
      </c>
      <c r="I12" s="18">
        <f t="shared" si="4"/>
        <v>10.236129415094808</v>
      </c>
      <c r="J12" s="17">
        <f t="shared" si="5"/>
        <v>1</v>
      </c>
      <c r="K12" s="17">
        <f t="shared" si="1"/>
        <v>10</v>
      </c>
      <c r="L12" s="17"/>
      <c r="M12" s="19">
        <f t="shared" si="2"/>
        <v>20.236129415094808</v>
      </c>
      <c r="Z12" s="28"/>
      <c r="AA12" s="28"/>
      <c r="AG12" s="29"/>
    </row>
    <row r="13" spans="1:34" ht="14.45" customHeight="1" x14ac:dyDescent="0.25">
      <c r="A13" s="41">
        <f t="shared" si="3"/>
        <v>17.507470531270492</v>
      </c>
      <c r="B13" s="35">
        <f t="shared" si="0"/>
        <v>8</v>
      </c>
      <c r="C13" s="25" t="s">
        <v>24</v>
      </c>
      <c r="D13" s="25" t="s">
        <v>64</v>
      </c>
      <c r="E13" s="25"/>
      <c r="F13" s="25"/>
      <c r="G13" s="8"/>
      <c r="H13" s="44">
        <v>8</v>
      </c>
      <c r="I13" s="45">
        <f t="shared" si="4"/>
        <v>7.5074705312704921</v>
      </c>
      <c r="J13" s="44">
        <f t="shared" si="5"/>
        <v>1</v>
      </c>
      <c r="K13" s="44">
        <f t="shared" si="1"/>
        <v>10</v>
      </c>
      <c r="L13" s="44"/>
      <c r="M13" s="46">
        <f t="shared" si="2"/>
        <v>17.507470531270492</v>
      </c>
      <c r="X13" s="27"/>
      <c r="AG13" s="29"/>
    </row>
    <row r="14" spans="1:34" ht="25.85" x14ac:dyDescent="0.25">
      <c r="A14" s="42">
        <f t="shared" si="3"/>
        <v>5.1006228208500346</v>
      </c>
      <c r="B14" s="36">
        <f t="shared" si="0"/>
        <v>9</v>
      </c>
      <c r="C14" s="24" t="s">
        <v>32</v>
      </c>
      <c r="D14" s="24" t="s">
        <v>64</v>
      </c>
      <c r="E14" s="24"/>
      <c r="F14" s="24"/>
      <c r="G14" s="8"/>
      <c r="H14" s="17">
        <v>9</v>
      </c>
      <c r="I14" s="18">
        <f t="shared" si="4"/>
        <v>5.1006228208500346</v>
      </c>
      <c r="J14" s="17">
        <f t="shared" si="5"/>
        <v>0</v>
      </c>
      <c r="K14" s="17">
        <f t="shared" si="1"/>
        <v>0</v>
      </c>
      <c r="L14" s="17"/>
      <c r="M14" s="19">
        <f t="shared" si="2"/>
        <v>5.1006228208500346</v>
      </c>
      <c r="X14" s="31"/>
      <c r="Z14" s="28"/>
      <c r="AA14" s="28"/>
      <c r="AG14" s="29"/>
    </row>
    <row r="15" spans="1:34" ht="51.65" x14ac:dyDescent="0.25">
      <c r="A15" s="41">
        <f t="shared" si="3"/>
        <v>2.9476241783327595</v>
      </c>
      <c r="B15" s="35">
        <f t="shared" si="0"/>
        <v>10</v>
      </c>
      <c r="C15" s="25" t="s">
        <v>28</v>
      </c>
      <c r="D15" s="25" t="s">
        <v>65</v>
      </c>
      <c r="E15" s="25"/>
      <c r="F15" s="25"/>
      <c r="G15" s="8"/>
      <c r="H15" s="44">
        <v>10</v>
      </c>
      <c r="I15" s="45">
        <f t="shared" si="4"/>
        <v>2.9476241783327595</v>
      </c>
      <c r="J15" s="44">
        <f t="shared" si="5"/>
        <v>0</v>
      </c>
      <c r="K15" s="44">
        <f t="shared" si="1"/>
        <v>0</v>
      </c>
      <c r="L15" s="44"/>
      <c r="M15" s="46">
        <f t="shared" si="2"/>
        <v>2.9476241783327595</v>
      </c>
      <c r="X15" s="27"/>
      <c r="Z15" s="28"/>
      <c r="AA15" s="28"/>
    </row>
    <row r="16" spans="1:34" ht="38.75" x14ac:dyDescent="0.25">
      <c r="A16" s="42">
        <f t="shared" si="3"/>
        <v>1</v>
      </c>
      <c r="B16" s="36">
        <f t="shared" si="0"/>
        <v>11</v>
      </c>
      <c r="C16" s="24" t="s">
        <v>33</v>
      </c>
      <c r="D16" s="24" t="s">
        <v>66</v>
      </c>
      <c r="E16" s="24"/>
      <c r="F16" s="24"/>
      <c r="G16" s="8"/>
      <c r="H16" s="17">
        <v>11</v>
      </c>
      <c r="I16" s="18">
        <f t="shared" si="4"/>
        <v>1</v>
      </c>
      <c r="J16" s="17">
        <f t="shared" si="5"/>
        <v>0</v>
      </c>
      <c r="K16" s="17">
        <f t="shared" si="1"/>
        <v>0</v>
      </c>
      <c r="L16" s="17"/>
      <c r="M16" s="19">
        <f t="shared" si="2"/>
        <v>1</v>
      </c>
      <c r="R16" s="49"/>
      <c r="Z16" s="28"/>
      <c r="AA16" s="28"/>
      <c r="AH16" s="33"/>
    </row>
    <row r="17" spans="1:19" x14ac:dyDescent="0.25">
      <c r="A17" s="41">
        <f t="shared" si="3"/>
        <v>0</v>
      </c>
      <c r="B17" s="35" t="str">
        <f t="shared" ref="B17:B65" si="6">IF(H17&gt;$H$2,"",(ROW()-5))</f>
        <v/>
      </c>
      <c r="C17" s="25"/>
      <c r="D17" s="25"/>
      <c r="E17" s="25"/>
      <c r="F17" s="25"/>
      <c r="G17" s="8"/>
      <c r="H17" s="44">
        <v>12</v>
      </c>
      <c r="I17" s="45" t="str">
        <f t="shared" si="4"/>
        <v/>
      </c>
      <c r="J17" s="44">
        <f t="shared" si="5"/>
        <v>0</v>
      </c>
      <c r="K17" s="44">
        <f t="shared" si="1"/>
        <v>0</v>
      </c>
      <c r="L17" s="44"/>
      <c r="M17" s="46">
        <f t="shared" si="2"/>
        <v>0</v>
      </c>
    </row>
    <row r="18" spans="1:19" x14ac:dyDescent="0.25">
      <c r="A18" s="42">
        <f t="shared" si="3"/>
        <v>0</v>
      </c>
      <c r="B18" s="36" t="str">
        <f t="shared" si="6"/>
        <v/>
      </c>
      <c r="C18" s="24"/>
      <c r="D18" s="24"/>
      <c r="E18" s="24"/>
      <c r="F18" s="24"/>
      <c r="G18" s="8"/>
      <c r="H18" s="17">
        <v>13</v>
      </c>
      <c r="I18" s="18" t="str">
        <f t="shared" si="4"/>
        <v/>
      </c>
      <c r="J18" s="17">
        <f t="shared" si="5"/>
        <v>0</v>
      </c>
      <c r="K18" s="17">
        <f t="shared" si="1"/>
        <v>0</v>
      </c>
      <c r="L18" s="17"/>
      <c r="M18" s="19">
        <f t="shared" si="2"/>
        <v>0</v>
      </c>
    </row>
    <row r="19" spans="1:19" x14ac:dyDescent="0.25">
      <c r="A19" s="41">
        <f t="shared" si="3"/>
        <v>0</v>
      </c>
      <c r="B19" s="35" t="str">
        <f t="shared" si="6"/>
        <v/>
      </c>
      <c r="C19" s="25"/>
      <c r="D19" s="25"/>
      <c r="E19" s="25"/>
      <c r="F19" s="25"/>
      <c r="G19" s="8"/>
      <c r="H19" s="44">
        <v>14</v>
      </c>
      <c r="I19" s="45" t="str">
        <f t="shared" si="4"/>
        <v/>
      </c>
      <c r="J19" s="44">
        <f t="shared" si="5"/>
        <v>0</v>
      </c>
      <c r="K19" s="44">
        <f t="shared" si="1"/>
        <v>0</v>
      </c>
      <c r="L19" s="44"/>
      <c r="M19" s="46">
        <f t="shared" si="2"/>
        <v>0</v>
      </c>
    </row>
    <row r="20" spans="1:19" x14ac:dyDescent="0.25">
      <c r="A20" s="42">
        <f t="shared" si="3"/>
        <v>0</v>
      </c>
      <c r="B20" s="36" t="str">
        <f t="shared" si="6"/>
        <v/>
      </c>
      <c r="C20" s="24"/>
      <c r="D20" s="24"/>
      <c r="E20" s="24"/>
      <c r="F20" s="24"/>
      <c r="G20" s="8"/>
      <c r="H20" s="17">
        <v>15</v>
      </c>
      <c r="I20" s="18" t="str">
        <f t="shared" si="4"/>
        <v/>
      </c>
      <c r="J20" s="17">
        <f t="shared" si="5"/>
        <v>0</v>
      </c>
      <c r="K20" s="17">
        <f t="shared" si="1"/>
        <v>0</v>
      </c>
      <c r="L20" s="17"/>
      <c r="M20" s="19">
        <f t="shared" si="2"/>
        <v>0</v>
      </c>
      <c r="R20" s="50"/>
      <c r="S20" s="34"/>
    </row>
    <row r="21" spans="1:19" x14ac:dyDescent="0.25">
      <c r="A21" s="41">
        <f t="shared" si="3"/>
        <v>0</v>
      </c>
      <c r="B21" s="35" t="str">
        <f t="shared" si="6"/>
        <v/>
      </c>
      <c r="C21" s="25"/>
      <c r="D21" s="25"/>
      <c r="E21" s="25"/>
      <c r="F21" s="25"/>
      <c r="G21" s="8"/>
      <c r="H21" s="44">
        <v>16</v>
      </c>
      <c r="I21" s="45" t="str">
        <f t="shared" si="4"/>
        <v/>
      </c>
      <c r="J21" s="44">
        <f t="shared" si="5"/>
        <v>0</v>
      </c>
      <c r="K21" s="44">
        <f t="shared" si="1"/>
        <v>0</v>
      </c>
      <c r="L21" s="44"/>
      <c r="M21" s="46">
        <f t="shared" si="2"/>
        <v>0</v>
      </c>
    </row>
    <row r="22" spans="1:19" x14ac:dyDescent="0.25">
      <c r="A22" s="42">
        <f t="shared" si="3"/>
        <v>0</v>
      </c>
      <c r="B22" s="36" t="str">
        <f t="shared" si="6"/>
        <v/>
      </c>
      <c r="C22" s="24"/>
      <c r="D22" s="24"/>
      <c r="E22" s="24"/>
      <c r="F22" s="24"/>
      <c r="G22" s="8"/>
      <c r="H22" s="17">
        <v>17</v>
      </c>
      <c r="I22" s="18" t="str">
        <f t="shared" si="4"/>
        <v/>
      </c>
      <c r="J22" s="17">
        <f t="shared" si="5"/>
        <v>-1</v>
      </c>
      <c r="K22" s="17">
        <f t="shared" si="1"/>
        <v>-10</v>
      </c>
      <c r="L22" s="17"/>
      <c r="M22" s="19">
        <f t="shared" si="2"/>
        <v>0</v>
      </c>
    </row>
    <row r="23" spans="1:19" x14ac:dyDescent="0.25">
      <c r="A23" s="41">
        <f t="shared" si="3"/>
        <v>0</v>
      </c>
      <c r="B23" s="35" t="str">
        <f t="shared" si="6"/>
        <v/>
      </c>
      <c r="C23" s="25"/>
      <c r="D23" s="25"/>
      <c r="E23" s="25"/>
      <c r="F23" s="25"/>
      <c r="G23" s="8"/>
      <c r="H23" s="44">
        <v>18</v>
      </c>
      <c r="I23" s="45" t="str">
        <f t="shared" si="4"/>
        <v/>
      </c>
      <c r="J23" s="44">
        <f t="shared" si="5"/>
        <v>-1</v>
      </c>
      <c r="K23" s="44">
        <f t="shared" si="1"/>
        <v>-10</v>
      </c>
      <c r="L23" s="44"/>
      <c r="M23" s="46">
        <f t="shared" si="2"/>
        <v>0</v>
      </c>
    </row>
    <row r="24" spans="1:19" x14ac:dyDescent="0.25">
      <c r="A24" s="42">
        <f t="shared" si="3"/>
        <v>0</v>
      </c>
      <c r="B24" s="36" t="str">
        <f t="shared" si="6"/>
        <v/>
      </c>
      <c r="C24" s="24"/>
      <c r="D24" s="24"/>
      <c r="E24" s="24"/>
      <c r="F24" s="24"/>
      <c r="G24" s="8"/>
      <c r="H24" s="17">
        <v>19</v>
      </c>
      <c r="I24" s="18" t="str">
        <f t="shared" si="4"/>
        <v/>
      </c>
      <c r="J24" s="17">
        <f t="shared" si="5"/>
        <v>-1</v>
      </c>
      <c r="K24" s="17">
        <f t="shared" si="1"/>
        <v>-10</v>
      </c>
      <c r="L24" s="17"/>
      <c r="M24" s="19">
        <f t="shared" si="2"/>
        <v>0</v>
      </c>
      <c r="R24" s="50"/>
      <c r="S24" s="34"/>
    </row>
    <row r="25" spans="1:19" x14ac:dyDescent="0.25">
      <c r="A25" s="41">
        <f t="shared" si="3"/>
        <v>0</v>
      </c>
      <c r="B25" s="35" t="str">
        <f t="shared" si="6"/>
        <v/>
      </c>
      <c r="C25" s="25"/>
      <c r="D25" s="25"/>
      <c r="E25" s="25"/>
      <c r="F25" s="25"/>
      <c r="G25" s="8"/>
      <c r="H25" s="44">
        <v>20</v>
      </c>
      <c r="I25" s="45" t="str">
        <f t="shared" si="4"/>
        <v/>
      </c>
      <c r="J25" s="44">
        <f t="shared" si="5"/>
        <v>-1</v>
      </c>
      <c r="K25" s="44">
        <f t="shared" si="1"/>
        <v>-10</v>
      </c>
      <c r="L25" s="44"/>
      <c r="M25" s="46">
        <f t="shared" si="2"/>
        <v>0</v>
      </c>
    </row>
    <row r="26" spans="1:19" x14ac:dyDescent="0.25">
      <c r="A26" s="42">
        <f t="shared" si="3"/>
        <v>0</v>
      </c>
      <c r="B26" s="36" t="str">
        <f t="shared" si="6"/>
        <v/>
      </c>
      <c r="C26" s="24"/>
      <c r="D26" s="24"/>
      <c r="E26" s="24"/>
      <c r="F26" s="24"/>
      <c r="G26" s="8"/>
      <c r="H26" s="17">
        <v>21</v>
      </c>
      <c r="I26" s="18" t="str">
        <f t="shared" si="4"/>
        <v/>
      </c>
      <c r="J26" s="17">
        <f t="shared" si="5"/>
        <v>-1</v>
      </c>
      <c r="K26" s="17">
        <f t="shared" si="1"/>
        <v>-10</v>
      </c>
      <c r="L26" s="17"/>
      <c r="M26" s="19">
        <f t="shared" si="2"/>
        <v>0</v>
      </c>
    </row>
    <row r="27" spans="1:19" x14ac:dyDescent="0.25">
      <c r="A27" s="41">
        <f t="shared" si="3"/>
        <v>0</v>
      </c>
      <c r="B27" s="35" t="str">
        <f t="shared" si="6"/>
        <v/>
      </c>
      <c r="C27" s="25"/>
      <c r="D27" s="25"/>
      <c r="E27" s="25"/>
      <c r="F27" s="25"/>
      <c r="G27" s="8"/>
      <c r="H27" s="44">
        <v>22</v>
      </c>
      <c r="I27" s="45" t="str">
        <f t="shared" si="4"/>
        <v/>
      </c>
      <c r="J27" s="44">
        <f t="shared" si="5"/>
        <v>-1</v>
      </c>
      <c r="K27" s="44">
        <f t="shared" si="1"/>
        <v>-10</v>
      </c>
      <c r="L27" s="44"/>
      <c r="M27" s="46">
        <f t="shared" si="2"/>
        <v>0</v>
      </c>
    </row>
    <row r="28" spans="1:19" x14ac:dyDescent="0.25">
      <c r="A28" s="42">
        <f t="shared" si="3"/>
        <v>0</v>
      </c>
      <c r="B28" s="36" t="str">
        <f t="shared" si="6"/>
        <v/>
      </c>
      <c r="C28" s="24"/>
      <c r="D28" s="24"/>
      <c r="E28" s="24"/>
      <c r="F28" s="24"/>
      <c r="G28" s="8"/>
      <c r="H28" s="17">
        <v>23</v>
      </c>
      <c r="I28" s="18" t="str">
        <f t="shared" si="4"/>
        <v/>
      </c>
      <c r="J28" s="17">
        <f t="shared" si="5"/>
        <v>-1</v>
      </c>
      <c r="K28" s="17">
        <f t="shared" si="1"/>
        <v>-10</v>
      </c>
      <c r="L28" s="17"/>
      <c r="M28" s="19">
        <f t="shared" si="2"/>
        <v>0</v>
      </c>
      <c r="R28" s="50"/>
      <c r="S28" s="34"/>
    </row>
    <row r="29" spans="1:19" x14ac:dyDescent="0.25">
      <c r="A29" s="41">
        <f t="shared" si="3"/>
        <v>0</v>
      </c>
      <c r="B29" s="35" t="str">
        <f t="shared" si="6"/>
        <v/>
      </c>
      <c r="C29" s="25"/>
      <c r="D29" s="25"/>
      <c r="E29" s="25"/>
      <c r="F29" s="25"/>
      <c r="G29" s="5"/>
      <c r="H29" s="44">
        <v>24</v>
      </c>
      <c r="I29" s="45" t="str">
        <f t="shared" si="4"/>
        <v/>
      </c>
      <c r="J29" s="44">
        <f t="shared" si="5"/>
        <v>-1</v>
      </c>
      <c r="K29" s="44">
        <f t="shared" si="1"/>
        <v>-10</v>
      </c>
      <c r="L29" s="44"/>
      <c r="M29" s="46">
        <f t="shared" si="2"/>
        <v>0</v>
      </c>
    </row>
    <row r="30" spans="1:19" x14ac:dyDescent="0.25">
      <c r="A30" s="42">
        <f t="shared" si="3"/>
        <v>0</v>
      </c>
      <c r="B30" s="36" t="str">
        <f t="shared" si="6"/>
        <v/>
      </c>
      <c r="C30" s="24"/>
      <c r="D30" s="24"/>
      <c r="E30" s="24"/>
      <c r="F30" s="24"/>
      <c r="G30" s="5"/>
      <c r="H30" s="17">
        <v>25</v>
      </c>
      <c r="I30" s="18" t="str">
        <f t="shared" si="4"/>
        <v/>
      </c>
      <c r="J30" s="17">
        <f t="shared" si="5"/>
        <v>-1</v>
      </c>
      <c r="K30" s="17">
        <f t="shared" si="1"/>
        <v>-10</v>
      </c>
      <c r="L30" s="17"/>
      <c r="M30" s="19">
        <f t="shared" si="2"/>
        <v>0</v>
      </c>
    </row>
    <row r="31" spans="1:19" x14ac:dyDescent="0.25">
      <c r="A31" s="41">
        <f t="shared" si="3"/>
        <v>0</v>
      </c>
      <c r="B31" s="35" t="str">
        <f t="shared" si="6"/>
        <v/>
      </c>
      <c r="C31" s="25"/>
      <c r="D31" s="25"/>
      <c r="E31" s="25"/>
      <c r="F31" s="25"/>
      <c r="G31" s="5"/>
      <c r="H31" s="44">
        <v>26</v>
      </c>
      <c r="I31" s="45" t="str">
        <f t="shared" si="4"/>
        <v/>
      </c>
      <c r="J31" s="44">
        <f t="shared" si="5"/>
        <v>-1</v>
      </c>
      <c r="K31" s="44">
        <f t="shared" si="1"/>
        <v>-10</v>
      </c>
      <c r="L31" s="44"/>
      <c r="M31" s="46">
        <f t="shared" si="2"/>
        <v>0</v>
      </c>
    </row>
    <row r="32" spans="1:19" x14ac:dyDescent="0.25">
      <c r="A32" s="42">
        <f t="shared" si="3"/>
        <v>0</v>
      </c>
      <c r="B32" s="36" t="str">
        <f t="shared" si="6"/>
        <v/>
      </c>
      <c r="C32" s="24"/>
      <c r="D32" s="24"/>
      <c r="E32" s="24"/>
      <c r="F32" s="24"/>
      <c r="G32" s="5"/>
      <c r="H32" s="17">
        <v>27</v>
      </c>
      <c r="I32" s="18" t="str">
        <f t="shared" si="4"/>
        <v/>
      </c>
      <c r="J32" s="17">
        <f t="shared" si="5"/>
        <v>-1</v>
      </c>
      <c r="K32" s="17">
        <f t="shared" si="1"/>
        <v>-10</v>
      </c>
      <c r="L32" s="17"/>
      <c r="M32" s="19">
        <f t="shared" si="2"/>
        <v>0</v>
      </c>
      <c r="R32" s="50"/>
      <c r="S32" s="34"/>
    </row>
    <row r="33" spans="1:19" x14ac:dyDescent="0.25">
      <c r="A33" s="41">
        <f t="shared" si="3"/>
        <v>0</v>
      </c>
      <c r="B33" s="35" t="str">
        <f t="shared" si="6"/>
        <v/>
      </c>
      <c r="C33" s="25"/>
      <c r="D33" s="25"/>
      <c r="E33" s="25"/>
      <c r="F33" s="25"/>
      <c r="G33" s="5"/>
      <c r="H33" s="44">
        <v>28</v>
      </c>
      <c r="I33" s="45" t="str">
        <f t="shared" si="4"/>
        <v/>
      </c>
      <c r="J33" s="44">
        <f t="shared" si="5"/>
        <v>-1</v>
      </c>
      <c r="K33" s="44">
        <f t="shared" si="1"/>
        <v>-10</v>
      </c>
      <c r="L33" s="44"/>
      <c r="M33" s="46">
        <f t="shared" si="2"/>
        <v>0</v>
      </c>
    </row>
    <row r="34" spans="1:19" x14ac:dyDescent="0.25">
      <c r="A34" s="42">
        <f t="shared" si="3"/>
        <v>0</v>
      </c>
      <c r="B34" s="36" t="str">
        <f t="shared" si="6"/>
        <v/>
      </c>
      <c r="C34" s="24"/>
      <c r="D34" s="24"/>
      <c r="E34" s="24"/>
      <c r="F34" s="24"/>
      <c r="G34" s="5"/>
      <c r="H34" s="17">
        <v>29</v>
      </c>
      <c r="I34" s="18" t="str">
        <f t="shared" si="4"/>
        <v/>
      </c>
      <c r="J34" s="17">
        <f t="shared" si="5"/>
        <v>-1</v>
      </c>
      <c r="K34" s="17">
        <f t="shared" si="1"/>
        <v>-10</v>
      </c>
      <c r="L34" s="17"/>
      <c r="M34" s="19">
        <f t="shared" si="2"/>
        <v>0</v>
      </c>
    </row>
    <row r="35" spans="1:19" x14ac:dyDescent="0.25">
      <c r="A35" s="41">
        <f t="shared" si="3"/>
        <v>0</v>
      </c>
      <c r="B35" s="35" t="str">
        <f t="shared" si="6"/>
        <v/>
      </c>
      <c r="C35" s="25"/>
      <c r="D35" s="25"/>
      <c r="E35" s="25"/>
      <c r="F35" s="25"/>
      <c r="G35" s="5"/>
      <c r="H35" s="44">
        <v>30</v>
      </c>
      <c r="I35" s="45" t="str">
        <f t="shared" si="4"/>
        <v/>
      </c>
      <c r="J35" s="44">
        <f t="shared" si="5"/>
        <v>-1</v>
      </c>
      <c r="K35" s="44">
        <f t="shared" si="1"/>
        <v>-10</v>
      </c>
      <c r="L35" s="44"/>
      <c r="M35" s="46">
        <f t="shared" si="2"/>
        <v>0</v>
      </c>
    </row>
    <row r="36" spans="1:19" x14ac:dyDescent="0.25">
      <c r="A36" s="42">
        <f t="shared" si="3"/>
        <v>0</v>
      </c>
      <c r="B36" s="36" t="str">
        <f t="shared" si="6"/>
        <v/>
      </c>
      <c r="C36" s="24"/>
      <c r="D36" s="24"/>
      <c r="E36" s="24"/>
      <c r="F36" s="24"/>
      <c r="G36" s="5"/>
      <c r="H36" s="17">
        <v>31</v>
      </c>
      <c r="I36" s="18" t="str">
        <f t="shared" si="4"/>
        <v/>
      </c>
      <c r="J36" s="17">
        <f t="shared" si="5"/>
        <v>-1</v>
      </c>
      <c r="K36" s="17">
        <f t="shared" si="1"/>
        <v>-10</v>
      </c>
      <c r="L36" s="17"/>
      <c r="M36" s="19">
        <f t="shared" si="2"/>
        <v>0</v>
      </c>
      <c r="R36" s="50"/>
      <c r="S36" s="34"/>
    </row>
    <row r="37" spans="1:19" x14ac:dyDescent="0.25">
      <c r="A37" s="41">
        <f t="shared" si="3"/>
        <v>0</v>
      </c>
      <c r="B37" s="35" t="str">
        <f t="shared" si="6"/>
        <v/>
      </c>
      <c r="C37" s="25"/>
      <c r="D37" s="25"/>
      <c r="E37" s="25"/>
      <c r="F37" s="25"/>
      <c r="G37" s="5"/>
      <c r="H37" s="44">
        <v>32</v>
      </c>
      <c r="I37" s="45" t="str">
        <f t="shared" si="4"/>
        <v/>
      </c>
      <c r="J37" s="44">
        <f t="shared" si="5"/>
        <v>-1</v>
      </c>
      <c r="K37" s="44">
        <f t="shared" si="1"/>
        <v>-10</v>
      </c>
      <c r="L37" s="44"/>
      <c r="M37" s="46">
        <f t="shared" si="2"/>
        <v>0</v>
      </c>
    </row>
    <row r="38" spans="1:19" x14ac:dyDescent="0.25">
      <c r="A38" s="42"/>
      <c r="B38" s="36" t="str">
        <f t="shared" si="6"/>
        <v/>
      </c>
      <c r="C38" s="24"/>
      <c r="D38" s="24"/>
      <c r="E38" s="24"/>
      <c r="F38" s="24"/>
      <c r="G38" s="5"/>
      <c r="H38" s="17">
        <v>33</v>
      </c>
      <c r="I38" s="18" t="str">
        <f t="shared" si="4"/>
        <v/>
      </c>
      <c r="J38" s="17">
        <f t="shared" si="5"/>
        <v>-2</v>
      </c>
      <c r="K38" s="17">
        <f t="shared" si="1"/>
        <v>-20</v>
      </c>
      <c r="L38" s="17"/>
      <c r="M38" s="19">
        <f t="shared" si="2"/>
        <v>0</v>
      </c>
    </row>
    <row r="39" spans="1:19" x14ac:dyDescent="0.25">
      <c r="A39" s="41"/>
      <c r="B39" s="35" t="str">
        <f t="shared" si="6"/>
        <v/>
      </c>
      <c r="C39" s="25"/>
      <c r="D39" s="25"/>
      <c r="E39" s="25"/>
      <c r="F39" s="25"/>
      <c r="G39" s="5"/>
      <c r="H39" s="44">
        <v>34</v>
      </c>
      <c r="I39" s="45" t="str">
        <f t="shared" si="4"/>
        <v/>
      </c>
      <c r="J39" s="44">
        <f t="shared" si="5"/>
        <v>-2</v>
      </c>
      <c r="K39" s="44">
        <f t="shared" si="1"/>
        <v>-20</v>
      </c>
      <c r="L39" s="44"/>
      <c r="M39" s="46">
        <f t="shared" si="2"/>
        <v>0</v>
      </c>
    </row>
    <row r="40" spans="1:19" x14ac:dyDescent="0.25">
      <c r="A40" s="42"/>
      <c r="B40" s="36" t="str">
        <f t="shared" si="6"/>
        <v/>
      </c>
      <c r="C40" s="24"/>
      <c r="D40" s="24"/>
      <c r="E40" s="24"/>
      <c r="F40" s="24"/>
      <c r="G40" s="5"/>
      <c r="H40" s="17">
        <v>35</v>
      </c>
      <c r="I40" s="18" t="str">
        <f t="shared" si="4"/>
        <v/>
      </c>
      <c r="J40" s="17">
        <f t="shared" si="5"/>
        <v>-2</v>
      </c>
      <c r="K40" s="17">
        <f t="shared" si="1"/>
        <v>-20</v>
      </c>
      <c r="L40" s="17"/>
      <c r="M40" s="19">
        <f t="shared" si="2"/>
        <v>0</v>
      </c>
    </row>
    <row r="41" spans="1:19" x14ac:dyDescent="0.25">
      <c r="A41" s="41"/>
      <c r="B41" s="35" t="str">
        <f t="shared" si="6"/>
        <v/>
      </c>
      <c r="C41" s="25"/>
      <c r="D41" s="25"/>
      <c r="E41" s="25"/>
      <c r="F41" s="25"/>
      <c r="G41" s="5"/>
      <c r="H41" s="44">
        <v>36</v>
      </c>
      <c r="I41" s="45" t="str">
        <f t="shared" si="4"/>
        <v/>
      </c>
      <c r="J41" s="44">
        <f t="shared" si="5"/>
        <v>-2</v>
      </c>
      <c r="K41" s="44">
        <f t="shared" si="1"/>
        <v>-20</v>
      </c>
      <c r="L41" s="44"/>
      <c r="M41" s="46">
        <f t="shared" si="2"/>
        <v>0</v>
      </c>
      <c r="S41" s="32"/>
    </row>
    <row r="42" spans="1:19" x14ac:dyDescent="0.25">
      <c r="A42" s="42"/>
      <c r="B42" s="36" t="str">
        <f t="shared" si="6"/>
        <v/>
      </c>
      <c r="C42" s="24"/>
      <c r="D42" s="24"/>
      <c r="E42" s="24"/>
      <c r="F42" s="24"/>
      <c r="G42" s="5"/>
      <c r="H42" s="17">
        <v>37</v>
      </c>
      <c r="I42" s="18" t="str">
        <f t="shared" si="4"/>
        <v/>
      </c>
      <c r="J42" s="17">
        <f t="shared" si="5"/>
        <v>-2</v>
      </c>
      <c r="K42" s="17">
        <f t="shared" si="1"/>
        <v>-20</v>
      </c>
      <c r="L42" s="17"/>
      <c r="M42" s="19">
        <f t="shared" si="2"/>
        <v>0</v>
      </c>
    </row>
    <row r="43" spans="1:19" x14ac:dyDescent="0.25">
      <c r="A43" s="41"/>
      <c r="B43" s="35" t="str">
        <f t="shared" si="6"/>
        <v/>
      </c>
      <c r="C43" s="25"/>
      <c r="D43" s="25"/>
      <c r="E43" s="25"/>
      <c r="F43" s="25"/>
      <c r="G43" s="5"/>
      <c r="H43" s="44">
        <v>38</v>
      </c>
      <c r="I43" s="45" t="str">
        <f t="shared" si="4"/>
        <v/>
      </c>
      <c r="J43" s="44">
        <f t="shared" si="5"/>
        <v>-2</v>
      </c>
      <c r="K43" s="44">
        <f t="shared" si="1"/>
        <v>-20</v>
      </c>
      <c r="L43" s="44"/>
      <c r="M43" s="46">
        <f t="shared" si="2"/>
        <v>0</v>
      </c>
    </row>
    <row r="44" spans="1:19" x14ac:dyDescent="0.25">
      <c r="A44" s="42"/>
      <c r="B44" s="36" t="str">
        <f t="shared" si="6"/>
        <v/>
      </c>
      <c r="C44" s="24"/>
      <c r="D44" s="24"/>
      <c r="E44" s="24"/>
      <c r="F44" s="24"/>
      <c r="G44" s="5"/>
      <c r="H44" s="17">
        <v>39</v>
      </c>
      <c r="I44" s="18" t="str">
        <f t="shared" si="4"/>
        <v/>
      </c>
      <c r="J44" s="17">
        <f t="shared" si="5"/>
        <v>-2</v>
      </c>
      <c r="K44" s="17">
        <f t="shared" si="1"/>
        <v>-20</v>
      </c>
      <c r="L44" s="17"/>
      <c r="M44" s="19">
        <f t="shared" si="2"/>
        <v>0</v>
      </c>
    </row>
    <row r="45" spans="1:19" x14ac:dyDescent="0.25">
      <c r="A45" s="41"/>
      <c r="B45" s="35" t="str">
        <f t="shared" si="6"/>
        <v/>
      </c>
      <c r="C45" s="25"/>
      <c r="D45" s="25"/>
      <c r="E45" s="25"/>
      <c r="F45" s="25"/>
      <c r="G45" s="5"/>
      <c r="H45" s="44">
        <v>40</v>
      </c>
      <c r="I45" s="45" t="str">
        <f t="shared" si="4"/>
        <v/>
      </c>
      <c r="J45" s="44">
        <f t="shared" si="5"/>
        <v>-2</v>
      </c>
      <c r="K45" s="44">
        <f t="shared" si="1"/>
        <v>-20</v>
      </c>
      <c r="L45" s="44"/>
      <c r="M45" s="46">
        <f t="shared" si="2"/>
        <v>0</v>
      </c>
    </row>
    <row r="46" spans="1:19" x14ac:dyDescent="0.25">
      <c r="A46" s="42"/>
      <c r="B46" s="36" t="str">
        <f t="shared" si="6"/>
        <v/>
      </c>
      <c r="C46" s="24"/>
      <c r="D46" s="24"/>
      <c r="E46" s="24"/>
      <c r="F46" s="24"/>
      <c r="G46" s="5"/>
      <c r="H46" s="17">
        <v>41</v>
      </c>
      <c r="I46" s="18" t="str">
        <f t="shared" si="4"/>
        <v/>
      </c>
      <c r="J46" s="17">
        <f t="shared" si="5"/>
        <v>-2</v>
      </c>
      <c r="K46" s="17">
        <f t="shared" si="1"/>
        <v>-20</v>
      </c>
      <c r="L46" s="17"/>
      <c r="M46" s="19">
        <f t="shared" si="2"/>
        <v>0</v>
      </c>
    </row>
    <row r="47" spans="1:19" x14ac:dyDescent="0.25">
      <c r="A47" s="41"/>
      <c r="B47" s="35" t="str">
        <f t="shared" si="6"/>
        <v/>
      </c>
      <c r="C47" s="25"/>
      <c r="D47" s="25"/>
      <c r="E47" s="25"/>
      <c r="F47" s="25"/>
      <c r="G47" s="5"/>
      <c r="H47" s="44">
        <v>42</v>
      </c>
      <c r="I47" s="45" t="str">
        <f t="shared" si="4"/>
        <v/>
      </c>
      <c r="J47" s="44">
        <f t="shared" si="5"/>
        <v>-2</v>
      </c>
      <c r="K47" s="44">
        <f t="shared" si="1"/>
        <v>-20</v>
      </c>
      <c r="L47" s="44"/>
      <c r="M47" s="46">
        <f t="shared" si="2"/>
        <v>0</v>
      </c>
    </row>
    <row r="48" spans="1:19" x14ac:dyDescent="0.25">
      <c r="A48" s="42"/>
      <c r="B48" s="36" t="str">
        <f t="shared" si="6"/>
        <v/>
      </c>
      <c r="C48" s="24"/>
      <c r="D48" s="24"/>
      <c r="E48" s="24"/>
      <c r="F48" s="24"/>
      <c r="G48" s="5"/>
      <c r="H48" s="17">
        <v>43</v>
      </c>
      <c r="I48" s="18" t="str">
        <f t="shared" si="4"/>
        <v/>
      </c>
      <c r="J48" s="17">
        <f t="shared" si="5"/>
        <v>-2</v>
      </c>
      <c r="K48" s="17">
        <f t="shared" si="1"/>
        <v>-20</v>
      </c>
      <c r="L48" s="17"/>
      <c r="M48" s="19">
        <f t="shared" si="2"/>
        <v>0</v>
      </c>
    </row>
    <row r="49" spans="1:13" x14ac:dyDescent="0.25">
      <c r="A49" s="41"/>
      <c r="B49" s="35" t="str">
        <f t="shared" si="6"/>
        <v/>
      </c>
      <c r="C49" s="25"/>
      <c r="D49" s="25"/>
      <c r="E49" s="25"/>
      <c r="F49" s="25"/>
      <c r="G49" s="5"/>
      <c r="H49" s="44">
        <v>44</v>
      </c>
      <c r="I49" s="45" t="str">
        <f t="shared" si="4"/>
        <v/>
      </c>
      <c r="J49" s="44">
        <f t="shared" si="5"/>
        <v>-2</v>
      </c>
      <c r="K49" s="44">
        <f t="shared" si="1"/>
        <v>-20</v>
      </c>
      <c r="L49" s="44"/>
      <c r="M49" s="46">
        <f t="shared" si="2"/>
        <v>0</v>
      </c>
    </row>
    <row r="50" spans="1:13" x14ac:dyDescent="0.25">
      <c r="A50" s="42"/>
      <c r="B50" s="36" t="str">
        <f t="shared" si="6"/>
        <v/>
      </c>
      <c r="C50" s="24"/>
      <c r="D50" s="24"/>
      <c r="E50" s="24"/>
      <c r="F50" s="24"/>
      <c r="G50" s="5"/>
      <c r="H50" s="17">
        <v>45</v>
      </c>
      <c r="I50" s="18" t="str">
        <f t="shared" si="4"/>
        <v/>
      </c>
      <c r="J50" s="17">
        <f t="shared" si="5"/>
        <v>-2</v>
      </c>
      <c r="K50" s="17">
        <f t="shared" si="1"/>
        <v>-20</v>
      </c>
      <c r="L50" s="17"/>
      <c r="M50" s="19">
        <f t="shared" si="2"/>
        <v>0</v>
      </c>
    </row>
    <row r="51" spans="1:13" x14ac:dyDescent="0.25">
      <c r="A51" s="41"/>
      <c r="B51" s="35" t="str">
        <f t="shared" si="6"/>
        <v/>
      </c>
      <c r="C51" s="25"/>
      <c r="D51" s="25"/>
      <c r="E51" s="25"/>
      <c r="F51" s="25"/>
      <c r="G51" s="5"/>
      <c r="H51" s="44">
        <v>46</v>
      </c>
      <c r="I51" s="45" t="str">
        <f t="shared" si="4"/>
        <v/>
      </c>
      <c r="J51" s="44">
        <f t="shared" si="5"/>
        <v>-2</v>
      </c>
      <c r="K51" s="44">
        <f t="shared" si="1"/>
        <v>-20</v>
      </c>
      <c r="L51" s="44"/>
      <c r="M51" s="46">
        <f t="shared" si="2"/>
        <v>0</v>
      </c>
    </row>
    <row r="52" spans="1:13" x14ac:dyDescent="0.25">
      <c r="A52" s="42"/>
      <c r="B52" s="36" t="str">
        <f t="shared" si="6"/>
        <v/>
      </c>
      <c r="C52" s="24"/>
      <c r="D52" s="24"/>
      <c r="E52" s="24"/>
      <c r="F52" s="24"/>
      <c r="G52" s="5"/>
      <c r="H52" s="17">
        <v>47</v>
      </c>
      <c r="I52" s="18" t="str">
        <f t="shared" si="4"/>
        <v/>
      </c>
      <c r="J52" s="17">
        <f t="shared" si="5"/>
        <v>-2</v>
      </c>
      <c r="K52" s="17">
        <f t="shared" si="1"/>
        <v>-20</v>
      </c>
      <c r="L52" s="17"/>
      <c r="M52" s="19">
        <f t="shared" si="2"/>
        <v>0</v>
      </c>
    </row>
    <row r="53" spans="1:13" x14ac:dyDescent="0.25">
      <c r="A53" s="41"/>
      <c r="B53" s="35" t="str">
        <f t="shared" si="6"/>
        <v/>
      </c>
      <c r="C53" s="25"/>
      <c r="D53" s="25"/>
      <c r="E53" s="25"/>
      <c r="F53" s="25"/>
      <c r="G53" s="5"/>
      <c r="H53" s="44">
        <v>48</v>
      </c>
      <c r="I53" s="45" t="str">
        <f t="shared" si="4"/>
        <v/>
      </c>
      <c r="J53" s="44">
        <f t="shared" si="5"/>
        <v>-2</v>
      </c>
      <c r="K53" s="44">
        <f t="shared" si="1"/>
        <v>-20</v>
      </c>
      <c r="L53" s="44"/>
      <c r="M53" s="46">
        <f t="shared" si="2"/>
        <v>0</v>
      </c>
    </row>
    <row r="54" spans="1:13" x14ac:dyDescent="0.25">
      <c r="A54" s="42"/>
      <c r="B54" s="36" t="str">
        <f t="shared" si="6"/>
        <v/>
      </c>
      <c r="C54" s="24"/>
      <c r="D54" s="24"/>
      <c r="E54" s="24"/>
      <c r="F54" s="24"/>
      <c r="G54" s="5"/>
      <c r="H54" s="17">
        <v>49</v>
      </c>
      <c r="I54" s="18" t="str">
        <f t="shared" si="4"/>
        <v/>
      </c>
      <c r="J54" s="17">
        <f t="shared" si="5"/>
        <v>-2</v>
      </c>
      <c r="K54" s="17">
        <f t="shared" si="1"/>
        <v>-20</v>
      </c>
      <c r="L54" s="17"/>
      <c r="M54" s="19">
        <f t="shared" si="2"/>
        <v>0</v>
      </c>
    </row>
    <row r="55" spans="1:13" x14ac:dyDescent="0.25">
      <c r="A55" s="41"/>
      <c r="B55" s="35" t="str">
        <f t="shared" si="6"/>
        <v/>
      </c>
      <c r="C55" s="25"/>
      <c r="D55" s="25"/>
      <c r="E55" s="25"/>
      <c r="F55" s="25"/>
      <c r="G55" s="5"/>
      <c r="H55" s="44">
        <v>50</v>
      </c>
      <c r="I55" s="45" t="str">
        <f t="shared" si="4"/>
        <v/>
      </c>
      <c r="J55" s="44">
        <f t="shared" si="5"/>
        <v>-2</v>
      </c>
      <c r="K55" s="44">
        <f t="shared" si="1"/>
        <v>-20</v>
      </c>
      <c r="L55" s="44"/>
      <c r="M55" s="46">
        <f t="shared" si="2"/>
        <v>0</v>
      </c>
    </row>
    <row r="56" spans="1:13" x14ac:dyDescent="0.25">
      <c r="A56" s="42"/>
      <c r="B56" s="36" t="str">
        <f t="shared" si="6"/>
        <v/>
      </c>
      <c r="C56" s="24"/>
      <c r="D56" s="24"/>
      <c r="E56" s="24"/>
      <c r="F56" s="24"/>
      <c r="G56" s="5"/>
      <c r="H56" s="17">
        <v>51</v>
      </c>
      <c r="I56" s="18" t="str">
        <f t="shared" si="4"/>
        <v/>
      </c>
      <c r="J56" s="17">
        <f t="shared" si="5"/>
        <v>-2</v>
      </c>
      <c r="K56" s="17">
        <f t="shared" si="1"/>
        <v>-20</v>
      </c>
      <c r="L56" s="17"/>
      <c r="M56" s="19">
        <f t="shared" si="2"/>
        <v>0</v>
      </c>
    </row>
    <row r="57" spans="1:13" x14ac:dyDescent="0.25">
      <c r="A57" s="41"/>
      <c r="B57" s="35" t="str">
        <f t="shared" si="6"/>
        <v/>
      </c>
      <c r="C57" s="25"/>
      <c r="D57" s="25"/>
      <c r="E57" s="25"/>
      <c r="F57" s="25"/>
      <c r="G57" s="5"/>
      <c r="H57" s="44">
        <v>52</v>
      </c>
      <c r="I57" s="45" t="str">
        <f t="shared" si="4"/>
        <v/>
      </c>
      <c r="J57" s="44">
        <f t="shared" si="5"/>
        <v>-2</v>
      </c>
      <c r="K57" s="44">
        <f t="shared" si="1"/>
        <v>-20</v>
      </c>
      <c r="L57" s="44"/>
      <c r="M57" s="46">
        <f t="shared" si="2"/>
        <v>0</v>
      </c>
    </row>
    <row r="58" spans="1:13" x14ac:dyDescent="0.25">
      <c r="A58" s="42"/>
      <c r="B58" s="36" t="str">
        <f t="shared" si="6"/>
        <v/>
      </c>
      <c r="C58" s="24"/>
      <c r="D58" s="24"/>
      <c r="E58" s="24"/>
      <c r="F58" s="24"/>
      <c r="G58" s="5"/>
      <c r="H58" s="17">
        <v>53</v>
      </c>
      <c r="I58" s="18" t="str">
        <f t="shared" si="4"/>
        <v/>
      </c>
      <c r="J58" s="17">
        <f t="shared" si="5"/>
        <v>-2</v>
      </c>
      <c r="K58" s="17">
        <f t="shared" si="1"/>
        <v>-20</v>
      </c>
      <c r="L58" s="17"/>
      <c r="M58" s="19">
        <f t="shared" si="2"/>
        <v>0</v>
      </c>
    </row>
    <row r="59" spans="1:13" x14ac:dyDescent="0.25">
      <c r="A59" s="41"/>
      <c r="B59" s="35" t="str">
        <f t="shared" si="6"/>
        <v/>
      </c>
      <c r="C59" s="25"/>
      <c r="D59" s="25"/>
      <c r="E59" s="25"/>
      <c r="F59" s="25"/>
      <c r="G59" s="5"/>
      <c r="H59" s="44">
        <v>54</v>
      </c>
      <c r="I59" s="45" t="str">
        <f t="shared" si="4"/>
        <v/>
      </c>
      <c r="J59" s="44">
        <f t="shared" si="5"/>
        <v>-2</v>
      </c>
      <c r="K59" s="44">
        <f t="shared" si="1"/>
        <v>-20</v>
      </c>
      <c r="L59" s="44"/>
      <c r="M59" s="46">
        <f t="shared" si="2"/>
        <v>0</v>
      </c>
    </row>
    <row r="60" spans="1:13" x14ac:dyDescent="0.25">
      <c r="A60" s="42"/>
      <c r="B60" s="36" t="str">
        <f t="shared" si="6"/>
        <v/>
      </c>
      <c r="C60" s="24"/>
      <c r="D60" s="24"/>
      <c r="E60" s="24"/>
      <c r="F60" s="24"/>
      <c r="G60" s="5"/>
      <c r="H60" s="17">
        <v>55</v>
      </c>
      <c r="I60" s="18" t="str">
        <f t="shared" si="4"/>
        <v/>
      </c>
      <c r="J60" s="17">
        <f t="shared" si="5"/>
        <v>-2</v>
      </c>
      <c r="K60" s="17">
        <f t="shared" si="1"/>
        <v>-20</v>
      </c>
      <c r="L60" s="17"/>
      <c r="M60" s="19">
        <f t="shared" si="2"/>
        <v>0</v>
      </c>
    </row>
    <row r="61" spans="1:13" x14ac:dyDescent="0.25">
      <c r="A61" s="41"/>
      <c r="B61" s="35" t="str">
        <f t="shared" si="6"/>
        <v/>
      </c>
      <c r="C61" s="25"/>
      <c r="D61" s="25"/>
      <c r="E61" s="25"/>
      <c r="F61" s="25"/>
      <c r="G61" s="5"/>
      <c r="H61" s="44">
        <v>56</v>
      </c>
      <c r="I61" s="45" t="str">
        <f t="shared" si="4"/>
        <v/>
      </c>
      <c r="J61" s="44">
        <f t="shared" si="5"/>
        <v>-2</v>
      </c>
      <c r="K61" s="44">
        <f t="shared" si="1"/>
        <v>-20</v>
      </c>
      <c r="L61" s="44"/>
      <c r="M61" s="46">
        <f t="shared" si="2"/>
        <v>0</v>
      </c>
    </row>
    <row r="62" spans="1:13" x14ac:dyDescent="0.25">
      <c r="A62" s="42"/>
      <c r="B62" s="36" t="str">
        <f t="shared" si="6"/>
        <v/>
      </c>
      <c r="C62" s="24"/>
      <c r="D62" s="24"/>
      <c r="E62" s="24"/>
      <c r="F62" s="24"/>
      <c r="G62" s="5"/>
      <c r="H62" s="17">
        <v>57</v>
      </c>
      <c r="I62" s="18" t="str">
        <f t="shared" si="4"/>
        <v/>
      </c>
      <c r="J62" s="17">
        <f t="shared" si="5"/>
        <v>-2</v>
      </c>
      <c r="K62" s="17">
        <f t="shared" si="1"/>
        <v>-20</v>
      </c>
      <c r="L62" s="17"/>
      <c r="M62" s="19">
        <f t="shared" si="2"/>
        <v>0</v>
      </c>
    </row>
    <row r="63" spans="1:13" x14ac:dyDescent="0.25">
      <c r="A63" s="41"/>
      <c r="B63" s="35" t="str">
        <f t="shared" si="6"/>
        <v/>
      </c>
      <c r="C63" s="25"/>
      <c r="D63" s="25"/>
      <c r="E63" s="25"/>
      <c r="F63" s="25"/>
      <c r="G63" s="5"/>
      <c r="H63" s="44">
        <v>58</v>
      </c>
      <c r="I63" s="45" t="str">
        <f t="shared" si="4"/>
        <v/>
      </c>
      <c r="J63" s="44">
        <f t="shared" si="5"/>
        <v>-2</v>
      </c>
      <c r="K63" s="44">
        <f t="shared" si="1"/>
        <v>-20</v>
      </c>
      <c r="L63" s="44"/>
      <c r="M63" s="46">
        <f t="shared" si="2"/>
        <v>0</v>
      </c>
    </row>
    <row r="64" spans="1:13" x14ac:dyDescent="0.25">
      <c r="A64" s="42"/>
      <c r="B64" s="36" t="str">
        <f t="shared" si="6"/>
        <v/>
      </c>
      <c r="C64" s="24"/>
      <c r="D64" s="24"/>
      <c r="E64" s="24"/>
      <c r="F64" s="24"/>
      <c r="G64" s="5"/>
      <c r="H64" s="17">
        <v>59</v>
      </c>
      <c r="I64" s="18" t="str">
        <f t="shared" si="4"/>
        <v/>
      </c>
      <c r="J64" s="17">
        <f t="shared" si="5"/>
        <v>-2</v>
      </c>
      <c r="K64" s="17">
        <f t="shared" si="1"/>
        <v>-20</v>
      </c>
      <c r="L64" s="17"/>
      <c r="M64" s="19">
        <f t="shared" si="2"/>
        <v>0</v>
      </c>
    </row>
    <row r="65" spans="1:13" x14ac:dyDescent="0.25">
      <c r="A65" s="41"/>
      <c r="B65" s="35" t="str">
        <f t="shared" si="6"/>
        <v/>
      </c>
      <c r="C65" s="25"/>
      <c r="D65" s="25"/>
      <c r="E65" s="25"/>
      <c r="F65" s="25"/>
      <c r="G65" s="5"/>
      <c r="H65" s="44">
        <v>60</v>
      </c>
      <c r="I65" s="45" t="str">
        <f t="shared" si="4"/>
        <v/>
      </c>
      <c r="J65" s="44">
        <f t="shared" si="5"/>
        <v>-2</v>
      </c>
      <c r="K65" s="44">
        <f t="shared" si="1"/>
        <v>-20</v>
      </c>
      <c r="L65" s="44"/>
      <c r="M65" s="46">
        <f t="shared" si="2"/>
        <v>0</v>
      </c>
    </row>
    <row r="66" spans="1:13" x14ac:dyDescent="0.25">
      <c r="A66" s="43"/>
      <c r="B66" s="36"/>
      <c r="G66" s="5"/>
      <c r="H66" s="17">
        <v>61</v>
      </c>
      <c r="I66" s="18" t="str">
        <f t="shared" si="4"/>
        <v/>
      </c>
      <c r="J66" s="17">
        <f t="shared" si="5"/>
        <v>-2</v>
      </c>
      <c r="K66" s="17">
        <f t="shared" si="1"/>
        <v>-20</v>
      </c>
      <c r="L66" s="17"/>
      <c r="M66" s="19">
        <f t="shared" si="2"/>
        <v>0</v>
      </c>
    </row>
    <row r="67" spans="1:13" x14ac:dyDescent="0.25">
      <c r="A67" s="43"/>
      <c r="B67" s="35"/>
      <c r="G67" s="5"/>
      <c r="H67" s="17">
        <v>62</v>
      </c>
      <c r="I67" s="18" t="str">
        <f t="shared" si="4"/>
        <v/>
      </c>
      <c r="J67" s="17">
        <f t="shared" si="5"/>
        <v>-2</v>
      </c>
      <c r="K67" s="17">
        <f t="shared" si="1"/>
        <v>-20</v>
      </c>
      <c r="L67" s="17"/>
      <c r="M67" s="19">
        <f t="shared" si="2"/>
        <v>0</v>
      </c>
    </row>
    <row r="68" spans="1:13" x14ac:dyDescent="0.25">
      <c r="A68" s="43"/>
      <c r="B68" s="36"/>
      <c r="G68" s="5"/>
      <c r="H68" s="17">
        <v>63</v>
      </c>
      <c r="I68" s="18" t="str">
        <f t="shared" si="4"/>
        <v/>
      </c>
      <c r="J68" s="17">
        <f t="shared" si="5"/>
        <v>-2</v>
      </c>
      <c r="K68" s="17">
        <f t="shared" si="1"/>
        <v>-20</v>
      </c>
      <c r="L68" s="17"/>
      <c r="M68" s="19">
        <f t="shared" si="2"/>
        <v>0</v>
      </c>
    </row>
    <row r="69" spans="1:13" x14ac:dyDescent="0.25">
      <c r="A69" s="43"/>
      <c r="B69" s="35"/>
      <c r="G69" s="5"/>
      <c r="H69" s="17">
        <v>64</v>
      </c>
      <c r="I69" s="18" t="str">
        <f t="shared" si="4"/>
        <v/>
      </c>
      <c r="J69" s="17">
        <f t="shared" si="5"/>
        <v>-2</v>
      </c>
      <c r="K69" s="17">
        <f t="shared" si="1"/>
        <v>-20</v>
      </c>
      <c r="L69" s="17"/>
      <c r="M69" s="19">
        <f t="shared" si="2"/>
        <v>0</v>
      </c>
    </row>
    <row r="70" spans="1:13" x14ac:dyDescent="0.25">
      <c r="A70" s="43"/>
      <c r="G70" s="5"/>
      <c r="H70" s="17">
        <v>65</v>
      </c>
      <c r="I70" s="18" t="str">
        <f t="shared" ref="I70:I133" si="7">IF(H70&lt;$H$2+1,($I$2-($I$2-1)*(LOG(H70)/LOG($H$2))),"")</f>
        <v/>
      </c>
      <c r="J70" s="17">
        <f t="shared" si="5"/>
        <v>-3</v>
      </c>
      <c r="K70" s="17">
        <f t="shared" ref="K70:K133" si="8">J70*$J$2</f>
        <v>-30</v>
      </c>
      <c r="L70" s="17"/>
      <c r="M70" s="19">
        <f t="shared" ref="M70:M133" si="9">IF(I70&lt;&gt;"",K70+I70+L70,0)</f>
        <v>0</v>
      </c>
    </row>
    <row r="71" spans="1:13" x14ac:dyDescent="0.25">
      <c r="A71" s="43"/>
      <c r="G71" s="5"/>
      <c r="H71" s="17">
        <v>66</v>
      </c>
      <c r="I71" s="18" t="str">
        <f t="shared" si="7"/>
        <v/>
      </c>
      <c r="J71" s="17">
        <f t="shared" ref="J71:J134" si="10">INT(LOG($H$2,2))-ROUNDUP(LOG(H71,2),0)+IF(OR($H$2=1,$H$2=2,$H$2=4,$H$2=8,$H$2=16,$H$2=32,$H$2=64,$H$2=128,$H$2=256),0,1)</f>
        <v>-3</v>
      </c>
      <c r="K71" s="17">
        <f t="shared" si="8"/>
        <v>-30</v>
      </c>
      <c r="L71" s="17"/>
      <c r="M71" s="19">
        <f t="shared" si="9"/>
        <v>0</v>
      </c>
    </row>
    <row r="72" spans="1:13" x14ac:dyDescent="0.25">
      <c r="A72" s="43"/>
      <c r="G72" s="5"/>
      <c r="H72" s="17">
        <v>67</v>
      </c>
      <c r="I72" s="18" t="str">
        <f t="shared" si="7"/>
        <v/>
      </c>
      <c r="J72" s="17">
        <f t="shared" si="10"/>
        <v>-3</v>
      </c>
      <c r="K72" s="17">
        <f t="shared" si="8"/>
        <v>-30</v>
      </c>
      <c r="L72" s="17"/>
      <c r="M72" s="19">
        <f t="shared" si="9"/>
        <v>0</v>
      </c>
    </row>
    <row r="73" spans="1:13" x14ac:dyDescent="0.25">
      <c r="A73" s="43"/>
      <c r="G73" s="5"/>
      <c r="H73" s="17">
        <v>68</v>
      </c>
      <c r="I73" s="18" t="str">
        <f t="shared" si="7"/>
        <v/>
      </c>
      <c r="J73" s="17">
        <f t="shared" si="10"/>
        <v>-3</v>
      </c>
      <c r="K73" s="17">
        <f t="shared" si="8"/>
        <v>-30</v>
      </c>
      <c r="L73" s="17"/>
      <c r="M73" s="19">
        <f t="shared" si="9"/>
        <v>0</v>
      </c>
    </row>
    <row r="74" spans="1:13" x14ac:dyDescent="0.25">
      <c r="A74" s="43"/>
      <c r="G74" s="5"/>
      <c r="H74" s="17">
        <v>69</v>
      </c>
      <c r="I74" s="18" t="str">
        <f t="shared" si="7"/>
        <v/>
      </c>
      <c r="J74" s="17">
        <f t="shared" si="10"/>
        <v>-3</v>
      </c>
      <c r="K74" s="17">
        <f t="shared" si="8"/>
        <v>-30</v>
      </c>
      <c r="L74" s="17"/>
      <c r="M74" s="19">
        <f t="shared" si="9"/>
        <v>0</v>
      </c>
    </row>
    <row r="75" spans="1:13" x14ac:dyDescent="0.25">
      <c r="A75" s="43"/>
      <c r="G75" s="5"/>
      <c r="H75" s="17">
        <v>70</v>
      </c>
      <c r="I75" s="18" t="str">
        <f t="shared" si="7"/>
        <v/>
      </c>
      <c r="J75" s="17">
        <f t="shared" si="10"/>
        <v>-3</v>
      </c>
      <c r="K75" s="17">
        <f t="shared" si="8"/>
        <v>-30</v>
      </c>
      <c r="L75" s="17"/>
      <c r="M75" s="19">
        <f t="shared" si="9"/>
        <v>0</v>
      </c>
    </row>
    <row r="76" spans="1:13" x14ac:dyDescent="0.25">
      <c r="A76" s="43"/>
      <c r="G76" s="5"/>
      <c r="H76" s="17">
        <v>71</v>
      </c>
      <c r="I76" s="18" t="str">
        <f t="shared" si="7"/>
        <v/>
      </c>
      <c r="J76" s="17">
        <f t="shared" si="10"/>
        <v>-3</v>
      </c>
      <c r="K76" s="17">
        <f t="shared" si="8"/>
        <v>-30</v>
      </c>
      <c r="L76" s="17"/>
      <c r="M76" s="19">
        <f t="shared" si="9"/>
        <v>0</v>
      </c>
    </row>
    <row r="77" spans="1:13" x14ac:dyDescent="0.25">
      <c r="A77" s="43"/>
      <c r="G77" s="5"/>
      <c r="H77" s="17">
        <v>72</v>
      </c>
      <c r="I77" s="18" t="str">
        <f t="shared" si="7"/>
        <v/>
      </c>
      <c r="J77" s="17">
        <f t="shared" si="10"/>
        <v>-3</v>
      </c>
      <c r="K77" s="17">
        <f t="shared" si="8"/>
        <v>-30</v>
      </c>
      <c r="L77" s="17"/>
      <c r="M77" s="19">
        <f t="shared" si="9"/>
        <v>0</v>
      </c>
    </row>
    <row r="78" spans="1:13" x14ac:dyDescent="0.25">
      <c r="A78" s="43"/>
      <c r="G78" s="5"/>
      <c r="H78" s="17">
        <v>73</v>
      </c>
      <c r="I78" s="18" t="str">
        <f t="shared" si="7"/>
        <v/>
      </c>
      <c r="J78" s="17">
        <f t="shared" si="10"/>
        <v>-3</v>
      </c>
      <c r="K78" s="17">
        <f t="shared" si="8"/>
        <v>-30</v>
      </c>
      <c r="L78" s="17"/>
      <c r="M78" s="19">
        <f t="shared" si="9"/>
        <v>0</v>
      </c>
    </row>
    <row r="79" spans="1:13" x14ac:dyDescent="0.25">
      <c r="A79" s="43"/>
      <c r="G79" s="5"/>
      <c r="H79" s="17">
        <v>74</v>
      </c>
      <c r="I79" s="18" t="str">
        <f t="shared" si="7"/>
        <v/>
      </c>
      <c r="J79" s="17">
        <f t="shared" si="10"/>
        <v>-3</v>
      </c>
      <c r="K79" s="17">
        <f t="shared" si="8"/>
        <v>-30</v>
      </c>
      <c r="L79" s="17"/>
      <c r="M79" s="19">
        <f t="shared" si="9"/>
        <v>0</v>
      </c>
    </row>
    <row r="80" spans="1:13" x14ac:dyDescent="0.25">
      <c r="A80" s="43"/>
      <c r="G80" s="5"/>
      <c r="H80" s="17">
        <v>75</v>
      </c>
      <c r="I80" s="18" t="str">
        <f t="shared" si="7"/>
        <v/>
      </c>
      <c r="J80" s="17">
        <f t="shared" si="10"/>
        <v>-3</v>
      </c>
      <c r="K80" s="17">
        <f t="shared" si="8"/>
        <v>-30</v>
      </c>
      <c r="L80" s="17"/>
      <c r="M80" s="19">
        <f t="shared" si="9"/>
        <v>0</v>
      </c>
    </row>
    <row r="81" spans="1:13" x14ac:dyDescent="0.25">
      <c r="A81" s="43"/>
      <c r="G81" s="5"/>
      <c r="H81" s="17">
        <v>76</v>
      </c>
      <c r="I81" s="18" t="str">
        <f t="shared" si="7"/>
        <v/>
      </c>
      <c r="J81" s="17">
        <f t="shared" si="10"/>
        <v>-3</v>
      </c>
      <c r="K81" s="17">
        <f t="shared" si="8"/>
        <v>-30</v>
      </c>
      <c r="L81" s="17"/>
      <c r="M81" s="19">
        <f t="shared" si="9"/>
        <v>0</v>
      </c>
    </row>
    <row r="82" spans="1:13" x14ac:dyDescent="0.25">
      <c r="A82" s="43"/>
      <c r="G82" s="5"/>
      <c r="H82" s="17">
        <v>77</v>
      </c>
      <c r="I82" s="18" t="str">
        <f t="shared" si="7"/>
        <v/>
      </c>
      <c r="J82" s="17">
        <f t="shared" si="10"/>
        <v>-3</v>
      </c>
      <c r="K82" s="17">
        <f t="shared" si="8"/>
        <v>-30</v>
      </c>
      <c r="L82" s="17"/>
      <c r="M82" s="19">
        <f t="shared" si="9"/>
        <v>0</v>
      </c>
    </row>
    <row r="83" spans="1:13" x14ac:dyDescent="0.25">
      <c r="A83" s="43"/>
      <c r="G83" s="5"/>
      <c r="H83" s="17">
        <v>78</v>
      </c>
      <c r="I83" s="18" t="str">
        <f t="shared" si="7"/>
        <v/>
      </c>
      <c r="J83" s="17">
        <f t="shared" si="10"/>
        <v>-3</v>
      </c>
      <c r="K83" s="17">
        <f t="shared" si="8"/>
        <v>-30</v>
      </c>
      <c r="L83" s="17"/>
      <c r="M83" s="19">
        <f t="shared" si="9"/>
        <v>0</v>
      </c>
    </row>
    <row r="84" spans="1:13" x14ac:dyDescent="0.25">
      <c r="A84" s="43"/>
      <c r="G84" s="5"/>
      <c r="H84" s="17">
        <v>79</v>
      </c>
      <c r="I84" s="18" t="str">
        <f t="shared" si="7"/>
        <v/>
      </c>
      <c r="J84" s="17">
        <f t="shared" si="10"/>
        <v>-3</v>
      </c>
      <c r="K84" s="17">
        <f t="shared" si="8"/>
        <v>-30</v>
      </c>
      <c r="L84" s="17"/>
      <c r="M84" s="19">
        <f t="shared" si="9"/>
        <v>0</v>
      </c>
    </row>
    <row r="85" spans="1:13" x14ac:dyDescent="0.25">
      <c r="A85" s="43"/>
      <c r="G85" s="5"/>
      <c r="H85" s="17">
        <v>80</v>
      </c>
      <c r="I85" s="18" t="str">
        <f t="shared" si="7"/>
        <v/>
      </c>
      <c r="J85" s="17">
        <f t="shared" si="10"/>
        <v>-3</v>
      </c>
      <c r="K85" s="17">
        <f t="shared" si="8"/>
        <v>-30</v>
      </c>
      <c r="L85" s="17"/>
      <c r="M85" s="19">
        <f t="shared" si="9"/>
        <v>0</v>
      </c>
    </row>
    <row r="86" spans="1:13" x14ac:dyDescent="0.25">
      <c r="A86" s="43"/>
      <c r="G86" s="5"/>
      <c r="H86" s="17">
        <v>81</v>
      </c>
      <c r="I86" s="18" t="str">
        <f t="shared" si="7"/>
        <v/>
      </c>
      <c r="J86" s="17">
        <f t="shared" si="10"/>
        <v>-3</v>
      </c>
      <c r="K86" s="17">
        <f t="shared" si="8"/>
        <v>-30</v>
      </c>
      <c r="L86" s="17"/>
      <c r="M86" s="19">
        <f t="shared" si="9"/>
        <v>0</v>
      </c>
    </row>
    <row r="87" spans="1:13" x14ac:dyDescent="0.25">
      <c r="A87" s="43"/>
      <c r="G87" s="5"/>
      <c r="H87" s="17">
        <v>82</v>
      </c>
      <c r="I87" s="18" t="str">
        <f t="shared" si="7"/>
        <v/>
      </c>
      <c r="J87" s="17">
        <f t="shared" si="10"/>
        <v>-3</v>
      </c>
      <c r="K87" s="17">
        <f t="shared" si="8"/>
        <v>-30</v>
      </c>
      <c r="L87" s="17"/>
      <c r="M87" s="19">
        <f t="shared" si="9"/>
        <v>0</v>
      </c>
    </row>
    <row r="88" spans="1:13" x14ac:dyDescent="0.25">
      <c r="A88" s="43"/>
      <c r="G88" s="5"/>
      <c r="H88" s="17">
        <v>83</v>
      </c>
      <c r="I88" s="18" t="str">
        <f t="shared" si="7"/>
        <v/>
      </c>
      <c r="J88" s="17">
        <f t="shared" si="10"/>
        <v>-3</v>
      </c>
      <c r="K88" s="17">
        <f t="shared" si="8"/>
        <v>-30</v>
      </c>
      <c r="L88" s="17"/>
      <c r="M88" s="19">
        <f t="shared" si="9"/>
        <v>0</v>
      </c>
    </row>
    <row r="89" spans="1:13" x14ac:dyDescent="0.25">
      <c r="A89" s="43"/>
      <c r="G89" s="5"/>
      <c r="H89" s="17">
        <v>84</v>
      </c>
      <c r="I89" s="18" t="str">
        <f t="shared" si="7"/>
        <v/>
      </c>
      <c r="J89" s="17">
        <f t="shared" si="10"/>
        <v>-3</v>
      </c>
      <c r="K89" s="17">
        <f t="shared" si="8"/>
        <v>-30</v>
      </c>
      <c r="L89" s="17"/>
      <c r="M89" s="19">
        <f t="shared" si="9"/>
        <v>0</v>
      </c>
    </row>
    <row r="90" spans="1:13" x14ac:dyDescent="0.25">
      <c r="A90" s="43"/>
      <c r="G90" s="5"/>
      <c r="H90" s="17">
        <v>85</v>
      </c>
      <c r="I90" s="18" t="str">
        <f t="shared" si="7"/>
        <v/>
      </c>
      <c r="J90" s="17">
        <f t="shared" si="10"/>
        <v>-3</v>
      </c>
      <c r="K90" s="17">
        <f t="shared" si="8"/>
        <v>-30</v>
      </c>
      <c r="L90" s="17"/>
      <c r="M90" s="19">
        <f t="shared" si="9"/>
        <v>0</v>
      </c>
    </row>
    <row r="91" spans="1:13" x14ac:dyDescent="0.25">
      <c r="A91" s="43"/>
      <c r="G91" s="5"/>
      <c r="H91" s="17">
        <v>86</v>
      </c>
      <c r="I91" s="18" t="str">
        <f t="shared" si="7"/>
        <v/>
      </c>
      <c r="J91" s="17">
        <f t="shared" si="10"/>
        <v>-3</v>
      </c>
      <c r="K91" s="17">
        <f t="shared" si="8"/>
        <v>-30</v>
      </c>
      <c r="L91" s="17"/>
      <c r="M91" s="19">
        <f t="shared" si="9"/>
        <v>0</v>
      </c>
    </row>
    <row r="92" spans="1:13" x14ac:dyDescent="0.25">
      <c r="A92" s="43"/>
      <c r="G92" s="5"/>
      <c r="H92" s="17">
        <v>87</v>
      </c>
      <c r="I92" s="18" t="str">
        <f t="shared" si="7"/>
        <v/>
      </c>
      <c r="J92" s="17">
        <f t="shared" si="10"/>
        <v>-3</v>
      </c>
      <c r="K92" s="17">
        <f t="shared" si="8"/>
        <v>-30</v>
      </c>
      <c r="L92" s="17"/>
      <c r="M92" s="19">
        <f t="shared" si="9"/>
        <v>0</v>
      </c>
    </row>
    <row r="93" spans="1:13" x14ac:dyDescent="0.25">
      <c r="A93" s="43"/>
      <c r="G93" s="5"/>
      <c r="H93" s="17">
        <v>88</v>
      </c>
      <c r="I93" s="18" t="str">
        <f t="shared" si="7"/>
        <v/>
      </c>
      <c r="J93" s="17">
        <f t="shared" si="10"/>
        <v>-3</v>
      </c>
      <c r="K93" s="17">
        <f t="shared" si="8"/>
        <v>-30</v>
      </c>
      <c r="L93" s="17"/>
      <c r="M93" s="19">
        <f t="shared" si="9"/>
        <v>0</v>
      </c>
    </row>
    <row r="94" spans="1:13" x14ac:dyDescent="0.25">
      <c r="A94" s="43"/>
      <c r="G94" s="5"/>
      <c r="H94" s="17">
        <v>89</v>
      </c>
      <c r="I94" s="18" t="str">
        <f t="shared" si="7"/>
        <v/>
      </c>
      <c r="J94" s="17">
        <f t="shared" si="10"/>
        <v>-3</v>
      </c>
      <c r="K94" s="17">
        <f t="shared" si="8"/>
        <v>-30</v>
      </c>
      <c r="L94" s="17"/>
      <c r="M94" s="19">
        <f t="shared" si="9"/>
        <v>0</v>
      </c>
    </row>
    <row r="95" spans="1:13" x14ac:dyDescent="0.25">
      <c r="A95" s="43"/>
      <c r="G95" s="5"/>
      <c r="H95" s="17">
        <v>90</v>
      </c>
      <c r="I95" s="18" t="str">
        <f t="shared" si="7"/>
        <v/>
      </c>
      <c r="J95" s="17">
        <f t="shared" si="10"/>
        <v>-3</v>
      </c>
      <c r="K95" s="17">
        <f t="shared" si="8"/>
        <v>-30</v>
      </c>
      <c r="L95" s="17"/>
      <c r="M95" s="19">
        <f t="shared" si="9"/>
        <v>0</v>
      </c>
    </row>
    <row r="96" spans="1:13" x14ac:dyDescent="0.25">
      <c r="A96" s="43"/>
      <c r="G96" s="5"/>
      <c r="H96" s="17">
        <v>91</v>
      </c>
      <c r="I96" s="18" t="str">
        <f t="shared" si="7"/>
        <v/>
      </c>
      <c r="J96" s="17">
        <f t="shared" si="10"/>
        <v>-3</v>
      </c>
      <c r="K96" s="17">
        <f t="shared" si="8"/>
        <v>-30</v>
      </c>
      <c r="L96" s="17"/>
      <c r="M96" s="19">
        <f t="shared" si="9"/>
        <v>0</v>
      </c>
    </row>
    <row r="97" spans="1:13" x14ac:dyDescent="0.25">
      <c r="A97" s="43"/>
      <c r="G97" s="5"/>
      <c r="H97" s="17">
        <v>92</v>
      </c>
      <c r="I97" s="18" t="str">
        <f t="shared" si="7"/>
        <v/>
      </c>
      <c r="J97" s="17">
        <f t="shared" si="10"/>
        <v>-3</v>
      </c>
      <c r="K97" s="17">
        <f t="shared" si="8"/>
        <v>-30</v>
      </c>
      <c r="L97" s="17"/>
      <c r="M97" s="19">
        <f t="shared" si="9"/>
        <v>0</v>
      </c>
    </row>
    <row r="98" spans="1:13" x14ac:dyDescent="0.25">
      <c r="A98" s="43"/>
      <c r="G98" s="5"/>
      <c r="H98" s="17">
        <v>93</v>
      </c>
      <c r="I98" s="18" t="str">
        <f t="shared" si="7"/>
        <v/>
      </c>
      <c r="J98" s="17">
        <f t="shared" si="10"/>
        <v>-3</v>
      </c>
      <c r="K98" s="17">
        <f t="shared" si="8"/>
        <v>-30</v>
      </c>
      <c r="L98" s="17"/>
      <c r="M98" s="19">
        <f t="shared" si="9"/>
        <v>0</v>
      </c>
    </row>
    <row r="99" spans="1:13" x14ac:dyDescent="0.25">
      <c r="A99" s="43"/>
      <c r="G99" s="5"/>
      <c r="H99" s="17">
        <v>94</v>
      </c>
      <c r="I99" s="18" t="str">
        <f t="shared" si="7"/>
        <v/>
      </c>
      <c r="J99" s="17">
        <f t="shared" si="10"/>
        <v>-3</v>
      </c>
      <c r="K99" s="17">
        <f t="shared" si="8"/>
        <v>-30</v>
      </c>
      <c r="L99" s="17"/>
      <c r="M99" s="19">
        <f t="shared" si="9"/>
        <v>0</v>
      </c>
    </row>
    <row r="100" spans="1:13" x14ac:dyDescent="0.25">
      <c r="A100" s="43"/>
      <c r="G100" s="5"/>
      <c r="H100" s="17">
        <v>95</v>
      </c>
      <c r="I100" s="18" t="str">
        <f t="shared" si="7"/>
        <v/>
      </c>
      <c r="J100" s="17">
        <f t="shared" si="10"/>
        <v>-3</v>
      </c>
      <c r="K100" s="17">
        <f t="shared" si="8"/>
        <v>-30</v>
      </c>
      <c r="L100" s="17"/>
      <c r="M100" s="19">
        <f t="shared" si="9"/>
        <v>0</v>
      </c>
    </row>
    <row r="101" spans="1:13" x14ac:dyDescent="0.25">
      <c r="A101" s="43"/>
      <c r="G101" s="5"/>
      <c r="H101" s="17">
        <v>96</v>
      </c>
      <c r="I101" s="18" t="str">
        <f t="shared" si="7"/>
        <v/>
      </c>
      <c r="J101" s="17">
        <f t="shared" si="10"/>
        <v>-3</v>
      </c>
      <c r="K101" s="17">
        <f t="shared" si="8"/>
        <v>-30</v>
      </c>
      <c r="L101" s="17"/>
      <c r="M101" s="19">
        <f t="shared" si="9"/>
        <v>0</v>
      </c>
    </row>
    <row r="102" spans="1:13" x14ac:dyDescent="0.25">
      <c r="A102" s="43"/>
      <c r="G102" s="5"/>
      <c r="H102" s="17">
        <v>97</v>
      </c>
      <c r="I102" s="18" t="str">
        <f t="shared" si="7"/>
        <v/>
      </c>
      <c r="J102" s="17">
        <f t="shared" si="10"/>
        <v>-3</v>
      </c>
      <c r="K102" s="17">
        <f t="shared" si="8"/>
        <v>-30</v>
      </c>
      <c r="L102" s="17"/>
      <c r="M102" s="19">
        <f t="shared" si="9"/>
        <v>0</v>
      </c>
    </row>
    <row r="103" spans="1:13" x14ac:dyDescent="0.25">
      <c r="A103" s="43"/>
      <c r="G103" s="5"/>
      <c r="H103" s="17">
        <v>98</v>
      </c>
      <c r="I103" s="18" t="str">
        <f t="shared" si="7"/>
        <v/>
      </c>
      <c r="J103" s="17">
        <f t="shared" si="10"/>
        <v>-3</v>
      </c>
      <c r="K103" s="17">
        <f t="shared" si="8"/>
        <v>-30</v>
      </c>
      <c r="L103" s="17"/>
      <c r="M103" s="19">
        <f t="shared" si="9"/>
        <v>0</v>
      </c>
    </row>
    <row r="104" spans="1:13" x14ac:dyDescent="0.25">
      <c r="A104" s="43"/>
      <c r="G104" s="5"/>
      <c r="H104" s="17">
        <v>99</v>
      </c>
      <c r="I104" s="18" t="str">
        <f t="shared" si="7"/>
        <v/>
      </c>
      <c r="J104" s="17">
        <f t="shared" si="10"/>
        <v>-3</v>
      </c>
      <c r="K104" s="17">
        <f t="shared" si="8"/>
        <v>-30</v>
      </c>
      <c r="L104" s="17"/>
      <c r="M104" s="19">
        <f t="shared" si="9"/>
        <v>0</v>
      </c>
    </row>
    <row r="105" spans="1:13" x14ac:dyDescent="0.25">
      <c r="A105" s="43"/>
      <c r="G105" s="5"/>
      <c r="H105" s="17">
        <v>100</v>
      </c>
      <c r="I105" s="18" t="str">
        <f t="shared" si="7"/>
        <v/>
      </c>
      <c r="J105" s="17">
        <f t="shared" si="10"/>
        <v>-3</v>
      </c>
      <c r="K105" s="17">
        <f t="shared" si="8"/>
        <v>-30</v>
      </c>
      <c r="L105" s="17"/>
      <c r="M105" s="19">
        <f t="shared" si="9"/>
        <v>0</v>
      </c>
    </row>
    <row r="106" spans="1:13" x14ac:dyDescent="0.25">
      <c r="A106" s="43"/>
      <c r="G106" s="5"/>
      <c r="H106" s="17">
        <v>101</v>
      </c>
      <c r="I106" s="18" t="str">
        <f t="shared" si="7"/>
        <v/>
      </c>
      <c r="J106" s="17">
        <f t="shared" si="10"/>
        <v>-3</v>
      </c>
      <c r="K106" s="17">
        <f t="shared" si="8"/>
        <v>-30</v>
      </c>
      <c r="L106" s="17"/>
      <c r="M106" s="19">
        <f t="shared" si="9"/>
        <v>0</v>
      </c>
    </row>
    <row r="107" spans="1:13" x14ac:dyDescent="0.25">
      <c r="A107" s="43"/>
      <c r="G107" s="5"/>
      <c r="H107" s="17">
        <v>102</v>
      </c>
      <c r="I107" s="18" t="str">
        <f t="shared" si="7"/>
        <v/>
      </c>
      <c r="J107" s="17">
        <f t="shared" si="10"/>
        <v>-3</v>
      </c>
      <c r="K107" s="17">
        <f t="shared" si="8"/>
        <v>-30</v>
      </c>
      <c r="L107" s="17"/>
      <c r="M107" s="19">
        <f t="shared" si="9"/>
        <v>0</v>
      </c>
    </row>
    <row r="108" spans="1:13" x14ac:dyDescent="0.25">
      <c r="A108" s="43"/>
      <c r="G108" s="5"/>
      <c r="H108" s="17">
        <v>103</v>
      </c>
      <c r="I108" s="18" t="str">
        <f t="shared" si="7"/>
        <v/>
      </c>
      <c r="J108" s="17">
        <f t="shared" si="10"/>
        <v>-3</v>
      </c>
      <c r="K108" s="17">
        <f t="shared" si="8"/>
        <v>-30</v>
      </c>
      <c r="L108" s="17"/>
      <c r="M108" s="19">
        <f t="shared" si="9"/>
        <v>0</v>
      </c>
    </row>
    <row r="109" spans="1:13" x14ac:dyDescent="0.25">
      <c r="A109" s="43"/>
      <c r="G109" s="5"/>
      <c r="H109" s="17">
        <v>104</v>
      </c>
      <c r="I109" s="18" t="str">
        <f t="shared" si="7"/>
        <v/>
      </c>
      <c r="J109" s="17">
        <f t="shared" si="10"/>
        <v>-3</v>
      </c>
      <c r="K109" s="17">
        <f t="shared" si="8"/>
        <v>-30</v>
      </c>
      <c r="L109" s="17"/>
      <c r="M109" s="19">
        <f t="shared" si="9"/>
        <v>0</v>
      </c>
    </row>
    <row r="110" spans="1:13" x14ac:dyDescent="0.25">
      <c r="A110" s="43"/>
      <c r="G110" s="5"/>
      <c r="H110" s="17">
        <v>105</v>
      </c>
      <c r="I110" s="18" t="str">
        <f t="shared" si="7"/>
        <v/>
      </c>
      <c r="J110" s="17">
        <f t="shared" si="10"/>
        <v>-3</v>
      </c>
      <c r="K110" s="17">
        <f t="shared" si="8"/>
        <v>-30</v>
      </c>
      <c r="L110" s="17"/>
      <c r="M110" s="19">
        <f t="shared" si="9"/>
        <v>0</v>
      </c>
    </row>
    <row r="111" spans="1:13" x14ac:dyDescent="0.25">
      <c r="A111" s="43"/>
      <c r="G111" s="5"/>
      <c r="H111" s="17">
        <v>106</v>
      </c>
      <c r="I111" s="18" t="str">
        <f t="shared" si="7"/>
        <v/>
      </c>
      <c r="J111" s="17">
        <f t="shared" si="10"/>
        <v>-3</v>
      </c>
      <c r="K111" s="17">
        <f t="shared" si="8"/>
        <v>-30</v>
      </c>
      <c r="L111" s="17"/>
      <c r="M111" s="19">
        <f t="shared" si="9"/>
        <v>0</v>
      </c>
    </row>
    <row r="112" spans="1:13" x14ac:dyDescent="0.25">
      <c r="A112" s="43"/>
      <c r="G112" s="5"/>
      <c r="H112" s="17">
        <v>107</v>
      </c>
      <c r="I112" s="18" t="str">
        <f t="shared" si="7"/>
        <v/>
      </c>
      <c r="J112" s="17">
        <f t="shared" si="10"/>
        <v>-3</v>
      </c>
      <c r="K112" s="17">
        <f t="shared" si="8"/>
        <v>-30</v>
      </c>
      <c r="L112" s="17"/>
      <c r="M112" s="19">
        <f t="shared" si="9"/>
        <v>0</v>
      </c>
    </row>
    <row r="113" spans="1:13" x14ac:dyDescent="0.25">
      <c r="A113" s="43"/>
      <c r="G113" s="5"/>
      <c r="H113" s="17">
        <v>108</v>
      </c>
      <c r="I113" s="18" t="str">
        <f t="shared" si="7"/>
        <v/>
      </c>
      <c r="J113" s="17">
        <f t="shared" si="10"/>
        <v>-3</v>
      </c>
      <c r="K113" s="17">
        <f t="shared" si="8"/>
        <v>-30</v>
      </c>
      <c r="L113" s="17"/>
      <c r="M113" s="19">
        <f t="shared" si="9"/>
        <v>0</v>
      </c>
    </row>
    <row r="114" spans="1:13" x14ac:dyDescent="0.25">
      <c r="A114" s="43"/>
      <c r="G114" s="5"/>
      <c r="H114" s="17">
        <v>109</v>
      </c>
      <c r="I114" s="18" t="str">
        <f t="shared" si="7"/>
        <v/>
      </c>
      <c r="J114" s="17">
        <f t="shared" si="10"/>
        <v>-3</v>
      </c>
      <c r="K114" s="17">
        <f t="shared" si="8"/>
        <v>-30</v>
      </c>
      <c r="L114" s="17"/>
      <c r="M114" s="19">
        <f t="shared" si="9"/>
        <v>0</v>
      </c>
    </row>
    <row r="115" spans="1:13" x14ac:dyDescent="0.25">
      <c r="A115" s="43"/>
      <c r="G115" s="5"/>
      <c r="H115" s="17">
        <v>110</v>
      </c>
      <c r="I115" s="18" t="str">
        <f t="shared" si="7"/>
        <v/>
      </c>
      <c r="J115" s="17">
        <f t="shared" si="10"/>
        <v>-3</v>
      </c>
      <c r="K115" s="17">
        <f t="shared" si="8"/>
        <v>-30</v>
      </c>
      <c r="L115" s="17"/>
      <c r="M115" s="19">
        <f t="shared" si="9"/>
        <v>0</v>
      </c>
    </row>
    <row r="116" spans="1:13" x14ac:dyDescent="0.25">
      <c r="A116" s="43"/>
      <c r="G116" s="5"/>
      <c r="H116" s="17">
        <v>111</v>
      </c>
      <c r="I116" s="18" t="str">
        <f t="shared" si="7"/>
        <v/>
      </c>
      <c r="J116" s="17">
        <f t="shared" si="10"/>
        <v>-3</v>
      </c>
      <c r="K116" s="17">
        <f t="shared" si="8"/>
        <v>-30</v>
      </c>
      <c r="L116" s="17"/>
      <c r="M116" s="19">
        <f t="shared" si="9"/>
        <v>0</v>
      </c>
    </row>
    <row r="117" spans="1:13" x14ac:dyDescent="0.25">
      <c r="A117" s="43"/>
      <c r="G117" s="5"/>
      <c r="H117" s="17">
        <v>112</v>
      </c>
      <c r="I117" s="18" t="str">
        <f t="shared" si="7"/>
        <v/>
      </c>
      <c r="J117" s="17">
        <f t="shared" si="10"/>
        <v>-3</v>
      </c>
      <c r="K117" s="17">
        <f t="shared" si="8"/>
        <v>-30</v>
      </c>
      <c r="L117" s="17"/>
      <c r="M117" s="19">
        <f t="shared" si="9"/>
        <v>0</v>
      </c>
    </row>
    <row r="118" spans="1:13" x14ac:dyDescent="0.25">
      <c r="A118" s="43"/>
      <c r="G118" s="5"/>
      <c r="H118" s="17">
        <v>113</v>
      </c>
      <c r="I118" s="18" t="str">
        <f t="shared" si="7"/>
        <v/>
      </c>
      <c r="J118" s="17">
        <f t="shared" si="10"/>
        <v>-3</v>
      </c>
      <c r="K118" s="17">
        <f t="shared" si="8"/>
        <v>-30</v>
      </c>
      <c r="L118" s="17"/>
      <c r="M118" s="19">
        <f t="shared" si="9"/>
        <v>0</v>
      </c>
    </row>
    <row r="119" spans="1:13" x14ac:dyDescent="0.25">
      <c r="A119" s="43"/>
      <c r="G119" s="5"/>
      <c r="H119" s="17">
        <v>114</v>
      </c>
      <c r="I119" s="18" t="str">
        <f t="shared" si="7"/>
        <v/>
      </c>
      <c r="J119" s="17">
        <f t="shared" si="10"/>
        <v>-3</v>
      </c>
      <c r="K119" s="17">
        <f t="shared" si="8"/>
        <v>-30</v>
      </c>
      <c r="L119" s="17"/>
      <c r="M119" s="19">
        <f t="shared" si="9"/>
        <v>0</v>
      </c>
    </row>
    <row r="120" spans="1:13" x14ac:dyDescent="0.25">
      <c r="A120" s="43"/>
      <c r="G120" s="5"/>
      <c r="H120" s="17">
        <v>115</v>
      </c>
      <c r="I120" s="18" t="str">
        <f t="shared" si="7"/>
        <v/>
      </c>
      <c r="J120" s="17">
        <f t="shared" si="10"/>
        <v>-3</v>
      </c>
      <c r="K120" s="17">
        <f t="shared" si="8"/>
        <v>-30</v>
      </c>
      <c r="L120" s="17"/>
      <c r="M120" s="19">
        <f t="shared" si="9"/>
        <v>0</v>
      </c>
    </row>
    <row r="121" spans="1:13" x14ac:dyDescent="0.25">
      <c r="A121" s="43"/>
      <c r="G121" s="5"/>
      <c r="H121" s="17">
        <v>116</v>
      </c>
      <c r="I121" s="18" t="str">
        <f t="shared" si="7"/>
        <v/>
      </c>
      <c r="J121" s="17">
        <f t="shared" si="10"/>
        <v>-3</v>
      </c>
      <c r="K121" s="17">
        <f t="shared" si="8"/>
        <v>-30</v>
      </c>
      <c r="L121" s="17"/>
      <c r="M121" s="19">
        <f t="shared" si="9"/>
        <v>0</v>
      </c>
    </row>
    <row r="122" spans="1:13" x14ac:dyDescent="0.25">
      <c r="A122" s="43"/>
      <c r="G122" s="5"/>
      <c r="H122" s="17">
        <v>117</v>
      </c>
      <c r="I122" s="18" t="str">
        <f t="shared" si="7"/>
        <v/>
      </c>
      <c r="J122" s="17">
        <f t="shared" si="10"/>
        <v>-3</v>
      </c>
      <c r="K122" s="17">
        <f t="shared" si="8"/>
        <v>-30</v>
      </c>
      <c r="L122" s="17"/>
      <c r="M122" s="19">
        <f t="shared" si="9"/>
        <v>0</v>
      </c>
    </row>
    <row r="123" spans="1:13" x14ac:dyDescent="0.25">
      <c r="A123" s="43"/>
      <c r="G123" s="5"/>
      <c r="H123" s="17">
        <v>118</v>
      </c>
      <c r="I123" s="18" t="str">
        <f t="shared" si="7"/>
        <v/>
      </c>
      <c r="J123" s="17">
        <f t="shared" si="10"/>
        <v>-3</v>
      </c>
      <c r="K123" s="17">
        <f t="shared" si="8"/>
        <v>-30</v>
      </c>
      <c r="L123" s="17"/>
      <c r="M123" s="19">
        <f t="shared" si="9"/>
        <v>0</v>
      </c>
    </row>
    <row r="124" spans="1:13" x14ac:dyDescent="0.25">
      <c r="A124" s="43"/>
      <c r="G124" s="5"/>
      <c r="H124" s="17">
        <v>119</v>
      </c>
      <c r="I124" s="18" t="str">
        <f t="shared" si="7"/>
        <v/>
      </c>
      <c r="J124" s="17">
        <f t="shared" si="10"/>
        <v>-3</v>
      </c>
      <c r="K124" s="17">
        <f t="shared" si="8"/>
        <v>-30</v>
      </c>
      <c r="L124" s="17"/>
      <c r="M124" s="19">
        <f t="shared" si="9"/>
        <v>0</v>
      </c>
    </row>
    <row r="125" spans="1:13" x14ac:dyDescent="0.25">
      <c r="A125" s="43"/>
      <c r="G125" s="5"/>
      <c r="H125" s="17">
        <v>120</v>
      </c>
      <c r="I125" s="18" t="str">
        <f t="shared" si="7"/>
        <v/>
      </c>
      <c r="J125" s="17">
        <f t="shared" si="10"/>
        <v>-3</v>
      </c>
      <c r="K125" s="17">
        <f t="shared" si="8"/>
        <v>-30</v>
      </c>
      <c r="L125" s="17"/>
      <c r="M125" s="19">
        <f t="shared" si="9"/>
        <v>0</v>
      </c>
    </row>
    <row r="126" spans="1:13" x14ac:dyDescent="0.25">
      <c r="A126" s="43"/>
      <c r="G126" s="5"/>
      <c r="H126" s="17">
        <v>121</v>
      </c>
      <c r="I126" s="18" t="str">
        <f t="shared" si="7"/>
        <v/>
      </c>
      <c r="J126" s="17">
        <f t="shared" si="10"/>
        <v>-3</v>
      </c>
      <c r="K126" s="17">
        <f t="shared" si="8"/>
        <v>-30</v>
      </c>
      <c r="L126" s="17"/>
      <c r="M126" s="19">
        <f t="shared" si="9"/>
        <v>0</v>
      </c>
    </row>
    <row r="127" spans="1:13" x14ac:dyDescent="0.25">
      <c r="A127" s="43"/>
      <c r="G127" s="5"/>
      <c r="H127" s="17">
        <v>122</v>
      </c>
      <c r="I127" s="18" t="str">
        <f t="shared" si="7"/>
        <v/>
      </c>
      <c r="J127" s="17">
        <f t="shared" si="10"/>
        <v>-3</v>
      </c>
      <c r="K127" s="17">
        <f t="shared" si="8"/>
        <v>-30</v>
      </c>
      <c r="L127" s="17"/>
      <c r="M127" s="19">
        <f t="shared" si="9"/>
        <v>0</v>
      </c>
    </row>
    <row r="128" spans="1:13" x14ac:dyDescent="0.25">
      <c r="A128" s="43"/>
      <c r="G128" s="5"/>
      <c r="H128" s="17">
        <v>123</v>
      </c>
      <c r="I128" s="18" t="str">
        <f t="shared" si="7"/>
        <v/>
      </c>
      <c r="J128" s="17">
        <f t="shared" si="10"/>
        <v>-3</v>
      </c>
      <c r="K128" s="17">
        <f t="shared" si="8"/>
        <v>-30</v>
      </c>
      <c r="L128" s="17"/>
      <c r="M128" s="19">
        <f t="shared" si="9"/>
        <v>0</v>
      </c>
    </row>
    <row r="129" spans="1:13" x14ac:dyDescent="0.25">
      <c r="A129" s="43"/>
      <c r="G129" s="5"/>
      <c r="H129" s="17">
        <v>124</v>
      </c>
      <c r="I129" s="18" t="str">
        <f t="shared" si="7"/>
        <v/>
      </c>
      <c r="J129" s="17">
        <f t="shared" si="10"/>
        <v>-3</v>
      </c>
      <c r="K129" s="17">
        <f t="shared" si="8"/>
        <v>-30</v>
      </c>
      <c r="L129" s="17"/>
      <c r="M129" s="19">
        <f t="shared" si="9"/>
        <v>0</v>
      </c>
    </row>
    <row r="130" spans="1:13" x14ac:dyDescent="0.25">
      <c r="A130" s="43"/>
      <c r="G130" s="5"/>
      <c r="H130" s="17">
        <v>125</v>
      </c>
      <c r="I130" s="18" t="str">
        <f t="shared" si="7"/>
        <v/>
      </c>
      <c r="J130" s="17">
        <f t="shared" si="10"/>
        <v>-3</v>
      </c>
      <c r="K130" s="17">
        <f t="shared" si="8"/>
        <v>-30</v>
      </c>
      <c r="L130" s="17"/>
      <c r="M130" s="19">
        <f t="shared" si="9"/>
        <v>0</v>
      </c>
    </row>
    <row r="131" spans="1:13" x14ac:dyDescent="0.25">
      <c r="A131" s="43"/>
      <c r="G131" s="5"/>
      <c r="H131" s="17">
        <v>126</v>
      </c>
      <c r="I131" s="18" t="str">
        <f t="shared" si="7"/>
        <v/>
      </c>
      <c r="J131" s="17">
        <f t="shared" si="10"/>
        <v>-3</v>
      </c>
      <c r="K131" s="17">
        <f t="shared" si="8"/>
        <v>-30</v>
      </c>
      <c r="L131" s="17"/>
      <c r="M131" s="19">
        <f t="shared" si="9"/>
        <v>0</v>
      </c>
    </row>
    <row r="132" spans="1:13" x14ac:dyDescent="0.25">
      <c r="A132" s="43"/>
      <c r="G132" s="5"/>
      <c r="H132" s="17">
        <v>127</v>
      </c>
      <c r="I132" s="18" t="str">
        <f t="shared" si="7"/>
        <v/>
      </c>
      <c r="J132" s="17">
        <f t="shared" si="10"/>
        <v>-3</v>
      </c>
      <c r="K132" s="17">
        <f t="shared" si="8"/>
        <v>-30</v>
      </c>
      <c r="L132" s="17"/>
      <c r="M132" s="19">
        <f t="shared" si="9"/>
        <v>0</v>
      </c>
    </row>
    <row r="133" spans="1:13" x14ac:dyDescent="0.25">
      <c r="A133" s="43"/>
      <c r="G133" s="5"/>
      <c r="H133" s="17">
        <v>128</v>
      </c>
      <c r="I133" s="18" t="str">
        <f t="shared" si="7"/>
        <v/>
      </c>
      <c r="J133" s="17">
        <f t="shared" si="10"/>
        <v>-3</v>
      </c>
      <c r="K133" s="17">
        <f t="shared" si="8"/>
        <v>-30</v>
      </c>
      <c r="L133" s="17"/>
      <c r="M133" s="19">
        <f t="shared" si="9"/>
        <v>0</v>
      </c>
    </row>
    <row r="134" spans="1:13" x14ac:dyDescent="0.25">
      <c r="A134" s="43"/>
      <c r="G134" s="5"/>
      <c r="H134" s="17">
        <v>129</v>
      </c>
      <c r="I134" s="18" t="str">
        <f t="shared" ref="I134:I197" si="11">IF(H134&lt;$H$2+1,($I$2-($I$2-1)*(LOG(H134)/LOG($H$2))),"")</f>
        <v/>
      </c>
      <c r="J134" s="17">
        <f t="shared" si="10"/>
        <v>-4</v>
      </c>
      <c r="K134" s="17">
        <f t="shared" ref="K134:K197" si="12">J134*$J$2</f>
        <v>-40</v>
      </c>
      <c r="L134" s="17"/>
      <c r="M134" s="19">
        <f t="shared" ref="M134:M197" si="13">IF(I134&lt;&gt;"",K134+I134+L134,0)</f>
        <v>0</v>
      </c>
    </row>
    <row r="135" spans="1:13" x14ac:dyDescent="0.25">
      <c r="A135" s="43"/>
      <c r="G135" s="5"/>
      <c r="H135" s="17">
        <v>130</v>
      </c>
      <c r="I135" s="18" t="str">
        <f t="shared" si="11"/>
        <v/>
      </c>
      <c r="J135" s="17">
        <f t="shared" ref="J135:J198" si="14">INT(LOG($H$2,2))-ROUNDUP(LOG(H135,2),0)+IF(OR($H$2=1,$H$2=2,$H$2=4,$H$2=8,$H$2=16,$H$2=32,$H$2=64,$H$2=128,$H$2=256),0,1)</f>
        <v>-4</v>
      </c>
      <c r="K135" s="17">
        <f t="shared" si="12"/>
        <v>-40</v>
      </c>
      <c r="L135" s="17"/>
      <c r="M135" s="19">
        <f t="shared" si="13"/>
        <v>0</v>
      </c>
    </row>
    <row r="136" spans="1:13" x14ac:dyDescent="0.25">
      <c r="A136" s="43"/>
      <c r="G136" s="5"/>
      <c r="H136" s="17">
        <v>131</v>
      </c>
      <c r="I136" s="18" t="str">
        <f t="shared" si="11"/>
        <v/>
      </c>
      <c r="J136" s="17">
        <f t="shared" si="14"/>
        <v>-4</v>
      </c>
      <c r="K136" s="17">
        <f t="shared" si="12"/>
        <v>-40</v>
      </c>
      <c r="L136" s="17"/>
      <c r="M136" s="19">
        <f t="shared" si="13"/>
        <v>0</v>
      </c>
    </row>
    <row r="137" spans="1:13" x14ac:dyDescent="0.25">
      <c r="A137" s="43"/>
      <c r="G137" s="5"/>
      <c r="H137" s="17">
        <v>132</v>
      </c>
      <c r="I137" s="18" t="str">
        <f t="shared" si="11"/>
        <v/>
      </c>
      <c r="J137" s="17">
        <f t="shared" si="14"/>
        <v>-4</v>
      </c>
      <c r="K137" s="17">
        <f t="shared" si="12"/>
        <v>-40</v>
      </c>
      <c r="L137" s="17"/>
      <c r="M137" s="19">
        <f t="shared" si="13"/>
        <v>0</v>
      </c>
    </row>
    <row r="138" spans="1:13" x14ac:dyDescent="0.25">
      <c r="A138" s="43"/>
      <c r="G138" s="5"/>
      <c r="H138" s="17">
        <v>133</v>
      </c>
      <c r="I138" s="18" t="str">
        <f t="shared" si="11"/>
        <v/>
      </c>
      <c r="J138" s="17">
        <f t="shared" si="14"/>
        <v>-4</v>
      </c>
      <c r="K138" s="17">
        <f t="shared" si="12"/>
        <v>-40</v>
      </c>
      <c r="L138" s="17"/>
      <c r="M138" s="19">
        <f t="shared" si="13"/>
        <v>0</v>
      </c>
    </row>
    <row r="139" spans="1:13" x14ac:dyDescent="0.25">
      <c r="A139" s="43"/>
      <c r="G139" s="5"/>
      <c r="H139" s="17">
        <v>134</v>
      </c>
      <c r="I139" s="18" t="str">
        <f t="shared" si="11"/>
        <v/>
      </c>
      <c r="J139" s="17">
        <f t="shared" si="14"/>
        <v>-4</v>
      </c>
      <c r="K139" s="17">
        <f t="shared" si="12"/>
        <v>-40</v>
      </c>
      <c r="L139" s="17"/>
      <c r="M139" s="19">
        <f t="shared" si="13"/>
        <v>0</v>
      </c>
    </row>
    <row r="140" spans="1:13" x14ac:dyDescent="0.25">
      <c r="A140" s="43"/>
      <c r="G140" s="5"/>
      <c r="H140" s="17">
        <v>135</v>
      </c>
      <c r="I140" s="18" t="str">
        <f t="shared" si="11"/>
        <v/>
      </c>
      <c r="J140" s="17">
        <f t="shared" si="14"/>
        <v>-4</v>
      </c>
      <c r="K140" s="17">
        <f t="shared" si="12"/>
        <v>-40</v>
      </c>
      <c r="L140" s="17"/>
      <c r="M140" s="19">
        <f t="shared" si="13"/>
        <v>0</v>
      </c>
    </row>
    <row r="141" spans="1:13" x14ac:dyDescent="0.25">
      <c r="A141" s="43"/>
      <c r="G141" s="5"/>
      <c r="H141" s="17">
        <v>136</v>
      </c>
      <c r="I141" s="18" t="str">
        <f t="shared" si="11"/>
        <v/>
      </c>
      <c r="J141" s="17">
        <f t="shared" si="14"/>
        <v>-4</v>
      </c>
      <c r="K141" s="17">
        <f t="shared" si="12"/>
        <v>-40</v>
      </c>
      <c r="L141" s="17"/>
      <c r="M141" s="19">
        <f t="shared" si="13"/>
        <v>0</v>
      </c>
    </row>
    <row r="142" spans="1:13" x14ac:dyDescent="0.25">
      <c r="A142" s="43"/>
      <c r="G142" s="5"/>
      <c r="H142" s="17">
        <v>137</v>
      </c>
      <c r="I142" s="18" t="str">
        <f t="shared" si="11"/>
        <v/>
      </c>
      <c r="J142" s="17">
        <f t="shared" si="14"/>
        <v>-4</v>
      </c>
      <c r="K142" s="17">
        <f t="shared" si="12"/>
        <v>-40</v>
      </c>
      <c r="L142" s="17"/>
      <c r="M142" s="19">
        <f t="shared" si="13"/>
        <v>0</v>
      </c>
    </row>
    <row r="143" spans="1:13" x14ac:dyDescent="0.25">
      <c r="A143" s="43"/>
      <c r="G143" s="5"/>
      <c r="H143" s="17">
        <v>138</v>
      </c>
      <c r="I143" s="18" t="str">
        <f t="shared" si="11"/>
        <v/>
      </c>
      <c r="J143" s="17">
        <f t="shared" si="14"/>
        <v>-4</v>
      </c>
      <c r="K143" s="17">
        <f t="shared" si="12"/>
        <v>-40</v>
      </c>
      <c r="L143" s="17"/>
      <c r="M143" s="19">
        <f t="shared" si="13"/>
        <v>0</v>
      </c>
    </row>
    <row r="144" spans="1:13" x14ac:dyDescent="0.25">
      <c r="A144" s="43"/>
      <c r="G144" s="5"/>
      <c r="H144" s="17">
        <v>139</v>
      </c>
      <c r="I144" s="18" t="str">
        <f t="shared" si="11"/>
        <v/>
      </c>
      <c r="J144" s="17">
        <f t="shared" si="14"/>
        <v>-4</v>
      </c>
      <c r="K144" s="17">
        <f t="shared" si="12"/>
        <v>-40</v>
      </c>
      <c r="L144" s="17"/>
      <c r="M144" s="19">
        <f t="shared" si="13"/>
        <v>0</v>
      </c>
    </row>
    <row r="145" spans="1:13" x14ac:dyDescent="0.25">
      <c r="A145" s="43"/>
      <c r="G145" s="5"/>
      <c r="H145" s="17">
        <v>140</v>
      </c>
      <c r="I145" s="18" t="str">
        <f t="shared" si="11"/>
        <v/>
      </c>
      <c r="J145" s="17">
        <f t="shared" si="14"/>
        <v>-4</v>
      </c>
      <c r="K145" s="17">
        <f t="shared" si="12"/>
        <v>-40</v>
      </c>
      <c r="L145" s="17"/>
      <c r="M145" s="19">
        <f t="shared" si="13"/>
        <v>0</v>
      </c>
    </row>
    <row r="146" spans="1:13" x14ac:dyDescent="0.25">
      <c r="A146" s="43"/>
      <c r="G146" s="5"/>
      <c r="H146" s="17">
        <v>141</v>
      </c>
      <c r="I146" s="18" t="str">
        <f t="shared" si="11"/>
        <v/>
      </c>
      <c r="J146" s="17">
        <f t="shared" si="14"/>
        <v>-4</v>
      </c>
      <c r="K146" s="17">
        <f t="shared" si="12"/>
        <v>-40</v>
      </c>
      <c r="L146" s="17"/>
      <c r="M146" s="19">
        <f t="shared" si="13"/>
        <v>0</v>
      </c>
    </row>
    <row r="147" spans="1:13" x14ac:dyDescent="0.25">
      <c r="A147" s="43"/>
      <c r="G147" s="5"/>
      <c r="H147" s="17">
        <v>142</v>
      </c>
      <c r="I147" s="18" t="str">
        <f t="shared" si="11"/>
        <v/>
      </c>
      <c r="J147" s="17">
        <f t="shared" si="14"/>
        <v>-4</v>
      </c>
      <c r="K147" s="17">
        <f t="shared" si="12"/>
        <v>-40</v>
      </c>
      <c r="L147" s="17"/>
      <c r="M147" s="19">
        <f t="shared" si="13"/>
        <v>0</v>
      </c>
    </row>
    <row r="148" spans="1:13" x14ac:dyDescent="0.25">
      <c r="A148" s="43"/>
      <c r="G148" s="5"/>
      <c r="H148" s="17">
        <v>143</v>
      </c>
      <c r="I148" s="18" t="str">
        <f t="shared" si="11"/>
        <v/>
      </c>
      <c r="J148" s="17">
        <f t="shared" si="14"/>
        <v>-4</v>
      </c>
      <c r="K148" s="17">
        <f t="shared" si="12"/>
        <v>-40</v>
      </c>
      <c r="L148" s="17"/>
      <c r="M148" s="19">
        <f t="shared" si="13"/>
        <v>0</v>
      </c>
    </row>
    <row r="149" spans="1:13" x14ac:dyDescent="0.25">
      <c r="A149" s="43"/>
      <c r="G149" s="5"/>
      <c r="H149" s="17">
        <v>144</v>
      </c>
      <c r="I149" s="18" t="str">
        <f t="shared" si="11"/>
        <v/>
      </c>
      <c r="J149" s="17">
        <f t="shared" si="14"/>
        <v>-4</v>
      </c>
      <c r="K149" s="17">
        <f t="shared" si="12"/>
        <v>-40</v>
      </c>
      <c r="L149" s="17"/>
      <c r="M149" s="19">
        <f t="shared" si="13"/>
        <v>0</v>
      </c>
    </row>
    <row r="150" spans="1:13" x14ac:dyDescent="0.25">
      <c r="A150" s="43"/>
      <c r="G150" s="5"/>
      <c r="H150" s="17">
        <v>145</v>
      </c>
      <c r="I150" s="18" t="str">
        <f t="shared" si="11"/>
        <v/>
      </c>
      <c r="J150" s="17">
        <f t="shared" si="14"/>
        <v>-4</v>
      </c>
      <c r="K150" s="17">
        <f t="shared" si="12"/>
        <v>-40</v>
      </c>
      <c r="L150" s="17"/>
      <c r="M150" s="19">
        <f t="shared" si="13"/>
        <v>0</v>
      </c>
    </row>
    <row r="151" spans="1:13" x14ac:dyDescent="0.25">
      <c r="A151" s="43"/>
      <c r="G151" s="5"/>
      <c r="H151" s="17">
        <v>146</v>
      </c>
      <c r="I151" s="18" t="str">
        <f t="shared" si="11"/>
        <v/>
      </c>
      <c r="J151" s="17">
        <f t="shared" si="14"/>
        <v>-4</v>
      </c>
      <c r="K151" s="17">
        <f t="shared" si="12"/>
        <v>-40</v>
      </c>
      <c r="L151" s="17"/>
      <c r="M151" s="19">
        <f t="shared" si="13"/>
        <v>0</v>
      </c>
    </row>
    <row r="152" spans="1:13" x14ac:dyDescent="0.25">
      <c r="A152" s="43"/>
      <c r="G152" s="5"/>
      <c r="H152" s="17">
        <v>147</v>
      </c>
      <c r="I152" s="18" t="str">
        <f t="shared" si="11"/>
        <v/>
      </c>
      <c r="J152" s="17">
        <f t="shared" si="14"/>
        <v>-4</v>
      </c>
      <c r="K152" s="17">
        <f t="shared" si="12"/>
        <v>-40</v>
      </c>
      <c r="L152" s="17"/>
      <c r="M152" s="19">
        <f t="shared" si="13"/>
        <v>0</v>
      </c>
    </row>
    <row r="153" spans="1:13" x14ac:dyDescent="0.25">
      <c r="A153" s="43"/>
      <c r="G153" s="5"/>
      <c r="H153" s="17">
        <v>148</v>
      </c>
      <c r="I153" s="18" t="str">
        <f t="shared" si="11"/>
        <v/>
      </c>
      <c r="J153" s="17">
        <f t="shared" si="14"/>
        <v>-4</v>
      </c>
      <c r="K153" s="17">
        <f t="shared" si="12"/>
        <v>-40</v>
      </c>
      <c r="L153" s="17"/>
      <c r="M153" s="19">
        <f t="shared" si="13"/>
        <v>0</v>
      </c>
    </row>
    <row r="154" spans="1:13" x14ac:dyDescent="0.25">
      <c r="A154" s="43"/>
      <c r="G154" s="5"/>
      <c r="H154" s="17">
        <v>149</v>
      </c>
      <c r="I154" s="18" t="str">
        <f t="shared" si="11"/>
        <v/>
      </c>
      <c r="J154" s="17">
        <f t="shared" si="14"/>
        <v>-4</v>
      </c>
      <c r="K154" s="17">
        <f t="shared" si="12"/>
        <v>-40</v>
      </c>
      <c r="L154" s="17"/>
      <c r="M154" s="19">
        <f t="shared" si="13"/>
        <v>0</v>
      </c>
    </row>
    <row r="155" spans="1:13" x14ac:dyDescent="0.25">
      <c r="A155" s="43"/>
      <c r="G155" s="5"/>
      <c r="H155" s="17">
        <v>150</v>
      </c>
      <c r="I155" s="18" t="str">
        <f t="shared" si="11"/>
        <v/>
      </c>
      <c r="J155" s="17">
        <f t="shared" si="14"/>
        <v>-4</v>
      </c>
      <c r="K155" s="17">
        <f t="shared" si="12"/>
        <v>-40</v>
      </c>
      <c r="L155" s="17"/>
      <c r="M155" s="19">
        <f t="shared" si="13"/>
        <v>0</v>
      </c>
    </row>
    <row r="156" spans="1:13" x14ac:dyDescent="0.25">
      <c r="A156" s="43"/>
      <c r="G156" s="5"/>
      <c r="H156" s="17">
        <v>151</v>
      </c>
      <c r="I156" s="18" t="str">
        <f t="shared" si="11"/>
        <v/>
      </c>
      <c r="J156" s="17">
        <f t="shared" si="14"/>
        <v>-4</v>
      </c>
      <c r="K156" s="17">
        <f t="shared" si="12"/>
        <v>-40</v>
      </c>
      <c r="L156" s="17"/>
      <c r="M156" s="19">
        <f t="shared" si="13"/>
        <v>0</v>
      </c>
    </row>
    <row r="157" spans="1:13" x14ac:dyDescent="0.25">
      <c r="A157" s="43"/>
      <c r="G157" s="5"/>
      <c r="H157" s="17">
        <v>152</v>
      </c>
      <c r="I157" s="18" t="str">
        <f t="shared" si="11"/>
        <v/>
      </c>
      <c r="J157" s="17">
        <f t="shared" si="14"/>
        <v>-4</v>
      </c>
      <c r="K157" s="17">
        <f t="shared" si="12"/>
        <v>-40</v>
      </c>
      <c r="L157" s="17"/>
      <c r="M157" s="19">
        <f t="shared" si="13"/>
        <v>0</v>
      </c>
    </row>
    <row r="158" spans="1:13" x14ac:dyDescent="0.25">
      <c r="A158" s="43"/>
      <c r="G158" s="5"/>
      <c r="H158" s="17">
        <v>153</v>
      </c>
      <c r="I158" s="18" t="str">
        <f t="shared" si="11"/>
        <v/>
      </c>
      <c r="J158" s="17">
        <f t="shared" si="14"/>
        <v>-4</v>
      </c>
      <c r="K158" s="17">
        <f t="shared" si="12"/>
        <v>-40</v>
      </c>
      <c r="L158" s="17"/>
      <c r="M158" s="19">
        <f t="shared" si="13"/>
        <v>0</v>
      </c>
    </row>
    <row r="159" spans="1:13" x14ac:dyDescent="0.25">
      <c r="A159" s="43"/>
      <c r="G159" s="5"/>
      <c r="H159" s="17">
        <v>154</v>
      </c>
      <c r="I159" s="18" t="str">
        <f t="shared" si="11"/>
        <v/>
      </c>
      <c r="J159" s="17">
        <f t="shared" si="14"/>
        <v>-4</v>
      </c>
      <c r="K159" s="17">
        <f t="shared" si="12"/>
        <v>-40</v>
      </c>
      <c r="L159" s="17"/>
      <c r="M159" s="19">
        <f t="shared" si="13"/>
        <v>0</v>
      </c>
    </row>
    <row r="160" spans="1:13" x14ac:dyDescent="0.25">
      <c r="A160" s="43"/>
      <c r="G160" s="5"/>
      <c r="H160" s="17">
        <v>155</v>
      </c>
      <c r="I160" s="18" t="str">
        <f t="shared" si="11"/>
        <v/>
      </c>
      <c r="J160" s="17">
        <f t="shared" si="14"/>
        <v>-4</v>
      </c>
      <c r="K160" s="17">
        <f t="shared" si="12"/>
        <v>-40</v>
      </c>
      <c r="L160" s="17"/>
      <c r="M160" s="19">
        <f t="shared" si="13"/>
        <v>0</v>
      </c>
    </row>
    <row r="161" spans="1:13" x14ac:dyDescent="0.25">
      <c r="A161" s="43"/>
      <c r="G161" s="5"/>
      <c r="H161" s="17">
        <v>156</v>
      </c>
      <c r="I161" s="18" t="str">
        <f t="shared" si="11"/>
        <v/>
      </c>
      <c r="J161" s="17">
        <f t="shared" si="14"/>
        <v>-4</v>
      </c>
      <c r="K161" s="17">
        <f t="shared" si="12"/>
        <v>-40</v>
      </c>
      <c r="L161" s="17"/>
      <c r="M161" s="19">
        <f t="shared" si="13"/>
        <v>0</v>
      </c>
    </row>
    <row r="162" spans="1:13" x14ac:dyDescent="0.25">
      <c r="A162" s="43"/>
      <c r="G162" s="5"/>
      <c r="H162" s="17">
        <v>157</v>
      </c>
      <c r="I162" s="18" t="str">
        <f t="shared" si="11"/>
        <v/>
      </c>
      <c r="J162" s="17">
        <f t="shared" si="14"/>
        <v>-4</v>
      </c>
      <c r="K162" s="17">
        <f t="shared" si="12"/>
        <v>-40</v>
      </c>
      <c r="L162" s="17"/>
      <c r="M162" s="19">
        <f t="shared" si="13"/>
        <v>0</v>
      </c>
    </row>
    <row r="163" spans="1:13" x14ac:dyDescent="0.25">
      <c r="A163" s="43"/>
      <c r="G163" s="5"/>
      <c r="H163" s="17">
        <v>158</v>
      </c>
      <c r="I163" s="18" t="str">
        <f t="shared" si="11"/>
        <v/>
      </c>
      <c r="J163" s="17">
        <f t="shared" si="14"/>
        <v>-4</v>
      </c>
      <c r="K163" s="17">
        <f t="shared" si="12"/>
        <v>-40</v>
      </c>
      <c r="L163" s="17"/>
      <c r="M163" s="19">
        <f t="shared" si="13"/>
        <v>0</v>
      </c>
    </row>
    <row r="164" spans="1:13" x14ac:dyDescent="0.25">
      <c r="A164" s="43"/>
      <c r="G164" s="5"/>
      <c r="H164" s="17">
        <v>159</v>
      </c>
      <c r="I164" s="18" t="str">
        <f t="shared" si="11"/>
        <v/>
      </c>
      <c r="J164" s="17">
        <f t="shared" si="14"/>
        <v>-4</v>
      </c>
      <c r="K164" s="17">
        <f t="shared" si="12"/>
        <v>-40</v>
      </c>
      <c r="L164" s="17"/>
      <c r="M164" s="19">
        <f t="shared" si="13"/>
        <v>0</v>
      </c>
    </row>
    <row r="165" spans="1:13" x14ac:dyDescent="0.25">
      <c r="A165" s="43"/>
      <c r="G165" s="5"/>
      <c r="H165" s="17">
        <v>160</v>
      </c>
      <c r="I165" s="18" t="str">
        <f t="shared" si="11"/>
        <v/>
      </c>
      <c r="J165" s="17">
        <f t="shared" si="14"/>
        <v>-4</v>
      </c>
      <c r="K165" s="17">
        <f t="shared" si="12"/>
        <v>-40</v>
      </c>
      <c r="L165" s="17"/>
      <c r="M165" s="19">
        <f t="shared" si="13"/>
        <v>0</v>
      </c>
    </row>
    <row r="166" spans="1:13" x14ac:dyDescent="0.25">
      <c r="A166" s="43"/>
      <c r="G166" s="5"/>
      <c r="H166" s="17">
        <v>161</v>
      </c>
      <c r="I166" s="18" t="str">
        <f t="shared" si="11"/>
        <v/>
      </c>
      <c r="J166" s="17">
        <f t="shared" si="14"/>
        <v>-4</v>
      </c>
      <c r="K166" s="17">
        <f t="shared" si="12"/>
        <v>-40</v>
      </c>
      <c r="L166" s="17"/>
      <c r="M166" s="19">
        <f t="shared" si="13"/>
        <v>0</v>
      </c>
    </row>
    <row r="167" spans="1:13" x14ac:dyDescent="0.25">
      <c r="A167" s="43"/>
      <c r="G167" s="5"/>
      <c r="H167" s="17">
        <v>162</v>
      </c>
      <c r="I167" s="18" t="str">
        <f t="shared" si="11"/>
        <v/>
      </c>
      <c r="J167" s="17">
        <f t="shared" si="14"/>
        <v>-4</v>
      </c>
      <c r="K167" s="17">
        <f t="shared" si="12"/>
        <v>-40</v>
      </c>
      <c r="L167" s="17"/>
      <c r="M167" s="19">
        <f t="shared" si="13"/>
        <v>0</v>
      </c>
    </row>
    <row r="168" spans="1:13" x14ac:dyDescent="0.25">
      <c r="A168" s="43"/>
      <c r="G168" s="5"/>
      <c r="H168" s="17">
        <v>163</v>
      </c>
      <c r="I168" s="18" t="str">
        <f t="shared" si="11"/>
        <v/>
      </c>
      <c r="J168" s="17">
        <f t="shared" si="14"/>
        <v>-4</v>
      </c>
      <c r="K168" s="17">
        <f t="shared" si="12"/>
        <v>-40</v>
      </c>
      <c r="L168" s="17"/>
      <c r="M168" s="19">
        <f t="shared" si="13"/>
        <v>0</v>
      </c>
    </row>
    <row r="169" spans="1:13" x14ac:dyDescent="0.25">
      <c r="A169" s="43"/>
      <c r="G169" s="5"/>
      <c r="H169" s="17">
        <v>164</v>
      </c>
      <c r="I169" s="18" t="str">
        <f t="shared" si="11"/>
        <v/>
      </c>
      <c r="J169" s="17">
        <f t="shared" si="14"/>
        <v>-4</v>
      </c>
      <c r="K169" s="17">
        <f t="shared" si="12"/>
        <v>-40</v>
      </c>
      <c r="L169" s="17"/>
      <c r="M169" s="19">
        <f t="shared" si="13"/>
        <v>0</v>
      </c>
    </row>
    <row r="170" spans="1:13" x14ac:dyDescent="0.25">
      <c r="A170" s="43"/>
      <c r="G170" s="5"/>
      <c r="H170" s="17">
        <v>165</v>
      </c>
      <c r="I170" s="18" t="str">
        <f t="shared" si="11"/>
        <v/>
      </c>
      <c r="J170" s="17">
        <f t="shared" si="14"/>
        <v>-4</v>
      </c>
      <c r="K170" s="17">
        <f t="shared" si="12"/>
        <v>-40</v>
      </c>
      <c r="L170" s="17"/>
      <c r="M170" s="19">
        <f t="shared" si="13"/>
        <v>0</v>
      </c>
    </row>
    <row r="171" spans="1:13" x14ac:dyDescent="0.25">
      <c r="A171" s="43"/>
      <c r="G171" s="5"/>
      <c r="H171" s="17">
        <v>166</v>
      </c>
      <c r="I171" s="18" t="str">
        <f t="shared" si="11"/>
        <v/>
      </c>
      <c r="J171" s="17">
        <f t="shared" si="14"/>
        <v>-4</v>
      </c>
      <c r="K171" s="17">
        <f t="shared" si="12"/>
        <v>-40</v>
      </c>
      <c r="L171" s="17"/>
      <c r="M171" s="19">
        <f t="shared" si="13"/>
        <v>0</v>
      </c>
    </row>
    <row r="172" spans="1:13" x14ac:dyDescent="0.25">
      <c r="A172" s="43"/>
      <c r="G172" s="5"/>
      <c r="H172" s="17">
        <v>167</v>
      </c>
      <c r="I172" s="18" t="str">
        <f t="shared" si="11"/>
        <v/>
      </c>
      <c r="J172" s="17">
        <f t="shared" si="14"/>
        <v>-4</v>
      </c>
      <c r="K172" s="17">
        <f t="shared" si="12"/>
        <v>-40</v>
      </c>
      <c r="L172" s="17"/>
      <c r="M172" s="19">
        <f t="shared" si="13"/>
        <v>0</v>
      </c>
    </row>
    <row r="173" spans="1:13" x14ac:dyDescent="0.25">
      <c r="A173" s="43"/>
      <c r="G173" s="5"/>
      <c r="H173" s="17">
        <v>168</v>
      </c>
      <c r="I173" s="18" t="str">
        <f t="shared" si="11"/>
        <v/>
      </c>
      <c r="J173" s="17">
        <f t="shared" si="14"/>
        <v>-4</v>
      </c>
      <c r="K173" s="17">
        <f t="shared" si="12"/>
        <v>-40</v>
      </c>
      <c r="L173" s="17"/>
      <c r="M173" s="19">
        <f t="shared" si="13"/>
        <v>0</v>
      </c>
    </row>
    <row r="174" spans="1:13" x14ac:dyDescent="0.25">
      <c r="A174" s="43"/>
      <c r="G174" s="5"/>
      <c r="H174" s="17">
        <v>169</v>
      </c>
      <c r="I174" s="18" t="str">
        <f t="shared" si="11"/>
        <v/>
      </c>
      <c r="J174" s="17">
        <f t="shared" si="14"/>
        <v>-4</v>
      </c>
      <c r="K174" s="17">
        <f t="shared" si="12"/>
        <v>-40</v>
      </c>
      <c r="L174" s="17"/>
      <c r="M174" s="19">
        <f t="shared" si="13"/>
        <v>0</v>
      </c>
    </row>
    <row r="175" spans="1:13" x14ac:dyDescent="0.25">
      <c r="A175" s="43"/>
      <c r="G175" s="5"/>
      <c r="H175" s="17">
        <v>170</v>
      </c>
      <c r="I175" s="18" t="str">
        <f t="shared" si="11"/>
        <v/>
      </c>
      <c r="J175" s="17">
        <f t="shared" si="14"/>
        <v>-4</v>
      </c>
      <c r="K175" s="17">
        <f t="shared" si="12"/>
        <v>-40</v>
      </c>
      <c r="L175" s="17"/>
      <c r="M175" s="19">
        <f t="shared" si="13"/>
        <v>0</v>
      </c>
    </row>
    <row r="176" spans="1:13" x14ac:dyDescent="0.25">
      <c r="A176" s="43"/>
      <c r="G176" s="5"/>
      <c r="H176" s="17">
        <v>171</v>
      </c>
      <c r="I176" s="18" t="str">
        <f t="shared" si="11"/>
        <v/>
      </c>
      <c r="J176" s="17">
        <f t="shared" si="14"/>
        <v>-4</v>
      </c>
      <c r="K176" s="17">
        <f t="shared" si="12"/>
        <v>-40</v>
      </c>
      <c r="L176" s="17"/>
      <c r="M176" s="19">
        <f t="shared" si="13"/>
        <v>0</v>
      </c>
    </row>
    <row r="177" spans="1:13" x14ac:dyDescent="0.25">
      <c r="A177" s="43"/>
      <c r="G177" s="5"/>
      <c r="H177" s="17">
        <v>172</v>
      </c>
      <c r="I177" s="18" t="str">
        <f t="shared" si="11"/>
        <v/>
      </c>
      <c r="J177" s="17">
        <f t="shared" si="14"/>
        <v>-4</v>
      </c>
      <c r="K177" s="17">
        <f t="shared" si="12"/>
        <v>-40</v>
      </c>
      <c r="L177" s="17"/>
      <c r="M177" s="19">
        <f t="shared" si="13"/>
        <v>0</v>
      </c>
    </row>
    <row r="178" spans="1:13" x14ac:dyDescent="0.25">
      <c r="A178" s="43"/>
      <c r="G178" s="5"/>
      <c r="H178" s="17">
        <v>173</v>
      </c>
      <c r="I178" s="18" t="str">
        <f t="shared" si="11"/>
        <v/>
      </c>
      <c r="J178" s="17">
        <f t="shared" si="14"/>
        <v>-4</v>
      </c>
      <c r="K178" s="17">
        <f t="shared" si="12"/>
        <v>-40</v>
      </c>
      <c r="L178" s="17"/>
      <c r="M178" s="19">
        <f t="shared" si="13"/>
        <v>0</v>
      </c>
    </row>
    <row r="179" spans="1:13" x14ac:dyDescent="0.25">
      <c r="A179" s="43"/>
      <c r="G179" s="5"/>
      <c r="H179" s="17">
        <v>174</v>
      </c>
      <c r="I179" s="18" t="str">
        <f t="shared" si="11"/>
        <v/>
      </c>
      <c r="J179" s="17">
        <f t="shared" si="14"/>
        <v>-4</v>
      </c>
      <c r="K179" s="17">
        <f t="shared" si="12"/>
        <v>-40</v>
      </c>
      <c r="L179" s="17"/>
      <c r="M179" s="19">
        <f t="shared" si="13"/>
        <v>0</v>
      </c>
    </row>
    <row r="180" spans="1:13" x14ac:dyDescent="0.25">
      <c r="A180" s="43"/>
      <c r="G180" s="5"/>
      <c r="H180" s="17">
        <v>175</v>
      </c>
      <c r="I180" s="18" t="str">
        <f t="shared" si="11"/>
        <v/>
      </c>
      <c r="J180" s="17">
        <f t="shared" si="14"/>
        <v>-4</v>
      </c>
      <c r="K180" s="17">
        <f t="shared" si="12"/>
        <v>-40</v>
      </c>
      <c r="L180" s="17"/>
      <c r="M180" s="19">
        <f t="shared" si="13"/>
        <v>0</v>
      </c>
    </row>
    <row r="181" spans="1:13" x14ac:dyDescent="0.25">
      <c r="A181" s="43"/>
      <c r="G181" s="5"/>
      <c r="H181" s="17">
        <v>176</v>
      </c>
      <c r="I181" s="18" t="str">
        <f t="shared" si="11"/>
        <v/>
      </c>
      <c r="J181" s="17">
        <f t="shared" si="14"/>
        <v>-4</v>
      </c>
      <c r="K181" s="17">
        <f t="shared" si="12"/>
        <v>-40</v>
      </c>
      <c r="L181" s="17"/>
      <c r="M181" s="19">
        <f t="shared" si="13"/>
        <v>0</v>
      </c>
    </row>
    <row r="182" spans="1:13" x14ac:dyDescent="0.25">
      <c r="A182" s="43"/>
      <c r="G182" s="5"/>
      <c r="H182" s="17">
        <v>177</v>
      </c>
      <c r="I182" s="18" t="str">
        <f t="shared" si="11"/>
        <v/>
      </c>
      <c r="J182" s="17">
        <f t="shared" si="14"/>
        <v>-4</v>
      </c>
      <c r="K182" s="17">
        <f t="shared" si="12"/>
        <v>-40</v>
      </c>
      <c r="L182" s="17"/>
      <c r="M182" s="19">
        <f t="shared" si="13"/>
        <v>0</v>
      </c>
    </row>
    <row r="183" spans="1:13" x14ac:dyDescent="0.25">
      <c r="A183" s="43"/>
      <c r="G183" s="5"/>
      <c r="H183" s="17">
        <v>178</v>
      </c>
      <c r="I183" s="18" t="str">
        <f t="shared" si="11"/>
        <v/>
      </c>
      <c r="J183" s="17">
        <f t="shared" si="14"/>
        <v>-4</v>
      </c>
      <c r="K183" s="17">
        <f t="shared" si="12"/>
        <v>-40</v>
      </c>
      <c r="L183" s="17"/>
      <c r="M183" s="19">
        <f t="shared" si="13"/>
        <v>0</v>
      </c>
    </row>
    <row r="184" spans="1:13" x14ac:dyDescent="0.25">
      <c r="A184" s="43"/>
      <c r="G184" s="5"/>
      <c r="H184" s="17">
        <v>179</v>
      </c>
      <c r="I184" s="18" t="str">
        <f t="shared" si="11"/>
        <v/>
      </c>
      <c r="J184" s="17">
        <f t="shared" si="14"/>
        <v>-4</v>
      </c>
      <c r="K184" s="17">
        <f t="shared" si="12"/>
        <v>-40</v>
      </c>
      <c r="L184" s="17"/>
      <c r="M184" s="19">
        <f t="shared" si="13"/>
        <v>0</v>
      </c>
    </row>
    <row r="185" spans="1:13" x14ac:dyDescent="0.25">
      <c r="A185" s="43"/>
      <c r="G185" s="5"/>
      <c r="H185" s="17">
        <v>180</v>
      </c>
      <c r="I185" s="18" t="str">
        <f t="shared" si="11"/>
        <v/>
      </c>
      <c r="J185" s="17">
        <f t="shared" si="14"/>
        <v>-4</v>
      </c>
      <c r="K185" s="17">
        <f t="shared" si="12"/>
        <v>-40</v>
      </c>
      <c r="L185" s="17"/>
      <c r="M185" s="19">
        <f t="shared" si="13"/>
        <v>0</v>
      </c>
    </row>
    <row r="186" spans="1:13" x14ac:dyDescent="0.25">
      <c r="A186" s="43"/>
      <c r="G186" s="5"/>
      <c r="H186" s="17">
        <v>181</v>
      </c>
      <c r="I186" s="18" t="str">
        <f t="shared" si="11"/>
        <v/>
      </c>
      <c r="J186" s="17">
        <f t="shared" si="14"/>
        <v>-4</v>
      </c>
      <c r="K186" s="17">
        <f t="shared" si="12"/>
        <v>-40</v>
      </c>
      <c r="L186" s="17"/>
      <c r="M186" s="19">
        <f t="shared" si="13"/>
        <v>0</v>
      </c>
    </row>
    <row r="187" spans="1:13" x14ac:dyDescent="0.25">
      <c r="A187" s="43"/>
      <c r="G187" s="5"/>
      <c r="H187" s="17">
        <v>182</v>
      </c>
      <c r="I187" s="18" t="str">
        <f t="shared" si="11"/>
        <v/>
      </c>
      <c r="J187" s="17">
        <f t="shared" si="14"/>
        <v>-4</v>
      </c>
      <c r="K187" s="17">
        <f t="shared" si="12"/>
        <v>-40</v>
      </c>
      <c r="L187" s="17"/>
      <c r="M187" s="19">
        <f t="shared" si="13"/>
        <v>0</v>
      </c>
    </row>
    <row r="188" spans="1:13" x14ac:dyDescent="0.25">
      <c r="A188" s="43"/>
      <c r="G188" s="5"/>
      <c r="H188" s="17">
        <v>183</v>
      </c>
      <c r="I188" s="18" t="str">
        <f t="shared" si="11"/>
        <v/>
      </c>
      <c r="J188" s="17">
        <f t="shared" si="14"/>
        <v>-4</v>
      </c>
      <c r="K188" s="17">
        <f t="shared" si="12"/>
        <v>-40</v>
      </c>
      <c r="L188" s="17"/>
      <c r="M188" s="19">
        <f t="shared" si="13"/>
        <v>0</v>
      </c>
    </row>
    <row r="189" spans="1:13" x14ac:dyDescent="0.25">
      <c r="A189" s="43"/>
      <c r="G189" s="5"/>
      <c r="H189" s="17">
        <v>184</v>
      </c>
      <c r="I189" s="18" t="str">
        <f t="shared" si="11"/>
        <v/>
      </c>
      <c r="J189" s="17">
        <f t="shared" si="14"/>
        <v>-4</v>
      </c>
      <c r="K189" s="17">
        <f t="shared" si="12"/>
        <v>-40</v>
      </c>
      <c r="L189" s="17"/>
      <c r="M189" s="19">
        <f t="shared" si="13"/>
        <v>0</v>
      </c>
    </row>
    <row r="190" spans="1:13" x14ac:dyDescent="0.25">
      <c r="A190" s="43"/>
      <c r="G190" s="5"/>
      <c r="H190" s="17">
        <v>185</v>
      </c>
      <c r="I190" s="18" t="str">
        <f t="shared" si="11"/>
        <v/>
      </c>
      <c r="J190" s="17">
        <f t="shared" si="14"/>
        <v>-4</v>
      </c>
      <c r="K190" s="17">
        <f t="shared" si="12"/>
        <v>-40</v>
      </c>
      <c r="L190" s="17"/>
      <c r="M190" s="19">
        <f t="shared" si="13"/>
        <v>0</v>
      </c>
    </row>
    <row r="191" spans="1:13" x14ac:dyDescent="0.25">
      <c r="A191" s="43"/>
      <c r="G191" s="5"/>
      <c r="H191" s="17">
        <v>186</v>
      </c>
      <c r="I191" s="18" t="str">
        <f t="shared" si="11"/>
        <v/>
      </c>
      <c r="J191" s="17">
        <f t="shared" si="14"/>
        <v>-4</v>
      </c>
      <c r="K191" s="17">
        <f t="shared" si="12"/>
        <v>-40</v>
      </c>
      <c r="L191" s="17"/>
      <c r="M191" s="19">
        <f t="shared" si="13"/>
        <v>0</v>
      </c>
    </row>
    <row r="192" spans="1:13" x14ac:dyDescent="0.25">
      <c r="A192" s="43"/>
      <c r="G192" s="5"/>
      <c r="H192" s="17">
        <v>187</v>
      </c>
      <c r="I192" s="18" t="str">
        <f t="shared" si="11"/>
        <v/>
      </c>
      <c r="J192" s="17">
        <f t="shared" si="14"/>
        <v>-4</v>
      </c>
      <c r="K192" s="17">
        <f t="shared" si="12"/>
        <v>-40</v>
      </c>
      <c r="L192" s="17"/>
      <c r="M192" s="19">
        <f t="shared" si="13"/>
        <v>0</v>
      </c>
    </row>
    <row r="193" spans="1:13" x14ac:dyDescent="0.25">
      <c r="A193" s="43"/>
      <c r="G193" s="5"/>
      <c r="H193" s="17">
        <v>188</v>
      </c>
      <c r="I193" s="18" t="str">
        <f t="shared" si="11"/>
        <v/>
      </c>
      <c r="J193" s="17">
        <f t="shared" si="14"/>
        <v>-4</v>
      </c>
      <c r="K193" s="17">
        <f t="shared" si="12"/>
        <v>-40</v>
      </c>
      <c r="L193" s="17"/>
      <c r="M193" s="19">
        <f t="shared" si="13"/>
        <v>0</v>
      </c>
    </row>
    <row r="194" spans="1:13" x14ac:dyDescent="0.25">
      <c r="A194" s="43"/>
      <c r="G194" s="5"/>
      <c r="H194" s="17">
        <v>189</v>
      </c>
      <c r="I194" s="18" t="str">
        <f t="shared" si="11"/>
        <v/>
      </c>
      <c r="J194" s="17">
        <f t="shared" si="14"/>
        <v>-4</v>
      </c>
      <c r="K194" s="17">
        <f t="shared" si="12"/>
        <v>-40</v>
      </c>
      <c r="L194" s="17"/>
      <c r="M194" s="19">
        <f t="shared" si="13"/>
        <v>0</v>
      </c>
    </row>
    <row r="195" spans="1:13" x14ac:dyDescent="0.25">
      <c r="A195" s="43"/>
      <c r="G195" s="5"/>
      <c r="H195" s="17">
        <v>190</v>
      </c>
      <c r="I195" s="18" t="str">
        <f t="shared" si="11"/>
        <v/>
      </c>
      <c r="J195" s="17">
        <f t="shared" si="14"/>
        <v>-4</v>
      </c>
      <c r="K195" s="17">
        <f t="shared" si="12"/>
        <v>-40</v>
      </c>
      <c r="L195" s="17"/>
      <c r="M195" s="19">
        <f t="shared" si="13"/>
        <v>0</v>
      </c>
    </row>
    <row r="196" spans="1:13" x14ac:dyDescent="0.25">
      <c r="A196" s="43"/>
      <c r="G196" s="5"/>
      <c r="H196" s="17">
        <v>191</v>
      </c>
      <c r="I196" s="18" t="str">
        <f t="shared" si="11"/>
        <v/>
      </c>
      <c r="J196" s="17">
        <f t="shared" si="14"/>
        <v>-4</v>
      </c>
      <c r="K196" s="17">
        <f t="shared" si="12"/>
        <v>-40</v>
      </c>
      <c r="L196" s="17"/>
      <c r="M196" s="19">
        <f t="shared" si="13"/>
        <v>0</v>
      </c>
    </row>
    <row r="197" spans="1:13" x14ac:dyDescent="0.25">
      <c r="A197" s="43"/>
      <c r="G197" s="5"/>
      <c r="H197" s="17">
        <v>192</v>
      </c>
      <c r="I197" s="18" t="str">
        <f t="shared" si="11"/>
        <v/>
      </c>
      <c r="J197" s="17">
        <f t="shared" si="14"/>
        <v>-4</v>
      </c>
      <c r="K197" s="17">
        <f t="shared" si="12"/>
        <v>-40</v>
      </c>
      <c r="L197" s="17"/>
      <c r="M197" s="19">
        <f t="shared" si="13"/>
        <v>0</v>
      </c>
    </row>
    <row r="198" spans="1:13" x14ac:dyDescent="0.25">
      <c r="A198" s="43"/>
      <c r="G198" s="5"/>
      <c r="H198" s="17">
        <v>193</v>
      </c>
      <c r="I198" s="18" t="str">
        <f t="shared" ref="I198:I261" si="15">IF(H198&lt;$H$2+1,($I$2-($I$2-1)*(LOG(H198)/LOG($H$2))),"")</f>
        <v/>
      </c>
      <c r="J198" s="17">
        <f t="shared" si="14"/>
        <v>-4</v>
      </c>
      <c r="K198" s="17">
        <f t="shared" ref="K198:K261" si="16">J198*$J$2</f>
        <v>-40</v>
      </c>
      <c r="L198" s="17"/>
      <c r="M198" s="19">
        <f t="shared" ref="M198:M261" si="17">IF(I198&lt;&gt;"",K198+I198+L198,0)</f>
        <v>0</v>
      </c>
    </row>
    <row r="199" spans="1:13" x14ac:dyDescent="0.25">
      <c r="A199" s="43"/>
      <c r="G199" s="5"/>
      <c r="H199" s="17">
        <v>194</v>
      </c>
      <c r="I199" s="18" t="str">
        <f t="shared" si="15"/>
        <v/>
      </c>
      <c r="J199" s="17">
        <f t="shared" ref="J199:J262" si="18">INT(LOG($H$2,2))-ROUNDUP(LOG(H199,2),0)+IF(OR($H$2=1,$H$2=2,$H$2=4,$H$2=8,$H$2=16,$H$2=32,$H$2=64,$H$2=128,$H$2=256),0,1)</f>
        <v>-4</v>
      </c>
      <c r="K199" s="17">
        <f t="shared" si="16"/>
        <v>-40</v>
      </c>
      <c r="L199" s="17"/>
      <c r="M199" s="19">
        <f t="shared" si="17"/>
        <v>0</v>
      </c>
    </row>
    <row r="200" spans="1:13" x14ac:dyDescent="0.25">
      <c r="A200" s="43"/>
      <c r="G200" s="5"/>
      <c r="H200" s="17">
        <v>195</v>
      </c>
      <c r="I200" s="18" t="str">
        <f t="shared" si="15"/>
        <v/>
      </c>
      <c r="J200" s="17">
        <f t="shared" si="18"/>
        <v>-4</v>
      </c>
      <c r="K200" s="17">
        <f t="shared" si="16"/>
        <v>-40</v>
      </c>
      <c r="L200" s="17"/>
      <c r="M200" s="19">
        <f t="shared" si="17"/>
        <v>0</v>
      </c>
    </row>
    <row r="201" spans="1:13" x14ac:dyDescent="0.25">
      <c r="A201" s="43"/>
      <c r="G201" s="5"/>
      <c r="H201" s="17">
        <v>196</v>
      </c>
      <c r="I201" s="18" t="str">
        <f t="shared" si="15"/>
        <v/>
      </c>
      <c r="J201" s="17">
        <f t="shared" si="18"/>
        <v>-4</v>
      </c>
      <c r="K201" s="17">
        <f t="shared" si="16"/>
        <v>-40</v>
      </c>
      <c r="L201" s="17"/>
      <c r="M201" s="19">
        <f t="shared" si="17"/>
        <v>0</v>
      </c>
    </row>
    <row r="202" spans="1:13" x14ac:dyDescent="0.25">
      <c r="A202" s="43"/>
      <c r="G202" s="5"/>
      <c r="H202" s="17">
        <v>197</v>
      </c>
      <c r="I202" s="18" t="str">
        <f t="shared" si="15"/>
        <v/>
      </c>
      <c r="J202" s="17">
        <f t="shared" si="18"/>
        <v>-4</v>
      </c>
      <c r="K202" s="17">
        <f t="shared" si="16"/>
        <v>-40</v>
      </c>
      <c r="L202" s="17"/>
      <c r="M202" s="19">
        <f t="shared" si="17"/>
        <v>0</v>
      </c>
    </row>
    <row r="203" spans="1:13" x14ac:dyDescent="0.25">
      <c r="A203" s="43"/>
      <c r="G203" s="5"/>
      <c r="H203" s="17">
        <v>198</v>
      </c>
      <c r="I203" s="18" t="str">
        <f t="shared" si="15"/>
        <v/>
      </c>
      <c r="J203" s="17">
        <f t="shared" si="18"/>
        <v>-4</v>
      </c>
      <c r="K203" s="17">
        <f t="shared" si="16"/>
        <v>-40</v>
      </c>
      <c r="L203" s="17"/>
      <c r="M203" s="19">
        <f t="shared" si="17"/>
        <v>0</v>
      </c>
    </row>
    <row r="204" spans="1:13" x14ac:dyDescent="0.25">
      <c r="A204" s="43"/>
      <c r="G204" s="5"/>
      <c r="H204" s="17">
        <v>199</v>
      </c>
      <c r="I204" s="18" t="str">
        <f t="shared" si="15"/>
        <v/>
      </c>
      <c r="J204" s="17">
        <f t="shared" si="18"/>
        <v>-4</v>
      </c>
      <c r="K204" s="17">
        <f t="shared" si="16"/>
        <v>-40</v>
      </c>
      <c r="L204" s="17"/>
      <c r="M204" s="19">
        <f t="shared" si="17"/>
        <v>0</v>
      </c>
    </row>
    <row r="205" spans="1:13" x14ac:dyDescent="0.25">
      <c r="A205" s="43"/>
      <c r="G205" s="5"/>
      <c r="H205" s="17">
        <v>200</v>
      </c>
      <c r="I205" s="18" t="str">
        <f t="shared" si="15"/>
        <v/>
      </c>
      <c r="J205" s="17">
        <f t="shared" si="18"/>
        <v>-4</v>
      </c>
      <c r="K205" s="17">
        <f t="shared" si="16"/>
        <v>-40</v>
      </c>
      <c r="L205" s="17"/>
      <c r="M205" s="19">
        <f t="shared" si="17"/>
        <v>0</v>
      </c>
    </row>
    <row r="206" spans="1:13" x14ac:dyDescent="0.25">
      <c r="A206" s="43"/>
      <c r="G206" s="5"/>
      <c r="H206" s="17">
        <v>201</v>
      </c>
      <c r="I206" s="18" t="str">
        <f t="shared" si="15"/>
        <v/>
      </c>
      <c r="J206" s="17">
        <f t="shared" si="18"/>
        <v>-4</v>
      </c>
      <c r="K206" s="17">
        <f t="shared" si="16"/>
        <v>-40</v>
      </c>
      <c r="L206" s="17"/>
      <c r="M206" s="19">
        <f t="shared" si="17"/>
        <v>0</v>
      </c>
    </row>
    <row r="207" spans="1:13" x14ac:dyDescent="0.25">
      <c r="A207" s="43"/>
      <c r="G207" s="5"/>
      <c r="H207" s="17">
        <v>202</v>
      </c>
      <c r="I207" s="18" t="str">
        <f t="shared" si="15"/>
        <v/>
      </c>
      <c r="J207" s="17">
        <f t="shared" si="18"/>
        <v>-4</v>
      </c>
      <c r="K207" s="17">
        <f t="shared" si="16"/>
        <v>-40</v>
      </c>
      <c r="L207" s="17"/>
      <c r="M207" s="19">
        <f t="shared" si="17"/>
        <v>0</v>
      </c>
    </row>
    <row r="208" spans="1:13" x14ac:dyDescent="0.25">
      <c r="A208" s="43"/>
      <c r="G208" s="5"/>
      <c r="H208" s="17">
        <v>203</v>
      </c>
      <c r="I208" s="18" t="str">
        <f t="shared" si="15"/>
        <v/>
      </c>
      <c r="J208" s="17">
        <f t="shared" si="18"/>
        <v>-4</v>
      </c>
      <c r="K208" s="17">
        <f t="shared" si="16"/>
        <v>-40</v>
      </c>
      <c r="L208" s="17"/>
      <c r="M208" s="19">
        <f t="shared" si="17"/>
        <v>0</v>
      </c>
    </row>
    <row r="209" spans="1:13" x14ac:dyDescent="0.25">
      <c r="A209" s="43"/>
      <c r="G209" s="5"/>
      <c r="H209" s="17">
        <v>204</v>
      </c>
      <c r="I209" s="18" t="str">
        <f t="shared" si="15"/>
        <v/>
      </c>
      <c r="J209" s="17">
        <f t="shared" si="18"/>
        <v>-4</v>
      </c>
      <c r="K209" s="17">
        <f t="shared" si="16"/>
        <v>-40</v>
      </c>
      <c r="L209" s="17"/>
      <c r="M209" s="19">
        <f t="shared" si="17"/>
        <v>0</v>
      </c>
    </row>
    <row r="210" spans="1:13" x14ac:dyDescent="0.25">
      <c r="A210" s="43"/>
      <c r="G210" s="5"/>
      <c r="H210" s="17">
        <v>205</v>
      </c>
      <c r="I210" s="18" t="str">
        <f t="shared" si="15"/>
        <v/>
      </c>
      <c r="J210" s="17">
        <f t="shared" si="18"/>
        <v>-4</v>
      </c>
      <c r="K210" s="17">
        <f t="shared" si="16"/>
        <v>-40</v>
      </c>
      <c r="L210" s="17"/>
      <c r="M210" s="19">
        <f t="shared" si="17"/>
        <v>0</v>
      </c>
    </row>
    <row r="211" spans="1:13" x14ac:dyDescent="0.25">
      <c r="A211" s="43"/>
      <c r="G211" s="5"/>
      <c r="H211" s="17">
        <v>206</v>
      </c>
      <c r="I211" s="18" t="str">
        <f t="shared" si="15"/>
        <v/>
      </c>
      <c r="J211" s="17">
        <f t="shared" si="18"/>
        <v>-4</v>
      </c>
      <c r="K211" s="17">
        <f t="shared" si="16"/>
        <v>-40</v>
      </c>
      <c r="L211" s="17"/>
      <c r="M211" s="19">
        <f t="shared" si="17"/>
        <v>0</v>
      </c>
    </row>
    <row r="212" spans="1:13" x14ac:dyDescent="0.25">
      <c r="A212" s="43"/>
      <c r="G212" s="5"/>
      <c r="H212" s="17">
        <v>207</v>
      </c>
      <c r="I212" s="18" t="str">
        <f t="shared" si="15"/>
        <v/>
      </c>
      <c r="J212" s="17">
        <f t="shared" si="18"/>
        <v>-4</v>
      </c>
      <c r="K212" s="17">
        <f t="shared" si="16"/>
        <v>-40</v>
      </c>
      <c r="L212" s="17"/>
      <c r="M212" s="19">
        <f t="shared" si="17"/>
        <v>0</v>
      </c>
    </row>
    <row r="213" spans="1:13" x14ac:dyDescent="0.25">
      <c r="A213" s="43"/>
      <c r="G213" s="5"/>
      <c r="H213" s="17">
        <v>208</v>
      </c>
      <c r="I213" s="18" t="str">
        <f t="shared" si="15"/>
        <v/>
      </c>
      <c r="J213" s="17">
        <f t="shared" si="18"/>
        <v>-4</v>
      </c>
      <c r="K213" s="17">
        <f t="shared" si="16"/>
        <v>-40</v>
      </c>
      <c r="L213" s="17"/>
      <c r="M213" s="19">
        <f t="shared" si="17"/>
        <v>0</v>
      </c>
    </row>
    <row r="214" spans="1:13" x14ac:dyDescent="0.25">
      <c r="A214" s="43"/>
      <c r="G214" s="5"/>
      <c r="H214" s="17">
        <v>209</v>
      </c>
      <c r="I214" s="18" t="str">
        <f t="shared" si="15"/>
        <v/>
      </c>
      <c r="J214" s="17">
        <f t="shared" si="18"/>
        <v>-4</v>
      </c>
      <c r="K214" s="17">
        <f t="shared" si="16"/>
        <v>-40</v>
      </c>
      <c r="L214" s="17"/>
      <c r="M214" s="19">
        <f t="shared" si="17"/>
        <v>0</v>
      </c>
    </row>
    <row r="215" spans="1:13" x14ac:dyDescent="0.25">
      <c r="A215" s="43"/>
      <c r="G215" s="5"/>
      <c r="H215" s="17">
        <v>210</v>
      </c>
      <c r="I215" s="18" t="str">
        <f t="shared" si="15"/>
        <v/>
      </c>
      <c r="J215" s="17">
        <f t="shared" si="18"/>
        <v>-4</v>
      </c>
      <c r="K215" s="17">
        <f t="shared" si="16"/>
        <v>-40</v>
      </c>
      <c r="L215" s="17"/>
      <c r="M215" s="19">
        <f t="shared" si="17"/>
        <v>0</v>
      </c>
    </row>
    <row r="216" spans="1:13" x14ac:dyDescent="0.25">
      <c r="A216" s="43"/>
      <c r="G216" s="5"/>
      <c r="H216" s="17">
        <v>211</v>
      </c>
      <c r="I216" s="18" t="str">
        <f t="shared" si="15"/>
        <v/>
      </c>
      <c r="J216" s="17">
        <f t="shared" si="18"/>
        <v>-4</v>
      </c>
      <c r="K216" s="17">
        <f t="shared" si="16"/>
        <v>-40</v>
      </c>
      <c r="L216" s="17"/>
      <c r="M216" s="19">
        <f t="shared" si="17"/>
        <v>0</v>
      </c>
    </row>
    <row r="217" spans="1:13" x14ac:dyDescent="0.25">
      <c r="A217" s="43"/>
      <c r="G217" s="5"/>
      <c r="H217" s="17">
        <v>212</v>
      </c>
      <c r="I217" s="18" t="str">
        <f t="shared" si="15"/>
        <v/>
      </c>
      <c r="J217" s="17">
        <f t="shared" si="18"/>
        <v>-4</v>
      </c>
      <c r="K217" s="17">
        <f t="shared" si="16"/>
        <v>-40</v>
      </c>
      <c r="L217" s="17"/>
      <c r="M217" s="19">
        <f t="shared" si="17"/>
        <v>0</v>
      </c>
    </row>
    <row r="218" spans="1:13" x14ac:dyDescent="0.25">
      <c r="A218" s="43"/>
      <c r="G218" s="5"/>
      <c r="H218" s="17">
        <v>213</v>
      </c>
      <c r="I218" s="18" t="str">
        <f t="shared" si="15"/>
        <v/>
      </c>
      <c r="J218" s="17">
        <f t="shared" si="18"/>
        <v>-4</v>
      </c>
      <c r="K218" s="17">
        <f t="shared" si="16"/>
        <v>-40</v>
      </c>
      <c r="L218" s="17"/>
      <c r="M218" s="19">
        <f t="shared" si="17"/>
        <v>0</v>
      </c>
    </row>
    <row r="219" spans="1:13" x14ac:dyDescent="0.25">
      <c r="A219" s="43"/>
      <c r="G219" s="5"/>
      <c r="H219" s="17">
        <v>214</v>
      </c>
      <c r="I219" s="18" t="str">
        <f t="shared" si="15"/>
        <v/>
      </c>
      <c r="J219" s="17">
        <f t="shared" si="18"/>
        <v>-4</v>
      </c>
      <c r="K219" s="17">
        <f t="shared" si="16"/>
        <v>-40</v>
      </c>
      <c r="L219" s="17"/>
      <c r="M219" s="19">
        <f t="shared" si="17"/>
        <v>0</v>
      </c>
    </row>
    <row r="220" spans="1:13" x14ac:dyDescent="0.25">
      <c r="A220" s="43"/>
      <c r="G220" s="5"/>
      <c r="H220" s="17">
        <v>215</v>
      </c>
      <c r="I220" s="18" t="str">
        <f t="shared" si="15"/>
        <v/>
      </c>
      <c r="J220" s="17">
        <f t="shared" si="18"/>
        <v>-4</v>
      </c>
      <c r="K220" s="17">
        <f t="shared" si="16"/>
        <v>-40</v>
      </c>
      <c r="L220" s="17"/>
      <c r="M220" s="19">
        <f t="shared" si="17"/>
        <v>0</v>
      </c>
    </row>
    <row r="221" spans="1:13" x14ac:dyDescent="0.25">
      <c r="A221" s="43"/>
      <c r="G221" s="5"/>
      <c r="H221" s="17">
        <v>216</v>
      </c>
      <c r="I221" s="18" t="str">
        <f t="shared" si="15"/>
        <v/>
      </c>
      <c r="J221" s="17">
        <f t="shared" si="18"/>
        <v>-4</v>
      </c>
      <c r="K221" s="17">
        <f t="shared" si="16"/>
        <v>-40</v>
      </c>
      <c r="L221" s="17"/>
      <c r="M221" s="19">
        <f t="shared" si="17"/>
        <v>0</v>
      </c>
    </row>
    <row r="222" spans="1:13" x14ac:dyDescent="0.25">
      <c r="A222" s="43"/>
      <c r="G222" s="5"/>
      <c r="H222" s="17">
        <v>217</v>
      </c>
      <c r="I222" s="18" t="str">
        <f t="shared" si="15"/>
        <v/>
      </c>
      <c r="J222" s="17">
        <f t="shared" si="18"/>
        <v>-4</v>
      </c>
      <c r="K222" s="17">
        <f t="shared" si="16"/>
        <v>-40</v>
      </c>
      <c r="L222" s="17"/>
      <c r="M222" s="19">
        <f t="shared" si="17"/>
        <v>0</v>
      </c>
    </row>
    <row r="223" spans="1:13" x14ac:dyDescent="0.25">
      <c r="A223" s="43"/>
      <c r="G223" s="5"/>
      <c r="H223" s="17">
        <v>218</v>
      </c>
      <c r="I223" s="18" t="str">
        <f t="shared" si="15"/>
        <v/>
      </c>
      <c r="J223" s="17">
        <f t="shared" si="18"/>
        <v>-4</v>
      </c>
      <c r="K223" s="17">
        <f t="shared" si="16"/>
        <v>-40</v>
      </c>
      <c r="L223" s="17"/>
      <c r="M223" s="19">
        <f t="shared" si="17"/>
        <v>0</v>
      </c>
    </row>
    <row r="224" spans="1:13" x14ac:dyDescent="0.25">
      <c r="A224" s="43"/>
      <c r="G224" s="5"/>
      <c r="H224" s="17">
        <v>219</v>
      </c>
      <c r="I224" s="18" t="str">
        <f t="shared" si="15"/>
        <v/>
      </c>
      <c r="J224" s="17">
        <f t="shared" si="18"/>
        <v>-4</v>
      </c>
      <c r="K224" s="17">
        <f t="shared" si="16"/>
        <v>-40</v>
      </c>
      <c r="L224" s="17"/>
      <c r="M224" s="19">
        <f t="shared" si="17"/>
        <v>0</v>
      </c>
    </row>
    <row r="225" spans="1:13" x14ac:dyDescent="0.25">
      <c r="A225" s="43"/>
      <c r="G225" s="5"/>
      <c r="H225" s="17">
        <v>220</v>
      </c>
      <c r="I225" s="18" t="str">
        <f t="shared" si="15"/>
        <v/>
      </c>
      <c r="J225" s="17">
        <f t="shared" si="18"/>
        <v>-4</v>
      </c>
      <c r="K225" s="17">
        <f t="shared" si="16"/>
        <v>-40</v>
      </c>
      <c r="L225" s="17"/>
      <c r="M225" s="19">
        <f t="shared" si="17"/>
        <v>0</v>
      </c>
    </row>
    <row r="226" spans="1:13" x14ac:dyDescent="0.25">
      <c r="A226" s="43"/>
      <c r="G226" s="5"/>
      <c r="H226" s="17">
        <v>221</v>
      </c>
      <c r="I226" s="18" t="str">
        <f t="shared" si="15"/>
        <v/>
      </c>
      <c r="J226" s="17">
        <f t="shared" si="18"/>
        <v>-4</v>
      </c>
      <c r="K226" s="17">
        <f t="shared" si="16"/>
        <v>-40</v>
      </c>
      <c r="L226" s="17"/>
      <c r="M226" s="19">
        <f t="shared" si="17"/>
        <v>0</v>
      </c>
    </row>
    <row r="227" spans="1:13" x14ac:dyDescent="0.25">
      <c r="A227" s="43"/>
      <c r="G227" s="5"/>
      <c r="H227" s="17">
        <v>222</v>
      </c>
      <c r="I227" s="18" t="str">
        <f t="shared" si="15"/>
        <v/>
      </c>
      <c r="J227" s="17">
        <f t="shared" si="18"/>
        <v>-4</v>
      </c>
      <c r="K227" s="17">
        <f t="shared" si="16"/>
        <v>-40</v>
      </c>
      <c r="L227" s="17"/>
      <c r="M227" s="19">
        <f t="shared" si="17"/>
        <v>0</v>
      </c>
    </row>
    <row r="228" spans="1:13" x14ac:dyDescent="0.25">
      <c r="A228" s="43"/>
      <c r="G228" s="5"/>
      <c r="H228" s="17">
        <v>223</v>
      </c>
      <c r="I228" s="18" t="str">
        <f t="shared" si="15"/>
        <v/>
      </c>
      <c r="J228" s="17">
        <f t="shared" si="18"/>
        <v>-4</v>
      </c>
      <c r="K228" s="17">
        <f t="shared" si="16"/>
        <v>-40</v>
      </c>
      <c r="L228" s="17"/>
      <c r="M228" s="19">
        <f t="shared" si="17"/>
        <v>0</v>
      </c>
    </row>
    <row r="229" spans="1:13" x14ac:dyDescent="0.25">
      <c r="A229" s="43"/>
      <c r="G229" s="5"/>
      <c r="H229" s="17">
        <v>224</v>
      </c>
      <c r="I229" s="18" t="str">
        <f t="shared" si="15"/>
        <v/>
      </c>
      <c r="J229" s="17">
        <f t="shared" si="18"/>
        <v>-4</v>
      </c>
      <c r="K229" s="17">
        <f t="shared" si="16"/>
        <v>-40</v>
      </c>
      <c r="L229" s="17"/>
      <c r="M229" s="19">
        <f t="shared" si="17"/>
        <v>0</v>
      </c>
    </row>
    <row r="230" spans="1:13" x14ac:dyDescent="0.25">
      <c r="A230" s="43"/>
      <c r="G230" s="5"/>
      <c r="H230" s="17">
        <v>225</v>
      </c>
      <c r="I230" s="18" t="str">
        <f t="shared" si="15"/>
        <v/>
      </c>
      <c r="J230" s="17">
        <f t="shared" si="18"/>
        <v>-4</v>
      </c>
      <c r="K230" s="17">
        <f t="shared" si="16"/>
        <v>-40</v>
      </c>
      <c r="L230" s="17"/>
      <c r="M230" s="19">
        <f t="shared" si="17"/>
        <v>0</v>
      </c>
    </row>
    <row r="231" spans="1:13" x14ac:dyDescent="0.25">
      <c r="A231" s="43"/>
      <c r="G231" s="5"/>
      <c r="H231" s="17">
        <v>226</v>
      </c>
      <c r="I231" s="18" t="str">
        <f t="shared" si="15"/>
        <v/>
      </c>
      <c r="J231" s="17">
        <f t="shared" si="18"/>
        <v>-4</v>
      </c>
      <c r="K231" s="17">
        <f t="shared" si="16"/>
        <v>-40</v>
      </c>
      <c r="L231" s="17"/>
      <c r="M231" s="19">
        <f t="shared" si="17"/>
        <v>0</v>
      </c>
    </row>
    <row r="232" spans="1:13" x14ac:dyDescent="0.25">
      <c r="A232" s="43"/>
      <c r="G232" s="5"/>
      <c r="H232" s="17">
        <v>227</v>
      </c>
      <c r="I232" s="18" t="str">
        <f t="shared" si="15"/>
        <v/>
      </c>
      <c r="J232" s="17">
        <f t="shared" si="18"/>
        <v>-4</v>
      </c>
      <c r="K232" s="17">
        <f t="shared" si="16"/>
        <v>-40</v>
      </c>
      <c r="L232" s="17"/>
      <c r="M232" s="19">
        <f t="shared" si="17"/>
        <v>0</v>
      </c>
    </row>
    <row r="233" spans="1:13" x14ac:dyDescent="0.25">
      <c r="A233" s="43"/>
      <c r="G233" s="5"/>
      <c r="H233" s="17">
        <v>228</v>
      </c>
      <c r="I233" s="18" t="str">
        <f t="shared" si="15"/>
        <v/>
      </c>
      <c r="J233" s="17">
        <f t="shared" si="18"/>
        <v>-4</v>
      </c>
      <c r="K233" s="17">
        <f t="shared" si="16"/>
        <v>-40</v>
      </c>
      <c r="L233" s="17"/>
      <c r="M233" s="19">
        <f t="shared" si="17"/>
        <v>0</v>
      </c>
    </row>
    <row r="234" spans="1:13" x14ac:dyDescent="0.25">
      <c r="A234" s="43"/>
      <c r="G234" s="5"/>
      <c r="H234" s="17">
        <v>229</v>
      </c>
      <c r="I234" s="18" t="str">
        <f t="shared" si="15"/>
        <v/>
      </c>
      <c r="J234" s="17">
        <f t="shared" si="18"/>
        <v>-4</v>
      </c>
      <c r="K234" s="17">
        <f t="shared" si="16"/>
        <v>-40</v>
      </c>
      <c r="L234" s="17"/>
      <c r="M234" s="19">
        <f t="shared" si="17"/>
        <v>0</v>
      </c>
    </row>
    <row r="235" spans="1:13" x14ac:dyDescent="0.25">
      <c r="A235" s="43"/>
      <c r="G235" s="5"/>
      <c r="H235" s="17">
        <v>230</v>
      </c>
      <c r="I235" s="18" t="str">
        <f t="shared" si="15"/>
        <v/>
      </c>
      <c r="J235" s="17">
        <f t="shared" si="18"/>
        <v>-4</v>
      </c>
      <c r="K235" s="17">
        <f t="shared" si="16"/>
        <v>-40</v>
      </c>
      <c r="L235" s="17"/>
      <c r="M235" s="19">
        <f t="shared" si="17"/>
        <v>0</v>
      </c>
    </row>
    <row r="236" spans="1:13" x14ac:dyDescent="0.25">
      <c r="A236" s="43"/>
      <c r="G236" s="5"/>
      <c r="H236" s="17">
        <v>231</v>
      </c>
      <c r="I236" s="18" t="str">
        <f t="shared" si="15"/>
        <v/>
      </c>
      <c r="J236" s="17">
        <f t="shared" si="18"/>
        <v>-4</v>
      </c>
      <c r="K236" s="17">
        <f t="shared" si="16"/>
        <v>-40</v>
      </c>
      <c r="L236" s="17"/>
      <c r="M236" s="19">
        <f t="shared" si="17"/>
        <v>0</v>
      </c>
    </row>
    <row r="237" spans="1:13" x14ac:dyDescent="0.25">
      <c r="A237" s="43"/>
      <c r="G237" s="5"/>
      <c r="H237" s="17">
        <v>232</v>
      </c>
      <c r="I237" s="18" t="str">
        <f t="shared" si="15"/>
        <v/>
      </c>
      <c r="J237" s="17">
        <f t="shared" si="18"/>
        <v>-4</v>
      </c>
      <c r="K237" s="17">
        <f t="shared" si="16"/>
        <v>-40</v>
      </c>
      <c r="L237" s="17"/>
      <c r="M237" s="19">
        <f t="shared" si="17"/>
        <v>0</v>
      </c>
    </row>
    <row r="238" spans="1:13" x14ac:dyDescent="0.25">
      <c r="A238" s="43"/>
      <c r="G238" s="5"/>
      <c r="H238" s="17">
        <v>233</v>
      </c>
      <c r="I238" s="18" t="str">
        <f t="shared" si="15"/>
        <v/>
      </c>
      <c r="J238" s="17">
        <f t="shared" si="18"/>
        <v>-4</v>
      </c>
      <c r="K238" s="17">
        <f t="shared" si="16"/>
        <v>-40</v>
      </c>
      <c r="L238" s="17"/>
      <c r="M238" s="19">
        <f t="shared" si="17"/>
        <v>0</v>
      </c>
    </row>
    <row r="239" spans="1:13" x14ac:dyDescent="0.25">
      <c r="A239" s="43"/>
      <c r="G239" s="5"/>
      <c r="H239" s="17">
        <v>234</v>
      </c>
      <c r="I239" s="18" t="str">
        <f t="shared" si="15"/>
        <v/>
      </c>
      <c r="J239" s="17">
        <f t="shared" si="18"/>
        <v>-4</v>
      </c>
      <c r="K239" s="17">
        <f t="shared" si="16"/>
        <v>-40</v>
      </c>
      <c r="L239" s="17"/>
      <c r="M239" s="19">
        <f t="shared" si="17"/>
        <v>0</v>
      </c>
    </row>
    <row r="240" spans="1:13" x14ac:dyDescent="0.25">
      <c r="A240" s="43"/>
      <c r="G240" s="5"/>
      <c r="H240" s="17">
        <v>235</v>
      </c>
      <c r="I240" s="18" t="str">
        <f t="shared" si="15"/>
        <v/>
      </c>
      <c r="J240" s="17">
        <f t="shared" si="18"/>
        <v>-4</v>
      </c>
      <c r="K240" s="17">
        <f t="shared" si="16"/>
        <v>-40</v>
      </c>
      <c r="L240" s="17"/>
      <c r="M240" s="19">
        <f t="shared" si="17"/>
        <v>0</v>
      </c>
    </row>
    <row r="241" spans="1:13" x14ac:dyDescent="0.25">
      <c r="A241" s="43"/>
      <c r="G241" s="5"/>
      <c r="H241" s="17">
        <v>236</v>
      </c>
      <c r="I241" s="18" t="str">
        <f t="shared" si="15"/>
        <v/>
      </c>
      <c r="J241" s="17">
        <f t="shared" si="18"/>
        <v>-4</v>
      </c>
      <c r="K241" s="17">
        <f t="shared" si="16"/>
        <v>-40</v>
      </c>
      <c r="L241" s="17"/>
      <c r="M241" s="19">
        <f t="shared" si="17"/>
        <v>0</v>
      </c>
    </row>
    <row r="242" spans="1:13" x14ac:dyDescent="0.25">
      <c r="A242" s="43"/>
      <c r="G242" s="5"/>
      <c r="H242" s="17">
        <v>237</v>
      </c>
      <c r="I242" s="18" t="str">
        <f t="shared" si="15"/>
        <v/>
      </c>
      <c r="J242" s="17">
        <f t="shared" si="18"/>
        <v>-4</v>
      </c>
      <c r="K242" s="17">
        <f t="shared" si="16"/>
        <v>-40</v>
      </c>
      <c r="L242" s="17"/>
      <c r="M242" s="19">
        <f t="shared" si="17"/>
        <v>0</v>
      </c>
    </row>
    <row r="243" spans="1:13" x14ac:dyDescent="0.25">
      <c r="A243" s="43"/>
      <c r="G243" s="5"/>
      <c r="H243" s="17">
        <v>238</v>
      </c>
      <c r="I243" s="18" t="str">
        <f t="shared" si="15"/>
        <v/>
      </c>
      <c r="J243" s="17">
        <f t="shared" si="18"/>
        <v>-4</v>
      </c>
      <c r="K243" s="17">
        <f t="shared" si="16"/>
        <v>-40</v>
      </c>
      <c r="L243" s="17"/>
      <c r="M243" s="19">
        <f t="shared" si="17"/>
        <v>0</v>
      </c>
    </row>
    <row r="244" spans="1:13" x14ac:dyDescent="0.25">
      <c r="A244" s="43"/>
      <c r="G244" s="5"/>
      <c r="H244" s="17">
        <v>239</v>
      </c>
      <c r="I244" s="18" t="str">
        <f t="shared" si="15"/>
        <v/>
      </c>
      <c r="J244" s="17">
        <f t="shared" si="18"/>
        <v>-4</v>
      </c>
      <c r="K244" s="17">
        <f t="shared" si="16"/>
        <v>-40</v>
      </c>
      <c r="L244" s="17"/>
      <c r="M244" s="19">
        <f t="shared" si="17"/>
        <v>0</v>
      </c>
    </row>
    <row r="245" spans="1:13" x14ac:dyDescent="0.25">
      <c r="A245" s="43"/>
      <c r="G245" s="5"/>
      <c r="H245" s="17">
        <v>240</v>
      </c>
      <c r="I245" s="18" t="str">
        <f t="shared" si="15"/>
        <v/>
      </c>
      <c r="J245" s="17">
        <f t="shared" si="18"/>
        <v>-4</v>
      </c>
      <c r="K245" s="17">
        <f t="shared" si="16"/>
        <v>-40</v>
      </c>
      <c r="L245" s="17"/>
      <c r="M245" s="19">
        <f t="shared" si="17"/>
        <v>0</v>
      </c>
    </row>
    <row r="246" spans="1:13" x14ac:dyDescent="0.25">
      <c r="A246" s="43"/>
      <c r="G246" s="5"/>
      <c r="H246" s="17">
        <v>241</v>
      </c>
      <c r="I246" s="18" t="str">
        <f t="shared" si="15"/>
        <v/>
      </c>
      <c r="J246" s="17">
        <f t="shared" si="18"/>
        <v>-4</v>
      </c>
      <c r="K246" s="17">
        <f t="shared" si="16"/>
        <v>-40</v>
      </c>
      <c r="L246" s="17"/>
      <c r="M246" s="19">
        <f t="shared" si="17"/>
        <v>0</v>
      </c>
    </row>
    <row r="247" spans="1:13" x14ac:dyDescent="0.25">
      <c r="A247" s="43"/>
      <c r="G247" s="5"/>
      <c r="H247" s="17">
        <v>242</v>
      </c>
      <c r="I247" s="18" t="str">
        <f t="shared" si="15"/>
        <v/>
      </c>
      <c r="J247" s="17">
        <f t="shared" si="18"/>
        <v>-4</v>
      </c>
      <c r="K247" s="17">
        <f t="shared" si="16"/>
        <v>-40</v>
      </c>
      <c r="L247" s="17"/>
      <c r="M247" s="19">
        <f t="shared" si="17"/>
        <v>0</v>
      </c>
    </row>
    <row r="248" spans="1:13" x14ac:dyDescent="0.25">
      <c r="A248" s="43"/>
      <c r="G248" s="5"/>
      <c r="H248" s="17">
        <v>243</v>
      </c>
      <c r="I248" s="18" t="str">
        <f t="shared" si="15"/>
        <v/>
      </c>
      <c r="J248" s="17">
        <f t="shared" si="18"/>
        <v>-4</v>
      </c>
      <c r="K248" s="17">
        <f t="shared" si="16"/>
        <v>-40</v>
      </c>
      <c r="L248" s="17"/>
      <c r="M248" s="19">
        <f t="shared" si="17"/>
        <v>0</v>
      </c>
    </row>
    <row r="249" spans="1:13" x14ac:dyDescent="0.25">
      <c r="A249" s="43"/>
      <c r="G249" s="5"/>
      <c r="H249" s="17">
        <v>244</v>
      </c>
      <c r="I249" s="18" t="str">
        <f t="shared" si="15"/>
        <v/>
      </c>
      <c r="J249" s="17">
        <f t="shared" si="18"/>
        <v>-4</v>
      </c>
      <c r="K249" s="17">
        <f t="shared" si="16"/>
        <v>-40</v>
      </c>
      <c r="L249" s="17"/>
      <c r="M249" s="19">
        <f t="shared" si="17"/>
        <v>0</v>
      </c>
    </row>
    <row r="250" spans="1:13" x14ac:dyDescent="0.25">
      <c r="A250" s="43"/>
      <c r="G250" s="5"/>
      <c r="H250" s="17">
        <v>245</v>
      </c>
      <c r="I250" s="18" t="str">
        <f t="shared" si="15"/>
        <v/>
      </c>
      <c r="J250" s="17">
        <f t="shared" si="18"/>
        <v>-4</v>
      </c>
      <c r="K250" s="17">
        <f t="shared" si="16"/>
        <v>-40</v>
      </c>
      <c r="L250" s="17"/>
      <c r="M250" s="19">
        <f t="shared" si="17"/>
        <v>0</v>
      </c>
    </row>
    <row r="251" spans="1:13" x14ac:dyDescent="0.25">
      <c r="A251" s="43"/>
      <c r="G251" s="5"/>
      <c r="H251" s="17">
        <v>246</v>
      </c>
      <c r="I251" s="18" t="str">
        <f t="shared" si="15"/>
        <v/>
      </c>
      <c r="J251" s="17">
        <f t="shared" si="18"/>
        <v>-4</v>
      </c>
      <c r="K251" s="17">
        <f t="shared" si="16"/>
        <v>-40</v>
      </c>
      <c r="L251" s="17"/>
      <c r="M251" s="19">
        <f t="shared" si="17"/>
        <v>0</v>
      </c>
    </row>
    <row r="252" spans="1:13" x14ac:dyDescent="0.25">
      <c r="A252" s="43"/>
      <c r="G252" s="5"/>
      <c r="H252" s="17">
        <v>247</v>
      </c>
      <c r="I252" s="18" t="str">
        <f t="shared" si="15"/>
        <v/>
      </c>
      <c r="J252" s="17">
        <f t="shared" si="18"/>
        <v>-4</v>
      </c>
      <c r="K252" s="17">
        <f t="shared" si="16"/>
        <v>-40</v>
      </c>
      <c r="L252" s="17"/>
      <c r="M252" s="19">
        <f t="shared" si="17"/>
        <v>0</v>
      </c>
    </row>
    <row r="253" spans="1:13" x14ac:dyDescent="0.25">
      <c r="A253" s="43"/>
      <c r="G253" s="5"/>
      <c r="H253" s="17">
        <v>248</v>
      </c>
      <c r="I253" s="18" t="str">
        <f t="shared" si="15"/>
        <v/>
      </c>
      <c r="J253" s="17">
        <f t="shared" si="18"/>
        <v>-4</v>
      </c>
      <c r="K253" s="17">
        <f t="shared" si="16"/>
        <v>-40</v>
      </c>
      <c r="L253" s="17"/>
      <c r="M253" s="19">
        <f t="shared" si="17"/>
        <v>0</v>
      </c>
    </row>
    <row r="254" spans="1:13" x14ac:dyDescent="0.25">
      <c r="A254" s="43"/>
      <c r="G254" s="5"/>
      <c r="H254" s="17">
        <v>249</v>
      </c>
      <c r="I254" s="18" t="str">
        <f t="shared" si="15"/>
        <v/>
      </c>
      <c r="J254" s="17">
        <f t="shared" si="18"/>
        <v>-4</v>
      </c>
      <c r="K254" s="17">
        <f t="shared" si="16"/>
        <v>-40</v>
      </c>
      <c r="L254" s="17"/>
      <c r="M254" s="19">
        <f t="shared" si="17"/>
        <v>0</v>
      </c>
    </row>
    <row r="255" spans="1:13" x14ac:dyDescent="0.25">
      <c r="A255" s="43"/>
      <c r="G255" s="5"/>
      <c r="H255" s="17">
        <v>250</v>
      </c>
      <c r="I255" s="18" t="str">
        <f t="shared" si="15"/>
        <v/>
      </c>
      <c r="J255" s="17">
        <f t="shared" si="18"/>
        <v>-4</v>
      </c>
      <c r="K255" s="17">
        <f t="shared" si="16"/>
        <v>-40</v>
      </c>
      <c r="L255" s="17"/>
      <c r="M255" s="19">
        <f t="shared" si="17"/>
        <v>0</v>
      </c>
    </row>
    <row r="256" spans="1:13" x14ac:dyDescent="0.25">
      <c r="A256" s="43"/>
      <c r="G256" s="5"/>
      <c r="H256" s="17">
        <v>251</v>
      </c>
      <c r="I256" s="18" t="str">
        <f t="shared" si="15"/>
        <v/>
      </c>
      <c r="J256" s="17">
        <f t="shared" si="18"/>
        <v>-4</v>
      </c>
      <c r="K256" s="17">
        <f t="shared" si="16"/>
        <v>-40</v>
      </c>
      <c r="L256" s="17"/>
      <c r="M256" s="19">
        <f t="shared" si="17"/>
        <v>0</v>
      </c>
    </row>
    <row r="257" spans="1:13" x14ac:dyDescent="0.25">
      <c r="A257" s="43"/>
      <c r="G257" s="5"/>
      <c r="H257" s="17">
        <v>252</v>
      </c>
      <c r="I257" s="18" t="str">
        <f t="shared" si="15"/>
        <v/>
      </c>
      <c r="J257" s="17">
        <f t="shared" si="18"/>
        <v>-4</v>
      </c>
      <c r="K257" s="17">
        <f t="shared" si="16"/>
        <v>-40</v>
      </c>
      <c r="L257" s="17"/>
      <c r="M257" s="19">
        <f t="shared" si="17"/>
        <v>0</v>
      </c>
    </row>
    <row r="258" spans="1:13" x14ac:dyDescent="0.25">
      <c r="A258" s="43"/>
      <c r="G258" s="5"/>
      <c r="H258" s="17">
        <v>253</v>
      </c>
      <c r="I258" s="18" t="str">
        <f t="shared" si="15"/>
        <v/>
      </c>
      <c r="J258" s="17">
        <f t="shared" si="18"/>
        <v>-4</v>
      </c>
      <c r="K258" s="17">
        <f t="shared" si="16"/>
        <v>-40</v>
      </c>
      <c r="L258" s="17"/>
      <c r="M258" s="19">
        <f t="shared" si="17"/>
        <v>0</v>
      </c>
    </row>
    <row r="259" spans="1:13" x14ac:dyDescent="0.25">
      <c r="A259" s="43"/>
      <c r="G259" s="5"/>
      <c r="H259" s="17">
        <v>254</v>
      </c>
      <c r="I259" s="18" t="str">
        <f t="shared" si="15"/>
        <v/>
      </c>
      <c r="J259" s="17">
        <f t="shared" si="18"/>
        <v>-4</v>
      </c>
      <c r="K259" s="17">
        <f t="shared" si="16"/>
        <v>-40</v>
      </c>
      <c r="L259" s="17"/>
      <c r="M259" s="19">
        <f t="shared" si="17"/>
        <v>0</v>
      </c>
    </row>
    <row r="260" spans="1:13" x14ac:dyDescent="0.25">
      <c r="A260" s="43"/>
      <c r="G260" s="5"/>
      <c r="H260" s="17">
        <v>255</v>
      </c>
      <c r="I260" s="18" t="str">
        <f t="shared" si="15"/>
        <v/>
      </c>
      <c r="J260" s="17">
        <f t="shared" si="18"/>
        <v>-4</v>
      </c>
      <c r="K260" s="17">
        <f t="shared" si="16"/>
        <v>-40</v>
      </c>
      <c r="L260" s="17"/>
      <c r="M260" s="19">
        <f t="shared" si="17"/>
        <v>0</v>
      </c>
    </row>
    <row r="261" spans="1:13" x14ac:dyDescent="0.25">
      <c r="A261" s="43"/>
      <c r="G261" s="5"/>
      <c r="H261" s="17">
        <v>256</v>
      </c>
      <c r="I261" s="18" t="str">
        <f t="shared" si="15"/>
        <v/>
      </c>
      <c r="J261" s="17">
        <f t="shared" si="18"/>
        <v>-4</v>
      </c>
      <c r="K261" s="17">
        <f t="shared" si="16"/>
        <v>-40</v>
      </c>
      <c r="L261" s="17"/>
      <c r="M261" s="19">
        <f t="shared" si="17"/>
        <v>0</v>
      </c>
    </row>
    <row r="262" spans="1:13" x14ac:dyDescent="0.25">
      <c r="A262" s="43"/>
      <c r="G262" s="5"/>
      <c r="H262" s="17">
        <v>257</v>
      </c>
      <c r="I262" s="18" t="str">
        <f t="shared" ref="I262:I305" si="19">IF(H262&lt;$H$2+1,($I$2-($I$2-1)*(LOG(H262)/LOG($H$2))),"")</f>
        <v/>
      </c>
      <c r="J262" s="17">
        <f t="shared" si="18"/>
        <v>-5</v>
      </c>
      <c r="K262" s="17">
        <f t="shared" ref="K262:K305" si="20">J262*$J$2</f>
        <v>-50</v>
      </c>
      <c r="L262" s="17"/>
      <c r="M262" s="19">
        <f t="shared" ref="M262:M305" si="21">IF(I262&lt;&gt;"",K262+I262+L262,0)</f>
        <v>0</v>
      </c>
    </row>
    <row r="263" spans="1:13" x14ac:dyDescent="0.25">
      <c r="A263" s="43"/>
      <c r="G263" s="5"/>
      <c r="H263" s="17">
        <v>258</v>
      </c>
      <c r="I263" s="18" t="str">
        <f t="shared" si="19"/>
        <v/>
      </c>
      <c r="J263" s="17">
        <f t="shared" ref="J263:J326" si="22">INT(LOG($H$2,2))-ROUNDUP(LOG(H263,2),0)+IF(OR($H$2=1,$H$2=2,$H$2=4,$H$2=8,$H$2=16,$H$2=32,$H$2=64,$H$2=128,$H$2=256),0,1)</f>
        <v>-5</v>
      </c>
      <c r="K263" s="17">
        <f t="shared" si="20"/>
        <v>-50</v>
      </c>
      <c r="L263" s="17"/>
      <c r="M263" s="19">
        <f t="shared" si="21"/>
        <v>0</v>
      </c>
    </row>
    <row r="264" spans="1:13" x14ac:dyDescent="0.25">
      <c r="A264" s="43"/>
      <c r="G264" s="5"/>
      <c r="H264" s="17">
        <v>259</v>
      </c>
      <c r="I264" s="18" t="str">
        <f t="shared" si="19"/>
        <v/>
      </c>
      <c r="J264" s="17">
        <f t="shared" si="22"/>
        <v>-5</v>
      </c>
      <c r="K264" s="17">
        <f t="shared" si="20"/>
        <v>-50</v>
      </c>
      <c r="L264" s="17"/>
      <c r="M264" s="19">
        <f t="shared" si="21"/>
        <v>0</v>
      </c>
    </row>
    <row r="265" spans="1:13" x14ac:dyDescent="0.25">
      <c r="A265" s="43"/>
      <c r="G265" s="5"/>
      <c r="H265" s="17">
        <v>260</v>
      </c>
      <c r="I265" s="18" t="str">
        <f t="shared" si="19"/>
        <v/>
      </c>
      <c r="J265" s="17">
        <f t="shared" si="22"/>
        <v>-5</v>
      </c>
      <c r="K265" s="17">
        <f t="shared" si="20"/>
        <v>-50</v>
      </c>
      <c r="L265" s="17"/>
      <c r="M265" s="19">
        <f t="shared" si="21"/>
        <v>0</v>
      </c>
    </row>
    <row r="266" spans="1:13" x14ac:dyDescent="0.25">
      <c r="A266" s="43"/>
      <c r="G266" s="5"/>
      <c r="H266" s="17">
        <v>261</v>
      </c>
      <c r="I266" s="18" t="str">
        <f t="shared" si="19"/>
        <v/>
      </c>
      <c r="J266" s="17">
        <f t="shared" si="22"/>
        <v>-5</v>
      </c>
      <c r="K266" s="17">
        <f t="shared" si="20"/>
        <v>-50</v>
      </c>
      <c r="L266" s="17"/>
      <c r="M266" s="19">
        <f t="shared" si="21"/>
        <v>0</v>
      </c>
    </row>
    <row r="267" spans="1:13" x14ac:dyDescent="0.25">
      <c r="A267" s="43"/>
      <c r="G267" s="5"/>
      <c r="H267" s="17">
        <v>262</v>
      </c>
      <c r="I267" s="18" t="str">
        <f t="shared" si="19"/>
        <v/>
      </c>
      <c r="J267" s="17">
        <f t="shared" si="22"/>
        <v>-5</v>
      </c>
      <c r="K267" s="17">
        <f t="shared" si="20"/>
        <v>-50</v>
      </c>
      <c r="L267" s="17"/>
      <c r="M267" s="19">
        <f t="shared" si="21"/>
        <v>0</v>
      </c>
    </row>
    <row r="268" spans="1:13" x14ac:dyDescent="0.25">
      <c r="A268" s="43"/>
      <c r="G268" s="5"/>
      <c r="H268" s="17">
        <v>263</v>
      </c>
      <c r="I268" s="18" t="str">
        <f t="shared" si="19"/>
        <v/>
      </c>
      <c r="J268" s="17">
        <f t="shared" si="22"/>
        <v>-5</v>
      </c>
      <c r="K268" s="17">
        <f t="shared" si="20"/>
        <v>-50</v>
      </c>
      <c r="L268" s="17"/>
      <c r="M268" s="19">
        <f t="shared" si="21"/>
        <v>0</v>
      </c>
    </row>
    <row r="269" spans="1:13" x14ac:dyDescent="0.25">
      <c r="A269" s="43"/>
      <c r="G269" s="5"/>
      <c r="H269" s="17">
        <v>264</v>
      </c>
      <c r="I269" s="18" t="str">
        <f t="shared" si="19"/>
        <v/>
      </c>
      <c r="J269" s="17">
        <f t="shared" si="22"/>
        <v>-5</v>
      </c>
      <c r="K269" s="17">
        <f t="shared" si="20"/>
        <v>-50</v>
      </c>
      <c r="L269" s="17"/>
      <c r="M269" s="19">
        <f t="shared" si="21"/>
        <v>0</v>
      </c>
    </row>
    <row r="270" spans="1:13" x14ac:dyDescent="0.25">
      <c r="A270" s="43"/>
      <c r="G270" s="5"/>
      <c r="H270" s="17">
        <v>265</v>
      </c>
      <c r="I270" s="18" t="str">
        <f t="shared" si="19"/>
        <v/>
      </c>
      <c r="J270" s="17">
        <f t="shared" si="22"/>
        <v>-5</v>
      </c>
      <c r="K270" s="17">
        <f t="shared" si="20"/>
        <v>-50</v>
      </c>
      <c r="L270" s="17"/>
      <c r="M270" s="19">
        <f t="shared" si="21"/>
        <v>0</v>
      </c>
    </row>
    <row r="271" spans="1:13" x14ac:dyDescent="0.25">
      <c r="A271" s="43"/>
      <c r="G271" s="5"/>
      <c r="H271" s="17">
        <v>266</v>
      </c>
      <c r="I271" s="18" t="str">
        <f t="shared" si="19"/>
        <v/>
      </c>
      <c r="J271" s="17">
        <f t="shared" si="22"/>
        <v>-5</v>
      </c>
      <c r="K271" s="17">
        <f t="shared" si="20"/>
        <v>-50</v>
      </c>
      <c r="L271" s="17"/>
      <c r="M271" s="19">
        <f t="shared" si="21"/>
        <v>0</v>
      </c>
    </row>
    <row r="272" spans="1:13" x14ac:dyDescent="0.25">
      <c r="A272" s="43"/>
      <c r="G272" s="5"/>
      <c r="H272" s="17">
        <v>267</v>
      </c>
      <c r="I272" s="18" t="str">
        <f t="shared" si="19"/>
        <v/>
      </c>
      <c r="J272" s="17">
        <f t="shared" si="22"/>
        <v>-5</v>
      </c>
      <c r="K272" s="17">
        <f t="shared" si="20"/>
        <v>-50</v>
      </c>
      <c r="L272" s="17"/>
      <c r="M272" s="19">
        <f t="shared" si="21"/>
        <v>0</v>
      </c>
    </row>
    <row r="273" spans="1:13" x14ac:dyDescent="0.25">
      <c r="A273" s="43"/>
      <c r="G273" s="5"/>
      <c r="H273" s="17">
        <v>268</v>
      </c>
      <c r="I273" s="18" t="str">
        <f t="shared" si="19"/>
        <v/>
      </c>
      <c r="J273" s="17">
        <f t="shared" si="22"/>
        <v>-5</v>
      </c>
      <c r="K273" s="17">
        <f t="shared" si="20"/>
        <v>-50</v>
      </c>
      <c r="L273" s="17"/>
      <c r="M273" s="19">
        <f t="shared" si="21"/>
        <v>0</v>
      </c>
    </row>
    <row r="274" spans="1:13" x14ac:dyDescent="0.25">
      <c r="A274" s="43"/>
      <c r="G274" s="5"/>
      <c r="H274" s="17">
        <v>269</v>
      </c>
      <c r="I274" s="18" t="str">
        <f t="shared" si="19"/>
        <v/>
      </c>
      <c r="J274" s="17">
        <f t="shared" si="22"/>
        <v>-5</v>
      </c>
      <c r="K274" s="17">
        <f t="shared" si="20"/>
        <v>-50</v>
      </c>
      <c r="L274" s="17"/>
      <c r="M274" s="19">
        <f t="shared" si="21"/>
        <v>0</v>
      </c>
    </row>
    <row r="275" spans="1:13" x14ac:dyDescent="0.25">
      <c r="A275" s="43"/>
      <c r="G275" s="5"/>
      <c r="H275" s="17">
        <v>270</v>
      </c>
      <c r="I275" s="18" t="str">
        <f t="shared" si="19"/>
        <v/>
      </c>
      <c r="J275" s="17">
        <f t="shared" si="22"/>
        <v>-5</v>
      </c>
      <c r="K275" s="17">
        <f t="shared" si="20"/>
        <v>-50</v>
      </c>
      <c r="L275" s="17"/>
      <c r="M275" s="19">
        <f t="shared" si="21"/>
        <v>0</v>
      </c>
    </row>
    <row r="276" spans="1:13" x14ac:dyDescent="0.25">
      <c r="A276" s="43"/>
      <c r="G276" s="5"/>
      <c r="H276" s="17">
        <v>271</v>
      </c>
      <c r="I276" s="18" t="str">
        <f t="shared" si="19"/>
        <v/>
      </c>
      <c r="J276" s="17">
        <f t="shared" si="22"/>
        <v>-5</v>
      </c>
      <c r="K276" s="17">
        <f t="shared" si="20"/>
        <v>-50</v>
      </c>
      <c r="L276" s="17"/>
      <c r="M276" s="19">
        <f t="shared" si="21"/>
        <v>0</v>
      </c>
    </row>
    <row r="277" spans="1:13" x14ac:dyDescent="0.25">
      <c r="A277" s="43"/>
      <c r="G277" s="5"/>
      <c r="H277" s="17">
        <v>272</v>
      </c>
      <c r="I277" s="18" t="str">
        <f t="shared" si="19"/>
        <v/>
      </c>
      <c r="J277" s="17">
        <f t="shared" si="22"/>
        <v>-5</v>
      </c>
      <c r="K277" s="17">
        <f t="shared" si="20"/>
        <v>-50</v>
      </c>
      <c r="L277" s="17"/>
      <c r="M277" s="19">
        <f t="shared" si="21"/>
        <v>0</v>
      </c>
    </row>
    <row r="278" spans="1:13" x14ac:dyDescent="0.25">
      <c r="A278" s="43"/>
      <c r="G278" s="5"/>
      <c r="H278" s="17">
        <v>273</v>
      </c>
      <c r="I278" s="18" t="str">
        <f t="shared" si="19"/>
        <v/>
      </c>
      <c r="J278" s="17">
        <f t="shared" si="22"/>
        <v>-5</v>
      </c>
      <c r="K278" s="17">
        <f t="shared" si="20"/>
        <v>-50</v>
      </c>
      <c r="L278" s="17"/>
      <c r="M278" s="19">
        <f t="shared" si="21"/>
        <v>0</v>
      </c>
    </row>
    <row r="279" spans="1:13" x14ac:dyDescent="0.25">
      <c r="A279" s="43"/>
      <c r="G279" s="5"/>
      <c r="H279" s="17">
        <v>274</v>
      </c>
      <c r="I279" s="18" t="str">
        <f t="shared" si="19"/>
        <v/>
      </c>
      <c r="J279" s="17">
        <f t="shared" si="22"/>
        <v>-5</v>
      </c>
      <c r="K279" s="17">
        <f t="shared" si="20"/>
        <v>-50</v>
      </c>
      <c r="L279" s="17"/>
      <c r="M279" s="19">
        <f t="shared" si="21"/>
        <v>0</v>
      </c>
    </row>
    <row r="280" spans="1:13" x14ac:dyDescent="0.25">
      <c r="A280" s="43"/>
      <c r="G280" s="5"/>
      <c r="H280" s="17">
        <v>275</v>
      </c>
      <c r="I280" s="18" t="str">
        <f t="shared" si="19"/>
        <v/>
      </c>
      <c r="J280" s="17">
        <f t="shared" si="22"/>
        <v>-5</v>
      </c>
      <c r="K280" s="17">
        <f t="shared" si="20"/>
        <v>-50</v>
      </c>
      <c r="L280" s="17"/>
      <c r="M280" s="19">
        <f t="shared" si="21"/>
        <v>0</v>
      </c>
    </row>
    <row r="281" spans="1:13" x14ac:dyDescent="0.25">
      <c r="A281" s="43"/>
      <c r="G281" s="5"/>
      <c r="H281" s="17">
        <v>276</v>
      </c>
      <c r="I281" s="18" t="str">
        <f t="shared" si="19"/>
        <v/>
      </c>
      <c r="J281" s="17">
        <f t="shared" si="22"/>
        <v>-5</v>
      </c>
      <c r="K281" s="17">
        <f t="shared" si="20"/>
        <v>-50</v>
      </c>
      <c r="L281" s="17"/>
      <c r="M281" s="19">
        <f t="shared" si="21"/>
        <v>0</v>
      </c>
    </row>
    <row r="282" spans="1:13" x14ac:dyDescent="0.25">
      <c r="A282" s="43"/>
      <c r="G282" s="5"/>
      <c r="H282" s="17">
        <v>277</v>
      </c>
      <c r="I282" s="18" t="str">
        <f t="shared" si="19"/>
        <v/>
      </c>
      <c r="J282" s="17">
        <f t="shared" si="22"/>
        <v>-5</v>
      </c>
      <c r="K282" s="17">
        <f t="shared" si="20"/>
        <v>-50</v>
      </c>
      <c r="L282" s="17"/>
      <c r="M282" s="19">
        <f t="shared" si="21"/>
        <v>0</v>
      </c>
    </row>
    <row r="283" spans="1:13" x14ac:dyDescent="0.25">
      <c r="A283" s="43"/>
      <c r="G283" s="5"/>
      <c r="H283" s="17">
        <v>278</v>
      </c>
      <c r="I283" s="18" t="str">
        <f t="shared" si="19"/>
        <v/>
      </c>
      <c r="J283" s="17">
        <f t="shared" si="22"/>
        <v>-5</v>
      </c>
      <c r="K283" s="17">
        <f t="shared" si="20"/>
        <v>-50</v>
      </c>
      <c r="L283" s="17"/>
      <c r="M283" s="19">
        <f t="shared" si="21"/>
        <v>0</v>
      </c>
    </row>
    <row r="284" spans="1:13" x14ac:dyDescent="0.25">
      <c r="A284" s="43"/>
      <c r="G284" s="5"/>
      <c r="H284" s="17">
        <v>279</v>
      </c>
      <c r="I284" s="18" t="str">
        <f t="shared" si="19"/>
        <v/>
      </c>
      <c r="J284" s="17">
        <f t="shared" si="22"/>
        <v>-5</v>
      </c>
      <c r="K284" s="17">
        <f t="shared" si="20"/>
        <v>-50</v>
      </c>
      <c r="L284" s="17"/>
      <c r="M284" s="19">
        <f t="shared" si="21"/>
        <v>0</v>
      </c>
    </row>
    <row r="285" spans="1:13" x14ac:dyDescent="0.25">
      <c r="A285" s="43"/>
      <c r="G285" s="5"/>
      <c r="H285" s="17">
        <v>280</v>
      </c>
      <c r="I285" s="18" t="str">
        <f t="shared" si="19"/>
        <v/>
      </c>
      <c r="J285" s="17">
        <f t="shared" si="22"/>
        <v>-5</v>
      </c>
      <c r="K285" s="17">
        <f t="shared" si="20"/>
        <v>-50</v>
      </c>
      <c r="L285" s="17"/>
      <c r="M285" s="19">
        <f t="shared" si="21"/>
        <v>0</v>
      </c>
    </row>
    <row r="286" spans="1:13" x14ac:dyDescent="0.25">
      <c r="A286" s="43"/>
      <c r="G286" s="5"/>
      <c r="H286" s="17">
        <v>281</v>
      </c>
      <c r="I286" s="18" t="str">
        <f t="shared" si="19"/>
        <v/>
      </c>
      <c r="J286" s="17">
        <f t="shared" si="22"/>
        <v>-5</v>
      </c>
      <c r="K286" s="17">
        <f t="shared" si="20"/>
        <v>-50</v>
      </c>
      <c r="L286" s="17"/>
      <c r="M286" s="19">
        <f t="shared" si="21"/>
        <v>0</v>
      </c>
    </row>
    <row r="287" spans="1:13" x14ac:dyDescent="0.25">
      <c r="A287" s="43"/>
      <c r="G287" s="5"/>
      <c r="H287" s="17">
        <v>282</v>
      </c>
      <c r="I287" s="18" t="str">
        <f t="shared" si="19"/>
        <v/>
      </c>
      <c r="J287" s="17">
        <f t="shared" si="22"/>
        <v>-5</v>
      </c>
      <c r="K287" s="17">
        <f t="shared" si="20"/>
        <v>-50</v>
      </c>
      <c r="L287" s="17"/>
      <c r="M287" s="19">
        <f t="shared" si="21"/>
        <v>0</v>
      </c>
    </row>
    <row r="288" spans="1:13" x14ac:dyDescent="0.25">
      <c r="A288" s="43"/>
      <c r="G288" s="5"/>
      <c r="H288" s="17">
        <v>283</v>
      </c>
      <c r="I288" s="18" t="str">
        <f t="shared" si="19"/>
        <v/>
      </c>
      <c r="J288" s="17">
        <f t="shared" si="22"/>
        <v>-5</v>
      </c>
      <c r="K288" s="17">
        <f t="shared" si="20"/>
        <v>-50</v>
      </c>
      <c r="L288" s="17"/>
      <c r="M288" s="19">
        <f t="shared" si="21"/>
        <v>0</v>
      </c>
    </row>
    <row r="289" spans="1:13" x14ac:dyDescent="0.25">
      <c r="A289" s="43"/>
      <c r="G289" s="5"/>
      <c r="H289" s="17">
        <v>284</v>
      </c>
      <c r="I289" s="18" t="str">
        <f t="shared" si="19"/>
        <v/>
      </c>
      <c r="J289" s="17">
        <f t="shared" si="22"/>
        <v>-5</v>
      </c>
      <c r="K289" s="17">
        <f t="shared" si="20"/>
        <v>-50</v>
      </c>
      <c r="L289" s="17"/>
      <c r="M289" s="19">
        <f t="shared" si="21"/>
        <v>0</v>
      </c>
    </row>
    <row r="290" spans="1:13" x14ac:dyDescent="0.25">
      <c r="A290" s="43"/>
      <c r="G290" s="5"/>
      <c r="H290" s="17">
        <v>285</v>
      </c>
      <c r="I290" s="18" t="str">
        <f t="shared" si="19"/>
        <v/>
      </c>
      <c r="J290" s="17">
        <f t="shared" si="22"/>
        <v>-5</v>
      </c>
      <c r="K290" s="17">
        <f t="shared" si="20"/>
        <v>-50</v>
      </c>
      <c r="L290" s="17"/>
      <c r="M290" s="19">
        <f t="shared" si="21"/>
        <v>0</v>
      </c>
    </row>
    <row r="291" spans="1:13" x14ac:dyDescent="0.25">
      <c r="A291" s="43"/>
      <c r="G291" s="5"/>
      <c r="H291" s="17">
        <v>286</v>
      </c>
      <c r="I291" s="18" t="str">
        <f t="shared" si="19"/>
        <v/>
      </c>
      <c r="J291" s="17">
        <f t="shared" si="22"/>
        <v>-5</v>
      </c>
      <c r="K291" s="17">
        <f t="shared" si="20"/>
        <v>-50</v>
      </c>
      <c r="L291" s="17"/>
      <c r="M291" s="19">
        <f t="shared" si="21"/>
        <v>0</v>
      </c>
    </row>
    <row r="292" spans="1:13" x14ac:dyDescent="0.25">
      <c r="A292" s="43"/>
      <c r="G292" s="5"/>
      <c r="H292" s="17">
        <v>287</v>
      </c>
      <c r="I292" s="18" t="str">
        <f t="shared" si="19"/>
        <v/>
      </c>
      <c r="J292" s="17">
        <f t="shared" si="22"/>
        <v>-5</v>
      </c>
      <c r="K292" s="17">
        <f t="shared" si="20"/>
        <v>-50</v>
      </c>
      <c r="L292" s="17"/>
      <c r="M292" s="19">
        <f t="shared" si="21"/>
        <v>0</v>
      </c>
    </row>
    <row r="293" spans="1:13" x14ac:dyDescent="0.25">
      <c r="A293" s="43"/>
      <c r="G293" s="5"/>
      <c r="H293" s="17">
        <v>288</v>
      </c>
      <c r="I293" s="18" t="str">
        <f t="shared" si="19"/>
        <v/>
      </c>
      <c r="J293" s="17">
        <f t="shared" si="22"/>
        <v>-5</v>
      </c>
      <c r="K293" s="17">
        <f t="shared" si="20"/>
        <v>-50</v>
      </c>
      <c r="L293" s="17"/>
      <c r="M293" s="19">
        <f t="shared" si="21"/>
        <v>0</v>
      </c>
    </row>
    <row r="294" spans="1:13" x14ac:dyDescent="0.25">
      <c r="A294" s="43"/>
      <c r="G294" s="5"/>
      <c r="H294" s="17">
        <v>289</v>
      </c>
      <c r="I294" s="18" t="str">
        <f t="shared" si="19"/>
        <v/>
      </c>
      <c r="J294" s="17">
        <f t="shared" si="22"/>
        <v>-5</v>
      </c>
      <c r="K294" s="17">
        <f t="shared" si="20"/>
        <v>-50</v>
      </c>
      <c r="L294" s="17"/>
      <c r="M294" s="19">
        <f t="shared" si="21"/>
        <v>0</v>
      </c>
    </row>
    <row r="295" spans="1:13" x14ac:dyDescent="0.25">
      <c r="A295" s="43"/>
      <c r="G295" s="5"/>
      <c r="H295" s="17">
        <v>290</v>
      </c>
      <c r="I295" s="18" t="str">
        <f t="shared" si="19"/>
        <v/>
      </c>
      <c r="J295" s="17">
        <f t="shared" si="22"/>
        <v>-5</v>
      </c>
      <c r="K295" s="17">
        <f t="shared" si="20"/>
        <v>-50</v>
      </c>
      <c r="L295" s="17"/>
      <c r="M295" s="19">
        <f t="shared" si="21"/>
        <v>0</v>
      </c>
    </row>
    <row r="296" spans="1:13" x14ac:dyDescent="0.25">
      <c r="A296" s="43"/>
      <c r="G296" s="5"/>
      <c r="H296" s="17">
        <v>291</v>
      </c>
      <c r="I296" s="18" t="str">
        <f t="shared" si="19"/>
        <v/>
      </c>
      <c r="J296" s="17">
        <f t="shared" si="22"/>
        <v>-5</v>
      </c>
      <c r="K296" s="17">
        <f t="shared" si="20"/>
        <v>-50</v>
      </c>
      <c r="L296" s="17"/>
      <c r="M296" s="19">
        <f t="shared" si="21"/>
        <v>0</v>
      </c>
    </row>
    <row r="297" spans="1:13" x14ac:dyDescent="0.25">
      <c r="A297" s="43"/>
      <c r="G297" s="5"/>
      <c r="H297" s="17">
        <v>292</v>
      </c>
      <c r="I297" s="18" t="str">
        <f t="shared" si="19"/>
        <v/>
      </c>
      <c r="J297" s="17">
        <f t="shared" si="22"/>
        <v>-5</v>
      </c>
      <c r="K297" s="17">
        <f t="shared" si="20"/>
        <v>-50</v>
      </c>
      <c r="L297" s="17"/>
      <c r="M297" s="19">
        <f t="shared" si="21"/>
        <v>0</v>
      </c>
    </row>
    <row r="298" spans="1:13" x14ac:dyDescent="0.25">
      <c r="A298" s="43"/>
      <c r="G298" s="5"/>
      <c r="H298" s="17">
        <v>293</v>
      </c>
      <c r="I298" s="18" t="str">
        <f t="shared" si="19"/>
        <v/>
      </c>
      <c r="J298" s="17">
        <f t="shared" si="22"/>
        <v>-5</v>
      </c>
      <c r="K298" s="17">
        <f t="shared" si="20"/>
        <v>-50</v>
      </c>
      <c r="L298" s="17"/>
      <c r="M298" s="19">
        <f t="shared" si="21"/>
        <v>0</v>
      </c>
    </row>
    <row r="299" spans="1:13" x14ac:dyDescent="0.25">
      <c r="A299" s="43"/>
      <c r="G299" s="5"/>
      <c r="H299" s="17">
        <v>294</v>
      </c>
      <c r="I299" s="18" t="str">
        <f t="shared" si="19"/>
        <v/>
      </c>
      <c r="J299" s="17">
        <f t="shared" si="22"/>
        <v>-5</v>
      </c>
      <c r="K299" s="17">
        <f t="shared" si="20"/>
        <v>-50</v>
      </c>
      <c r="L299" s="17"/>
      <c r="M299" s="19">
        <f t="shared" si="21"/>
        <v>0</v>
      </c>
    </row>
    <row r="300" spans="1:13" x14ac:dyDescent="0.25">
      <c r="A300" s="43"/>
      <c r="G300" s="5"/>
      <c r="H300" s="17">
        <v>295</v>
      </c>
      <c r="I300" s="18" t="str">
        <f t="shared" si="19"/>
        <v/>
      </c>
      <c r="J300" s="17">
        <f t="shared" si="22"/>
        <v>-5</v>
      </c>
      <c r="K300" s="17">
        <f t="shared" si="20"/>
        <v>-50</v>
      </c>
      <c r="L300" s="17"/>
      <c r="M300" s="19">
        <f t="shared" si="21"/>
        <v>0</v>
      </c>
    </row>
    <row r="301" spans="1:13" x14ac:dyDescent="0.25">
      <c r="A301" s="43"/>
      <c r="G301" s="5"/>
      <c r="H301" s="17">
        <v>296</v>
      </c>
      <c r="I301" s="18" t="str">
        <f t="shared" si="19"/>
        <v/>
      </c>
      <c r="J301" s="17">
        <f t="shared" si="22"/>
        <v>-5</v>
      </c>
      <c r="K301" s="17">
        <f t="shared" si="20"/>
        <v>-50</v>
      </c>
      <c r="L301" s="17"/>
      <c r="M301" s="19">
        <f t="shared" si="21"/>
        <v>0</v>
      </c>
    </row>
    <row r="302" spans="1:13" x14ac:dyDescent="0.25">
      <c r="A302" s="43"/>
      <c r="G302" s="5"/>
      <c r="H302" s="17">
        <v>297</v>
      </c>
      <c r="I302" s="18" t="str">
        <f t="shared" si="19"/>
        <v/>
      </c>
      <c r="J302" s="17">
        <f t="shared" si="22"/>
        <v>-5</v>
      </c>
      <c r="K302" s="17">
        <f t="shared" si="20"/>
        <v>-50</v>
      </c>
      <c r="L302" s="17"/>
      <c r="M302" s="19">
        <f t="shared" si="21"/>
        <v>0</v>
      </c>
    </row>
    <row r="303" spans="1:13" x14ac:dyDescent="0.25">
      <c r="A303" s="43"/>
      <c r="G303" s="5"/>
      <c r="H303" s="17">
        <v>298</v>
      </c>
      <c r="I303" s="18" t="str">
        <f t="shared" si="19"/>
        <v/>
      </c>
      <c r="J303" s="17">
        <f t="shared" si="22"/>
        <v>-5</v>
      </c>
      <c r="K303" s="17">
        <f t="shared" si="20"/>
        <v>-50</v>
      </c>
      <c r="L303" s="17"/>
      <c r="M303" s="19">
        <f t="shared" si="21"/>
        <v>0</v>
      </c>
    </row>
    <row r="304" spans="1:13" x14ac:dyDescent="0.25">
      <c r="A304" s="43"/>
      <c r="G304" s="5"/>
      <c r="H304" s="17">
        <v>299</v>
      </c>
      <c r="I304" s="18" t="str">
        <f t="shared" si="19"/>
        <v/>
      </c>
      <c r="J304" s="17">
        <f t="shared" si="22"/>
        <v>-5</v>
      </c>
      <c r="K304" s="17">
        <f t="shared" si="20"/>
        <v>-50</v>
      </c>
      <c r="L304" s="17"/>
      <c r="M304" s="19">
        <f t="shared" si="21"/>
        <v>0</v>
      </c>
    </row>
    <row r="305" spans="1:16" x14ac:dyDescent="0.25">
      <c r="A305" s="43"/>
      <c r="G305" s="5"/>
      <c r="H305" s="17">
        <v>300</v>
      </c>
      <c r="I305" s="18" t="str">
        <f t="shared" si="19"/>
        <v/>
      </c>
      <c r="J305" s="17">
        <f t="shared" si="22"/>
        <v>-5</v>
      </c>
      <c r="K305" s="17">
        <f t="shared" si="20"/>
        <v>-50</v>
      </c>
      <c r="L305" s="17"/>
      <c r="M305" s="19">
        <f t="shared" si="21"/>
        <v>0</v>
      </c>
    </row>
    <row r="306" spans="1:16" x14ac:dyDescent="0.25">
      <c r="A306" s="4"/>
      <c r="J306" s="20" t="e">
        <f t="shared" si="22"/>
        <v>#NUM!</v>
      </c>
    </row>
    <row r="307" spans="1:16" x14ac:dyDescent="0.25">
      <c r="J307" s="20" t="e">
        <f t="shared" si="22"/>
        <v>#NUM!</v>
      </c>
    </row>
    <row r="308" spans="1:16" x14ac:dyDescent="0.25">
      <c r="J308" s="20" t="e">
        <f t="shared" si="22"/>
        <v>#NUM!</v>
      </c>
    </row>
    <row r="309" spans="1:16" x14ac:dyDescent="0.25">
      <c r="J309" s="20" t="e">
        <f t="shared" si="22"/>
        <v>#NUM!</v>
      </c>
    </row>
    <row r="310" spans="1:16" x14ac:dyDescent="0.25">
      <c r="J310" s="20" t="e">
        <f t="shared" si="22"/>
        <v>#NUM!</v>
      </c>
    </row>
    <row r="311" spans="1:16" x14ac:dyDescent="0.25">
      <c r="J311" s="20" t="e">
        <f t="shared" si="22"/>
        <v>#NUM!</v>
      </c>
    </row>
    <row r="312" spans="1:16" x14ac:dyDescent="0.25">
      <c r="J312" s="20" t="e">
        <f t="shared" si="22"/>
        <v>#NUM!</v>
      </c>
    </row>
    <row r="313" spans="1:16" x14ac:dyDescent="0.25">
      <c r="J313" s="20" t="e">
        <f t="shared" si="22"/>
        <v>#NUM!</v>
      </c>
    </row>
    <row r="314" spans="1:16" x14ac:dyDescent="0.25">
      <c r="J314" s="20" t="e">
        <f t="shared" si="22"/>
        <v>#NUM!</v>
      </c>
      <c r="L314" s="21"/>
      <c r="P314" s="49"/>
    </row>
    <row r="315" spans="1:16" x14ac:dyDescent="0.25">
      <c r="J315" s="20" t="e">
        <f t="shared" si="22"/>
        <v>#NUM!</v>
      </c>
      <c r="L315" s="21"/>
      <c r="P315" s="49"/>
    </row>
    <row r="316" spans="1:16" x14ac:dyDescent="0.25">
      <c r="J316" s="20" t="e">
        <f t="shared" si="22"/>
        <v>#NUM!</v>
      </c>
      <c r="L316" s="21"/>
      <c r="P316" s="49"/>
    </row>
    <row r="317" spans="1:16" x14ac:dyDescent="0.25">
      <c r="J317" s="20" t="e">
        <f t="shared" si="22"/>
        <v>#NUM!</v>
      </c>
      <c r="L317" s="21"/>
      <c r="P317" s="49"/>
    </row>
    <row r="318" spans="1:16" x14ac:dyDescent="0.25">
      <c r="J318" s="20" t="e">
        <f t="shared" si="22"/>
        <v>#NUM!</v>
      </c>
    </row>
    <row r="319" spans="1:16" x14ac:dyDescent="0.25">
      <c r="J319" s="20" t="e">
        <f t="shared" si="22"/>
        <v>#NUM!</v>
      </c>
    </row>
    <row r="320" spans="1:16" x14ac:dyDescent="0.25">
      <c r="J320" s="20" t="e">
        <f t="shared" si="22"/>
        <v>#NUM!</v>
      </c>
    </row>
    <row r="321" spans="10:10" x14ac:dyDescent="0.25">
      <c r="J321" s="20" t="e">
        <f t="shared" si="22"/>
        <v>#NUM!</v>
      </c>
    </row>
    <row r="322" spans="10:10" x14ac:dyDescent="0.25">
      <c r="J322" s="20" t="e">
        <f t="shared" si="22"/>
        <v>#NUM!</v>
      </c>
    </row>
    <row r="323" spans="10:10" x14ac:dyDescent="0.25">
      <c r="J323" s="20" t="e">
        <f t="shared" si="22"/>
        <v>#NUM!</v>
      </c>
    </row>
    <row r="324" spans="10:10" x14ac:dyDescent="0.25">
      <c r="J324" s="20" t="e">
        <f t="shared" si="22"/>
        <v>#NUM!</v>
      </c>
    </row>
    <row r="325" spans="10:10" x14ac:dyDescent="0.25">
      <c r="J325" s="20" t="e">
        <f t="shared" si="22"/>
        <v>#NUM!</v>
      </c>
    </row>
    <row r="326" spans="10:10" x14ac:dyDescent="0.25">
      <c r="J326" s="20" t="e">
        <f t="shared" si="22"/>
        <v>#NUM!</v>
      </c>
    </row>
    <row r="327" spans="10:10" x14ac:dyDescent="0.25">
      <c r="J327" s="20" t="e">
        <f t="shared" ref="J327:J374" si="23">INT(LOG($H$2,2))-ROUNDUP(LOG(H327,2),0)+IF(OR($H$2=1,$H$2=2,$H$2=4,$H$2=8,$H$2=16,$H$2=32,$H$2=64,$H$2=128,$H$2=256),0,1)</f>
        <v>#NUM!</v>
      </c>
    </row>
    <row r="328" spans="10:10" x14ac:dyDescent="0.25">
      <c r="J328" s="20" t="e">
        <f t="shared" si="23"/>
        <v>#NUM!</v>
      </c>
    </row>
    <row r="329" spans="10:10" x14ac:dyDescent="0.25">
      <c r="J329" s="20" t="e">
        <f t="shared" si="23"/>
        <v>#NUM!</v>
      </c>
    </row>
    <row r="330" spans="10:10" x14ac:dyDescent="0.25">
      <c r="J330" s="20" t="e">
        <f t="shared" si="23"/>
        <v>#NUM!</v>
      </c>
    </row>
    <row r="331" spans="10:10" x14ac:dyDescent="0.25">
      <c r="J331" s="20" t="e">
        <f t="shared" si="23"/>
        <v>#NUM!</v>
      </c>
    </row>
    <row r="332" spans="10:10" x14ac:dyDescent="0.25">
      <c r="J332" s="20" t="e">
        <f t="shared" si="23"/>
        <v>#NUM!</v>
      </c>
    </row>
    <row r="333" spans="10:10" x14ac:dyDescent="0.25">
      <c r="J333" s="20" t="e">
        <f t="shared" si="23"/>
        <v>#NUM!</v>
      </c>
    </row>
    <row r="334" spans="10:10" x14ac:dyDescent="0.25">
      <c r="J334" s="20" t="e">
        <f t="shared" si="23"/>
        <v>#NUM!</v>
      </c>
    </row>
    <row r="335" spans="10:10" x14ac:dyDescent="0.25">
      <c r="J335" s="20" t="e">
        <f t="shared" si="23"/>
        <v>#NUM!</v>
      </c>
    </row>
    <row r="336" spans="10:10" x14ac:dyDescent="0.25">
      <c r="J336" s="20" t="e">
        <f t="shared" si="23"/>
        <v>#NUM!</v>
      </c>
    </row>
    <row r="337" spans="10:10" x14ac:dyDescent="0.25">
      <c r="J337" s="20" t="e">
        <f t="shared" si="23"/>
        <v>#NUM!</v>
      </c>
    </row>
    <row r="338" spans="10:10" x14ac:dyDescent="0.25">
      <c r="J338" s="20" t="e">
        <f t="shared" si="23"/>
        <v>#NUM!</v>
      </c>
    </row>
    <row r="339" spans="10:10" x14ac:dyDescent="0.25">
      <c r="J339" s="20" t="e">
        <f t="shared" si="23"/>
        <v>#NUM!</v>
      </c>
    </row>
    <row r="340" spans="10:10" x14ac:dyDescent="0.25">
      <c r="J340" s="20" t="e">
        <f t="shared" si="23"/>
        <v>#NUM!</v>
      </c>
    </row>
    <row r="341" spans="10:10" x14ac:dyDescent="0.25">
      <c r="J341" s="20" t="e">
        <f t="shared" si="23"/>
        <v>#NUM!</v>
      </c>
    </row>
    <row r="342" spans="10:10" x14ac:dyDescent="0.25">
      <c r="J342" s="20" t="e">
        <f t="shared" si="23"/>
        <v>#NUM!</v>
      </c>
    </row>
    <row r="343" spans="10:10" x14ac:dyDescent="0.25">
      <c r="J343" s="20" t="e">
        <f t="shared" si="23"/>
        <v>#NUM!</v>
      </c>
    </row>
    <row r="344" spans="10:10" x14ac:dyDescent="0.25">
      <c r="J344" s="20" t="e">
        <f t="shared" si="23"/>
        <v>#NUM!</v>
      </c>
    </row>
    <row r="345" spans="10:10" x14ac:dyDescent="0.25">
      <c r="J345" s="20" t="e">
        <f t="shared" si="23"/>
        <v>#NUM!</v>
      </c>
    </row>
    <row r="346" spans="10:10" x14ac:dyDescent="0.25">
      <c r="J346" s="20" t="e">
        <f t="shared" si="23"/>
        <v>#NUM!</v>
      </c>
    </row>
    <row r="347" spans="10:10" x14ac:dyDescent="0.25">
      <c r="J347" s="20" t="e">
        <f t="shared" si="23"/>
        <v>#NUM!</v>
      </c>
    </row>
    <row r="348" spans="10:10" x14ac:dyDescent="0.25">
      <c r="J348" s="20" t="e">
        <f t="shared" si="23"/>
        <v>#NUM!</v>
      </c>
    </row>
    <row r="349" spans="10:10" x14ac:dyDescent="0.25">
      <c r="J349" s="20" t="e">
        <f t="shared" si="23"/>
        <v>#NUM!</v>
      </c>
    </row>
    <row r="350" spans="10:10" x14ac:dyDescent="0.25">
      <c r="J350" s="20" t="e">
        <f t="shared" si="23"/>
        <v>#NUM!</v>
      </c>
    </row>
    <row r="351" spans="10:10" x14ac:dyDescent="0.25">
      <c r="J351" s="20" t="e">
        <f t="shared" si="23"/>
        <v>#NUM!</v>
      </c>
    </row>
    <row r="352" spans="10:10" x14ac:dyDescent="0.25">
      <c r="J352" s="20" t="e">
        <f t="shared" si="23"/>
        <v>#NUM!</v>
      </c>
    </row>
    <row r="353" spans="10:10" x14ac:dyDescent="0.25">
      <c r="J353" s="20" t="e">
        <f t="shared" si="23"/>
        <v>#NUM!</v>
      </c>
    </row>
    <row r="354" spans="10:10" x14ac:dyDescent="0.25">
      <c r="J354" s="20" t="e">
        <f t="shared" si="23"/>
        <v>#NUM!</v>
      </c>
    </row>
    <row r="355" spans="10:10" x14ac:dyDescent="0.25">
      <c r="J355" s="20" t="e">
        <f t="shared" si="23"/>
        <v>#NUM!</v>
      </c>
    </row>
    <row r="356" spans="10:10" x14ac:dyDescent="0.25">
      <c r="J356" s="20" t="e">
        <f t="shared" si="23"/>
        <v>#NUM!</v>
      </c>
    </row>
    <row r="357" spans="10:10" x14ac:dyDescent="0.25">
      <c r="J357" s="20" t="e">
        <f t="shared" si="23"/>
        <v>#NUM!</v>
      </c>
    </row>
    <row r="358" spans="10:10" x14ac:dyDescent="0.25">
      <c r="J358" s="20" t="e">
        <f t="shared" si="23"/>
        <v>#NUM!</v>
      </c>
    </row>
    <row r="359" spans="10:10" x14ac:dyDescent="0.25">
      <c r="J359" s="20" t="e">
        <f t="shared" si="23"/>
        <v>#NUM!</v>
      </c>
    </row>
    <row r="360" spans="10:10" x14ac:dyDescent="0.25">
      <c r="J360" s="20" t="e">
        <f t="shared" si="23"/>
        <v>#NUM!</v>
      </c>
    </row>
    <row r="361" spans="10:10" x14ac:dyDescent="0.25">
      <c r="J361" s="20" t="e">
        <f t="shared" si="23"/>
        <v>#NUM!</v>
      </c>
    </row>
    <row r="362" spans="10:10" x14ac:dyDescent="0.25">
      <c r="J362" s="20" t="e">
        <f t="shared" si="23"/>
        <v>#NUM!</v>
      </c>
    </row>
    <row r="363" spans="10:10" x14ac:dyDescent="0.25">
      <c r="J363" s="20" t="e">
        <f t="shared" si="23"/>
        <v>#NUM!</v>
      </c>
    </row>
    <row r="364" spans="10:10" x14ac:dyDescent="0.25">
      <c r="J364" s="20" t="e">
        <f t="shared" si="23"/>
        <v>#NUM!</v>
      </c>
    </row>
    <row r="365" spans="10:10" x14ac:dyDescent="0.25">
      <c r="J365" s="20" t="e">
        <f t="shared" si="23"/>
        <v>#NUM!</v>
      </c>
    </row>
    <row r="366" spans="10:10" x14ac:dyDescent="0.25">
      <c r="J366" s="20" t="e">
        <f t="shared" si="23"/>
        <v>#NUM!</v>
      </c>
    </row>
    <row r="367" spans="10:10" x14ac:dyDescent="0.25">
      <c r="J367" s="20" t="e">
        <f t="shared" si="23"/>
        <v>#NUM!</v>
      </c>
    </row>
    <row r="368" spans="10:10" x14ac:dyDescent="0.25">
      <c r="J368" s="20" t="e">
        <f t="shared" si="23"/>
        <v>#NUM!</v>
      </c>
    </row>
    <row r="369" spans="10:10" x14ac:dyDescent="0.25">
      <c r="J369" s="20" t="e">
        <f t="shared" si="23"/>
        <v>#NUM!</v>
      </c>
    </row>
    <row r="370" spans="10:10" x14ac:dyDescent="0.25">
      <c r="J370" s="20" t="e">
        <f t="shared" si="23"/>
        <v>#NUM!</v>
      </c>
    </row>
    <row r="371" spans="10:10" x14ac:dyDescent="0.25">
      <c r="J371" s="20" t="e">
        <f t="shared" si="23"/>
        <v>#NUM!</v>
      </c>
    </row>
    <row r="372" spans="10:10" x14ac:dyDescent="0.25">
      <c r="J372" s="20" t="e">
        <f t="shared" si="23"/>
        <v>#NUM!</v>
      </c>
    </row>
    <row r="373" spans="10:10" x14ac:dyDescent="0.25">
      <c r="J373" s="20" t="e">
        <f t="shared" si="23"/>
        <v>#NUM!</v>
      </c>
    </row>
    <row r="374" spans="10:10" x14ac:dyDescent="0.25">
      <c r="J374" s="20" t="e">
        <f t="shared" si="23"/>
        <v>#NUM!</v>
      </c>
    </row>
  </sheetData>
  <mergeCells count="2">
    <mergeCell ref="C2:D2"/>
    <mergeCell ref="C3:D3"/>
  </mergeCells>
  <conditionalFormatting sqref="J9:K305">
    <cfRule type="cellIs" dxfId="31" priority="1" operator="lessThanOrEqual">
      <formula>0</formula>
    </cfRule>
  </conditionalFormatting>
  <hyperlinks>
    <hyperlink ref="C2:D2" r:id="rId1" display="PABIANICE" xr:uid="{7B0D40FA-FAD0-40CD-A4A0-3D7C982AE2C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BC50-5777-474A-A946-300A8CE2ACE0}">
  <sheetPr>
    <tabColor rgb="FF92D050"/>
  </sheetPr>
  <dimension ref="A1:AL1159"/>
  <sheetViews>
    <sheetView workbookViewId="0">
      <selection activeCell="A19" sqref="A19"/>
    </sheetView>
  </sheetViews>
  <sheetFormatPr defaultColWidth="8.875" defaultRowHeight="14.3" x14ac:dyDescent="0.25"/>
  <cols>
    <col min="1" max="1" width="8" style="3" customWidth="1"/>
    <col min="2" max="2" width="8.25" style="3" customWidth="1"/>
    <col min="3" max="3" width="34.75" style="3" customWidth="1"/>
    <col min="4" max="4" width="39.75" style="3" customWidth="1"/>
    <col min="5" max="6" width="8.875" style="3"/>
    <col min="7" max="7" width="0.875" style="3" customWidth="1"/>
    <col min="8" max="8" width="8.875" style="20"/>
    <col min="9" max="9" width="11" style="20" customWidth="1"/>
    <col min="10" max="10" width="15.25" style="20" customWidth="1"/>
    <col min="11" max="11" width="8.75" style="20" customWidth="1"/>
    <col min="12" max="12" width="11" style="20" customWidth="1"/>
    <col min="13" max="13" width="12.25" style="15" customWidth="1"/>
    <col min="14" max="15" width="13.875" style="5" customWidth="1"/>
    <col min="16" max="18" width="8.875" style="5"/>
    <col min="19" max="20" width="8.875" style="26"/>
    <col min="21" max="21" width="12.125" style="26" customWidth="1"/>
    <col min="22" max="22" width="27.375" style="26" customWidth="1"/>
    <col min="23" max="38" width="8.875" style="26"/>
    <col min="39" max="16384" width="8.875" style="3"/>
  </cols>
  <sheetData>
    <row r="1" spans="1:34" x14ac:dyDescent="0.25">
      <c r="A1" s="5"/>
      <c r="B1" s="5"/>
      <c r="C1" s="5"/>
      <c r="D1" s="5"/>
      <c r="E1" s="5"/>
      <c r="F1" s="5"/>
      <c r="G1" s="5"/>
      <c r="H1" s="22" t="s">
        <v>38</v>
      </c>
      <c r="I1" s="12" t="s">
        <v>39</v>
      </c>
      <c r="J1" s="12" t="s">
        <v>40</v>
      </c>
      <c r="K1" s="23" t="s">
        <v>41</v>
      </c>
      <c r="L1" s="13"/>
      <c r="M1" s="13"/>
    </row>
    <row r="2" spans="1:34" x14ac:dyDescent="0.25">
      <c r="A2" s="5"/>
      <c r="B2" s="47" t="s">
        <v>42</v>
      </c>
      <c r="C2" s="271" t="s">
        <v>67</v>
      </c>
      <c r="D2" s="271"/>
      <c r="E2" s="6"/>
      <c r="F2" s="6"/>
      <c r="G2" s="6"/>
      <c r="H2" s="14">
        <v>11</v>
      </c>
      <c r="I2" s="61">
        <v>50</v>
      </c>
      <c r="J2" s="61">
        <v>10</v>
      </c>
      <c r="K2" s="62">
        <f>3*H2^(1/3)</f>
        <v>6.671940271707947</v>
      </c>
      <c r="L2" s="13"/>
      <c r="M2" s="13"/>
    </row>
    <row r="3" spans="1:34" x14ac:dyDescent="0.25">
      <c r="A3" s="5"/>
      <c r="B3" s="48" t="s">
        <v>44</v>
      </c>
      <c r="C3" s="272">
        <v>45019</v>
      </c>
      <c r="D3" s="272"/>
      <c r="E3" s="7"/>
      <c r="F3" s="7"/>
      <c r="G3" s="7"/>
      <c r="H3" s="13"/>
      <c r="I3" s="13"/>
      <c r="J3" s="16"/>
      <c r="K3" s="13"/>
      <c r="L3" s="13"/>
      <c r="M3" s="13"/>
    </row>
    <row r="4" spans="1:34" ht="10.4" customHeight="1" x14ac:dyDescent="0.25">
      <c r="A4" s="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</row>
    <row r="5" spans="1:34" ht="46.2" x14ac:dyDescent="0.25">
      <c r="A5" s="1" t="s">
        <v>45</v>
      </c>
      <c r="B5" s="37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8"/>
      <c r="H5" s="9" t="s">
        <v>51</v>
      </c>
      <c r="I5" s="10" t="s">
        <v>52</v>
      </c>
      <c r="J5" s="11" t="s">
        <v>53</v>
      </c>
      <c r="K5" s="10" t="s">
        <v>54</v>
      </c>
      <c r="L5" s="10" t="s">
        <v>55</v>
      </c>
      <c r="M5" s="9" t="s">
        <v>56</v>
      </c>
    </row>
    <row r="6" spans="1:34" ht="14.45" customHeight="1" x14ac:dyDescent="0.25">
      <c r="A6" s="39">
        <f>M6</f>
        <v>110.01582081512385</v>
      </c>
      <c r="B6" s="36">
        <v>1</v>
      </c>
      <c r="C6" s="24" t="s">
        <v>19</v>
      </c>
      <c r="D6" s="24" t="s">
        <v>57</v>
      </c>
      <c r="E6" s="24"/>
      <c r="F6" s="24"/>
      <c r="G6" s="8"/>
      <c r="H6" s="17">
        <v>1</v>
      </c>
      <c r="I6" s="18">
        <f>IF(H2=1,50,IF(H6&lt;$H$2+1,($I$2-($I$2-1)*(LOG(H6)/LOG($H$2))),""))</f>
        <v>50</v>
      </c>
      <c r="J6" s="17">
        <f>INT(LOG($H$2,2))-ROUNDUP(LOG(H6,2),0)+IF(OR($H$2=1,$H$2=2,$H$2=4,$H$2=8,$H$2=16,$H$2=32,$H$2=64,$H$2=128,$H$2=256),0,1)</f>
        <v>4</v>
      </c>
      <c r="K6" s="17">
        <f t="shared" ref="K6:K65" si="0">J6*$J$2</f>
        <v>40</v>
      </c>
      <c r="L6" s="19">
        <f>3*K2</f>
        <v>20.015820815123842</v>
      </c>
      <c r="M6" s="19">
        <f t="shared" ref="M6:M69" si="1">IF(I6&lt;&gt;"",K6+I6+L6,0)</f>
        <v>110.01582081512385</v>
      </c>
    </row>
    <row r="7" spans="1:34" ht="14.45" customHeight="1" x14ac:dyDescent="0.25">
      <c r="A7" s="40">
        <f t="shared" ref="A7:A21" si="2">M7</f>
        <v>79.179704053839387</v>
      </c>
      <c r="B7" s="35">
        <v>2</v>
      </c>
      <c r="C7" s="25" t="s">
        <v>20</v>
      </c>
      <c r="D7" s="25" t="s">
        <v>59</v>
      </c>
      <c r="E7" s="25"/>
      <c r="F7" s="25"/>
      <c r="G7" s="8"/>
      <c r="H7" s="44">
        <v>2</v>
      </c>
      <c r="I7" s="45">
        <f t="shared" ref="I7:I65" si="3">IF(H7&lt;$H$2+1,($I$2-($I$2-1)*(LOG(H7)/LOG($H$2))),"")</f>
        <v>35.835823510423495</v>
      </c>
      <c r="J7" s="44">
        <f t="shared" ref="J7:J65" si="4">INT(LOG($H$2,2))-ROUNDUP(LOG(H7,2),0)+IF(OR($H$2=1,$H$2=2,$H$2=4,$H$2=8,$H$2=16,$H$2=32,$H$2=64,$H$2=128,$H$2=256),0,1)</f>
        <v>3</v>
      </c>
      <c r="K7" s="44">
        <f t="shared" si="0"/>
        <v>30</v>
      </c>
      <c r="L7" s="46">
        <f>2*K2</f>
        <v>13.343880543415894</v>
      </c>
      <c r="M7" s="46">
        <f t="shared" si="1"/>
        <v>79.179704053839387</v>
      </c>
    </row>
    <row r="8" spans="1:34" ht="14.45" customHeight="1" x14ac:dyDescent="0.25">
      <c r="A8" s="39">
        <f t="shared" si="2"/>
        <v>54.222251682132963</v>
      </c>
      <c r="B8" s="36">
        <v>3</v>
      </c>
      <c r="C8" s="24" t="s">
        <v>21</v>
      </c>
      <c r="D8" s="24" t="s">
        <v>60</v>
      </c>
      <c r="E8" s="24"/>
      <c r="F8" s="24"/>
      <c r="G8" s="8"/>
      <c r="H8" s="17">
        <v>3</v>
      </c>
      <c r="I8" s="18">
        <f t="shared" si="3"/>
        <v>27.550311410425017</v>
      </c>
      <c r="J8" s="17">
        <f t="shared" si="4"/>
        <v>2</v>
      </c>
      <c r="K8" s="17">
        <f t="shared" si="0"/>
        <v>20</v>
      </c>
      <c r="L8" s="19">
        <f>K2</f>
        <v>6.671940271707947</v>
      </c>
      <c r="M8" s="19">
        <f t="shared" si="1"/>
        <v>54.222251682132963</v>
      </c>
    </row>
    <row r="9" spans="1:34" ht="14.45" customHeight="1" x14ac:dyDescent="0.25">
      <c r="A9" s="40">
        <f t="shared" si="2"/>
        <v>41.67164702084699</v>
      </c>
      <c r="B9" s="35">
        <v>4</v>
      </c>
      <c r="C9" s="25" t="s">
        <v>31</v>
      </c>
      <c r="D9" s="25" t="s">
        <v>68</v>
      </c>
      <c r="E9" s="25"/>
      <c r="F9" s="25"/>
      <c r="G9" s="8"/>
      <c r="H9" s="44">
        <v>4</v>
      </c>
      <c r="I9" s="45">
        <f t="shared" si="3"/>
        <v>21.671647020846994</v>
      </c>
      <c r="J9" s="44">
        <f t="shared" si="4"/>
        <v>2</v>
      </c>
      <c r="K9" s="44">
        <f t="shared" si="0"/>
        <v>20</v>
      </c>
      <c r="L9" s="46"/>
      <c r="M9" s="46">
        <f t="shared" si="1"/>
        <v>41.67164702084699</v>
      </c>
      <c r="V9" s="27"/>
      <c r="Z9" s="28"/>
      <c r="AA9" s="28"/>
      <c r="AG9" s="29"/>
    </row>
    <row r="10" spans="1:34" ht="14.45" customHeight="1" x14ac:dyDescent="0.25">
      <c r="A10" s="39">
        <f t="shared" si="2"/>
        <v>27.111800667909257</v>
      </c>
      <c r="B10" s="36">
        <v>5</v>
      </c>
      <c r="C10" s="24" t="s">
        <v>25</v>
      </c>
      <c r="D10" s="24" t="s">
        <v>63</v>
      </c>
      <c r="E10" s="24"/>
      <c r="F10" s="24"/>
      <c r="G10" s="8"/>
      <c r="H10" s="17">
        <v>5</v>
      </c>
      <c r="I10" s="18">
        <f t="shared" si="3"/>
        <v>17.111800667909257</v>
      </c>
      <c r="J10" s="17">
        <f t="shared" si="4"/>
        <v>1</v>
      </c>
      <c r="K10" s="17">
        <f t="shared" si="0"/>
        <v>10</v>
      </c>
      <c r="L10" s="17"/>
      <c r="M10" s="19">
        <f t="shared" si="1"/>
        <v>27.111800667909257</v>
      </c>
      <c r="V10" s="27"/>
      <c r="Z10" s="28"/>
      <c r="AA10" s="28"/>
      <c r="AG10" s="29"/>
    </row>
    <row r="11" spans="1:34" ht="14.45" customHeight="1" x14ac:dyDescent="0.25">
      <c r="A11" s="40">
        <f t="shared" si="2"/>
        <v>23.386134920848519</v>
      </c>
      <c r="B11" s="35">
        <v>6</v>
      </c>
      <c r="C11" s="25" t="s">
        <v>69</v>
      </c>
      <c r="D11" s="25" t="s">
        <v>70</v>
      </c>
      <c r="E11" s="25"/>
      <c r="F11" s="25"/>
      <c r="G11" s="8"/>
      <c r="H11" s="44">
        <v>6</v>
      </c>
      <c r="I11" s="45">
        <f t="shared" si="3"/>
        <v>13.386134920848519</v>
      </c>
      <c r="J11" s="44">
        <f t="shared" si="4"/>
        <v>1</v>
      </c>
      <c r="K11" s="44">
        <f t="shared" si="0"/>
        <v>10</v>
      </c>
      <c r="L11" s="44"/>
      <c r="M11" s="46">
        <f t="shared" si="1"/>
        <v>23.386134920848519</v>
      </c>
      <c r="V11" s="30"/>
      <c r="Z11" s="28"/>
      <c r="AA11" s="28"/>
      <c r="AG11" s="29"/>
    </row>
    <row r="12" spans="1:34" ht="14.45" customHeight="1" x14ac:dyDescent="0.25">
      <c r="A12" s="39">
        <f t="shared" si="2"/>
        <v>20.236129415094808</v>
      </c>
      <c r="B12" s="36">
        <v>7</v>
      </c>
      <c r="C12" s="24" t="s">
        <v>27</v>
      </c>
      <c r="D12" s="24" t="s">
        <v>60</v>
      </c>
      <c r="E12" s="24"/>
      <c r="F12" s="24"/>
      <c r="G12" s="8"/>
      <c r="H12" s="17">
        <v>7</v>
      </c>
      <c r="I12" s="18">
        <f t="shared" si="3"/>
        <v>10.236129415094808</v>
      </c>
      <c r="J12" s="17">
        <f t="shared" si="4"/>
        <v>1</v>
      </c>
      <c r="K12" s="17">
        <f t="shared" si="0"/>
        <v>10</v>
      </c>
      <c r="L12" s="17"/>
      <c r="M12" s="19">
        <f t="shared" si="1"/>
        <v>20.236129415094808</v>
      </c>
      <c r="Z12" s="28"/>
      <c r="AA12" s="28"/>
      <c r="AG12" s="29"/>
    </row>
    <row r="13" spans="1:34" ht="14.45" customHeight="1" x14ac:dyDescent="0.25">
      <c r="A13" s="41">
        <f t="shared" si="2"/>
        <v>17.507470531270492</v>
      </c>
      <c r="B13" s="35">
        <v>8</v>
      </c>
      <c r="C13" s="25" t="s">
        <v>30</v>
      </c>
      <c r="D13" s="25" t="s">
        <v>71</v>
      </c>
      <c r="E13" s="25"/>
      <c r="F13" s="25"/>
      <c r="G13" s="8"/>
      <c r="H13" s="44">
        <v>8</v>
      </c>
      <c r="I13" s="45">
        <f t="shared" si="3"/>
        <v>7.5074705312704921</v>
      </c>
      <c r="J13" s="44">
        <f t="shared" si="4"/>
        <v>1</v>
      </c>
      <c r="K13" s="44">
        <f t="shared" si="0"/>
        <v>10</v>
      </c>
      <c r="L13" s="44"/>
      <c r="M13" s="46">
        <f t="shared" si="1"/>
        <v>17.507470531270492</v>
      </c>
      <c r="X13" s="27"/>
      <c r="AG13" s="29"/>
    </row>
    <row r="14" spans="1:34" x14ac:dyDescent="0.25">
      <c r="A14" s="42">
        <f t="shared" si="2"/>
        <v>5.1006228208500346</v>
      </c>
      <c r="B14" s="36">
        <v>9</v>
      </c>
      <c r="C14" s="24" t="s">
        <v>28</v>
      </c>
      <c r="D14" s="24" t="s">
        <v>65</v>
      </c>
      <c r="E14" s="24"/>
      <c r="F14" s="24"/>
      <c r="G14" s="8"/>
      <c r="H14" s="17">
        <v>9</v>
      </c>
      <c r="I14" s="18">
        <f t="shared" si="3"/>
        <v>5.1006228208500346</v>
      </c>
      <c r="J14" s="17">
        <f t="shared" si="4"/>
        <v>0</v>
      </c>
      <c r="K14" s="17">
        <f t="shared" si="0"/>
        <v>0</v>
      </c>
      <c r="L14" s="17"/>
      <c r="M14" s="19">
        <f t="shared" si="1"/>
        <v>5.1006228208500346</v>
      </c>
      <c r="X14" s="31"/>
      <c r="Z14" s="28"/>
      <c r="AA14" s="28"/>
      <c r="AG14" s="29"/>
    </row>
    <row r="15" spans="1:34" x14ac:dyDescent="0.25">
      <c r="A15" s="41">
        <f t="shared" si="2"/>
        <v>2.9476241783327595</v>
      </c>
      <c r="B15" s="35">
        <v>10</v>
      </c>
      <c r="C15" s="25" t="s">
        <v>33</v>
      </c>
      <c r="D15" s="25" t="s">
        <v>66</v>
      </c>
      <c r="E15" s="25"/>
      <c r="F15" s="25"/>
      <c r="G15" s="8"/>
      <c r="H15" s="44">
        <v>10</v>
      </c>
      <c r="I15" s="45">
        <f t="shared" si="3"/>
        <v>2.9476241783327595</v>
      </c>
      <c r="J15" s="44">
        <f t="shared" si="4"/>
        <v>0</v>
      </c>
      <c r="K15" s="44">
        <f t="shared" si="0"/>
        <v>0</v>
      </c>
      <c r="L15" s="44"/>
      <c r="M15" s="46">
        <f t="shared" si="1"/>
        <v>2.9476241783327595</v>
      </c>
      <c r="X15" s="27"/>
      <c r="Z15" s="28"/>
      <c r="AA15" s="28"/>
    </row>
    <row r="16" spans="1:34" x14ac:dyDescent="0.25">
      <c r="A16" s="42">
        <f t="shared" si="2"/>
        <v>1</v>
      </c>
      <c r="B16" s="36">
        <v>11</v>
      </c>
      <c r="C16" s="24" t="s">
        <v>36</v>
      </c>
      <c r="D16" s="24" t="s">
        <v>68</v>
      </c>
      <c r="E16" s="24"/>
      <c r="F16" s="24"/>
      <c r="G16" s="8"/>
      <c r="H16" s="17">
        <v>11</v>
      </c>
      <c r="I16" s="18">
        <f t="shared" si="3"/>
        <v>1</v>
      </c>
      <c r="J16" s="17">
        <f t="shared" si="4"/>
        <v>0</v>
      </c>
      <c r="K16" s="17">
        <f t="shared" si="0"/>
        <v>0</v>
      </c>
      <c r="L16" s="17"/>
      <c r="M16" s="19">
        <f t="shared" si="1"/>
        <v>1</v>
      </c>
      <c r="R16" s="49"/>
      <c r="Z16" s="28"/>
      <c r="AA16" s="28"/>
      <c r="AH16" s="33"/>
    </row>
    <row r="17" spans="1:19" x14ac:dyDescent="0.25">
      <c r="A17" s="41">
        <f t="shared" si="2"/>
        <v>0</v>
      </c>
      <c r="B17" s="35" t="str">
        <f t="shared" ref="B17:B65" si="5">IF(H17&gt;$H$2,"",(ROW()-5))</f>
        <v/>
      </c>
      <c r="C17" s="25"/>
      <c r="D17" s="25"/>
      <c r="E17" s="25"/>
      <c r="F17" s="25"/>
      <c r="G17" s="8"/>
      <c r="H17" s="44">
        <v>12</v>
      </c>
      <c r="I17" s="45" t="str">
        <f t="shared" si="3"/>
        <v/>
      </c>
      <c r="J17" s="44">
        <f t="shared" si="4"/>
        <v>0</v>
      </c>
      <c r="K17" s="44">
        <f t="shared" si="0"/>
        <v>0</v>
      </c>
      <c r="L17" s="44"/>
      <c r="M17" s="46">
        <f t="shared" si="1"/>
        <v>0</v>
      </c>
    </row>
    <row r="18" spans="1:19" x14ac:dyDescent="0.25">
      <c r="A18" s="42">
        <f t="shared" si="2"/>
        <v>0</v>
      </c>
      <c r="B18" s="36" t="str">
        <f t="shared" si="5"/>
        <v/>
      </c>
      <c r="C18" s="24"/>
      <c r="D18" s="24"/>
      <c r="E18" s="24"/>
      <c r="F18" s="24"/>
      <c r="G18" s="8"/>
      <c r="H18" s="17">
        <v>13</v>
      </c>
      <c r="I18" s="18" t="str">
        <f t="shared" si="3"/>
        <v/>
      </c>
      <c r="J18" s="17">
        <f t="shared" si="4"/>
        <v>0</v>
      </c>
      <c r="K18" s="17">
        <f t="shared" si="0"/>
        <v>0</v>
      </c>
      <c r="L18" s="17"/>
      <c r="M18" s="19">
        <f t="shared" si="1"/>
        <v>0</v>
      </c>
    </row>
    <row r="19" spans="1:19" x14ac:dyDescent="0.25">
      <c r="A19" s="213">
        <v>21.870588731201465</v>
      </c>
      <c r="B19" s="214" t="s">
        <v>72</v>
      </c>
      <c r="C19" s="215" t="s">
        <v>23</v>
      </c>
      <c r="D19" s="215" t="s">
        <v>73</v>
      </c>
      <c r="E19" s="25"/>
      <c r="F19" s="25"/>
      <c r="G19" s="8"/>
      <c r="H19" s="44">
        <v>14</v>
      </c>
      <c r="I19" s="45" t="str">
        <f t="shared" si="3"/>
        <v/>
      </c>
      <c r="J19" s="44">
        <f t="shared" si="4"/>
        <v>0</v>
      </c>
      <c r="K19" s="44">
        <f t="shared" si="0"/>
        <v>0</v>
      </c>
      <c r="L19" s="44"/>
      <c r="M19" s="46">
        <f t="shared" si="1"/>
        <v>0</v>
      </c>
    </row>
    <row r="20" spans="1:19" x14ac:dyDescent="0.25">
      <c r="A20" s="42">
        <f t="shared" si="2"/>
        <v>0</v>
      </c>
      <c r="B20" s="36" t="str">
        <f t="shared" si="5"/>
        <v/>
      </c>
      <c r="C20" s="24"/>
      <c r="D20" s="24"/>
      <c r="E20" s="24"/>
      <c r="F20" s="24"/>
      <c r="G20" s="8"/>
      <c r="H20" s="17">
        <v>15</v>
      </c>
      <c r="I20" s="18" t="str">
        <f t="shared" si="3"/>
        <v/>
      </c>
      <c r="J20" s="17">
        <f t="shared" si="4"/>
        <v>0</v>
      </c>
      <c r="K20" s="17">
        <f t="shared" si="0"/>
        <v>0</v>
      </c>
      <c r="L20" s="17"/>
      <c r="M20" s="19">
        <f t="shared" si="1"/>
        <v>0</v>
      </c>
      <c r="R20" s="50"/>
      <c r="S20" s="34"/>
    </row>
    <row r="21" spans="1:19" x14ac:dyDescent="0.25">
      <c r="A21" s="41">
        <f t="shared" si="2"/>
        <v>0</v>
      </c>
      <c r="B21" s="35" t="str">
        <f t="shared" si="5"/>
        <v/>
      </c>
      <c r="C21" s="25"/>
      <c r="D21" s="25"/>
      <c r="E21" s="25"/>
      <c r="F21" s="25"/>
      <c r="G21" s="8"/>
      <c r="H21" s="44">
        <v>16</v>
      </c>
      <c r="I21" s="45" t="str">
        <f t="shared" si="3"/>
        <v/>
      </c>
      <c r="J21" s="44">
        <f t="shared" si="4"/>
        <v>0</v>
      </c>
      <c r="K21" s="44">
        <f t="shared" si="0"/>
        <v>0</v>
      </c>
      <c r="L21" s="44"/>
      <c r="M21" s="46">
        <f t="shared" si="1"/>
        <v>0</v>
      </c>
    </row>
    <row r="22" spans="1:19" x14ac:dyDescent="0.25">
      <c r="A22" s="42">
        <f t="shared" ref="A22:A37" si="6">M22</f>
        <v>0</v>
      </c>
      <c r="B22" s="36" t="str">
        <f t="shared" si="5"/>
        <v/>
      </c>
      <c r="C22" s="24"/>
      <c r="D22" s="24"/>
      <c r="E22" s="24"/>
      <c r="F22" s="24"/>
      <c r="G22" s="8"/>
      <c r="H22" s="17">
        <v>17</v>
      </c>
      <c r="I22" s="18" t="str">
        <f t="shared" si="3"/>
        <v/>
      </c>
      <c r="J22" s="17">
        <f t="shared" si="4"/>
        <v>-1</v>
      </c>
      <c r="K22" s="17">
        <f t="shared" si="0"/>
        <v>-10</v>
      </c>
      <c r="L22" s="17"/>
      <c r="M22" s="19">
        <f t="shared" si="1"/>
        <v>0</v>
      </c>
    </row>
    <row r="23" spans="1:19" x14ac:dyDescent="0.25">
      <c r="A23" s="41">
        <f t="shared" si="6"/>
        <v>0</v>
      </c>
      <c r="B23" s="35" t="str">
        <f t="shared" si="5"/>
        <v/>
      </c>
      <c r="C23" s="25"/>
      <c r="D23" s="25"/>
      <c r="E23" s="25"/>
      <c r="F23" s="25"/>
      <c r="G23" s="8"/>
      <c r="H23" s="44">
        <v>18</v>
      </c>
      <c r="I23" s="45" t="str">
        <f t="shared" si="3"/>
        <v/>
      </c>
      <c r="J23" s="44">
        <f t="shared" si="4"/>
        <v>-1</v>
      </c>
      <c r="K23" s="44">
        <f t="shared" si="0"/>
        <v>-10</v>
      </c>
      <c r="L23" s="44"/>
      <c r="M23" s="46">
        <f t="shared" si="1"/>
        <v>0</v>
      </c>
    </row>
    <row r="24" spans="1:19" x14ac:dyDescent="0.25">
      <c r="A24" s="42">
        <f t="shared" si="6"/>
        <v>0</v>
      </c>
      <c r="B24" s="36" t="str">
        <f t="shared" si="5"/>
        <v/>
      </c>
      <c r="C24" s="24"/>
      <c r="D24" s="24"/>
      <c r="E24" s="24"/>
      <c r="F24" s="24"/>
      <c r="G24" s="8"/>
      <c r="H24" s="17">
        <v>19</v>
      </c>
      <c r="I24" s="18" t="str">
        <f t="shared" si="3"/>
        <v/>
      </c>
      <c r="J24" s="17">
        <f t="shared" si="4"/>
        <v>-1</v>
      </c>
      <c r="K24" s="17">
        <f t="shared" si="0"/>
        <v>-10</v>
      </c>
      <c r="L24" s="17"/>
      <c r="M24" s="19">
        <f t="shared" si="1"/>
        <v>0</v>
      </c>
      <c r="R24" s="50"/>
      <c r="S24" s="34"/>
    </row>
    <row r="25" spans="1:19" x14ac:dyDescent="0.25">
      <c r="A25" s="41">
        <f t="shared" si="6"/>
        <v>0</v>
      </c>
      <c r="B25" s="35" t="str">
        <f t="shared" si="5"/>
        <v/>
      </c>
      <c r="C25" s="25"/>
      <c r="D25" s="25"/>
      <c r="E25" s="25"/>
      <c r="F25" s="25"/>
      <c r="G25" s="8"/>
      <c r="H25" s="44">
        <v>20</v>
      </c>
      <c r="I25" s="45" t="str">
        <f t="shared" si="3"/>
        <v/>
      </c>
      <c r="J25" s="44">
        <f t="shared" si="4"/>
        <v>-1</v>
      </c>
      <c r="K25" s="44">
        <f t="shared" si="0"/>
        <v>-10</v>
      </c>
      <c r="L25" s="44"/>
      <c r="M25" s="46">
        <f t="shared" si="1"/>
        <v>0</v>
      </c>
    </row>
    <row r="26" spans="1:19" x14ac:dyDescent="0.25">
      <c r="A26" s="42">
        <f t="shared" si="6"/>
        <v>0</v>
      </c>
      <c r="B26" s="36" t="str">
        <f t="shared" si="5"/>
        <v/>
      </c>
      <c r="C26" s="24"/>
      <c r="D26" s="24"/>
      <c r="E26" s="24"/>
      <c r="F26" s="24"/>
      <c r="G26" s="8"/>
      <c r="H26" s="17">
        <v>21</v>
      </c>
      <c r="I26" s="18" t="str">
        <f t="shared" si="3"/>
        <v/>
      </c>
      <c r="J26" s="17">
        <f t="shared" si="4"/>
        <v>-1</v>
      </c>
      <c r="K26" s="17">
        <f t="shared" si="0"/>
        <v>-10</v>
      </c>
      <c r="L26" s="17"/>
      <c r="M26" s="19">
        <f t="shared" si="1"/>
        <v>0</v>
      </c>
    </row>
    <row r="27" spans="1:19" x14ac:dyDescent="0.25">
      <c r="A27" s="41">
        <f t="shared" si="6"/>
        <v>0</v>
      </c>
      <c r="B27" s="35" t="str">
        <f t="shared" si="5"/>
        <v/>
      </c>
      <c r="C27" s="25"/>
      <c r="D27" s="25"/>
      <c r="E27" s="25"/>
      <c r="F27" s="25"/>
      <c r="G27" s="8"/>
      <c r="H27" s="44">
        <v>22</v>
      </c>
      <c r="I27" s="45" t="str">
        <f t="shared" si="3"/>
        <v/>
      </c>
      <c r="J27" s="44">
        <f t="shared" si="4"/>
        <v>-1</v>
      </c>
      <c r="K27" s="44">
        <f t="shared" si="0"/>
        <v>-10</v>
      </c>
      <c r="L27" s="44"/>
      <c r="M27" s="46">
        <f t="shared" si="1"/>
        <v>0</v>
      </c>
    </row>
    <row r="28" spans="1:19" x14ac:dyDescent="0.25">
      <c r="A28" s="42">
        <f t="shared" si="6"/>
        <v>0</v>
      </c>
      <c r="B28" s="36" t="str">
        <f t="shared" si="5"/>
        <v/>
      </c>
      <c r="C28" s="24"/>
      <c r="D28" s="24"/>
      <c r="E28" s="24"/>
      <c r="F28" s="24"/>
      <c r="G28" s="8"/>
      <c r="H28" s="17">
        <v>23</v>
      </c>
      <c r="I28" s="18" t="str">
        <f t="shared" si="3"/>
        <v/>
      </c>
      <c r="J28" s="17">
        <f t="shared" si="4"/>
        <v>-1</v>
      </c>
      <c r="K28" s="17">
        <f t="shared" si="0"/>
        <v>-10</v>
      </c>
      <c r="L28" s="17"/>
      <c r="M28" s="19">
        <f t="shared" si="1"/>
        <v>0</v>
      </c>
      <c r="R28" s="50"/>
      <c r="S28" s="34"/>
    </row>
    <row r="29" spans="1:19" x14ac:dyDescent="0.25">
      <c r="A29" s="41">
        <f t="shared" si="6"/>
        <v>0</v>
      </c>
      <c r="B29" s="35" t="str">
        <f t="shared" si="5"/>
        <v/>
      </c>
      <c r="C29" s="25"/>
      <c r="D29" s="25"/>
      <c r="E29" s="25"/>
      <c r="F29" s="25"/>
      <c r="G29" s="5"/>
      <c r="H29" s="44">
        <v>24</v>
      </c>
      <c r="I29" s="45" t="str">
        <f t="shared" si="3"/>
        <v/>
      </c>
      <c r="J29" s="44">
        <f t="shared" si="4"/>
        <v>-1</v>
      </c>
      <c r="K29" s="44">
        <f t="shared" si="0"/>
        <v>-10</v>
      </c>
      <c r="L29" s="44"/>
      <c r="M29" s="46">
        <f t="shared" si="1"/>
        <v>0</v>
      </c>
    </row>
    <row r="30" spans="1:19" x14ac:dyDescent="0.25">
      <c r="A30" s="42">
        <f t="shared" si="6"/>
        <v>0</v>
      </c>
      <c r="B30" s="36" t="str">
        <f t="shared" si="5"/>
        <v/>
      </c>
      <c r="C30" s="24"/>
      <c r="D30" s="24"/>
      <c r="E30" s="24"/>
      <c r="F30" s="24"/>
      <c r="G30" s="5"/>
      <c r="H30" s="17">
        <v>25</v>
      </c>
      <c r="I30" s="18" t="str">
        <f t="shared" si="3"/>
        <v/>
      </c>
      <c r="J30" s="17">
        <f t="shared" si="4"/>
        <v>-1</v>
      </c>
      <c r="K30" s="17">
        <f t="shared" si="0"/>
        <v>-10</v>
      </c>
      <c r="L30" s="17"/>
      <c r="M30" s="19">
        <f t="shared" si="1"/>
        <v>0</v>
      </c>
    </row>
    <row r="31" spans="1:19" x14ac:dyDescent="0.25">
      <c r="A31" s="41">
        <f t="shared" si="6"/>
        <v>0</v>
      </c>
      <c r="B31" s="35" t="str">
        <f t="shared" si="5"/>
        <v/>
      </c>
      <c r="C31" s="25"/>
      <c r="D31" s="25"/>
      <c r="E31" s="25"/>
      <c r="F31" s="25"/>
      <c r="G31" s="5"/>
      <c r="H31" s="44">
        <v>26</v>
      </c>
      <c r="I31" s="45" t="str">
        <f t="shared" si="3"/>
        <v/>
      </c>
      <c r="J31" s="44">
        <f t="shared" si="4"/>
        <v>-1</v>
      </c>
      <c r="K31" s="44">
        <f t="shared" si="0"/>
        <v>-10</v>
      </c>
      <c r="L31" s="44"/>
      <c r="M31" s="46">
        <f t="shared" si="1"/>
        <v>0</v>
      </c>
    </row>
    <row r="32" spans="1:19" x14ac:dyDescent="0.25">
      <c r="A32" s="42">
        <f t="shared" si="6"/>
        <v>0</v>
      </c>
      <c r="B32" s="36" t="str">
        <f t="shared" si="5"/>
        <v/>
      </c>
      <c r="C32" s="24"/>
      <c r="D32" s="24"/>
      <c r="E32" s="24"/>
      <c r="F32" s="24"/>
      <c r="G32" s="5"/>
      <c r="H32" s="17">
        <v>27</v>
      </c>
      <c r="I32" s="18" t="str">
        <f t="shared" si="3"/>
        <v/>
      </c>
      <c r="J32" s="17">
        <f t="shared" si="4"/>
        <v>-1</v>
      </c>
      <c r="K32" s="17">
        <f t="shared" si="0"/>
        <v>-10</v>
      </c>
      <c r="L32" s="17"/>
      <c r="M32" s="19">
        <f t="shared" si="1"/>
        <v>0</v>
      </c>
      <c r="R32" s="50"/>
      <c r="S32" s="34"/>
    </row>
    <row r="33" spans="1:19" x14ac:dyDescent="0.25">
      <c r="A33" s="41">
        <f t="shared" si="6"/>
        <v>0</v>
      </c>
      <c r="B33" s="35" t="str">
        <f t="shared" si="5"/>
        <v/>
      </c>
      <c r="C33" s="25"/>
      <c r="D33" s="25"/>
      <c r="E33" s="25"/>
      <c r="F33" s="25"/>
      <c r="G33" s="5"/>
      <c r="H33" s="44">
        <v>28</v>
      </c>
      <c r="I33" s="45" t="str">
        <f t="shared" si="3"/>
        <v/>
      </c>
      <c r="J33" s="44">
        <f t="shared" si="4"/>
        <v>-1</v>
      </c>
      <c r="K33" s="44">
        <f t="shared" si="0"/>
        <v>-10</v>
      </c>
      <c r="L33" s="44"/>
      <c r="M33" s="46">
        <f t="shared" si="1"/>
        <v>0</v>
      </c>
    </row>
    <row r="34" spans="1:19" x14ac:dyDescent="0.25">
      <c r="A34" s="42">
        <f t="shared" si="6"/>
        <v>0</v>
      </c>
      <c r="B34" s="36" t="str">
        <f t="shared" si="5"/>
        <v/>
      </c>
      <c r="C34" s="24"/>
      <c r="D34" s="24"/>
      <c r="E34" s="24"/>
      <c r="F34" s="24"/>
      <c r="G34" s="5"/>
      <c r="H34" s="17">
        <v>29</v>
      </c>
      <c r="I34" s="18" t="str">
        <f t="shared" si="3"/>
        <v/>
      </c>
      <c r="J34" s="17">
        <f t="shared" si="4"/>
        <v>-1</v>
      </c>
      <c r="K34" s="17">
        <f t="shared" si="0"/>
        <v>-10</v>
      </c>
      <c r="L34" s="17"/>
      <c r="M34" s="19">
        <f t="shared" si="1"/>
        <v>0</v>
      </c>
    </row>
    <row r="35" spans="1:19" x14ac:dyDescent="0.25">
      <c r="A35" s="41">
        <f t="shared" si="6"/>
        <v>0</v>
      </c>
      <c r="B35" s="35" t="str">
        <f t="shared" si="5"/>
        <v/>
      </c>
      <c r="C35" s="25"/>
      <c r="D35" s="25"/>
      <c r="E35" s="25"/>
      <c r="F35" s="25"/>
      <c r="G35" s="5"/>
      <c r="H35" s="44">
        <v>30</v>
      </c>
      <c r="I35" s="45" t="str">
        <f t="shared" si="3"/>
        <v/>
      </c>
      <c r="J35" s="44">
        <f t="shared" si="4"/>
        <v>-1</v>
      </c>
      <c r="K35" s="44">
        <f t="shared" si="0"/>
        <v>-10</v>
      </c>
      <c r="L35" s="44"/>
      <c r="M35" s="46">
        <f t="shared" si="1"/>
        <v>0</v>
      </c>
    </row>
    <row r="36" spans="1:19" x14ac:dyDescent="0.25">
      <c r="A36" s="42">
        <f t="shared" si="6"/>
        <v>0</v>
      </c>
      <c r="B36" s="36" t="str">
        <f t="shared" si="5"/>
        <v/>
      </c>
      <c r="C36" s="24"/>
      <c r="D36" s="24"/>
      <c r="E36" s="24"/>
      <c r="F36" s="24"/>
      <c r="G36" s="5"/>
      <c r="H36" s="17">
        <v>31</v>
      </c>
      <c r="I36" s="18" t="str">
        <f t="shared" si="3"/>
        <v/>
      </c>
      <c r="J36" s="17">
        <f t="shared" si="4"/>
        <v>-1</v>
      </c>
      <c r="K36" s="17">
        <f t="shared" si="0"/>
        <v>-10</v>
      </c>
      <c r="L36" s="17"/>
      <c r="M36" s="19">
        <f t="shared" si="1"/>
        <v>0</v>
      </c>
      <c r="R36" s="50"/>
      <c r="S36" s="34"/>
    </row>
    <row r="37" spans="1:19" x14ac:dyDescent="0.25">
      <c r="A37" s="41">
        <f t="shared" si="6"/>
        <v>0</v>
      </c>
      <c r="B37" s="35" t="str">
        <f t="shared" si="5"/>
        <v/>
      </c>
      <c r="C37" s="25"/>
      <c r="D37" s="25"/>
      <c r="E37" s="25"/>
      <c r="F37" s="25"/>
      <c r="G37" s="5"/>
      <c r="H37" s="44">
        <v>32</v>
      </c>
      <c r="I37" s="45" t="str">
        <f t="shared" si="3"/>
        <v/>
      </c>
      <c r="J37" s="44">
        <f t="shared" si="4"/>
        <v>-1</v>
      </c>
      <c r="K37" s="44">
        <f t="shared" si="0"/>
        <v>-10</v>
      </c>
      <c r="L37" s="44"/>
      <c r="M37" s="46">
        <f t="shared" si="1"/>
        <v>0</v>
      </c>
    </row>
    <row r="38" spans="1:19" x14ac:dyDescent="0.25">
      <c r="A38" s="42"/>
      <c r="B38" s="36" t="str">
        <f t="shared" si="5"/>
        <v/>
      </c>
      <c r="C38" s="24"/>
      <c r="D38" s="24"/>
      <c r="E38" s="24"/>
      <c r="F38" s="24"/>
      <c r="G38" s="5"/>
      <c r="H38" s="17">
        <v>33</v>
      </c>
      <c r="I38" s="18" t="str">
        <f t="shared" si="3"/>
        <v/>
      </c>
      <c r="J38" s="17">
        <f t="shared" si="4"/>
        <v>-2</v>
      </c>
      <c r="K38" s="17">
        <f t="shared" si="0"/>
        <v>-20</v>
      </c>
      <c r="L38" s="17"/>
      <c r="M38" s="19">
        <f t="shared" si="1"/>
        <v>0</v>
      </c>
    </row>
    <row r="39" spans="1:19" x14ac:dyDescent="0.25">
      <c r="A39" s="41"/>
      <c r="B39" s="35" t="str">
        <f t="shared" si="5"/>
        <v/>
      </c>
      <c r="C39" s="25"/>
      <c r="D39" s="25"/>
      <c r="E39" s="25"/>
      <c r="F39" s="25"/>
      <c r="G39" s="5"/>
      <c r="H39" s="44">
        <v>34</v>
      </c>
      <c r="I39" s="45" t="str">
        <f t="shared" si="3"/>
        <v/>
      </c>
      <c r="J39" s="44">
        <f t="shared" si="4"/>
        <v>-2</v>
      </c>
      <c r="K39" s="44">
        <f t="shared" si="0"/>
        <v>-20</v>
      </c>
      <c r="L39" s="44"/>
      <c r="M39" s="46">
        <f t="shared" si="1"/>
        <v>0</v>
      </c>
    </row>
    <row r="40" spans="1:19" x14ac:dyDescent="0.25">
      <c r="A40" s="42"/>
      <c r="B40" s="36" t="str">
        <f t="shared" si="5"/>
        <v/>
      </c>
      <c r="C40" s="24"/>
      <c r="D40" s="24"/>
      <c r="E40" s="24"/>
      <c r="F40" s="24"/>
      <c r="G40" s="5"/>
      <c r="H40" s="17">
        <v>35</v>
      </c>
      <c r="I40" s="18" t="str">
        <f t="shared" si="3"/>
        <v/>
      </c>
      <c r="J40" s="17">
        <f t="shared" si="4"/>
        <v>-2</v>
      </c>
      <c r="K40" s="17">
        <f t="shared" si="0"/>
        <v>-20</v>
      </c>
      <c r="L40" s="17"/>
      <c r="M40" s="19">
        <f t="shared" si="1"/>
        <v>0</v>
      </c>
    </row>
    <row r="41" spans="1:19" x14ac:dyDescent="0.25">
      <c r="A41" s="41"/>
      <c r="B41" s="35" t="str">
        <f t="shared" si="5"/>
        <v/>
      </c>
      <c r="C41" s="25"/>
      <c r="D41" s="25"/>
      <c r="E41" s="25"/>
      <c r="F41" s="25"/>
      <c r="G41" s="5"/>
      <c r="H41" s="44">
        <v>36</v>
      </c>
      <c r="I41" s="45" t="str">
        <f t="shared" si="3"/>
        <v/>
      </c>
      <c r="J41" s="44">
        <f t="shared" si="4"/>
        <v>-2</v>
      </c>
      <c r="K41" s="44">
        <f t="shared" si="0"/>
        <v>-20</v>
      </c>
      <c r="L41" s="44"/>
      <c r="M41" s="46">
        <f t="shared" si="1"/>
        <v>0</v>
      </c>
      <c r="S41" s="32"/>
    </row>
    <row r="42" spans="1:19" x14ac:dyDescent="0.25">
      <c r="A42" s="42"/>
      <c r="B42" s="36" t="str">
        <f t="shared" si="5"/>
        <v/>
      </c>
      <c r="C42" s="24"/>
      <c r="D42" s="24"/>
      <c r="E42" s="24"/>
      <c r="F42" s="24"/>
      <c r="G42" s="5"/>
      <c r="H42" s="17">
        <v>37</v>
      </c>
      <c r="I42" s="18" t="str">
        <f t="shared" si="3"/>
        <v/>
      </c>
      <c r="J42" s="17">
        <f t="shared" si="4"/>
        <v>-2</v>
      </c>
      <c r="K42" s="17">
        <f t="shared" si="0"/>
        <v>-20</v>
      </c>
      <c r="L42" s="17"/>
      <c r="M42" s="19">
        <f t="shared" si="1"/>
        <v>0</v>
      </c>
    </row>
    <row r="43" spans="1:19" x14ac:dyDescent="0.25">
      <c r="A43" s="41"/>
      <c r="B43" s="35" t="str">
        <f t="shared" si="5"/>
        <v/>
      </c>
      <c r="C43" s="25"/>
      <c r="D43" s="25"/>
      <c r="E43" s="25"/>
      <c r="F43" s="25"/>
      <c r="G43" s="5"/>
      <c r="H43" s="44">
        <v>38</v>
      </c>
      <c r="I43" s="45" t="str">
        <f t="shared" si="3"/>
        <v/>
      </c>
      <c r="J43" s="44">
        <f t="shared" si="4"/>
        <v>-2</v>
      </c>
      <c r="K43" s="44">
        <f t="shared" si="0"/>
        <v>-20</v>
      </c>
      <c r="L43" s="44"/>
      <c r="M43" s="46">
        <f t="shared" si="1"/>
        <v>0</v>
      </c>
    </row>
    <row r="44" spans="1:19" x14ac:dyDescent="0.25">
      <c r="A44" s="42"/>
      <c r="B44" s="36" t="str">
        <f t="shared" si="5"/>
        <v/>
      </c>
      <c r="C44" s="24"/>
      <c r="D44" s="24"/>
      <c r="E44" s="24"/>
      <c r="F44" s="24"/>
      <c r="G44" s="5"/>
      <c r="H44" s="17">
        <v>39</v>
      </c>
      <c r="I44" s="18" t="str">
        <f t="shared" si="3"/>
        <v/>
      </c>
      <c r="J44" s="17">
        <f t="shared" si="4"/>
        <v>-2</v>
      </c>
      <c r="K44" s="17">
        <f t="shared" si="0"/>
        <v>-20</v>
      </c>
      <c r="L44" s="17"/>
      <c r="M44" s="19">
        <f t="shared" si="1"/>
        <v>0</v>
      </c>
    </row>
    <row r="45" spans="1:19" x14ac:dyDescent="0.25">
      <c r="A45" s="41"/>
      <c r="B45" s="35" t="str">
        <f t="shared" si="5"/>
        <v/>
      </c>
      <c r="C45" s="25"/>
      <c r="D45" s="25"/>
      <c r="E45" s="25"/>
      <c r="F45" s="25"/>
      <c r="G45" s="5"/>
      <c r="H45" s="44">
        <v>40</v>
      </c>
      <c r="I45" s="45" t="str">
        <f t="shared" si="3"/>
        <v/>
      </c>
      <c r="J45" s="44">
        <f t="shared" si="4"/>
        <v>-2</v>
      </c>
      <c r="K45" s="44">
        <f t="shared" si="0"/>
        <v>-20</v>
      </c>
      <c r="L45" s="44"/>
      <c r="M45" s="46">
        <f t="shared" si="1"/>
        <v>0</v>
      </c>
    </row>
    <row r="46" spans="1:19" x14ac:dyDescent="0.25">
      <c r="A46" s="42"/>
      <c r="B46" s="36" t="str">
        <f t="shared" si="5"/>
        <v/>
      </c>
      <c r="C46" s="24"/>
      <c r="D46" s="24"/>
      <c r="E46" s="24"/>
      <c r="F46" s="24"/>
      <c r="G46" s="5"/>
      <c r="H46" s="17">
        <v>41</v>
      </c>
      <c r="I46" s="18" t="str">
        <f t="shared" si="3"/>
        <v/>
      </c>
      <c r="J46" s="17">
        <f t="shared" si="4"/>
        <v>-2</v>
      </c>
      <c r="K46" s="17">
        <f t="shared" si="0"/>
        <v>-20</v>
      </c>
      <c r="L46" s="17"/>
      <c r="M46" s="19">
        <f t="shared" si="1"/>
        <v>0</v>
      </c>
    </row>
    <row r="47" spans="1:19" x14ac:dyDescent="0.25">
      <c r="A47" s="41"/>
      <c r="B47" s="35" t="str">
        <f t="shared" si="5"/>
        <v/>
      </c>
      <c r="C47" s="25"/>
      <c r="D47" s="25"/>
      <c r="E47" s="25"/>
      <c r="F47" s="25"/>
      <c r="G47" s="5"/>
      <c r="H47" s="44">
        <v>42</v>
      </c>
      <c r="I47" s="45" t="str">
        <f t="shared" si="3"/>
        <v/>
      </c>
      <c r="J47" s="44">
        <f t="shared" si="4"/>
        <v>-2</v>
      </c>
      <c r="K47" s="44">
        <f t="shared" si="0"/>
        <v>-20</v>
      </c>
      <c r="L47" s="44"/>
      <c r="M47" s="46">
        <f t="shared" si="1"/>
        <v>0</v>
      </c>
    </row>
    <row r="48" spans="1:19" x14ac:dyDescent="0.25">
      <c r="A48" s="42"/>
      <c r="B48" s="36" t="str">
        <f t="shared" si="5"/>
        <v/>
      </c>
      <c r="C48" s="24"/>
      <c r="D48" s="24"/>
      <c r="E48" s="24"/>
      <c r="F48" s="24"/>
      <c r="G48" s="5"/>
      <c r="H48" s="17">
        <v>43</v>
      </c>
      <c r="I48" s="18" t="str">
        <f t="shared" si="3"/>
        <v/>
      </c>
      <c r="J48" s="17">
        <f t="shared" si="4"/>
        <v>-2</v>
      </c>
      <c r="K48" s="17">
        <f t="shared" si="0"/>
        <v>-20</v>
      </c>
      <c r="L48" s="17"/>
      <c r="M48" s="19">
        <f t="shared" si="1"/>
        <v>0</v>
      </c>
    </row>
    <row r="49" spans="1:13" x14ac:dyDescent="0.25">
      <c r="A49" s="41"/>
      <c r="B49" s="35" t="str">
        <f t="shared" si="5"/>
        <v/>
      </c>
      <c r="C49" s="25"/>
      <c r="D49" s="25"/>
      <c r="E49" s="25"/>
      <c r="F49" s="25"/>
      <c r="G49" s="5"/>
      <c r="H49" s="44">
        <v>44</v>
      </c>
      <c r="I49" s="45" t="str">
        <f t="shared" si="3"/>
        <v/>
      </c>
      <c r="J49" s="44">
        <f t="shared" si="4"/>
        <v>-2</v>
      </c>
      <c r="K49" s="44">
        <f t="shared" si="0"/>
        <v>-20</v>
      </c>
      <c r="L49" s="44"/>
      <c r="M49" s="46">
        <f t="shared" si="1"/>
        <v>0</v>
      </c>
    </row>
    <row r="50" spans="1:13" x14ac:dyDescent="0.25">
      <c r="A50" s="42"/>
      <c r="B50" s="36" t="str">
        <f t="shared" si="5"/>
        <v/>
      </c>
      <c r="C50" s="24"/>
      <c r="D50" s="24"/>
      <c r="E50" s="24"/>
      <c r="F50" s="24"/>
      <c r="G50" s="5"/>
      <c r="H50" s="17">
        <v>45</v>
      </c>
      <c r="I50" s="18" t="str">
        <f t="shared" si="3"/>
        <v/>
      </c>
      <c r="J50" s="17">
        <f t="shared" si="4"/>
        <v>-2</v>
      </c>
      <c r="K50" s="17">
        <f t="shared" si="0"/>
        <v>-20</v>
      </c>
      <c r="L50" s="17"/>
      <c r="M50" s="19">
        <f t="shared" si="1"/>
        <v>0</v>
      </c>
    </row>
    <row r="51" spans="1:13" x14ac:dyDescent="0.25">
      <c r="A51" s="41"/>
      <c r="B51" s="35" t="str">
        <f t="shared" si="5"/>
        <v/>
      </c>
      <c r="C51" s="25"/>
      <c r="D51" s="25"/>
      <c r="E51" s="25"/>
      <c r="F51" s="25"/>
      <c r="G51" s="5"/>
      <c r="H51" s="44">
        <v>46</v>
      </c>
      <c r="I51" s="45" t="str">
        <f t="shared" si="3"/>
        <v/>
      </c>
      <c r="J51" s="44">
        <f t="shared" si="4"/>
        <v>-2</v>
      </c>
      <c r="K51" s="44">
        <f t="shared" si="0"/>
        <v>-20</v>
      </c>
      <c r="L51" s="44"/>
      <c r="M51" s="46">
        <f t="shared" si="1"/>
        <v>0</v>
      </c>
    </row>
    <row r="52" spans="1:13" x14ac:dyDescent="0.25">
      <c r="A52" s="42"/>
      <c r="B52" s="36" t="str">
        <f t="shared" si="5"/>
        <v/>
      </c>
      <c r="C52" s="24"/>
      <c r="D52" s="24"/>
      <c r="E52" s="24"/>
      <c r="F52" s="24"/>
      <c r="G52" s="5"/>
      <c r="H52" s="17">
        <v>47</v>
      </c>
      <c r="I52" s="18" t="str">
        <f t="shared" si="3"/>
        <v/>
      </c>
      <c r="J52" s="17">
        <f t="shared" si="4"/>
        <v>-2</v>
      </c>
      <c r="K52" s="17">
        <f t="shared" si="0"/>
        <v>-20</v>
      </c>
      <c r="L52" s="17"/>
      <c r="M52" s="19">
        <f t="shared" si="1"/>
        <v>0</v>
      </c>
    </row>
    <row r="53" spans="1:13" x14ac:dyDescent="0.25">
      <c r="A53" s="41"/>
      <c r="B53" s="35" t="str">
        <f t="shared" si="5"/>
        <v/>
      </c>
      <c r="C53" s="25"/>
      <c r="D53" s="25"/>
      <c r="E53" s="25"/>
      <c r="F53" s="25"/>
      <c r="G53" s="5"/>
      <c r="H53" s="44">
        <v>48</v>
      </c>
      <c r="I53" s="45" t="str">
        <f t="shared" si="3"/>
        <v/>
      </c>
      <c r="J53" s="44">
        <f t="shared" si="4"/>
        <v>-2</v>
      </c>
      <c r="K53" s="44">
        <f t="shared" si="0"/>
        <v>-20</v>
      </c>
      <c r="L53" s="44"/>
      <c r="M53" s="46">
        <f t="shared" si="1"/>
        <v>0</v>
      </c>
    </row>
    <row r="54" spans="1:13" x14ac:dyDescent="0.25">
      <c r="A54" s="42"/>
      <c r="B54" s="36" t="str">
        <f t="shared" si="5"/>
        <v/>
      </c>
      <c r="C54" s="24"/>
      <c r="D54" s="24"/>
      <c r="E54" s="24"/>
      <c r="F54" s="24"/>
      <c r="G54" s="5"/>
      <c r="H54" s="17">
        <v>49</v>
      </c>
      <c r="I54" s="18" t="str">
        <f t="shared" si="3"/>
        <v/>
      </c>
      <c r="J54" s="17">
        <f t="shared" si="4"/>
        <v>-2</v>
      </c>
      <c r="K54" s="17">
        <f t="shared" si="0"/>
        <v>-20</v>
      </c>
      <c r="L54" s="17"/>
      <c r="M54" s="19">
        <f t="shared" si="1"/>
        <v>0</v>
      </c>
    </row>
    <row r="55" spans="1:13" x14ac:dyDescent="0.25">
      <c r="A55" s="41"/>
      <c r="B55" s="35" t="str">
        <f t="shared" si="5"/>
        <v/>
      </c>
      <c r="C55" s="25"/>
      <c r="D55" s="25"/>
      <c r="E55" s="25"/>
      <c r="F55" s="25"/>
      <c r="G55" s="5"/>
      <c r="H55" s="44">
        <v>50</v>
      </c>
      <c r="I55" s="45" t="str">
        <f t="shared" si="3"/>
        <v/>
      </c>
      <c r="J55" s="44">
        <f t="shared" si="4"/>
        <v>-2</v>
      </c>
      <c r="K55" s="44">
        <f t="shared" si="0"/>
        <v>-20</v>
      </c>
      <c r="L55" s="44"/>
      <c r="M55" s="46">
        <f t="shared" si="1"/>
        <v>0</v>
      </c>
    </row>
    <row r="56" spans="1:13" x14ac:dyDescent="0.25">
      <c r="A56" s="42"/>
      <c r="B56" s="36" t="str">
        <f t="shared" si="5"/>
        <v/>
      </c>
      <c r="C56" s="24"/>
      <c r="D56" s="24"/>
      <c r="E56" s="24"/>
      <c r="F56" s="24"/>
      <c r="G56" s="5"/>
      <c r="H56" s="17">
        <v>51</v>
      </c>
      <c r="I56" s="18" t="str">
        <f t="shared" si="3"/>
        <v/>
      </c>
      <c r="J56" s="17">
        <f t="shared" si="4"/>
        <v>-2</v>
      </c>
      <c r="K56" s="17">
        <f t="shared" si="0"/>
        <v>-20</v>
      </c>
      <c r="L56" s="17"/>
      <c r="M56" s="19">
        <f t="shared" si="1"/>
        <v>0</v>
      </c>
    </row>
    <row r="57" spans="1:13" x14ac:dyDescent="0.25">
      <c r="A57" s="41"/>
      <c r="B57" s="35" t="str">
        <f t="shared" si="5"/>
        <v/>
      </c>
      <c r="C57" s="25"/>
      <c r="D57" s="25"/>
      <c r="E57" s="25"/>
      <c r="F57" s="25"/>
      <c r="G57" s="5"/>
      <c r="H57" s="44">
        <v>52</v>
      </c>
      <c r="I57" s="45" t="str">
        <f t="shared" si="3"/>
        <v/>
      </c>
      <c r="J57" s="44">
        <f t="shared" si="4"/>
        <v>-2</v>
      </c>
      <c r="K57" s="44">
        <f t="shared" si="0"/>
        <v>-20</v>
      </c>
      <c r="L57" s="44"/>
      <c r="M57" s="46">
        <f t="shared" si="1"/>
        <v>0</v>
      </c>
    </row>
    <row r="58" spans="1:13" x14ac:dyDescent="0.25">
      <c r="A58" s="42"/>
      <c r="B58" s="36" t="str">
        <f t="shared" si="5"/>
        <v/>
      </c>
      <c r="C58" s="24"/>
      <c r="D58" s="24"/>
      <c r="E58" s="24"/>
      <c r="F58" s="24"/>
      <c r="G58" s="5"/>
      <c r="H58" s="17">
        <v>53</v>
      </c>
      <c r="I58" s="18" t="str">
        <f t="shared" si="3"/>
        <v/>
      </c>
      <c r="J58" s="17">
        <f t="shared" si="4"/>
        <v>-2</v>
      </c>
      <c r="K58" s="17">
        <f t="shared" si="0"/>
        <v>-20</v>
      </c>
      <c r="L58" s="17"/>
      <c r="M58" s="19">
        <f t="shared" si="1"/>
        <v>0</v>
      </c>
    </row>
    <row r="59" spans="1:13" x14ac:dyDescent="0.25">
      <c r="A59" s="41"/>
      <c r="B59" s="35" t="str">
        <f t="shared" si="5"/>
        <v/>
      </c>
      <c r="C59" s="25"/>
      <c r="D59" s="25"/>
      <c r="E59" s="25"/>
      <c r="F59" s="25"/>
      <c r="G59" s="5"/>
      <c r="H59" s="44">
        <v>54</v>
      </c>
      <c r="I59" s="45" t="str">
        <f t="shared" si="3"/>
        <v/>
      </c>
      <c r="J59" s="44">
        <f t="shared" si="4"/>
        <v>-2</v>
      </c>
      <c r="K59" s="44">
        <f t="shared" si="0"/>
        <v>-20</v>
      </c>
      <c r="L59" s="44"/>
      <c r="M59" s="46">
        <f t="shared" si="1"/>
        <v>0</v>
      </c>
    </row>
    <row r="60" spans="1:13" x14ac:dyDescent="0.25">
      <c r="A60" s="42"/>
      <c r="B60" s="36" t="str">
        <f t="shared" si="5"/>
        <v/>
      </c>
      <c r="C60" s="24"/>
      <c r="D60" s="24"/>
      <c r="E60" s="24"/>
      <c r="F60" s="24"/>
      <c r="G60" s="5"/>
      <c r="H60" s="17">
        <v>55</v>
      </c>
      <c r="I60" s="18" t="str">
        <f t="shared" si="3"/>
        <v/>
      </c>
      <c r="J60" s="17">
        <f t="shared" si="4"/>
        <v>-2</v>
      </c>
      <c r="K60" s="17">
        <f t="shared" si="0"/>
        <v>-20</v>
      </c>
      <c r="L60" s="17"/>
      <c r="M60" s="19">
        <f t="shared" si="1"/>
        <v>0</v>
      </c>
    </row>
    <row r="61" spans="1:13" x14ac:dyDescent="0.25">
      <c r="A61" s="41"/>
      <c r="B61" s="35" t="str">
        <f t="shared" si="5"/>
        <v/>
      </c>
      <c r="C61" s="25"/>
      <c r="D61" s="25"/>
      <c r="E61" s="25"/>
      <c r="F61" s="25"/>
      <c r="G61" s="5"/>
      <c r="H61" s="44">
        <v>56</v>
      </c>
      <c r="I61" s="45" t="str">
        <f t="shared" si="3"/>
        <v/>
      </c>
      <c r="J61" s="44">
        <f t="shared" si="4"/>
        <v>-2</v>
      </c>
      <c r="K61" s="44">
        <f t="shared" si="0"/>
        <v>-20</v>
      </c>
      <c r="L61" s="44"/>
      <c r="M61" s="46">
        <f t="shared" si="1"/>
        <v>0</v>
      </c>
    </row>
    <row r="62" spans="1:13" x14ac:dyDescent="0.25">
      <c r="A62" s="42"/>
      <c r="B62" s="36" t="str">
        <f t="shared" si="5"/>
        <v/>
      </c>
      <c r="C62" s="24"/>
      <c r="D62" s="24"/>
      <c r="E62" s="24"/>
      <c r="F62" s="24"/>
      <c r="G62" s="5"/>
      <c r="H62" s="17">
        <v>57</v>
      </c>
      <c r="I62" s="18" t="str">
        <f t="shared" si="3"/>
        <v/>
      </c>
      <c r="J62" s="17">
        <f t="shared" si="4"/>
        <v>-2</v>
      </c>
      <c r="K62" s="17">
        <f t="shared" si="0"/>
        <v>-20</v>
      </c>
      <c r="L62" s="17"/>
      <c r="M62" s="19">
        <f t="shared" si="1"/>
        <v>0</v>
      </c>
    </row>
    <row r="63" spans="1:13" x14ac:dyDescent="0.25">
      <c r="A63" s="41"/>
      <c r="B63" s="35" t="str">
        <f t="shared" si="5"/>
        <v/>
      </c>
      <c r="C63" s="25"/>
      <c r="D63" s="25"/>
      <c r="E63" s="25"/>
      <c r="F63" s="25"/>
      <c r="G63" s="5"/>
      <c r="H63" s="44">
        <v>58</v>
      </c>
      <c r="I63" s="45" t="str">
        <f t="shared" si="3"/>
        <v/>
      </c>
      <c r="J63" s="44">
        <f t="shared" si="4"/>
        <v>-2</v>
      </c>
      <c r="K63" s="44">
        <f t="shared" si="0"/>
        <v>-20</v>
      </c>
      <c r="L63" s="44"/>
      <c r="M63" s="46">
        <f t="shared" si="1"/>
        <v>0</v>
      </c>
    </row>
    <row r="64" spans="1:13" x14ac:dyDescent="0.25">
      <c r="A64" s="42"/>
      <c r="B64" s="36" t="str">
        <f t="shared" si="5"/>
        <v/>
      </c>
      <c r="C64" s="24"/>
      <c r="D64" s="24"/>
      <c r="E64" s="24"/>
      <c r="F64" s="24"/>
      <c r="G64" s="5"/>
      <c r="H64" s="17">
        <v>59</v>
      </c>
      <c r="I64" s="18" t="str">
        <f t="shared" si="3"/>
        <v/>
      </c>
      <c r="J64" s="17">
        <f t="shared" si="4"/>
        <v>-2</v>
      </c>
      <c r="K64" s="17">
        <f t="shared" si="0"/>
        <v>-20</v>
      </c>
      <c r="L64" s="17"/>
      <c r="M64" s="19">
        <f t="shared" si="1"/>
        <v>0</v>
      </c>
    </row>
    <row r="65" spans="1:13" x14ac:dyDescent="0.25">
      <c r="A65" s="41"/>
      <c r="B65" s="35" t="str">
        <f t="shared" si="5"/>
        <v/>
      </c>
      <c r="C65" s="25"/>
      <c r="D65" s="25"/>
      <c r="E65" s="25"/>
      <c r="F65" s="25"/>
      <c r="G65" s="5"/>
      <c r="H65" s="44">
        <v>60</v>
      </c>
      <c r="I65" s="45" t="str">
        <f t="shared" si="3"/>
        <v/>
      </c>
      <c r="J65" s="44">
        <f t="shared" si="4"/>
        <v>-2</v>
      </c>
      <c r="K65" s="44">
        <f t="shared" si="0"/>
        <v>-20</v>
      </c>
      <c r="L65" s="44"/>
      <c r="M65" s="46">
        <f t="shared" si="1"/>
        <v>0</v>
      </c>
    </row>
    <row r="66" spans="1:13" x14ac:dyDescent="0.25">
      <c r="A66" s="43"/>
      <c r="B66" s="36"/>
      <c r="G66" s="5"/>
      <c r="H66" s="17">
        <v>61</v>
      </c>
      <c r="I66" s="18" t="str">
        <f t="shared" ref="I66:I69" si="7">IF(H66&lt;$H$2+1,($I$2-($I$2-1)*(LOG(H66)/LOG($H$2))),"")</f>
        <v/>
      </c>
      <c r="J66" s="17">
        <f t="shared" ref="J66:J70" si="8">INT(LOG($H$2,2))-ROUNDUP(LOG(H66,2),0)+IF(OR($H$2=1,$H$2=2,$H$2=4,$H$2=8,$H$2=16,$H$2=32,$H$2=64,$H$2=128,$H$2=256),0,1)</f>
        <v>-2</v>
      </c>
      <c r="K66" s="17">
        <f t="shared" ref="K66:K69" si="9">J66*$J$2</f>
        <v>-20</v>
      </c>
      <c r="L66" s="17"/>
      <c r="M66" s="19">
        <f t="shared" si="1"/>
        <v>0</v>
      </c>
    </row>
    <row r="67" spans="1:13" x14ac:dyDescent="0.25">
      <c r="A67" s="43"/>
      <c r="B67" s="35"/>
      <c r="G67" s="5"/>
      <c r="H67" s="17">
        <v>62</v>
      </c>
      <c r="I67" s="18" t="str">
        <f t="shared" si="7"/>
        <v/>
      </c>
      <c r="J67" s="17">
        <f t="shared" si="8"/>
        <v>-2</v>
      </c>
      <c r="K67" s="17">
        <f t="shared" si="9"/>
        <v>-20</v>
      </c>
      <c r="L67" s="17"/>
      <c r="M67" s="19">
        <f t="shared" si="1"/>
        <v>0</v>
      </c>
    </row>
    <row r="68" spans="1:13" x14ac:dyDescent="0.25">
      <c r="A68" s="43"/>
      <c r="B68" s="36"/>
      <c r="G68" s="5"/>
      <c r="H68" s="17">
        <v>63</v>
      </c>
      <c r="I68" s="18" t="str">
        <f t="shared" si="7"/>
        <v/>
      </c>
      <c r="J68" s="17">
        <f t="shared" si="8"/>
        <v>-2</v>
      </c>
      <c r="K68" s="17">
        <f t="shared" si="9"/>
        <v>-20</v>
      </c>
      <c r="L68" s="17"/>
      <c r="M68" s="19">
        <f t="shared" si="1"/>
        <v>0</v>
      </c>
    </row>
    <row r="69" spans="1:13" x14ac:dyDescent="0.25">
      <c r="A69" s="43"/>
      <c r="B69" s="35"/>
      <c r="G69" s="5"/>
      <c r="H69" s="17">
        <v>64</v>
      </c>
      <c r="I69" s="18" t="str">
        <f t="shared" si="7"/>
        <v/>
      </c>
      <c r="J69" s="17">
        <f t="shared" si="8"/>
        <v>-2</v>
      </c>
      <c r="K69" s="17">
        <f t="shared" si="9"/>
        <v>-20</v>
      </c>
      <c r="L69" s="17"/>
      <c r="M69" s="19">
        <f t="shared" si="1"/>
        <v>0</v>
      </c>
    </row>
    <row r="70" spans="1:13" x14ac:dyDescent="0.25">
      <c r="A70" s="43"/>
      <c r="G70" s="5"/>
      <c r="H70" s="17">
        <v>65</v>
      </c>
      <c r="I70" s="18" t="str">
        <f t="shared" ref="I70:I133" si="10">IF(H70&lt;$H$2+1,($I$2-($I$2-1)*(LOG(H70)/LOG($H$2))),"")</f>
        <v/>
      </c>
      <c r="J70" s="17">
        <f t="shared" si="8"/>
        <v>-3</v>
      </c>
      <c r="K70" s="17">
        <f t="shared" ref="K70:K133" si="11">J70*$J$2</f>
        <v>-30</v>
      </c>
      <c r="L70" s="17"/>
      <c r="M70" s="19">
        <f t="shared" ref="M70:M133" si="12">IF(I70&lt;&gt;"",K70+I70+L70,0)</f>
        <v>0</v>
      </c>
    </row>
    <row r="71" spans="1:13" x14ac:dyDescent="0.25">
      <c r="A71" s="43"/>
      <c r="G71" s="5"/>
      <c r="H71" s="17">
        <v>66</v>
      </c>
      <c r="I71" s="18" t="str">
        <f t="shared" si="10"/>
        <v/>
      </c>
      <c r="J71" s="17">
        <f t="shared" ref="J71:J134" si="13">INT(LOG($H$2,2))-ROUNDUP(LOG(H71,2),0)+IF(OR($H$2=1,$H$2=2,$H$2=4,$H$2=8,$H$2=16,$H$2=32,$H$2=64,$H$2=128,$H$2=256),0,1)</f>
        <v>-3</v>
      </c>
      <c r="K71" s="17">
        <f t="shared" si="11"/>
        <v>-30</v>
      </c>
      <c r="L71" s="17"/>
      <c r="M71" s="19">
        <f t="shared" si="12"/>
        <v>0</v>
      </c>
    </row>
    <row r="72" spans="1:13" x14ac:dyDescent="0.25">
      <c r="A72" s="43"/>
      <c r="G72" s="5"/>
      <c r="H72" s="17">
        <v>67</v>
      </c>
      <c r="I72" s="18" t="str">
        <f t="shared" si="10"/>
        <v/>
      </c>
      <c r="J72" s="17">
        <f t="shared" si="13"/>
        <v>-3</v>
      </c>
      <c r="K72" s="17">
        <f t="shared" si="11"/>
        <v>-30</v>
      </c>
      <c r="L72" s="17"/>
      <c r="M72" s="19">
        <f t="shared" si="12"/>
        <v>0</v>
      </c>
    </row>
    <row r="73" spans="1:13" x14ac:dyDescent="0.25">
      <c r="A73" s="43"/>
      <c r="G73" s="5"/>
      <c r="H73" s="17">
        <v>68</v>
      </c>
      <c r="I73" s="18" t="str">
        <f t="shared" si="10"/>
        <v/>
      </c>
      <c r="J73" s="17">
        <f t="shared" si="13"/>
        <v>-3</v>
      </c>
      <c r="K73" s="17">
        <f t="shared" si="11"/>
        <v>-30</v>
      </c>
      <c r="L73" s="17"/>
      <c r="M73" s="19">
        <f t="shared" si="12"/>
        <v>0</v>
      </c>
    </row>
    <row r="74" spans="1:13" x14ac:dyDescent="0.25">
      <c r="A74" s="43"/>
      <c r="G74" s="5"/>
      <c r="H74" s="17">
        <v>69</v>
      </c>
      <c r="I74" s="18" t="str">
        <f t="shared" si="10"/>
        <v/>
      </c>
      <c r="J74" s="17">
        <f t="shared" si="13"/>
        <v>-3</v>
      </c>
      <c r="K74" s="17">
        <f t="shared" si="11"/>
        <v>-30</v>
      </c>
      <c r="L74" s="17"/>
      <c r="M74" s="19">
        <f t="shared" si="12"/>
        <v>0</v>
      </c>
    </row>
    <row r="75" spans="1:13" x14ac:dyDescent="0.25">
      <c r="A75" s="43"/>
      <c r="G75" s="5"/>
      <c r="H75" s="17">
        <v>70</v>
      </c>
      <c r="I75" s="18" t="str">
        <f t="shared" si="10"/>
        <v/>
      </c>
      <c r="J75" s="17">
        <f t="shared" si="13"/>
        <v>-3</v>
      </c>
      <c r="K75" s="17">
        <f t="shared" si="11"/>
        <v>-30</v>
      </c>
      <c r="L75" s="17"/>
      <c r="M75" s="19">
        <f t="shared" si="12"/>
        <v>0</v>
      </c>
    </row>
    <row r="76" spans="1:13" x14ac:dyDescent="0.25">
      <c r="A76" s="43"/>
      <c r="G76" s="5"/>
      <c r="H76" s="17">
        <v>71</v>
      </c>
      <c r="I76" s="18" t="str">
        <f t="shared" si="10"/>
        <v/>
      </c>
      <c r="J76" s="17">
        <f t="shared" si="13"/>
        <v>-3</v>
      </c>
      <c r="K76" s="17">
        <f t="shared" si="11"/>
        <v>-30</v>
      </c>
      <c r="L76" s="17"/>
      <c r="M76" s="19">
        <f t="shared" si="12"/>
        <v>0</v>
      </c>
    </row>
    <row r="77" spans="1:13" x14ac:dyDescent="0.25">
      <c r="A77" s="43"/>
      <c r="G77" s="5"/>
      <c r="H77" s="17">
        <v>72</v>
      </c>
      <c r="I77" s="18" t="str">
        <f t="shared" si="10"/>
        <v/>
      </c>
      <c r="J77" s="17">
        <f t="shared" si="13"/>
        <v>-3</v>
      </c>
      <c r="K77" s="17">
        <f t="shared" si="11"/>
        <v>-30</v>
      </c>
      <c r="L77" s="17"/>
      <c r="M77" s="19">
        <f t="shared" si="12"/>
        <v>0</v>
      </c>
    </row>
    <row r="78" spans="1:13" x14ac:dyDescent="0.25">
      <c r="A78" s="43"/>
      <c r="G78" s="5"/>
      <c r="H78" s="17">
        <v>73</v>
      </c>
      <c r="I78" s="18" t="str">
        <f t="shared" si="10"/>
        <v/>
      </c>
      <c r="J78" s="17">
        <f t="shared" si="13"/>
        <v>-3</v>
      </c>
      <c r="K78" s="17">
        <f t="shared" si="11"/>
        <v>-30</v>
      </c>
      <c r="L78" s="17"/>
      <c r="M78" s="19">
        <f t="shared" si="12"/>
        <v>0</v>
      </c>
    </row>
    <row r="79" spans="1:13" x14ac:dyDescent="0.25">
      <c r="A79" s="43"/>
      <c r="G79" s="5"/>
      <c r="H79" s="17">
        <v>74</v>
      </c>
      <c r="I79" s="18" t="str">
        <f t="shared" si="10"/>
        <v/>
      </c>
      <c r="J79" s="17">
        <f t="shared" si="13"/>
        <v>-3</v>
      </c>
      <c r="K79" s="17">
        <f t="shared" si="11"/>
        <v>-30</v>
      </c>
      <c r="L79" s="17"/>
      <c r="M79" s="19">
        <f t="shared" si="12"/>
        <v>0</v>
      </c>
    </row>
    <row r="80" spans="1:13" x14ac:dyDescent="0.25">
      <c r="A80" s="43"/>
      <c r="G80" s="5"/>
      <c r="H80" s="17">
        <v>75</v>
      </c>
      <c r="I80" s="18" t="str">
        <f t="shared" si="10"/>
        <v/>
      </c>
      <c r="J80" s="17">
        <f t="shared" si="13"/>
        <v>-3</v>
      </c>
      <c r="K80" s="17">
        <f t="shared" si="11"/>
        <v>-30</v>
      </c>
      <c r="L80" s="17"/>
      <c r="M80" s="19">
        <f t="shared" si="12"/>
        <v>0</v>
      </c>
    </row>
    <row r="81" spans="1:13" x14ac:dyDescent="0.25">
      <c r="A81" s="43"/>
      <c r="G81" s="5"/>
      <c r="H81" s="17">
        <v>76</v>
      </c>
      <c r="I81" s="18" t="str">
        <f t="shared" si="10"/>
        <v/>
      </c>
      <c r="J81" s="17">
        <f t="shared" si="13"/>
        <v>-3</v>
      </c>
      <c r="K81" s="17">
        <f t="shared" si="11"/>
        <v>-30</v>
      </c>
      <c r="L81" s="17"/>
      <c r="M81" s="19">
        <f t="shared" si="12"/>
        <v>0</v>
      </c>
    </row>
    <row r="82" spans="1:13" x14ac:dyDescent="0.25">
      <c r="A82" s="43"/>
      <c r="G82" s="5"/>
      <c r="H82" s="17">
        <v>77</v>
      </c>
      <c r="I82" s="18" t="str">
        <f t="shared" si="10"/>
        <v/>
      </c>
      <c r="J82" s="17">
        <f t="shared" si="13"/>
        <v>-3</v>
      </c>
      <c r="K82" s="17">
        <f t="shared" si="11"/>
        <v>-30</v>
      </c>
      <c r="L82" s="17"/>
      <c r="M82" s="19">
        <f t="shared" si="12"/>
        <v>0</v>
      </c>
    </row>
    <row r="83" spans="1:13" x14ac:dyDescent="0.25">
      <c r="A83" s="43"/>
      <c r="G83" s="5"/>
      <c r="H83" s="17">
        <v>78</v>
      </c>
      <c r="I83" s="18" t="str">
        <f t="shared" si="10"/>
        <v/>
      </c>
      <c r="J83" s="17">
        <f t="shared" si="13"/>
        <v>-3</v>
      </c>
      <c r="K83" s="17">
        <f t="shared" si="11"/>
        <v>-30</v>
      </c>
      <c r="L83" s="17"/>
      <c r="M83" s="19">
        <f t="shared" si="12"/>
        <v>0</v>
      </c>
    </row>
    <row r="84" spans="1:13" x14ac:dyDescent="0.25">
      <c r="A84" s="43"/>
      <c r="G84" s="5"/>
      <c r="H84" s="17">
        <v>79</v>
      </c>
      <c r="I84" s="18" t="str">
        <f t="shared" si="10"/>
        <v/>
      </c>
      <c r="J84" s="17">
        <f t="shared" si="13"/>
        <v>-3</v>
      </c>
      <c r="K84" s="17">
        <f t="shared" si="11"/>
        <v>-30</v>
      </c>
      <c r="L84" s="17"/>
      <c r="M84" s="19">
        <f t="shared" si="12"/>
        <v>0</v>
      </c>
    </row>
    <row r="85" spans="1:13" x14ac:dyDescent="0.25">
      <c r="A85" s="43"/>
      <c r="G85" s="5"/>
      <c r="H85" s="17">
        <v>80</v>
      </c>
      <c r="I85" s="18" t="str">
        <f t="shared" si="10"/>
        <v/>
      </c>
      <c r="J85" s="17">
        <f t="shared" si="13"/>
        <v>-3</v>
      </c>
      <c r="K85" s="17">
        <f t="shared" si="11"/>
        <v>-30</v>
      </c>
      <c r="L85" s="17"/>
      <c r="M85" s="19">
        <f t="shared" si="12"/>
        <v>0</v>
      </c>
    </row>
    <row r="86" spans="1:13" x14ac:dyDescent="0.25">
      <c r="A86" s="43"/>
      <c r="G86" s="5"/>
      <c r="H86" s="17">
        <v>81</v>
      </c>
      <c r="I86" s="18" t="str">
        <f t="shared" si="10"/>
        <v/>
      </c>
      <c r="J86" s="17">
        <f t="shared" si="13"/>
        <v>-3</v>
      </c>
      <c r="K86" s="17">
        <f t="shared" si="11"/>
        <v>-30</v>
      </c>
      <c r="L86" s="17"/>
      <c r="M86" s="19">
        <f t="shared" si="12"/>
        <v>0</v>
      </c>
    </row>
    <row r="87" spans="1:13" x14ac:dyDescent="0.25">
      <c r="A87" s="43"/>
      <c r="G87" s="5"/>
      <c r="H87" s="17">
        <v>82</v>
      </c>
      <c r="I87" s="18" t="str">
        <f t="shared" si="10"/>
        <v/>
      </c>
      <c r="J87" s="17">
        <f t="shared" si="13"/>
        <v>-3</v>
      </c>
      <c r="K87" s="17">
        <f t="shared" si="11"/>
        <v>-30</v>
      </c>
      <c r="L87" s="17"/>
      <c r="M87" s="19">
        <f t="shared" si="12"/>
        <v>0</v>
      </c>
    </row>
    <row r="88" spans="1:13" x14ac:dyDescent="0.25">
      <c r="A88" s="43"/>
      <c r="G88" s="5"/>
      <c r="H88" s="17">
        <v>83</v>
      </c>
      <c r="I88" s="18" t="str">
        <f t="shared" si="10"/>
        <v/>
      </c>
      <c r="J88" s="17">
        <f t="shared" si="13"/>
        <v>-3</v>
      </c>
      <c r="K88" s="17">
        <f t="shared" si="11"/>
        <v>-30</v>
      </c>
      <c r="L88" s="17"/>
      <c r="M88" s="19">
        <f t="shared" si="12"/>
        <v>0</v>
      </c>
    </row>
    <row r="89" spans="1:13" x14ac:dyDescent="0.25">
      <c r="A89" s="43"/>
      <c r="G89" s="5"/>
      <c r="H89" s="17">
        <v>84</v>
      </c>
      <c r="I89" s="18" t="str">
        <f t="shared" si="10"/>
        <v/>
      </c>
      <c r="J89" s="17">
        <f t="shared" si="13"/>
        <v>-3</v>
      </c>
      <c r="K89" s="17">
        <f t="shared" si="11"/>
        <v>-30</v>
      </c>
      <c r="L89" s="17"/>
      <c r="M89" s="19">
        <f t="shared" si="12"/>
        <v>0</v>
      </c>
    </row>
    <row r="90" spans="1:13" x14ac:dyDescent="0.25">
      <c r="A90" s="43"/>
      <c r="G90" s="5"/>
      <c r="H90" s="17">
        <v>85</v>
      </c>
      <c r="I90" s="18" t="str">
        <f t="shared" si="10"/>
        <v/>
      </c>
      <c r="J90" s="17">
        <f t="shared" si="13"/>
        <v>-3</v>
      </c>
      <c r="K90" s="17">
        <f t="shared" si="11"/>
        <v>-30</v>
      </c>
      <c r="L90" s="17"/>
      <c r="M90" s="19">
        <f t="shared" si="12"/>
        <v>0</v>
      </c>
    </row>
    <row r="91" spans="1:13" x14ac:dyDescent="0.25">
      <c r="A91" s="43"/>
      <c r="G91" s="5"/>
      <c r="H91" s="17">
        <v>86</v>
      </c>
      <c r="I91" s="18" t="str">
        <f t="shared" si="10"/>
        <v/>
      </c>
      <c r="J91" s="17">
        <f t="shared" si="13"/>
        <v>-3</v>
      </c>
      <c r="K91" s="17">
        <f t="shared" si="11"/>
        <v>-30</v>
      </c>
      <c r="L91" s="17"/>
      <c r="M91" s="19">
        <f t="shared" si="12"/>
        <v>0</v>
      </c>
    </row>
    <row r="92" spans="1:13" x14ac:dyDescent="0.25">
      <c r="A92" s="43"/>
      <c r="G92" s="5"/>
      <c r="H92" s="17">
        <v>87</v>
      </c>
      <c r="I92" s="18" t="str">
        <f t="shared" si="10"/>
        <v/>
      </c>
      <c r="J92" s="17">
        <f t="shared" si="13"/>
        <v>-3</v>
      </c>
      <c r="K92" s="17">
        <f t="shared" si="11"/>
        <v>-30</v>
      </c>
      <c r="L92" s="17"/>
      <c r="M92" s="19">
        <f t="shared" si="12"/>
        <v>0</v>
      </c>
    </row>
    <row r="93" spans="1:13" x14ac:dyDescent="0.25">
      <c r="A93" s="43"/>
      <c r="G93" s="5"/>
      <c r="H93" s="17">
        <v>88</v>
      </c>
      <c r="I93" s="18" t="str">
        <f t="shared" si="10"/>
        <v/>
      </c>
      <c r="J93" s="17">
        <f t="shared" si="13"/>
        <v>-3</v>
      </c>
      <c r="K93" s="17">
        <f t="shared" si="11"/>
        <v>-30</v>
      </c>
      <c r="L93" s="17"/>
      <c r="M93" s="19">
        <f t="shared" si="12"/>
        <v>0</v>
      </c>
    </row>
    <row r="94" spans="1:13" x14ac:dyDescent="0.25">
      <c r="A94" s="43"/>
      <c r="G94" s="5"/>
      <c r="H94" s="17">
        <v>89</v>
      </c>
      <c r="I94" s="18" t="str">
        <f t="shared" si="10"/>
        <v/>
      </c>
      <c r="J94" s="17">
        <f t="shared" si="13"/>
        <v>-3</v>
      </c>
      <c r="K94" s="17">
        <f t="shared" si="11"/>
        <v>-30</v>
      </c>
      <c r="L94" s="17"/>
      <c r="M94" s="19">
        <f t="shared" si="12"/>
        <v>0</v>
      </c>
    </row>
    <row r="95" spans="1:13" x14ac:dyDescent="0.25">
      <c r="A95" s="43"/>
      <c r="G95" s="5"/>
      <c r="H95" s="17">
        <v>90</v>
      </c>
      <c r="I95" s="18" t="str">
        <f t="shared" si="10"/>
        <v/>
      </c>
      <c r="J95" s="17">
        <f t="shared" si="13"/>
        <v>-3</v>
      </c>
      <c r="K95" s="17">
        <f t="shared" si="11"/>
        <v>-30</v>
      </c>
      <c r="L95" s="17"/>
      <c r="M95" s="19">
        <f t="shared" si="12"/>
        <v>0</v>
      </c>
    </row>
    <row r="96" spans="1:13" x14ac:dyDescent="0.25">
      <c r="A96" s="43"/>
      <c r="G96" s="5"/>
      <c r="H96" s="17">
        <v>91</v>
      </c>
      <c r="I96" s="18" t="str">
        <f t="shared" si="10"/>
        <v/>
      </c>
      <c r="J96" s="17">
        <f t="shared" si="13"/>
        <v>-3</v>
      </c>
      <c r="K96" s="17">
        <f t="shared" si="11"/>
        <v>-30</v>
      </c>
      <c r="L96" s="17"/>
      <c r="M96" s="19">
        <f t="shared" si="12"/>
        <v>0</v>
      </c>
    </row>
    <row r="97" spans="1:13" x14ac:dyDescent="0.25">
      <c r="A97" s="43"/>
      <c r="G97" s="5"/>
      <c r="H97" s="17">
        <v>92</v>
      </c>
      <c r="I97" s="18" t="str">
        <f t="shared" si="10"/>
        <v/>
      </c>
      <c r="J97" s="17">
        <f t="shared" si="13"/>
        <v>-3</v>
      </c>
      <c r="K97" s="17">
        <f t="shared" si="11"/>
        <v>-30</v>
      </c>
      <c r="L97" s="17"/>
      <c r="M97" s="19">
        <f t="shared" si="12"/>
        <v>0</v>
      </c>
    </row>
    <row r="98" spans="1:13" x14ac:dyDescent="0.25">
      <c r="A98" s="43"/>
      <c r="G98" s="5"/>
      <c r="H98" s="17">
        <v>93</v>
      </c>
      <c r="I98" s="18" t="str">
        <f t="shared" si="10"/>
        <v/>
      </c>
      <c r="J98" s="17">
        <f t="shared" si="13"/>
        <v>-3</v>
      </c>
      <c r="K98" s="17">
        <f t="shared" si="11"/>
        <v>-30</v>
      </c>
      <c r="L98" s="17"/>
      <c r="M98" s="19">
        <f t="shared" si="12"/>
        <v>0</v>
      </c>
    </row>
    <row r="99" spans="1:13" x14ac:dyDescent="0.25">
      <c r="A99" s="43"/>
      <c r="G99" s="5"/>
      <c r="H99" s="17">
        <v>94</v>
      </c>
      <c r="I99" s="18" t="str">
        <f t="shared" si="10"/>
        <v/>
      </c>
      <c r="J99" s="17">
        <f t="shared" si="13"/>
        <v>-3</v>
      </c>
      <c r="K99" s="17">
        <f t="shared" si="11"/>
        <v>-30</v>
      </c>
      <c r="L99" s="17"/>
      <c r="M99" s="19">
        <f t="shared" si="12"/>
        <v>0</v>
      </c>
    </row>
    <row r="100" spans="1:13" x14ac:dyDescent="0.25">
      <c r="A100" s="43"/>
      <c r="G100" s="5"/>
      <c r="H100" s="17">
        <v>95</v>
      </c>
      <c r="I100" s="18" t="str">
        <f t="shared" si="10"/>
        <v/>
      </c>
      <c r="J100" s="17">
        <f t="shared" si="13"/>
        <v>-3</v>
      </c>
      <c r="K100" s="17">
        <f t="shared" si="11"/>
        <v>-30</v>
      </c>
      <c r="L100" s="17"/>
      <c r="M100" s="19">
        <f t="shared" si="12"/>
        <v>0</v>
      </c>
    </row>
    <row r="101" spans="1:13" x14ac:dyDescent="0.25">
      <c r="A101" s="43"/>
      <c r="G101" s="5"/>
      <c r="H101" s="17">
        <v>96</v>
      </c>
      <c r="I101" s="18" t="str">
        <f t="shared" si="10"/>
        <v/>
      </c>
      <c r="J101" s="17">
        <f t="shared" si="13"/>
        <v>-3</v>
      </c>
      <c r="K101" s="17">
        <f t="shared" si="11"/>
        <v>-30</v>
      </c>
      <c r="L101" s="17"/>
      <c r="M101" s="19">
        <f t="shared" si="12"/>
        <v>0</v>
      </c>
    </row>
    <row r="102" spans="1:13" x14ac:dyDescent="0.25">
      <c r="A102" s="43"/>
      <c r="G102" s="5"/>
      <c r="H102" s="17">
        <v>97</v>
      </c>
      <c r="I102" s="18" t="str">
        <f t="shared" si="10"/>
        <v/>
      </c>
      <c r="J102" s="17">
        <f t="shared" si="13"/>
        <v>-3</v>
      </c>
      <c r="K102" s="17">
        <f t="shared" si="11"/>
        <v>-30</v>
      </c>
      <c r="L102" s="17"/>
      <c r="M102" s="19">
        <f t="shared" si="12"/>
        <v>0</v>
      </c>
    </row>
    <row r="103" spans="1:13" x14ac:dyDescent="0.25">
      <c r="A103" s="43"/>
      <c r="G103" s="5"/>
      <c r="H103" s="17">
        <v>98</v>
      </c>
      <c r="I103" s="18" t="str">
        <f t="shared" si="10"/>
        <v/>
      </c>
      <c r="J103" s="17">
        <f t="shared" si="13"/>
        <v>-3</v>
      </c>
      <c r="K103" s="17">
        <f t="shared" si="11"/>
        <v>-30</v>
      </c>
      <c r="L103" s="17"/>
      <c r="M103" s="19">
        <f t="shared" si="12"/>
        <v>0</v>
      </c>
    </row>
    <row r="104" spans="1:13" x14ac:dyDescent="0.25">
      <c r="A104" s="43"/>
      <c r="G104" s="5"/>
      <c r="H104" s="17">
        <v>99</v>
      </c>
      <c r="I104" s="18" t="str">
        <f t="shared" si="10"/>
        <v/>
      </c>
      <c r="J104" s="17">
        <f t="shared" si="13"/>
        <v>-3</v>
      </c>
      <c r="K104" s="17">
        <f t="shared" si="11"/>
        <v>-30</v>
      </c>
      <c r="L104" s="17"/>
      <c r="M104" s="19">
        <f t="shared" si="12"/>
        <v>0</v>
      </c>
    </row>
    <row r="105" spans="1:13" x14ac:dyDescent="0.25">
      <c r="A105" s="43"/>
      <c r="G105" s="5"/>
      <c r="H105" s="17">
        <v>100</v>
      </c>
      <c r="I105" s="18" t="str">
        <f t="shared" si="10"/>
        <v/>
      </c>
      <c r="J105" s="17">
        <f t="shared" si="13"/>
        <v>-3</v>
      </c>
      <c r="K105" s="17">
        <f t="shared" si="11"/>
        <v>-30</v>
      </c>
      <c r="L105" s="17"/>
      <c r="M105" s="19">
        <f t="shared" si="12"/>
        <v>0</v>
      </c>
    </row>
    <row r="106" spans="1:13" x14ac:dyDescent="0.25">
      <c r="A106" s="43"/>
      <c r="G106" s="5"/>
      <c r="H106" s="17">
        <v>101</v>
      </c>
      <c r="I106" s="18" t="str">
        <f t="shared" si="10"/>
        <v/>
      </c>
      <c r="J106" s="17">
        <f t="shared" si="13"/>
        <v>-3</v>
      </c>
      <c r="K106" s="17">
        <f t="shared" si="11"/>
        <v>-30</v>
      </c>
      <c r="L106" s="17"/>
      <c r="M106" s="19">
        <f t="shared" si="12"/>
        <v>0</v>
      </c>
    </row>
    <row r="107" spans="1:13" x14ac:dyDescent="0.25">
      <c r="A107" s="43"/>
      <c r="G107" s="5"/>
      <c r="H107" s="17">
        <v>102</v>
      </c>
      <c r="I107" s="18" t="str">
        <f t="shared" si="10"/>
        <v/>
      </c>
      <c r="J107" s="17">
        <f t="shared" si="13"/>
        <v>-3</v>
      </c>
      <c r="K107" s="17">
        <f t="shared" si="11"/>
        <v>-30</v>
      </c>
      <c r="L107" s="17"/>
      <c r="M107" s="19">
        <f t="shared" si="12"/>
        <v>0</v>
      </c>
    </row>
    <row r="108" spans="1:13" x14ac:dyDescent="0.25">
      <c r="A108" s="43"/>
      <c r="G108" s="5"/>
      <c r="H108" s="17">
        <v>103</v>
      </c>
      <c r="I108" s="18" t="str">
        <f t="shared" si="10"/>
        <v/>
      </c>
      <c r="J108" s="17">
        <f t="shared" si="13"/>
        <v>-3</v>
      </c>
      <c r="K108" s="17">
        <f t="shared" si="11"/>
        <v>-30</v>
      </c>
      <c r="L108" s="17"/>
      <c r="M108" s="19">
        <f t="shared" si="12"/>
        <v>0</v>
      </c>
    </row>
    <row r="109" spans="1:13" x14ac:dyDescent="0.25">
      <c r="A109" s="43"/>
      <c r="G109" s="5"/>
      <c r="H109" s="17">
        <v>104</v>
      </c>
      <c r="I109" s="18" t="str">
        <f t="shared" si="10"/>
        <v/>
      </c>
      <c r="J109" s="17">
        <f t="shared" si="13"/>
        <v>-3</v>
      </c>
      <c r="K109" s="17">
        <f t="shared" si="11"/>
        <v>-30</v>
      </c>
      <c r="L109" s="17"/>
      <c r="M109" s="19">
        <f t="shared" si="12"/>
        <v>0</v>
      </c>
    </row>
    <row r="110" spans="1:13" x14ac:dyDescent="0.25">
      <c r="A110" s="43"/>
      <c r="G110" s="5"/>
      <c r="H110" s="17">
        <v>105</v>
      </c>
      <c r="I110" s="18" t="str">
        <f t="shared" si="10"/>
        <v/>
      </c>
      <c r="J110" s="17">
        <f t="shared" si="13"/>
        <v>-3</v>
      </c>
      <c r="K110" s="17">
        <f t="shared" si="11"/>
        <v>-30</v>
      </c>
      <c r="L110" s="17"/>
      <c r="M110" s="19">
        <f t="shared" si="12"/>
        <v>0</v>
      </c>
    </row>
    <row r="111" spans="1:13" x14ac:dyDescent="0.25">
      <c r="A111" s="43"/>
      <c r="G111" s="5"/>
      <c r="H111" s="17">
        <v>106</v>
      </c>
      <c r="I111" s="18" t="str">
        <f t="shared" si="10"/>
        <v/>
      </c>
      <c r="J111" s="17">
        <f t="shared" si="13"/>
        <v>-3</v>
      </c>
      <c r="K111" s="17">
        <f t="shared" si="11"/>
        <v>-30</v>
      </c>
      <c r="L111" s="17"/>
      <c r="M111" s="19">
        <f t="shared" si="12"/>
        <v>0</v>
      </c>
    </row>
    <row r="112" spans="1:13" x14ac:dyDescent="0.25">
      <c r="A112" s="43"/>
      <c r="G112" s="5"/>
      <c r="H112" s="17">
        <v>107</v>
      </c>
      <c r="I112" s="18" t="str">
        <f t="shared" si="10"/>
        <v/>
      </c>
      <c r="J112" s="17">
        <f t="shared" si="13"/>
        <v>-3</v>
      </c>
      <c r="K112" s="17">
        <f t="shared" si="11"/>
        <v>-30</v>
      </c>
      <c r="L112" s="17"/>
      <c r="M112" s="19">
        <f t="shared" si="12"/>
        <v>0</v>
      </c>
    </row>
    <row r="113" spans="1:13" x14ac:dyDescent="0.25">
      <c r="A113" s="43"/>
      <c r="G113" s="5"/>
      <c r="H113" s="17">
        <v>108</v>
      </c>
      <c r="I113" s="18" t="str">
        <f t="shared" si="10"/>
        <v/>
      </c>
      <c r="J113" s="17">
        <f t="shared" si="13"/>
        <v>-3</v>
      </c>
      <c r="K113" s="17">
        <f t="shared" si="11"/>
        <v>-30</v>
      </c>
      <c r="L113" s="17"/>
      <c r="M113" s="19">
        <f t="shared" si="12"/>
        <v>0</v>
      </c>
    </row>
    <row r="114" spans="1:13" x14ac:dyDescent="0.25">
      <c r="A114" s="43"/>
      <c r="G114" s="5"/>
      <c r="H114" s="17">
        <v>109</v>
      </c>
      <c r="I114" s="18" t="str">
        <f t="shared" si="10"/>
        <v/>
      </c>
      <c r="J114" s="17">
        <f t="shared" si="13"/>
        <v>-3</v>
      </c>
      <c r="K114" s="17">
        <f t="shared" si="11"/>
        <v>-30</v>
      </c>
      <c r="L114" s="17"/>
      <c r="M114" s="19">
        <f t="shared" si="12"/>
        <v>0</v>
      </c>
    </row>
    <row r="115" spans="1:13" x14ac:dyDescent="0.25">
      <c r="A115" s="43"/>
      <c r="G115" s="5"/>
      <c r="H115" s="17">
        <v>110</v>
      </c>
      <c r="I115" s="18" t="str">
        <f t="shared" si="10"/>
        <v/>
      </c>
      <c r="J115" s="17">
        <f t="shared" si="13"/>
        <v>-3</v>
      </c>
      <c r="K115" s="17">
        <f t="shared" si="11"/>
        <v>-30</v>
      </c>
      <c r="L115" s="17"/>
      <c r="M115" s="19">
        <f t="shared" si="12"/>
        <v>0</v>
      </c>
    </row>
    <row r="116" spans="1:13" x14ac:dyDescent="0.25">
      <c r="A116" s="43"/>
      <c r="G116" s="5"/>
      <c r="H116" s="17">
        <v>111</v>
      </c>
      <c r="I116" s="18" t="str">
        <f t="shared" si="10"/>
        <v/>
      </c>
      <c r="J116" s="17">
        <f t="shared" si="13"/>
        <v>-3</v>
      </c>
      <c r="K116" s="17">
        <f t="shared" si="11"/>
        <v>-30</v>
      </c>
      <c r="L116" s="17"/>
      <c r="M116" s="19">
        <f t="shared" si="12"/>
        <v>0</v>
      </c>
    </row>
    <row r="117" spans="1:13" x14ac:dyDescent="0.25">
      <c r="A117" s="43"/>
      <c r="G117" s="5"/>
      <c r="H117" s="17">
        <v>112</v>
      </c>
      <c r="I117" s="18" t="str">
        <f t="shared" si="10"/>
        <v/>
      </c>
      <c r="J117" s="17">
        <f t="shared" si="13"/>
        <v>-3</v>
      </c>
      <c r="K117" s="17">
        <f t="shared" si="11"/>
        <v>-30</v>
      </c>
      <c r="L117" s="17"/>
      <c r="M117" s="19">
        <f t="shared" si="12"/>
        <v>0</v>
      </c>
    </row>
    <row r="118" spans="1:13" x14ac:dyDescent="0.25">
      <c r="A118" s="43"/>
      <c r="G118" s="5"/>
      <c r="H118" s="17">
        <v>113</v>
      </c>
      <c r="I118" s="18" t="str">
        <f t="shared" si="10"/>
        <v/>
      </c>
      <c r="J118" s="17">
        <f t="shared" si="13"/>
        <v>-3</v>
      </c>
      <c r="K118" s="17">
        <f t="shared" si="11"/>
        <v>-30</v>
      </c>
      <c r="L118" s="17"/>
      <c r="M118" s="19">
        <f t="shared" si="12"/>
        <v>0</v>
      </c>
    </row>
    <row r="119" spans="1:13" x14ac:dyDescent="0.25">
      <c r="A119" s="43"/>
      <c r="G119" s="5"/>
      <c r="H119" s="17">
        <v>114</v>
      </c>
      <c r="I119" s="18" t="str">
        <f t="shared" si="10"/>
        <v/>
      </c>
      <c r="J119" s="17">
        <f t="shared" si="13"/>
        <v>-3</v>
      </c>
      <c r="K119" s="17">
        <f t="shared" si="11"/>
        <v>-30</v>
      </c>
      <c r="L119" s="17"/>
      <c r="M119" s="19">
        <f t="shared" si="12"/>
        <v>0</v>
      </c>
    </row>
    <row r="120" spans="1:13" x14ac:dyDescent="0.25">
      <c r="A120" s="43"/>
      <c r="G120" s="5"/>
      <c r="H120" s="17">
        <v>115</v>
      </c>
      <c r="I120" s="18" t="str">
        <f t="shared" si="10"/>
        <v/>
      </c>
      <c r="J120" s="17">
        <f t="shared" si="13"/>
        <v>-3</v>
      </c>
      <c r="K120" s="17">
        <f t="shared" si="11"/>
        <v>-30</v>
      </c>
      <c r="L120" s="17"/>
      <c r="M120" s="19">
        <f t="shared" si="12"/>
        <v>0</v>
      </c>
    </row>
    <row r="121" spans="1:13" x14ac:dyDescent="0.25">
      <c r="A121" s="43"/>
      <c r="G121" s="5"/>
      <c r="H121" s="17">
        <v>116</v>
      </c>
      <c r="I121" s="18" t="str">
        <f t="shared" si="10"/>
        <v/>
      </c>
      <c r="J121" s="17">
        <f t="shared" si="13"/>
        <v>-3</v>
      </c>
      <c r="K121" s="17">
        <f t="shared" si="11"/>
        <v>-30</v>
      </c>
      <c r="L121" s="17"/>
      <c r="M121" s="19">
        <f t="shared" si="12"/>
        <v>0</v>
      </c>
    </row>
    <row r="122" spans="1:13" x14ac:dyDescent="0.25">
      <c r="A122" s="43"/>
      <c r="G122" s="5"/>
      <c r="H122" s="17">
        <v>117</v>
      </c>
      <c r="I122" s="18" t="str">
        <f t="shared" si="10"/>
        <v/>
      </c>
      <c r="J122" s="17">
        <f t="shared" si="13"/>
        <v>-3</v>
      </c>
      <c r="K122" s="17">
        <f t="shared" si="11"/>
        <v>-30</v>
      </c>
      <c r="L122" s="17"/>
      <c r="M122" s="19">
        <f t="shared" si="12"/>
        <v>0</v>
      </c>
    </row>
    <row r="123" spans="1:13" x14ac:dyDescent="0.25">
      <c r="A123" s="43"/>
      <c r="G123" s="5"/>
      <c r="H123" s="17">
        <v>118</v>
      </c>
      <c r="I123" s="18" t="str">
        <f t="shared" si="10"/>
        <v/>
      </c>
      <c r="J123" s="17">
        <f t="shared" si="13"/>
        <v>-3</v>
      </c>
      <c r="K123" s="17">
        <f t="shared" si="11"/>
        <v>-30</v>
      </c>
      <c r="L123" s="17"/>
      <c r="M123" s="19">
        <f t="shared" si="12"/>
        <v>0</v>
      </c>
    </row>
    <row r="124" spans="1:13" x14ac:dyDescent="0.25">
      <c r="A124" s="43"/>
      <c r="G124" s="5"/>
      <c r="H124" s="17">
        <v>119</v>
      </c>
      <c r="I124" s="18" t="str">
        <f t="shared" si="10"/>
        <v/>
      </c>
      <c r="J124" s="17">
        <f t="shared" si="13"/>
        <v>-3</v>
      </c>
      <c r="K124" s="17">
        <f t="shared" si="11"/>
        <v>-30</v>
      </c>
      <c r="L124" s="17"/>
      <c r="M124" s="19">
        <f t="shared" si="12"/>
        <v>0</v>
      </c>
    </row>
    <row r="125" spans="1:13" x14ac:dyDescent="0.25">
      <c r="A125" s="43"/>
      <c r="G125" s="5"/>
      <c r="H125" s="17">
        <v>120</v>
      </c>
      <c r="I125" s="18" t="str">
        <f t="shared" si="10"/>
        <v/>
      </c>
      <c r="J125" s="17">
        <f t="shared" si="13"/>
        <v>-3</v>
      </c>
      <c r="K125" s="17">
        <f t="shared" si="11"/>
        <v>-30</v>
      </c>
      <c r="L125" s="17"/>
      <c r="M125" s="19">
        <f t="shared" si="12"/>
        <v>0</v>
      </c>
    </row>
    <row r="126" spans="1:13" x14ac:dyDescent="0.25">
      <c r="A126" s="43"/>
      <c r="G126" s="5"/>
      <c r="H126" s="17">
        <v>121</v>
      </c>
      <c r="I126" s="18" t="str">
        <f t="shared" si="10"/>
        <v/>
      </c>
      <c r="J126" s="17">
        <f t="shared" si="13"/>
        <v>-3</v>
      </c>
      <c r="K126" s="17">
        <f t="shared" si="11"/>
        <v>-30</v>
      </c>
      <c r="L126" s="17"/>
      <c r="M126" s="19">
        <f t="shared" si="12"/>
        <v>0</v>
      </c>
    </row>
    <row r="127" spans="1:13" x14ac:dyDescent="0.25">
      <c r="A127" s="43"/>
      <c r="G127" s="5"/>
      <c r="H127" s="17">
        <v>122</v>
      </c>
      <c r="I127" s="18" t="str">
        <f t="shared" si="10"/>
        <v/>
      </c>
      <c r="J127" s="17">
        <f t="shared" si="13"/>
        <v>-3</v>
      </c>
      <c r="K127" s="17">
        <f t="shared" si="11"/>
        <v>-30</v>
      </c>
      <c r="L127" s="17"/>
      <c r="M127" s="19">
        <f t="shared" si="12"/>
        <v>0</v>
      </c>
    </row>
    <row r="128" spans="1:13" x14ac:dyDescent="0.25">
      <c r="A128" s="43"/>
      <c r="G128" s="5"/>
      <c r="H128" s="17">
        <v>123</v>
      </c>
      <c r="I128" s="18" t="str">
        <f t="shared" si="10"/>
        <v/>
      </c>
      <c r="J128" s="17">
        <f t="shared" si="13"/>
        <v>-3</v>
      </c>
      <c r="K128" s="17">
        <f t="shared" si="11"/>
        <v>-30</v>
      </c>
      <c r="L128" s="17"/>
      <c r="M128" s="19">
        <f t="shared" si="12"/>
        <v>0</v>
      </c>
    </row>
    <row r="129" spans="1:13" x14ac:dyDescent="0.25">
      <c r="A129" s="43"/>
      <c r="G129" s="5"/>
      <c r="H129" s="17">
        <v>124</v>
      </c>
      <c r="I129" s="18" t="str">
        <f t="shared" si="10"/>
        <v/>
      </c>
      <c r="J129" s="17">
        <f t="shared" si="13"/>
        <v>-3</v>
      </c>
      <c r="K129" s="17">
        <f t="shared" si="11"/>
        <v>-30</v>
      </c>
      <c r="L129" s="17"/>
      <c r="M129" s="19">
        <f t="shared" si="12"/>
        <v>0</v>
      </c>
    </row>
    <row r="130" spans="1:13" x14ac:dyDescent="0.25">
      <c r="A130" s="43"/>
      <c r="G130" s="5"/>
      <c r="H130" s="17">
        <v>125</v>
      </c>
      <c r="I130" s="18" t="str">
        <f t="shared" si="10"/>
        <v/>
      </c>
      <c r="J130" s="17">
        <f t="shared" si="13"/>
        <v>-3</v>
      </c>
      <c r="K130" s="17">
        <f t="shared" si="11"/>
        <v>-30</v>
      </c>
      <c r="L130" s="17"/>
      <c r="M130" s="19">
        <f t="shared" si="12"/>
        <v>0</v>
      </c>
    </row>
    <row r="131" spans="1:13" x14ac:dyDescent="0.25">
      <c r="A131" s="43"/>
      <c r="G131" s="5"/>
      <c r="H131" s="17">
        <v>126</v>
      </c>
      <c r="I131" s="18" t="str">
        <f t="shared" si="10"/>
        <v/>
      </c>
      <c r="J131" s="17">
        <f t="shared" si="13"/>
        <v>-3</v>
      </c>
      <c r="K131" s="17">
        <f t="shared" si="11"/>
        <v>-30</v>
      </c>
      <c r="L131" s="17"/>
      <c r="M131" s="19">
        <f t="shared" si="12"/>
        <v>0</v>
      </c>
    </row>
    <row r="132" spans="1:13" x14ac:dyDescent="0.25">
      <c r="A132" s="43"/>
      <c r="G132" s="5"/>
      <c r="H132" s="17">
        <v>127</v>
      </c>
      <c r="I132" s="18" t="str">
        <f t="shared" si="10"/>
        <v/>
      </c>
      <c r="J132" s="17">
        <f t="shared" si="13"/>
        <v>-3</v>
      </c>
      <c r="K132" s="17">
        <f t="shared" si="11"/>
        <v>-30</v>
      </c>
      <c r="L132" s="17"/>
      <c r="M132" s="19">
        <f t="shared" si="12"/>
        <v>0</v>
      </c>
    </row>
    <row r="133" spans="1:13" x14ac:dyDescent="0.25">
      <c r="A133" s="43"/>
      <c r="G133" s="5"/>
      <c r="H133" s="17">
        <v>128</v>
      </c>
      <c r="I133" s="18" t="str">
        <f t="shared" si="10"/>
        <v/>
      </c>
      <c r="J133" s="17">
        <f t="shared" si="13"/>
        <v>-3</v>
      </c>
      <c r="K133" s="17">
        <f t="shared" si="11"/>
        <v>-30</v>
      </c>
      <c r="L133" s="17"/>
      <c r="M133" s="19">
        <f t="shared" si="12"/>
        <v>0</v>
      </c>
    </row>
    <row r="134" spans="1:13" x14ac:dyDescent="0.25">
      <c r="A134" s="43"/>
      <c r="G134" s="5"/>
      <c r="H134" s="17">
        <v>129</v>
      </c>
      <c r="I134" s="18" t="str">
        <f t="shared" ref="I134:I197" si="14">IF(H134&lt;$H$2+1,($I$2-($I$2-1)*(LOG(H134)/LOG($H$2))),"")</f>
        <v/>
      </c>
      <c r="J134" s="17">
        <f t="shared" si="13"/>
        <v>-4</v>
      </c>
      <c r="K134" s="17">
        <f t="shared" ref="K134:K197" si="15">J134*$J$2</f>
        <v>-40</v>
      </c>
      <c r="L134" s="17"/>
      <c r="M134" s="19">
        <f t="shared" ref="M134:M197" si="16">IF(I134&lt;&gt;"",K134+I134+L134,0)</f>
        <v>0</v>
      </c>
    </row>
    <row r="135" spans="1:13" x14ac:dyDescent="0.25">
      <c r="A135" s="43"/>
      <c r="G135" s="5"/>
      <c r="H135" s="17">
        <v>130</v>
      </c>
      <c r="I135" s="18" t="str">
        <f t="shared" si="14"/>
        <v/>
      </c>
      <c r="J135" s="17">
        <f t="shared" ref="J135:J198" si="17">INT(LOG($H$2,2))-ROUNDUP(LOG(H135,2),0)+IF(OR($H$2=1,$H$2=2,$H$2=4,$H$2=8,$H$2=16,$H$2=32,$H$2=64,$H$2=128,$H$2=256),0,1)</f>
        <v>-4</v>
      </c>
      <c r="K135" s="17">
        <f t="shared" si="15"/>
        <v>-40</v>
      </c>
      <c r="L135" s="17"/>
      <c r="M135" s="19">
        <f t="shared" si="16"/>
        <v>0</v>
      </c>
    </row>
    <row r="136" spans="1:13" x14ac:dyDescent="0.25">
      <c r="A136" s="43"/>
      <c r="G136" s="5"/>
      <c r="H136" s="17">
        <v>131</v>
      </c>
      <c r="I136" s="18" t="str">
        <f t="shared" si="14"/>
        <v/>
      </c>
      <c r="J136" s="17">
        <f t="shared" si="17"/>
        <v>-4</v>
      </c>
      <c r="K136" s="17">
        <f t="shared" si="15"/>
        <v>-40</v>
      </c>
      <c r="L136" s="17"/>
      <c r="M136" s="19">
        <f t="shared" si="16"/>
        <v>0</v>
      </c>
    </row>
    <row r="137" spans="1:13" x14ac:dyDescent="0.25">
      <c r="A137" s="43"/>
      <c r="G137" s="5"/>
      <c r="H137" s="17">
        <v>132</v>
      </c>
      <c r="I137" s="18" t="str">
        <f t="shared" si="14"/>
        <v/>
      </c>
      <c r="J137" s="17">
        <f t="shared" si="17"/>
        <v>-4</v>
      </c>
      <c r="K137" s="17">
        <f t="shared" si="15"/>
        <v>-40</v>
      </c>
      <c r="L137" s="17"/>
      <c r="M137" s="19">
        <f t="shared" si="16"/>
        <v>0</v>
      </c>
    </row>
    <row r="138" spans="1:13" x14ac:dyDescent="0.25">
      <c r="A138" s="43"/>
      <c r="G138" s="5"/>
      <c r="H138" s="17">
        <v>133</v>
      </c>
      <c r="I138" s="18" t="str">
        <f t="shared" si="14"/>
        <v/>
      </c>
      <c r="J138" s="17">
        <f t="shared" si="17"/>
        <v>-4</v>
      </c>
      <c r="K138" s="17">
        <f t="shared" si="15"/>
        <v>-40</v>
      </c>
      <c r="L138" s="17"/>
      <c r="M138" s="19">
        <f t="shared" si="16"/>
        <v>0</v>
      </c>
    </row>
    <row r="139" spans="1:13" x14ac:dyDescent="0.25">
      <c r="A139" s="43"/>
      <c r="G139" s="5"/>
      <c r="H139" s="17">
        <v>134</v>
      </c>
      <c r="I139" s="18" t="str">
        <f t="shared" si="14"/>
        <v/>
      </c>
      <c r="J139" s="17">
        <f t="shared" si="17"/>
        <v>-4</v>
      </c>
      <c r="K139" s="17">
        <f t="shared" si="15"/>
        <v>-40</v>
      </c>
      <c r="L139" s="17"/>
      <c r="M139" s="19">
        <f t="shared" si="16"/>
        <v>0</v>
      </c>
    </row>
    <row r="140" spans="1:13" x14ac:dyDescent="0.25">
      <c r="A140" s="43"/>
      <c r="G140" s="5"/>
      <c r="H140" s="17">
        <v>135</v>
      </c>
      <c r="I140" s="18" t="str">
        <f t="shared" si="14"/>
        <v/>
      </c>
      <c r="J140" s="17">
        <f t="shared" si="17"/>
        <v>-4</v>
      </c>
      <c r="K140" s="17">
        <f t="shared" si="15"/>
        <v>-40</v>
      </c>
      <c r="L140" s="17"/>
      <c r="M140" s="19">
        <f t="shared" si="16"/>
        <v>0</v>
      </c>
    </row>
    <row r="141" spans="1:13" x14ac:dyDescent="0.25">
      <c r="A141" s="43"/>
      <c r="G141" s="5"/>
      <c r="H141" s="17">
        <v>136</v>
      </c>
      <c r="I141" s="18" t="str">
        <f t="shared" si="14"/>
        <v/>
      </c>
      <c r="J141" s="17">
        <f t="shared" si="17"/>
        <v>-4</v>
      </c>
      <c r="K141" s="17">
        <f t="shared" si="15"/>
        <v>-40</v>
      </c>
      <c r="L141" s="17"/>
      <c r="M141" s="19">
        <f t="shared" si="16"/>
        <v>0</v>
      </c>
    </row>
    <row r="142" spans="1:13" x14ac:dyDescent="0.25">
      <c r="A142" s="43"/>
      <c r="G142" s="5"/>
      <c r="H142" s="17">
        <v>137</v>
      </c>
      <c r="I142" s="18" t="str">
        <f t="shared" si="14"/>
        <v/>
      </c>
      <c r="J142" s="17">
        <f t="shared" si="17"/>
        <v>-4</v>
      </c>
      <c r="K142" s="17">
        <f t="shared" si="15"/>
        <v>-40</v>
      </c>
      <c r="L142" s="17"/>
      <c r="M142" s="19">
        <f t="shared" si="16"/>
        <v>0</v>
      </c>
    </row>
    <row r="143" spans="1:13" x14ac:dyDescent="0.25">
      <c r="A143" s="43"/>
      <c r="G143" s="5"/>
      <c r="H143" s="17">
        <v>138</v>
      </c>
      <c r="I143" s="18" t="str">
        <f t="shared" si="14"/>
        <v/>
      </c>
      <c r="J143" s="17">
        <f t="shared" si="17"/>
        <v>-4</v>
      </c>
      <c r="K143" s="17">
        <f t="shared" si="15"/>
        <v>-40</v>
      </c>
      <c r="L143" s="17"/>
      <c r="M143" s="19">
        <f t="shared" si="16"/>
        <v>0</v>
      </c>
    </row>
    <row r="144" spans="1:13" x14ac:dyDescent="0.25">
      <c r="A144" s="43"/>
      <c r="G144" s="5"/>
      <c r="H144" s="17">
        <v>139</v>
      </c>
      <c r="I144" s="18" t="str">
        <f t="shared" si="14"/>
        <v/>
      </c>
      <c r="J144" s="17">
        <f t="shared" si="17"/>
        <v>-4</v>
      </c>
      <c r="K144" s="17">
        <f t="shared" si="15"/>
        <v>-40</v>
      </c>
      <c r="L144" s="17"/>
      <c r="M144" s="19">
        <f t="shared" si="16"/>
        <v>0</v>
      </c>
    </row>
    <row r="145" spans="1:13" x14ac:dyDescent="0.25">
      <c r="A145" s="43"/>
      <c r="G145" s="5"/>
      <c r="H145" s="17">
        <v>140</v>
      </c>
      <c r="I145" s="18" t="str">
        <f t="shared" si="14"/>
        <v/>
      </c>
      <c r="J145" s="17">
        <f t="shared" si="17"/>
        <v>-4</v>
      </c>
      <c r="K145" s="17">
        <f t="shared" si="15"/>
        <v>-40</v>
      </c>
      <c r="L145" s="17"/>
      <c r="M145" s="19">
        <f t="shared" si="16"/>
        <v>0</v>
      </c>
    </row>
    <row r="146" spans="1:13" x14ac:dyDescent="0.25">
      <c r="A146" s="43"/>
      <c r="G146" s="5"/>
      <c r="H146" s="17">
        <v>141</v>
      </c>
      <c r="I146" s="18" t="str">
        <f t="shared" si="14"/>
        <v/>
      </c>
      <c r="J146" s="17">
        <f t="shared" si="17"/>
        <v>-4</v>
      </c>
      <c r="K146" s="17">
        <f t="shared" si="15"/>
        <v>-40</v>
      </c>
      <c r="L146" s="17"/>
      <c r="M146" s="19">
        <f t="shared" si="16"/>
        <v>0</v>
      </c>
    </row>
    <row r="147" spans="1:13" x14ac:dyDescent="0.25">
      <c r="A147" s="43"/>
      <c r="G147" s="5"/>
      <c r="H147" s="17">
        <v>142</v>
      </c>
      <c r="I147" s="18" t="str">
        <f t="shared" si="14"/>
        <v/>
      </c>
      <c r="J147" s="17">
        <f t="shared" si="17"/>
        <v>-4</v>
      </c>
      <c r="K147" s="17">
        <f t="shared" si="15"/>
        <v>-40</v>
      </c>
      <c r="L147" s="17"/>
      <c r="M147" s="19">
        <f t="shared" si="16"/>
        <v>0</v>
      </c>
    </row>
    <row r="148" spans="1:13" x14ac:dyDescent="0.25">
      <c r="A148" s="43"/>
      <c r="G148" s="5"/>
      <c r="H148" s="17">
        <v>143</v>
      </c>
      <c r="I148" s="18" t="str">
        <f t="shared" si="14"/>
        <v/>
      </c>
      <c r="J148" s="17">
        <f t="shared" si="17"/>
        <v>-4</v>
      </c>
      <c r="K148" s="17">
        <f t="shared" si="15"/>
        <v>-40</v>
      </c>
      <c r="L148" s="17"/>
      <c r="M148" s="19">
        <f t="shared" si="16"/>
        <v>0</v>
      </c>
    </row>
    <row r="149" spans="1:13" x14ac:dyDescent="0.25">
      <c r="A149" s="43"/>
      <c r="G149" s="5"/>
      <c r="H149" s="17">
        <v>144</v>
      </c>
      <c r="I149" s="18" t="str">
        <f t="shared" si="14"/>
        <v/>
      </c>
      <c r="J149" s="17">
        <f t="shared" si="17"/>
        <v>-4</v>
      </c>
      <c r="K149" s="17">
        <f t="shared" si="15"/>
        <v>-40</v>
      </c>
      <c r="L149" s="17"/>
      <c r="M149" s="19">
        <f t="shared" si="16"/>
        <v>0</v>
      </c>
    </row>
    <row r="150" spans="1:13" x14ac:dyDescent="0.25">
      <c r="A150" s="43"/>
      <c r="G150" s="5"/>
      <c r="H150" s="17">
        <v>145</v>
      </c>
      <c r="I150" s="18" t="str">
        <f t="shared" si="14"/>
        <v/>
      </c>
      <c r="J150" s="17">
        <f t="shared" si="17"/>
        <v>-4</v>
      </c>
      <c r="K150" s="17">
        <f t="shared" si="15"/>
        <v>-40</v>
      </c>
      <c r="L150" s="17"/>
      <c r="M150" s="19">
        <f t="shared" si="16"/>
        <v>0</v>
      </c>
    </row>
    <row r="151" spans="1:13" x14ac:dyDescent="0.25">
      <c r="A151" s="43"/>
      <c r="G151" s="5"/>
      <c r="H151" s="17">
        <v>146</v>
      </c>
      <c r="I151" s="18" t="str">
        <f t="shared" si="14"/>
        <v/>
      </c>
      <c r="J151" s="17">
        <f t="shared" si="17"/>
        <v>-4</v>
      </c>
      <c r="K151" s="17">
        <f t="shared" si="15"/>
        <v>-40</v>
      </c>
      <c r="L151" s="17"/>
      <c r="M151" s="19">
        <f t="shared" si="16"/>
        <v>0</v>
      </c>
    </row>
    <row r="152" spans="1:13" x14ac:dyDescent="0.25">
      <c r="A152" s="43"/>
      <c r="G152" s="5"/>
      <c r="H152" s="17">
        <v>147</v>
      </c>
      <c r="I152" s="18" t="str">
        <f t="shared" si="14"/>
        <v/>
      </c>
      <c r="J152" s="17">
        <f t="shared" si="17"/>
        <v>-4</v>
      </c>
      <c r="K152" s="17">
        <f t="shared" si="15"/>
        <v>-40</v>
      </c>
      <c r="L152" s="17"/>
      <c r="M152" s="19">
        <f t="shared" si="16"/>
        <v>0</v>
      </c>
    </row>
    <row r="153" spans="1:13" x14ac:dyDescent="0.25">
      <c r="A153" s="43"/>
      <c r="G153" s="5"/>
      <c r="H153" s="17">
        <v>148</v>
      </c>
      <c r="I153" s="18" t="str">
        <f t="shared" si="14"/>
        <v/>
      </c>
      <c r="J153" s="17">
        <f t="shared" si="17"/>
        <v>-4</v>
      </c>
      <c r="K153" s="17">
        <f t="shared" si="15"/>
        <v>-40</v>
      </c>
      <c r="L153" s="17"/>
      <c r="M153" s="19">
        <f t="shared" si="16"/>
        <v>0</v>
      </c>
    </row>
    <row r="154" spans="1:13" x14ac:dyDescent="0.25">
      <c r="A154" s="43"/>
      <c r="G154" s="5"/>
      <c r="H154" s="17">
        <v>149</v>
      </c>
      <c r="I154" s="18" t="str">
        <f t="shared" si="14"/>
        <v/>
      </c>
      <c r="J154" s="17">
        <f t="shared" si="17"/>
        <v>-4</v>
      </c>
      <c r="K154" s="17">
        <f t="shared" si="15"/>
        <v>-40</v>
      </c>
      <c r="L154" s="17"/>
      <c r="M154" s="19">
        <f t="shared" si="16"/>
        <v>0</v>
      </c>
    </row>
    <row r="155" spans="1:13" x14ac:dyDescent="0.25">
      <c r="A155" s="43"/>
      <c r="G155" s="5"/>
      <c r="H155" s="17">
        <v>150</v>
      </c>
      <c r="I155" s="18" t="str">
        <f t="shared" si="14"/>
        <v/>
      </c>
      <c r="J155" s="17">
        <f t="shared" si="17"/>
        <v>-4</v>
      </c>
      <c r="K155" s="17">
        <f t="shared" si="15"/>
        <v>-40</v>
      </c>
      <c r="L155" s="17"/>
      <c r="M155" s="19">
        <f t="shared" si="16"/>
        <v>0</v>
      </c>
    </row>
    <row r="156" spans="1:13" x14ac:dyDescent="0.25">
      <c r="A156" s="43"/>
      <c r="G156" s="5"/>
      <c r="H156" s="17">
        <v>151</v>
      </c>
      <c r="I156" s="18" t="str">
        <f t="shared" si="14"/>
        <v/>
      </c>
      <c r="J156" s="17">
        <f t="shared" si="17"/>
        <v>-4</v>
      </c>
      <c r="K156" s="17">
        <f t="shared" si="15"/>
        <v>-40</v>
      </c>
      <c r="L156" s="17"/>
      <c r="M156" s="19">
        <f t="shared" si="16"/>
        <v>0</v>
      </c>
    </row>
    <row r="157" spans="1:13" x14ac:dyDescent="0.25">
      <c r="A157" s="43"/>
      <c r="G157" s="5"/>
      <c r="H157" s="17">
        <v>152</v>
      </c>
      <c r="I157" s="18" t="str">
        <f t="shared" si="14"/>
        <v/>
      </c>
      <c r="J157" s="17">
        <f t="shared" si="17"/>
        <v>-4</v>
      </c>
      <c r="K157" s="17">
        <f t="shared" si="15"/>
        <v>-40</v>
      </c>
      <c r="L157" s="17"/>
      <c r="M157" s="19">
        <f t="shared" si="16"/>
        <v>0</v>
      </c>
    </row>
    <row r="158" spans="1:13" x14ac:dyDescent="0.25">
      <c r="A158" s="43"/>
      <c r="G158" s="5"/>
      <c r="H158" s="17">
        <v>153</v>
      </c>
      <c r="I158" s="18" t="str">
        <f t="shared" si="14"/>
        <v/>
      </c>
      <c r="J158" s="17">
        <f t="shared" si="17"/>
        <v>-4</v>
      </c>
      <c r="K158" s="17">
        <f t="shared" si="15"/>
        <v>-40</v>
      </c>
      <c r="L158" s="17"/>
      <c r="M158" s="19">
        <f t="shared" si="16"/>
        <v>0</v>
      </c>
    </row>
    <row r="159" spans="1:13" x14ac:dyDescent="0.25">
      <c r="A159" s="43"/>
      <c r="G159" s="5"/>
      <c r="H159" s="17">
        <v>154</v>
      </c>
      <c r="I159" s="18" t="str">
        <f t="shared" si="14"/>
        <v/>
      </c>
      <c r="J159" s="17">
        <f t="shared" si="17"/>
        <v>-4</v>
      </c>
      <c r="K159" s="17">
        <f t="shared" si="15"/>
        <v>-40</v>
      </c>
      <c r="L159" s="17"/>
      <c r="M159" s="19">
        <f t="shared" si="16"/>
        <v>0</v>
      </c>
    </row>
    <row r="160" spans="1:13" x14ac:dyDescent="0.25">
      <c r="A160" s="43"/>
      <c r="G160" s="5"/>
      <c r="H160" s="17">
        <v>155</v>
      </c>
      <c r="I160" s="18" t="str">
        <f t="shared" si="14"/>
        <v/>
      </c>
      <c r="J160" s="17">
        <f t="shared" si="17"/>
        <v>-4</v>
      </c>
      <c r="K160" s="17">
        <f t="shared" si="15"/>
        <v>-40</v>
      </c>
      <c r="L160" s="17"/>
      <c r="M160" s="19">
        <f t="shared" si="16"/>
        <v>0</v>
      </c>
    </row>
    <row r="161" spans="1:13" x14ac:dyDescent="0.25">
      <c r="A161" s="43"/>
      <c r="G161" s="5"/>
      <c r="H161" s="17">
        <v>156</v>
      </c>
      <c r="I161" s="18" t="str">
        <f t="shared" si="14"/>
        <v/>
      </c>
      <c r="J161" s="17">
        <f t="shared" si="17"/>
        <v>-4</v>
      </c>
      <c r="K161" s="17">
        <f t="shared" si="15"/>
        <v>-40</v>
      </c>
      <c r="L161" s="17"/>
      <c r="M161" s="19">
        <f t="shared" si="16"/>
        <v>0</v>
      </c>
    </row>
    <row r="162" spans="1:13" x14ac:dyDescent="0.25">
      <c r="A162" s="43"/>
      <c r="G162" s="5"/>
      <c r="H162" s="17">
        <v>157</v>
      </c>
      <c r="I162" s="18" t="str">
        <f t="shared" si="14"/>
        <v/>
      </c>
      <c r="J162" s="17">
        <f t="shared" si="17"/>
        <v>-4</v>
      </c>
      <c r="K162" s="17">
        <f t="shared" si="15"/>
        <v>-40</v>
      </c>
      <c r="L162" s="17"/>
      <c r="M162" s="19">
        <f t="shared" si="16"/>
        <v>0</v>
      </c>
    </row>
    <row r="163" spans="1:13" x14ac:dyDescent="0.25">
      <c r="A163" s="43"/>
      <c r="G163" s="5"/>
      <c r="H163" s="17">
        <v>158</v>
      </c>
      <c r="I163" s="18" t="str">
        <f t="shared" si="14"/>
        <v/>
      </c>
      <c r="J163" s="17">
        <f t="shared" si="17"/>
        <v>-4</v>
      </c>
      <c r="K163" s="17">
        <f t="shared" si="15"/>
        <v>-40</v>
      </c>
      <c r="L163" s="17"/>
      <c r="M163" s="19">
        <f t="shared" si="16"/>
        <v>0</v>
      </c>
    </row>
    <row r="164" spans="1:13" x14ac:dyDescent="0.25">
      <c r="A164" s="43"/>
      <c r="G164" s="5"/>
      <c r="H164" s="17">
        <v>159</v>
      </c>
      <c r="I164" s="18" t="str">
        <f t="shared" si="14"/>
        <v/>
      </c>
      <c r="J164" s="17">
        <f t="shared" si="17"/>
        <v>-4</v>
      </c>
      <c r="K164" s="17">
        <f t="shared" si="15"/>
        <v>-40</v>
      </c>
      <c r="L164" s="17"/>
      <c r="M164" s="19">
        <f t="shared" si="16"/>
        <v>0</v>
      </c>
    </row>
    <row r="165" spans="1:13" x14ac:dyDescent="0.25">
      <c r="A165" s="43"/>
      <c r="G165" s="5"/>
      <c r="H165" s="17">
        <v>160</v>
      </c>
      <c r="I165" s="18" t="str">
        <f t="shared" si="14"/>
        <v/>
      </c>
      <c r="J165" s="17">
        <f t="shared" si="17"/>
        <v>-4</v>
      </c>
      <c r="K165" s="17">
        <f t="shared" si="15"/>
        <v>-40</v>
      </c>
      <c r="L165" s="17"/>
      <c r="M165" s="19">
        <f t="shared" si="16"/>
        <v>0</v>
      </c>
    </row>
    <row r="166" spans="1:13" x14ac:dyDescent="0.25">
      <c r="A166" s="43"/>
      <c r="G166" s="5"/>
      <c r="H166" s="17">
        <v>161</v>
      </c>
      <c r="I166" s="18" t="str">
        <f t="shared" si="14"/>
        <v/>
      </c>
      <c r="J166" s="17">
        <f t="shared" si="17"/>
        <v>-4</v>
      </c>
      <c r="K166" s="17">
        <f t="shared" si="15"/>
        <v>-40</v>
      </c>
      <c r="L166" s="17"/>
      <c r="M166" s="19">
        <f t="shared" si="16"/>
        <v>0</v>
      </c>
    </row>
    <row r="167" spans="1:13" x14ac:dyDescent="0.25">
      <c r="A167" s="43"/>
      <c r="G167" s="5"/>
      <c r="H167" s="17">
        <v>162</v>
      </c>
      <c r="I167" s="18" t="str">
        <f t="shared" si="14"/>
        <v/>
      </c>
      <c r="J167" s="17">
        <f t="shared" si="17"/>
        <v>-4</v>
      </c>
      <c r="K167" s="17">
        <f t="shared" si="15"/>
        <v>-40</v>
      </c>
      <c r="L167" s="17"/>
      <c r="M167" s="19">
        <f t="shared" si="16"/>
        <v>0</v>
      </c>
    </row>
    <row r="168" spans="1:13" x14ac:dyDescent="0.25">
      <c r="A168" s="43"/>
      <c r="G168" s="5"/>
      <c r="H168" s="17">
        <v>163</v>
      </c>
      <c r="I168" s="18" t="str">
        <f t="shared" si="14"/>
        <v/>
      </c>
      <c r="J168" s="17">
        <f t="shared" si="17"/>
        <v>-4</v>
      </c>
      <c r="K168" s="17">
        <f t="shared" si="15"/>
        <v>-40</v>
      </c>
      <c r="L168" s="17"/>
      <c r="M168" s="19">
        <f t="shared" si="16"/>
        <v>0</v>
      </c>
    </row>
    <row r="169" spans="1:13" x14ac:dyDescent="0.25">
      <c r="A169" s="43"/>
      <c r="G169" s="5"/>
      <c r="H169" s="17">
        <v>164</v>
      </c>
      <c r="I169" s="18" t="str">
        <f t="shared" si="14"/>
        <v/>
      </c>
      <c r="J169" s="17">
        <f t="shared" si="17"/>
        <v>-4</v>
      </c>
      <c r="K169" s="17">
        <f t="shared" si="15"/>
        <v>-40</v>
      </c>
      <c r="L169" s="17"/>
      <c r="M169" s="19">
        <f t="shared" si="16"/>
        <v>0</v>
      </c>
    </row>
    <row r="170" spans="1:13" x14ac:dyDescent="0.25">
      <c r="A170" s="43"/>
      <c r="G170" s="5"/>
      <c r="H170" s="17">
        <v>165</v>
      </c>
      <c r="I170" s="18" t="str">
        <f t="shared" si="14"/>
        <v/>
      </c>
      <c r="J170" s="17">
        <f t="shared" si="17"/>
        <v>-4</v>
      </c>
      <c r="K170" s="17">
        <f t="shared" si="15"/>
        <v>-40</v>
      </c>
      <c r="L170" s="17"/>
      <c r="M170" s="19">
        <f t="shared" si="16"/>
        <v>0</v>
      </c>
    </row>
    <row r="171" spans="1:13" x14ac:dyDescent="0.25">
      <c r="A171" s="43"/>
      <c r="G171" s="5"/>
      <c r="H171" s="17">
        <v>166</v>
      </c>
      <c r="I171" s="18" t="str">
        <f t="shared" si="14"/>
        <v/>
      </c>
      <c r="J171" s="17">
        <f t="shared" si="17"/>
        <v>-4</v>
      </c>
      <c r="K171" s="17">
        <f t="shared" si="15"/>
        <v>-40</v>
      </c>
      <c r="L171" s="17"/>
      <c r="M171" s="19">
        <f t="shared" si="16"/>
        <v>0</v>
      </c>
    </row>
    <row r="172" spans="1:13" x14ac:dyDescent="0.25">
      <c r="A172" s="43"/>
      <c r="G172" s="5"/>
      <c r="H172" s="17">
        <v>167</v>
      </c>
      <c r="I172" s="18" t="str">
        <f t="shared" si="14"/>
        <v/>
      </c>
      <c r="J172" s="17">
        <f t="shared" si="17"/>
        <v>-4</v>
      </c>
      <c r="K172" s="17">
        <f t="shared" si="15"/>
        <v>-40</v>
      </c>
      <c r="L172" s="17"/>
      <c r="M172" s="19">
        <f t="shared" si="16"/>
        <v>0</v>
      </c>
    </row>
    <row r="173" spans="1:13" x14ac:dyDescent="0.25">
      <c r="A173" s="43"/>
      <c r="G173" s="5"/>
      <c r="H173" s="17">
        <v>168</v>
      </c>
      <c r="I173" s="18" t="str">
        <f t="shared" si="14"/>
        <v/>
      </c>
      <c r="J173" s="17">
        <f t="shared" si="17"/>
        <v>-4</v>
      </c>
      <c r="K173" s="17">
        <f t="shared" si="15"/>
        <v>-40</v>
      </c>
      <c r="L173" s="17"/>
      <c r="M173" s="19">
        <f t="shared" si="16"/>
        <v>0</v>
      </c>
    </row>
    <row r="174" spans="1:13" x14ac:dyDescent="0.25">
      <c r="A174" s="43"/>
      <c r="G174" s="5"/>
      <c r="H174" s="17">
        <v>169</v>
      </c>
      <c r="I174" s="18" t="str">
        <f t="shared" si="14"/>
        <v/>
      </c>
      <c r="J174" s="17">
        <f t="shared" si="17"/>
        <v>-4</v>
      </c>
      <c r="K174" s="17">
        <f t="shared" si="15"/>
        <v>-40</v>
      </c>
      <c r="L174" s="17"/>
      <c r="M174" s="19">
        <f t="shared" si="16"/>
        <v>0</v>
      </c>
    </row>
    <row r="175" spans="1:13" x14ac:dyDescent="0.25">
      <c r="A175" s="43"/>
      <c r="G175" s="5"/>
      <c r="H175" s="17">
        <v>170</v>
      </c>
      <c r="I175" s="18" t="str">
        <f t="shared" si="14"/>
        <v/>
      </c>
      <c r="J175" s="17">
        <f t="shared" si="17"/>
        <v>-4</v>
      </c>
      <c r="K175" s="17">
        <f t="shared" si="15"/>
        <v>-40</v>
      </c>
      <c r="L175" s="17"/>
      <c r="M175" s="19">
        <f t="shared" si="16"/>
        <v>0</v>
      </c>
    </row>
    <row r="176" spans="1:13" x14ac:dyDescent="0.25">
      <c r="A176" s="43"/>
      <c r="G176" s="5"/>
      <c r="H176" s="17">
        <v>171</v>
      </c>
      <c r="I176" s="18" t="str">
        <f t="shared" si="14"/>
        <v/>
      </c>
      <c r="J176" s="17">
        <f t="shared" si="17"/>
        <v>-4</v>
      </c>
      <c r="K176" s="17">
        <f t="shared" si="15"/>
        <v>-40</v>
      </c>
      <c r="L176" s="17"/>
      <c r="M176" s="19">
        <f t="shared" si="16"/>
        <v>0</v>
      </c>
    </row>
    <row r="177" spans="1:13" x14ac:dyDescent="0.25">
      <c r="A177" s="43"/>
      <c r="G177" s="5"/>
      <c r="H177" s="17">
        <v>172</v>
      </c>
      <c r="I177" s="18" t="str">
        <f t="shared" si="14"/>
        <v/>
      </c>
      <c r="J177" s="17">
        <f t="shared" si="17"/>
        <v>-4</v>
      </c>
      <c r="K177" s="17">
        <f t="shared" si="15"/>
        <v>-40</v>
      </c>
      <c r="L177" s="17"/>
      <c r="M177" s="19">
        <f t="shared" si="16"/>
        <v>0</v>
      </c>
    </row>
    <row r="178" spans="1:13" x14ac:dyDescent="0.25">
      <c r="A178" s="43"/>
      <c r="G178" s="5"/>
      <c r="H178" s="17">
        <v>173</v>
      </c>
      <c r="I178" s="18" t="str">
        <f t="shared" si="14"/>
        <v/>
      </c>
      <c r="J178" s="17">
        <f t="shared" si="17"/>
        <v>-4</v>
      </c>
      <c r="K178" s="17">
        <f t="shared" si="15"/>
        <v>-40</v>
      </c>
      <c r="L178" s="17"/>
      <c r="M178" s="19">
        <f t="shared" si="16"/>
        <v>0</v>
      </c>
    </row>
    <row r="179" spans="1:13" x14ac:dyDescent="0.25">
      <c r="A179" s="43"/>
      <c r="G179" s="5"/>
      <c r="H179" s="17">
        <v>174</v>
      </c>
      <c r="I179" s="18" t="str">
        <f t="shared" si="14"/>
        <v/>
      </c>
      <c r="J179" s="17">
        <f t="shared" si="17"/>
        <v>-4</v>
      </c>
      <c r="K179" s="17">
        <f t="shared" si="15"/>
        <v>-40</v>
      </c>
      <c r="L179" s="17"/>
      <c r="M179" s="19">
        <f t="shared" si="16"/>
        <v>0</v>
      </c>
    </row>
    <row r="180" spans="1:13" x14ac:dyDescent="0.25">
      <c r="A180" s="43"/>
      <c r="G180" s="5"/>
      <c r="H180" s="17">
        <v>175</v>
      </c>
      <c r="I180" s="18" t="str">
        <f t="shared" si="14"/>
        <v/>
      </c>
      <c r="J180" s="17">
        <f t="shared" si="17"/>
        <v>-4</v>
      </c>
      <c r="K180" s="17">
        <f t="shared" si="15"/>
        <v>-40</v>
      </c>
      <c r="L180" s="17"/>
      <c r="M180" s="19">
        <f t="shared" si="16"/>
        <v>0</v>
      </c>
    </row>
    <row r="181" spans="1:13" x14ac:dyDescent="0.25">
      <c r="A181" s="43"/>
      <c r="G181" s="5"/>
      <c r="H181" s="17">
        <v>176</v>
      </c>
      <c r="I181" s="18" t="str">
        <f t="shared" si="14"/>
        <v/>
      </c>
      <c r="J181" s="17">
        <f t="shared" si="17"/>
        <v>-4</v>
      </c>
      <c r="K181" s="17">
        <f t="shared" si="15"/>
        <v>-40</v>
      </c>
      <c r="L181" s="17"/>
      <c r="M181" s="19">
        <f t="shared" si="16"/>
        <v>0</v>
      </c>
    </row>
    <row r="182" spans="1:13" x14ac:dyDescent="0.25">
      <c r="A182" s="43"/>
      <c r="G182" s="5"/>
      <c r="H182" s="17">
        <v>177</v>
      </c>
      <c r="I182" s="18" t="str">
        <f t="shared" si="14"/>
        <v/>
      </c>
      <c r="J182" s="17">
        <f t="shared" si="17"/>
        <v>-4</v>
      </c>
      <c r="K182" s="17">
        <f t="shared" si="15"/>
        <v>-40</v>
      </c>
      <c r="L182" s="17"/>
      <c r="M182" s="19">
        <f t="shared" si="16"/>
        <v>0</v>
      </c>
    </row>
    <row r="183" spans="1:13" x14ac:dyDescent="0.25">
      <c r="A183" s="43"/>
      <c r="G183" s="5"/>
      <c r="H183" s="17">
        <v>178</v>
      </c>
      <c r="I183" s="18" t="str">
        <f t="shared" si="14"/>
        <v/>
      </c>
      <c r="J183" s="17">
        <f t="shared" si="17"/>
        <v>-4</v>
      </c>
      <c r="K183" s="17">
        <f t="shared" si="15"/>
        <v>-40</v>
      </c>
      <c r="L183" s="17"/>
      <c r="M183" s="19">
        <f t="shared" si="16"/>
        <v>0</v>
      </c>
    </row>
    <row r="184" spans="1:13" x14ac:dyDescent="0.25">
      <c r="A184" s="43"/>
      <c r="G184" s="5"/>
      <c r="H184" s="17">
        <v>179</v>
      </c>
      <c r="I184" s="18" t="str">
        <f t="shared" si="14"/>
        <v/>
      </c>
      <c r="J184" s="17">
        <f t="shared" si="17"/>
        <v>-4</v>
      </c>
      <c r="K184" s="17">
        <f t="shared" si="15"/>
        <v>-40</v>
      </c>
      <c r="L184" s="17"/>
      <c r="M184" s="19">
        <f t="shared" si="16"/>
        <v>0</v>
      </c>
    </row>
    <row r="185" spans="1:13" x14ac:dyDescent="0.25">
      <c r="A185" s="43"/>
      <c r="G185" s="5"/>
      <c r="H185" s="17">
        <v>180</v>
      </c>
      <c r="I185" s="18" t="str">
        <f t="shared" si="14"/>
        <v/>
      </c>
      <c r="J185" s="17">
        <f t="shared" si="17"/>
        <v>-4</v>
      </c>
      <c r="K185" s="17">
        <f t="shared" si="15"/>
        <v>-40</v>
      </c>
      <c r="L185" s="17"/>
      <c r="M185" s="19">
        <f t="shared" si="16"/>
        <v>0</v>
      </c>
    </row>
    <row r="186" spans="1:13" x14ac:dyDescent="0.25">
      <c r="A186" s="43"/>
      <c r="G186" s="5"/>
      <c r="H186" s="17">
        <v>181</v>
      </c>
      <c r="I186" s="18" t="str">
        <f t="shared" si="14"/>
        <v/>
      </c>
      <c r="J186" s="17">
        <f t="shared" si="17"/>
        <v>-4</v>
      </c>
      <c r="K186" s="17">
        <f t="shared" si="15"/>
        <v>-40</v>
      </c>
      <c r="L186" s="17"/>
      <c r="M186" s="19">
        <f t="shared" si="16"/>
        <v>0</v>
      </c>
    </row>
    <row r="187" spans="1:13" x14ac:dyDescent="0.25">
      <c r="A187" s="43"/>
      <c r="G187" s="5"/>
      <c r="H187" s="17">
        <v>182</v>
      </c>
      <c r="I187" s="18" t="str">
        <f t="shared" si="14"/>
        <v/>
      </c>
      <c r="J187" s="17">
        <f t="shared" si="17"/>
        <v>-4</v>
      </c>
      <c r="K187" s="17">
        <f t="shared" si="15"/>
        <v>-40</v>
      </c>
      <c r="L187" s="17"/>
      <c r="M187" s="19">
        <f t="shared" si="16"/>
        <v>0</v>
      </c>
    </row>
    <row r="188" spans="1:13" x14ac:dyDescent="0.25">
      <c r="A188" s="43"/>
      <c r="G188" s="5"/>
      <c r="H188" s="17">
        <v>183</v>
      </c>
      <c r="I188" s="18" t="str">
        <f t="shared" si="14"/>
        <v/>
      </c>
      <c r="J188" s="17">
        <f t="shared" si="17"/>
        <v>-4</v>
      </c>
      <c r="K188" s="17">
        <f t="shared" si="15"/>
        <v>-40</v>
      </c>
      <c r="L188" s="17"/>
      <c r="M188" s="19">
        <f t="shared" si="16"/>
        <v>0</v>
      </c>
    </row>
    <row r="189" spans="1:13" x14ac:dyDescent="0.25">
      <c r="A189" s="43"/>
      <c r="G189" s="5"/>
      <c r="H189" s="17">
        <v>184</v>
      </c>
      <c r="I189" s="18" t="str">
        <f t="shared" si="14"/>
        <v/>
      </c>
      <c r="J189" s="17">
        <f t="shared" si="17"/>
        <v>-4</v>
      </c>
      <c r="K189" s="17">
        <f t="shared" si="15"/>
        <v>-40</v>
      </c>
      <c r="L189" s="17"/>
      <c r="M189" s="19">
        <f t="shared" si="16"/>
        <v>0</v>
      </c>
    </row>
    <row r="190" spans="1:13" x14ac:dyDescent="0.25">
      <c r="A190" s="43"/>
      <c r="G190" s="5"/>
      <c r="H190" s="17">
        <v>185</v>
      </c>
      <c r="I190" s="18" t="str">
        <f t="shared" si="14"/>
        <v/>
      </c>
      <c r="J190" s="17">
        <f t="shared" si="17"/>
        <v>-4</v>
      </c>
      <c r="K190" s="17">
        <f t="shared" si="15"/>
        <v>-40</v>
      </c>
      <c r="L190" s="17"/>
      <c r="M190" s="19">
        <f t="shared" si="16"/>
        <v>0</v>
      </c>
    </row>
    <row r="191" spans="1:13" x14ac:dyDescent="0.25">
      <c r="A191" s="43"/>
      <c r="G191" s="5"/>
      <c r="H191" s="17">
        <v>186</v>
      </c>
      <c r="I191" s="18" t="str">
        <f t="shared" si="14"/>
        <v/>
      </c>
      <c r="J191" s="17">
        <f t="shared" si="17"/>
        <v>-4</v>
      </c>
      <c r="K191" s="17">
        <f t="shared" si="15"/>
        <v>-40</v>
      </c>
      <c r="L191" s="17"/>
      <c r="M191" s="19">
        <f t="shared" si="16"/>
        <v>0</v>
      </c>
    </row>
    <row r="192" spans="1:13" x14ac:dyDescent="0.25">
      <c r="A192" s="43"/>
      <c r="G192" s="5"/>
      <c r="H192" s="17">
        <v>187</v>
      </c>
      <c r="I192" s="18" t="str">
        <f t="shared" si="14"/>
        <v/>
      </c>
      <c r="J192" s="17">
        <f t="shared" si="17"/>
        <v>-4</v>
      </c>
      <c r="K192" s="17">
        <f t="shared" si="15"/>
        <v>-40</v>
      </c>
      <c r="L192" s="17"/>
      <c r="M192" s="19">
        <f t="shared" si="16"/>
        <v>0</v>
      </c>
    </row>
    <row r="193" spans="1:13" x14ac:dyDescent="0.25">
      <c r="A193" s="43"/>
      <c r="G193" s="5"/>
      <c r="H193" s="17">
        <v>188</v>
      </c>
      <c r="I193" s="18" t="str">
        <f t="shared" si="14"/>
        <v/>
      </c>
      <c r="J193" s="17">
        <f t="shared" si="17"/>
        <v>-4</v>
      </c>
      <c r="K193" s="17">
        <f t="shared" si="15"/>
        <v>-40</v>
      </c>
      <c r="L193" s="17"/>
      <c r="M193" s="19">
        <f t="shared" si="16"/>
        <v>0</v>
      </c>
    </row>
    <row r="194" spans="1:13" x14ac:dyDescent="0.25">
      <c r="A194" s="43"/>
      <c r="G194" s="5"/>
      <c r="H194" s="17">
        <v>189</v>
      </c>
      <c r="I194" s="18" t="str">
        <f t="shared" si="14"/>
        <v/>
      </c>
      <c r="J194" s="17">
        <f t="shared" si="17"/>
        <v>-4</v>
      </c>
      <c r="K194" s="17">
        <f t="shared" si="15"/>
        <v>-40</v>
      </c>
      <c r="L194" s="17"/>
      <c r="M194" s="19">
        <f t="shared" si="16"/>
        <v>0</v>
      </c>
    </row>
    <row r="195" spans="1:13" x14ac:dyDescent="0.25">
      <c r="A195" s="43"/>
      <c r="G195" s="5"/>
      <c r="H195" s="17">
        <v>190</v>
      </c>
      <c r="I195" s="18" t="str">
        <f t="shared" si="14"/>
        <v/>
      </c>
      <c r="J195" s="17">
        <f t="shared" si="17"/>
        <v>-4</v>
      </c>
      <c r="K195" s="17">
        <f t="shared" si="15"/>
        <v>-40</v>
      </c>
      <c r="L195" s="17"/>
      <c r="M195" s="19">
        <f t="shared" si="16"/>
        <v>0</v>
      </c>
    </row>
    <row r="196" spans="1:13" x14ac:dyDescent="0.25">
      <c r="A196" s="43"/>
      <c r="G196" s="5"/>
      <c r="H196" s="17">
        <v>191</v>
      </c>
      <c r="I196" s="18" t="str">
        <f t="shared" si="14"/>
        <v/>
      </c>
      <c r="J196" s="17">
        <f t="shared" si="17"/>
        <v>-4</v>
      </c>
      <c r="K196" s="17">
        <f t="shared" si="15"/>
        <v>-40</v>
      </c>
      <c r="L196" s="17"/>
      <c r="M196" s="19">
        <f t="shared" si="16"/>
        <v>0</v>
      </c>
    </row>
    <row r="197" spans="1:13" x14ac:dyDescent="0.25">
      <c r="A197" s="43"/>
      <c r="G197" s="5"/>
      <c r="H197" s="17">
        <v>192</v>
      </c>
      <c r="I197" s="18" t="str">
        <f t="shared" si="14"/>
        <v/>
      </c>
      <c r="J197" s="17">
        <f t="shared" si="17"/>
        <v>-4</v>
      </c>
      <c r="K197" s="17">
        <f t="shared" si="15"/>
        <v>-40</v>
      </c>
      <c r="L197" s="17"/>
      <c r="M197" s="19">
        <f t="shared" si="16"/>
        <v>0</v>
      </c>
    </row>
    <row r="198" spans="1:13" x14ac:dyDescent="0.25">
      <c r="A198" s="43"/>
      <c r="G198" s="5"/>
      <c r="H198" s="17">
        <v>193</v>
      </c>
      <c r="I198" s="18" t="str">
        <f t="shared" ref="I198:I261" si="18">IF(H198&lt;$H$2+1,($I$2-($I$2-1)*(LOG(H198)/LOG($H$2))),"")</f>
        <v/>
      </c>
      <c r="J198" s="17">
        <f t="shared" si="17"/>
        <v>-4</v>
      </c>
      <c r="K198" s="17">
        <f t="shared" ref="K198:K261" si="19">J198*$J$2</f>
        <v>-40</v>
      </c>
      <c r="L198" s="17"/>
      <c r="M198" s="19">
        <f t="shared" ref="M198:M261" si="20">IF(I198&lt;&gt;"",K198+I198+L198,0)</f>
        <v>0</v>
      </c>
    </row>
    <row r="199" spans="1:13" x14ac:dyDescent="0.25">
      <c r="A199" s="43"/>
      <c r="G199" s="5"/>
      <c r="H199" s="17">
        <v>194</v>
      </c>
      <c r="I199" s="18" t="str">
        <f t="shared" si="18"/>
        <v/>
      </c>
      <c r="J199" s="17">
        <f t="shared" ref="J199:J262" si="21">INT(LOG($H$2,2))-ROUNDUP(LOG(H199,2),0)+IF(OR($H$2=1,$H$2=2,$H$2=4,$H$2=8,$H$2=16,$H$2=32,$H$2=64,$H$2=128,$H$2=256),0,1)</f>
        <v>-4</v>
      </c>
      <c r="K199" s="17">
        <f t="shared" si="19"/>
        <v>-40</v>
      </c>
      <c r="L199" s="17"/>
      <c r="M199" s="19">
        <f t="shared" si="20"/>
        <v>0</v>
      </c>
    </row>
    <row r="200" spans="1:13" x14ac:dyDescent="0.25">
      <c r="A200" s="43"/>
      <c r="G200" s="5"/>
      <c r="H200" s="17">
        <v>195</v>
      </c>
      <c r="I200" s="18" t="str">
        <f t="shared" si="18"/>
        <v/>
      </c>
      <c r="J200" s="17">
        <f t="shared" si="21"/>
        <v>-4</v>
      </c>
      <c r="K200" s="17">
        <f t="shared" si="19"/>
        <v>-40</v>
      </c>
      <c r="L200" s="17"/>
      <c r="M200" s="19">
        <f t="shared" si="20"/>
        <v>0</v>
      </c>
    </row>
    <row r="201" spans="1:13" x14ac:dyDescent="0.25">
      <c r="A201" s="43"/>
      <c r="G201" s="5"/>
      <c r="H201" s="17">
        <v>196</v>
      </c>
      <c r="I201" s="18" t="str">
        <f t="shared" si="18"/>
        <v/>
      </c>
      <c r="J201" s="17">
        <f t="shared" si="21"/>
        <v>-4</v>
      </c>
      <c r="K201" s="17">
        <f t="shared" si="19"/>
        <v>-40</v>
      </c>
      <c r="L201" s="17"/>
      <c r="M201" s="19">
        <f t="shared" si="20"/>
        <v>0</v>
      </c>
    </row>
    <row r="202" spans="1:13" x14ac:dyDescent="0.25">
      <c r="A202" s="43"/>
      <c r="G202" s="5"/>
      <c r="H202" s="17">
        <v>197</v>
      </c>
      <c r="I202" s="18" t="str">
        <f t="shared" si="18"/>
        <v/>
      </c>
      <c r="J202" s="17">
        <f t="shared" si="21"/>
        <v>-4</v>
      </c>
      <c r="K202" s="17">
        <f t="shared" si="19"/>
        <v>-40</v>
      </c>
      <c r="L202" s="17"/>
      <c r="M202" s="19">
        <f t="shared" si="20"/>
        <v>0</v>
      </c>
    </row>
    <row r="203" spans="1:13" x14ac:dyDescent="0.25">
      <c r="A203" s="43"/>
      <c r="G203" s="5"/>
      <c r="H203" s="17">
        <v>198</v>
      </c>
      <c r="I203" s="18" t="str">
        <f t="shared" si="18"/>
        <v/>
      </c>
      <c r="J203" s="17">
        <f t="shared" si="21"/>
        <v>-4</v>
      </c>
      <c r="K203" s="17">
        <f t="shared" si="19"/>
        <v>-40</v>
      </c>
      <c r="L203" s="17"/>
      <c r="M203" s="19">
        <f t="shared" si="20"/>
        <v>0</v>
      </c>
    </row>
    <row r="204" spans="1:13" x14ac:dyDescent="0.25">
      <c r="A204" s="43"/>
      <c r="G204" s="5"/>
      <c r="H204" s="17">
        <v>199</v>
      </c>
      <c r="I204" s="18" t="str">
        <f t="shared" si="18"/>
        <v/>
      </c>
      <c r="J204" s="17">
        <f t="shared" si="21"/>
        <v>-4</v>
      </c>
      <c r="K204" s="17">
        <f t="shared" si="19"/>
        <v>-40</v>
      </c>
      <c r="L204" s="17"/>
      <c r="M204" s="19">
        <f t="shared" si="20"/>
        <v>0</v>
      </c>
    </row>
    <row r="205" spans="1:13" x14ac:dyDescent="0.25">
      <c r="A205" s="43"/>
      <c r="G205" s="5"/>
      <c r="H205" s="17">
        <v>200</v>
      </c>
      <c r="I205" s="18" t="str">
        <f t="shared" si="18"/>
        <v/>
      </c>
      <c r="J205" s="17">
        <f t="shared" si="21"/>
        <v>-4</v>
      </c>
      <c r="K205" s="17">
        <f t="shared" si="19"/>
        <v>-40</v>
      </c>
      <c r="L205" s="17"/>
      <c r="M205" s="19">
        <f t="shared" si="20"/>
        <v>0</v>
      </c>
    </row>
    <row r="206" spans="1:13" x14ac:dyDescent="0.25">
      <c r="A206" s="43"/>
      <c r="G206" s="5"/>
      <c r="H206" s="17">
        <v>201</v>
      </c>
      <c r="I206" s="18" t="str">
        <f t="shared" si="18"/>
        <v/>
      </c>
      <c r="J206" s="17">
        <f t="shared" si="21"/>
        <v>-4</v>
      </c>
      <c r="K206" s="17">
        <f t="shared" si="19"/>
        <v>-40</v>
      </c>
      <c r="L206" s="17"/>
      <c r="M206" s="19">
        <f t="shared" si="20"/>
        <v>0</v>
      </c>
    </row>
    <row r="207" spans="1:13" x14ac:dyDescent="0.25">
      <c r="A207" s="43"/>
      <c r="G207" s="5"/>
      <c r="H207" s="17">
        <v>202</v>
      </c>
      <c r="I207" s="18" t="str">
        <f t="shared" si="18"/>
        <v/>
      </c>
      <c r="J207" s="17">
        <f t="shared" si="21"/>
        <v>-4</v>
      </c>
      <c r="K207" s="17">
        <f t="shared" si="19"/>
        <v>-40</v>
      </c>
      <c r="L207" s="17"/>
      <c r="M207" s="19">
        <f t="shared" si="20"/>
        <v>0</v>
      </c>
    </row>
    <row r="208" spans="1:13" x14ac:dyDescent="0.25">
      <c r="A208" s="43"/>
      <c r="G208" s="5"/>
      <c r="H208" s="17">
        <v>203</v>
      </c>
      <c r="I208" s="18" t="str">
        <f t="shared" si="18"/>
        <v/>
      </c>
      <c r="J208" s="17">
        <f t="shared" si="21"/>
        <v>-4</v>
      </c>
      <c r="K208" s="17">
        <f t="shared" si="19"/>
        <v>-40</v>
      </c>
      <c r="L208" s="17"/>
      <c r="M208" s="19">
        <f t="shared" si="20"/>
        <v>0</v>
      </c>
    </row>
    <row r="209" spans="1:13" x14ac:dyDescent="0.25">
      <c r="A209" s="43"/>
      <c r="G209" s="5"/>
      <c r="H209" s="17">
        <v>204</v>
      </c>
      <c r="I209" s="18" t="str">
        <f t="shared" si="18"/>
        <v/>
      </c>
      <c r="J209" s="17">
        <f t="shared" si="21"/>
        <v>-4</v>
      </c>
      <c r="K209" s="17">
        <f t="shared" si="19"/>
        <v>-40</v>
      </c>
      <c r="L209" s="17"/>
      <c r="M209" s="19">
        <f t="shared" si="20"/>
        <v>0</v>
      </c>
    </row>
    <row r="210" spans="1:13" x14ac:dyDescent="0.25">
      <c r="A210" s="43"/>
      <c r="G210" s="5"/>
      <c r="H210" s="17">
        <v>205</v>
      </c>
      <c r="I210" s="18" t="str">
        <f t="shared" si="18"/>
        <v/>
      </c>
      <c r="J210" s="17">
        <f t="shared" si="21"/>
        <v>-4</v>
      </c>
      <c r="K210" s="17">
        <f t="shared" si="19"/>
        <v>-40</v>
      </c>
      <c r="L210" s="17"/>
      <c r="M210" s="19">
        <f t="shared" si="20"/>
        <v>0</v>
      </c>
    </row>
    <row r="211" spans="1:13" x14ac:dyDescent="0.25">
      <c r="A211" s="43"/>
      <c r="G211" s="5"/>
      <c r="H211" s="17">
        <v>206</v>
      </c>
      <c r="I211" s="18" t="str">
        <f t="shared" si="18"/>
        <v/>
      </c>
      <c r="J211" s="17">
        <f t="shared" si="21"/>
        <v>-4</v>
      </c>
      <c r="K211" s="17">
        <f t="shared" si="19"/>
        <v>-40</v>
      </c>
      <c r="L211" s="17"/>
      <c r="M211" s="19">
        <f t="shared" si="20"/>
        <v>0</v>
      </c>
    </row>
    <row r="212" spans="1:13" x14ac:dyDescent="0.25">
      <c r="A212" s="43"/>
      <c r="G212" s="5"/>
      <c r="H212" s="17">
        <v>207</v>
      </c>
      <c r="I212" s="18" t="str">
        <f t="shared" si="18"/>
        <v/>
      </c>
      <c r="J212" s="17">
        <f t="shared" si="21"/>
        <v>-4</v>
      </c>
      <c r="K212" s="17">
        <f t="shared" si="19"/>
        <v>-40</v>
      </c>
      <c r="L212" s="17"/>
      <c r="M212" s="19">
        <f t="shared" si="20"/>
        <v>0</v>
      </c>
    </row>
    <row r="213" spans="1:13" x14ac:dyDescent="0.25">
      <c r="A213" s="43"/>
      <c r="G213" s="5"/>
      <c r="H213" s="17">
        <v>208</v>
      </c>
      <c r="I213" s="18" t="str">
        <f t="shared" si="18"/>
        <v/>
      </c>
      <c r="J213" s="17">
        <f t="shared" si="21"/>
        <v>-4</v>
      </c>
      <c r="K213" s="17">
        <f t="shared" si="19"/>
        <v>-40</v>
      </c>
      <c r="L213" s="17"/>
      <c r="M213" s="19">
        <f t="shared" si="20"/>
        <v>0</v>
      </c>
    </row>
    <row r="214" spans="1:13" x14ac:dyDescent="0.25">
      <c r="A214" s="43"/>
      <c r="G214" s="5"/>
      <c r="H214" s="17">
        <v>209</v>
      </c>
      <c r="I214" s="18" t="str">
        <f t="shared" si="18"/>
        <v/>
      </c>
      <c r="J214" s="17">
        <f t="shared" si="21"/>
        <v>-4</v>
      </c>
      <c r="K214" s="17">
        <f t="shared" si="19"/>
        <v>-40</v>
      </c>
      <c r="L214" s="17"/>
      <c r="M214" s="19">
        <f t="shared" si="20"/>
        <v>0</v>
      </c>
    </row>
    <row r="215" spans="1:13" x14ac:dyDescent="0.25">
      <c r="A215" s="43"/>
      <c r="G215" s="5"/>
      <c r="H215" s="17">
        <v>210</v>
      </c>
      <c r="I215" s="18" t="str">
        <f t="shared" si="18"/>
        <v/>
      </c>
      <c r="J215" s="17">
        <f t="shared" si="21"/>
        <v>-4</v>
      </c>
      <c r="K215" s="17">
        <f t="shared" si="19"/>
        <v>-40</v>
      </c>
      <c r="L215" s="17"/>
      <c r="M215" s="19">
        <f t="shared" si="20"/>
        <v>0</v>
      </c>
    </row>
    <row r="216" spans="1:13" x14ac:dyDescent="0.25">
      <c r="A216" s="43"/>
      <c r="G216" s="5"/>
      <c r="H216" s="17">
        <v>211</v>
      </c>
      <c r="I216" s="18" t="str">
        <f t="shared" si="18"/>
        <v/>
      </c>
      <c r="J216" s="17">
        <f t="shared" si="21"/>
        <v>-4</v>
      </c>
      <c r="K216" s="17">
        <f t="shared" si="19"/>
        <v>-40</v>
      </c>
      <c r="L216" s="17"/>
      <c r="M216" s="19">
        <f t="shared" si="20"/>
        <v>0</v>
      </c>
    </row>
    <row r="217" spans="1:13" x14ac:dyDescent="0.25">
      <c r="A217" s="43"/>
      <c r="G217" s="5"/>
      <c r="H217" s="17">
        <v>212</v>
      </c>
      <c r="I217" s="18" t="str">
        <f t="shared" si="18"/>
        <v/>
      </c>
      <c r="J217" s="17">
        <f t="shared" si="21"/>
        <v>-4</v>
      </c>
      <c r="K217" s="17">
        <f t="shared" si="19"/>
        <v>-40</v>
      </c>
      <c r="L217" s="17"/>
      <c r="M217" s="19">
        <f t="shared" si="20"/>
        <v>0</v>
      </c>
    </row>
    <row r="218" spans="1:13" x14ac:dyDescent="0.25">
      <c r="A218" s="43"/>
      <c r="G218" s="5"/>
      <c r="H218" s="17">
        <v>213</v>
      </c>
      <c r="I218" s="18" t="str">
        <f t="shared" si="18"/>
        <v/>
      </c>
      <c r="J218" s="17">
        <f t="shared" si="21"/>
        <v>-4</v>
      </c>
      <c r="K218" s="17">
        <f t="shared" si="19"/>
        <v>-40</v>
      </c>
      <c r="L218" s="17"/>
      <c r="M218" s="19">
        <f t="shared" si="20"/>
        <v>0</v>
      </c>
    </row>
    <row r="219" spans="1:13" x14ac:dyDescent="0.25">
      <c r="A219" s="43"/>
      <c r="G219" s="5"/>
      <c r="H219" s="17">
        <v>214</v>
      </c>
      <c r="I219" s="18" t="str">
        <f t="shared" si="18"/>
        <v/>
      </c>
      <c r="J219" s="17">
        <f t="shared" si="21"/>
        <v>-4</v>
      </c>
      <c r="K219" s="17">
        <f t="shared" si="19"/>
        <v>-40</v>
      </c>
      <c r="L219" s="17"/>
      <c r="M219" s="19">
        <f t="shared" si="20"/>
        <v>0</v>
      </c>
    </row>
    <row r="220" spans="1:13" x14ac:dyDescent="0.25">
      <c r="A220" s="43"/>
      <c r="G220" s="5"/>
      <c r="H220" s="17">
        <v>215</v>
      </c>
      <c r="I220" s="18" t="str">
        <f t="shared" si="18"/>
        <v/>
      </c>
      <c r="J220" s="17">
        <f t="shared" si="21"/>
        <v>-4</v>
      </c>
      <c r="K220" s="17">
        <f t="shared" si="19"/>
        <v>-40</v>
      </c>
      <c r="L220" s="17"/>
      <c r="M220" s="19">
        <f t="shared" si="20"/>
        <v>0</v>
      </c>
    </row>
    <row r="221" spans="1:13" x14ac:dyDescent="0.25">
      <c r="A221" s="43"/>
      <c r="G221" s="5"/>
      <c r="H221" s="17">
        <v>216</v>
      </c>
      <c r="I221" s="18" t="str">
        <f t="shared" si="18"/>
        <v/>
      </c>
      <c r="J221" s="17">
        <f t="shared" si="21"/>
        <v>-4</v>
      </c>
      <c r="K221" s="17">
        <f t="shared" si="19"/>
        <v>-40</v>
      </c>
      <c r="L221" s="17"/>
      <c r="M221" s="19">
        <f t="shared" si="20"/>
        <v>0</v>
      </c>
    </row>
    <row r="222" spans="1:13" x14ac:dyDescent="0.25">
      <c r="A222" s="43"/>
      <c r="G222" s="5"/>
      <c r="H222" s="17">
        <v>217</v>
      </c>
      <c r="I222" s="18" t="str">
        <f t="shared" si="18"/>
        <v/>
      </c>
      <c r="J222" s="17">
        <f t="shared" si="21"/>
        <v>-4</v>
      </c>
      <c r="K222" s="17">
        <f t="shared" si="19"/>
        <v>-40</v>
      </c>
      <c r="L222" s="17"/>
      <c r="M222" s="19">
        <f t="shared" si="20"/>
        <v>0</v>
      </c>
    </row>
    <row r="223" spans="1:13" x14ac:dyDescent="0.25">
      <c r="A223" s="43"/>
      <c r="G223" s="5"/>
      <c r="H223" s="17">
        <v>218</v>
      </c>
      <c r="I223" s="18" t="str">
        <f t="shared" si="18"/>
        <v/>
      </c>
      <c r="J223" s="17">
        <f t="shared" si="21"/>
        <v>-4</v>
      </c>
      <c r="K223" s="17">
        <f t="shared" si="19"/>
        <v>-40</v>
      </c>
      <c r="L223" s="17"/>
      <c r="M223" s="19">
        <f t="shared" si="20"/>
        <v>0</v>
      </c>
    </row>
    <row r="224" spans="1:13" x14ac:dyDescent="0.25">
      <c r="A224" s="43"/>
      <c r="G224" s="5"/>
      <c r="H224" s="17">
        <v>219</v>
      </c>
      <c r="I224" s="18" t="str">
        <f t="shared" si="18"/>
        <v/>
      </c>
      <c r="J224" s="17">
        <f t="shared" si="21"/>
        <v>-4</v>
      </c>
      <c r="K224" s="17">
        <f t="shared" si="19"/>
        <v>-40</v>
      </c>
      <c r="L224" s="17"/>
      <c r="M224" s="19">
        <f t="shared" si="20"/>
        <v>0</v>
      </c>
    </row>
    <row r="225" spans="1:13" x14ac:dyDescent="0.25">
      <c r="A225" s="43"/>
      <c r="G225" s="5"/>
      <c r="H225" s="17">
        <v>220</v>
      </c>
      <c r="I225" s="18" t="str">
        <f t="shared" si="18"/>
        <v/>
      </c>
      <c r="J225" s="17">
        <f t="shared" si="21"/>
        <v>-4</v>
      </c>
      <c r="K225" s="17">
        <f t="shared" si="19"/>
        <v>-40</v>
      </c>
      <c r="L225" s="17"/>
      <c r="M225" s="19">
        <f t="shared" si="20"/>
        <v>0</v>
      </c>
    </row>
    <row r="226" spans="1:13" x14ac:dyDescent="0.25">
      <c r="A226" s="43"/>
      <c r="G226" s="5"/>
      <c r="H226" s="17">
        <v>221</v>
      </c>
      <c r="I226" s="18" t="str">
        <f t="shared" si="18"/>
        <v/>
      </c>
      <c r="J226" s="17">
        <f t="shared" si="21"/>
        <v>-4</v>
      </c>
      <c r="K226" s="17">
        <f t="shared" si="19"/>
        <v>-40</v>
      </c>
      <c r="L226" s="17"/>
      <c r="M226" s="19">
        <f t="shared" si="20"/>
        <v>0</v>
      </c>
    </row>
    <row r="227" spans="1:13" x14ac:dyDescent="0.25">
      <c r="A227" s="43"/>
      <c r="G227" s="5"/>
      <c r="H227" s="17">
        <v>222</v>
      </c>
      <c r="I227" s="18" t="str">
        <f t="shared" si="18"/>
        <v/>
      </c>
      <c r="J227" s="17">
        <f t="shared" si="21"/>
        <v>-4</v>
      </c>
      <c r="K227" s="17">
        <f t="shared" si="19"/>
        <v>-40</v>
      </c>
      <c r="L227" s="17"/>
      <c r="M227" s="19">
        <f t="shared" si="20"/>
        <v>0</v>
      </c>
    </row>
    <row r="228" spans="1:13" x14ac:dyDescent="0.25">
      <c r="A228" s="43"/>
      <c r="G228" s="5"/>
      <c r="H228" s="17">
        <v>223</v>
      </c>
      <c r="I228" s="18" t="str">
        <f t="shared" si="18"/>
        <v/>
      </c>
      <c r="J228" s="17">
        <f t="shared" si="21"/>
        <v>-4</v>
      </c>
      <c r="K228" s="17">
        <f t="shared" si="19"/>
        <v>-40</v>
      </c>
      <c r="L228" s="17"/>
      <c r="M228" s="19">
        <f t="shared" si="20"/>
        <v>0</v>
      </c>
    </row>
    <row r="229" spans="1:13" x14ac:dyDescent="0.25">
      <c r="A229" s="43"/>
      <c r="G229" s="5"/>
      <c r="H229" s="17">
        <v>224</v>
      </c>
      <c r="I229" s="18" t="str">
        <f t="shared" si="18"/>
        <v/>
      </c>
      <c r="J229" s="17">
        <f t="shared" si="21"/>
        <v>-4</v>
      </c>
      <c r="K229" s="17">
        <f t="shared" si="19"/>
        <v>-40</v>
      </c>
      <c r="L229" s="17"/>
      <c r="M229" s="19">
        <f t="shared" si="20"/>
        <v>0</v>
      </c>
    </row>
    <row r="230" spans="1:13" x14ac:dyDescent="0.25">
      <c r="A230" s="43"/>
      <c r="G230" s="5"/>
      <c r="H230" s="17">
        <v>225</v>
      </c>
      <c r="I230" s="18" t="str">
        <f t="shared" si="18"/>
        <v/>
      </c>
      <c r="J230" s="17">
        <f t="shared" si="21"/>
        <v>-4</v>
      </c>
      <c r="K230" s="17">
        <f t="shared" si="19"/>
        <v>-40</v>
      </c>
      <c r="L230" s="17"/>
      <c r="M230" s="19">
        <f t="shared" si="20"/>
        <v>0</v>
      </c>
    </row>
    <row r="231" spans="1:13" x14ac:dyDescent="0.25">
      <c r="A231" s="43"/>
      <c r="G231" s="5"/>
      <c r="H231" s="17">
        <v>226</v>
      </c>
      <c r="I231" s="18" t="str">
        <f t="shared" si="18"/>
        <v/>
      </c>
      <c r="J231" s="17">
        <f t="shared" si="21"/>
        <v>-4</v>
      </c>
      <c r="K231" s="17">
        <f t="shared" si="19"/>
        <v>-40</v>
      </c>
      <c r="L231" s="17"/>
      <c r="M231" s="19">
        <f t="shared" si="20"/>
        <v>0</v>
      </c>
    </row>
    <row r="232" spans="1:13" x14ac:dyDescent="0.25">
      <c r="A232" s="43"/>
      <c r="G232" s="5"/>
      <c r="H232" s="17">
        <v>227</v>
      </c>
      <c r="I232" s="18" t="str">
        <f t="shared" si="18"/>
        <v/>
      </c>
      <c r="J232" s="17">
        <f t="shared" si="21"/>
        <v>-4</v>
      </c>
      <c r="K232" s="17">
        <f t="shared" si="19"/>
        <v>-40</v>
      </c>
      <c r="L232" s="17"/>
      <c r="M232" s="19">
        <f t="shared" si="20"/>
        <v>0</v>
      </c>
    </row>
    <row r="233" spans="1:13" x14ac:dyDescent="0.25">
      <c r="A233" s="43"/>
      <c r="G233" s="5"/>
      <c r="H233" s="17">
        <v>228</v>
      </c>
      <c r="I233" s="18" t="str">
        <f t="shared" si="18"/>
        <v/>
      </c>
      <c r="J233" s="17">
        <f t="shared" si="21"/>
        <v>-4</v>
      </c>
      <c r="K233" s="17">
        <f t="shared" si="19"/>
        <v>-40</v>
      </c>
      <c r="L233" s="17"/>
      <c r="M233" s="19">
        <f t="shared" si="20"/>
        <v>0</v>
      </c>
    </row>
    <row r="234" spans="1:13" x14ac:dyDescent="0.25">
      <c r="A234" s="43"/>
      <c r="G234" s="5"/>
      <c r="H234" s="17">
        <v>229</v>
      </c>
      <c r="I234" s="18" t="str">
        <f t="shared" si="18"/>
        <v/>
      </c>
      <c r="J234" s="17">
        <f t="shared" si="21"/>
        <v>-4</v>
      </c>
      <c r="K234" s="17">
        <f t="shared" si="19"/>
        <v>-40</v>
      </c>
      <c r="L234" s="17"/>
      <c r="M234" s="19">
        <f t="shared" si="20"/>
        <v>0</v>
      </c>
    </row>
    <row r="235" spans="1:13" x14ac:dyDescent="0.25">
      <c r="A235" s="43"/>
      <c r="G235" s="5"/>
      <c r="H235" s="17">
        <v>230</v>
      </c>
      <c r="I235" s="18" t="str">
        <f t="shared" si="18"/>
        <v/>
      </c>
      <c r="J235" s="17">
        <f t="shared" si="21"/>
        <v>-4</v>
      </c>
      <c r="K235" s="17">
        <f t="shared" si="19"/>
        <v>-40</v>
      </c>
      <c r="L235" s="17"/>
      <c r="M235" s="19">
        <f t="shared" si="20"/>
        <v>0</v>
      </c>
    </row>
    <row r="236" spans="1:13" x14ac:dyDescent="0.25">
      <c r="A236" s="43"/>
      <c r="G236" s="5"/>
      <c r="H236" s="17">
        <v>231</v>
      </c>
      <c r="I236" s="18" t="str">
        <f t="shared" si="18"/>
        <v/>
      </c>
      <c r="J236" s="17">
        <f t="shared" si="21"/>
        <v>-4</v>
      </c>
      <c r="K236" s="17">
        <f t="shared" si="19"/>
        <v>-40</v>
      </c>
      <c r="L236" s="17"/>
      <c r="M236" s="19">
        <f t="shared" si="20"/>
        <v>0</v>
      </c>
    </row>
    <row r="237" spans="1:13" x14ac:dyDescent="0.25">
      <c r="A237" s="43"/>
      <c r="G237" s="5"/>
      <c r="H237" s="17">
        <v>232</v>
      </c>
      <c r="I237" s="18" t="str">
        <f t="shared" si="18"/>
        <v/>
      </c>
      <c r="J237" s="17">
        <f t="shared" si="21"/>
        <v>-4</v>
      </c>
      <c r="K237" s="17">
        <f t="shared" si="19"/>
        <v>-40</v>
      </c>
      <c r="L237" s="17"/>
      <c r="M237" s="19">
        <f t="shared" si="20"/>
        <v>0</v>
      </c>
    </row>
    <row r="238" spans="1:13" x14ac:dyDescent="0.25">
      <c r="A238" s="43"/>
      <c r="G238" s="5"/>
      <c r="H238" s="17">
        <v>233</v>
      </c>
      <c r="I238" s="18" t="str">
        <f t="shared" si="18"/>
        <v/>
      </c>
      <c r="J238" s="17">
        <f t="shared" si="21"/>
        <v>-4</v>
      </c>
      <c r="K238" s="17">
        <f t="shared" si="19"/>
        <v>-40</v>
      </c>
      <c r="L238" s="17"/>
      <c r="M238" s="19">
        <f t="shared" si="20"/>
        <v>0</v>
      </c>
    </row>
    <row r="239" spans="1:13" x14ac:dyDescent="0.25">
      <c r="A239" s="43"/>
      <c r="G239" s="5"/>
      <c r="H239" s="17">
        <v>234</v>
      </c>
      <c r="I239" s="18" t="str">
        <f t="shared" si="18"/>
        <v/>
      </c>
      <c r="J239" s="17">
        <f t="shared" si="21"/>
        <v>-4</v>
      </c>
      <c r="K239" s="17">
        <f t="shared" si="19"/>
        <v>-40</v>
      </c>
      <c r="L239" s="17"/>
      <c r="M239" s="19">
        <f t="shared" si="20"/>
        <v>0</v>
      </c>
    </row>
    <row r="240" spans="1:13" x14ac:dyDescent="0.25">
      <c r="A240" s="43"/>
      <c r="G240" s="5"/>
      <c r="H240" s="17">
        <v>235</v>
      </c>
      <c r="I240" s="18" t="str">
        <f t="shared" si="18"/>
        <v/>
      </c>
      <c r="J240" s="17">
        <f t="shared" si="21"/>
        <v>-4</v>
      </c>
      <c r="K240" s="17">
        <f t="shared" si="19"/>
        <v>-40</v>
      </c>
      <c r="L240" s="17"/>
      <c r="M240" s="19">
        <f t="shared" si="20"/>
        <v>0</v>
      </c>
    </row>
    <row r="241" spans="1:13" x14ac:dyDescent="0.25">
      <c r="A241" s="43"/>
      <c r="G241" s="5"/>
      <c r="H241" s="17">
        <v>236</v>
      </c>
      <c r="I241" s="18" t="str">
        <f t="shared" si="18"/>
        <v/>
      </c>
      <c r="J241" s="17">
        <f t="shared" si="21"/>
        <v>-4</v>
      </c>
      <c r="K241" s="17">
        <f t="shared" si="19"/>
        <v>-40</v>
      </c>
      <c r="L241" s="17"/>
      <c r="M241" s="19">
        <f t="shared" si="20"/>
        <v>0</v>
      </c>
    </row>
    <row r="242" spans="1:13" x14ac:dyDescent="0.25">
      <c r="A242" s="43"/>
      <c r="G242" s="5"/>
      <c r="H242" s="17">
        <v>237</v>
      </c>
      <c r="I242" s="18" t="str">
        <f t="shared" si="18"/>
        <v/>
      </c>
      <c r="J242" s="17">
        <f t="shared" si="21"/>
        <v>-4</v>
      </c>
      <c r="K242" s="17">
        <f t="shared" si="19"/>
        <v>-40</v>
      </c>
      <c r="L242" s="17"/>
      <c r="M242" s="19">
        <f t="shared" si="20"/>
        <v>0</v>
      </c>
    </row>
    <row r="243" spans="1:13" x14ac:dyDescent="0.25">
      <c r="A243" s="43"/>
      <c r="G243" s="5"/>
      <c r="H243" s="17">
        <v>238</v>
      </c>
      <c r="I243" s="18" t="str">
        <f t="shared" si="18"/>
        <v/>
      </c>
      <c r="J243" s="17">
        <f t="shared" si="21"/>
        <v>-4</v>
      </c>
      <c r="K243" s="17">
        <f t="shared" si="19"/>
        <v>-40</v>
      </c>
      <c r="L243" s="17"/>
      <c r="M243" s="19">
        <f t="shared" si="20"/>
        <v>0</v>
      </c>
    </row>
    <row r="244" spans="1:13" x14ac:dyDescent="0.25">
      <c r="A244" s="43"/>
      <c r="G244" s="5"/>
      <c r="H244" s="17">
        <v>239</v>
      </c>
      <c r="I244" s="18" t="str">
        <f t="shared" si="18"/>
        <v/>
      </c>
      <c r="J244" s="17">
        <f t="shared" si="21"/>
        <v>-4</v>
      </c>
      <c r="K244" s="17">
        <f t="shared" si="19"/>
        <v>-40</v>
      </c>
      <c r="L244" s="17"/>
      <c r="M244" s="19">
        <f t="shared" si="20"/>
        <v>0</v>
      </c>
    </row>
    <row r="245" spans="1:13" x14ac:dyDescent="0.25">
      <c r="A245" s="43"/>
      <c r="G245" s="5"/>
      <c r="H245" s="17">
        <v>240</v>
      </c>
      <c r="I245" s="18" t="str">
        <f t="shared" si="18"/>
        <v/>
      </c>
      <c r="J245" s="17">
        <f t="shared" si="21"/>
        <v>-4</v>
      </c>
      <c r="K245" s="17">
        <f t="shared" si="19"/>
        <v>-40</v>
      </c>
      <c r="L245" s="17"/>
      <c r="M245" s="19">
        <f t="shared" si="20"/>
        <v>0</v>
      </c>
    </row>
    <row r="246" spans="1:13" x14ac:dyDescent="0.25">
      <c r="A246" s="43"/>
      <c r="G246" s="5"/>
      <c r="H246" s="17">
        <v>241</v>
      </c>
      <c r="I246" s="18" t="str">
        <f t="shared" si="18"/>
        <v/>
      </c>
      <c r="J246" s="17">
        <f t="shared" si="21"/>
        <v>-4</v>
      </c>
      <c r="K246" s="17">
        <f t="shared" si="19"/>
        <v>-40</v>
      </c>
      <c r="L246" s="17"/>
      <c r="M246" s="19">
        <f t="shared" si="20"/>
        <v>0</v>
      </c>
    </row>
    <row r="247" spans="1:13" x14ac:dyDescent="0.25">
      <c r="A247" s="43"/>
      <c r="G247" s="5"/>
      <c r="H247" s="17">
        <v>242</v>
      </c>
      <c r="I247" s="18" t="str">
        <f t="shared" si="18"/>
        <v/>
      </c>
      <c r="J247" s="17">
        <f t="shared" si="21"/>
        <v>-4</v>
      </c>
      <c r="K247" s="17">
        <f t="shared" si="19"/>
        <v>-40</v>
      </c>
      <c r="L247" s="17"/>
      <c r="M247" s="19">
        <f t="shared" si="20"/>
        <v>0</v>
      </c>
    </row>
    <row r="248" spans="1:13" x14ac:dyDescent="0.25">
      <c r="A248" s="43"/>
      <c r="G248" s="5"/>
      <c r="H248" s="17">
        <v>243</v>
      </c>
      <c r="I248" s="18" t="str">
        <f t="shared" si="18"/>
        <v/>
      </c>
      <c r="J248" s="17">
        <f t="shared" si="21"/>
        <v>-4</v>
      </c>
      <c r="K248" s="17">
        <f t="shared" si="19"/>
        <v>-40</v>
      </c>
      <c r="L248" s="17"/>
      <c r="M248" s="19">
        <f t="shared" si="20"/>
        <v>0</v>
      </c>
    </row>
    <row r="249" spans="1:13" x14ac:dyDescent="0.25">
      <c r="A249" s="43"/>
      <c r="G249" s="5"/>
      <c r="H249" s="17">
        <v>244</v>
      </c>
      <c r="I249" s="18" t="str">
        <f t="shared" si="18"/>
        <v/>
      </c>
      <c r="J249" s="17">
        <f t="shared" si="21"/>
        <v>-4</v>
      </c>
      <c r="K249" s="17">
        <f t="shared" si="19"/>
        <v>-40</v>
      </c>
      <c r="L249" s="17"/>
      <c r="M249" s="19">
        <f t="shared" si="20"/>
        <v>0</v>
      </c>
    </row>
    <row r="250" spans="1:13" x14ac:dyDescent="0.25">
      <c r="A250" s="43"/>
      <c r="G250" s="5"/>
      <c r="H250" s="17">
        <v>245</v>
      </c>
      <c r="I250" s="18" t="str">
        <f t="shared" si="18"/>
        <v/>
      </c>
      <c r="J250" s="17">
        <f t="shared" si="21"/>
        <v>-4</v>
      </c>
      <c r="K250" s="17">
        <f t="shared" si="19"/>
        <v>-40</v>
      </c>
      <c r="L250" s="17"/>
      <c r="M250" s="19">
        <f t="shared" si="20"/>
        <v>0</v>
      </c>
    </row>
    <row r="251" spans="1:13" x14ac:dyDescent="0.25">
      <c r="A251" s="43"/>
      <c r="G251" s="5"/>
      <c r="H251" s="17">
        <v>246</v>
      </c>
      <c r="I251" s="18" t="str">
        <f t="shared" si="18"/>
        <v/>
      </c>
      <c r="J251" s="17">
        <f t="shared" si="21"/>
        <v>-4</v>
      </c>
      <c r="K251" s="17">
        <f t="shared" si="19"/>
        <v>-40</v>
      </c>
      <c r="L251" s="17"/>
      <c r="M251" s="19">
        <f t="shared" si="20"/>
        <v>0</v>
      </c>
    </row>
    <row r="252" spans="1:13" x14ac:dyDescent="0.25">
      <c r="A252" s="43"/>
      <c r="G252" s="5"/>
      <c r="H252" s="17">
        <v>247</v>
      </c>
      <c r="I252" s="18" t="str">
        <f t="shared" si="18"/>
        <v/>
      </c>
      <c r="J252" s="17">
        <f t="shared" si="21"/>
        <v>-4</v>
      </c>
      <c r="K252" s="17">
        <f t="shared" si="19"/>
        <v>-40</v>
      </c>
      <c r="L252" s="17"/>
      <c r="M252" s="19">
        <f t="shared" si="20"/>
        <v>0</v>
      </c>
    </row>
    <row r="253" spans="1:13" x14ac:dyDescent="0.25">
      <c r="A253" s="43"/>
      <c r="G253" s="5"/>
      <c r="H253" s="17">
        <v>248</v>
      </c>
      <c r="I253" s="18" t="str">
        <f t="shared" si="18"/>
        <v/>
      </c>
      <c r="J253" s="17">
        <f t="shared" si="21"/>
        <v>-4</v>
      </c>
      <c r="K253" s="17">
        <f t="shared" si="19"/>
        <v>-40</v>
      </c>
      <c r="L253" s="17"/>
      <c r="M253" s="19">
        <f t="shared" si="20"/>
        <v>0</v>
      </c>
    </row>
    <row r="254" spans="1:13" x14ac:dyDescent="0.25">
      <c r="A254" s="43"/>
      <c r="G254" s="5"/>
      <c r="H254" s="17">
        <v>249</v>
      </c>
      <c r="I254" s="18" t="str">
        <f t="shared" si="18"/>
        <v/>
      </c>
      <c r="J254" s="17">
        <f t="shared" si="21"/>
        <v>-4</v>
      </c>
      <c r="K254" s="17">
        <f t="shared" si="19"/>
        <v>-40</v>
      </c>
      <c r="L254" s="17"/>
      <c r="M254" s="19">
        <f t="shared" si="20"/>
        <v>0</v>
      </c>
    </row>
    <row r="255" spans="1:13" x14ac:dyDescent="0.25">
      <c r="A255" s="43"/>
      <c r="G255" s="5"/>
      <c r="H255" s="17">
        <v>250</v>
      </c>
      <c r="I255" s="18" t="str">
        <f t="shared" si="18"/>
        <v/>
      </c>
      <c r="J255" s="17">
        <f t="shared" si="21"/>
        <v>-4</v>
      </c>
      <c r="K255" s="17">
        <f t="shared" si="19"/>
        <v>-40</v>
      </c>
      <c r="L255" s="17"/>
      <c r="M255" s="19">
        <f t="shared" si="20"/>
        <v>0</v>
      </c>
    </row>
    <row r="256" spans="1:13" x14ac:dyDescent="0.25">
      <c r="A256" s="43"/>
      <c r="G256" s="5"/>
      <c r="H256" s="17">
        <v>251</v>
      </c>
      <c r="I256" s="18" t="str">
        <f t="shared" si="18"/>
        <v/>
      </c>
      <c r="J256" s="17">
        <f t="shared" si="21"/>
        <v>-4</v>
      </c>
      <c r="K256" s="17">
        <f t="shared" si="19"/>
        <v>-40</v>
      </c>
      <c r="L256" s="17"/>
      <c r="M256" s="19">
        <f t="shared" si="20"/>
        <v>0</v>
      </c>
    </row>
    <row r="257" spans="1:13" x14ac:dyDescent="0.25">
      <c r="A257" s="43"/>
      <c r="G257" s="5"/>
      <c r="H257" s="17">
        <v>252</v>
      </c>
      <c r="I257" s="18" t="str">
        <f t="shared" si="18"/>
        <v/>
      </c>
      <c r="J257" s="17">
        <f t="shared" si="21"/>
        <v>-4</v>
      </c>
      <c r="K257" s="17">
        <f t="shared" si="19"/>
        <v>-40</v>
      </c>
      <c r="L257" s="17"/>
      <c r="M257" s="19">
        <f t="shared" si="20"/>
        <v>0</v>
      </c>
    </row>
    <row r="258" spans="1:13" x14ac:dyDescent="0.25">
      <c r="A258" s="43"/>
      <c r="G258" s="5"/>
      <c r="H258" s="17">
        <v>253</v>
      </c>
      <c r="I258" s="18" t="str">
        <f t="shared" si="18"/>
        <v/>
      </c>
      <c r="J258" s="17">
        <f t="shared" si="21"/>
        <v>-4</v>
      </c>
      <c r="K258" s="17">
        <f t="shared" si="19"/>
        <v>-40</v>
      </c>
      <c r="L258" s="17"/>
      <c r="M258" s="19">
        <f t="shared" si="20"/>
        <v>0</v>
      </c>
    </row>
    <row r="259" spans="1:13" x14ac:dyDescent="0.25">
      <c r="A259" s="43"/>
      <c r="G259" s="5"/>
      <c r="H259" s="17">
        <v>254</v>
      </c>
      <c r="I259" s="18" t="str">
        <f t="shared" si="18"/>
        <v/>
      </c>
      <c r="J259" s="17">
        <f t="shared" si="21"/>
        <v>-4</v>
      </c>
      <c r="K259" s="17">
        <f t="shared" si="19"/>
        <v>-40</v>
      </c>
      <c r="L259" s="17"/>
      <c r="M259" s="19">
        <f t="shared" si="20"/>
        <v>0</v>
      </c>
    </row>
    <row r="260" spans="1:13" x14ac:dyDescent="0.25">
      <c r="A260" s="43"/>
      <c r="G260" s="5"/>
      <c r="H260" s="17">
        <v>255</v>
      </c>
      <c r="I260" s="18" t="str">
        <f t="shared" si="18"/>
        <v/>
      </c>
      <c r="J260" s="17">
        <f t="shared" si="21"/>
        <v>-4</v>
      </c>
      <c r="K260" s="17">
        <f t="shared" si="19"/>
        <v>-40</v>
      </c>
      <c r="L260" s="17"/>
      <c r="M260" s="19">
        <f t="shared" si="20"/>
        <v>0</v>
      </c>
    </row>
    <row r="261" spans="1:13" x14ac:dyDescent="0.25">
      <c r="A261" s="43"/>
      <c r="G261" s="5"/>
      <c r="H261" s="17">
        <v>256</v>
      </c>
      <c r="I261" s="18" t="str">
        <f t="shared" si="18"/>
        <v/>
      </c>
      <c r="J261" s="17">
        <f t="shared" si="21"/>
        <v>-4</v>
      </c>
      <c r="K261" s="17">
        <f t="shared" si="19"/>
        <v>-40</v>
      </c>
      <c r="L261" s="17"/>
      <c r="M261" s="19">
        <f t="shared" si="20"/>
        <v>0</v>
      </c>
    </row>
    <row r="262" spans="1:13" x14ac:dyDescent="0.25">
      <c r="A262" s="43"/>
      <c r="G262" s="5"/>
      <c r="H262" s="17">
        <v>257</v>
      </c>
      <c r="I262" s="18" t="str">
        <f t="shared" ref="I262:I305" si="22">IF(H262&lt;$H$2+1,($I$2-($I$2-1)*(LOG(H262)/LOG($H$2))),"")</f>
        <v/>
      </c>
      <c r="J262" s="17">
        <f t="shared" si="21"/>
        <v>-5</v>
      </c>
      <c r="K262" s="17">
        <f t="shared" ref="K262:K305" si="23">J262*$J$2</f>
        <v>-50</v>
      </c>
      <c r="L262" s="17"/>
      <c r="M262" s="19">
        <f t="shared" ref="M262:M305" si="24">IF(I262&lt;&gt;"",K262+I262+L262,0)</f>
        <v>0</v>
      </c>
    </row>
    <row r="263" spans="1:13" x14ac:dyDescent="0.25">
      <c r="A263" s="43"/>
      <c r="G263" s="5"/>
      <c r="H263" s="17">
        <v>258</v>
      </c>
      <c r="I263" s="18" t="str">
        <f t="shared" si="22"/>
        <v/>
      </c>
      <c r="J263" s="17">
        <f t="shared" ref="J263:J326" si="25">INT(LOG($H$2,2))-ROUNDUP(LOG(H263,2),0)+IF(OR($H$2=1,$H$2=2,$H$2=4,$H$2=8,$H$2=16,$H$2=32,$H$2=64,$H$2=128,$H$2=256),0,1)</f>
        <v>-5</v>
      </c>
      <c r="K263" s="17">
        <f t="shared" si="23"/>
        <v>-50</v>
      </c>
      <c r="L263" s="17"/>
      <c r="M263" s="19">
        <f t="shared" si="24"/>
        <v>0</v>
      </c>
    </row>
    <row r="264" spans="1:13" x14ac:dyDescent="0.25">
      <c r="A264" s="43"/>
      <c r="G264" s="5"/>
      <c r="H264" s="17">
        <v>259</v>
      </c>
      <c r="I264" s="18" t="str">
        <f t="shared" si="22"/>
        <v/>
      </c>
      <c r="J264" s="17">
        <f t="shared" si="25"/>
        <v>-5</v>
      </c>
      <c r="K264" s="17">
        <f t="shared" si="23"/>
        <v>-50</v>
      </c>
      <c r="L264" s="17"/>
      <c r="M264" s="19">
        <f t="shared" si="24"/>
        <v>0</v>
      </c>
    </row>
    <row r="265" spans="1:13" x14ac:dyDescent="0.25">
      <c r="A265" s="43"/>
      <c r="G265" s="5"/>
      <c r="H265" s="17">
        <v>260</v>
      </c>
      <c r="I265" s="18" t="str">
        <f t="shared" si="22"/>
        <v/>
      </c>
      <c r="J265" s="17">
        <f t="shared" si="25"/>
        <v>-5</v>
      </c>
      <c r="K265" s="17">
        <f t="shared" si="23"/>
        <v>-50</v>
      </c>
      <c r="L265" s="17"/>
      <c r="M265" s="19">
        <f t="shared" si="24"/>
        <v>0</v>
      </c>
    </row>
    <row r="266" spans="1:13" x14ac:dyDescent="0.25">
      <c r="A266" s="43"/>
      <c r="G266" s="5"/>
      <c r="H266" s="17">
        <v>261</v>
      </c>
      <c r="I266" s="18" t="str">
        <f t="shared" si="22"/>
        <v/>
      </c>
      <c r="J266" s="17">
        <f t="shared" si="25"/>
        <v>-5</v>
      </c>
      <c r="K266" s="17">
        <f t="shared" si="23"/>
        <v>-50</v>
      </c>
      <c r="L266" s="17"/>
      <c r="M266" s="19">
        <f t="shared" si="24"/>
        <v>0</v>
      </c>
    </row>
    <row r="267" spans="1:13" x14ac:dyDescent="0.25">
      <c r="A267" s="43"/>
      <c r="G267" s="5"/>
      <c r="H267" s="17">
        <v>262</v>
      </c>
      <c r="I267" s="18" t="str">
        <f t="shared" si="22"/>
        <v/>
      </c>
      <c r="J267" s="17">
        <f t="shared" si="25"/>
        <v>-5</v>
      </c>
      <c r="K267" s="17">
        <f t="shared" si="23"/>
        <v>-50</v>
      </c>
      <c r="L267" s="17"/>
      <c r="M267" s="19">
        <f t="shared" si="24"/>
        <v>0</v>
      </c>
    </row>
    <row r="268" spans="1:13" x14ac:dyDescent="0.25">
      <c r="A268" s="43"/>
      <c r="G268" s="5"/>
      <c r="H268" s="17">
        <v>263</v>
      </c>
      <c r="I268" s="18" t="str">
        <f t="shared" si="22"/>
        <v/>
      </c>
      <c r="J268" s="17">
        <f t="shared" si="25"/>
        <v>-5</v>
      </c>
      <c r="K268" s="17">
        <f t="shared" si="23"/>
        <v>-50</v>
      </c>
      <c r="L268" s="17"/>
      <c r="M268" s="19">
        <f t="shared" si="24"/>
        <v>0</v>
      </c>
    </row>
    <row r="269" spans="1:13" x14ac:dyDescent="0.25">
      <c r="A269" s="43"/>
      <c r="G269" s="5"/>
      <c r="H269" s="17">
        <v>264</v>
      </c>
      <c r="I269" s="18" t="str">
        <f t="shared" si="22"/>
        <v/>
      </c>
      <c r="J269" s="17">
        <f t="shared" si="25"/>
        <v>-5</v>
      </c>
      <c r="K269" s="17">
        <f t="shared" si="23"/>
        <v>-50</v>
      </c>
      <c r="L269" s="17"/>
      <c r="M269" s="19">
        <f t="shared" si="24"/>
        <v>0</v>
      </c>
    </row>
    <row r="270" spans="1:13" x14ac:dyDescent="0.25">
      <c r="A270" s="43"/>
      <c r="G270" s="5"/>
      <c r="H270" s="17">
        <v>265</v>
      </c>
      <c r="I270" s="18" t="str">
        <f t="shared" si="22"/>
        <v/>
      </c>
      <c r="J270" s="17">
        <f t="shared" si="25"/>
        <v>-5</v>
      </c>
      <c r="K270" s="17">
        <f t="shared" si="23"/>
        <v>-50</v>
      </c>
      <c r="L270" s="17"/>
      <c r="M270" s="19">
        <f t="shared" si="24"/>
        <v>0</v>
      </c>
    </row>
    <row r="271" spans="1:13" x14ac:dyDescent="0.25">
      <c r="A271" s="43"/>
      <c r="G271" s="5"/>
      <c r="H271" s="17">
        <v>266</v>
      </c>
      <c r="I271" s="18" t="str">
        <f t="shared" si="22"/>
        <v/>
      </c>
      <c r="J271" s="17">
        <f t="shared" si="25"/>
        <v>-5</v>
      </c>
      <c r="K271" s="17">
        <f t="shared" si="23"/>
        <v>-50</v>
      </c>
      <c r="L271" s="17"/>
      <c r="M271" s="19">
        <f t="shared" si="24"/>
        <v>0</v>
      </c>
    </row>
    <row r="272" spans="1:13" x14ac:dyDescent="0.25">
      <c r="A272" s="43"/>
      <c r="G272" s="5"/>
      <c r="H272" s="17">
        <v>267</v>
      </c>
      <c r="I272" s="18" t="str">
        <f t="shared" si="22"/>
        <v/>
      </c>
      <c r="J272" s="17">
        <f t="shared" si="25"/>
        <v>-5</v>
      </c>
      <c r="K272" s="17">
        <f t="shared" si="23"/>
        <v>-50</v>
      </c>
      <c r="L272" s="17"/>
      <c r="M272" s="19">
        <f t="shared" si="24"/>
        <v>0</v>
      </c>
    </row>
    <row r="273" spans="1:13" x14ac:dyDescent="0.25">
      <c r="A273" s="43"/>
      <c r="G273" s="5"/>
      <c r="H273" s="17">
        <v>268</v>
      </c>
      <c r="I273" s="18" t="str">
        <f t="shared" si="22"/>
        <v/>
      </c>
      <c r="J273" s="17">
        <f t="shared" si="25"/>
        <v>-5</v>
      </c>
      <c r="K273" s="17">
        <f t="shared" si="23"/>
        <v>-50</v>
      </c>
      <c r="L273" s="17"/>
      <c r="M273" s="19">
        <f t="shared" si="24"/>
        <v>0</v>
      </c>
    </row>
    <row r="274" spans="1:13" x14ac:dyDescent="0.25">
      <c r="A274" s="43"/>
      <c r="G274" s="5"/>
      <c r="H274" s="17">
        <v>269</v>
      </c>
      <c r="I274" s="18" t="str">
        <f t="shared" si="22"/>
        <v/>
      </c>
      <c r="J274" s="17">
        <f t="shared" si="25"/>
        <v>-5</v>
      </c>
      <c r="K274" s="17">
        <f t="shared" si="23"/>
        <v>-50</v>
      </c>
      <c r="L274" s="17"/>
      <c r="M274" s="19">
        <f t="shared" si="24"/>
        <v>0</v>
      </c>
    </row>
    <row r="275" spans="1:13" x14ac:dyDescent="0.25">
      <c r="A275" s="43"/>
      <c r="G275" s="5"/>
      <c r="H275" s="17">
        <v>270</v>
      </c>
      <c r="I275" s="18" t="str">
        <f t="shared" si="22"/>
        <v/>
      </c>
      <c r="J275" s="17">
        <f t="shared" si="25"/>
        <v>-5</v>
      </c>
      <c r="K275" s="17">
        <f t="shared" si="23"/>
        <v>-50</v>
      </c>
      <c r="L275" s="17"/>
      <c r="M275" s="19">
        <f t="shared" si="24"/>
        <v>0</v>
      </c>
    </row>
    <row r="276" spans="1:13" x14ac:dyDescent="0.25">
      <c r="A276" s="43"/>
      <c r="G276" s="5"/>
      <c r="H276" s="17">
        <v>271</v>
      </c>
      <c r="I276" s="18" t="str">
        <f t="shared" si="22"/>
        <v/>
      </c>
      <c r="J276" s="17">
        <f t="shared" si="25"/>
        <v>-5</v>
      </c>
      <c r="K276" s="17">
        <f t="shared" si="23"/>
        <v>-50</v>
      </c>
      <c r="L276" s="17"/>
      <c r="M276" s="19">
        <f t="shared" si="24"/>
        <v>0</v>
      </c>
    </row>
    <row r="277" spans="1:13" x14ac:dyDescent="0.25">
      <c r="A277" s="43"/>
      <c r="G277" s="5"/>
      <c r="H277" s="17">
        <v>272</v>
      </c>
      <c r="I277" s="18" t="str">
        <f t="shared" si="22"/>
        <v/>
      </c>
      <c r="J277" s="17">
        <f t="shared" si="25"/>
        <v>-5</v>
      </c>
      <c r="K277" s="17">
        <f t="shared" si="23"/>
        <v>-50</v>
      </c>
      <c r="L277" s="17"/>
      <c r="M277" s="19">
        <f t="shared" si="24"/>
        <v>0</v>
      </c>
    </row>
    <row r="278" spans="1:13" x14ac:dyDescent="0.25">
      <c r="A278" s="43"/>
      <c r="G278" s="5"/>
      <c r="H278" s="17">
        <v>273</v>
      </c>
      <c r="I278" s="18" t="str">
        <f t="shared" si="22"/>
        <v/>
      </c>
      <c r="J278" s="17">
        <f t="shared" si="25"/>
        <v>-5</v>
      </c>
      <c r="K278" s="17">
        <f t="shared" si="23"/>
        <v>-50</v>
      </c>
      <c r="L278" s="17"/>
      <c r="M278" s="19">
        <f t="shared" si="24"/>
        <v>0</v>
      </c>
    </row>
    <row r="279" spans="1:13" x14ac:dyDescent="0.25">
      <c r="A279" s="43"/>
      <c r="G279" s="5"/>
      <c r="H279" s="17">
        <v>274</v>
      </c>
      <c r="I279" s="18" t="str">
        <f t="shared" si="22"/>
        <v/>
      </c>
      <c r="J279" s="17">
        <f t="shared" si="25"/>
        <v>-5</v>
      </c>
      <c r="K279" s="17">
        <f t="shared" si="23"/>
        <v>-50</v>
      </c>
      <c r="L279" s="17"/>
      <c r="M279" s="19">
        <f t="shared" si="24"/>
        <v>0</v>
      </c>
    </row>
    <row r="280" spans="1:13" x14ac:dyDescent="0.25">
      <c r="A280" s="43"/>
      <c r="G280" s="5"/>
      <c r="H280" s="17">
        <v>275</v>
      </c>
      <c r="I280" s="18" t="str">
        <f t="shared" si="22"/>
        <v/>
      </c>
      <c r="J280" s="17">
        <f t="shared" si="25"/>
        <v>-5</v>
      </c>
      <c r="K280" s="17">
        <f t="shared" si="23"/>
        <v>-50</v>
      </c>
      <c r="L280" s="17"/>
      <c r="M280" s="19">
        <f t="shared" si="24"/>
        <v>0</v>
      </c>
    </row>
    <row r="281" spans="1:13" x14ac:dyDescent="0.25">
      <c r="A281" s="43"/>
      <c r="G281" s="5"/>
      <c r="H281" s="17">
        <v>276</v>
      </c>
      <c r="I281" s="18" t="str">
        <f t="shared" si="22"/>
        <v/>
      </c>
      <c r="J281" s="17">
        <f t="shared" si="25"/>
        <v>-5</v>
      </c>
      <c r="K281" s="17">
        <f t="shared" si="23"/>
        <v>-50</v>
      </c>
      <c r="L281" s="17"/>
      <c r="M281" s="19">
        <f t="shared" si="24"/>
        <v>0</v>
      </c>
    </row>
    <row r="282" spans="1:13" x14ac:dyDescent="0.25">
      <c r="A282" s="43"/>
      <c r="G282" s="5"/>
      <c r="H282" s="17">
        <v>277</v>
      </c>
      <c r="I282" s="18" t="str">
        <f t="shared" si="22"/>
        <v/>
      </c>
      <c r="J282" s="17">
        <f t="shared" si="25"/>
        <v>-5</v>
      </c>
      <c r="K282" s="17">
        <f t="shared" si="23"/>
        <v>-50</v>
      </c>
      <c r="L282" s="17"/>
      <c r="M282" s="19">
        <f t="shared" si="24"/>
        <v>0</v>
      </c>
    </row>
    <row r="283" spans="1:13" x14ac:dyDescent="0.25">
      <c r="A283" s="43"/>
      <c r="G283" s="5"/>
      <c r="H283" s="17">
        <v>278</v>
      </c>
      <c r="I283" s="18" t="str">
        <f t="shared" si="22"/>
        <v/>
      </c>
      <c r="J283" s="17">
        <f t="shared" si="25"/>
        <v>-5</v>
      </c>
      <c r="K283" s="17">
        <f t="shared" si="23"/>
        <v>-50</v>
      </c>
      <c r="L283" s="17"/>
      <c r="M283" s="19">
        <f t="shared" si="24"/>
        <v>0</v>
      </c>
    </row>
    <row r="284" spans="1:13" x14ac:dyDescent="0.25">
      <c r="A284" s="43"/>
      <c r="G284" s="5"/>
      <c r="H284" s="17">
        <v>279</v>
      </c>
      <c r="I284" s="18" t="str">
        <f t="shared" si="22"/>
        <v/>
      </c>
      <c r="J284" s="17">
        <f t="shared" si="25"/>
        <v>-5</v>
      </c>
      <c r="K284" s="17">
        <f t="shared" si="23"/>
        <v>-50</v>
      </c>
      <c r="L284" s="17"/>
      <c r="M284" s="19">
        <f t="shared" si="24"/>
        <v>0</v>
      </c>
    </row>
    <row r="285" spans="1:13" x14ac:dyDescent="0.25">
      <c r="A285" s="43"/>
      <c r="G285" s="5"/>
      <c r="H285" s="17">
        <v>280</v>
      </c>
      <c r="I285" s="18" t="str">
        <f t="shared" si="22"/>
        <v/>
      </c>
      <c r="J285" s="17">
        <f t="shared" si="25"/>
        <v>-5</v>
      </c>
      <c r="K285" s="17">
        <f t="shared" si="23"/>
        <v>-50</v>
      </c>
      <c r="L285" s="17"/>
      <c r="M285" s="19">
        <f t="shared" si="24"/>
        <v>0</v>
      </c>
    </row>
    <row r="286" spans="1:13" x14ac:dyDescent="0.25">
      <c r="A286" s="43"/>
      <c r="G286" s="5"/>
      <c r="H286" s="17">
        <v>281</v>
      </c>
      <c r="I286" s="18" t="str">
        <f t="shared" si="22"/>
        <v/>
      </c>
      <c r="J286" s="17">
        <f t="shared" si="25"/>
        <v>-5</v>
      </c>
      <c r="K286" s="17">
        <f t="shared" si="23"/>
        <v>-50</v>
      </c>
      <c r="L286" s="17"/>
      <c r="M286" s="19">
        <f t="shared" si="24"/>
        <v>0</v>
      </c>
    </row>
    <row r="287" spans="1:13" x14ac:dyDescent="0.25">
      <c r="A287" s="43"/>
      <c r="G287" s="5"/>
      <c r="H287" s="17">
        <v>282</v>
      </c>
      <c r="I287" s="18" t="str">
        <f t="shared" si="22"/>
        <v/>
      </c>
      <c r="J287" s="17">
        <f t="shared" si="25"/>
        <v>-5</v>
      </c>
      <c r="K287" s="17">
        <f t="shared" si="23"/>
        <v>-50</v>
      </c>
      <c r="L287" s="17"/>
      <c r="M287" s="19">
        <f t="shared" si="24"/>
        <v>0</v>
      </c>
    </row>
    <row r="288" spans="1:13" x14ac:dyDescent="0.25">
      <c r="A288" s="43"/>
      <c r="G288" s="5"/>
      <c r="H288" s="17">
        <v>283</v>
      </c>
      <c r="I288" s="18" t="str">
        <f t="shared" si="22"/>
        <v/>
      </c>
      <c r="J288" s="17">
        <f t="shared" si="25"/>
        <v>-5</v>
      </c>
      <c r="K288" s="17">
        <f t="shared" si="23"/>
        <v>-50</v>
      </c>
      <c r="L288" s="17"/>
      <c r="M288" s="19">
        <f t="shared" si="24"/>
        <v>0</v>
      </c>
    </row>
    <row r="289" spans="1:13" x14ac:dyDescent="0.25">
      <c r="A289" s="43"/>
      <c r="G289" s="5"/>
      <c r="H289" s="17">
        <v>284</v>
      </c>
      <c r="I289" s="18" t="str">
        <f t="shared" si="22"/>
        <v/>
      </c>
      <c r="J289" s="17">
        <f t="shared" si="25"/>
        <v>-5</v>
      </c>
      <c r="K289" s="17">
        <f t="shared" si="23"/>
        <v>-50</v>
      </c>
      <c r="L289" s="17"/>
      <c r="M289" s="19">
        <f t="shared" si="24"/>
        <v>0</v>
      </c>
    </row>
    <row r="290" spans="1:13" x14ac:dyDescent="0.25">
      <c r="A290" s="43"/>
      <c r="G290" s="5"/>
      <c r="H290" s="17">
        <v>285</v>
      </c>
      <c r="I290" s="18" t="str">
        <f t="shared" si="22"/>
        <v/>
      </c>
      <c r="J290" s="17">
        <f t="shared" si="25"/>
        <v>-5</v>
      </c>
      <c r="K290" s="17">
        <f t="shared" si="23"/>
        <v>-50</v>
      </c>
      <c r="L290" s="17"/>
      <c r="M290" s="19">
        <f t="shared" si="24"/>
        <v>0</v>
      </c>
    </row>
    <row r="291" spans="1:13" x14ac:dyDescent="0.25">
      <c r="A291" s="43"/>
      <c r="G291" s="5"/>
      <c r="H291" s="17">
        <v>286</v>
      </c>
      <c r="I291" s="18" t="str">
        <f t="shared" si="22"/>
        <v/>
      </c>
      <c r="J291" s="17">
        <f t="shared" si="25"/>
        <v>-5</v>
      </c>
      <c r="K291" s="17">
        <f t="shared" si="23"/>
        <v>-50</v>
      </c>
      <c r="L291" s="17"/>
      <c r="M291" s="19">
        <f t="shared" si="24"/>
        <v>0</v>
      </c>
    </row>
    <row r="292" spans="1:13" x14ac:dyDescent="0.25">
      <c r="A292" s="43"/>
      <c r="G292" s="5"/>
      <c r="H292" s="17">
        <v>287</v>
      </c>
      <c r="I292" s="18" t="str">
        <f t="shared" si="22"/>
        <v/>
      </c>
      <c r="J292" s="17">
        <f t="shared" si="25"/>
        <v>-5</v>
      </c>
      <c r="K292" s="17">
        <f t="shared" si="23"/>
        <v>-50</v>
      </c>
      <c r="L292" s="17"/>
      <c r="M292" s="19">
        <f t="shared" si="24"/>
        <v>0</v>
      </c>
    </row>
    <row r="293" spans="1:13" x14ac:dyDescent="0.25">
      <c r="A293" s="43"/>
      <c r="G293" s="5"/>
      <c r="H293" s="17">
        <v>288</v>
      </c>
      <c r="I293" s="18" t="str">
        <f t="shared" si="22"/>
        <v/>
      </c>
      <c r="J293" s="17">
        <f t="shared" si="25"/>
        <v>-5</v>
      </c>
      <c r="K293" s="17">
        <f t="shared" si="23"/>
        <v>-50</v>
      </c>
      <c r="L293" s="17"/>
      <c r="M293" s="19">
        <f t="shared" si="24"/>
        <v>0</v>
      </c>
    </row>
    <row r="294" spans="1:13" x14ac:dyDescent="0.25">
      <c r="A294" s="43"/>
      <c r="G294" s="5"/>
      <c r="H294" s="17">
        <v>289</v>
      </c>
      <c r="I294" s="18" t="str">
        <f t="shared" si="22"/>
        <v/>
      </c>
      <c r="J294" s="17">
        <f t="shared" si="25"/>
        <v>-5</v>
      </c>
      <c r="K294" s="17">
        <f t="shared" si="23"/>
        <v>-50</v>
      </c>
      <c r="L294" s="17"/>
      <c r="M294" s="19">
        <f t="shared" si="24"/>
        <v>0</v>
      </c>
    </row>
    <row r="295" spans="1:13" x14ac:dyDescent="0.25">
      <c r="A295" s="43"/>
      <c r="G295" s="5"/>
      <c r="H295" s="17">
        <v>290</v>
      </c>
      <c r="I295" s="18" t="str">
        <f t="shared" si="22"/>
        <v/>
      </c>
      <c r="J295" s="17">
        <f t="shared" si="25"/>
        <v>-5</v>
      </c>
      <c r="K295" s="17">
        <f t="shared" si="23"/>
        <v>-50</v>
      </c>
      <c r="L295" s="17"/>
      <c r="M295" s="19">
        <f t="shared" si="24"/>
        <v>0</v>
      </c>
    </row>
    <row r="296" spans="1:13" x14ac:dyDescent="0.25">
      <c r="A296" s="43"/>
      <c r="G296" s="5"/>
      <c r="H296" s="17">
        <v>291</v>
      </c>
      <c r="I296" s="18" t="str">
        <f t="shared" si="22"/>
        <v/>
      </c>
      <c r="J296" s="17">
        <f t="shared" si="25"/>
        <v>-5</v>
      </c>
      <c r="K296" s="17">
        <f t="shared" si="23"/>
        <v>-50</v>
      </c>
      <c r="L296" s="17"/>
      <c r="M296" s="19">
        <f t="shared" si="24"/>
        <v>0</v>
      </c>
    </row>
    <row r="297" spans="1:13" x14ac:dyDescent="0.25">
      <c r="A297" s="43"/>
      <c r="G297" s="5"/>
      <c r="H297" s="17">
        <v>292</v>
      </c>
      <c r="I297" s="18" t="str">
        <f t="shared" si="22"/>
        <v/>
      </c>
      <c r="J297" s="17">
        <f t="shared" si="25"/>
        <v>-5</v>
      </c>
      <c r="K297" s="17">
        <f t="shared" si="23"/>
        <v>-50</v>
      </c>
      <c r="L297" s="17"/>
      <c r="M297" s="19">
        <f t="shared" si="24"/>
        <v>0</v>
      </c>
    </row>
    <row r="298" spans="1:13" x14ac:dyDescent="0.25">
      <c r="A298" s="43"/>
      <c r="G298" s="5"/>
      <c r="H298" s="17">
        <v>293</v>
      </c>
      <c r="I298" s="18" t="str">
        <f t="shared" si="22"/>
        <v/>
      </c>
      <c r="J298" s="17">
        <f t="shared" si="25"/>
        <v>-5</v>
      </c>
      <c r="K298" s="17">
        <f t="shared" si="23"/>
        <v>-50</v>
      </c>
      <c r="L298" s="17"/>
      <c r="M298" s="19">
        <f t="shared" si="24"/>
        <v>0</v>
      </c>
    </row>
    <row r="299" spans="1:13" x14ac:dyDescent="0.25">
      <c r="A299" s="43"/>
      <c r="G299" s="5"/>
      <c r="H299" s="17">
        <v>294</v>
      </c>
      <c r="I299" s="18" t="str">
        <f t="shared" si="22"/>
        <v/>
      </c>
      <c r="J299" s="17">
        <f t="shared" si="25"/>
        <v>-5</v>
      </c>
      <c r="K299" s="17">
        <f t="shared" si="23"/>
        <v>-50</v>
      </c>
      <c r="L299" s="17"/>
      <c r="M299" s="19">
        <f t="shared" si="24"/>
        <v>0</v>
      </c>
    </row>
    <row r="300" spans="1:13" x14ac:dyDescent="0.25">
      <c r="A300" s="43"/>
      <c r="G300" s="5"/>
      <c r="H300" s="17">
        <v>295</v>
      </c>
      <c r="I300" s="18" t="str">
        <f t="shared" si="22"/>
        <v/>
      </c>
      <c r="J300" s="17">
        <f t="shared" si="25"/>
        <v>-5</v>
      </c>
      <c r="K300" s="17">
        <f t="shared" si="23"/>
        <v>-50</v>
      </c>
      <c r="L300" s="17"/>
      <c r="M300" s="19">
        <f t="shared" si="24"/>
        <v>0</v>
      </c>
    </row>
    <row r="301" spans="1:13" x14ac:dyDescent="0.25">
      <c r="A301" s="43"/>
      <c r="G301" s="5"/>
      <c r="H301" s="17">
        <v>296</v>
      </c>
      <c r="I301" s="18" t="str">
        <f t="shared" si="22"/>
        <v/>
      </c>
      <c r="J301" s="17">
        <f t="shared" si="25"/>
        <v>-5</v>
      </c>
      <c r="K301" s="17">
        <f t="shared" si="23"/>
        <v>-50</v>
      </c>
      <c r="L301" s="17"/>
      <c r="M301" s="19">
        <f t="shared" si="24"/>
        <v>0</v>
      </c>
    </row>
    <row r="302" spans="1:13" x14ac:dyDescent="0.25">
      <c r="A302" s="43"/>
      <c r="G302" s="5"/>
      <c r="H302" s="17">
        <v>297</v>
      </c>
      <c r="I302" s="18" t="str">
        <f t="shared" si="22"/>
        <v/>
      </c>
      <c r="J302" s="17">
        <f t="shared" si="25"/>
        <v>-5</v>
      </c>
      <c r="K302" s="17">
        <f t="shared" si="23"/>
        <v>-50</v>
      </c>
      <c r="L302" s="17"/>
      <c r="M302" s="19">
        <f t="shared" si="24"/>
        <v>0</v>
      </c>
    </row>
    <row r="303" spans="1:13" x14ac:dyDescent="0.25">
      <c r="A303" s="43"/>
      <c r="G303" s="5"/>
      <c r="H303" s="17">
        <v>298</v>
      </c>
      <c r="I303" s="18" t="str">
        <f t="shared" si="22"/>
        <v/>
      </c>
      <c r="J303" s="17">
        <f t="shared" si="25"/>
        <v>-5</v>
      </c>
      <c r="K303" s="17">
        <f t="shared" si="23"/>
        <v>-50</v>
      </c>
      <c r="L303" s="17"/>
      <c r="M303" s="19">
        <f t="shared" si="24"/>
        <v>0</v>
      </c>
    </row>
    <row r="304" spans="1:13" x14ac:dyDescent="0.25">
      <c r="A304" s="43"/>
      <c r="G304" s="5"/>
      <c r="H304" s="17">
        <v>299</v>
      </c>
      <c r="I304" s="18" t="str">
        <f t="shared" si="22"/>
        <v/>
      </c>
      <c r="J304" s="17">
        <f t="shared" si="25"/>
        <v>-5</v>
      </c>
      <c r="K304" s="17">
        <f t="shared" si="23"/>
        <v>-50</v>
      </c>
      <c r="L304" s="17"/>
      <c r="M304" s="19">
        <f t="shared" si="24"/>
        <v>0</v>
      </c>
    </row>
    <row r="305" spans="1:16" x14ac:dyDescent="0.25">
      <c r="A305" s="43"/>
      <c r="G305" s="5"/>
      <c r="H305" s="17">
        <v>300</v>
      </c>
      <c r="I305" s="18" t="str">
        <f t="shared" si="22"/>
        <v/>
      </c>
      <c r="J305" s="17">
        <f t="shared" si="25"/>
        <v>-5</v>
      </c>
      <c r="K305" s="17">
        <f t="shared" si="23"/>
        <v>-50</v>
      </c>
      <c r="L305" s="17"/>
      <c r="M305" s="19">
        <f t="shared" si="24"/>
        <v>0</v>
      </c>
    </row>
    <row r="306" spans="1:16" x14ac:dyDescent="0.25">
      <c r="A306" s="4"/>
      <c r="J306" s="20" t="e">
        <f t="shared" si="25"/>
        <v>#NUM!</v>
      </c>
    </row>
    <row r="307" spans="1:16" x14ac:dyDescent="0.25">
      <c r="J307" s="20" t="e">
        <f t="shared" si="25"/>
        <v>#NUM!</v>
      </c>
    </row>
    <row r="308" spans="1:16" x14ac:dyDescent="0.25">
      <c r="J308" s="20" t="e">
        <f t="shared" si="25"/>
        <v>#NUM!</v>
      </c>
    </row>
    <row r="309" spans="1:16" x14ac:dyDescent="0.25">
      <c r="J309" s="20" t="e">
        <f t="shared" si="25"/>
        <v>#NUM!</v>
      </c>
    </row>
    <row r="310" spans="1:16" x14ac:dyDescent="0.25">
      <c r="J310" s="20" t="e">
        <f t="shared" si="25"/>
        <v>#NUM!</v>
      </c>
    </row>
    <row r="311" spans="1:16" x14ac:dyDescent="0.25">
      <c r="J311" s="20" t="e">
        <f t="shared" si="25"/>
        <v>#NUM!</v>
      </c>
    </row>
    <row r="312" spans="1:16" x14ac:dyDescent="0.25">
      <c r="J312" s="20" t="e">
        <f t="shared" si="25"/>
        <v>#NUM!</v>
      </c>
    </row>
    <row r="313" spans="1:16" x14ac:dyDescent="0.25">
      <c r="J313" s="20" t="e">
        <f t="shared" si="25"/>
        <v>#NUM!</v>
      </c>
    </row>
    <row r="314" spans="1:16" x14ac:dyDescent="0.25">
      <c r="J314" s="20" t="e">
        <f t="shared" si="25"/>
        <v>#NUM!</v>
      </c>
      <c r="L314" s="21"/>
      <c r="P314" s="49"/>
    </row>
    <row r="315" spans="1:16" x14ac:dyDescent="0.25">
      <c r="J315" s="20" t="e">
        <f t="shared" si="25"/>
        <v>#NUM!</v>
      </c>
      <c r="L315" s="21"/>
      <c r="P315" s="49"/>
    </row>
    <row r="316" spans="1:16" x14ac:dyDescent="0.25">
      <c r="J316" s="20" t="e">
        <f t="shared" si="25"/>
        <v>#NUM!</v>
      </c>
      <c r="L316" s="21"/>
      <c r="P316" s="49"/>
    </row>
    <row r="317" spans="1:16" x14ac:dyDescent="0.25">
      <c r="J317" s="20" t="e">
        <f t="shared" si="25"/>
        <v>#NUM!</v>
      </c>
      <c r="L317" s="21"/>
      <c r="P317" s="49"/>
    </row>
    <row r="318" spans="1:16" x14ac:dyDescent="0.25">
      <c r="J318" s="20" t="e">
        <f t="shared" si="25"/>
        <v>#NUM!</v>
      </c>
    </row>
    <row r="319" spans="1:16" x14ac:dyDescent="0.25">
      <c r="J319" s="20" t="e">
        <f t="shared" si="25"/>
        <v>#NUM!</v>
      </c>
    </row>
    <row r="320" spans="1:16" x14ac:dyDescent="0.25">
      <c r="J320" s="20" t="e">
        <f t="shared" si="25"/>
        <v>#NUM!</v>
      </c>
    </row>
    <row r="321" spans="10:10" x14ac:dyDescent="0.25">
      <c r="J321" s="20" t="e">
        <f t="shared" si="25"/>
        <v>#NUM!</v>
      </c>
    </row>
    <row r="322" spans="10:10" x14ac:dyDescent="0.25">
      <c r="J322" s="20" t="e">
        <f t="shared" si="25"/>
        <v>#NUM!</v>
      </c>
    </row>
    <row r="323" spans="10:10" x14ac:dyDescent="0.25">
      <c r="J323" s="20" t="e">
        <f t="shared" si="25"/>
        <v>#NUM!</v>
      </c>
    </row>
    <row r="324" spans="10:10" x14ac:dyDescent="0.25">
      <c r="J324" s="20" t="e">
        <f t="shared" si="25"/>
        <v>#NUM!</v>
      </c>
    </row>
    <row r="325" spans="10:10" x14ac:dyDescent="0.25">
      <c r="J325" s="20" t="e">
        <f t="shared" si="25"/>
        <v>#NUM!</v>
      </c>
    </row>
    <row r="326" spans="10:10" x14ac:dyDescent="0.25">
      <c r="J326" s="20" t="e">
        <f t="shared" si="25"/>
        <v>#NUM!</v>
      </c>
    </row>
    <row r="327" spans="10:10" x14ac:dyDescent="0.25">
      <c r="J327" s="20" t="e">
        <f t="shared" ref="J327:J390" si="26">INT(LOG($H$2,2))-ROUNDUP(LOG(H327,2),0)+IF(OR($H$2=1,$H$2=2,$H$2=4,$H$2=8,$H$2=16,$H$2=32,$H$2=64,$H$2=128,$H$2=256),0,1)</f>
        <v>#NUM!</v>
      </c>
    </row>
    <row r="328" spans="10:10" x14ac:dyDescent="0.25">
      <c r="J328" s="20" t="e">
        <f t="shared" si="26"/>
        <v>#NUM!</v>
      </c>
    </row>
    <row r="329" spans="10:10" x14ac:dyDescent="0.25">
      <c r="J329" s="20" t="e">
        <f t="shared" si="26"/>
        <v>#NUM!</v>
      </c>
    </row>
    <row r="330" spans="10:10" x14ac:dyDescent="0.25">
      <c r="J330" s="20" t="e">
        <f t="shared" si="26"/>
        <v>#NUM!</v>
      </c>
    </row>
    <row r="331" spans="10:10" x14ac:dyDescent="0.25">
      <c r="J331" s="20" t="e">
        <f t="shared" si="26"/>
        <v>#NUM!</v>
      </c>
    </row>
    <row r="332" spans="10:10" x14ac:dyDescent="0.25">
      <c r="J332" s="20" t="e">
        <f t="shared" si="26"/>
        <v>#NUM!</v>
      </c>
    </row>
    <row r="333" spans="10:10" x14ac:dyDescent="0.25">
      <c r="J333" s="20" t="e">
        <f t="shared" si="26"/>
        <v>#NUM!</v>
      </c>
    </row>
    <row r="334" spans="10:10" x14ac:dyDescent="0.25">
      <c r="J334" s="20" t="e">
        <f t="shared" si="26"/>
        <v>#NUM!</v>
      </c>
    </row>
    <row r="335" spans="10:10" x14ac:dyDescent="0.25">
      <c r="J335" s="20" t="e">
        <f t="shared" si="26"/>
        <v>#NUM!</v>
      </c>
    </row>
    <row r="336" spans="10:10" x14ac:dyDescent="0.25">
      <c r="J336" s="20" t="e">
        <f t="shared" si="26"/>
        <v>#NUM!</v>
      </c>
    </row>
    <row r="337" spans="10:10" x14ac:dyDescent="0.25">
      <c r="J337" s="20" t="e">
        <f t="shared" si="26"/>
        <v>#NUM!</v>
      </c>
    </row>
    <row r="338" spans="10:10" x14ac:dyDescent="0.25">
      <c r="J338" s="20" t="e">
        <f t="shared" si="26"/>
        <v>#NUM!</v>
      </c>
    </row>
    <row r="339" spans="10:10" x14ac:dyDescent="0.25">
      <c r="J339" s="20" t="e">
        <f t="shared" si="26"/>
        <v>#NUM!</v>
      </c>
    </row>
    <row r="340" spans="10:10" x14ac:dyDescent="0.25">
      <c r="J340" s="20" t="e">
        <f t="shared" si="26"/>
        <v>#NUM!</v>
      </c>
    </row>
    <row r="341" spans="10:10" x14ac:dyDescent="0.25">
      <c r="J341" s="20" t="e">
        <f t="shared" si="26"/>
        <v>#NUM!</v>
      </c>
    </row>
    <row r="342" spans="10:10" x14ac:dyDescent="0.25">
      <c r="J342" s="20" t="e">
        <f t="shared" si="26"/>
        <v>#NUM!</v>
      </c>
    </row>
    <row r="343" spans="10:10" x14ac:dyDescent="0.25">
      <c r="J343" s="20" t="e">
        <f t="shared" si="26"/>
        <v>#NUM!</v>
      </c>
    </row>
    <row r="344" spans="10:10" x14ac:dyDescent="0.25">
      <c r="J344" s="20" t="e">
        <f t="shared" si="26"/>
        <v>#NUM!</v>
      </c>
    </row>
    <row r="345" spans="10:10" x14ac:dyDescent="0.25">
      <c r="J345" s="20" t="e">
        <f t="shared" si="26"/>
        <v>#NUM!</v>
      </c>
    </row>
    <row r="346" spans="10:10" x14ac:dyDescent="0.25">
      <c r="J346" s="20" t="e">
        <f t="shared" si="26"/>
        <v>#NUM!</v>
      </c>
    </row>
    <row r="347" spans="10:10" x14ac:dyDescent="0.25">
      <c r="J347" s="20" t="e">
        <f t="shared" si="26"/>
        <v>#NUM!</v>
      </c>
    </row>
    <row r="348" spans="10:10" x14ac:dyDescent="0.25">
      <c r="J348" s="20" t="e">
        <f t="shared" si="26"/>
        <v>#NUM!</v>
      </c>
    </row>
    <row r="349" spans="10:10" x14ac:dyDescent="0.25">
      <c r="J349" s="20" t="e">
        <f t="shared" si="26"/>
        <v>#NUM!</v>
      </c>
    </row>
    <row r="350" spans="10:10" x14ac:dyDescent="0.25">
      <c r="J350" s="20" t="e">
        <f t="shared" si="26"/>
        <v>#NUM!</v>
      </c>
    </row>
    <row r="351" spans="10:10" x14ac:dyDescent="0.25">
      <c r="J351" s="20" t="e">
        <f t="shared" si="26"/>
        <v>#NUM!</v>
      </c>
    </row>
    <row r="352" spans="10:10" x14ac:dyDescent="0.25">
      <c r="J352" s="20" t="e">
        <f t="shared" si="26"/>
        <v>#NUM!</v>
      </c>
    </row>
    <row r="353" spans="10:10" x14ac:dyDescent="0.25">
      <c r="J353" s="20" t="e">
        <f t="shared" si="26"/>
        <v>#NUM!</v>
      </c>
    </row>
    <row r="354" spans="10:10" x14ac:dyDescent="0.25">
      <c r="J354" s="20" t="e">
        <f t="shared" si="26"/>
        <v>#NUM!</v>
      </c>
    </row>
    <row r="355" spans="10:10" x14ac:dyDescent="0.25">
      <c r="J355" s="20" t="e">
        <f t="shared" si="26"/>
        <v>#NUM!</v>
      </c>
    </row>
    <row r="356" spans="10:10" x14ac:dyDescent="0.25">
      <c r="J356" s="20" t="e">
        <f t="shared" si="26"/>
        <v>#NUM!</v>
      </c>
    </row>
    <row r="357" spans="10:10" x14ac:dyDescent="0.25">
      <c r="J357" s="20" t="e">
        <f t="shared" si="26"/>
        <v>#NUM!</v>
      </c>
    </row>
    <row r="358" spans="10:10" x14ac:dyDescent="0.25">
      <c r="J358" s="20" t="e">
        <f t="shared" si="26"/>
        <v>#NUM!</v>
      </c>
    </row>
    <row r="359" spans="10:10" x14ac:dyDescent="0.25">
      <c r="J359" s="20" t="e">
        <f t="shared" si="26"/>
        <v>#NUM!</v>
      </c>
    </row>
    <row r="360" spans="10:10" x14ac:dyDescent="0.25">
      <c r="J360" s="20" t="e">
        <f t="shared" si="26"/>
        <v>#NUM!</v>
      </c>
    </row>
    <row r="361" spans="10:10" x14ac:dyDescent="0.25">
      <c r="J361" s="20" t="e">
        <f t="shared" si="26"/>
        <v>#NUM!</v>
      </c>
    </row>
    <row r="362" spans="10:10" x14ac:dyDescent="0.25">
      <c r="J362" s="20" t="e">
        <f t="shared" si="26"/>
        <v>#NUM!</v>
      </c>
    </row>
    <row r="363" spans="10:10" x14ac:dyDescent="0.25">
      <c r="J363" s="20" t="e">
        <f t="shared" si="26"/>
        <v>#NUM!</v>
      </c>
    </row>
    <row r="364" spans="10:10" x14ac:dyDescent="0.25">
      <c r="J364" s="20" t="e">
        <f t="shared" si="26"/>
        <v>#NUM!</v>
      </c>
    </row>
    <row r="365" spans="10:10" x14ac:dyDescent="0.25">
      <c r="J365" s="20" t="e">
        <f t="shared" si="26"/>
        <v>#NUM!</v>
      </c>
    </row>
    <row r="366" spans="10:10" x14ac:dyDescent="0.25">
      <c r="J366" s="20" t="e">
        <f t="shared" si="26"/>
        <v>#NUM!</v>
      </c>
    </row>
    <row r="367" spans="10:10" x14ac:dyDescent="0.25">
      <c r="J367" s="20" t="e">
        <f t="shared" si="26"/>
        <v>#NUM!</v>
      </c>
    </row>
    <row r="368" spans="10:10" x14ac:dyDescent="0.25">
      <c r="J368" s="20" t="e">
        <f t="shared" si="26"/>
        <v>#NUM!</v>
      </c>
    </row>
    <row r="369" spans="10:10" x14ac:dyDescent="0.25">
      <c r="J369" s="20" t="e">
        <f t="shared" si="26"/>
        <v>#NUM!</v>
      </c>
    </row>
    <row r="370" spans="10:10" x14ac:dyDescent="0.25">
      <c r="J370" s="20" t="e">
        <f t="shared" si="26"/>
        <v>#NUM!</v>
      </c>
    </row>
    <row r="371" spans="10:10" x14ac:dyDescent="0.25">
      <c r="J371" s="20" t="e">
        <f t="shared" si="26"/>
        <v>#NUM!</v>
      </c>
    </row>
    <row r="372" spans="10:10" x14ac:dyDescent="0.25">
      <c r="J372" s="20" t="e">
        <f t="shared" si="26"/>
        <v>#NUM!</v>
      </c>
    </row>
    <row r="373" spans="10:10" x14ac:dyDescent="0.25">
      <c r="J373" s="20" t="e">
        <f t="shared" si="26"/>
        <v>#NUM!</v>
      </c>
    </row>
    <row r="374" spans="10:10" x14ac:dyDescent="0.25">
      <c r="J374" s="20" t="e">
        <f t="shared" si="26"/>
        <v>#NUM!</v>
      </c>
    </row>
    <row r="375" spans="10:10" x14ac:dyDescent="0.25">
      <c r="J375" s="20" t="e">
        <f t="shared" si="26"/>
        <v>#NUM!</v>
      </c>
    </row>
    <row r="376" spans="10:10" x14ac:dyDescent="0.25">
      <c r="J376" s="20" t="e">
        <f t="shared" si="26"/>
        <v>#NUM!</v>
      </c>
    </row>
    <row r="377" spans="10:10" x14ac:dyDescent="0.25">
      <c r="J377" s="20" t="e">
        <f t="shared" si="26"/>
        <v>#NUM!</v>
      </c>
    </row>
    <row r="378" spans="10:10" x14ac:dyDescent="0.25">
      <c r="J378" s="20" t="e">
        <f t="shared" si="26"/>
        <v>#NUM!</v>
      </c>
    </row>
    <row r="379" spans="10:10" x14ac:dyDescent="0.25">
      <c r="J379" s="20" t="e">
        <f t="shared" si="26"/>
        <v>#NUM!</v>
      </c>
    </row>
    <row r="380" spans="10:10" x14ac:dyDescent="0.25">
      <c r="J380" s="20" t="e">
        <f t="shared" si="26"/>
        <v>#NUM!</v>
      </c>
    </row>
    <row r="381" spans="10:10" x14ac:dyDescent="0.25">
      <c r="J381" s="20" t="e">
        <f t="shared" si="26"/>
        <v>#NUM!</v>
      </c>
    </row>
    <row r="382" spans="10:10" x14ac:dyDescent="0.25">
      <c r="J382" s="20" t="e">
        <f t="shared" si="26"/>
        <v>#NUM!</v>
      </c>
    </row>
    <row r="383" spans="10:10" x14ac:dyDescent="0.25">
      <c r="J383" s="20" t="e">
        <f t="shared" si="26"/>
        <v>#NUM!</v>
      </c>
    </row>
    <row r="384" spans="10:10" x14ac:dyDescent="0.25">
      <c r="J384" s="20" t="e">
        <f t="shared" si="26"/>
        <v>#NUM!</v>
      </c>
    </row>
    <row r="385" spans="10:10" x14ac:dyDescent="0.25">
      <c r="J385" s="20" t="e">
        <f t="shared" si="26"/>
        <v>#NUM!</v>
      </c>
    </row>
    <row r="386" spans="10:10" x14ac:dyDescent="0.25">
      <c r="J386" s="20" t="e">
        <f t="shared" si="26"/>
        <v>#NUM!</v>
      </c>
    </row>
    <row r="387" spans="10:10" x14ac:dyDescent="0.25">
      <c r="J387" s="20" t="e">
        <f t="shared" si="26"/>
        <v>#NUM!</v>
      </c>
    </row>
    <row r="388" spans="10:10" x14ac:dyDescent="0.25">
      <c r="J388" s="20" t="e">
        <f t="shared" si="26"/>
        <v>#NUM!</v>
      </c>
    </row>
    <row r="389" spans="10:10" x14ac:dyDescent="0.25">
      <c r="J389" s="20" t="e">
        <f t="shared" si="26"/>
        <v>#NUM!</v>
      </c>
    </row>
    <row r="390" spans="10:10" x14ac:dyDescent="0.25">
      <c r="J390" s="20" t="e">
        <f t="shared" si="26"/>
        <v>#NUM!</v>
      </c>
    </row>
    <row r="391" spans="10:10" x14ac:dyDescent="0.25">
      <c r="J391" s="20" t="e">
        <f t="shared" ref="J391:J454" si="27">INT(LOG($H$2,2))-ROUNDUP(LOG(H391,2),0)+IF(OR($H$2=1,$H$2=2,$H$2=4,$H$2=8,$H$2=16,$H$2=32,$H$2=64,$H$2=128,$H$2=256),0,1)</f>
        <v>#NUM!</v>
      </c>
    </row>
    <row r="392" spans="10:10" x14ac:dyDescent="0.25">
      <c r="J392" s="20" t="e">
        <f t="shared" si="27"/>
        <v>#NUM!</v>
      </c>
    </row>
    <row r="393" spans="10:10" x14ac:dyDescent="0.25">
      <c r="J393" s="20" t="e">
        <f t="shared" si="27"/>
        <v>#NUM!</v>
      </c>
    </row>
    <row r="394" spans="10:10" x14ac:dyDescent="0.25">
      <c r="J394" s="20" t="e">
        <f t="shared" si="27"/>
        <v>#NUM!</v>
      </c>
    </row>
    <row r="395" spans="10:10" x14ac:dyDescent="0.25">
      <c r="J395" s="20" t="e">
        <f t="shared" si="27"/>
        <v>#NUM!</v>
      </c>
    </row>
    <row r="396" spans="10:10" x14ac:dyDescent="0.25">
      <c r="J396" s="20" t="e">
        <f t="shared" si="27"/>
        <v>#NUM!</v>
      </c>
    </row>
    <row r="397" spans="10:10" x14ac:dyDescent="0.25">
      <c r="J397" s="20" t="e">
        <f t="shared" si="27"/>
        <v>#NUM!</v>
      </c>
    </row>
    <row r="398" spans="10:10" x14ac:dyDescent="0.25">
      <c r="J398" s="20" t="e">
        <f t="shared" si="27"/>
        <v>#NUM!</v>
      </c>
    </row>
    <row r="399" spans="10:10" x14ac:dyDescent="0.25">
      <c r="J399" s="20" t="e">
        <f t="shared" si="27"/>
        <v>#NUM!</v>
      </c>
    </row>
    <row r="400" spans="10:10" x14ac:dyDescent="0.25">
      <c r="J400" s="20" t="e">
        <f t="shared" si="27"/>
        <v>#NUM!</v>
      </c>
    </row>
    <row r="401" spans="10:10" x14ac:dyDescent="0.25">
      <c r="J401" s="20" t="e">
        <f t="shared" si="27"/>
        <v>#NUM!</v>
      </c>
    </row>
    <row r="402" spans="10:10" x14ac:dyDescent="0.25">
      <c r="J402" s="20" t="e">
        <f t="shared" si="27"/>
        <v>#NUM!</v>
      </c>
    </row>
    <row r="403" spans="10:10" x14ac:dyDescent="0.25">
      <c r="J403" s="20" t="e">
        <f t="shared" si="27"/>
        <v>#NUM!</v>
      </c>
    </row>
    <row r="404" spans="10:10" x14ac:dyDescent="0.25">
      <c r="J404" s="20" t="e">
        <f t="shared" si="27"/>
        <v>#NUM!</v>
      </c>
    </row>
    <row r="405" spans="10:10" x14ac:dyDescent="0.25">
      <c r="J405" s="20" t="e">
        <f t="shared" si="27"/>
        <v>#NUM!</v>
      </c>
    </row>
    <row r="406" spans="10:10" x14ac:dyDescent="0.25">
      <c r="J406" s="20" t="e">
        <f t="shared" si="27"/>
        <v>#NUM!</v>
      </c>
    </row>
    <row r="407" spans="10:10" x14ac:dyDescent="0.25">
      <c r="J407" s="20" t="e">
        <f t="shared" si="27"/>
        <v>#NUM!</v>
      </c>
    </row>
    <row r="408" spans="10:10" x14ac:dyDescent="0.25">
      <c r="J408" s="20" t="e">
        <f t="shared" si="27"/>
        <v>#NUM!</v>
      </c>
    </row>
    <row r="409" spans="10:10" x14ac:dyDescent="0.25">
      <c r="J409" s="20" t="e">
        <f t="shared" si="27"/>
        <v>#NUM!</v>
      </c>
    </row>
    <row r="410" spans="10:10" x14ac:dyDescent="0.25">
      <c r="J410" s="20" t="e">
        <f t="shared" si="27"/>
        <v>#NUM!</v>
      </c>
    </row>
    <row r="411" spans="10:10" x14ac:dyDescent="0.25">
      <c r="J411" s="20" t="e">
        <f t="shared" si="27"/>
        <v>#NUM!</v>
      </c>
    </row>
    <row r="412" spans="10:10" x14ac:dyDescent="0.25">
      <c r="J412" s="20" t="e">
        <f t="shared" si="27"/>
        <v>#NUM!</v>
      </c>
    </row>
    <row r="413" spans="10:10" x14ac:dyDescent="0.25">
      <c r="J413" s="20" t="e">
        <f t="shared" si="27"/>
        <v>#NUM!</v>
      </c>
    </row>
    <row r="414" spans="10:10" x14ac:dyDescent="0.25">
      <c r="J414" s="20" t="e">
        <f t="shared" si="27"/>
        <v>#NUM!</v>
      </c>
    </row>
    <row r="415" spans="10:10" x14ac:dyDescent="0.25">
      <c r="J415" s="20" t="e">
        <f t="shared" si="27"/>
        <v>#NUM!</v>
      </c>
    </row>
    <row r="416" spans="10:10" x14ac:dyDescent="0.25">
      <c r="J416" s="20" t="e">
        <f t="shared" si="27"/>
        <v>#NUM!</v>
      </c>
    </row>
    <row r="417" spans="10:10" x14ac:dyDescent="0.25">
      <c r="J417" s="20" t="e">
        <f t="shared" si="27"/>
        <v>#NUM!</v>
      </c>
    </row>
    <row r="418" spans="10:10" x14ac:dyDescent="0.25">
      <c r="J418" s="20" t="e">
        <f t="shared" si="27"/>
        <v>#NUM!</v>
      </c>
    </row>
    <row r="419" spans="10:10" x14ac:dyDescent="0.25">
      <c r="J419" s="20" t="e">
        <f t="shared" si="27"/>
        <v>#NUM!</v>
      </c>
    </row>
    <row r="420" spans="10:10" x14ac:dyDescent="0.25">
      <c r="J420" s="20" t="e">
        <f t="shared" si="27"/>
        <v>#NUM!</v>
      </c>
    </row>
    <row r="421" spans="10:10" x14ac:dyDescent="0.25">
      <c r="J421" s="20" t="e">
        <f t="shared" si="27"/>
        <v>#NUM!</v>
      </c>
    </row>
    <row r="422" spans="10:10" x14ac:dyDescent="0.25">
      <c r="J422" s="20" t="e">
        <f t="shared" si="27"/>
        <v>#NUM!</v>
      </c>
    </row>
    <row r="423" spans="10:10" x14ac:dyDescent="0.25">
      <c r="J423" s="20" t="e">
        <f t="shared" si="27"/>
        <v>#NUM!</v>
      </c>
    </row>
    <row r="424" spans="10:10" x14ac:dyDescent="0.25">
      <c r="J424" s="20" t="e">
        <f t="shared" si="27"/>
        <v>#NUM!</v>
      </c>
    </row>
    <row r="425" spans="10:10" x14ac:dyDescent="0.25">
      <c r="J425" s="20" t="e">
        <f t="shared" si="27"/>
        <v>#NUM!</v>
      </c>
    </row>
    <row r="426" spans="10:10" x14ac:dyDescent="0.25">
      <c r="J426" s="20" t="e">
        <f t="shared" si="27"/>
        <v>#NUM!</v>
      </c>
    </row>
    <row r="427" spans="10:10" x14ac:dyDescent="0.25">
      <c r="J427" s="20" t="e">
        <f t="shared" si="27"/>
        <v>#NUM!</v>
      </c>
    </row>
    <row r="428" spans="10:10" x14ac:dyDescent="0.25">
      <c r="J428" s="20" t="e">
        <f t="shared" si="27"/>
        <v>#NUM!</v>
      </c>
    </row>
    <row r="429" spans="10:10" x14ac:dyDescent="0.25">
      <c r="J429" s="20" t="e">
        <f t="shared" si="27"/>
        <v>#NUM!</v>
      </c>
    </row>
    <row r="430" spans="10:10" x14ac:dyDescent="0.25">
      <c r="J430" s="20" t="e">
        <f t="shared" si="27"/>
        <v>#NUM!</v>
      </c>
    </row>
    <row r="431" spans="10:10" x14ac:dyDescent="0.25">
      <c r="J431" s="20" t="e">
        <f t="shared" si="27"/>
        <v>#NUM!</v>
      </c>
    </row>
    <row r="432" spans="10:10" x14ac:dyDescent="0.25">
      <c r="J432" s="20" t="e">
        <f t="shared" si="27"/>
        <v>#NUM!</v>
      </c>
    </row>
    <row r="433" spans="10:10" x14ac:dyDescent="0.25">
      <c r="J433" s="20" t="e">
        <f t="shared" si="27"/>
        <v>#NUM!</v>
      </c>
    </row>
    <row r="434" spans="10:10" x14ac:dyDescent="0.25">
      <c r="J434" s="20" t="e">
        <f t="shared" si="27"/>
        <v>#NUM!</v>
      </c>
    </row>
    <row r="435" spans="10:10" x14ac:dyDescent="0.25">
      <c r="J435" s="20" t="e">
        <f t="shared" si="27"/>
        <v>#NUM!</v>
      </c>
    </row>
    <row r="436" spans="10:10" x14ac:dyDescent="0.25">
      <c r="J436" s="20" t="e">
        <f t="shared" si="27"/>
        <v>#NUM!</v>
      </c>
    </row>
    <row r="437" spans="10:10" x14ac:dyDescent="0.25">
      <c r="J437" s="20" t="e">
        <f t="shared" si="27"/>
        <v>#NUM!</v>
      </c>
    </row>
    <row r="438" spans="10:10" x14ac:dyDescent="0.25">
      <c r="J438" s="20" t="e">
        <f t="shared" si="27"/>
        <v>#NUM!</v>
      </c>
    </row>
    <row r="439" spans="10:10" x14ac:dyDescent="0.25">
      <c r="J439" s="20" t="e">
        <f t="shared" si="27"/>
        <v>#NUM!</v>
      </c>
    </row>
    <row r="440" spans="10:10" x14ac:dyDescent="0.25">
      <c r="J440" s="20" t="e">
        <f t="shared" si="27"/>
        <v>#NUM!</v>
      </c>
    </row>
    <row r="441" spans="10:10" x14ac:dyDescent="0.25">
      <c r="J441" s="20" t="e">
        <f t="shared" si="27"/>
        <v>#NUM!</v>
      </c>
    </row>
    <row r="442" spans="10:10" x14ac:dyDescent="0.25">
      <c r="J442" s="20" t="e">
        <f t="shared" si="27"/>
        <v>#NUM!</v>
      </c>
    </row>
    <row r="443" spans="10:10" x14ac:dyDescent="0.25">
      <c r="J443" s="20" t="e">
        <f t="shared" si="27"/>
        <v>#NUM!</v>
      </c>
    </row>
    <row r="444" spans="10:10" x14ac:dyDescent="0.25">
      <c r="J444" s="20" t="e">
        <f t="shared" si="27"/>
        <v>#NUM!</v>
      </c>
    </row>
    <row r="445" spans="10:10" x14ac:dyDescent="0.25">
      <c r="J445" s="20" t="e">
        <f t="shared" si="27"/>
        <v>#NUM!</v>
      </c>
    </row>
    <row r="446" spans="10:10" x14ac:dyDescent="0.25">
      <c r="J446" s="20" t="e">
        <f t="shared" si="27"/>
        <v>#NUM!</v>
      </c>
    </row>
    <row r="447" spans="10:10" x14ac:dyDescent="0.25">
      <c r="J447" s="20" t="e">
        <f t="shared" si="27"/>
        <v>#NUM!</v>
      </c>
    </row>
    <row r="448" spans="10:10" x14ac:dyDescent="0.25">
      <c r="J448" s="20" t="e">
        <f t="shared" si="27"/>
        <v>#NUM!</v>
      </c>
    </row>
    <row r="449" spans="10:10" x14ac:dyDescent="0.25">
      <c r="J449" s="20" t="e">
        <f t="shared" si="27"/>
        <v>#NUM!</v>
      </c>
    </row>
    <row r="450" spans="10:10" x14ac:dyDescent="0.25">
      <c r="J450" s="20" t="e">
        <f t="shared" si="27"/>
        <v>#NUM!</v>
      </c>
    </row>
    <row r="451" spans="10:10" x14ac:dyDescent="0.25">
      <c r="J451" s="20" t="e">
        <f t="shared" si="27"/>
        <v>#NUM!</v>
      </c>
    </row>
    <row r="452" spans="10:10" x14ac:dyDescent="0.25">
      <c r="J452" s="20" t="e">
        <f t="shared" si="27"/>
        <v>#NUM!</v>
      </c>
    </row>
    <row r="453" spans="10:10" x14ac:dyDescent="0.25">
      <c r="J453" s="20" t="e">
        <f t="shared" si="27"/>
        <v>#NUM!</v>
      </c>
    </row>
    <row r="454" spans="10:10" x14ac:dyDescent="0.25">
      <c r="J454" s="20" t="e">
        <f t="shared" si="27"/>
        <v>#NUM!</v>
      </c>
    </row>
    <row r="455" spans="10:10" x14ac:dyDescent="0.25">
      <c r="J455" s="20" t="e">
        <f t="shared" ref="J455:J518" si="28">INT(LOG($H$2,2))-ROUNDUP(LOG(H455,2),0)+IF(OR($H$2=1,$H$2=2,$H$2=4,$H$2=8,$H$2=16,$H$2=32,$H$2=64,$H$2=128,$H$2=256),0,1)</f>
        <v>#NUM!</v>
      </c>
    </row>
    <row r="456" spans="10:10" x14ac:dyDescent="0.25">
      <c r="J456" s="20" t="e">
        <f t="shared" si="28"/>
        <v>#NUM!</v>
      </c>
    </row>
    <row r="457" spans="10:10" x14ac:dyDescent="0.25">
      <c r="J457" s="20" t="e">
        <f t="shared" si="28"/>
        <v>#NUM!</v>
      </c>
    </row>
    <row r="458" spans="10:10" x14ac:dyDescent="0.25">
      <c r="J458" s="20" t="e">
        <f t="shared" si="28"/>
        <v>#NUM!</v>
      </c>
    </row>
    <row r="459" spans="10:10" x14ac:dyDescent="0.25">
      <c r="J459" s="20" t="e">
        <f t="shared" si="28"/>
        <v>#NUM!</v>
      </c>
    </row>
    <row r="460" spans="10:10" x14ac:dyDescent="0.25">
      <c r="J460" s="20" t="e">
        <f t="shared" si="28"/>
        <v>#NUM!</v>
      </c>
    </row>
    <row r="461" spans="10:10" x14ac:dyDescent="0.25">
      <c r="J461" s="20" t="e">
        <f t="shared" si="28"/>
        <v>#NUM!</v>
      </c>
    </row>
    <row r="462" spans="10:10" x14ac:dyDescent="0.25">
      <c r="J462" s="20" t="e">
        <f t="shared" si="28"/>
        <v>#NUM!</v>
      </c>
    </row>
    <row r="463" spans="10:10" x14ac:dyDescent="0.25">
      <c r="J463" s="20" t="e">
        <f t="shared" si="28"/>
        <v>#NUM!</v>
      </c>
    </row>
    <row r="464" spans="10:10" x14ac:dyDescent="0.25">
      <c r="J464" s="20" t="e">
        <f t="shared" si="28"/>
        <v>#NUM!</v>
      </c>
    </row>
    <row r="465" spans="10:10" x14ac:dyDescent="0.25">
      <c r="J465" s="20" t="e">
        <f t="shared" si="28"/>
        <v>#NUM!</v>
      </c>
    </row>
    <row r="466" spans="10:10" x14ac:dyDescent="0.25">
      <c r="J466" s="20" t="e">
        <f t="shared" si="28"/>
        <v>#NUM!</v>
      </c>
    </row>
    <row r="467" spans="10:10" x14ac:dyDescent="0.25">
      <c r="J467" s="20" t="e">
        <f t="shared" si="28"/>
        <v>#NUM!</v>
      </c>
    </row>
    <row r="468" spans="10:10" x14ac:dyDescent="0.25">
      <c r="J468" s="20" t="e">
        <f t="shared" si="28"/>
        <v>#NUM!</v>
      </c>
    </row>
    <row r="469" spans="10:10" x14ac:dyDescent="0.25">
      <c r="J469" s="20" t="e">
        <f t="shared" si="28"/>
        <v>#NUM!</v>
      </c>
    </row>
    <row r="470" spans="10:10" x14ac:dyDescent="0.25">
      <c r="J470" s="20" t="e">
        <f t="shared" si="28"/>
        <v>#NUM!</v>
      </c>
    </row>
    <row r="471" spans="10:10" x14ac:dyDescent="0.25">
      <c r="J471" s="20" t="e">
        <f t="shared" si="28"/>
        <v>#NUM!</v>
      </c>
    </row>
    <row r="472" spans="10:10" x14ac:dyDescent="0.25">
      <c r="J472" s="20" t="e">
        <f t="shared" si="28"/>
        <v>#NUM!</v>
      </c>
    </row>
    <row r="473" spans="10:10" x14ac:dyDescent="0.25">
      <c r="J473" s="20" t="e">
        <f t="shared" si="28"/>
        <v>#NUM!</v>
      </c>
    </row>
    <row r="474" spans="10:10" x14ac:dyDescent="0.25">
      <c r="J474" s="20" t="e">
        <f t="shared" si="28"/>
        <v>#NUM!</v>
      </c>
    </row>
    <row r="475" spans="10:10" x14ac:dyDescent="0.25">
      <c r="J475" s="20" t="e">
        <f t="shared" si="28"/>
        <v>#NUM!</v>
      </c>
    </row>
    <row r="476" spans="10:10" x14ac:dyDescent="0.25">
      <c r="J476" s="20" t="e">
        <f t="shared" si="28"/>
        <v>#NUM!</v>
      </c>
    </row>
    <row r="477" spans="10:10" x14ac:dyDescent="0.25">
      <c r="J477" s="20" t="e">
        <f t="shared" si="28"/>
        <v>#NUM!</v>
      </c>
    </row>
    <row r="478" spans="10:10" x14ac:dyDescent="0.25">
      <c r="J478" s="20" t="e">
        <f t="shared" si="28"/>
        <v>#NUM!</v>
      </c>
    </row>
    <row r="479" spans="10:10" x14ac:dyDescent="0.25">
      <c r="J479" s="20" t="e">
        <f t="shared" si="28"/>
        <v>#NUM!</v>
      </c>
    </row>
    <row r="480" spans="10:10" x14ac:dyDescent="0.25">
      <c r="J480" s="20" t="e">
        <f t="shared" si="28"/>
        <v>#NUM!</v>
      </c>
    </row>
    <row r="481" spans="10:10" x14ac:dyDescent="0.25">
      <c r="J481" s="20" t="e">
        <f t="shared" si="28"/>
        <v>#NUM!</v>
      </c>
    </row>
    <row r="482" spans="10:10" x14ac:dyDescent="0.25">
      <c r="J482" s="20" t="e">
        <f t="shared" si="28"/>
        <v>#NUM!</v>
      </c>
    </row>
    <row r="483" spans="10:10" x14ac:dyDescent="0.25">
      <c r="J483" s="20" t="e">
        <f t="shared" si="28"/>
        <v>#NUM!</v>
      </c>
    </row>
    <row r="484" spans="10:10" x14ac:dyDescent="0.25">
      <c r="J484" s="20" t="e">
        <f t="shared" si="28"/>
        <v>#NUM!</v>
      </c>
    </row>
    <row r="485" spans="10:10" x14ac:dyDescent="0.25">
      <c r="J485" s="20" t="e">
        <f t="shared" si="28"/>
        <v>#NUM!</v>
      </c>
    </row>
    <row r="486" spans="10:10" x14ac:dyDescent="0.25">
      <c r="J486" s="20" t="e">
        <f t="shared" si="28"/>
        <v>#NUM!</v>
      </c>
    </row>
    <row r="487" spans="10:10" x14ac:dyDescent="0.25">
      <c r="J487" s="20" t="e">
        <f t="shared" si="28"/>
        <v>#NUM!</v>
      </c>
    </row>
    <row r="488" spans="10:10" x14ac:dyDescent="0.25">
      <c r="J488" s="20" t="e">
        <f t="shared" si="28"/>
        <v>#NUM!</v>
      </c>
    </row>
    <row r="489" spans="10:10" x14ac:dyDescent="0.25">
      <c r="J489" s="20" t="e">
        <f t="shared" si="28"/>
        <v>#NUM!</v>
      </c>
    </row>
    <row r="490" spans="10:10" x14ac:dyDescent="0.25">
      <c r="J490" s="20" t="e">
        <f t="shared" si="28"/>
        <v>#NUM!</v>
      </c>
    </row>
    <row r="491" spans="10:10" x14ac:dyDescent="0.25">
      <c r="J491" s="20" t="e">
        <f t="shared" si="28"/>
        <v>#NUM!</v>
      </c>
    </row>
    <row r="492" spans="10:10" x14ac:dyDescent="0.25">
      <c r="J492" s="20" t="e">
        <f t="shared" si="28"/>
        <v>#NUM!</v>
      </c>
    </row>
    <row r="493" spans="10:10" x14ac:dyDescent="0.25">
      <c r="J493" s="20" t="e">
        <f t="shared" si="28"/>
        <v>#NUM!</v>
      </c>
    </row>
    <row r="494" spans="10:10" x14ac:dyDescent="0.25">
      <c r="J494" s="20" t="e">
        <f t="shared" si="28"/>
        <v>#NUM!</v>
      </c>
    </row>
    <row r="495" spans="10:10" x14ac:dyDescent="0.25">
      <c r="J495" s="20" t="e">
        <f t="shared" si="28"/>
        <v>#NUM!</v>
      </c>
    </row>
    <row r="496" spans="10:10" x14ac:dyDescent="0.25">
      <c r="J496" s="20" t="e">
        <f t="shared" si="28"/>
        <v>#NUM!</v>
      </c>
    </row>
    <row r="497" spans="10:10" x14ac:dyDescent="0.25">
      <c r="J497" s="20" t="e">
        <f t="shared" si="28"/>
        <v>#NUM!</v>
      </c>
    </row>
    <row r="498" spans="10:10" x14ac:dyDescent="0.25">
      <c r="J498" s="20" t="e">
        <f t="shared" si="28"/>
        <v>#NUM!</v>
      </c>
    </row>
    <row r="499" spans="10:10" x14ac:dyDescent="0.25">
      <c r="J499" s="20" t="e">
        <f t="shared" si="28"/>
        <v>#NUM!</v>
      </c>
    </row>
    <row r="500" spans="10:10" x14ac:dyDescent="0.25">
      <c r="J500" s="20" t="e">
        <f t="shared" si="28"/>
        <v>#NUM!</v>
      </c>
    </row>
    <row r="501" spans="10:10" x14ac:dyDescent="0.25">
      <c r="J501" s="20" t="e">
        <f t="shared" si="28"/>
        <v>#NUM!</v>
      </c>
    </row>
    <row r="502" spans="10:10" x14ac:dyDescent="0.25">
      <c r="J502" s="20" t="e">
        <f t="shared" si="28"/>
        <v>#NUM!</v>
      </c>
    </row>
    <row r="503" spans="10:10" x14ac:dyDescent="0.25">
      <c r="J503" s="20" t="e">
        <f t="shared" si="28"/>
        <v>#NUM!</v>
      </c>
    </row>
    <row r="504" spans="10:10" x14ac:dyDescent="0.25">
      <c r="J504" s="20" t="e">
        <f t="shared" si="28"/>
        <v>#NUM!</v>
      </c>
    </row>
    <row r="505" spans="10:10" x14ac:dyDescent="0.25">
      <c r="J505" s="20" t="e">
        <f t="shared" si="28"/>
        <v>#NUM!</v>
      </c>
    </row>
    <row r="506" spans="10:10" x14ac:dyDescent="0.25">
      <c r="J506" s="20" t="e">
        <f t="shared" si="28"/>
        <v>#NUM!</v>
      </c>
    </row>
    <row r="507" spans="10:10" x14ac:dyDescent="0.25">
      <c r="J507" s="20" t="e">
        <f t="shared" si="28"/>
        <v>#NUM!</v>
      </c>
    </row>
    <row r="508" spans="10:10" x14ac:dyDescent="0.25">
      <c r="J508" s="20" t="e">
        <f t="shared" si="28"/>
        <v>#NUM!</v>
      </c>
    </row>
    <row r="509" spans="10:10" x14ac:dyDescent="0.25">
      <c r="J509" s="20" t="e">
        <f t="shared" si="28"/>
        <v>#NUM!</v>
      </c>
    </row>
    <row r="510" spans="10:10" x14ac:dyDescent="0.25">
      <c r="J510" s="20" t="e">
        <f t="shared" si="28"/>
        <v>#NUM!</v>
      </c>
    </row>
    <row r="511" spans="10:10" x14ac:dyDescent="0.25">
      <c r="J511" s="20" t="e">
        <f t="shared" si="28"/>
        <v>#NUM!</v>
      </c>
    </row>
    <row r="512" spans="10:10" x14ac:dyDescent="0.25">
      <c r="J512" s="20" t="e">
        <f t="shared" si="28"/>
        <v>#NUM!</v>
      </c>
    </row>
    <row r="513" spans="10:10" x14ac:dyDescent="0.25">
      <c r="J513" s="20" t="e">
        <f t="shared" si="28"/>
        <v>#NUM!</v>
      </c>
    </row>
    <row r="514" spans="10:10" x14ac:dyDescent="0.25">
      <c r="J514" s="20" t="e">
        <f t="shared" si="28"/>
        <v>#NUM!</v>
      </c>
    </row>
    <row r="515" spans="10:10" x14ac:dyDescent="0.25">
      <c r="J515" s="20" t="e">
        <f t="shared" si="28"/>
        <v>#NUM!</v>
      </c>
    </row>
    <row r="516" spans="10:10" x14ac:dyDescent="0.25">
      <c r="J516" s="20" t="e">
        <f t="shared" si="28"/>
        <v>#NUM!</v>
      </c>
    </row>
    <row r="517" spans="10:10" x14ac:dyDescent="0.25">
      <c r="J517" s="20" t="e">
        <f t="shared" si="28"/>
        <v>#NUM!</v>
      </c>
    </row>
    <row r="518" spans="10:10" x14ac:dyDescent="0.25">
      <c r="J518" s="20" t="e">
        <f t="shared" si="28"/>
        <v>#NUM!</v>
      </c>
    </row>
    <row r="519" spans="10:10" x14ac:dyDescent="0.25">
      <c r="J519" s="20" t="e">
        <f t="shared" ref="J519:J582" si="29">INT(LOG($H$2,2))-ROUNDUP(LOG(H519,2),0)+IF(OR($H$2=1,$H$2=2,$H$2=4,$H$2=8,$H$2=16,$H$2=32,$H$2=64,$H$2=128,$H$2=256),0,1)</f>
        <v>#NUM!</v>
      </c>
    </row>
    <row r="520" spans="10:10" x14ac:dyDescent="0.25">
      <c r="J520" s="20" t="e">
        <f t="shared" si="29"/>
        <v>#NUM!</v>
      </c>
    </row>
    <row r="521" spans="10:10" x14ac:dyDescent="0.25">
      <c r="J521" s="20" t="e">
        <f t="shared" si="29"/>
        <v>#NUM!</v>
      </c>
    </row>
    <row r="522" spans="10:10" x14ac:dyDescent="0.25">
      <c r="J522" s="20" t="e">
        <f t="shared" si="29"/>
        <v>#NUM!</v>
      </c>
    </row>
    <row r="523" spans="10:10" x14ac:dyDescent="0.25">
      <c r="J523" s="20" t="e">
        <f t="shared" si="29"/>
        <v>#NUM!</v>
      </c>
    </row>
    <row r="524" spans="10:10" x14ac:dyDescent="0.25">
      <c r="J524" s="20" t="e">
        <f t="shared" si="29"/>
        <v>#NUM!</v>
      </c>
    </row>
    <row r="525" spans="10:10" x14ac:dyDescent="0.25">
      <c r="J525" s="20" t="e">
        <f t="shared" si="29"/>
        <v>#NUM!</v>
      </c>
    </row>
    <row r="526" spans="10:10" x14ac:dyDescent="0.25">
      <c r="J526" s="20" t="e">
        <f t="shared" si="29"/>
        <v>#NUM!</v>
      </c>
    </row>
    <row r="527" spans="10:10" x14ac:dyDescent="0.25">
      <c r="J527" s="20" t="e">
        <f t="shared" si="29"/>
        <v>#NUM!</v>
      </c>
    </row>
    <row r="528" spans="10:10" x14ac:dyDescent="0.25">
      <c r="J528" s="20" t="e">
        <f t="shared" si="29"/>
        <v>#NUM!</v>
      </c>
    </row>
    <row r="529" spans="10:10" x14ac:dyDescent="0.25">
      <c r="J529" s="20" t="e">
        <f t="shared" si="29"/>
        <v>#NUM!</v>
      </c>
    </row>
    <row r="530" spans="10:10" x14ac:dyDescent="0.25">
      <c r="J530" s="20" t="e">
        <f t="shared" si="29"/>
        <v>#NUM!</v>
      </c>
    </row>
    <row r="531" spans="10:10" x14ac:dyDescent="0.25">
      <c r="J531" s="20" t="e">
        <f t="shared" si="29"/>
        <v>#NUM!</v>
      </c>
    </row>
    <row r="532" spans="10:10" x14ac:dyDescent="0.25">
      <c r="J532" s="20" t="e">
        <f t="shared" si="29"/>
        <v>#NUM!</v>
      </c>
    </row>
    <row r="533" spans="10:10" x14ac:dyDescent="0.25">
      <c r="J533" s="20" t="e">
        <f t="shared" si="29"/>
        <v>#NUM!</v>
      </c>
    </row>
    <row r="534" spans="10:10" x14ac:dyDescent="0.25">
      <c r="J534" s="20" t="e">
        <f t="shared" si="29"/>
        <v>#NUM!</v>
      </c>
    </row>
    <row r="535" spans="10:10" x14ac:dyDescent="0.25">
      <c r="J535" s="20" t="e">
        <f t="shared" si="29"/>
        <v>#NUM!</v>
      </c>
    </row>
    <row r="536" spans="10:10" x14ac:dyDescent="0.25">
      <c r="J536" s="20" t="e">
        <f t="shared" si="29"/>
        <v>#NUM!</v>
      </c>
    </row>
    <row r="537" spans="10:10" x14ac:dyDescent="0.25">
      <c r="J537" s="20" t="e">
        <f t="shared" si="29"/>
        <v>#NUM!</v>
      </c>
    </row>
    <row r="538" spans="10:10" x14ac:dyDescent="0.25">
      <c r="J538" s="20" t="e">
        <f t="shared" si="29"/>
        <v>#NUM!</v>
      </c>
    </row>
    <row r="539" spans="10:10" x14ac:dyDescent="0.25">
      <c r="J539" s="20" t="e">
        <f t="shared" si="29"/>
        <v>#NUM!</v>
      </c>
    </row>
    <row r="540" spans="10:10" x14ac:dyDescent="0.25">
      <c r="J540" s="20" t="e">
        <f t="shared" si="29"/>
        <v>#NUM!</v>
      </c>
    </row>
    <row r="541" spans="10:10" x14ac:dyDescent="0.25">
      <c r="J541" s="20" t="e">
        <f t="shared" si="29"/>
        <v>#NUM!</v>
      </c>
    </row>
    <row r="542" spans="10:10" x14ac:dyDescent="0.25">
      <c r="J542" s="20" t="e">
        <f t="shared" si="29"/>
        <v>#NUM!</v>
      </c>
    </row>
    <row r="543" spans="10:10" x14ac:dyDescent="0.25">
      <c r="J543" s="20" t="e">
        <f t="shared" si="29"/>
        <v>#NUM!</v>
      </c>
    </row>
    <row r="544" spans="10:10" x14ac:dyDescent="0.25">
      <c r="J544" s="20" t="e">
        <f t="shared" si="29"/>
        <v>#NUM!</v>
      </c>
    </row>
    <row r="545" spans="10:10" x14ac:dyDescent="0.25">
      <c r="J545" s="20" t="e">
        <f t="shared" si="29"/>
        <v>#NUM!</v>
      </c>
    </row>
    <row r="546" spans="10:10" x14ac:dyDescent="0.25">
      <c r="J546" s="20" t="e">
        <f t="shared" si="29"/>
        <v>#NUM!</v>
      </c>
    </row>
    <row r="547" spans="10:10" x14ac:dyDescent="0.25">
      <c r="J547" s="20" t="e">
        <f t="shared" si="29"/>
        <v>#NUM!</v>
      </c>
    </row>
    <row r="548" spans="10:10" x14ac:dyDescent="0.25">
      <c r="J548" s="20" t="e">
        <f t="shared" si="29"/>
        <v>#NUM!</v>
      </c>
    </row>
    <row r="549" spans="10:10" x14ac:dyDescent="0.25">
      <c r="J549" s="20" t="e">
        <f t="shared" si="29"/>
        <v>#NUM!</v>
      </c>
    </row>
    <row r="550" spans="10:10" x14ac:dyDescent="0.25">
      <c r="J550" s="20" t="e">
        <f t="shared" si="29"/>
        <v>#NUM!</v>
      </c>
    </row>
    <row r="551" spans="10:10" x14ac:dyDescent="0.25">
      <c r="J551" s="20" t="e">
        <f t="shared" si="29"/>
        <v>#NUM!</v>
      </c>
    </row>
    <row r="552" spans="10:10" x14ac:dyDescent="0.25">
      <c r="J552" s="20" t="e">
        <f t="shared" si="29"/>
        <v>#NUM!</v>
      </c>
    </row>
    <row r="553" spans="10:10" x14ac:dyDescent="0.25">
      <c r="J553" s="20" t="e">
        <f t="shared" si="29"/>
        <v>#NUM!</v>
      </c>
    </row>
    <row r="554" spans="10:10" x14ac:dyDescent="0.25">
      <c r="J554" s="20" t="e">
        <f t="shared" si="29"/>
        <v>#NUM!</v>
      </c>
    </row>
    <row r="555" spans="10:10" x14ac:dyDescent="0.25">
      <c r="J555" s="20" t="e">
        <f t="shared" si="29"/>
        <v>#NUM!</v>
      </c>
    </row>
    <row r="556" spans="10:10" x14ac:dyDescent="0.25">
      <c r="J556" s="20" t="e">
        <f t="shared" si="29"/>
        <v>#NUM!</v>
      </c>
    </row>
    <row r="557" spans="10:10" x14ac:dyDescent="0.25">
      <c r="J557" s="20" t="e">
        <f t="shared" si="29"/>
        <v>#NUM!</v>
      </c>
    </row>
    <row r="558" spans="10:10" x14ac:dyDescent="0.25">
      <c r="J558" s="20" t="e">
        <f t="shared" si="29"/>
        <v>#NUM!</v>
      </c>
    </row>
    <row r="559" spans="10:10" x14ac:dyDescent="0.25">
      <c r="J559" s="20" t="e">
        <f t="shared" si="29"/>
        <v>#NUM!</v>
      </c>
    </row>
    <row r="560" spans="10:10" x14ac:dyDescent="0.25">
      <c r="J560" s="20" t="e">
        <f t="shared" si="29"/>
        <v>#NUM!</v>
      </c>
    </row>
    <row r="561" spans="10:10" x14ac:dyDescent="0.25">
      <c r="J561" s="20" t="e">
        <f t="shared" si="29"/>
        <v>#NUM!</v>
      </c>
    </row>
    <row r="562" spans="10:10" x14ac:dyDescent="0.25">
      <c r="J562" s="20" t="e">
        <f t="shared" si="29"/>
        <v>#NUM!</v>
      </c>
    </row>
    <row r="563" spans="10:10" x14ac:dyDescent="0.25">
      <c r="J563" s="20" t="e">
        <f t="shared" si="29"/>
        <v>#NUM!</v>
      </c>
    </row>
    <row r="564" spans="10:10" x14ac:dyDescent="0.25">
      <c r="J564" s="20" t="e">
        <f t="shared" si="29"/>
        <v>#NUM!</v>
      </c>
    </row>
    <row r="565" spans="10:10" x14ac:dyDescent="0.25">
      <c r="J565" s="20" t="e">
        <f t="shared" si="29"/>
        <v>#NUM!</v>
      </c>
    </row>
    <row r="566" spans="10:10" x14ac:dyDescent="0.25">
      <c r="J566" s="20" t="e">
        <f t="shared" si="29"/>
        <v>#NUM!</v>
      </c>
    </row>
    <row r="567" spans="10:10" x14ac:dyDescent="0.25">
      <c r="J567" s="20" t="e">
        <f t="shared" si="29"/>
        <v>#NUM!</v>
      </c>
    </row>
    <row r="568" spans="10:10" x14ac:dyDescent="0.25">
      <c r="J568" s="20" t="e">
        <f t="shared" si="29"/>
        <v>#NUM!</v>
      </c>
    </row>
    <row r="569" spans="10:10" x14ac:dyDescent="0.25">
      <c r="J569" s="20" t="e">
        <f t="shared" si="29"/>
        <v>#NUM!</v>
      </c>
    </row>
    <row r="570" spans="10:10" x14ac:dyDescent="0.25">
      <c r="J570" s="20" t="e">
        <f t="shared" si="29"/>
        <v>#NUM!</v>
      </c>
    </row>
    <row r="571" spans="10:10" x14ac:dyDescent="0.25">
      <c r="J571" s="20" t="e">
        <f t="shared" si="29"/>
        <v>#NUM!</v>
      </c>
    </row>
    <row r="572" spans="10:10" x14ac:dyDescent="0.25">
      <c r="J572" s="20" t="e">
        <f t="shared" si="29"/>
        <v>#NUM!</v>
      </c>
    </row>
    <row r="573" spans="10:10" x14ac:dyDescent="0.25">
      <c r="J573" s="20" t="e">
        <f t="shared" si="29"/>
        <v>#NUM!</v>
      </c>
    </row>
    <row r="574" spans="10:10" x14ac:dyDescent="0.25">
      <c r="J574" s="20" t="e">
        <f t="shared" si="29"/>
        <v>#NUM!</v>
      </c>
    </row>
    <row r="575" spans="10:10" x14ac:dyDescent="0.25">
      <c r="J575" s="20" t="e">
        <f t="shared" si="29"/>
        <v>#NUM!</v>
      </c>
    </row>
    <row r="576" spans="10:10" x14ac:dyDescent="0.25">
      <c r="J576" s="20" t="e">
        <f t="shared" si="29"/>
        <v>#NUM!</v>
      </c>
    </row>
    <row r="577" spans="10:10" x14ac:dyDescent="0.25">
      <c r="J577" s="20" t="e">
        <f t="shared" si="29"/>
        <v>#NUM!</v>
      </c>
    </row>
    <row r="578" spans="10:10" x14ac:dyDescent="0.25">
      <c r="J578" s="20" t="e">
        <f t="shared" si="29"/>
        <v>#NUM!</v>
      </c>
    </row>
    <row r="579" spans="10:10" x14ac:dyDescent="0.25">
      <c r="J579" s="20" t="e">
        <f t="shared" si="29"/>
        <v>#NUM!</v>
      </c>
    </row>
    <row r="580" spans="10:10" x14ac:dyDescent="0.25">
      <c r="J580" s="20" t="e">
        <f t="shared" si="29"/>
        <v>#NUM!</v>
      </c>
    </row>
    <row r="581" spans="10:10" x14ac:dyDescent="0.25">
      <c r="J581" s="20" t="e">
        <f t="shared" si="29"/>
        <v>#NUM!</v>
      </c>
    </row>
    <row r="582" spans="10:10" x14ac:dyDescent="0.25">
      <c r="J582" s="20" t="e">
        <f t="shared" si="29"/>
        <v>#NUM!</v>
      </c>
    </row>
    <row r="583" spans="10:10" x14ac:dyDescent="0.25">
      <c r="J583" s="20" t="e">
        <f t="shared" ref="J583:J646" si="30">INT(LOG($H$2,2))-ROUNDUP(LOG(H583,2),0)+IF(OR($H$2=1,$H$2=2,$H$2=4,$H$2=8,$H$2=16,$H$2=32,$H$2=64,$H$2=128,$H$2=256),0,1)</f>
        <v>#NUM!</v>
      </c>
    </row>
    <row r="584" spans="10:10" x14ac:dyDescent="0.25">
      <c r="J584" s="20" t="e">
        <f t="shared" si="30"/>
        <v>#NUM!</v>
      </c>
    </row>
    <row r="585" spans="10:10" x14ac:dyDescent="0.25">
      <c r="J585" s="20" t="e">
        <f t="shared" si="30"/>
        <v>#NUM!</v>
      </c>
    </row>
    <row r="586" spans="10:10" x14ac:dyDescent="0.25">
      <c r="J586" s="20" t="e">
        <f t="shared" si="30"/>
        <v>#NUM!</v>
      </c>
    </row>
    <row r="587" spans="10:10" x14ac:dyDescent="0.25">
      <c r="J587" s="20" t="e">
        <f t="shared" si="30"/>
        <v>#NUM!</v>
      </c>
    </row>
    <row r="588" spans="10:10" x14ac:dyDescent="0.25">
      <c r="J588" s="20" t="e">
        <f t="shared" si="30"/>
        <v>#NUM!</v>
      </c>
    </row>
    <row r="589" spans="10:10" x14ac:dyDescent="0.25">
      <c r="J589" s="20" t="e">
        <f t="shared" si="30"/>
        <v>#NUM!</v>
      </c>
    </row>
    <row r="590" spans="10:10" x14ac:dyDescent="0.25">
      <c r="J590" s="20" t="e">
        <f t="shared" si="30"/>
        <v>#NUM!</v>
      </c>
    </row>
    <row r="591" spans="10:10" x14ac:dyDescent="0.25">
      <c r="J591" s="20" t="e">
        <f t="shared" si="30"/>
        <v>#NUM!</v>
      </c>
    </row>
    <row r="592" spans="10:10" x14ac:dyDescent="0.25">
      <c r="J592" s="20" t="e">
        <f t="shared" si="30"/>
        <v>#NUM!</v>
      </c>
    </row>
    <row r="593" spans="10:10" x14ac:dyDescent="0.25">
      <c r="J593" s="20" t="e">
        <f t="shared" si="30"/>
        <v>#NUM!</v>
      </c>
    </row>
    <row r="594" spans="10:10" x14ac:dyDescent="0.25">
      <c r="J594" s="20" t="e">
        <f t="shared" si="30"/>
        <v>#NUM!</v>
      </c>
    </row>
    <row r="595" spans="10:10" x14ac:dyDescent="0.25">
      <c r="J595" s="20" t="e">
        <f t="shared" si="30"/>
        <v>#NUM!</v>
      </c>
    </row>
    <row r="596" spans="10:10" x14ac:dyDescent="0.25">
      <c r="J596" s="20" t="e">
        <f t="shared" si="30"/>
        <v>#NUM!</v>
      </c>
    </row>
    <row r="597" spans="10:10" x14ac:dyDescent="0.25">
      <c r="J597" s="20" t="e">
        <f t="shared" si="30"/>
        <v>#NUM!</v>
      </c>
    </row>
    <row r="598" spans="10:10" x14ac:dyDescent="0.25">
      <c r="J598" s="20" t="e">
        <f t="shared" si="30"/>
        <v>#NUM!</v>
      </c>
    </row>
    <row r="599" spans="10:10" x14ac:dyDescent="0.25">
      <c r="J599" s="20" t="e">
        <f t="shared" si="30"/>
        <v>#NUM!</v>
      </c>
    </row>
    <row r="600" spans="10:10" x14ac:dyDescent="0.25">
      <c r="J600" s="20" t="e">
        <f t="shared" si="30"/>
        <v>#NUM!</v>
      </c>
    </row>
    <row r="601" spans="10:10" x14ac:dyDescent="0.25">
      <c r="J601" s="20" t="e">
        <f t="shared" si="30"/>
        <v>#NUM!</v>
      </c>
    </row>
    <row r="602" spans="10:10" x14ac:dyDescent="0.25">
      <c r="J602" s="20" t="e">
        <f t="shared" si="30"/>
        <v>#NUM!</v>
      </c>
    </row>
    <row r="603" spans="10:10" x14ac:dyDescent="0.25">
      <c r="J603" s="20" t="e">
        <f t="shared" si="30"/>
        <v>#NUM!</v>
      </c>
    </row>
    <row r="604" spans="10:10" x14ac:dyDescent="0.25">
      <c r="J604" s="20" t="e">
        <f t="shared" si="30"/>
        <v>#NUM!</v>
      </c>
    </row>
    <row r="605" spans="10:10" x14ac:dyDescent="0.25">
      <c r="J605" s="20" t="e">
        <f t="shared" si="30"/>
        <v>#NUM!</v>
      </c>
    </row>
    <row r="606" spans="10:10" x14ac:dyDescent="0.25">
      <c r="J606" s="20" t="e">
        <f t="shared" si="30"/>
        <v>#NUM!</v>
      </c>
    </row>
    <row r="607" spans="10:10" x14ac:dyDescent="0.25">
      <c r="J607" s="20" t="e">
        <f t="shared" si="30"/>
        <v>#NUM!</v>
      </c>
    </row>
    <row r="608" spans="10:10" x14ac:dyDescent="0.25">
      <c r="J608" s="20" t="e">
        <f t="shared" si="30"/>
        <v>#NUM!</v>
      </c>
    </row>
    <row r="609" spans="10:10" x14ac:dyDescent="0.25">
      <c r="J609" s="20" t="e">
        <f t="shared" si="30"/>
        <v>#NUM!</v>
      </c>
    </row>
    <row r="610" spans="10:10" x14ac:dyDescent="0.25">
      <c r="J610" s="20" t="e">
        <f t="shared" si="30"/>
        <v>#NUM!</v>
      </c>
    </row>
    <row r="611" spans="10:10" x14ac:dyDescent="0.25">
      <c r="J611" s="20" t="e">
        <f t="shared" si="30"/>
        <v>#NUM!</v>
      </c>
    </row>
    <row r="612" spans="10:10" x14ac:dyDescent="0.25">
      <c r="J612" s="20" t="e">
        <f t="shared" si="30"/>
        <v>#NUM!</v>
      </c>
    </row>
    <row r="613" spans="10:10" x14ac:dyDescent="0.25">
      <c r="J613" s="20" t="e">
        <f t="shared" si="30"/>
        <v>#NUM!</v>
      </c>
    </row>
    <row r="614" spans="10:10" x14ac:dyDescent="0.25">
      <c r="J614" s="20" t="e">
        <f t="shared" si="30"/>
        <v>#NUM!</v>
      </c>
    </row>
    <row r="615" spans="10:10" x14ac:dyDescent="0.25">
      <c r="J615" s="20" t="e">
        <f t="shared" si="30"/>
        <v>#NUM!</v>
      </c>
    </row>
    <row r="616" spans="10:10" x14ac:dyDescent="0.25">
      <c r="J616" s="20" t="e">
        <f t="shared" si="30"/>
        <v>#NUM!</v>
      </c>
    </row>
    <row r="617" spans="10:10" x14ac:dyDescent="0.25">
      <c r="J617" s="20" t="e">
        <f t="shared" si="30"/>
        <v>#NUM!</v>
      </c>
    </row>
    <row r="618" spans="10:10" x14ac:dyDescent="0.25">
      <c r="J618" s="20" t="e">
        <f t="shared" si="30"/>
        <v>#NUM!</v>
      </c>
    </row>
    <row r="619" spans="10:10" x14ac:dyDescent="0.25">
      <c r="J619" s="20" t="e">
        <f t="shared" si="30"/>
        <v>#NUM!</v>
      </c>
    </row>
    <row r="620" spans="10:10" x14ac:dyDescent="0.25">
      <c r="J620" s="20" t="e">
        <f t="shared" si="30"/>
        <v>#NUM!</v>
      </c>
    </row>
    <row r="621" spans="10:10" x14ac:dyDescent="0.25">
      <c r="J621" s="20" t="e">
        <f t="shared" si="30"/>
        <v>#NUM!</v>
      </c>
    </row>
    <row r="622" spans="10:10" x14ac:dyDescent="0.25">
      <c r="J622" s="20" t="e">
        <f t="shared" si="30"/>
        <v>#NUM!</v>
      </c>
    </row>
    <row r="623" spans="10:10" x14ac:dyDescent="0.25">
      <c r="J623" s="20" t="e">
        <f t="shared" si="30"/>
        <v>#NUM!</v>
      </c>
    </row>
    <row r="624" spans="10:10" x14ac:dyDescent="0.25">
      <c r="J624" s="20" t="e">
        <f t="shared" si="30"/>
        <v>#NUM!</v>
      </c>
    </row>
    <row r="625" spans="10:10" x14ac:dyDescent="0.25">
      <c r="J625" s="20" t="e">
        <f t="shared" si="30"/>
        <v>#NUM!</v>
      </c>
    </row>
    <row r="626" spans="10:10" x14ac:dyDescent="0.25">
      <c r="J626" s="20" t="e">
        <f t="shared" si="30"/>
        <v>#NUM!</v>
      </c>
    </row>
    <row r="627" spans="10:10" x14ac:dyDescent="0.25">
      <c r="J627" s="20" t="e">
        <f t="shared" si="30"/>
        <v>#NUM!</v>
      </c>
    </row>
    <row r="628" spans="10:10" x14ac:dyDescent="0.25">
      <c r="J628" s="20" t="e">
        <f t="shared" si="30"/>
        <v>#NUM!</v>
      </c>
    </row>
    <row r="629" spans="10:10" x14ac:dyDescent="0.25">
      <c r="J629" s="20" t="e">
        <f t="shared" si="30"/>
        <v>#NUM!</v>
      </c>
    </row>
    <row r="630" spans="10:10" x14ac:dyDescent="0.25">
      <c r="J630" s="20" t="e">
        <f t="shared" si="30"/>
        <v>#NUM!</v>
      </c>
    </row>
    <row r="631" spans="10:10" x14ac:dyDescent="0.25">
      <c r="J631" s="20" t="e">
        <f t="shared" si="30"/>
        <v>#NUM!</v>
      </c>
    </row>
    <row r="632" spans="10:10" x14ac:dyDescent="0.25">
      <c r="J632" s="20" t="e">
        <f t="shared" si="30"/>
        <v>#NUM!</v>
      </c>
    </row>
    <row r="633" spans="10:10" x14ac:dyDescent="0.25">
      <c r="J633" s="20" t="e">
        <f t="shared" si="30"/>
        <v>#NUM!</v>
      </c>
    </row>
    <row r="634" spans="10:10" x14ac:dyDescent="0.25">
      <c r="J634" s="20" t="e">
        <f t="shared" si="30"/>
        <v>#NUM!</v>
      </c>
    </row>
    <row r="635" spans="10:10" x14ac:dyDescent="0.25">
      <c r="J635" s="20" t="e">
        <f t="shared" si="30"/>
        <v>#NUM!</v>
      </c>
    </row>
    <row r="636" spans="10:10" x14ac:dyDescent="0.25">
      <c r="J636" s="20" t="e">
        <f t="shared" si="30"/>
        <v>#NUM!</v>
      </c>
    </row>
    <row r="637" spans="10:10" x14ac:dyDescent="0.25">
      <c r="J637" s="20" t="e">
        <f t="shared" si="30"/>
        <v>#NUM!</v>
      </c>
    </row>
    <row r="638" spans="10:10" x14ac:dyDescent="0.25">
      <c r="J638" s="20" t="e">
        <f t="shared" si="30"/>
        <v>#NUM!</v>
      </c>
    </row>
    <row r="639" spans="10:10" x14ac:dyDescent="0.25">
      <c r="J639" s="20" t="e">
        <f t="shared" si="30"/>
        <v>#NUM!</v>
      </c>
    </row>
    <row r="640" spans="10:10" x14ac:dyDescent="0.25">
      <c r="J640" s="20" t="e">
        <f t="shared" si="30"/>
        <v>#NUM!</v>
      </c>
    </row>
    <row r="641" spans="10:10" x14ac:dyDescent="0.25">
      <c r="J641" s="20" t="e">
        <f t="shared" si="30"/>
        <v>#NUM!</v>
      </c>
    </row>
    <row r="642" spans="10:10" x14ac:dyDescent="0.25">
      <c r="J642" s="20" t="e">
        <f t="shared" si="30"/>
        <v>#NUM!</v>
      </c>
    </row>
    <row r="643" spans="10:10" x14ac:dyDescent="0.25">
      <c r="J643" s="20" t="e">
        <f t="shared" si="30"/>
        <v>#NUM!</v>
      </c>
    </row>
    <row r="644" spans="10:10" x14ac:dyDescent="0.25">
      <c r="J644" s="20" t="e">
        <f t="shared" si="30"/>
        <v>#NUM!</v>
      </c>
    </row>
    <row r="645" spans="10:10" x14ac:dyDescent="0.25">
      <c r="J645" s="20" t="e">
        <f t="shared" si="30"/>
        <v>#NUM!</v>
      </c>
    </row>
    <row r="646" spans="10:10" x14ac:dyDescent="0.25">
      <c r="J646" s="20" t="e">
        <f t="shared" si="30"/>
        <v>#NUM!</v>
      </c>
    </row>
    <row r="647" spans="10:10" x14ac:dyDescent="0.25">
      <c r="J647" s="20" t="e">
        <f t="shared" ref="J647:J710" si="31">INT(LOG($H$2,2))-ROUNDUP(LOG(H647,2),0)+IF(OR($H$2=1,$H$2=2,$H$2=4,$H$2=8,$H$2=16,$H$2=32,$H$2=64,$H$2=128,$H$2=256),0,1)</f>
        <v>#NUM!</v>
      </c>
    </row>
    <row r="648" spans="10:10" x14ac:dyDescent="0.25">
      <c r="J648" s="20" t="e">
        <f t="shared" si="31"/>
        <v>#NUM!</v>
      </c>
    </row>
    <row r="649" spans="10:10" x14ac:dyDescent="0.25">
      <c r="J649" s="20" t="e">
        <f t="shared" si="31"/>
        <v>#NUM!</v>
      </c>
    </row>
    <row r="650" spans="10:10" x14ac:dyDescent="0.25">
      <c r="J650" s="20" t="e">
        <f t="shared" si="31"/>
        <v>#NUM!</v>
      </c>
    </row>
    <row r="651" spans="10:10" x14ac:dyDescent="0.25">
      <c r="J651" s="20" t="e">
        <f t="shared" si="31"/>
        <v>#NUM!</v>
      </c>
    </row>
    <row r="652" spans="10:10" x14ac:dyDescent="0.25">
      <c r="J652" s="20" t="e">
        <f t="shared" si="31"/>
        <v>#NUM!</v>
      </c>
    </row>
    <row r="653" spans="10:10" x14ac:dyDescent="0.25">
      <c r="J653" s="20" t="e">
        <f t="shared" si="31"/>
        <v>#NUM!</v>
      </c>
    </row>
    <row r="654" spans="10:10" x14ac:dyDescent="0.25">
      <c r="J654" s="20" t="e">
        <f t="shared" si="31"/>
        <v>#NUM!</v>
      </c>
    </row>
    <row r="655" spans="10:10" x14ac:dyDescent="0.25">
      <c r="J655" s="20" t="e">
        <f t="shared" si="31"/>
        <v>#NUM!</v>
      </c>
    </row>
    <row r="656" spans="10:10" x14ac:dyDescent="0.25">
      <c r="J656" s="20" t="e">
        <f t="shared" si="31"/>
        <v>#NUM!</v>
      </c>
    </row>
    <row r="657" spans="10:10" x14ac:dyDescent="0.25">
      <c r="J657" s="20" t="e">
        <f t="shared" si="31"/>
        <v>#NUM!</v>
      </c>
    </row>
    <row r="658" spans="10:10" x14ac:dyDescent="0.25">
      <c r="J658" s="20" t="e">
        <f t="shared" si="31"/>
        <v>#NUM!</v>
      </c>
    </row>
    <row r="659" spans="10:10" x14ac:dyDescent="0.25">
      <c r="J659" s="20" t="e">
        <f t="shared" si="31"/>
        <v>#NUM!</v>
      </c>
    </row>
    <row r="660" spans="10:10" x14ac:dyDescent="0.25">
      <c r="J660" s="20" t="e">
        <f t="shared" si="31"/>
        <v>#NUM!</v>
      </c>
    </row>
    <row r="661" spans="10:10" x14ac:dyDescent="0.25">
      <c r="J661" s="20" t="e">
        <f t="shared" si="31"/>
        <v>#NUM!</v>
      </c>
    </row>
    <row r="662" spans="10:10" x14ac:dyDescent="0.25">
      <c r="J662" s="20" t="e">
        <f t="shared" si="31"/>
        <v>#NUM!</v>
      </c>
    </row>
    <row r="663" spans="10:10" x14ac:dyDescent="0.25">
      <c r="J663" s="20" t="e">
        <f t="shared" si="31"/>
        <v>#NUM!</v>
      </c>
    </row>
    <row r="664" spans="10:10" x14ac:dyDescent="0.25">
      <c r="J664" s="20" t="e">
        <f t="shared" si="31"/>
        <v>#NUM!</v>
      </c>
    </row>
    <row r="665" spans="10:10" x14ac:dyDescent="0.25">
      <c r="J665" s="20" t="e">
        <f t="shared" si="31"/>
        <v>#NUM!</v>
      </c>
    </row>
    <row r="666" spans="10:10" x14ac:dyDescent="0.25">
      <c r="J666" s="20" t="e">
        <f t="shared" si="31"/>
        <v>#NUM!</v>
      </c>
    </row>
    <row r="667" spans="10:10" x14ac:dyDescent="0.25">
      <c r="J667" s="20" t="e">
        <f t="shared" si="31"/>
        <v>#NUM!</v>
      </c>
    </row>
    <row r="668" spans="10:10" x14ac:dyDescent="0.25">
      <c r="J668" s="20" t="e">
        <f t="shared" si="31"/>
        <v>#NUM!</v>
      </c>
    </row>
    <row r="669" spans="10:10" x14ac:dyDescent="0.25">
      <c r="J669" s="20" t="e">
        <f t="shared" si="31"/>
        <v>#NUM!</v>
      </c>
    </row>
    <row r="670" spans="10:10" x14ac:dyDescent="0.25">
      <c r="J670" s="20" t="e">
        <f t="shared" si="31"/>
        <v>#NUM!</v>
      </c>
    </row>
    <row r="671" spans="10:10" x14ac:dyDescent="0.25">
      <c r="J671" s="20" t="e">
        <f t="shared" si="31"/>
        <v>#NUM!</v>
      </c>
    </row>
    <row r="672" spans="10:10" x14ac:dyDescent="0.25">
      <c r="J672" s="20" t="e">
        <f t="shared" si="31"/>
        <v>#NUM!</v>
      </c>
    </row>
    <row r="673" spans="10:10" x14ac:dyDescent="0.25">
      <c r="J673" s="20" t="e">
        <f t="shared" si="31"/>
        <v>#NUM!</v>
      </c>
    </row>
    <row r="674" spans="10:10" x14ac:dyDescent="0.25">
      <c r="J674" s="20" t="e">
        <f t="shared" si="31"/>
        <v>#NUM!</v>
      </c>
    </row>
    <row r="675" spans="10:10" x14ac:dyDescent="0.25">
      <c r="J675" s="20" t="e">
        <f t="shared" si="31"/>
        <v>#NUM!</v>
      </c>
    </row>
    <row r="676" spans="10:10" x14ac:dyDescent="0.25">
      <c r="J676" s="20" t="e">
        <f t="shared" si="31"/>
        <v>#NUM!</v>
      </c>
    </row>
    <row r="677" spans="10:10" x14ac:dyDescent="0.25">
      <c r="J677" s="20" t="e">
        <f t="shared" si="31"/>
        <v>#NUM!</v>
      </c>
    </row>
    <row r="678" spans="10:10" x14ac:dyDescent="0.25">
      <c r="J678" s="20" t="e">
        <f t="shared" si="31"/>
        <v>#NUM!</v>
      </c>
    </row>
    <row r="679" spans="10:10" x14ac:dyDescent="0.25">
      <c r="J679" s="20" t="e">
        <f t="shared" si="31"/>
        <v>#NUM!</v>
      </c>
    </row>
    <row r="680" spans="10:10" x14ac:dyDescent="0.25">
      <c r="J680" s="20" t="e">
        <f t="shared" si="31"/>
        <v>#NUM!</v>
      </c>
    </row>
    <row r="681" spans="10:10" x14ac:dyDescent="0.25">
      <c r="J681" s="20" t="e">
        <f t="shared" si="31"/>
        <v>#NUM!</v>
      </c>
    </row>
    <row r="682" spans="10:10" x14ac:dyDescent="0.25">
      <c r="J682" s="20" t="e">
        <f t="shared" si="31"/>
        <v>#NUM!</v>
      </c>
    </row>
    <row r="683" spans="10:10" x14ac:dyDescent="0.25">
      <c r="J683" s="20" t="e">
        <f t="shared" si="31"/>
        <v>#NUM!</v>
      </c>
    </row>
    <row r="684" spans="10:10" x14ac:dyDescent="0.25">
      <c r="J684" s="20" t="e">
        <f t="shared" si="31"/>
        <v>#NUM!</v>
      </c>
    </row>
    <row r="685" spans="10:10" x14ac:dyDescent="0.25">
      <c r="J685" s="20" t="e">
        <f t="shared" si="31"/>
        <v>#NUM!</v>
      </c>
    </row>
    <row r="686" spans="10:10" x14ac:dyDescent="0.25">
      <c r="J686" s="20" t="e">
        <f t="shared" si="31"/>
        <v>#NUM!</v>
      </c>
    </row>
    <row r="687" spans="10:10" x14ac:dyDescent="0.25">
      <c r="J687" s="20" t="e">
        <f t="shared" si="31"/>
        <v>#NUM!</v>
      </c>
    </row>
    <row r="688" spans="10:10" x14ac:dyDescent="0.25">
      <c r="J688" s="20" t="e">
        <f t="shared" si="31"/>
        <v>#NUM!</v>
      </c>
    </row>
    <row r="689" spans="10:10" x14ac:dyDescent="0.25">
      <c r="J689" s="20" t="e">
        <f t="shared" si="31"/>
        <v>#NUM!</v>
      </c>
    </row>
    <row r="690" spans="10:10" x14ac:dyDescent="0.25">
      <c r="J690" s="20" t="e">
        <f t="shared" si="31"/>
        <v>#NUM!</v>
      </c>
    </row>
    <row r="691" spans="10:10" x14ac:dyDescent="0.25">
      <c r="J691" s="20" t="e">
        <f t="shared" si="31"/>
        <v>#NUM!</v>
      </c>
    </row>
    <row r="692" spans="10:10" x14ac:dyDescent="0.25">
      <c r="J692" s="20" t="e">
        <f t="shared" si="31"/>
        <v>#NUM!</v>
      </c>
    </row>
    <row r="693" spans="10:10" x14ac:dyDescent="0.25">
      <c r="J693" s="20" t="e">
        <f t="shared" si="31"/>
        <v>#NUM!</v>
      </c>
    </row>
    <row r="694" spans="10:10" x14ac:dyDescent="0.25">
      <c r="J694" s="20" t="e">
        <f t="shared" si="31"/>
        <v>#NUM!</v>
      </c>
    </row>
    <row r="695" spans="10:10" x14ac:dyDescent="0.25">
      <c r="J695" s="20" t="e">
        <f t="shared" si="31"/>
        <v>#NUM!</v>
      </c>
    </row>
    <row r="696" spans="10:10" x14ac:dyDescent="0.25">
      <c r="J696" s="20" t="e">
        <f t="shared" si="31"/>
        <v>#NUM!</v>
      </c>
    </row>
    <row r="697" spans="10:10" x14ac:dyDescent="0.25">
      <c r="J697" s="20" t="e">
        <f t="shared" si="31"/>
        <v>#NUM!</v>
      </c>
    </row>
    <row r="698" spans="10:10" x14ac:dyDescent="0.25">
      <c r="J698" s="20" t="e">
        <f t="shared" si="31"/>
        <v>#NUM!</v>
      </c>
    </row>
    <row r="699" spans="10:10" x14ac:dyDescent="0.25">
      <c r="J699" s="20" t="e">
        <f t="shared" si="31"/>
        <v>#NUM!</v>
      </c>
    </row>
    <row r="700" spans="10:10" x14ac:dyDescent="0.25">
      <c r="J700" s="20" t="e">
        <f t="shared" si="31"/>
        <v>#NUM!</v>
      </c>
    </row>
    <row r="701" spans="10:10" x14ac:dyDescent="0.25">
      <c r="J701" s="20" t="e">
        <f t="shared" si="31"/>
        <v>#NUM!</v>
      </c>
    </row>
    <row r="702" spans="10:10" x14ac:dyDescent="0.25">
      <c r="J702" s="20" t="e">
        <f t="shared" si="31"/>
        <v>#NUM!</v>
      </c>
    </row>
    <row r="703" spans="10:10" x14ac:dyDescent="0.25">
      <c r="J703" s="20" t="e">
        <f t="shared" si="31"/>
        <v>#NUM!</v>
      </c>
    </row>
    <row r="704" spans="10:10" x14ac:dyDescent="0.25">
      <c r="J704" s="20" t="e">
        <f t="shared" si="31"/>
        <v>#NUM!</v>
      </c>
    </row>
    <row r="705" spans="10:10" x14ac:dyDescent="0.25">
      <c r="J705" s="20" t="e">
        <f t="shared" si="31"/>
        <v>#NUM!</v>
      </c>
    </row>
    <row r="706" spans="10:10" x14ac:dyDescent="0.25">
      <c r="J706" s="20" t="e">
        <f t="shared" si="31"/>
        <v>#NUM!</v>
      </c>
    </row>
    <row r="707" spans="10:10" x14ac:dyDescent="0.25">
      <c r="J707" s="20" t="e">
        <f t="shared" si="31"/>
        <v>#NUM!</v>
      </c>
    </row>
    <row r="708" spans="10:10" x14ac:dyDescent="0.25">
      <c r="J708" s="20" t="e">
        <f t="shared" si="31"/>
        <v>#NUM!</v>
      </c>
    </row>
    <row r="709" spans="10:10" x14ac:dyDescent="0.25">
      <c r="J709" s="20" t="e">
        <f t="shared" si="31"/>
        <v>#NUM!</v>
      </c>
    </row>
    <row r="710" spans="10:10" x14ac:dyDescent="0.25">
      <c r="J710" s="20" t="e">
        <f t="shared" si="31"/>
        <v>#NUM!</v>
      </c>
    </row>
    <row r="711" spans="10:10" x14ac:dyDescent="0.25">
      <c r="J711" s="20" t="e">
        <f t="shared" ref="J711:J774" si="32">INT(LOG($H$2,2))-ROUNDUP(LOG(H711,2),0)+IF(OR($H$2=1,$H$2=2,$H$2=4,$H$2=8,$H$2=16,$H$2=32,$H$2=64,$H$2=128,$H$2=256),0,1)</f>
        <v>#NUM!</v>
      </c>
    </row>
    <row r="712" spans="10:10" x14ac:dyDescent="0.25">
      <c r="J712" s="20" t="e">
        <f t="shared" si="32"/>
        <v>#NUM!</v>
      </c>
    </row>
    <row r="713" spans="10:10" x14ac:dyDescent="0.25">
      <c r="J713" s="20" t="e">
        <f t="shared" si="32"/>
        <v>#NUM!</v>
      </c>
    </row>
    <row r="714" spans="10:10" x14ac:dyDescent="0.25">
      <c r="J714" s="20" t="e">
        <f t="shared" si="32"/>
        <v>#NUM!</v>
      </c>
    </row>
    <row r="715" spans="10:10" x14ac:dyDescent="0.25">
      <c r="J715" s="20" t="e">
        <f t="shared" si="32"/>
        <v>#NUM!</v>
      </c>
    </row>
    <row r="716" spans="10:10" x14ac:dyDescent="0.25">
      <c r="J716" s="20" t="e">
        <f t="shared" si="32"/>
        <v>#NUM!</v>
      </c>
    </row>
    <row r="717" spans="10:10" x14ac:dyDescent="0.25">
      <c r="J717" s="20" t="e">
        <f t="shared" si="32"/>
        <v>#NUM!</v>
      </c>
    </row>
    <row r="718" spans="10:10" x14ac:dyDescent="0.25">
      <c r="J718" s="20" t="e">
        <f t="shared" si="32"/>
        <v>#NUM!</v>
      </c>
    </row>
    <row r="719" spans="10:10" x14ac:dyDescent="0.25">
      <c r="J719" s="20" t="e">
        <f t="shared" si="32"/>
        <v>#NUM!</v>
      </c>
    </row>
    <row r="720" spans="10:10" x14ac:dyDescent="0.25">
      <c r="J720" s="20" t="e">
        <f t="shared" si="32"/>
        <v>#NUM!</v>
      </c>
    </row>
    <row r="721" spans="10:10" x14ac:dyDescent="0.25">
      <c r="J721" s="20" t="e">
        <f t="shared" si="32"/>
        <v>#NUM!</v>
      </c>
    </row>
    <row r="722" spans="10:10" x14ac:dyDescent="0.25">
      <c r="J722" s="20" t="e">
        <f t="shared" si="32"/>
        <v>#NUM!</v>
      </c>
    </row>
    <row r="723" spans="10:10" x14ac:dyDescent="0.25">
      <c r="J723" s="20" t="e">
        <f t="shared" si="32"/>
        <v>#NUM!</v>
      </c>
    </row>
    <row r="724" spans="10:10" x14ac:dyDescent="0.25">
      <c r="J724" s="20" t="e">
        <f t="shared" si="32"/>
        <v>#NUM!</v>
      </c>
    </row>
    <row r="725" spans="10:10" x14ac:dyDescent="0.25">
      <c r="J725" s="20" t="e">
        <f t="shared" si="32"/>
        <v>#NUM!</v>
      </c>
    </row>
    <row r="726" spans="10:10" x14ac:dyDescent="0.25">
      <c r="J726" s="20" t="e">
        <f t="shared" si="32"/>
        <v>#NUM!</v>
      </c>
    </row>
    <row r="727" spans="10:10" x14ac:dyDescent="0.25">
      <c r="J727" s="20" t="e">
        <f t="shared" si="32"/>
        <v>#NUM!</v>
      </c>
    </row>
    <row r="728" spans="10:10" x14ac:dyDescent="0.25">
      <c r="J728" s="20" t="e">
        <f t="shared" si="32"/>
        <v>#NUM!</v>
      </c>
    </row>
    <row r="729" spans="10:10" x14ac:dyDescent="0.25">
      <c r="J729" s="20" t="e">
        <f t="shared" si="32"/>
        <v>#NUM!</v>
      </c>
    </row>
    <row r="730" spans="10:10" x14ac:dyDescent="0.25">
      <c r="J730" s="20" t="e">
        <f t="shared" si="32"/>
        <v>#NUM!</v>
      </c>
    </row>
    <row r="731" spans="10:10" x14ac:dyDescent="0.25">
      <c r="J731" s="20" t="e">
        <f t="shared" si="32"/>
        <v>#NUM!</v>
      </c>
    </row>
    <row r="732" spans="10:10" x14ac:dyDescent="0.25">
      <c r="J732" s="20" t="e">
        <f t="shared" si="32"/>
        <v>#NUM!</v>
      </c>
    </row>
    <row r="733" spans="10:10" x14ac:dyDescent="0.25">
      <c r="J733" s="20" t="e">
        <f t="shared" si="32"/>
        <v>#NUM!</v>
      </c>
    </row>
    <row r="734" spans="10:10" x14ac:dyDescent="0.25">
      <c r="J734" s="20" t="e">
        <f t="shared" si="32"/>
        <v>#NUM!</v>
      </c>
    </row>
    <row r="735" spans="10:10" x14ac:dyDescent="0.25">
      <c r="J735" s="20" t="e">
        <f t="shared" si="32"/>
        <v>#NUM!</v>
      </c>
    </row>
    <row r="736" spans="10:10" x14ac:dyDescent="0.25">
      <c r="J736" s="20" t="e">
        <f t="shared" si="32"/>
        <v>#NUM!</v>
      </c>
    </row>
    <row r="737" spans="10:10" x14ac:dyDescent="0.25">
      <c r="J737" s="20" t="e">
        <f t="shared" si="32"/>
        <v>#NUM!</v>
      </c>
    </row>
    <row r="738" spans="10:10" x14ac:dyDescent="0.25">
      <c r="J738" s="20" t="e">
        <f t="shared" si="32"/>
        <v>#NUM!</v>
      </c>
    </row>
    <row r="739" spans="10:10" x14ac:dyDescent="0.25">
      <c r="J739" s="20" t="e">
        <f t="shared" si="32"/>
        <v>#NUM!</v>
      </c>
    </row>
    <row r="740" spans="10:10" x14ac:dyDescent="0.25">
      <c r="J740" s="20" t="e">
        <f t="shared" si="32"/>
        <v>#NUM!</v>
      </c>
    </row>
    <row r="741" spans="10:10" x14ac:dyDescent="0.25">
      <c r="J741" s="20" t="e">
        <f t="shared" si="32"/>
        <v>#NUM!</v>
      </c>
    </row>
    <row r="742" spans="10:10" x14ac:dyDescent="0.25">
      <c r="J742" s="20" t="e">
        <f t="shared" si="32"/>
        <v>#NUM!</v>
      </c>
    </row>
    <row r="743" spans="10:10" x14ac:dyDescent="0.25">
      <c r="J743" s="20" t="e">
        <f t="shared" si="32"/>
        <v>#NUM!</v>
      </c>
    </row>
    <row r="744" spans="10:10" x14ac:dyDescent="0.25">
      <c r="J744" s="20" t="e">
        <f t="shared" si="32"/>
        <v>#NUM!</v>
      </c>
    </row>
    <row r="745" spans="10:10" x14ac:dyDescent="0.25">
      <c r="J745" s="20" t="e">
        <f t="shared" si="32"/>
        <v>#NUM!</v>
      </c>
    </row>
    <row r="746" spans="10:10" x14ac:dyDescent="0.25">
      <c r="J746" s="20" t="e">
        <f t="shared" si="32"/>
        <v>#NUM!</v>
      </c>
    </row>
    <row r="747" spans="10:10" x14ac:dyDescent="0.25">
      <c r="J747" s="20" t="e">
        <f t="shared" si="32"/>
        <v>#NUM!</v>
      </c>
    </row>
    <row r="748" spans="10:10" x14ac:dyDescent="0.25">
      <c r="J748" s="20" t="e">
        <f t="shared" si="32"/>
        <v>#NUM!</v>
      </c>
    </row>
    <row r="749" spans="10:10" x14ac:dyDescent="0.25">
      <c r="J749" s="20" t="e">
        <f t="shared" si="32"/>
        <v>#NUM!</v>
      </c>
    </row>
    <row r="750" spans="10:10" x14ac:dyDescent="0.25">
      <c r="J750" s="20" t="e">
        <f t="shared" si="32"/>
        <v>#NUM!</v>
      </c>
    </row>
    <row r="751" spans="10:10" x14ac:dyDescent="0.25">
      <c r="J751" s="20" t="e">
        <f t="shared" si="32"/>
        <v>#NUM!</v>
      </c>
    </row>
    <row r="752" spans="10:10" x14ac:dyDescent="0.25">
      <c r="J752" s="20" t="e">
        <f t="shared" si="32"/>
        <v>#NUM!</v>
      </c>
    </row>
    <row r="753" spans="10:10" x14ac:dyDescent="0.25">
      <c r="J753" s="20" t="e">
        <f t="shared" si="32"/>
        <v>#NUM!</v>
      </c>
    </row>
    <row r="754" spans="10:10" x14ac:dyDescent="0.25">
      <c r="J754" s="20" t="e">
        <f t="shared" si="32"/>
        <v>#NUM!</v>
      </c>
    </row>
    <row r="755" spans="10:10" x14ac:dyDescent="0.25">
      <c r="J755" s="20" t="e">
        <f t="shared" si="32"/>
        <v>#NUM!</v>
      </c>
    </row>
    <row r="756" spans="10:10" x14ac:dyDescent="0.25">
      <c r="J756" s="20" t="e">
        <f t="shared" si="32"/>
        <v>#NUM!</v>
      </c>
    </row>
    <row r="757" spans="10:10" x14ac:dyDescent="0.25">
      <c r="J757" s="20" t="e">
        <f t="shared" si="32"/>
        <v>#NUM!</v>
      </c>
    </row>
    <row r="758" spans="10:10" x14ac:dyDescent="0.25">
      <c r="J758" s="20" t="e">
        <f t="shared" si="32"/>
        <v>#NUM!</v>
      </c>
    </row>
    <row r="759" spans="10:10" x14ac:dyDescent="0.25">
      <c r="J759" s="20" t="e">
        <f t="shared" si="32"/>
        <v>#NUM!</v>
      </c>
    </row>
    <row r="760" spans="10:10" x14ac:dyDescent="0.25">
      <c r="J760" s="20" t="e">
        <f t="shared" si="32"/>
        <v>#NUM!</v>
      </c>
    </row>
    <row r="761" spans="10:10" x14ac:dyDescent="0.25">
      <c r="J761" s="20" t="e">
        <f t="shared" si="32"/>
        <v>#NUM!</v>
      </c>
    </row>
    <row r="762" spans="10:10" x14ac:dyDescent="0.25">
      <c r="J762" s="20" t="e">
        <f t="shared" si="32"/>
        <v>#NUM!</v>
      </c>
    </row>
    <row r="763" spans="10:10" x14ac:dyDescent="0.25">
      <c r="J763" s="20" t="e">
        <f t="shared" si="32"/>
        <v>#NUM!</v>
      </c>
    </row>
    <row r="764" spans="10:10" x14ac:dyDescent="0.25">
      <c r="J764" s="20" t="e">
        <f t="shared" si="32"/>
        <v>#NUM!</v>
      </c>
    </row>
    <row r="765" spans="10:10" x14ac:dyDescent="0.25">
      <c r="J765" s="20" t="e">
        <f t="shared" si="32"/>
        <v>#NUM!</v>
      </c>
    </row>
    <row r="766" spans="10:10" x14ac:dyDescent="0.25">
      <c r="J766" s="20" t="e">
        <f t="shared" si="32"/>
        <v>#NUM!</v>
      </c>
    </row>
    <row r="767" spans="10:10" x14ac:dyDescent="0.25">
      <c r="J767" s="20" t="e">
        <f t="shared" si="32"/>
        <v>#NUM!</v>
      </c>
    </row>
    <row r="768" spans="10:10" x14ac:dyDescent="0.25">
      <c r="J768" s="20" t="e">
        <f t="shared" si="32"/>
        <v>#NUM!</v>
      </c>
    </row>
    <row r="769" spans="10:10" x14ac:dyDescent="0.25">
      <c r="J769" s="20" t="e">
        <f t="shared" si="32"/>
        <v>#NUM!</v>
      </c>
    </row>
    <row r="770" spans="10:10" x14ac:dyDescent="0.25">
      <c r="J770" s="20" t="e">
        <f t="shared" si="32"/>
        <v>#NUM!</v>
      </c>
    </row>
    <row r="771" spans="10:10" x14ac:dyDescent="0.25">
      <c r="J771" s="20" t="e">
        <f t="shared" si="32"/>
        <v>#NUM!</v>
      </c>
    </row>
    <row r="772" spans="10:10" x14ac:dyDescent="0.25">
      <c r="J772" s="20" t="e">
        <f t="shared" si="32"/>
        <v>#NUM!</v>
      </c>
    </row>
    <row r="773" spans="10:10" x14ac:dyDescent="0.25">
      <c r="J773" s="20" t="e">
        <f t="shared" si="32"/>
        <v>#NUM!</v>
      </c>
    </row>
    <row r="774" spans="10:10" x14ac:dyDescent="0.25">
      <c r="J774" s="20" t="e">
        <f t="shared" si="32"/>
        <v>#NUM!</v>
      </c>
    </row>
    <row r="775" spans="10:10" x14ac:dyDescent="0.25">
      <c r="J775" s="20" t="e">
        <f t="shared" ref="J775:J838" si="33">INT(LOG($H$2,2))-ROUNDUP(LOG(H775,2),0)+IF(OR($H$2=1,$H$2=2,$H$2=4,$H$2=8,$H$2=16,$H$2=32,$H$2=64,$H$2=128,$H$2=256),0,1)</f>
        <v>#NUM!</v>
      </c>
    </row>
    <row r="776" spans="10:10" x14ac:dyDescent="0.25">
      <c r="J776" s="20" t="e">
        <f t="shared" si="33"/>
        <v>#NUM!</v>
      </c>
    </row>
    <row r="777" spans="10:10" x14ac:dyDescent="0.25">
      <c r="J777" s="20" t="e">
        <f t="shared" si="33"/>
        <v>#NUM!</v>
      </c>
    </row>
    <row r="778" spans="10:10" x14ac:dyDescent="0.25">
      <c r="J778" s="20" t="e">
        <f t="shared" si="33"/>
        <v>#NUM!</v>
      </c>
    </row>
    <row r="779" spans="10:10" x14ac:dyDescent="0.25">
      <c r="J779" s="20" t="e">
        <f t="shared" si="33"/>
        <v>#NUM!</v>
      </c>
    </row>
    <row r="780" spans="10:10" x14ac:dyDescent="0.25">
      <c r="J780" s="20" t="e">
        <f t="shared" si="33"/>
        <v>#NUM!</v>
      </c>
    </row>
    <row r="781" spans="10:10" x14ac:dyDescent="0.25">
      <c r="J781" s="20" t="e">
        <f t="shared" si="33"/>
        <v>#NUM!</v>
      </c>
    </row>
    <row r="782" spans="10:10" x14ac:dyDescent="0.25">
      <c r="J782" s="20" t="e">
        <f t="shared" si="33"/>
        <v>#NUM!</v>
      </c>
    </row>
    <row r="783" spans="10:10" x14ac:dyDescent="0.25">
      <c r="J783" s="20" t="e">
        <f t="shared" si="33"/>
        <v>#NUM!</v>
      </c>
    </row>
    <row r="784" spans="10:10" x14ac:dyDescent="0.25">
      <c r="J784" s="20" t="e">
        <f t="shared" si="33"/>
        <v>#NUM!</v>
      </c>
    </row>
    <row r="785" spans="10:10" x14ac:dyDescent="0.25">
      <c r="J785" s="20" t="e">
        <f t="shared" si="33"/>
        <v>#NUM!</v>
      </c>
    </row>
    <row r="786" spans="10:10" x14ac:dyDescent="0.25">
      <c r="J786" s="20" t="e">
        <f t="shared" si="33"/>
        <v>#NUM!</v>
      </c>
    </row>
    <row r="787" spans="10:10" x14ac:dyDescent="0.25">
      <c r="J787" s="20" t="e">
        <f t="shared" si="33"/>
        <v>#NUM!</v>
      </c>
    </row>
    <row r="788" spans="10:10" x14ac:dyDescent="0.25">
      <c r="J788" s="20" t="e">
        <f t="shared" si="33"/>
        <v>#NUM!</v>
      </c>
    </row>
    <row r="789" spans="10:10" x14ac:dyDescent="0.25">
      <c r="J789" s="20" t="e">
        <f t="shared" si="33"/>
        <v>#NUM!</v>
      </c>
    </row>
    <row r="790" spans="10:10" x14ac:dyDescent="0.25">
      <c r="J790" s="20" t="e">
        <f t="shared" si="33"/>
        <v>#NUM!</v>
      </c>
    </row>
    <row r="791" spans="10:10" x14ac:dyDescent="0.25">
      <c r="J791" s="20" t="e">
        <f t="shared" si="33"/>
        <v>#NUM!</v>
      </c>
    </row>
    <row r="792" spans="10:10" x14ac:dyDescent="0.25">
      <c r="J792" s="20" t="e">
        <f t="shared" si="33"/>
        <v>#NUM!</v>
      </c>
    </row>
    <row r="793" spans="10:10" x14ac:dyDescent="0.25">
      <c r="J793" s="20" t="e">
        <f t="shared" si="33"/>
        <v>#NUM!</v>
      </c>
    </row>
    <row r="794" spans="10:10" x14ac:dyDescent="0.25">
      <c r="J794" s="20" t="e">
        <f t="shared" si="33"/>
        <v>#NUM!</v>
      </c>
    </row>
    <row r="795" spans="10:10" x14ac:dyDescent="0.25">
      <c r="J795" s="20" t="e">
        <f t="shared" si="33"/>
        <v>#NUM!</v>
      </c>
    </row>
    <row r="796" spans="10:10" x14ac:dyDescent="0.25">
      <c r="J796" s="20" t="e">
        <f t="shared" si="33"/>
        <v>#NUM!</v>
      </c>
    </row>
    <row r="797" spans="10:10" x14ac:dyDescent="0.25">
      <c r="J797" s="20" t="e">
        <f t="shared" si="33"/>
        <v>#NUM!</v>
      </c>
    </row>
    <row r="798" spans="10:10" x14ac:dyDescent="0.25">
      <c r="J798" s="20" t="e">
        <f t="shared" si="33"/>
        <v>#NUM!</v>
      </c>
    </row>
    <row r="799" spans="10:10" x14ac:dyDescent="0.25">
      <c r="J799" s="20" t="e">
        <f t="shared" si="33"/>
        <v>#NUM!</v>
      </c>
    </row>
    <row r="800" spans="10:10" x14ac:dyDescent="0.25">
      <c r="J800" s="20" t="e">
        <f t="shared" si="33"/>
        <v>#NUM!</v>
      </c>
    </row>
    <row r="801" spans="10:10" x14ac:dyDescent="0.25">
      <c r="J801" s="20" t="e">
        <f t="shared" si="33"/>
        <v>#NUM!</v>
      </c>
    </row>
    <row r="802" spans="10:10" x14ac:dyDescent="0.25">
      <c r="J802" s="20" t="e">
        <f t="shared" si="33"/>
        <v>#NUM!</v>
      </c>
    </row>
    <row r="803" spans="10:10" x14ac:dyDescent="0.25">
      <c r="J803" s="20" t="e">
        <f t="shared" si="33"/>
        <v>#NUM!</v>
      </c>
    </row>
    <row r="804" spans="10:10" x14ac:dyDescent="0.25">
      <c r="J804" s="20" t="e">
        <f t="shared" si="33"/>
        <v>#NUM!</v>
      </c>
    </row>
    <row r="805" spans="10:10" x14ac:dyDescent="0.25">
      <c r="J805" s="20" t="e">
        <f t="shared" si="33"/>
        <v>#NUM!</v>
      </c>
    </row>
    <row r="806" spans="10:10" x14ac:dyDescent="0.25">
      <c r="J806" s="20" t="e">
        <f t="shared" si="33"/>
        <v>#NUM!</v>
      </c>
    </row>
    <row r="807" spans="10:10" x14ac:dyDescent="0.25">
      <c r="J807" s="20" t="e">
        <f t="shared" si="33"/>
        <v>#NUM!</v>
      </c>
    </row>
    <row r="808" spans="10:10" x14ac:dyDescent="0.25">
      <c r="J808" s="20" t="e">
        <f t="shared" si="33"/>
        <v>#NUM!</v>
      </c>
    </row>
    <row r="809" spans="10:10" x14ac:dyDescent="0.25">
      <c r="J809" s="20" t="e">
        <f t="shared" si="33"/>
        <v>#NUM!</v>
      </c>
    </row>
    <row r="810" spans="10:10" x14ac:dyDescent="0.25">
      <c r="J810" s="20" t="e">
        <f t="shared" si="33"/>
        <v>#NUM!</v>
      </c>
    </row>
    <row r="811" spans="10:10" x14ac:dyDescent="0.25">
      <c r="J811" s="20" t="e">
        <f t="shared" si="33"/>
        <v>#NUM!</v>
      </c>
    </row>
    <row r="812" spans="10:10" x14ac:dyDescent="0.25">
      <c r="J812" s="20" t="e">
        <f t="shared" si="33"/>
        <v>#NUM!</v>
      </c>
    </row>
    <row r="813" spans="10:10" x14ac:dyDescent="0.25">
      <c r="J813" s="20" t="e">
        <f t="shared" si="33"/>
        <v>#NUM!</v>
      </c>
    </row>
    <row r="814" spans="10:10" x14ac:dyDescent="0.25">
      <c r="J814" s="20" t="e">
        <f t="shared" si="33"/>
        <v>#NUM!</v>
      </c>
    </row>
    <row r="815" spans="10:10" x14ac:dyDescent="0.25">
      <c r="J815" s="20" t="e">
        <f t="shared" si="33"/>
        <v>#NUM!</v>
      </c>
    </row>
    <row r="816" spans="10:10" x14ac:dyDescent="0.25">
      <c r="J816" s="20" t="e">
        <f t="shared" si="33"/>
        <v>#NUM!</v>
      </c>
    </row>
    <row r="817" spans="10:10" x14ac:dyDescent="0.25">
      <c r="J817" s="20" t="e">
        <f t="shared" si="33"/>
        <v>#NUM!</v>
      </c>
    </row>
    <row r="818" spans="10:10" x14ac:dyDescent="0.25">
      <c r="J818" s="20" t="e">
        <f t="shared" si="33"/>
        <v>#NUM!</v>
      </c>
    </row>
    <row r="819" spans="10:10" x14ac:dyDescent="0.25">
      <c r="J819" s="20" t="e">
        <f t="shared" si="33"/>
        <v>#NUM!</v>
      </c>
    </row>
    <row r="820" spans="10:10" x14ac:dyDescent="0.25">
      <c r="J820" s="20" t="e">
        <f t="shared" si="33"/>
        <v>#NUM!</v>
      </c>
    </row>
    <row r="821" spans="10:10" x14ac:dyDescent="0.25">
      <c r="J821" s="20" t="e">
        <f t="shared" si="33"/>
        <v>#NUM!</v>
      </c>
    </row>
    <row r="822" spans="10:10" x14ac:dyDescent="0.25">
      <c r="J822" s="20" t="e">
        <f t="shared" si="33"/>
        <v>#NUM!</v>
      </c>
    </row>
    <row r="823" spans="10:10" x14ac:dyDescent="0.25">
      <c r="J823" s="20" t="e">
        <f t="shared" si="33"/>
        <v>#NUM!</v>
      </c>
    </row>
    <row r="824" spans="10:10" x14ac:dyDescent="0.25">
      <c r="J824" s="20" t="e">
        <f t="shared" si="33"/>
        <v>#NUM!</v>
      </c>
    </row>
    <row r="825" spans="10:10" x14ac:dyDescent="0.25">
      <c r="J825" s="20" t="e">
        <f t="shared" si="33"/>
        <v>#NUM!</v>
      </c>
    </row>
    <row r="826" spans="10:10" x14ac:dyDescent="0.25">
      <c r="J826" s="20" t="e">
        <f t="shared" si="33"/>
        <v>#NUM!</v>
      </c>
    </row>
    <row r="827" spans="10:10" x14ac:dyDescent="0.25">
      <c r="J827" s="20" t="e">
        <f t="shared" si="33"/>
        <v>#NUM!</v>
      </c>
    </row>
    <row r="828" spans="10:10" x14ac:dyDescent="0.25">
      <c r="J828" s="20" t="e">
        <f t="shared" si="33"/>
        <v>#NUM!</v>
      </c>
    </row>
    <row r="829" spans="10:10" x14ac:dyDescent="0.25">
      <c r="J829" s="20" t="e">
        <f t="shared" si="33"/>
        <v>#NUM!</v>
      </c>
    </row>
    <row r="830" spans="10:10" x14ac:dyDescent="0.25">
      <c r="J830" s="20" t="e">
        <f t="shared" si="33"/>
        <v>#NUM!</v>
      </c>
    </row>
    <row r="831" spans="10:10" x14ac:dyDescent="0.25">
      <c r="J831" s="20" t="e">
        <f t="shared" si="33"/>
        <v>#NUM!</v>
      </c>
    </row>
    <row r="832" spans="10:10" x14ac:dyDescent="0.25">
      <c r="J832" s="20" t="e">
        <f t="shared" si="33"/>
        <v>#NUM!</v>
      </c>
    </row>
    <row r="833" spans="10:10" x14ac:dyDescent="0.25">
      <c r="J833" s="20" t="e">
        <f t="shared" si="33"/>
        <v>#NUM!</v>
      </c>
    </row>
    <row r="834" spans="10:10" x14ac:dyDescent="0.25">
      <c r="J834" s="20" t="e">
        <f t="shared" si="33"/>
        <v>#NUM!</v>
      </c>
    </row>
    <row r="835" spans="10:10" x14ac:dyDescent="0.25">
      <c r="J835" s="20" t="e">
        <f t="shared" si="33"/>
        <v>#NUM!</v>
      </c>
    </row>
    <row r="836" spans="10:10" x14ac:dyDescent="0.25">
      <c r="J836" s="20" t="e">
        <f t="shared" si="33"/>
        <v>#NUM!</v>
      </c>
    </row>
    <row r="837" spans="10:10" x14ac:dyDescent="0.25">
      <c r="J837" s="20" t="e">
        <f t="shared" si="33"/>
        <v>#NUM!</v>
      </c>
    </row>
    <row r="838" spans="10:10" x14ac:dyDescent="0.25">
      <c r="J838" s="20" t="e">
        <f t="shared" si="33"/>
        <v>#NUM!</v>
      </c>
    </row>
    <row r="839" spans="10:10" x14ac:dyDescent="0.25">
      <c r="J839" s="20" t="e">
        <f t="shared" ref="J839:J902" si="34">INT(LOG($H$2,2))-ROUNDUP(LOG(H839,2),0)+IF(OR($H$2=1,$H$2=2,$H$2=4,$H$2=8,$H$2=16,$H$2=32,$H$2=64,$H$2=128,$H$2=256),0,1)</f>
        <v>#NUM!</v>
      </c>
    </row>
    <row r="840" spans="10:10" x14ac:dyDescent="0.25">
      <c r="J840" s="20" t="e">
        <f t="shared" si="34"/>
        <v>#NUM!</v>
      </c>
    </row>
    <row r="841" spans="10:10" x14ac:dyDescent="0.25">
      <c r="J841" s="20" t="e">
        <f t="shared" si="34"/>
        <v>#NUM!</v>
      </c>
    </row>
    <row r="842" spans="10:10" x14ac:dyDescent="0.25">
      <c r="J842" s="20" t="e">
        <f t="shared" si="34"/>
        <v>#NUM!</v>
      </c>
    </row>
    <row r="843" spans="10:10" x14ac:dyDescent="0.25">
      <c r="J843" s="20" t="e">
        <f t="shared" si="34"/>
        <v>#NUM!</v>
      </c>
    </row>
    <row r="844" spans="10:10" x14ac:dyDescent="0.25">
      <c r="J844" s="20" t="e">
        <f t="shared" si="34"/>
        <v>#NUM!</v>
      </c>
    </row>
    <row r="845" spans="10:10" x14ac:dyDescent="0.25">
      <c r="J845" s="20" t="e">
        <f t="shared" si="34"/>
        <v>#NUM!</v>
      </c>
    </row>
    <row r="846" spans="10:10" x14ac:dyDescent="0.25">
      <c r="J846" s="20" t="e">
        <f t="shared" si="34"/>
        <v>#NUM!</v>
      </c>
    </row>
    <row r="847" spans="10:10" x14ac:dyDescent="0.25">
      <c r="J847" s="20" t="e">
        <f t="shared" si="34"/>
        <v>#NUM!</v>
      </c>
    </row>
    <row r="848" spans="10:10" x14ac:dyDescent="0.25">
      <c r="J848" s="20" t="e">
        <f t="shared" si="34"/>
        <v>#NUM!</v>
      </c>
    </row>
    <row r="849" spans="10:10" x14ac:dyDescent="0.25">
      <c r="J849" s="20" t="e">
        <f t="shared" si="34"/>
        <v>#NUM!</v>
      </c>
    </row>
    <row r="850" spans="10:10" x14ac:dyDescent="0.25">
      <c r="J850" s="20" t="e">
        <f t="shared" si="34"/>
        <v>#NUM!</v>
      </c>
    </row>
    <row r="851" spans="10:10" x14ac:dyDescent="0.25">
      <c r="J851" s="20" t="e">
        <f t="shared" si="34"/>
        <v>#NUM!</v>
      </c>
    </row>
    <row r="852" spans="10:10" x14ac:dyDescent="0.25">
      <c r="J852" s="20" t="e">
        <f t="shared" si="34"/>
        <v>#NUM!</v>
      </c>
    </row>
    <row r="853" spans="10:10" x14ac:dyDescent="0.25">
      <c r="J853" s="20" t="e">
        <f t="shared" si="34"/>
        <v>#NUM!</v>
      </c>
    </row>
    <row r="854" spans="10:10" x14ac:dyDescent="0.25">
      <c r="J854" s="20" t="e">
        <f t="shared" si="34"/>
        <v>#NUM!</v>
      </c>
    </row>
    <row r="855" spans="10:10" x14ac:dyDescent="0.25">
      <c r="J855" s="20" t="e">
        <f t="shared" si="34"/>
        <v>#NUM!</v>
      </c>
    </row>
    <row r="856" spans="10:10" x14ac:dyDescent="0.25">
      <c r="J856" s="20" t="e">
        <f t="shared" si="34"/>
        <v>#NUM!</v>
      </c>
    </row>
    <row r="857" spans="10:10" x14ac:dyDescent="0.25">
      <c r="J857" s="20" t="e">
        <f t="shared" si="34"/>
        <v>#NUM!</v>
      </c>
    </row>
    <row r="858" spans="10:10" x14ac:dyDescent="0.25">
      <c r="J858" s="20" t="e">
        <f t="shared" si="34"/>
        <v>#NUM!</v>
      </c>
    </row>
    <row r="859" spans="10:10" x14ac:dyDescent="0.25">
      <c r="J859" s="20" t="e">
        <f t="shared" si="34"/>
        <v>#NUM!</v>
      </c>
    </row>
    <row r="860" spans="10:10" x14ac:dyDescent="0.25">
      <c r="J860" s="20" t="e">
        <f t="shared" si="34"/>
        <v>#NUM!</v>
      </c>
    </row>
    <row r="861" spans="10:10" x14ac:dyDescent="0.25">
      <c r="J861" s="20" t="e">
        <f t="shared" si="34"/>
        <v>#NUM!</v>
      </c>
    </row>
    <row r="862" spans="10:10" x14ac:dyDescent="0.25">
      <c r="J862" s="20" t="e">
        <f t="shared" si="34"/>
        <v>#NUM!</v>
      </c>
    </row>
    <row r="863" spans="10:10" x14ac:dyDescent="0.25">
      <c r="J863" s="20" t="e">
        <f t="shared" si="34"/>
        <v>#NUM!</v>
      </c>
    </row>
    <row r="864" spans="10:10" x14ac:dyDescent="0.25">
      <c r="J864" s="20" t="e">
        <f t="shared" si="34"/>
        <v>#NUM!</v>
      </c>
    </row>
    <row r="865" spans="10:10" x14ac:dyDescent="0.25">
      <c r="J865" s="20" t="e">
        <f t="shared" si="34"/>
        <v>#NUM!</v>
      </c>
    </row>
    <row r="866" spans="10:10" x14ac:dyDescent="0.25">
      <c r="J866" s="20" t="e">
        <f t="shared" si="34"/>
        <v>#NUM!</v>
      </c>
    </row>
    <row r="867" spans="10:10" x14ac:dyDescent="0.25">
      <c r="J867" s="20" t="e">
        <f t="shared" si="34"/>
        <v>#NUM!</v>
      </c>
    </row>
    <row r="868" spans="10:10" x14ac:dyDescent="0.25">
      <c r="J868" s="20" t="e">
        <f t="shared" si="34"/>
        <v>#NUM!</v>
      </c>
    </row>
    <row r="869" spans="10:10" x14ac:dyDescent="0.25">
      <c r="J869" s="20" t="e">
        <f t="shared" si="34"/>
        <v>#NUM!</v>
      </c>
    </row>
    <row r="870" spans="10:10" x14ac:dyDescent="0.25">
      <c r="J870" s="20" t="e">
        <f t="shared" si="34"/>
        <v>#NUM!</v>
      </c>
    </row>
    <row r="871" spans="10:10" x14ac:dyDescent="0.25">
      <c r="J871" s="20" t="e">
        <f t="shared" si="34"/>
        <v>#NUM!</v>
      </c>
    </row>
    <row r="872" spans="10:10" x14ac:dyDescent="0.25">
      <c r="J872" s="20" t="e">
        <f t="shared" si="34"/>
        <v>#NUM!</v>
      </c>
    </row>
    <row r="873" spans="10:10" x14ac:dyDescent="0.25">
      <c r="J873" s="20" t="e">
        <f t="shared" si="34"/>
        <v>#NUM!</v>
      </c>
    </row>
    <row r="874" spans="10:10" x14ac:dyDescent="0.25">
      <c r="J874" s="20" t="e">
        <f t="shared" si="34"/>
        <v>#NUM!</v>
      </c>
    </row>
    <row r="875" spans="10:10" x14ac:dyDescent="0.25">
      <c r="J875" s="20" t="e">
        <f t="shared" si="34"/>
        <v>#NUM!</v>
      </c>
    </row>
    <row r="876" spans="10:10" x14ac:dyDescent="0.25">
      <c r="J876" s="20" t="e">
        <f t="shared" si="34"/>
        <v>#NUM!</v>
      </c>
    </row>
    <row r="877" spans="10:10" x14ac:dyDescent="0.25">
      <c r="J877" s="20" t="e">
        <f t="shared" si="34"/>
        <v>#NUM!</v>
      </c>
    </row>
    <row r="878" spans="10:10" x14ac:dyDescent="0.25">
      <c r="J878" s="20" t="e">
        <f t="shared" si="34"/>
        <v>#NUM!</v>
      </c>
    </row>
    <row r="879" spans="10:10" x14ac:dyDescent="0.25">
      <c r="J879" s="20" t="e">
        <f t="shared" si="34"/>
        <v>#NUM!</v>
      </c>
    </row>
    <row r="880" spans="10:10" x14ac:dyDescent="0.25">
      <c r="J880" s="20" t="e">
        <f t="shared" si="34"/>
        <v>#NUM!</v>
      </c>
    </row>
    <row r="881" spans="10:10" x14ac:dyDescent="0.25">
      <c r="J881" s="20" t="e">
        <f t="shared" si="34"/>
        <v>#NUM!</v>
      </c>
    </row>
    <row r="882" spans="10:10" x14ac:dyDescent="0.25">
      <c r="J882" s="20" t="e">
        <f t="shared" si="34"/>
        <v>#NUM!</v>
      </c>
    </row>
    <row r="883" spans="10:10" x14ac:dyDescent="0.25">
      <c r="J883" s="20" t="e">
        <f t="shared" si="34"/>
        <v>#NUM!</v>
      </c>
    </row>
    <row r="884" spans="10:10" x14ac:dyDescent="0.25">
      <c r="J884" s="20" t="e">
        <f t="shared" si="34"/>
        <v>#NUM!</v>
      </c>
    </row>
    <row r="885" spans="10:10" x14ac:dyDescent="0.25">
      <c r="J885" s="20" t="e">
        <f t="shared" si="34"/>
        <v>#NUM!</v>
      </c>
    </row>
    <row r="886" spans="10:10" x14ac:dyDescent="0.25">
      <c r="J886" s="20" t="e">
        <f t="shared" si="34"/>
        <v>#NUM!</v>
      </c>
    </row>
    <row r="887" spans="10:10" x14ac:dyDescent="0.25">
      <c r="J887" s="20" t="e">
        <f t="shared" si="34"/>
        <v>#NUM!</v>
      </c>
    </row>
    <row r="888" spans="10:10" x14ac:dyDescent="0.25">
      <c r="J888" s="20" t="e">
        <f t="shared" si="34"/>
        <v>#NUM!</v>
      </c>
    </row>
    <row r="889" spans="10:10" x14ac:dyDescent="0.25">
      <c r="J889" s="20" t="e">
        <f t="shared" si="34"/>
        <v>#NUM!</v>
      </c>
    </row>
    <row r="890" spans="10:10" x14ac:dyDescent="0.25">
      <c r="J890" s="20" t="e">
        <f t="shared" si="34"/>
        <v>#NUM!</v>
      </c>
    </row>
    <row r="891" spans="10:10" x14ac:dyDescent="0.25">
      <c r="J891" s="20" t="e">
        <f t="shared" si="34"/>
        <v>#NUM!</v>
      </c>
    </row>
    <row r="892" spans="10:10" x14ac:dyDescent="0.25">
      <c r="J892" s="20" t="e">
        <f t="shared" si="34"/>
        <v>#NUM!</v>
      </c>
    </row>
    <row r="893" spans="10:10" x14ac:dyDescent="0.25">
      <c r="J893" s="20" t="e">
        <f t="shared" si="34"/>
        <v>#NUM!</v>
      </c>
    </row>
    <row r="894" spans="10:10" x14ac:dyDescent="0.25">
      <c r="J894" s="20" t="e">
        <f t="shared" si="34"/>
        <v>#NUM!</v>
      </c>
    </row>
    <row r="895" spans="10:10" x14ac:dyDescent="0.25">
      <c r="J895" s="20" t="e">
        <f t="shared" si="34"/>
        <v>#NUM!</v>
      </c>
    </row>
    <row r="896" spans="10:10" x14ac:dyDescent="0.25">
      <c r="J896" s="20" t="e">
        <f t="shared" si="34"/>
        <v>#NUM!</v>
      </c>
    </row>
    <row r="897" spans="10:10" x14ac:dyDescent="0.25">
      <c r="J897" s="20" t="e">
        <f t="shared" si="34"/>
        <v>#NUM!</v>
      </c>
    </row>
    <row r="898" spans="10:10" x14ac:dyDescent="0.25">
      <c r="J898" s="20" t="e">
        <f t="shared" si="34"/>
        <v>#NUM!</v>
      </c>
    </row>
    <row r="899" spans="10:10" x14ac:dyDescent="0.25">
      <c r="J899" s="20" t="e">
        <f t="shared" si="34"/>
        <v>#NUM!</v>
      </c>
    </row>
    <row r="900" spans="10:10" x14ac:dyDescent="0.25">
      <c r="J900" s="20" t="e">
        <f t="shared" si="34"/>
        <v>#NUM!</v>
      </c>
    </row>
    <row r="901" spans="10:10" x14ac:dyDescent="0.25">
      <c r="J901" s="20" t="e">
        <f t="shared" si="34"/>
        <v>#NUM!</v>
      </c>
    </row>
    <row r="902" spans="10:10" x14ac:dyDescent="0.25">
      <c r="J902" s="20" t="e">
        <f t="shared" si="34"/>
        <v>#NUM!</v>
      </c>
    </row>
    <row r="903" spans="10:10" x14ac:dyDescent="0.25">
      <c r="J903" s="20" t="e">
        <f t="shared" ref="J903:J966" si="35">INT(LOG($H$2,2))-ROUNDUP(LOG(H903,2),0)+IF(OR($H$2=1,$H$2=2,$H$2=4,$H$2=8,$H$2=16,$H$2=32,$H$2=64,$H$2=128,$H$2=256),0,1)</f>
        <v>#NUM!</v>
      </c>
    </row>
    <row r="904" spans="10:10" x14ac:dyDescent="0.25">
      <c r="J904" s="20" t="e">
        <f t="shared" si="35"/>
        <v>#NUM!</v>
      </c>
    </row>
    <row r="905" spans="10:10" x14ac:dyDescent="0.25">
      <c r="J905" s="20" t="e">
        <f t="shared" si="35"/>
        <v>#NUM!</v>
      </c>
    </row>
    <row r="906" spans="10:10" x14ac:dyDescent="0.25">
      <c r="J906" s="20" t="e">
        <f t="shared" si="35"/>
        <v>#NUM!</v>
      </c>
    </row>
    <row r="907" spans="10:10" x14ac:dyDescent="0.25">
      <c r="J907" s="20" t="e">
        <f t="shared" si="35"/>
        <v>#NUM!</v>
      </c>
    </row>
    <row r="908" spans="10:10" x14ac:dyDescent="0.25">
      <c r="J908" s="20" t="e">
        <f t="shared" si="35"/>
        <v>#NUM!</v>
      </c>
    </row>
    <row r="909" spans="10:10" x14ac:dyDescent="0.25">
      <c r="J909" s="20" t="e">
        <f t="shared" si="35"/>
        <v>#NUM!</v>
      </c>
    </row>
    <row r="910" spans="10:10" x14ac:dyDescent="0.25">
      <c r="J910" s="20" t="e">
        <f t="shared" si="35"/>
        <v>#NUM!</v>
      </c>
    </row>
    <row r="911" spans="10:10" x14ac:dyDescent="0.25">
      <c r="J911" s="20" t="e">
        <f t="shared" si="35"/>
        <v>#NUM!</v>
      </c>
    </row>
    <row r="912" spans="10:10" x14ac:dyDescent="0.25">
      <c r="J912" s="20" t="e">
        <f t="shared" si="35"/>
        <v>#NUM!</v>
      </c>
    </row>
    <row r="913" spans="10:10" x14ac:dyDescent="0.25">
      <c r="J913" s="20" t="e">
        <f t="shared" si="35"/>
        <v>#NUM!</v>
      </c>
    </row>
    <row r="914" spans="10:10" x14ac:dyDescent="0.25">
      <c r="J914" s="20" t="e">
        <f t="shared" si="35"/>
        <v>#NUM!</v>
      </c>
    </row>
    <row r="915" spans="10:10" x14ac:dyDescent="0.25">
      <c r="J915" s="20" t="e">
        <f t="shared" si="35"/>
        <v>#NUM!</v>
      </c>
    </row>
    <row r="916" spans="10:10" x14ac:dyDescent="0.25">
      <c r="J916" s="20" t="e">
        <f t="shared" si="35"/>
        <v>#NUM!</v>
      </c>
    </row>
    <row r="917" spans="10:10" x14ac:dyDescent="0.25">
      <c r="J917" s="20" t="e">
        <f t="shared" si="35"/>
        <v>#NUM!</v>
      </c>
    </row>
    <row r="918" spans="10:10" x14ac:dyDescent="0.25">
      <c r="J918" s="20" t="e">
        <f t="shared" si="35"/>
        <v>#NUM!</v>
      </c>
    </row>
    <row r="919" spans="10:10" x14ac:dyDescent="0.25">
      <c r="J919" s="20" t="e">
        <f t="shared" si="35"/>
        <v>#NUM!</v>
      </c>
    </row>
    <row r="920" spans="10:10" x14ac:dyDescent="0.25">
      <c r="J920" s="20" t="e">
        <f t="shared" si="35"/>
        <v>#NUM!</v>
      </c>
    </row>
    <row r="921" spans="10:10" x14ac:dyDescent="0.25">
      <c r="J921" s="20" t="e">
        <f t="shared" si="35"/>
        <v>#NUM!</v>
      </c>
    </row>
    <row r="922" spans="10:10" x14ac:dyDescent="0.25">
      <c r="J922" s="20" t="e">
        <f t="shared" si="35"/>
        <v>#NUM!</v>
      </c>
    </row>
    <row r="923" spans="10:10" x14ac:dyDescent="0.25">
      <c r="J923" s="20" t="e">
        <f t="shared" si="35"/>
        <v>#NUM!</v>
      </c>
    </row>
    <row r="924" spans="10:10" x14ac:dyDescent="0.25">
      <c r="J924" s="20" t="e">
        <f t="shared" si="35"/>
        <v>#NUM!</v>
      </c>
    </row>
    <row r="925" spans="10:10" x14ac:dyDescent="0.25">
      <c r="J925" s="20" t="e">
        <f t="shared" si="35"/>
        <v>#NUM!</v>
      </c>
    </row>
    <row r="926" spans="10:10" x14ac:dyDescent="0.25">
      <c r="J926" s="20" t="e">
        <f t="shared" si="35"/>
        <v>#NUM!</v>
      </c>
    </row>
    <row r="927" spans="10:10" x14ac:dyDescent="0.25">
      <c r="J927" s="20" t="e">
        <f t="shared" si="35"/>
        <v>#NUM!</v>
      </c>
    </row>
    <row r="928" spans="10:10" x14ac:dyDescent="0.25">
      <c r="J928" s="20" t="e">
        <f t="shared" si="35"/>
        <v>#NUM!</v>
      </c>
    </row>
    <row r="929" spans="10:10" x14ac:dyDescent="0.25">
      <c r="J929" s="20" t="e">
        <f t="shared" si="35"/>
        <v>#NUM!</v>
      </c>
    </row>
    <row r="930" spans="10:10" x14ac:dyDescent="0.25">
      <c r="J930" s="20" t="e">
        <f t="shared" si="35"/>
        <v>#NUM!</v>
      </c>
    </row>
    <row r="931" spans="10:10" x14ac:dyDescent="0.25">
      <c r="J931" s="20" t="e">
        <f t="shared" si="35"/>
        <v>#NUM!</v>
      </c>
    </row>
    <row r="932" spans="10:10" x14ac:dyDescent="0.25">
      <c r="J932" s="20" t="e">
        <f t="shared" si="35"/>
        <v>#NUM!</v>
      </c>
    </row>
    <row r="933" spans="10:10" x14ac:dyDescent="0.25">
      <c r="J933" s="20" t="e">
        <f t="shared" si="35"/>
        <v>#NUM!</v>
      </c>
    </row>
    <row r="934" spans="10:10" x14ac:dyDescent="0.25">
      <c r="J934" s="20" t="e">
        <f t="shared" si="35"/>
        <v>#NUM!</v>
      </c>
    </row>
    <row r="935" spans="10:10" x14ac:dyDescent="0.25">
      <c r="J935" s="20" t="e">
        <f t="shared" si="35"/>
        <v>#NUM!</v>
      </c>
    </row>
    <row r="936" spans="10:10" x14ac:dyDescent="0.25">
      <c r="J936" s="20" t="e">
        <f t="shared" si="35"/>
        <v>#NUM!</v>
      </c>
    </row>
    <row r="937" spans="10:10" x14ac:dyDescent="0.25">
      <c r="J937" s="20" t="e">
        <f t="shared" si="35"/>
        <v>#NUM!</v>
      </c>
    </row>
    <row r="938" spans="10:10" x14ac:dyDescent="0.25">
      <c r="J938" s="20" t="e">
        <f t="shared" si="35"/>
        <v>#NUM!</v>
      </c>
    </row>
    <row r="939" spans="10:10" x14ac:dyDescent="0.25">
      <c r="J939" s="20" t="e">
        <f t="shared" si="35"/>
        <v>#NUM!</v>
      </c>
    </row>
    <row r="940" spans="10:10" x14ac:dyDescent="0.25">
      <c r="J940" s="20" t="e">
        <f t="shared" si="35"/>
        <v>#NUM!</v>
      </c>
    </row>
    <row r="941" spans="10:10" x14ac:dyDescent="0.25">
      <c r="J941" s="20" t="e">
        <f t="shared" si="35"/>
        <v>#NUM!</v>
      </c>
    </row>
    <row r="942" spans="10:10" x14ac:dyDescent="0.25">
      <c r="J942" s="20" t="e">
        <f t="shared" si="35"/>
        <v>#NUM!</v>
      </c>
    </row>
    <row r="943" spans="10:10" x14ac:dyDescent="0.25">
      <c r="J943" s="20" t="e">
        <f t="shared" si="35"/>
        <v>#NUM!</v>
      </c>
    </row>
    <row r="944" spans="10:10" x14ac:dyDescent="0.25">
      <c r="J944" s="20" t="e">
        <f t="shared" si="35"/>
        <v>#NUM!</v>
      </c>
    </row>
    <row r="945" spans="10:10" x14ac:dyDescent="0.25">
      <c r="J945" s="20" t="e">
        <f t="shared" si="35"/>
        <v>#NUM!</v>
      </c>
    </row>
    <row r="946" spans="10:10" x14ac:dyDescent="0.25">
      <c r="J946" s="20" t="e">
        <f t="shared" si="35"/>
        <v>#NUM!</v>
      </c>
    </row>
    <row r="947" spans="10:10" x14ac:dyDescent="0.25">
      <c r="J947" s="20" t="e">
        <f t="shared" si="35"/>
        <v>#NUM!</v>
      </c>
    </row>
    <row r="948" spans="10:10" x14ac:dyDescent="0.25">
      <c r="J948" s="20" t="e">
        <f t="shared" si="35"/>
        <v>#NUM!</v>
      </c>
    </row>
    <row r="949" spans="10:10" x14ac:dyDescent="0.25">
      <c r="J949" s="20" t="e">
        <f t="shared" si="35"/>
        <v>#NUM!</v>
      </c>
    </row>
    <row r="950" spans="10:10" x14ac:dyDescent="0.25">
      <c r="J950" s="20" t="e">
        <f t="shared" si="35"/>
        <v>#NUM!</v>
      </c>
    </row>
    <row r="951" spans="10:10" x14ac:dyDescent="0.25">
      <c r="J951" s="20" t="e">
        <f t="shared" si="35"/>
        <v>#NUM!</v>
      </c>
    </row>
    <row r="952" spans="10:10" x14ac:dyDescent="0.25">
      <c r="J952" s="20" t="e">
        <f t="shared" si="35"/>
        <v>#NUM!</v>
      </c>
    </row>
    <row r="953" spans="10:10" x14ac:dyDescent="0.25">
      <c r="J953" s="20" t="e">
        <f t="shared" si="35"/>
        <v>#NUM!</v>
      </c>
    </row>
    <row r="954" spans="10:10" x14ac:dyDescent="0.25">
      <c r="J954" s="20" t="e">
        <f t="shared" si="35"/>
        <v>#NUM!</v>
      </c>
    </row>
    <row r="955" spans="10:10" x14ac:dyDescent="0.25">
      <c r="J955" s="20" t="e">
        <f t="shared" si="35"/>
        <v>#NUM!</v>
      </c>
    </row>
    <row r="956" spans="10:10" x14ac:dyDescent="0.25">
      <c r="J956" s="20" t="e">
        <f t="shared" si="35"/>
        <v>#NUM!</v>
      </c>
    </row>
    <row r="957" spans="10:10" x14ac:dyDescent="0.25">
      <c r="J957" s="20" t="e">
        <f t="shared" si="35"/>
        <v>#NUM!</v>
      </c>
    </row>
    <row r="958" spans="10:10" x14ac:dyDescent="0.25">
      <c r="J958" s="20" t="e">
        <f t="shared" si="35"/>
        <v>#NUM!</v>
      </c>
    </row>
    <row r="959" spans="10:10" x14ac:dyDescent="0.25">
      <c r="J959" s="20" t="e">
        <f t="shared" si="35"/>
        <v>#NUM!</v>
      </c>
    </row>
    <row r="960" spans="10:10" x14ac:dyDescent="0.25">
      <c r="J960" s="20" t="e">
        <f t="shared" si="35"/>
        <v>#NUM!</v>
      </c>
    </row>
    <row r="961" spans="10:10" x14ac:dyDescent="0.25">
      <c r="J961" s="20" t="e">
        <f t="shared" si="35"/>
        <v>#NUM!</v>
      </c>
    </row>
    <row r="962" spans="10:10" x14ac:dyDescent="0.25">
      <c r="J962" s="20" t="e">
        <f t="shared" si="35"/>
        <v>#NUM!</v>
      </c>
    </row>
    <row r="963" spans="10:10" x14ac:dyDescent="0.25">
      <c r="J963" s="20" t="e">
        <f t="shared" si="35"/>
        <v>#NUM!</v>
      </c>
    </row>
    <row r="964" spans="10:10" x14ac:dyDescent="0.25">
      <c r="J964" s="20" t="e">
        <f t="shared" si="35"/>
        <v>#NUM!</v>
      </c>
    </row>
    <row r="965" spans="10:10" x14ac:dyDescent="0.25">
      <c r="J965" s="20" t="e">
        <f t="shared" si="35"/>
        <v>#NUM!</v>
      </c>
    </row>
    <row r="966" spans="10:10" x14ac:dyDescent="0.25">
      <c r="J966" s="20" t="e">
        <f t="shared" si="35"/>
        <v>#NUM!</v>
      </c>
    </row>
    <row r="967" spans="10:10" x14ac:dyDescent="0.25">
      <c r="J967" s="20" t="e">
        <f t="shared" ref="J967:J1030" si="36">INT(LOG($H$2,2))-ROUNDUP(LOG(H967,2),0)+IF(OR($H$2=1,$H$2=2,$H$2=4,$H$2=8,$H$2=16,$H$2=32,$H$2=64,$H$2=128,$H$2=256),0,1)</f>
        <v>#NUM!</v>
      </c>
    </row>
    <row r="968" spans="10:10" x14ac:dyDescent="0.25">
      <c r="J968" s="20" t="e">
        <f t="shared" si="36"/>
        <v>#NUM!</v>
      </c>
    </row>
    <row r="969" spans="10:10" x14ac:dyDescent="0.25">
      <c r="J969" s="20" t="e">
        <f t="shared" si="36"/>
        <v>#NUM!</v>
      </c>
    </row>
    <row r="970" spans="10:10" x14ac:dyDescent="0.25">
      <c r="J970" s="20" t="e">
        <f t="shared" si="36"/>
        <v>#NUM!</v>
      </c>
    </row>
    <row r="971" spans="10:10" x14ac:dyDescent="0.25">
      <c r="J971" s="20" t="e">
        <f t="shared" si="36"/>
        <v>#NUM!</v>
      </c>
    </row>
    <row r="972" spans="10:10" x14ac:dyDescent="0.25">
      <c r="J972" s="20" t="e">
        <f t="shared" si="36"/>
        <v>#NUM!</v>
      </c>
    </row>
    <row r="973" spans="10:10" x14ac:dyDescent="0.25">
      <c r="J973" s="20" t="e">
        <f t="shared" si="36"/>
        <v>#NUM!</v>
      </c>
    </row>
    <row r="974" spans="10:10" x14ac:dyDescent="0.25">
      <c r="J974" s="20" t="e">
        <f t="shared" si="36"/>
        <v>#NUM!</v>
      </c>
    </row>
    <row r="975" spans="10:10" x14ac:dyDescent="0.25">
      <c r="J975" s="20" t="e">
        <f t="shared" si="36"/>
        <v>#NUM!</v>
      </c>
    </row>
    <row r="976" spans="10:10" x14ac:dyDescent="0.25">
      <c r="J976" s="20" t="e">
        <f t="shared" si="36"/>
        <v>#NUM!</v>
      </c>
    </row>
    <row r="977" spans="10:10" x14ac:dyDescent="0.25">
      <c r="J977" s="20" t="e">
        <f t="shared" si="36"/>
        <v>#NUM!</v>
      </c>
    </row>
    <row r="978" spans="10:10" x14ac:dyDescent="0.25">
      <c r="J978" s="20" t="e">
        <f t="shared" si="36"/>
        <v>#NUM!</v>
      </c>
    </row>
    <row r="979" spans="10:10" x14ac:dyDescent="0.25">
      <c r="J979" s="20" t="e">
        <f t="shared" si="36"/>
        <v>#NUM!</v>
      </c>
    </row>
    <row r="980" spans="10:10" x14ac:dyDescent="0.25">
      <c r="J980" s="20" t="e">
        <f t="shared" si="36"/>
        <v>#NUM!</v>
      </c>
    </row>
    <row r="981" spans="10:10" x14ac:dyDescent="0.25">
      <c r="J981" s="20" t="e">
        <f t="shared" si="36"/>
        <v>#NUM!</v>
      </c>
    </row>
    <row r="982" spans="10:10" x14ac:dyDescent="0.25">
      <c r="J982" s="20" t="e">
        <f t="shared" si="36"/>
        <v>#NUM!</v>
      </c>
    </row>
    <row r="983" spans="10:10" x14ac:dyDescent="0.25">
      <c r="J983" s="20" t="e">
        <f t="shared" si="36"/>
        <v>#NUM!</v>
      </c>
    </row>
    <row r="984" spans="10:10" x14ac:dyDescent="0.25">
      <c r="J984" s="20" t="e">
        <f t="shared" si="36"/>
        <v>#NUM!</v>
      </c>
    </row>
    <row r="985" spans="10:10" x14ac:dyDescent="0.25">
      <c r="J985" s="20" t="e">
        <f t="shared" si="36"/>
        <v>#NUM!</v>
      </c>
    </row>
    <row r="986" spans="10:10" x14ac:dyDescent="0.25">
      <c r="J986" s="20" t="e">
        <f t="shared" si="36"/>
        <v>#NUM!</v>
      </c>
    </row>
    <row r="987" spans="10:10" x14ac:dyDescent="0.25">
      <c r="J987" s="20" t="e">
        <f t="shared" si="36"/>
        <v>#NUM!</v>
      </c>
    </row>
    <row r="988" spans="10:10" x14ac:dyDescent="0.25">
      <c r="J988" s="20" t="e">
        <f t="shared" si="36"/>
        <v>#NUM!</v>
      </c>
    </row>
    <row r="989" spans="10:10" x14ac:dyDescent="0.25">
      <c r="J989" s="20" t="e">
        <f t="shared" si="36"/>
        <v>#NUM!</v>
      </c>
    </row>
    <row r="990" spans="10:10" x14ac:dyDescent="0.25">
      <c r="J990" s="20" t="e">
        <f t="shared" si="36"/>
        <v>#NUM!</v>
      </c>
    </row>
    <row r="991" spans="10:10" x14ac:dyDescent="0.25">
      <c r="J991" s="20" t="e">
        <f t="shared" si="36"/>
        <v>#NUM!</v>
      </c>
    </row>
    <row r="992" spans="10:10" x14ac:dyDescent="0.25">
      <c r="J992" s="20" t="e">
        <f t="shared" si="36"/>
        <v>#NUM!</v>
      </c>
    </row>
    <row r="993" spans="10:10" x14ac:dyDescent="0.25">
      <c r="J993" s="20" t="e">
        <f t="shared" si="36"/>
        <v>#NUM!</v>
      </c>
    </row>
    <row r="994" spans="10:10" x14ac:dyDescent="0.25">
      <c r="J994" s="20" t="e">
        <f t="shared" si="36"/>
        <v>#NUM!</v>
      </c>
    </row>
    <row r="995" spans="10:10" x14ac:dyDescent="0.25">
      <c r="J995" s="20" t="e">
        <f t="shared" si="36"/>
        <v>#NUM!</v>
      </c>
    </row>
    <row r="996" spans="10:10" x14ac:dyDescent="0.25">
      <c r="J996" s="20" t="e">
        <f t="shared" si="36"/>
        <v>#NUM!</v>
      </c>
    </row>
    <row r="997" spans="10:10" x14ac:dyDescent="0.25">
      <c r="J997" s="20" t="e">
        <f t="shared" si="36"/>
        <v>#NUM!</v>
      </c>
    </row>
    <row r="998" spans="10:10" x14ac:dyDescent="0.25">
      <c r="J998" s="20" t="e">
        <f t="shared" si="36"/>
        <v>#NUM!</v>
      </c>
    </row>
    <row r="999" spans="10:10" x14ac:dyDescent="0.25">
      <c r="J999" s="20" t="e">
        <f t="shared" si="36"/>
        <v>#NUM!</v>
      </c>
    </row>
    <row r="1000" spans="10:10" x14ac:dyDescent="0.25">
      <c r="J1000" s="20" t="e">
        <f t="shared" si="36"/>
        <v>#NUM!</v>
      </c>
    </row>
    <row r="1001" spans="10:10" x14ac:dyDescent="0.25">
      <c r="J1001" s="20" t="e">
        <f t="shared" si="36"/>
        <v>#NUM!</v>
      </c>
    </row>
    <row r="1002" spans="10:10" x14ac:dyDescent="0.25">
      <c r="J1002" s="20" t="e">
        <f t="shared" si="36"/>
        <v>#NUM!</v>
      </c>
    </row>
    <row r="1003" spans="10:10" x14ac:dyDescent="0.25">
      <c r="J1003" s="20" t="e">
        <f t="shared" si="36"/>
        <v>#NUM!</v>
      </c>
    </row>
    <row r="1004" spans="10:10" x14ac:dyDescent="0.25">
      <c r="J1004" s="20" t="e">
        <f t="shared" si="36"/>
        <v>#NUM!</v>
      </c>
    </row>
    <row r="1005" spans="10:10" x14ac:dyDescent="0.25">
      <c r="J1005" s="20" t="e">
        <f t="shared" si="36"/>
        <v>#NUM!</v>
      </c>
    </row>
    <row r="1006" spans="10:10" x14ac:dyDescent="0.25">
      <c r="J1006" s="20" t="e">
        <f t="shared" si="36"/>
        <v>#NUM!</v>
      </c>
    </row>
    <row r="1007" spans="10:10" x14ac:dyDescent="0.25">
      <c r="J1007" s="20" t="e">
        <f t="shared" si="36"/>
        <v>#NUM!</v>
      </c>
    </row>
    <row r="1008" spans="10:10" x14ac:dyDescent="0.25">
      <c r="J1008" s="20" t="e">
        <f t="shared" si="36"/>
        <v>#NUM!</v>
      </c>
    </row>
    <row r="1009" spans="10:10" x14ac:dyDescent="0.25">
      <c r="J1009" s="20" t="e">
        <f t="shared" si="36"/>
        <v>#NUM!</v>
      </c>
    </row>
    <row r="1010" spans="10:10" x14ac:dyDescent="0.25">
      <c r="J1010" s="20" t="e">
        <f t="shared" si="36"/>
        <v>#NUM!</v>
      </c>
    </row>
    <row r="1011" spans="10:10" x14ac:dyDescent="0.25">
      <c r="J1011" s="20" t="e">
        <f t="shared" si="36"/>
        <v>#NUM!</v>
      </c>
    </row>
    <row r="1012" spans="10:10" x14ac:dyDescent="0.25">
      <c r="J1012" s="20" t="e">
        <f t="shared" si="36"/>
        <v>#NUM!</v>
      </c>
    </row>
    <row r="1013" spans="10:10" x14ac:dyDescent="0.25">
      <c r="J1013" s="20" t="e">
        <f t="shared" si="36"/>
        <v>#NUM!</v>
      </c>
    </row>
    <row r="1014" spans="10:10" x14ac:dyDescent="0.25">
      <c r="J1014" s="20" t="e">
        <f t="shared" si="36"/>
        <v>#NUM!</v>
      </c>
    </row>
    <row r="1015" spans="10:10" x14ac:dyDescent="0.25">
      <c r="J1015" s="20" t="e">
        <f t="shared" si="36"/>
        <v>#NUM!</v>
      </c>
    </row>
    <row r="1016" spans="10:10" x14ac:dyDescent="0.25">
      <c r="J1016" s="20" t="e">
        <f t="shared" si="36"/>
        <v>#NUM!</v>
      </c>
    </row>
    <row r="1017" spans="10:10" x14ac:dyDescent="0.25">
      <c r="J1017" s="20" t="e">
        <f t="shared" si="36"/>
        <v>#NUM!</v>
      </c>
    </row>
    <row r="1018" spans="10:10" x14ac:dyDescent="0.25">
      <c r="J1018" s="20" t="e">
        <f t="shared" si="36"/>
        <v>#NUM!</v>
      </c>
    </row>
    <row r="1019" spans="10:10" x14ac:dyDescent="0.25">
      <c r="J1019" s="20" t="e">
        <f t="shared" si="36"/>
        <v>#NUM!</v>
      </c>
    </row>
    <row r="1020" spans="10:10" x14ac:dyDescent="0.25">
      <c r="J1020" s="20" t="e">
        <f t="shared" si="36"/>
        <v>#NUM!</v>
      </c>
    </row>
    <row r="1021" spans="10:10" x14ac:dyDescent="0.25">
      <c r="J1021" s="20" t="e">
        <f t="shared" si="36"/>
        <v>#NUM!</v>
      </c>
    </row>
    <row r="1022" spans="10:10" x14ac:dyDescent="0.25">
      <c r="J1022" s="20" t="e">
        <f t="shared" si="36"/>
        <v>#NUM!</v>
      </c>
    </row>
    <row r="1023" spans="10:10" x14ac:dyDescent="0.25">
      <c r="J1023" s="20" t="e">
        <f t="shared" si="36"/>
        <v>#NUM!</v>
      </c>
    </row>
    <row r="1024" spans="10:10" x14ac:dyDescent="0.25">
      <c r="J1024" s="20" t="e">
        <f t="shared" si="36"/>
        <v>#NUM!</v>
      </c>
    </row>
    <row r="1025" spans="10:10" x14ac:dyDescent="0.25">
      <c r="J1025" s="20" t="e">
        <f t="shared" si="36"/>
        <v>#NUM!</v>
      </c>
    </row>
    <row r="1026" spans="10:10" x14ac:dyDescent="0.25">
      <c r="J1026" s="20" t="e">
        <f t="shared" si="36"/>
        <v>#NUM!</v>
      </c>
    </row>
    <row r="1027" spans="10:10" x14ac:dyDescent="0.25">
      <c r="J1027" s="20" t="e">
        <f t="shared" si="36"/>
        <v>#NUM!</v>
      </c>
    </row>
    <row r="1028" spans="10:10" x14ac:dyDescent="0.25">
      <c r="J1028" s="20" t="e">
        <f t="shared" si="36"/>
        <v>#NUM!</v>
      </c>
    </row>
    <row r="1029" spans="10:10" x14ac:dyDescent="0.25">
      <c r="J1029" s="20" t="e">
        <f t="shared" si="36"/>
        <v>#NUM!</v>
      </c>
    </row>
    <row r="1030" spans="10:10" x14ac:dyDescent="0.25">
      <c r="J1030" s="20" t="e">
        <f t="shared" si="36"/>
        <v>#NUM!</v>
      </c>
    </row>
    <row r="1031" spans="10:10" x14ac:dyDescent="0.25">
      <c r="J1031" s="20" t="e">
        <f t="shared" ref="J1031:J1094" si="37">INT(LOG($H$2,2))-ROUNDUP(LOG(H1031,2),0)+IF(OR($H$2=1,$H$2=2,$H$2=4,$H$2=8,$H$2=16,$H$2=32,$H$2=64,$H$2=128,$H$2=256),0,1)</f>
        <v>#NUM!</v>
      </c>
    </row>
    <row r="1032" spans="10:10" x14ac:dyDescent="0.25">
      <c r="J1032" s="20" t="e">
        <f t="shared" si="37"/>
        <v>#NUM!</v>
      </c>
    </row>
    <row r="1033" spans="10:10" x14ac:dyDescent="0.25">
      <c r="J1033" s="20" t="e">
        <f t="shared" si="37"/>
        <v>#NUM!</v>
      </c>
    </row>
    <row r="1034" spans="10:10" x14ac:dyDescent="0.25">
      <c r="J1034" s="20" t="e">
        <f t="shared" si="37"/>
        <v>#NUM!</v>
      </c>
    </row>
    <row r="1035" spans="10:10" x14ac:dyDescent="0.25">
      <c r="J1035" s="20" t="e">
        <f t="shared" si="37"/>
        <v>#NUM!</v>
      </c>
    </row>
    <row r="1036" spans="10:10" x14ac:dyDescent="0.25">
      <c r="J1036" s="20" t="e">
        <f t="shared" si="37"/>
        <v>#NUM!</v>
      </c>
    </row>
    <row r="1037" spans="10:10" x14ac:dyDescent="0.25">
      <c r="J1037" s="20" t="e">
        <f t="shared" si="37"/>
        <v>#NUM!</v>
      </c>
    </row>
    <row r="1038" spans="10:10" x14ac:dyDescent="0.25">
      <c r="J1038" s="20" t="e">
        <f t="shared" si="37"/>
        <v>#NUM!</v>
      </c>
    </row>
    <row r="1039" spans="10:10" x14ac:dyDescent="0.25">
      <c r="J1039" s="20" t="e">
        <f t="shared" si="37"/>
        <v>#NUM!</v>
      </c>
    </row>
    <row r="1040" spans="10:10" x14ac:dyDescent="0.25">
      <c r="J1040" s="20" t="e">
        <f t="shared" si="37"/>
        <v>#NUM!</v>
      </c>
    </row>
    <row r="1041" spans="10:10" x14ac:dyDescent="0.25">
      <c r="J1041" s="20" t="e">
        <f t="shared" si="37"/>
        <v>#NUM!</v>
      </c>
    </row>
    <row r="1042" spans="10:10" x14ac:dyDescent="0.25">
      <c r="J1042" s="20" t="e">
        <f t="shared" si="37"/>
        <v>#NUM!</v>
      </c>
    </row>
    <row r="1043" spans="10:10" x14ac:dyDescent="0.25">
      <c r="J1043" s="20" t="e">
        <f t="shared" si="37"/>
        <v>#NUM!</v>
      </c>
    </row>
    <row r="1044" spans="10:10" x14ac:dyDescent="0.25">
      <c r="J1044" s="20" t="e">
        <f t="shared" si="37"/>
        <v>#NUM!</v>
      </c>
    </row>
    <row r="1045" spans="10:10" x14ac:dyDescent="0.25">
      <c r="J1045" s="20" t="e">
        <f t="shared" si="37"/>
        <v>#NUM!</v>
      </c>
    </row>
    <row r="1046" spans="10:10" x14ac:dyDescent="0.25">
      <c r="J1046" s="20" t="e">
        <f t="shared" si="37"/>
        <v>#NUM!</v>
      </c>
    </row>
    <row r="1047" spans="10:10" x14ac:dyDescent="0.25">
      <c r="J1047" s="20" t="e">
        <f t="shared" si="37"/>
        <v>#NUM!</v>
      </c>
    </row>
    <row r="1048" spans="10:10" x14ac:dyDescent="0.25">
      <c r="J1048" s="20" t="e">
        <f t="shared" si="37"/>
        <v>#NUM!</v>
      </c>
    </row>
    <row r="1049" spans="10:10" x14ac:dyDescent="0.25">
      <c r="J1049" s="20" t="e">
        <f t="shared" si="37"/>
        <v>#NUM!</v>
      </c>
    </row>
    <row r="1050" spans="10:10" x14ac:dyDescent="0.25">
      <c r="J1050" s="20" t="e">
        <f t="shared" si="37"/>
        <v>#NUM!</v>
      </c>
    </row>
    <row r="1051" spans="10:10" x14ac:dyDescent="0.25">
      <c r="J1051" s="20" t="e">
        <f t="shared" si="37"/>
        <v>#NUM!</v>
      </c>
    </row>
    <row r="1052" spans="10:10" x14ac:dyDescent="0.25">
      <c r="J1052" s="20" t="e">
        <f t="shared" si="37"/>
        <v>#NUM!</v>
      </c>
    </row>
    <row r="1053" spans="10:10" x14ac:dyDescent="0.25">
      <c r="J1053" s="20" t="e">
        <f t="shared" si="37"/>
        <v>#NUM!</v>
      </c>
    </row>
    <row r="1054" spans="10:10" x14ac:dyDescent="0.25">
      <c r="J1054" s="20" t="e">
        <f t="shared" si="37"/>
        <v>#NUM!</v>
      </c>
    </row>
    <row r="1055" spans="10:10" x14ac:dyDescent="0.25">
      <c r="J1055" s="20" t="e">
        <f t="shared" si="37"/>
        <v>#NUM!</v>
      </c>
    </row>
    <row r="1056" spans="10:10" x14ac:dyDescent="0.25">
      <c r="J1056" s="20" t="e">
        <f t="shared" si="37"/>
        <v>#NUM!</v>
      </c>
    </row>
    <row r="1057" spans="10:10" x14ac:dyDescent="0.25">
      <c r="J1057" s="20" t="e">
        <f t="shared" si="37"/>
        <v>#NUM!</v>
      </c>
    </row>
    <row r="1058" spans="10:10" x14ac:dyDescent="0.25">
      <c r="J1058" s="20" t="e">
        <f t="shared" si="37"/>
        <v>#NUM!</v>
      </c>
    </row>
    <row r="1059" spans="10:10" x14ac:dyDescent="0.25">
      <c r="J1059" s="20" t="e">
        <f t="shared" si="37"/>
        <v>#NUM!</v>
      </c>
    </row>
    <row r="1060" spans="10:10" x14ac:dyDescent="0.25">
      <c r="J1060" s="20" t="e">
        <f t="shared" si="37"/>
        <v>#NUM!</v>
      </c>
    </row>
    <row r="1061" spans="10:10" x14ac:dyDescent="0.25">
      <c r="J1061" s="20" t="e">
        <f t="shared" si="37"/>
        <v>#NUM!</v>
      </c>
    </row>
    <row r="1062" spans="10:10" x14ac:dyDescent="0.25">
      <c r="J1062" s="20" t="e">
        <f t="shared" si="37"/>
        <v>#NUM!</v>
      </c>
    </row>
    <row r="1063" spans="10:10" x14ac:dyDescent="0.25">
      <c r="J1063" s="20" t="e">
        <f t="shared" si="37"/>
        <v>#NUM!</v>
      </c>
    </row>
    <row r="1064" spans="10:10" x14ac:dyDescent="0.25">
      <c r="J1064" s="20" t="e">
        <f t="shared" si="37"/>
        <v>#NUM!</v>
      </c>
    </row>
    <row r="1065" spans="10:10" x14ac:dyDescent="0.25">
      <c r="J1065" s="20" t="e">
        <f t="shared" si="37"/>
        <v>#NUM!</v>
      </c>
    </row>
    <row r="1066" spans="10:10" x14ac:dyDescent="0.25">
      <c r="J1066" s="20" t="e">
        <f t="shared" si="37"/>
        <v>#NUM!</v>
      </c>
    </row>
    <row r="1067" spans="10:10" x14ac:dyDescent="0.25">
      <c r="J1067" s="20" t="e">
        <f t="shared" si="37"/>
        <v>#NUM!</v>
      </c>
    </row>
    <row r="1068" spans="10:10" x14ac:dyDescent="0.25">
      <c r="J1068" s="20" t="e">
        <f t="shared" si="37"/>
        <v>#NUM!</v>
      </c>
    </row>
    <row r="1069" spans="10:10" x14ac:dyDescent="0.25">
      <c r="J1069" s="20" t="e">
        <f t="shared" si="37"/>
        <v>#NUM!</v>
      </c>
    </row>
    <row r="1070" spans="10:10" x14ac:dyDescent="0.25">
      <c r="J1070" s="20" t="e">
        <f t="shared" si="37"/>
        <v>#NUM!</v>
      </c>
    </row>
    <row r="1071" spans="10:10" x14ac:dyDescent="0.25">
      <c r="J1071" s="20" t="e">
        <f t="shared" si="37"/>
        <v>#NUM!</v>
      </c>
    </row>
    <row r="1072" spans="10:10" x14ac:dyDescent="0.25">
      <c r="J1072" s="20" t="e">
        <f t="shared" si="37"/>
        <v>#NUM!</v>
      </c>
    </row>
    <row r="1073" spans="10:10" x14ac:dyDescent="0.25">
      <c r="J1073" s="20" t="e">
        <f t="shared" si="37"/>
        <v>#NUM!</v>
      </c>
    </row>
    <row r="1074" spans="10:10" x14ac:dyDescent="0.25">
      <c r="J1074" s="20" t="e">
        <f t="shared" si="37"/>
        <v>#NUM!</v>
      </c>
    </row>
    <row r="1075" spans="10:10" x14ac:dyDescent="0.25">
      <c r="J1075" s="20" t="e">
        <f t="shared" si="37"/>
        <v>#NUM!</v>
      </c>
    </row>
    <row r="1076" spans="10:10" x14ac:dyDescent="0.25">
      <c r="J1076" s="20" t="e">
        <f t="shared" si="37"/>
        <v>#NUM!</v>
      </c>
    </row>
    <row r="1077" spans="10:10" x14ac:dyDescent="0.25">
      <c r="J1077" s="20" t="e">
        <f t="shared" si="37"/>
        <v>#NUM!</v>
      </c>
    </row>
    <row r="1078" spans="10:10" x14ac:dyDescent="0.25">
      <c r="J1078" s="20" t="e">
        <f t="shared" si="37"/>
        <v>#NUM!</v>
      </c>
    </row>
    <row r="1079" spans="10:10" x14ac:dyDescent="0.25">
      <c r="J1079" s="20" t="e">
        <f t="shared" si="37"/>
        <v>#NUM!</v>
      </c>
    </row>
    <row r="1080" spans="10:10" x14ac:dyDescent="0.25">
      <c r="J1080" s="20" t="e">
        <f t="shared" si="37"/>
        <v>#NUM!</v>
      </c>
    </row>
    <row r="1081" spans="10:10" x14ac:dyDescent="0.25">
      <c r="J1081" s="20" t="e">
        <f t="shared" si="37"/>
        <v>#NUM!</v>
      </c>
    </row>
    <row r="1082" spans="10:10" x14ac:dyDescent="0.25">
      <c r="J1082" s="20" t="e">
        <f t="shared" si="37"/>
        <v>#NUM!</v>
      </c>
    </row>
    <row r="1083" spans="10:10" x14ac:dyDescent="0.25">
      <c r="J1083" s="20" t="e">
        <f t="shared" si="37"/>
        <v>#NUM!</v>
      </c>
    </row>
    <row r="1084" spans="10:10" x14ac:dyDescent="0.25">
      <c r="J1084" s="20" t="e">
        <f t="shared" si="37"/>
        <v>#NUM!</v>
      </c>
    </row>
    <row r="1085" spans="10:10" x14ac:dyDescent="0.25">
      <c r="J1085" s="20" t="e">
        <f t="shared" si="37"/>
        <v>#NUM!</v>
      </c>
    </row>
    <row r="1086" spans="10:10" x14ac:dyDescent="0.25">
      <c r="J1086" s="20" t="e">
        <f t="shared" si="37"/>
        <v>#NUM!</v>
      </c>
    </row>
    <row r="1087" spans="10:10" x14ac:dyDescent="0.25">
      <c r="J1087" s="20" t="e">
        <f t="shared" si="37"/>
        <v>#NUM!</v>
      </c>
    </row>
    <row r="1088" spans="10:10" x14ac:dyDescent="0.25">
      <c r="J1088" s="20" t="e">
        <f t="shared" si="37"/>
        <v>#NUM!</v>
      </c>
    </row>
    <row r="1089" spans="10:10" x14ac:dyDescent="0.25">
      <c r="J1089" s="20" t="e">
        <f t="shared" si="37"/>
        <v>#NUM!</v>
      </c>
    </row>
    <row r="1090" spans="10:10" x14ac:dyDescent="0.25">
      <c r="J1090" s="20" t="e">
        <f t="shared" si="37"/>
        <v>#NUM!</v>
      </c>
    </row>
    <row r="1091" spans="10:10" x14ac:dyDescent="0.25">
      <c r="J1091" s="20" t="e">
        <f t="shared" si="37"/>
        <v>#NUM!</v>
      </c>
    </row>
    <row r="1092" spans="10:10" x14ac:dyDescent="0.25">
      <c r="J1092" s="20" t="e">
        <f t="shared" si="37"/>
        <v>#NUM!</v>
      </c>
    </row>
    <row r="1093" spans="10:10" x14ac:dyDescent="0.25">
      <c r="J1093" s="20" t="e">
        <f t="shared" si="37"/>
        <v>#NUM!</v>
      </c>
    </row>
    <row r="1094" spans="10:10" x14ac:dyDescent="0.25">
      <c r="J1094" s="20" t="e">
        <f t="shared" si="37"/>
        <v>#NUM!</v>
      </c>
    </row>
    <row r="1095" spans="10:10" x14ac:dyDescent="0.25">
      <c r="J1095" s="20" t="e">
        <f t="shared" ref="J1095:J1158" si="38">INT(LOG($H$2,2))-ROUNDUP(LOG(H1095,2),0)+IF(OR($H$2=1,$H$2=2,$H$2=4,$H$2=8,$H$2=16,$H$2=32,$H$2=64,$H$2=128,$H$2=256),0,1)</f>
        <v>#NUM!</v>
      </c>
    </row>
    <row r="1096" spans="10:10" x14ac:dyDescent="0.25">
      <c r="J1096" s="20" t="e">
        <f t="shared" si="38"/>
        <v>#NUM!</v>
      </c>
    </row>
    <row r="1097" spans="10:10" x14ac:dyDescent="0.25">
      <c r="J1097" s="20" t="e">
        <f t="shared" si="38"/>
        <v>#NUM!</v>
      </c>
    </row>
    <row r="1098" spans="10:10" x14ac:dyDescent="0.25">
      <c r="J1098" s="20" t="e">
        <f t="shared" si="38"/>
        <v>#NUM!</v>
      </c>
    </row>
    <row r="1099" spans="10:10" x14ac:dyDescent="0.25">
      <c r="J1099" s="20" t="e">
        <f t="shared" si="38"/>
        <v>#NUM!</v>
      </c>
    </row>
    <row r="1100" spans="10:10" x14ac:dyDescent="0.25">
      <c r="J1100" s="20" t="e">
        <f t="shared" si="38"/>
        <v>#NUM!</v>
      </c>
    </row>
    <row r="1101" spans="10:10" x14ac:dyDescent="0.25">
      <c r="J1101" s="20" t="e">
        <f t="shared" si="38"/>
        <v>#NUM!</v>
      </c>
    </row>
    <row r="1102" spans="10:10" x14ac:dyDescent="0.25">
      <c r="J1102" s="20" t="e">
        <f t="shared" si="38"/>
        <v>#NUM!</v>
      </c>
    </row>
    <row r="1103" spans="10:10" x14ac:dyDescent="0.25">
      <c r="J1103" s="20" t="e">
        <f t="shared" si="38"/>
        <v>#NUM!</v>
      </c>
    </row>
    <row r="1104" spans="10:10" x14ac:dyDescent="0.25">
      <c r="J1104" s="20" t="e">
        <f t="shared" si="38"/>
        <v>#NUM!</v>
      </c>
    </row>
    <row r="1105" spans="10:10" x14ac:dyDescent="0.25">
      <c r="J1105" s="20" t="e">
        <f t="shared" si="38"/>
        <v>#NUM!</v>
      </c>
    </row>
    <row r="1106" spans="10:10" x14ac:dyDescent="0.25">
      <c r="J1106" s="20" t="e">
        <f t="shared" si="38"/>
        <v>#NUM!</v>
      </c>
    </row>
    <row r="1107" spans="10:10" x14ac:dyDescent="0.25">
      <c r="J1107" s="20" t="e">
        <f t="shared" si="38"/>
        <v>#NUM!</v>
      </c>
    </row>
    <row r="1108" spans="10:10" x14ac:dyDescent="0.25">
      <c r="J1108" s="20" t="e">
        <f t="shared" si="38"/>
        <v>#NUM!</v>
      </c>
    </row>
    <row r="1109" spans="10:10" x14ac:dyDescent="0.25">
      <c r="J1109" s="20" t="e">
        <f t="shared" si="38"/>
        <v>#NUM!</v>
      </c>
    </row>
    <row r="1110" spans="10:10" x14ac:dyDescent="0.25">
      <c r="J1110" s="20" t="e">
        <f t="shared" si="38"/>
        <v>#NUM!</v>
      </c>
    </row>
    <row r="1111" spans="10:10" x14ac:dyDescent="0.25">
      <c r="J1111" s="20" t="e">
        <f t="shared" si="38"/>
        <v>#NUM!</v>
      </c>
    </row>
    <row r="1112" spans="10:10" x14ac:dyDescent="0.25">
      <c r="J1112" s="20" t="e">
        <f t="shared" si="38"/>
        <v>#NUM!</v>
      </c>
    </row>
    <row r="1113" spans="10:10" x14ac:dyDescent="0.25">
      <c r="J1113" s="20" t="e">
        <f t="shared" si="38"/>
        <v>#NUM!</v>
      </c>
    </row>
    <row r="1114" spans="10:10" x14ac:dyDescent="0.25">
      <c r="J1114" s="20" t="e">
        <f t="shared" si="38"/>
        <v>#NUM!</v>
      </c>
    </row>
    <row r="1115" spans="10:10" x14ac:dyDescent="0.25">
      <c r="J1115" s="20" t="e">
        <f t="shared" si="38"/>
        <v>#NUM!</v>
      </c>
    </row>
    <row r="1116" spans="10:10" x14ac:dyDescent="0.25">
      <c r="J1116" s="20" t="e">
        <f t="shared" si="38"/>
        <v>#NUM!</v>
      </c>
    </row>
    <row r="1117" spans="10:10" x14ac:dyDescent="0.25">
      <c r="J1117" s="20" t="e">
        <f t="shared" si="38"/>
        <v>#NUM!</v>
      </c>
    </row>
    <row r="1118" spans="10:10" x14ac:dyDescent="0.25">
      <c r="J1118" s="20" t="e">
        <f t="shared" si="38"/>
        <v>#NUM!</v>
      </c>
    </row>
    <row r="1119" spans="10:10" x14ac:dyDescent="0.25">
      <c r="J1119" s="20" t="e">
        <f t="shared" si="38"/>
        <v>#NUM!</v>
      </c>
    </row>
    <row r="1120" spans="10:10" x14ac:dyDescent="0.25">
      <c r="J1120" s="20" t="e">
        <f t="shared" si="38"/>
        <v>#NUM!</v>
      </c>
    </row>
    <row r="1121" spans="10:10" x14ac:dyDescent="0.25">
      <c r="J1121" s="20" t="e">
        <f t="shared" si="38"/>
        <v>#NUM!</v>
      </c>
    </row>
    <row r="1122" spans="10:10" x14ac:dyDescent="0.25">
      <c r="J1122" s="20" t="e">
        <f t="shared" si="38"/>
        <v>#NUM!</v>
      </c>
    </row>
    <row r="1123" spans="10:10" x14ac:dyDescent="0.25">
      <c r="J1123" s="20" t="e">
        <f t="shared" si="38"/>
        <v>#NUM!</v>
      </c>
    </row>
    <row r="1124" spans="10:10" x14ac:dyDescent="0.25">
      <c r="J1124" s="20" t="e">
        <f t="shared" si="38"/>
        <v>#NUM!</v>
      </c>
    </row>
    <row r="1125" spans="10:10" x14ac:dyDescent="0.25">
      <c r="J1125" s="20" t="e">
        <f t="shared" si="38"/>
        <v>#NUM!</v>
      </c>
    </row>
    <row r="1126" spans="10:10" x14ac:dyDescent="0.25">
      <c r="J1126" s="20" t="e">
        <f t="shared" si="38"/>
        <v>#NUM!</v>
      </c>
    </row>
    <row r="1127" spans="10:10" x14ac:dyDescent="0.25">
      <c r="J1127" s="20" t="e">
        <f t="shared" si="38"/>
        <v>#NUM!</v>
      </c>
    </row>
    <row r="1128" spans="10:10" x14ac:dyDescent="0.25">
      <c r="J1128" s="20" t="e">
        <f t="shared" si="38"/>
        <v>#NUM!</v>
      </c>
    </row>
    <row r="1129" spans="10:10" x14ac:dyDescent="0.25">
      <c r="J1129" s="20" t="e">
        <f t="shared" si="38"/>
        <v>#NUM!</v>
      </c>
    </row>
    <row r="1130" spans="10:10" x14ac:dyDescent="0.25">
      <c r="J1130" s="20" t="e">
        <f t="shared" si="38"/>
        <v>#NUM!</v>
      </c>
    </row>
    <row r="1131" spans="10:10" x14ac:dyDescent="0.25">
      <c r="J1131" s="20" t="e">
        <f t="shared" si="38"/>
        <v>#NUM!</v>
      </c>
    </row>
    <row r="1132" spans="10:10" x14ac:dyDescent="0.25">
      <c r="J1132" s="20" t="e">
        <f t="shared" si="38"/>
        <v>#NUM!</v>
      </c>
    </row>
    <row r="1133" spans="10:10" x14ac:dyDescent="0.25">
      <c r="J1133" s="20" t="e">
        <f t="shared" si="38"/>
        <v>#NUM!</v>
      </c>
    </row>
    <row r="1134" spans="10:10" x14ac:dyDescent="0.25">
      <c r="J1134" s="20" t="e">
        <f t="shared" si="38"/>
        <v>#NUM!</v>
      </c>
    </row>
    <row r="1135" spans="10:10" x14ac:dyDescent="0.25">
      <c r="J1135" s="20" t="e">
        <f t="shared" si="38"/>
        <v>#NUM!</v>
      </c>
    </row>
    <row r="1136" spans="10:10" x14ac:dyDescent="0.25">
      <c r="J1136" s="20" t="e">
        <f t="shared" si="38"/>
        <v>#NUM!</v>
      </c>
    </row>
    <row r="1137" spans="10:10" x14ac:dyDescent="0.25">
      <c r="J1137" s="20" t="e">
        <f t="shared" si="38"/>
        <v>#NUM!</v>
      </c>
    </row>
    <row r="1138" spans="10:10" x14ac:dyDescent="0.25">
      <c r="J1138" s="20" t="e">
        <f t="shared" si="38"/>
        <v>#NUM!</v>
      </c>
    </row>
    <row r="1139" spans="10:10" x14ac:dyDescent="0.25">
      <c r="J1139" s="20" t="e">
        <f t="shared" si="38"/>
        <v>#NUM!</v>
      </c>
    </row>
    <row r="1140" spans="10:10" x14ac:dyDescent="0.25">
      <c r="J1140" s="20" t="e">
        <f t="shared" si="38"/>
        <v>#NUM!</v>
      </c>
    </row>
    <row r="1141" spans="10:10" x14ac:dyDescent="0.25">
      <c r="J1141" s="20" t="e">
        <f t="shared" si="38"/>
        <v>#NUM!</v>
      </c>
    </row>
    <row r="1142" spans="10:10" x14ac:dyDescent="0.25">
      <c r="J1142" s="20" t="e">
        <f t="shared" si="38"/>
        <v>#NUM!</v>
      </c>
    </row>
    <row r="1143" spans="10:10" x14ac:dyDescent="0.25">
      <c r="J1143" s="20" t="e">
        <f t="shared" si="38"/>
        <v>#NUM!</v>
      </c>
    </row>
    <row r="1144" spans="10:10" x14ac:dyDescent="0.25">
      <c r="J1144" s="20" t="e">
        <f t="shared" si="38"/>
        <v>#NUM!</v>
      </c>
    </row>
    <row r="1145" spans="10:10" x14ac:dyDescent="0.25">
      <c r="J1145" s="20" t="e">
        <f t="shared" si="38"/>
        <v>#NUM!</v>
      </c>
    </row>
    <row r="1146" spans="10:10" x14ac:dyDescent="0.25">
      <c r="J1146" s="20" t="e">
        <f t="shared" si="38"/>
        <v>#NUM!</v>
      </c>
    </row>
    <row r="1147" spans="10:10" x14ac:dyDescent="0.25">
      <c r="J1147" s="20" t="e">
        <f t="shared" si="38"/>
        <v>#NUM!</v>
      </c>
    </row>
    <row r="1148" spans="10:10" x14ac:dyDescent="0.25">
      <c r="J1148" s="20" t="e">
        <f t="shared" si="38"/>
        <v>#NUM!</v>
      </c>
    </row>
    <row r="1149" spans="10:10" x14ac:dyDescent="0.25">
      <c r="J1149" s="20" t="e">
        <f t="shared" si="38"/>
        <v>#NUM!</v>
      </c>
    </row>
    <row r="1150" spans="10:10" x14ac:dyDescent="0.25">
      <c r="J1150" s="20" t="e">
        <f t="shared" si="38"/>
        <v>#NUM!</v>
      </c>
    </row>
    <row r="1151" spans="10:10" x14ac:dyDescent="0.25">
      <c r="J1151" s="20" t="e">
        <f t="shared" si="38"/>
        <v>#NUM!</v>
      </c>
    </row>
    <row r="1152" spans="10:10" x14ac:dyDescent="0.25">
      <c r="J1152" s="20" t="e">
        <f t="shared" si="38"/>
        <v>#NUM!</v>
      </c>
    </row>
    <row r="1153" spans="10:10" x14ac:dyDescent="0.25">
      <c r="J1153" s="20" t="e">
        <f t="shared" si="38"/>
        <v>#NUM!</v>
      </c>
    </row>
    <row r="1154" spans="10:10" x14ac:dyDescent="0.25">
      <c r="J1154" s="20" t="e">
        <f t="shared" si="38"/>
        <v>#NUM!</v>
      </c>
    </row>
    <row r="1155" spans="10:10" x14ac:dyDescent="0.25">
      <c r="J1155" s="20" t="e">
        <f t="shared" si="38"/>
        <v>#NUM!</v>
      </c>
    </row>
    <row r="1156" spans="10:10" x14ac:dyDescent="0.25">
      <c r="J1156" s="20" t="e">
        <f t="shared" si="38"/>
        <v>#NUM!</v>
      </c>
    </row>
    <row r="1157" spans="10:10" x14ac:dyDescent="0.25">
      <c r="J1157" s="20" t="e">
        <f t="shared" si="38"/>
        <v>#NUM!</v>
      </c>
    </row>
    <row r="1158" spans="10:10" x14ac:dyDescent="0.25">
      <c r="J1158" s="20" t="e">
        <f t="shared" si="38"/>
        <v>#NUM!</v>
      </c>
    </row>
    <row r="1159" spans="10:10" x14ac:dyDescent="0.25">
      <c r="J1159" s="20" t="e">
        <f t="shared" ref="J1159" si="39">INT(LOG($H$2,2))-ROUNDUP(LOG(H1159,2),0)+IF(OR($H$2=1,$H$2=2,$H$2=4,$H$2=8,$H$2=16,$H$2=32,$H$2=64,$H$2=128,$H$2=256),0,1)</f>
        <v>#NUM!</v>
      </c>
    </row>
  </sheetData>
  <mergeCells count="2">
    <mergeCell ref="C2:D2"/>
    <mergeCell ref="C3:D3"/>
  </mergeCells>
  <conditionalFormatting sqref="J7:K305">
    <cfRule type="cellIs" dxfId="30" priority="1" operator="lessThanOrEqual">
      <formula>0</formula>
    </cfRule>
  </conditionalFormatting>
  <dataValidations disablePrompts="1" count="1">
    <dataValidation type="list" allowBlank="1" showInputMessage="1" showErrorMessage="1" sqref="C38:C69" xr:uid="{BDE0A91B-36C7-41C8-94F3-5604465FC332}">
      <formula1>#REF!</formula1>
    </dataValidation>
  </dataValidations>
  <hyperlinks>
    <hyperlink ref="C2:D2" r:id="rId1" display="TORUŃ" xr:uid="{7E413348-95B4-4D28-A8CC-8139BD4AA5D5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76B1-C7D8-42DD-82BC-69E6FB9AB2B8}">
  <sheetPr>
    <tabColor rgb="FF92D050"/>
  </sheetPr>
  <dimension ref="A1:AL846"/>
  <sheetViews>
    <sheetView workbookViewId="0">
      <selection activeCell="A16" sqref="A16:F16"/>
    </sheetView>
  </sheetViews>
  <sheetFormatPr defaultColWidth="8.875" defaultRowHeight="14.3" x14ac:dyDescent="0.25"/>
  <cols>
    <col min="1" max="1" width="8" style="3" customWidth="1"/>
    <col min="2" max="2" width="8.25" style="3" customWidth="1"/>
    <col min="3" max="3" width="34.75" style="3" customWidth="1"/>
    <col min="4" max="4" width="37.625" style="3" customWidth="1"/>
    <col min="5" max="6" width="8.875" style="3"/>
    <col min="7" max="7" width="0.875" style="3" customWidth="1"/>
    <col min="8" max="8" width="8.875" style="20"/>
    <col min="9" max="9" width="11" style="20" customWidth="1"/>
    <col min="10" max="10" width="15.25" style="20" customWidth="1"/>
    <col min="11" max="11" width="8.75" style="20" customWidth="1"/>
    <col min="12" max="12" width="11" style="20" customWidth="1"/>
    <col min="13" max="13" width="12.25" style="15" customWidth="1"/>
    <col min="14" max="15" width="13.875" style="5" customWidth="1"/>
    <col min="16" max="18" width="8.875" style="5"/>
    <col min="19" max="20" width="8.875" style="26"/>
    <col min="21" max="21" width="12.125" style="26" customWidth="1"/>
    <col min="22" max="22" width="27.375" style="26" customWidth="1"/>
    <col min="23" max="38" width="8.875" style="26"/>
    <col min="39" max="16384" width="8.875" style="3"/>
  </cols>
  <sheetData>
    <row r="1" spans="1:34" x14ac:dyDescent="0.25">
      <c r="A1" s="5"/>
      <c r="B1" s="5"/>
      <c r="C1" s="5"/>
      <c r="D1" s="5"/>
      <c r="E1" s="5"/>
      <c r="F1" s="5"/>
      <c r="G1" s="5"/>
      <c r="H1" s="22" t="s">
        <v>38</v>
      </c>
      <c r="I1" s="12" t="s">
        <v>39</v>
      </c>
      <c r="J1" s="12" t="s">
        <v>40</v>
      </c>
      <c r="K1" s="23" t="s">
        <v>41</v>
      </c>
      <c r="L1" s="13"/>
      <c r="M1" s="13"/>
    </row>
    <row r="2" spans="1:34" x14ac:dyDescent="0.25">
      <c r="A2" s="5"/>
      <c r="B2" s="47" t="s">
        <v>42</v>
      </c>
      <c r="C2" s="271" t="s">
        <v>74</v>
      </c>
      <c r="D2" s="271"/>
      <c r="E2" s="6"/>
      <c r="F2" s="6"/>
      <c r="G2" s="6"/>
      <c r="H2" s="14">
        <v>9</v>
      </c>
      <c r="I2" s="61">
        <v>50</v>
      </c>
      <c r="J2" s="61">
        <v>10</v>
      </c>
      <c r="K2" s="62">
        <f>3*H2^(1/3)</f>
        <v>6.2402514691557123</v>
      </c>
      <c r="L2" s="13"/>
      <c r="M2" s="13"/>
    </row>
    <row r="3" spans="1:34" x14ac:dyDescent="0.25">
      <c r="A3" s="5"/>
      <c r="B3" s="48" t="s">
        <v>44</v>
      </c>
      <c r="C3" s="272">
        <v>45094</v>
      </c>
      <c r="D3" s="272"/>
      <c r="E3" s="7"/>
      <c r="F3" s="7"/>
      <c r="G3" s="7"/>
      <c r="H3" s="13"/>
      <c r="I3" s="13"/>
      <c r="J3" s="16"/>
      <c r="K3" s="13"/>
      <c r="L3" s="13"/>
      <c r="M3" s="13"/>
    </row>
    <row r="4" spans="1:34" ht="10.4" customHeight="1" x14ac:dyDescent="0.25">
      <c r="A4" s="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</row>
    <row r="5" spans="1:34" ht="46.2" x14ac:dyDescent="0.25">
      <c r="A5" s="1" t="s">
        <v>45</v>
      </c>
      <c r="B5" s="37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8"/>
      <c r="H5" s="9" t="s">
        <v>51</v>
      </c>
      <c r="I5" s="10" t="s">
        <v>52</v>
      </c>
      <c r="J5" s="11" t="s">
        <v>53</v>
      </c>
      <c r="K5" s="10" t="s">
        <v>54</v>
      </c>
      <c r="L5" s="10" t="s">
        <v>55</v>
      </c>
      <c r="M5" s="9" t="s">
        <v>56</v>
      </c>
    </row>
    <row r="6" spans="1:34" ht="14.45" customHeight="1" x14ac:dyDescent="0.25">
      <c r="A6" s="39">
        <f>M6</f>
        <v>108.72075440746714</v>
      </c>
      <c r="B6" s="36">
        <v>1</v>
      </c>
      <c r="C6" s="24" t="s">
        <v>19</v>
      </c>
      <c r="D6" s="24" t="s">
        <v>75</v>
      </c>
      <c r="E6" s="24"/>
      <c r="F6" s="24" t="s">
        <v>76</v>
      </c>
      <c r="G6" s="8"/>
      <c r="H6" s="17">
        <v>1</v>
      </c>
      <c r="I6" s="18">
        <f>IF(H2=1,50,IF(H6&lt;$H$2+1,($I$2-($I$2-1)*(LOG(H6)/LOG($H$2))),""))</f>
        <v>50</v>
      </c>
      <c r="J6" s="17">
        <f>INT(LOG($H$2,2))-ROUNDUP(LOG(H6,2),0)+IF(OR($H$2=1,$H$2=2,$H$2=4,$H$2=8,$H$2=16,$H$2=32,$H$2=64,$H$2=128,$H$2=256),0,1)</f>
        <v>4</v>
      </c>
      <c r="K6" s="17">
        <f t="shared" ref="K6" si="0">J6*$J$2</f>
        <v>40</v>
      </c>
      <c r="L6" s="19">
        <f>3*K2</f>
        <v>18.720754407467137</v>
      </c>
      <c r="M6" s="19">
        <f t="shared" ref="M6:M69" si="1">IF(I6&lt;&gt;"",K6+I6+L6,0)</f>
        <v>108.72075440746714</v>
      </c>
    </row>
    <row r="7" spans="1:34" ht="14.45" customHeight="1" x14ac:dyDescent="0.25">
      <c r="A7" s="40">
        <f t="shared" ref="A7:A37" si="2">M7</f>
        <v>77.02272397581072</v>
      </c>
      <c r="B7" s="35">
        <v>2</v>
      </c>
      <c r="C7" s="25" t="s">
        <v>69</v>
      </c>
      <c r="D7" s="25" t="s">
        <v>70</v>
      </c>
      <c r="E7" s="25"/>
      <c r="F7" s="25" t="s">
        <v>76</v>
      </c>
      <c r="G7" s="8"/>
      <c r="H7" s="44">
        <v>2</v>
      </c>
      <c r="I7" s="45">
        <f t="shared" ref="I7:I69" si="3">IF(H7&lt;$H$2+1,($I$2-($I$2-1)*(LOG(H7)/LOG($H$2))),"")</f>
        <v>34.542221037499296</v>
      </c>
      <c r="J7" s="44">
        <f t="shared" ref="J7:J70" si="4">INT(LOG($H$2,2))-ROUNDUP(LOG(H7,2),0)+IF(OR($H$2=1,$H$2=2,$H$2=4,$H$2=8,$H$2=16,$H$2=32,$H$2=64,$H$2=128,$H$2=256),0,1)</f>
        <v>3</v>
      </c>
      <c r="K7" s="44">
        <f t="shared" ref="K7:K69" si="5">J7*$J$2</f>
        <v>30</v>
      </c>
      <c r="L7" s="46">
        <f>2*K2</f>
        <v>12.480502938311425</v>
      </c>
      <c r="M7" s="46">
        <f t="shared" si="1"/>
        <v>77.02272397581072</v>
      </c>
    </row>
    <row r="8" spans="1:34" ht="14.45" customHeight="1" x14ac:dyDescent="0.25">
      <c r="A8" s="39">
        <f t="shared" si="2"/>
        <v>51.740251469155709</v>
      </c>
      <c r="B8" s="36">
        <v>3</v>
      </c>
      <c r="C8" s="24" t="s">
        <v>20</v>
      </c>
      <c r="D8" s="24" t="s">
        <v>59</v>
      </c>
      <c r="E8" s="24"/>
      <c r="F8" s="24" t="s">
        <v>76</v>
      </c>
      <c r="G8" s="8"/>
      <c r="H8" s="17">
        <v>3</v>
      </c>
      <c r="I8" s="18">
        <f t="shared" si="3"/>
        <v>25.5</v>
      </c>
      <c r="J8" s="17">
        <f t="shared" si="4"/>
        <v>2</v>
      </c>
      <c r="K8" s="17">
        <f t="shared" si="5"/>
        <v>20</v>
      </c>
      <c r="L8" s="19">
        <f>K2</f>
        <v>6.2402514691557123</v>
      </c>
      <c r="M8" s="19">
        <f t="shared" si="1"/>
        <v>51.740251469155709</v>
      </c>
    </row>
    <row r="9" spans="1:34" ht="14.45" customHeight="1" x14ac:dyDescent="0.25">
      <c r="A9" s="40">
        <f t="shared" si="2"/>
        <v>39.084442074998591</v>
      </c>
      <c r="B9" s="35">
        <v>4</v>
      </c>
      <c r="C9" s="25" t="s">
        <v>21</v>
      </c>
      <c r="D9" s="25" t="s">
        <v>60</v>
      </c>
      <c r="E9" s="25"/>
      <c r="F9" s="25" t="s">
        <v>76</v>
      </c>
      <c r="G9" s="8"/>
      <c r="H9" s="44">
        <v>4</v>
      </c>
      <c r="I9" s="45">
        <f t="shared" si="3"/>
        <v>19.084442074998588</v>
      </c>
      <c r="J9" s="44">
        <f t="shared" si="4"/>
        <v>2</v>
      </c>
      <c r="K9" s="44">
        <f t="shared" si="5"/>
        <v>20</v>
      </c>
      <c r="L9" s="46"/>
      <c r="M9" s="46">
        <f t="shared" si="1"/>
        <v>39.084442074998591</v>
      </c>
      <c r="V9" s="27"/>
      <c r="Z9" s="28"/>
      <c r="AA9" s="28"/>
      <c r="AG9" s="29"/>
    </row>
    <row r="10" spans="1:34" ht="14.45" customHeight="1" x14ac:dyDescent="0.25">
      <c r="A10" s="39">
        <f t="shared" si="2"/>
        <v>24.108148742410783</v>
      </c>
      <c r="B10" s="36">
        <v>5</v>
      </c>
      <c r="C10" s="24" t="s">
        <v>25</v>
      </c>
      <c r="D10" s="24" t="s">
        <v>63</v>
      </c>
      <c r="E10" s="24"/>
      <c r="F10" s="24" t="s">
        <v>76</v>
      </c>
      <c r="G10" s="8"/>
      <c r="H10" s="17">
        <v>5</v>
      </c>
      <c r="I10" s="18">
        <f t="shared" si="3"/>
        <v>14.108148742410783</v>
      </c>
      <c r="J10" s="17">
        <f t="shared" si="4"/>
        <v>1</v>
      </c>
      <c r="K10" s="17">
        <f t="shared" si="5"/>
        <v>10</v>
      </c>
      <c r="L10" s="17"/>
      <c r="M10" s="19">
        <f t="shared" si="1"/>
        <v>24.108148742410783</v>
      </c>
      <c r="V10" s="27"/>
      <c r="Z10" s="28"/>
      <c r="AA10" s="28"/>
      <c r="AG10" s="29"/>
    </row>
    <row r="11" spans="1:34" ht="14.45" customHeight="1" x14ac:dyDescent="0.25">
      <c r="A11" s="40">
        <f t="shared" si="2"/>
        <v>20.042221037499289</v>
      </c>
      <c r="B11" s="35">
        <v>6</v>
      </c>
      <c r="C11" s="25" t="s">
        <v>24</v>
      </c>
      <c r="D11" s="25" t="s">
        <v>64</v>
      </c>
      <c r="E11" s="25"/>
      <c r="F11" s="25" t="s">
        <v>76</v>
      </c>
      <c r="G11" s="8"/>
      <c r="H11" s="44">
        <v>6</v>
      </c>
      <c r="I11" s="45">
        <f t="shared" si="3"/>
        <v>10.042221037499289</v>
      </c>
      <c r="J11" s="44">
        <f t="shared" si="4"/>
        <v>1</v>
      </c>
      <c r="K11" s="44">
        <f t="shared" si="5"/>
        <v>10</v>
      </c>
      <c r="L11" s="44"/>
      <c r="M11" s="46">
        <f t="shared" si="1"/>
        <v>20.042221037499289</v>
      </c>
      <c r="V11" s="30"/>
      <c r="Z11" s="28"/>
      <c r="AA11" s="28"/>
      <c r="AG11" s="29"/>
    </row>
    <row r="12" spans="1:34" ht="14.45" customHeight="1" x14ac:dyDescent="0.25">
      <c r="A12" s="39">
        <f t="shared" si="2"/>
        <v>16.60452814554516</v>
      </c>
      <c r="B12" s="36">
        <v>7</v>
      </c>
      <c r="C12" s="24" t="s">
        <v>27</v>
      </c>
      <c r="D12" s="24" t="s">
        <v>60</v>
      </c>
      <c r="E12" s="24"/>
      <c r="F12" s="24" t="s">
        <v>76</v>
      </c>
      <c r="G12" s="8"/>
      <c r="H12" s="17">
        <v>7</v>
      </c>
      <c r="I12" s="18">
        <f t="shared" si="3"/>
        <v>6.6045281455451601</v>
      </c>
      <c r="J12" s="17">
        <f t="shared" si="4"/>
        <v>1</v>
      </c>
      <c r="K12" s="17">
        <f t="shared" si="5"/>
        <v>10</v>
      </c>
      <c r="L12" s="17"/>
      <c r="M12" s="19">
        <f t="shared" si="1"/>
        <v>16.60452814554516</v>
      </c>
      <c r="Z12" s="28"/>
      <c r="AA12" s="28"/>
      <c r="AG12" s="29"/>
    </row>
    <row r="13" spans="1:34" ht="14.45" customHeight="1" x14ac:dyDescent="0.25">
      <c r="A13" s="41">
        <f t="shared" si="2"/>
        <v>13.62666311249788</v>
      </c>
      <c r="B13" s="35">
        <v>8</v>
      </c>
      <c r="C13" s="25" t="s">
        <v>28</v>
      </c>
      <c r="D13" s="25" t="s">
        <v>65</v>
      </c>
      <c r="E13" s="25"/>
      <c r="F13" s="25" t="s">
        <v>76</v>
      </c>
      <c r="G13" s="8"/>
      <c r="H13" s="44">
        <v>8</v>
      </c>
      <c r="I13" s="45">
        <f t="shared" si="3"/>
        <v>3.6266631124978801</v>
      </c>
      <c r="J13" s="44">
        <f t="shared" si="4"/>
        <v>1</v>
      </c>
      <c r="K13" s="44">
        <f t="shared" si="5"/>
        <v>10</v>
      </c>
      <c r="L13" s="44"/>
      <c r="M13" s="46">
        <f t="shared" si="1"/>
        <v>13.62666311249788</v>
      </c>
      <c r="X13" s="27"/>
      <c r="AG13" s="29"/>
    </row>
    <row r="14" spans="1:34" x14ac:dyDescent="0.25">
      <c r="A14" s="42">
        <f t="shared" si="2"/>
        <v>1</v>
      </c>
      <c r="B14" s="36">
        <v>9</v>
      </c>
      <c r="C14" s="24" t="s">
        <v>33</v>
      </c>
      <c r="D14" s="24" t="s">
        <v>66</v>
      </c>
      <c r="E14" s="24"/>
      <c r="F14" s="24" t="s">
        <v>76</v>
      </c>
      <c r="G14" s="8"/>
      <c r="H14" s="17">
        <v>9</v>
      </c>
      <c r="I14" s="18">
        <f t="shared" si="3"/>
        <v>1</v>
      </c>
      <c r="J14" s="17">
        <f t="shared" si="4"/>
        <v>0</v>
      </c>
      <c r="K14" s="17">
        <f t="shared" si="5"/>
        <v>0</v>
      </c>
      <c r="L14" s="17"/>
      <c r="M14" s="19">
        <f t="shared" si="1"/>
        <v>1</v>
      </c>
      <c r="X14" s="31"/>
      <c r="Z14" s="28"/>
      <c r="AA14" s="28"/>
      <c r="AG14" s="29"/>
    </row>
    <row r="15" spans="1:34" x14ac:dyDescent="0.25">
      <c r="A15" s="41">
        <f t="shared" si="2"/>
        <v>0</v>
      </c>
      <c r="B15" s="35" t="str">
        <f t="shared" ref="B15:B65" si="6">IF(H15&gt;$H$2,"",(ROW()-5))</f>
        <v/>
      </c>
      <c r="C15" s="25"/>
      <c r="D15" s="25"/>
      <c r="E15" s="25"/>
      <c r="F15" s="25"/>
      <c r="G15" s="8"/>
      <c r="H15" s="44">
        <v>10</v>
      </c>
      <c r="I15" s="45" t="str">
        <f t="shared" si="3"/>
        <v/>
      </c>
      <c r="J15" s="44">
        <f t="shared" si="4"/>
        <v>0</v>
      </c>
      <c r="K15" s="44">
        <f t="shared" si="5"/>
        <v>0</v>
      </c>
      <c r="L15" s="44"/>
      <c r="M15" s="46">
        <f t="shared" si="1"/>
        <v>0</v>
      </c>
      <c r="X15" s="27"/>
      <c r="Z15" s="28"/>
      <c r="AA15" s="28"/>
    </row>
    <row r="16" spans="1:34" x14ac:dyDescent="0.25">
      <c r="A16" s="213">
        <v>80.866338559385881</v>
      </c>
      <c r="B16" s="214" t="s">
        <v>77</v>
      </c>
      <c r="C16" s="215" t="s">
        <v>22</v>
      </c>
      <c r="D16" s="215"/>
      <c r="E16" s="215"/>
      <c r="F16" s="215"/>
      <c r="G16" s="8"/>
      <c r="H16" s="17">
        <v>11</v>
      </c>
      <c r="I16" s="18" t="str">
        <f t="shared" si="3"/>
        <v/>
      </c>
      <c r="J16" s="17">
        <f t="shared" si="4"/>
        <v>0</v>
      </c>
      <c r="K16" s="17">
        <f t="shared" si="5"/>
        <v>0</v>
      </c>
      <c r="L16" s="17"/>
      <c r="M16" s="19">
        <f t="shared" si="1"/>
        <v>0</v>
      </c>
      <c r="R16" s="49"/>
      <c r="Z16" s="28"/>
      <c r="AA16" s="28"/>
      <c r="AH16" s="33"/>
    </row>
    <row r="17" spans="1:19" x14ac:dyDescent="0.25">
      <c r="A17" s="213">
        <v>25.770780722522993</v>
      </c>
      <c r="B17" s="214" t="s">
        <v>72</v>
      </c>
      <c r="C17" s="215" t="s">
        <v>23</v>
      </c>
      <c r="D17" s="215" t="s">
        <v>73</v>
      </c>
      <c r="E17" s="215"/>
      <c r="F17" s="215" t="s">
        <v>76</v>
      </c>
      <c r="G17" s="8"/>
      <c r="H17" s="44">
        <v>12</v>
      </c>
      <c r="I17" s="45" t="str">
        <f t="shared" si="3"/>
        <v/>
      </c>
      <c r="J17" s="44">
        <f t="shared" si="4"/>
        <v>0</v>
      </c>
      <c r="K17" s="44">
        <f t="shared" si="5"/>
        <v>0</v>
      </c>
      <c r="L17" s="44"/>
      <c r="M17" s="46">
        <f t="shared" si="1"/>
        <v>0</v>
      </c>
    </row>
    <row r="18" spans="1:19" x14ac:dyDescent="0.25">
      <c r="A18" s="42">
        <f t="shared" si="2"/>
        <v>0</v>
      </c>
      <c r="B18" s="36" t="str">
        <f t="shared" si="6"/>
        <v/>
      </c>
      <c r="C18" s="24"/>
      <c r="D18" s="24"/>
      <c r="E18" s="24"/>
      <c r="F18" s="24"/>
      <c r="G18" s="8"/>
      <c r="H18" s="17">
        <v>13</v>
      </c>
      <c r="I18" s="18" t="str">
        <f t="shared" si="3"/>
        <v/>
      </c>
      <c r="J18" s="17">
        <f t="shared" si="4"/>
        <v>0</v>
      </c>
      <c r="K18" s="17">
        <f t="shared" si="5"/>
        <v>0</v>
      </c>
      <c r="L18" s="17"/>
      <c r="M18" s="19">
        <f t="shared" si="1"/>
        <v>0</v>
      </c>
    </row>
    <row r="19" spans="1:19" x14ac:dyDescent="0.25">
      <c r="A19" s="41">
        <f t="shared" si="2"/>
        <v>0</v>
      </c>
      <c r="B19" s="35" t="str">
        <f t="shared" si="6"/>
        <v/>
      </c>
      <c r="C19" s="25"/>
      <c r="D19" s="25"/>
      <c r="E19" s="25"/>
      <c r="F19" s="25"/>
      <c r="G19" s="8"/>
      <c r="H19" s="44">
        <v>14</v>
      </c>
      <c r="I19" s="45" t="str">
        <f t="shared" si="3"/>
        <v/>
      </c>
      <c r="J19" s="44">
        <f t="shared" si="4"/>
        <v>0</v>
      </c>
      <c r="K19" s="44">
        <f t="shared" si="5"/>
        <v>0</v>
      </c>
      <c r="L19" s="44"/>
      <c r="M19" s="46">
        <f t="shared" si="1"/>
        <v>0</v>
      </c>
    </row>
    <row r="20" spans="1:19" x14ac:dyDescent="0.25">
      <c r="A20" s="42">
        <f t="shared" si="2"/>
        <v>0</v>
      </c>
      <c r="B20" s="36" t="str">
        <f t="shared" si="6"/>
        <v/>
      </c>
      <c r="C20" s="24"/>
      <c r="D20" s="24"/>
      <c r="E20" s="24"/>
      <c r="F20" s="24"/>
      <c r="G20" s="8"/>
      <c r="H20" s="17">
        <v>15</v>
      </c>
      <c r="I20" s="18" t="str">
        <f t="shared" si="3"/>
        <v/>
      </c>
      <c r="J20" s="17">
        <f t="shared" si="4"/>
        <v>0</v>
      </c>
      <c r="K20" s="17">
        <f t="shared" si="5"/>
        <v>0</v>
      </c>
      <c r="L20" s="17"/>
      <c r="M20" s="19">
        <f t="shared" si="1"/>
        <v>0</v>
      </c>
      <c r="R20" s="50"/>
      <c r="S20" s="34"/>
    </row>
    <row r="21" spans="1:19" x14ac:dyDescent="0.25">
      <c r="A21" s="41">
        <f t="shared" si="2"/>
        <v>0</v>
      </c>
      <c r="B21" s="35" t="str">
        <f t="shared" si="6"/>
        <v/>
      </c>
      <c r="C21" s="25"/>
      <c r="D21" s="25"/>
      <c r="E21" s="25"/>
      <c r="F21" s="25"/>
      <c r="G21" s="8"/>
      <c r="H21" s="44">
        <v>16</v>
      </c>
      <c r="I21" s="45" t="str">
        <f t="shared" si="3"/>
        <v/>
      </c>
      <c r="J21" s="44">
        <f t="shared" si="4"/>
        <v>0</v>
      </c>
      <c r="K21" s="44">
        <f t="shared" si="5"/>
        <v>0</v>
      </c>
      <c r="L21" s="44"/>
      <c r="M21" s="46">
        <f t="shared" si="1"/>
        <v>0</v>
      </c>
    </row>
    <row r="22" spans="1:19" x14ac:dyDescent="0.25">
      <c r="A22" s="42">
        <f t="shared" si="2"/>
        <v>0</v>
      </c>
      <c r="B22" s="36" t="str">
        <f t="shared" si="6"/>
        <v/>
      </c>
      <c r="C22" s="24"/>
      <c r="D22" s="24"/>
      <c r="E22" s="24"/>
      <c r="F22" s="24"/>
      <c r="G22" s="8"/>
      <c r="H22" s="17">
        <v>17</v>
      </c>
      <c r="I22" s="18" t="str">
        <f t="shared" si="3"/>
        <v/>
      </c>
      <c r="J22" s="17">
        <f t="shared" si="4"/>
        <v>-1</v>
      </c>
      <c r="K22" s="17">
        <f t="shared" si="5"/>
        <v>-10</v>
      </c>
      <c r="L22" s="17"/>
      <c r="M22" s="19">
        <f t="shared" si="1"/>
        <v>0</v>
      </c>
    </row>
    <row r="23" spans="1:19" x14ac:dyDescent="0.25">
      <c r="A23" s="41">
        <f t="shared" si="2"/>
        <v>0</v>
      </c>
      <c r="B23" s="35" t="str">
        <f t="shared" si="6"/>
        <v/>
      </c>
      <c r="C23" s="25"/>
      <c r="D23" s="25"/>
      <c r="E23" s="25"/>
      <c r="F23" s="25"/>
      <c r="G23" s="8"/>
      <c r="H23" s="44">
        <v>18</v>
      </c>
      <c r="I23" s="45" t="str">
        <f t="shared" si="3"/>
        <v/>
      </c>
      <c r="J23" s="44">
        <f t="shared" si="4"/>
        <v>-1</v>
      </c>
      <c r="K23" s="44">
        <f t="shared" si="5"/>
        <v>-10</v>
      </c>
      <c r="L23" s="44"/>
      <c r="M23" s="46">
        <f t="shared" si="1"/>
        <v>0</v>
      </c>
    </row>
    <row r="24" spans="1:19" x14ac:dyDescent="0.25">
      <c r="A24" s="42">
        <f t="shared" si="2"/>
        <v>0</v>
      </c>
      <c r="B24" s="36" t="str">
        <f t="shared" si="6"/>
        <v/>
      </c>
      <c r="C24" s="24"/>
      <c r="D24" s="24"/>
      <c r="E24" s="24"/>
      <c r="F24" s="24"/>
      <c r="G24" s="8"/>
      <c r="H24" s="17">
        <v>19</v>
      </c>
      <c r="I24" s="18" t="str">
        <f t="shared" si="3"/>
        <v/>
      </c>
      <c r="J24" s="17">
        <f t="shared" si="4"/>
        <v>-1</v>
      </c>
      <c r="K24" s="17">
        <f t="shared" si="5"/>
        <v>-10</v>
      </c>
      <c r="L24" s="17"/>
      <c r="M24" s="19">
        <f t="shared" si="1"/>
        <v>0</v>
      </c>
      <c r="R24" s="50"/>
      <c r="S24" s="34"/>
    </row>
    <row r="25" spans="1:19" x14ac:dyDescent="0.25">
      <c r="A25" s="41">
        <f t="shared" si="2"/>
        <v>0</v>
      </c>
      <c r="B25" s="35" t="str">
        <f t="shared" si="6"/>
        <v/>
      </c>
      <c r="C25" s="25"/>
      <c r="D25" s="25"/>
      <c r="E25" s="25"/>
      <c r="F25" s="25"/>
      <c r="G25" s="8"/>
      <c r="H25" s="44">
        <v>20</v>
      </c>
      <c r="I25" s="45" t="str">
        <f t="shared" si="3"/>
        <v/>
      </c>
      <c r="J25" s="44">
        <f t="shared" si="4"/>
        <v>-1</v>
      </c>
      <c r="K25" s="44">
        <f t="shared" si="5"/>
        <v>-10</v>
      </c>
      <c r="L25" s="44"/>
      <c r="M25" s="46">
        <f t="shared" si="1"/>
        <v>0</v>
      </c>
    </row>
    <row r="26" spans="1:19" x14ac:dyDescent="0.25">
      <c r="A26" s="42">
        <f t="shared" si="2"/>
        <v>0</v>
      </c>
      <c r="B26" s="36" t="str">
        <f t="shared" si="6"/>
        <v/>
      </c>
      <c r="C26" s="24"/>
      <c r="D26" s="24"/>
      <c r="E26" s="24"/>
      <c r="F26" s="24"/>
      <c r="G26" s="8"/>
      <c r="H26" s="17">
        <v>21</v>
      </c>
      <c r="I26" s="18" t="str">
        <f t="shared" si="3"/>
        <v/>
      </c>
      <c r="J26" s="17">
        <f t="shared" si="4"/>
        <v>-1</v>
      </c>
      <c r="K26" s="17">
        <f t="shared" si="5"/>
        <v>-10</v>
      </c>
      <c r="L26" s="17"/>
      <c r="M26" s="19">
        <f t="shared" si="1"/>
        <v>0</v>
      </c>
    </row>
    <row r="27" spans="1:19" x14ac:dyDescent="0.25">
      <c r="A27" s="41">
        <f t="shared" si="2"/>
        <v>0</v>
      </c>
      <c r="B27" s="35" t="str">
        <f t="shared" si="6"/>
        <v/>
      </c>
      <c r="C27" s="25"/>
      <c r="D27" s="25"/>
      <c r="E27" s="25"/>
      <c r="F27" s="25"/>
      <c r="G27" s="8"/>
      <c r="H27" s="44">
        <v>22</v>
      </c>
      <c r="I27" s="45" t="str">
        <f t="shared" si="3"/>
        <v/>
      </c>
      <c r="J27" s="44">
        <f t="shared" si="4"/>
        <v>-1</v>
      </c>
      <c r="K27" s="44">
        <f t="shared" si="5"/>
        <v>-10</v>
      </c>
      <c r="L27" s="44"/>
      <c r="M27" s="46">
        <f t="shared" si="1"/>
        <v>0</v>
      </c>
    </row>
    <row r="28" spans="1:19" x14ac:dyDescent="0.25">
      <c r="A28" s="42">
        <f t="shared" si="2"/>
        <v>0</v>
      </c>
      <c r="B28" s="36" t="str">
        <f t="shared" si="6"/>
        <v/>
      </c>
      <c r="C28" s="24"/>
      <c r="D28" s="24"/>
      <c r="E28" s="24"/>
      <c r="F28" s="24"/>
      <c r="G28" s="8"/>
      <c r="H28" s="17">
        <v>23</v>
      </c>
      <c r="I28" s="18" t="str">
        <f t="shared" si="3"/>
        <v/>
      </c>
      <c r="J28" s="17">
        <f t="shared" si="4"/>
        <v>-1</v>
      </c>
      <c r="K28" s="17">
        <f t="shared" si="5"/>
        <v>-10</v>
      </c>
      <c r="L28" s="17"/>
      <c r="M28" s="19">
        <f t="shared" si="1"/>
        <v>0</v>
      </c>
      <c r="R28" s="50"/>
      <c r="S28" s="34"/>
    </row>
    <row r="29" spans="1:19" x14ac:dyDescent="0.25">
      <c r="A29" s="41">
        <f t="shared" si="2"/>
        <v>0</v>
      </c>
      <c r="B29" s="35" t="str">
        <f t="shared" si="6"/>
        <v/>
      </c>
      <c r="C29" s="25"/>
      <c r="D29" s="25"/>
      <c r="E29" s="25"/>
      <c r="F29" s="25"/>
      <c r="G29" s="5"/>
      <c r="H29" s="44">
        <v>24</v>
      </c>
      <c r="I29" s="45" t="str">
        <f t="shared" si="3"/>
        <v/>
      </c>
      <c r="J29" s="44">
        <f t="shared" si="4"/>
        <v>-1</v>
      </c>
      <c r="K29" s="44">
        <f t="shared" si="5"/>
        <v>-10</v>
      </c>
      <c r="L29" s="44"/>
      <c r="M29" s="46">
        <f t="shared" si="1"/>
        <v>0</v>
      </c>
    </row>
    <row r="30" spans="1:19" x14ac:dyDescent="0.25">
      <c r="A30" s="42">
        <f t="shared" si="2"/>
        <v>0</v>
      </c>
      <c r="B30" s="36" t="str">
        <f t="shared" si="6"/>
        <v/>
      </c>
      <c r="C30" s="24"/>
      <c r="D30" s="24"/>
      <c r="E30" s="24"/>
      <c r="F30" s="24"/>
      <c r="G30" s="5"/>
      <c r="H30" s="17">
        <v>25</v>
      </c>
      <c r="I30" s="18" t="str">
        <f t="shared" si="3"/>
        <v/>
      </c>
      <c r="J30" s="17">
        <f t="shared" si="4"/>
        <v>-1</v>
      </c>
      <c r="K30" s="17">
        <f t="shared" si="5"/>
        <v>-10</v>
      </c>
      <c r="L30" s="17"/>
      <c r="M30" s="19">
        <f t="shared" si="1"/>
        <v>0</v>
      </c>
    </row>
    <row r="31" spans="1:19" x14ac:dyDescent="0.25">
      <c r="A31" s="41">
        <f t="shared" si="2"/>
        <v>0</v>
      </c>
      <c r="B31" s="35" t="str">
        <f t="shared" si="6"/>
        <v/>
      </c>
      <c r="C31" s="25"/>
      <c r="D31" s="25"/>
      <c r="E31" s="25"/>
      <c r="F31" s="25"/>
      <c r="G31" s="5"/>
      <c r="H31" s="44">
        <v>26</v>
      </c>
      <c r="I31" s="45" t="str">
        <f t="shared" si="3"/>
        <v/>
      </c>
      <c r="J31" s="44">
        <f t="shared" si="4"/>
        <v>-1</v>
      </c>
      <c r="K31" s="44">
        <f t="shared" si="5"/>
        <v>-10</v>
      </c>
      <c r="L31" s="44"/>
      <c r="M31" s="46">
        <f t="shared" si="1"/>
        <v>0</v>
      </c>
    </row>
    <row r="32" spans="1:19" x14ac:dyDescent="0.25">
      <c r="A32" s="42">
        <f t="shared" si="2"/>
        <v>0</v>
      </c>
      <c r="B32" s="36" t="str">
        <f t="shared" si="6"/>
        <v/>
      </c>
      <c r="C32" s="24"/>
      <c r="D32" s="24"/>
      <c r="E32" s="24"/>
      <c r="F32" s="24"/>
      <c r="G32" s="5"/>
      <c r="H32" s="17">
        <v>27</v>
      </c>
      <c r="I32" s="18" t="str">
        <f t="shared" si="3"/>
        <v/>
      </c>
      <c r="J32" s="17">
        <f t="shared" si="4"/>
        <v>-1</v>
      </c>
      <c r="K32" s="17">
        <f t="shared" si="5"/>
        <v>-10</v>
      </c>
      <c r="L32" s="17"/>
      <c r="M32" s="19">
        <f t="shared" si="1"/>
        <v>0</v>
      </c>
      <c r="R32" s="50"/>
      <c r="S32" s="34"/>
    </row>
    <row r="33" spans="1:19" x14ac:dyDescent="0.25">
      <c r="A33" s="41">
        <f t="shared" si="2"/>
        <v>0</v>
      </c>
      <c r="B33" s="35" t="str">
        <f t="shared" si="6"/>
        <v/>
      </c>
      <c r="C33" s="25"/>
      <c r="D33" s="25"/>
      <c r="E33" s="25"/>
      <c r="F33" s="25"/>
      <c r="G33" s="5"/>
      <c r="H33" s="44">
        <v>28</v>
      </c>
      <c r="I33" s="45" t="str">
        <f t="shared" si="3"/>
        <v/>
      </c>
      <c r="J33" s="44">
        <f t="shared" si="4"/>
        <v>-1</v>
      </c>
      <c r="K33" s="44">
        <f t="shared" si="5"/>
        <v>-10</v>
      </c>
      <c r="L33" s="44"/>
      <c r="M33" s="46">
        <f t="shared" si="1"/>
        <v>0</v>
      </c>
    </row>
    <row r="34" spans="1:19" x14ac:dyDescent="0.25">
      <c r="A34" s="42">
        <f t="shared" si="2"/>
        <v>0</v>
      </c>
      <c r="B34" s="36" t="str">
        <f t="shared" si="6"/>
        <v/>
      </c>
      <c r="C34" s="24"/>
      <c r="D34" s="24"/>
      <c r="E34" s="24"/>
      <c r="F34" s="24"/>
      <c r="G34" s="5"/>
      <c r="H34" s="17">
        <v>29</v>
      </c>
      <c r="I34" s="18" t="str">
        <f t="shared" si="3"/>
        <v/>
      </c>
      <c r="J34" s="17">
        <f t="shared" si="4"/>
        <v>-1</v>
      </c>
      <c r="K34" s="17">
        <f t="shared" si="5"/>
        <v>-10</v>
      </c>
      <c r="L34" s="17"/>
      <c r="M34" s="19">
        <f t="shared" si="1"/>
        <v>0</v>
      </c>
    </row>
    <row r="35" spans="1:19" x14ac:dyDescent="0.25">
      <c r="A35" s="41">
        <f t="shared" si="2"/>
        <v>0</v>
      </c>
      <c r="B35" s="35" t="str">
        <f t="shared" si="6"/>
        <v/>
      </c>
      <c r="C35" s="25"/>
      <c r="D35" s="25"/>
      <c r="E35" s="25"/>
      <c r="F35" s="25"/>
      <c r="G35" s="5"/>
      <c r="H35" s="44">
        <v>30</v>
      </c>
      <c r="I35" s="45" t="str">
        <f t="shared" si="3"/>
        <v/>
      </c>
      <c r="J35" s="44">
        <f t="shared" si="4"/>
        <v>-1</v>
      </c>
      <c r="K35" s="44">
        <f t="shared" si="5"/>
        <v>-10</v>
      </c>
      <c r="L35" s="44"/>
      <c r="M35" s="46">
        <f t="shared" si="1"/>
        <v>0</v>
      </c>
    </row>
    <row r="36" spans="1:19" x14ac:dyDescent="0.25">
      <c r="A36" s="42">
        <f t="shared" si="2"/>
        <v>0</v>
      </c>
      <c r="B36" s="36" t="str">
        <f t="shared" si="6"/>
        <v/>
      </c>
      <c r="C36" s="24"/>
      <c r="D36" s="24"/>
      <c r="E36" s="24"/>
      <c r="F36" s="24"/>
      <c r="G36" s="5"/>
      <c r="H36" s="17">
        <v>31</v>
      </c>
      <c r="I36" s="18" t="str">
        <f t="shared" si="3"/>
        <v/>
      </c>
      <c r="J36" s="17">
        <f t="shared" si="4"/>
        <v>-1</v>
      </c>
      <c r="K36" s="17">
        <f t="shared" si="5"/>
        <v>-10</v>
      </c>
      <c r="L36" s="17"/>
      <c r="M36" s="19">
        <f t="shared" si="1"/>
        <v>0</v>
      </c>
      <c r="R36" s="50"/>
      <c r="S36" s="34"/>
    </row>
    <row r="37" spans="1:19" x14ac:dyDescent="0.25">
      <c r="A37" s="41">
        <f t="shared" si="2"/>
        <v>0</v>
      </c>
      <c r="B37" s="35" t="str">
        <f t="shared" si="6"/>
        <v/>
      </c>
      <c r="C37" s="25"/>
      <c r="D37" s="25"/>
      <c r="E37" s="25"/>
      <c r="F37" s="25"/>
      <c r="G37" s="5"/>
      <c r="H37" s="44">
        <v>32</v>
      </c>
      <c r="I37" s="45" t="str">
        <f t="shared" si="3"/>
        <v/>
      </c>
      <c r="J37" s="44">
        <f t="shared" si="4"/>
        <v>-1</v>
      </c>
      <c r="K37" s="44">
        <f t="shared" si="5"/>
        <v>-10</v>
      </c>
      <c r="L37" s="44"/>
      <c r="M37" s="46">
        <f t="shared" si="1"/>
        <v>0</v>
      </c>
    </row>
    <row r="38" spans="1:19" x14ac:dyDescent="0.25">
      <c r="A38" s="42"/>
      <c r="B38" s="36" t="str">
        <f t="shared" si="6"/>
        <v/>
      </c>
      <c r="C38" s="24"/>
      <c r="D38" s="24"/>
      <c r="E38" s="24"/>
      <c r="F38" s="24"/>
      <c r="G38" s="5"/>
      <c r="H38" s="17">
        <v>33</v>
      </c>
      <c r="I38" s="18" t="str">
        <f t="shared" si="3"/>
        <v/>
      </c>
      <c r="J38" s="17">
        <f t="shared" si="4"/>
        <v>-2</v>
      </c>
      <c r="K38" s="17">
        <f t="shared" si="5"/>
        <v>-20</v>
      </c>
      <c r="L38" s="17"/>
      <c r="M38" s="19">
        <f t="shared" si="1"/>
        <v>0</v>
      </c>
    </row>
    <row r="39" spans="1:19" x14ac:dyDescent="0.25">
      <c r="A39" s="41"/>
      <c r="B39" s="35" t="str">
        <f t="shared" si="6"/>
        <v/>
      </c>
      <c r="C39" s="25"/>
      <c r="D39" s="25"/>
      <c r="E39" s="25"/>
      <c r="F39" s="25"/>
      <c r="G39" s="5"/>
      <c r="H39" s="44">
        <v>34</v>
      </c>
      <c r="I39" s="45" t="str">
        <f t="shared" si="3"/>
        <v/>
      </c>
      <c r="J39" s="44">
        <f t="shared" si="4"/>
        <v>-2</v>
      </c>
      <c r="K39" s="44">
        <f t="shared" si="5"/>
        <v>-20</v>
      </c>
      <c r="L39" s="44"/>
      <c r="M39" s="46">
        <f t="shared" si="1"/>
        <v>0</v>
      </c>
    </row>
    <row r="40" spans="1:19" x14ac:dyDescent="0.25">
      <c r="A40" s="42"/>
      <c r="B40" s="36" t="str">
        <f t="shared" si="6"/>
        <v/>
      </c>
      <c r="C40" s="24"/>
      <c r="D40" s="24"/>
      <c r="E40" s="24"/>
      <c r="F40" s="24"/>
      <c r="G40" s="5"/>
      <c r="H40" s="17">
        <v>35</v>
      </c>
      <c r="I40" s="18" t="str">
        <f t="shared" si="3"/>
        <v/>
      </c>
      <c r="J40" s="17">
        <f t="shared" si="4"/>
        <v>-2</v>
      </c>
      <c r="K40" s="17">
        <f t="shared" si="5"/>
        <v>-20</v>
      </c>
      <c r="L40" s="17"/>
      <c r="M40" s="19">
        <f t="shared" si="1"/>
        <v>0</v>
      </c>
    </row>
    <row r="41" spans="1:19" x14ac:dyDescent="0.25">
      <c r="A41" s="41"/>
      <c r="B41" s="35" t="str">
        <f t="shared" si="6"/>
        <v/>
      </c>
      <c r="C41" s="25"/>
      <c r="D41" s="25"/>
      <c r="E41" s="25"/>
      <c r="F41" s="25"/>
      <c r="G41" s="5"/>
      <c r="H41" s="44">
        <v>36</v>
      </c>
      <c r="I41" s="45" t="str">
        <f t="shared" si="3"/>
        <v/>
      </c>
      <c r="J41" s="44">
        <f t="shared" si="4"/>
        <v>-2</v>
      </c>
      <c r="K41" s="44">
        <f t="shared" si="5"/>
        <v>-20</v>
      </c>
      <c r="L41" s="44"/>
      <c r="M41" s="46">
        <f t="shared" si="1"/>
        <v>0</v>
      </c>
      <c r="S41" s="32"/>
    </row>
    <row r="42" spans="1:19" x14ac:dyDescent="0.25">
      <c r="A42" s="42"/>
      <c r="B42" s="36" t="str">
        <f t="shared" si="6"/>
        <v/>
      </c>
      <c r="C42" s="24"/>
      <c r="D42" s="24"/>
      <c r="E42" s="24"/>
      <c r="F42" s="24"/>
      <c r="G42" s="5"/>
      <c r="H42" s="17">
        <v>37</v>
      </c>
      <c r="I42" s="18" t="str">
        <f t="shared" si="3"/>
        <v/>
      </c>
      <c r="J42" s="17">
        <f t="shared" si="4"/>
        <v>-2</v>
      </c>
      <c r="K42" s="17">
        <f t="shared" si="5"/>
        <v>-20</v>
      </c>
      <c r="L42" s="17"/>
      <c r="M42" s="19">
        <f t="shared" si="1"/>
        <v>0</v>
      </c>
    </row>
    <row r="43" spans="1:19" x14ac:dyDescent="0.25">
      <c r="A43" s="41"/>
      <c r="B43" s="35" t="str">
        <f t="shared" si="6"/>
        <v/>
      </c>
      <c r="C43" s="25"/>
      <c r="D43" s="25"/>
      <c r="E43" s="25"/>
      <c r="F43" s="25"/>
      <c r="G43" s="5"/>
      <c r="H43" s="44">
        <v>38</v>
      </c>
      <c r="I43" s="45" t="str">
        <f t="shared" si="3"/>
        <v/>
      </c>
      <c r="J43" s="44">
        <f t="shared" si="4"/>
        <v>-2</v>
      </c>
      <c r="K43" s="44">
        <f t="shared" si="5"/>
        <v>-20</v>
      </c>
      <c r="L43" s="44"/>
      <c r="M43" s="46">
        <f t="shared" si="1"/>
        <v>0</v>
      </c>
    </row>
    <row r="44" spans="1:19" x14ac:dyDescent="0.25">
      <c r="A44" s="42"/>
      <c r="B44" s="36" t="str">
        <f t="shared" si="6"/>
        <v/>
      </c>
      <c r="C44" s="24"/>
      <c r="D44" s="24"/>
      <c r="E44" s="24"/>
      <c r="F44" s="24"/>
      <c r="G44" s="5"/>
      <c r="H44" s="17">
        <v>39</v>
      </c>
      <c r="I44" s="18" t="str">
        <f t="shared" si="3"/>
        <v/>
      </c>
      <c r="J44" s="17">
        <f t="shared" si="4"/>
        <v>-2</v>
      </c>
      <c r="K44" s="17">
        <f t="shared" si="5"/>
        <v>-20</v>
      </c>
      <c r="L44" s="17"/>
      <c r="M44" s="19">
        <f t="shared" si="1"/>
        <v>0</v>
      </c>
    </row>
    <row r="45" spans="1:19" x14ac:dyDescent="0.25">
      <c r="A45" s="41"/>
      <c r="B45" s="35" t="str">
        <f t="shared" si="6"/>
        <v/>
      </c>
      <c r="C45" s="25"/>
      <c r="D45" s="25"/>
      <c r="E45" s="25"/>
      <c r="F45" s="25"/>
      <c r="G45" s="5"/>
      <c r="H45" s="44">
        <v>40</v>
      </c>
      <c r="I45" s="45" t="str">
        <f t="shared" si="3"/>
        <v/>
      </c>
      <c r="J45" s="44">
        <f t="shared" si="4"/>
        <v>-2</v>
      </c>
      <c r="K45" s="44">
        <f t="shared" si="5"/>
        <v>-20</v>
      </c>
      <c r="L45" s="44"/>
      <c r="M45" s="46">
        <f t="shared" si="1"/>
        <v>0</v>
      </c>
    </row>
    <row r="46" spans="1:19" x14ac:dyDescent="0.25">
      <c r="A46" s="42"/>
      <c r="B46" s="36" t="str">
        <f t="shared" si="6"/>
        <v/>
      </c>
      <c r="C46" s="24"/>
      <c r="D46" s="24"/>
      <c r="E46" s="24"/>
      <c r="F46" s="24"/>
      <c r="G46" s="5"/>
      <c r="H46" s="17">
        <v>41</v>
      </c>
      <c r="I46" s="18" t="str">
        <f t="shared" si="3"/>
        <v/>
      </c>
      <c r="J46" s="17">
        <f t="shared" si="4"/>
        <v>-2</v>
      </c>
      <c r="K46" s="17">
        <f t="shared" si="5"/>
        <v>-20</v>
      </c>
      <c r="L46" s="17"/>
      <c r="M46" s="19">
        <f t="shared" si="1"/>
        <v>0</v>
      </c>
    </row>
    <row r="47" spans="1:19" x14ac:dyDescent="0.25">
      <c r="A47" s="41"/>
      <c r="B47" s="35" t="str">
        <f t="shared" si="6"/>
        <v/>
      </c>
      <c r="C47" s="25"/>
      <c r="D47" s="25"/>
      <c r="E47" s="25"/>
      <c r="F47" s="25"/>
      <c r="G47" s="5"/>
      <c r="H47" s="44">
        <v>42</v>
      </c>
      <c r="I47" s="45" t="str">
        <f t="shared" si="3"/>
        <v/>
      </c>
      <c r="J47" s="44">
        <f t="shared" si="4"/>
        <v>-2</v>
      </c>
      <c r="K47" s="44">
        <f t="shared" si="5"/>
        <v>-20</v>
      </c>
      <c r="L47" s="44"/>
      <c r="M47" s="46">
        <f t="shared" si="1"/>
        <v>0</v>
      </c>
    </row>
    <row r="48" spans="1:19" x14ac:dyDescent="0.25">
      <c r="A48" s="42"/>
      <c r="B48" s="36" t="str">
        <f t="shared" si="6"/>
        <v/>
      </c>
      <c r="C48" s="24"/>
      <c r="D48" s="24"/>
      <c r="E48" s="24"/>
      <c r="F48" s="24"/>
      <c r="G48" s="5"/>
      <c r="H48" s="17">
        <v>43</v>
      </c>
      <c r="I48" s="18" t="str">
        <f t="shared" si="3"/>
        <v/>
      </c>
      <c r="J48" s="17">
        <f t="shared" si="4"/>
        <v>-2</v>
      </c>
      <c r="K48" s="17">
        <f t="shared" si="5"/>
        <v>-20</v>
      </c>
      <c r="L48" s="17"/>
      <c r="M48" s="19">
        <f t="shared" si="1"/>
        <v>0</v>
      </c>
    </row>
    <row r="49" spans="1:13" x14ac:dyDescent="0.25">
      <c r="A49" s="41"/>
      <c r="B49" s="35" t="str">
        <f t="shared" si="6"/>
        <v/>
      </c>
      <c r="C49" s="25"/>
      <c r="D49" s="25"/>
      <c r="E49" s="25"/>
      <c r="F49" s="25"/>
      <c r="G49" s="5"/>
      <c r="H49" s="44">
        <v>44</v>
      </c>
      <c r="I49" s="45" t="str">
        <f t="shared" si="3"/>
        <v/>
      </c>
      <c r="J49" s="44">
        <f t="shared" si="4"/>
        <v>-2</v>
      </c>
      <c r="K49" s="44">
        <f t="shared" si="5"/>
        <v>-20</v>
      </c>
      <c r="L49" s="44"/>
      <c r="M49" s="46">
        <f t="shared" si="1"/>
        <v>0</v>
      </c>
    </row>
    <row r="50" spans="1:13" x14ac:dyDescent="0.25">
      <c r="A50" s="42"/>
      <c r="B50" s="36" t="str">
        <f t="shared" si="6"/>
        <v/>
      </c>
      <c r="C50" s="24"/>
      <c r="D50" s="24"/>
      <c r="E50" s="24"/>
      <c r="F50" s="24"/>
      <c r="G50" s="5"/>
      <c r="H50" s="17">
        <v>45</v>
      </c>
      <c r="I50" s="18" t="str">
        <f t="shared" si="3"/>
        <v/>
      </c>
      <c r="J50" s="17">
        <f t="shared" si="4"/>
        <v>-2</v>
      </c>
      <c r="K50" s="17">
        <f t="shared" si="5"/>
        <v>-20</v>
      </c>
      <c r="L50" s="17"/>
      <c r="M50" s="19">
        <f t="shared" si="1"/>
        <v>0</v>
      </c>
    </row>
    <row r="51" spans="1:13" x14ac:dyDescent="0.25">
      <c r="A51" s="41"/>
      <c r="B51" s="35" t="str">
        <f t="shared" si="6"/>
        <v/>
      </c>
      <c r="C51" s="25"/>
      <c r="D51" s="25"/>
      <c r="E51" s="25"/>
      <c r="F51" s="25"/>
      <c r="G51" s="5"/>
      <c r="H51" s="44">
        <v>46</v>
      </c>
      <c r="I51" s="45" t="str">
        <f t="shared" si="3"/>
        <v/>
      </c>
      <c r="J51" s="44">
        <f t="shared" si="4"/>
        <v>-2</v>
      </c>
      <c r="K51" s="44">
        <f t="shared" si="5"/>
        <v>-20</v>
      </c>
      <c r="L51" s="44"/>
      <c r="M51" s="46">
        <f t="shared" si="1"/>
        <v>0</v>
      </c>
    </row>
    <row r="52" spans="1:13" x14ac:dyDescent="0.25">
      <c r="A52" s="42"/>
      <c r="B52" s="36" t="str">
        <f t="shared" si="6"/>
        <v/>
      </c>
      <c r="C52" s="24"/>
      <c r="D52" s="24"/>
      <c r="E52" s="24"/>
      <c r="F52" s="24"/>
      <c r="G52" s="5"/>
      <c r="H52" s="17">
        <v>47</v>
      </c>
      <c r="I52" s="18" t="str">
        <f t="shared" si="3"/>
        <v/>
      </c>
      <c r="J52" s="17">
        <f t="shared" si="4"/>
        <v>-2</v>
      </c>
      <c r="K52" s="17">
        <f t="shared" si="5"/>
        <v>-20</v>
      </c>
      <c r="L52" s="17"/>
      <c r="M52" s="19">
        <f t="shared" si="1"/>
        <v>0</v>
      </c>
    </row>
    <row r="53" spans="1:13" x14ac:dyDescent="0.25">
      <c r="A53" s="41"/>
      <c r="B53" s="35" t="str">
        <f t="shared" si="6"/>
        <v/>
      </c>
      <c r="C53" s="25"/>
      <c r="D53" s="25"/>
      <c r="E53" s="25"/>
      <c r="F53" s="25"/>
      <c r="G53" s="5"/>
      <c r="H53" s="44">
        <v>48</v>
      </c>
      <c r="I53" s="45" t="str">
        <f t="shared" si="3"/>
        <v/>
      </c>
      <c r="J53" s="44">
        <f t="shared" si="4"/>
        <v>-2</v>
      </c>
      <c r="K53" s="44">
        <f t="shared" si="5"/>
        <v>-20</v>
      </c>
      <c r="L53" s="44"/>
      <c r="M53" s="46">
        <f t="shared" si="1"/>
        <v>0</v>
      </c>
    </row>
    <row r="54" spans="1:13" x14ac:dyDescent="0.25">
      <c r="A54" s="42"/>
      <c r="B54" s="36" t="str">
        <f t="shared" si="6"/>
        <v/>
      </c>
      <c r="C54" s="24"/>
      <c r="D54" s="24"/>
      <c r="E54" s="24"/>
      <c r="F54" s="24"/>
      <c r="G54" s="5"/>
      <c r="H54" s="17">
        <v>49</v>
      </c>
      <c r="I54" s="18" t="str">
        <f t="shared" si="3"/>
        <v/>
      </c>
      <c r="J54" s="17">
        <f t="shared" si="4"/>
        <v>-2</v>
      </c>
      <c r="K54" s="17">
        <f t="shared" si="5"/>
        <v>-20</v>
      </c>
      <c r="L54" s="17"/>
      <c r="M54" s="19">
        <f t="shared" si="1"/>
        <v>0</v>
      </c>
    </row>
    <row r="55" spans="1:13" x14ac:dyDescent="0.25">
      <c r="A55" s="41"/>
      <c r="B55" s="35" t="str">
        <f t="shared" si="6"/>
        <v/>
      </c>
      <c r="C55" s="25"/>
      <c r="D55" s="25"/>
      <c r="E55" s="25"/>
      <c r="F55" s="25"/>
      <c r="G55" s="5"/>
      <c r="H55" s="44">
        <v>50</v>
      </c>
      <c r="I55" s="45" t="str">
        <f t="shared" si="3"/>
        <v/>
      </c>
      <c r="J55" s="44">
        <f t="shared" si="4"/>
        <v>-2</v>
      </c>
      <c r="K55" s="44">
        <f t="shared" si="5"/>
        <v>-20</v>
      </c>
      <c r="L55" s="44"/>
      <c r="M55" s="46">
        <f t="shared" si="1"/>
        <v>0</v>
      </c>
    </row>
    <row r="56" spans="1:13" x14ac:dyDescent="0.25">
      <c r="A56" s="42"/>
      <c r="B56" s="36" t="str">
        <f t="shared" si="6"/>
        <v/>
      </c>
      <c r="C56" s="24"/>
      <c r="D56" s="24"/>
      <c r="E56" s="24"/>
      <c r="F56" s="24"/>
      <c r="G56" s="5"/>
      <c r="H56" s="17">
        <v>51</v>
      </c>
      <c r="I56" s="18" t="str">
        <f t="shared" si="3"/>
        <v/>
      </c>
      <c r="J56" s="17">
        <f t="shared" si="4"/>
        <v>-2</v>
      </c>
      <c r="K56" s="17">
        <f t="shared" si="5"/>
        <v>-20</v>
      </c>
      <c r="L56" s="17"/>
      <c r="M56" s="19">
        <f t="shared" si="1"/>
        <v>0</v>
      </c>
    </row>
    <row r="57" spans="1:13" x14ac:dyDescent="0.25">
      <c r="A57" s="41"/>
      <c r="B57" s="35" t="str">
        <f t="shared" si="6"/>
        <v/>
      </c>
      <c r="C57" s="25"/>
      <c r="D57" s="25"/>
      <c r="E57" s="25"/>
      <c r="F57" s="25"/>
      <c r="G57" s="5"/>
      <c r="H57" s="44">
        <v>52</v>
      </c>
      <c r="I57" s="45" t="str">
        <f t="shared" si="3"/>
        <v/>
      </c>
      <c r="J57" s="44">
        <f t="shared" si="4"/>
        <v>-2</v>
      </c>
      <c r="K57" s="44">
        <f t="shared" si="5"/>
        <v>-20</v>
      </c>
      <c r="L57" s="44"/>
      <c r="M57" s="46">
        <f t="shared" si="1"/>
        <v>0</v>
      </c>
    </row>
    <row r="58" spans="1:13" x14ac:dyDescent="0.25">
      <c r="A58" s="42"/>
      <c r="B58" s="36" t="str">
        <f t="shared" si="6"/>
        <v/>
      </c>
      <c r="C58" s="24"/>
      <c r="D58" s="24"/>
      <c r="E58" s="24"/>
      <c r="F58" s="24"/>
      <c r="G58" s="5"/>
      <c r="H58" s="17">
        <v>53</v>
      </c>
      <c r="I58" s="18" t="str">
        <f t="shared" si="3"/>
        <v/>
      </c>
      <c r="J58" s="17">
        <f t="shared" si="4"/>
        <v>-2</v>
      </c>
      <c r="K58" s="17">
        <f t="shared" si="5"/>
        <v>-20</v>
      </c>
      <c r="L58" s="17"/>
      <c r="M58" s="19">
        <f t="shared" si="1"/>
        <v>0</v>
      </c>
    </row>
    <row r="59" spans="1:13" x14ac:dyDescent="0.25">
      <c r="A59" s="41"/>
      <c r="B59" s="35" t="str">
        <f t="shared" si="6"/>
        <v/>
      </c>
      <c r="C59" s="25"/>
      <c r="D59" s="25"/>
      <c r="E59" s="25"/>
      <c r="F59" s="25"/>
      <c r="G59" s="5"/>
      <c r="H59" s="44">
        <v>54</v>
      </c>
      <c r="I59" s="45" t="str">
        <f t="shared" si="3"/>
        <v/>
      </c>
      <c r="J59" s="44">
        <f t="shared" si="4"/>
        <v>-2</v>
      </c>
      <c r="K59" s="44">
        <f t="shared" si="5"/>
        <v>-20</v>
      </c>
      <c r="L59" s="44"/>
      <c r="M59" s="46">
        <f t="shared" si="1"/>
        <v>0</v>
      </c>
    </row>
    <row r="60" spans="1:13" x14ac:dyDescent="0.25">
      <c r="A60" s="42"/>
      <c r="B60" s="36" t="str">
        <f t="shared" si="6"/>
        <v/>
      </c>
      <c r="C60" s="24"/>
      <c r="D60" s="24"/>
      <c r="E60" s="24"/>
      <c r="F60" s="24"/>
      <c r="G60" s="5"/>
      <c r="H60" s="17">
        <v>55</v>
      </c>
      <c r="I60" s="18" t="str">
        <f t="shared" si="3"/>
        <v/>
      </c>
      <c r="J60" s="17">
        <f t="shared" si="4"/>
        <v>-2</v>
      </c>
      <c r="K60" s="17">
        <f t="shared" si="5"/>
        <v>-20</v>
      </c>
      <c r="L60" s="17"/>
      <c r="M60" s="19">
        <f t="shared" si="1"/>
        <v>0</v>
      </c>
    </row>
    <row r="61" spans="1:13" x14ac:dyDescent="0.25">
      <c r="A61" s="41"/>
      <c r="B61" s="35" t="str">
        <f t="shared" si="6"/>
        <v/>
      </c>
      <c r="C61" s="25"/>
      <c r="D61" s="25"/>
      <c r="E61" s="25"/>
      <c r="F61" s="25"/>
      <c r="G61" s="5"/>
      <c r="H61" s="44">
        <v>56</v>
      </c>
      <c r="I61" s="45" t="str">
        <f t="shared" si="3"/>
        <v/>
      </c>
      <c r="J61" s="44">
        <f t="shared" si="4"/>
        <v>-2</v>
      </c>
      <c r="K61" s="44">
        <f t="shared" si="5"/>
        <v>-20</v>
      </c>
      <c r="L61" s="44"/>
      <c r="M61" s="46">
        <f t="shared" si="1"/>
        <v>0</v>
      </c>
    </row>
    <row r="62" spans="1:13" x14ac:dyDescent="0.25">
      <c r="A62" s="42"/>
      <c r="B62" s="36" t="str">
        <f t="shared" si="6"/>
        <v/>
      </c>
      <c r="C62" s="24"/>
      <c r="D62" s="24"/>
      <c r="E62" s="24"/>
      <c r="F62" s="24"/>
      <c r="G62" s="5"/>
      <c r="H62" s="17">
        <v>57</v>
      </c>
      <c r="I62" s="18" t="str">
        <f t="shared" si="3"/>
        <v/>
      </c>
      <c r="J62" s="17">
        <f t="shared" si="4"/>
        <v>-2</v>
      </c>
      <c r="K62" s="17">
        <f t="shared" si="5"/>
        <v>-20</v>
      </c>
      <c r="L62" s="17"/>
      <c r="M62" s="19">
        <f t="shared" si="1"/>
        <v>0</v>
      </c>
    </row>
    <row r="63" spans="1:13" x14ac:dyDescent="0.25">
      <c r="A63" s="41"/>
      <c r="B63" s="35" t="str">
        <f t="shared" si="6"/>
        <v/>
      </c>
      <c r="C63" s="25"/>
      <c r="D63" s="25"/>
      <c r="E63" s="25"/>
      <c r="F63" s="25"/>
      <c r="G63" s="5"/>
      <c r="H63" s="44">
        <v>58</v>
      </c>
      <c r="I63" s="45" t="str">
        <f t="shared" si="3"/>
        <v/>
      </c>
      <c r="J63" s="44">
        <f t="shared" si="4"/>
        <v>-2</v>
      </c>
      <c r="K63" s="44">
        <f t="shared" si="5"/>
        <v>-20</v>
      </c>
      <c r="L63" s="44"/>
      <c r="M63" s="46">
        <f t="shared" si="1"/>
        <v>0</v>
      </c>
    </row>
    <row r="64" spans="1:13" x14ac:dyDescent="0.25">
      <c r="A64" s="42"/>
      <c r="B64" s="36" t="str">
        <f t="shared" si="6"/>
        <v/>
      </c>
      <c r="C64" s="24"/>
      <c r="D64" s="24"/>
      <c r="E64" s="24"/>
      <c r="F64" s="24"/>
      <c r="G64" s="5"/>
      <c r="H64" s="17">
        <v>59</v>
      </c>
      <c r="I64" s="18" t="str">
        <f t="shared" si="3"/>
        <v/>
      </c>
      <c r="J64" s="17">
        <f t="shared" si="4"/>
        <v>-2</v>
      </c>
      <c r="K64" s="17">
        <f t="shared" si="5"/>
        <v>-20</v>
      </c>
      <c r="L64" s="17"/>
      <c r="M64" s="19">
        <f t="shared" si="1"/>
        <v>0</v>
      </c>
    </row>
    <row r="65" spans="1:13" x14ac:dyDescent="0.25">
      <c r="A65" s="41"/>
      <c r="B65" s="35" t="str">
        <f t="shared" si="6"/>
        <v/>
      </c>
      <c r="C65" s="25"/>
      <c r="D65" s="25"/>
      <c r="E65" s="25"/>
      <c r="F65" s="25"/>
      <c r="G65" s="5"/>
      <c r="H65" s="44">
        <v>60</v>
      </c>
      <c r="I65" s="45" t="str">
        <f t="shared" si="3"/>
        <v/>
      </c>
      <c r="J65" s="44">
        <f t="shared" si="4"/>
        <v>-2</v>
      </c>
      <c r="K65" s="44">
        <f t="shared" si="5"/>
        <v>-20</v>
      </c>
      <c r="L65" s="44"/>
      <c r="M65" s="46">
        <f t="shared" si="1"/>
        <v>0</v>
      </c>
    </row>
    <row r="66" spans="1:13" x14ac:dyDescent="0.25">
      <c r="A66" s="43"/>
      <c r="B66" s="36"/>
      <c r="G66" s="5"/>
      <c r="H66" s="17">
        <v>61</v>
      </c>
      <c r="I66" s="18" t="str">
        <f t="shared" si="3"/>
        <v/>
      </c>
      <c r="J66" s="17">
        <f t="shared" si="4"/>
        <v>-2</v>
      </c>
      <c r="K66" s="17">
        <f t="shared" si="5"/>
        <v>-20</v>
      </c>
      <c r="L66" s="17"/>
      <c r="M66" s="19">
        <f t="shared" si="1"/>
        <v>0</v>
      </c>
    </row>
    <row r="67" spans="1:13" x14ac:dyDescent="0.25">
      <c r="A67" s="43"/>
      <c r="B67" s="35"/>
      <c r="G67" s="5"/>
      <c r="H67" s="17">
        <v>62</v>
      </c>
      <c r="I67" s="18" t="str">
        <f t="shared" si="3"/>
        <v/>
      </c>
      <c r="J67" s="17">
        <f t="shared" si="4"/>
        <v>-2</v>
      </c>
      <c r="K67" s="17">
        <f t="shared" si="5"/>
        <v>-20</v>
      </c>
      <c r="L67" s="17"/>
      <c r="M67" s="19">
        <f t="shared" si="1"/>
        <v>0</v>
      </c>
    </row>
    <row r="68" spans="1:13" x14ac:dyDescent="0.25">
      <c r="A68" s="43"/>
      <c r="B68" s="36"/>
      <c r="G68" s="5"/>
      <c r="H68" s="17">
        <v>63</v>
      </c>
      <c r="I68" s="18" t="str">
        <f t="shared" si="3"/>
        <v/>
      </c>
      <c r="J68" s="17">
        <f t="shared" si="4"/>
        <v>-2</v>
      </c>
      <c r="K68" s="17">
        <f t="shared" si="5"/>
        <v>-20</v>
      </c>
      <c r="L68" s="17"/>
      <c r="M68" s="19">
        <f t="shared" si="1"/>
        <v>0</v>
      </c>
    </row>
    <row r="69" spans="1:13" x14ac:dyDescent="0.25">
      <c r="A69" s="43"/>
      <c r="B69" s="35"/>
      <c r="G69" s="5"/>
      <c r="H69" s="17">
        <v>64</v>
      </c>
      <c r="I69" s="18" t="str">
        <f t="shared" si="3"/>
        <v/>
      </c>
      <c r="J69" s="17">
        <f t="shared" si="4"/>
        <v>-2</v>
      </c>
      <c r="K69" s="17">
        <f t="shared" si="5"/>
        <v>-20</v>
      </c>
      <c r="L69" s="17"/>
      <c r="M69" s="19">
        <f t="shared" si="1"/>
        <v>0</v>
      </c>
    </row>
    <row r="70" spans="1:13" x14ac:dyDescent="0.25">
      <c r="A70" s="43"/>
      <c r="G70" s="5"/>
      <c r="H70" s="17">
        <v>65</v>
      </c>
      <c r="I70" s="18" t="str">
        <f t="shared" ref="I70:I133" si="7">IF(H70&lt;$H$2+1,($I$2-($I$2-1)*(LOG(H70)/LOG($H$2))),"")</f>
        <v/>
      </c>
      <c r="J70" s="17">
        <f t="shared" si="4"/>
        <v>-3</v>
      </c>
      <c r="K70" s="17">
        <f t="shared" ref="K70:K133" si="8">J70*$J$2</f>
        <v>-30</v>
      </c>
      <c r="L70" s="17"/>
      <c r="M70" s="19">
        <f t="shared" ref="M70:M133" si="9">IF(I70&lt;&gt;"",K70+I70+L70,0)</f>
        <v>0</v>
      </c>
    </row>
    <row r="71" spans="1:13" x14ac:dyDescent="0.25">
      <c r="A71" s="43"/>
      <c r="G71" s="5"/>
      <c r="H71" s="17">
        <v>66</v>
      </c>
      <c r="I71" s="18" t="str">
        <f t="shared" si="7"/>
        <v/>
      </c>
      <c r="J71" s="17">
        <f t="shared" ref="J71:J134" si="10">INT(LOG($H$2,2))-ROUNDUP(LOG(H71,2),0)+IF(OR($H$2=1,$H$2=2,$H$2=4,$H$2=8,$H$2=16,$H$2=32,$H$2=64,$H$2=128,$H$2=256),0,1)</f>
        <v>-3</v>
      </c>
      <c r="K71" s="17">
        <f t="shared" si="8"/>
        <v>-30</v>
      </c>
      <c r="L71" s="17"/>
      <c r="M71" s="19">
        <f t="shared" si="9"/>
        <v>0</v>
      </c>
    </row>
    <row r="72" spans="1:13" x14ac:dyDescent="0.25">
      <c r="A72" s="43"/>
      <c r="G72" s="5"/>
      <c r="H72" s="17">
        <v>67</v>
      </c>
      <c r="I72" s="18" t="str">
        <f t="shared" si="7"/>
        <v/>
      </c>
      <c r="J72" s="17">
        <f t="shared" si="10"/>
        <v>-3</v>
      </c>
      <c r="K72" s="17">
        <f t="shared" si="8"/>
        <v>-30</v>
      </c>
      <c r="L72" s="17"/>
      <c r="M72" s="19">
        <f t="shared" si="9"/>
        <v>0</v>
      </c>
    </row>
    <row r="73" spans="1:13" x14ac:dyDescent="0.25">
      <c r="A73" s="43"/>
      <c r="G73" s="5"/>
      <c r="H73" s="17">
        <v>68</v>
      </c>
      <c r="I73" s="18" t="str">
        <f t="shared" si="7"/>
        <v/>
      </c>
      <c r="J73" s="17">
        <f t="shared" si="10"/>
        <v>-3</v>
      </c>
      <c r="K73" s="17">
        <f t="shared" si="8"/>
        <v>-30</v>
      </c>
      <c r="L73" s="17"/>
      <c r="M73" s="19">
        <f t="shared" si="9"/>
        <v>0</v>
      </c>
    </row>
    <row r="74" spans="1:13" x14ac:dyDescent="0.25">
      <c r="A74" s="43"/>
      <c r="G74" s="5"/>
      <c r="H74" s="17">
        <v>69</v>
      </c>
      <c r="I74" s="18" t="str">
        <f t="shared" si="7"/>
        <v/>
      </c>
      <c r="J74" s="17">
        <f t="shared" si="10"/>
        <v>-3</v>
      </c>
      <c r="K74" s="17">
        <f t="shared" si="8"/>
        <v>-30</v>
      </c>
      <c r="L74" s="17"/>
      <c r="M74" s="19">
        <f t="shared" si="9"/>
        <v>0</v>
      </c>
    </row>
    <row r="75" spans="1:13" x14ac:dyDescent="0.25">
      <c r="A75" s="43"/>
      <c r="G75" s="5"/>
      <c r="H75" s="17">
        <v>70</v>
      </c>
      <c r="I75" s="18" t="str">
        <f t="shared" si="7"/>
        <v/>
      </c>
      <c r="J75" s="17">
        <f t="shared" si="10"/>
        <v>-3</v>
      </c>
      <c r="K75" s="17">
        <f t="shared" si="8"/>
        <v>-30</v>
      </c>
      <c r="L75" s="17"/>
      <c r="M75" s="19">
        <f t="shared" si="9"/>
        <v>0</v>
      </c>
    </row>
    <row r="76" spans="1:13" x14ac:dyDescent="0.25">
      <c r="A76" s="43"/>
      <c r="G76" s="5"/>
      <c r="H76" s="17">
        <v>71</v>
      </c>
      <c r="I76" s="18" t="str">
        <f t="shared" si="7"/>
        <v/>
      </c>
      <c r="J76" s="17">
        <f t="shared" si="10"/>
        <v>-3</v>
      </c>
      <c r="K76" s="17">
        <f t="shared" si="8"/>
        <v>-30</v>
      </c>
      <c r="L76" s="17"/>
      <c r="M76" s="19">
        <f t="shared" si="9"/>
        <v>0</v>
      </c>
    </row>
    <row r="77" spans="1:13" x14ac:dyDescent="0.25">
      <c r="A77" s="43"/>
      <c r="G77" s="5"/>
      <c r="H77" s="17">
        <v>72</v>
      </c>
      <c r="I77" s="18" t="str">
        <f t="shared" si="7"/>
        <v/>
      </c>
      <c r="J77" s="17">
        <f t="shared" si="10"/>
        <v>-3</v>
      </c>
      <c r="K77" s="17">
        <f t="shared" si="8"/>
        <v>-30</v>
      </c>
      <c r="L77" s="17"/>
      <c r="M77" s="19">
        <f t="shared" si="9"/>
        <v>0</v>
      </c>
    </row>
    <row r="78" spans="1:13" x14ac:dyDescent="0.25">
      <c r="A78" s="43"/>
      <c r="G78" s="5"/>
      <c r="H78" s="17">
        <v>73</v>
      </c>
      <c r="I78" s="18" t="str">
        <f t="shared" si="7"/>
        <v/>
      </c>
      <c r="J78" s="17">
        <f t="shared" si="10"/>
        <v>-3</v>
      </c>
      <c r="K78" s="17">
        <f t="shared" si="8"/>
        <v>-30</v>
      </c>
      <c r="L78" s="17"/>
      <c r="M78" s="19">
        <f t="shared" si="9"/>
        <v>0</v>
      </c>
    </row>
    <row r="79" spans="1:13" x14ac:dyDescent="0.25">
      <c r="A79" s="43"/>
      <c r="G79" s="5"/>
      <c r="H79" s="17">
        <v>74</v>
      </c>
      <c r="I79" s="18" t="str">
        <f t="shared" si="7"/>
        <v/>
      </c>
      <c r="J79" s="17">
        <f t="shared" si="10"/>
        <v>-3</v>
      </c>
      <c r="K79" s="17">
        <f t="shared" si="8"/>
        <v>-30</v>
      </c>
      <c r="L79" s="17"/>
      <c r="M79" s="19">
        <f t="shared" si="9"/>
        <v>0</v>
      </c>
    </row>
    <row r="80" spans="1:13" x14ac:dyDescent="0.25">
      <c r="A80" s="43"/>
      <c r="G80" s="5"/>
      <c r="H80" s="17">
        <v>75</v>
      </c>
      <c r="I80" s="18" t="str">
        <f t="shared" si="7"/>
        <v/>
      </c>
      <c r="J80" s="17">
        <f t="shared" si="10"/>
        <v>-3</v>
      </c>
      <c r="K80" s="17">
        <f t="shared" si="8"/>
        <v>-30</v>
      </c>
      <c r="L80" s="17"/>
      <c r="M80" s="19">
        <f t="shared" si="9"/>
        <v>0</v>
      </c>
    </row>
    <row r="81" spans="1:13" x14ac:dyDescent="0.25">
      <c r="A81" s="43"/>
      <c r="G81" s="5"/>
      <c r="H81" s="17">
        <v>76</v>
      </c>
      <c r="I81" s="18" t="str">
        <f t="shared" si="7"/>
        <v/>
      </c>
      <c r="J81" s="17">
        <f t="shared" si="10"/>
        <v>-3</v>
      </c>
      <c r="K81" s="17">
        <f t="shared" si="8"/>
        <v>-30</v>
      </c>
      <c r="L81" s="17"/>
      <c r="M81" s="19">
        <f t="shared" si="9"/>
        <v>0</v>
      </c>
    </row>
    <row r="82" spans="1:13" x14ac:dyDescent="0.25">
      <c r="A82" s="43"/>
      <c r="G82" s="5"/>
      <c r="H82" s="17">
        <v>77</v>
      </c>
      <c r="I82" s="18" t="str">
        <f t="shared" si="7"/>
        <v/>
      </c>
      <c r="J82" s="17">
        <f t="shared" si="10"/>
        <v>-3</v>
      </c>
      <c r="K82" s="17">
        <f t="shared" si="8"/>
        <v>-30</v>
      </c>
      <c r="L82" s="17"/>
      <c r="M82" s="19">
        <f t="shared" si="9"/>
        <v>0</v>
      </c>
    </row>
    <row r="83" spans="1:13" x14ac:dyDescent="0.25">
      <c r="A83" s="43"/>
      <c r="G83" s="5"/>
      <c r="H83" s="17">
        <v>78</v>
      </c>
      <c r="I83" s="18" t="str">
        <f t="shared" si="7"/>
        <v/>
      </c>
      <c r="J83" s="17">
        <f t="shared" si="10"/>
        <v>-3</v>
      </c>
      <c r="K83" s="17">
        <f t="shared" si="8"/>
        <v>-30</v>
      </c>
      <c r="L83" s="17"/>
      <c r="M83" s="19">
        <f t="shared" si="9"/>
        <v>0</v>
      </c>
    </row>
    <row r="84" spans="1:13" x14ac:dyDescent="0.25">
      <c r="A84" s="43"/>
      <c r="G84" s="5"/>
      <c r="H84" s="17">
        <v>79</v>
      </c>
      <c r="I84" s="18" t="str">
        <f t="shared" si="7"/>
        <v/>
      </c>
      <c r="J84" s="17">
        <f t="shared" si="10"/>
        <v>-3</v>
      </c>
      <c r="K84" s="17">
        <f t="shared" si="8"/>
        <v>-30</v>
      </c>
      <c r="L84" s="17"/>
      <c r="M84" s="19">
        <f t="shared" si="9"/>
        <v>0</v>
      </c>
    </row>
    <row r="85" spans="1:13" x14ac:dyDescent="0.25">
      <c r="A85" s="43"/>
      <c r="G85" s="5"/>
      <c r="H85" s="17">
        <v>80</v>
      </c>
      <c r="I85" s="18" t="str">
        <f t="shared" si="7"/>
        <v/>
      </c>
      <c r="J85" s="17">
        <f t="shared" si="10"/>
        <v>-3</v>
      </c>
      <c r="K85" s="17">
        <f t="shared" si="8"/>
        <v>-30</v>
      </c>
      <c r="L85" s="17"/>
      <c r="M85" s="19">
        <f t="shared" si="9"/>
        <v>0</v>
      </c>
    </row>
    <row r="86" spans="1:13" x14ac:dyDescent="0.25">
      <c r="A86" s="43"/>
      <c r="G86" s="5"/>
      <c r="H86" s="17">
        <v>81</v>
      </c>
      <c r="I86" s="18" t="str">
        <f t="shared" si="7"/>
        <v/>
      </c>
      <c r="J86" s="17">
        <f t="shared" si="10"/>
        <v>-3</v>
      </c>
      <c r="K86" s="17">
        <f t="shared" si="8"/>
        <v>-30</v>
      </c>
      <c r="L86" s="17"/>
      <c r="M86" s="19">
        <f t="shared" si="9"/>
        <v>0</v>
      </c>
    </row>
    <row r="87" spans="1:13" x14ac:dyDescent="0.25">
      <c r="A87" s="43"/>
      <c r="G87" s="5"/>
      <c r="H87" s="17">
        <v>82</v>
      </c>
      <c r="I87" s="18" t="str">
        <f t="shared" si="7"/>
        <v/>
      </c>
      <c r="J87" s="17">
        <f t="shared" si="10"/>
        <v>-3</v>
      </c>
      <c r="K87" s="17">
        <f t="shared" si="8"/>
        <v>-30</v>
      </c>
      <c r="L87" s="17"/>
      <c r="M87" s="19">
        <f t="shared" si="9"/>
        <v>0</v>
      </c>
    </row>
    <row r="88" spans="1:13" x14ac:dyDescent="0.25">
      <c r="A88" s="43"/>
      <c r="G88" s="5"/>
      <c r="H88" s="17">
        <v>83</v>
      </c>
      <c r="I88" s="18" t="str">
        <f t="shared" si="7"/>
        <v/>
      </c>
      <c r="J88" s="17">
        <f t="shared" si="10"/>
        <v>-3</v>
      </c>
      <c r="K88" s="17">
        <f t="shared" si="8"/>
        <v>-30</v>
      </c>
      <c r="L88" s="17"/>
      <c r="M88" s="19">
        <f t="shared" si="9"/>
        <v>0</v>
      </c>
    </row>
    <row r="89" spans="1:13" x14ac:dyDescent="0.25">
      <c r="A89" s="43"/>
      <c r="G89" s="5"/>
      <c r="H89" s="17">
        <v>84</v>
      </c>
      <c r="I89" s="18" t="str">
        <f t="shared" si="7"/>
        <v/>
      </c>
      <c r="J89" s="17">
        <f t="shared" si="10"/>
        <v>-3</v>
      </c>
      <c r="K89" s="17">
        <f t="shared" si="8"/>
        <v>-30</v>
      </c>
      <c r="L89" s="17"/>
      <c r="M89" s="19">
        <f t="shared" si="9"/>
        <v>0</v>
      </c>
    </row>
    <row r="90" spans="1:13" x14ac:dyDescent="0.25">
      <c r="A90" s="43"/>
      <c r="G90" s="5"/>
      <c r="H90" s="17">
        <v>85</v>
      </c>
      <c r="I90" s="18" t="str">
        <f t="shared" si="7"/>
        <v/>
      </c>
      <c r="J90" s="17">
        <f t="shared" si="10"/>
        <v>-3</v>
      </c>
      <c r="K90" s="17">
        <f t="shared" si="8"/>
        <v>-30</v>
      </c>
      <c r="L90" s="17"/>
      <c r="M90" s="19">
        <f t="shared" si="9"/>
        <v>0</v>
      </c>
    </row>
    <row r="91" spans="1:13" x14ac:dyDescent="0.25">
      <c r="A91" s="43"/>
      <c r="G91" s="5"/>
      <c r="H91" s="17">
        <v>86</v>
      </c>
      <c r="I91" s="18" t="str">
        <f t="shared" si="7"/>
        <v/>
      </c>
      <c r="J91" s="17">
        <f t="shared" si="10"/>
        <v>-3</v>
      </c>
      <c r="K91" s="17">
        <f t="shared" si="8"/>
        <v>-30</v>
      </c>
      <c r="L91" s="17"/>
      <c r="M91" s="19">
        <f t="shared" si="9"/>
        <v>0</v>
      </c>
    </row>
    <row r="92" spans="1:13" x14ac:dyDescent="0.25">
      <c r="A92" s="43"/>
      <c r="G92" s="5"/>
      <c r="H92" s="17">
        <v>87</v>
      </c>
      <c r="I92" s="18" t="str">
        <f t="shared" si="7"/>
        <v/>
      </c>
      <c r="J92" s="17">
        <f t="shared" si="10"/>
        <v>-3</v>
      </c>
      <c r="K92" s="17">
        <f t="shared" si="8"/>
        <v>-30</v>
      </c>
      <c r="L92" s="17"/>
      <c r="M92" s="19">
        <f t="shared" si="9"/>
        <v>0</v>
      </c>
    </row>
    <row r="93" spans="1:13" x14ac:dyDescent="0.25">
      <c r="A93" s="43"/>
      <c r="G93" s="5"/>
      <c r="H93" s="17">
        <v>88</v>
      </c>
      <c r="I93" s="18" t="str">
        <f t="shared" si="7"/>
        <v/>
      </c>
      <c r="J93" s="17">
        <f t="shared" si="10"/>
        <v>-3</v>
      </c>
      <c r="K93" s="17">
        <f t="shared" si="8"/>
        <v>-30</v>
      </c>
      <c r="L93" s="17"/>
      <c r="M93" s="19">
        <f t="shared" si="9"/>
        <v>0</v>
      </c>
    </row>
    <row r="94" spans="1:13" x14ac:dyDescent="0.25">
      <c r="A94" s="43"/>
      <c r="G94" s="5"/>
      <c r="H94" s="17">
        <v>89</v>
      </c>
      <c r="I94" s="18" t="str">
        <f t="shared" si="7"/>
        <v/>
      </c>
      <c r="J94" s="17">
        <f t="shared" si="10"/>
        <v>-3</v>
      </c>
      <c r="K94" s="17">
        <f t="shared" si="8"/>
        <v>-30</v>
      </c>
      <c r="L94" s="17"/>
      <c r="M94" s="19">
        <f t="shared" si="9"/>
        <v>0</v>
      </c>
    </row>
    <row r="95" spans="1:13" x14ac:dyDescent="0.25">
      <c r="A95" s="43"/>
      <c r="G95" s="5"/>
      <c r="H95" s="17">
        <v>90</v>
      </c>
      <c r="I95" s="18" t="str">
        <f t="shared" si="7"/>
        <v/>
      </c>
      <c r="J95" s="17">
        <f t="shared" si="10"/>
        <v>-3</v>
      </c>
      <c r="K95" s="17">
        <f t="shared" si="8"/>
        <v>-30</v>
      </c>
      <c r="L95" s="17"/>
      <c r="M95" s="19">
        <f t="shared" si="9"/>
        <v>0</v>
      </c>
    </row>
    <row r="96" spans="1:13" x14ac:dyDescent="0.25">
      <c r="A96" s="43"/>
      <c r="G96" s="5"/>
      <c r="H96" s="17">
        <v>91</v>
      </c>
      <c r="I96" s="18" t="str">
        <f t="shared" si="7"/>
        <v/>
      </c>
      <c r="J96" s="17">
        <f t="shared" si="10"/>
        <v>-3</v>
      </c>
      <c r="K96" s="17">
        <f t="shared" si="8"/>
        <v>-30</v>
      </c>
      <c r="L96" s="17"/>
      <c r="M96" s="19">
        <f t="shared" si="9"/>
        <v>0</v>
      </c>
    </row>
    <row r="97" spans="1:13" x14ac:dyDescent="0.25">
      <c r="A97" s="43"/>
      <c r="G97" s="5"/>
      <c r="H97" s="17">
        <v>92</v>
      </c>
      <c r="I97" s="18" t="str">
        <f t="shared" si="7"/>
        <v/>
      </c>
      <c r="J97" s="17">
        <f t="shared" si="10"/>
        <v>-3</v>
      </c>
      <c r="K97" s="17">
        <f t="shared" si="8"/>
        <v>-30</v>
      </c>
      <c r="L97" s="17"/>
      <c r="M97" s="19">
        <f t="shared" si="9"/>
        <v>0</v>
      </c>
    </row>
    <row r="98" spans="1:13" x14ac:dyDescent="0.25">
      <c r="A98" s="43"/>
      <c r="G98" s="5"/>
      <c r="H98" s="17">
        <v>93</v>
      </c>
      <c r="I98" s="18" t="str">
        <f t="shared" si="7"/>
        <v/>
      </c>
      <c r="J98" s="17">
        <f t="shared" si="10"/>
        <v>-3</v>
      </c>
      <c r="K98" s="17">
        <f t="shared" si="8"/>
        <v>-30</v>
      </c>
      <c r="L98" s="17"/>
      <c r="M98" s="19">
        <f t="shared" si="9"/>
        <v>0</v>
      </c>
    </row>
    <row r="99" spans="1:13" x14ac:dyDescent="0.25">
      <c r="A99" s="43"/>
      <c r="G99" s="5"/>
      <c r="H99" s="17">
        <v>94</v>
      </c>
      <c r="I99" s="18" t="str">
        <f t="shared" si="7"/>
        <v/>
      </c>
      <c r="J99" s="17">
        <f t="shared" si="10"/>
        <v>-3</v>
      </c>
      <c r="K99" s="17">
        <f t="shared" si="8"/>
        <v>-30</v>
      </c>
      <c r="L99" s="17"/>
      <c r="M99" s="19">
        <f t="shared" si="9"/>
        <v>0</v>
      </c>
    </row>
    <row r="100" spans="1:13" x14ac:dyDescent="0.25">
      <c r="A100" s="43"/>
      <c r="G100" s="5"/>
      <c r="H100" s="17">
        <v>95</v>
      </c>
      <c r="I100" s="18" t="str">
        <f t="shared" si="7"/>
        <v/>
      </c>
      <c r="J100" s="17">
        <f t="shared" si="10"/>
        <v>-3</v>
      </c>
      <c r="K100" s="17">
        <f t="shared" si="8"/>
        <v>-30</v>
      </c>
      <c r="L100" s="17"/>
      <c r="M100" s="19">
        <f t="shared" si="9"/>
        <v>0</v>
      </c>
    </row>
    <row r="101" spans="1:13" x14ac:dyDescent="0.25">
      <c r="A101" s="43"/>
      <c r="G101" s="5"/>
      <c r="H101" s="17">
        <v>96</v>
      </c>
      <c r="I101" s="18" t="str">
        <f t="shared" si="7"/>
        <v/>
      </c>
      <c r="J101" s="17">
        <f t="shared" si="10"/>
        <v>-3</v>
      </c>
      <c r="K101" s="17">
        <f t="shared" si="8"/>
        <v>-30</v>
      </c>
      <c r="L101" s="17"/>
      <c r="M101" s="19">
        <f t="shared" si="9"/>
        <v>0</v>
      </c>
    </row>
    <row r="102" spans="1:13" x14ac:dyDescent="0.25">
      <c r="A102" s="43"/>
      <c r="G102" s="5"/>
      <c r="H102" s="17">
        <v>97</v>
      </c>
      <c r="I102" s="18" t="str">
        <f t="shared" si="7"/>
        <v/>
      </c>
      <c r="J102" s="17">
        <f t="shared" si="10"/>
        <v>-3</v>
      </c>
      <c r="K102" s="17">
        <f t="shared" si="8"/>
        <v>-30</v>
      </c>
      <c r="L102" s="17"/>
      <c r="M102" s="19">
        <f t="shared" si="9"/>
        <v>0</v>
      </c>
    </row>
    <row r="103" spans="1:13" x14ac:dyDescent="0.25">
      <c r="A103" s="43"/>
      <c r="G103" s="5"/>
      <c r="H103" s="17">
        <v>98</v>
      </c>
      <c r="I103" s="18" t="str">
        <f t="shared" si="7"/>
        <v/>
      </c>
      <c r="J103" s="17">
        <f t="shared" si="10"/>
        <v>-3</v>
      </c>
      <c r="K103" s="17">
        <f t="shared" si="8"/>
        <v>-30</v>
      </c>
      <c r="L103" s="17"/>
      <c r="M103" s="19">
        <f t="shared" si="9"/>
        <v>0</v>
      </c>
    </row>
    <row r="104" spans="1:13" x14ac:dyDescent="0.25">
      <c r="A104" s="43"/>
      <c r="G104" s="5"/>
      <c r="H104" s="17">
        <v>99</v>
      </c>
      <c r="I104" s="18" t="str">
        <f t="shared" si="7"/>
        <v/>
      </c>
      <c r="J104" s="17">
        <f t="shared" si="10"/>
        <v>-3</v>
      </c>
      <c r="K104" s="17">
        <f t="shared" si="8"/>
        <v>-30</v>
      </c>
      <c r="L104" s="17"/>
      <c r="M104" s="19">
        <f t="shared" si="9"/>
        <v>0</v>
      </c>
    </row>
    <row r="105" spans="1:13" x14ac:dyDescent="0.25">
      <c r="A105" s="43"/>
      <c r="G105" s="5"/>
      <c r="H105" s="17">
        <v>100</v>
      </c>
      <c r="I105" s="18" t="str">
        <f t="shared" si="7"/>
        <v/>
      </c>
      <c r="J105" s="17">
        <f t="shared" si="10"/>
        <v>-3</v>
      </c>
      <c r="K105" s="17">
        <f t="shared" si="8"/>
        <v>-30</v>
      </c>
      <c r="L105" s="17"/>
      <c r="M105" s="19">
        <f t="shared" si="9"/>
        <v>0</v>
      </c>
    </row>
    <row r="106" spans="1:13" x14ac:dyDescent="0.25">
      <c r="A106" s="43"/>
      <c r="G106" s="5"/>
      <c r="H106" s="17">
        <v>101</v>
      </c>
      <c r="I106" s="18" t="str">
        <f t="shared" si="7"/>
        <v/>
      </c>
      <c r="J106" s="17">
        <f t="shared" si="10"/>
        <v>-3</v>
      </c>
      <c r="K106" s="17">
        <f t="shared" si="8"/>
        <v>-30</v>
      </c>
      <c r="L106" s="17"/>
      <c r="M106" s="19">
        <f t="shared" si="9"/>
        <v>0</v>
      </c>
    </row>
    <row r="107" spans="1:13" x14ac:dyDescent="0.25">
      <c r="A107" s="43"/>
      <c r="G107" s="5"/>
      <c r="H107" s="17">
        <v>102</v>
      </c>
      <c r="I107" s="18" t="str">
        <f t="shared" si="7"/>
        <v/>
      </c>
      <c r="J107" s="17">
        <f t="shared" si="10"/>
        <v>-3</v>
      </c>
      <c r="K107" s="17">
        <f t="shared" si="8"/>
        <v>-30</v>
      </c>
      <c r="L107" s="17"/>
      <c r="M107" s="19">
        <f t="shared" si="9"/>
        <v>0</v>
      </c>
    </row>
    <row r="108" spans="1:13" x14ac:dyDescent="0.25">
      <c r="A108" s="43"/>
      <c r="G108" s="5"/>
      <c r="H108" s="17">
        <v>103</v>
      </c>
      <c r="I108" s="18" t="str">
        <f t="shared" si="7"/>
        <v/>
      </c>
      <c r="J108" s="17">
        <f t="shared" si="10"/>
        <v>-3</v>
      </c>
      <c r="K108" s="17">
        <f t="shared" si="8"/>
        <v>-30</v>
      </c>
      <c r="L108" s="17"/>
      <c r="M108" s="19">
        <f t="shared" si="9"/>
        <v>0</v>
      </c>
    </row>
    <row r="109" spans="1:13" x14ac:dyDescent="0.25">
      <c r="A109" s="43"/>
      <c r="G109" s="5"/>
      <c r="H109" s="17">
        <v>104</v>
      </c>
      <c r="I109" s="18" t="str">
        <f t="shared" si="7"/>
        <v/>
      </c>
      <c r="J109" s="17">
        <f t="shared" si="10"/>
        <v>-3</v>
      </c>
      <c r="K109" s="17">
        <f t="shared" si="8"/>
        <v>-30</v>
      </c>
      <c r="L109" s="17"/>
      <c r="M109" s="19">
        <f t="shared" si="9"/>
        <v>0</v>
      </c>
    </row>
    <row r="110" spans="1:13" x14ac:dyDescent="0.25">
      <c r="A110" s="43"/>
      <c r="G110" s="5"/>
      <c r="H110" s="17">
        <v>105</v>
      </c>
      <c r="I110" s="18" t="str">
        <f t="shared" si="7"/>
        <v/>
      </c>
      <c r="J110" s="17">
        <f t="shared" si="10"/>
        <v>-3</v>
      </c>
      <c r="K110" s="17">
        <f t="shared" si="8"/>
        <v>-30</v>
      </c>
      <c r="L110" s="17"/>
      <c r="M110" s="19">
        <f t="shared" si="9"/>
        <v>0</v>
      </c>
    </row>
    <row r="111" spans="1:13" x14ac:dyDescent="0.25">
      <c r="A111" s="43"/>
      <c r="G111" s="5"/>
      <c r="H111" s="17">
        <v>106</v>
      </c>
      <c r="I111" s="18" t="str">
        <f t="shared" si="7"/>
        <v/>
      </c>
      <c r="J111" s="17">
        <f t="shared" si="10"/>
        <v>-3</v>
      </c>
      <c r="K111" s="17">
        <f t="shared" si="8"/>
        <v>-30</v>
      </c>
      <c r="L111" s="17"/>
      <c r="M111" s="19">
        <f t="shared" si="9"/>
        <v>0</v>
      </c>
    </row>
    <row r="112" spans="1:13" x14ac:dyDescent="0.25">
      <c r="A112" s="43"/>
      <c r="G112" s="5"/>
      <c r="H112" s="17">
        <v>107</v>
      </c>
      <c r="I112" s="18" t="str">
        <f t="shared" si="7"/>
        <v/>
      </c>
      <c r="J112" s="17">
        <f t="shared" si="10"/>
        <v>-3</v>
      </c>
      <c r="K112" s="17">
        <f t="shared" si="8"/>
        <v>-30</v>
      </c>
      <c r="L112" s="17"/>
      <c r="M112" s="19">
        <f t="shared" si="9"/>
        <v>0</v>
      </c>
    </row>
    <row r="113" spans="1:13" x14ac:dyDescent="0.25">
      <c r="A113" s="43"/>
      <c r="G113" s="5"/>
      <c r="H113" s="17">
        <v>108</v>
      </c>
      <c r="I113" s="18" t="str">
        <f t="shared" si="7"/>
        <v/>
      </c>
      <c r="J113" s="17">
        <f t="shared" si="10"/>
        <v>-3</v>
      </c>
      <c r="K113" s="17">
        <f t="shared" si="8"/>
        <v>-30</v>
      </c>
      <c r="L113" s="17"/>
      <c r="M113" s="19">
        <f t="shared" si="9"/>
        <v>0</v>
      </c>
    </row>
    <row r="114" spans="1:13" x14ac:dyDescent="0.25">
      <c r="A114" s="43"/>
      <c r="G114" s="5"/>
      <c r="H114" s="17">
        <v>109</v>
      </c>
      <c r="I114" s="18" t="str">
        <f t="shared" si="7"/>
        <v/>
      </c>
      <c r="J114" s="17">
        <f t="shared" si="10"/>
        <v>-3</v>
      </c>
      <c r="K114" s="17">
        <f t="shared" si="8"/>
        <v>-30</v>
      </c>
      <c r="L114" s="17"/>
      <c r="M114" s="19">
        <f t="shared" si="9"/>
        <v>0</v>
      </c>
    </row>
    <row r="115" spans="1:13" x14ac:dyDescent="0.25">
      <c r="A115" s="43"/>
      <c r="G115" s="5"/>
      <c r="H115" s="17">
        <v>110</v>
      </c>
      <c r="I115" s="18" t="str">
        <f t="shared" si="7"/>
        <v/>
      </c>
      <c r="J115" s="17">
        <f t="shared" si="10"/>
        <v>-3</v>
      </c>
      <c r="K115" s="17">
        <f t="shared" si="8"/>
        <v>-30</v>
      </c>
      <c r="L115" s="17"/>
      <c r="M115" s="19">
        <f t="shared" si="9"/>
        <v>0</v>
      </c>
    </row>
    <row r="116" spans="1:13" x14ac:dyDescent="0.25">
      <c r="A116" s="43"/>
      <c r="G116" s="5"/>
      <c r="H116" s="17">
        <v>111</v>
      </c>
      <c r="I116" s="18" t="str">
        <f t="shared" si="7"/>
        <v/>
      </c>
      <c r="J116" s="17">
        <f t="shared" si="10"/>
        <v>-3</v>
      </c>
      <c r="K116" s="17">
        <f t="shared" si="8"/>
        <v>-30</v>
      </c>
      <c r="L116" s="17"/>
      <c r="M116" s="19">
        <f t="shared" si="9"/>
        <v>0</v>
      </c>
    </row>
    <row r="117" spans="1:13" x14ac:dyDescent="0.25">
      <c r="A117" s="43"/>
      <c r="G117" s="5"/>
      <c r="H117" s="17">
        <v>112</v>
      </c>
      <c r="I117" s="18" t="str">
        <f t="shared" si="7"/>
        <v/>
      </c>
      <c r="J117" s="17">
        <f t="shared" si="10"/>
        <v>-3</v>
      </c>
      <c r="K117" s="17">
        <f t="shared" si="8"/>
        <v>-30</v>
      </c>
      <c r="L117" s="17"/>
      <c r="M117" s="19">
        <f t="shared" si="9"/>
        <v>0</v>
      </c>
    </row>
    <row r="118" spans="1:13" x14ac:dyDescent="0.25">
      <c r="A118" s="43"/>
      <c r="G118" s="5"/>
      <c r="H118" s="17">
        <v>113</v>
      </c>
      <c r="I118" s="18" t="str">
        <f t="shared" si="7"/>
        <v/>
      </c>
      <c r="J118" s="17">
        <f t="shared" si="10"/>
        <v>-3</v>
      </c>
      <c r="K118" s="17">
        <f t="shared" si="8"/>
        <v>-30</v>
      </c>
      <c r="L118" s="17"/>
      <c r="M118" s="19">
        <f t="shared" si="9"/>
        <v>0</v>
      </c>
    </row>
    <row r="119" spans="1:13" x14ac:dyDescent="0.25">
      <c r="A119" s="43"/>
      <c r="G119" s="5"/>
      <c r="H119" s="17">
        <v>114</v>
      </c>
      <c r="I119" s="18" t="str">
        <f t="shared" si="7"/>
        <v/>
      </c>
      <c r="J119" s="17">
        <f t="shared" si="10"/>
        <v>-3</v>
      </c>
      <c r="K119" s="17">
        <f t="shared" si="8"/>
        <v>-30</v>
      </c>
      <c r="L119" s="17"/>
      <c r="M119" s="19">
        <f t="shared" si="9"/>
        <v>0</v>
      </c>
    </row>
    <row r="120" spans="1:13" x14ac:dyDescent="0.25">
      <c r="A120" s="43"/>
      <c r="G120" s="5"/>
      <c r="H120" s="17">
        <v>115</v>
      </c>
      <c r="I120" s="18" t="str">
        <f t="shared" si="7"/>
        <v/>
      </c>
      <c r="J120" s="17">
        <f t="shared" si="10"/>
        <v>-3</v>
      </c>
      <c r="K120" s="17">
        <f t="shared" si="8"/>
        <v>-30</v>
      </c>
      <c r="L120" s="17"/>
      <c r="M120" s="19">
        <f t="shared" si="9"/>
        <v>0</v>
      </c>
    </row>
    <row r="121" spans="1:13" x14ac:dyDescent="0.25">
      <c r="A121" s="43"/>
      <c r="G121" s="5"/>
      <c r="H121" s="17">
        <v>116</v>
      </c>
      <c r="I121" s="18" t="str">
        <f t="shared" si="7"/>
        <v/>
      </c>
      <c r="J121" s="17">
        <f t="shared" si="10"/>
        <v>-3</v>
      </c>
      <c r="K121" s="17">
        <f t="shared" si="8"/>
        <v>-30</v>
      </c>
      <c r="L121" s="17"/>
      <c r="M121" s="19">
        <f t="shared" si="9"/>
        <v>0</v>
      </c>
    </row>
    <row r="122" spans="1:13" x14ac:dyDescent="0.25">
      <c r="A122" s="43"/>
      <c r="G122" s="5"/>
      <c r="H122" s="17">
        <v>117</v>
      </c>
      <c r="I122" s="18" t="str">
        <f t="shared" si="7"/>
        <v/>
      </c>
      <c r="J122" s="17">
        <f t="shared" si="10"/>
        <v>-3</v>
      </c>
      <c r="K122" s="17">
        <f t="shared" si="8"/>
        <v>-30</v>
      </c>
      <c r="L122" s="17"/>
      <c r="M122" s="19">
        <f t="shared" si="9"/>
        <v>0</v>
      </c>
    </row>
    <row r="123" spans="1:13" x14ac:dyDescent="0.25">
      <c r="A123" s="43"/>
      <c r="G123" s="5"/>
      <c r="H123" s="17">
        <v>118</v>
      </c>
      <c r="I123" s="18" t="str">
        <f t="shared" si="7"/>
        <v/>
      </c>
      <c r="J123" s="17">
        <f t="shared" si="10"/>
        <v>-3</v>
      </c>
      <c r="K123" s="17">
        <f t="shared" si="8"/>
        <v>-30</v>
      </c>
      <c r="L123" s="17"/>
      <c r="M123" s="19">
        <f t="shared" si="9"/>
        <v>0</v>
      </c>
    </row>
    <row r="124" spans="1:13" x14ac:dyDescent="0.25">
      <c r="A124" s="43"/>
      <c r="G124" s="5"/>
      <c r="H124" s="17">
        <v>119</v>
      </c>
      <c r="I124" s="18" t="str">
        <f t="shared" si="7"/>
        <v/>
      </c>
      <c r="J124" s="17">
        <f t="shared" si="10"/>
        <v>-3</v>
      </c>
      <c r="K124" s="17">
        <f t="shared" si="8"/>
        <v>-30</v>
      </c>
      <c r="L124" s="17"/>
      <c r="M124" s="19">
        <f t="shared" si="9"/>
        <v>0</v>
      </c>
    </row>
    <row r="125" spans="1:13" x14ac:dyDescent="0.25">
      <c r="A125" s="43"/>
      <c r="G125" s="5"/>
      <c r="H125" s="17">
        <v>120</v>
      </c>
      <c r="I125" s="18" t="str">
        <f t="shared" si="7"/>
        <v/>
      </c>
      <c r="J125" s="17">
        <f t="shared" si="10"/>
        <v>-3</v>
      </c>
      <c r="K125" s="17">
        <f t="shared" si="8"/>
        <v>-30</v>
      </c>
      <c r="L125" s="17"/>
      <c r="M125" s="19">
        <f t="shared" si="9"/>
        <v>0</v>
      </c>
    </row>
    <row r="126" spans="1:13" x14ac:dyDescent="0.25">
      <c r="A126" s="43"/>
      <c r="G126" s="5"/>
      <c r="H126" s="17">
        <v>121</v>
      </c>
      <c r="I126" s="18" t="str">
        <f t="shared" si="7"/>
        <v/>
      </c>
      <c r="J126" s="17">
        <f t="shared" si="10"/>
        <v>-3</v>
      </c>
      <c r="K126" s="17">
        <f t="shared" si="8"/>
        <v>-30</v>
      </c>
      <c r="L126" s="17"/>
      <c r="M126" s="19">
        <f t="shared" si="9"/>
        <v>0</v>
      </c>
    </row>
    <row r="127" spans="1:13" x14ac:dyDescent="0.25">
      <c r="A127" s="43"/>
      <c r="G127" s="5"/>
      <c r="H127" s="17">
        <v>122</v>
      </c>
      <c r="I127" s="18" t="str">
        <f t="shared" si="7"/>
        <v/>
      </c>
      <c r="J127" s="17">
        <f t="shared" si="10"/>
        <v>-3</v>
      </c>
      <c r="K127" s="17">
        <f t="shared" si="8"/>
        <v>-30</v>
      </c>
      <c r="L127" s="17"/>
      <c r="M127" s="19">
        <f t="shared" si="9"/>
        <v>0</v>
      </c>
    </row>
    <row r="128" spans="1:13" x14ac:dyDescent="0.25">
      <c r="A128" s="43"/>
      <c r="G128" s="5"/>
      <c r="H128" s="17">
        <v>123</v>
      </c>
      <c r="I128" s="18" t="str">
        <f t="shared" si="7"/>
        <v/>
      </c>
      <c r="J128" s="17">
        <f t="shared" si="10"/>
        <v>-3</v>
      </c>
      <c r="K128" s="17">
        <f t="shared" si="8"/>
        <v>-30</v>
      </c>
      <c r="L128" s="17"/>
      <c r="M128" s="19">
        <f t="shared" si="9"/>
        <v>0</v>
      </c>
    </row>
    <row r="129" spans="1:13" x14ac:dyDescent="0.25">
      <c r="A129" s="43"/>
      <c r="G129" s="5"/>
      <c r="H129" s="17">
        <v>124</v>
      </c>
      <c r="I129" s="18" t="str">
        <f t="shared" si="7"/>
        <v/>
      </c>
      <c r="J129" s="17">
        <f t="shared" si="10"/>
        <v>-3</v>
      </c>
      <c r="K129" s="17">
        <f t="shared" si="8"/>
        <v>-30</v>
      </c>
      <c r="L129" s="17"/>
      <c r="M129" s="19">
        <f t="shared" si="9"/>
        <v>0</v>
      </c>
    </row>
    <row r="130" spans="1:13" x14ac:dyDescent="0.25">
      <c r="A130" s="43"/>
      <c r="G130" s="5"/>
      <c r="H130" s="17">
        <v>125</v>
      </c>
      <c r="I130" s="18" t="str">
        <f t="shared" si="7"/>
        <v/>
      </c>
      <c r="J130" s="17">
        <f t="shared" si="10"/>
        <v>-3</v>
      </c>
      <c r="K130" s="17">
        <f t="shared" si="8"/>
        <v>-30</v>
      </c>
      <c r="L130" s="17"/>
      <c r="M130" s="19">
        <f t="shared" si="9"/>
        <v>0</v>
      </c>
    </row>
    <row r="131" spans="1:13" x14ac:dyDescent="0.25">
      <c r="A131" s="43"/>
      <c r="G131" s="5"/>
      <c r="H131" s="17">
        <v>126</v>
      </c>
      <c r="I131" s="18" t="str">
        <f t="shared" si="7"/>
        <v/>
      </c>
      <c r="J131" s="17">
        <f t="shared" si="10"/>
        <v>-3</v>
      </c>
      <c r="K131" s="17">
        <f t="shared" si="8"/>
        <v>-30</v>
      </c>
      <c r="L131" s="17"/>
      <c r="M131" s="19">
        <f t="shared" si="9"/>
        <v>0</v>
      </c>
    </row>
    <row r="132" spans="1:13" x14ac:dyDescent="0.25">
      <c r="A132" s="43"/>
      <c r="G132" s="5"/>
      <c r="H132" s="17">
        <v>127</v>
      </c>
      <c r="I132" s="18" t="str">
        <f t="shared" si="7"/>
        <v/>
      </c>
      <c r="J132" s="17">
        <f t="shared" si="10"/>
        <v>-3</v>
      </c>
      <c r="K132" s="17">
        <f t="shared" si="8"/>
        <v>-30</v>
      </c>
      <c r="L132" s="17"/>
      <c r="M132" s="19">
        <f t="shared" si="9"/>
        <v>0</v>
      </c>
    </row>
    <row r="133" spans="1:13" x14ac:dyDescent="0.25">
      <c r="A133" s="43"/>
      <c r="G133" s="5"/>
      <c r="H133" s="17">
        <v>128</v>
      </c>
      <c r="I133" s="18" t="str">
        <f t="shared" si="7"/>
        <v/>
      </c>
      <c r="J133" s="17">
        <f t="shared" si="10"/>
        <v>-3</v>
      </c>
      <c r="K133" s="17">
        <f t="shared" si="8"/>
        <v>-30</v>
      </c>
      <c r="L133" s="17"/>
      <c r="M133" s="19">
        <f t="shared" si="9"/>
        <v>0</v>
      </c>
    </row>
    <row r="134" spans="1:13" x14ac:dyDescent="0.25">
      <c r="A134" s="43"/>
      <c r="G134" s="5"/>
      <c r="H134" s="17">
        <v>129</v>
      </c>
      <c r="I134" s="18" t="str">
        <f t="shared" ref="I134:I197" si="11">IF(H134&lt;$H$2+1,($I$2-($I$2-1)*(LOG(H134)/LOG($H$2))),"")</f>
        <v/>
      </c>
      <c r="J134" s="17">
        <f t="shared" si="10"/>
        <v>-4</v>
      </c>
      <c r="K134" s="17">
        <f t="shared" ref="K134:K197" si="12">J134*$J$2</f>
        <v>-40</v>
      </c>
      <c r="L134" s="17"/>
      <c r="M134" s="19">
        <f t="shared" ref="M134:M197" si="13">IF(I134&lt;&gt;"",K134+I134+L134,0)</f>
        <v>0</v>
      </c>
    </row>
    <row r="135" spans="1:13" x14ac:dyDescent="0.25">
      <c r="A135" s="43"/>
      <c r="G135" s="5"/>
      <c r="H135" s="17">
        <v>130</v>
      </c>
      <c r="I135" s="18" t="str">
        <f t="shared" si="11"/>
        <v/>
      </c>
      <c r="J135" s="17">
        <f t="shared" ref="J135:J198" si="14">INT(LOG($H$2,2))-ROUNDUP(LOG(H135,2),0)+IF(OR($H$2=1,$H$2=2,$H$2=4,$H$2=8,$H$2=16,$H$2=32,$H$2=64,$H$2=128,$H$2=256),0,1)</f>
        <v>-4</v>
      </c>
      <c r="K135" s="17">
        <f t="shared" si="12"/>
        <v>-40</v>
      </c>
      <c r="L135" s="17"/>
      <c r="M135" s="19">
        <f t="shared" si="13"/>
        <v>0</v>
      </c>
    </row>
    <row r="136" spans="1:13" x14ac:dyDescent="0.25">
      <c r="A136" s="43"/>
      <c r="G136" s="5"/>
      <c r="H136" s="17">
        <v>131</v>
      </c>
      <c r="I136" s="18" t="str">
        <f t="shared" si="11"/>
        <v/>
      </c>
      <c r="J136" s="17">
        <f t="shared" si="14"/>
        <v>-4</v>
      </c>
      <c r="K136" s="17">
        <f t="shared" si="12"/>
        <v>-40</v>
      </c>
      <c r="L136" s="17"/>
      <c r="M136" s="19">
        <f t="shared" si="13"/>
        <v>0</v>
      </c>
    </row>
    <row r="137" spans="1:13" x14ac:dyDescent="0.25">
      <c r="A137" s="43"/>
      <c r="G137" s="5"/>
      <c r="H137" s="17">
        <v>132</v>
      </c>
      <c r="I137" s="18" t="str">
        <f t="shared" si="11"/>
        <v/>
      </c>
      <c r="J137" s="17">
        <f t="shared" si="14"/>
        <v>-4</v>
      </c>
      <c r="K137" s="17">
        <f t="shared" si="12"/>
        <v>-40</v>
      </c>
      <c r="L137" s="17"/>
      <c r="M137" s="19">
        <f t="shared" si="13"/>
        <v>0</v>
      </c>
    </row>
    <row r="138" spans="1:13" x14ac:dyDescent="0.25">
      <c r="A138" s="43"/>
      <c r="G138" s="5"/>
      <c r="H138" s="17">
        <v>133</v>
      </c>
      <c r="I138" s="18" t="str">
        <f t="shared" si="11"/>
        <v/>
      </c>
      <c r="J138" s="17">
        <f t="shared" si="14"/>
        <v>-4</v>
      </c>
      <c r="K138" s="17">
        <f t="shared" si="12"/>
        <v>-40</v>
      </c>
      <c r="L138" s="17"/>
      <c r="M138" s="19">
        <f t="shared" si="13"/>
        <v>0</v>
      </c>
    </row>
    <row r="139" spans="1:13" x14ac:dyDescent="0.25">
      <c r="A139" s="43"/>
      <c r="G139" s="5"/>
      <c r="H139" s="17">
        <v>134</v>
      </c>
      <c r="I139" s="18" t="str">
        <f t="shared" si="11"/>
        <v/>
      </c>
      <c r="J139" s="17">
        <f t="shared" si="14"/>
        <v>-4</v>
      </c>
      <c r="K139" s="17">
        <f t="shared" si="12"/>
        <v>-40</v>
      </c>
      <c r="L139" s="17"/>
      <c r="M139" s="19">
        <f t="shared" si="13"/>
        <v>0</v>
      </c>
    </row>
    <row r="140" spans="1:13" x14ac:dyDescent="0.25">
      <c r="A140" s="43"/>
      <c r="G140" s="5"/>
      <c r="H140" s="17">
        <v>135</v>
      </c>
      <c r="I140" s="18" t="str">
        <f t="shared" si="11"/>
        <v/>
      </c>
      <c r="J140" s="17">
        <f t="shared" si="14"/>
        <v>-4</v>
      </c>
      <c r="K140" s="17">
        <f t="shared" si="12"/>
        <v>-40</v>
      </c>
      <c r="L140" s="17"/>
      <c r="M140" s="19">
        <f t="shared" si="13"/>
        <v>0</v>
      </c>
    </row>
    <row r="141" spans="1:13" x14ac:dyDescent="0.25">
      <c r="A141" s="43"/>
      <c r="G141" s="5"/>
      <c r="H141" s="17">
        <v>136</v>
      </c>
      <c r="I141" s="18" t="str">
        <f t="shared" si="11"/>
        <v/>
      </c>
      <c r="J141" s="17">
        <f t="shared" si="14"/>
        <v>-4</v>
      </c>
      <c r="K141" s="17">
        <f t="shared" si="12"/>
        <v>-40</v>
      </c>
      <c r="L141" s="17"/>
      <c r="M141" s="19">
        <f t="shared" si="13"/>
        <v>0</v>
      </c>
    </row>
    <row r="142" spans="1:13" x14ac:dyDescent="0.25">
      <c r="A142" s="43"/>
      <c r="G142" s="5"/>
      <c r="H142" s="17">
        <v>137</v>
      </c>
      <c r="I142" s="18" t="str">
        <f t="shared" si="11"/>
        <v/>
      </c>
      <c r="J142" s="17">
        <f t="shared" si="14"/>
        <v>-4</v>
      </c>
      <c r="K142" s="17">
        <f t="shared" si="12"/>
        <v>-40</v>
      </c>
      <c r="L142" s="17"/>
      <c r="M142" s="19">
        <f t="shared" si="13"/>
        <v>0</v>
      </c>
    </row>
    <row r="143" spans="1:13" x14ac:dyDescent="0.25">
      <c r="A143" s="43"/>
      <c r="G143" s="5"/>
      <c r="H143" s="17">
        <v>138</v>
      </c>
      <c r="I143" s="18" t="str">
        <f t="shared" si="11"/>
        <v/>
      </c>
      <c r="J143" s="17">
        <f t="shared" si="14"/>
        <v>-4</v>
      </c>
      <c r="K143" s="17">
        <f t="shared" si="12"/>
        <v>-40</v>
      </c>
      <c r="L143" s="17"/>
      <c r="M143" s="19">
        <f t="shared" si="13"/>
        <v>0</v>
      </c>
    </row>
    <row r="144" spans="1:13" x14ac:dyDescent="0.25">
      <c r="A144" s="43"/>
      <c r="G144" s="5"/>
      <c r="H144" s="17">
        <v>139</v>
      </c>
      <c r="I144" s="18" t="str">
        <f t="shared" si="11"/>
        <v/>
      </c>
      <c r="J144" s="17">
        <f t="shared" si="14"/>
        <v>-4</v>
      </c>
      <c r="K144" s="17">
        <f t="shared" si="12"/>
        <v>-40</v>
      </c>
      <c r="L144" s="17"/>
      <c r="M144" s="19">
        <f t="shared" si="13"/>
        <v>0</v>
      </c>
    </row>
    <row r="145" spans="1:13" x14ac:dyDescent="0.25">
      <c r="A145" s="43"/>
      <c r="G145" s="5"/>
      <c r="H145" s="17">
        <v>140</v>
      </c>
      <c r="I145" s="18" t="str">
        <f t="shared" si="11"/>
        <v/>
      </c>
      <c r="J145" s="17">
        <f t="shared" si="14"/>
        <v>-4</v>
      </c>
      <c r="K145" s="17">
        <f t="shared" si="12"/>
        <v>-40</v>
      </c>
      <c r="L145" s="17"/>
      <c r="M145" s="19">
        <f t="shared" si="13"/>
        <v>0</v>
      </c>
    </row>
    <row r="146" spans="1:13" x14ac:dyDescent="0.25">
      <c r="A146" s="43"/>
      <c r="G146" s="5"/>
      <c r="H146" s="17">
        <v>141</v>
      </c>
      <c r="I146" s="18" t="str">
        <f t="shared" si="11"/>
        <v/>
      </c>
      <c r="J146" s="17">
        <f t="shared" si="14"/>
        <v>-4</v>
      </c>
      <c r="K146" s="17">
        <f t="shared" si="12"/>
        <v>-40</v>
      </c>
      <c r="L146" s="17"/>
      <c r="M146" s="19">
        <f t="shared" si="13"/>
        <v>0</v>
      </c>
    </row>
    <row r="147" spans="1:13" x14ac:dyDescent="0.25">
      <c r="A147" s="43"/>
      <c r="G147" s="5"/>
      <c r="H147" s="17">
        <v>142</v>
      </c>
      <c r="I147" s="18" t="str">
        <f t="shared" si="11"/>
        <v/>
      </c>
      <c r="J147" s="17">
        <f t="shared" si="14"/>
        <v>-4</v>
      </c>
      <c r="K147" s="17">
        <f t="shared" si="12"/>
        <v>-40</v>
      </c>
      <c r="L147" s="17"/>
      <c r="M147" s="19">
        <f t="shared" si="13"/>
        <v>0</v>
      </c>
    </row>
    <row r="148" spans="1:13" x14ac:dyDescent="0.25">
      <c r="A148" s="43"/>
      <c r="G148" s="5"/>
      <c r="H148" s="17">
        <v>143</v>
      </c>
      <c r="I148" s="18" t="str">
        <f t="shared" si="11"/>
        <v/>
      </c>
      <c r="J148" s="17">
        <f t="shared" si="14"/>
        <v>-4</v>
      </c>
      <c r="K148" s="17">
        <f t="shared" si="12"/>
        <v>-40</v>
      </c>
      <c r="L148" s="17"/>
      <c r="M148" s="19">
        <f t="shared" si="13"/>
        <v>0</v>
      </c>
    </row>
    <row r="149" spans="1:13" x14ac:dyDescent="0.25">
      <c r="A149" s="43"/>
      <c r="G149" s="5"/>
      <c r="H149" s="17">
        <v>144</v>
      </c>
      <c r="I149" s="18" t="str">
        <f t="shared" si="11"/>
        <v/>
      </c>
      <c r="J149" s="17">
        <f t="shared" si="14"/>
        <v>-4</v>
      </c>
      <c r="K149" s="17">
        <f t="shared" si="12"/>
        <v>-40</v>
      </c>
      <c r="L149" s="17"/>
      <c r="M149" s="19">
        <f t="shared" si="13"/>
        <v>0</v>
      </c>
    </row>
    <row r="150" spans="1:13" x14ac:dyDescent="0.25">
      <c r="A150" s="43"/>
      <c r="G150" s="5"/>
      <c r="H150" s="17">
        <v>145</v>
      </c>
      <c r="I150" s="18" t="str">
        <f t="shared" si="11"/>
        <v/>
      </c>
      <c r="J150" s="17">
        <f t="shared" si="14"/>
        <v>-4</v>
      </c>
      <c r="K150" s="17">
        <f t="shared" si="12"/>
        <v>-40</v>
      </c>
      <c r="L150" s="17"/>
      <c r="M150" s="19">
        <f t="shared" si="13"/>
        <v>0</v>
      </c>
    </row>
    <row r="151" spans="1:13" x14ac:dyDescent="0.25">
      <c r="A151" s="43"/>
      <c r="G151" s="5"/>
      <c r="H151" s="17">
        <v>146</v>
      </c>
      <c r="I151" s="18" t="str">
        <f t="shared" si="11"/>
        <v/>
      </c>
      <c r="J151" s="17">
        <f t="shared" si="14"/>
        <v>-4</v>
      </c>
      <c r="K151" s="17">
        <f t="shared" si="12"/>
        <v>-40</v>
      </c>
      <c r="L151" s="17"/>
      <c r="M151" s="19">
        <f t="shared" si="13"/>
        <v>0</v>
      </c>
    </row>
    <row r="152" spans="1:13" x14ac:dyDescent="0.25">
      <c r="A152" s="43"/>
      <c r="G152" s="5"/>
      <c r="H152" s="17">
        <v>147</v>
      </c>
      <c r="I152" s="18" t="str">
        <f t="shared" si="11"/>
        <v/>
      </c>
      <c r="J152" s="17">
        <f t="shared" si="14"/>
        <v>-4</v>
      </c>
      <c r="K152" s="17">
        <f t="shared" si="12"/>
        <v>-40</v>
      </c>
      <c r="L152" s="17"/>
      <c r="M152" s="19">
        <f t="shared" si="13"/>
        <v>0</v>
      </c>
    </row>
    <row r="153" spans="1:13" x14ac:dyDescent="0.25">
      <c r="A153" s="43"/>
      <c r="G153" s="5"/>
      <c r="H153" s="17">
        <v>148</v>
      </c>
      <c r="I153" s="18" t="str">
        <f t="shared" si="11"/>
        <v/>
      </c>
      <c r="J153" s="17">
        <f t="shared" si="14"/>
        <v>-4</v>
      </c>
      <c r="K153" s="17">
        <f t="shared" si="12"/>
        <v>-40</v>
      </c>
      <c r="L153" s="17"/>
      <c r="M153" s="19">
        <f t="shared" si="13"/>
        <v>0</v>
      </c>
    </row>
    <row r="154" spans="1:13" x14ac:dyDescent="0.25">
      <c r="A154" s="43"/>
      <c r="G154" s="5"/>
      <c r="H154" s="17">
        <v>149</v>
      </c>
      <c r="I154" s="18" t="str">
        <f t="shared" si="11"/>
        <v/>
      </c>
      <c r="J154" s="17">
        <f t="shared" si="14"/>
        <v>-4</v>
      </c>
      <c r="K154" s="17">
        <f t="shared" si="12"/>
        <v>-40</v>
      </c>
      <c r="L154" s="17"/>
      <c r="M154" s="19">
        <f t="shared" si="13"/>
        <v>0</v>
      </c>
    </row>
    <row r="155" spans="1:13" x14ac:dyDescent="0.25">
      <c r="A155" s="43"/>
      <c r="G155" s="5"/>
      <c r="H155" s="17">
        <v>150</v>
      </c>
      <c r="I155" s="18" t="str">
        <f t="shared" si="11"/>
        <v/>
      </c>
      <c r="J155" s="17">
        <f t="shared" si="14"/>
        <v>-4</v>
      </c>
      <c r="K155" s="17">
        <f t="shared" si="12"/>
        <v>-40</v>
      </c>
      <c r="L155" s="17"/>
      <c r="M155" s="19">
        <f t="shared" si="13"/>
        <v>0</v>
      </c>
    </row>
    <row r="156" spans="1:13" x14ac:dyDescent="0.25">
      <c r="A156" s="43"/>
      <c r="G156" s="5"/>
      <c r="H156" s="17">
        <v>151</v>
      </c>
      <c r="I156" s="18" t="str">
        <f t="shared" si="11"/>
        <v/>
      </c>
      <c r="J156" s="17">
        <f t="shared" si="14"/>
        <v>-4</v>
      </c>
      <c r="K156" s="17">
        <f t="shared" si="12"/>
        <v>-40</v>
      </c>
      <c r="L156" s="17"/>
      <c r="M156" s="19">
        <f t="shared" si="13"/>
        <v>0</v>
      </c>
    </row>
    <row r="157" spans="1:13" x14ac:dyDescent="0.25">
      <c r="A157" s="43"/>
      <c r="G157" s="5"/>
      <c r="H157" s="17">
        <v>152</v>
      </c>
      <c r="I157" s="18" t="str">
        <f t="shared" si="11"/>
        <v/>
      </c>
      <c r="J157" s="17">
        <f t="shared" si="14"/>
        <v>-4</v>
      </c>
      <c r="K157" s="17">
        <f t="shared" si="12"/>
        <v>-40</v>
      </c>
      <c r="L157" s="17"/>
      <c r="M157" s="19">
        <f t="shared" si="13"/>
        <v>0</v>
      </c>
    </row>
    <row r="158" spans="1:13" x14ac:dyDescent="0.25">
      <c r="A158" s="43"/>
      <c r="G158" s="5"/>
      <c r="H158" s="17">
        <v>153</v>
      </c>
      <c r="I158" s="18" t="str">
        <f t="shared" si="11"/>
        <v/>
      </c>
      <c r="J158" s="17">
        <f t="shared" si="14"/>
        <v>-4</v>
      </c>
      <c r="K158" s="17">
        <f t="shared" si="12"/>
        <v>-40</v>
      </c>
      <c r="L158" s="17"/>
      <c r="M158" s="19">
        <f t="shared" si="13"/>
        <v>0</v>
      </c>
    </row>
    <row r="159" spans="1:13" x14ac:dyDescent="0.25">
      <c r="A159" s="43"/>
      <c r="G159" s="5"/>
      <c r="H159" s="17">
        <v>154</v>
      </c>
      <c r="I159" s="18" t="str">
        <f t="shared" si="11"/>
        <v/>
      </c>
      <c r="J159" s="17">
        <f t="shared" si="14"/>
        <v>-4</v>
      </c>
      <c r="K159" s="17">
        <f t="shared" si="12"/>
        <v>-40</v>
      </c>
      <c r="L159" s="17"/>
      <c r="M159" s="19">
        <f t="shared" si="13"/>
        <v>0</v>
      </c>
    </row>
    <row r="160" spans="1:13" x14ac:dyDescent="0.25">
      <c r="A160" s="43"/>
      <c r="G160" s="5"/>
      <c r="H160" s="17">
        <v>155</v>
      </c>
      <c r="I160" s="18" t="str">
        <f t="shared" si="11"/>
        <v/>
      </c>
      <c r="J160" s="17">
        <f t="shared" si="14"/>
        <v>-4</v>
      </c>
      <c r="K160" s="17">
        <f t="shared" si="12"/>
        <v>-40</v>
      </c>
      <c r="L160" s="17"/>
      <c r="M160" s="19">
        <f t="shared" si="13"/>
        <v>0</v>
      </c>
    </row>
    <row r="161" spans="1:13" x14ac:dyDescent="0.25">
      <c r="A161" s="43"/>
      <c r="G161" s="5"/>
      <c r="H161" s="17">
        <v>156</v>
      </c>
      <c r="I161" s="18" t="str">
        <f t="shared" si="11"/>
        <v/>
      </c>
      <c r="J161" s="17">
        <f t="shared" si="14"/>
        <v>-4</v>
      </c>
      <c r="K161" s="17">
        <f t="shared" si="12"/>
        <v>-40</v>
      </c>
      <c r="L161" s="17"/>
      <c r="M161" s="19">
        <f t="shared" si="13"/>
        <v>0</v>
      </c>
    </row>
    <row r="162" spans="1:13" x14ac:dyDescent="0.25">
      <c r="A162" s="43"/>
      <c r="G162" s="5"/>
      <c r="H162" s="17">
        <v>157</v>
      </c>
      <c r="I162" s="18" t="str">
        <f t="shared" si="11"/>
        <v/>
      </c>
      <c r="J162" s="17">
        <f t="shared" si="14"/>
        <v>-4</v>
      </c>
      <c r="K162" s="17">
        <f t="shared" si="12"/>
        <v>-40</v>
      </c>
      <c r="L162" s="17"/>
      <c r="M162" s="19">
        <f t="shared" si="13"/>
        <v>0</v>
      </c>
    </row>
    <row r="163" spans="1:13" x14ac:dyDescent="0.25">
      <c r="A163" s="43"/>
      <c r="G163" s="5"/>
      <c r="H163" s="17">
        <v>158</v>
      </c>
      <c r="I163" s="18" t="str">
        <f t="shared" si="11"/>
        <v/>
      </c>
      <c r="J163" s="17">
        <f t="shared" si="14"/>
        <v>-4</v>
      </c>
      <c r="K163" s="17">
        <f t="shared" si="12"/>
        <v>-40</v>
      </c>
      <c r="L163" s="17"/>
      <c r="M163" s="19">
        <f t="shared" si="13"/>
        <v>0</v>
      </c>
    </row>
    <row r="164" spans="1:13" x14ac:dyDescent="0.25">
      <c r="A164" s="43"/>
      <c r="G164" s="5"/>
      <c r="H164" s="17">
        <v>159</v>
      </c>
      <c r="I164" s="18" t="str">
        <f t="shared" si="11"/>
        <v/>
      </c>
      <c r="J164" s="17">
        <f t="shared" si="14"/>
        <v>-4</v>
      </c>
      <c r="K164" s="17">
        <f t="shared" si="12"/>
        <v>-40</v>
      </c>
      <c r="L164" s="17"/>
      <c r="M164" s="19">
        <f t="shared" si="13"/>
        <v>0</v>
      </c>
    </row>
    <row r="165" spans="1:13" x14ac:dyDescent="0.25">
      <c r="A165" s="43"/>
      <c r="G165" s="5"/>
      <c r="H165" s="17">
        <v>160</v>
      </c>
      <c r="I165" s="18" t="str">
        <f t="shared" si="11"/>
        <v/>
      </c>
      <c r="J165" s="17">
        <f t="shared" si="14"/>
        <v>-4</v>
      </c>
      <c r="K165" s="17">
        <f t="shared" si="12"/>
        <v>-40</v>
      </c>
      <c r="L165" s="17"/>
      <c r="M165" s="19">
        <f t="shared" si="13"/>
        <v>0</v>
      </c>
    </row>
    <row r="166" spans="1:13" x14ac:dyDescent="0.25">
      <c r="A166" s="43"/>
      <c r="G166" s="5"/>
      <c r="H166" s="17">
        <v>161</v>
      </c>
      <c r="I166" s="18" t="str">
        <f t="shared" si="11"/>
        <v/>
      </c>
      <c r="J166" s="17">
        <f t="shared" si="14"/>
        <v>-4</v>
      </c>
      <c r="K166" s="17">
        <f t="shared" si="12"/>
        <v>-40</v>
      </c>
      <c r="L166" s="17"/>
      <c r="M166" s="19">
        <f t="shared" si="13"/>
        <v>0</v>
      </c>
    </row>
    <row r="167" spans="1:13" x14ac:dyDescent="0.25">
      <c r="A167" s="43"/>
      <c r="G167" s="5"/>
      <c r="H167" s="17">
        <v>162</v>
      </c>
      <c r="I167" s="18" t="str">
        <f t="shared" si="11"/>
        <v/>
      </c>
      <c r="J167" s="17">
        <f t="shared" si="14"/>
        <v>-4</v>
      </c>
      <c r="K167" s="17">
        <f t="shared" si="12"/>
        <v>-40</v>
      </c>
      <c r="L167" s="17"/>
      <c r="M167" s="19">
        <f t="shared" si="13"/>
        <v>0</v>
      </c>
    </row>
    <row r="168" spans="1:13" x14ac:dyDescent="0.25">
      <c r="A168" s="43"/>
      <c r="G168" s="5"/>
      <c r="H168" s="17">
        <v>163</v>
      </c>
      <c r="I168" s="18" t="str">
        <f t="shared" si="11"/>
        <v/>
      </c>
      <c r="J168" s="17">
        <f t="shared" si="14"/>
        <v>-4</v>
      </c>
      <c r="K168" s="17">
        <f t="shared" si="12"/>
        <v>-40</v>
      </c>
      <c r="L168" s="17"/>
      <c r="M168" s="19">
        <f t="shared" si="13"/>
        <v>0</v>
      </c>
    </row>
    <row r="169" spans="1:13" x14ac:dyDescent="0.25">
      <c r="A169" s="43"/>
      <c r="G169" s="5"/>
      <c r="H169" s="17">
        <v>164</v>
      </c>
      <c r="I169" s="18" t="str">
        <f t="shared" si="11"/>
        <v/>
      </c>
      <c r="J169" s="17">
        <f t="shared" si="14"/>
        <v>-4</v>
      </c>
      <c r="K169" s="17">
        <f t="shared" si="12"/>
        <v>-40</v>
      </c>
      <c r="L169" s="17"/>
      <c r="M169" s="19">
        <f t="shared" si="13"/>
        <v>0</v>
      </c>
    </row>
    <row r="170" spans="1:13" x14ac:dyDescent="0.25">
      <c r="A170" s="43"/>
      <c r="G170" s="5"/>
      <c r="H170" s="17">
        <v>165</v>
      </c>
      <c r="I170" s="18" t="str">
        <f t="shared" si="11"/>
        <v/>
      </c>
      <c r="J170" s="17">
        <f t="shared" si="14"/>
        <v>-4</v>
      </c>
      <c r="K170" s="17">
        <f t="shared" si="12"/>
        <v>-40</v>
      </c>
      <c r="L170" s="17"/>
      <c r="M170" s="19">
        <f t="shared" si="13"/>
        <v>0</v>
      </c>
    </row>
    <row r="171" spans="1:13" x14ac:dyDescent="0.25">
      <c r="A171" s="43"/>
      <c r="G171" s="5"/>
      <c r="H171" s="17">
        <v>166</v>
      </c>
      <c r="I171" s="18" t="str">
        <f t="shared" si="11"/>
        <v/>
      </c>
      <c r="J171" s="17">
        <f t="shared" si="14"/>
        <v>-4</v>
      </c>
      <c r="K171" s="17">
        <f t="shared" si="12"/>
        <v>-40</v>
      </c>
      <c r="L171" s="17"/>
      <c r="M171" s="19">
        <f t="shared" si="13"/>
        <v>0</v>
      </c>
    </row>
    <row r="172" spans="1:13" x14ac:dyDescent="0.25">
      <c r="A172" s="43"/>
      <c r="G172" s="5"/>
      <c r="H172" s="17">
        <v>167</v>
      </c>
      <c r="I172" s="18" t="str">
        <f t="shared" si="11"/>
        <v/>
      </c>
      <c r="J172" s="17">
        <f t="shared" si="14"/>
        <v>-4</v>
      </c>
      <c r="K172" s="17">
        <f t="shared" si="12"/>
        <v>-40</v>
      </c>
      <c r="L172" s="17"/>
      <c r="M172" s="19">
        <f t="shared" si="13"/>
        <v>0</v>
      </c>
    </row>
    <row r="173" spans="1:13" x14ac:dyDescent="0.25">
      <c r="A173" s="43"/>
      <c r="G173" s="5"/>
      <c r="H173" s="17">
        <v>168</v>
      </c>
      <c r="I173" s="18" t="str">
        <f t="shared" si="11"/>
        <v/>
      </c>
      <c r="J173" s="17">
        <f t="shared" si="14"/>
        <v>-4</v>
      </c>
      <c r="K173" s="17">
        <f t="shared" si="12"/>
        <v>-40</v>
      </c>
      <c r="L173" s="17"/>
      <c r="M173" s="19">
        <f t="shared" si="13"/>
        <v>0</v>
      </c>
    </row>
    <row r="174" spans="1:13" x14ac:dyDescent="0.25">
      <c r="A174" s="43"/>
      <c r="G174" s="5"/>
      <c r="H174" s="17">
        <v>169</v>
      </c>
      <c r="I174" s="18" t="str">
        <f t="shared" si="11"/>
        <v/>
      </c>
      <c r="J174" s="17">
        <f t="shared" si="14"/>
        <v>-4</v>
      </c>
      <c r="K174" s="17">
        <f t="shared" si="12"/>
        <v>-40</v>
      </c>
      <c r="L174" s="17"/>
      <c r="M174" s="19">
        <f t="shared" si="13"/>
        <v>0</v>
      </c>
    </row>
    <row r="175" spans="1:13" x14ac:dyDescent="0.25">
      <c r="A175" s="43"/>
      <c r="G175" s="5"/>
      <c r="H175" s="17">
        <v>170</v>
      </c>
      <c r="I175" s="18" t="str">
        <f t="shared" si="11"/>
        <v/>
      </c>
      <c r="J175" s="17">
        <f t="shared" si="14"/>
        <v>-4</v>
      </c>
      <c r="K175" s="17">
        <f t="shared" si="12"/>
        <v>-40</v>
      </c>
      <c r="L175" s="17"/>
      <c r="M175" s="19">
        <f t="shared" si="13"/>
        <v>0</v>
      </c>
    </row>
    <row r="176" spans="1:13" x14ac:dyDescent="0.25">
      <c r="A176" s="43"/>
      <c r="G176" s="5"/>
      <c r="H176" s="17">
        <v>171</v>
      </c>
      <c r="I176" s="18" t="str">
        <f t="shared" si="11"/>
        <v/>
      </c>
      <c r="J176" s="17">
        <f t="shared" si="14"/>
        <v>-4</v>
      </c>
      <c r="K176" s="17">
        <f t="shared" si="12"/>
        <v>-40</v>
      </c>
      <c r="L176" s="17"/>
      <c r="M176" s="19">
        <f t="shared" si="13"/>
        <v>0</v>
      </c>
    </row>
    <row r="177" spans="1:13" x14ac:dyDescent="0.25">
      <c r="A177" s="43"/>
      <c r="G177" s="5"/>
      <c r="H177" s="17">
        <v>172</v>
      </c>
      <c r="I177" s="18" t="str">
        <f t="shared" si="11"/>
        <v/>
      </c>
      <c r="J177" s="17">
        <f t="shared" si="14"/>
        <v>-4</v>
      </c>
      <c r="K177" s="17">
        <f t="shared" si="12"/>
        <v>-40</v>
      </c>
      <c r="L177" s="17"/>
      <c r="M177" s="19">
        <f t="shared" si="13"/>
        <v>0</v>
      </c>
    </row>
    <row r="178" spans="1:13" x14ac:dyDescent="0.25">
      <c r="A178" s="43"/>
      <c r="G178" s="5"/>
      <c r="H178" s="17">
        <v>173</v>
      </c>
      <c r="I178" s="18" t="str">
        <f t="shared" si="11"/>
        <v/>
      </c>
      <c r="J178" s="17">
        <f t="shared" si="14"/>
        <v>-4</v>
      </c>
      <c r="K178" s="17">
        <f t="shared" si="12"/>
        <v>-40</v>
      </c>
      <c r="L178" s="17"/>
      <c r="M178" s="19">
        <f t="shared" si="13"/>
        <v>0</v>
      </c>
    </row>
    <row r="179" spans="1:13" x14ac:dyDescent="0.25">
      <c r="A179" s="43"/>
      <c r="G179" s="5"/>
      <c r="H179" s="17">
        <v>174</v>
      </c>
      <c r="I179" s="18" t="str">
        <f t="shared" si="11"/>
        <v/>
      </c>
      <c r="J179" s="17">
        <f t="shared" si="14"/>
        <v>-4</v>
      </c>
      <c r="K179" s="17">
        <f t="shared" si="12"/>
        <v>-40</v>
      </c>
      <c r="L179" s="17"/>
      <c r="M179" s="19">
        <f t="shared" si="13"/>
        <v>0</v>
      </c>
    </row>
    <row r="180" spans="1:13" x14ac:dyDescent="0.25">
      <c r="A180" s="43"/>
      <c r="G180" s="5"/>
      <c r="H180" s="17">
        <v>175</v>
      </c>
      <c r="I180" s="18" t="str">
        <f t="shared" si="11"/>
        <v/>
      </c>
      <c r="J180" s="17">
        <f t="shared" si="14"/>
        <v>-4</v>
      </c>
      <c r="K180" s="17">
        <f t="shared" si="12"/>
        <v>-40</v>
      </c>
      <c r="L180" s="17"/>
      <c r="M180" s="19">
        <f t="shared" si="13"/>
        <v>0</v>
      </c>
    </row>
    <row r="181" spans="1:13" x14ac:dyDescent="0.25">
      <c r="A181" s="43"/>
      <c r="G181" s="5"/>
      <c r="H181" s="17">
        <v>176</v>
      </c>
      <c r="I181" s="18" t="str">
        <f t="shared" si="11"/>
        <v/>
      </c>
      <c r="J181" s="17">
        <f t="shared" si="14"/>
        <v>-4</v>
      </c>
      <c r="K181" s="17">
        <f t="shared" si="12"/>
        <v>-40</v>
      </c>
      <c r="L181" s="17"/>
      <c r="M181" s="19">
        <f t="shared" si="13"/>
        <v>0</v>
      </c>
    </row>
    <row r="182" spans="1:13" x14ac:dyDescent="0.25">
      <c r="A182" s="43"/>
      <c r="G182" s="5"/>
      <c r="H182" s="17">
        <v>177</v>
      </c>
      <c r="I182" s="18" t="str">
        <f t="shared" si="11"/>
        <v/>
      </c>
      <c r="J182" s="17">
        <f t="shared" si="14"/>
        <v>-4</v>
      </c>
      <c r="K182" s="17">
        <f t="shared" si="12"/>
        <v>-40</v>
      </c>
      <c r="L182" s="17"/>
      <c r="M182" s="19">
        <f t="shared" si="13"/>
        <v>0</v>
      </c>
    </row>
    <row r="183" spans="1:13" x14ac:dyDescent="0.25">
      <c r="A183" s="43"/>
      <c r="G183" s="5"/>
      <c r="H183" s="17">
        <v>178</v>
      </c>
      <c r="I183" s="18" t="str">
        <f t="shared" si="11"/>
        <v/>
      </c>
      <c r="J183" s="17">
        <f t="shared" si="14"/>
        <v>-4</v>
      </c>
      <c r="K183" s="17">
        <f t="shared" si="12"/>
        <v>-40</v>
      </c>
      <c r="L183" s="17"/>
      <c r="M183" s="19">
        <f t="shared" si="13"/>
        <v>0</v>
      </c>
    </row>
    <row r="184" spans="1:13" x14ac:dyDescent="0.25">
      <c r="A184" s="43"/>
      <c r="G184" s="5"/>
      <c r="H184" s="17">
        <v>179</v>
      </c>
      <c r="I184" s="18" t="str">
        <f t="shared" si="11"/>
        <v/>
      </c>
      <c r="J184" s="17">
        <f t="shared" si="14"/>
        <v>-4</v>
      </c>
      <c r="K184" s="17">
        <f t="shared" si="12"/>
        <v>-40</v>
      </c>
      <c r="L184" s="17"/>
      <c r="M184" s="19">
        <f t="shared" si="13"/>
        <v>0</v>
      </c>
    </row>
    <row r="185" spans="1:13" x14ac:dyDescent="0.25">
      <c r="A185" s="43"/>
      <c r="G185" s="5"/>
      <c r="H185" s="17">
        <v>180</v>
      </c>
      <c r="I185" s="18" t="str">
        <f t="shared" si="11"/>
        <v/>
      </c>
      <c r="J185" s="17">
        <f t="shared" si="14"/>
        <v>-4</v>
      </c>
      <c r="K185" s="17">
        <f t="shared" si="12"/>
        <v>-40</v>
      </c>
      <c r="L185" s="17"/>
      <c r="M185" s="19">
        <f t="shared" si="13"/>
        <v>0</v>
      </c>
    </row>
    <row r="186" spans="1:13" x14ac:dyDescent="0.25">
      <c r="A186" s="43"/>
      <c r="G186" s="5"/>
      <c r="H186" s="17">
        <v>181</v>
      </c>
      <c r="I186" s="18" t="str">
        <f t="shared" si="11"/>
        <v/>
      </c>
      <c r="J186" s="17">
        <f t="shared" si="14"/>
        <v>-4</v>
      </c>
      <c r="K186" s="17">
        <f t="shared" si="12"/>
        <v>-40</v>
      </c>
      <c r="L186" s="17"/>
      <c r="M186" s="19">
        <f t="shared" si="13"/>
        <v>0</v>
      </c>
    </row>
    <row r="187" spans="1:13" x14ac:dyDescent="0.25">
      <c r="A187" s="43"/>
      <c r="G187" s="5"/>
      <c r="H187" s="17">
        <v>182</v>
      </c>
      <c r="I187" s="18" t="str">
        <f t="shared" si="11"/>
        <v/>
      </c>
      <c r="J187" s="17">
        <f t="shared" si="14"/>
        <v>-4</v>
      </c>
      <c r="K187" s="17">
        <f t="shared" si="12"/>
        <v>-40</v>
      </c>
      <c r="L187" s="17"/>
      <c r="M187" s="19">
        <f t="shared" si="13"/>
        <v>0</v>
      </c>
    </row>
    <row r="188" spans="1:13" x14ac:dyDescent="0.25">
      <c r="A188" s="43"/>
      <c r="G188" s="5"/>
      <c r="H188" s="17">
        <v>183</v>
      </c>
      <c r="I188" s="18" t="str">
        <f t="shared" si="11"/>
        <v/>
      </c>
      <c r="J188" s="17">
        <f t="shared" si="14"/>
        <v>-4</v>
      </c>
      <c r="K188" s="17">
        <f t="shared" si="12"/>
        <v>-40</v>
      </c>
      <c r="L188" s="17"/>
      <c r="M188" s="19">
        <f t="shared" si="13"/>
        <v>0</v>
      </c>
    </row>
    <row r="189" spans="1:13" x14ac:dyDescent="0.25">
      <c r="A189" s="43"/>
      <c r="G189" s="5"/>
      <c r="H189" s="17">
        <v>184</v>
      </c>
      <c r="I189" s="18" t="str">
        <f t="shared" si="11"/>
        <v/>
      </c>
      <c r="J189" s="17">
        <f t="shared" si="14"/>
        <v>-4</v>
      </c>
      <c r="K189" s="17">
        <f t="shared" si="12"/>
        <v>-40</v>
      </c>
      <c r="L189" s="17"/>
      <c r="M189" s="19">
        <f t="shared" si="13"/>
        <v>0</v>
      </c>
    </row>
    <row r="190" spans="1:13" x14ac:dyDescent="0.25">
      <c r="A190" s="43"/>
      <c r="G190" s="5"/>
      <c r="H190" s="17">
        <v>185</v>
      </c>
      <c r="I190" s="18" t="str">
        <f t="shared" si="11"/>
        <v/>
      </c>
      <c r="J190" s="17">
        <f t="shared" si="14"/>
        <v>-4</v>
      </c>
      <c r="K190" s="17">
        <f t="shared" si="12"/>
        <v>-40</v>
      </c>
      <c r="L190" s="17"/>
      <c r="M190" s="19">
        <f t="shared" si="13"/>
        <v>0</v>
      </c>
    </row>
    <row r="191" spans="1:13" x14ac:dyDescent="0.25">
      <c r="A191" s="43"/>
      <c r="G191" s="5"/>
      <c r="H191" s="17">
        <v>186</v>
      </c>
      <c r="I191" s="18" t="str">
        <f t="shared" si="11"/>
        <v/>
      </c>
      <c r="J191" s="17">
        <f t="shared" si="14"/>
        <v>-4</v>
      </c>
      <c r="K191" s="17">
        <f t="shared" si="12"/>
        <v>-40</v>
      </c>
      <c r="L191" s="17"/>
      <c r="M191" s="19">
        <f t="shared" si="13"/>
        <v>0</v>
      </c>
    </row>
    <row r="192" spans="1:13" x14ac:dyDescent="0.25">
      <c r="A192" s="43"/>
      <c r="G192" s="5"/>
      <c r="H192" s="17">
        <v>187</v>
      </c>
      <c r="I192" s="18" t="str">
        <f t="shared" si="11"/>
        <v/>
      </c>
      <c r="J192" s="17">
        <f t="shared" si="14"/>
        <v>-4</v>
      </c>
      <c r="K192" s="17">
        <f t="shared" si="12"/>
        <v>-40</v>
      </c>
      <c r="L192" s="17"/>
      <c r="M192" s="19">
        <f t="shared" si="13"/>
        <v>0</v>
      </c>
    </row>
    <row r="193" spans="1:13" x14ac:dyDescent="0.25">
      <c r="A193" s="43"/>
      <c r="G193" s="5"/>
      <c r="H193" s="17">
        <v>188</v>
      </c>
      <c r="I193" s="18" t="str">
        <f t="shared" si="11"/>
        <v/>
      </c>
      <c r="J193" s="17">
        <f t="shared" si="14"/>
        <v>-4</v>
      </c>
      <c r="K193" s="17">
        <f t="shared" si="12"/>
        <v>-40</v>
      </c>
      <c r="L193" s="17"/>
      <c r="M193" s="19">
        <f t="shared" si="13"/>
        <v>0</v>
      </c>
    </row>
    <row r="194" spans="1:13" x14ac:dyDescent="0.25">
      <c r="A194" s="43"/>
      <c r="G194" s="5"/>
      <c r="H194" s="17">
        <v>189</v>
      </c>
      <c r="I194" s="18" t="str">
        <f t="shared" si="11"/>
        <v/>
      </c>
      <c r="J194" s="17">
        <f t="shared" si="14"/>
        <v>-4</v>
      </c>
      <c r="K194" s="17">
        <f t="shared" si="12"/>
        <v>-40</v>
      </c>
      <c r="L194" s="17"/>
      <c r="M194" s="19">
        <f t="shared" si="13"/>
        <v>0</v>
      </c>
    </row>
    <row r="195" spans="1:13" x14ac:dyDescent="0.25">
      <c r="A195" s="43"/>
      <c r="G195" s="5"/>
      <c r="H195" s="17">
        <v>190</v>
      </c>
      <c r="I195" s="18" t="str">
        <f t="shared" si="11"/>
        <v/>
      </c>
      <c r="J195" s="17">
        <f t="shared" si="14"/>
        <v>-4</v>
      </c>
      <c r="K195" s="17">
        <f t="shared" si="12"/>
        <v>-40</v>
      </c>
      <c r="L195" s="17"/>
      <c r="M195" s="19">
        <f t="shared" si="13"/>
        <v>0</v>
      </c>
    </row>
    <row r="196" spans="1:13" x14ac:dyDescent="0.25">
      <c r="A196" s="43"/>
      <c r="G196" s="5"/>
      <c r="H196" s="17">
        <v>191</v>
      </c>
      <c r="I196" s="18" t="str">
        <f t="shared" si="11"/>
        <v/>
      </c>
      <c r="J196" s="17">
        <f t="shared" si="14"/>
        <v>-4</v>
      </c>
      <c r="K196" s="17">
        <f t="shared" si="12"/>
        <v>-40</v>
      </c>
      <c r="L196" s="17"/>
      <c r="M196" s="19">
        <f t="shared" si="13"/>
        <v>0</v>
      </c>
    </row>
    <row r="197" spans="1:13" x14ac:dyDescent="0.25">
      <c r="A197" s="43"/>
      <c r="G197" s="5"/>
      <c r="H197" s="17">
        <v>192</v>
      </c>
      <c r="I197" s="18" t="str">
        <f t="shared" si="11"/>
        <v/>
      </c>
      <c r="J197" s="17">
        <f t="shared" si="14"/>
        <v>-4</v>
      </c>
      <c r="K197" s="17">
        <f t="shared" si="12"/>
        <v>-40</v>
      </c>
      <c r="L197" s="17"/>
      <c r="M197" s="19">
        <f t="shared" si="13"/>
        <v>0</v>
      </c>
    </row>
    <row r="198" spans="1:13" x14ac:dyDescent="0.25">
      <c r="A198" s="43"/>
      <c r="G198" s="5"/>
      <c r="H198" s="17">
        <v>193</v>
      </c>
      <c r="I198" s="18" t="str">
        <f t="shared" ref="I198:I261" si="15">IF(H198&lt;$H$2+1,($I$2-($I$2-1)*(LOG(H198)/LOG($H$2))),"")</f>
        <v/>
      </c>
      <c r="J198" s="17">
        <f t="shared" si="14"/>
        <v>-4</v>
      </c>
      <c r="K198" s="17">
        <f t="shared" ref="K198:K261" si="16">J198*$J$2</f>
        <v>-40</v>
      </c>
      <c r="L198" s="17"/>
      <c r="M198" s="19">
        <f t="shared" ref="M198:M261" si="17">IF(I198&lt;&gt;"",K198+I198+L198,0)</f>
        <v>0</v>
      </c>
    </row>
    <row r="199" spans="1:13" x14ac:dyDescent="0.25">
      <c r="A199" s="43"/>
      <c r="G199" s="5"/>
      <c r="H199" s="17">
        <v>194</v>
      </c>
      <c r="I199" s="18" t="str">
        <f t="shared" si="15"/>
        <v/>
      </c>
      <c r="J199" s="17">
        <f t="shared" ref="J199:J262" si="18">INT(LOG($H$2,2))-ROUNDUP(LOG(H199,2),0)+IF(OR($H$2=1,$H$2=2,$H$2=4,$H$2=8,$H$2=16,$H$2=32,$H$2=64,$H$2=128,$H$2=256),0,1)</f>
        <v>-4</v>
      </c>
      <c r="K199" s="17">
        <f t="shared" si="16"/>
        <v>-40</v>
      </c>
      <c r="L199" s="17"/>
      <c r="M199" s="19">
        <f t="shared" si="17"/>
        <v>0</v>
      </c>
    </row>
    <row r="200" spans="1:13" x14ac:dyDescent="0.25">
      <c r="A200" s="43"/>
      <c r="G200" s="5"/>
      <c r="H200" s="17">
        <v>195</v>
      </c>
      <c r="I200" s="18" t="str">
        <f t="shared" si="15"/>
        <v/>
      </c>
      <c r="J200" s="17">
        <f t="shared" si="18"/>
        <v>-4</v>
      </c>
      <c r="K200" s="17">
        <f t="shared" si="16"/>
        <v>-40</v>
      </c>
      <c r="L200" s="17"/>
      <c r="M200" s="19">
        <f t="shared" si="17"/>
        <v>0</v>
      </c>
    </row>
    <row r="201" spans="1:13" x14ac:dyDescent="0.25">
      <c r="A201" s="43"/>
      <c r="G201" s="5"/>
      <c r="H201" s="17">
        <v>196</v>
      </c>
      <c r="I201" s="18" t="str">
        <f t="shared" si="15"/>
        <v/>
      </c>
      <c r="J201" s="17">
        <f t="shared" si="18"/>
        <v>-4</v>
      </c>
      <c r="K201" s="17">
        <f t="shared" si="16"/>
        <v>-40</v>
      </c>
      <c r="L201" s="17"/>
      <c r="M201" s="19">
        <f t="shared" si="17"/>
        <v>0</v>
      </c>
    </row>
    <row r="202" spans="1:13" x14ac:dyDescent="0.25">
      <c r="A202" s="43"/>
      <c r="G202" s="5"/>
      <c r="H202" s="17">
        <v>197</v>
      </c>
      <c r="I202" s="18" t="str">
        <f t="shared" si="15"/>
        <v/>
      </c>
      <c r="J202" s="17">
        <f t="shared" si="18"/>
        <v>-4</v>
      </c>
      <c r="K202" s="17">
        <f t="shared" si="16"/>
        <v>-40</v>
      </c>
      <c r="L202" s="17"/>
      <c r="M202" s="19">
        <f t="shared" si="17"/>
        <v>0</v>
      </c>
    </row>
    <row r="203" spans="1:13" x14ac:dyDescent="0.25">
      <c r="A203" s="43"/>
      <c r="G203" s="5"/>
      <c r="H203" s="17">
        <v>198</v>
      </c>
      <c r="I203" s="18" t="str">
        <f t="shared" si="15"/>
        <v/>
      </c>
      <c r="J203" s="17">
        <f t="shared" si="18"/>
        <v>-4</v>
      </c>
      <c r="K203" s="17">
        <f t="shared" si="16"/>
        <v>-40</v>
      </c>
      <c r="L203" s="17"/>
      <c r="M203" s="19">
        <f t="shared" si="17"/>
        <v>0</v>
      </c>
    </row>
    <row r="204" spans="1:13" x14ac:dyDescent="0.25">
      <c r="A204" s="43"/>
      <c r="G204" s="5"/>
      <c r="H204" s="17">
        <v>199</v>
      </c>
      <c r="I204" s="18" t="str">
        <f t="shared" si="15"/>
        <v/>
      </c>
      <c r="J204" s="17">
        <f t="shared" si="18"/>
        <v>-4</v>
      </c>
      <c r="K204" s="17">
        <f t="shared" si="16"/>
        <v>-40</v>
      </c>
      <c r="L204" s="17"/>
      <c r="M204" s="19">
        <f t="shared" si="17"/>
        <v>0</v>
      </c>
    </row>
    <row r="205" spans="1:13" x14ac:dyDescent="0.25">
      <c r="A205" s="43"/>
      <c r="G205" s="5"/>
      <c r="H205" s="17">
        <v>200</v>
      </c>
      <c r="I205" s="18" t="str">
        <f t="shared" si="15"/>
        <v/>
      </c>
      <c r="J205" s="17">
        <f t="shared" si="18"/>
        <v>-4</v>
      </c>
      <c r="K205" s="17">
        <f t="shared" si="16"/>
        <v>-40</v>
      </c>
      <c r="L205" s="17"/>
      <c r="M205" s="19">
        <f t="shared" si="17"/>
        <v>0</v>
      </c>
    </row>
    <row r="206" spans="1:13" x14ac:dyDescent="0.25">
      <c r="A206" s="43"/>
      <c r="G206" s="5"/>
      <c r="H206" s="17">
        <v>201</v>
      </c>
      <c r="I206" s="18" t="str">
        <f t="shared" si="15"/>
        <v/>
      </c>
      <c r="J206" s="17">
        <f t="shared" si="18"/>
        <v>-4</v>
      </c>
      <c r="K206" s="17">
        <f t="shared" si="16"/>
        <v>-40</v>
      </c>
      <c r="L206" s="17"/>
      <c r="M206" s="19">
        <f t="shared" si="17"/>
        <v>0</v>
      </c>
    </row>
    <row r="207" spans="1:13" x14ac:dyDescent="0.25">
      <c r="A207" s="43"/>
      <c r="G207" s="5"/>
      <c r="H207" s="17">
        <v>202</v>
      </c>
      <c r="I207" s="18" t="str">
        <f t="shared" si="15"/>
        <v/>
      </c>
      <c r="J207" s="17">
        <f t="shared" si="18"/>
        <v>-4</v>
      </c>
      <c r="K207" s="17">
        <f t="shared" si="16"/>
        <v>-40</v>
      </c>
      <c r="L207" s="17"/>
      <c r="M207" s="19">
        <f t="shared" si="17"/>
        <v>0</v>
      </c>
    </row>
    <row r="208" spans="1:13" x14ac:dyDescent="0.25">
      <c r="A208" s="43"/>
      <c r="G208" s="5"/>
      <c r="H208" s="17">
        <v>203</v>
      </c>
      <c r="I208" s="18" t="str">
        <f t="shared" si="15"/>
        <v/>
      </c>
      <c r="J208" s="17">
        <f t="shared" si="18"/>
        <v>-4</v>
      </c>
      <c r="K208" s="17">
        <f t="shared" si="16"/>
        <v>-40</v>
      </c>
      <c r="L208" s="17"/>
      <c r="M208" s="19">
        <f t="shared" si="17"/>
        <v>0</v>
      </c>
    </row>
    <row r="209" spans="1:13" x14ac:dyDescent="0.25">
      <c r="A209" s="43"/>
      <c r="G209" s="5"/>
      <c r="H209" s="17">
        <v>204</v>
      </c>
      <c r="I209" s="18" t="str">
        <f t="shared" si="15"/>
        <v/>
      </c>
      <c r="J209" s="17">
        <f t="shared" si="18"/>
        <v>-4</v>
      </c>
      <c r="K209" s="17">
        <f t="shared" si="16"/>
        <v>-40</v>
      </c>
      <c r="L209" s="17"/>
      <c r="M209" s="19">
        <f t="shared" si="17"/>
        <v>0</v>
      </c>
    </row>
    <row r="210" spans="1:13" x14ac:dyDescent="0.25">
      <c r="A210" s="43"/>
      <c r="G210" s="5"/>
      <c r="H210" s="17">
        <v>205</v>
      </c>
      <c r="I210" s="18" t="str">
        <f t="shared" si="15"/>
        <v/>
      </c>
      <c r="J210" s="17">
        <f t="shared" si="18"/>
        <v>-4</v>
      </c>
      <c r="K210" s="17">
        <f t="shared" si="16"/>
        <v>-40</v>
      </c>
      <c r="L210" s="17"/>
      <c r="M210" s="19">
        <f t="shared" si="17"/>
        <v>0</v>
      </c>
    </row>
    <row r="211" spans="1:13" x14ac:dyDescent="0.25">
      <c r="A211" s="43"/>
      <c r="G211" s="5"/>
      <c r="H211" s="17">
        <v>206</v>
      </c>
      <c r="I211" s="18" t="str">
        <f t="shared" si="15"/>
        <v/>
      </c>
      <c r="J211" s="17">
        <f t="shared" si="18"/>
        <v>-4</v>
      </c>
      <c r="K211" s="17">
        <f t="shared" si="16"/>
        <v>-40</v>
      </c>
      <c r="L211" s="17"/>
      <c r="M211" s="19">
        <f t="shared" si="17"/>
        <v>0</v>
      </c>
    </row>
    <row r="212" spans="1:13" x14ac:dyDescent="0.25">
      <c r="A212" s="43"/>
      <c r="G212" s="5"/>
      <c r="H212" s="17">
        <v>207</v>
      </c>
      <c r="I212" s="18" t="str">
        <f t="shared" si="15"/>
        <v/>
      </c>
      <c r="J212" s="17">
        <f t="shared" si="18"/>
        <v>-4</v>
      </c>
      <c r="K212" s="17">
        <f t="shared" si="16"/>
        <v>-40</v>
      </c>
      <c r="L212" s="17"/>
      <c r="M212" s="19">
        <f t="shared" si="17"/>
        <v>0</v>
      </c>
    </row>
    <row r="213" spans="1:13" x14ac:dyDescent="0.25">
      <c r="A213" s="43"/>
      <c r="G213" s="5"/>
      <c r="H213" s="17">
        <v>208</v>
      </c>
      <c r="I213" s="18" t="str">
        <f t="shared" si="15"/>
        <v/>
      </c>
      <c r="J213" s="17">
        <f t="shared" si="18"/>
        <v>-4</v>
      </c>
      <c r="K213" s="17">
        <f t="shared" si="16"/>
        <v>-40</v>
      </c>
      <c r="L213" s="17"/>
      <c r="M213" s="19">
        <f t="shared" si="17"/>
        <v>0</v>
      </c>
    </row>
    <row r="214" spans="1:13" x14ac:dyDescent="0.25">
      <c r="A214" s="43"/>
      <c r="G214" s="5"/>
      <c r="H214" s="17">
        <v>209</v>
      </c>
      <c r="I214" s="18" t="str">
        <f t="shared" si="15"/>
        <v/>
      </c>
      <c r="J214" s="17">
        <f t="shared" si="18"/>
        <v>-4</v>
      </c>
      <c r="K214" s="17">
        <f t="shared" si="16"/>
        <v>-40</v>
      </c>
      <c r="L214" s="17"/>
      <c r="M214" s="19">
        <f t="shared" si="17"/>
        <v>0</v>
      </c>
    </row>
    <row r="215" spans="1:13" x14ac:dyDescent="0.25">
      <c r="A215" s="43"/>
      <c r="G215" s="5"/>
      <c r="H215" s="17">
        <v>210</v>
      </c>
      <c r="I215" s="18" t="str">
        <f t="shared" si="15"/>
        <v/>
      </c>
      <c r="J215" s="17">
        <f t="shared" si="18"/>
        <v>-4</v>
      </c>
      <c r="K215" s="17">
        <f t="shared" si="16"/>
        <v>-40</v>
      </c>
      <c r="L215" s="17"/>
      <c r="M215" s="19">
        <f t="shared" si="17"/>
        <v>0</v>
      </c>
    </row>
    <row r="216" spans="1:13" x14ac:dyDescent="0.25">
      <c r="A216" s="43"/>
      <c r="G216" s="5"/>
      <c r="H216" s="17">
        <v>211</v>
      </c>
      <c r="I216" s="18" t="str">
        <f t="shared" si="15"/>
        <v/>
      </c>
      <c r="J216" s="17">
        <f t="shared" si="18"/>
        <v>-4</v>
      </c>
      <c r="K216" s="17">
        <f t="shared" si="16"/>
        <v>-40</v>
      </c>
      <c r="L216" s="17"/>
      <c r="M216" s="19">
        <f t="shared" si="17"/>
        <v>0</v>
      </c>
    </row>
    <row r="217" spans="1:13" x14ac:dyDescent="0.25">
      <c r="A217" s="43"/>
      <c r="G217" s="5"/>
      <c r="H217" s="17">
        <v>212</v>
      </c>
      <c r="I217" s="18" t="str">
        <f t="shared" si="15"/>
        <v/>
      </c>
      <c r="J217" s="17">
        <f t="shared" si="18"/>
        <v>-4</v>
      </c>
      <c r="K217" s="17">
        <f t="shared" si="16"/>
        <v>-40</v>
      </c>
      <c r="L217" s="17"/>
      <c r="M217" s="19">
        <f t="shared" si="17"/>
        <v>0</v>
      </c>
    </row>
    <row r="218" spans="1:13" x14ac:dyDescent="0.25">
      <c r="A218" s="43"/>
      <c r="G218" s="5"/>
      <c r="H218" s="17">
        <v>213</v>
      </c>
      <c r="I218" s="18" t="str">
        <f t="shared" si="15"/>
        <v/>
      </c>
      <c r="J218" s="17">
        <f t="shared" si="18"/>
        <v>-4</v>
      </c>
      <c r="K218" s="17">
        <f t="shared" si="16"/>
        <v>-40</v>
      </c>
      <c r="L218" s="17"/>
      <c r="M218" s="19">
        <f t="shared" si="17"/>
        <v>0</v>
      </c>
    </row>
    <row r="219" spans="1:13" x14ac:dyDescent="0.25">
      <c r="A219" s="43"/>
      <c r="G219" s="5"/>
      <c r="H219" s="17">
        <v>214</v>
      </c>
      <c r="I219" s="18" t="str">
        <f t="shared" si="15"/>
        <v/>
      </c>
      <c r="J219" s="17">
        <f t="shared" si="18"/>
        <v>-4</v>
      </c>
      <c r="K219" s="17">
        <f t="shared" si="16"/>
        <v>-40</v>
      </c>
      <c r="L219" s="17"/>
      <c r="M219" s="19">
        <f t="shared" si="17"/>
        <v>0</v>
      </c>
    </row>
    <row r="220" spans="1:13" x14ac:dyDescent="0.25">
      <c r="A220" s="43"/>
      <c r="G220" s="5"/>
      <c r="H220" s="17">
        <v>215</v>
      </c>
      <c r="I220" s="18" t="str">
        <f t="shared" si="15"/>
        <v/>
      </c>
      <c r="J220" s="17">
        <f t="shared" si="18"/>
        <v>-4</v>
      </c>
      <c r="K220" s="17">
        <f t="shared" si="16"/>
        <v>-40</v>
      </c>
      <c r="L220" s="17"/>
      <c r="M220" s="19">
        <f t="shared" si="17"/>
        <v>0</v>
      </c>
    </row>
    <row r="221" spans="1:13" x14ac:dyDescent="0.25">
      <c r="A221" s="43"/>
      <c r="G221" s="5"/>
      <c r="H221" s="17">
        <v>216</v>
      </c>
      <c r="I221" s="18" t="str">
        <f t="shared" si="15"/>
        <v/>
      </c>
      <c r="J221" s="17">
        <f t="shared" si="18"/>
        <v>-4</v>
      </c>
      <c r="K221" s="17">
        <f t="shared" si="16"/>
        <v>-40</v>
      </c>
      <c r="L221" s="17"/>
      <c r="M221" s="19">
        <f t="shared" si="17"/>
        <v>0</v>
      </c>
    </row>
    <row r="222" spans="1:13" x14ac:dyDescent="0.25">
      <c r="A222" s="43"/>
      <c r="G222" s="5"/>
      <c r="H222" s="17">
        <v>217</v>
      </c>
      <c r="I222" s="18" t="str">
        <f t="shared" si="15"/>
        <v/>
      </c>
      <c r="J222" s="17">
        <f t="shared" si="18"/>
        <v>-4</v>
      </c>
      <c r="K222" s="17">
        <f t="shared" si="16"/>
        <v>-40</v>
      </c>
      <c r="L222" s="17"/>
      <c r="M222" s="19">
        <f t="shared" si="17"/>
        <v>0</v>
      </c>
    </row>
    <row r="223" spans="1:13" x14ac:dyDescent="0.25">
      <c r="A223" s="43"/>
      <c r="G223" s="5"/>
      <c r="H223" s="17">
        <v>218</v>
      </c>
      <c r="I223" s="18" t="str">
        <f t="shared" si="15"/>
        <v/>
      </c>
      <c r="J223" s="17">
        <f t="shared" si="18"/>
        <v>-4</v>
      </c>
      <c r="K223" s="17">
        <f t="shared" si="16"/>
        <v>-40</v>
      </c>
      <c r="L223" s="17"/>
      <c r="M223" s="19">
        <f t="shared" si="17"/>
        <v>0</v>
      </c>
    </row>
    <row r="224" spans="1:13" x14ac:dyDescent="0.25">
      <c r="A224" s="43"/>
      <c r="G224" s="5"/>
      <c r="H224" s="17">
        <v>219</v>
      </c>
      <c r="I224" s="18" t="str">
        <f t="shared" si="15"/>
        <v/>
      </c>
      <c r="J224" s="17">
        <f t="shared" si="18"/>
        <v>-4</v>
      </c>
      <c r="K224" s="17">
        <f t="shared" si="16"/>
        <v>-40</v>
      </c>
      <c r="L224" s="17"/>
      <c r="M224" s="19">
        <f t="shared" si="17"/>
        <v>0</v>
      </c>
    </row>
    <row r="225" spans="1:13" x14ac:dyDescent="0.25">
      <c r="A225" s="43"/>
      <c r="G225" s="5"/>
      <c r="H225" s="17">
        <v>220</v>
      </c>
      <c r="I225" s="18" t="str">
        <f t="shared" si="15"/>
        <v/>
      </c>
      <c r="J225" s="17">
        <f t="shared" si="18"/>
        <v>-4</v>
      </c>
      <c r="K225" s="17">
        <f t="shared" si="16"/>
        <v>-40</v>
      </c>
      <c r="L225" s="17"/>
      <c r="M225" s="19">
        <f t="shared" si="17"/>
        <v>0</v>
      </c>
    </row>
    <row r="226" spans="1:13" x14ac:dyDescent="0.25">
      <c r="A226" s="43"/>
      <c r="G226" s="5"/>
      <c r="H226" s="17">
        <v>221</v>
      </c>
      <c r="I226" s="18" t="str">
        <f t="shared" si="15"/>
        <v/>
      </c>
      <c r="J226" s="17">
        <f t="shared" si="18"/>
        <v>-4</v>
      </c>
      <c r="K226" s="17">
        <f t="shared" si="16"/>
        <v>-40</v>
      </c>
      <c r="L226" s="17"/>
      <c r="M226" s="19">
        <f t="shared" si="17"/>
        <v>0</v>
      </c>
    </row>
    <row r="227" spans="1:13" x14ac:dyDescent="0.25">
      <c r="A227" s="43"/>
      <c r="G227" s="5"/>
      <c r="H227" s="17">
        <v>222</v>
      </c>
      <c r="I227" s="18" t="str">
        <f t="shared" si="15"/>
        <v/>
      </c>
      <c r="J227" s="17">
        <f t="shared" si="18"/>
        <v>-4</v>
      </c>
      <c r="K227" s="17">
        <f t="shared" si="16"/>
        <v>-40</v>
      </c>
      <c r="L227" s="17"/>
      <c r="M227" s="19">
        <f t="shared" si="17"/>
        <v>0</v>
      </c>
    </row>
    <row r="228" spans="1:13" x14ac:dyDescent="0.25">
      <c r="A228" s="43"/>
      <c r="G228" s="5"/>
      <c r="H228" s="17">
        <v>223</v>
      </c>
      <c r="I228" s="18" t="str">
        <f t="shared" si="15"/>
        <v/>
      </c>
      <c r="J228" s="17">
        <f t="shared" si="18"/>
        <v>-4</v>
      </c>
      <c r="K228" s="17">
        <f t="shared" si="16"/>
        <v>-40</v>
      </c>
      <c r="L228" s="17"/>
      <c r="M228" s="19">
        <f t="shared" si="17"/>
        <v>0</v>
      </c>
    </row>
    <row r="229" spans="1:13" x14ac:dyDescent="0.25">
      <c r="A229" s="43"/>
      <c r="G229" s="5"/>
      <c r="H229" s="17">
        <v>224</v>
      </c>
      <c r="I229" s="18" t="str">
        <f t="shared" si="15"/>
        <v/>
      </c>
      <c r="J229" s="17">
        <f t="shared" si="18"/>
        <v>-4</v>
      </c>
      <c r="K229" s="17">
        <f t="shared" si="16"/>
        <v>-40</v>
      </c>
      <c r="L229" s="17"/>
      <c r="M229" s="19">
        <f t="shared" si="17"/>
        <v>0</v>
      </c>
    </row>
    <row r="230" spans="1:13" x14ac:dyDescent="0.25">
      <c r="A230" s="43"/>
      <c r="G230" s="5"/>
      <c r="H230" s="17">
        <v>225</v>
      </c>
      <c r="I230" s="18" t="str">
        <f t="shared" si="15"/>
        <v/>
      </c>
      <c r="J230" s="17">
        <f t="shared" si="18"/>
        <v>-4</v>
      </c>
      <c r="K230" s="17">
        <f t="shared" si="16"/>
        <v>-40</v>
      </c>
      <c r="L230" s="17"/>
      <c r="M230" s="19">
        <f t="shared" si="17"/>
        <v>0</v>
      </c>
    </row>
    <row r="231" spans="1:13" x14ac:dyDescent="0.25">
      <c r="A231" s="43"/>
      <c r="G231" s="5"/>
      <c r="H231" s="17">
        <v>226</v>
      </c>
      <c r="I231" s="18" t="str">
        <f t="shared" si="15"/>
        <v/>
      </c>
      <c r="J231" s="17">
        <f t="shared" si="18"/>
        <v>-4</v>
      </c>
      <c r="K231" s="17">
        <f t="shared" si="16"/>
        <v>-40</v>
      </c>
      <c r="L231" s="17"/>
      <c r="M231" s="19">
        <f t="shared" si="17"/>
        <v>0</v>
      </c>
    </row>
    <row r="232" spans="1:13" x14ac:dyDescent="0.25">
      <c r="A232" s="43"/>
      <c r="G232" s="5"/>
      <c r="H232" s="17">
        <v>227</v>
      </c>
      <c r="I232" s="18" t="str">
        <f t="shared" si="15"/>
        <v/>
      </c>
      <c r="J232" s="17">
        <f t="shared" si="18"/>
        <v>-4</v>
      </c>
      <c r="K232" s="17">
        <f t="shared" si="16"/>
        <v>-40</v>
      </c>
      <c r="L232" s="17"/>
      <c r="M232" s="19">
        <f t="shared" si="17"/>
        <v>0</v>
      </c>
    </row>
    <row r="233" spans="1:13" x14ac:dyDescent="0.25">
      <c r="A233" s="43"/>
      <c r="G233" s="5"/>
      <c r="H233" s="17">
        <v>228</v>
      </c>
      <c r="I233" s="18" t="str">
        <f t="shared" si="15"/>
        <v/>
      </c>
      <c r="J233" s="17">
        <f t="shared" si="18"/>
        <v>-4</v>
      </c>
      <c r="K233" s="17">
        <f t="shared" si="16"/>
        <v>-40</v>
      </c>
      <c r="L233" s="17"/>
      <c r="M233" s="19">
        <f t="shared" si="17"/>
        <v>0</v>
      </c>
    </row>
    <row r="234" spans="1:13" x14ac:dyDescent="0.25">
      <c r="A234" s="43"/>
      <c r="G234" s="5"/>
      <c r="H234" s="17">
        <v>229</v>
      </c>
      <c r="I234" s="18" t="str">
        <f t="shared" si="15"/>
        <v/>
      </c>
      <c r="J234" s="17">
        <f t="shared" si="18"/>
        <v>-4</v>
      </c>
      <c r="K234" s="17">
        <f t="shared" si="16"/>
        <v>-40</v>
      </c>
      <c r="L234" s="17"/>
      <c r="M234" s="19">
        <f t="shared" si="17"/>
        <v>0</v>
      </c>
    </row>
    <row r="235" spans="1:13" x14ac:dyDescent="0.25">
      <c r="A235" s="43"/>
      <c r="G235" s="5"/>
      <c r="H235" s="17">
        <v>230</v>
      </c>
      <c r="I235" s="18" t="str">
        <f t="shared" si="15"/>
        <v/>
      </c>
      <c r="J235" s="17">
        <f t="shared" si="18"/>
        <v>-4</v>
      </c>
      <c r="K235" s="17">
        <f t="shared" si="16"/>
        <v>-40</v>
      </c>
      <c r="L235" s="17"/>
      <c r="M235" s="19">
        <f t="shared" si="17"/>
        <v>0</v>
      </c>
    </row>
    <row r="236" spans="1:13" x14ac:dyDescent="0.25">
      <c r="A236" s="43"/>
      <c r="G236" s="5"/>
      <c r="H236" s="17">
        <v>231</v>
      </c>
      <c r="I236" s="18" t="str">
        <f t="shared" si="15"/>
        <v/>
      </c>
      <c r="J236" s="17">
        <f t="shared" si="18"/>
        <v>-4</v>
      </c>
      <c r="K236" s="17">
        <f t="shared" si="16"/>
        <v>-40</v>
      </c>
      <c r="L236" s="17"/>
      <c r="M236" s="19">
        <f t="shared" si="17"/>
        <v>0</v>
      </c>
    </row>
    <row r="237" spans="1:13" x14ac:dyDescent="0.25">
      <c r="A237" s="43"/>
      <c r="G237" s="5"/>
      <c r="H237" s="17">
        <v>232</v>
      </c>
      <c r="I237" s="18" t="str">
        <f t="shared" si="15"/>
        <v/>
      </c>
      <c r="J237" s="17">
        <f t="shared" si="18"/>
        <v>-4</v>
      </c>
      <c r="K237" s="17">
        <f t="shared" si="16"/>
        <v>-40</v>
      </c>
      <c r="L237" s="17"/>
      <c r="M237" s="19">
        <f t="shared" si="17"/>
        <v>0</v>
      </c>
    </row>
    <row r="238" spans="1:13" x14ac:dyDescent="0.25">
      <c r="A238" s="43"/>
      <c r="G238" s="5"/>
      <c r="H238" s="17">
        <v>233</v>
      </c>
      <c r="I238" s="18" t="str">
        <f t="shared" si="15"/>
        <v/>
      </c>
      <c r="J238" s="17">
        <f t="shared" si="18"/>
        <v>-4</v>
      </c>
      <c r="K238" s="17">
        <f t="shared" si="16"/>
        <v>-40</v>
      </c>
      <c r="L238" s="17"/>
      <c r="M238" s="19">
        <f t="shared" si="17"/>
        <v>0</v>
      </c>
    </row>
    <row r="239" spans="1:13" x14ac:dyDescent="0.25">
      <c r="A239" s="43"/>
      <c r="G239" s="5"/>
      <c r="H239" s="17">
        <v>234</v>
      </c>
      <c r="I239" s="18" t="str">
        <f t="shared" si="15"/>
        <v/>
      </c>
      <c r="J239" s="17">
        <f t="shared" si="18"/>
        <v>-4</v>
      </c>
      <c r="K239" s="17">
        <f t="shared" si="16"/>
        <v>-40</v>
      </c>
      <c r="L239" s="17"/>
      <c r="M239" s="19">
        <f t="shared" si="17"/>
        <v>0</v>
      </c>
    </row>
    <row r="240" spans="1:13" x14ac:dyDescent="0.25">
      <c r="A240" s="43"/>
      <c r="G240" s="5"/>
      <c r="H240" s="17">
        <v>235</v>
      </c>
      <c r="I240" s="18" t="str">
        <f t="shared" si="15"/>
        <v/>
      </c>
      <c r="J240" s="17">
        <f t="shared" si="18"/>
        <v>-4</v>
      </c>
      <c r="K240" s="17">
        <f t="shared" si="16"/>
        <v>-40</v>
      </c>
      <c r="L240" s="17"/>
      <c r="M240" s="19">
        <f t="shared" si="17"/>
        <v>0</v>
      </c>
    </row>
    <row r="241" spans="1:13" x14ac:dyDescent="0.25">
      <c r="A241" s="43"/>
      <c r="G241" s="5"/>
      <c r="H241" s="17">
        <v>236</v>
      </c>
      <c r="I241" s="18" t="str">
        <f t="shared" si="15"/>
        <v/>
      </c>
      <c r="J241" s="17">
        <f t="shared" si="18"/>
        <v>-4</v>
      </c>
      <c r="K241" s="17">
        <f t="shared" si="16"/>
        <v>-40</v>
      </c>
      <c r="L241" s="17"/>
      <c r="M241" s="19">
        <f t="shared" si="17"/>
        <v>0</v>
      </c>
    </row>
    <row r="242" spans="1:13" x14ac:dyDescent="0.25">
      <c r="A242" s="43"/>
      <c r="G242" s="5"/>
      <c r="H242" s="17">
        <v>237</v>
      </c>
      <c r="I242" s="18" t="str">
        <f t="shared" si="15"/>
        <v/>
      </c>
      <c r="J242" s="17">
        <f t="shared" si="18"/>
        <v>-4</v>
      </c>
      <c r="K242" s="17">
        <f t="shared" si="16"/>
        <v>-40</v>
      </c>
      <c r="L242" s="17"/>
      <c r="M242" s="19">
        <f t="shared" si="17"/>
        <v>0</v>
      </c>
    </row>
    <row r="243" spans="1:13" x14ac:dyDescent="0.25">
      <c r="A243" s="43"/>
      <c r="G243" s="5"/>
      <c r="H243" s="17">
        <v>238</v>
      </c>
      <c r="I243" s="18" t="str">
        <f t="shared" si="15"/>
        <v/>
      </c>
      <c r="J243" s="17">
        <f t="shared" si="18"/>
        <v>-4</v>
      </c>
      <c r="K243" s="17">
        <f t="shared" si="16"/>
        <v>-40</v>
      </c>
      <c r="L243" s="17"/>
      <c r="M243" s="19">
        <f t="shared" si="17"/>
        <v>0</v>
      </c>
    </row>
    <row r="244" spans="1:13" x14ac:dyDescent="0.25">
      <c r="A244" s="43"/>
      <c r="G244" s="5"/>
      <c r="H244" s="17">
        <v>239</v>
      </c>
      <c r="I244" s="18" t="str">
        <f t="shared" si="15"/>
        <v/>
      </c>
      <c r="J244" s="17">
        <f t="shared" si="18"/>
        <v>-4</v>
      </c>
      <c r="K244" s="17">
        <f t="shared" si="16"/>
        <v>-40</v>
      </c>
      <c r="L244" s="17"/>
      <c r="M244" s="19">
        <f t="shared" si="17"/>
        <v>0</v>
      </c>
    </row>
    <row r="245" spans="1:13" x14ac:dyDescent="0.25">
      <c r="A245" s="43"/>
      <c r="G245" s="5"/>
      <c r="H245" s="17">
        <v>240</v>
      </c>
      <c r="I245" s="18" t="str">
        <f t="shared" si="15"/>
        <v/>
      </c>
      <c r="J245" s="17">
        <f t="shared" si="18"/>
        <v>-4</v>
      </c>
      <c r="K245" s="17">
        <f t="shared" si="16"/>
        <v>-40</v>
      </c>
      <c r="L245" s="17"/>
      <c r="M245" s="19">
        <f t="shared" si="17"/>
        <v>0</v>
      </c>
    </row>
    <row r="246" spans="1:13" x14ac:dyDescent="0.25">
      <c r="A246" s="43"/>
      <c r="G246" s="5"/>
      <c r="H246" s="17">
        <v>241</v>
      </c>
      <c r="I246" s="18" t="str">
        <f t="shared" si="15"/>
        <v/>
      </c>
      <c r="J246" s="17">
        <f t="shared" si="18"/>
        <v>-4</v>
      </c>
      <c r="K246" s="17">
        <f t="shared" si="16"/>
        <v>-40</v>
      </c>
      <c r="L246" s="17"/>
      <c r="M246" s="19">
        <f t="shared" si="17"/>
        <v>0</v>
      </c>
    </row>
    <row r="247" spans="1:13" x14ac:dyDescent="0.25">
      <c r="A247" s="43"/>
      <c r="G247" s="5"/>
      <c r="H247" s="17">
        <v>242</v>
      </c>
      <c r="I247" s="18" t="str">
        <f t="shared" si="15"/>
        <v/>
      </c>
      <c r="J247" s="17">
        <f t="shared" si="18"/>
        <v>-4</v>
      </c>
      <c r="K247" s="17">
        <f t="shared" si="16"/>
        <v>-40</v>
      </c>
      <c r="L247" s="17"/>
      <c r="M247" s="19">
        <f t="shared" si="17"/>
        <v>0</v>
      </c>
    </row>
    <row r="248" spans="1:13" x14ac:dyDescent="0.25">
      <c r="A248" s="43"/>
      <c r="G248" s="5"/>
      <c r="H248" s="17">
        <v>243</v>
      </c>
      <c r="I248" s="18" t="str">
        <f t="shared" si="15"/>
        <v/>
      </c>
      <c r="J248" s="17">
        <f t="shared" si="18"/>
        <v>-4</v>
      </c>
      <c r="K248" s="17">
        <f t="shared" si="16"/>
        <v>-40</v>
      </c>
      <c r="L248" s="17"/>
      <c r="M248" s="19">
        <f t="shared" si="17"/>
        <v>0</v>
      </c>
    </row>
    <row r="249" spans="1:13" x14ac:dyDescent="0.25">
      <c r="A249" s="43"/>
      <c r="G249" s="5"/>
      <c r="H249" s="17">
        <v>244</v>
      </c>
      <c r="I249" s="18" t="str">
        <f t="shared" si="15"/>
        <v/>
      </c>
      <c r="J249" s="17">
        <f t="shared" si="18"/>
        <v>-4</v>
      </c>
      <c r="K249" s="17">
        <f t="shared" si="16"/>
        <v>-40</v>
      </c>
      <c r="L249" s="17"/>
      <c r="M249" s="19">
        <f t="shared" si="17"/>
        <v>0</v>
      </c>
    </row>
    <row r="250" spans="1:13" x14ac:dyDescent="0.25">
      <c r="A250" s="43"/>
      <c r="G250" s="5"/>
      <c r="H250" s="17">
        <v>245</v>
      </c>
      <c r="I250" s="18" t="str">
        <f t="shared" si="15"/>
        <v/>
      </c>
      <c r="J250" s="17">
        <f t="shared" si="18"/>
        <v>-4</v>
      </c>
      <c r="K250" s="17">
        <f t="shared" si="16"/>
        <v>-40</v>
      </c>
      <c r="L250" s="17"/>
      <c r="M250" s="19">
        <f t="shared" si="17"/>
        <v>0</v>
      </c>
    </row>
    <row r="251" spans="1:13" x14ac:dyDescent="0.25">
      <c r="A251" s="43"/>
      <c r="G251" s="5"/>
      <c r="H251" s="17">
        <v>246</v>
      </c>
      <c r="I251" s="18" t="str">
        <f t="shared" si="15"/>
        <v/>
      </c>
      <c r="J251" s="17">
        <f t="shared" si="18"/>
        <v>-4</v>
      </c>
      <c r="K251" s="17">
        <f t="shared" si="16"/>
        <v>-40</v>
      </c>
      <c r="L251" s="17"/>
      <c r="M251" s="19">
        <f t="shared" si="17"/>
        <v>0</v>
      </c>
    </row>
    <row r="252" spans="1:13" x14ac:dyDescent="0.25">
      <c r="A252" s="43"/>
      <c r="G252" s="5"/>
      <c r="H252" s="17">
        <v>247</v>
      </c>
      <c r="I252" s="18" t="str">
        <f t="shared" si="15"/>
        <v/>
      </c>
      <c r="J252" s="17">
        <f t="shared" si="18"/>
        <v>-4</v>
      </c>
      <c r="K252" s="17">
        <f t="shared" si="16"/>
        <v>-40</v>
      </c>
      <c r="L252" s="17"/>
      <c r="M252" s="19">
        <f t="shared" si="17"/>
        <v>0</v>
      </c>
    </row>
    <row r="253" spans="1:13" x14ac:dyDescent="0.25">
      <c r="A253" s="43"/>
      <c r="G253" s="5"/>
      <c r="H253" s="17">
        <v>248</v>
      </c>
      <c r="I253" s="18" t="str">
        <f t="shared" si="15"/>
        <v/>
      </c>
      <c r="J253" s="17">
        <f t="shared" si="18"/>
        <v>-4</v>
      </c>
      <c r="K253" s="17">
        <f t="shared" si="16"/>
        <v>-40</v>
      </c>
      <c r="L253" s="17"/>
      <c r="M253" s="19">
        <f t="shared" si="17"/>
        <v>0</v>
      </c>
    </row>
    <row r="254" spans="1:13" x14ac:dyDescent="0.25">
      <c r="A254" s="43"/>
      <c r="G254" s="5"/>
      <c r="H254" s="17">
        <v>249</v>
      </c>
      <c r="I254" s="18" t="str">
        <f t="shared" si="15"/>
        <v/>
      </c>
      <c r="J254" s="17">
        <f t="shared" si="18"/>
        <v>-4</v>
      </c>
      <c r="K254" s="17">
        <f t="shared" si="16"/>
        <v>-40</v>
      </c>
      <c r="L254" s="17"/>
      <c r="M254" s="19">
        <f t="shared" si="17"/>
        <v>0</v>
      </c>
    </row>
    <row r="255" spans="1:13" x14ac:dyDescent="0.25">
      <c r="A255" s="43"/>
      <c r="G255" s="5"/>
      <c r="H255" s="17">
        <v>250</v>
      </c>
      <c r="I255" s="18" t="str">
        <f t="shared" si="15"/>
        <v/>
      </c>
      <c r="J255" s="17">
        <f t="shared" si="18"/>
        <v>-4</v>
      </c>
      <c r="K255" s="17">
        <f t="shared" si="16"/>
        <v>-40</v>
      </c>
      <c r="L255" s="17"/>
      <c r="M255" s="19">
        <f t="shared" si="17"/>
        <v>0</v>
      </c>
    </row>
    <row r="256" spans="1:13" x14ac:dyDescent="0.25">
      <c r="A256" s="43"/>
      <c r="G256" s="5"/>
      <c r="H256" s="17">
        <v>251</v>
      </c>
      <c r="I256" s="18" t="str">
        <f t="shared" si="15"/>
        <v/>
      </c>
      <c r="J256" s="17">
        <f t="shared" si="18"/>
        <v>-4</v>
      </c>
      <c r="K256" s="17">
        <f t="shared" si="16"/>
        <v>-40</v>
      </c>
      <c r="L256" s="17"/>
      <c r="M256" s="19">
        <f t="shared" si="17"/>
        <v>0</v>
      </c>
    </row>
    <row r="257" spans="1:13" x14ac:dyDescent="0.25">
      <c r="A257" s="43"/>
      <c r="G257" s="5"/>
      <c r="H257" s="17">
        <v>252</v>
      </c>
      <c r="I257" s="18" t="str">
        <f t="shared" si="15"/>
        <v/>
      </c>
      <c r="J257" s="17">
        <f t="shared" si="18"/>
        <v>-4</v>
      </c>
      <c r="K257" s="17">
        <f t="shared" si="16"/>
        <v>-40</v>
      </c>
      <c r="L257" s="17"/>
      <c r="M257" s="19">
        <f t="shared" si="17"/>
        <v>0</v>
      </c>
    </row>
    <row r="258" spans="1:13" x14ac:dyDescent="0.25">
      <c r="A258" s="43"/>
      <c r="G258" s="5"/>
      <c r="H258" s="17">
        <v>253</v>
      </c>
      <c r="I258" s="18" t="str">
        <f t="shared" si="15"/>
        <v/>
      </c>
      <c r="J258" s="17">
        <f t="shared" si="18"/>
        <v>-4</v>
      </c>
      <c r="K258" s="17">
        <f t="shared" si="16"/>
        <v>-40</v>
      </c>
      <c r="L258" s="17"/>
      <c r="M258" s="19">
        <f t="shared" si="17"/>
        <v>0</v>
      </c>
    </row>
    <row r="259" spans="1:13" x14ac:dyDescent="0.25">
      <c r="A259" s="43"/>
      <c r="G259" s="5"/>
      <c r="H259" s="17">
        <v>254</v>
      </c>
      <c r="I259" s="18" t="str">
        <f t="shared" si="15"/>
        <v/>
      </c>
      <c r="J259" s="17">
        <f t="shared" si="18"/>
        <v>-4</v>
      </c>
      <c r="K259" s="17">
        <f t="shared" si="16"/>
        <v>-40</v>
      </c>
      <c r="L259" s="17"/>
      <c r="M259" s="19">
        <f t="shared" si="17"/>
        <v>0</v>
      </c>
    </row>
    <row r="260" spans="1:13" x14ac:dyDescent="0.25">
      <c r="A260" s="43"/>
      <c r="G260" s="5"/>
      <c r="H260" s="17">
        <v>255</v>
      </c>
      <c r="I260" s="18" t="str">
        <f t="shared" si="15"/>
        <v/>
      </c>
      <c r="J260" s="17">
        <f t="shared" si="18"/>
        <v>-4</v>
      </c>
      <c r="K260" s="17">
        <f t="shared" si="16"/>
        <v>-40</v>
      </c>
      <c r="L260" s="17"/>
      <c r="M260" s="19">
        <f t="shared" si="17"/>
        <v>0</v>
      </c>
    </row>
    <row r="261" spans="1:13" x14ac:dyDescent="0.25">
      <c r="A261" s="43"/>
      <c r="G261" s="5"/>
      <c r="H261" s="17">
        <v>256</v>
      </c>
      <c r="I261" s="18" t="str">
        <f t="shared" si="15"/>
        <v/>
      </c>
      <c r="J261" s="17">
        <f t="shared" si="18"/>
        <v>-4</v>
      </c>
      <c r="K261" s="17">
        <f t="shared" si="16"/>
        <v>-40</v>
      </c>
      <c r="L261" s="17"/>
      <c r="M261" s="19">
        <f t="shared" si="17"/>
        <v>0</v>
      </c>
    </row>
    <row r="262" spans="1:13" x14ac:dyDescent="0.25">
      <c r="A262" s="43"/>
      <c r="G262" s="5"/>
      <c r="H262" s="17">
        <v>257</v>
      </c>
      <c r="I262" s="18" t="str">
        <f t="shared" ref="I262:I305" si="19">IF(H262&lt;$H$2+1,($I$2-($I$2-1)*(LOG(H262)/LOG($H$2))),"")</f>
        <v/>
      </c>
      <c r="J262" s="17">
        <f t="shared" si="18"/>
        <v>-5</v>
      </c>
      <c r="K262" s="17">
        <f t="shared" ref="K262:K305" si="20">J262*$J$2</f>
        <v>-50</v>
      </c>
      <c r="L262" s="17"/>
      <c r="M262" s="19">
        <f t="shared" ref="M262:M305" si="21">IF(I262&lt;&gt;"",K262+I262+L262,0)</f>
        <v>0</v>
      </c>
    </row>
    <row r="263" spans="1:13" x14ac:dyDescent="0.25">
      <c r="A263" s="43"/>
      <c r="G263" s="5"/>
      <c r="H263" s="17">
        <v>258</v>
      </c>
      <c r="I263" s="18" t="str">
        <f t="shared" si="19"/>
        <v/>
      </c>
      <c r="J263" s="17">
        <f t="shared" ref="J263:J326" si="22">INT(LOG($H$2,2))-ROUNDUP(LOG(H263,2),0)+IF(OR($H$2=1,$H$2=2,$H$2=4,$H$2=8,$H$2=16,$H$2=32,$H$2=64,$H$2=128,$H$2=256),0,1)</f>
        <v>-5</v>
      </c>
      <c r="K263" s="17">
        <f t="shared" si="20"/>
        <v>-50</v>
      </c>
      <c r="L263" s="17"/>
      <c r="M263" s="19">
        <f t="shared" si="21"/>
        <v>0</v>
      </c>
    </row>
    <row r="264" spans="1:13" x14ac:dyDescent="0.25">
      <c r="A264" s="43"/>
      <c r="G264" s="5"/>
      <c r="H264" s="17">
        <v>259</v>
      </c>
      <c r="I264" s="18" t="str">
        <f t="shared" si="19"/>
        <v/>
      </c>
      <c r="J264" s="17">
        <f t="shared" si="22"/>
        <v>-5</v>
      </c>
      <c r="K264" s="17">
        <f t="shared" si="20"/>
        <v>-50</v>
      </c>
      <c r="L264" s="17"/>
      <c r="M264" s="19">
        <f t="shared" si="21"/>
        <v>0</v>
      </c>
    </row>
    <row r="265" spans="1:13" x14ac:dyDescent="0.25">
      <c r="A265" s="43"/>
      <c r="G265" s="5"/>
      <c r="H265" s="17">
        <v>260</v>
      </c>
      <c r="I265" s="18" t="str">
        <f t="shared" si="19"/>
        <v/>
      </c>
      <c r="J265" s="17">
        <f t="shared" si="22"/>
        <v>-5</v>
      </c>
      <c r="K265" s="17">
        <f t="shared" si="20"/>
        <v>-50</v>
      </c>
      <c r="L265" s="17"/>
      <c r="M265" s="19">
        <f t="shared" si="21"/>
        <v>0</v>
      </c>
    </row>
    <row r="266" spans="1:13" x14ac:dyDescent="0.25">
      <c r="A266" s="43"/>
      <c r="G266" s="5"/>
      <c r="H266" s="17">
        <v>261</v>
      </c>
      <c r="I266" s="18" t="str">
        <f t="shared" si="19"/>
        <v/>
      </c>
      <c r="J266" s="17">
        <f t="shared" si="22"/>
        <v>-5</v>
      </c>
      <c r="K266" s="17">
        <f t="shared" si="20"/>
        <v>-50</v>
      </c>
      <c r="L266" s="17"/>
      <c r="M266" s="19">
        <f t="shared" si="21"/>
        <v>0</v>
      </c>
    </row>
    <row r="267" spans="1:13" x14ac:dyDescent="0.25">
      <c r="A267" s="43"/>
      <c r="G267" s="5"/>
      <c r="H267" s="17">
        <v>262</v>
      </c>
      <c r="I267" s="18" t="str">
        <f t="shared" si="19"/>
        <v/>
      </c>
      <c r="J267" s="17">
        <f t="shared" si="22"/>
        <v>-5</v>
      </c>
      <c r="K267" s="17">
        <f t="shared" si="20"/>
        <v>-50</v>
      </c>
      <c r="L267" s="17"/>
      <c r="M267" s="19">
        <f t="shared" si="21"/>
        <v>0</v>
      </c>
    </row>
    <row r="268" spans="1:13" x14ac:dyDescent="0.25">
      <c r="A268" s="43"/>
      <c r="G268" s="5"/>
      <c r="H268" s="17">
        <v>263</v>
      </c>
      <c r="I268" s="18" t="str">
        <f t="shared" si="19"/>
        <v/>
      </c>
      <c r="J268" s="17">
        <f t="shared" si="22"/>
        <v>-5</v>
      </c>
      <c r="K268" s="17">
        <f t="shared" si="20"/>
        <v>-50</v>
      </c>
      <c r="L268" s="17"/>
      <c r="M268" s="19">
        <f t="shared" si="21"/>
        <v>0</v>
      </c>
    </row>
    <row r="269" spans="1:13" x14ac:dyDescent="0.25">
      <c r="A269" s="43"/>
      <c r="G269" s="5"/>
      <c r="H269" s="17">
        <v>264</v>
      </c>
      <c r="I269" s="18" t="str">
        <f t="shared" si="19"/>
        <v/>
      </c>
      <c r="J269" s="17">
        <f t="shared" si="22"/>
        <v>-5</v>
      </c>
      <c r="K269" s="17">
        <f t="shared" si="20"/>
        <v>-50</v>
      </c>
      <c r="L269" s="17"/>
      <c r="M269" s="19">
        <f t="shared" si="21"/>
        <v>0</v>
      </c>
    </row>
    <row r="270" spans="1:13" x14ac:dyDescent="0.25">
      <c r="A270" s="43"/>
      <c r="G270" s="5"/>
      <c r="H270" s="17">
        <v>265</v>
      </c>
      <c r="I270" s="18" t="str">
        <f t="shared" si="19"/>
        <v/>
      </c>
      <c r="J270" s="17">
        <f t="shared" si="22"/>
        <v>-5</v>
      </c>
      <c r="K270" s="17">
        <f t="shared" si="20"/>
        <v>-50</v>
      </c>
      <c r="L270" s="17"/>
      <c r="M270" s="19">
        <f t="shared" si="21"/>
        <v>0</v>
      </c>
    </row>
    <row r="271" spans="1:13" x14ac:dyDescent="0.25">
      <c r="A271" s="43"/>
      <c r="G271" s="5"/>
      <c r="H271" s="17">
        <v>266</v>
      </c>
      <c r="I271" s="18" t="str">
        <f t="shared" si="19"/>
        <v/>
      </c>
      <c r="J271" s="17">
        <f t="shared" si="22"/>
        <v>-5</v>
      </c>
      <c r="K271" s="17">
        <f t="shared" si="20"/>
        <v>-50</v>
      </c>
      <c r="L271" s="17"/>
      <c r="M271" s="19">
        <f t="shared" si="21"/>
        <v>0</v>
      </c>
    </row>
    <row r="272" spans="1:13" x14ac:dyDescent="0.25">
      <c r="A272" s="43"/>
      <c r="G272" s="5"/>
      <c r="H272" s="17">
        <v>267</v>
      </c>
      <c r="I272" s="18" t="str">
        <f t="shared" si="19"/>
        <v/>
      </c>
      <c r="J272" s="17">
        <f t="shared" si="22"/>
        <v>-5</v>
      </c>
      <c r="K272" s="17">
        <f t="shared" si="20"/>
        <v>-50</v>
      </c>
      <c r="L272" s="17"/>
      <c r="M272" s="19">
        <f t="shared" si="21"/>
        <v>0</v>
      </c>
    </row>
    <row r="273" spans="1:13" x14ac:dyDescent="0.25">
      <c r="A273" s="43"/>
      <c r="G273" s="5"/>
      <c r="H273" s="17">
        <v>268</v>
      </c>
      <c r="I273" s="18" t="str">
        <f t="shared" si="19"/>
        <v/>
      </c>
      <c r="J273" s="17">
        <f t="shared" si="22"/>
        <v>-5</v>
      </c>
      <c r="K273" s="17">
        <f t="shared" si="20"/>
        <v>-50</v>
      </c>
      <c r="L273" s="17"/>
      <c r="M273" s="19">
        <f t="shared" si="21"/>
        <v>0</v>
      </c>
    </row>
    <row r="274" spans="1:13" x14ac:dyDescent="0.25">
      <c r="A274" s="43"/>
      <c r="G274" s="5"/>
      <c r="H274" s="17">
        <v>269</v>
      </c>
      <c r="I274" s="18" t="str">
        <f t="shared" si="19"/>
        <v/>
      </c>
      <c r="J274" s="17">
        <f t="shared" si="22"/>
        <v>-5</v>
      </c>
      <c r="K274" s="17">
        <f t="shared" si="20"/>
        <v>-50</v>
      </c>
      <c r="L274" s="17"/>
      <c r="M274" s="19">
        <f t="shared" si="21"/>
        <v>0</v>
      </c>
    </row>
    <row r="275" spans="1:13" x14ac:dyDescent="0.25">
      <c r="A275" s="43"/>
      <c r="G275" s="5"/>
      <c r="H275" s="17">
        <v>270</v>
      </c>
      <c r="I275" s="18" t="str">
        <f t="shared" si="19"/>
        <v/>
      </c>
      <c r="J275" s="17">
        <f t="shared" si="22"/>
        <v>-5</v>
      </c>
      <c r="K275" s="17">
        <f t="shared" si="20"/>
        <v>-50</v>
      </c>
      <c r="L275" s="17"/>
      <c r="M275" s="19">
        <f t="shared" si="21"/>
        <v>0</v>
      </c>
    </row>
    <row r="276" spans="1:13" x14ac:dyDescent="0.25">
      <c r="A276" s="43"/>
      <c r="G276" s="5"/>
      <c r="H276" s="17">
        <v>271</v>
      </c>
      <c r="I276" s="18" t="str">
        <f t="shared" si="19"/>
        <v/>
      </c>
      <c r="J276" s="17">
        <f t="shared" si="22"/>
        <v>-5</v>
      </c>
      <c r="K276" s="17">
        <f t="shared" si="20"/>
        <v>-50</v>
      </c>
      <c r="L276" s="17"/>
      <c r="M276" s="19">
        <f t="shared" si="21"/>
        <v>0</v>
      </c>
    </row>
    <row r="277" spans="1:13" x14ac:dyDescent="0.25">
      <c r="A277" s="43"/>
      <c r="G277" s="5"/>
      <c r="H277" s="17">
        <v>272</v>
      </c>
      <c r="I277" s="18" t="str">
        <f t="shared" si="19"/>
        <v/>
      </c>
      <c r="J277" s="17">
        <f t="shared" si="22"/>
        <v>-5</v>
      </c>
      <c r="K277" s="17">
        <f t="shared" si="20"/>
        <v>-50</v>
      </c>
      <c r="L277" s="17"/>
      <c r="M277" s="19">
        <f t="shared" si="21"/>
        <v>0</v>
      </c>
    </row>
    <row r="278" spans="1:13" x14ac:dyDescent="0.25">
      <c r="A278" s="43"/>
      <c r="G278" s="5"/>
      <c r="H278" s="17">
        <v>273</v>
      </c>
      <c r="I278" s="18" t="str">
        <f t="shared" si="19"/>
        <v/>
      </c>
      <c r="J278" s="17">
        <f t="shared" si="22"/>
        <v>-5</v>
      </c>
      <c r="K278" s="17">
        <f t="shared" si="20"/>
        <v>-50</v>
      </c>
      <c r="L278" s="17"/>
      <c r="M278" s="19">
        <f t="shared" si="21"/>
        <v>0</v>
      </c>
    </row>
    <row r="279" spans="1:13" x14ac:dyDescent="0.25">
      <c r="A279" s="43"/>
      <c r="G279" s="5"/>
      <c r="H279" s="17">
        <v>274</v>
      </c>
      <c r="I279" s="18" t="str">
        <f t="shared" si="19"/>
        <v/>
      </c>
      <c r="J279" s="17">
        <f t="shared" si="22"/>
        <v>-5</v>
      </c>
      <c r="K279" s="17">
        <f t="shared" si="20"/>
        <v>-50</v>
      </c>
      <c r="L279" s="17"/>
      <c r="M279" s="19">
        <f t="shared" si="21"/>
        <v>0</v>
      </c>
    </row>
    <row r="280" spans="1:13" x14ac:dyDescent="0.25">
      <c r="A280" s="43"/>
      <c r="G280" s="5"/>
      <c r="H280" s="17">
        <v>275</v>
      </c>
      <c r="I280" s="18" t="str">
        <f t="shared" si="19"/>
        <v/>
      </c>
      <c r="J280" s="17">
        <f t="shared" si="22"/>
        <v>-5</v>
      </c>
      <c r="K280" s="17">
        <f t="shared" si="20"/>
        <v>-50</v>
      </c>
      <c r="L280" s="17"/>
      <c r="M280" s="19">
        <f t="shared" si="21"/>
        <v>0</v>
      </c>
    </row>
    <row r="281" spans="1:13" x14ac:dyDescent="0.25">
      <c r="A281" s="43"/>
      <c r="G281" s="5"/>
      <c r="H281" s="17">
        <v>276</v>
      </c>
      <c r="I281" s="18" t="str">
        <f t="shared" si="19"/>
        <v/>
      </c>
      <c r="J281" s="17">
        <f t="shared" si="22"/>
        <v>-5</v>
      </c>
      <c r="K281" s="17">
        <f t="shared" si="20"/>
        <v>-50</v>
      </c>
      <c r="L281" s="17"/>
      <c r="M281" s="19">
        <f t="shared" si="21"/>
        <v>0</v>
      </c>
    </row>
    <row r="282" spans="1:13" x14ac:dyDescent="0.25">
      <c r="A282" s="43"/>
      <c r="G282" s="5"/>
      <c r="H282" s="17">
        <v>277</v>
      </c>
      <c r="I282" s="18" t="str">
        <f t="shared" si="19"/>
        <v/>
      </c>
      <c r="J282" s="17">
        <f t="shared" si="22"/>
        <v>-5</v>
      </c>
      <c r="K282" s="17">
        <f t="shared" si="20"/>
        <v>-50</v>
      </c>
      <c r="L282" s="17"/>
      <c r="M282" s="19">
        <f t="shared" si="21"/>
        <v>0</v>
      </c>
    </row>
    <row r="283" spans="1:13" x14ac:dyDescent="0.25">
      <c r="A283" s="43"/>
      <c r="G283" s="5"/>
      <c r="H283" s="17">
        <v>278</v>
      </c>
      <c r="I283" s="18" t="str">
        <f t="shared" si="19"/>
        <v/>
      </c>
      <c r="J283" s="17">
        <f t="shared" si="22"/>
        <v>-5</v>
      </c>
      <c r="K283" s="17">
        <f t="shared" si="20"/>
        <v>-50</v>
      </c>
      <c r="L283" s="17"/>
      <c r="M283" s="19">
        <f t="shared" si="21"/>
        <v>0</v>
      </c>
    </row>
    <row r="284" spans="1:13" x14ac:dyDescent="0.25">
      <c r="A284" s="43"/>
      <c r="G284" s="5"/>
      <c r="H284" s="17">
        <v>279</v>
      </c>
      <c r="I284" s="18" t="str">
        <f t="shared" si="19"/>
        <v/>
      </c>
      <c r="J284" s="17">
        <f t="shared" si="22"/>
        <v>-5</v>
      </c>
      <c r="K284" s="17">
        <f t="shared" si="20"/>
        <v>-50</v>
      </c>
      <c r="L284" s="17"/>
      <c r="M284" s="19">
        <f t="shared" si="21"/>
        <v>0</v>
      </c>
    </row>
    <row r="285" spans="1:13" x14ac:dyDescent="0.25">
      <c r="A285" s="43"/>
      <c r="G285" s="5"/>
      <c r="H285" s="17">
        <v>280</v>
      </c>
      <c r="I285" s="18" t="str">
        <f t="shared" si="19"/>
        <v/>
      </c>
      <c r="J285" s="17">
        <f t="shared" si="22"/>
        <v>-5</v>
      </c>
      <c r="K285" s="17">
        <f t="shared" si="20"/>
        <v>-50</v>
      </c>
      <c r="L285" s="17"/>
      <c r="M285" s="19">
        <f t="shared" si="21"/>
        <v>0</v>
      </c>
    </row>
    <row r="286" spans="1:13" x14ac:dyDescent="0.25">
      <c r="A286" s="43"/>
      <c r="G286" s="5"/>
      <c r="H286" s="17">
        <v>281</v>
      </c>
      <c r="I286" s="18" t="str">
        <f t="shared" si="19"/>
        <v/>
      </c>
      <c r="J286" s="17">
        <f t="shared" si="22"/>
        <v>-5</v>
      </c>
      <c r="K286" s="17">
        <f t="shared" si="20"/>
        <v>-50</v>
      </c>
      <c r="L286" s="17"/>
      <c r="M286" s="19">
        <f t="shared" si="21"/>
        <v>0</v>
      </c>
    </row>
    <row r="287" spans="1:13" x14ac:dyDescent="0.25">
      <c r="A287" s="43"/>
      <c r="G287" s="5"/>
      <c r="H287" s="17">
        <v>282</v>
      </c>
      <c r="I287" s="18" t="str">
        <f t="shared" si="19"/>
        <v/>
      </c>
      <c r="J287" s="17">
        <f t="shared" si="22"/>
        <v>-5</v>
      </c>
      <c r="K287" s="17">
        <f t="shared" si="20"/>
        <v>-50</v>
      </c>
      <c r="L287" s="17"/>
      <c r="M287" s="19">
        <f t="shared" si="21"/>
        <v>0</v>
      </c>
    </row>
    <row r="288" spans="1:13" x14ac:dyDescent="0.25">
      <c r="A288" s="43"/>
      <c r="G288" s="5"/>
      <c r="H288" s="17">
        <v>283</v>
      </c>
      <c r="I288" s="18" t="str">
        <f t="shared" si="19"/>
        <v/>
      </c>
      <c r="J288" s="17">
        <f t="shared" si="22"/>
        <v>-5</v>
      </c>
      <c r="K288" s="17">
        <f t="shared" si="20"/>
        <v>-50</v>
      </c>
      <c r="L288" s="17"/>
      <c r="M288" s="19">
        <f t="shared" si="21"/>
        <v>0</v>
      </c>
    </row>
    <row r="289" spans="1:13" x14ac:dyDescent="0.25">
      <c r="A289" s="43"/>
      <c r="G289" s="5"/>
      <c r="H289" s="17">
        <v>284</v>
      </c>
      <c r="I289" s="18" t="str">
        <f t="shared" si="19"/>
        <v/>
      </c>
      <c r="J289" s="17">
        <f t="shared" si="22"/>
        <v>-5</v>
      </c>
      <c r="K289" s="17">
        <f t="shared" si="20"/>
        <v>-50</v>
      </c>
      <c r="L289" s="17"/>
      <c r="M289" s="19">
        <f t="shared" si="21"/>
        <v>0</v>
      </c>
    </row>
    <row r="290" spans="1:13" x14ac:dyDescent="0.25">
      <c r="A290" s="43"/>
      <c r="G290" s="5"/>
      <c r="H290" s="17">
        <v>285</v>
      </c>
      <c r="I290" s="18" t="str">
        <f t="shared" si="19"/>
        <v/>
      </c>
      <c r="J290" s="17">
        <f t="shared" si="22"/>
        <v>-5</v>
      </c>
      <c r="K290" s="17">
        <f t="shared" si="20"/>
        <v>-50</v>
      </c>
      <c r="L290" s="17"/>
      <c r="M290" s="19">
        <f t="shared" si="21"/>
        <v>0</v>
      </c>
    </row>
    <row r="291" spans="1:13" x14ac:dyDescent="0.25">
      <c r="A291" s="43"/>
      <c r="G291" s="5"/>
      <c r="H291" s="17">
        <v>286</v>
      </c>
      <c r="I291" s="18" t="str">
        <f t="shared" si="19"/>
        <v/>
      </c>
      <c r="J291" s="17">
        <f t="shared" si="22"/>
        <v>-5</v>
      </c>
      <c r="K291" s="17">
        <f t="shared" si="20"/>
        <v>-50</v>
      </c>
      <c r="L291" s="17"/>
      <c r="M291" s="19">
        <f t="shared" si="21"/>
        <v>0</v>
      </c>
    </row>
    <row r="292" spans="1:13" x14ac:dyDescent="0.25">
      <c r="A292" s="43"/>
      <c r="G292" s="5"/>
      <c r="H292" s="17">
        <v>287</v>
      </c>
      <c r="I292" s="18" t="str">
        <f t="shared" si="19"/>
        <v/>
      </c>
      <c r="J292" s="17">
        <f t="shared" si="22"/>
        <v>-5</v>
      </c>
      <c r="K292" s="17">
        <f t="shared" si="20"/>
        <v>-50</v>
      </c>
      <c r="L292" s="17"/>
      <c r="M292" s="19">
        <f t="shared" si="21"/>
        <v>0</v>
      </c>
    </row>
    <row r="293" spans="1:13" x14ac:dyDescent="0.25">
      <c r="A293" s="43"/>
      <c r="G293" s="5"/>
      <c r="H293" s="17">
        <v>288</v>
      </c>
      <c r="I293" s="18" t="str">
        <f t="shared" si="19"/>
        <v/>
      </c>
      <c r="J293" s="17">
        <f t="shared" si="22"/>
        <v>-5</v>
      </c>
      <c r="K293" s="17">
        <f t="shared" si="20"/>
        <v>-50</v>
      </c>
      <c r="L293" s="17"/>
      <c r="M293" s="19">
        <f t="shared" si="21"/>
        <v>0</v>
      </c>
    </row>
    <row r="294" spans="1:13" x14ac:dyDescent="0.25">
      <c r="A294" s="43"/>
      <c r="G294" s="5"/>
      <c r="H294" s="17">
        <v>289</v>
      </c>
      <c r="I294" s="18" t="str">
        <f t="shared" si="19"/>
        <v/>
      </c>
      <c r="J294" s="17">
        <f t="shared" si="22"/>
        <v>-5</v>
      </c>
      <c r="K294" s="17">
        <f t="shared" si="20"/>
        <v>-50</v>
      </c>
      <c r="L294" s="17"/>
      <c r="M294" s="19">
        <f t="shared" si="21"/>
        <v>0</v>
      </c>
    </row>
    <row r="295" spans="1:13" x14ac:dyDescent="0.25">
      <c r="A295" s="43"/>
      <c r="G295" s="5"/>
      <c r="H295" s="17">
        <v>290</v>
      </c>
      <c r="I295" s="18" t="str">
        <f t="shared" si="19"/>
        <v/>
      </c>
      <c r="J295" s="17">
        <f t="shared" si="22"/>
        <v>-5</v>
      </c>
      <c r="K295" s="17">
        <f t="shared" si="20"/>
        <v>-50</v>
      </c>
      <c r="L295" s="17"/>
      <c r="M295" s="19">
        <f t="shared" si="21"/>
        <v>0</v>
      </c>
    </row>
    <row r="296" spans="1:13" x14ac:dyDescent="0.25">
      <c r="A296" s="43"/>
      <c r="G296" s="5"/>
      <c r="H296" s="17">
        <v>291</v>
      </c>
      <c r="I296" s="18" t="str">
        <f t="shared" si="19"/>
        <v/>
      </c>
      <c r="J296" s="17">
        <f t="shared" si="22"/>
        <v>-5</v>
      </c>
      <c r="K296" s="17">
        <f t="shared" si="20"/>
        <v>-50</v>
      </c>
      <c r="L296" s="17"/>
      <c r="M296" s="19">
        <f t="shared" si="21"/>
        <v>0</v>
      </c>
    </row>
    <row r="297" spans="1:13" x14ac:dyDescent="0.25">
      <c r="A297" s="43"/>
      <c r="G297" s="5"/>
      <c r="H297" s="17">
        <v>292</v>
      </c>
      <c r="I297" s="18" t="str">
        <f t="shared" si="19"/>
        <v/>
      </c>
      <c r="J297" s="17">
        <f t="shared" si="22"/>
        <v>-5</v>
      </c>
      <c r="K297" s="17">
        <f t="shared" si="20"/>
        <v>-50</v>
      </c>
      <c r="L297" s="17"/>
      <c r="M297" s="19">
        <f t="shared" si="21"/>
        <v>0</v>
      </c>
    </row>
    <row r="298" spans="1:13" x14ac:dyDescent="0.25">
      <c r="A298" s="43"/>
      <c r="G298" s="5"/>
      <c r="H298" s="17">
        <v>293</v>
      </c>
      <c r="I298" s="18" t="str">
        <f t="shared" si="19"/>
        <v/>
      </c>
      <c r="J298" s="17">
        <f t="shared" si="22"/>
        <v>-5</v>
      </c>
      <c r="K298" s="17">
        <f t="shared" si="20"/>
        <v>-50</v>
      </c>
      <c r="L298" s="17"/>
      <c r="M298" s="19">
        <f t="shared" si="21"/>
        <v>0</v>
      </c>
    </row>
    <row r="299" spans="1:13" x14ac:dyDescent="0.25">
      <c r="A299" s="43"/>
      <c r="G299" s="5"/>
      <c r="H299" s="17">
        <v>294</v>
      </c>
      <c r="I299" s="18" t="str">
        <f t="shared" si="19"/>
        <v/>
      </c>
      <c r="J299" s="17">
        <f t="shared" si="22"/>
        <v>-5</v>
      </c>
      <c r="K299" s="17">
        <f t="shared" si="20"/>
        <v>-50</v>
      </c>
      <c r="L299" s="17"/>
      <c r="M299" s="19">
        <f t="shared" si="21"/>
        <v>0</v>
      </c>
    </row>
    <row r="300" spans="1:13" x14ac:dyDescent="0.25">
      <c r="A300" s="43"/>
      <c r="G300" s="5"/>
      <c r="H300" s="17">
        <v>295</v>
      </c>
      <c r="I300" s="18" t="str">
        <f t="shared" si="19"/>
        <v/>
      </c>
      <c r="J300" s="17">
        <f t="shared" si="22"/>
        <v>-5</v>
      </c>
      <c r="K300" s="17">
        <f t="shared" si="20"/>
        <v>-50</v>
      </c>
      <c r="L300" s="17"/>
      <c r="M300" s="19">
        <f t="shared" si="21"/>
        <v>0</v>
      </c>
    </row>
    <row r="301" spans="1:13" x14ac:dyDescent="0.25">
      <c r="A301" s="43"/>
      <c r="G301" s="5"/>
      <c r="H301" s="17">
        <v>296</v>
      </c>
      <c r="I301" s="18" t="str">
        <f t="shared" si="19"/>
        <v/>
      </c>
      <c r="J301" s="17">
        <f t="shared" si="22"/>
        <v>-5</v>
      </c>
      <c r="K301" s="17">
        <f t="shared" si="20"/>
        <v>-50</v>
      </c>
      <c r="L301" s="17"/>
      <c r="M301" s="19">
        <f t="shared" si="21"/>
        <v>0</v>
      </c>
    </row>
    <row r="302" spans="1:13" x14ac:dyDescent="0.25">
      <c r="A302" s="43"/>
      <c r="G302" s="5"/>
      <c r="H302" s="17">
        <v>297</v>
      </c>
      <c r="I302" s="18" t="str">
        <f t="shared" si="19"/>
        <v/>
      </c>
      <c r="J302" s="17">
        <f t="shared" si="22"/>
        <v>-5</v>
      </c>
      <c r="K302" s="17">
        <f t="shared" si="20"/>
        <v>-50</v>
      </c>
      <c r="L302" s="17"/>
      <c r="M302" s="19">
        <f t="shared" si="21"/>
        <v>0</v>
      </c>
    </row>
    <row r="303" spans="1:13" x14ac:dyDescent="0.25">
      <c r="A303" s="43"/>
      <c r="G303" s="5"/>
      <c r="H303" s="17">
        <v>298</v>
      </c>
      <c r="I303" s="18" t="str">
        <f t="shared" si="19"/>
        <v/>
      </c>
      <c r="J303" s="17">
        <f t="shared" si="22"/>
        <v>-5</v>
      </c>
      <c r="K303" s="17">
        <f t="shared" si="20"/>
        <v>-50</v>
      </c>
      <c r="L303" s="17"/>
      <c r="M303" s="19">
        <f t="shared" si="21"/>
        <v>0</v>
      </c>
    </row>
    <row r="304" spans="1:13" x14ac:dyDescent="0.25">
      <c r="A304" s="43"/>
      <c r="G304" s="5"/>
      <c r="H304" s="17">
        <v>299</v>
      </c>
      <c r="I304" s="18" t="str">
        <f t="shared" si="19"/>
        <v/>
      </c>
      <c r="J304" s="17">
        <f t="shared" si="22"/>
        <v>-5</v>
      </c>
      <c r="K304" s="17">
        <f t="shared" si="20"/>
        <v>-50</v>
      </c>
      <c r="L304" s="17"/>
      <c r="M304" s="19">
        <f t="shared" si="21"/>
        <v>0</v>
      </c>
    </row>
    <row r="305" spans="1:16" x14ac:dyDescent="0.25">
      <c r="A305" s="43"/>
      <c r="G305" s="5"/>
      <c r="H305" s="17">
        <v>300</v>
      </c>
      <c r="I305" s="18" t="str">
        <f t="shared" si="19"/>
        <v/>
      </c>
      <c r="J305" s="17">
        <f t="shared" si="22"/>
        <v>-5</v>
      </c>
      <c r="K305" s="17">
        <f t="shared" si="20"/>
        <v>-50</v>
      </c>
      <c r="L305" s="17"/>
      <c r="M305" s="19">
        <f t="shared" si="21"/>
        <v>0</v>
      </c>
    </row>
    <row r="306" spans="1:16" x14ac:dyDescent="0.25">
      <c r="A306" s="4"/>
      <c r="J306" s="20" t="e">
        <f t="shared" si="22"/>
        <v>#NUM!</v>
      </c>
    </row>
    <row r="307" spans="1:16" x14ac:dyDescent="0.25">
      <c r="J307" s="20" t="e">
        <f t="shared" si="22"/>
        <v>#NUM!</v>
      </c>
    </row>
    <row r="308" spans="1:16" x14ac:dyDescent="0.25">
      <c r="J308" s="20" t="e">
        <f t="shared" si="22"/>
        <v>#NUM!</v>
      </c>
    </row>
    <row r="309" spans="1:16" x14ac:dyDescent="0.25">
      <c r="J309" s="20" t="e">
        <f t="shared" si="22"/>
        <v>#NUM!</v>
      </c>
    </row>
    <row r="310" spans="1:16" x14ac:dyDescent="0.25">
      <c r="J310" s="20" t="e">
        <f t="shared" si="22"/>
        <v>#NUM!</v>
      </c>
    </row>
    <row r="311" spans="1:16" x14ac:dyDescent="0.25">
      <c r="J311" s="20" t="e">
        <f t="shared" si="22"/>
        <v>#NUM!</v>
      </c>
    </row>
    <row r="312" spans="1:16" x14ac:dyDescent="0.25">
      <c r="J312" s="20" t="e">
        <f t="shared" si="22"/>
        <v>#NUM!</v>
      </c>
    </row>
    <row r="313" spans="1:16" x14ac:dyDescent="0.25">
      <c r="J313" s="20" t="e">
        <f t="shared" si="22"/>
        <v>#NUM!</v>
      </c>
    </row>
    <row r="314" spans="1:16" x14ac:dyDescent="0.25">
      <c r="J314" s="20" t="e">
        <f t="shared" si="22"/>
        <v>#NUM!</v>
      </c>
      <c r="L314" s="21"/>
      <c r="P314" s="49"/>
    </row>
    <row r="315" spans="1:16" x14ac:dyDescent="0.25">
      <c r="J315" s="20" t="e">
        <f t="shared" si="22"/>
        <v>#NUM!</v>
      </c>
      <c r="L315" s="21"/>
      <c r="P315" s="49"/>
    </row>
    <row r="316" spans="1:16" x14ac:dyDescent="0.25">
      <c r="J316" s="20" t="e">
        <f t="shared" si="22"/>
        <v>#NUM!</v>
      </c>
      <c r="L316" s="21"/>
      <c r="P316" s="49"/>
    </row>
    <row r="317" spans="1:16" x14ac:dyDescent="0.25">
      <c r="J317" s="20" t="e">
        <f t="shared" si="22"/>
        <v>#NUM!</v>
      </c>
      <c r="L317" s="21"/>
      <c r="P317" s="49"/>
    </row>
    <row r="318" spans="1:16" x14ac:dyDescent="0.25">
      <c r="J318" s="20" t="e">
        <f t="shared" si="22"/>
        <v>#NUM!</v>
      </c>
    </row>
    <row r="319" spans="1:16" x14ac:dyDescent="0.25">
      <c r="J319" s="20" t="e">
        <f t="shared" si="22"/>
        <v>#NUM!</v>
      </c>
    </row>
    <row r="320" spans="1:16" x14ac:dyDescent="0.25">
      <c r="J320" s="20" t="e">
        <f t="shared" si="22"/>
        <v>#NUM!</v>
      </c>
    </row>
    <row r="321" spans="10:10" x14ac:dyDescent="0.25">
      <c r="J321" s="20" t="e">
        <f t="shared" si="22"/>
        <v>#NUM!</v>
      </c>
    </row>
    <row r="322" spans="10:10" x14ac:dyDescent="0.25">
      <c r="J322" s="20" t="e">
        <f t="shared" si="22"/>
        <v>#NUM!</v>
      </c>
    </row>
    <row r="323" spans="10:10" x14ac:dyDescent="0.25">
      <c r="J323" s="20" t="e">
        <f t="shared" si="22"/>
        <v>#NUM!</v>
      </c>
    </row>
    <row r="324" spans="10:10" x14ac:dyDescent="0.25">
      <c r="J324" s="20" t="e">
        <f t="shared" si="22"/>
        <v>#NUM!</v>
      </c>
    </row>
    <row r="325" spans="10:10" x14ac:dyDescent="0.25">
      <c r="J325" s="20" t="e">
        <f t="shared" si="22"/>
        <v>#NUM!</v>
      </c>
    </row>
    <row r="326" spans="10:10" x14ac:dyDescent="0.25">
      <c r="J326" s="20" t="e">
        <f t="shared" si="22"/>
        <v>#NUM!</v>
      </c>
    </row>
    <row r="327" spans="10:10" x14ac:dyDescent="0.25">
      <c r="J327" s="20" t="e">
        <f t="shared" ref="J327:J390" si="23">INT(LOG($H$2,2))-ROUNDUP(LOG(H327,2),0)+IF(OR($H$2=1,$H$2=2,$H$2=4,$H$2=8,$H$2=16,$H$2=32,$H$2=64,$H$2=128,$H$2=256),0,1)</f>
        <v>#NUM!</v>
      </c>
    </row>
    <row r="328" spans="10:10" x14ac:dyDescent="0.25">
      <c r="J328" s="20" t="e">
        <f t="shared" si="23"/>
        <v>#NUM!</v>
      </c>
    </row>
    <row r="329" spans="10:10" x14ac:dyDescent="0.25">
      <c r="J329" s="20" t="e">
        <f t="shared" si="23"/>
        <v>#NUM!</v>
      </c>
    </row>
    <row r="330" spans="10:10" x14ac:dyDescent="0.25">
      <c r="J330" s="20" t="e">
        <f t="shared" si="23"/>
        <v>#NUM!</v>
      </c>
    </row>
    <row r="331" spans="10:10" x14ac:dyDescent="0.25">
      <c r="J331" s="20" t="e">
        <f t="shared" si="23"/>
        <v>#NUM!</v>
      </c>
    </row>
    <row r="332" spans="10:10" x14ac:dyDescent="0.25">
      <c r="J332" s="20" t="e">
        <f t="shared" si="23"/>
        <v>#NUM!</v>
      </c>
    </row>
    <row r="333" spans="10:10" x14ac:dyDescent="0.25">
      <c r="J333" s="20" t="e">
        <f t="shared" si="23"/>
        <v>#NUM!</v>
      </c>
    </row>
    <row r="334" spans="10:10" x14ac:dyDescent="0.25">
      <c r="J334" s="20" t="e">
        <f t="shared" si="23"/>
        <v>#NUM!</v>
      </c>
    </row>
    <row r="335" spans="10:10" x14ac:dyDescent="0.25">
      <c r="J335" s="20" t="e">
        <f t="shared" si="23"/>
        <v>#NUM!</v>
      </c>
    </row>
    <row r="336" spans="10:10" x14ac:dyDescent="0.25">
      <c r="J336" s="20" t="e">
        <f t="shared" si="23"/>
        <v>#NUM!</v>
      </c>
    </row>
    <row r="337" spans="10:10" x14ac:dyDescent="0.25">
      <c r="J337" s="20" t="e">
        <f t="shared" si="23"/>
        <v>#NUM!</v>
      </c>
    </row>
    <row r="338" spans="10:10" x14ac:dyDescent="0.25">
      <c r="J338" s="20" t="e">
        <f t="shared" si="23"/>
        <v>#NUM!</v>
      </c>
    </row>
    <row r="339" spans="10:10" x14ac:dyDescent="0.25">
      <c r="J339" s="20" t="e">
        <f t="shared" si="23"/>
        <v>#NUM!</v>
      </c>
    </row>
    <row r="340" spans="10:10" x14ac:dyDescent="0.25">
      <c r="J340" s="20" t="e">
        <f t="shared" si="23"/>
        <v>#NUM!</v>
      </c>
    </row>
    <row r="341" spans="10:10" x14ac:dyDescent="0.25">
      <c r="J341" s="20" t="e">
        <f t="shared" si="23"/>
        <v>#NUM!</v>
      </c>
    </row>
    <row r="342" spans="10:10" x14ac:dyDescent="0.25">
      <c r="J342" s="20" t="e">
        <f t="shared" si="23"/>
        <v>#NUM!</v>
      </c>
    </row>
    <row r="343" spans="10:10" x14ac:dyDescent="0.25">
      <c r="J343" s="20" t="e">
        <f t="shared" si="23"/>
        <v>#NUM!</v>
      </c>
    </row>
    <row r="344" spans="10:10" x14ac:dyDescent="0.25">
      <c r="J344" s="20" t="e">
        <f t="shared" si="23"/>
        <v>#NUM!</v>
      </c>
    </row>
    <row r="345" spans="10:10" x14ac:dyDescent="0.25">
      <c r="J345" s="20" t="e">
        <f t="shared" si="23"/>
        <v>#NUM!</v>
      </c>
    </row>
    <row r="346" spans="10:10" x14ac:dyDescent="0.25">
      <c r="J346" s="20" t="e">
        <f t="shared" si="23"/>
        <v>#NUM!</v>
      </c>
    </row>
    <row r="347" spans="10:10" x14ac:dyDescent="0.25">
      <c r="J347" s="20" t="e">
        <f t="shared" si="23"/>
        <v>#NUM!</v>
      </c>
    </row>
    <row r="348" spans="10:10" x14ac:dyDescent="0.25">
      <c r="J348" s="20" t="e">
        <f t="shared" si="23"/>
        <v>#NUM!</v>
      </c>
    </row>
    <row r="349" spans="10:10" x14ac:dyDescent="0.25">
      <c r="J349" s="20" t="e">
        <f t="shared" si="23"/>
        <v>#NUM!</v>
      </c>
    </row>
    <row r="350" spans="10:10" x14ac:dyDescent="0.25">
      <c r="J350" s="20" t="e">
        <f t="shared" si="23"/>
        <v>#NUM!</v>
      </c>
    </row>
    <row r="351" spans="10:10" x14ac:dyDescent="0.25">
      <c r="J351" s="20" t="e">
        <f t="shared" si="23"/>
        <v>#NUM!</v>
      </c>
    </row>
    <row r="352" spans="10:10" x14ac:dyDescent="0.25">
      <c r="J352" s="20" t="e">
        <f t="shared" si="23"/>
        <v>#NUM!</v>
      </c>
    </row>
    <row r="353" spans="10:10" x14ac:dyDescent="0.25">
      <c r="J353" s="20" t="e">
        <f t="shared" si="23"/>
        <v>#NUM!</v>
      </c>
    </row>
    <row r="354" spans="10:10" x14ac:dyDescent="0.25">
      <c r="J354" s="20" t="e">
        <f t="shared" si="23"/>
        <v>#NUM!</v>
      </c>
    </row>
    <row r="355" spans="10:10" x14ac:dyDescent="0.25">
      <c r="J355" s="20" t="e">
        <f t="shared" si="23"/>
        <v>#NUM!</v>
      </c>
    </row>
    <row r="356" spans="10:10" x14ac:dyDescent="0.25">
      <c r="J356" s="20" t="e">
        <f t="shared" si="23"/>
        <v>#NUM!</v>
      </c>
    </row>
    <row r="357" spans="10:10" x14ac:dyDescent="0.25">
      <c r="J357" s="20" t="e">
        <f t="shared" si="23"/>
        <v>#NUM!</v>
      </c>
    </row>
    <row r="358" spans="10:10" x14ac:dyDescent="0.25">
      <c r="J358" s="20" t="e">
        <f t="shared" si="23"/>
        <v>#NUM!</v>
      </c>
    </row>
    <row r="359" spans="10:10" x14ac:dyDescent="0.25">
      <c r="J359" s="20" t="e">
        <f t="shared" si="23"/>
        <v>#NUM!</v>
      </c>
    </row>
    <row r="360" spans="10:10" x14ac:dyDescent="0.25">
      <c r="J360" s="20" t="e">
        <f t="shared" si="23"/>
        <v>#NUM!</v>
      </c>
    </row>
    <row r="361" spans="10:10" x14ac:dyDescent="0.25">
      <c r="J361" s="20" t="e">
        <f t="shared" si="23"/>
        <v>#NUM!</v>
      </c>
    </row>
    <row r="362" spans="10:10" x14ac:dyDescent="0.25">
      <c r="J362" s="20" t="e">
        <f t="shared" si="23"/>
        <v>#NUM!</v>
      </c>
    </row>
    <row r="363" spans="10:10" x14ac:dyDescent="0.25">
      <c r="J363" s="20" t="e">
        <f t="shared" si="23"/>
        <v>#NUM!</v>
      </c>
    </row>
    <row r="364" spans="10:10" x14ac:dyDescent="0.25">
      <c r="J364" s="20" t="e">
        <f t="shared" si="23"/>
        <v>#NUM!</v>
      </c>
    </row>
    <row r="365" spans="10:10" x14ac:dyDescent="0.25">
      <c r="J365" s="20" t="e">
        <f t="shared" si="23"/>
        <v>#NUM!</v>
      </c>
    </row>
    <row r="366" spans="10:10" x14ac:dyDescent="0.25">
      <c r="J366" s="20" t="e">
        <f t="shared" si="23"/>
        <v>#NUM!</v>
      </c>
    </row>
    <row r="367" spans="10:10" x14ac:dyDescent="0.25">
      <c r="J367" s="20" t="e">
        <f t="shared" si="23"/>
        <v>#NUM!</v>
      </c>
    </row>
    <row r="368" spans="10:10" x14ac:dyDescent="0.25">
      <c r="J368" s="20" t="e">
        <f t="shared" si="23"/>
        <v>#NUM!</v>
      </c>
    </row>
    <row r="369" spans="10:10" x14ac:dyDescent="0.25">
      <c r="J369" s="20" t="e">
        <f t="shared" si="23"/>
        <v>#NUM!</v>
      </c>
    </row>
    <row r="370" spans="10:10" x14ac:dyDescent="0.25">
      <c r="J370" s="20" t="e">
        <f t="shared" si="23"/>
        <v>#NUM!</v>
      </c>
    </row>
    <row r="371" spans="10:10" x14ac:dyDescent="0.25">
      <c r="J371" s="20" t="e">
        <f t="shared" si="23"/>
        <v>#NUM!</v>
      </c>
    </row>
    <row r="372" spans="10:10" x14ac:dyDescent="0.25">
      <c r="J372" s="20" t="e">
        <f t="shared" si="23"/>
        <v>#NUM!</v>
      </c>
    </row>
    <row r="373" spans="10:10" x14ac:dyDescent="0.25">
      <c r="J373" s="20" t="e">
        <f t="shared" si="23"/>
        <v>#NUM!</v>
      </c>
    </row>
    <row r="374" spans="10:10" x14ac:dyDescent="0.25">
      <c r="J374" s="20" t="e">
        <f t="shared" si="23"/>
        <v>#NUM!</v>
      </c>
    </row>
    <row r="375" spans="10:10" x14ac:dyDescent="0.25">
      <c r="J375" s="20" t="e">
        <f t="shared" si="23"/>
        <v>#NUM!</v>
      </c>
    </row>
    <row r="376" spans="10:10" x14ac:dyDescent="0.25">
      <c r="J376" s="20" t="e">
        <f t="shared" si="23"/>
        <v>#NUM!</v>
      </c>
    </row>
    <row r="377" spans="10:10" x14ac:dyDescent="0.25">
      <c r="J377" s="20" t="e">
        <f t="shared" si="23"/>
        <v>#NUM!</v>
      </c>
    </row>
    <row r="378" spans="10:10" x14ac:dyDescent="0.25">
      <c r="J378" s="20" t="e">
        <f t="shared" si="23"/>
        <v>#NUM!</v>
      </c>
    </row>
    <row r="379" spans="10:10" x14ac:dyDescent="0.25">
      <c r="J379" s="20" t="e">
        <f t="shared" si="23"/>
        <v>#NUM!</v>
      </c>
    </row>
    <row r="380" spans="10:10" x14ac:dyDescent="0.25">
      <c r="J380" s="20" t="e">
        <f t="shared" si="23"/>
        <v>#NUM!</v>
      </c>
    </row>
    <row r="381" spans="10:10" x14ac:dyDescent="0.25">
      <c r="J381" s="20" t="e">
        <f t="shared" si="23"/>
        <v>#NUM!</v>
      </c>
    </row>
    <row r="382" spans="10:10" x14ac:dyDescent="0.25">
      <c r="J382" s="20" t="e">
        <f t="shared" si="23"/>
        <v>#NUM!</v>
      </c>
    </row>
    <row r="383" spans="10:10" x14ac:dyDescent="0.25">
      <c r="J383" s="20" t="e">
        <f t="shared" si="23"/>
        <v>#NUM!</v>
      </c>
    </row>
    <row r="384" spans="10:10" x14ac:dyDescent="0.25">
      <c r="J384" s="20" t="e">
        <f t="shared" si="23"/>
        <v>#NUM!</v>
      </c>
    </row>
    <row r="385" spans="10:10" x14ac:dyDescent="0.25">
      <c r="J385" s="20" t="e">
        <f t="shared" si="23"/>
        <v>#NUM!</v>
      </c>
    </row>
    <row r="386" spans="10:10" x14ac:dyDescent="0.25">
      <c r="J386" s="20" t="e">
        <f t="shared" si="23"/>
        <v>#NUM!</v>
      </c>
    </row>
    <row r="387" spans="10:10" x14ac:dyDescent="0.25">
      <c r="J387" s="20" t="e">
        <f t="shared" si="23"/>
        <v>#NUM!</v>
      </c>
    </row>
    <row r="388" spans="10:10" x14ac:dyDescent="0.25">
      <c r="J388" s="20" t="e">
        <f t="shared" si="23"/>
        <v>#NUM!</v>
      </c>
    </row>
    <row r="389" spans="10:10" x14ac:dyDescent="0.25">
      <c r="J389" s="20" t="e">
        <f t="shared" si="23"/>
        <v>#NUM!</v>
      </c>
    </row>
    <row r="390" spans="10:10" x14ac:dyDescent="0.25">
      <c r="J390" s="20" t="e">
        <f t="shared" si="23"/>
        <v>#NUM!</v>
      </c>
    </row>
    <row r="391" spans="10:10" x14ac:dyDescent="0.25">
      <c r="J391" s="20" t="e">
        <f t="shared" ref="J391:J454" si="24">INT(LOG($H$2,2))-ROUNDUP(LOG(H391,2),0)+IF(OR($H$2=1,$H$2=2,$H$2=4,$H$2=8,$H$2=16,$H$2=32,$H$2=64,$H$2=128,$H$2=256),0,1)</f>
        <v>#NUM!</v>
      </c>
    </row>
    <row r="392" spans="10:10" x14ac:dyDescent="0.25">
      <c r="J392" s="20" t="e">
        <f t="shared" si="24"/>
        <v>#NUM!</v>
      </c>
    </row>
    <row r="393" spans="10:10" x14ac:dyDescent="0.25">
      <c r="J393" s="20" t="e">
        <f t="shared" si="24"/>
        <v>#NUM!</v>
      </c>
    </row>
    <row r="394" spans="10:10" x14ac:dyDescent="0.25">
      <c r="J394" s="20" t="e">
        <f t="shared" si="24"/>
        <v>#NUM!</v>
      </c>
    </row>
    <row r="395" spans="10:10" x14ac:dyDescent="0.25">
      <c r="J395" s="20" t="e">
        <f t="shared" si="24"/>
        <v>#NUM!</v>
      </c>
    </row>
    <row r="396" spans="10:10" x14ac:dyDescent="0.25">
      <c r="J396" s="20" t="e">
        <f t="shared" si="24"/>
        <v>#NUM!</v>
      </c>
    </row>
    <row r="397" spans="10:10" x14ac:dyDescent="0.25">
      <c r="J397" s="20" t="e">
        <f t="shared" si="24"/>
        <v>#NUM!</v>
      </c>
    </row>
    <row r="398" spans="10:10" x14ac:dyDescent="0.25">
      <c r="J398" s="20" t="e">
        <f t="shared" si="24"/>
        <v>#NUM!</v>
      </c>
    </row>
    <row r="399" spans="10:10" x14ac:dyDescent="0.25">
      <c r="J399" s="20" t="e">
        <f t="shared" si="24"/>
        <v>#NUM!</v>
      </c>
    </row>
    <row r="400" spans="10:10" x14ac:dyDescent="0.25">
      <c r="J400" s="20" t="e">
        <f t="shared" si="24"/>
        <v>#NUM!</v>
      </c>
    </row>
    <row r="401" spans="10:10" x14ac:dyDescent="0.25">
      <c r="J401" s="20" t="e">
        <f t="shared" si="24"/>
        <v>#NUM!</v>
      </c>
    </row>
    <row r="402" spans="10:10" x14ac:dyDescent="0.25">
      <c r="J402" s="20" t="e">
        <f t="shared" si="24"/>
        <v>#NUM!</v>
      </c>
    </row>
    <row r="403" spans="10:10" x14ac:dyDescent="0.25">
      <c r="J403" s="20" t="e">
        <f t="shared" si="24"/>
        <v>#NUM!</v>
      </c>
    </row>
    <row r="404" spans="10:10" x14ac:dyDescent="0.25">
      <c r="J404" s="20" t="e">
        <f t="shared" si="24"/>
        <v>#NUM!</v>
      </c>
    </row>
    <row r="405" spans="10:10" x14ac:dyDescent="0.25">
      <c r="J405" s="20" t="e">
        <f t="shared" si="24"/>
        <v>#NUM!</v>
      </c>
    </row>
    <row r="406" spans="10:10" x14ac:dyDescent="0.25">
      <c r="J406" s="20" t="e">
        <f t="shared" si="24"/>
        <v>#NUM!</v>
      </c>
    </row>
    <row r="407" spans="10:10" x14ac:dyDescent="0.25">
      <c r="J407" s="20" t="e">
        <f t="shared" si="24"/>
        <v>#NUM!</v>
      </c>
    </row>
    <row r="408" spans="10:10" x14ac:dyDescent="0.25">
      <c r="J408" s="20" t="e">
        <f t="shared" si="24"/>
        <v>#NUM!</v>
      </c>
    </row>
    <row r="409" spans="10:10" x14ac:dyDescent="0.25">
      <c r="J409" s="20" t="e">
        <f t="shared" si="24"/>
        <v>#NUM!</v>
      </c>
    </row>
    <row r="410" spans="10:10" x14ac:dyDescent="0.25">
      <c r="J410" s="20" t="e">
        <f t="shared" si="24"/>
        <v>#NUM!</v>
      </c>
    </row>
    <row r="411" spans="10:10" x14ac:dyDescent="0.25">
      <c r="J411" s="20" t="e">
        <f t="shared" si="24"/>
        <v>#NUM!</v>
      </c>
    </row>
    <row r="412" spans="10:10" x14ac:dyDescent="0.25">
      <c r="J412" s="20" t="e">
        <f t="shared" si="24"/>
        <v>#NUM!</v>
      </c>
    </row>
    <row r="413" spans="10:10" x14ac:dyDescent="0.25">
      <c r="J413" s="20" t="e">
        <f t="shared" si="24"/>
        <v>#NUM!</v>
      </c>
    </row>
    <row r="414" spans="10:10" x14ac:dyDescent="0.25">
      <c r="J414" s="20" t="e">
        <f t="shared" si="24"/>
        <v>#NUM!</v>
      </c>
    </row>
    <row r="415" spans="10:10" x14ac:dyDescent="0.25">
      <c r="J415" s="20" t="e">
        <f t="shared" si="24"/>
        <v>#NUM!</v>
      </c>
    </row>
    <row r="416" spans="10:10" x14ac:dyDescent="0.25">
      <c r="J416" s="20" t="e">
        <f t="shared" si="24"/>
        <v>#NUM!</v>
      </c>
    </row>
    <row r="417" spans="10:10" x14ac:dyDescent="0.25">
      <c r="J417" s="20" t="e">
        <f t="shared" si="24"/>
        <v>#NUM!</v>
      </c>
    </row>
    <row r="418" spans="10:10" x14ac:dyDescent="0.25">
      <c r="J418" s="20" t="e">
        <f t="shared" si="24"/>
        <v>#NUM!</v>
      </c>
    </row>
    <row r="419" spans="10:10" x14ac:dyDescent="0.25">
      <c r="J419" s="20" t="e">
        <f t="shared" si="24"/>
        <v>#NUM!</v>
      </c>
    </row>
    <row r="420" spans="10:10" x14ac:dyDescent="0.25">
      <c r="J420" s="20" t="e">
        <f t="shared" si="24"/>
        <v>#NUM!</v>
      </c>
    </row>
    <row r="421" spans="10:10" x14ac:dyDescent="0.25">
      <c r="J421" s="20" t="e">
        <f t="shared" si="24"/>
        <v>#NUM!</v>
      </c>
    </row>
    <row r="422" spans="10:10" x14ac:dyDescent="0.25">
      <c r="J422" s="20" t="e">
        <f t="shared" si="24"/>
        <v>#NUM!</v>
      </c>
    </row>
    <row r="423" spans="10:10" x14ac:dyDescent="0.25">
      <c r="J423" s="20" t="e">
        <f t="shared" si="24"/>
        <v>#NUM!</v>
      </c>
    </row>
    <row r="424" spans="10:10" x14ac:dyDescent="0.25">
      <c r="J424" s="20" t="e">
        <f t="shared" si="24"/>
        <v>#NUM!</v>
      </c>
    </row>
    <row r="425" spans="10:10" x14ac:dyDescent="0.25">
      <c r="J425" s="20" t="e">
        <f t="shared" si="24"/>
        <v>#NUM!</v>
      </c>
    </row>
    <row r="426" spans="10:10" x14ac:dyDescent="0.25">
      <c r="J426" s="20" t="e">
        <f t="shared" si="24"/>
        <v>#NUM!</v>
      </c>
    </row>
    <row r="427" spans="10:10" x14ac:dyDescent="0.25">
      <c r="J427" s="20" t="e">
        <f t="shared" si="24"/>
        <v>#NUM!</v>
      </c>
    </row>
    <row r="428" spans="10:10" x14ac:dyDescent="0.25">
      <c r="J428" s="20" t="e">
        <f t="shared" si="24"/>
        <v>#NUM!</v>
      </c>
    </row>
    <row r="429" spans="10:10" x14ac:dyDescent="0.25">
      <c r="J429" s="20" t="e">
        <f t="shared" si="24"/>
        <v>#NUM!</v>
      </c>
    </row>
    <row r="430" spans="10:10" x14ac:dyDescent="0.25">
      <c r="J430" s="20" t="e">
        <f t="shared" si="24"/>
        <v>#NUM!</v>
      </c>
    </row>
    <row r="431" spans="10:10" x14ac:dyDescent="0.25">
      <c r="J431" s="20" t="e">
        <f t="shared" si="24"/>
        <v>#NUM!</v>
      </c>
    </row>
    <row r="432" spans="10:10" x14ac:dyDescent="0.25">
      <c r="J432" s="20" t="e">
        <f t="shared" si="24"/>
        <v>#NUM!</v>
      </c>
    </row>
    <row r="433" spans="10:10" x14ac:dyDescent="0.25">
      <c r="J433" s="20" t="e">
        <f t="shared" si="24"/>
        <v>#NUM!</v>
      </c>
    </row>
    <row r="434" spans="10:10" x14ac:dyDescent="0.25">
      <c r="J434" s="20" t="e">
        <f t="shared" si="24"/>
        <v>#NUM!</v>
      </c>
    </row>
    <row r="435" spans="10:10" x14ac:dyDescent="0.25">
      <c r="J435" s="20" t="e">
        <f t="shared" si="24"/>
        <v>#NUM!</v>
      </c>
    </row>
    <row r="436" spans="10:10" x14ac:dyDescent="0.25">
      <c r="J436" s="20" t="e">
        <f t="shared" si="24"/>
        <v>#NUM!</v>
      </c>
    </row>
    <row r="437" spans="10:10" x14ac:dyDescent="0.25">
      <c r="J437" s="20" t="e">
        <f t="shared" si="24"/>
        <v>#NUM!</v>
      </c>
    </row>
    <row r="438" spans="10:10" x14ac:dyDescent="0.25">
      <c r="J438" s="20" t="e">
        <f t="shared" si="24"/>
        <v>#NUM!</v>
      </c>
    </row>
    <row r="439" spans="10:10" x14ac:dyDescent="0.25">
      <c r="J439" s="20" t="e">
        <f t="shared" si="24"/>
        <v>#NUM!</v>
      </c>
    </row>
    <row r="440" spans="10:10" x14ac:dyDescent="0.25">
      <c r="J440" s="20" t="e">
        <f t="shared" si="24"/>
        <v>#NUM!</v>
      </c>
    </row>
    <row r="441" spans="10:10" x14ac:dyDescent="0.25">
      <c r="J441" s="20" t="e">
        <f t="shared" si="24"/>
        <v>#NUM!</v>
      </c>
    </row>
    <row r="442" spans="10:10" x14ac:dyDescent="0.25">
      <c r="J442" s="20" t="e">
        <f t="shared" si="24"/>
        <v>#NUM!</v>
      </c>
    </row>
    <row r="443" spans="10:10" x14ac:dyDescent="0.25">
      <c r="J443" s="20" t="e">
        <f t="shared" si="24"/>
        <v>#NUM!</v>
      </c>
    </row>
    <row r="444" spans="10:10" x14ac:dyDescent="0.25">
      <c r="J444" s="20" t="e">
        <f t="shared" si="24"/>
        <v>#NUM!</v>
      </c>
    </row>
    <row r="445" spans="10:10" x14ac:dyDescent="0.25">
      <c r="J445" s="20" t="e">
        <f t="shared" si="24"/>
        <v>#NUM!</v>
      </c>
    </row>
    <row r="446" spans="10:10" x14ac:dyDescent="0.25">
      <c r="J446" s="20" t="e">
        <f t="shared" si="24"/>
        <v>#NUM!</v>
      </c>
    </row>
    <row r="447" spans="10:10" x14ac:dyDescent="0.25">
      <c r="J447" s="20" t="e">
        <f t="shared" si="24"/>
        <v>#NUM!</v>
      </c>
    </row>
    <row r="448" spans="10:10" x14ac:dyDescent="0.25">
      <c r="J448" s="20" t="e">
        <f t="shared" si="24"/>
        <v>#NUM!</v>
      </c>
    </row>
    <row r="449" spans="10:10" x14ac:dyDescent="0.25">
      <c r="J449" s="20" t="e">
        <f t="shared" si="24"/>
        <v>#NUM!</v>
      </c>
    </row>
    <row r="450" spans="10:10" x14ac:dyDescent="0.25">
      <c r="J450" s="20" t="e">
        <f t="shared" si="24"/>
        <v>#NUM!</v>
      </c>
    </row>
    <row r="451" spans="10:10" x14ac:dyDescent="0.25">
      <c r="J451" s="20" t="e">
        <f t="shared" si="24"/>
        <v>#NUM!</v>
      </c>
    </row>
    <row r="452" spans="10:10" x14ac:dyDescent="0.25">
      <c r="J452" s="20" t="e">
        <f t="shared" si="24"/>
        <v>#NUM!</v>
      </c>
    </row>
    <row r="453" spans="10:10" x14ac:dyDescent="0.25">
      <c r="J453" s="20" t="e">
        <f t="shared" si="24"/>
        <v>#NUM!</v>
      </c>
    </row>
    <row r="454" spans="10:10" x14ac:dyDescent="0.25">
      <c r="J454" s="20" t="e">
        <f t="shared" si="24"/>
        <v>#NUM!</v>
      </c>
    </row>
    <row r="455" spans="10:10" x14ac:dyDescent="0.25">
      <c r="J455" s="20" t="e">
        <f t="shared" ref="J455:J518" si="25">INT(LOG($H$2,2))-ROUNDUP(LOG(H455,2),0)+IF(OR($H$2=1,$H$2=2,$H$2=4,$H$2=8,$H$2=16,$H$2=32,$H$2=64,$H$2=128,$H$2=256),0,1)</f>
        <v>#NUM!</v>
      </c>
    </row>
    <row r="456" spans="10:10" x14ac:dyDescent="0.25">
      <c r="J456" s="20" t="e">
        <f t="shared" si="25"/>
        <v>#NUM!</v>
      </c>
    </row>
    <row r="457" spans="10:10" x14ac:dyDescent="0.25">
      <c r="J457" s="20" t="e">
        <f t="shared" si="25"/>
        <v>#NUM!</v>
      </c>
    </row>
    <row r="458" spans="10:10" x14ac:dyDescent="0.25">
      <c r="J458" s="20" t="e">
        <f t="shared" si="25"/>
        <v>#NUM!</v>
      </c>
    </row>
    <row r="459" spans="10:10" x14ac:dyDescent="0.25">
      <c r="J459" s="20" t="e">
        <f t="shared" si="25"/>
        <v>#NUM!</v>
      </c>
    </row>
    <row r="460" spans="10:10" x14ac:dyDescent="0.25">
      <c r="J460" s="20" t="e">
        <f t="shared" si="25"/>
        <v>#NUM!</v>
      </c>
    </row>
    <row r="461" spans="10:10" x14ac:dyDescent="0.25">
      <c r="J461" s="20" t="e">
        <f t="shared" si="25"/>
        <v>#NUM!</v>
      </c>
    </row>
    <row r="462" spans="10:10" x14ac:dyDescent="0.25">
      <c r="J462" s="20" t="e">
        <f t="shared" si="25"/>
        <v>#NUM!</v>
      </c>
    </row>
    <row r="463" spans="10:10" x14ac:dyDescent="0.25">
      <c r="J463" s="20" t="e">
        <f t="shared" si="25"/>
        <v>#NUM!</v>
      </c>
    </row>
    <row r="464" spans="10:10" x14ac:dyDescent="0.25">
      <c r="J464" s="20" t="e">
        <f t="shared" si="25"/>
        <v>#NUM!</v>
      </c>
    </row>
    <row r="465" spans="10:10" x14ac:dyDescent="0.25">
      <c r="J465" s="20" t="e">
        <f t="shared" si="25"/>
        <v>#NUM!</v>
      </c>
    </row>
    <row r="466" spans="10:10" x14ac:dyDescent="0.25">
      <c r="J466" s="20" t="e">
        <f t="shared" si="25"/>
        <v>#NUM!</v>
      </c>
    </row>
    <row r="467" spans="10:10" x14ac:dyDescent="0.25">
      <c r="J467" s="20" t="e">
        <f t="shared" si="25"/>
        <v>#NUM!</v>
      </c>
    </row>
    <row r="468" spans="10:10" x14ac:dyDescent="0.25">
      <c r="J468" s="20" t="e">
        <f t="shared" si="25"/>
        <v>#NUM!</v>
      </c>
    </row>
    <row r="469" spans="10:10" x14ac:dyDescent="0.25">
      <c r="J469" s="20" t="e">
        <f t="shared" si="25"/>
        <v>#NUM!</v>
      </c>
    </row>
    <row r="470" spans="10:10" x14ac:dyDescent="0.25">
      <c r="J470" s="20" t="e">
        <f t="shared" si="25"/>
        <v>#NUM!</v>
      </c>
    </row>
    <row r="471" spans="10:10" x14ac:dyDescent="0.25">
      <c r="J471" s="20" t="e">
        <f t="shared" si="25"/>
        <v>#NUM!</v>
      </c>
    </row>
    <row r="472" spans="10:10" x14ac:dyDescent="0.25">
      <c r="J472" s="20" t="e">
        <f t="shared" si="25"/>
        <v>#NUM!</v>
      </c>
    </row>
    <row r="473" spans="10:10" x14ac:dyDescent="0.25">
      <c r="J473" s="20" t="e">
        <f t="shared" si="25"/>
        <v>#NUM!</v>
      </c>
    </row>
    <row r="474" spans="10:10" x14ac:dyDescent="0.25">
      <c r="J474" s="20" t="e">
        <f t="shared" si="25"/>
        <v>#NUM!</v>
      </c>
    </row>
    <row r="475" spans="10:10" x14ac:dyDescent="0.25">
      <c r="J475" s="20" t="e">
        <f t="shared" si="25"/>
        <v>#NUM!</v>
      </c>
    </row>
    <row r="476" spans="10:10" x14ac:dyDescent="0.25">
      <c r="J476" s="20" t="e">
        <f t="shared" si="25"/>
        <v>#NUM!</v>
      </c>
    </row>
    <row r="477" spans="10:10" x14ac:dyDescent="0.25">
      <c r="J477" s="20" t="e">
        <f t="shared" si="25"/>
        <v>#NUM!</v>
      </c>
    </row>
    <row r="478" spans="10:10" x14ac:dyDescent="0.25">
      <c r="J478" s="20" t="e">
        <f t="shared" si="25"/>
        <v>#NUM!</v>
      </c>
    </row>
    <row r="479" spans="10:10" x14ac:dyDescent="0.25">
      <c r="J479" s="20" t="e">
        <f t="shared" si="25"/>
        <v>#NUM!</v>
      </c>
    </row>
    <row r="480" spans="10:10" x14ac:dyDescent="0.25">
      <c r="J480" s="20" t="e">
        <f t="shared" si="25"/>
        <v>#NUM!</v>
      </c>
    </row>
    <row r="481" spans="10:10" x14ac:dyDescent="0.25">
      <c r="J481" s="20" t="e">
        <f t="shared" si="25"/>
        <v>#NUM!</v>
      </c>
    </row>
    <row r="482" spans="10:10" x14ac:dyDescent="0.25">
      <c r="J482" s="20" t="e">
        <f t="shared" si="25"/>
        <v>#NUM!</v>
      </c>
    </row>
    <row r="483" spans="10:10" x14ac:dyDescent="0.25">
      <c r="J483" s="20" t="e">
        <f t="shared" si="25"/>
        <v>#NUM!</v>
      </c>
    </row>
    <row r="484" spans="10:10" x14ac:dyDescent="0.25">
      <c r="J484" s="20" t="e">
        <f t="shared" si="25"/>
        <v>#NUM!</v>
      </c>
    </row>
    <row r="485" spans="10:10" x14ac:dyDescent="0.25">
      <c r="J485" s="20" t="e">
        <f t="shared" si="25"/>
        <v>#NUM!</v>
      </c>
    </row>
    <row r="486" spans="10:10" x14ac:dyDescent="0.25">
      <c r="J486" s="20" t="e">
        <f t="shared" si="25"/>
        <v>#NUM!</v>
      </c>
    </row>
    <row r="487" spans="10:10" x14ac:dyDescent="0.25">
      <c r="J487" s="20" t="e">
        <f t="shared" si="25"/>
        <v>#NUM!</v>
      </c>
    </row>
    <row r="488" spans="10:10" x14ac:dyDescent="0.25">
      <c r="J488" s="20" t="e">
        <f t="shared" si="25"/>
        <v>#NUM!</v>
      </c>
    </row>
    <row r="489" spans="10:10" x14ac:dyDescent="0.25">
      <c r="J489" s="20" t="e">
        <f t="shared" si="25"/>
        <v>#NUM!</v>
      </c>
    </row>
    <row r="490" spans="10:10" x14ac:dyDescent="0.25">
      <c r="J490" s="20" t="e">
        <f t="shared" si="25"/>
        <v>#NUM!</v>
      </c>
    </row>
    <row r="491" spans="10:10" x14ac:dyDescent="0.25">
      <c r="J491" s="20" t="e">
        <f t="shared" si="25"/>
        <v>#NUM!</v>
      </c>
    </row>
    <row r="492" spans="10:10" x14ac:dyDescent="0.25">
      <c r="J492" s="20" t="e">
        <f t="shared" si="25"/>
        <v>#NUM!</v>
      </c>
    </row>
    <row r="493" spans="10:10" x14ac:dyDescent="0.25">
      <c r="J493" s="20" t="e">
        <f t="shared" si="25"/>
        <v>#NUM!</v>
      </c>
    </row>
    <row r="494" spans="10:10" x14ac:dyDescent="0.25">
      <c r="J494" s="20" t="e">
        <f t="shared" si="25"/>
        <v>#NUM!</v>
      </c>
    </row>
    <row r="495" spans="10:10" x14ac:dyDescent="0.25">
      <c r="J495" s="20" t="e">
        <f t="shared" si="25"/>
        <v>#NUM!</v>
      </c>
    </row>
    <row r="496" spans="10:10" x14ac:dyDescent="0.25">
      <c r="J496" s="20" t="e">
        <f t="shared" si="25"/>
        <v>#NUM!</v>
      </c>
    </row>
    <row r="497" spans="10:10" x14ac:dyDescent="0.25">
      <c r="J497" s="20" t="e">
        <f t="shared" si="25"/>
        <v>#NUM!</v>
      </c>
    </row>
    <row r="498" spans="10:10" x14ac:dyDescent="0.25">
      <c r="J498" s="20" t="e">
        <f t="shared" si="25"/>
        <v>#NUM!</v>
      </c>
    </row>
    <row r="499" spans="10:10" x14ac:dyDescent="0.25">
      <c r="J499" s="20" t="e">
        <f t="shared" si="25"/>
        <v>#NUM!</v>
      </c>
    </row>
    <row r="500" spans="10:10" x14ac:dyDescent="0.25">
      <c r="J500" s="20" t="e">
        <f t="shared" si="25"/>
        <v>#NUM!</v>
      </c>
    </row>
    <row r="501" spans="10:10" x14ac:dyDescent="0.25">
      <c r="J501" s="20" t="e">
        <f t="shared" si="25"/>
        <v>#NUM!</v>
      </c>
    </row>
    <row r="502" spans="10:10" x14ac:dyDescent="0.25">
      <c r="J502" s="20" t="e">
        <f t="shared" si="25"/>
        <v>#NUM!</v>
      </c>
    </row>
    <row r="503" spans="10:10" x14ac:dyDescent="0.25">
      <c r="J503" s="20" t="e">
        <f t="shared" si="25"/>
        <v>#NUM!</v>
      </c>
    </row>
    <row r="504" spans="10:10" x14ac:dyDescent="0.25">
      <c r="J504" s="20" t="e">
        <f t="shared" si="25"/>
        <v>#NUM!</v>
      </c>
    </row>
    <row r="505" spans="10:10" x14ac:dyDescent="0.25">
      <c r="J505" s="20" t="e">
        <f t="shared" si="25"/>
        <v>#NUM!</v>
      </c>
    </row>
    <row r="506" spans="10:10" x14ac:dyDescent="0.25">
      <c r="J506" s="20" t="e">
        <f t="shared" si="25"/>
        <v>#NUM!</v>
      </c>
    </row>
    <row r="507" spans="10:10" x14ac:dyDescent="0.25">
      <c r="J507" s="20" t="e">
        <f t="shared" si="25"/>
        <v>#NUM!</v>
      </c>
    </row>
    <row r="508" spans="10:10" x14ac:dyDescent="0.25">
      <c r="J508" s="20" t="e">
        <f t="shared" si="25"/>
        <v>#NUM!</v>
      </c>
    </row>
    <row r="509" spans="10:10" x14ac:dyDescent="0.25">
      <c r="J509" s="20" t="e">
        <f t="shared" si="25"/>
        <v>#NUM!</v>
      </c>
    </row>
    <row r="510" spans="10:10" x14ac:dyDescent="0.25">
      <c r="J510" s="20" t="e">
        <f t="shared" si="25"/>
        <v>#NUM!</v>
      </c>
    </row>
    <row r="511" spans="10:10" x14ac:dyDescent="0.25">
      <c r="J511" s="20" t="e">
        <f t="shared" si="25"/>
        <v>#NUM!</v>
      </c>
    </row>
    <row r="512" spans="10:10" x14ac:dyDescent="0.25">
      <c r="J512" s="20" t="e">
        <f t="shared" si="25"/>
        <v>#NUM!</v>
      </c>
    </row>
    <row r="513" spans="10:10" x14ac:dyDescent="0.25">
      <c r="J513" s="20" t="e">
        <f t="shared" si="25"/>
        <v>#NUM!</v>
      </c>
    </row>
    <row r="514" spans="10:10" x14ac:dyDescent="0.25">
      <c r="J514" s="20" t="e">
        <f t="shared" si="25"/>
        <v>#NUM!</v>
      </c>
    </row>
    <row r="515" spans="10:10" x14ac:dyDescent="0.25">
      <c r="J515" s="20" t="e">
        <f t="shared" si="25"/>
        <v>#NUM!</v>
      </c>
    </row>
    <row r="516" spans="10:10" x14ac:dyDescent="0.25">
      <c r="J516" s="20" t="e">
        <f t="shared" si="25"/>
        <v>#NUM!</v>
      </c>
    </row>
    <row r="517" spans="10:10" x14ac:dyDescent="0.25">
      <c r="J517" s="20" t="e">
        <f t="shared" si="25"/>
        <v>#NUM!</v>
      </c>
    </row>
    <row r="518" spans="10:10" x14ac:dyDescent="0.25">
      <c r="J518" s="20" t="e">
        <f t="shared" si="25"/>
        <v>#NUM!</v>
      </c>
    </row>
    <row r="519" spans="10:10" x14ac:dyDescent="0.25">
      <c r="J519" s="20" t="e">
        <f t="shared" ref="J519:J582" si="26">INT(LOG($H$2,2))-ROUNDUP(LOG(H519,2),0)+IF(OR($H$2=1,$H$2=2,$H$2=4,$H$2=8,$H$2=16,$H$2=32,$H$2=64,$H$2=128,$H$2=256),0,1)</f>
        <v>#NUM!</v>
      </c>
    </row>
    <row r="520" spans="10:10" x14ac:dyDescent="0.25">
      <c r="J520" s="20" t="e">
        <f t="shared" si="26"/>
        <v>#NUM!</v>
      </c>
    </row>
    <row r="521" spans="10:10" x14ac:dyDescent="0.25">
      <c r="J521" s="20" t="e">
        <f t="shared" si="26"/>
        <v>#NUM!</v>
      </c>
    </row>
    <row r="522" spans="10:10" x14ac:dyDescent="0.25">
      <c r="J522" s="20" t="e">
        <f t="shared" si="26"/>
        <v>#NUM!</v>
      </c>
    </row>
    <row r="523" spans="10:10" x14ac:dyDescent="0.25">
      <c r="J523" s="20" t="e">
        <f t="shared" si="26"/>
        <v>#NUM!</v>
      </c>
    </row>
    <row r="524" spans="10:10" x14ac:dyDescent="0.25">
      <c r="J524" s="20" t="e">
        <f t="shared" si="26"/>
        <v>#NUM!</v>
      </c>
    </row>
    <row r="525" spans="10:10" x14ac:dyDescent="0.25">
      <c r="J525" s="20" t="e">
        <f t="shared" si="26"/>
        <v>#NUM!</v>
      </c>
    </row>
    <row r="526" spans="10:10" x14ac:dyDescent="0.25">
      <c r="J526" s="20" t="e">
        <f t="shared" si="26"/>
        <v>#NUM!</v>
      </c>
    </row>
    <row r="527" spans="10:10" x14ac:dyDescent="0.25">
      <c r="J527" s="20" t="e">
        <f t="shared" si="26"/>
        <v>#NUM!</v>
      </c>
    </row>
    <row r="528" spans="10:10" x14ac:dyDescent="0.25">
      <c r="J528" s="20" t="e">
        <f t="shared" si="26"/>
        <v>#NUM!</v>
      </c>
    </row>
    <row r="529" spans="10:10" x14ac:dyDescent="0.25">
      <c r="J529" s="20" t="e">
        <f t="shared" si="26"/>
        <v>#NUM!</v>
      </c>
    </row>
    <row r="530" spans="10:10" x14ac:dyDescent="0.25">
      <c r="J530" s="20" t="e">
        <f t="shared" si="26"/>
        <v>#NUM!</v>
      </c>
    </row>
    <row r="531" spans="10:10" x14ac:dyDescent="0.25">
      <c r="J531" s="20" t="e">
        <f t="shared" si="26"/>
        <v>#NUM!</v>
      </c>
    </row>
    <row r="532" spans="10:10" x14ac:dyDescent="0.25">
      <c r="J532" s="20" t="e">
        <f t="shared" si="26"/>
        <v>#NUM!</v>
      </c>
    </row>
    <row r="533" spans="10:10" x14ac:dyDescent="0.25">
      <c r="J533" s="20" t="e">
        <f t="shared" si="26"/>
        <v>#NUM!</v>
      </c>
    </row>
    <row r="534" spans="10:10" x14ac:dyDescent="0.25">
      <c r="J534" s="20" t="e">
        <f t="shared" si="26"/>
        <v>#NUM!</v>
      </c>
    </row>
    <row r="535" spans="10:10" x14ac:dyDescent="0.25">
      <c r="J535" s="20" t="e">
        <f t="shared" si="26"/>
        <v>#NUM!</v>
      </c>
    </row>
    <row r="536" spans="10:10" x14ac:dyDescent="0.25">
      <c r="J536" s="20" t="e">
        <f t="shared" si="26"/>
        <v>#NUM!</v>
      </c>
    </row>
    <row r="537" spans="10:10" x14ac:dyDescent="0.25">
      <c r="J537" s="20" t="e">
        <f t="shared" si="26"/>
        <v>#NUM!</v>
      </c>
    </row>
    <row r="538" spans="10:10" x14ac:dyDescent="0.25">
      <c r="J538" s="20" t="e">
        <f t="shared" si="26"/>
        <v>#NUM!</v>
      </c>
    </row>
    <row r="539" spans="10:10" x14ac:dyDescent="0.25">
      <c r="J539" s="20" t="e">
        <f t="shared" si="26"/>
        <v>#NUM!</v>
      </c>
    </row>
    <row r="540" spans="10:10" x14ac:dyDescent="0.25">
      <c r="J540" s="20" t="e">
        <f t="shared" si="26"/>
        <v>#NUM!</v>
      </c>
    </row>
    <row r="541" spans="10:10" x14ac:dyDescent="0.25">
      <c r="J541" s="20" t="e">
        <f t="shared" si="26"/>
        <v>#NUM!</v>
      </c>
    </row>
    <row r="542" spans="10:10" x14ac:dyDescent="0.25">
      <c r="J542" s="20" t="e">
        <f t="shared" si="26"/>
        <v>#NUM!</v>
      </c>
    </row>
    <row r="543" spans="10:10" x14ac:dyDescent="0.25">
      <c r="J543" s="20" t="e">
        <f t="shared" si="26"/>
        <v>#NUM!</v>
      </c>
    </row>
    <row r="544" spans="10:10" x14ac:dyDescent="0.25">
      <c r="J544" s="20" t="e">
        <f t="shared" si="26"/>
        <v>#NUM!</v>
      </c>
    </row>
    <row r="545" spans="10:10" x14ac:dyDescent="0.25">
      <c r="J545" s="20" t="e">
        <f t="shared" si="26"/>
        <v>#NUM!</v>
      </c>
    </row>
    <row r="546" spans="10:10" x14ac:dyDescent="0.25">
      <c r="J546" s="20" t="e">
        <f t="shared" si="26"/>
        <v>#NUM!</v>
      </c>
    </row>
    <row r="547" spans="10:10" x14ac:dyDescent="0.25">
      <c r="J547" s="20" t="e">
        <f t="shared" si="26"/>
        <v>#NUM!</v>
      </c>
    </row>
    <row r="548" spans="10:10" x14ac:dyDescent="0.25">
      <c r="J548" s="20" t="e">
        <f t="shared" si="26"/>
        <v>#NUM!</v>
      </c>
    </row>
    <row r="549" spans="10:10" x14ac:dyDescent="0.25">
      <c r="J549" s="20" t="e">
        <f t="shared" si="26"/>
        <v>#NUM!</v>
      </c>
    </row>
    <row r="550" spans="10:10" x14ac:dyDescent="0.25">
      <c r="J550" s="20" t="e">
        <f t="shared" si="26"/>
        <v>#NUM!</v>
      </c>
    </row>
    <row r="551" spans="10:10" x14ac:dyDescent="0.25">
      <c r="J551" s="20" t="e">
        <f t="shared" si="26"/>
        <v>#NUM!</v>
      </c>
    </row>
    <row r="552" spans="10:10" x14ac:dyDescent="0.25">
      <c r="J552" s="20" t="e">
        <f t="shared" si="26"/>
        <v>#NUM!</v>
      </c>
    </row>
    <row r="553" spans="10:10" x14ac:dyDescent="0.25">
      <c r="J553" s="20" t="e">
        <f t="shared" si="26"/>
        <v>#NUM!</v>
      </c>
    </row>
    <row r="554" spans="10:10" x14ac:dyDescent="0.25">
      <c r="J554" s="20" t="e">
        <f t="shared" si="26"/>
        <v>#NUM!</v>
      </c>
    </row>
    <row r="555" spans="10:10" x14ac:dyDescent="0.25">
      <c r="J555" s="20" t="e">
        <f t="shared" si="26"/>
        <v>#NUM!</v>
      </c>
    </row>
    <row r="556" spans="10:10" x14ac:dyDescent="0.25">
      <c r="J556" s="20" t="e">
        <f t="shared" si="26"/>
        <v>#NUM!</v>
      </c>
    </row>
    <row r="557" spans="10:10" x14ac:dyDescent="0.25">
      <c r="J557" s="20" t="e">
        <f t="shared" si="26"/>
        <v>#NUM!</v>
      </c>
    </row>
    <row r="558" spans="10:10" x14ac:dyDescent="0.25">
      <c r="J558" s="20" t="e">
        <f t="shared" si="26"/>
        <v>#NUM!</v>
      </c>
    </row>
    <row r="559" spans="10:10" x14ac:dyDescent="0.25">
      <c r="J559" s="20" t="e">
        <f t="shared" si="26"/>
        <v>#NUM!</v>
      </c>
    </row>
    <row r="560" spans="10:10" x14ac:dyDescent="0.25">
      <c r="J560" s="20" t="e">
        <f t="shared" si="26"/>
        <v>#NUM!</v>
      </c>
    </row>
    <row r="561" spans="10:10" x14ac:dyDescent="0.25">
      <c r="J561" s="20" t="e">
        <f t="shared" si="26"/>
        <v>#NUM!</v>
      </c>
    </row>
    <row r="562" spans="10:10" x14ac:dyDescent="0.25">
      <c r="J562" s="20" t="e">
        <f t="shared" si="26"/>
        <v>#NUM!</v>
      </c>
    </row>
    <row r="563" spans="10:10" x14ac:dyDescent="0.25">
      <c r="J563" s="20" t="e">
        <f t="shared" si="26"/>
        <v>#NUM!</v>
      </c>
    </row>
    <row r="564" spans="10:10" x14ac:dyDescent="0.25">
      <c r="J564" s="20" t="e">
        <f t="shared" si="26"/>
        <v>#NUM!</v>
      </c>
    </row>
    <row r="565" spans="10:10" x14ac:dyDescent="0.25">
      <c r="J565" s="20" t="e">
        <f t="shared" si="26"/>
        <v>#NUM!</v>
      </c>
    </row>
    <row r="566" spans="10:10" x14ac:dyDescent="0.25">
      <c r="J566" s="20" t="e">
        <f t="shared" si="26"/>
        <v>#NUM!</v>
      </c>
    </row>
    <row r="567" spans="10:10" x14ac:dyDescent="0.25">
      <c r="J567" s="20" t="e">
        <f t="shared" si="26"/>
        <v>#NUM!</v>
      </c>
    </row>
    <row r="568" spans="10:10" x14ac:dyDescent="0.25">
      <c r="J568" s="20" t="e">
        <f t="shared" si="26"/>
        <v>#NUM!</v>
      </c>
    </row>
    <row r="569" spans="10:10" x14ac:dyDescent="0.25">
      <c r="J569" s="20" t="e">
        <f t="shared" si="26"/>
        <v>#NUM!</v>
      </c>
    </row>
    <row r="570" spans="10:10" x14ac:dyDescent="0.25">
      <c r="J570" s="20" t="e">
        <f t="shared" si="26"/>
        <v>#NUM!</v>
      </c>
    </row>
    <row r="571" spans="10:10" x14ac:dyDescent="0.25">
      <c r="J571" s="20" t="e">
        <f t="shared" si="26"/>
        <v>#NUM!</v>
      </c>
    </row>
    <row r="572" spans="10:10" x14ac:dyDescent="0.25">
      <c r="J572" s="20" t="e">
        <f t="shared" si="26"/>
        <v>#NUM!</v>
      </c>
    </row>
    <row r="573" spans="10:10" x14ac:dyDescent="0.25">
      <c r="J573" s="20" t="e">
        <f t="shared" si="26"/>
        <v>#NUM!</v>
      </c>
    </row>
    <row r="574" spans="10:10" x14ac:dyDescent="0.25">
      <c r="J574" s="20" t="e">
        <f t="shared" si="26"/>
        <v>#NUM!</v>
      </c>
    </row>
    <row r="575" spans="10:10" x14ac:dyDescent="0.25">
      <c r="J575" s="20" t="e">
        <f t="shared" si="26"/>
        <v>#NUM!</v>
      </c>
    </row>
    <row r="576" spans="10:10" x14ac:dyDescent="0.25">
      <c r="J576" s="20" t="e">
        <f t="shared" si="26"/>
        <v>#NUM!</v>
      </c>
    </row>
    <row r="577" spans="10:10" x14ac:dyDescent="0.25">
      <c r="J577" s="20" t="e">
        <f t="shared" si="26"/>
        <v>#NUM!</v>
      </c>
    </row>
    <row r="578" spans="10:10" x14ac:dyDescent="0.25">
      <c r="J578" s="20" t="e">
        <f t="shared" si="26"/>
        <v>#NUM!</v>
      </c>
    </row>
    <row r="579" spans="10:10" x14ac:dyDescent="0.25">
      <c r="J579" s="20" t="e">
        <f t="shared" si="26"/>
        <v>#NUM!</v>
      </c>
    </row>
    <row r="580" spans="10:10" x14ac:dyDescent="0.25">
      <c r="J580" s="20" t="e">
        <f t="shared" si="26"/>
        <v>#NUM!</v>
      </c>
    </row>
    <row r="581" spans="10:10" x14ac:dyDescent="0.25">
      <c r="J581" s="20" t="e">
        <f t="shared" si="26"/>
        <v>#NUM!</v>
      </c>
    </row>
    <row r="582" spans="10:10" x14ac:dyDescent="0.25">
      <c r="J582" s="20" t="e">
        <f t="shared" si="26"/>
        <v>#NUM!</v>
      </c>
    </row>
    <row r="583" spans="10:10" x14ac:dyDescent="0.25">
      <c r="J583" s="20" t="e">
        <f t="shared" ref="J583:J646" si="27">INT(LOG($H$2,2))-ROUNDUP(LOG(H583,2),0)+IF(OR($H$2=1,$H$2=2,$H$2=4,$H$2=8,$H$2=16,$H$2=32,$H$2=64,$H$2=128,$H$2=256),0,1)</f>
        <v>#NUM!</v>
      </c>
    </row>
    <row r="584" spans="10:10" x14ac:dyDescent="0.25">
      <c r="J584" s="20" t="e">
        <f t="shared" si="27"/>
        <v>#NUM!</v>
      </c>
    </row>
    <row r="585" spans="10:10" x14ac:dyDescent="0.25">
      <c r="J585" s="20" t="e">
        <f t="shared" si="27"/>
        <v>#NUM!</v>
      </c>
    </row>
    <row r="586" spans="10:10" x14ac:dyDescent="0.25">
      <c r="J586" s="20" t="e">
        <f t="shared" si="27"/>
        <v>#NUM!</v>
      </c>
    </row>
    <row r="587" spans="10:10" x14ac:dyDescent="0.25">
      <c r="J587" s="20" t="e">
        <f t="shared" si="27"/>
        <v>#NUM!</v>
      </c>
    </row>
    <row r="588" spans="10:10" x14ac:dyDescent="0.25">
      <c r="J588" s="20" t="e">
        <f t="shared" si="27"/>
        <v>#NUM!</v>
      </c>
    </row>
    <row r="589" spans="10:10" x14ac:dyDescent="0.25">
      <c r="J589" s="20" t="e">
        <f t="shared" si="27"/>
        <v>#NUM!</v>
      </c>
    </row>
    <row r="590" spans="10:10" x14ac:dyDescent="0.25">
      <c r="J590" s="20" t="e">
        <f t="shared" si="27"/>
        <v>#NUM!</v>
      </c>
    </row>
    <row r="591" spans="10:10" x14ac:dyDescent="0.25">
      <c r="J591" s="20" t="e">
        <f t="shared" si="27"/>
        <v>#NUM!</v>
      </c>
    </row>
    <row r="592" spans="10:10" x14ac:dyDescent="0.25">
      <c r="J592" s="20" t="e">
        <f t="shared" si="27"/>
        <v>#NUM!</v>
      </c>
    </row>
    <row r="593" spans="10:10" x14ac:dyDescent="0.25">
      <c r="J593" s="20" t="e">
        <f t="shared" si="27"/>
        <v>#NUM!</v>
      </c>
    </row>
    <row r="594" spans="10:10" x14ac:dyDescent="0.25">
      <c r="J594" s="20" t="e">
        <f t="shared" si="27"/>
        <v>#NUM!</v>
      </c>
    </row>
    <row r="595" spans="10:10" x14ac:dyDescent="0.25">
      <c r="J595" s="20" t="e">
        <f t="shared" si="27"/>
        <v>#NUM!</v>
      </c>
    </row>
    <row r="596" spans="10:10" x14ac:dyDescent="0.25">
      <c r="J596" s="20" t="e">
        <f t="shared" si="27"/>
        <v>#NUM!</v>
      </c>
    </row>
    <row r="597" spans="10:10" x14ac:dyDescent="0.25">
      <c r="J597" s="20" t="e">
        <f t="shared" si="27"/>
        <v>#NUM!</v>
      </c>
    </row>
    <row r="598" spans="10:10" x14ac:dyDescent="0.25">
      <c r="J598" s="20" t="e">
        <f t="shared" si="27"/>
        <v>#NUM!</v>
      </c>
    </row>
    <row r="599" spans="10:10" x14ac:dyDescent="0.25">
      <c r="J599" s="20" t="e">
        <f t="shared" si="27"/>
        <v>#NUM!</v>
      </c>
    </row>
    <row r="600" spans="10:10" x14ac:dyDescent="0.25">
      <c r="J600" s="20" t="e">
        <f t="shared" si="27"/>
        <v>#NUM!</v>
      </c>
    </row>
    <row r="601" spans="10:10" x14ac:dyDescent="0.25">
      <c r="J601" s="20" t="e">
        <f t="shared" si="27"/>
        <v>#NUM!</v>
      </c>
    </row>
    <row r="602" spans="10:10" x14ac:dyDescent="0.25">
      <c r="J602" s="20" t="e">
        <f t="shared" si="27"/>
        <v>#NUM!</v>
      </c>
    </row>
    <row r="603" spans="10:10" x14ac:dyDescent="0.25">
      <c r="J603" s="20" t="e">
        <f t="shared" si="27"/>
        <v>#NUM!</v>
      </c>
    </row>
    <row r="604" spans="10:10" x14ac:dyDescent="0.25">
      <c r="J604" s="20" t="e">
        <f t="shared" si="27"/>
        <v>#NUM!</v>
      </c>
    </row>
    <row r="605" spans="10:10" x14ac:dyDescent="0.25">
      <c r="J605" s="20" t="e">
        <f t="shared" si="27"/>
        <v>#NUM!</v>
      </c>
    </row>
    <row r="606" spans="10:10" x14ac:dyDescent="0.25">
      <c r="J606" s="20" t="e">
        <f t="shared" si="27"/>
        <v>#NUM!</v>
      </c>
    </row>
    <row r="607" spans="10:10" x14ac:dyDescent="0.25">
      <c r="J607" s="20" t="e">
        <f t="shared" si="27"/>
        <v>#NUM!</v>
      </c>
    </row>
    <row r="608" spans="10:10" x14ac:dyDescent="0.25">
      <c r="J608" s="20" t="e">
        <f t="shared" si="27"/>
        <v>#NUM!</v>
      </c>
    </row>
    <row r="609" spans="10:10" x14ac:dyDescent="0.25">
      <c r="J609" s="20" t="e">
        <f t="shared" si="27"/>
        <v>#NUM!</v>
      </c>
    </row>
    <row r="610" spans="10:10" x14ac:dyDescent="0.25">
      <c r="J610" s="20" t="e">
        <f t="shared" si="27"/>
        <v>#NUM!</v>
      </c>
    </row>
    <row r="611" spans="10:10" x14ac:dyDescent="0.25">
      <c r="J611" s="20" t="e">
        <f t="shared" si="27"/>
        <v>#NUM!</v>
      </c>
    </row>
    <row r="612" spans="10:10" x14ac:dyDescent="0.25">
      <c r="J612" s="20" t="e">
        <f t="shared" si="27"/>
        <v>#NUM!</v>
      </c>
    </row>
    <row r="613" spans="10:10" x14ac:dyDescent="0.25">
      <c r="J613" s="20" t="e">
        <f t="shared" si="27"/>
        <v>#NUM!</v>
      </c>
    </row>
    <row r="614" spans="10:10" x14ac:dyDescent="0.25">
      <c r="J614" s="20" t="e">
        <f t="shared" si="27"/>
        <v>#NUM!</v>
      </c>
    </row>
    <row r="615" spans="10:10" x14ac:dyDescent="0.25">
      <c r="J615" s="20" t="e">
        <f t="shared" si="27"/>
        <v>#NUM!</v>
      </c>
    </row>
    <row r="616" spans="10:10" x14ac:dyDescent="0.25">
      <c r="J616" s="20" t="e">
        <f t="shared" si="27"/>
        <v>#NUM!</v>
      </c>
    </row>
    <row r="617" spans="10:10" x14ac:dyDescent="0.25">
      <c r="J617" s="20" t="e">
        <f t="shared" si="27"/>
        <v>#NUM!</v>
      </c>
    </row>
    <row r="618" spans="10:10" x14ac:dyDescent="0.25">
      <c r="J618" s="20" t="e">
        <f t="shared" si="27"/>
        <v>#NUM!</v>
      </c>
    </row>
    <row r="619" spans="10:10" x14ac:dyDescent="0.25">
      <c r="J619" s="20" t="e">
        <f t="shared" si="27"/>
        <v>#NUM!</v>
      </c>
    </row>
    <row r="620" spans="10:10" x14ac:dyDescent="0.25">
      <c r="J620" s="20" t="e">
        <f t="shared" si="27"/>
        <v>#NUM!</v>
      </c>
    </row>
    <row r="621" spans="10:10" x14ac:dyDescent="0.25">
      <c r="J621" s="20" t="e">
        <f t="shared" si="27"/>
        <v>#NUM!</v>
      </c>
    </row>
    <row r="622" spans="10:10" x14ac:dyDescent="0.25">
      <c r="J622" s="20" t="e">
        <f t="shared" si="27"/>
        <v>#NUM!</v>
      </c>
    </row>
    <row r="623" spans="10:10" x14ac:dyDescent="0.25">
      <c r="J623" s="20" t="e">
        <f t="shared" si="27"/>
        <v>#NUM!</v>
      </c>
    </row>
    <row r="624" spans="10:10" x14ac:dyDescent="0.25">
      <c r="J624" s="20" t="e">
        <f t="shared" si="27"/>
        <v>#NUM!</v>
      </c>
    </row>
    <row r="625" spans="10:10" x14ac:dyDescent="0.25">
      <c r="J625" s="20" t="e">
        <f t="shared" si="27"/>
        <v>#NUM!</v>
      </c>
    </row>
    <row r="626" spans="10:10" x14ac:dyDescent="0.25">
      <c r="J626" s="20" t="e">
        <f t="shared" si="27"/>
        <v>#NUM!</v>
      </c>
    </row>
    <row r="627" spans="10:10" x14ac:dyDescent="0.25">
      <c r="J627" s="20" t="e">
        <f t="shared" si="27"/>
        <v>#NUM!</v>
      </c>
    </row>
    <row r="628" spans="10:10" x14ac:dyDescent="0.25">
      <c r="J628" s="20" t="e">
        <f t="shared" si="27"/>
        <v>#NUM!</v>
      </c>
    </row>
    <row r="629" spans="10:10" x14ac:dyDescent="0.25">
      <c r="J629" s="20" t="e">
        <f t="shared" si="27"/>
        <v>#NUM!</v>
      </c>
    </row>
    <row r="630" spans="10:10" x14ac:dyDescent="0.25">
      <c r="J630" s="20" t="e">
        <f t="shared" si="27"/>
        <v>#NUM!</v>
      </c>
    </row>
    <row r="631" spans="10:10" x14ac:dyDescent="0.25">
      <c r="J631" s="20" t="e">
        <f t="shared" si="27"/>
        <v>#NUM!</v>
      </c>
    </row>
    <row r="632" spans="10:10" x14ac:dyDescent="0.25">
      <c r="J632" s="20" t="e">
        <f t="shared" si="27"/>
        <v>#NUM!</v>
      </c>
    </row>
    <row r="633" spans="10:10" x14ac:dyDescent="0.25">
      <c r="J633" s="20" t="e">
        <f t="shared" si="27"/>
        <v>#NUM!</v>
      </c>
    </row>
    <row r="634" spans="10:10" x14ac:dyDescent="0.25">
      <c r="J634" s="20" t="e">
        <f t="shared" si="27"/>
        <v>#NUM!</v>
      </c>
    </row>
    <row r="635" spans="10:10" x14ac:dyDescent="0.25">
      <c r="J635" s="20" t="e">
        <f t="shared" si="27"/>
        <v>#NUM!</v>
      </c>
    </row>
    <row r="636" spans="10:10" x14ac:dyDescent="0.25">
      <c r="J636" s="20" t="e">
        <f t="shared" si="27"/>
        <v>#NUM!</v>
      </c>
    </row>
    <row r="637" spans="10:10" x14ac:dyDescent="0.25">
      <c r="J637" s="20" t="e">
        <f t="shared" si="27"/>
        <v>#NUM!</v>
      </c>
    </row>
    <row r="638" spans="10:10" x14ac:dyDescent="0.25">
      <c r="J638" s="20" t="e">
        <f t="shared" si="27"/>
        <v>#NUM!</v>
      </c>
    </row>
    <row r="639" spans="10:10" x14ac:dyDescent="0.25">
      <c r="J639" s="20" t="e">
        <f t="shared" si="27"/>
        <v>#NUM!</v>
      </c>
    </row>
    <row r="640" spans="10:10" x14ac:dyDescent="0.25">
      <c r="J640" s="20" t="e">
        <f t="shared" si="27"/>
        <v>#NUM!</v>
      </c>
    </row>
    <row r="641" spans="10:10" x14ac:dyDescent="0.25">
      <c r="J641" s="20" t="e">
        <f t="shared" si="27"/>
        <v>#NUM!</v>
      </c>
    </row>
    <row r="642" spans="10:10" x14ac:dyDescent="0.25">
      <c r="J642" s="20" t="e">
        <f t="shared" si="27"/>
        <v>#NUM!</v>
      </c>
    </row>
    <row r="643" spans="10:10" x14ac:dyDescent="0.25">
      <c r="J643" s="20" t="e">
        <f t="shared" si="27"/>
        <v>#NUM!</v>
      </c>
    </row>
    <row r="644" spans="10:10" x14ac:dyDescent="0.25">
      <c r="J644" s="20" t="e">
        <f t="shared" si="27"/>
        <v>#NUM!</v>
      </c>
    </row>
    <row r="645" spans="10:10" x14ac:dyDescent="0.25">
      <c r="J645" s="20" t="e">
        <f t="shared" si="27"/>
        <v>#NUM!</v>
      </c>
    </row>
    <row r="646" spans="10:10" x14ac:dyDescent="0.25">
      <c r="J646" s="20" t="e">
        <f t="shared" si="27"/>
        <v>#NUM!</v>
      </c>
    </row>
    <row r="647" spans="10:10" x14ac:dyDescent="0.25">
      <c r="J647" s="20" t="e">
        <f t="shared" ref="J647:J710" si="28">INT(LOG($H$2,2))-ROUNDUP(LOG(H647,2),0)+IF(OR($H$2=1,$H$2=2,$H$2=4,$H$2=8,$H$2=16,$H$2=32,$H$2=64,$H$2=128,$H$2=256),0,1)</f>
        <v>#NUM!</v>
      </c>
    </row>
    <row r="648" spans="10:10" x14ac:dyDescent="0.25">
      <c r="J648" s="20" t="e">
        <f t="shared" si="28"/>
        <v>#NUM!</v>
      </c>
    </row>
    <row r="649" spans="10:10" x14ac:dyDescent="0.25">
      <c r="J649" s="20" t="e">
        <f t="shared" si="28"/>
        <v>#NUM!</v>
      </c>
    </row>
    <row r="650" spans="10:10" x14ac:dyDescent="0.25">
      <c r="J650" s="20" t="e">
        <f t="shared" si="28"/>
        <v>#NUM!</v>
      </c>
    </row>
    <row r="651" spans="10:10" x14ac:dyDescent="0.25">
      <c r="J651" s="20" t="e">
        <f t="shared" si="28"/>
        <v>#NUM!</v>
      </c>
    </row>
    <row r="652" spans="10:10" x14ac:dyDescent="0.25">
      <c r="J652" s="20" t="e">
        <f t="shared" si="28"/>
        <v>#NUM!</v>
      </c>
    </row>
    <row r="653" spans="10:10" x14ac:dyDescent="0.25">
      <c r="J653" s="20" t="e">
        <f t="shared" si="28"/>
        <v>#NUM!</v>
      </c>
    </row>
    <row r="654" spans="10:10" x14ac:dyDescent="0.25">
      <c r="J654" s="20" t="e">
        <f t="shared" si="28"/>
        <v>#NUM!</v>
      </c>
    </row>
    <row r="655" spans="10:10" x14ac:dyDescent="0.25">
      <c r="J655" s="20" t="e">
        <f t="shared" si="28"/>
        <v>#NUM!</v>
      </c>
    </row>
    <row r="656" spans="10:10" x14ac:dyDescent="0.25">
      <c r="J656" s="20" t="e">
        <f t="shared" si="28"/>
        <v>#NUM!</v>
      </c>
    </row>
    <row r="657" spans="10:10" x14ac:dyDescent="0.25">
      <c r="J657" s="20" t="e">
        <f t="shared" si="28"/>
        <v>#NUM!</v>
      </c>
    </row>
    <row r="658" spans="10:10" x14ac:dyDescent="0.25">
      <c r="J658" s="20" t="e">
        <f t="shared" si="28"/>
        <v>#NUM!</v>
      </c>
    </row>
    <row r="659" spans="10:10" x14ac:dyDescent="0.25">
      <c r="J659" s="20" t="e">
        <f t="shared" si="28"/>
        <v>#NUM!</v>
      </c>
    </row>
    <row r="660" spans="10:10" x14ac:dyDescent="0.25">
      <c r="J660" s="20" t="e">
        <f t="shared" si="28"/>
        <v>#NUM!</v>
      </c>
    </row>
    <row r="661" spans="10:10" x14ac:dyDescent="0.25">
      <c r="J661" s="20" t="e">
        <f t="shared" si="28"/>
        <v>#NUM!</v>
      </c>
    </row>
    <row r="662" spans="10:10" x14ac:dyDescent="0.25">
      <c r="J662" s="20" t="e">
        <f t="shared" si="28"/>
        <v>#NUM!</v>
      </c>
    </row>
    <row r="663" spans="10:10" x14ac:dyDescent="0.25">
      <c r="J663" s="20" t="e">
        <f t="shared" si="28"/>
        <v>#NUM!</v>
      </c>
    </row>
    <row r="664" spans="10:10" x14ac:dyDescent="0.25">
      <c r="J664" s="20" t="e">
        <f t="shared" si="28"/>
        <v>#NUM!</v>
      </c>
    </row>
    <row r="665" spans="10:10" x14ac:dyDescent="0.25">
      <c r="J665" s="20" t="e">
        <f t="shared" si="28"/>
        <v>#NUM!</v>
      </c>
    </row>
    <row r="666" spans="10:10" x14ac:dyDescent="0.25">
      <c r="J666" s="20" t="e">
        <f t="shared" si="28"/>
        <v>#NUM!</v>
      </c>
    </row>
    <row r="667" spans="10:10" x14ac:dyDescent="0.25">
      <c r="J667" s="20" t="e">
        <f t="shared" si="28"/>
        <v>#NUM!</v>
      </c>
    </row>
    <row r="668" spans="10:10" x14ac:dyDescent="0.25">
      <c r="J668" s="20" t="e">
        <f t="shared" si="28"/>
        <v>#NUM!</v>
      </c>
    </row>
    <row r="669" spans="10:10" x14ac:dyDescent="0.25">
      <c r="J669" s="20" t="e">
        <f t="shared" si="28"/>
        <v>#NUM!</v>
      </c>
    </row>
    <row r="670" spans="10:10" x14ac:dyDescent="0.25">
      <c r="J670" s="20" t="e">
        <f t="shared" si="28"/>
        <v>#NUM!</v>
      </c>
    </row>
    <row r="671" spans="10:10" x14ac:dyDescent="0.25">
      <c r="J671" s="20" t="e">
        <f t="shared" si="28"/>
        <v>#NUM!</v>
      </c>
    </row>
    <row r="672" spans="10:10" x14ac:dyDescent="0.25">
      <c r="J672" s="20" t="e">
        <f t="shared" si="28"/>
        <v>#NUM!</v>
      </c>
    </row>
    <row r="673" spans="10:10" x14ac:dyDescent="0.25">
      <c r="J673" s="20" t="e">
        <f t="shared" si="28"/>
        <v>#NUM!</v>
      </c>
    </row>
    <row r="674" spans="10:10" x14ac:dyDescent="0.25">
      <c r="J674" s="20" t="e">
        <f t="shared" si="28"/>
        <v>#NUM!</v>
      </c>
    </row>
    <row r="675" spans="10:10" x14ac:dyDescent="0.25">
      <c r="J675" s="20" t="e">
        <f t="shared" si="28"/>
        <v>#NUM!</v>
      </c>
    </row>
    <row r="676" spans="10:10" x14ac:dyDescent="0.25">
      <c r="J676" s="20" t="e">
        <f t="shared" si="28"/>
        <v>#NUM!</v>
      </c>
    </row>
    <row r="677" spans="10:10" x14ac:dyDescent="0.25">
      <c r="J677" s="20" t="e">
        <f t="shared" si="28"/>
        <v>#NUM!</v>
      </c>
    </row>
    <row r="678" spans="10:10" x14ac:dyDescent="0.25">
      <c r="J678" s="20" t="e">
        <f t="shared" si="28"/>
        <v>#NUM!</v>
      </c>
    </row>
    <row r="679" spans="10:10" x14ac:dyDescent="0.25">
      <c r="J679" s="20" t="e">
        <f t="shared" si="28"/>
        <v>#NUM!</v>
      </c>
    </row>
    <row r="680" spans="10:10" x14ac:dyDescent="0.25">
      <c r="J680" s="20" t="e">
        <f t="shared" si="28"/>
        <v>#NUM!</v>
      </c>
    </row>
    <row r="681" spans="10:10" x14ac:dyDescent="0.25">
      <c r="J681" s="20" t="e">
        <f t="shared" si="28"/>
        <v>#NUM!</v>
      </c>
    </row>
    <row r="682" spans="10:10" x14ac:dyDescent="0.25">
      <c r="J682" s="20" t="e">
        <f t="shared" si="28"/>
        <v>#NUM!</v>
      </c>
    </row>
    <row r="683" spans="10:10" x14ac:dyDescent="0.25">
      <c r="J683" s="20" t="e">
        <f t="shared" si="28"/>
        <v>#NUM!</v>
      </c>
    </row>
    <row r="684" spans="10:10" x14ac:dyDescent="0.25">
      <c r="J684" s="20" t="e">
        <f t="shared" si="28"/>
        <v>#NUM!</v>
      </c>
    </row>
    <row r="685" spans="10:10" x14ac:dyDescent="0.25">
      <c r="J685" s="20" t="e">
        <f t="shared" si="28"/>
        <v>#NUM!</v>
      </c>
    </row>
    <row r="686" spans="10:10" x14ac:dyDescent="0.25">
      <c r="J686" s="20" t="e">
        <f t="shared" si="28"/>
        <v>#NUM!</v>
      </c>
    </row>
    <row r="687" spans="10:10" x14ac:dyDescent="0.25">
      <c r="J687" s="20" t="e">
        <f t="shared" si="28"/>
        <v>#NUM!</v>
      </c>
    </row>
    <row r="688" spans="10:10" x14ac:dyDescent="0.25">
      <c r="J688" s="20" t="e">
        <f t="shared" si="28"/>
        <v>#NUM!</v>
      </c>
    </row>
    <row r="689" spans="10:10" x14ac:dyDescent="0.25">
      <c r="J689" s="20" t="e">
        <f t="shared" si="28"/>
        <v>#NUM!</v>
      </c>
    </row>
    <row r="690" spans="10:10" x14ac:dyDescent="0.25">
      <c r="J690" s="20" t="e">
        <f t="shared" si="28"/>
        <v>#NUM!</v>
      </c>
    </row>
    <row r="691" spans="10:10" x14ac:dyDescent="0.25">
      <c r="J691" s="20" t="e">
        <f t="shared" si="28"/>
        <v>#NUM!</v>
      </c>
    </row>
    <row r="692" spans="10:10" x14ac:dyDescent="0.25">
      <c r="J692" s="20" t="e">
        <f t="shared" si="28"/>
        <v>#NUM!</v>
      </c>
    </row>
    <row r="693" spans="10:10" x14ac:dyDescent="0.25">
      <c r="J693" s="20" t="e">
        <f t="shared" si="28"/>
        <v>#NUM!</v>
      </c>
    </row>
    <row r="694" spans="10:10" x14ac:dyDescent="0.25">
      <c r="J694" s="20" t="e">
        <f t="shared" si="28"/>
        <v>#NUM!</v>
      </c>
    </row>
    <row r="695" spans="10:10" x14ac:dyDescent="0.25">
      <c r="J695" s="20" t="e">
        <f t="shared" si="28"/>
        <v>#NUM!</v>
      </c>
    </row>
    <row r="696" spans="10:10" x14ac:dyDescent="0.25">
      <c r="J696" s="20" t="e">
        <f t="shared" si="28"/>
        <v>#NUM!</v>
      </c>
    </row>
    <row r="697" spans="10:10" x14ac:dyDescent="0.25">
      <c r="J697" s="20" t="e">
        <f t="shared" si="28"/>
        <v>#NUM!</v>
      </c>
    </row>
    <row r="698" spans="10:10" x14ac:dyDescent="0.25">
      <c r="J698" s="20" t="e">
        <f t="shared" si="28"/>
        <v>#NUM!</v>
      </c>
    </row>
    <row r="699" spans="10:10" x14ac:dyDescent="0.25">
      <c r="J699" s="20" t="e">
        <f t="shared" si="28"/>
        <v>#NUM!</v>
      </c>
    </row>
    <row r="700" spans="10:10" x14ac:dyDescent="0.25">
      <c r="J700" s="20" t="e">
        <f t="shared" si="28"/>
        <v>#NUM!</v>
      </c>
    </row>
    <row r="701" spans="10:10" x14ac:dyDescent="0.25">
      <c r="J701" s="20" t="e">
        <f t="shared" si="28"/>
        <v>#NUM!</v>
      </c>
    </row>
    <row r="702" spans="10:10" x14ac:dyDescent="0.25">
      <c r="J702" s="20" t="e">
        <f t="shared" si="28"/>
        <v>#NUM!</v>
      </c>
    </row>
    <row r="703" spans="10:10" x14ac:dyDescent="0.25">
      <c r="J703" s="20" t="e">
        <f t="shared" si="28"/>
        <v>#NUM!</v>
      </c>
    </row>
    <row r="704" spans="10:10" x14ac:dyDescent="0.25">
      <c r="J704" s="20" t="e">
        <f t="shared" si="28"/>
        <v>#NUM!</v>
      </c>
    </row>
    <row r="705" spans="10:10" x14ac:dyDescent="0.25">
      <c r="J705" s="20" t="e">
        <f t="shared" si="28"/>
        <v>#NUM!</v>
      </c>
    </row>
    <row r="706" spans="10:10" x14ac:dyDescent="0.25">
      <c r="J706" s="20" t="e">
        <f t="shared" si="28"/>
        <v>#NUM!</v>
      </c>
    </row>
    <row r="707" spans="10:10" x14ac:dyDescent="0.25">
      <c r="J707" s="20" t="e">
        <f t="shared" si="28"/>
        <v>#NUM!</v>
      </c>
    </row>
    <row r="708" spans="10:10" x14ac:dyDescent="0.25">
      <c r="J708" s="20" t="e">
        <f t="shared" si="28"/>
        <v>#NUM!</v>
      </c>
    </row>
    <row r="709" spans="10:10" x14ac:dyDescent="0.25">
      <c r="J709" s="20" t="e">
        <f t="shared" si="28"/>
        <v>#NUM!</v>
      </c>
    </row>
    <row r="710" spans="10:10" x14ac:dyDescent="0.25">
      <c r="J710" s="20" t="e">
        <f t="shared" si="28"/>
        <v>#NUM!</v>
      </c>
    </row>
    <row r="711" spans="10:10" x14ac:dyDescent="0.25">
      <c r="J711" s="20" t="e">
        <f t="shared" ref="J711:J774" si="29">INT(LOG($H$2,2))-ROUNDUP(LOG(H711,2),0)+IF(OR($H$2=1,$H$2=2,$H$2=4,$H$2=8,$H$2=16,$H$2=32,$H$2=64,$H$2=128,$H$2=256),0,1)</f>
        <v>#NUM!</v>
      </c>
    </row>
    <row r="712" spans="10:10" x14ac:dyDescent="0.25">
      <c r="J712" s="20" t="e">
        <f t="shared" si="29"/>
        <v>#NUM!</v>
      </c>
    </row>
    <row r="713" spans="10:10" x14ac:dyDescent="0.25">
      <c r="J713" s="20" t="e">
        <f t="shared" si="29"/>
        <v>#NUM!</v>
      </c>
    </row>
    <row r="714" spans="10:10" x14ac:dyDescent="0.25">
      <c r="J714" s="20" t="e">
        <f t="shared" si="29"/>
        <v>#NUM!</v>
      </c>
    </row>
    <row r="715" spans="10:10" x14ac:dyDescent="0.25">
      <c r="J715" s="20" t="e">
        <f t="shared" si="29"/>
        <v>#NUM!</v>
      </c>
    </row>
    <row r="716" spans="10:10" x14ac:dyDescent="0.25">
      <c r="J716" s="20" t="e">
        <f t="shared" si="29"/>
        <v>#NUM!</v>
      </c>
    </row>
    <row r="717" spans="10:10" x14ac:dyDescent="0.25">
      <c r="J717" s="20" t="e">
        <f t="shared" si="29"/>
        <v>#NUM!</v>
      </c>
    </row>
    <row r="718" spans="10:10" x14ac:dyDescent="0.25">
      <c r="J718" s="20" t="e">
        <f t="shared" si="29"/>
        <v>#NUM!</v>
      </c>
    </row>
    <row r="719" spans="10:10" x14ac:dyDescent="0.25">
      <c r="J719" s="20" t="e">
        <f t="shared" si="29"/>
        <v>#NUM!</v>
      </c>
    </row>
    <row r="720" spans="10:10" x14ac:dyDescent="0.25">
      <c r="J720" s="20" t="e">
        <f t="shared" si="29"/>
        <v>#NUM!</v>
      </c>
    </row>
    <row r="721" spans="10:10" x14ac:dyDescent="0.25">
      <c r="J721" s="20" t="e">
        <f t="shared" si="29"/>
        <v>#NUM!</v>
      </c>
    </row>
    <row r="722" spans="10:10" x14ac:dyDescent="0.25">
      <c r="J722" s="20" t="e">
        <f t="shared" si="29"/>
        <v>#NUM!</v>
      </c>
    </row>
    <row r="723" spans="10:10" x14ac:dyDescent="0.25">
      <c r="J723" s="20" t="e">
        <f t="shared" si="29"/>
        <v>#NUM!</v>
      </c>
    </row>
    <row r="724" spans="10:10" x14ac:dyDescent="0.25">
      <c r="J724" s="20" t="e">
        <f t="shared" si="29"/>
        <v>#NUM!</v>
      </c>
    </row>
    <row r="725" spans="10:10" x14ac:dyDescent="0.25">
      <c r="J725" s="20" t="e">
        <f t="shared" si="29"/>
        <v>#NUM!</v>
      </c>
    </row>
    <row r="726" spans="10:10" x14ac:dyDescent="0.25">
      <c r="J726" s="20" t="e">
        <f t="shared" si="29"/>
        <v>#NUM!</v>
      </c>
    </row>
    <row r="727" spans="10:10" x14ac:dyDescent="0.25">
      <c r="J727" s="20" t="e">
        <f t="shared" si="29"/>
        <v>#NUM!</v>
      </c>
    </row>
    <row r="728" spans="10:10" x14ac:dyDescent="0.25">
      <c r="J728" s="20" t="e">
        <f t="shared" si="29"/>
        <v>#NUM!</v>
      </c>
    </row>
    <row r="729" spans="10:10" x14ac:dyDescent="0.25">
      <c r="J729" s="20" t="e">
        <f t="shared" si="29"/>
        <v>#NUM!</v>
      </c>
    </row>
    <row r="730" spans="10:10" x14ac:dyDescent="0.25">
      <c r="J730" s="20" t="e">
        <f t="shared" si="29"/>
        <v>#NUM!</v>
      </c>
    </row>
    <row r="731" spans="10:10" x14ac:dyDescent="0.25">
      <c r="J731" s="20" t="e">
        <f t="shared" si="29"/>
        <v>#NUM!</v>
      </c>
    </row>
    <row r="732" spans="10:10" x14ac:dyDescent="0.25">
      <c r="J732" s="20" t="e">
        <f t="shared" si="29"/>
        <v>#NUM!</v>
      </c>
    </row>
    <row r="733" spans="10:10" x14ac:dyDescent="0.25">
      <c r="J733" s="20" t="e">
        <f t="shared" si="29"/>
        <v>#NUM!</v>
      </c>
    </row>
    <row r="734" spans="10:10" x14ac:dyDescent="0.25">
      <c r="J734" s="20" t="e">
        <f t="shared" si="29"/>
        <v>#NUM!</v>
      </c>
    </row>
    <row r="735" spans="10:10" x14ac:dyDescent="0.25">
      <c r="J735" s="20" t="e">
        <f t="shared" si="29"/>
        <v>#NUM!</v>
      </c>
    </row>
    <row r="736" spans="10:10" x14ac:dyDescent="0.25">
      <c r="J736" s="20" t="e">
        <f t="shared" si="29"/>
        <v>#NUM!</v>
      </c>
    </row>
    <row r="737" spans="10:10" x14ac:dyDescent="0.25">
      <c r="J737" s="20" t="e">
        <f t="shared" si="29"/>
        <v>#NUM!</v>
      </c>
    </row>
    <row r="738" spans="10:10" x14ac:dyDescent="0.25">
      <c r="J738" s="20" t="e">
        <f t="shared" si="29"/>
        <v>#NUM!</v>
      </c>
    </row>
    <row r="739" spans="10:10" x14ac:dyDescent="0.25">
      <c r="J739" s="20" t="e">
        <f t="shared" si="29"/>
        <v>#NUM!</v>
      </c>
    </row>
    <row r="740" spans="10:10" x14ac:dyDescent="0.25">
      <c r="J740" s="20" t="e">
        <f t="shared" si="29"/>
        <v>#NUM!</v>
      </c>
    </row>
    <row r="741" spans="10:10" x14ac:dyDescent="0.25">
      <c r="J741" s="20" t="e">
        <f t="shared" si="29"/>
        <v>#NUM!</v>
      </c>
    </row>
    <row r="742" spans="10:10" x14ac:dyDescent="0.25">
      <c r="J742" s="20" t="e">
        <f t="shared" si="29"/>
        <v>#NUM!</v>
      </c>
    </row>
    <row r="743" spans="10:10" x14ac:dyDescent="0.25">
      <c r="J743" s="20" t="e">
        <f t="shared" si="29"/>
        <v>#NUM!</v>
      </c>
    </row>
    <row r="744" spans="10:10" x14ac:dyDescent="0.25">
      <c r="J744" s="20" t="e">
        <f t="shared" si="29"/>
        <v>#NUM!</v>
      </c>
    </row>
    <row r="745" spans="10:10" x14ac:dyDescent="0.25">
      <c r="J745" s="20" t="e">
        <f t="shared" si="29"/>
        <v>#NUM!</v>
      </c>
    </row>
    <row r="746" spans="10:10" x14ac:dyDescent="0.25">
      <c r="J746" s="20" t="e">
        <f t="shared" si="29"/>
        <v>#NUM!</v>
      </c>
    </row>
    <row r="747" spans="10:10" x14ac:dyDescent="0.25">
      <c r="J747" s="20" t="e">
        <f t="shared" si="29"/>
        <v>#NUM!</v>
      </c>
    </row>
    <row r="748" spans="10:10" x14ac:dyDescent="0.25">
      <c r="J748" s="20" t="e">
        <f t="shared" si="29"/>
        <v>#NUM!</v>
      </c>
    </row>
    <row r="749" spans="10:10" x14ac:dyDescent="0.25">
      <c r="J749" s="20" t="e">
        <f t="shared" si="29"/>
        <v>#NUM!</v>
      </c>
    </row>
    <row r="750" spans="10:10" x14ac:dyDescent="0.25">
      <c r="J750" s="20" t="e">
        <f t="shared" si="29"/>
        <v>#NUM!</v>
      </c>
    </row>
    <row r="751" spans="10:10" x14ac:dyDescent="0.25">
      <c r="J751" s="20" t="e">
        <f t="shared" si="29"/>
        <v>#NUM!</v>
      </c>
    </row>
    <row r="752" spans="10:10" x14ac:dyDescent="0.25">
      <c r="J752" s="20" t="e">
        <f t="shared" si="29"/>
        <v>#NUM!</v>
      </c>
    </row>
    <row r="753" spans="10:10" x14ac:dyDescent="0.25">
      <c r="J753" s="20" t="e">
        <f t="shared" si="29"/>
        <v>#NUM!</v>
      </c>
    </row>
    <row r="754" spans="10:10" x14ac:dyDescent="0.25">
      <c r="J754" s="20" t="e">
        <f t="shared" si="29"/>
        <v>#NUM!</v>
      </c>
    </row>
    <row r="755" spans="10:10" x14ac:dyDescent="0.25">
      <c r="J755" s="20" t="e">
        <f t="shared" si="29"/>
        <v>#NUM!</v>
      </c>
    </row>
    <row r="756" spans="10:10" x14ac:dyDescent="0.25">
      <c r="J756" s="20" t="e">
        <f t="shared" si="29"/>
        <v>#NUM!</v>
      </c>
    </row>
    <row r="757" spans="10:10" x14ac:dyDescent="0.25">
      <c r="J757" s="20" t="e">
        <f t="shared" si="29"/>
        <v>#NUM!</v>
      </c>
    </row>
    <row r="758" spans="10:10" x14ac:dyDescent="0.25">
      <c r="J758" s="20" t="e">
        <f t="shared" si="29"/>
        <v>#NUM!</v>
      </c>
    </row>
    <row r="759" spans="10:10" x14ac:dyDescent="0.25">
      <c r="J759" s="20" t="e">
        <f t="shared" si="29"/>
        <v>#NUM!</v>
      </c>
    </row>
    <row r="760" spans="10:10" x14ac:dyDescent="0.25">
      <c r="J760" s="20" t="e">
        <f t="shared" si="29"/>
        <v>#NUM!</v>
      </c>
    </row>
    <row r="761" spans="10:10" x14ac:dyDescent="0.25">
      <c r="J761" s="20" t="e">
        <f t="shared" si="29"/>
        <v>#NUM!</v>
      </c>
    </row>
    <row r="762" spans="10:10" x14ac:dyDescent="0.25">
      <c r="J762" s="20" t="e">
        <f t="shared" si="29"/>
        <v>#NUM!</v>
      </c>
    </row>
    <row r="763" spans="10:10" x14ac:dyDescent="0.25">
      <c r="J763" s="20" t="e">
        <f t="shared" si="29"/>
        <v>#NUM!</v>
      </c>
    </row>
    <row r="764" spans="10:10" x14ac:dyDescent="0.25">
      <c r="J764" s="20" t="e">
        <f t="shared" si="29"/>
        <v>#NUM!</v>
      </c>
    </row>
    <row r="765" spans="10:10" x14ac:dyDescent="0.25">
      <c r="J765" s="20" t="e">
        <f t="shared" si="29"/>
        <v>#NUM!</v>
      </c>
    </row>
    <row r="766" spans="10:10" x14ac:dyDescent="0.25">
      <c r="J766" s="20" t="e">
        <f t="shared" si="29"/>
        <v>#NUM!</v>
      </c>
    </row>
    <row r="767" spans="10:10" x14ac:dyDescent="0.25">
      <c r="J767" s="20" t="e">
        <f t="shared" si="29"/>
        <v>#NUM!</v>
      </c>
    </row>
    <row r="768" spans="10:10" x14ac:dyDescent="0.25">
      <c r="J768" s="20" t="e">
        <f t="shared" si="29"/>
        <v>#NUM!</v>
      </c>
    </row>
    <row r="769" spans="10:10" x14ac:dyDescent="0.25">
      <c r="J769" s="20" t="e">
        <f t="shared" si="29"/>
        <v>#NUM!</v>
      </c>
    </row>
    <row r="770" spans="10:10" x14ac:dyDescent="0.25">
      <c r="J770" s="20" t="e">
        <f t="shared" si="29"/>
        <v>#NUM!</v>
      </c>
    </row>
    <row r="771" spans="10:10" x14ac:dyDescent="0.25">
      <c r="J771" s="20" t="e">
        <f t="shared" si="29"/>
        <v>#NUM!</v>
      </c>
    </row>
    <row r="772" spans="10:10" x14ac:dyDescent="0.25">
      <c r="J772" s="20" t="e">
        <f t="shared" si="29"/>
        <v>#NUM!</v>
      </c>
    </row>
    <row r="773" spans="10:10" x14ac:dyDescent="0.25">
      <c r="J773" s="20" t="e">
        <f t="shared" si="29"/>
        <v>#NUM!</v>
      </c>
    </row>
    <row r="774" spans="10:10" x14ac:dyDescent="0.25">
      <c r="J774" s="20" t="e">
        <f t="shared" si="29"/>
        <v>#NUM!</v>
      </c>
    </row>
    <row r="775" spans="10:10" x14ac:dyDescent="0.25">
      <c r="J775" s="20" t="e">
        <f t="shared" ref="J775:J838" si="30">INT(LOG($H$2,2))-ROUNDUP(LOG(H775,2),0)+IF(OR($H$2=1,$H$2=2,$H$2=4,$H$2=8,$H$2=16,$H$2=32,$H$2=64,$H$2=128,$H$2=256),0,1)</f>
        <v>#NUM!</v>
      </c>
    </row>
    <row r="776" spans="10:10" x14ac:dyDescent="0.25">
      <c r="J776" s="20" t="e">
        <f t="shared" si="30"/>
        <v>#NUM!</v>
      </c>
    </row>
    <row r="777" spans="10:10" x14ac:dyDescent="0.25">
      <c r="J777" s="20" t="e">
        <f t="shared" si="30"/>
        <v>#NUM!</v>
      </c>
    </row>
    <row r="778" spans="10:10" x14ac:dyDescent="0.25">
      <c r="J778" s="20" t="e">
        <f t="shared" si="30"/>
        <v>#NUM!</v>
      </c>
    </row>
    <row r="779" spans="10:10" x14ac:dyDescent="0.25">
      <c r="J779" s="20" t="e">
        <f t="shared" si="30"/>
        <v>#NUM!</v>
      </c>
    </row>
    <row r="780" spans="10:10" x14ac:dyDescent="0.25">
      <c r="J780" s="20" t="e">
        <f t="shared" si="30"/>
        <v>#NUM!</v>
      </c>
    </row>
    <row r="781" spans="10:10" x14ac:dyDescent="0.25">
      <c r="J781" s="20" t="e">
        <f t="shared" si="30"/>
        <v>#NUM!</v>
      </c>
    </row>
    <row r="782" spans="10:10" x14ac:dyDescent="0.25">
      <c r="J782" s="20" t="e">
        <f t="shared" si="30"/>
        <v>#NUM!</v>
      </c>
    </row>
    <row r="783" spans="10:10" x14ac:dyDescent="0.25">
      <c r="J783" s="20" t="e">
        <f t="shared" si="30"/>
        <v>#NUM!</v>
      </c>
    </row>
    <row r="784" spans="10:10" x14ac:dyDescent="0.25">
      <c r="J784" s="20" t="e">
        <f t="shared" si="30"/>
        <v>#NUM!</v>
      </c>
    </row>
    <row r="785" spans="10:10" x14ac:dyDescent="0.25">
      <c r="J785" s="20" t="e">
        <f t="shared" si="30"/>
        <v>#NUM!</v>
      </c>
    </row>
    <row r="786" spans="10:10" x14ac:dyDescent="0.25">
      <c r="J786" s="20" t="e">
        <f t="shared" si="30"/>
        <v>#NUM!</v>
      </c>
    </row>
    <row r="787" spans="10:10" x14ac:dyDescent="0.25">
      <c r="J787" s="20" t="e">
        <f t="shared" si="30"/>
        <v>#NUM!</v>
      </c>
    </row>
    <row r="788" spans="10:10" x14ac:dyDescent="0.25">
      <c r="J788" s="20" t="e">
        <f t="shared" si="30"/>
        <v>#NUM!</v>
      </c>
    </row>
    <row r="789" spans="10:10" x14ac:dyDescent="0.25">
      <c r="J789" s="20" t="e">
        <f t="shared" si="30"/>
        <v>#NUM!</v>
      </c>
    </row>
    <row r="790" spans="10:10" x14ac:dyDescent="0.25">
      <c r="J790" s="20" t="e">
        <f t="shared" si="30"/>
        <v>#NUM!</v>
      </c>
    </row>
    <row r="791" spans="10:10" x14ac:dyDescent="0.25">
      <c r="J791" s="20" t="e">
        <f t="shared" si="30"/>
        <v>#NUM!</v>
      </c>
    </row>
    <row r="792" spans="10:10" x14ac:dyDescent="0.25">
      <c r="J792" s="20" t="e">
        <f t="shared" si="30"/>
        <v>#NUM!</v>
      </c>
    </row>
    <row r="793" spans="10:10" x14ac:dyDescent="0.25">
      <c r="J793" s="20" t="e">
        <f t="shared" si="30"/>
        <v>#NUM!</v>
      </c>
    </row>
    <row r="794" spans="10:10" x14ac:dyDescent="0.25">
      <c r="J794" s="20" t="e">
        <f t="shared" si="30"/>
        <v>#NUM!</v>
      </c>
    </row>
    <row r="795" spans="10:10" x14ac:dyDescent="0.25">
      <c r="J795" s="20" t="e">
        <f t="shared" si="30"/>
        <v>#NUM!</v>
      </c>
    </row>
    <row r="796" spans="10:10" x14ac:dyDescent="0.25">
      <c r="J796" s="20" t="e">
        <f t="shared" si="30"/>
        <v>#NUM!</v>
      </c>
    </row>
    <row r="797" spans="10:10" x14ac:dyDescent="0.25">
      <c r="J797" s="20" t="e">
        <f t="shared" si="30"/>
        <v>#NUM!</v>
      </c>
    </row>
    <row r="798" spans="10:10" x14ac:dyDescent="0.25">
      <c r="J798" s="20" t="e">
        <f t="shared" si="30"/>
        <v>#NUM!</v>
      </c>
    </row>
    <row r="799" spans="10:10" x14ac:dyDescent="0.25">
      <c r="J799" s="20" t="e">
        <f t="shared" si="30"/>
        <v>#NUM!</v>
      </c>
    </row>
    <row r="800" spans="10:10" x14ac:dyDescent="0.25">
      <c r="J800" s="20" t="e">
        <f t="shared" si="30"/>
        <v>#NUM!</v>
      </c>
    </row>
    <row r="801" spans="10:10" x14ac:dyDescent="0.25">
      <c r="J801" s="20" t="e">
        <f t="shared" si="30"/>
        <v>#NUM!</v>
      </c>
    </row>
    <row r="802" spans="10:10" x14ac:dyDescent="0.25">
      <c r="J802" s="20" t="e">
        <f t="shared" si="30"/>
        <v>#NUM!</v>
      </c>
    </row>
    <row r="803" spans="10:10" x14ac:dyDescent="0.25">
      <c r="J803" s="20" t="e">
        <f t="shared" si="30"/>
        <v>#NUM!</v>
      </c>
    </row>
    <row r="804" spans="10:10" x14ac:dyDescent="0.25">
      <c r="J804" s="20" t="e">
        <f t="shared" si="30"/>
        <v>#NUM!</v>
      </c>
    </row>
    <row r="805" spans="10:10" x14ac:dyDescent="0.25">
      <c r="J805" s="20" t="e">
        <f t="shared" si="30"/>
        <v>#NUM!</v>
      </c>
    </row>
    <row r="806" spans="10:10" x14ac:dyDescent="0.25">
      <c r="J806" s="20" t="e">
        <f t="shared" si="30"/>
        <v>#NUM!</v>
      </c>
    </row>
    <row r="807" spans="10:10" x14ac:dyDescent="0.25">
      <c r="J807" s="20" t="e">
        <f t="shared" si="30"/>
        <v>#NUM!</v>
      </c>
    </row>
    <row r="808" spans="10:10" x14ac:dyDescent="0.25">
      <c r="J808" s="20" t="e">
        <f t="shared" si="30"/>
        <v>#NUM!</v>
      </c>
    </row>
    <row r="809" spans="10:10" x14ac:dyDescent="0.25">
      <c r="J809" s="20" t="e">
        <f t="shared" si="30"/>
        <v>#NUM!</v>
      </c>
    </row>
    <row r="810" spans="10:10" x14ac:dyDescent="0.25">
      <c r="J810" s="20" t="e">
        <f t="shared" si="30"/>
        <v>#NUM!</v>
      </c>
    </row>
    <row r="811" spans="10:10" x14ac:dyDescent="0.25">
      <c r="J811" s="20" t="e">
        <f t="shared" si="30"/>
        <v>#NUM!</v>
      </c>
    </row>
    <row r="812" spans="10:10" x14ac:dyDescent="0.25">
      <c r="J812" s="20" t="e">
        <f t="shared" si="30"/>
        <v>#NUM!</v>
      </c>
    </row>
    <row r="813" spans="10:10" x14ac:dyDescent="0.25">
      <c r="J813" s="20" t="e">
        <f t="shared" si="30"/>
        <v>#NUM!</v>
      </c>
    </row>
    <row r="814" spans="10:10" x14ac:dyDescent="0.25">
      <c r="J814" s="20" t="e">
        <f t="shared" si="30"/>
        <v>#NUM!</v>
      </c>
    </row>
    <row r="815" spans="10:10" x14ac:dyDescent="0.25">
      <c r="J815" s="20" t="e">
        <f t="shared" si="30"/>
        <v>#NUM!</v>
      </c>
    </row>
    <row r="816" spans="10:10" x14ac:dyDescent="0.25">
      <c r="J816" s="20" t="e">
        <f t="shared" si="30"/>
        <v>#NUM!</v>
      </c>
    </row>
    <row r="817" spans="10:10" x14ac:dyDescent="0.25">
      <c r="J817" s="20" t="e">
        <f t="shared" si="30"/>
        <v>#NUM!</v>
      </c>
    </row>
    <row r="818" spans="10:10" x14ac:dyDescent="0.25">
      <c r="J818" s="20" t="e">
        <f t="shared" si="30"/>
        <v>#NUM!</v>
      </c>
    </row>
    <row r="819" spans="10:10" x14ac:dyDescent="0.25">
      <c r="J819" s="20" t="e">
        <f t="shared" si="30"/>
        <v>#NUM!</v>
      </c>
    </row>
    <row r="820" spans="10:10" x14ac:dyDescent="0.25">
      <c r="J820" s="20" t="e">
        <f t="shared" si="30"/>
        <v>#NUM!</v>
      </c>
    </row>
    <row r="821" spans="10:10" x14ac:dyDescent="0.25">
      <c r="J821" s="20" t="e">
        <f t="shared" si="30"/>
        <v>#NUM!</v>
      </c>
    </row>
    <row r="822" spans="10:10" x14ac:dyDescent="0.25">
      <c r="J822" s="20" t="e">
        <f t="shared" si="30"/>
        <v>#NUM!</v>
      </c>
    </row>
    <row r="823" spans="10:10" x14ac:dyDescent="0.25">
      <c r="J823" s="20" t="e">
        <f t="shared" si="30"/>
        <v>#NUM!</v>
      </c>
    </row>
    <row r="824" spans="10:10" x14ac:dyDescent="0.25">
      <c r="J824" s="20" t="e">
        <f t="shared" si="30"/>
        <v>#NUM!</v>
      </c>
    </row>
    <row r="825" spans="10:10" x14ac:dyDescent="0.25">
      <c r="J825" s="20" t="e">
        <f t="shared" si="30"/>
        <v>#NUM!</v>
      </c>
    </row>
    <row r="826" spans="10:10" x14ac:dyDescent="0.25">
      <c r="J826" s="20" t="e">
        <f t="shared" si="30"/>
        <v>#NUM!</v>
      </c>
    </row>
    <row r="827" spans="10:10" x14ac:dyDescent="0.25">
      <c r="J827" s="20" t="e">
        <f t="shared" si="30"/>
        <v>#NUM!</v>
      </c>
    </row>
    <row r="828" spans="10:10" x14ac:dyDescent="0.25">
      <c r="J828" s="20" t="e">
        <f t="shared" si="30"/>
        <v>#NUM!</v>
      </c>
    </row>
    <row r="829" spans="10:10" x14ac:dyDescent="0.25">
      <c r="J829" s="20" t="e">
        <f t="shared" si="30"/>
        <v>#NUM!</v>
      </c>
    </row>
    <row r="830" spans="10:10" x14ac:dyDescent="0.25">
      <c r="J830" s="20" t="e">
        <f t="shared" si="30"/>
        <v>#NUM!</v>
      </c>
    </row>
    <row r="831" spans="10:10" x14ac:dyDescent="0.25">
      <c r="J831" s="20" t="e">
        <f t="shared" si="30"/>
        <v>#NUM!</v>
      </c>
    </row>
    <row r="832" spans="10:10" x14ac:dyDescent="0.25">
      <c r="J832" s="20" t="e">
        <f t="shared" si="30"/>
        <v>#NUM!</v>
      </c>
    </row>
    <row r="833" spans="10:10" x14ac:dyDescent="0.25">
      <c r="J833" s="20" t="e">
        <f t="shared" si="30"/>
        <v>#NUM!</v>
      </c>
    </row>
    <row r="834" spans="10:10" x14ac:dyDescent="0.25">
      <c r="J834" s="20" t="e">
        <f t="shared" si="30"/>
        <v>#NUM!</v>
      </c>
    </row>
    <row r="835" spans="10:10" x14ac:dyDescent="0.25">
      <c r="J835" s="20" t="e">
        <f t="shared" si="30"/>
        <v>#NUM!</v>
      </c>
    </row>
    <row r="836" spans="10:10" x14ac:dyDescent="0.25">
      <c r="J836" s="20" t="e">
        <f t="shared" si="30"/>
        <v>#NUM!</v>
      </c>
    </row>
    <row r="837" spans="10:10" x14ac:dyDescent="0.25">
      <c r="J837" s="20" t="e">
        <f t="shared" si="30"/>
        <v>#NUM!</v>
      </c>
    </row>
    <row r="838" spans="10:10" x14ac:dyDescent="0.25">
      <c r="J838" s="20" t="e">
        <f t="shared" si="30"/>
        <v>#NUM!</v>
      </c>
    </row>
    <row r="839" spans="10:10" x14ac:dyDescent="0.25">
      <c r="J839" s="20" t="e">
        <f t="shared" ref="J839:J846" si="31">INT(LOG($H$2,2))-ROUNDUP(LOG(H839,2),0)+IF(OR($H$2=1,$H$2=2,$H$2=4,$H$2=8,$H$2=16,$H$2=32,$H$2=64,$H$2=128,$H$2=256),0,1)</f>
        <v>#NUM!</v>
      </c>
    </row>
    <row r="840" spans="10:10" x14ac:dyDescent="0.25">
      <c r="J840" s="20" t="e">
        <f t="shared" si="31"/>
        <v>#NUM!</v>
      </c>
    </row>
    <row r="841" spans="10:10" x14ac:dyDescent="0.25">
      <c r="J841" s="20" t="e">
        <f t="shared" si="31"/>
        <v>#NUM!</v>
      </c>
    </row>
    <row r="842" spans="10:10" x14ac:dyDescent="0.25">
      <c r="J842" s="20" t="e">
        <f t="shared" si="31"/>
        <v>#NUM!</v>
      </c>
    </row>
    <row r="843" spans="10:10" x14ac:dyDescent="0.25">
      <c r="J843" s="20" t="e">
        <f t="shared" si="31"/>
        <v>#NUM!</v>
      </c>
    </row>
    <row r="844" spans="10:10" x14ac:dyDescent="0.25">
      <c r="J844" s="20" t="e">
        <f t="shared" si="31"/>
        <v>#NUM!</v>
      </c>
    </row>
    <row r="845" spans="10:10" x14ac:dyDescent="0.25">
      <c r="J845" s="20" t="e">
        <f t="shared" si="31"/>
        <v>#NUM!</v>
      </c>
    </row>
    <row r="846" spans="10:10" x14ac:dyDescent="0.25">
      <c r="J846" s="20" t="e">
        <f t="shared" si="31"/>
        <v>#NUM!</v>
      </c>
    </row>
  </sheetData>
  <mergeCells count="2">
    <mergeCell ref="C2:D2"/>
    <mergeCell ref="C3:D3"/>
  </mergeCells>
  <conditionalFormatting sqref="J7:K305">
    <cfRule type="cellIs" dxfId="29" priority="1" operator="lessThanOrEqual">
      <formula>0</formula>
    </cfRule>
  </conditionalFormatting>
  <dataValidations disablePrompts="1" count="1">
    <dataValidation type="list" allowBlank="1" showInputMessage="1" showErrorMessage="1" sqref="C38:C69" xr:uid="{CBB91615-7F20-43DA-82CF-6D20EA496ECC}">
      <formula1>#REF!</formula1>
    </dataValidation>
  </dataValidations>
  <hyperlinks>
    <hyperlink ref="C2:D2" r:id="rId1" display="NIEPOŁOMICE" xr:uid="{43040EA4-F889-4DD8-9723-D75A31507AAB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93B7-8166-4983-A8BD-169E123F5A07}">
  <sheetPr>
    <tabColor rgb="FF92D050"/>
  </sheetPr>
  <dimension ref="A1:AL687"/>
  <sheetViews>
    <sheetView workbookViewId="0">
      <selection activeCell="C2" sqref="C2:D3"/>
    </sheetView>
  </sheetViews>
  <sheetFormatPr defaultColWidth="8.875" defaultRowHeight="14.3" x14ac:dyDescent="0.25"/>
  <cols>
    <col min="1" max="1" width="8" style="3" customWidth="1"/>
    <col min="2" max="2" width="8.25" style="3" customWidth="1"/>
    <col min="3" max="3" width="34.75" style="3" customWidth="1"/>
    <col min="4" max="4" width="11.25" style="3" customWidth="1"/>
    <col min="5" max="6" width="8.875" style="3"/>
    <col min="7" max="7" width="0.875" style="3" customWidth="1"/>
    <col min="8" max="8" width="8.875" style="20"/>
    <col min="9" max="9" width="11" style="20" customWidth="1"/>
    <col min="10" max="10" width="15.25" style="20" customWidth="1"/>
    <col min="11" max="11" width="8.75" style="20" customWidth="1"/>
    <col min="12" max="12" width="11" style="20" customWidth="1"/>
    <col min="13" max="13" width="12.25" style="15" customWidth="1"/>
    <col min="14" max="15" width="13.875" style="5" customWidth="1"/>
    <col min="16" max="18" width="8.875" style="5"/>
    <col min="19" max="20" width="8.875" style="26"/>
    <col min="21" max="21" width="12.125" style="26" customWidth="1"/>
    <col min="22" max="22" width="27.375" style="26" customWidth="1"/>
    <col min="23" max="38" width="8.875" style="26"/>
    <col min="39" max="16384" width="8.875" style="3"/>
  </cols>
  <sheetData>
    <row r="1" spans="1:34" x14ac:dyDescent="0.25">
      <c r="A1" s="5"/>
      <c r="B1" s="5"/>
      <c r="C1" s="5"/>
      <c r="D1" s="5"/>
      <c r="E1" s="5"/>
      <c r="F1" s="5"/>
      <c r="G1" s="5"/>
      <c r="H1" s="22" t="s">
        <v>38</v>
      </c>
      <c r="I1" s="12" t="s">
        <v>39</v>
      </c>
      <c r="J1" s="12" t="s">
        <v>40</v>
      </c>
      <c r="K1" s="23" t="s">
        <v>41</v>
      </c>
      <c r="L1" s="13"/>
      <c r="M1" s="13"/>
    </row>
    <row r="2" spans="1:34" ht="14.45" customHeight="1" x14ac:dyDescent="0.25">
      <c r="A2" s="5"/>
      <c r="B2" s="47" t="s">
        <v>42</v>
      </c>
      <c r="C2" s="271" t="s">
        <v>78</v>
      </c>
      <c r="D2" s="271"/>
      <c r="E2" s="6"/>
      <c r="F2" s="6"/>
      <c r="G2" s="6"/>
      <c r="H2" s="14">
        <v>11</v>
      </c>
      <c r="I2" s="61">
        <v>50</v>
      </c>
      <c r="J2" s="61">
        <v>10</v>
      </c>
      <c r="K2" s="62">
        <f>3*H2^(1/3)</f>
        <v>6.671940271707947</v>
      </c>
      <c r="L2" s="13"/>
      <c r="M2" s="13"/>
    </row>
    <row r="3" spans="1:34" ht="14.45" customHeight="1" x14ac:dyDescent="0.25">
      <c r="A3" s="5"/>
      <c r="B3" s="48" t="s">
        <v>44</v>
      </c>
      <c r="C3" s="272" t="s">
        <v>79</v>
      </c>
      <c r="D3" s="272"/>
      <c r="E3" s="7"/>
      <c r="F3" s="7"/>
      <c r="G3" s="7"/>
      <c r="H3" s="13"/>
      <c r="I3" s="13"/>
      <c r="J3" s="16"/>
      <c r="K3" s="13"/>
      <c r="L3" s="13"/>
      <c r="M3" s="13"/>
    </row>
    <row r="4" spans="1:34" ht="10.4" customHeight="1" x14ac:dyDescent="0.25">
      <c r="A4" s="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</row>
    <row r="5" spans="1:34" ht="46.2" x14ac:dyDescent="0.25">
      <c r="A5" s="1" t="s">
        <v>45</v>
      </c>
      <c r="B5" s="37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8"/>
      <c r="H5" s="9" t="s">
        <v>51</v>
      </c>
      <c r="I5" s="10" t="s">
        <v>52</v>
      </c>
      <c r="J5" s="11" t="s">
        <v>53</v>
      </c>
      <c r="K5" s="10" t="s">
        <v>54</v>
      </c>
      <c r="L5" s="10" t="s">
        <v>55</v>
      </c>
      <c r="M5" s="9" t="s">
        <v>56</v>
      </c>
    </row>
    <row r="6" spans="1:34" ht="14.45" customHeight="1" x14ac:dyDescent="0.25">
      <c r="A6" s="39">
        <f>M6</f>
        <v>110.01582081512385</v>
      </c>
      <c r="B6" s="36">
        <f t="shared" ref="B6:B25" si="0">IF(H6&gt;$H$2,"",(ROW()-5))</f>
        <v>1</v>
      </c>
      <c r="C6" s="24" t="s">
        <v>19</v>
      </c>
      <c r="D6" s="24" t="s">
        <v>75</v>
      </c>
      <c r="E6" s="24"/>
      <c r="F6" s="24" t="s">
        <v>76</v>
      </c>
      <c r="G6" s="8"/>
      <c r="H6" s="17">
        <v>1</v>
      </c>
      <c r="I6" s="18">
        <f>IF(H2=1,50,IF(H6&lt;$H$2+1,($I$2-($I$2-1)*(LOG(H6)/LOG($H$2))),""))</f>
        <v>50</v>
      </c>
      <c r="J6" s="17">
        <f>INT(LOG($H$2,2))-ROUNDUP(LOG(H6,2),0)+IF(OR($H$2=1,$H$2=2,$H$2=4,$H$2=8,$H$2=16,$H$2=32,$H$2=64,$H$2=128,$H$2=256),0,1)</f>
        <v>4</v>
      </c>
      <c r="K6" s="17">
        <f t="shared" ref="K6" si="1">J6*$J$2</f>
        <v>40</v>
      </c>
      <c r="L6" s="19">
        <f>3*K2</f>
        <v>20.015820815123842</v>
      </c>
      <c r="M6" s="19">
        <f t="shared" ref="M6:M69" si="2">IF(I6&lt;&gt;"",K6+I6+L6,0)</f>
        <v>110.01582081512385</v>
      </c>
    </row>
    <row r="7" spans="1:34" ht="14.45" customHeight="1" x14ac:dyDescent="0.25">
      <c r="A7" s="40">
        <f t="shared" ref="A7:A37" si="3">M7</f>
        <v>79.179704053839387</v>
      </c>
      <c r="B7" s="35">
        <f t="shared" si="0"/>
        <v>2</v>
      </c>
      <c r="C7" s="25" t="s">
        <v>22</v>
      </c>
      <c r="D7" s="25" t="s">
        <v>80</v>
      </c>
      <c r="E7" s="25"/>
      <c r="F7" s="25" t="s">
        <v>76</v>
      </c>
      <c r="G7" s="8"/>
      <c r="H7" s="44">
        <v>2</v>
      </c>
      <c r="I7" s="45">
        <f t="shared" ref="I7:I69" si="4">IF(H7&lt;$H$2+1,($I$2-($I$2-1)*(LOG(H7)/LOG($H$2))),"")</f>
        <v>35.835823510423495</v>
      </c>
      <c r="J7" s="44">
        <f t="shared" ref="J7:J70" si="5">INT(LOG($H$2,2))-ROUNDUP(LOG(H7,2),0)+IF(OR($H$2=1,$H$2=2,$H$2=4,$H$2=8,$H$2=16,$H$2=32,$H$2=64,$H$2=128,$H$2=256),0,1)</f>
        <v>3</v>
      </c>
      <c r="K7" s="44">
        <f t="shared" ref="K7:K69" si="6">J7*$J$2</f>
        <v>30</v>
      </c>
      <c r="L7" s="46">
        <f>2*K2</f>
        <v>13.343880543415894</v>
      </c>
      <c r="M7" s="46">
        <f t="shared" si="2"/>
        <v>79.179704053839387</v>
      </c>
    </row>
    <row r="8" spans="1:34" ht="14.45" customHeight="1" x14ac:dyDescent="0.25">
      <c r="A8" s="39">
        <f t="shared" si="3"/>
        <v>54.222251682132963</v>
      </c>
      <c r="B8" s="36">
        <f t="shared" si="0"/>
        <v>3</v>
      </c>
      <c r="C8" s="24" t="s">
        <v>21</v>
      </c>
      <c r="D8" s="24" t="s">
        <v>60</v>
      </c>
      <c r="E8" s="24"/>
      <c r="F8" s="24" t="s">
        <v>76</v>
      </c>
      <c r="G8" s="8"/>
      <c r="H8" s="17">
        <v>3</v>
      </c>
      <c r="I8" s="18">
        <f t="shared" si="4"/>
        <v>27.550311410425017</v>
      </c>
      <c r="J8" s="17">
        <f t="shared" si="5"/>
        <v>2</v>
      </c>
      <c r="K8" s="17">
        <f t="shared" si="6"/>
        <v>20</v>
      </c>
      <c r="L8" s="19">
        <f>K2</f>
        <v>6.671940271707947</v>
      </c>
      <c r="M8" s="19">
        <f t="shared" si="2"/>
        <v>54.222251682132963</v>
      </c>
    </row>
    <row r="9" spans="1:34" ht="14.45" customHeight="1" x14ac:dyDescent="0.25">
      <c r="A9" s="40">
        <f t="shared" si="3"/>
        <v>41.67164702084699</v>
      </c>
      <c r="B9" s="35">
        <f t="shared" si="0"/>
        <v>4</v>
      </c>
      <c r="C9" s="25" t="s">
        <v>20</v>
      </c>
      <c r="D9" s="25" t="s">
        <v>59</v>
      </c>
      <c r="E9" s="25"/>
      <c r="F9" s="25" t="s">
        <v>76</v>
      </c>
      <c r="G9" s="8"/>
      <c r="H9" s="44">
        <v>4</v>
      </c>
      <c r="I9" s="45">
        <f t="shared" si="4"/>
        <v>21.671647020846994</v>
      </c>
      <c r="J9" s="44">
        <f t="shared" si="5"/>
        <v>2</v>
      </c>
      <c r="K9" s="44">
        <f t="shared" si="6"/>
        <v>20</v>
      </c>
      <c r="L9" s="46"/>
      <c r="M9" s="46">
        <f t="shared" si="2"/>
        <v>41.67164702084699</v>
      </c>
      <c r="V9" s="27"/>
      <c r="Z9" s="28"/>
      <c r="AA9" s="28"/>
      <c r="AG9" s="29"/>
    </row>
    <row r="10" spans="1:34" ht="14.45" customHeight="1" x14ac:dyDescent="0.25">
      <c r="A10" s="39">
        <f t="shared" si="3"/>
        <v>27.111800667909257</v>
      </c>
      <c r="B10" s="36">
        <f t="shared" si="0"/>
        <v>5</v>
      </c>
      <c r="C10" s="24" t="s">
        <v>23</v>
      </c>
      <c r="D10" s="24" t="s">
        <v>73</v>
      </c>
      <c r="E10" s="24"/>
      <c r="F10" s="24" t="s">
        <v>81</v>
      </c>
      <c r="G10" s="8"/>
      <c r="H10" s="17">
        <v>5</v>
      </c>
      <c r="I10" s="18">
        <f t="shared" si="4"/>
        <v>17.111800667909257</v>
      </c>
      <c r="J10" s="17">
        <f t="shared" si="5"/>
        <v>1</v>
      </c>
      <c r="K10" s="17">
        <f t="shared" si="6"/>
        <v>10</v>
      </c>
      <c r="L10" s="17"/>
      <c r="M10" s="19">
        <f t="shared" si="2"/>
        <v>27.111800667909257</v>
      </c>
      <c r="V10" s="27"/>
      <c r="Z10" s="28"/>
      <c r="AA10" s="28"/>
      <c r="AG10" s="29"/>
    </row>
    <row r="11" spans="1:34" ht="14.45" customHeight="1" x14ac:dyDescent="0.25">
      <c r="A11" s="40">
        <f t="shared" si="3"/>
        <v>23.386134920848519</v>
      </c>
      <c r="B11" s="35">
        <f t="shared" si="0"/>
        <v>6</v>
      </c>
      <c r="C11" s="25" t="s">
        <v>27</v>
      </c>
      <c r="D11" s="25" t="s">
        <v>60</v>
      </c>
      <c r="E11" s="25"/>
      <c r="F11" s="25" t="s">
        <v>76</v>
      </c>
      <c r="G11" s="8"/>
      <c r="H11" s="44">
        <v>6</v>
      </c>
      <c r="I11" s="45">
        <f t="shared" si="4"/>
        <v>13.386134920848519</v>
      </c>
      <c r="J11" s="44">
        <f t="shared" si="5"/>
        <v>1</v>
      </c>
      <c r="K11" s="44">
        <f t="shared" si="6"/>
        <v>10</v>
      </c>
      <c r="L11" s="44"/>
      <c r="M11" s="46">
        <f t="shared" si="2"/>
        <v>23.386134920848519</v>
      </c>
      <c r="V11" s="30"/>
      <c r="Z11" s="28"/>
      <c r="AA11" s="28"/>
      <c r="AG11" s="29"/>
    </row>
    <row r="12" spans="1:34" ht="14.45" customHeight="1" x14ac:dyDescent="0.25">
      <c r="A12" s="39">
        <f t="shared" si="3"/>
        <v>20.236129415094808</v>
      </c>
      <c r="B12" s="36">
        <f t="shared" si="0"/>
        <v>7</v>
      </c>
      <c r="C12" s="24" t="s">
        <v>24</v>
      </c>
      <c r="D12" s="24" t="s">
        <v>64</v>
      </c>
      <c r="E12" s="24"/>
      <c r="F12" s="24" t="s">
        <v>76</v>
      </c>
      <c r="G12" s="8"/>
      <c r="H12" s="17">
        <v>7</v>
      </c>
      <c r="I12" s="18">
        <f t="shared" si="4"/>
        <v>10.236129415094808</v>
      </c>
      <c r="J12" s="17">
        <f t="shared" si="5"/>
        <v>1</v>
      </c>
      <c r="K12" s="17">
        <f t="shared" si="6"/>
        <v>10</v>
      </c>
      <c r="L12" s="17"/>
      <c r="M12" s="19">
        <f t="shared" si="2"/>
        <v>20.236129415094808</v>
      </c>
      <c r="Z12" s="28"/>
      <c r="AA12" s="28"/>
      <c r="AG12" s="29"/>
    </row>
    <row r="13" spans="1:34" ht="14.45" customHeight="1" x14ac:dyDescent="0.25">
      <c r="A13" s="41">
        <f t="shared" si="3"/>
        <v>17.507470531270492</v>
      </c>
      <c r="B13" s="35">
        <f t="shared" si="0"/>
        <v>8</v>
      </c>
      <c r="C13" s="25" t="s">
        <v>28</v>
      </c>
      <c r="D13" s="25" t="s">
        <v>65</v>
      </c>
      <c r="E13" s="25"/>
      <c r="F13" s="25" t="s">
        <v>76</v>
      </c>
      <c r="G13" s="8"/>
      <c r="H13" s="44">
        <v>8</v>
      </c>
      <c r="I13" s="45">
        <f t="shared" si="4"/>
        <v>7.5074705312704921</v>
      </c>
      <c r="J13" s="44">
        <f t="shared" si="5"/>
        <v>1</v>
      </c>
      <c r="K13" s="44">
        <f t="shared" si="6"/>
        <v>10</v>
      </c>
      <c r="L13" s="44"/>
      <c r="M13" s="46">
        <f t="shared" si="2"/>
        <v>17.507470531270492</v>
      </c>
      <c r="X13" s="27"/>
      <c r="AG13" s="29"/>
    </row>
    <row r="14" spans="1:34" ht="38.75" x14ac:dyDescent="0.25">
      <c r="A14" s="42">
        <f t="shared" si="3"/>
        <v>5.1006228208500346</v>
      </c>
      <c r="B14" s="36">
        <f t="shared" si="0"/>
        <v>9</v>
      </c>
      <c r="C14" s="24" t="s">
        <v>30</v>
      </c>
      <c r="D14" s="24" t="s">
        <v>71</v>
      </c>
      <c r="E14" s="24"/>
      <c r="F14" s="24"/>
      <c r="G14" s="8"/>
      <c r="H14" s="17">
        <v>9</v>
      </c>
      <c r="I14" s="18">
        <f t="shared" si="4"/>
        <v>5.1006228208500346</v>
      </c>
      <c r="J14" s="17">
        <f t="shared" si="5"/>
        <v>0</v>
      </c>
      <c r="K14" s="17">
        <f t="shared" si="6"/>
        <v>0</v>
      </c>
      <c r="L14" s="17"/>
      <c r="M14" s="19">
        <f t="shared" si="2"/>
        <v>5.1006228208500346</v>
      </c>
      <c r="X14" s="31"/>
      <c r="Z14" s="28"/>
      <c r="AA14" s="28"/>
      <c r="AG14" s="29"/>
    </row>
    <row r="15" spans="1:34" ht="38.75" x14ac:dyDescent="0.25">
      <c r="A15" s="41">
        <f t="shared" si="3"/>
        <v>2.9476241783327595</v>
      </c>
      <c r="B15" s="35">
        <f t="shared" si="0"/>
        <v>10</v>
      </c>
      <c r="C15" s="25" t="s">
        <v>35</v>
      </c>
      <c r="D15" s="25" t="s">
        <v>82</v>
      </c>
      <c r="E15" s="25"/>
      <c r="F15" s="25"/>
      <c r="G15" s="8"/>
      <c r="H15" s="44">
        <v>10</v>
      </c>
      <c r="I15" s="45">
        <f t="shared" si="4"/>
        <v>2.9476241783327595</v>
      </c>
      <c r="J15" s="44">
        <f t="shared" si="5"/>
        <v>0</v>
      </c>
      <c r="K15" s="44">
        <f t="shared" si="6"/>
        <v>0</v>
      </c>
      <c r="L15" s="44"/>
      <c r="M15" s="46">
        <f t="shared" si="2"/>
        <v>2.9476241783327595</v>
      </c>
      <c r="X15" s="27"/>
      <c r="Z15" s="28"/>
      <c r="AA15" s="28"/>
    </row>
    <row r="16" spans="1:34" ht="38.75" x14ac:dyDescent="0.25">
      <c r="A16" s="42">
        <f t="shared" si="3"/>
        <v>1</v>
      </c>
      <c r="B16" s="36">
        <f t="shared" si="0"/>
        <v>11</v>
      </c>
      <c r="C16" s="24" t="s">
        <v>33</v>
      </c>
      <c r="D16" s="24" t="s">
        <v>66</v>
      </c>
      <c r="E16" s="24"/>
      <c r="F16" s="24"/>
      <c r="G16" s="8"/>
      <c r="H16" s="17">
        <v>11</v>
      </c>
      <c r="I16" s="18">
        <f t="shared" si="4"/>
        <v>1</v>
      </c>
      <c r="J16" s="17">
        <f t="shared" si="5"/>
        <v>0</v>
      </c>
      <c r="K16" s="17">
        <f t="shared" si="6"/>
        <v>0</v>
      </c>
      <c r="L16" s="17"/>
      <c r="M16" s="19">
        <f t="shared" si="2"/>
        <v>1</v>
      </c>
      <c r="R16" s="49"/>
      <c r="Z16" s="28"/>
      <c r="AA16" s="28"/>
      <c r="AH16" s="33"/>
    </row>
    <row r="17" spans="1:19" x14ac:dyDescent="0.25">
      <c r="A17" s="41">
        <f t="shared" si="3"/>
        <v>0</v>
      </c>
      <c r="B17" s="35" t="str">
        <f t="shared" si="0"/>
        <v/>
      </c>
      <c r="C17" s="25"/>
      <c r="D17" s="25"/>
      <c r="E17" s="25"/>
      <c r="F17" s="25"/>
      <c r="G17" s="8"/>
      <c r="H17" s="44">
        <v>12</v>
      </c>
      <c r="I17" s="45" t="str">
        <f t="shared" si="4"/>
        <v/>
      </c>
      <c r="J17" s="44">
        <f t="shared" si="5"/>
        <v>0</v>
      </c>
      <c r="K17" s="44">
        <f t="shared" si="6"/>
        <v>0</v>
      </c>
      <c r="L17" s="44"/>
      <c r="M17" s="46">
        <f t="shared" si="2"/>
        <v>0</v>
      </c>
    </row>
    <row r="18" spans="1:19" x14ac:dyDescent="0.25">
      <c r="A18" s="42">
        <f t="shared" si="3"/>
        <v>0</v>
      </c>
      <c r="B18" s="36" t="str">
        <f t="shared" si="0"/>
        <v/>
      </c>
      <c r="C18" s="24"/>
      <c r="D18" s="24"/>
      <c r="E18" s="24"/>
      <c r="F18" s="24"/>
      <c r="G18" s="8"/>
      <c r="H18" s="17">
        <v>13</v>
      </c>
      <c r="I18" s="18" t="str">
        <f t="shared" si="4"/>
        <v/>
      </c>
      <c r="J18" s="17">
        <f t="shared" si="5"/>
        <v>0</v>
      </c>
      <c r="K18" s="17">
        <f t="shared" si="6"/>
        <v>0</v>
      </c>
      <c r="L18" s="17"/>
      <c r="M18" s="19">
        <f t="shared" si="2"/>
        <v>0</v>
      </c>
    </row>
    <row r="19" spans="1:19" x14ac:dyDescent="0.25">
      <c r="A19" s="41">
        <f t="shared" si="3"/>
        <v>0</v>
      </c>
      <c r="B19" s="35" t="str">
        <f t="shared" si="0"/>
        <v/>
      </c>
      <c r="C19" s="25"/>
      <c r="D19" s="25"/>
      <c r="E19" s="25"/>
      <c r="F19" s="25"/>
      <c r="G19" s="8"/>
      <c r="H19" s="44">
        <v>14</v>
      </c>
      <c r="I19" s="45" t="str">
        <f t="shared" si="4"/>
        <v/>
      </c>
      <c r="J19" s="44">
        <f t="shared" si="5"/>
        <v>0</v>
      </c>
      <c r="K19" s="44">
        <f t="shared" si="6"/>
        <v>0</v>
      </c>
      <c r="L19" s="44"/>
      <c r="M19" s="46">
        <f t="shared" si="2"/>
        <v>0</v>
      </c>
    </row>
    <row r="20" spans="1:19" x14ac:dyDescent="0.25">
      <c r="A20" s="42">
        <f t="shared" si="3"/>
        <v>0</v>
      </c>
      <c r="B20" s="36" t="str">
        <f t="shared" si="0"/>
        <v/>
      </c>
      <c r="C20" s="24"/>
      <c r="D20" s="24"/>
      <c r="E20" s="24"/>
      <c r="F20" s="24"/>
      <c r="G20" s="8"/>
      <c r="H20" s="17">
        <v>15</v>
      </c>
      <c r="I20" s="18" t="str">
        <f t="shared" si="4"/>
        <v/>
      </c>
      <c r="J20" s="17">
        <f t="shared" si="5"/>
        <v>0</v>
      </c>
      <c r="K20" s="17">
        <f t="shared" si="6"/>
        <v>0</v>
      </c>
      <c r="L20" s="17"/>
      <c r="M20" s="19">
        <f t="shared" si="2"/>
        <v>0</v>
      </c>
      <c r="R20" s="50"/>
      <c r="S20" s="34"/>
    </row>
    <row r="21" spans="1:19" x14ac:dyDescent="0.25">
      <c r="A21" s="41">
        <f t="shared" si="3"/>
        <v>0</v>
      </c>
      <c r="B21" s="35" t="str">
        <f t="shared" si="0"/>
        <v/>
      </c>
      <c r="C21" s="25"/>
      <c r="D21" s="25"/>
      <c r="E21" s="25"/>
      <c r="F21" s="25"/>
      <c r="G21" s="8"/>
      <c r="H21" s="44">
        <v>16</v>
      </c>
      <c r="I21" s="45" t="str">
        <f t="shared" si="4"/>
        <v/>
      </c>
      <c r="J21" s="44">
        <f t="shared" si="5"/>
        <v>0</v>
      </c>
      <c r="K21" s="44">
        <f t="shared" si="6"/>
        <v>0</v>
      </c>
      <c r="L21" s="44"/>
      <c r="M21" s="46">
        <f t="shared" si="2"/>
        <v>0</v>
      </c>
    </row>
    <row r="22" spans="1:19" x14ac:dyDescent="0.25">
      <c r="A22" s="42">
        <f t="shared" si="3"/>
        <v>0</v>
      </c>
      <c r="B22" s="36" t="str">
        <f t="shared" si="0"/>
        <v/>
      </c>
      <c r="C22" s="24"/>
      <c r="D22" s="24"/>
      <c r="E22" s="24"/>
      <c r="F22" s="24"/>
      <c r="G22" s="8"/>
      <c r="H22" s="17">
        <v>17</v>
      </c>
      <c r="I22" s="18" t="str">
        <f t="shared" si="4"/>
        <v/>
      </c>
      <c r="J22" s="17">
        <f t="shared" si="5"/>
        <v>-1</v>
      </c>
      <c r="K22" s="17">
        <f t="shared" si="6"/>
        <v>-10</v>
      </c>
      <c r="L22" s="17"/>
      <c r="M22" s="19">
        <f t="shared" si="2"/>
        <v>0</v>
      </c>
    </row>
    <row r="23" spans="1:19" x14ac:dyDescent="0.25">
      <c r="A23" s="41">
        <f t="shared" si="3"/>
        <v>0</v>
      </c>
      <c r="B23" s="35" t="str">
        <f t="shared" si="0"/>
        <v/>
      </c>
      <c r="C23" s="25"/>
      <c r="D23" s="25"/>
      <c r="E23" s="25"/>
      <c r="F23" s="25"/>
      <c r="G23" s="8"/>
      <c r="H23" s="44">
        <v>18</v>
      </c>
      <c r="I23" s="45" t="str">
        <f t="shared" si="4"/>
        <v/>
      </c>
      <c r="J23" s="44">
        <f t="shared" si="5"/>
        <v>-1</v>
      </c>
      <c r="K23" s="44">
        <f t="shared" si="6"/>
        <v>-10</v>
      </c>
      <c r="L23" s="44"/>
      <c r="M23" s="46">
        <f t="shared" si="2"/>
        <v>0</v>
      </c>
    </row>
    <row r="24" spans="1:19" x14ac:dyDescent="0.25">
      <c r="A24" s="42">
        <f t="shared" si="3"/>
        <v>0</v>
      </c>
      <c r="B24" s="36" t="str">
        <f t="shared" si="0"/>
        <v/>
      </c>
      <c r="C24" s="24"/>
      <c r="D24" s="24"/>
      <c r="E24" s="24"/>
      <c r="F24" s="24"/>
      <c r="G24" s="8"/>
      <c r="H24" s="17">
        <v>19</v>
      </c>
      <c r="I24" s="18" t="str">
        <f t="shared" si="4"/>
        <v/>
      </c>
      <c r="J24" s="17">
        <f t="shared" si="5"/>
        <v>-1</v>
      </c>
      <c r="K24" s="17">
        <f t="shared" si="6"/>
        <v>-10</v>
      </c>
      <c r="L24" s="17"/>
      <c r="M24" s="19">
        <f t="shared" si="2"/>
        <v>0</v>
      </c>
      <c r="R24" s="50"/>
      <c r="S24" s="34"/>
    </row>
    <row r="25" spans="1:19" x14ac:dyDescent="0.25">
      <c r="A25" s="41">
        <f t="shared" si="3"/>
        <v>0</v>
      </c>
      <c r="B25" s="35" t="str">
        <f t="shared" si="0"/>
        <v/>
      </c>
      <c r="C25" s="25"/>
      <c r="D25" s="25"/>
      <c r="E25" s="25"/>
      <c r="F25" s="25"/>
      <c r="G25" s="8"/>
      <c r="H25" s="44">
        <v>20</v>
      </c>
      <c r="I25" s="45" t="str">
        <f t="shared" si="4"/>
        <v/>
      </c>
      <c r="J25" s="44">
        <f t="shared" si="5"/>
        <v>-1</v>
      </c>
      <c r="K25" s="44">
        <f t="shared" si="6"/>
        <v>-10</v>
      </c>
      <c r="L25" s="44"/>
      <c r="M25" s="46">
        <f t="shared" si="2"/>
        <v>0</v>
      </c>
    </row>
    <row r="26" spans="1:19" x14ac:dyDescent="0.25">
      <c r="A26" s="42">
        <f t="shared" si="3"/>
        <v>0</v>
      </c>
      <c r="B26" s="36" t="str">
        <f t="shared" ref="B26:B65" si="7">IF(H26&gt;$H$2,"",(ROW()-5))</f>
        <v/>
      </c>
      <c r="C26" s="24"/>
      <c r="D26" s="24"/>
      <c r="E26" s="24"/>
      <c r="F26" s="24"/>
      <c r="G26" s="8"/>
      <c r="H26" s="17">
        <v>21</v>
      </c>
      <c r="I26" s="18" t="str">
        <f t="shared" si="4"/>
        <v/>
      </c>
      <c r="J26" s="17">
        <f t="shared" si="5"/>
        <v>-1</v>
      </c>
      <c r="K26" s="17">
        <f t="shared" si="6"/>
        <v>-10</v>
      </c>
      <c r="L26" s="17"/>
      <c r="M26" s="19">
        <f t="shared" si="2"/>
        <v>0</v>
      </c>
    </row>
    <row r="27" spans="1:19" x14ac:dyDescent="0.25">
      <c r="A27" s="41">
        <f t="shared" si="3"/>
        <v>0</v>
      </c>
      <c r="B27" s="35" t="str">
        <f t="shared" si="7"/>
        <v/>
      </c>
      <c r="C27" s="25"/>
      <c r="D27" s="25"/>
      <c r="E27" s="25"/>
      <c r="F27" s="25"/>
      <c r="G27" s="8"/>
      <c r="H27" s="44">
        <v>22</v>
      </c>
      <c r="I27" s="45" t="str">
        <f t="shared" si="4"/>
        <v/>
      </c>
      <c r="J27" s="44">
        <f t="shared" si="5"/>
        <v>-1</v>
      </c>
      <c r="K27" s="44">
        <f t="shared" si="6"/>
        <v>-10</v>
      </c>
      <c r="L27" s="44"/>
      <c r="M27" s="46">
        <f t="shared" si="2"/>
        <v>0</v>
      </c>
    </row>
    <row r="28" spans="1:19" x14ac:dyDescent="0.25">
      <c r="A28" s="42">
        <f t="shared" si="3"/>
        <v>0</v>
      </c>
      <c r="B28" s="36" t="str">
        <f t="shared" si="7"/>
        <v/>
      </c>
      <c r="C28" s="24"/>
      <c r="D28" s="24"/>
      <c r="E28" s="24"/>
      <c r="F28" s="24"/>
      <c r="G28" s="8"/>
      <c r="H28" s="17">
        <v>23</v>
      </c>
      <c r="I28" s="18" t="str">
        <f t="shared" si="4"/>
        <v/>
      </c>
      <c r="J28" s="17">
        <f t="shared" si="5"/>
        <v>-1</v>
      </c>
      <c r="K28" s="17">
        <f t="shared" si="6"/>
        <v>-10</v>
      </c>
      <c r="L28" s="17"/>
      <c r="M28" s="19">
        <f t="shared" si="2"/>
        <v>0</v>
      </c>
      <c r="R28" s="50"/>
      <c r="S28" s="34"/>
    </row>
    <row r="29" spans="1:19" x14ac:dyDescent="0.25">
      <c r="A29" s="41">
        <f t="shared" si="3"/>
        <v>0</v>
      </c>
      <c r="B29" s="35" t="str">
        <f t="shared" si="7"/>
        <v/>
      </c>
      <c r="C29" s="25"/>
      <c r="D29" s="25"/>
      <c r="E29" s="25"/>
      <c r="F29" s="25"/>
      <c r="G29" s="5"/>
      <c r="H29" s="44">
        <v>24</v>
      </c>
      <c r="I29" s="45" t="str">
        <f t="shared" si="4"/>
        <v/>
      </c>
      <c r="J29" s="44">
        <f t="shared" si="5"/>
        <v>-1</v>
      </c>
      <c r="K29" s="44">
        <f t="shared" si="6"/>
        <v>-10</v>
      </c>
      <c r="L29" s="44"/>
      <c r="M29" s="46">
        <f t="shared" si="2"/>
        <v>0</v>
      </c>
    </row>
    <row r="30" spans="1:19" x14ac:dyDescent="0.25">
      <c r="A30" s="42">
        <f t="shared" si="3"/>
        <v>0</v>
      </c>
      <c r="B30" s="36" t="str">
        <f t="shared" si="7"/>
        <v/>
      </c>
      <c r="C30" s="24"/>
      <c r="D30" s="24"/>
      <c r="E30" s="24"/>
      <c r="F30" s="24"/>
      <c r="G30" s="5"/>
      <c r="H30" s="17">
        <v>25</v>
      </c>
      <c r="I30" s="18" t="str">
        <f t="shared" si="4"/>
        <v/>
      </c>
      <c r="J30" s="17">
        <f t="shared" si="5"/>
        <v>-1</v>
      </c>
      <c r="K30" s="17">
        <f t="shared" si="6"/>
        <v>-10</v>
      </c>
      <c r="L30" s="17"/>
      <c r="M30" s="19">
        <f t="shared" si="2"/>
        <v>0</v>
      </c>
    </row>
    <row r="31" spans="1:19" x14ac:dyDescent="0.25">
      <c r="A31" s="41">
        <f t="shared" si="3"/>
        <v>0</v>
      </c>
      <c r="B31" s="35" t="str">
        <f t="shared" si="7"/>
        <v/>
      </c>
      <c r="C31" s="25"/>
      <c r="D31" s="25"/>
      <c r="E31" s="25"/>
      <c r="F31" s="25"/>
      <c r="G31" s="5"/>
      <c r="H31" s="44">
        <v>26</v>
      </c>
      <c r="I31" s="45" t="str">
        <f t="shared" si="4"/>
        <v/>
      </c>
      <c r="J31" s="44">
        <f t="shared" si="5"/>
        <v>-1</v>
      </c>
      <c r="K31" s="44">
        <f t="shared" si="6"/>
        <v>-10</v>
      </c>
      <c r="L31" s="44"/>
      <c r="M31" s="46">
        <f t="shared" si="2"/>
        <v>0</v>
      </c>
    </row>
    <row r="32" spans="1:19" x14ac:dyDescent="0.25">
      <c r="A32" s="42">
        <f t="shared" si="3"/>
        <v>0</v>
      </c>
      <c r="B32" s="36" t="str">
        <f t="shared" si="7"/>
        <v/>
      </c>
      <c r="C32" s="24"/>
      <c r="D32" s="24"/>
      <c r="E32" s="24"/>
      <c r="F32" s="24"/>
      <c r="G32" s="5"/>
      <c r="H32" s="17">
        <v>27</v>
      </c>
      <c r="I32" s="18" t="str">
        <f t="shared" si="4"/>
        <v/>
      </c>
      <c r="J32" s="17">
        <f t="shared" si="5"/>
        <v>-1</v>
      </c>
      <c r="K32" s="17">
        <f t="shared" si="6"/>
        <v>-10</v>
      </c>
      <c r="L32" s="17"/>
      <c r="M32" s="19">
        <f t="shared" si="2"/>
        <v>0</v>
      </c>
      <c r="R32" s="50"/>
      <c r="S32" s="34"/>
    </row>
    <row r="33" spans="1:19" x14ac:dyDescent="0.25">
      <c r="A33" s="41">
        <f t="shared" si="3"/>
        <v>0</v>
      </c>
      <c r="B33" s="35" t="str">
        <f t="shared" si="7"/>
        <v/>
      </c>
      <c r="C33" s="25"/>
      <c r="D33" s="25"/>
      <c r="E33" s="25"/>
      <c r="F33" s="25"/>
      <c r="G33" s="5"/>
      <c r="H33" s="44">
        <v>28</v>
      </c>
      <c r="I33" s="45" t="str">
        <f t="shared" si="4"/>
        <v/>
      </c>
      <c r="J33" s="44">
        <f t="shared" si="5"/>
        <v>-1</v>
      </c>
      <c r="K33" s="44">
        <f t="shared" si="6"/>
        <v>-10</v>
      </c>
      <c r="L33" s="44"/>
      <c r="M33" s="46">
        <f t="shared" si="2"/>
        <v>0</v>
      </c>
    </row>
    <row r="34" spans="1:19" x14ac:dyDescent="0.25">
      <c r="A34" s="42">
        <f t="shared" si="3"/>
        <v>0</v>
      </c>
      <c r="B34" s="36" t="str">
        <f t="shared" si="7"/>
        <v/>
      </c>
      <c r="C34" s="24"/>
      <c r="D34" s="24"/>
      <c r="E34" s="24"/>
      <c r="F34" s="24"/>
      <c r="G34" s="5"/>
      <c r="H34" s="17">
        <v>29</v>
      </c>
      <c r="I34" s="18" t="str">
        <f t="shared" si="4"/>
        <v/>
      </c>
      <c r="J34" s="17">
        <f t="shared" si="5"/>
        <v>-1</v>
      </c>
      <c r="K34" s="17">
        <f t="shared" si="6"/>
        <v>-10</v>
      </c>
      <c r="L34" s="17"/>
      <c r="M34" s="19">
        <f t="shared" si="2"/>
        <v>0</v>
      </c>
    </row>
    <row r="35" spans="1:19" x14ac:dyDescent="0.25">
      <c r="A35" s="41">
        <f t="shared" si="3"/>
        <v>0</v>
      </c>
      <c r="B35" s="35" t="str">
        <f t="shared" si="7"/>
        <v/>
      </c>
      <c r="C35" s="25"/>
      <c r="D35" s="25"/>
      <c r="E35" s="25"/>
      <c r="F35" s="25"/>
      <c r="G35" s="5"/>
      <c r="H35" s="44">
        <v>30</v>
      </c>
      <c r="I35" s="45" t="str">
        <f t="shared" si="4"/>
        <v/>
      </c>
      <c r="J35" s="44">
        <f t="shared" si="5"/>
        <v>-1</v>
      </c>
      <c r="K35" s="44">
        <f t="shared" si="6"/>
        <v>-10</v>
      </c>
      <c r="L35" s="44"/>
      <c r="M35" s="46">
        <f t="shared" si="2"/>
        <v>0</v>
      </c>
    </row>
    <row r="36" spans="1:19" x14ac:dyDescent="0.25">
      <c r="A36" s="42">
        <f t="shared" si="3"/>
        <v>0</v>
      </c>
      <c r="B36" s="36" t="str">
        <f t="shared" si="7"/>
        <v/>
      </c>
      <c r="C36" s="24"/>
      <c r="D36" s="24"/>
      <c r="E36" s="24"/>
      <c r="F36" s="24"/>
      <c r="G36" s="5"/>
      <c r="H36" s="17">
        <v>31</v>
      </c>
      <c r="I36" s="18" t="str">
        <f t="shared" si="4"/>
        <v/>
      </c>
      <c r="J36" s="17">
        <f t="shared" si="5"/>
        <v>-1</v>
      </c>
      <c r="K36" s="17">
        <f t="shared" si="6"/>
        <v>-10</v>
      </c>
      <c r="L36" s="17"/>
      <c r="M36" s="19">
        <f t="shared" si="2"/>
        <v>0</v>
      </c>
      <c r="R36" s="50"/>
      <c r="S36" s="34"/>
    </row>
    <row r="37" spans="1:19" x14ac:dyDescent="0.25">
      <c r="A37" s="41">
        <f t="shared" si="3"/>
        <v>0</v>
      </c>
      <c r="B37" s="35" t="str">
        <f t="shared" si="7"/>
        <v/>
      </c>
      <c r="C37" s="25"/>
      <c r="D37" s="25"/>
      <c r="E37" s="25"/>
      <c r="F37" s="25"/>
      <c r="G37" s="5"/>
      <c r="H37" s="44">
        <v>32</v>
      </c>
      <c r="I37" s="45" t="str">
        <f t="shared" si="4"/>
        <v/>
      </c>
      <c r="J37" s="44">
        <f t="shared" si="5"/>
        <v>-1</v>
      </c>
      <c r="K37" s="44">
        <f t="shared" si="6"/>
        <v>-10</v>
      </c>
      <c r="L37" s="44"/>
      <c r="M37" s="46">
        <f t="shared" si="2"/>
        <v>0</v>
      </c>
    </row>
    <row r="38" spans="1:19" x14ac:dyDescent="0.25">
      <c r="A38" s="42"/>
      <c r="B38" s="36" t="str">
        <f t="shared" si="7"/>
        <v/>
      </c>
      <c r="C38" s="24"/>
      <c r="D38" s="24"/>
      <c r="E38" s="24"/>
      <c r="F38" s="24"/>
      <c r="G38" s="5"/>
      <c r="H38" s="17">
        <v>33</v>
      </c>
      <c r="I38" s="18" t="str">
        <f t="shared" si="4"/>
        <v/>
      </c>
      <c r="J38" s="17">
        <f t="shared" si="5"/>
        <v>-2</v>
      </c>
      <c r="K38" s="17">
        <f t="shared" si="6"/>
        <v>-20</v>
      </c>
      <c r="L38" s="17"/>
      <c r="M38" s="19">
        <f t="shared" si="2"/>
        <v>0</v>
      </c>
    </row>
    <row r="39" spans="1:19" x14ac:dyDescent="0.25">
      <c r="A39" s="41"/>
      <c r="B39" s="35" t="str">
        <f t="shared" si="7"/>
        <v/>
      </c>
      <c r="C39" s="25"/>
      <c r="D39" s="25"/>
      <c r="E39" s="25"/>
      <c r="F39" s="25"/>
      <c r="G39" s="5"/>
      <c r="H39" s="44">
        <v>34</v>
      </c>
      <c r="I39" s="45" t="str">
        <f t="shared" si="4"/>
        <v/>
      </c>
      <c r="J39" s="44">
        <f t="shared" si="5"/>
        <v>-2</v>
      </c>
      <c r="K39" s="44">
        <f t="shared" si="6"/>
        <v>-20</v>
      </c>
      <c r="L39" s="44"/>
      <c r="M39" s="46">
        <f t="shared" si="2"/>
        <v>0</v>
      </c>
    </row>
    <row r="40" spans="1:19" x14ac:dyDescent="0.25">
      <c r="A40" s="42"/>
      <c r="B40" s="36" t="str">
        <f t="shared" si="7"/>
        <v/>
      </c>
      <c r="C40" s="24"/>
      <c r="D40" s="24"/>
      <c r="E40" s="24"/>
      <c r="F40" s="24"/>
      <c r="G40" s="5"/>
      <c r="H40" s="17">
        <v>35</v>
      </c>
      <c r="I40" s="18" t="str">
        <f t="shared" si="4"/>
        <v/>
      </c>
      <c r="J40" s="17">
        <f t="shared" si="5"/>
        <v>-2</v>
      </c>
      <c r="K40" s="17">
        <f t="shared" si="6"/>
        <v>-20</v>
      </c>
      <c r="L40" s="17"/>
      <c r="M40" s="19">
        <f t="shared" si="2"/>
        <v>0</v>
      </c>
    </row>
    <row r="41" spans="1:19" x14ac:dyDescent="0.25">
      <c r="A41" s="41"/>
      <c r="B41" s="35" t="str">
        <f t="shared" si="7"/>
        <v/>
      </c>
      <c r="C41" s="25"/>
      <c r="D41" s="25"/>
      <c r="E41" s="25"/>
      <c r="F41" s="25"/>
      <c r="G41" s="5"/>
      <c r="H41" s="44">
        <v>36</v>
      </c>
      <c r="I41" s="45" t="str">
        <f t="shared" si="4"/>
        <v/>
      </c>
      <c r="J41" s="44">
        <f t="shared" si="5"/>
        <v>-2</v>
      </c>
      <c r="K41" s="44">
        <f t="shared" si="6"/>
        <v>-20</v>
      </c>
      <c r="L41" s="44"/>
      <c r="M41" s="46">
        <f t="shared" si="2"/>
        <v>0</v>
      </c>
      <c r="S41" s="32"/>
    </row>
    <row r="42" spans="1:19" x14ac:dyDescent="0.25">
      <c r="A42" s="42"/>
      <c r="B42" s="36" t="str">
        <f t="shared" si="7"/>
        <v/>
      </c>
      <c r="C42" s="24"/>
      <c r="D42" s="24"/>
      <c r="E42" s="24"/>
      <c r="F42" s="24"/>
      <c r="G42" s="5"/>
      <c r="H42" s="17">
        <v>37</v>
      </c>
      <c r="I42" s="18" t="str">
        <f t="shared" si="4"/>
        <v/>
      </c>
      <c r="J42" s="17">
        <f t="shared" si="5"/>
        <v>-2</v>
      </c>
      <c r="K42" s="17">
        <f t="shared" si="6"/>
        <v>-20</v>
      </c>
      <c r="L42" s="17"/>
      <c r="M42" s="19">
        <f t="shared" si="2"/>
        <v>0</v>
      </c>
    </row>
    <row r="43" spans="1:19" x14ac:dyDescent="0.25">
      <c r="A43" s="41"/>
      <c r="B43" s="35" t="str">
        <f t="shared" si="7"/>
        <v/>
      </c>
      <c r="C43" s="25"/>
      <c r="D43" s="25"/>
      <c r="E43" s="25"/>
      <c r="F43" s="25"/>
      <c r="G43" s="5"/>
      <c r="H43" s="44">
        <v>38</v>
      </c>
      <c r="I43" s="45" t="str">
        <f t="shared" si="4"/>
        <v/>
      </c>
      <c r="J43" s="44">
        <f t="shared" si="5"/>
        <v>-2</v>
      </c>
      <c r="K43" s="44">
        <f t="shared" si="6"/>
        <v>-20</v>
      </c>
      <c r="L43" s="44"/>
      <c r="M43" s="46">
        <f t="shared" si="2"/>
        <v>0</v>
      </c>
    </row>
    <row r="44" spans="1:19" x14ac:dyDescent="0.25">
      <c r="A44" s="42"/>
      <c r="B44" s="36" t="str">
        <f t="shared" si="7"/>
        <v/>
      </c>
      <c r="C44" s="24"/>
      <c r="D44" s="24"/>
      <c r="E44" s="24"/>
      <c r="F44" s="24"/>
      <c r="G44" s="5"/>
      <c r="H44" s="17">
        <v>39</v>
      </c>
      <c r="I44" s="18" t="str">
        <f t="shared" si="4"/>
        <v/>
      </c>
      <c r="J44" s="17">
        <f t="shared" si="5"/>
        <v>-2</v>
      </c>
      <c r="K44" s="17">
        <f t="shared" si="6"/>
        <v>-20</v>
      </c>
      <c r="L44" s="17"/>
      <c r="M44" s="19">
        <f t="shared" si="2"/>
        <v>0</v>
      </c>
    </row>
    <row r="45" spans="1:19" x14ac:dyDescent="0.25">
      <c r="A45" s="41"/>
      <c r="B45" s="35" t="str">
        <f t="shared" si="7"/>
        <v/>
      </c>
      <c r="C45" s="25"/>
      <c r="D45" s="25"/>
      <c r="E45" s="25"/>
      <c r="F45" s="25"/>
      <c r="G45" s="5"/>
      <c r="H45" s="44">
        <v>40</v>
      </c>
      <c r="I45" s="45" t="str">
        <f t="shared" si="4"/>
        <v/>
      </c>
      <c r="J45" s="44">
        <f t="shared" si="5"/>
        <v>-2</v>
      </c>
      <c r="K45" s="44">
        <f t="shared" si="6"/>
        <v>-20</v>
      </c>
      <c r="L45" s="44"/>
      <c r="M45" s="46">
        <f t="shared" si="2"/>
        <v>0</v>
      </c>
    </row>
    <row r="46" spans="1:19" x14ac:dyDescent="0.25">
      <c r="A46" s="42"/>
      <c r="B46" s="36" t="str">
        <f t="shared" si="7"/>
        <v/>
      </c>
      <c r="C46" s="24"/>
      <c r="D46" s="24"/>
      <c r="E46" s="24"/>
      <c r="F46" s="24"/>
      <c r="G46" s="5"/>
      <c r="H46" s="17">
        <v>41</v>
      </c>
      <c r="I46" s="18" t="str">
        <f t="shared" si="4"/>
        <v/>
      </c>
      <c r="J46" s="17">
        <f t="shared" si="5"/>
        <v>-2</v>
      </c>
      <c r="K46" s="17">
        <f t="shared" si="6"/>
        <v>-20</v>
      </c>
      <c r="L46" s="17"/>
      <c r="M46" s="19">
        <f t="shared" si="2"/>
        <v>0</v>
      </c>
    </row>
    <row r="47" spans="1:19" x14ac:dyDescent="0.25">
      <c r="A47" s="41"/>
      <c r="B47" s="35" t="str">
        <f t="shared" si="7"/>
        <v/>
      </c>
      <c r="C47" s="25"/>
      <c r="D47" s="25"/>
      <c r="E47" s="25"/>
      <c r="F47" s="25"/>
      <c r="G47" s="5"/>
      <c r="H47" s="44">
        <v>42</v>
      </c>
      <c r="I47" s="45" t="str">
        <f t="shared" si="4"/>
        <v/>
      </c>
      <c r="J47" s="44">
        <f t="shared" si="5"/>
        <v>-2</v>
      </c>
      <c r="K47" s="44">
        <f t="shared" si="6"/>
        <v>-20</v>
      </c>
      <c r="L47" s="44"/>
      <c r="M47" s="46">
        <f t="shared" si="2"/>
        <v>0</v>
      </c>
    </row>
    <row r="48" spans="1:19" x14ac:dyDescent="0.25">
      <c r="A48" s="42"/>
      <c r="B48" s="36" t="str">
        <f t="shared" si="7"/>
        <v/>
      </c>
      <c r="C48" s="24"/>
      <c r="D48" s="24"/>
      <c r="E48" s="24"/>
      <c r="F48" s="24"/>
      <c r="G48" s="5"/>
      <c r="H48" s="17">
        <v>43</v>
      </c>
      <c r="I48" s="18" t="str">
        <f t="shared" si="4"/>
        <v/>
      </c>
      <c r="J48" s="17">
        <f t="shared" si="5"/>
        <v>-2</v>
      </c>
      <c r="K48" s="17">
        <f t="shared" si="6"/>
        <v>-20</v>
      </c>
      <c r="L48" s="17"/>
      <c r="M48" s="19">
        <f t="shared" si="2"/>
        <v>0</v>
      </c>
    </row>
    <row r="49" spans="1:13" x14ac:dyDescent="0.25">
      <c r="A49" s="41"/>
      <c r="B49" s="35" t="str">
        <f t="shared" si="7"/>
        <v/>
      </c>
      <c r="C49" s="25"/>
      <c r="D49" s="25"/>
      <c r="E49" s="25"/>
      <c r="F49" s="25"/>
      <c r="G49" s="5"/>
      <c r="H49" s="44">
        <v>44</v>
      </c>
      <c r="I49" s="45" t="str">
        <f t="shared" si="4"/>
        <v/>
      </c>
      <c r="J49" s="44">
        <f t="shared" si="5"/>
        <v>-2</v>
      </c>
      <c r="K49" s="44">
        <f t="shared" si="6"/>
        <v>-20</v>
      </c>
      <c r="L49" s="44"/>
      <c r="M49" s="46">
        <f t="shared" si="2"/>
        <v>0</v>
      </c>
    </row>
    <row r="50" spans="1:13" x14ac:dyDescent="0.25">
      <c r="A50" s="42"/>
      <c r="B50" s="36" t="str">
        <f t="shared" si="7"/>
        <v/>
      </c>
      <c r="C50" s="24"/>
      <c r="D50" s="24"/>
      <c r="E50" s="24"/>
      <c r="F50" s="24"/>
      <c r="G50" s="5"/>
      <c r="H50" s="17">
        <v>45</v>
      </c>
      <c r="I50" s="18" t="str">
        <f t="shared" si="4"/>
        <v/>
      </c>
      <c r="J50" s="17">
        <f t="shared" si="5"/>
        <v>-2</v>
      </c>
      <c r="K50" s="17">
        <f t="shared" si="6"/>
        <v>-20</v>
      </c>
      <c r="L50" s="17"/>
      <c r="M50" s="19">
        <f t="shared" si="2"/>
        <v>0</v>
      </c>
    </row>
    <row r="51" spans="1:13" x14ac:dyDescent="0.25">
      <c r="A51" s="41"/>
      <c r="B51" s="35" t="str">
        <f t="shared" si="7"/>
        <v/>
      </c>
      <c r="C51" s="25"/>
      <c r="D51" s="25"/>
      <c r="E51" s="25"/>
      <c r="F51" s="25"/>
      <c r="G51" s="5"/>
      <c r="H51" s="44">
        <v>46</v>
      </c>
      <c r="I51" s="45" t="str">
        <f t="shared" si="4"/>
        <v/>
      </c>
      <c r="J51" s="44">
        <f t="shared" si="5"/>
        <v>-2</v>
      </c>
      <c r="K51" s="44">
        <f t="shared" si="6"/>
        <v>-20</v>
      </c>
      <c r="L51" s="44"/>
      <c r="M51" s="46">
        <f t="shared" si="2"/>
        <v>0</v>
      </c>
    </row>
    <row r="52" spans="1:13" x14ac:dyDescent="0.25">
      <c r="A52" s="42"/>
      <c r="B52" s="36" t="str">
        <f t="shared" si="7"/>
        <v/>
      </c>
      <c r="C52" s="24"/>
      <c r="D52" s="24"/>
      <c r="E52" s="24"/>
      <c r="F52" s="24"/>
      <c r="G52" s="5"/>
      <c r="H52" s="17">
        <v>47</v>
      </c>
      <c r="I52" s="18" t="str">
        <f t="shared" si="4"/>
        <v/>
      </c>
      <c r="J52" s="17">
        <f t="shared" si="5"/>
        <v>-2</v>
      </c>
      <c r="K52" s="17">
        <f t="shared" si="6"/>
        <v>-20</v>
      </c>
      <c r="L52" s="17"/>
      <c r="M52" s="19">
        <f t="shared" si="2"/>
        <v>0</v>
      </c>
    </row>
    <row r="53" spans="1:13" x14ac:dyDescent="0.25">
      <c r="A53" s="41"/>
      <c r="B53" s="35" t="str">
        <f t="shared" si="7"/>
        <v/>
      </c>
      <c r="C53" s="25"/>
      <c r="D53" s="25"/>
      <c r="E53" s="25"/>
      <c r="F53" s="25"/>
      <c r="G53" s="5"/>
      <c r="H53" s="44">
        <v>48</v>
      </c>
      <c r="I53" s="45" t="str">
        <f t="shared" si="4"/>
        <v/>
      </c>
      <c r="J53" s="44">
        <f t="shared" si="5"/>
        <v>-2</v>
      </c>
      <c r="K53" s="44">
        <f t="shared" si="6"/>
        <v>-20</v>
      </c>
      <c r="L53" s="44"/>
      <c r="M53" s="46">
        <f t="shared" si="2"/>
        <v>0</v>
      </c>
    </row>
    <row r="54" spans="1:13" x14ac:dyDescent="0.25">
      <c r="A54" s="42"/>
      <c r="B54" s="36" t="str">
        <f t="shared" si="7"/>
        <v/>
      </c>
      <c r="C54" s="24"/>
      <c r="D54" s="24"/>
      <c r="E54" s="24"/>
      <c r="F54" s="24"/>
      <c r="G54" s="5"/>
      <c r="H54" s="17">
        <v>49</v>
      </c>
      <c r="I54" s="18" t="str">
        <f t="shared" si="4"/>
        <v/>
      </c>
      <c r="J54" s="17">
        <f t="shared" si="5"/>
        <v>-2</v>
      </c>
      <c r="K54" s="17">
        <f t="shared" si="6"/>
        <v>-20</v>
      </c>
      <c r="L54" s="17"/>
      <c r="M54" s="19">
        <f t="shared" si="2"/>
        <v>0</v>
      </c>
    </row>
    <row r="55" spans="1:13" x14ac:dyDescent="0.25">
      <c r="A55" s="41"/>
      <c r="B55" s="35" t="str">
        <f t="shared" si="7"/>
        <v/>
      </c>
      <c r="C55" s="25"/>
      <c r="D55" s="25"/>
      <c r="E55" s="25"/>
      <c r="F55" s="25"/>
      <c r="G55" s="5"/>
      <c r="H55" s="44">
        <v>50</v>
      </c>
      <c r="I55" s="45" t="str">
        <f t="shared" si="4"/>
        <v/>
      </c>
      <c r="J55" s="44">
        <f t="shared" si="5"/>
        <v>-2</v>
      </c>
      <c r="K55" s="44">
        <f t="shared" si="6"/>
        <v>-20</v>
      </c>
      <c r="L55" s="44"/>
      <c r="M55" s="46">
        <f t="shared" si="2"/>
        <v>0</v>
      </c>
    </row>
    <row r="56" spans="1:13" x14ac:dyDescent="0.25">
      <c r="A56" s="42"/>
      <c r="B56" s="36" t="str">
        <f t="shared" si="7"/>
        <v/>
      </c>
      <c r="C56" s="24"/>
      <c r="D56" s="24"/>
      <c r="E56" s="24"/>
      <c r="F56" s="24"/>
      <c r="G56" s="5"/>
      <c r="H56" s="17">
        <v>51</v>
      </c>
      <c r="I56" s="18" t="str">
        <f t="shared" si="4"/>
        <v/>
      </c>
      <c r="J56" s="17">
        <f t="shared" si="5"/>
        <v>-2</v>
      </c>
      <c r="K56" s="17">
        <f t="shared" si="6"/>
        <v>-20</v>
      </c>
      <c r="L56" s="17"/>
      <c r="M56" s="19">
        <f t="shared" si="2"/>
        <v>0</v>
      </c>
    </row>
    <row r="57" spans="1:13" x14ac:dyDescent="0.25">
      <c r="A57" s="41"/>
      <c r="B57" s="35" t="str">
        <f t="shared" si="7"/>
        <v/>
      </c>
      <c r="C57" s="25"/>
      <c r="D57" s="25"/>
      <c r="E57" s="25"/>
      <c r="F57" s="25"/>
      <c r="G57" s="5"/>
      <c r="H57" s="44">
        <v>52</v>
      </c>
      <c r="I57" s="45" t="str">
        <f t="shared" si="4"/>
        <v/>
      </c>
      <c r="J57" s="44">
        <f t="shared" si="5"/>
        <v>-2</v>
      </c>
      <c r="K57" s="44">
        <f t="shared" si="6"/>
        <v>-20</v>
      </c>
      <c r="L57" s="44"/>
      <c r="M57" s="46">
        <f t="shared" si="2"/>
        <v>0</v>
      </c>
    </row>
    <row r="58" spans="1:13" x14ac:dyDescent="0.25">
      <c r="A58" s="42"/>
      <c r="B58" s="36" t="str">
        <f t="shared" si="7"/>
        <v/>
      </c>
      <c r="C58" s="24"/>
      <c r="D58" s="24"/>
      <c r="E58" s="24"/>
      <c r="F58" s="24"/>
      <c r="G58" s="5"/>
      <c r="H58" s="17">
        <v>53</v>
      </c>
      <c r="I58" s="18" t="str">
        <f t="shared" si="4"/>
        <v/>
      </c>
      <c r="J58" s="17">
        <f t="shared" si="5"/>
        <v>-2</v>
      </c>
      <c r="K58" s="17">
        <f t="shared" si="6"/>
        <v>-20</v>
      </c>
      <c r="L58" s="17"/>
      <c r="M58" s="19">
        <f t="shared" si="2"/>
        <v>0</v>
      </c>
    </row>
    <row r="59" spans="1:13" x14ac:dyDescent="0.25">
      <c r="A59" s="41"/>
      <c r="B59" s="35" t="str">
        <f t="shared" si="7"/>
        <v/>
      </c>
      <c r="C59" s="25"/>
      <c r="D59" s="25"/>
      <c r="E59" s="25"/>
      <c r="F59" s="25"/>
      <c r="G59" s="5"/>
      <c r="H59" s="44">
        <v>54</v>
      </c>
      <c r="I59" s="45" t="str">
        <f t="shared" si="4"/>
        <v/>
      </c>
      <c r="J59" s="44">
        <f t="shared" si="5"/>
        <v>-2</v>
      </c>
      <c r="K59" s="44">
        <f t="shared" si="6"/>
        <v>-20</v>
      </c>
      <c r="L59" s="44"/>
      <c r="M59" s="46">
        <f t="shared" si="2"/>
        <v>0</v>
      </c>
    </row>
    <row r="60" spans="1:13" x14ac:dyDescent="0.25">
      <c r="A60" s="42"/>
      <c r="B60" s="36" t="str">
        <f t="shared" si="7"/>
        <v/>
      </c>
      <c r="C60" s="24"/>
      <c r="D60" s="24"/>
      <c r="E60" s="24"/>
      <c r="F60" s="24"/>
      <c r="G60" s="5"/>
      <c r="H60" s="17">
        <v>55</v>
      </c>
      <c r="I60" s="18" t="str">
        <f t="shared" si="4"/>
        <v/>
      </c>
      <c r="J60" s="17">
        <f t="shared" si="5"/>
        <v>-2</v>
      </c>
      <c r="K60" s="17">
        <f t="shared" si="6"/>
        <v>-20</v>
      </c>
      <c r="L60" s="17"/>
      <c r="M60" s="19">
        <f t="shared" si="2"/>
        <v>0</v>
      </c>
    </row>
    <row r="61" spans="1:13" x14ac:dyDescent="0.25">
      <c r="A61" s="41"/>
      <c r="B61" s="35" t="str">
        <f t="shared" si="7"/>
        <v/>
      </c>
      <c r="C61" s="25"/>
      <c r="D61" s="25"/>
      <c r="E61" s="25"/>
      <c r="F61" s="25"/>
      <c r="G61" s="5"/>
      <c r="H61" s="44">
        <v>56</v>
      </c>
      <c r="I61" s="45" t="str">
        <f t="shared" si="4"/>
        <v/>
      </c>
      <c r="J61" s="44">
        <f t="shared" si="5"/>
        <v>-2</v>
      </c>
      <c r="K61" s="44">
        <f t="shared" si="6"/>
        <v>-20</v>
      </c>
      <c r="L61" s="44"/>
      <c r="M61" s="46">
        <f t="shared" si="2"/>
        <v>0</v>
      </c>
    </row>
    <row r="62" spans="1:13" x14ac:dyDescent="0.25">
      <c r="A62" s="42"/>
      <c r="B62" s="36" t="str">
        <f t="shared" si="7"/>
        <v/>
      </c>
      <c r="C62" s="24"/>
      <c r="D62" s="24"/>
      <c r="E62" s="24"/>
      <c r="F62" s="24"/>
      <c r="G62" s="5"/>
      <c r="H62" s="17">
        <v>57</v>
      </c>
      <c r="I62" s="18" t="str">
        <f t="shared" si="4"/>
        <v/>
      </c>
      <c r="J62" s="17">
        <f t="shared" si="5"/>
        <v>-2</v>
      </c>
      <c r="K62" s="17">
        <f t="shared" si="6"/>
        <v>-20</v>
      </c>
      <c r="L62" s="17"/>
      <c r="M62" s="19">
        <f t="shared" si="2"/>
        <v>0</v>
      </c>
    </row>
    <row r="63" spans="1:13" x14ac:dyDescent="0.25">
      <c r="A63" s="41"/>
      <c r="B63" s="35" t="str">
        <f t="shared" si="7"/>
        <v/>
      </c>
      <c r="C63" s="25"/>
      <c r="D63" s="25"/>
      <c r="E63" s="25"/>
      <c r="F63" s="25"/>
      <c r="G63" s="5"/>
      <c r="H63" s="44">
        <v>58</v>
      </c>
      <c r="I63" s="45" t="str">
        <f t="shared" si="4"/>
        <v/>
      </c>
      <c r="J63" s="44">
        <f t="shared" si="5"/>
        <v>-2</v>
      </c>
      <c r="K63" s="44">
        <f t="shared" si="6"/>
        <v>-20</v>
      </c>
      <c r="L63" s="44"/>
      <c r="M63" s="46">
        <f t="shared" si="2"/>
        <v>0</v>
      </c>
    </row>
    <row r="64" spans="1:13" x14ac:dyDescent="0.25">
      <c r="A64" s="42"/>
      <c r="B64" s="36" t="str">
        <f t="shared" si="7"/>
        <v/>
      </c>
      <c r="C64" s="24"/>
      <c r="D64" s="24"/>
      <c r="E64" s="24"/>
      <c r="F64" s="24"/>
      <c r="G64" s="5"/>
      <c r="H64" s="17">
        <v>59</v>
      </c>
      <c r="I64" s="18" t="str">
        <f t="shared" si="4"/>
        <v/>
      </c>
      <c r="J64" s="17">
        <f t="shared" si="5"/>
        <v>-2</v>
      </c>
      <c r="K64" s="17">
        <f t="shared" si="6"/>
        <v>-20</v>
      </c>
      <c r="L64" s="17"/>
      <c r="M64" s="19">
        <f t="shared" si="2"/>
        <v>0</v>
      </c>
    </row>
    <row r="65" spans="1:13" x14ac:dyDescent="0.25">
      <c r="A65" s="41"/>
      <c r="B65" s="35" t="str">
        <f t="shared" si="7"/>
        <v/>
      </c>
      <c r="C65" s="25"/>
      <c r="D65" s="25"/>
      <c r="E65" s="25"/>
      <c r="F65" s="25"/>
      <c r="G65" s="5"/>
      <c r="H65" s="44">
        <v>60</v>
      </c>
      <c r="I65" s="45" t="str">
        <f t="shared" si="4"/>
        <v/>
      </c>
      <c r="J65" s="44">
        <f t="shared" si="5"/>
        <v>-2</v>
      </c>
      <c r="K65" s="44">
        <f t="shared" si="6"/>
        <v>-20</v>
      </c>
      <c r="L65" s="44"/>
      <c r="M65" s="46">
        <f t="shared" si="2"/>
        <v>0</v>
      </c>
    </row>
    <row r="66" spans="1:13" x14ac:dyDescent="0.25">
      <c r="A66" s="43"/>
      <c r="B66" s="36"/>
      <c r="G66" s="5"/>
      <c r="H66" s="17">
        <v>61</v>
      </c>
      <c r="I66" s="18" t="str">
        <f t="shared" si="4"/>
        <v/>
      </c>
      <c r="J66" s="17">
        <f t="shared" si="5"/>
        <v>-2</v>
      </c>
      <c r="K66" s="17">
        <f t="shared" si="6"/>
        <v>-20</v>
      </c>
      <c r="L66" s="17"/>
      <c r="M66" s="19">
        <f t="shared" si="2"/>
        <v>0</v>
      </c>
    </row>
    <row r="67" spans="1:13" x14ac:dyDescent="0.25">
      <c r="A67" s="43"/>
      <c r="B67" s="35"/>
      <c r="G67" s="5"/>
      <c r="H67" s="17">
        <v>62</v>
      </c>
      <c r="I67" s="18" t="str">
        <f t="shared" si="4"/>
        <v/>
      </c>
      <c r="J67" s="17">
        <f t="shared" si="5"/>
        <v>-2</v>
      </c>
      <c r="K67" s="17">
        <f t="shared" si="6"/>
        <v>-20</v>
      </c>
      <c r="L67" s="17"/>
      <c r="M67" s="19">
        <f t="shared" si="2"/>
        <v>0</v>
      </c>
    </row>
    <row r="68" spans="1:13" x14ac:dyDescent="0.25">
      <c r="A68" s="43"/>
      <c r="B68" s="36"/>
      <c r="G68" s="5"/>
      <c r="H68" s="17">
        <v>63</v>
      </c>
      <c r="I68" s="18" t="str">
        <f t="shared" si="4"/>
        <v/>
      </c>
      <c r="J68" s="17">
        <f t="shared" si="5"/>
        <v>-2</v>
      </c>
      <c r="K68" s="17">
        <f t="shared" si="6"/>
        <v>-20</v>
      </c>
      <c r="L68" s="17"/>
      <c r="M68" s="19">
        <f t="shared" si="2"/>
        <v>0</v>
      </c>
    </row>
    <row r="69" spans="1:13" x14ac:dyDescent="0.25">
      <c r="A69" s="43"/>
      <c r="B69" s="35"/>
      <c r="G69" s="5"/>
      <c r="H69" s="17">
        <v>64</v>
      </c>
      <c r="I69" s="18" t="str">
        <f t="shared" si="4"/>
        <v/>
      </c>
      <c r="J69" s="17">
        <f t="shared" si="5"/>
        <v>-2</v>
      </c>
      <c r="K69" s="17">
        <f t="shared" si="6"/>
        <v>-20</v>
      </c>
      <c r="L69" s="17"/>
      <c r="M69" s="19">
        <f t="shared" si="2"/>
        <v>0</v>
      </c>
    </row>
    <row r="70" spans="1:13" x14ac:dyDescent="0.25">
      <c r="A70" s="43"/>
      <c r="G70" s="5"/>
      <c r="H70" s="17">
        <v>65</v>
      </c>
      <c r="I70" s="18" t="str">
        <f t="shared" ref="I70:I133" si="8">IF(H70&lt;$H$2+1,($I$2-($I$2-1)*(LOG(H70)/LOG($H$2))),"")</f>
        <v/>
      </c>
      <c r="J70" s="17">
        <f t="shared" si="5"/>
        <v>-3</v>
      </c>
      <c r="K70" s="17">
        <f t="shared" ref="K70:K133" si="9">J70*$J$2</f>
        <v>-30</v>
      </c>
      <c r="L70" s="17"/>
      <c r="M70" s="19">
        <f t="shared" ref="M70:M133" si="10">IF(I70&lt;&gt;"",K70+I70+L70,0)</f>
        <v>0</v>
      </c>
    </row>
    <row r="71" spans="1:13" x14ac:dyDescent="0.25">
      <c r="A71" s="43"/>
      <c r="G71" s="5"/>
      <c r="H71" s="17">
        <v>66</v>
      </c>
      <c r="I71" s="18" t="str">
        <f t="shared" si="8"/>
        <v/>
      </c>
      <c r="J71" s="17">
        <f t="shared" ref="J71:J134" si="11">INT(LOG($H$2,2))-ROUNDUP(LOG(H71,2),0)+IF(OR($H$2=1,$H$2=2,$H$2=4,$H$2=8,$H$2=16,$H$2=32,$H$2=64,$H$2=128,$H$2=256),0,1)</f>
        <v>-3</v>
      </c>
      <c r="K71" s="17">
        <f t="shared" si="9"/>
        <v>-30</v>
      </c>
      <c r="L71" s="17"/>
      <c r="M71" s="19">
        <f t="shared" si="10"/>
        <v>0</v>
      </c>
    </row>
    <row r="72" spans="1:13" x14ac:dyDescent="0.25">
      <c r="A72" s="43"/>
      <c r="G72" s="5"/>
      <c r="H72" s="17">
        <v>67</v>
      </c>
      <c r="I72" s="18" t="str">
        <f t="shared" si="8"/>
        <v/>
      </c>
      <c r="J72" s="17">
        <f t="shared" si="11"/>
        <v>-3</v>
      </c>
      <c r="K72" s="17">
        <f t="shared" si="9"/>
        <v>-30</v>
      </c>
      <c r="L72" s="17"/>
      <c r="M72" s="19">
        <f t="shared" si="10"/>
        <v>0</v>
      </c>
    </row>
    <row r="73" spans="1:13" x14ac:dyDescent="0.25">
      <c r="A73" s="43"/>
      <c r="G73" s="5"/>
      <c r="H73" s="17">
        <v>68</v>
      </c>
      <c r="I73" s="18" t="str">
        <f t="shared" si="8"/>
        <v/>
      </c>
      <c r="J73" s="17">
        <f t="shared" si="11"/>
        <v>-3</v>
      </c>
      <c r="K73" s="17">
        <f t="shared" si="9"/>
        <v>-30</v>
      </c>
      <c r="L73" s="17"/>
      <c r="M73" s="19">
        <f t="shared" si="10"/>
        <v>0</v>
      </c>
    </row>
    <row r="74" spans="1:13" x14ac:dyDescent="0.25">
      <c r="A74" s="43"/>
      <c r="G74" s="5"/>
      <c r="H74" s="17">
        <v>69</v>
      </c>
      <c r="I74" s="18" t="str">
        <f t="shared" si="8"/>
        <v/>
      </c>
      <c r="J74" s="17">
        <f t="shared" si="11"/>
        <v>-3</v>
      </c>
      <c r="K74" s="17">
        <f t="shared" si="9"/>
        <v>-30</v>
      </c>
      <c r="L74" s="17"/>
      <c r="M74" s="19">
        <f t="shared" si="10"/>
        <v>0</v>
      </c>
    </row>
    <row r="75" spans="1:13" x14ac:dyDescent="0.25">
      <c r="A75" s="43"/>
      <c r="G75" s="5"/>
      <c r="H75" s="17">
        <v>70</v>
      </c>
      <c r="I75" s="18" t="str">
        <f t="shared" si="8"/>
        <v/>
      </c>
      <c r="J75" s="17">
        <f t="shared" si="11"/>
        <v>-3</v>
      </c>
      <c r="K75" s="17">
        <f t="shared" si="9"/>
        <v>-30</v>
      </c>
      <c r="L75" s="17"/>
      <c r="M75" s="19">
        <f t="shared" si="10"/>
        <v>0</v>
      </c>
    </row>
    <row r="76" spans="1:13" x14ac:dyDescent="0.25">
      <c r="A76" s="43"/>
      <c r="G76" s="5"/>
      <c r="H76" s="17">
        <v>71</v>
      </c>
      <c r="I76" s="18" t="str">
        <f t="shared" si="8"/>
        <v/>
      </c>
      <c r="J76" s="17">
        <f t="shared" si="11"/>
        <v>-3</v>
      </c>
      <c r="K76" s="17">
        <f t="shared" si="9"/>
        <v>-30</v>
      </c>
      <c r="L76" s="17"/>
      <c r="M76" s="19">
        <f t="shared" si="10"/>
        <v>0</v>
      </c>
    </row>
    <row r="77" spans="1:13" x14ac:dyDescent="0.25">
      <c r="A77" s="43"/>
      <c r="G77" s="5"/>
      <c r="H77" s="17">
        <v>72</v>
      </c>
      <c r="I77" s="18" t="str">
        <f t="shared" si="8"/>
        <v/>
      </c>
      <c r="J77" s="17">
        <f t="shared" si="11"/>
        <v>-3</v>
      </c>
      <c r="K77" s="17">
        <f t="shared" si="9"/>
        <v>-30</v>
      </c>
      <c r="L77" s="17"/>
      <c r="M77" s="19">
        <f t="shared" si="10"/>
        <v>0</v>
      </c>
    </row>
    <row r="78" spans="1:13" x14ac:dyDescent="0.25">
      <c r="A78" s="43"/>
      <c r="G78" s="5"/>
      <c r="H78" s="17">
        <v>73</v>
      </c>
      <c r="I78" s="18" t="str">
        <f t="shared" si="8"/>
        <v/>
      </c>
      <c r="J78" s="17">
        <f t="shared" si="11"/>
        <v>-3</v>
      </c>
      <c r="K78" s="17">
        <f t="shared" si="9"/>
        <v>-30</v>
      </c>
      <c r="L78" s="17"/>
      <c r="M78" s="19">
        <f t="shared" si="10"/>
        <v>0</v>
      </c>
    </row>
    <row r="79" spans="1:13" x14ac:dyDescent="0.25">
      <c r="A79" s="43"/>
      <c r="G79" s="5"/>
      <c r="H79" s="17">
        <v>74</v>
      </c>
      <c r="I79" s="18" t="str">
        <f t="shared" si="8"/>
        <v/>
      </c>
      <c r="J79" s="17">
        <f t="shared" si="11"/>
        <v>-3</v>
      </c>
      <c r="K79" s="17">
        <f t="shared" si="9"/>
        <v>-30</v>
      </c>
      <c r="L79" s="17"/>
      <c r="M79" s="19">
        <f t="shared" si="10"/>
        <v>0</v>
      </c>
    </row>
    <row r="80" spans="1:13" x14ac:dyDescent="0.25">
      <c r="A80" s="43"/>
      <c r="G80" s="5"/>
      <c r="H80" s="17">
        <v>75</v>
      </c>
      <c r="I80" s="18" t="str">
        <f t="shared" si="8"/>
        <v/>
      </c>
      <c r="J80" s="17">
        <f t="shared" si="11"/>
        <v>-3</v>
      </c>
      <c r="K80" s="17">
        <f t="shared" si="9"/>
        <v>-30</v>
      </c>
      <c r="L80" s="17"/>
      <c r="M80" s="19">
        <f t="shared" si="10"/>
        <v>0</v>
      </c>
    </row>
    <row r="81" spans="1:13" x14ac:dyDescent="0.25">
      <c r="A81" s="43"/>
      <c r="G81" s="5"/>
      <c r="H81" s="17">
        <v>76</v>
      </c>
      <c r="I81" s="18" t="str">
        <f t="shared" si="8"/>
        <v/>
      </c>
      <c r="J81" s="17">
        <f t="shared" si="11"/>
        <v>-3</v>
      </c>
      <c r="K81" s="17">
        <f t="shared" si="9"/>
        <v>-30</v>
      </c>
      <c r="L81" s="17"/>
      <c r="M81" s="19">
        <f t="shared" si="10"/>
        <v>0</v>
      </c>
    </row>
    <row r="82" spans="1:13" x14ac:dyDescent="0.25">
      <c r="A82" s="43"/>
      <c r="G82" s="5"/>
      <c r="H82" s="17">
        <v>77</v>
      </c>
      <c r="I82" s="18" t="str">
        <f t="shared" si="8"/>
        <v/>
      </c>
      <c r="J82" s="17">
        <f t="shared" si="11"/>
        <v>-3</v>
      </c>
      <c r="K82" s="17">
        <f t="shared" si="9"/>
        <v>-30</v>
      </c>
      <c r="L82" s="17"/>
      <c r="M82" s="19">
        <f t="shared" si="10"/>
        <v>0</v>
      </c>
    </row>
    <row r="83" spans="1:13" x14ac:dyDescent="0.25">
      <c r="A83" s="43"/>
      <c r="G83" s="5"/>
      <c r="H83" s="17">
        <v>78</v>
      </c>
      <c r="I83" s="18" t="str">
        <f t="shared" si="8"/>
        <v/>
      </c>
      <c r="J83" s="17">
        <f t="shared" si="11"/>
        <v>-3</v>
      </c>
      <c r="K83" s="17">
        <f t="shared" si="9"/>
        <v>-30</v>
      </c>
      <c r="L83" s="17"/>
      <c r="M83" s="19">
        <f t="shared" si="10"/>
        <v>0</v>
      </c>
    </row>
    <row r="84" spans="1:13" x14ac:dyDescent="0.25">
      <c r="A84" s="43"/>
      <c r="G84" s="5"/>
      <c r="H84" s="17">
        <v>79</v>
      </c>
      <c r="I84" s="18" t="str">
        <f t="shared" si="8"/>
        <v/>
      </c>
      <c r="J84" s="17">
        <f t="shared" si="11"/>
        <v>-3</v>
      </c>
      <c r="K84" s="17">
        <f t="shared" si="9"/>
        <v>-30</v>
      </c>
      <c r="L84" s="17"/>
      <c r="M84" s="19">
        <f t="shared" si="10"/>
        <v>0</v>
      </c>
    </row>
    <row r="85" spans="1:13" x14ac:dyDescent="0.25">
      <c r="A85" s="43"/>
      <c r="G85" s="5"/>
      <c r="H85" s="17">
        <v>80</v>
      </c>
      <c r="I85" s="18" t="str">
        <f t="shared" si="8"/>
        <v/>
      </c>
      <c r="J85" s="17">
        <f t="shared" si="11"/>
        <v>-3</v>
      </c>
      <c r="K85" s="17">
        <f t="shared" si="9"/>
        <v>-30</v>
      </c>
      <c r="L85" s="17"/>
      <c r="M85" s="19">
        <f t="shared" si="10"/>
        <v>0</v>
      </c>
    </row>
    <row r="86" spans="1:13" x14ac:dyDescent="0.25">
      <c r="A86" s="43"/>
      <c r="G86" s="5"/>
      <c r="H86" s="17">
        <v>81</v>
      </c>
      <c r="I86" s="18" t="str">
        <f t="shared" si="8"/>
        <v/>
      </c>
      <c r="J86" s="17">
        <f t="shared" si="11"/>
        <v>-3</v>
      </c>
      <c r="K86" s="17">
        <f t="shared" si="9"/>
        <v>-30</v>
      </c>
      <c r="L86" s="17"/>
      <c r="M86" s="19">
        <f t="shared" si="10"/>
        <v>0</v>
      </c>
    </row>
    <row r="87" spans="1:13" x14ac:dyDescent="0.25">
      <c r="A87" s="43"/>
      <c r="G87" s="5"/>
      <c r="H87" s="17">
        <v>82</v>
      </c>
      <c r="I87" s="18" t="str">
        <f t="shared" si="8"/>
        <v/>
      </c>
      <c r="J87" s="17">
        <f t="shared" si="11"/>
        <v>-3</v>
      </c>
      <c r="K87" s="17">
        <f t="shared" si="9"/>
        <v>-30</v>
      </c>
      <c r="L87" s="17"/>
      <c r="M87" s="19">
        <f t="shared" si="10"/>
        <v>0</v>
      </c>
    </row>
    <row r="88" spans="1:13" x14ac:dyDescent="0.25">
      <c r="A88" s="43"/>
      <c r="G88" s="5"/>
      <c r="H88" s="17">
        <v>83</v>
      </c>
      <c r="I88" s="18" t="str">
        <f t="shared" si="8"/>
        <v/>
      </c>
      <c r="J88" s="17">
        <f t="shared" si="11"/>
        <v>-3</v>
      </c>
      <c r="K88" s="17">
        <f t="shared" si="9"/>
        <v>-30</v>
      </c>
      <c r="L88" s="17"/>
      <c r="M88" s="19">
        <f t="shared" si="10"/>
        <v>0</v>
      </c>
    </row>
    <row r="89" spans="1:13" x14ac:dyDescent="0.25">
      <c r="A89" s="43"/>
      <c r="G89" s="5"/>
      <c r="H89" s="17">
        <v>84</v>
      </c>
      <c r="I89" s="18" t="str">
        <f t="shared" si="8"/>
        <v/>
      </c>
      <c r="J89" s="17">
        <f t="shared" si="11"/>
        <v>-3</v>
      </c>
      <c r="K89" s="17">
        <f t="shared" si="9"/>
        <v>-30</v>
      </c>
      <c r="L89" s="17"/>
      <c r="M89" s="19">
        <f t="shared" si="10"/>
        <v>0</v>
      </c>
    </row>
    <row r="90" spans="1:13" x14ac:dyDescent="0.25">
      <c r="A90" s="43"/>
      <c r="G90" s="5"/>
      <c r="H90" s="17">
        <v>85</v>
      </c>
      <c r="I90" s="18" t="str">
        <f t="shared" si="8"/>
        <v/>
      </c>
      <c r="J90" s="17">
        <f t="shared" si="11"/>
        <v>-3</v>
      </c>
      <c r="K90" s="17">
        <f t="shared" si="9"/>
        <v>-30</v>
      </c>
      <c r="L90" s="17"/>
      <c r="M90" s="19">
        <f t="shared" si="10"/>
        <v>0</v>
      </c>
    </row>
    <row r="91" spans="1:13" x14ac:dyDescent="0.25">
      <c r="A91" s="43"/>
      <c r="G91" s="5"/>
      <c r="H91" s="17">
        <v>86</v>
      </c>
      <c r="I91" s="18" t="str">
        <f t="shared" si="8"/>
        <v/>
      </c>
      <c r="J91" s="17">
        <f t="shared" si="11"/>
        <v>-3</v>
      </c>
      <c r="K91" s="17">
        <f t="shared" si="9"/>
        <v>-30</v>
      </c>
      <c r="L91" s="17"/>
      <c r="M91" s="19">
        <f t="shared" si="10"/>
        <v>0</v>
      </c>
    </row>
    <row r="92" spans="1:13" x14ac:dyDescent="0.25">
      <c r="A92" s="43"/>
      <c r="G92" s="5"/>
      <c r="H92" s="17">
        <v>87</v>
      </c>
      <c r="I92" s="18" t="str">
        <f t="shared" si="8"/>
        <v/>
      </c>
      <c r="J92" s="17">
        <f t="shared" si="11"/>
        <v>-3</v>
      </c>
      <c r="K92" s="17">
        <f t="shared" si="9"/>
        <v>-30</v>
      </c>
      <c r="L92" s="17"/>
      <c r="M92" s="19">
        <f t="shared" si="10"/>
        <v>0</v>
      </c>
    </row>
    <row r="93" spans="1:13" x14ac:dyDescent="0.25">
      <c r="A93" s="43"/>
      <c r="G93" s="5"/>
      <c r="H93" s="17">
        <v>88</v>
      </c>
      <c r="I93" s="18" t="str">
        <f t="shared" si="8"/>
        <v/>
      </c>
      <c r="J93" s="17">
        <f t="shared" si="11"/>
        <v>-3</v>
      </c>
      <c r="K93" s="17">
        <f t="shared" si="9"/>
        <v>-30</v>
      </c>
      <c r="L93" s="17"/>
      <c r="M93" s="19">
        <f t="shared" si="10"/>
        <v>0</v>
      </c>
    </row>
    <row r="94" spans="1:13" x14ac:dyDescent="0.25">
      <c r="A94" s="43"/>
      <c r="G94" s="5"/>
      <c r="H94" s="17">
        <v>89</v>
      </c>
      <c r="I94" s="18" t="str">
        <f t="shared" si="8"/>
        <v/>
      </c>
      <c r="J94" s="17">
        <f t="shared" si="11"/>
        <v>-3</v>
      </c>
      <c r="K94" s="17">
        <f t="shared" si="9"/>
        <v>-30</v>
      </c>
      <c r="L94" s="17"/>
      <c r="M94" s="19">
        <f t="shared" si="10"/>
        <v>0</v>
      </c>
    </row>
    <row r="95" spans="1:13" x14ac:dyDescent="0.25">
      <c r="A95" s="43"/>
      <c r="G95" s="5"/>
      <c r="H95" s="17">
        <v>90</v>
      </c>
      <c r="I95" s="18" t="str">
        <f t="shared" si="8"/>
        <v/>
      </c>
      <c r="J95" s="17">
        <f t="shared" si="11"/>
        <v>-3</v>
      </c>
      <c r="K95" s="17">
        <f t="shared" si="9"/>
        <v>-30</v>
      </c>
      <c r="L95" s="17"/>
      <c r="M95" s="19">
        <f t="shared" si="10"/>
        <v>0</v>
      </c>
    </row>
    <row r="96" spans="1:13" x14ac:dyDescent="0.25">
      <c r="A96" s="43"/>
      <c r="G96" s="5"/>
      <c r="H96" s="17">
        <v>91</v>
      </c>
      <c r="I96" s="18" t="str">
        <f t="shared" si="8"/>
        <v/>
      </c>
      <c r="J96" s="17">
        <f t="shared" si="11"/>
        <v>-3</v>
      </c>
      <c r="K96" s="17">
        <f t="shared" si="9"/>
        <v>-30</v>
      </c>
      <c r="L96" s="17"/>
      <c r="M96" s="19">
        <f t="shared" si="10"/>
        <v>0</v>
      </c>
    </row>
    <row r="97" spans="1:13" x14ac:dyDescent="0.25">
      <c r="A97" s="43"/>
      <c r="G97" s="5"/>
      <c r="H97" s="17">
        <v>92</v>
      </c>
      <c r="I97" s="18" t="str">
        <f t="shared" si="8"/>
        <v/>
      </c>
      <c r="J97" s="17">
        <f t="shared" si="11"/>
        <v>-3</v>
      </c>
      <c r="K97" s="17">
        <f t="shared" si="9"/>
        <v>-30</v>
      </c>
      <c r="L97" s="17"/>
      <c r="M97" s="19">
        <f t="shared" si="10"/>
        <v>0</v>
      </c>
    </row>
    <row r="98" spans="1:13" x14ac:dyDescent="0.25">
      <c r="A98" s="43"/>
      <c r="G98" s="5"/>
      <c r="H98" s="17">
        <v>93</v>
      </c>
      <c r="I98" s="18" t="str">
        <f t="shared" si="8"/>
        <v/>
      </c>
      <c r="J98" s="17">
        <f t="shared" si="11"/>
        <v>-3</v>
      </c>
      <c r="K98" s="17">
        <f t="shared" si="9"/>
        <v>-30</v>
      </c>
      <c r="L98" s="17"/>
      <c r="M98" s="19">
        <f t="shared" si="10"/>
        <v>0</v>
      </c>
    </row>
    <row r="99" spans="1:13" x14ac:dyDescent="0.25">
      <c r="A99" s="43"/>
      <c r="G99" s="5"/>
      <c r="H99" s="17">
        <v>94</v>
      </c>
      <c r="I99" s="18" t="str">
        <f t="shared" si="8"/>
        <v/>
      </c>
      <c r="J99" s="17">
        <f t="shared" si="11"/>
        <v>-3</v>
      </c>
      <c r="K99" s="17">
        <f t="shared" si="9"/>
        <v>-30</v>
      </c>
      <c r="L99" s="17"/>
      <c r="M99" s="19">
        <f t="shared" si="10"/>
        <v>0</v>
      </c>
    </row>
    <row r="100" spans="1:13" x14ac:dyDescent="0.25">
      <c r="A100" s="43"/>
      <c r="G100" s="5"/>
      <c r="H100" s="17">
        <v>95</v>
      </c>
      <c r="I100" s="18" t="str">
        <f t="shared" si="8"/>
        <v/>
      </c>
      <c r="J100" s="17">
        <f t="shared" si="11"/>
        <v>-3</v>
      </c>
      <c r="K100" s="17">
        <f t="shared" si="9"/>
        <v>-30</v>
      </c>
      <c r="L100" s="17"/>
      <c r="M100" s="19">
        <f t="shared" si="10"/>
        <v>0</v>
      </c>
    </row>
    <row r="101" spans="1:13" x14ac:dyDescent="0.25">
      <c r="A101" s="43"/>
      <c r="G101" s="5"/>
      <c r="H101" s="17">
        <v>96</v>
      </c>
      <c r="I101" s="18" t="str">
        <f t="shared" si="8"/>
        <v/>
      </c>
      <c r="J101" s="17">
        <f t="shared" si="11"/>
        <v>-3</v>
      </c>
      <c r="K101" s="17">
        <f t="shared" si="9"/>
        <v>-30</v>
      </c>
      <c r="L101" s="17"/>
      <c r="M101" s="19">
        <f t="shared" si="10"/>
        <v>0</v>
      </c>
    </row>
    <row r="102" spans="1:13" x14ac:dyDescent="0.25">
      <c r="A102" s="43"/>
      <c r="G102" s="5"/>
      <c r="H102" s="17">
        <v>97</v>
      </c>
      <c r="I102" s="18" t="str">
        <f t="shared" si="8"/>
        <v/>
      </c>
      <c r="J102" s="17">
        <f t="shared" si="11"/>
        <v>-3</v>
      </c>
      <c r="K102" s="17">
        <f t="shared" si="9"/>
        <v>-30</v>
      </c>
      <c r="L102" s="17"/>
      <c r="M102" s="19">
        <f t="shared" si="10"/>
        <v>0</v>
      </c>
    </row>
    <row r="103" spans="1:13" x14ac:dyDescent="0.25">
      <c r="A103" s="43"/>
      <c r="G103" s="5"/>
      <c r="H103" s="17">
        <v>98</v>
      </c>
      <c r="I103" s="18" t="str">
        <f t="shared" si="8"/>
        <v/>
      </c>
      <c r="J103" s="17">
        <f t="shared" si="11"/>
        <v>-3</v>
      </c>
      <c r="K103" s="17">
        <f t="shared" si="9"/>
        <v>-30</v>
      </c>
      <c r="L103" s="17"/>
      <c r="M103" s="19">
        <f t="shared" si="10"/>
        <v>0</v>
      </c>
    </row>
    <row r="104" spans="1:13" x14ac:dyDescent="0.25">
      <c r="A104" s="43"/>
      <c r="G104" s="5"/>
      <c r="H104" s="17">
        <v>99</v>
      </c>
      <c r="I104" s="18" t="str">
        <f t="shared" si="8"/>
        <v/>
      </c>
      <c r="J104" s="17">
        <f t="shared" si="11"/>
        <v>-3</v>
      </c>
      <c r="K104" s="17">
        <f t="shared" si="9"/>
        <v>-30</v>
      </c>
      <c r="L104" s="17"/>
      <c r="M104" s="19">
        <f t="shared" si="10"/>
        <v>0</v>
      </c>
    </row>
    <row r="105" spans="1:13" x14ac:dyDescent="0.25">
      <c r="A105" s="43"/>
      <c r="G105" s="5"/>
      <c r="H105" s="17">
        <v>100</v>
      </c>
      <c r="I105" s="18" t="str">
        <f t="shared" si="8"/>
        <v/>
      </c>
      <c r="J105" s="17">
        <f t="shared" si="11"/>
        <v>-3</v>
      </c>
      <c r="K105" s="17">
        <f t="shared" si="9"/>
        <v>-30</v>
      </c>
      <c r="L105" s="17"/>
      <c r="M105" s="19">
        <f t="shared" si="10"/>
        <v>0</v>
      </c>
    </row>
    <row r="106" spans="1:13" x14ac:dyDescent="0.25">
      <c r="A106" s="43"/>
      <c r="G106" s="5"/>
      <c r="H106" s="17">
        <v>101</v>
      </c>
      <c r="I106" s="18" t="str">
        <f t="shared" si="8"/>
        <v/>
      </c>
      <c r="J106" s="17">
        <f t="shared" si="11"/>
        <v>-3</v>
      </c>
      <c r="K106" s="17">
        <f t="shared" si="9"/>
        <v>-30</v>
      </c>
      <c r="L106" s="17"/>
      <c r="M106" s="19">
        <f t="shared" si="10"/>
        <v>0</v>
      </c>
    </row>
    <row r="107" spans="1:13" x14ac:dyDescent="0.25">
      <c r="A107" s="43"/>
      <c r="G107" s="5"/>
      <c r="H107" s="17">
        <v>102</v>
      </c>
      <c r="I107" s="18" t="str">
        <f t="shared" si="8"/>
        <v/>
      </c>
      <c r="J107" s="17">
        <f t="shared" si="11"/>
        <v>-3</v>
      </c>
      <c r="K107" s="17">
        <f t="shared" si="9"/>
        <v>-30</v>
      </c>
      <c r="L107" s="17"/>
      <c r="M107" s="19">
        <f t="shared" si="10"/>
        <v>0</v>
      </c>
    </row>
    <row r="108" spans="1:13" x14ac:dyDescent="0.25">
      <c r="A108" s="43"/>
      <c r="G108" s="5"/>
      <c r="H108" s="17">
        <v>103</v>
      </c>
      <c r="I108" s="18" t="str">
        <f t="shared" si="8"/>
        <v/>
      </c>
      <c r="J108" s="17">
        <f t="shared" si="11"/>
        <v>-3</v>
      </c>
      <c r="K108" s="17">
        <f t="shared" si="9"/>
        <v>-30</v>
      </c>
      <c r="L108" s="17"/>
      <c r="M108" s="19">
        <f t="shared" si="10"/>
        <v>0</v>
      </c>
    </row>
    <row r="109" spans="1:13" x14ac:dyDescent="0.25">
      <c r="A109" s="43"/>
      <c r="G109" s="5"/>
      <c r="H109" s="17">
        <v>104</v>
      </c>
      <c r="I109" s="18" t="str">
        <f t="shared" si="8"/>
        <v/>
      </c>
      <c r="J109" s="17">
        <f t="shared" si="11"/>
        <v>-3</v>
      </c>
      <c r="K109" s="17">
        <f t="shared" si="9"/>
        <v>-30</v>
      </c>
      <c r="L109" s="17"/>
      <c r="M109" s="19">
        <f t="shared" si="10"/>
        <v>0</v>
      </c>
    </row>
    <row r="110" spans="1:13" x14ac:dyDescent="0.25">
      <c r="A110" s="43"/>
      <c r="G110" s="5"/>
      <c r="H110" s="17">
        <v>105</v>
      </c>
      <c r="I110" s="18" t="str">
        <f t="shared" si="8"/>
        <v/>
      </c>
      <c r="J110" s="17">
        <f t="shared" si="11"/>
        <v>-3</v>
      </c>
      <c r="K110" s="17">
        <f t="shared" si="9"/>
        <v>-30</v>
      </c>
      <c r="L110" s="17"/>
      <c r="M110" s="19">
        <f t="shared" si="10"/>
        <v>0</v>
      </c>
    </row>
    <row r="111" spans="1:13" x14ac:dyDescent="0.25">
      <c r="A111" s="43"/>
      <c r="G111" s="5"/>
      <c r="H111" s="17">
        <v>106</v>
      </c>
      <c r="I111" s="18" t="str">
        <f t="shared" si="8"/>
        <v/>
      </c>
      <c r="J111" s="17">
        <f t="shared" si="11"/>
        <v>-3</v>
      </c>
      <c r="K111" s="17">
        <f t="shared" si="9"/>
        <v>-30</v>
      </c>
      <c r="L111" s="17"/>
      <c r="M111" s="19">
        <f t="shared" si="10"/>
        <v>0</v>
      </c>
    </row>
    <row r="112" spans="1:13" x14ac:dyDescent="0.25">
      <c r="A112" s="43"/>
      <c r="G112" s="5"/>
      <c r="H112" s="17">
        <v>107</v>
      </c>
      <c r="I112" s="18" t="str">
        <f t="shared" si="8"/>
        <v/>
      </c>
      <c r="J112" s="17">
        <f t="shared" si="11"/>
        <v>-3</v>
      </c>
      <c r="K112" s="17">
        <f t="shared" si="9"/>
        <v>-30</v>
      </c>
      <c r="L112" s="17"/>
      <c r="M112" s="19">
        <f t="shared" si="10"/>
        <v>0</v>
      </c>
    </row>
    <row r="113" spans="1:13" x14ac:dyDescent="0.25">
      <c r="A113" s="43"/>
      <c r="G113" s="5"/>
      <c r="H113" s="17">
        <v>108</v>
      </c>
      <c r="I113" s="18" t="str">
        <f t="shared" si="8"/>
        <v/>
      </c>
      <c r="J113" s="17">
        <f t="shared" si="11"/>
        <v>-3</v>
      </c>
      <c r="K113" s="17">
        <f t="shared" si="9"/>
        <v>-30</v>
      </c>
      <c r="L113" s="17"/>
      <c r="M113" s="19">
        <f t="shared" si="10"/>
        <v>0</v>
      </c>
    </row>
    <row r="114" spans="1:13" x14ac:dyDescent="0.25">
      <c r="A114" s="43"/>
      <c r="G114" s="5"/>
      <c r="H114" s="17">
        <v>109</v>
      </c>
      <c r="I114" s="18" t="str">
        <f t="shared" si="8"/>
        <v/>
      </c>
      <c r="J114" s="17">
        <f t="shared" si="11"/>
        <v>-3</v>
      </c>
      <c r="K114" s="17">
        <f t="shared" si="9"/>
        <v>-30</v>
      </c>
      <c r="L114" s="17"/>
      <c r="M114" s="19">
        <f t="shared" si="10"/>
        <v>0</v>
      </c>
    </row>
    <row r="115" spans="1:13" x14ac:dyDescent="0.25">
      <c r="A115" s="43"/>
      <c r="G115" s="5"/>
      <c r="H115" s="17">
        <v>110</v>
      </c>
      <c r="I115" s="18" t="str">
        <f t="shared" si="8"/>
        <v/>
      </c>
      <c r="J115" s="17">
        <f t="shared" si="11"/>
        <v>-3</v>
      </c>
      <c r="K115" s="17">
        <f t="shared" si="9"/>
        <v>-30</v>
      </c>
      <c r="L115" s="17"/>
      <c r="M115" s="19">
        <f t="shared" si="10"/>
        <v>0</v>
      </c>
    </row>
    <row r="116" spans="1:13" x14ac:dyDescent="0.25">
      <c r="A116" s="43"/>
      <c r="G116" s="5"/>
      <c r="H116" s="17">
        <v>111</v>
      </c>
      <c r="I116" s="18" t="str">
        <f t="shared" si="8"/>
        <v/>
      </c>
      <c r="J116" s="17">
        <f t="shared" si="11"/>
        <v>-3</v>
      </c>
      <c r="K116" s="17">
        <f t="shared" si="9"/>
        <v>-30</v>
      </c>
      <c r="L116" s="17"/>
      <c r="M116" s="19">
        <f t="shared" si="10"/>
        <v>0</v>
      </c>
    </row>
    <row r="117" spans="1:13" x14ac:dyDescent="0.25">
      <c r="A117" s="43"/>
      <c r="G117" s="5"/>
      <c r="H117" s="17">
        <v>112</v>
      </c>
      <c r="I117" s="18" t="str">
        <f t="shared" si="8"/>
        <v/>
      </c>
      <c r="J117" s="17">
        <f t="shared" si="11"/>
        <v>-3</v>
      </c>
      <c r="K117" s="17">
        <f t="shared" si="9"/>
        <v>-30</v>
      </c>
      <c r="L117" s="17"/>
      <c r="M117" s="19">
        <f t="shared" si="10"/>
        <v>0</v>
      </c>
    </row>
    <row r="118" spans="1:13" x14ac:dyDescent="0.25">
      <c r="A118" s="43"/>
      <c r="G118" s="5"/>
      <c r="H118" s="17">
        <v>113</v>
      </c>
      <c r="I118" s="18" t="str">
        <f t="shared" si="8"/>
        <v/>
      </c>
      <c r="J118" s="17">
        <f t="shared" si="11"/>
        <v>-3</v>
      </c>
      <c r="K118" s="17">
        <f t="shared" si="9"/>
        <v>-30</v>
      </c>
      <c r="L118" s="17"/>
      <c r="M118" s="19">
        <f t="shared" si="10"/>
        <v>0</v>
      </c>
    </row>
    <row r="119" spans="1:13" x14ac:dyDescent="0.25">
      <c r="A119" s="43"/>
      <c r="G119" s="5"/>
      <c r="H119" s="17">
        <v>114</v>
      </c>
      <c r="I119" s="18" t="str">
        <f t="shared" si="8"/>
        <v/>
      </c>
      <c r="J119" s="17">
        <f t="shared" si="11"/>
        <v>-3</v>
      </c>
      <c r="K119" s="17">
        <f t="shared" si="9"/>
        <v>-30</v>
      </c>
      <c r="L119" s="17"/>
      <c r="M119" s="19">
        <f t="shared" si="10"/>
        <v>0</v>
      </c>
    </row>
    <row r="120" spans="1:13" x14ac:dyDescent="0.25">
      <c r="A120" s="43"/>
      <c r="G120" s="5"/>
      <c r="H120" s="17">
        <v>115</v>
      </c>
      <c r="I120" s="18" t="str">
        <f t="shared" si="8"/>
        <v/>
      </c>
      <c r="J120" s="17">
        <f t="shared" si="11"/>
        <v>-3</v>
      </c>
      <c r="K120" s="17">
        <f t="shared" si="9"/>
        <v>-30</v>
      </c>
      <c r="L120" s="17"/>
      <c r="M120" s="19">
        <f t="shared" si="10"/>
        <v>0</v>
      </c>
    </row>
    <row r="121" spans="1:13" x14ac:dyDescent="0.25">
      <c r="A121" s="43"/>
      <c r="G121" s="5"/>
      <c r="H121" s="17">
        <v>116</v>
      </c>
      <c r="I121" s="18" t="str">
        <f t="shared" si="8"/>
        <v/>
      </c>
      <c r="J121" s="17">
        <f t="shared" si="11"/>
        <v>-3</v>
      </c>
      <c r="K121" s="17">
        <f t="shared" si="9"/>
        <v>-30</v>
      </c>
      <c r="L121" s="17"/>
      <c r="M121" s="19">
        <f t="shared" si="10"/>
        <v>0</v>
      </c>
    </row>
    <row r="122" spans="1:13" x14ac:dyDescent="0.25">
      <c r="A122" s="43"/>
      <c r="G122" s="5"/>
      <c r="H122" s="17">
        <v>117</v>
      </c>
      <c r="I122" s="18" t="str">
        <f t="shared" si="8"/>
        <v/>
      </c>
      <c r="J122" s="17">
        <f t="shared" si="11"/>
        <v>-3</v>
      </c>
      <c r="K122" s="17">
        <f t="shared" si="9"/>
        <v>-30</v>
      </c>
      <c r="L122" s="17"/>
      <c r="M122" s="19">
        <f t="shared" si="10"/>
        <v>0</v>
      </c>
    </row>
    <row r="123" spans="1:13" x14ac:dyDescent="0.25">
      <c r="A123" s="43"/>
      <c r="G123" s="5"/>
      <c r="H123" s="17">
        <v>118</v>
      </c>
      <c r="I123" s="18" t="str">
        <f t="shared" si="8"/>
        <v/>
      </c>
      <c r="J123" s="17">
        <f t="shared" si="11"/>
        <v>-3</v>
      </c>
      <c r="K123" s="17">
        <f t="shared" si="9"/>
        <v>-30</v>
      </c>
      <c r="L123" s="17"/>
      <c r="M123" s="19">
        <f t="shared" si="10"/>
        <v>0</v>
      </c>
    </row>
    <row r="124" spans="1:13" x14ac:dyDescent="0.25">
      <c r="A124" s="43"/>
      <c r="G124" s="5"/>
      <c r="H124" s="17">
        <v>119</v>
      </c>
      <c r="I124" s="18" t="str">
        <f t="shared" si="8"/>
        <v/>
      </c>
      <c r="J124" s="17">
        <f t="shared" si="11"/>
        <v>-3</v>
      </c>
      <c r="K124" s="17">
        <f t="shared" si="9"/>
        <v>-30</v>
      </c>
      <c r="L124" s="17"/>
      <c r="M124" s="19">
        <f t="shared" si="10"/>
        <v>0</v>
      </c>
    </row>
    <row r="125" spans="1:13" x14ac:dyDescent="0.25">
      <c r="A125" s="43"/>
      <c r="G125" s="5"/>
      <c r="H125" s="17">
        <v>120</v>
      </c>
      <c r="I125" s="18" t="str">
        <f t="shared" si="8"/>
        <v/>
      </c>
      <c r="J125" s="17">
        <f t="shared" si="11"/>
        <v>-3</v>
      </c>
      <c r="K125" s="17">
        <f t="shared" si="9"/>
        <v>-30</v>
      </c>
      <c r="L125" s="17"/>
      <c r="M125" s="19">
        <f t="shared" si="10"/>
        <v>0</v>
      </c>
    </row>
    <row r="126" spans="1:13" x14ac:dyDescent="0.25">
      <c r="A126" s="43"/>
      <c r="G126" s="5"/>
      <c r="H126" s="17">
        <v>121</v>
      </c>
      <c r="I126" s="18" t="str">
        <f t="shared" si="8"/>
        <v/>
      </c>
      <c r="J126" s="17">
        <f t="shared" si="11"/>
        <v>-3</v>
      </c>
      <c r="K126" s="17">
        <f t="shared" si="9"/>
        <v>-30</v>
      </c>
      <c r="L126" s="17"/>
      <c r="M126" s="19">
        <f t="shared" si="10"/>
        <v>0</v>
      </c>
    </row>
    <row r="127" spans="1:13" x14ac:dyDescent="0.25">
      <c r="A127" s="43"/>
      <c r="G127" s="5"/>
      <c r="H127" s="17">
        <v>122</v>
      </c>
      <c r="I127" s="18" t="str">
        <f t="shared" si="8"/>
        <v/>
      </c>
      <c r="J127" s="17">
        <f t="shared" si="11"/>
        <v>-3</v>
      </c>
      <c r="K127" s="17">
        <f t="shared" si="9"/>
        <v>-30</v>
      </c>
      <c r="L127" s="17"/>
      <c r="M127" s="19">
        <f t="shared" si="10"/>
        <v>0</v>
      </c>
    </row>
    <row r="128" spans="1:13" x14ac:dyDescent="0.25">
      <c r="A128" s="43"/>
      <c r="G128" s="5"/>
      <c r="H128" s="17">
        <v>123</v>
      </c>
      <c r="I128" s="18" t="str">
        <f t="shared" si="8"/>
        <v/>
      </c>
      <c r="J128" s="17">
        <f t="shared" si="11"/>
        <v>-3</v>
      </c>
      <c r="K128" s="17">
        <f t="shared" si="9"/>
        <v>-30</v>
      </c>
      <c r="L128" s="17"/>
      <c r="M128" s="19">
        <f t="shared" si="10"/>
        <v>0</v>
      </c>
    </row>
    <row r="129" spans="1:13" x14ac:dyDescent="0.25">
      <c r="A129" s="43"/>
      <c r="G129" s="5"/>
      <c r="H129" s="17">
        <v>124</v>
      </c>
      <c r="I129" s="18" t="str">
        <f t="shared" si="8"/>
        <v/>
      </c>
      <c r="J129" s="17">
        <f t="shared" si="11"/>
        <v>-3</v>
      </c>
      <c r="K129" s="17">
        <f t="shared" si="9"/>
        <v>-30</v>
      </c>
      <c r="L129" s="17"/>
      <c r="M129" s="19">
        <f t="shared" si="10"/>
        <v>0</v>
      </c>
    </row>
    <row r="130" spans="1:13" x14ac:dyDescent="0.25">
      <c r="A130" s="43"/>
      <c r="G130" s="5"/>
      <c r="H130" s="17">
        <v>125</v>
      </c>
      <c r="I130" s="18" t="str">
        <f t="shared" si="8"/>
        <v/>
      </c>
      <c r="J130" s="17">
        <f t="shared" si="11"/>
        <v>-3</v>
      </c>
      <c r="K130" s="17">
        <f t="shared" si="9"/>
        <v>-30</v>
      </c>
      <c r="L130" s="17"/>
      <c r="M130" s="19">
        <f t="shared" si="10"/>
        <v>0</v>
      </c>
    </row>
    <row r="131" spans="1:13" x14ac:dyDescent="0.25">
      <c r="A131" s="43"/>
      <c r="G131" s="5"/>
      <c r="H131" s="17">
        <v>126</v>
      </c>
      <c r="I131" s="18" t="str">
        <f t="shared" si="8"/>
        <v/>
      </c>
      <c r="J131" s="17">
        <f t="shared" si="11"/>
        <v>-3</v>
      </c>
      <c r="K131" s="17">
        <f t="shared" si="9"/>
        <v>-30</v>
      </c>
      <c r="L131" s="17"/>
      <c r="M131" s="19">
        <f t="shared" si="10"/>
        <v>0</v>
      </c>
    </row>
    <row r="132" spans="1:13" x14ac:dyDescent="0.25">
      <c r="A132" s="43"/>
      <c r="G132" s="5"/>
      <c r="H132" s="17">
        <v>127</v>
      </c>
      <c r="I132" s="18" t="str">
        <f t="shared" si="8"/>
        <v/>
      </c>
      <c r="J132" s="17">
        <f t="shared" si="11"/>
        <v>-3</v>
      </c>
      <c r="K132" s="17">
        <f t="shared" si="9"/>
        <v>-30</v>
      </c>
      <c r="L132" s="17"/>
      <c r="M132" s="19">
        <f t="shared" si="10"/>
        <v>0</v>
      </c>
    </row>
    <row r="133" spans="1:13" x14ac:dyDescent="0.25">
      <c r="A133" s="43"/>
      <c r="G133" s="5"/>
      <c r="H133" s="17">
        <v>128</v>
      </c>
      <c r="I133" s="18" t="str">
        <f t="shared" si="8"/>
        <v/>
      </c>
      <c r="J133" s="17">
        <f t="shared" si="11"/>
        <v>-3</v>
      </c>
      <c r="K133" s="17">
        <f t="shared" si="9"/>
        <v>-30</v>
      </c>
      <c r="L133" s="17"/>
      <c r="M133" s="19">
        <f t="shared" si="10"/>
        <v>0</v>
      </c>
    </row>
    <row r="134" spans="1:13" x14ac:dyDescent="0.25">
      <c r="A134" s="43"/>
      <c r="G134" s="5"/>
      <c r="H134" s="17">
        <v>129</v>
      </c>
      <c r="I134" s="18" t="str">
        <f t="shared" ref="I134:I197" si="12">IF(H134&lt;$H$2+1,($I$2-($I$2-1)*(LOG(H134)/LOG($H$2))),"")</f>
        <v/>
      </c>
      <c r="J134" s="17">
        <f t="shared" si="11"/>
        <v>-4</v>
      </c>
      <c r="K134" s="17">
        <f t="shared" ref="K134:K197" si="13">J134*$J$2</f>
        <v>-40</v>
      </c>
      <c r="L134" s="17"/>
      <c r="M134" s="19">
        <f t="shared" ref="M134:M197" si="14">IF(I134&lt;&gt;"",K134+I134+L134,0)</f>
        <v>0</v>
      </c>
    </row>
    <row r="135" spans="1:13" x14ac:dyDescent="0.25">
      <c r="A135" s="43"/>
      <c r="G135" s="5"/>
      <c r="H135" s="17">
        <v>130</v>
      </c>
      <c r="I135" s="18" t="str">
        <f t="shared" si="12"/>
        <v/>
      </c>
      <c r="J135" s="17">
        <f t="shared" ref="J135:J198" si="15">INT(LOG($H$2,2))-ROUNDUP(LOG(H135,2),0)+IF(OR($H$2=1,$H$2=2,$H$2=4,$H$2=8,$H$2=16,$H$2=32,$H$2=64,$H$2=128,$H$2=256),0,1)</f>
        <v>-4</v>
      </c>
      <c r="K135" s="17">
        <f t="shared" si="13"/>
        <v>-40</v>
      </c>
      <c r="L135" s="17"/>
      <c r="M135" s="19">
        <f t="shared" si="14"/>
        <v>0</v>
      </c>
    </row>
    <row r="136" spans="1:13" x14ac:dyDescent="0.25">
      <c r="A136" s="43"/>
      <c r="G136" s="5"/>
      <c r="H136" s="17">
        <v>131</v>
      </c>
      <c r="I136" s="18" t="str">
        <f t="shared" si="12"/>
        <v/>
      </c>
      <c r="J136" s="17">
        <f t="shared" si="15"/>
        <v>-4</v>
      </c>
      <c r="K136" s="17">
        <f t="shared" si="13"/>
        <v>-40</v>
      </c>
      <c r="L136" s="17"/>
      <c r="M136" s="19">
        <f t="shared" si="14"/>
        <v>0</v>
      </c>
    </row>
    <row r="137" spans="1:13" x14ac:dyDescent="0.25">
      <c r="A137" s="43"/>
      <c r="G137" s="5"/>
      <c r="H137" s="17">
        <v>132</v>
      </c>
      <c r="I137" s="18" t="str">
        <f t="shared" si="12"/>
        <v/>
      </c>
      <c r="J137" s="17">
        <f t="shared" si="15"/>
        <v>-4</v>
      </c>
      <c r="K137" s="17">
        <f t="shared" si="13"/>
        <v>-40</v>
      </c>
      <c r="L137" s="17"/>
      <c r="M137" s="19">
        <f t="shared" si="14"/>
        <v>0</v>
      </c>
    </row>
    <row r="138" spans="1:13" x14ac:dyDescent="0.25">
      <c r="A138" s="43"/>
      <c r="G138" s="5"/>
      <c r="H138" s="17">
        <v>133</v>
      </c>
      <c r="I138" s="18" t="str">
        <f t="shared" si="12"/>
        <v/>
      </c>
      <c r="J138" s="17">
        <f t="shared" si="15"/>
        <v>-4</v>
      </c>
      <c r="K138" s="17">
        <f t="shared" si="13"/>
        <v>-40</v>
      </c>
      <c r="L138" s="17"/>
      <c r="M138" s="19">
        <f t="shared" si="14"/>
        <v>0</v>
      </c>
    </row>
    <row r="139" spans="1:13" x14ac:dyDescent="0.25">
      <c r="A139" s="43"/>
      <c r="G139" s="5"/>
      <c r="H139" s="17">
        <v>134</v>
      </c>
      <c r="I139" s="18" t="str">
        <f t="shared" si="12"/>
        <v/>
      </c>
      <c r="J139" s="17">
        <f t="shared" si="15"/>
        <v>-4</v>
      </c>
      <c r="K139" s="17">
        <f t="shared" si="13"/>
        <v>-40</v>
      </c>
      <c r="L139" s="17"/>
      <c r="M139" s="19">
        <f t="shared" si="14"/>
        <v>0</v>
      </c>
    </row>
    <row r="140" spans="1:13" x14ac:dyDescent="0.25">
      <c r="A140" s="43"/>
      <c r="G140" s="5"/>
      <c r="H140" s="17">
        <v>135</v>
      </c>
      <c r="I140" s="18" t="str">
        <f t="shared" si="12"/>
        <v/>
      </c>
      <c r="J140" s="17">
        <f t="shared" si="15"/>
        <v>-4</v>
      </c>
      <c r="K140" s="17">
        <f t="shared" si="13"/>
        <v>-40</v>
      </c>
      <c r="L140" s="17"/>
      <c r="M140" s="19">
        <f t="shared" si="14"/>
        <v>0</v>
      </c>
    </row>
    <row r="141" spans="1:13" x14ac:dyDescent="0.25">
      <c r="A141" s="43"/>
      <c r="G141" s="5"/>
      <c r="H141" s="17">
        <v>136</v>
      </c>
      <c r="I141" s="18" t="str">
        <f t="shared" si="12"/>
        <v/>
      </c>
      <c r="J141" s="17">
        <f t="shared" si="15"/>
        <v>-4</v>
      </c>
      <c r="K141" s="17">
        <f t="shared" si="13"/>
        <v>-40</v>
      </c>
      <c r="L141" s="17"/>
      <c r="M141" s="19">
        <f t="shared" si="14"/>
        <v>0</v>
      </c>
    </row>
    <row r="142" spans="1:13" x14ac:dyDescent="0.25">
      <c r="A142" s="43"/>
      <c r="G142" s="5"/>
      <c r="H142" s="17">
        <v>137</v>
      </c>
      <c r="I142" s="18" t="str">
        <f t="shared" si="12"/>
        <v/>
      </c>
      <c r="J142" s="17">
        <f t="shared" si="15"/>
        <v>-4</v>
      </c>
      <c r="K142" s="17">
        <f t="shared" si="13"/>
        <v>-40</v>
      </c>
      <c r="L142" s="17"/>
      <c r="M142" s="19">
        <f t="shared" si="14"/>
        <v>0</v>
      </c>
    </row>
    <row r="143" spans="1:13" x14ac:dyDescent="0.25">
      <c r="A143" s="43"/>
      <c r="G143" s="5"/>
      <c r="H143" s="17">
        <v>138</v>
      </c>
      <c r="I143" s="18" t="str">
        <f t="shared" si="12"/>
        <v/>
      </c>
      <c r="J143" s="17">
        <f t="shared" si="15"/>
        <v>-4</v>
      </c>
      <c r="K143" s="17">
        <f t="shared" si="13"/>
        <v>-40</v>
      </c>
      <c r="L143" s="17"/>
      <c r="M143" s="19">
        <f t="shared" si="14"/>
        <v>0</v>
      </c>
    </row>
    <row r="144" spans="1:13" x14ac:dyDescent="0.25">
      <c r="A144" s="43"/>
      <c r="G144" s="5"/>
      <c r="H144" s="17">
        <v>139</v>
      </c>
      <c r="I144" s="18" t="str">
        <f t="shared" si="12"/>
        <v/>
      </c>
      <c r="J144" s="17">
        <f t="shared" si="15"/>
        <v>-4</v>
      </c>
      <c r="K144" s="17">
        <f t="shared" si="13"/>
        <v>-40</v>
      </c>
      <c r="L144" s="17"/>
      <c r="M144" s="19">
        <f t="shared" si="14"/>
        <v>0</v>
      </c>
    </row>
    <row r="145" spans="1:13" x14ac:dyDescent="0.25">
      <c r="A145" s="43"/>
      <c r="G145" s="5"/>
      <c r="H145" s="17">
        <v>140</v>
      </c>
      <c r="I145" s="18" t="str">
        <f t="shared" si="12"/>
        <v/>
      </c>
      <c r="J145" s="17">
        <f t="shared" si="15"/>
        <v>-4</v>
      </c>
      <c r="K145" s="17">
        <f t="shared" si="13"/>
        <v>-40</v>
      </c>
      <c r="L145" s="17"/>
      <c r="M145" s="19">
        <f t="shared" si="14"/>
        <v>0</v>
      </c>
    </row>
    <row r="146" spans="1:13" x14ac:dyDescent="0.25">
      <c r="A146" s="43"/>
      <c r="G146" s="5"/>
      <c r="H146" s="17">
        <v>141</v>
      </c>
      <c r="I146" s="18" t="str">
        <f t="shared" si="12"/>
        <v/>
      </c>
      <c r="J146" s="17">
        <f t="shared" si="15"/>
        <v>-4</v>
      </c>
      <c r="K146" s="17">
        <f t="shared" si="13"/>
        <v>-40</v>
      </c>
      <c r="L146" s="17"/>
      <c r="M146" s="19">
        <f t="shared" si="14"/>
        <v>0</v>
      </c>
    </row>
    <row r="147" spans="1:13" x14ac:dyDescent="0.25">
      <c r="A147" s="43"/>
      <c r="G147" s="5"/>
      <c r="H147" s="17">
        <v>142</v>
      </c>
      <c r="I147" s="18" t="str">
        <f t="shared" si="12"/>
        <v/>
      </c>
      <c r="J147" s="17">
        <f t="shared" si="15"/>
        <v>-4</v>
      </c>
      <c r="K147" s="17">
        <f t="shared" si="13"/>
        <v>-40</v>
      </c>
      <c r="L147" s="17"/>
      <c r="M147" s="19">
        <f t="shared" si="14"/>
        <v>0</v>
      </c>
    </row>
    <row r="148" spans="1:13" x14ac:dyDescent="0.25">
      <c r="A148" s="43"/>
      <c r="G148" s="5"/>
      <c r="H148" s="17">
        <v>143</v>
      </c>
      <c r="I148" s="18" t="str">
        <f t="shared" si="12"/>
        <v/>
      </c>
      <c r="J148" s="17">
        <f t="shared" si="15"/>
        <v>-4</v>
      </c>
      <c r="K148" s="17">
        <f t="shared" si="13"/>
        <v>-40</v>
      </c>
      <c r="L148" s="17"/>
      <c r="M148" s="19">
        <f t="shared" si="14"/>
        <v>0</v>
      </c>
    </row>
    <row r="149" spans="1:13" x14ac:dyDescent="0.25">
      <c r="A149" s="43"/>
      <c r="G149" s="5"/>
      <c r="H149" s="17">
        <v>144</v>
      </c>
      <c r="I149" s="18" t="str">
        <f t="shared" si="12"/>
        <v/>
      </c>
      <c r="J149" s="17">
        <f t="shared" si="15"/>
        <v>-4</v>
      </c>
      <c r="K149" s="17">
        <f t="shared" si="13"/>
        <v>-40</v>
      </c>
      <c r="L149" s="17"/>
      <c r="M149" s="19">
        <f t="shared" si="14"/>
        <v>0</v>
      </c>
    </row>
    <row r="150" spans="1:13" x14ac:dyDescent="0.25">
      <c r="A150" s="43"/>
      <c r="G150" s="5"/>
      <c r="H150" s="17">
        <v>145</v>
      </c>
      <c r="I150" s="18" t="str">
        <f t="shared" si="12"/>
        <v/>
      </c>
      <c r="J150" s="17">
        <f t="shared" si="15"/>
        <v>-4</v>
      </c>
      <c r="K150" s="17">
        <f t="shared" si="13"/>
        <v>-40</v>
      </c>
      <c r="L150" s="17"/>
      <c r="M150" s="19">
        <f t="shared" si="14"/>
        <v>0</v>
      </c>
    </row>
    <row r="151" spans="1:13" x14ac:dyDescent="0.25">
      <c r="A151" s="43"/>
      <c r="G151" s="5"/>
      <c r="H151" s="17">
        <v>146</v>
      </c>
      <c r="I151" s="18" t="str">
        <f t="shared" si="12"/>
        <v/>
      </c>
      <c r="J151" s="17">
        <f t="shared" si="15"/>
        <v>-4</v>
      </c>
      <c r="K151" s="17">
        <f t="shared" si="13"/>
        <v>-40</v>
      </c>
      <c r="L151" s="17"/>
      <c r="M151" s="19">
        <f t="shared" si="14"/>
        <v>0</v>
      </c>
    </row>
    <row r="152" spans="1:13" x14ac:dyDescent="0.25">
      <c r="A152" s="43"/>
      <c r="G152" s="5"/>
      <c r="H152" s="17">
        <v>147</v>
      </c>
      <c r="I152" s="18" t="str">
        <f t="shared" si="12"/>
        <v/>
      </c>
      <c r="J152" s="17">
        <f t="shared" si="15"/>
        <v>-4</v>
      </c>
      <c r="K152" s="17">
        <f t="shared" si="13"/>
        <v>-40</v>
      </c>
      <c r="L152" s="17"/>
      <c r="M152" s="19">
        <f t="shared" si="14"/>
        <v>0</v>
      </c>
    </row>
    <row r="153" spans="1:13" x14ac:dyDescent="0.25">
      <c r="A153" s="43"/>
      <c r="G153" s="5"/>
      <c r="H153" s="17">
        <v>148</v>
      </c>
      <c r="I153" s="18" t="str">
        <f t="shared" si="12"/>
        <v/>
      </c>
      <c r="J153" s="17">
        <f t="shared" si="15"/>
        <v>-4</v>
      </c>
      <c r="K153" s="17">
        <f t="shared" si="13"/>
        <v>-40</v>
      </c>
      <c r="L153" s="17"/>
      <c r="M153" s="19">
        <f t="shared" si="14"/>
        <v>0</v>
      </c>
    </row>
    <row r="154" spans="1:13" x14ac:dyDescent="0.25">
      <c r="A154" s="43"/>
      <c r="G154" s="5"/>
      <c r="H154" s="17">
        <v>149</v>
      </c>
      <c r="I154" s="18" t="str">
        <f t="shared" si="12"/>
        <v/>
      </c>
      <c r="J154" s="17">
        <f t="shared" si="15"/>
        <v>-4</v>
      </c>
      <c r="K154" s="17">
        <f t="shared" si="13"/>
        <v>-40</v>
      </c>
      <c r="L154" s="17"/>
      <c r="M154" s="19">
        <f t="shared" si="14"/>
        <v>0</v>
      </c>
    </row>
    <row r="155" spans="1:13" x14ac:dyDescent="0.25">
      <c r="A155" s="43"/>
      <c r="G155" s="5"/>
      <c r="H155" s="17">
        <v>150</v>
      </c>
      <c r="I155" s="18" t="str">
        <f t="shared" si="12"/>
        <v/>
      </c>
      <c r="J155" s="17">
        <f t="shared" si="15"/>
        <v>-4</v>
      </c>
      <c r="K155" s="17">
        <f t="shared" si="13"/>
        <v>-40</v>
      </c>
      <c r="L155" s="17"/>
      <c r="M155" s="19">
        <f t="shared" si="14"/>
        <v>0</v>
      </c>
    </row>
    <row r="156" spans="1:13" x14ac:dyDescent="0.25">
      <c r="A156" s="43"/>
      <c r="G156" s="5"/>
      <c r="H156" s="17">
        <v>151</v>
      </c>
      <c r="I156" s="18" t="str">
        <f t="shared" si="12"/>
        <v/>
      </c>
      <c r="J156" s="17">
        <f t="shared" si="15"/>
        <v>-4</v>
      </c>
      <c r="K156" s="17">
        <f t="shared" si="13"/>
        <v>-40</v>
      </c>
      <c r="L156" s="17"/>
      <c r="M156" s="19">
        <f t="shared" si="14"/>
        <v>0</v>
      </c>
    </row>
    <row r="157" spans="1:13" x14ac:dyDescent="0.25">
      <c r="A157" s="43"/>
      <c r="G157" s="5"/>
      <c r="H157" s="17">
        <v>152</v>
      </c>
      <c r="I157" s="18" t="str">
        <f t="shared" si="12"/>
        <v/>
      </c>
      <c r="J157" s="17">
        <f t="shared" si="15"/>
        <v>-4</v>
      </c>
      <c r="K157" s="17">
        <f t="shared" si="13"/>
        <v>-40</v>
      </c>
      <c r="L157" s="17"/>
      <c r="M157" s="19">
        <f t="shared" si="14"/>
        <v>0</v>
      </c>
    </row>
    <row r="158" spans="1:13" x14ac:dyDescent="0.25">
      <c r="A158" s="43"/>
      <c r="G158" s="5"/>
      <c r="H158" s="17">
        <v>153</v>
      </c>
      <c r="I158" s="18" t="str">
        <f t="shared" si="12"/>
        <v/>
      </c>
      <c r="J158" s="17">
        <f t="shared" si="15"/>
        <v>-4</v>
      </c>
      <c r="K158" s="17">
        <f t="shared" si="13"/>
        <v>-40</v>
      </c>
      <c r="L158" s="17"/>
      <c r="M158" s="19">
        <f t="shared" si="14"/>
        <v>0</v>
      </c>
    </row>
    <row r="159" spans="1:13" x14ac:dyDescent="0.25">
      <c r="A159" s="43"/>
      <c r="G159" s="5"/>
      <c r="H159" s="17">
        <v>154</v>
      </c>
      <c r="I159" s="18" t="str">
        <f t="shared" si="12"/>
        <v/>
      </c>
      <c r="J159" s="17">
        <f t="shared" si="15"/>
        <v>-4</v>
      </c>
      <c r="K159" s="17">
        <f t="shared" si="13"/>
        <v>-40</v>
      </c>
      <c r="L159" s="17"/>
      <c r="M159" s="19">
        <f t="shared" si="14"/>
        <v>0</v>
      </c>
    </row>
    <row r="160" spans="1:13" x14ac:dyDescent="0.25">
      <c r="A160" s="43"/>
      <c r="G160" s="5"/>
      <c r="H160" s="17">
        <v>155</v>
      </c>
      <c r="I160" s="18" t="str">
        <f t="shared" si="12"/>
        <v/>
      </c>
      <c r="J160" s="17">
        <f t="shared" si="15"/>
        <v>-4</v>
      </c>
      <c r="K160" s="17">
        <f t="shared" si="13"/>
        <v>-40</v>
      </c>
      <c r="L160" s="17"/>
      <c r="M160" s="19">
        <f t="shared" si="14"/>
        <v>0</v>
      </c>
    </row>
    <row r="161" spans="1:13" x14ac:dyDescent="0.25">
      <c r="A161" s="43"/>
      <c r="G161" s="5"/>
      <c r="H161" s="17">
        <v>156</v>
      </c>
      <c r="I161" s="18" t="str">
        <f t="shared" si="12"/>
        <v/>
      </c>
      <c r="J161" s="17">
        <f t="shared" si="15"/>
        <v>-4</v>
      </c>
      <c r="K161" s="17">
        <f t="shared" si="13"/>
        <v>-40</v>
      </c>
      <c r="L161" s="17"/>
      <c r="M161" s="19">
        <f t="shared" si="14"/>
        <v>0</v>
      </c>
    </row>
    <row r="162" spans="1:13" x14ac:dyDescent="0.25">
      <c r="A162" s="43"/>
      <c r="G162" s="5"/>
      <c r="H162" s="17">
        <v>157</v>
      </c>
      <c r="I162" s="18" t="str">
        <f t="shared" si="12"/>
        <v/>
      </c>
      <c r="J162" s="17">
        <f t="shared" si="15"/>
        <v>-4</v>
      </c>
      <c r="K162" s="17">
        <f t="shared" si="13"/>
        <v>-40</v>
      </c>
      <c r="L162" s="17"/>
      <c r="M162" s="19">
        <f t="shared" si="14"/>
        <v>0</v>
      </c>
    </row>
    <row r="163" spans="1:13" x14ac:dyDescent="0.25">
      <c r="A163" s="43"/>
      <c r="G163" s="5"/>
      <c r="H163" s="17">
        <v>158</v>
      </c>
      <c r="I163" s="18" t="str">
        <f t="shared" si="12"/>
        <v/>
      </c>
      <c r="J163" s="17">
        <f t="shared" si="15"/>
        <v>-4</v>
      </c>
      <c r="K163" s="17">
        <f t="shared" si="13"/>
        <v>-40</v>
      </c>
      <c r="L163" s="17"/>
      <c r="M163" s="19">
        <f t="shared" si="14"/>
        <v>0</v>
      </c>
    </row>
    <row r="164" spans="1:13" x14ac:dyDescent="0.25">
      <c r="A164" s="43"/>
      <c r="G164" s="5"/>
      <c r="H164" s="17">
        <v>159</v>
      </c>
      <c r="I164" s="18" t="str">
        <f t="shared" si="12"/>
        <v/>
      </c>
      <c r="J164" s="17">
        <f t="shared" si="15"/>
        <v>-4</v>
      </c>
      <c r="K164" s="17">
        <f t="shared" si="13"/>
        <v>-40</v>
      </c>
      <c r="L164" s="17"/>
      <c r="M164" s="19">
        <f t="shared" si="14"/>
        <v>0</v>
      </c>
    </row>
    <row r="165" spans="1:13" x14ac:dyDescent="0.25">
      <c r="A165" s="43"/>
      <c r="G165" s="5"/>
      <c r="H165" s="17">
        <v>160</v>
      </c>
      <c r="I165" s="18" t="str">
        <f t="shared" si="12"/>
        <v/>
      </c>
      <c r="J165" s="17">
        <f t="shared" si="15"/>
        <v>-4</v>
      </c>
      <c r="K165" s="17">
        <f t="shared" si="13"/>
        <v>-40</v>
      </c>
      <c r="L165" s="17"/>
      <c r="M165" s="19">
        <f t="shared" si="14"/>
        <v>0</v>
      </c>
    </row>
    <row r="166" spans="1:13" x14ac:dyDescent="0.25">
      <c r="A166" s="43"/>
      <c r="G166" s="5"/>
      <c r="H166" s="17">
        <v>161</v>
      </c>
      <c r="I166" s="18" t="str">
        <f t="shared" si="12"/>
        <v/>
      </c>
      <c r="J166" s="17">
        <f t="shared" si="15"/>
        <v>-4</v>
      </c>
      <c r="K166" s="17">
        <f t="shared" si="13"/>
        <v>-40</v>
      </c>
      <c r="L166" s="17"/>
      <c r="M166" s="19">
        <f t="shared" si="14"/>
        <v>0</v>
      </c>
    </row>
    <row r="167" spans="1:13" x14ac:dyDescent="0.25">
      <c r="A167" s="43"/>
      <c r="G167" s="5"/>
      <c r="H167" s="17">
        <v>162</v>
      </c>
      <c r="I167" s="18" t="str">
        <f t="shared" si="12"/>
        <v/>
      </c>
      <c r="J167" s="17">
        <f t="shared" si="15"/>
        <v>-4</v>
      </c>
      <c r="K167" s="17">
        <f t="shared" si="13"/>
        <v>-40</v>
      </c>
      <c r="L167" s="17"/>
      <c r="M167" s="19">
        <f t="shared" si="14"/>
        <v>0</v>
      </c>
    </row>
    <row r="168" spans="1:13" x14ac:dyDescent="0.25">
      <c r="A168" s="43"/>
      <c r="G168" s="5"/>
      <c r="H168" s="17">
        <v>163</v>
      </c>
      <c r="I168" s="18" t="str">
        <f t="shared" si="12"/>
        <v/>
      </c>
      <c r="J168" s="17">
        <f t="shared" si="15"/>
        <v>-4</v>
      </c>
      <c r="K168" s="17">
        <f t="shared" si="13"/>
        <v>-40</v>
      </c>
      <c r="L168" s="17"/>
      <c r="M168" s="19">
        <f t="shared" si="14"/>
        <v>0</v>
      </c>
    </row>
    <row r="169" spans="1:13" x14ac:dyDescent="0.25">
      <c r="A169" s="43"/>
      <c r="G169" s="5"/>
      <c r="H169" s="17">
        <v>164</v>
      </c>
      <c r="I169" s="18" t="str">
        <f t="shared" si="12"/>
        <v/>
      </c>
      <c r="J169" s="17">
        <f t="shared" si="15"/>
        <v>-4</v>
      </c>
      <c r="K169" s="17">
        <f t="shared" si="13"/>
        <v>-40</v>
      </c>
      <c r="L169" s="17"/>
      <c r="M169" s="19">
        <f t="shared" si="14"/>
        <v>0</v>
      </c>
    </row>
    <row r="170" spans="1:13" x14ac:dyDescent="0.25">
      <c r="A170" s="43"/>
      <c r="G170" s="5"/>
      <c r="H170" s="17">
        <v>165</v>
      </c>
      <c r="I170" s="18" t="str">
        <f t="shared" si="12"/>
        <v/>
      </c>
      <c r="J170" s="17">
        <f t="shared" si="15"/>
        <v>-4</v>
      </c>
      <c r="K170" s="17">
        <f t="shared" si="13"/>
        <v>-40</v>
      </c>
      <c r="L170" s="17"/>
      <c r="M170" s="19">
        <f t="shared" si="14"/>
        <v>0</v>
      </c>
    </row>
    <row r="171" spans="1:13" x14ac:dyDescent="0.25">
      <c r="A171" s="43"/>
      <c r="G171" s="5"/>
      <c r="H171" s="17">
        <v>166</v>
      </c>
      <c r="I171" s="18" t="str">
        <f t="shared" si="12"/>
        <v/>
      </c>
      <c r="J171" s="17">
        <f t="shared" si="15"/>
        <v>-4</v>
      </c>
      <c r="K171" s="17">
        <f t="shared" si="13"/>
        <v>-40</v>
      </c>
      <c r="L171" s="17"/>
      <c r="M171" s="19">
        <f t="shared" si="14"/>
        <v>0</v>
      </c>
    </row>
    <row r="172" spans="1:13" x14ac:dyDescent="0.25">
      <c r="A172" s="43"/>
      <c r="G172" s="5"/>
      <c r="H172" s="17">
        <v>167</v>
      </c>
      <c r="I172" s="18" t="str">
        <f t="shared" si="12"/>
        <v/>
      </c>
      <c r="J172" s="17">
        <f t="shared" si="15"/>
        <v>-4</v>
      </c>
      <c r="K172" s="17">
        <f t="shared" si="13"/>
        <v>-40</v>
      </c>
      <c r="L172" s="17"/>
      <c r="M172" s="19">
        <f t="shared" si="14"/>
        <v>0</v>
      </c>
    </row>
    <row r="173" spans="1:13" x14ac:dyDescent="0.25">
      <c r="A173" s="43"/>
      <c r="G173" s="5"/>
      <c r="H173" s="17">
        <v>168</v>
      </c>
      <c r="I173" s="18" t="str">
        <f t="shared" si="12"/>
        <v/>
      </c>
      <c r="J173" s="17">
        <f t="shared" si="15"/>
        <v>-4</v>
      </c>
      <c r="K173" s="17">
        <f t="shared" si="13"/>
        <v>-40</v>
      </c>
      <c r="L173" s="17"/>
      <c r="M173" s="19">
        <f t="shared" si="14"/>
        <v>0</v>
      </c>
    </row>
    <row r="174" spans="1:13" x14ac:dyDescent="0.25">
      <c r="A174" s="43"/>
      <c r="G174" s="5"/>
      <c r="H174" s="17">
        <v>169</v>
      </c>
      <c r="I174" s="18" t="str">
        <f t="shared" si="12"/>
        <v/>
      </c>
      <c r="J174" s="17">
        <f t="shared" si="15"/>
        <v>-4</v>
      </c>
      <c r="K174" s="17">
        <f t="shared" si="13"/>
        <v>-40</v>
      </c>
      <c r="L174" s="17"/>
      <c r="M174" s="19">
        <f t="shared" si="14"/>
        <v>0</v>
      </c>
    </row>
    <row r="175" spans="1:13" x14ac:dyDescent="0.25">
      <c r="A175" s="43"/>
      <c r="G175" s="5"/>
      <c r="H175" s="17">
        <v>170</v>
      </c>
      <c r="I175" s="18" t="str">
        <f t="shared" si="12"/>
        <v/>
      </c>
      <c r="J175" s="17">
        <f t="shared" si="15"/>
        <v>-4</v>
      </c>
      <c r="K175" s="17">
        <f t="shared" si="13"/>
        <v>-40</v>
      </c>
      <c r="L175" s="17"/>
      <c r="M175" s="19">
        <f t="shared" si="14"/>
        <v>0</v>
      </c>
    </row>
    <row r="176" spans="1:13" x14ac:dyDescent="0.25">
      <c r="A176" s="43"/>
      <c r="G176" s="5"/>
      <c r="H176" s="17">
        <v>171</v>
      </c>
      <c r="I176" s="18" t="str">
        <f t="shared" si="12"/>
        <v/>
      </c>
      <c r="J176" s="17">
        <f t="shared" si="15"/>
        <v>-4</v>
      </c>
      <c r="K176" s="17">
        <f t="shared" si="13"/>
        <v>-40</v>
      </c>
      <c r="L176" s="17"/>
      <c r="M176" s="19">
        <f t="shared" si="14"/>
        <v>0</v>
      </c>
    </row>
    <row r="177" spans="1:13" x14ac:dyDescent="0.25">
      <c r="A177" s="43"/>
      <c r="G177" s="5"/>
      <c r="H177" s="17">
        <v>172</v>
      </c>
      <c r="I177" s="18" t="str">
        <f t="shared" si="12"/>
        <v/>
      </c>
      <c r="J177" s="17">
        <f t="shared" si="15"/>
        <v>-4</v>
      </c>
      <c r="K177" s="17">
        <f t="shared" si="13"/>
        <v>-40</v>
      </c>
      <c r="L177" s="17"/>
      <c r="M177" s="19">
        <f t="shared" si="14"/>
        <v>0</v>
      </c>
    </row>
    <row r="178" spans="1:13" x14ac:dyDescent="0.25">
      <c r="A178" s="43"/>
      <c r="G178" s="5"/>
      <c r="H178" s="17">
        <v>173</v>
      </c>
      <c r="I178" s="18" t="str">
        <f t="shared" si="12"/>
        <v/>
      </c>
      <c r="J178" s="17">
        <f t="shared" si="15"/>
        <v>-4</v>
      </c>
      <c r="K178" s="17">
        <f t="shared" si="13"/>
        <v>-40</v>
      </c>
      <c r="L178" s="17"/>
      <c r="M178" s="19">
        <f t="shared" si="14"/>
        <v>0</v>
      </c>
    </row>
    <row r="179" spans="1:13" x14ac:dyDescent="0.25">
      <c r="A179" s="43"/>
      <c r="G179" s="5"/>
      <c r="H179" s="17">
        <v>174</v>
      </c>
      <c r="I179" s="18" t="str">
        <f t="shared" si="12"/>
        <v/>
      </c>
      <c r="J179" s="17">
        <f t="shared" si="15"/>
        <v>-4</v>
      </c>
      <c r="K179" s="17">
        <f t="shared" si="13"/>
        <v>-40</v>
      </c>
      <c r="L179" s="17"/>
      <c r="M179" s="19">
        <f t="shared" si="14"/>
        <v>0</v>
      </c>
    </row>
    <row r="180" spans="1:13" x14ac:dyDescent="0.25">
      <c r="A180" s="43"/>
      <c r="G180" s="5"/>
      <c r="H180" s="17">
        <v>175</v>
      </c>
      <c r="I180" s="18" t="str">
        <f t="shared" si="12"/>
        <v/>
      </c>
      <c r="J180" s="17">
        <f t="shared" si="15"/>
        <v>-4</v>
      </c>
      <c r="K180" s="17">
        <f t="shared" si="13"/>
        <v>-40</v>
      </c>
      <c r="L180" s="17"/>
      <c r="M180" s="19">
        <f t="shared" si="14"/>
        <v>0</v>
      </c>
    </row>
    <row r="181" spans="1:13" x14ac:dyDescent="0.25">
      <c r="A181" s="43"/>
      <c r="G181" s="5"/>
      <c r="H181" s="17">
        <v>176</v>
      </c>
      <c r="I181" s="18" t="str">
        <f t="shared" si="12"/>
        <v/>
      </c>
      <c r="J181" s="17">
        <f t="shared" si="15"/>
        <v>-4</v>
      </c>
      <c r="K181" s="17">
        <f t="shared" si="13"/>
        <v>-40</v>
      </c>
      <c r="L181" s="17"/>
      <c r="M181" s="19">
        <f t="shared" si="14"/>
        <v>0</v>
      </c>
    </row>
    <row r="182" spans="1:13" x14ac:dyDescent="0.25">
      <c r="A182" s="43"/>
      <c r="G182" s="5"/>
      <c r="H182" s="17">
        <v>177</v>
      </c>
      <c r="I182" s="18" t="str">
        <f t="shared" si="12"/>
        <v/>
      </c>
      <c r="J182" s="17">
        <f t="shared" si="15"/>
        <v>-4</v>
      </c>
      <c r="K182" s="17">
        <f t="shared" si="13"/>
        <v>-40</v>
      </c>
      <c r="L182" s="17"/>
      <c r="M182" s="19">
        <f t="shared" si="14"/>
        <v>0</v>
      </c>
    </row>
    <row r="183" spans="1:13" x14ac:dyDescent="0.25">
      <c r="A183" s="43"/>
      <c r="G183" s="5"/>
      <c r="H183" s="17">
        <v>178</v>
      </c>
      <c r="I183" s="18" t="str">
        <f t="shared" si="12"/>
        <v/>
      </c>
      <c r="J183" s="17">
        <f t="shared" si="15"/>
        <v>-4</v>
      </c>
      <c r="K183" s="17">
        <f t="shared" si="13"/>
        <v>-40</v>
      </c>
      <c r="L183" s="17"/>
      <c r="M183" s="19">
        <f t="shared" si="14"/>
        <v>0</v>
      </c>
    </row>
    <row r="184" spans="1:13" x14ac:dyDescent="0.25">
      <c r="A184" s="43"/>
      <c r="G184" s="5"/>
      <c r="H184" s="17">
        <v>179</v>
      </c>
      <c r="I184" s="18" t="str">
        <f t="shared" si="12"/>
        <v/>
      </c>
      <c r="J184" s="17">
        <f t="shared" si="15"/>
        <v>-4</v>
      </c>
      <c r="K184" s="17">
        <f t="shared" si="13"/>
        <v>-40</v>
      </c>
      <c r="L184" s="17"/>
      <c r="M184" s="19">
        <f t="shared" si="14"/>
        <v>0</v>
      </c>
    </row>
    <row r="185" spans="1:13" x14ac:dyDescent="0.25">
      <c r="A185" s="43"/>
      <c r="G185" s="5"/>
      <c r="H185" s="17">
        <v>180</v>
      </c>
      <c r="I185" s="18" t="str">
        <f t="shared" si="12"/>
        <v/>
      </c>
      <c r="J185" s="17">
        <f t="shared" si="15"/>
        <v>-4</v>
      </c>
      <c r="K185" s="17">
        <f t="shared" si="13"/>
        <v>-40</v>
      </c>
      <c r="L185" s="17"/>
      <c r="M185" s="19">
        <f t="shared" si="14"/>
        <v>0</v>
      </c>
    </row>
    <row r="186" spans="1:13" x14ac:dyDescent="0.25">
      <c r="A186" s="43"/>
      <c r="G186" s="5"/>
      <c r="H186" s="17">
        <v>181</v>
      </c>
      <c r="I186" s="18" t="str">
        <f t="shared" si="12"/>
        <v/>
      </c>
      <c r="J186" s="17">
        <f t="shared" si="15"/>
        <v>-4</v>
      </c>
      <c r="K186" s="17">
        <f t="shared" si="13"/>
        <v>-40</v>
      </c>
      <c r="L186" s="17"/>
      <c r="M186" s="19">
        <f t="shared" si="14"/>
        <v>0</v>
      </c>
    </row>
    <row r="187" spans="1:13" x14ac:dyDescent="0.25">
      <c r="A187" s="43"/>
      <c r="G187" s="5"/>
      <c r="H187" s="17">
        <v>182</v>
      </c>
      <c r="I187" s="18" t="str">
        <f t="shared" si="12"/>
        <v/>
      </c>
      <c r="J187" s="17">
        <f t="shared" si="15"/>
        <v>-4</v>
      </c>
      <c r="K187" s="17">
        <f t="shared" si="13"/>
        <v>-40</v>
      </c>
      <c r="L187" s="17"/>
      <c r="M187" s="19">
        <f t="shared" si="14"/>
        <v>0</v>
      </c>
    </row>
    <row r="188" spans="1:13" x14ac:dyDescent="0.25">
      <c r="A188" s="43"/>
      <c r="G188" s="5"/>
      <c r="H188" s="17">
        <v>183</v>
      </c>
      <c r="I188" s="18" t="str">
        <f t="shared" si="12"/>
        <v/>
      </c>
      <c r="J188" s="17">
        <f t="shared" si="15"/>
        <v>-4</v>
      </c>
      <c r="K188" s="17">
        <f t="shared" si="13"/>
        <v>-40</v>
      </c>
      <c r="L188" s="17"/>
      <c r="M188" s="19">
        <f t="shared" si="14"/>
        <v>0</v>
      </c>
    </row>
    <row r="189" spans="1:13" x14ac:dyDescent="0.25">
      <c r="A189" s="43"/>
      <c r="G189" s="5"/>
      <c r="H189" s="17">
        <v>184</v>
      </c>
      <c r="I189" s="18" t="str">
        <f t="shared" si="12"/>
        <v/>
      </c>
      <c r="J189" s="17">
        <f t="shared" si="15"/>
        <v>-4</v>
      </c>
      <c r="K189" s="17">
        <f t="shared" si="13"/>
        <v>-40</v>
      </c>
      <c r="L189" s="17"/>
      <c r="M189" s="19">
        <f t="shared" si="14"/>
        <v>0</v>
      </c>
    </row>
    <row r="190" spans="1:13" x14ac:dyDescent="0.25">
      <c r="A190" s="43"/>
      <c r="G190" s="5"/>
      <c r="H190" s="17">
        <v>185</v>
      </c>
      <c r="I190" s="18" t="str">
        <f t="shared" si="12"/>
        <v/>
      </c>
      <c r="J190" s="17">
        <f t="shared" si="15"/>
        <v>-4</v>
      </c>
      <c r="K190" s="17">
        <f t="shared" si="13"/>
        <v>-40</v>
      </c>
      <c r="L190" s="17"/>
      <c r="M190" s="19">
        <f t="shared" si="14"/>
        <v>0</v>
      </c>
    </row>
    <row r="191" spans="1:13" x14ac:dyDescent="0.25">
      <c r="A191" s="43"/>
      <c r="G191" s="5"/>
      <c r="H191" s="17">
        <v>186</v>
      </c>
      <c r="I191" s="18" t="str">
        <f t="shared" si="12"/>
        <v/>
      </c>
      <c r="J191" s="17">
        <f t="shared" si="15"/>
        <v>-4</v>
      </c>
      <c r="K191" s="17">
        <f t="shared" si="13"/>
        <v>-40</v>
      </c>
      <c r="L191" s="17"/>
      <c r="M191" s="19">
        <f t="shared" si="14"/>
        <v>0</v>
      </c>
    </row>
    <row r="192" spans="1:13" x14ac:dyDescent="0.25">
      <c r="A192" s="43"/>
      <c r="G192" s="5"/>
      <c r="H192" s="17">
        <v>187</v>
      </c>
      <c r="I192" s="18" t="str">
        <f t="shared" si="12"/>
        <v/>
      </c>
      <c r="J192" s="17">
        <f t="shared" si="15"/>
        <v>-4</v>
      </c>
      <c r="K192" s="17">
        <f t="shared" si="13"/>
        <v>-40</v>
      </c>
      <c r="L192" s="17"/>
      <c r="M192" s="19">
        <f t="shared" si="14"/>
        <v>0</v>
      </c>
    </row>
    <row r="193" spans="1:13" x14ac:dyDescent="0.25">
      <c r="A193" s="43"/>
      <c r="G193" s="5"/>
      <c r="H193" s="17">
        <v>188</v>
      </c>
      <c r="I193" s="18" t="str">
        <f t="shared" si="12"/>
        <v/>
      </c>
      <c r="J193" s="17">
        <f t="shared" si="15"/>
        <v>-4</v>
      </c>
      <c r="K193" s="17">
        <f t="shared" si="13"/>
        <v>-40</v>
      </c>
      <c r="L193" s="17"/>
      <c r="M193" s="19">
        <f t="shared" si="14"/>
        <v>0</v>
      </c>
    </row>
    <row r="194" spans="1:13" x14ac:dyDescent="0.25">
      <c r="A194" s="43"/>
      <c r="G194" s="5"/>
      <c r="H194" s="17">
        <v>189</v>
      </c>
      <c r="I194" s="18" t="str">
        <f t="shared" si="12"/>
        <v/>
      </c>
      <c r="J194" s="17">
        <f t="shared" si="15"/>
        <v>-4</v>
      </c>
      <c r="K194" s="17">
        <f t="shared" si="13"/>
        <v>-40</v>
      </c>
      <c r="L194" s="17"/>
      <c r="M194" s="19">
        <f t="shared" si="14"/>
        <v>0</v>
      </c>
    </row>
    <row r="195" spans="1:13" x14ac:dyDescent="0.25">
      <c r="A195" s="43"/>
      <c r="G195" s="5"/>
      <c r="H195" s="17">
        <v>190</v>
      </c>
      <c r="I195" s="18" t="str">
        <f t="shared" si="12"/>
        <v/>
      </c>
      <c r="J195" s="17">
        <f t="shared" si="15"/>
        <v>-4</v>
      </c>
      <c r="K195" s="17">
        <f t="shared" si="13"/>
        <v>-40</v>
      </c>
      <c r="L195" s="17"/>
      <c r="M195" s="19">
        <f t="shared" si="14"/>
        <v>0</v>
      </c>
    </row>
    <row r="196" spans="1:13" x14ac:dyDescent="0.25">
      <c r="A196" s="43"/>
      <c r="G196" s="5"/>
      <c r="H196" s="17">
        <v>191</v>
      </c>
      <c r="I196" s="18" t="str">
        <f t="shared" si="12"/>
        <v/>
      </c>
      <c r="J196" s="17">
        <f t="shared" si="15"/>
        <v>-4</v>
      </c>
      <c r="K196" s="17">
        <f t="shared" si="13"/>
        <v>-40</v>
      </c>
      <c r="L196" s="17"/>
      <c r="M196" s="19">
        <f t="shared" si="14"/>
        <v>0</v>
      </c>
    </row>
    <row r="197" spans="1:13" x14ac:dyDescent="0.25">
      <c r="A197" s="43"/>
      <c r="G197" s="5"/>
      <c r="H197" s="17">
        <v>192</v>
      </c>
      <c r="I197" s="18" t="str">
        <f t="shared" si="12"/>
        <v/>
      </c>
      <c r="J197" s="17">
        <f t="shared" si="15"/>
        <v>-4</v>
      </c>
      <c r="K197" s="17">
        <f t="shared" si="13"/>
        <v>-40</v>
      </c>
      <c r="L197" s="17"/>
      <c r="M197" s="19">
        <f t="shared" si="14"/>
        <v>0</v>
      </c>
    </row>
    <row r="198" spans="1:13" x14ac:dyDescent="0.25">
      <c r="A198" s="43"/>
      <c r="G198" s="5"/>
      <c r="H198" s="17">
        <v>193</v>
      </c>
      <c r="I198" s="18" t="str">
        <f t="shared" ref="I198:I261" si="16">IF(H198&lt;$H$2+1,($I$2-($I$2-1)*(LOG(H198)/LOG($H$2))),"")</f>
        <v/>
      </c>
      <c r="J198" s="17">
        <f t="shared" si="15"/>
        <v>-4</v>
      </c>
      <c r="K198" s="17">
        <f t="shared" ref="K198:K261" si="17">J198*$J$2</f>
        <v>-40</v>
      </c>
      <c r="L198" s="17"/>
      <c r="M198" s="19">
        <f t="shared" ref="M198:M261" si="18">IF(I198&lt;&gt;"",K198+I198+L198,0)</f>
        <v>0</v>
      </c>
    </row>
    <row r="199" spans="1:13" x14ac:dyDescent="0.25">
      <c r="A199" s="43"/>
      <c r="G199" s="5"/>
      <c r="H199" s="17">
        <v>194</v>
      </c>
      <c r="I199" s="18" t="str">
        <f t="shared" si="16"/>
        <v/>
      </c>
      <c r="J199" s="17">
        <f t="shared" ref="J199:J262" si="19">INT(LOG($H$2,2))-ROUNDUP(LOG(H199,2),0)+IF(OR($H$2=1,$H$2=2,$H$2=4,$H$2=8,$H$2=16,$H$2=32,$H$2=64,$H$2=128,$H$2=256),0,1)</f>
        <v>-4</v>
      </c>
      <c r="K199" s="17">
        <f t="shared" si="17"/>
        <v>-40</v>
      </c>
      <c r="L199" s="17"/>
      <c r="M199" s="19">
        <f t="shared" si="18"/>
        <v>0</v>
      </c>
    </row>
    <row r="200" spans="1:13" x14ac:dyDescent="0.25">
      <c r="A200" s="43"/>
      <c r="G200" s="5"/>
      <c r="H200" s="17">
        <v>195</v>
      </c>
      <c r="I200" s="18" t="str">
        <f t="shared" si="16"/>
        <v/>
      </c>
      <c r="J200" s="17">
        <f t="shared" si="19"/>
        <v>-4</v>
      </c>
      <c r="K200" s="17">
        <f t="shared" si="17"/>
        <v>-40</v>
      </c>
      <c r="L200" s="17"/>
      <c r="M200" s="19">
        <f t="shared" si="18"/>
        <v>0</v>
      </c>
    </row>
    <row r="201" spans="1:13" x14ac:dyDescent="0.25">
      <c r="A201" s="43"/>
      <c r="G201" s="5"/>
      <c r="H201" s="17">
        <v>196</v>
      </c>
      <c r="I201" s="18" t="str">
        <f t="shared" si="16"/>
        <v/>
      </c>
      <c r="J201" s="17">
        <f t="shared" si="19"/>
        <v>-4</v>
      </c>
      <c r="K201" s="17">
        <f t="shared" si="17"/>
        <v>-40</v>
      </c>
      <c r="L201" s="17"/>
      <c r="M201" s="19">
        <f t="shared" si="18"/>
        <v>0</v>
      </c>
    </row>
    <row r="202" spans="1:13" x14ac:dyDescent="0.25">
      <c r="A202" s="43"/>
      <c r="G202" s="5"/>
      <c r="H202" s="17">
        <v>197</v>
      </c>
      <c r="I202" s="18" t="str">
        <f t="shared" si="16"/>
        <v/>
      </c>
      <c r="J202" s="17">
        <f t="shared" si="19"/>
        <v>-4</v>
      </c>
      <c r="K202" s="17">
        <f t="shared" si="17"/>
        <v>-40</v>
      </c>
      <c r="L202" s="17"/>
      <c r="M202" s="19">
        <f t="shared" si="18"/>
        <v>0</v>
      </c>
    </row>
    <row r="203" spans="1:13" x14ac:dyDescent="0.25">
      <c r="A203" s="43"/>
      <c r="G203" s="5"/>
      <c r="H203" s="17">
        <v>198</v>
      </c>
      <c r="I203" s="18" t="str">
        <f t="shared" si="16"/>
        <v/>
      </c>
      <c r="J203" s="17">
        <f t="shared" si="19"/>
        <v>-4</v>
      </c>
      <c r="K203" s="17">
        <f t="shared" si="17"/>
        <v>-40</v>
      </c>
      <c r="L203" s="17"/>
      <c r="M203" s="19">
        <f t="shared" si="18"/>
        <v>0</v>
      </c>
    </row>
    <row r="204" spans="1:13" x14ac:dyDescent="0.25">
      <c r="A204" s="43"/>
      <c r="G204" s="5"/>
      <c r="H204" s="17">
        <v>199</v>
      </c>
      <c r="I204" s="18" t="str">
        <f t="shared" si="16"/>
        <v/>
      </c>
      <c r="J204" s="17">
        <f t="shared" si="19"/>
        <v>-4</v>
      </c>
      <c r="K204" s="17">
        <f t="shared" si="17"/>
        <v>-40</v>
      </c>
      <c r="L204" s="17"/>
      <c r="M204" s="19">
        <f t="shared" si="18"/>
        <v>0</v>
      </c>
    </row>
    <row r="205" spans="1:13" x14ac:dyDescent="0.25">
      <c r="A205" s="43"/>
      <c r="G205" s="5"/>
      <c r="H205" s="17">
        <v>200</v>
      </c>
      <c r="I205" s="18" t="str">
        <f t="shared" si="16"/>
        <v/>
      </c>
      <c r="J205" s="17">
        <f t="shared" si="19"/>
        <v>-4</v>
      </c>
      <c r="K205" s="17">
        <f t="shared" si="17"/>
        <v>-40</v>
      </c>
      <c r="L205" s="17"/>
      <c r="M205" s="19">
        <f t="shared" si="18"/>
        <v>0</v>
      </c>
    </row>
    <row r="206" spans="1:13" x14ac:dyDescent="0.25">
      <c r="A206" s="43"/>
      <c r="G206" s="5"/>
      <c r="H206" s="17">
        <v>201</v>
      </c>
      <c r="I206" s="18" t="str">
        <f t="shared" si="16"/>
        <v/>
      </c>
      <c r="J206" s="17">
        <f t="shared" si="19"/>
        <v>-4</v>
      </c>
      <c r="K206" s="17">
        <f t="shared" si="17"/>
        <v>-40</v>
      </c>
      <c r="L206" s="17"/>
      <c r="M206" s="19">
        <f t="shared" si="18"/>
        <v>0</v>
      </c>
    </row>
    <row r="207" spans="1:13" x14ac:dyDescent="0.25">
      <c r="A207" s="43"/>
      <c r="G207" s="5"/>
      <c r="H207" s="17">
        <v>202</v>
      </c>
      <c r="I207" s="18" t="str">
        <f t="shared" si="16"/>
        <v/>
      </c>
      <c r="J207" s="17">
        <f t="shared" si="19"/>
        <v>-4</v>
      </c>
      <c r="K207" s="17">
        <f t="shared" si="17"/>
        <v>-40</v>
      </c>
      <c r="L207" s="17"/>
      <c r="M207" s="19">
        <f t="shared" si="18"/>
        <v>0</v>
      </c>
    </row>
    <row r="208" spans="1:13" x14ac:dyDescent="0.25">
      <c r="A208" s="43"/>
      <c r="G208" s="5"/>
      <c r="H208" s="17">
        <v>203</v>
      </c>
      <c r="I208" s="18" t="str">
        <f t="shared" si="16"/>
        <v/>
      </c>
      <c r="J208" s="17">
        <f t="shared" si="19"/>
        <v>-4</v>
      </c>
      <c r="K208" s="17">
        <f t="shared" si="17"/>
        <v>-40</v>
      </c>
      <c r="L208" s="17"/>
      <c r="M208" s="19">
        <f t="shared" si="18"/>
        <v>0</v>
      </c>
    </row>
    <row r="209" spans="1:13" x14ac:dyDescent="0.25">
      <c r="A209" s="43"/>
      <c r="G209" s="5"/>
      <c r="H209" s="17">
        <v>204</v>
      </c>
      <c r="I209" s="18" t="str">
        <f t="shared" si="16"/>
        <v/>
      </c>
      <c r="J209" s="17">
        <f t="shared" si="19"/>
        <v>-4</v>
      </c>
      <c r="K209" s="17">
        <f t="shared" si="17"/>
        <v>-40</v>
      </c>
      <c r="L209" s="17"/>
      <c r="M209" s="19">
        <f t="shared" si="18"/>
        <v>0</v>
      </c>
    </row>
    <row r="210" spans="1:13" x14ac:dyDescent="0.25">
      <c r="A210" s="43"/>
      <c r="G210" s="5"/>
      <c r="H210" s="17">
        <v>205</v>
      </c>
      <c r="I210" s="18" t="str">
        <f t="shared" si="16"/>
        <v/>
      </c>
      <c r="J210" s="17">
        <f t="shared" si="19"/>
        <v>-4</v>
      </c>
      <c r="K210" s="17">
        <f t="shared" si="17"/>
        <v>-40</v>
      </c>
      <c r="L210" s="17"/>
      <c r="M210" s="19">
        <f t="shared" si="18"/>
        <v>0</v>
      </c>
    </row>
    <row r="211" spans="1:13" x14ac:dyDescent="0.25">
      <c r="A211" s="43"/>
      <c r="G211" s="5"/>
      <c r="H211" s="17">
        <v>206</v>
      </c>
      <c r="I211" s="18" t="str">
        <f t="shared" si="16"/>
        <v/>
      </c>
      <c r="J211" s="17">
        <f t="shared" si="19"/>
        <v>-4</v>
      </c>
      <c r="K211" s="17">
        <f t="shared" si="17"/>
        <v>-40</v>
      </c>
      <c r="L211" s="17"/>
      <c r="M211" s="19">
        <f t="shared" si="18"/>
        <v>0</v>
      </c>
    </row>
    <row r="212" spans="1:13" x14ac:dyDescent="0.25">
      <c r="A212" s="43"/>
      <c r="G212" s="5"/>
      <c r="H212" s="17">
        <v>207</v>
      </c>
      <c r="I212" s="18" t="str">
        <f t="shared" si="16"/>
        <v/>
      </c>
      <c r="J212" s="17">
        <f t="shared" si="19"/>
        <v>-4</v>
      </c>
      <c r="K212" s="17">
        <f t="shared" si="17"/>
        <v>-40</v>
      </c>
      <c r="L212" s="17"/>
      <c r="M212" s="19">
        <f t="shared" si="18"/>
        <v>0</v>
      </c>
    </row>
    <row r="213" spans="1:13" x14ac:dyDescent="0.25">
      <c r="A213" s="43"/>
      <c r="G213" s="5"/>
      <c r="H213" s="17">
        <v>208</v>
      </c>
      <c r="I213" s="18" t="str">
        <f t="shared" si="16"/>
        <v/>
      </c>
      <c r="J213" s="17">
        <f t="shared" si="19"/>
        <v>-4</v>
      </c>
      <c r="K213" s="17">
        <f t="shared" si="17"/>
        <v>-40</v>
      </c>
      <c r="L213" s="17"/>
      <c r="M213" s="19">
        <f t="shared" si="18"/>
        <v>0</v>
      </c>
    </row>
    <row r="214" spans="1:13" x14ac:dyDescent="0.25">
      <c r="A214" s="43"/>
      <c r="G214" s="5"/>
      <c r="H214" s="17">
        <v>209</v>
      </c>
      <c r="I214" s="18" t="str">
        <f t="shared" si="16"/>
        <v/>
      </c>
      <c r="J214" s="17">
        <f t="shared" si="19"/>
        <v>-4</v>
      </c>
      <c r="K214" s="17">
        <f t="shared" si="17"/>
        <v>-40</v>
      </c>
      <c r="L214" s="17"/>
      <c r="M214" s="19">
        <f t="shared" si="18"/>
        <v>0</v>
      </c>
    </row>
    <row r="215" spans="1:13" x14ac:dyDescent="0.25">
      <c r="A215" s="43"/>
      <c r="G215" s="5"/>
      <c r="H215" s="17">
        <v>210</v>
      </c>
      <c r="I215" s="18" t="str">
        <f t="shared" si="16"/>
        <v/>
      </c>
      <c r="J215" s="17">
        <f t="shared" si="19"/>
        <v>-4</v>
      </c>
      <c r="K215" s="17">
        <f t="shared" si="17"/>
        <v>-40</v>
      </c>
      <c r="L215" s="17"/>
      <c r="M215" s="19">
        <f t="shared" si="18"/>
        <v>0</v>
      </c>
    </row>
    <row r="216" spans="1:13" x14ac:dyDescent="0.25">
      <c r="A216" s="43"/>
      <c r="G216" s="5"/>
      <c r="H216" s="17">
        <v>211</v>
      </c>
      <c r="I216" s="18" t="str">
        <f t="shared" si="16"/>
        <v/>
      </c>
      <c r="J216" s="17">
        <f t="shared" si="19"/>
        <v>-4</v>
      </c>
      <c r="K216" s="17">
        <f t="shared" si="17"/>
        <v>-40</v>
      </c>
      <c r="L216" s="17"/>
      <c r="M216" s="19">
        <f t="shared" si="18"/>
        <v>0</v>
      </c>
    </row>
    <row r="217" spans="1:13" x14ac:dyDescent="0.25">
      <c r="A217" s="43"/>
      <c r="G217" s="5"/>
      <c r="H217" s="17">
        <v>212</v>
      </c>
      <c r="I217" s="18" t="str">
        <f t="shared" si="16"/>
        <v/>
      </c>
      <c r="J217" s="17">
        <f t="shared" si="19"/>
        <v>-4</v>
      </c>
      <c r="K217" s="17">
        <f t="shared" si="17"/>
        <v>-40</v>
      </c>
      <c r="L217" s="17"/>
      <c r="M217" s="19">
        <f t="shared" si="18"/>
        <v>0</v>
      </c>
    </row>
    <row r="218" spans="1:13" x14ac:dyDescent="0.25">
      <c r="A218" s="43"/>
      <c r="G218" s="5"/>
      <c r="H218" s="17">
        <v>213</v>
      </c>
      <c r="I218" s="18" t="str">
        <f t="shared" si="16"/>
        <v/>
      </c>
      <c r="J218" s="17">
        <f t="shared" si="19"/>
        <v>-4</v>
      </c>
      <c r="K218" s="17">
        <f t="shared" si="17"/>
        <v>-40</v>
      </c>
      <c r="L218" s="17"/>
      <c r="M218" s="19">
        <f t="shared" si="18"/>
        <v>0</v>
      </c>
    </row>
    <row r="219" spans="1:13" x14ac:dyDescent="0.25">
      <c r="A219" s="43"/>
      <c r="G219" s="5"/>
      <c r="H219" s="17">
        <v>214</v>
      </c>
      <c r="I219" s="18" t="str">
        <f t="shared" si="16"/>
        <v/>
      </c>
      <c r="J219" s="17">
        <f t="shared" si="19"/>
        <v>-4</v>
      </c>
      <c r="K219" s="17">
        <f t="shared" si="17"/>
        <v>-40</v>
      </c>
      <c r="L219" s="17"/>
      <c r="M219" s="19">
        <f t="shared" si="18"/>
        <v>0</v>
      </c>
    </row>
    <row r="220" spans="1:13" x14ac:dyDescent="0.25">
      <c r="A220" s="43"/>
      <c r="G220" s="5"/>
      <c r="H220" s="17">
        <v>215</v>
      </c>
      <c r="I220" s="18" t="str">
        <f t="shared" si="16"/>
        <v/>
      </c>
      <c r="J220" s="17">
        <f t="shared" si="19"/>
        <v>-4</v>
      </c>
      <c r="K220" s="17">
        <f t="shared" si="17"/>
        <v>-40</v>
      </c>
      <c r="L220" s="17"/>
      <c r="M220" s="19">
        <f t="shared" si="18"/>
        <v>0</v>
      </c>
    </row>
    <row r="221" spans="1:13" x14ac:dyDescent="0.25">
      <c r="A221" s="43"/>
      <c r="G221" s="5"/>
      <c r="H221" s="17">
        <v>216</v>
      </c>
      <c r="I221" s="18" t="str">
        <f t="shared" si="16"/>
        <v/>
      </c>
      <c r="J221" s="17">
        <f t="shared" si="19"/>
        <v>-4</v>
      </c>
      <c r="K221" s="17">
        <f t="shared" si="17"/>
        <v>-40</v>
      </c>
      <c r="L221" s="17"/>
      <c r="M221" s="19">
        <f t="shared" si="18"/>
        <v>0</v>
      </c>
    </row>
    <row r="222" spans="1:13" x14ac:dyDescent="0.25">
      <c r="A222" s="43"/>
      <c r="G222" s="5"/>
      <c r="H222" s="17">
        <v>217</v>
      </c>
      <c r="I222" s="18" t="str">
        <f t="shared" si="16"/>
        <v/>
      </c>
      <c r="J222" s="17">
        <f t="shared" si="19"/>
        <v>-4</v>
      </c>
      <c r="K222" s="17">
        <f t="shared" si="17"/>
        <v>-40</v>
      </c>
      <c r="L222" s="17"/>
      <c r="M222" s="19">
        <f t="shared" si="18"/>
        <v>0</v>
      </c>
    </row>
    <row r="223" spans="1:13" x14ac:dyDescent="0.25">
      <c r="A223" s="43"/>
      <c r="G223" s="5"/>
      <c r="H223" s="17">
        <v>218</v>
      </c>
      <c r="I223" s="18" t="str">
        <f t="shared" si="16"/>
        <v/>
      </c>
      <c r="J223" s="17">
        <f t="shared" si="19"/>
        <v>-4</v>
      </c>
      <c r="K223" s="17">
        <f t="shared" si="17"/>
        <v>-40</v>
      </c>
      <c r="L223" s="17"/>
      <c r="M223" s="19">
        <f t="shared" si="18"/>
        <v>0</v>
      </c>
    </row>
    <row r="224" spans="1:13" x14ac:dyDescent="0.25">
      <c r="A224" s="43"/>
      <c r="G224" s="5"/>
      <c r="H224" s="17">
        <v>219</v>
      </c>
      <c r="I224" s="18" t="str">
        <f t="shared" si="16"/>
        <v/>
      </c>
      <c r="J224" s="17">
        <f t="shared" si="19"/>
        <v>-4</v>
      </c>
      <c r="K224" s="17">
        <f t="shared" si="17"/>
        <v>-40</v>
      </c>
      <c r="L224" s="17"/>
      <c r="M224" s="19">
        <f t="shared" si="18"/>
        <v>0</v>
      </c>
    </row>
    <row r="225" spans="1:13" x14ac:dyDescent="0.25">
      <c r="A225" s="43"/>
      <c r="G225" s="5"/>
      <c r="H225" s="17">
        <v>220</v>
      </c>
      <c r="I225" s="18" t="str">
        <f t="shared" si="16"/>
        <v/>
      </c>
      <c r="J225" s="17">
        <f t="shared" si="19"/>
        <v>-4</v>
      </c>
      <c r="K225" s="17">
        <f t="shared" si="17"/>
        <v>-40</v>
      </c>
      <c r="L225" s="17"/>
      <c r="M225" s="19">
        <f t="shared" si="18"/>
        <v>0</v>
      </c>
    </row>
    <row r="226" spans="1:13" x14ac:dyDescent="0.25">
      <c r="A226" s="43"/>
      <c r="G226" s="5"/>
      <c r="H226" s="17">
        <v>221</v>
      </c>
      <c r="I226" s="18" t="str">
        <f t="shared" si="16"/>
        <v/>
      </c>
      <c r="J226" s="17">
        <f t="shared" si="19"/>
        <v>-4</v>
      </c>
      <c r="K226" s="17">
        <f t="shared" si="17"/>
        <v>-40</v>
      </c>
      <c r="L226" s="17"/>
      <c r="M226" s="19">
        <f t="shared" si="18"/>
        <v>0</v>
      </c>
    </row>
    <row r="227" spans="1:13" x14ac:dyDescent="0.25">
      <c r="A227" s="43"/>
      <c r="G227" s="5"/>
      <c r="H227" s="17">
        <v>222</v>
      </c>
      <c r="I227" s="18" t="str">
        <f t="shared" si="16"/>
        <v/>
      </c>
      <c r="J227" s="17">
        <f t="shared" si="19"/>
        <v>-4</v>
      </c>
      <c r="K227" s="17">
        <f t="shared" si="17"/>
        <v>-40</v>
      </c>
      <c r="L227" s="17"/>
      <c r="M227" s="19">
        <f t="shared" si="18"/>
        <v>0</v>
      </c>
    </row>
    <row r="228" spans="1:13" x14ac:dyDescent="0.25">
      <c r="A228" s="43"/>
      <c r="G228" s="5"/>
      <c r="H228" s="17">
        <v>223</v>
      </c>
      <c r="I228" s="18" t="str">
        <f t="shared" si="16"/>
        <v/>
      </c>
      <c r="J228" s="17">
        <f t="shared" si="19"/>
        <v>-4</v>
      </c>
      <c r="K228" s="17">
        <f t="shared" si="17"/>
        <v>-40</v>
      </c>
      <c r="L228" s="17"/>
      <c r="M228" s="19">
        <f t="shared" si="18"/>
        <v>0</v>
      </c>
    </row>
    <row r="229" spans="1:13" x14ac:dyDescent="0.25">
      <c r="A229" s="43"/>
      <c r="G229" s="5"/>
      <c r="H229" s="17">
        <v>224</v>
      </c>
      <c r="I229" s="18" t="str">
        <f t="shared" si="16"/>
        <v/>
      </c>
      <c r="J229" s="17">
        <f t="shared" si="19"/>
        <v>-4</v>
      </c>
      <c r="K229" s="17">
        <f t="shared" si="17"/>
        <v>-40</v>
      </c>
      <c r="L229" s="17"/>
      <c r="M229" s="19">
        <f t="shared" si="18"/>
        <v>0</v>
      </c>
    </row>
    <row r="230" spans="1:13" x14ac:dyDescent="0.25">
      <c r="A230" s="43"/>
      <c r="G230" s="5"/>
      <c r="H230" s="17">
        <v>225</v>
      </c>
      <c r="I230" s="18" t="str">
        <f t="shared" si="16"/>
        <v/>
      </c>
      <c r="J230" s="17">
        <f t="shared" si="19"/>
        <v>-4</v>
      </c>
      <c r="K230" s="17">
        <f t="shared" si="17"/>
        <v>-40</v>
      </c>
      <c r="L230" s="17"/>
      <c r="M230" s="19">
        <f t="shared" si="18"/>
        <v>0</v>
      </c>
    </row>
    <row r="231" spans="1:13" x14ac:dyDescent="0.25">
      <c r="A231" s="43"/>
      <c r="G231" s="5"/>
      <c r="H231" s="17">
        <v>226</v>
      </c>
      <c r="I231" s="18" t="str">
        <f t="shared" si="16"/>
        <v/>
      </c>
      <c r="J231" s="17">
        <f t="shared" si="19"/>
        <v>-4</v>
      </c>
      <c r="K231" s="17">
        <f t="shared" si="17"/>
        <v>-40</v>
      </c>
      <c r="L231" s="17"/>
      <c r="M231" s="19">
        <f t="shared" si="18"/>
        <v>0</v>
      </c>
    </row>
    <row r="232" spans="1:13" x14ac:dyDescent="0.25">
      <c r="A232" s="43"/>
      <c r="G232" s="5"/>
      <c r="H232" s="17">
        <v>227</v>
      </c>
      <c r="I232" s="18" t="str">
        <f t="shared" si="16"/>
        <v/>
      </c>
      <c r="J232" s="17">
        <f t="shared" si="19"/>
        <v>-4</v>
      </c>
      <c r="K232" s="17">
        <f t="shared" si="17"/>
        <v>-40</v>
      </c>
      <c r="L232" s="17"/>
      <c r="M232" s="19">
        <f t="shared" si="18"/>
        <v>0</v>
      </c>
    </row>
    <row r="233" spans="1:13" x14ac:dyDescent="0.25">
      <c r="A233" s="43"/>
      <c r="G233" s="5"/>
      <c r="H233" s="17">
        <v>228</v>
      </c>
      <c r="I233" s="18" t="str">
        <f t="shared" si="16"/>
        <v/>
      </c>
      <c r="J233" s="17">
        <f t="shared" si="19"/>
        <v>-4</v>
      </c>
      <c r="K233" s="17">
        <f t="shared" si="17"/>
        <v>-40</v>
      </c>
      <c r="L233" s="17"/>
      <c r="M233" s="19">
        <f t="shared" si="18"/>
        <v>0</v>
      </c>
    </row>
    <row r="234" spans="1:13" x14ac:dyDescent="0.25">
      <c r="A234" s="43"/>
      <c r="G234" s="5"/>
      <c r="H234" s="17">
        <v>229</v>
      </c>
      <c r="I234" s="18" t="str">
        <f t="shared" si="16"/>
        <v/>
      </c>
      <c r="J234" s="17">
        <f t="shared" si="19"/>
        <v>-4</v>
      </c>
      <c r="K234" s="17">
        <f t="shared" si="17"/>
        <v>-40</v>
      </c>
      <c r="L234" s="17"/>
      <c r="M234" s="19">
        <f t="shared" si="18"/>
        <v>0</v>
      </c>
    </row>
    <row r="235" spans="1:13" x14ac:dyDescent="0.25">
      <c r="A235" s="43"/>
      <c r="G235" s="5"/>
      <c r="H235" s="17">
        <v>230</v>
      </c>
      <c r="I235" s="18" t="str">
        <f t="shared" si="16"/>
        <v/>
      </c>
      <c r="J235" s="17">
        <f t="shared" si="19"/>
        <v>-4</v>
      </c>
      <c r="K235" s="17">
        <f t="shared" si="17"/>
        <v>-40</v>
      </c>
      <c r="L235" s="17"/>
      <c r="M235" s="19">
        <f t="shared" si="18"/>
        <v>0</v>
      </c>
    </row>
    <row r="236" spans="1:13" x14ac:dyDescent="0.25">
      <c r="A236" s="43"/>
      <c r="G236" s="5"/>
      <c r="H236" s="17">
        <v>231</v>
      </c>
      <c r="I236" s="18" t="str">
        <f t="shared" si="16"/>
        <v/>
      </c>
      <c r="J236" s="17">
        <f t="shared" si="19"/>
        <v>-4</v>
      </c>
      <c r="K236" s="17">
        <f t="shared" si="17"/>
        <v>-40</v>
      </c>
      <c r="L236" s="17"/>
      <c r="M236" s="19">
        <f t="shared" si="18"/>
        <v>0</v>
      </c>
    </row>
    <row r="237" spans="1:13" x14ac:dyDescent="0.25">
      <c r="A237" s="43"/>
      <c r="G237" s="5"/>
      <c r="H237" s="17">
        <v>232</v>
      </c>
      <c r="I237" s="18" t="str">
        <f t="shared" si="16"/>
        <v/>
      </c>
      <c r="J237" s="17">
        <f t="shared" si="19"/>
        <v>-4</v>
      </c>
      <c r="K237" s="17">
        <f t="shared" si="17"/>
        <v>-40</v>
      </c>
      <c r="L237" s="17"/>
      <c r="M237" s="19">
        <f t="shared" si="18"/>
        <v>0</v>
      </c>
    </row>
    <row r="238" spans="1:13" x14ac:dyDescent="0.25">
      <c r="A238" s="43"/>
      <c r="G238" s="5"/>
      <c r="H238" s="17">
        <v>233</v>
      </c>
      <c r="I238" s="18" t="str">
        <f t="shared" si="16"/>
        <v/>
      </c>
      <c r="J238" s="17">
        <f t="shared" si="19"/>
        <v>-4</v>
      </c>
      <c r="K238" s="17">
        <f t="shared" si="17"/>
        <v>-40</v>
      </c>
      <c r="L238" s="17"/>
      <c r="M238" s="19">
        <f t="shared" si="18"/>
        <v>0</v>
      </c>
    </row>
    <row r="239" spans="1:13" x14ac:dyDescent="0.25">
      <c r="A239" s="43"/>
      <c r="G239" s="5"/>
      <c r="H239" s="17">
        <v>234</v>
      </c>
      <c r="I239" s="18" t="str">
        <f t="shared" si="16"/>
        <v/>
      </c>
      <c r="J239" s="17">
        <f t="shared" si="19"/>
        <v>-4</v>
      </c>
      <c r="K239" s="17">
        <f t="shared" si="17"/>
        <v>-40</v>
      </c>
      <c r="L239" s="17"/>
      <c r="M239" s="19">
        <f t="shared" si="18"/>
        <v>0</v>
      </c>
    </row>
    <row r="240" spans="1:13" x14ac:dyDescent="0.25">
      <c r="A240" s="43"/>
      <c r="G240" s="5"/>
      <c r="H240" s="17">
        <v>235</v>
      </c>
      <c r="I240" s="18" t="str">
        <f t="shared" si="16"/>
        <v/>
      </c>
      <c r="J240" s="17">
        <f t="shared" si="19"/>
        <v>-4</v>
      </c>
      <c r="K240" s="17">
        <f t="shared" si="17"/>
        <v>-40</v>
      </c>
      <c r="L240" s="17"/>
      <c r="M240" s="19">
        <f t="shared" si="18"/>
        <v>0</v>
      </c>
    </row>
    <row r="241" spans="1:13" x14ac:dyDescent="0.25">
      <c r="A241" s="43"/>
      <c r="G241" s="5"/>
      <c r="H241" s="17">
        <v>236</v>
      </c>
      <c r="I241" s="18" t="str">
        <f t="shared" si="16"/>
        <v/>
      </c>
      <c r="J241" s="17">
        <f t="shared" si="19"/>
        <v>-4</v>
      </c>
      <c r="K241" s="17">
        <f t="shared" si="17"/>
        <v>-40</v>
      </c>
      <c r="L241" s="17"/>
      <c r="M241" s="19">
        <f t="shared" si="18"/>
        <v>0</v>
      </c>
    </row>
    <row r="242" spans="1:13" x14ac:dyDescent="0.25">
      <c r="A242" s="43"/>
      <c r="G242" s="5"/>
      <c r="H242" s="17">
        <v>237</v>
      </c>
      <c r="I242" s="18" t="str">
        <f t="shared" si="16"/>
        <v/>
      </c>
      <c r="J242" s="17">
        <f t="shared" si="19"/>
        <v>-4</v>
      </c>
      <c r="K242" s="17">
        <f t="shared" si="17"/>
        <v>-40</v>
      </c>
      <c r="L242" s="17"/>
      <c r="M242" s="19">
        <f t="shared" si="18"/>
        <v>0</v>
      </c>
    </row>
    <row r="243" spans="1:13" x14ac:dyDescent="0.25">
      <c r="A243" s="43"/>
      <c r="G243" s="5"/>
      <c r="H243" s="17">
        <v>238</v>
      </c>
      <c r="I243" s="18" t="str">
        <f t="shared" si="16"/>
        <v/>
      </c>
      <c r="J243" s="17">
        <f t="shared" si="19"/>
        <v>-4</v>
      </c>
      <c r="K243" s="17">
        <f t="shared" si="17"/>
        <v>-40</v>
      </c>
      <c r="L243" s="17"/>
      <c r="M243" s="19">
        <f t="shared" si="18"/>
        <v>0</v>
      </c>
    </row>
    <row r="244" spans="1:13" x14ac:dyDescent="0.25">
      <c r="A244" s="43"/>
      <c r="G244" s="5"/>
      <c r="H244" s="17">
        <v>239</v>
      </c>
      <c r="I244" s="18" t="str">
        <f t="shared" si="16"/>
        <v/>
      </c>
      <c r="J244" s="17">
        <f t="shared" si="19"/>
        <v>-4</v>
      </c>
      <c r="K244" s="17">
        <f t="shared" si="17"/>
        <v>-40</v>
      </c>
      <c r="L244" s="17"/>
      <c r="M244" s="19">
        <f t="shared" si="18"/>
        <v>0</v>
      </c>
    </row>
    <row r="245" spans="1:13" x14ac:dyDescent="0.25">
      <c r="A245" s="43"/>
      <c r="G245" s="5"/>
      <c r="H245" s="17">
        <v>240</v>
      </c>
      <c r="I245" s="18" t="str">
        <f t="shared" si="16"/>
        <v/>
      </c>
      <c r="J245" s="17">
        <f t="shared" si="19"/>
        <v>-4</v>
      </c>
      <c r="K245" s="17">
        <f t="shared" si="17"/>
        <v>-40</v>
      </c>
      <c r="L245" s="17"/>
      <c r="M245" s="19">
        <f t="shared" si="18"/>
        <v>0</v>
      </c>
    </row>
    <row r="246" spans="1:13" x14ac:dyDescent="0.25">
      <c r="A246" s="43"/>
      <c r="G246" s="5"/>
      <c r="H246" s="17">
        <v>241</v>
      </c>
      <c r="I246" s="18" t="str">
        <f t="shared" si="16"/>
        <v/>
      </c>
      <c r="J246" s="17">
        <f t="shared" si="19"/>
        <v>-4</v>
      </c>
      <c r="K246" s="17">
        <f t="shared" si="17"/>
        <v>-40</v>
      </c>
      <c r="L246" s="17"/>
      <c r="M246" s="19">
        <f t="shared" si="18"/>
        <v>0</v>
      </c>
    </row>
    <row r="247" spans="1:13" x14ac:dyDescent="0.25">
      <c r="A247" s="43"/>
      <c r="G247" s="5"/>
      <c r="H247" s="17">
        <v>242</v>
      </c>
      <c r="I247" s="18" t="str">
        <f t="shared" si="16"/>
        <v/>
      </c>
      <c r="J247" s="17">
        <f t="shared" si="19"/>
        <v>-4</v>
      </c>
      <c r="K247" s="17">
        <f t="shared" si="17"/>
        <v>-40</v>
      </c>
      <c r="L247" s="17"/>
      <c r="M247" s="19">
        <f t="shared" si="18"/>
        <v>0</v>
      </c>
    </row>
    <row r="248" spans="1:13" x14ac:dyDescent="0.25">
      <c r="A248" s="43"/>
      <c r="G248" s="5"/>
      <c r="H248" s="17">
        <v>243</v>
      </c>
      <c r="I248" s="18" t="str">
        <f t="shared" si="16"/>
        <v/>
      </c>
      <c r="J248" s="17">
        <f t="shared" si="19"/>
        <v>-4</v>
      </c>
      <c r="K248" s="17">
        <f t="shared" si="17"/>
        <v>-40</v>
      </c>
      <c r="L248" s="17"/>
      <c r="M248" s="19">
        <f t="shared" si="18"/>
        <v>0</v>
      </c>
    </row>
    <row r="249" spans="1:13" x14ac:dyDescent="0.25">
      <c r="A249" s="43"/>
      <c r="G249" s="5"/>
      <c r="H249" s="17">
        <v>244</v>
      </c>
      <c r="I249" s="18" t="str">
        <f t="shared" si="16"/>
        <v/>
      </c>
      <c r="J249" s="17">
        <f t="shared" si="19"/>
        <v>-4</v>
      </c>
      <c r="K249" s="17">
        <f t="shared" si="17"/>
        <v>-40</v>
      </c>
      <c r="L249" s="17"/>
      <c r="M249" s="19">
        <f t="shared" si="18"/>
        <v>0</v>
      </c>
    </row>
    <row r="250" spans="1:13" x14ac:dyDescent="0.25">
      <c r="A250" s="43"/>
      <c r="G250" s="5"/>
      <c r="H250" s="17">
        <v>245</v>
      </c>
      <c r="I250" s="18" t="str">
        <f t="shared" si="16"/>
        <v/>
      </c>
      <c r="J250" s="17">
        <f t="shared" si="19"/>
        <v>-4</v>
      </c>
      <c r="K250" s="17">
        <f t="shared" si="17"/>
        <v>-40</v>
      </c>
      <c r="L250" s="17"/>
      <c r="M250" s="19">
        <f t="shared" si="18"/>
        <v>0</v>
      </c>
    </row>
    <row r="251" spans="1:13" x14ac:dyDescent="0.25">
      <c r="A251" s="43"/>
      <c r="G251" s="5"/>
      <c r="H251" s="17">
        <v>246</v>
      </c>
      <c r="I251" s="18" t="str">
        <f t="shared" si="16"/>
        <v/>
      </c>
      <c r="J251" s="17">
        <f t="shared" si="19"/>
        <v>-4</v>
      </c>
      <c r="K251" s="17">
        <f t="shared" si="17"/>
        <v>-40</v>
      </c>
      <c r="L251" s="17"/>
      <c r="M251" s="19">
        <f t="shared" si="18"/>
        <v>0</v>
      </c>
    </row>
    <row r="252" spans="1:13" x14ac:dyDescent="0.25">
      <c r="A252" s="43"/>
      <c r="G252" s="5"/>
      <c r="H252" s="17">
        <v>247</v>
      </c>
      <c r="I252" s="18" t="str">
        <f t="shared" si="16"/>
        <v/>
      </c>
      <c r="J252" s="17">
        <f t="shared" si="19"/>
        <v>-4</v>
      </c>
      <c r="K252" s="17">
        <f t="shared" si="17"/>
        <v>-40</v>
      </c>
      <c r="L252" s="17"/>
      <c r="M252" s="19">
        <f t="shared" si="18"/>
        <v>0</v>
      </c>
    </row>
    <row r="253" spans="1:13" x14ac:dyDescent="0.25">
      <c r="A253" s="43"/>
      <c r="G253" s="5"/>
      <c r="H253" s="17">
        <v>248</v>
      </c>
      <c r="I253" s="18" t="str">
        <f t="shared" si="16"/>
        <v/>
      </c>
      <c r="J253" s="17">
        <f t="shared" si="19"/>
        <v>-4</v>
      </c>
      <c r="K253" s="17">
        <f t="shared" si="17"/>
        <v>-40</v>
      </c>
      <c r="L253" s="17"/>
      <c r="M253" s="19">
        <f t="shared" si="18"/>
        <v>0</v>
      </c>
    </row>
    <row r="254" spans="1:13" x14ac:dyDescent="0.25">
      <c r="A254" s="43"/>
      <c r="G254" s="5"/>
      <c r="H254" s="17">
        <v>249</v>
      </c>
      <c r="I254" s="18" t="str">
        <f t="shared" si="16"/>
        <v/>
      </c>
      <c r="J254" s="17">
        <f t="shared" si="19"/>
        <v>-4</v>
      </c>
      <c r="K254" s="17">
        <f t="shared" si="17"/>
        <v>-40</v>
      </c>
      <c r="L254" s="17"/>
      <c r="M254" s="19">
        <f t="shared" si="18"/>
        <v>0</v>
      </c>
    </row>
    <row r="255" spans="1:13" x14ac:dyDescent="0.25">
      <c r="A255" s="43"/>
      <c r="G255" s="5"/>
      <c r="H255" s="17">
        <v>250</v>
      </c>
      <c r="I255" s="18" t="str">
        <f t="shared" si="16"/>
        <v/>
      </c>
      <c r="J255" s="17">
        <f t="shared" si="19"/>
        <v>-4</v>
      </c>
      <c r="K255" s="17">
        <f t="shared" si="17"/>
        <v>-40</v>
      </c>
      <c r="L255" s="17"/>
      <c r="M255" s="19">
        <f t="shared" si="18"/>
        <v>0</v>
      </c>
    </row>
    <row r="256" spans="1:13" x14ac:dyDescent="0.25">
      <c r="A256" s="43"/>
      <c r="G256" s="5"/>
      <c r="H256" s="17">
        <v>251</v>
      </c>
      <c r="I256" s="18" t="str">
        <f t="shared" si="16"/>
        <v/>
      </c>
      <c r="J256" s="17">
        <f t="shared" si="19"/>
        <v>-4</v>
      </c>
      <c r="K256" s="17">
        <f t="shared" si="17"/>
        <v>-40</v>
      </c>
      <c r="L256" s="17"/>
      <c r="M256" s="19">
        <f t="shared" si="18"/>
        <v>0</v>
      </c>
    </row>
    <row r="257" spans="1:13" x14ac:dyDescent="0.25">
      <c r="A257" s="43"/>
      <c r="G257" s="5"/>
      <c r="H257" s="17">
        <v>252</v>
      </c>
      <c r="I257" s="18" t="str">
        <f t="shared" si="16"/>
        <v/>
      </c>
      <c r="J257" s="17">
        <f t="shared" si="19"/>
        <v>-4</v>
      </c>
      <c r="K257" s="17">
        <f t="shared" si="17"/>
        <v>-40</v>
      </c>
      <c r="L257" s="17"/>
      <c r="M257" s="19">
        <f t="shared" si="18"/>
        <v>0</v>
      </c>
    </row>
    <row r="258" spans="1:13" x14ac:dyDescent="0.25">
      <c r="A258" s="43"/>
      <c r="G258" s="5"/>
      <c r="H258" s="17">
        <v>253</v>
      </c>
      <c r="I258" s="18" t="str">
        <f t="shared" si="16"/>
        <v/>
      </c>
      <c r="J258" s="17">
        <f t="shared" si="19"/>
        <v>-4</v>
      </c>
      <c r="K258" s="17">
        <f t="shared" si="17"/>
        <v>-40</v>
      </c>
      <c r="L258" s="17"/>
      <c r="M258" s="19">
        <f t="shared" si="18"/>
        <v>0</v>
      </c>
    </row>
    <row r="259" spans="1:13" x14ac:dyDescent="0.25">
      <c r="A259" s="43"/>
      <c r="G259" s="5"/>
      <c r="H259" s="17">
        <v>254</v>
      </c>
      <c r="I259" s="18" t="str">
        <f t="shared" si="16"/>
        <v/>
      </c>
      <c r="J259" s="17">
        <f t="shared" si="19"/>
        <v>-4</v>
      </c>
      <c r="K259" s="17">
        <f t="shared" si="17"/>
        <v>-40</v>
      </c>
      <c r="L259" s="17"/>
      <c r="M259" s="19">
        <f t="shared" si="18"/>
        <v>0</v>
      </c>
    </row>
    <row r="260" spans="1:13" x14ac:dyDescent="0.25">
      <c r="A260" s="43"/>
      <c r="G260" s="5"/>
      <c r="H260" s="17">
        <v>255</v>
      </c>
      <c r="I260" s="18" t="str">
        <f t="shared" si="16"/>
        <v/>
      </c>
      <c r="J260" s="17">
        <f t="shared" si="19"/>
        <v>-4</v>
      </c>
      <c r="K260" s="17">
        <f t="shared" si="17"/>
        <v>-40</v>
      </c>
      <c r="L260" s="17"/>
      <c r="M260" s="19">
        <f t="shared" si="18"/>
        <v>0</v>
      </c>
    </row>
    <row r="261" spans="1:13" x14ac:dyDescent="0.25">
      <c r="A261" s="43"/>
      <c r="G261" s="5"/>
      <c r="H261" s="17">
        <v>256</v>
      </c>
      <c r="I261" s="18" t="str">
        <f t="shared" si="16"/>
        <v/>
      </c>
      <c r="J261" s="17">
        <f t="shared" si="19"/>
        <v>-4</v>
      </c>
      <c r="K261" s="17">
        <f t="shared" si="17"/>
        <v>-40</v>
      </c>
      <c r="L261" s="17"/>
      <c r="M261" s="19">
        <f t="shared" si="18"/>
        <v>0</v>
      </c>
    </row>
    <row r="262" spans="1:13" x14ac:dyDescent="0.25">
      <c r="A262" s="43"/>
      <c r="G262" s="5"/>
      <c r="H262" s="17">
        <v>257</v>
      </c>
      <c r="I262" s="18" t="str">
        <f t="shared" ref="I262:I305" si="20">IF(H262&lt;$H$2+1,($I$2-($I$2-1)*(LOG(H262)/LOG($H$2))),"")</f>
        <v/>
      </c>
      <c r="J262" s="17">
        <f t="shared" si="19"/>
        <v>-5</v>
      </c>
      <c r="K262" s="17">
        <f t="shared" ref="K262:K305" si="21">J262*$J$2</f>
        <v>-50</v>
      </c>
      <c r="L262" s="17"/>
      <c r="M262" s="19">
        <f t="shared" ref="M262:M305" si="22">IF(I262&lt;&gt;"",K262+I262+L262,0)</f>
        <v>0</v>
      </c>
    </row>
    <row r="263" spans="1:13" x14ac:dyDescent="0.25">
      <c r="A263" s="43"/>
      <c r="G263" s="5"/>
      <c r="H263" s="17">
        <v>258</v>
      </c>
      <c r="I263" s="18" t="str">
        <f t="shared" si="20"/>
        <v/>
      </c>
      <c r="J263" s="17">
        <f t="shared" ref="J263:J326" si="23">INT(LOG($H$2,2))-ROUNDUP(LOG(H263,2),0)+IF(OR($H$2=1,$H$2=2,$H$2=4,$H$2=8,$H$2=16,$H$2=32,$H$2=64,$H$2=128,$H$2=256),0,1)</f>
        <v>-5</v>
      </c>
      <c r="K263" s="17">
        <f t="shared" si="21"/>
        <v>-50</v>
      </c>
      <c r="L263" s="17"/>
      <c r="M263" s="19">
        <f t="shared" si="22"/>
        <v>0</v>
      </c>
    </row>
    <row r="264" spans="1:13" x14ac:dyDescent="0.25">
      <c r="A264" s="43"/>
      <c r="G264" s="5"/>
      <c r="H264" s="17">
        <v>259</v>
      </c>
      <c r="I264" s="18" t="str">
        <f t="shared" si="20"/>
        <v/>
      </c>
      <c r="J264" s="17">
        <f t="shared" si="23"/>
        <v>-5</v>
      </c>
      <c r="K264" s="17">
        <f t="shared" si="21"/>
        <v>-50</v>
      </c>
      <c r="L264" s="17"/>
      <c r="M264" s="19">
        <f t="shared" si="22"/>
        <v>0</v>
      </c>
    </row>
    <row r="265" spans="1:13" x14ac:dyDescent="0.25">
      <c r="A265" s="43"/>
      <c r="G265" s="5"/>
      <c r="H265" s="17">
        <v>260</v>
      </c>
      <c r="I265" s="18" t="str">
        <f t="shared" si="20"/>
        <v/>
      </c>
      <c r="J265" s="17">
        <f t="shared" si="23"/>
        <v>-5</v>
      </c>
      <c r="K265" s="17">
        <f t="shared" si="21"/>
        <v>-50</v>
      </c>
      <c r="L265" s="17"/>
      <c r="M265" s="19">
        <f t="shared" si="22"/>
        <v>0</v>
      </c>
    </row>
    <row r="266" spans="1:13" x14ac:dyDescent="0.25">
      <c r="A266" s="43"/>
      <c r="G266" s="5"/>
      <c r="H266" s="17">
        <v>261</v>
      </c>
      <c r="I266" s="18" t="str">
        <f t="shared" si="20"/>
        <v/>
      </c>
      <c r="J266" s="17">
        <f t="shared" si="23"/>
        <v>-5</v>
      </c>
      <c r="K266" s="17">
        <f t="shared" si="21"/>
        <v>-50</v>
      </c>
      <c r="L266" s="17"/>
      <c r="M266" s="19">
        <f t="shared" si="22"/>
        <v>0</v>
      </c>
    </row>
    <row r="267" spans="1:13" x14ac:dyDescent="0.25">
      <c r="A267" s="43"/>
      <c r="G267" s="5"/>
      <c r="H267" s="17">
        <v>262</v>
      </c>
      <c r="I267" s="18" t="str">
        <f t="shared" si="20"/>
        <v/>
      </c>
      <c r="J267" s="17">
        <f t="shared" si="23"/>
        <v>-5</v>
      </c>
      <c r="K267" s="17">
        <f t="shared" si="21"/>
        <v>-50</v>
      </c>
      <c r="L267" s="17"/>
      <c r="M267" s="19">
        <f t="shared" si="22"/>
        <v>0</v>
      </c>
    </row>
    <row r="268" spans="1:13" x14ac:dyDescent="0.25">
      <c r="A268" s="43"/>
      <c r="G268" s="5"/>
      <c r="H268" s="17">
        <v>263</v>
      </c>
      <c r="I268" s="18" t="str">
        <f t="shared" si="20"/>
        <v/>
      </c>
      <c r="J268" s="17">
        <f t="shared" si="23"/>
        <v>-5</v>
      </c>
      <c r="K268" s="17">
        <f t="shared" si="21"/>
        <v>-50</v>
      </c>
      <c r="L268" s="17"/>
      <c r="M268" s="19">
        <f t="shared" si="22"/>
        <v>0</v>
      </c>
    </row>
    <row r="269" spans="1:13" x14ac:dyDescent="0.25">
      <c r="A269" s="43"/>
      <c r="G269" s="5"/>
      <c r="H269" s="17">
        <v>264</v>
      </c>
      <c r="I269" s="18" t="str">
        <f t="shared" si="20"/>
        <v/>
      </c>
      <c r="J269" s="17">
        <f t="shared" si="23"/>
        <v>-5</v>
      </c>
      <c r="K269" s="17">
        <f t="shared" si="21"/>
        <v>-50</v>
      </c>
      <c r="L269" s="17"/>
      <c r="M269" s="19">
        <f t="shared" si="22"/>
        <v>0</v>
      </c>
    </row>
    <row r="270" spans="1:13" x14ac:dyDescent="0.25">
      <c r="A270" s="43"/>
      <c r="G270" s="5"/>
      <c r="H270" s="17">
        <v>265</v>
      </c>
      <c r="I270" s="18" t="str">
        <f t="shared" si="20"/>
        <v/>
      </c>
      <c r="J270" s="17">
        <f t="shared" si="23"/>
        <v>-5</v>
      </c>
      <c r="K270" s="17">
        <f t="shared" si="21"/>
        <v>-50</v>
      </c>
      <c r="L270" s="17"/>
      <c r="M270" s="19">
        <f t="shared" si="22"/>
        <v>0</v>
      </c>
    </row>
    <row r="271" spans="1:13" x14ac:dyDescent="0.25">
      <c r="A271" s="43"/>
      <c r="G271" s="5"/>
      <c r="H271" s="17">
        <v>266</v>
      </c>
      <c r="I271" s="18" t="str">
        <f t="shared" si="20"/>
        <v/>
      </c>
      <c r="J271" s="17">
        <f t="shared" si="23"/>
        <v>-5</v>
      </c>
      <c r="K271" s="17">
        <f t="shared" si="21"/>
        <v>-50</v>
      </c>
      <c r="L271" s="17"/>
      <c r="M271" s="19">
        <f t="shared" si="22"/>
        <v>0</v>
      </c>
    </row>
    <row r="272" spans="1:13" x14ac:dyDescent="0.25">
      <c r="A272" s="43"/>
      <c r="G272" s="5"/>
      <c r="H272" s="17">
        <v>267</v>
      </c>
      <c r="I272" s="18" t="str">
        <f t="shared" si="20"/>
        <v/>
      </c>
      <c r="J272" s="17">
        <f t="shared" si="23"/>
        <v>-5</v>
      </c>
      <c r="K272" s="17">
        <f t="shared" si="21"/>
        <v>-50</v>
      </c>
      <c r="L272" s="17"/>
      <c r="M272" s="19">
        <f t="shared" si="22"/>
        <v>0</v>
      </c>
    </row>
    <row r="273" spans="1:13" x14ac:dyDescent="0.25">
      <c r="A273" s="43"/>
      <c r="G273" s="5"/>
      <c r="H273" s="17">
        <v>268</v>
      </c>
      <c r="I273" s="18" t="str">
        <f t="shared" si="20"/>
        <v/>
      </c>
      <c r="J273" s="17">
        <f t="shared" si="23"/>
        <v>-5</v>
      </c>
      <c r="K273" s="17">
        <f t="shared" si="21"/>
        <v>-50</v>
      </c>
      <c r="L273" s="17"/>
      <c r="M273" s="19">
        <f t="shared" si="22"/>
        <v>0</v>
      </c>
    </row>
    <row r="274" spans="1:13" x14ac:dyDescent="0.25">
      <c r="A274" s="43"/>
      <c r="G274" s="5"/>
      <c r="H274" s="17">
        <v>269</v>
      </c>
      <c r="I274" s="18" t="str">
        <f t="shared" si="20"/>
        <v/>
      </c>
      <c r="J274" s="17">
        <f t="shared" si="23"/>
        <v>-5</v>
      </c>
      <c r="K274" s="17">
        <f t="shared" si="21"/>
        <v>-50</v>
      </c>
      <c r="L274" s="17"/>
      <c r="M274" s="19">
        <f t="shared" si="22"/>
        <v>0</v>
      </c>
    </row>
    <row r="275" spans="1:13" x14ac:dyDescent="0.25">
      <c r="A275" s="43"/>
      <c r="G275" s="5"/>
      <c r="H275" s="17">
        <v>270</v>
      </c>
      <c r="I275" s="18" t="str">
        <f t="shared" si="20"/>
        <v/>
      </c>
      <c r="J275" s="17">
        <f t="shared" si="23"/>
        <v>-5</v>
      </c>
      <c r="K275" s="17">
        <f t="shared" si="21"/>
        <v>-50</v>
      </c>
      <c r="L275" s="17"/>
      <c r="M275" s="19">
        <f t="shared" si="22"/>
        <v>0</v>
      </c>
    </row>
    <row r="276" spans="1:13" x14ac:dyDescent="0.25">
      <c r="A276" s="43"/>
      <c r="G276" s="5"/>
      <c r="H276" s="17">
        <v>271</v>
      </c>
      <c r="I276" s="18" t="str">
        <f t="shared" si="20"/>
        <v/>
      </c>
      <c r="J276" s="17">
        <f t="shared" si="23"/>
        <v>-5</v>
      </c>
      <c r="K276" s="17">
        <f t="shared" si="21"/>
        <v>-50</v>
      </c>
      <c r="L276" s="17"/>
      <c r="M276" s="19">
        <f t="shared" si="22"/>
        <v>0</v>
      </c>
    </row>
    <row r="277" spans="1:13" x14ac:dyDescent="0.25">
      <c r="A277" s="43"/>
      <c r="G277" s="5"/>
      <c r="H277" s="17">
        <v>272</v>
      </c>
      <c r="I277" s="18" t="str">
        <f t="shared" si="20"/>
        <v/>
      </c>
      <c r="J277" s="17">
        <f t="shared" si="23"/>
        <v>-5</v>
      </c>
      <c r="K277" s="17">
        <f t="shared" si="21"/>
        <v>-50</v>
      </c>
      <c r="L277" s="17"/>
      <c r="M277" s="19">
        <f t="shared" si="22"/>
        <v>0</v>
      </c>
    </row>
    <row r="278" spans="1:13" x14ac:dyDescent="0.25">
      <c r="A278" s="43"/>
      <c r="G278" s="5"/>
      <c r="H278" s="17">
        <v>273</v>
      </c>
      <c r="I278" s="18" t="str">
        <f t="shared" si="20"/>
        <v/>
      </c>
      <c r="J278" s="17">
        <f t="shared" si="23"/>
        <v>-5</v>
      </c>
      <c r="K278" s="17">
        <f t="shared" si="21"/>
        <v>-50</v>
      </c>
      <c r="L278" s="17"/>
      <c r="M278" s="19">
        <f t="shared" si="22"/>
        <v>0</v>
      </c>
    </row>
    <row r="279" spans="1:13" x14ac:dyDescent="0.25">
      <c r="A279" s="43"/>
      <c r="G279" s="5"/>
      <c r="H279" s="17">
        <v>274</v>
      </c>
      <c r="I279" s="18" t="str">
        <f t="shared" si="20"/>
        <v/>
      </c>
      <c r="J279" s="17">
        <f t="shared" si="23"/>
        <v>-5</v>
      </c>
      <c r="K279" s="17">
        <f t="shared" si="21"/>
        <v>-50</v>
      </c>
      <c r="L279" s="17"/>
      <c r="M279" s="19">
        <f t="shared" si="22"/>
        <v>0</v>
      </c>
    </row>
    <row r="280" spans="1:13" x14ac:dyDescent="0.25">
      <c r="A280" s="43"/>
      <c r="G280" s="5"/>
      <c r="H280" s="17">
        <v>275</v>
      </c>
      <c r="I280" s="18" t="str">
        <f t="shared" si="20"/>
        <v/>
      </c>
      <c r="J280" s="17">
        <f t="shared" si="23"/>
        <v>-5</v>
      </c>
      <c r="K280" s="17">
        <f t="shared" si="21"/>
        <v>-50</v>
      </c>
      <c r="L280" s="17"/>
      <c r="M280" s="19">
        <f t="shared" si="22"/>
        <v>0</v>
      </c>
    </row>
    <row r="281" spans="1:13" x14ac:dyDescent="0.25">
      <c r="A281" s="43"/>
      <c r="G281" s="5"/>
      <c r="H281" s="17">
        <v>276</v>
      </c>
      <c r="I281" s="18" t="str">
        <f t="shared" si="20"/>
        <v/>
      </c>
      <c r="J281" s="17">
        <f t="shared" si="23"/>
        <v>-5</v>
      </c>
      <c r="K281" s="17">
        <f t="shared" si="21"/>
        <v>-50</v>
      </c>
      <c r="L281" s="17"/>
      <c r="M281" s="19">
        <f t="shared" si="22"/>
        <v>0</v>
      </c>
    </row>
    <row r="282" spans="1:13" x14ac:dyDescent="0.25">
      <c r="A282" s="43"/>
      <c r="G282" s="5"/>
      <c r="H282" s="17">
        <v>277</v>
      </c>
      <c r="I282" s="18" t="str">
        <f t="shared" si="20"/>
        <v/>
      </c>
      <c r="J282" s="17">
        <f t="shared" si="23"/>
        <v>-5</v>
      </c>
      <c r="K282" s="17">
        <f t="shared" si="21"/>
        <v>-50</v>
      </c>
      <c r="L282" s="17"/>
      <c r="M282" s="19">
        <f t="shared" si="22"/>
        <v>0</v>
      </c>
    </row>
    <row r="283" spans="1:13" x14ac:dyDescent="0.25">
      <c r="A283" s="43"/>
      <c r="G283" s="5"/>
      <c r="H283" s="17">
        <v>278</v>
      </c>
      <c r="I283" s="18" t="str">
        <f t="shared" si="20"/>
        <v/>
      </c>
      <c r="J283" s="17">
        <f t="shared" si="23"/>
        <v>-5</v>
      </c>
      <c r="K283" s="17">
        <f t="shared" si="21"/>
        <v>-50</v>
      </c>
      <c r="L283" s="17"/>
      <c r="M283" s="19">
        <f t="shared" si="22"/>
        <v>0</v>
      </c>
    </row>
    <row r="284" spans="1:13" x14ac:dyDescent="0.25">
      <c r="A284" s="43"/>
      <c r="G284" s="5"/>
      <c r="H284" s="17">
        <v>279</v>
      </c>
      <c r="I284" s="18" t="str">
        <f t="shared" si="20"/>
        <v/>
      </c>
      <c r="J284" s="17">
        <f t="shared" si="23"/>
        <v>-5</v>
      </c>
      <c r="K284" s="17">
        <f t="shared" si="21"/>
        <v>-50</v>
      </c>
      <c r="L284" s="17"/>
      <c r="M284" s="19">
        <f t="shared" si="22"/>
        <v>0</v>
      </c>
    </row>
    <row r="285" spans="1:13" x14ac:dyDescent="0.25">
      <c r="A285" s="43"/>
      <c r="G285" s="5"/>
      <c r="H285" s="17">
        <v>280</v>
      </c>
      <c r="I285" s="18" t="str">
        <f t="shared" si="20"/>
        <v/>
      </c>
      <c r="J285" s="17">
        <f t="shared" si="23"/>
        <v>-5</v>
      </c>
      <c r="K285" s="17">
        <f t="shared" si="21"/>
        <v>-50</v>
      </c>
      <c r="L285" s="17"/>
      <c r="M285" s="19">
        <f t="shared" si="22"/>
        <v>0</v>
      </c>
    </row>
    <row r="286" spans="1:13" x14ac:dyDescent="0.25">
      <c r="A286" s="43"/>
      <c r="G286" s="5"/>
      <c r="H286" s="17">
        <v>281</v>
      </c>
      <c r="I286" s="18" t="str">
        <f t="shared" si="20"/>
        <v/>
      </c>
      <c r="J286" s="17">
        <f t="shared" si="23"/>
        <v>-5</v>
      </c>
      <c r="K286" s="17">
        <f t="shared" si="21"/>
        <v>-50</v>
      </c>
      <c r="L286" s="17"/>
      <c r="M286" s="19">
        <f t="shared" si="22"/>
        <v>0</v>
      </c>
    </row>
    <row r="287" spans="1:13" x14ac:dyDescent="0.25">
      <c r="A287" s="43"/>
      <c r="G287" s="5"/>
      <c r="H287" s="17">
        <v>282</v>
      </c>
      <c r="I287" s="18" t="str">
        <f t="shared" si="20"/>
        <v/>
      </c>
      <c r="J287" s="17">
        <f t="shared" si="23"/>
        <v>-5</v>
      </c>
      <c r="K287" s="17">
        <f t="shared" si="21"/>
        <v>-50</v>
      </c>
      <c r="L287" s="17"/>
      <c r="M287" s="19">
        <f t="shared" si="22"/>
        <v>0</v>
      </c>
    </row>
    <row r="288" spans="1:13" x14ac:dyDescent="0.25">
      <c r="A288" s="43"/>
      <c r="G288" s="5"/>
      <c r="H288" s="17">
        <v>283</v>
      </c>
      <c r="I288" s="18" t="str">
        <f t="shared" si="20"/>
        <v/>
      </c>
      <c r="J288" s="17">
        <f t="shared" si="23"/>
        <v>-5</v>
      </c>
      <c r="K288" s="17">
        <f t="shared" si="21"/>
        <v>-50</v>
      </c>
      <c r="L288" s="17"/>
      <c r="M288" s="19">
        <f t="shared" si="22"/>
        <v>0</v>
      </c>
    </row>
    <row r="289" spans="1:13" x14ac:dyDescent="0.25">
      <c r="A289" s="43"/>
      <c r="G289" s="5"/>
      <c r="H289" s="17">
        <v>284</v>
      </c>
      <c r="I289" s="18" t="str">
        <f t="shared" si="20"/>
        <v/>
      </c>
      <c r="J289" s="17">
        <f t="shared" si="23"/>
        <v>-5</v>
      </c>
      <c r="K289" s="17">
        <f t="shared" si="21"/>
        <v>-50</v>
      </c>
      <c r="L289" s="17"/>
      <c r="M289" s="19">
        <f t="shared" si="22"/>
        <v>0</v>
      </c>
    </row>
    <row r="290" spans="1:13" x14ac:dyDescent="0.25">
      <c r="A290" s="43"/>
      <c r="G290" s="5"/>
      <c r="H290" s="17">
        <v>285</v>
      </c>
      <c r="I290" s="18" t="str">
        <f t="shared" si="20"/>
        <v/>
      </c>
      <c r="J290" s="17">
        <f t="shared" si="23"/>
        <v>-5</v>
      </c>
      <c r="K290" s="17">
        <f t="shared" si="21"/>
        <v>-50</v>
      </c>
      <c r="L290" s="17"/>
      <c r="M290" s="19">
        <f t="shared" si="22"/>
        <v>0</v>
      </c>
    </row>
    <row r="291" spans="1:13" x14ac:dyDescent="0.25">
      <c r="A291" s="43"/>
      <c r="G291" s="5"/>
      <c r="H291" s="17">
        <v>286</v>
      </c>
      <c r="I291" s="18" t="str">
        <f t="shared" si="20"/>
        <v/>
      </c>
      <c r="J291" s="17">
        <f t="shared" si="23"/>
        <v>-5</v>
      </c>
      <c r="K291" s="17">
        <f t="shared" si="21"/>
        <v>-50</v>
      </c>
      <c r="L291" s="17"/>
      <c r="M291" s="19">
        <f t="shared" si="22"/>
        <v>0</v>
      </c>
    </row>
    <row r="292" spans="1:13" x14ac:dyDescent="0.25">
      <c r="A292" s="43"/>
      <c r="G292" s="5"/>
      <c r="H292" s="17">
        <v>287</v>
      </c>
      <c r="I292" s="18" t="str">
        <f t="shared" si="20"/>
        <v/>
      </c>
      <c r="J292" s="17">
        <f t="shared" si="23"/>
        <v>-5</v>
      </c>
      <c r="K292" s="17">
        <f t="shared" si="21"/>
        <v>-50</v>
      </c>
      <c r="L292" s="17"/>
      <c r="M292" s="19">
        <f t="shared" si="22"/>
        <v>0</v>
      </c>
    </row>
    <row r="293" spans="1:13" x14ac:dyDescent="0.25">
      <c r="A293" s="43"/>
      <c r="G293" s="5"/>
      <c r="H293" s="17">
        <v>288</v>
      </c>
      <c r="I293" s="18" t="str">
        <f t="shared" si="20"/>
        <v/>
      </c>
      <c r="J293" s="17">
        <f t="shared" si="23"/>
        <v>-5</v>
      </c>
      <c r="K293" s="17">
        <f t="shared" si="21"/>
        <v>-50</v>
      </c>
      <c r="L293" s="17"/>
      <c r="M293" s="19">
        <f t="shared" si="22"/>
        <v>0</v>
      </c>
    </row>
    <row r="294" spans="1:13" x14ac:dyDescent="0.25">
      <c r="A294" s="43"/>
      <c r="G294" s="5"/>
      <c r="H294" s="17">
        <v>289</v>
      </c>
      <c r="I294" s="18" t="str">
        <f t="shared" si="20"/>
        <v/>
      </c>
      <c r="J294" s="17">
        <f t="shared" si="23"/>
        <v>-5</v>
      </c>
      <c r="K294" s="17">
        <f t="shared" si="21"/>
        <v>-50</v>
      </c>
      <c r="L294" s="17"/>
      <c r="M294" s="19">
        <f t="shared" si="22"/>
        <v>0</v>
      </c>
    </row>
    <row r="295" spans="1:13" x14ac:dyDescent="0.25">
      <c r="A295" s="43"/>
      <c r="G295" s="5"/>
      <c r="H295" s="17">
        <v>290</v>
      </c>
      <c r="I295" s="18" t="str">
        <f t="shared" si="20"/>
        <v/>
      </c>
      <c r="J295" s="17">
        <f t="shared" si="23"/>
        <v>-5</v>
      </c>
      <c r="K295" s="17">
        <f t="shared" si="21"/>
        <v>-50</v>
      </c>
      <c r="L295" s="17"/>
      <c r="M295" s="19">
        <f t="shared" si="22"/>
        <v>0</v>
      </c>
    </row>
    <row r="296" spans="1:13" x14ac:dyDescent="0.25">
      <c r="A296" s="43"/>
      <c r="G296" s="5"/>
      <c r="H296" s="17">
        <v>291</v>
      </c>
      <c r="I296" s="18" t="str">
        <f t="shared" si="20"/>
        <v/>
      </c>
      <c r="J296" s="17">
        <f t="shared" si="23"/>
        <v>-5</v>
      </c>
      <c r="K296" s="17">
        <f t="shared" si="21"/>
        <v>-50</v>
      </c>
      <c r="L296" s="17"/>
      <c r="M296" s="19">
        <f t="shared" si="22"/>
        <v>0</v>
      </c>
    </row>
    <row r="297" spans="1:13" x14ac:dyDescent="0.25">
      <c r="A297" s="43"/>
      <c r="G297" s="5"/>
      <c r="H297" s="17">
        <v>292</v>
      </c>
      <c r="I297" s="18" t="str">
        <f t="shared" si="20"/>
        <v/>
      </c>
      <c r="J297" s="17">
        <f t="shared" si="23"/>
        <v>-5</v>
      </c>
      <c r="K297" s="17">
        <f t="shared" si="21"/>
        <v>-50</v>
      </c>
      <c r="L297" s="17"/>
      <c r="M297" s="19">
        <f t="shared" si="22"/>
        <v>0</v>
      </c>
    </row>
    <row r="298" spans="1:13" x14ac:dyDescent="0.25">
      <c r="A298" s="43"/>
      <c r="G298" s="5"/>
      <c r="H298" s="17">
        <v>293</v>
      </c>
      <c r="I298" s="18" t="str">
        <f t="shared" si="20"/>
        <v/>
      </c>
      <c r="J298" s="17">
        <f t="shared" si="23"/>
        <v>-5</v>
      </c>
      <c r="K298" s="17">
        <f t="shared" si="21"/>
        <v>-50</v>
      </c>
      <c r="L298" s="17"/>
      <c r="M298" s="19">
        <f t="shared" si="22"/>
        <v>0</v>
      </c>
    </row>
    <row r="299" spans="1:13" x14ac:dyDescent="0.25">
      <c r="A299" s="43"/>
      <c r="G299" s="5"/>
      <c r="H299" s="17">
        <v>294</v>
      </c>
      <c r="I299" s="18" t="str">
        <f t="shared" si="20"/>
        <v/>
      </c>
      <c r="J299" s="17">
        <f t="shared" si="23"/>
        <v>-5</v>
      </c>
      <c r="K299" s="17">
        <f t="shared" si="21"/>
        <v>-50</v>
      </c>
      <c r="L299" s="17"/>
      <c r="M299" s="19">
        <f t="shared" si="22"/>
        <v>0</v>
      </c>
    </row>
    <row r="300" spans="1:13" x14ac:dyDescent="0.25">
      <c r="A300" s="43"/>
      <c r="G300" s="5"/>
      <c r="H300" s="17">
        <v>295</v>
      </c>
      <c r="I300" s="18" t="str">
        <f t="shared" si="20"/>
        <v/>
      </c>
      <c r="J300" s="17">
        <f t="shared" si="23"/>
        <v>-5</v>
      </c>
      <c r="K300" s="17">
        <f t="shared" si="21"/>
        <v>-50</v>
      </c>
      <c r="L300" s="17"/>
      <c r="M300" s="19">
        <f t="shared" si="22"/>
        <v>0</v>
      </c>
    </row>
    <row r="301" spans="1:13" x14ac:dyDescent="0.25">
      <c r="A301" s="43"/>
      <c r="G301" s="5"/>
      <c r="H301" s="17">
        <v>296</v>
      </c>
      <c r="I301" s="18" t="str">
        <f t="shared" si="20"/>
        <v/>
      </c>
      <c r="J301" s="17">
        <f t="shared" si="23"/>
        <v>-5</v>
      </c>
      <c r="K301" s="17">
        <f t="shared" si="21"/>
        <v>-50</v>
      </c>
      <c r="L301" s="17"/>
      <c r="M301" s="19">
        <f t="shared" si="22"/>
        <v>0</v>
      </c>
    </row>
    <row r="302" spans="1:13" x14ac:dyDescent="0.25">
      <c r="A302" s="43"/>
      <c r="G302" s="5"/>
      <c r="H302" s="17">
        <v>297</v>
      </c>
      <c r="I302" s="18" t="str">
        <f t="shared" si="20"/>
        <v/>
      </c>
      <c r="J302" s="17">
        <f t="shared" si="23"/>
        <v>-5</v>
      </c>
      <c r="K302" s="17">
        <f t="shared" si="21"/>
        <v>-50</v>
      </c>
      <c r="L302" s="17"/>
      <c r="M302" s="19">
        <f t="shared" si="22"/>
        <v>0</v>
      </c>
    </row>
    <row r="303" spans="1:13" x14ac:dyDescent="0.25">
      <c r="A303" s="43"/>
      <c r="G303" s="5"/>
      <c r="H303" s="17">
        <v>298</v>
      </c>
      <c r="I303" s="18" t="str">
        <f t="shared" si="20"/>
        <v/>
      </c>
      <c r="J303" s="17">
        <f t="shared" si="23"/>
        <v>-5</v>
      </c>
      <c r="K303" s="17">
        <f t="shared" si="21"/>
        <v>-50</v>
      </c>
      <c r="L303" s="17"/>
      <c r="M303" s="19">
        <f t="shared" si="22"/>
        <v>0</v>
      </c>
    </row>
    <row r="304" spans="1:13" x14ac:dyDescent="0.25">
      <c r="A304" s="43"/>
      <c r="G304" s="5"/>
      <c r="H304" s="17">
        <v>299</v>
      </c>
      <c r="I304" s="18" t="str">
        <f t="shared" si="20"/>
        <v/>
      </c>
      <c r="J304" s="17">
        <f t="shared" si="23"/>
        <v>-5</v>
      </c>
      <c r="K304" s="17">
        <f t="shared" si="21"/>
        <v>-50</v>
      </c>
      <c r="L304" s="17"/>
      <c r="M304" s="19">
        <f t="shared" si="22"/>
        <v>0</v>
      </c>
    </row>
    <row r="305" spans="1:16" x14ac:dyDescent="0.25">
      <c r="A305" s="43"/>
      <c r="G305" s="5"/>
      <c r="H305" s="17">
        <v>300</v>
      </c>
      <c r="I305" s="18" t="str">
        <f t="shared" si="20"/>
        <v/>
      </c>
      <c r="J305" s="17">
        <f t="shared" si="23"/>
        <v>-5</v>
      </c>
      <c r="K305" s="17">
        <f t="shared" si="21"/>
        <v>-50</v>
      </c>
      <c r="L305" s="17"/>
      <c r="M305" s="19">
        <f t="shared" si="22"/>
        <v>0</v>
      </c>
    </row>
    <row r="306" spans="1:16" x14ac:dyDescent="0.25">
      <c r="A306" s="4"/>
      <c r="J306" s="20" t="e">
        <f t="shared" si="23"/>
        <v>#NUM!</v>
      </c>
    </row>
    <row r="307" spans="1:16" x14ac:dyDescent="0.25">
      <c r="J307" s="20" t="e">
        <f t="shared" si="23"/>
        <v>#NUM!</v>
      </c>
    </row>
    <row r="308" spans="1:16" x14ac:dyDescent="0.25">
      <c r="J308" s="20" t="e">
        <f t="shared" si="23"/>
        <v>#NUM!</v>
      </c>
    </row>
    <row r="309" spans="1:16" x14ac:dyDescent="0.25">
      <c r="J309" s="20" t="e">
        <f t="shared" si="23"/>
        <v>#NUM!</v>
      </c>
    </row>
    <row r="310" spans="1:16" x14ac:dyDescent="0.25">
      <c r="J310" s="20" t="e">
        <f t="shared" si="23"/>
        <v>#NUM!</v>
      </c>
    </row>
    <row r="311" spans="1:16" x14ac:dyDescent="0.25">
      <c r="J311" s="20" t="e">
        <f t="shared" si="23"/>
        <v>#NUM!</v>
      </c>
    </row>
    <row r="312" spans="1:16" x14ac:dyDescent="0.25">
      <c r="J312" s="20" t="e">
        <f t="shared" si="23"/>
        <v>#NUM!</v>
      </c>
    </row>
    <row r="313" spans="1:16" x14ac:dyDescent="0.25">
      <c r="J313" s="20" t="e">
        <f t="shared" si="23"/>
        <v>#NUM!</v>
      </c>
    </row>
    <row r="314" spans="1:16" x14ac:dyDescent="0.25">
      <c r="J314" s="20" t="e">
        <f t="shared" si="23"/>
        <v>#NUM!</v>
      </c>
      <c r="L314" s="21"/>
      <c r="P314" s="49"/>
    </row>
    <row r="315" spans="1:16" x14ac:dyDescent="0.25">
      <c r="J315" s="20" t="e">
        <f t="shared" si="23"/>
        <v>#NUM!</v>
      </c>
      <c r="L315" s="21"/>
      <c r="P315" s="49"/>
    </row>
    <row r="316" spans="1:16" x14ac:dyDescent="0.25">
      <c r="J316" s="20" t="e">
        <f t="shared" si="23"/>
        <v>#NUM!</v>
      </c>
      <c r="L316" s="21"/>
      <c r="P316" s="49"/>
    </row>
    <row r="317" spans="1:16" x14ac:dyDescent="0.25">
      <c r="J317" s="20" t="e">
        <f t="shared" si="23"/>
        <v>#NUM!</v>
      </c>
      <c r="L317" s="21"/>
      <c r="P317" s="49"/>
    </row>
    <row r="318" spans="1:16" x14ac:dyDescent="0.25">
      <c r="J318" s="20" t="e">
        <f t="shared" si="23"/>
        <v>#NUM!</v>
      </c>
    </row>
    <row r="319" spans="1:16" x14ac:dyDescent="0.25">
      <c r="J319" s="20" t="e">
        <f t="shared" si="23"/>
        <v>#NUM!</v>
      </c>
    </row>
    <row r="320" spans="1:16" x14ac:dyDescent="0.25">
      <c r="J320" s="20" t="e">
        <f t="shared" si="23"/>
        <v>#NUM!</v>
      </c>
    </row>
    <row r="321" spans="10:10" x14ac:dyDescent="0.25">
      <c r="J321" s="20" t="e">
        <f t="shared" si="23"/>
        <v>#NUM!</v>
      </c>
    </row>
    <row r="322" spans="10:10" x14ac:dyDescent="0.25">
      <c r="J322" s="20" t="e">
        <f t="shared" si="23"/>
        <v>#NUM!</v>
      </c>
    </row>
    <row r="323" spans="10:10" x14ac:dyDescent="0.25">
      <c r="J323" s="20" t="e">
        <f t="shared" si="23"/>
        <v>#NUM!</v>
      </c>
    </row>
    <row r="324" spans="10:10" x14ac:dyDescent="0.25">
      <c r="J324" s="20" t="e">
        <f t="shared" si="23"/>
        <v>#NUM!</v>
      </c>
    </row>
    <row r="325" spans="10:10" x14ac:dyDescent="0.25">
      <c r="J325" s="20" t="e">
        <f t="shared" si="23"/>
        <v>#NUM!</v>
      </c>
    </row>
    <row r="326" spans="10:10" x14ac:dyDescent="0.25">
      <c r="J326" s="20" t="e">
        <f t="shared" si="23"/>
        <v>#NUM!</v>
      </c>
    </row>
    <row r="327" spans="10:10" x14ac:dyDescent="0.25">
      <c r="J327" s="20" t="e">
        <f t="shared" ref="J327:J390" si="24">INT(LOG($H$2,2))-ROUNDUP(LOG(H327,2),0)+IF(OR($H$2=1,$H$2=2,$H$2=4,$H$2=8,$H$2=16,$H$2=32,$H$2=64,$H$2=128,$H$2=256),0,1)</f>
        <v>#NUM!</v>
      </c>
    </row>
    <row r="328" spans="10:10" x14ac:dyDescent="0.25">
      <c r="J328" s="20" t="e">
        <f t="shared" si="24"/>
        <v>#NUM!</v>
      </c>
    </row>
    <row r="329" spans="10:10" x14ac:dyDescent="0.25">
      <c r="J329" s="20" t="e">
        <f t="shared" si="24"/>
        <v>#NUM!</v>
      </c>
    </row>
    <row r="330" spans="10:10" x14ac:dyDescent="0.25">
      <c r="J330" s="20" t="e">
        <f t="shared" si="24"/>
        <v>#NUM!</v>
      </c>
    </row>
    <row r="331" spans="10:10" x14ac:dyDescent="0.25">
      <c r="J331" s="20" t="e">
        <f t="shared" si="24"/>
        <v>#NUM!</v>
      </c>
    </row>
    <row r="332" spans="10:10" x14ac:dyDescent="0.25">
      <c r="J332" s="20" t="e">
        <f t="shared" si="24"/>
        <v>#NUM!</v>
      </c>
    </row>
    <row r="333" spans="10:10" x14ac:dyDescent="0.25">
      <c r="J333" s="20" t="e">
        <f t="shared" si="24"/>
        <v>#NUM!</v>
      </c>
    </row>
    <row r="334" spans="10:10" x14ac:dyDescent="0.25">
      <c r="J334" s="20" t="e">
        <f t="shared" si="24"/>
        <v>#NUM!</v>
      </c>
    </row>
    <row r="335" spans="10:10" x14ac:dyDescent="0.25">
      <c r="J335" s="20" t="e">
        <f t="shared" si="24"/>
        <v>#NUM!</v>
      </c>
    </row>
    <row r="336" spans="10:10" x14ac:dyDescent="0.25">
      <c r="J336" s="20" t="e">
        <f t="shared" si="24"/>
        <v>#NUM!</v>
      </c>
    </row>
    <row r="337" spans="10:10" x14ac:dyDescent="0.25">
      <c r="J337" s="20" t="e">
        <f t="shared" si="24"/>
        <v>#NUM!</v>
      </c>
    </row>
    <row r="338" spans="10:10" x14ac:dyDescent="0.25">
      <c r="J338" s="20" t="e">
        <f t="shared" si="24"/>
        <v>#NUM!</v>
      </c>
    </row>
    <row r="339" spans="10:10" x14ac:dyDescent="0.25">
      <c r="J339" s="20" t="e">
        <f t="shared" si="24"/>
        <v>#NUM!</v>
      </c>
    </row>
    <row r="340" spans="10:10" x14ac:dyDescent="0.25">
      <c r="J340" s="20" t="e">
        <f t="shared" si="24"/>
        <v>#NUM!</v>
      </c>
    </row>
    <row r="341" spans="10:10" x14ac:dyDescent="0.25">
      <c r="J341" s="20" t="e">
        <f t="shared" si="24"/>
        <v>#NUM!</v>
      </c>
    </row>
    <row r="342" spans="10:10" x14ac:dyDescent="0.25">
      <c r="J342" s="20" t="e">
        <f t="shared" si="24"/>
        <v>#NUM!</v>
      </c>
    </row>
    <row r="343" spans="10:10" x14ac:dyDescent="0.25">
      <c r="J343" s="20" t="e">
        <f t="shared" si="24"/>
        <v>#NUM!</v>
      </c>
    </row>
    <row r="344" spans="10:10" x14ac:dyDescent="0.25">
      <c r="J344" s="20" t="e">
        <f t="shared" si="24"/>
        <v>#NUM!</v>
      </c>
    </row>
    <row r="345" spans="10:10" x14ac:dyDescent="0.25">
      <c r="J345" s="20" t="e">
        <f t="shared" si="24"/>
        <v>#NUM!</v>
      </c>
    </row>
    <row r="346" spans="10:10" x14ac:dyDescent="0.25">
      <c r="J346" s="20" t="e">
        <f t="shared" si="24"/>
        <v>#NUM!</v>
      </c>
    </row>
    <row r="347" spans="10:10" x14ac:dyDescent="0.25">
      <c r="J347" s="20" t="e">
        <f t="shared" si="24"/>
        <v>#NUM!</v>
      </c>
    </row>
    <row r="348" spans="10:10" x14ac:dyDescent="0.25">
      <c r="J348" s="20" t="e">
        <f t="shared" si="24"/>
        <v>#NUM!</v>
      </c>
    </row>
    <row r="349" spans="10:10" x14ac:dyDescent="0.25">
      <c r="J349" s="20" t="e">
        <f t="shared" si="24"/>
        <v>#NUM!</v>
      </c>
    </row>
    <row r="350" spans="10:10" x14ac:dyDescent="0.25">
      <c r="J350" s="20" t="e">
        <f t="shared" si="24"/>
        <v>#NUM!</v>
      </c>
    </row>
    <row r="351" spans="10:10" x14ac:dyDescent="0.25">
      <c r="J351" s="20" t="e">
        <f t="shared" si="24"/>
        <v>#NUM!</v>
      </c>
    </row>
    <row r="352" spans="10:10" x14ac:dyDescent="0.25">
      <c r="J352" s="20" t="e">
        <f t="shared" si="24"/>
        <v>#NUM!</v>
      </c>
    </row>
    <row r="353" spans="10:10" x14ac:dyDescent="0.25">
      <c r="J353" s="20" t="e">
        <f t="shared" si="24"/>
        <v>#NUM!</v>
      </c>
    </row>
    <row r="354" spans="10:10" x14ac:dyDescent="0.25">
      <c r="J354" s="20" t="e">
        <f t="shared" si="24"/>
        <v>#NUM!</v>
      </c>
    </row>
    <row r="355" spans="10:10" x14ac:dyDescent="0.25">
      <c r="J355" s="20" t="e">
        <f t="shared" si="24"/>
        <v>#NUM!</v>
      </c>
    </row>
    <row r="356" spans="10:10" x14ac:dyDescent="0.25">
      <c r="J356" s="20" t="e">
        <f t="shared" si="24"/>
        <v>#NUM!</v>
      </c>
    </row>
    <row r="357" spans="10:10" x14ac:dyDescent="0.25">
      <c r="J357" s="20" t="e">
        <f t="shared" si="24"/>
        <v>#NUM!</v>
      </c>
    </row>
    <row r="358" spans="10:10" x14ac:dyDescent="0.25">
      <c r="J358" s="20" t="e">
        <f t="shared" si="24"/>
        <v>#NUM!</v>
      </c>
    </row>
    <row r="359" spans="10:10" x14ac:dyDescent="0.25">
      <c r="J359" s="20" t="e">
        <f t="shared" si="24"/>
        <v>#NUM!</v>
      </c>
    </row>
    <row r="360" spans="10:10" x14ac:dyDescent="0.25">
      <c r="J360" s="20" t="e">
        <f t="shared" si="24"/>
        <v>#NUM!</v>
      </c>
    </row>
    <row r="361" spans="10:10" x14ac:dyDescent="0.25">
      <c r="J361" s="20" t="e">
        <f t="shared" si="24"/>
        <v>#NUM!</v>
      </c>
    </row>
    <row r="362" spans="10:10" x14ac:dyDescent="0.25">
      <c r="J362" s="20" t="e">
        <f t="shared" si="24"/>
        <v>#NUM!</v>
      </c>
    </row>
    <row r="363" spans="10:10" x14ac:dyDescent="0.25">
      <c r="J363" s="20" t="e">
        <f t="shared" si="24"/>
        <v>#NUM!</v>
      </c>
    </row>
    <row r="364" spans="10:10" x14ac:dyDescent="0.25">
      <c r="J364" s="20" t="e">
        <f t="shared" si="24"/>
        <v>#NUM!</v>
      </c>
    </row>
    <row r="365" spans="10:10" x14ac:dyDescent="0.25">
      <c r="J365" s="20" t="e">
        <f t="shared" si="24"/>
        <v>#NUM!</v>
      </c>
    </row>
    <row r="366" spans="10:10" x14ac:dyDescent="0.25">
      <c r="J366" s="20" t="e">
        <f t="shared" si="24"/>
        <v>#NUM!</v>
      </c>
    </row>
    <row r="367" spans="10:10" x14ac:dyDescent="0.25">
      <c r="J367" s="20" t="e">
        <f t="shared" si="24"/>
        <v>#NUM!</v>
      </c>
    </row>
    <row r="368" spans="10:10" x14ac:dyDescent="0.25">
      <c r="J368" s="20" t="e">
        <f t="shared" si="24"/>
        <v>#NUM!</v>
      </c>
    </row>
    <row r="369" spans="10:10" x14ac:dyDescent="0.25">
      <c r="J369" s="20" t="e">
        <f t="shared" si="24"/>
        <v>#NUM!</v>
      </c>
    </row>
    <row r="370" spans="10:10" x14ac:dyDescent="0.25">
      <c r="J370" s="20" t="e">
        <f t="shared" si="24"/>
        <v>#NUM!</v>
      </c>
    </row>
    <row r="371" spans="10:10" x14ac:dyDescent="0.25">
      <c r="J371" s="20" t="e">
        <f t="shared" si="24"/>
        <v>#NUM!</v>
      </c>
    </row>
    <row r="372" spans="10:10" x14ac:dyDescent="0.25">
      <c r="J372" s="20" t="e">
        <f t="shared" si="24"/>
        <v>#NUM!</v>
      </c>
    </row>
    <row r="373" spans="10:10" x14ac:dyDescent="0.25">
      <c r="J373" s="20" t="e">
        <f t="shared" si="24"/>
        <v>#NUM!</v>
      </c>
    </row>
    <row r="374" spans="10:10" x14ac:dyDescent="0.25">
      <c r="J374" s="20" t="e">
        <f t="shared" si="24"/>
        <v>#NUM!</v>
      </c>
    </row>
    <row r="375" spans="10:10" x14ac:dyDescent="0.25">
      <c r="J375" s="20" t="e">
        <f t="shared" si="24"/>
        <v>#NUM!</v>
      </c>
    </row>
    <row r="376" spans="10:10" x14ac:dyDescent="0.25">
      <c r="J376" s="20" t="e">
        <f t="shared" si="24"/>
        <v>#NUM!</v>
      </c>
    </row>
    <row r="377" spans="10:10" x14ac:dyDescent="0.25">
      <c r="J377" s="20" t="e">
        <f t="shared" si="24"/>
        <v>#NUM!</v>
      </c>
    </row>
    <row r="378" spans="10:10" x14ac:dyDescent="0.25">
      <c r="J378" s="20" t="e">
        <f t="shared" si="24"/>
        <v>#NUM!</v>
      </c>
    </row>
    <row r="379" spans="10:10" x14ac:dyDescent="0.25">
      <c r="J379" s="20" t="e">
        <f t="shared" si="24"/>
        <v>#NUM!</v>
      </c>
    </row>
    <row r="380" spans="10:10" x14ac:dyDescent="0.25">
      <c r="J380" s="20" t="e">
        <f t="shared" si="24"/>
        <v>#NUM!</v>
      </c>
    </row>
    <row r="381" spans="10:10" x14ac:dyDescent="0.25">
      <c r="J381" s="20" t="e">
        <f t="shared" si="24"/>
        <v>#NUM!</v>
      </c>
    </row>
    <row r="382" spans="10:10" x14ac:dyDescent="0.25">
      <c r="J382" s="20" t="e">
        <f t="shared" si="24"/>
        <v>#NUM!</v>
      </c>
    </row>
    <row r="383" spans="10:10" x14ac:dyDescent="0.25">
      <c r="J383" s="20" t="e">
        <f t="shared" si="24"/>
        <v>#NUM!</v>
      </c>
    </row>
    <row r="384" spans="10:10" x14ac:dyDescent="0.25">
      <c r="J384" s="20" t="e">
        <f t="shared" si="24"/>
        <v>#NUM!</v>
      </c>
    </row>
    <row r="385" spans="10:10" x14ac:dyDescent="0.25">
      <c r="J385" s="20" t="e">
        <f t="shared" si="24"/>
        <v>#NUM!</v>
      </c>
    </row>
    <row r="386" spans="10:10" x14ac:dyDescent="0.25">
      <c r="J386" s="20" t="e">
        <f t="shared" si="24"/>
        <v>#NUM!</v>
      </c>
    </row>
    <row r="387" spans="10:10" x14ac:dyDescent="0.25">
      <c r="J387" s="20" t="e">
        <f t="shared" si="24"/>
        <v>#NUM!</v>
      </c>
    </row>
    <row r="388" spans="10:10" x14ac:dyDescent="0.25">
      <c r="J388" s="20" t="e">
        <f t="shared" si="24"/>
        <v>#NUM!</v>
      </c>
    </row>
    <row r="389" spans="10:10" x14ac:dyDescent="0.25">
      <c r="J389" s="20" t="e">
        <f t="shared" si="24"/>
        <v>#NUM!</v>
      </c>
    </row>
    <row r="390" spans="10:10" x14ac:dyDescent="0.25">
      <c r="J390" s="20" t="e">
        <f t="shared" si="24"/>
        <v>#NUM!</v>
      </c>
    </row>
    <row r="391" spans="10:10" x14ac:dyDescent="0.25">
      <c r="J391" s="20" t="e">
        <f t="shared" ref="J391:J454" si="25">INT(LOG($H$2,2))-ROUNDUP(LOG(H391,2),0)+IF(OR($H$2=1,$H$2=2,$H$2=4,$H$2=8,$H$2=16,$H$2=32,$H$2=64,$H$2=128,$H$2=256),0,1)</f>
        <v>#NUM!</v>
      </c>
    </row>
    <row r="392" spans="10:10" x14ac:dyDescent="0.25">
      <c r="J392" s="20" t="e">
        <f t="shared" si="25"/>
        <v>#NUM!</v>
      </c>
    </row>
    <row r="393" spans="10:10" x14ac:dyDescent="0.25">
      <c r="J393" s="20" t="e">
        <f t="shared" si="25"/>
        <v>#NUM!</v>
      </c>
    </row>
    <row r="394" spans="10:10" x14ac:dyDescent="0.25">
      <c r="J394" s="20" t="e">
        <f t="shared" si="25"/>
        <v>#NUM!</v>
      </c>
    </row>
    <row r="395" spans="10:10" x14ac:dyDescent="0.25">
      <c r="J395" s="20" t="e">
        <f t="shared" si="25"/>
        <v>#NUM!</v>
      </c>
    </row>
    <row r="396" spans="10:10" x14ac:dyDescent="0.25">
      <c r="J396" s="20" t="e">
        <f t="shared" si="25"/>
        <v>#NUM!</v>
      </c>
    </row>
    <row r="397" spans="10:10" x14ac:dyDescent="0.25">
      <c r="J397" s="20" t="e">
        <f t="shared" si="25"/>
        <v>#NUM!</v>
      </c>
    </row>
    <row r="398" spans="10:10" x14ac:dyDescent="0.25">
      <c r="J398" s="20" t="e">
        <f t="shared" si="25"/>
        <v>#NUM!</v>
      </c>
    </row>
    <row r="399" spans="10:10" x14ac:dyDescent="0.25">
      <c r="J399" s="20" t="e">
        <f t="shared" si="25"/>
        <v>#NUM!</v>
      </c>
    </row>
    <row r="400" spans="10:10" x14ac:dyDescent="0.25">
      <c r="J400" s="20" t="e">
        <f t="shared" si="25"/>
        <v>#NUM!</v>
      </c>
    </row>
    <row r="401" spans="10:10" x14ac:dyDescent="0.25">
      <c r="J401" s="20" t="e">
        <f t="shared" si="25"/>
        <v>#NUM!</v>
      </c>
    </row>
    <row r="402" spans="10:10" x14ac:dyDescent="0.25">
      <c r="J402" s="20" t="e">
        <f t="shared" si="25"/>
        <v>#NUM!</v>
      </c>
    </row>
    <row r="403" spans="10:10" x14ac:dyDescent="0.25">
      <c r="J403" s="20" t="e">
        <f t="shared" si="25"/>
        <v>#NUM!</v>
      </c>
    </row>
    <row r="404" spans="10:10" x14ac:dyDescent="0.25">
      <c r="J404" s="20" t="e">
        <f t="shared" si="25"/>
        <v>#NUM!</v>
      </c>
    </row>
    <row r="405" spans="10:10" x14ac:dyDescent="0.25">
      <c r="J405" s="20" t="e">
        <f t="shared" si="25"/>
        <v>#NUM!</v>
      </c>
    </row>
    <row r="406" spans="10:10" x14ac:dyDescent="0.25">
      <c r="J406" s="20" t="e">
        <f t="shared" si="25"/>
        <v>#NUM!</v>
      </c>
    </row>
    <row r="407" spans="10:10" x14ac:dyDescent="0.25">
      <c r="J407" s="20" t="e">
        <f t="shared" si="25"/>
        <v>#NUM!</v>
      </c>
    </row>
    <row r="408" spans="10:10" x14ac:dyDescent="0.25">
      <c r="J408" s="20" t="e">
        <f t="shared" si="25"/>
        <v>#NUM!</v>
      </c>
    </row>
    <row r="409" spans="10:10" x14ac:dyDescent="0.25">
      <c r="J409" s="20" t="e">
        <f t="shared" si="25"/>
        <v>#NUM!</v>
      </c>
    </row>
    <row r="410" spans="10:10" x14ac:dyDescent="0.25">
      <c r="J410" s="20" t="e">
        <f t="shared" si="25"/>
        <v>#NUM!</v>
      </c>
    </row>
    <row r="411" spans="10:10" x14ac:dyDescent="0.25">
      <c r="J411" s="20" t="e">
        <f t="shared" si="25"/>
        <v>#NUM!</v>
      </c>
    </row>
    <row r="412" spans="10:10" x14ac:dyDescent="0.25">
      <c r="J412" s="20" t="e">
        <f t="shared" si="25"/>
        <v>#NUM!</v>
      </c>
    </row>
    <row r="413" spans="10:10" x14ac:dyDescent="0.25">
      <c r="J413" s="20" t="e">
        <f t="shared" si="25"/>
        <v>#NUM!</v>
      </c>
    </row>
    <row r="414" spans="10:10" x14ac:dyDescent="0.25">
      <c r="J414" s="20" t="e">
        <f t="shared" si="25"/>
        <v>#NUM!</v>
      </c>
    </row>
    <row r="415" spans="10:10" x14ac:dyDescent="0.25">
      <c r="J415" s="20" t="e">
        <f t="shared" si="25"/>
        <v>#NUM!</v>
      </c>
    </row>
    <row r="416" spans="10:10" x14ac:dyDescent="0.25">
      <c r="J416" s="20" t="e">
        <f t="shared" si="25"/>
        <v>#NUM!</v>
      </c>
    </row>
    <row r="417" spans="10:10" x14ac:dyDescent="0.25">
      <c r="J417" s="20" t="e">
        <f t="shared" si="25"/>
        <v>#NUM!</v>
      </c>
    </row>
    <row r="418" spans="10:10" x14ac:dyDescent="0.25">
      <c r="J418" s="20" t="e">
        <f t="shared" si="25"/>
        <v>#NUM!</v>
      </c>
    </row>
    <row r="419" spans="10:10" x14ac:dyDescent="0.25">
      <c r="J419" s="20" t="e">
        <f t="shared" si="25"/>
        <v>#NUM!</v>
      </c>
    </row>
    <row r="420" spans="10:10" x14ac:dyDescent="0.25">
      <c r="J420" s="20" t="e">
        <f t="shared" si="25"/>
        <v>#NUM!</v>
      </c>
    </row>
    <row r="421" spans="10:10" x14ac:dyDescent="0.25">
      <c r="J421" s="20" t="e">
        <f t="shared" si="25"/>
        <v>#NUM!</v>
      </c>
    </row>
    <row r="422" spans="10:10" x14ac:dyDescent="0.25">
      <c r="J422" s="20" t="e">
        <f t="shared" si="25"/>
        <v>#NUM!</v>
      </c>
    </row>
    <row r="423" spans="10:10" x14ac:dyDescent="0.25">
      <c r="J423" s="20" t="e">
        <f t="shared" si="25"/>
        <v>#NUM!</v>
      </c>
    </row>
    <row r="424" spans="10:10" x14ac:dyDescent="0.25">
      <c r="J424" s="20" t="e">
        <f t="shared" si="25"/>
        <v>#NUM!</v>
      </c>
    </row>
    <row r="425" spans="10:10" x14ac:dyDescent="0.25">
      <c r="J425" s="20" t="e">
        <f t="shared" si="25"/>
        <v>#NUM!</v>
      </c>
    </row>
    <row r="426" spans="10:10" x14ac:dyDescent="0.25">
      <c r="J426" s="20" t="e">
        <f t="shared" si="25"/>
        <v>#NUM!</v>
      </c>
    </row>
    <row r="427" spans="10:10" x14ac:dyDescent="0.25">
      <c r="J427" s="20" t="e">
        <f t="shared" si="25"/>
        <v>#NUM!</v>
      </c>
    </row>
    <row r="428" spans="10:10" x14ac:dyDescent="0.25">
      <c r="J428" s="20" t="e">
        <f t="shared" si="25"/>
        <v>#NUM!</v>
      </c>
    </row>
    <row r="429" spans="10:10" x14ac:dyDescent="0.25">
      <c r="J429" s="20" t="e">
        <f t="shared" si="25"/>
        <v>#NUM!</v>
      </c>
    </row>
    <row r="430" spans="10:10" x14ac:dyDescent="0.25">
      <c r="J430" s="20" t="e">
        <f t="shared" si="25"/>
        <v>#NUM!</v>
      </c>
    </row>
    <row r="431" spans="10:10" x14ac:dyDescent="0.25">
      <c r="J431" s="20" t="e">
        <f t="shared" si="25"/>
        <v>#NUM!</v>
      </c>
    </row>
    <row r="432" spans="10:10" x14ac:dyDescent="0.25">
      <c r="J432" s="20" t="e">
        <f t="shared" si="25"/>
        <v>#NUM!</v>
      </c>
    </row>
    <row r="433" spans="10:10" x14ac:dyDescent="0.25">
      <c r="J433" s="20" t="e">
        <f t="shared" si="25"/>
        <v>#NUM!</v>
      </c>
    </row>
    <row r="434" spans="10:10" x14ac:dyDescent="0.25">
      <c r="J434" s="20" t="e">
        <f t="shared" si="25"/>
        <v>#NUM!</v>
      </c>
    </row>
    <row r="435" spans="10:10" x14ac:dyDescent="0.25">
      <c r="J435" s="20" t="e">
        <f t="shared" si="25"/>
        <v>#NUM!</v>
      </c>
    </row>
    <row r="436" spans="10:10" x14ac:dyDescent="0.25">
      <c r="J436" s="20" t="e">
        <f t="shared" si="25"/>
        <v>#NUM!</v>
      </c>
    </row>
    <row r="437" spans="10:10" x14ac:dyDescent="0.25">
      <c r="J437" s="20" t="e">
        <f t="shared" si="25"/>
        <v>#NUM!</v>
      </c>
    </row>
    <row r="438" spans="10:10" x14ac:dyDescent="0.25">
      <c r="J438" s="20" t="e">
        <f t="shared" si="25"/>
        <v>#NUM!</v>
      </c>
    </row>
    <row r="439" spans="10:10" x14ac:dyDescent="0.25">
      <c r="J439" s="20" t="e">
        <f t="shared" si="25"/>
        <v>#NUM!</v>
      </c>
    </row>
    <row r="440" spans="10:10" x14ac:dyDescent="0.25">
      <c r="J440" s="20" t="e">
        <f t="shared" si="25"/>
        <v>#NUM!</v>
      </c>
    </row>
    <row r="441" spans="10:10" x14ac:dyDescent="0.25">
      <c r="J441" s="20" t="e">
        <f t="shared" si="25"/>
        <v>#NUM!</v>
      </c>
    </row>
    <row r="442" spans="10:10" x14ac:dyDescent="0.25">
      <c r="J442" s="20" t="e">
        <f t="shared" si="25"/>
        <v>#NUM!</v>
      </c>
    </row>
    <row r="443" spans="10:10" x14ac:dyDescent="0.25">
      <c r="J443" s="20" t="e">
        <f t="shared" si="25"/>
        <v>#NUM!</v>
      </c>
    </row>
    <row r="444" spans="10:10" x14ac:dyDescent="0.25">
      <c r="J444" s="20" t="e">
        <f t="shared" si="25"/>
        <v>#NUM!</v>
      </c>
    </row>
    <row r="445" spans="10:10" x14ac:dyDescent="0.25">
      <c r="J445" s="20" t="e">
        <f t="shared" si="25"/>
        <v>#NUM!</v>
      </c>
    </row>
    <row r="446" spans="10:10" x14ac:dyDescent="0.25">
      <c r="J446" s="20" t="e">
        <f t="shared" si="25"/>
        <v>#NUM!</v>
      </c>
    </row>
    <row r="447" spans="10:10" x14ac:dyDescent="0.25">
      <c r="J447" s="20" t="e">
        <f t="shared" si="25"/>
        <v>#NUM!</v>
      </c>
    </row>
    <row r="448" spans="10:10" x14ac:dyDescent="0.25">
      <c r="J448" s="20" t="e">
        <f t="shared" si="25"/>
        <v>#NUM!</v>
      </c>
    </row>
    <row r="449" spans="10:10" x14ac:dyDescent="0.25">
      <c r="J449" s="20" t="e">
        <f t="shared" si="25"/>
        <v>#NUM!</v>
      </c>
    </row>
    <row r="450" spans="10:10" x14ac:dyDescent="0.25">
      <c r="J450" s="20" t="e">
        <f t="shared" si="25"/>
        <v>#NUM!</v>
      </c>
    </row>
    <row r="451" spans="10:10" x14ac:dyDescent="0.25">
      <c r="J451" s="20" t="e">
        <f t="shared" si="25"/>
        <v>#NUM!</v>
      </c>
    </row>
    <row r="452" spans="10:10" x14ac:dyDescent="0.25">
      <c r="J452" s="20" t="e">
        <f t="shared" si="25"/>
        <v>#NUM!</v>
      </c>
    </row>
    <row r="453" spans="10:10" x14ac:dyDescent="0.25">
      <c r="J453" s="20" t="e">
        <f t="shared" si="25"/>
        <v>#NUM!</v>
      </c>
    </row>
    <row r="454" spans="10:10" x14ac:dyDescent="0.25">
      <c r="J454" s="20" t="e">
        <f t="shared" si="25"/>
        <v>#NUM!</v>
      </c>
    </row>
    <row r="455" spans="10:10" x14ac:dyDescent="0.25">
      <c r="J455" s="20" t="e">
        <f t="shared" ref="J455:J518" si="26">INT(LOG($H$2,2))-ROUNDUP(LOG(H455,2),0)+IF(OR($H$2=1,$H$2=2,$H$2=4,$H$2=8,$H$2=16,$H$2=32,$H$2=64,$H$2=128,$H$2=256),0,1)</f>
        <v>#NUM!</v>
      </c>
    </row>
    <row r="456" spans="10:10" x14ac:dyDescent="0.25">
      <c r="J456" s="20" t="e">
        <f t="shared" si="26"/>
        <v>#NUM!</v>
      </c>
    </row>
    <row r="457" spans="10:10" x14ac:dyDescent="0.25">
      <c r="J457" s="20" t="e">
        <f t="shared" si="26"/>
        <v>#NUM!</v>
      </c>
    </row>
    <row r="458" spans="10:10" x14ac:dyDescent="0.25">
      <c r="J458" s="20" t="e">
        <f t="shared" si="26"/>
        <v>#NUM!</v>
      </c>
    </row>
    <row r="459" spans="10:10" x14ac:dyDescent="0.25">
      <c r="J459" s="20" t="e">
        <f t="shared" si="26"/>
        <v>#NUM!</v>
      </c>
    </row>
    <row r="460" spans="10:10" x14ac:dyDescent="0.25">
      <c r="J460" s="20" t="e">
        <f t="shared" si="26"/>
        <v>#NUM!</v>
      </c>
    </row>
    <row r="461" spans="10:10" x14ac:dyDescent="0.25">
      <c r="J461" s="20" t="e">
        <f t="shared" si="26"/>
        <v>#NUM!</v>
      </c>
    </row>
    <row r="462" spans="10:10" x14ac:dyDescent="0.25">
      <c r="J462" s="20" t="e">
        <f t="shared" si="26"/>
        <v>#NUM!</v>
      </c>
    </row>
    <row r="463" spans="10:10" x14ac:dyDescent="0.25">
      <c r="J463" s="20" t="e">
        <f t="shared" si="26"/>
        <v>#NUM!</v>
      </c>
    </row>
    <row r="464" spans="10:10" x14ac:dyDescent="0.25">
      <c r="J464" s="20" t="e">
        <f t="shared" si="26"/>
        <v>#NUM!</v>
      </c>
    </row>
    <row r="465" spans="10:10" x14ac:dyDescent="0.25">
      <c r="J465" s="20" t="e">
        <f t="shared" si="26"/>
        <v>#NUM!</v>
      </c>
    </row>
    <row r="466" spans="10:10" x14ac:dyDescent="0.25">
      <c r="J466" s="20" t="e">
        <f t="shared" si="26"/>
        <v>#NUM!</v>
      </c>
    </row>
    <row r="467" spans="10:10" x14ac:dyDescent="0.25">
      <c r="J467" s="20" t="e">
        <f t="shared" si="26"/>
        <v>#NUM!</v>
      </c>
    </row>
    <row r="468" spans="10:10" x14ac:dyDescent="0.25">
      <c r="J468" s="20" t="e">
        <f t="shared" si="26"/>
        <v>#NUM!</v>
      </c>
    </row>
    <row r="469" spans="10:10" x14ac:dyDescent="0.25">
      <c r="J469" s="20" t="e">
        <f t="shared" si="26"/>
        <v>#NUM!</v>
      </c>
    </row>
    <row r="470" spans="10:10" x14ac:dyDescent="0.25">
      <c r="J470" s="20" t="e">
        <f t="shared" si="26"/>
        <v>#NUM!</v>
      </c>
    </row>
    <row r="471" spans="10:10" x14ac:dyDescent="0.25">
      <c r="J471" s="20" t="e">
        <f t="shared" si="26"/>
        <v>#NUM!</v>
      </c>
    </row>
    <row r="472" spans="10:10" x14ac:dyDescent="0.25">
      <c r="J472" s="20" t="e">
        <f t="shared" si="26"/>
        <v>#NUM!</v>
      </c>
    </row>
    <row r="473" spans="10:10" x14ac:dyDescent="0.25">
      <c r="J473" s="20" t="e">
        <f t="shared" si="26"/>
        <v>#NUM!</v>
      </c>
    </row>
    <row r="474" spans="10:10" x14ac:dyDescent="0.25">
      <c r="J474" s="20" t="e">
        <f t="shared" si="26"/>
        <v>#NUM!</v>
      </c>
    </row>
    <row r="475" spans="10:10" x14ac:dyDescent="0.25">
      <c r="J475" s="20" t="e">
        <f t="shared" si="26"/>
        <v>#NUM!</v>
      </c>
    </row>
    <row r="476" spans="10:10" x14ac:dyDescent="0.25">
      <c r="J476" s="20" t="e">
        <f t="shared" si="26"/>
        <v>#NUM!</v>
      </c>
    </row>
    <row r="477" spans="10:10" x14ac:dyDescent="0.25">
      <c r="J477" s="20" t="e">
        <f t="shared" si="26"/>
        <v>#NUM!</v>
      </c>
    </row>
    <row r="478" spans="10:10" x14ac:dyDescent="0.25">
      <c r="J478" s="20" t="e">
        <f t="shared" si="26"/>
        <v>#NUM!</v>
      </c>
    </row>
    <row r="479" spans="10:10" x14ac:dyDescent="0.25">
      <c r="J479" s="20" t="e">
        <f t="shared" si="26"/>
        <v>#NUM!</v>
      </c>
    </row>
    <row r="480" spans="10:10" x14ac:dyDescent="0.25">
      <c r="J480" s="20" t="e">
        <f t="shared" si="26"/>
        <v>#NUM!</v>
      </c>
    </row>
    <row r="481" spans="10:10" x14ac:dyDescent="0.25">
      <c r="J481" s="20" t="e">
        <f t="shared" si="26"/>
        <v>#NUM!</v>
      </c>
    </row>
    <row r="482" spans="10:10" x14ac:dyDescent="0.25">
      <c r="J482" s="20" t="e">
        <f t="shared" si="26"/>
        <v>#NUM!</v>
      </c>
    </row>
    <row r="483" spans="10:10" x14ac:dyDescent="0.25">
      <c r="J483" s="20" t="e">
        <f t="shared" si="26"/>
        <v>#NUM!</v>
      </c>
    </row>
    <row r="484" spans="10:10" x14ac:dyDescent="0.25">
      <c r="J484" s="20" t="e">
        <f t="shared" si="26"/>
        <v>#NUM!</v>
      </c>
    </row>
    <row r="485" spans="10:10" x14ac:dyDescent="0.25">
      <c r="J485" s="20" t="e">
        <f t="shared" si="26"/>
        <v>#NUM!</v>
      </c>
    </row>
    <row r="486" spans="10:10" x14ac:dyDescent="0.25">
      <c r="J486" s="20" t="e">
        <f t="shared" si="26"/>
        <v>#NUM!</v>
      </c>
    </row>
    <row r="487" spans="10:10" x14ac:dyDescent="0.25">
      <c r="J487" s="20" t="e">
        <f t="shared" si="26"/>
        <v>#NUM!</v>
      </c>
    </row>
    <row r="488" spans="10:10" x14ac:dyDescent="0.25">
      <c r="J488" s="20" t="e">
        <f t="shared" si="26"/>
        <v>#NUM!</v>
      </c>
    </row>
    <row r="489" spans="10:10" x14ac:dyDescent="0.25">
      <c r="J489" s="20" t="e">
        <f t="shared" si="26"/>
        <v>#NUM!</v>
      </c>
    </row>
    <row r="490" spans="10:10" x14ac:dyDescent="0.25">
      <c r="J490" s="20" t="e">
        <f t="shared" si="26"/>
        <v>#NUM!</v>
      </c>
    </row>
    <row r="491" spans="10:10" x14ac:dyDescent="0.25">
      <c r="J491" s="20" t="e">
        <f t="shared" si="26"/>
        <v>#NUM!</v>
      </c>
    </row>
    <row r="492" spans="10:10" x14ac:dyDescent="0.25">
      <c r="J492" s="20" t="e">
        <f t="shared" si="26"/>
        <v>#NUM!</v>
      </c>
    </row>
    <row r="493" spans="10:10" x14ac:dyDescent="0.25">
      <c r="J493" s="20" t="e">
        <f t="shared" si="26"/>
        <v>#NUM!</v>
      </c>
    </row>
    <row r="494" spans="10:10" x14ac:dyDescent="0.25">
      <c r="J494" s="20" t="e">
        <f t="shared" si="26"/>
        <v>#NUM!</v>
      </c>
    </row>
    <row r="495" spans="10:10" x14ac:dyDescent="0.25">
      <c r="J495" s="20" t="e">
        <f t="shared" si="26"/>
        <v>#NUM!</v>
      </c>
    </row>
    <row r="496" spans="10:10" x14ac:dyDescent="0.25">
      <c r="J496" s="20" t="e">
        <f t="shared" si="26"/>
        <v>#NUM!</v>
      </c>
    </row>
    <row r="497" spans="10:10" x14ac:dyDescent="0.25">
      <c r="J497" s="20" t="e">
        <f t="shared" si="26"/>
        <v>#NUM!</v>
      </c>
    </row>
    <row r="498" spans="10:10" x14ac:dyDescent="0.25">
      <c r="J498" s="20" t="e">
        <f t="shared" si="26"/>
        <v>#NUM!</v>
      </c>
    </row>
    <row r="499" spans="10:10" x14ac:dyDescent="0.25">
      <c r="J499" s="20" t="e">
        <f t="shared" si="26"/>
        <v>#NUM!</v>
      </c>
    </row>
    <row r="500" spans="10:10" x14ac:dyDescent="0.25">
      <c r="J500" s="20" t="e">
        <f t="shared" si="26"/>
        <v>#NUM!</v>
      </c>
    </row>
    <row r="501" spans="10:10" x14ac:dyDescent="0.25">
      <c r="J501" s="20" t="e">
        <f t="shared" si="26"/>
        <v>#NUM!</v>
      </c>
    </row>
    <row r="502" spans="10:10" x14ac:dyDescent="0.25">
      <c r="J502" s="20" t="e">
        <f t="shared" si="26"/>
        <v>#NUM!</v>
      </c>
    </row>
    <row r="503" spans="10:10" x14ac:dyDescent="0.25">
      <c r="J503" s="20" t="e">
        <f t="shared" si="26"/>
        <v>#NUM!</v>
      </c>
    </row>
    <row r="504" spans="10:10" x14ac:dyDescent="0.25">
      <c r="J504" s="20" t="e">
        <f t="shared" si="26"/>
        <v>#NUM!</v>
      </c>
    </row>
    <row r="505" spans="10:10" x14ac:dyDescent="0.25">
      <c r="J505" s="20" t="e">
        <f t="shared" si="26"/>
        <v>#NUM!</v>
      </c>
    </row>
    <row r="506" spans="10:10" x14ac:dyDescent="0.25">
      <c r="J506" s="20" t="e">
        <f t="shared" si="26"/>
        <v>#NUM!</v>
      </c>
    </row>
    <row r="507" spans="10:10" x14ac:dyDescent="0.25">
      <c r="J507" s="20" t="e">
        <f t="shared" si="26"/>
        <v>#NUM!</v>
      </c>
    </row>
    <row r="508" spans="10:10" x14ac:dyDescent="0.25">
      <c r="J508" s="20" t="e">
        <f t="shared" si="26"/>
        <v>#NUM!</v>
      </c>
    </row>
    <row r="509" spans="10:10" x14ac:dyDescent="0.25">
      <c r="J509" s="20" t="e">
        <f t="shared" si="26"/>
        <v>#NUM!</v>
      </c>
    </row>
    <row r="510" spans="10:10" x14ac:dyDescent="0.25">
      <c r="J510" s="20" t="e">
        <f t="shared" si="26"/>
        <v>#NUM!</v>
      </c>
    </row>
    <row r="511" spans="10:10" x14ac:dyDescent="0.25">
      <c r="J511" s="20" t="e">
        <f t="shared" si="26"/>
        <v>#NUM!</v>
      </c>
    </row>
    <row r="512" spans="10:10" x14ac:dyDescent="0.25">
      <c r="J512" s="20" t="e">
        <f t="shared" si="26"/>
        <v>#NUM!</v>
      </c>
    </row>
    <row r="513" spans="10:10" x14ac:dyDescent="0.25">
      <c r="J513" s="20" t="e">
        <f t="shared" si="26"/>
        <v>#NUM!</v>
      </c>
    </row>
    <row r="514" spans="10:10" x14ac:dyDescent="0.25">
      <c r="J514" s="20" t="e">
        <f t="shared" si="26"/>
        <v>#NUM!</v>
      </c>
    </row>
    <row r="515" spans="10:10" x14ac:dyDescent="0.25">
      <c r="J515" s="20" t="e">
        <f t="shared" si="26"/>
        <v>#NUM!</v>
      </c>
    </row>
    <row r="516" spans="10:10" x14ac:dyDescent="0.25">
      <c r="J516" s="20" t="e">
        <f t="shared" si="26"/>
        <v>#NUM!</v>
      </c>
    </row>
    <row r="517" spans="10:10" x14ac:dyDescent="0.25">
      <c r="J517" s="20" t="e">
        <f t="shared" si="26"/>
        <v>#NUM!</v>
      </c>
    </row>
    <row r="518" spans="10:10" x14ac:dyDescent="0.25">
      <c r="J518" s="20" t="e">
        <f t="shared" si="26"/>
        <v>#NUM!</v>
      </c>
    </row>
    <row r="519" spans="10:10" x14ac:dyDescent="0.25">
      <c r="J519" s="20" t="e">
        <f t="shared" ref="J519:J582" si="27">INT(LOG($H$2,2))-ROUNDUP(LOG(H519,2),0)+IF(OR($H$2=1,$H$2=2,$H$2=4,$H$2=8,$H$2=16,$H$2=32,$H$2=64,$H$2=128,$H$2=256),0,1)</f>
        <v>#NUM!</v>
      </c>
    </row>
    <row r="520" spans="10:10" x14ac:dyDescent="0.25">
      <c r="J520" s="20" t="e">
        <f t="shared" si="27"/>
        <v>#NUM!</v>
      </c>
    </row>
    <row r="521" spans="10:10" x14ac:dyDescent="0.25">
      <c r="J521" s="20" t="e">
        <f t="shared" si="27"/>
        <v>#NUM!</v>
      </c>
    </row>
    <row r="522" spans="10:10" x14ac:dyDescent="0.25">
      <c r="J522" s="20" t="e">
        <f t="shared" si="27"/>
        <v>#NUM!</v>
      </c>
    </row>
    <row r="523" spans="10:10" x14ac:dyDescent="0.25">
      <c r="J523" s="20" t="e">
        <f t="shared" si="27"/>
        <v>#NUM!</v>
      </c>
    </row>
    <row r="524" spans="10:10" x14ac:dyDescent="0.25">
      <c r="J524" s="20" t="e">
        <f t="shared" si="27"/>
        <v>#NUM!</v>
      </c>
    </row>
    <row r="525" spans="10:10" x14ac:dyDescent="0.25">
      <c r="J525" s="20" t="e">
        <f t="shared" si="27"/>
        <v>#NUM!</v>
      </c>
    </row>
    <row r="526" spans="10:10" x14ac:dyDescent="0.25">
      <c r="J526" s="20" t="e">
        <f t="shared" si="27"/>
        <v>#NUM!</v>
      </c>
    </row>
    <row r="527" spans="10:10" x14ac:dyDescent="0.25">
      <c r="J527" s="20" t="e">
        <f t="shared" si="27"/>
        <v>#NUM!</v>
      </c>
    </row>
    <row r="528" spans="10:10" x14ac:dyDescent="0.25">
      <c r="J528" s="20" t="e">
        <f t="shared" si="27"/>
        <v>#NUM!</v>
      </c>
    </row>
    <row r="529" spans="10:10" x14ac:dyDescent="0.25">
      <c r="J529" s="20" t="e">
        <f t="shared" si="27"/>
        <v>#NUM!</v>
      </c>
    </row>
    <row r="530" spans="10:10" x14ac:dyDescent="0.25">
      <c r="J530" s="20" t="e">
        <f t="shared" si="27"/>
        <v>#NUM!</v>
      </c>
    </row>
    <row r="531" spans="10:10" x14ac:dyDescent="0.25">
      <c r="J531" s="20" t="e">
        <f t="shared" si="27"/>
        <v>#NUM!</v>
      </c>
    </row>
    <row r="532" spans="10:10" x14ac:dyDescent="0.25">
      <c r="J532" s="20" t="e">
        <f t="shared" si="27"/>
        <v>#NUM!</v>
      </c>
    </row>
    <row r="533" spans="10:10" x14ac:dyDescent="0.25">
      <c r="J533" s="20" t="e">
        <f t="shared" si="27"/>
        <v>#NUM!</v>
      </c>
    </row>
    <row r="534" spans="10:10" x14ac:dyDescent="0.25">
      <c r="J534" s="20" t="e">
        <f t="shared" si="27"/>
        <v>#NUM!</v>
      </c>
    </row>
    <row r="535" spans="10:10" x14ac:dyDescent="0.25">
      <c r="J535" s="20" t="e">
        <f t="shared" si="27"/>
        <v>#NUM!</v>
      </c>
    </row>
    <row r="536" spans="10:10" x14ac:dyDescent="0.25">
      <c r="J536" s="20" t="e">
        <f t="shared" si="27"/>
        <v>#NUM!</v>
      </c>
    </row>
    <row r="537" spans="10:10" x14ac:dyDescent="0.25">
      <c r="J537" s="20" t="e">
        <f t="shared" si="27"/>
        <v>#NUM!</v>
      </c>
    </row>
    <row r="538" spans="10:10" x14ac:dyDescent="0.25">
      <c r="J538" s="20" t="e">
        <f t="shared" si="27"/>
        <v>#NUM!</v>
      </c>
    </row>
    <row r="539" spans="10:10" x14ac:dyDescent="0.25">
      <c r="J539" s="20" t="e">
        <f t="shared" si="27"/>
        <v>#NUM!</v>
      </c>
    </row>
    <row r="540" spans="10:10" x14ac:dyDescent="0.25">
      <c r="J540" s="20" t="e">
        <f t="shared" si="27"/>
        <v>#NUM!</v>
      </c>
    </row>
    <row r="541" spans="10:10" x14ac:dyDescent="0.25">
      <c r="J541" s="20" t="e">
        <f t="shared" si="27"/>
        <v>#NUM!</v>
      </c>
    </row>
    <row r="542" spans="10:10" x14ac:dyDescent="0.25">
      <c r="J542" s="20" t="e">
        <f t="shared" si="27"/>
        <v>#NUM!</v>
      </c>
    </row>
    <row r="543" spans="10:10" x14ac:dyDescent="0.25">
      <c r="J543" s="20" t="e">
        <f t="shared" si="27"/>
        <v>#NUM!</v>
      </c>
    </row>
    <row r="544" spans="10:10" x14ac:dyDescent="0.25">
      <c r="J544" s="20" t="e">
        <f t="shared" si="27"/>
        <v>#NUM!</v>
      </c>
    </row>
    <row r="545" spans="10:10" x14ac:dyDescent="0.25">
      <c r="J545" s="20" t="e">
        <f t="shared" si="27"/>
        <v>#NUM!</v>
      </c>
    </row>
    <row r="546" spans="10:10" x14ac:dyDescent="0.25">
      <c r="J546" s="20" t="e">
        <f t="shared" si="27"/>
        <v>#NUM!</v>
      </c>
    </row>
    <row r="547" spans="10:10" x14ac:dyDescent="0.25">
      <c r="J547" s="20" t="e">
        <f t="shared" si="27"/>
        <v>#NUM!</v>
      </c>
    </row>
    <row r="548" spans="10:10" x14ac:dyDescent="0.25">
      <c r="J548" s="20" t="e">
        <f t="shared" si="27"/>
        <v>#NUM!</v>
      </c>
    </row>
    <row r="549" spans="10:10" x14ac:dyDescent="0.25">
      <c r="J549" s="20" t="e">
        <f t="shared" si="27"/>
        <v>#NUM!</v>
      </c>
    </row>
    <row r="550" spans="10:10" x14ac:dyDescent="0.25">
      <c r="J550" s="20" t="e">
        <f t="shared" si="27"/>
        <v>#NUM!</v>
      </c>
    </row>
    <row r="551" spans="10:10" x14ac:dyDescent="0.25">
      <c r="J551" s="20" t="e">
        <f t="shared" si="27"/>
        <v>#NUM!</v>
      </c>
    </row>
    <row r="552" spans="10:10" x14ac:dyDescent="0.25">
      <c r="J552" s="20" t="e">
        <f t="shared" si="27"/>
        <v>#NUM!</v>
      </c>
    </row>
    <row r="553" spans="10:10" x14ac:dyDescent="0.25">
      <c r="J553" s="20" t="e">
        <f t="shared" si="27"/>
        <v>#NUM!</v>
      </c>
    </row>
    <row r="554" spans="10:10" x14ac:dyDescent="0.25">
      <c r="J554" s="20" t="e">
        <f t="shared" si="27"/>
        <v>#NUM!</v>
      </c>
    </row>
    <row r="555" spans="10:10" x14ac:dyDescent="0.25">
      <c r="J555" s="20" t="e">
        <f t="shared" si="27"/>
        <v>#NUM!</v>
      </c>
    </row>
    <row r="556" spans="10:10" x14ac:dyDescent="0.25">
      <c r="J556" s="20" t="e">
        <f t="shared" si="27"/>
        <v>#NUM!</v>
      </c>
    </row>
    <row r="557" spans="10:10" x14ac:dyDescent="0.25">
      <c r="J557" s="20" t="e">
        <f t="shared" si="27"/>
        <v>#NUM!</v>
      </c>
    </row>
    <row r="558" spans="10:10" x14ac:dyDescent="0.25">
      <c r="J558" s="20" t="e">
        <f t="shared" si="27"/>
        <v>#NUM!</v>
      </c>
    </row>
    <row r="559" spans="10:10" x14ac:dyDescent="0.25">
      <c r="J559" s="20" t="e">
        <f t="shared" si="27"/>
        <v>#NUM!</v>
      </c>
    </row>
    <row r="560" spans="10:10" x14ac:dyDescent="0.25">
      <c r="J560" s="20" t="e">
        <f t="shared" si="27"/>
        <v>#NUM!</v>
      </c>
    </row>
    <row r="561" spans="10:10" x14ac:dyDescent="0.25">
      <c r="J561" s="20" t="e">
        <f t="shared" si="27"/>
        <v>#NUM!</v>
      </c>
    </row>
    <row r="562" spans="10:10" x14ac:dyDescent="0.25">
      <c r="J562" s="20" t="e">
        <f t="shared" si="27"/>
        <v>#NUM!</v>
      </c>
    </row>
    <row r="563" spans="10:10" x14ac:dyDescent="0.25">
      <c r="J563" s="20" t="e">
        <f t="shared" si="27"/>
        <v>#NUM!</v>
      </c>
    </row>
    <row r="564" spans="10:10" x14ac:dyDescent="0.25">
      <c r="J564" s="20" t="e">
        <f t="shared" si="27"/>
        <v>#NUM!</v>
      </c>
    </row>
    <row r="565" spans="10:10" x14ac:dyDescent="0.25">
      <c r="J565" s="20" t="e">
        <f t="shared" si="27"/>
        <v>#NUM!</v>
      </c>
    </row>
    <row r="566" spans="10:10" x14ac:dyDescent="0.25">
      <c r="J566" s="20" t="e">
        <f t="shared" si="27"/>
        <v>#NUM!</v>
      </c>
    </row>
    <row r="567" spans="10:10" x14ac:dyDescent="0.25">
      <c r="J567" s="20" t="e">
        <f t="shared" si="27"/>
        <v>#NUM!</v>
      </c>
    </row>
    <row r="568" spans="10:10" x14ac:dyDescent="0.25">
      <c r="J568" s="20" t="e">
        <f t="shared" si="27"/>
        <v>#NUM!</v>
      </c>
    </row>
    <row r="569" spans="10:10" x14ac:dyDescent="0.25">
      <c r="J569" s="20" t="e">
        <f t="shared" si="27"/>
        <v>#NUM!</v>
      </c>
    </row>
    <row r="570" spans="10:10" x14ac:dyDescent="0.25">
      <c r="J570" s="20" t="e">
        <f t="shared" si="27"/>
        <v>#NUM!</v>
      </c>
    </row>
    <row r="571" spans="10:10" x14ac:dyDescent="0.25">
      <c r="J571" s="20" t="e">
        <f t="shared" si="27"/>
        <v>#NUM!</v>
      </c>
    </row>
    <row r="572" spans="10:10" x14ac:dyDescent="0.25">
      <c r="J572" s="20" t="e">
        <f t="shared" si="27"/>
        <v>#NUM!</v>
      </c>
    </row>
    <row r="573" spans="10:10" x14ac:dyDescent="0.25">
      <c r="J573" s="20" t="e">
        <f t="shared" si="27"/>
        <v>#NUM!</v>
      </c>
    </row>
    <row r="574" spans="10:10" x14ac:dyDescent="0.25">
      <c r="J574" s="20" t="e">
        <f t="shared" si="27"/>
        <v>#NUM!</v>
      </c>
    </row>
    <row r="575" spans="10:10" x14ac:dyDescent="0.25">
      <c r="J575" s="20" t="e">
        <f t="shared" si="27"/>
        <v>#NUM!</v>
      </c>
    </row>
    <row r="576" spans="10:10" x14ac:dyDescent="0.25">
      <c r="J576" s="20" t="e">
        <f t="shared" si="27"/>
        <v>#NUM!</v>
      </c>
    </row>
    <row r="577" spans="10:10" x14ac:dyDescent="0.25">
      <c r="J577" s="20" t="e">
        <f t="shared" si="27"/>
        <v>#NUM!</v>
      </c>
    </row>
    <row r="578" spans="10:10" x14ac:dyDescent="0.25">
      <c r="J578" s="20" t="e">
        <f t="shared" si="27"/>
        <v>#NUM!</v>
      </c>
    </row>
    <row r="579" spans="10:10" x14ac:dyDescent="0.25">
      <c r="J579" s="20" t="e">
        <f t="shared" si="27"/>
        <v>#NUM!</v>
      </c>
    </row>
    <row r="580" spans="10:10" x14ac:dyDescent="0.25">
      <c r="J580" s="20" t="e">
        <f t="shared" si="27"/>
        <v>#NUM!</v>
      </c>
    </row>
    <row r="581" spans="10:10" x14ac:dyDescent="0.25">
      <c r="J581" s="20" t="e">
        <f t="shared" si="27"/>
        <v>#NUM!</v>
      </c>
    </row>
    <row r="582" spans="10:10" x14ac:dyDescent="0.25">
      <c r="J582" s="20" t="e">
        <f t="shared" si="27"/>
        <v>#NUM!</v>
      </c>
    </row>
    <row r="583" spans="10:10" x14ac:dyDescent="0.25">
      <c r="J583" s="20" t="e">
        <f t="shared" ref="J583:J646" si="28">INT(LOG($H$2,2))-ROUNDUP(LOG(H583,2),0)+IF(OR($H$2=1,$H$2=2,$H$2=4,$H$2=8,$H$2=16,$H$2=32,$H$2=64,$H$2=128,$H$2=256),0,1)</f>
        <v>#NUM!</v>
      </c>
    </row>
    <row r="584" spans="10:10" x14ac:dyDescent="0.25">
      <c r="J584" s="20" t="e">
        <f t="shared" si="28"/>
        <v>#NUM!</v>
      </c>
    </row>
    <row r="585" spans="10:10" x14ac:dyDescent="0.25">
      <c r="J585" s="20" t="e">
        <f t="shared" si="28"/>
        <v>#NUM!</v>
      </c>
    </row>
    <row r="586" spans="10:10" x14ac:dyDescent="0.25">
      <c r="J586" s="20" t="e">
        <f t="shared" si="28"/>
        <v>#NUM!</v>
      </c>
    </row>
    <row r="587" spans="10:10" x14ac:dyDescent="0.25">
      <c r="J587" s="20" t="e">
        <f t="shared" si="28"/>
        <v>#NUM!</v>
      </c>
    </row>
    <row r="588" spans="10:10" x14ac:dyDescent="0.25">
      <c r="J588" s="20" t="e">
        <f t="shared" si="28"/>
        <v>#NUM!</v>
      </c>
    </row>
    <row r="589" spans="10:10" x14ac:dyDescent="0.25">
      <c r="J589" s="20" t="e">
        <f t="shared" si="28"/>
        <v>#NUM!</v>
      </c>
    </row>
    <row r="590" spans="10:10" x14ac:dyDescent="0.25">
      <c r="J590" s="20" t="e">
        <f t="shared" si="28"/>
        <v>#NUM!</v>
      </c>
    </row>
    <row r="591" spans="10:10" x14ac:dyDescent="0.25">
      <c r="J591" s="20" t="e">
        <f t="shared" si="28"/>
        <v>#NUM!</v>
      </c>
    </row>
    <row r="592" spans="10:10" x14ac:dyDescent="0.25">
      <c r="J592" s="20" t="e">
        <f t="shared" si="28"/>
        <v>#NUM!</v>
      </c>
    </row>
    <row r="593" spans="10:10" x14ac:dyDescent="0.25">
      <c r="J593" s="20" t="e">
        <f t="shared" si="28"/>
        <v>#NUM!</v>
      </c>
    </row>
    <row r="594" spans="10:10" x14ac:dyDescent="0.25">
      <c r="J594" s="20" t="e">
        <f t="shared" si="28"/>
        <v>#NUM!</v>
      </c>
    </row>
    <row r="595" spans="10:10" x14ac:dyDescent="0.25">
      <c r="J595" s="20" t="e">
        <f t="shared" si="28"/>
        <v>#NUM!</v>
      </c>
    </row>
    <row r="596" spans="10:10" x14ac:dyDescent="0.25">
      <c r="J596" s="20" t="e">
        <f t="shared" si="28"/>
        <v>#NUM!</v>
      </c>
    </row>
    <row r="597" spans="10:10" x14ac:dyDescent="0.25">
      <c r="J597" s="20" t="e">
        <f t="shared" si="28"/>
        <v>#NUM!</v>
      </c>
    </row>
    <row r="598" spans="10:10" x14ac:dyDescent="0.25">
      <c r="J598" s="20" t="e">
        <f t="shared" si="28"/>
        <v>#NUM!</v>
      </c>
    </row>
    <row r="599" spans="10:10" x14ac:dyDescent="0.25">
      <c r="J599" s="20" t="e">
        <f t="shared" si="28"/>
        <v>#NUM!</v>
      </c>
    </row>
    <row r="600" spans="10:10" x14ac:dyDescent="0.25">
      <c r="J600" s="20" t="e">
        <f t="shared" si="28"/>
        <v>#NUM!</v>
      </c>
    </row>
    <row r="601" spans="10:10" x14ac:dyDescent="0.25">
      <c r="J601" s="20" t="e">
        <f t="shared" si="28"/>
        <v>#NUM!</v>
      </c>
    </row>
    <row r="602" spans="10:10" x14ac:dyDescent="0.25">
      <c r="J602" s="20" t="e">
        <f t="shared" si="28"/>
        <v>#NUM!</v>
      </c>
    </row>
    <row r="603" spans="10:10" x14ac:dyDescent="0.25">
      <c r="J603" s="20" t="e">
        <f t="shared" si="28"/>
        <v>#NUM!</v>
      </c>
    </row>
    <row r="604" spans="10:10" x14ac:dyDescent="0.25">
      <c r="J604" s="20" t="e">
        <f t="shared" si="28"/>
        <v>#NUM!</v>
      </c>
    </row>
    <row r="605" spans="10:10" x14ac:dyDescent="0.25">
      <c r="J605" s="20" t="e">
        <f t="shared" si="28"/>
        <v>#NUM!</v>
      </c>
    </row>
    <row r="606" spans="10:10" x14ac:dyDescent="0.25">
      <c r="J606" s="20" t="e">
        <f t="shared" si="28"/>
        <v>#NUM!</v>
      </c>
    </row>
    <row r="607" spans="10:10" x14ac:dyDescent="0.25">
      <c r="J607" s="20" t="e">
        <f t="shared" si="28"/>
        <v>#NUM!</v>
      </c>
    </row>
    <row r="608" spans="10:10" x14ac:dyDescent="0.25">
      <c r="J608" s="20" t="e">
        <f t="shared" si="28"/>
        <v>#NUM!</v>
      </c>
    </row>
    <row r="609" spans="10:10" x14ac:dyDescent="0.25">
      <c r="J609" s="20" t="e">
        <f t="shared" si="28"/>
        <v>#NUM!</v>
      </c>
    </row>
    <row r="610" spans="10:10" x14ac:dyDescent="0.25">
      <c r="J610" s="20" t="e">
        <f t="shared" si="28"/>
        <v>#NUM!</v>
      </c>
    </row>
    <row r="611" spans="10:10" x14ac:dyDescent="0.25">
      <c r="J611" s="20" t="e">
        <f t="shared" si="28"/>
        <v>#NUM!</v>
      </c>
    </row>
    <row r="612" spans="10:10" x14ac:dyDescent="0.25">
      <c r="J612" s="20" t="e">
        <f t="shared" si="28"/>
        <v>#NUM!</v>
      </c>
    </row>
    <row r="613" spans="10:10" x14ac:dyDescent="0.25">
      <c r="J613" s="20" t="e">
        <f t="shared" si="28"/>
        <v>#NUM!</v>
      </c>
    </row>
    <row r="614" spans="10:10" x14ac:dyDescent="0.25">
      <c r="J614" s="20" t="e">
        <f t="shared" si="28"/>
        <v>#NUM!</v>
      </c>
    </row>
    <row r="615" spans="10:10" x14ac:dyDescent="0.25">
      <c r="J615" s="20" t="e">
        <f t="shared" si="28"/>
        <v>#NUM!</v>
      </c>
    </row>
    <row r="616" spans="10:10" x14ac:dyDescent="0.25">
      <c r="J616" s="20" t="e">
        <f t="shared" si="28"/>
        <v>#NUM!</v>
      </c>
    </row>
    <row r="617" spans="10:10" x14ac:dyDescent="0.25">
      <c r="J617" s="20" t="e">
        <f t="shared" si="28"/>
        <v>#NUM!</v>
      </c>
    </row>
    <row r="618" spans="10:10" x14ac:dyDescent="0.25">
      <c r="J618" s="20" t="e">
        <f t="shared" si="28"/>
        <v>#NUM!</v>
      </c>
    </row>
    <row r="619" spans="10:10" x14ac:dyDescent="0.25">
      <c r="J619" s="20" t="e">
        <f t="shared" si="28"/>
        <v>#NUM!</v>
      </c>
    </row>
    <row r="620" spans="10:10" x14ac:dyDescent="0.25">
      <c r="J620" s="20" t="e">
        <f t="shared" si="28"/>
        <v>#NUM!</v>
      </c>
    </row>
    <row r="621" spans="10:10" x14ac:dyDescent="0.25">
      <c r="J621" s="20" t="e">
        <f t="shared" si="28"/>
        <v>#NUM!</v>
      </c>
    </row>
    <row r="622" spans="10:10" x14ac:dyDescent="0.25">
      <c r="J622" s="20" t="e">
        <f t="shared" si="28"/>
        <v>#NUM!</v>
      </c>
    </row>
    <row r="623" spans="10:10" x14ac:dyDescent="0.25">
      <c r="J623" s="20" t="e">
        <f t="shared" si="28"/>
        <v>#NUM!</v>
      </c>
    </row>
    <row r="624" spans="10:10" x14ac:dyDescent="0.25">
      <c r="J624" s="20" t="e">
        <f t="shared" si="28"/>
        <v>#NUM!</v>
      </c>
    </row>
    <row r="625" spans="10:10" x14ac:dyDescent="0.25">
      <c r="J625" s="20" t="e">
        <f t="shared" si="28"/>
        <v>#NUM!</v>
      </c>
    </row>
    <row r="626" spans="10:10" x14ac:dyDescent="0.25">
      <c r="J626" s="20" t="e">
        <f t="shared" si="28"/>
        <v>#NUM!</v>
      </c>
    </row>
    <row r="627" spans="10:10" x14ac:dyDescent="0.25">
      <c r="J627" s="20" t="e">
        <f t="shared" si="28"/>
        <v>#NUM!</v>
      </c>
    </row>
    <row r="628" spans="10:10" x14ac:dyDescent="0.25">
      <c r="J628" s="20" t="e">
        <f t="shared" si="28"/>
        <v>#NUM!</v>
      </c>
    </row>
    <row r="629" spans="10:10" x14ac:dyDescent="0.25">
      <c r="J629" s="20" t="e">
        <f t="shared" si="28"/>
        <v>#NUM!</v>
      </c>
    </row>
    <row r="630" spans="10:10" x14ac:dyDescent="0.25">
      <c r="J630" s="20" t="e">
        <f t="shared" si="28"/>
        <v>#NUM!</v>
      </c>
    </row>
    <row r="631" spans="10:10" x14ac:dyDescent="0.25">
      <c r="J631" s="20" t="e">
        <f t="shared" si="28"/>
        <v>#NUM!</v>
      </c>
    </row>
    <row r="632" spans="10:10" x14ac:dyDescent="0.25">
      <c r="J632" s="20" t="e">
        <f t="shared" si="28"/>
        <v>#NUM!</v>
      </c>
    </row>
    <row r="633" spans="10:10" x14ac:dyDescent="0.25">
      <c r="J633" s="20" t="e">
        <f t="shared" si="28"/>
        <v>#NUM!</v>
      </c>
    </row>
    <row r="634" spans="10:10" x14ac:dyDescent="0.25">
      <c r="J634" s="20" t="e">
        <f t="shared" si="28"/>
        <v>#NUM!</v>
      </c>
    </row>
    <row r="635" spans="10:10" x14ac:dyDescent="0.25">
      <c r="J635" s="20" t="e">
        <f t="shared" si="28"/>
        <v>#NUM!</v>
      </c>
    </row>
    <row r="636" spans="10:10" x14ac:dyDescent="0.25">
      <c r="J636" s="20" t="e">
        <f t="shared" si="28"/>
        <v>#NUM!</v>
      </c>
    </row>
    <row r="637" spans="10:10" x14ac:dyDescent="0.25">
      <c r="J637" s="20" t="e">
        <f t="shared" si="28"/>
        <v>#NUM!</v>
      </c>
    </row>
    <row r="638" spans="10:10" x14ac:dyDescent="0.25">
      <c r="J638" s="20" t="e">
        <f t="shared" si="28"/>
        <v>#NUM!</v>
      </c>
    </row>
    <row r="639" spans="10:10" x14ac:dyDescent="0.25">
      <c r="J639" s="20" t="e">
        <f t="shared" si="28"/>
        <v>#NUM!</v>
      </c>
    </row>
    <row r="640" spans="10:10" x14ac:dyDescent="0.25">
      <c r="J640" s="20" t="e">
        <f t="shared" si="28"/>
        <v>#NUM!</v>
      </c>
    </row>
    <row r="641" spans="10:10" x14ac:dyDescent="0.25">
      <c r="J641" s="20" t="e">
        <f t="shared" si="28"/>
        <v>#NUM!</v>
      </c>
    </row>
    <row r="642" spans="10:10" x14ac:dyDescent="0.25">
      <c r="J642" s="20" t="e">
        <f t="shared" si="28"/>
        <v>#NUM!</v>
      </c>
    </row>
    <row r="643" spans="10:10" x14ac:dyDescent="0.25">
      <c r="J643" s="20" t="e">
        <f t="shared" si="28"/>
        <v>#NUM!</v>
      </c>
    </row>
    <row r="644" spans="10:10" x14ac:dyDescent="0.25">
      <c r="J644" s="20" t="e">
        <f t="shared" si="28"/>
        <v>#NUM!</v>
      </c>
    </row>
    <row r="645" spans="10:10" x14ac:dyDescent="0.25">
      <c r="J645" s="20" t="e">
        <f t="shared" si="28"/>
        <v>#NUM!</v>
      </c>
    </row>
    <row r="646" spans="10:10" x14ac:dyDescent="0.25">
      <c r="J646" s="20" t="e">
        <f t="shared" si="28"/>
        <v>#NUM!</v>
      </c>
    </row>
    <row r="647" spans="10:10" x14ac:dyDescent="0.25">
      <c r="J647" s="20" t="e">
        <f t="shared" ref="J647:J687" si="29">INT(LOG($H$2,2))-ROUNDUP(LOG(H647,2),0)+IF(OR($H$2=1,$H$2=2,$H$2=4,$H$2=8,$H$2=16,$H$2=32,$H$2=64,$H$2=128,$H$2=256),0,1)</f>
        <v>#NUM!</v>
      </c>
    </row>
    <row r="648" spans="10:10" x14ac:dyDescent="0.25">
      <c r="J648" s="20" t="e">
        <f t="shared" si="29"/>
        <v>#NUM!</v>
      </c>
    </row>
    <row r="649" spans="10:10" x14ac:dyDescent="0.25">
      <c r="J649" s="20" t="e">
        <f t="shared" si="29"/>
        <v>#NUM!</v>
      </c>
    </row>
    <row r="650" spans="10:10" x14ac:dyDescent="0.25">
      <c r="J650" s="20" t="e">
        <f t="shared" si="29"/>
        <v>#NUM!</v>
      </c>
    </row>
    <row r="651" spans="10:10" x14ac:dyDescent="0.25">
      <c r="J651" s="20" t="e">
        <f t="shared" si="29"/>
        <v>#NUM!</v>
      </c>
    </row>
    <row r="652" spans="10:10" x14ac:dyDescent="0.25">
      <c r="J652" s="20" t="e">
        <f t="shared" si="29"/>
        <v>#NUM!</v>
      </c>
    </row>
    <row r="653" spans="10:10" x14ac:dyDescent="0.25">
      <c r="J653" s="20" t="e">
        <f t="shared" si="29"/>
        <v>#NUM!</v>
      </c>
    </row>
    <row r="654" spans="10:10" x14ac:dyDescent="0.25">
      <c r="J654" s="20" t="e">
        <f t="shared" si="29"/>
        <v>#NUM!</v>
      </c>
    </row>
    <row r="655" spans="10:10" x14ac:dyDescent="0.25">
      <c r="J655" s="20" t="e">
        <f t="shared" si="29"/>
        <v>#NUM!</v>
      </c>
    </row>
    <row r="656" spans="10:10" x14ac:dyDescent="0.25">
      <c r="J656" s="20" t="e">
        <f t="shared" si="29"/>
        <v>#NUM!</v>
      </c>
    </row>
    <row r="657" spans="10:10" x14ac:dyDescent="0.25">
      <c r="J657" s="20" t="e">
        <f t="shared" si="29"/>
        <v>#NUM!</v>
      </c>
    </row>
    <row r="658" spans="10:10" x14ac:dyDescent="0.25">
      <c r="J658" s="20" t="e">
        <f t="shared" si="29"/>
        <v>#NUM!</v>
      </c>
    </row>
    <row r="659" spans="10:10" x14ac:dyDescent="0.25">
      <c r="J659" s="20" t="e">
        <f t="shared" si="29"/>
        <v>#NUM!</v>
      </c>
    </row>
    <row r="660" spans="10:10" x14ac:dyDescent="0.25">
      <c r="J660" s="20" t="e">
        <f t="shared" si="29"/>
        <v>#NUM!</v>
      </c>
    </row>
    <row r="661" spans="10:10" x14ac:dyDescent="0.25">
      <c r="J661" s="20" t="e">
        <f t="shared" si="29"/>
        <v>#NUM!</v>
      </c>
    </row>
    <row r="662" spans="10:10" x14ac:dyDescent="0.25">
      <c r="J662" s="20" t="e">
        <f t="shared" si="29"/>
        <v>#NUM!</v>
      </c>
    </row>
    <row r="663" spans="10:10" x14ac:dyDescent="0.25">
      <c r="J663" s="20" t="e">
        <f t="shared" si="29"/>
        <v>#NUM!</v>
      </c>
    </row>
    <row r="664" spans="10:10" x14ac:dyDescent="0.25">
      <c r="J664" s="20" t="e">
        <f t="shared" si="29"/>
        <v>#NUM!</v>
      </c>
    </row>
    <row r="665" spans="10:10" x14ac:dyDescent="0.25">
      <c r="J665" s="20" t="e">
        <f t="shared" si="29"/>
        <v>#NUM!</v>
      </c>
    </row>
    <row r="666" spans="10:10" x14ac:dyDescent="0.25">
      <c r="J666" s="20" t="e">
        <f t="shared" si="29"/>
        <v>#NUM!</v>
      </c>
    </row>
    <row r="667" spans="10:10" x14ac:dyDescent="0.25">
      <c r="J667" s="20" t="e">
        <f t="shared" si="29"/>
        <v>#NUM!</v>
      </c>
    </row>
    <row r="668" spans="10:10" x14ac:dyDescent="0.25">
      <c r="J668" s="20" t="e">
        <f t="shared" si="29"/>
        <v>#NUM!</v>
      </c>
    </row>
    <row r="669" spans="10:10" x14ac:dyDescent="0.25">
      <c r="J669" s="20" t="e">
        <f t="shared" si="29"/>
        <v>#NUM!</v>
      </c>
    </row>
    <row r="670" spans="10:10" x14ac:dyDescent="0.25">
      <c r="J670" s="20" t="e">
        <f t="shared" si="29"/>
        <v>#NUM!</v>
      </c>
    </row>
    <row r="671" spans="10:10" x14ac:dyDescent="0.25">
      <c r="J671" s="20" t="e">
        <f t="shared" si="29"/>
        <v>#NUM!</v>
      </c>
    </row>
    <row r="672" spans="10:10" x14ac:dyDescent="0.25">
      <c r="J672" s="20" t="e">
        <f t="shared" si="29"/>
        <v>#NUM!</v>
      </c>
    </row>
    <row r="673" spans="10:10" x14ac:dyDescent="0.25">
      <c r="J673" s="20" t="e">
        <f t="shared" si="29"/>
        <v>#NUM!</v>
      </c>
    </row>
    <row r="674" spans="10:10" x14ac:dyDescent="0.25">
      <c r="J674" s="20" t="e">
        <f t="shared" si="29"/>
        <v>#NUM!</v>
      </c>
    </row>
    <row r="675" spans="10:10" x14ac:dyDescent="0.25">
      <c r="J675" s="20" t="e">
        <f t="shared" si="29"/>
        <v>#NUM!</v>
      </c>
    </row>
    <row r="676" spans="10:10" x14ac:dyDescent="0.25">
      <c r="J676" s="20" t="e">
        <f t="shared" si="29"/>
        <v>#NUM!</v>
      </c>
    </row>
    <row r="677" spans="10:10" x14ac:dyDescent="0.25">
      <c r="J677" s="20" t="e">
        <f t="shared" si="29"/>
        <v>#NUM!</v>
      </c>
    </row>
    <row r="678" spans="10:10" x14ac:dyDescent="0.25">
      <c r="J678" s="20" t="e">
        <f t="shared" si="29"/>
        <v>#NUM!</v>
      </c>
    </row>
    <row r="679" spans="10:10" x14ac:dyDescent="0.25">
      <c r="J679" s="20" t="e">
        <f t="shared" si="29"/>
        <v>#NUM!</v>
      </c>
    </row>
    <row r="680" spans="10:10" x14ac:dyDescent="0.25">
      <c r="J680" s="20" t="e">
        <f t="shared" si="29"/>
        <v>#NUM!</v>
      </c>
    </row>
    <row r="681" spans="10:10" x14ac:dyDescent="0.25">
      <c r="J681" s="20" t="e">
        <f t="shared" si="29"/>
        <v>#NUM!</v>
      </c>
    </row>
    <row r="682" spans="10:10" x14ac:dyDescent="0.25">
      <c r="J682" s="20" t="e">
        <f t="shared" si="29"/>
        <v>#NUM!</v>
      </c>
    </row>
    <row r="683" spans="10:10" x14ac:dyDescent="0.25">
      <c r="J683" s="20" t="e">
        <f t="shared" si="29"/>
        <v>#NUM!</v>
      </c>
    </row>
    <row r="684" spans="10:10" x14ac:dyDescent="0.25">
      <c r="J684" s="20" t="e">
        <f t="shared" si="29"/>
        <v>#NUM!</v>
      </c>
    </row>
    <row r="685" spans="10:10" x14ac:dyDescent="0.25">
      <c r="J685" s="20" t="e">
        <f t="shared" si="29"/>
        <v>#NUM!</v>
      </c>
    </row>
    <row r="686" spans="10:10" x14ac:dyDescent="0.25">
      <c r="J686" s="20" t="e">
        <f t="shared" si="29"/>
        <v>#NUM!</v>
      </c>
    </row>
    <row r="687" spans="10:10" x14ac:dyDescent="0.25">
      <c r="J687" s="20" t="e">
        <f t="shared" si="29"/>
        <v>#NUM!</v>
      </c>
    </row>
  </sheetData>
  <mergeCells count="2">
    <mergeCell ref="C2:D2"/>
    <mergeCell ref="C3:D3"/>
  </mergeCells>
  <conditionalFormatting sqref="J7:K305">
    <cfRule type="cellIs" dxfId="28" priority="1" operator="lessThanOrEqual">
      <formula>0</formula>
    </cfRule>
  </conditionalFormatting>
  <dataValidations disablePrompts="1" count="1">
    <dataValidation type="list" allowBlank="1" showInputMessage="1" showErrorMessage="1" sqref="C38:C69" xr:uid="{D284F17E-95A2-4CB0-8E54-3E3A0B85F19D}">
      <formula1>#REF!</formula1>
    </dataValidation>
  </dataValidations>
  <hyperlinks>
    <hyperlink ref="C2:D2" r:id="rId1" display="OPOLE" xr:uid="{EE29B843-0EDB-4C88-974E-97D9295FCCE4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5EA9C-3BD5-4ECA-950B-40009BC732EF}">
  <sheetPr>
    <tabColor rgb="FF92D050"/>
  </sheetPr>
  <dimension ref="A1:AL373"/>
  <sheetViews>
    <sheetView workbookViewId="0">
      <selection activeCell="D22" sqref="D22"/>
    </sheetView>
  </sheetViews>
  <sheetFormatPr defaultColWidth="8.875" defaultRowHeight="14.3" x14ac:dyDescent="0.25"/>
  <cols>
    <col min="1" max="1" width="8" style="3" customWidth="1"/>
    <col min="2" max="2" width="8.25" style="3" customWidth="1"/>
    <col min="3" max="3" width="34.75" style="3" customWidth="1"/>
    <col min="4" max="4" width="11.25" style="3" customWidth="1"/>
    <col min="5" max="6" width="8.875" style="3"/>
    <col min="7" max="7" width="0.875" style="3" customWidth="1"/>
    <col min="8" max="8" width="8.875" style="20"/>
    <col min="9" max="9" width="11" style="20" customWidth="1"/>
    <col min="10" max="10" width="15.25" style="20" customWidth="1"/>
    <col min="11" max="11" width="8.75" style="20" customWidth="1"/>
    <col min="12" max="12" width="11" style="20" customWidth="1"/>
    <col min="13" max="13" width="11.75" style="15" customWidth="1"/>
    <col min="14" max="15" width="13.875" style="5" customWidth="1"/>
    <col min="16" max="18" width="8.875" style="5"/>
    <col min="19" max="20" width="8.875" style="26"/>
    <col min="21" max="21" width="12.125" style="26" customWidth="1"/>
    <col min="22" max="22" width="27.375" style="26" customWidth="1"/>
    <col min="23" max="38" width="8.875" style="26"/>
    <col min="39" max="16384" width="8.875" style="3"/>
  </cols>
  <sheetData>
    <row r="1" spans="1:34" x14ac:dyDescent="0.25">
      <c r="A1" s="5"/>
      <c r="B1" s="5"/>
      <c r="C1" s="5"/>
      <c r="D1" s="5"/>
      <c r="E1" s="5"/>
      <c r="F1" s="5"/>
      <c r="G1" s="5"/>
      <c r="H1" s="22" t="s">
        <v>38</v>
      </c>
      <c r="I1" s="12" t="s">
        <v>39</v>
      </c>
      <c r="J1" s="12" t="s">
        <v>40</v>
      </c>
      <c r="K1" s="23" t="s">
        <v>41</v>
      </c>
      <c r="L1" s="13"/>
      <c r="M1" s="13"/>
    </row>
    <row r="2" spans="1:34" x14ac:dyDescent="0.25">
      <c r="A2" s="5"/>
      <c r="B2" s="47" t="s">
        <v>42</v>
      </c>
      <c r="C2" s="271" t="s">
        <v>83</v>
      </c>
      <c r="D2" s="271"/>
      <c r="E2" s="6"/>
      <c r="F2" s="6"/>
      <c r="G2" s="6"/>
      <c r="H2" s="14">
        <v>9</v>
      </c>
      <c r="I2" s="61">
        <v>50</v>
      </c>
      <c r="J2" s="61">
        <v>10</v>
      </c>
      <c r="K2" s="62">
        <f>3*H2^(1/3)</f>
        <v>6.2402514691557123</v>
      </c>
      <c r="L2" s="13"/>
      <c r="M2" s="13"/>
    </row>
    <row r="3" spans="1:34" ht="14.3" customHeight="1" x14ac:dyDescent="0.25">
      <c r="A3" s="5"/>
      <c r="B3" s="48" t="s">
        <v>44</v>
      </c>
      <c r="C3" s="272" t="s">
        <v>84</v>
      </c>
      <c r="D3" s="272"/>
      <c r="E3" s="7"/>
      <c r="F3" s="7"/>
      <c r="G3" s="7"/>
      <c r="H3" s="13"/>
      <c r="I3" s="13"/>
      <c r="J3" s="16"/>
      <c r="K3" s="13"/>
      <c r="L3" s="13"/>
      <c r="M3" s="13"/>
    </row>
    <row r="4" spans="1:34" ht="10.4" customHeight="1" x14ac:dyDescent="0.25">
      <c r="A4" s="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</row>
    <row r="5" spans="1:34" ht="46.2" x14ac:dyDescent="0.25">
      <c r="A5" s="1" t="s">
        <v>45</v>
      </c>
      <c r="B5" s="37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8"/>
      <c r="H5" s="9" t="s">
        <v>51</v>
      </c>
      <c r="I5" s="10" t="s">
        <v>52</v>
      </c>
      <c r="J5" s="11" t="s">
        <v>53</v>
      </c>
      <c r="K5" s="10" t="s">
        <v>54</v>
      </c>
      <c r="L5" s="10" t="s">
        <v>55</v>
      </c>
      <c r="M5" s="9" t="s">
        <v>56</v>
      </c>
    </row>
    <row r="6" spans="1:34" ht="14.45" customHeight="1" x14ac:dyDescent="0.25">
      <c r="A6" s="39">
        <f>M6</f>
        <v>108.72075440746714</v>
      </c>
      <c r="B6" s="36">
        <f t="shared" ref="B6:B17" si="0">IF(H6&gt;$H$2,"",(ROW()-5))</f>
        <v>1</v>
      </c>
      <c r="C6" s="24" t="s">
        <v>21</v>
      </c>
      <c r="D6" s="24" t="s">
        <v>85</v>
      </c>
      <c r="E6" s="24"/>
      <c r="F6" s="24" t="s">
        <v>86</v>
      </c>
      <c r="G6" s="8"/>
      <c r="H6" s="17">
        <v>1</v>
      </c>
      <c r="I6" s="18">
        <f>IF(H2=1,50,IF(H6&lt;$H$2+1,($I$2-($I$2-1)*(LOG(H6)/LOG($H$2))),""))</f>
        <v>50</v>
      </c>
      <c r="J6" s="17">
        <f>INT(LOG($H$2,2))-ROUNDUP(LOG(H6,2),0)+IF(OR($H$2=1,$H$2=2,$H$2=4,$H$2=8,$H$2=16,$H$2=32,$H$2=64,$H$2=128,$H$2=256),0,1)</f>
        <v>4</v>
      </c>
      <c r="K6" s="17">
        <f t="shared" ref="K6" si="1">J6*$J$2</f>
        <v>40</v>
      </c>
      <c r="L6" s="19">
        <f>3*K2</f>
        <v>18.720754407467137</v>
      </c>
      <c r="M6" s="19">
        <f t="shared" ref="M6:M69" si="2">IF(I6&lt;&gt;"",K6+I6+L6,0)</f>
        <v>108.72075440746714</v>
      </c>
    </row>
    <row r="7" spans="1:34" ht="14.45" customHeight="1" x14ac:dyDescent="0.25">
      <c r="A7" s="40">
        <f t="shared" ref="A7:A37" si="3">M7</f>
        <v>77.02272397581072</v>
      </c>
      <c r="B7" s="35">
        <f t="shared" si="0"/>
        <v>2</v>
      </c>
      <c r="C7" s="25" t="s">
        <v>23</v>
      </c>
      <c r="D7" s="25" t="s">
        <v>73</v>
      </c>
      <c r="E7" s="25"/>
      <c r="F7" s="25" t="s">
        <v>86</v>
      </c>
      <c r="G7" s="8"/>
      <c r="H7" s="44">
        <v>2</v>
      </c>
      <c r="I7" s="45">
        <f t="shared" ref="I7:I69" si="4">IF(H7&lt;$H$2+1,($I$2-($I$2-1)*(LOG(H7)/LOG($H$2))),"")</f>
        <v>34.542221037499296</v>
      </c>
      <c r="J7" s="44">
        <f t="shared" ref="J7:J70" si="5">INT(LOG($H$2,2))-ROUNDUP(LOG(H7,2),0)+IF(OR($H$2=1,$H$2=2,$H$2=4,$H$2=8,$H$2=16,$H$2=32,$H$2=64,$H$2=128,$H$2=256),0,1)</f>
        <v>3</v>
      </c>
      <c r="K7" s="44">
        <f t="shared" ref="K7:K69" si="6">J7*$J$2</f>
        <v>30</v>
      </c>
      <c r="L7" s="46">
        <f>2*K2</f>
        <v>12.480502938311425</v>
      </c>
      <c r="M7" s="46">
        <f t="shared" si="2"/>
        <v>77.02272397581072</v>
      </c>
    </row>
    <row r="8" spans="1:34" ht="14.45" customHeight="1" x14ac:dyDescent="0.25">
      <c r="A8" s="39">
        <f t="shared" si="3"/>
        <v>51.740251469155709</v>
      </c>
      <c r="B8" s="36">
        <f t="shared" si="0"/>
        <v>3</v>
      </c>
      <c r="C8" s="24" t="s">
        <v>26</v>
      </c>
      <c r="D8" s="24" t="s">
        <v>61</v>
      </c>
      <c r="E8" s="24"/>
      <c r="F8" s="24" t="s">
        <v>86</v>
      </c>
      <c r="G8" s="8"/>
      <c r="H8" s="17">
        <v>3</v>
      </c>
      <c r="I8" s="18">
        <f t="shared" si="4"/>
        <v>25.5</v>
      </c>
      <c r="J8" s="17">
        <f t="shared" si="5"/>
        <v>2</v>
      </c>
      <c r="K8" s="17">
        <f t="shared" si="6"/>
        <v>20</v>
      </c>
      <c r="L8" s="19">
        <f>K2</f>
        <v>6.2402514691557123</v>
      </c>
      <c r="M8" s="19">
        <f t="shared" si="2"/>
        <v>51.740251469155709</v>
      </c>
    </row>
    <row r="9" spans="1:34" ht="14.45" customHeight="1" x14ac:dyDescent="0.25">
      <c r="A9" s="40">
        <f t="shared" si="3"/>
        <v>39.084442074998591</v>
      </c>
      <c r="B9" s="35">
        <f t="shared" si="0"/>
        <v>4</v>
      </c>
      <c r="C9" s="25" t="s">
        <v>29</v>
      </c>
      <c r="D9" s="25" t="s">
        <v>87</v>
      </c>
      <c r="E9" s="25"/>
      <c r="F9" s="25" t="s">
        <v>86</v>
      </c>
      <c r="G9" s="8"/>
      <c r="H9" s="44">
        <v>4</v>
      </c>
      <c r="I9" s="45">
        <f t="shared" si="4"/>
        <v>19.084442074998588</v>
      </c>
      <c r="J9" s="44">
        <f t="shared" si="5"/>
        <v>2</v>
      </c>
      <c r="K9" s="44">
        <f t="shared" si="6"/>
        <v>20</v>
      </c>
      <c r="L9" s="46"/>
      <c r="M9" s="46">
        <f t="shared" si="2"/>
        <v>39.084442074998591</v>
      </c>
      <c r="V9" s="27"/>
      <c r="Z9" s="28"/>
      <c r="AA9" s="28"/>
      <c r="AG9" s="29"/>
    </row>
    <row r="10" spans="1:34" ht="14.45" customHeight="1" x14ac:dyDescent="0.25">
      <c r="A10" s="39">
        <f t="shared" si="3"/>
        <v>24.108148742410783</v>
      </c>
      <c r="B10" s="36">
        <f t="shared" si="0"/>
        <v>5</v>
      </c>
      <c r="C10" s="24" t="s">
        <v>27</v>
      </c>
      <c r="D10" s="24" t="s">
        <v>88</v>
      </c>
      <c r="E10" s="24"/>
      <c r="F10" s="24" t="s">
        <v>86</v>
      </c>
      <c r="G10" s="8"/>
      <c r="H10" s="17">
        <v>5</v>
      </c>
      <c r="I10" s="18">
        <f t="shared" si="4"/>
        <v>14.108148742410783</v>
      </c>
      <c r="J10" s="17">
        <f t="shared" si="5"/>
        <v>1</v>
      </c>
      <c r="K10" s="17">
        <f t="shared" si="6"/>
        <v>10</v>
      </c>
      <c r="L10" s="17"/>
      <c r="M10" s="19">
        <f t="shared" si="2"/>
        <v>24.108148742410783</v>
      </c>
      <c r="V10" s="27"/>
      <c r="Z10" s="28"/>
      <c r="AA10" s="28"/>
      <c r="AG10" s="29"/>
    </row>
    <row r="11" spans="1:34" ht="14.45" customHeight="1" x14ac:dyDescent="0.25">
      <c r="A11" s="40">
        <f t="shared" si="3"/>
        <v>20.042221037499289</v>
      </c>
      <c r="B11" s="35">
        <f t="shared" si="0"/>
        <v>6</v>
      </c>
      <c r="C11" s="25" t="s">
        <v>30</v>
      </c>
      <c r="D11" s="25" t="s">
        <v>89</v>
      </c>
      <c r="E11" s="25"/>
      <c r="F11" s="25" t="s">
        <v>86</v>
      </c>
      <c r="G11" s="8"/>
      <c r="H11" s="44">
        <v>6</v>
      </c>
      <c r="I11" s="45">
        <f t="shared" si="4"/>
        <v>10.042221037499289</v>
      </c>
      <c r="J11" s="44">
        <f t="shared" si="5"/>
        <v>1</v>
      </c>
      <c r="K11" s="44">
        <f t="shared" si="6"/>
        <v>10</v>
      </c>
      <c r="L11" s="44"/>
      <c r="M11" s="46">
        <f t="shared" si="2"/>
        <v>20.042221037499289</v>
      </c>
      <c r="V11" s="30"/>
      <c r="Z11" s="28"/>
      <c r="AA11" s="28"/>
      <c r="AG11" s="29"/>
    </row>
    <row r="12" spans="1:34" ht="14.45" customHeight="1" x14ac:dyDescent="0.25">
      <c r="A12" s="39">
        <f t="shared" si="3"/>
        <v>16.60452814554516</v>
      </c>
      <c r="B12" s="36">
        <f t="shared" si="0"/>
        <v>7</v>
      </c>
      <c r="C12" s="24" t="s">
        <v>28</v>
      </c>
      <c r="D12" s="24" t="s">
        <v>90</v>
      </c>
      <c r="E12" s="24"/>
      <c r="F12" s="24" t="s">
        <v>86</v>
      </c>
      <c r="G12" s="8"/>
      <c r="H12" s="17">
        <v>7</v>
      </c>
      <c r="I12" s="18">
        <f t="shared" si="4"/>
        <v>6.6045281455451601</v>
      </c>
      <c r="J12" s="17">
        <f t="shared" si="5"/>
        <v>1</v>
      </c>
      <c r="K12" s="17">
        <f t="shared" si="6"/>
        <v>10</v>
      </c>
      <c r="L12" s="17"/>
      <c r="M12" s="19">
        <f t="shared" si="2"/>
        <v>16.60452814554516</v>
      </c>
      <c r="Z12" s="28"/>
      <c r="AA12" s="28"/>
      <c r="AG12" s="29"/>
    </row>
    <row r="13" spans="1:34" ht="14.45" customHeight="1" x14ac:dyDescent="0.25">
      <c r="A13" s="41">
        <f t="shared" si="3"/>
        <v>13.62666311249788</v>
      </c>
      <c r="B13" s="35">
        <f t="shared" si="0"/>
        <v>8</v>
      </c>
      <c r="C13" s="25" t="s">
        <v>33</v>
      </c>
      <c r="D13" s="25" t="s">
        <v>66</v>
      </c>
      <c r="E13" s="25"/>
      <c r="F13" s="25" t="s">
        <v>86</v>
      </c>
      <c r="G13" s="8"/>
      <c r="H13" s="44">
        <v>8</v>
      </c>
      <c r="I13" s="45">
        <f t="shared" si="4"/>
        <v>3.6266631124978801</v>
      </c>
      <c r="J13" s="44">
        <f t="shared" si="5"/>
        <v>1</v>
      </c>
      <c r="K13" s="44">
        <f t="shared" si="6"/>
        <v>10</v>
      </c>
      <c r="L13" s="44"/>
      <c r="M13" s="46">
        <f t="shared" si="2"/>
        <v>13.62666311249788</v>
      </c>
      <c r="X13" s="27"/>
      <c r="AG13" s="29"/>
    </row>
    <row r="14" spans="1:34" ht="25.85" x14ac:dyDescent="0.25">
      <c r="A14" s="42">
        <f t="shared" si="3"/>
        <v>1</v>
      </c>
      <c r="B14" s="36">
        <f t="shared" si="0"/>
        <v>9</v>
      </c>
      <c r="C14" s="24" t="s">
        <v>35</v>
      </c>
      <c r="D14" s="24" t="s">
        <v>88</v>
      </c>
      <c r="E14" s="24"/>
      <c r="F14" s="24" t="s">
        <v>86</v>
      </c>
      <c r="G14" s="8"/>
      <c r="H14" s="17">
        <v>9</v>
      </c>
      <c r="I14" s="18">
        <f t="shared" si="4"/>
        <v>1</v>
      </c>
      <c r="J14" s="17">
        <f t="shared" si="5"/>
        <v>0</v>
      </c>
      <c r="K14" s="17">
        <f t="shared" si="6"/>
        <v>0</v>
      </c>
      <c r="L14" s="17"/>
      <c r="M14" s="19">
        <f t="shared" si="2"/>
        <v>1</v>
      </c>
      <c r="X14" s="31"/>
      <c r="Z14" s="28"/>
      <c r="AA14" s="28"/>
      <c r="AG14" s="29"/>
    </row>
    <row r="15" spans="1:34" x14ac:dyDescent="0.25">
      <c r="A15" s="41">
        <f t="shared" si="3"/>
        <v>0</v>
      </c>
      <c r="B15" s="35" t="str">
        <f t="shared" si="0"/>
        <v/>
      </c>
      <c r="C15" s="25"/>
      <c r="D15" s="25"/>
      <c r="E15" s="25"/>
      <c r="F15" s="25"/>
      <c r="G15" s="8"/>
      <c r="H15" s="44">
        <v>10</v>
      </c>
      <c r="I15" s="45" t="str">
        <f t="shared" si="4"/>
        <v/>
      </c>
      <c r="J15" s="44">
        <f t="shared" si="5"/>
        <v>0</v>
      </c>
      <c r="K15" s="44">
        <f t="shared" si="6"/>
        <v>0</v>
      </c>
      <c r="L15" s="44"/>
      <c r="M15" s="46">
        <f t="shared" si="2"/>
        <v>0</v>
      </c>
      <c r="X15" s="27"/>
      <c r="Z15" s="28"/>
      <c r="AA15" s="28"/>
    </row>
    <row r="16" spans="1:34" x14ac:dyDescent="0.25">
      <c r="A16" s="42">
        <f t="shared" si="3"/>
        <v>0</v>
      </c>
      <c r="B16" s="36" t="str">
        <f t="shared" si="0"/>
        <v/>
      </c>
      <c r="C16" s="24"/>
      <c r="D16" s="24"/>
      <c r="E16" s="24"/>
      <c r="F16" s="24"/>
      <c r="G16" s="8"/>
      <c r="H16" s="17">
        <v>11</v>
      </c>
      <c r="I16" s="18" t="str">
        <f t="shared" si="4"/>
        <v/>
      </c>
      <c r="J16" s="17">
        <f t="shared" si="5"/>
        <v>0</v>
      </c>
      <c r="K16" s="17">
        <f t="shared" si="6"/>
        <v>0</v>
      </c>
      <c r="L16" s="17"/>
      <c r="M16" s="19">
        <f t="shared" si="2"/>
        <v>0</v>
      </c>
      <c r="R16" s="49"/>
      <c r="Z16" s="28"/>
      <c r="AA16" s="28"/>
      <c r="AH16" s="33"/>
    </row>
    <row r="17" spans="1:19" x14ac:dyDescent="0.25">
      <c r="A17" s="41">
        <f t="shared" si="3"/>
        <v>0</v>
      </c>
      <c r="B17" s="35" t="str">
        <f t="shared" si="0"/>
        <v/>
      </c>
      <c r="C17" s="25"/>
      <c r="D17" s="25"/>
      <c r="E17" s="25"/>
      <c r="F17" s="25"/>
      <c r="G17" s="8"/>
      <c r="H17" s="44">
        <v>12</v>
      </c>
      <c r="I17" s="45" t="str">
        <f t="shared" si="4"/>
        <v/>
      </c>
      <c r="J17" s="44">
        <f t="shared" si="5"/>
        <v>0</v>
      </c>
      <c r="K17" s="44">
        <f t="shared" si="6"/>
        <v>0</v>
      </c>
      <c r="L17" s="44"/>
      <c r="M17" s="46">
        <f t="shared" si="2"/>
        <v>0</v>
      </c>
    </row>
    <row r="18" spans="1:19" x14ac:dyDescent="0.25">
      <c r="A18" s="42">
        <f t="shared" si="3"/>
        <v>0</v>
      </c>
      <c r="B18" s="36" t="str">
        <f t="shared" ref="B18:B65" si="7">IF(H18&gt;$H$2,"",(ROW()-5))</f>
        <v/>
      </c>
      <c r="C18" s="24"/>
      <c r="D18" s="24"/>
      <c r="E18" s="24"/>
      <c r="F18" s="24"/>
      <c r="G18" s="8"/>
      <c r="H18" s="17">
        <v>13</v>
      </c>
      <c r="I18" s="18" t="str">
        <f t="shared" si="4"/>
        <v/>
      </c>
      <c r="J18" s="17">
        <f t="shared" si="5"/>
        <v>0</v>
      </c>
      <c r="K18" s="17">
        <f t="shared" si="6"/>
        <v>0</v>
      </c>
      <c r="L18" s="17"/>
      <c r="M18" s="19">
        <f t="shared" si="2"/>
        <v>0</v>
      </c>
    </row>
    <row r="19" spans="1:19" x14ac:dyDescent="0.25">
      <c r="A19" s="41">
        <f t="shared" si="3"/>
        <v>0</v>
      </c>
      <c r="B19" s="35" t="str">
        <f t="shared" si="7"/>
        <v/>
      </c>
      <c r="C19" s="25"/>
      <c r="D19" s="25"/>
      <c r="E19" s="25"/>
      <c r="F19" s="25"/>
      <c r="G19" s="8"/>
      <c r="H19" s="44">
        <v>14</v>
      </c>
      <c r="I19" s="45" t="str">
        <f t="shared" si="4"/>
        <v/>
      </c>
      <c r="J19" s="44">
        <f t="shared" si="5"/>
        <v>0</v>
      </c>
      <c r="K19" s="44">
        <f t="shared" si="6"/>
        <v>0</v>
      </c>
      <c r="L19" s="44"/>
      <c r="M19" s="46">
        <f t="shared" si="2"/>
        <v>0</v>
      </c>
    </row>
    <row r="20" spans="1:19" x14ac:dyDescent="0.25">
      <c r="A20" s="42">
        <f t="shared" si="3"/>
        <v>0</v>
      </c>
      <c r="B20" s="36" t="str">
        <f t="shared" si="7"/>
        <v/>
      </c>
      <c r="C20" s="24"/>
      <c r="D20" s="24"/>
      <c r="E20" s="24"/>
      <c r="F20" s="24"/>
      <c r="G20" s="8"/>
      <c r="H20" s="17">
        <v>15</v>
      </c>
      <c r="I20" s="18" t="str">
        <f t="shared" si="4"/>
        <v/>
      </c>
      <c r="J20" s="17">
        <f t="shared" si="5"/>
        <v>0</v>
      </c>
      <c r="K20" s="17">
        <f t="shared" si="6"/>
        <v>0</v>
      </c>
      <c r="L20" s="17"/>
      <c r="M20" s="19">
        <f t="shared" si="2"/>
        <v>0</v>
      </c>
      <c r="R20" s="50"/>
      <c r="S20" s="34"/>
    </row>
    <row r="21" spans="1:19" x14ac:dyDescent="0.25">
      <c r="A21" s="41">
        <f t="shared" si="3"/>
        <v>0</v>
      </c>
      <c r="B21" s="35" t="str">
        <f t="shared" si="7"/>
        <v/>
      </c>
      <c r="C21" s="25"/>
      <c r="D21" s="25"/>
      <c r="E21" s="25"/>
      <c r="F21" s="25"/>
      <c r="G21" s="8"/>
      <c r="H21" s="44">
        <v>16</v>
      </c>
      <c r="I21" s="45" t="str">
        <f t="shared" si="4"/>
        <v/>
      </c>
      <c r="J21" s="44">
        <f t="shared" si="5"/>
        <v>0</v>
      </c>
      <c r="K21" s="44">
        <f t="shared" si="6"/>
        <v>0</v>
      </c>
      <c r="L21" s="44"/>
      <c r="M21" s="46">
        <f t="shared" si="2"/>
        <v>0</v>
      </c>
    </row>
    <row r="22" spans="1:19" x14ac:dyDescent="0.25">
      <c r="A22" s="42">
        <f t="shared" si="3"/>
        <v>0</v>
      </c>
      <c r="B22" s="36" t="str">
        <f t="shared" si="7"/>
        <v/>
      </c>
      <c r="C22" s="24"/>
      <c r="D22" s="24"/>
      <c r="E22" s="24"/>
      <c r="F22" s="24"/>
      <c r="G22" s="8"/>
      <c r="H22" s="17">
        <v>17</v>
      </c>
      <c r="I22" s="18" t="str">
        <f t="shared" si="4"/>
        <v/>
      </c>
      <c r="J22" s="17">
        <f t="shared" si="5"/>
        <v>-1</v>
      </c>
      <c r="K22" s="17">
        <f t="shared" si="6"/>
        <v>-10</v>
      </c>
      <c r="L22" s="17"/>
      <c r="M22" s="19">
        <f t="shared" si="2"/>
        <v>0</v>
      </c>
    </row>
    <row r="23" spans="1:19" x14ac:dyDescent="0.25">
      <c r="A23" s="41">
        <f t="shared" si="3"/>
        <v>0</v>
      </c>
      <c r="B23" s="35" t="str">
        <f t="shared" si="7"/>
        <v/>
      </c>
      <c r="C23" s="25"/>
      <c r="D23" s="25"/>
      <c r="E23" s="25"/>
      <c r="F23" s="25"/>
      <c r="G23" s="8"/>
      <c r="H23" s="44">
        <v>18</v>
      </c>
      <c r="I23" s="45" t="str">
        <f t="shared" si="4"/>
        <v/>
      </c>
      <c r="J23" s="44">
        <f t="shared" si="5"/>
        <v>-1</v>
      </c>
      <c r="K23" s="44">
        <f t="shared" si="6"/>
        <v>-10</v>
      </c>
      <c r="L23" s="44"/>
      <c r="M23" s="46">
        <f t="shared" si="2"/>
        <v>0</v>
      </c>
    </row>
    <row r="24" spans="1:19" x14ac:dyDescent="0.25">
      <c r="A24" s="42">
        <f t="shared" si="3"/>
        <v>0</v>
      </c>
      <c r="B24" s="36" t="str">
        <f t="shared" si="7"/>
        <v/>
      </c>
      <c r="C24" s="24"/>
      <c r="D24" s="24"/>
      <c r="E24" s="24"/>
      <c r="F24" s="24"/>
      <c r="G24" s="8"/>
      <c r="H24" s="17">
        <v>19</v>
      </c>
      <c r="I24" s="18" t="str">
        <f t="shared" si="4"/>
        <v/>
      </c>
      <c r="J24" s="17">
        <f t="shared" si="5"/>
        <v>-1</v>
      </c>
      <c r="K24" s="17">
        <f t="shared" si="6"/>
        <v>-10</v>
      </c>
      <c r="L24" s="17"/>
      <c r="M24" s="19">
        <f t="shared" si="2"/>
        <v>0</v>
      </c>
      <c r="R24" s="50"/>
      <c r="S24" s="34"/>
    </row>
    <row r="25" spans="1:19" x14ac:dyDescent="0.25">
      <c r="A25" s="41">
        <f t="shared" si="3"/>
        <v>0</v>
      </c>
      <c r="B25" s="35" t="str">
        <f t="shared" si="7"/>
        <v/>
      </c>
      <c r="C25" s="25"/>
      <c r="D25" s="25"/>
      <c r="E25" s="25"/>
      <c r="F25" s="25"/>
      <c r="G25" s="8"/>
      <c r="H25" s="44">
        <v>20</v>
      </c>
      <c r="I25" s="45" t="str">
        <f t="shared" si="4"/>
        <v/>
      </c>
      <c r="J25" s="44">
        <f t="shared" si="5"/>
        <v>-1</v>
      </c>
      <c r="K25" s="44">
        <f t="shared" si="6"/>
        <v>-10</v>
      </c>
      <c r="L25" s="44"/>
      <c r="M25" s="46">
        <f t="shared" si="2"/>
        <v>0</v>
      </c>
    </row>
    <row r="26" spans="1:19" x14ac:dyDescent="0.25">
      <c r="A26" s="42">
        <f t="shared" si="3"/>
        <v>0</v>
      </c>
      <c r="B26" s="36" t="str">
        <f t="shared" si="7"/>
        <v/>
      </c>
      <c r="C26" s="24"/>
      <c r="D26" s="24"/>
      <c r="E26" s="24"/>
      <c r="F26" s="24"/>
      <c r="G26" s="8"/>
      <c r="H26" s="17">
        <v>21</v>
      </c>
      <c r="I26" s="18" t="str">
        <f t="shared" si="4"/>
        <v/>
      </c>
      <c r="J26" s="17">
        <f t="shared" si="5"/>
        <v>-1</v>
      </c>
      <c r="K26" s="17">
        <f t="shared" si="6"/>
        <v>-10</v>
      </c>
      <c r="L26" s="17"/>
      <c r="M26" s="19">
        <f t="shared" si="2"/>
        <v>0</v>
      </c>
    </row>
    <row r="27" spans="1:19" x14ac:dyDescent="0.25">
      <c r="A27" s="41">
        <f t="shared" si="3"/>
        <v>0</v>
      </c>
      <c r="B27" s="35" t="str">
        <f t="shared" si="7"/>
        <v/>
      </c>
      <c r="C27" s="25"/>
      <c r="D27" s="25"/>
      <c r="E27" s="25"/>
      <c r="F27" s="25"/>
      <c r="G27" s="8"/>
      <c r="H27" s="44">
        <v>22</v>
      </c>
      <c r="I27" s="45" t="str">
        <f t="shared" si="4"/>
        <v/>
      </c>
      <c r="J27" s="44">
        <f t="shared" si="5"/>
        <v>-1</v>
      </c>
      <c r="K27" s="44">
        <f t="shared" si="6"/>
        <v>-10</v>
      </c>
      <c r="L27" s="44"/>
      <c r="M27" s="46">
        <f t="shared" si="2"/>
        <v>0</v>
      </c>
    </row>
    <row r="28" spans="1:19" x14ac:dyDescent="0.25">
      <c r="A28" s="42">
        <f t="shared" si="3"/>
        <v>0</v>
      </c>
      <c r="B28" s="36" t="str">
        <f t="shared" si="7"/>
        <v/>
      </c>
      <c r="C28" s="24"/>
      <c r="D28" s="24"/>
      <c r="E28" s="24"/>
      <c r="F28" s="24"/>
      <c r="G28" s="8"/>
      <c r="H28" s="17">
        <v>23</v>
      </c>
      <c r="I28" s="18" t="str">
        <f t="shared" si="4"/>
        <v/>
      </c>
      <c r="J28" s="17">
        <f t="shared" si="5"/>
        <v>-1</v>
      </c>
      <c r="K28" s="17">
        <f t="shared" si="6"/>
        <v>-10</v>
      </c>
      <c r="L28" s="17"/>
      <c r="M28" s="19">
        <f t="shared" si="2"/>
        <v>0</v>
      </c>
      <c r="R28" s="50"/>
      <c r="S28" s="34"/>
    </row>
    <row r="29" spans="1:19" x14ac:dyDescent="0.25">
      <c r="A29" s="41">
        <f t="shared" si="3"/>
        <v>0</v>
      </c>
      <c r="B29" s="35" t="str">
        <f t="shared" si="7"/>
        <v/>
      </c>
      <c r="C29" s="25"/>
      <c r="D29" s="25"/>
      <c r="E29" s="25"/>
      <c r="F29" s="25"/>
      <c r="G29" s="5"/>
      <c r="H29" s="44">
        <v>24</v>
      </c>
      <c r="I29" s="45" t="str">
        <f t="shared" si="4"/>
        <v/>
      </c>
      <c r="J29" s="44">
        <f t="shared" si="5"/>
        <v>-1</v>
      </c>
      <c r="K29" s="44">
        <f t="shared" si="6"/>
        <v>-10</v>
      </c>
      <c r="L29" s="44"/>
      <c r="M29" s="46">
        <f t="shared" si="2"/>
        <v>0</v>
      </c>
    </row>
    <row r="30" spans="1:19" x14ac:dyDescent="0.25">
      <c r="A30" s="42">
        <f t="shared" si="3"/>
        <v>0</v>
      </c>
      <c r="B30" s="36" t="str">
        <f t="shared" si="7"/>
        <v/>
      </c>
      <c r="C30" s="24"/>
      <c r="D30" s="24"/>
      <c r="E30" s="24"/>
      <c r="F30" s="24"/>
      <c r="G30" s="5"/>
      <c r="H30" s="17">
        <v>25</v>
      </c>
      <c r="I30" s="18" t="str">
        <f t="shared" si="4"/>
        <v/>
      </c>
      <c r="J30" s="17">
        <f t="shared" si="5"/>
        <v>-1</v>
      </c>
      <c r="K30" s="17">
        <f t="shared" si="6"/>
        <v>-10</v>
      </c>
      <c r="L30" s="17"/>
      <c r="M30" s="19">
        <f t="shared" si="2"/>
        <v>0</v>
      </c>
    </row>
    <row r="31" spans="1:19" x14ac:dyDescent="0.25">
      <c r="A31" s="41">
        <f t="shared" si="3"/>
        <v>0</v>
      </c>
      <c r="B31" s="35" t="str">
        <f t="shared" si="7"/>
        <v/>
      </c>
      <c r="C31" s="25"/>
      <c r="D31" s="25"/>
      <c r="E31" s="25"/>
      <c r="F31" s="25"/>
      <c r="G31" s="5"/>
      <c r="H31" s="44">
        <v>26</v>
      </c>
      <c r="I31" s="45" t="str">
        <f t="shared" si="4"/>
        <v/>
      </c>
      <c r="J31" s="44">
        <f t="shared" si="5"/>
        <v>-1</v>
      </c>
      <c r="K31" s="44">
        <f t="shared" si="6"/>
        <v>-10</v>
      </c>
      <c r="L31" s="44"/>
      <c r="M31" s="46">
        <f t="shared" si="2"/>
        <v>0</v>
      </c>
    </row>
    <row r="32" spans="1:19" x14ac:dyDescent="0.25">
      <c r="A32" s="42">
        <f t="shared" si="3"/>
        <v>0</v>
      </c>
      <c r="B32" s="36" t="str">
        <f t="shared" si="7"/>
        <v/>
      </c>
      <c r="C32" s="24"/>
      <c r="D32" s="24"/>
      <c r="E32" s="24"/>
      <c r="F32" s="24"/>
      <c r="G32" s="5"/>
      <c r="H32" s="17">
        <v>27</v>
      </c>
      <c r="I32" s="18" t="str">
        <f t="shared" si="4"/>
        <v/>
      </c>
      <c r="J32" s="17">
        <f t="shared" si="5"/>
        <v>-1</v>
      </c>
      <c r="K32" s="17">
        <f t="shared" si="6"/>
        <v>-10</v>
      </c>
      <c r="L32" s="17"/>
      <c r="M32" s="19">
        <f t="shared" si="2"/>
        <v>0</v>
      </c>
      <c r="R32" s="50"/>
      <c r="S32" s="34"/>
    </row>
    <row r="33" spans="1:19" x14ac:dyDescent="0.25">
      <c r="A33" s="41">
        <f t="shared" si="3"/>
        <v>0</v>
      </c>
      <c r="B33" s="35" t="str">
        <f t="shared" si="7"/>
        <v/>
      </c>
      <c r="C33" s="25"/>
      <c r="D33" s="25"/>
      <c r="E33" s="25"/>
      <c r="F33" s="25"/>
      <c r="G33" s="5"/>
      <c r="H33" s="44">
        <v>28</v>
      </c>
      <c r="I33" s="45" t="str">
        <f t="shared" si="4"/>
        <v/>
      </c>
      <c r="J33" s="44">
        <f t="shared" si="5"/>
        <v>-1</v>
      </c>
      <c r="K33" s="44">
        <f t="shared" si="6"/>
        <v>-10</v>
      </c>
      <c r="L33" s="44"/>
      <c r="M33" s="46">
        <f t="shared" si="2"/>
        <v>0</v>
      </c>
    </row>
    <row r="34" spans="1:19" x14ac:dyDescent="0.25">
      <c r="A34" s="42">
        <f t="shared" si="3"/>
        <v>0</v>
      </c>
      <c r="B34" s="36" t="str">
        <f t="shared" si="7"/>
        <v/>
      </c>
      <c r="C34" s="24"/>
      <c r="D34" s="24"/>
      <c r="E34" s="24"/>
      <c r="F34" s="24"/>
      <c r="G34" s="5"/>
      <c r="H34" s="17">
        <v>29</v>
      </c>
      <c r="I34" s="18" t="str">
        <f t="shared" si="4"/>
        <v/>
      </c>
      <c r="J34" s="17">
        <f t="shared" si="5"/>
        <v>-1</v>
      </c>
      <c r="K34" s="17">
        <f t="shared" si="6"/>
        <v>-10</v>
      </c>
      <c r="L34" s="17"/>
      <c r="M34" s="19">
        <f t="shared" si="2"/>
        <v>0</v>
      </c>
    </row>
    <row r="35" spans="1:19" x14ac:dyDescent="0.25">
      <c r="A35" s="41">
        <f t="shared" si="3"/>
        <v>0</v>
      </c>
      <c r="B35" s="35" t="str">
        <f t="shared" si="7"/>
        <v/>
      </c>
      <c r="C35" s="25"/>
      <c r="D35" s="25"/>
      <c r="E35" s="25"/>
      <c r="F35" s="25"/>
      <c r="G35" s="5"/>
      <c r="H35" s="44">
        <v>30</v>
      </c>
      <c r="I35" s="45" t="str">
        <f t="shared" si="4"/>
        <v/>
      </c>
      <c r="J35" s="44">
        <f t="shared" si="5"/>
        <v>-1</v>
      </c>
      <c r="K35" s="44">
        <f t="shared" si="6"/>
        <v>-10</v>
      </c>
      <c r="L35" s="44"/>
      <c r="M35" s="46">
        <f t="shared" si="2"/>
        <v>0</v>
      </c>
    </row>
    <row r="36" spans="1:19" x14ac:dyDescent="0.25">
      <c r="A36" s="42">
        <f t="shared" si="3"/>
        <v>0</v>
      </c>
      <c r="B36" s="36" t="str">
        <f t="shared" si="7"/>
        <v/>
      </c>
      <c r="C36" s="24"/>
      <c r="D36" s="24"/>
      <c r="E36" s="24"/>
      <c r="F36" s="24"/>
      <c r="G36" s="5"/>
      <c r="H36" s="17">
        <v>31</v>
      </c>
      <c r="I36" s="18" t="str">
        <f t="shared" si="4"/>
        <v/>
      </c>
      <c r="J36" s="17">
        <f t="shared" si="5"/>
        <v>-1</v>
      </c>
      <c r="K36" s="17">
        <f t="shared" si="6"/>
        <v>-10</v>
      </c>
      <c r="L36" s="17"/>
      <c r="M36" s="19">
        <f t="shared" si="2"/>
        <v>0</v>
      </c>
      <c r="R36" s="50"/>
      <c r="S36" s="34"/>
    </row>
    <row r="37" spans="1:19" x14ac:dyDescent="0.25">
      <c r="A37" s="41">
        <f t="shared" si="3"/>
        <v>0</v>
      </c>
      <c r="B37" s="35" t="str">
        <f t="shared" si="7"/>
        <v/>
      </c>
      <c r="C37" s="25"/>
      <c r="D37" s="25"/>
      <c r="E37" s="25"/>
      <c r="F37" s="25"/>
      <c r="G37" s="5"/>
      <c r="H37" s="44">
        <v>32</v>
      </c>
      <c r="I37" s="45" t="str">
        <f t="shared" si="4"/>
        <v/>
      </c>
      <c r="J37" s="44">
        <f t="shared" si="5"/>
        <v>-1</v>
      </c>
      <c r="K37" s="44">
        <f t="shared" si="6"/>
        <v>-10</v>
      </c>
      <c r="L37" s="44"/>
      <c r="M37" s="46">
        <f t="shared" si="2"/>
        <v>0</v>
      </c>
    </row>
    <row r="38" spans="1:19" x14ac:dyDescent="0.25">
      <c r="A38" s="42"/>
      <c r="B38" s="36" t="str">
        <f t="shared" si="7"/>
        <v/>
      </c>
      <c r="C38" s="24"/>
      <c r="D38" s="24"/>
      <c r="E38" s="24"/>
      <c r="F38" s="24"/>
      <c r="G38" s="5"/>
      <c r="H38" s="17">
        <v>33</v>
      </c>
      <c r="I38" s="18" t="str">
        <f t="shared" si="4"/>
        <v/>
      </c>
      <c r="J38" s="17">
        <f t="shared" si="5"/>
        <v>-2</v>
      </c>
      <c r="K38" s="17">
        <f t="shared" si="6"/>
        <v>-20</v>
      </c>
      <c r="L38" s="17"/>
      <c r="M38" s="19">
        <f t="shared" si="2"/>
        <v>0</v>
      </c>
    </row>
    <row r="39" spans="1:19" x14ac:dyDescent="0.25">
      <c r="A39" s="41"/>
      <c r="B39" s="35" t="str">
        <f t="shared" si="7"/>
        <v/>
      </c>
      <c r="C39" s="25"/>
      <c r="D39" s="25"/>
      <c r="E39" s="25"/>
      <c r="F39" s="25"/>
      <c r="G39" s="5"/>
      <c r="H39" s="44">
        <v>34</v>
      </c>
      <c r="I39" s="45" t="str">
        <f t="shared" si="4"/>
        <v/>
      </c>
      <c r="J39" s="44">
        <f t="shared" si="5"/>
        <v>-2</v>
      </c>
      <c r="K39" s="44">
        <f t="shared" si="6"/>
        <v>-20</v>
      </c>
      <c r="L39" s="44"/>
      <c r="M39" s="46">
        <f t="shared" si="2"/>
        <v>0</v>
      </c>
    </row>
    <row r="40" spans="1:19" x14ac:dyDescent="0.25">
      <c r="A40" s="42"/>
      <c r="B40" s="36" t="str">
        <f t="shared" si="7"/>
        <v/>
      </c>
      <c r="C40" s="24"/>
      <c r="D40" s="24"/>
      <c r="E40" s="24"/>
      <c r="F40" s="24"/>
      <c r="G40" s="5"/>
      <c r="H40" s="17">
        <v>35</v>
      </c>
      <c r="I40" s="18" t="str">
        <f t="shared" si="4"/>
        <v/>
      </c>
      <c r="J40" s="17">
        <f t="shared" si="5"/>
        <v>-2</v>
      </c>
      <c r="K40" s="17">
        <f t="shared" si="6"/>
        <v>-20</v>
      </c>
      <c r="L40" s="17"/>
      <c r="M40" s="19">
        <f t="shared" si="2"/>
        <v>0</v>
      </c>
    </row>
    <row r="41" spans="1:19" x14ac:dyDescent="0.25">
      <c r="A41" s="41"/>
      <c r="B41" s="35" t="str">
        <f t="shared" si="7"/>
        <v/>
      </c>
      <c r="C41" s="25"/>
      <c r="D41" s="25"/>
      <c r="E41" s="25"/>
      <c r="F41" s="25"/>
      <c r="G41" s="5"/>
      <c r="H41" s="44">
        <v>36</v>
      </c>
      <c r="I41" s="45" t="str">
        <f t="shared" si="4"/>
        <v/>
      </c>
      <c r="J41" s="44">
        <f t="shared" si="5"/>
        <v>-2</v>
      </c>
      <c r="K41" s="44">
        <f t="shared" si="6"/>
        <v>-20</v>
      </c>
      <c r="L41" s="44"/>
      <c r="M41" s="46">
        <f t="shared" si="2"/>
        <v>0</v>
      </c>
      <c r="S41" s="32"/>
    </row>
    <row r="42" spans="1:19" x14ac:dyDescent="0.25">
      <c r="A42" s="42"/>
      <c r="B42" s="36" t="str">
        <f t="shared" si="7"/>
        <v/>
      </c>
      <c r="C42" s="24"/>
      <c r="D42" s="24"/>
      <c r="E42" s="24"/>
      <c r="F42" s="24"/>
      <c r="G42" s="5"/>
      <c r="H42" s="17">
        <v>37</v>
      </c>
      <c r="I42" s="18" t="str">
        <f t="shared" si="4"/>
        <v/>
      </c>
      <c r="J42" s="17">
        <f t="shared" si="5"/>
        <v>-2</v>
      </c>
      <c r="K42" s="17">
        <f t="shared" si="6"/>
        <v>-20</v>
      </c>
      <c r="L42" s="17"/>
      <c r="M42" s="19">
        <f t="shared" si="2"/>
        <v>0</v>
      </c>
    </row>
    <row r="43" spans="1:19" x14ac:dyDescent="0.25">
      <c r="A43" s="41"/>
      <c r="B43" s="35" t="str">
        <f t="shared" si="7"/>
        <v/>
      </c>
      <c r="C43" s="25"/>
      <c r="D43" s="25"/>
      <c r="E43" s="25"/>
      <c r="F43" s="25"/>
      <c r="G43" s="5"/>
      <c r="H43" s="44">
        <v>38</v>
      </c>
      <c r="I43" s="45" t="str">
        <f t="shared" si="4"/>
        <v/>
      </c>
      <c r="J43" s="44">
        <f t="shared" si="5"/>
        <v>-2</v>
      </c>
      <c r="K43" s="44">
        <f t="shared" si="6"/>
        <v>-20</v>
      </c>
      <c r="L43" s="44"/>
      <c r="M43" s="46">
        <f t="shared" si="2"/>
        <v>0</v>
      </c>
    </row>
    <row r="44" spans="1:19" x14ac:dyDescent="0.25">
      <c r="A44" s="42"/>
      <c r="B44" s="36" t="str">
        <f t="shared" si="7"/>
        <v/>
      </c>
      <c r="C44" s="24"/>
      <c r="D44" s="24"/>
      <c r="E44" s="24"/>
      <c r="F44" s="24"/>
      <c r="G44" s="5"/>
      <c r="H44" s="17">
        <v>39</v>
      </c>
      <c r="I44" s="18" t="str">
        <f t="shared" si="4"/>
        <v/>
      </c>
      <c r="J44" s="17">
        <f t="shared" si="5"/>
        <v>-2</v>
      </c>
      <c r="K44" s="17">
        <f t="shared" si="6"/>
        <v>-20</v>
      </c>
      <c r="L44" s="17"/>
      <c r="M44" s="19">
        <f t="shared" si="2"/>
        <v>0</v>
      </c>
    </row>
    <row r="45" spans="1:19" x14ac:dyDescent="0.25">
      <c r="A45" s="41"/>
      <c r="B45" s="35" t="str">
        <f t="shared" si="7"/>
        <v/>
      </c>
      <c r="C45" s="25"/>
      <c r="D45" s="25"/>
      <c r="E45" s="25"/>
      <c r="F45" s="25"/>
      <c r="G45" s="5"/>
      <c r="H45" s="44">
        <v>40</v>
      </c>
      <c r="I45" s="45" t="str">
        <f t="shared" si="4"/>
        <v/>
      </c>
      <c r="J45" s="44">
        <f t="shared" si="5"/>
        <v>-2</v>
      </c>
      <c r="K45" s="44">
        <f t="shared" si="6"/>
        <v>-20</v>
      </c>
      <c r="L45" s="44"/>
      <c r="M45" s="46">
        <f t="shared" si="2"/>
        <v>0</v>
      </c>
    </row>
    <row r="46" spans="1:19" x14ac:dyDescent="0.25">
      <c r="A46" s="42"/>
      <c r="B46" s="36" t="str">
        <f t="shared" si="7"/>
        <v/>
      </c>
      <c r="C46" s="24"/>
      <c r="D46" s="24"/>
      <c r="E46" s="24"/>
      <c r="F46" s="24"/>
      <c r="G46" s="5"/>
      <c r="H46" s="17">
        <v>41</v>
      </c>
      <c r="I46" s="18" t="str">
        <f t="shared" si="4"/>
        <v/>
      </c>
      <c r="J46" s="17">
        <f t="shared" si="5"/>
        <v>-2</v>
      </c>
      <c r="K46" s="17">
        <f t="shared" si="6"/>
        <v>-20</v>
      </c>
      <c r="L46" s="17"/>
      <c r="M46" s="19">
        <f t="shared" si="2"/>
        <v>0</v>
      </c>
    </row>
    <row r="47" spans="1:19" x14ac:dyDescent="0.25">
      <c r="A47" s="41"/>
      <c r="B47" s="35" t="str">
        <f t="shared" si="7"/>
        <v/>
      </c>
      <c r="C47" s="25"/>
      <c r="D47" s="25"/>
      <c r="E47" s="25"/>
      <c r="F47" s="25"/>
      <c r="G47" s="5"/>
      <c r="H47" s="44">
        <v>42</v>
      </c>
      <c r="I47" s="45" t="str">
        <f t="shared" si="4"/>
        <v/>
      </c>
      <c r="J47" s="44">
        <f t="shared" si="5"/>
        <v>-2</v>
      </c>
      <c r="K47" s="44">
        <f t="shared" si="6"/>
        <v>-20</v>
      </c>
      <c r="L47" s="44"/>
      <c r="M47" s="46">
        <f t="shared" si="2"/>
        <v>0</v>
      </c>
    </row>
    <row r="48" spans="1:19" x14ac:dyDescent="0.25">
      <c r="A48" s="42"/>
      <c r="B48" s="36" t="str">
        <f t="shared" si="7"/>
        <v/>
      </c>
      <c r="C48" s="24"/>
      <c r="D48" s="24"/>
      <c r="E48" s="24"/>
      <c r="F48" s="24"/>
      <c r="G48" s="5"/>
      <c r="H48" s="17">
        <v>43</v>
      </c>
      <c r="I48" s="18" t="str">
        <f t="shared" si="4"/>
        <v/>
      </c>
      <c r="J48" s="17">
        <f t="shared" si="5"/>
        <v>-2</v>
      </c>
      <c r="K48" s="17">
        <f t="shared" si="6"/>
        <v>-20</v>
      </c>
      <c r="L48" s="17"/>
      <c r="M48" s="19">
        <f t="shared" si="2"/>
        <v>0</v>
      </c>
    </row>
    <row r="49" spans="1:13" x14ac:dyDescent="0.25">
      <c r="A49" s="41"/>
      <c r="B49" s="35" t="str">
        <f t="shared" si="7"/>
        <v/>
      </c>
      <c r="C49" s="25"/>
      <c r="D49" s="25"/>
      <c r="E49" s="25"/>
      <c r="F49" s="25"/>
      <c r="G49" s="5"/>
      <c r="H49" s="44">
        <v>44</v>
      </c>
      <c r="I49" s="45" t="str">
        <f t="shared" si="4"/>
        <v/>
      </c>
      <c r="J49" s="44">
        <f t="shared" si="5"/>
        <v>-2</v>
      </c>
      <c r="K49" s="44">
        <f t="shared" si="6"/>
        <v>-20</v>
      </c>
      <c r="L49" s="44"/>
      <c r="M49" s="46">
        <f t="shared" si="2"/>
        <v>0</v>
      </c>
    </row>
    <row r="50" spans="1:13" x14ac:dyDescent="0.25">
      <c r="A50" s="42"/>
      <c r="B50" s="36" t="str">
        <f t="shared" si="7"/>
        <v/>
      </c>
      <c r="C50" s="24"/>
      <c r="D50" s="24"/>
      <c r="E50" s="24"/>
      <c r="F50" s="24"/>
      <c r="G50" s="5"/>
      <c r="H50" s="17">
        <v>45</v>
      </c>
      <c r="I50" s="18" t="str">
        <f t="shared" si="4"/>
        <v/>
      </c>
      <c r="J50" s="17">
        <f t="shared" si="5"/>
        <v>-2</v>
      </c>
      <c r="K50" s="17">
        <f t="shared" si="6"/>
        <v>-20</v>
      </c>
      <c r="L50" s="17"/>
      <c r="M50" s="19">
        <f t="shared" si="2"/>
        <v>0</v>
      </c>
    </row>
    <row r="51" spans="1:13" x14ac:dyDescent="0.25">
      <c r="A51" s="41"/>
      <c r="B51" s="35" t="str">
        <f t="shared" si="7"/>
        <v/>
      </c>
      <c r="C51" s="25"/>
      <c r="D51" s="25"/>
      <c r="E51" s="25"/>
      <c r="F51" s="25"/>
      <c r="G51" s="5"/>
      <c r="H51" s="44">
        <v>46</v>
      </c>
      <c r="I51" s="45" t="str">
        <f t="shared" si="4"/>
        <v/>
      </c>
      <c r="J51" s="44">
        <f t="shared" si="5"/>
        <v>-2</v>
      </c>
      <c r="K51" s="44">
        <f t="shared" si="6"/>
        <v>-20</v>
      </c>
      <c r="L51" s="44"/>
      <c r="M51" s="46">
        <f t="shared" si="2"/>
        <v>0</v>
      </c>
    </row>
    <row r="52" spans="1:13" x14ac:dyDescent="0.25">
      <c r="A52" s="42"/>
      <c r="B52" s="36" t="str">
        <f t="shared" si="7"/>
        <v/>
      </c>
      <c r="C52" s="24"/>
      <c r="D52" s="24"/>
      <c r="E52" s="24"/>
      <c r="F52" s="24"/>
      <c r="G52" s="5"/>
      <c r="H52" s="17">
        <v>47</v>
      </c>
      <c r="I52" s="18" t="str">
        <f t="shared" si="4"/>
        <v/>
      </c>
      <c r="J52" s="17">
        <f t="shared" si="5"/>
        <v>-2</v>
      </c>
      <c r="K52" s="17">
        <f t="shared" si="6"/>
        <v>-20</v>
      </c>
      <c r="L52" s="17"/>
      <c r="M52" s="19">
        <f t="shared" si="2"/>
        <v>0</v>
      </c>
    </row>
    <row r="53" spans="1:13" x14ac:dyDescent="0.25">
      <c r="A53" s="41"/>
      <c r="B53" s="35" t="str">
        <f t="shared" si="7"/>
        <v/>
      </c>
      <c r="C53" s="25"/>
      <c r="D53" s="25"/>
      <c r="E53" s="25"/>
      <c r="F53" s="25"/>
      <c r="G53" s="5"/>
      <c r="H53" s="44">
        <v>48</v>
      </c>
      <c r="I53" s="45" t="str">
        <f t="shared" si="4"/>
        <v/>
      </c>
      <c r="J53" s="44">
        <f t="shared" si="5"/>
        <v>-2</v>
      </c>
      <c r="K53" s="44">
        <f t="shared" si="6"/>
        <v>-20</v>
      </c>
      <c r="L53" s="44"/>
      <c r="M53" s="46">
        <f t="shared" si="2"/>
        <v>0</v>
      </c>
    </row>
    <row r="54" spans="1:13" x14ac:dyDescent="0.25">
      <c r="A54" s="42"/>
      <c r="B54" s="36" t="str">
        <f t="shared" si="7"/>
        <v/>
      </c>
      <c r="C54" s="24"/>
      <c r="D54" s="24"/>
      <c r="E54" s="24"/>
      <c r="F54" s="24"/>
      <c r="G54" s="5"/>
      <c r="H54" s="17">
        <v>49</v>
      </c>
      <c r="I54" s="18" t="str">
        <f t="shared" si="4"/>
        <v/>
      </c>
      <c r="J54" s="17">
        <f t="shared" si="5"/>
        <v>-2</v>
      </c>
      <c r="K54" s="17">
        <f t="shared" si="6"/>
        <v>-20</v>
      </c>
      <c r="L54" s="17"/>
      <c r="M54" s="19">
        <f t="shared" si="2"/>
        <v>0</v>
      </c>
    </row>
    <row r="55" spans="1:13" x14ac:dyDescent="0.25">
      <c r="A55" s="41"/>
      <c r="B55" s="35" t="str">
        <f t="shared" si="7"/>
        <v/>
      </c>
      <c r="C55" s="25"/>
      <c r="D55" s="25"/>
      <c r="E55" s="25"/>
      <c r="F55" s="25"/>
      <c r="G55" s="5"/>
      <c r="H55" s="44">
        <v>50</v>
      </c>
      <c r="I55" s="45" t="str">
        <f t="shared" si="4"/>
        <v/>
      </c>
      <c r="J55" s="44">
        <f t="shared" si="5"/>
        <v>-2</v>
      </c>
      <c r="K55" s="44">
        <f t="shared" si="6"/>
        <v>-20</v>
      </c>
      <c r="L55" s="44"/>
      <c r="M55" s="46">
        <f t="shared" si="2"/>
        <v>0</v>
      </c>
    </row>
    <row r="56" spans="1:13" x14ac:dyDescent="0.25">
      <c r="A56" s="42"/>
      <c r="B56" s="36" t="str">
        <f t="shared" si="7"/>
        <v/>
      </c>
      <c r="C56" s="24"/>
      <c r="D56" s="24"/>
      <c r="E56" s="24"/>
      <c r="F56" s="24"/>
      <c r="G56" s="5"/>
      <c r="H56" s="17">
        <v>51</v>
      </c>
      <c r="I56" s="18" t="str">
        <f t="shared" si="4"/>
        <v/>
      </c>
      <c r="J56" s="17">
        <f t="shared" si="5"/>
        <v>-2</v>
      </c>
      <c r="K56" s="17">
        <f t="shared" si="6"/>
        <v>-20</v>
      </c>
      <c r="L56" s="17"/>
      <c r="M56" s="19">
        <f t="shared" si="2"/>
        <v>0</v>
      </c>
    </row>
    <row r="57" spans="1:13" x14ac:dyDescent="0.25">
      <c r="A57" s="41"/>
      <c r="B57" s="35" t="str">
        <f t="shared" si="7"/>
        <v/>
      </c>
      <c r="C57" s="25"/>
      <c r="D57" s="25"/>
      <c r="E57" s="25"/>
      <c r="F57" s="25"/>
      <c r="G57" s="5"/>
      <c r="H57" s="44">
        <v>52</v>
      </c>
      <c r="I57" s="45" t="str">
        <f t="shared" si="4"/>
        <v/>
      </c>
      <c r="J57" s="44">
        <f t="shared" si="5"/>
        <v>-2</v>
      </c>
      <c r="K57" s="44">
        <f t="shared" si="6"/>
        <v>-20</v>
      </c>
      <c r="L57" s="44"/>
      <c r="M57" s="46">
        <f t="shared" si="2"/>
        <v>0</v>
      </c>
    </row>
    <row r="58" spans="1:13" x14ac:dyDescent="0.25">
      <c r="A58" s="42"/>
      <c r="B58" s="36" t="str">
        <f t="shared" si="7"/>
        <v/>
      </c>
      <c r="C58" s="24"/>
      <c r="D58" s="24"/>
      <c r="E58" s="24"/>
      <c r="F58" s="24"/>
      <c r="G58" s="5"/>
      <c r="H58" s="17">
        <v>53</v>
      </c>
      <c r="I58" s="18" t="str">
        <f t="shared" si="4"/>
        <v/>
      </c>
      <c r="J58" s="17">
        <f t="shared" si="5"/>
        <v>-2</v>
      </c>
      <c r="K58" s="17">
        <f t="shared" si="6"/>
        <v>-20</v>
      </c>
      <c r="L58" s="17"/>
      <c r="M58" s="19">
        <f t="shared" si="2"/>
        <v>0</v>
      </c>
    </row>
    <row r="59" spans="1:13" x14ac:dyDescent="0.25">
      <c r="A59" s="41"/>
      <c r="B59" s="35" t="str">
        <f t="shared" si="7"/>
        <v/>
      </c>
      <c r="C59" s="25"/>
      <c r="D59" s="25"/>
      <c r="E59" s="25"/>
      <c r="F59" s="25"/>
      <c r="G59" s="5"/>
      <c r="H59" s="44">
        <v>54</v>
      </c>
      <c r="I59" s="45" t="str">
        <f t="shared" si="4"/>
        <v/>
      </c>
      <c r="J59" s="44">
        <f t="shared" si="5"/>
        <v>-2</v>
      </c>
      <c r="K59" s="44">
        <f t="shared" si="6"/>
        <v>-20</v>
      </c>
      <c r="L59" s="44"/>
      <c r="M59" s="46">
        <f t="shared" si="2"/>
        <v>0</v>
      </c>
    </row>
    <row r="60" spans="1:13" x14ac:dyDescent="0.25">
      <c r="A60" s="42"/>
      <c r="B60" s="36" t="str">
        <f t="shared" si="7"/>
        <v/>
      </c>
      <c r="C60" s="24"/>
      <c r="D60" s="24"/>
      <c r="E60" s="24"/>
      <c r="F60" s="24"/>
      <c r="G60" s="5"/>
      <c r="H60" s="17">
        <v>55</v>
      </c>
      <c r="I60" s="18" t="str">
        <f t="shared" si="4"/>
        <v/>
      </c>
      <c r="J60" s="17">
        <f t="shared" si="5"/>
        <v>-2</v>
      </c>
      <c r="K60" s="17">
        <f t="shared" si="6"/>
        <v>-20</v>
      </c>
      <c r="L60" s="17"/>
      <c r="M60" s="19">
        <f t="shared" si="2"/>
        <v>0</v>
      </c>
    </row>
    <row r="61" spans="1:13" x14ac:dyDescent="0.25">
      <c r="A61" s="41"/>
      <c r="B61" s="35" t="str">
        <f t="shared" si="7"/>
        <v/>
      </c>
      <c r="C61" s="25"/>
      <c r="D61" s="25"/>
      <c r="E61" s="25"/>
      <c r="F61" s="25"/>
      <c r="G61" s="5"/>
      <c r="H61" s="44">
        <v>56</v>
      </c>
      <c r="I61" s="45" t="str">
        <f t="shared" si="4"/>
        <v/>
      </c>
      <c r="J61" s="44">
        <f t="shared" si="5"/>
        <v>-2</v>
      </c>
      <c r="K61" s="44">
        <f t="shared" si="6"/>
        <v>-20</v>
      </c>
      <c r="L61" s="44"/>
      <c r="M61" s="46">
        <f t="shared" si="2"/>
        <v>0</v>
      </c>
    </row>
    <row r="62" spans="1:13" x14ac:dyDescent="0.25">
      <c r="A62" s="42"/>
      <c r="B62" s="36" t="str">
        <f t="shared" si="7"/>
        <v/>
      </c>
      <c r="C62" s="24"/>
      <c r="D62" s="24"/>
      <c r="E62" s="24"/>
      <c r="F62" s="24"/>
      <c r="G62" s="5"/>
      <c r="H62" s="17">
        <v>57</v>
      </c>
      <c r="I62" s="18" t="str">
        <f t="shared" si="4"/>
        <v/>
      </c>
      <c r="J62" s="17">
        <f t="shared" si="5"/>
        <v>-2</v>
      </c>
      <c r="K62" s="17">
        <f t="shared" si="6"/>
        <v>-20</v>
      </c>
      <c r="L62" s="17"/>
      <c r="M62" s="19">
        <f t="shared" si="2"/>
        <v>0</v>
      </c>
    </row>
    <row r="63" spans="1:13" x14ac:dyDescent="0.25">
      <c r="A63" s="41"/>
      <c r="B63" s="35" t="str">
        <f t="shared" si="7"/>
        <v/>
      </c>
      <c r="C63" s="25"/>
      <c r="D63" s="25"/>
      <c r="E63" s="25"/>
      <c r="F63" s="25"/>
      <c r="G63" s="5"/>
      <c r="H63" s="44">
        <v>58</v>
      </c>
      <c r="I63" s="45" t="str">
        <f t="shared" si="4"/>
        <v/>
      </c>
      <c r="J63" s="44">
        <f t="shared" si="5"/>
        <v>-2</v>
      </c>
      <c r="K63" s="44">
        <f t="shared" si="6"/>
        <v>-20</v>
      </c>
      <c r="L63" s="44"/>
      <c r="M63" s="46">
        <f t="shared" si="2"/>
        <v>0</v>
      </c>
    </row>
    <row r="64" spans="1:13" x14ac:dyDescent="0.25">
      <c r="A64" s="42"/>
      <c r="B64" s="36" t="str">
        <f t="shared" si="7"/>
        <v/>
      </c>
      <c r="C64" s="24"/>
      <c r="D64" s="24"/>
      <c r="E64" s="24"/>
      <c r="F64" s="24"/>
      <c r="G64" s="5"/>
      <c r="H64" s="17">
        <v>59</v>
      </c>
      <c r="I64" s="18" t="str">
        <f t="shared" si="4"/>
        <v/>
      </c>
      <c r="J64" s="17">
        <f t="shared" si="5"/>
        <v>-2</v>
      </c>
      <c r="K64" s="17">
        <f t="shared" si="6"/>
        <v>-20</v>
      </c>
      <c r="L64" s="17"/>
      <c r="M64" s="19">
        <f t="shared" si="2"/>
        <v>0</v>
      </c>
    </row>
    <row r="65" spans="1:13" x14ac:dyDescent="0.25">
      <c r="A65" s="41"/>
      <c r="B65" s="35" t="str">
        <f t="shared" si="7"/>
        <v/>
      </c>
      <c r="C65" s="25"/>
      <c r="D65" s="25"/>
      <c r="E65" s="25"/>
      <c r="F65" s="25"/>
      <c r="G65" s="5"/>
      <c r="H65" s="44">
        <v>60</v>
      </c>
      <c r="I65" s="45" t="str">
        <f t="shared" si="4"/>
        <v/>
      </c>
      <c r="J65" s="44">
        <f t="shared" si="5"/>
        <v>-2</v>
      </c>
      <c r="K65" s="44">
        <f t="shared" si="6"/>
        <v>-20</v>
      </c>
      <c r="L65" s="44"/>
      <c r="M65" s="46">
        <f t="shared" si="2"/>
        <v>0</v>
      </c>
    </row>
    <row r="66" spans="1:13" x14ac:dyDescent="0.25">
      <c r="A66" s="43"/>
      <c r="B66" s="36"/>
      <c r="G66" s="5"/>
      <c r="H66" s="17">
        <v>61</v>
      </c>
      <c r="I66" s="18" t="str">
        <f t="shared" si="4"/>
        <v/>
      </c>
      <c r="J66" s="17">
        <f t="shared" si="5"/>
        <v>-2</v>
      </c>
      <c r="K66" s="17">
        <f t="shared" si="6"/>
        <v>-20</v>
      </c>
      <c r="L66" s="17"/>
      <c r="M66" s="19">
        <f t="shared" si="2"/>
        <v>0</v>
      </c>
    </row>
    <row r="67" spans="1:13" x14ac:dyDescent="0.25">
      <c r="A67" s="43"/>
      <c r="B67" s="35"/>
      <c r="G67" s="5"/>
      <c r="H67" s="17">
        <v>62</v>
      </c>
      <c r="I67" s="18" t="str">
        <f t="shared" si="4"/>
        <v/>
      </c>
      <c r="J67" s="17">
        <f t="shared" si="5"/>
        <v>-2</v>
      </c>
      <c r="K67" s="17">
        <f t="shared" si="6"/>
        <v>-20</v>
      </c>
      <c r="L67" s="17"/>
      <c r="M67" s="19">
        <f t="shared" si="2"/>
        <v>0</v>
      </c>
    </row>
    <row r="68" spans="1:13" x14ac:dyDescent="0.25">
      <c r="A68" s="43"/>
      <c r="B68" s="36"/>
      <c r="G68" s="5"/>
      <c r="H68" s="17">
        <v>63</v>
      </c>
      <c r="I68" s="18" t="str">
        <f t="shared" si="4"/>
        <v/>
      </c>
      <c r="J68" s="17">
        <f t="shared" si="5"/>
        <v>-2</v>
      </c>
      <c r="K68" s="17">
        <f t="shared" si="6"/>
        <v>-20</v>
      </c>
      <c r="L68" s="17"/>
      <c r="M68" s="19">
        <f t="shared" si="2"/>
        <v>0</v>
      </c>
    </row>
    <row r="69" spans="1:13" x14ac:dyDescent="0.25">
      <c r="A69" s="43"/>
      <c r="B69" s="35"/>
      <c r="G69" s="5"/>
      <c r="H69" s="17">
        <v>64</v>
      </c>
      <c r="I69" s="18" t="str">
        <f t="shared" si="4"/>
        <v/>
      </c>
      <c r="J69" s="17">
        <f t="shared" si="5"/>
        <v>-2</v>
      </c>
      <c r="K69" s="17">
        <f t="shared" si="6"/>
        <v>-20</v>
      </c>
      <c r="L69" s="17"/>
      <c r="M69" s="19">
        <f t="shared" si="2"/>
        <v>0</v>
      </c>
    </row>
    <row r="70" spans="1:13" x14ac:dyDescent="0.25">
      <c r="A70" s="43"/>
      <c r="G70" s="5"/>
      <c r="H70" s="17">
        <v>65</v>
      </c>
      <c r="I70" s="18" t="str">
        <f t="shared" ref="I70:I133" si="8">IF(H70&lt;$H$2+1,($I$2-($I$2-1)*(LOG(H70)/LOG($H$2))),"")</f>
        <v/>
      </c>
      <c r="J70" s="17">
        <f t="shared" si="5"/>
        <v>-3</v>
      </c>
      <c r="K70" s="17">
        <f t="shared" ref="K70:K133" si="9">J70*$J$2</f>
        <v>-30</v>
      </c>
      <c r="L70" s="17"/>
      <c r="M70" s="19">
        <f t="shared" ref="M70:M133" si="10">IF(I70&lt;&gt;"",K70+I70+L70,0)</f>
        <v>0</v>
      </c>
    </row>
    <row r="71" spans="1:13" x14ac:dyDescent="0.25">
      <c r="A71" s="43"/>
      <c r="G71" s="5"/>
      <c r="H71" s="17">
        <v>66</v>
      </c>
      <c r="I71" s="18" t="str">
        <f t="shared" si="8"/>
        <v/>
      </c>
      <c r="J71" s="17">
        <f t="shared" ref="J71:J134" si="11">INT(LOG($H$2,2))-ROUNDUP(LOG(H71,2),0)+IF(OR($H$2=1,$H$2=2,$H$2=4,$H$2=8,$H$2=16,$H$2=32,$H$2=64,$H$2=128,$H$2=256),0,1)</f>
        <v>-3</v>
      </c>
      <c r="K71" s="17">
        <f t="shared" si="9"/>
        <v>-30</v>
      </c>
      <c r="L71" s="17"/>
      <c r="M71" s="19">
        <f t="shared" si="10"/>
        <v>0</v>
      </c>
    </row>
    <row r="72" spans="1:13" x14ac:dyDescent="0.25">
      <c r="A72" s="43"/>
      <c r="G72" s="5"/>
      <c r="H72" s="17">
        <v>67</v>
      </c>
      <c r="I72" s="18" t="str">
        <f t="shared" si="8"/>
        <v/>
      </c>
      <c r="J72" s="17">
        <f t="shared" si="11"/>
        <v>-3</v>
      </c>
      <c r="K72" s="17">
        <f t="shared" si="9"/>
        <v>-30</v>
      </c>
      <c r="L72" s="17"/>
      <c r="M72" s="19">
        <f t="shared" si="10"/>
        <v>0</v>
      </c>
    </row>
    <row r="73" spans="1:13" x14ac:dyDescent="0.25">
      <c r="A73" s="43"/>
      <c r="G73" s="5"/>
      <c r="H73" s="17">
        <v>68</v>
      </c>
      <c r="I73" s="18" t="str">
        <f t="shared" si="8"/>
        <v/>
      </c>
      <c r="J73" s="17">
        <f t="shared" si="11"/>
        <v>-3</v>
      </c>
      <c r="K73" s="17">
        <f t="shared" si="9"/>
        <v>-30</v>
      </c>
      <c r="L73" s="17"/>
      <c r="M73" s="19">
        <f t="shared" si="10"/>
        <v>0</v>
      </c>
    </row>
    <row r="74" spans="1:13" x14ac:dyDescent="0.25">
      <c r="A74" s="43"/>
      <c r="G74" s="5"/>
      <c r="H74" s="17">
        <v>69</v>
      </c>
      <c r="I74" s="18" t="str">
        <f t="shared" si="8"/>
        <v/>
      </c>
      <c r="J74" s="17">
        <f t="shared" si="11"/>
        <v>-3</v>
      </c>
      <c r="K74" s="17">
        <f t="shared" si="9"/>
        <v>-30</v>
      </c>
      <c r="L74" s="17"/>
      <c r="M74" s="19">
        <f t="shared" si="10"/>
        <v>0</v>
      </c>
    </row>
    <row r="75" spans="1:13" x14ac:dyDescent="0.25">
      <c r="A75" s="43"/>
      <c r="G75" s="5"/>
      <c r="H75" s="17">
        <v>70</v>
      </c>
      <c r="I75" s="18" t="str">
        <f t="shared" si="8"/>
        <v/>
      </c>
      <c r="J75" s="17">
        <f t="shared" si="11"/>
        <v>-3</v>
      </c>
      <c r="K75" s="17">
        <f t="shared" si="9"/>
        <v>-30</v>
      </c>
      <c r="L75" s="17"/>
      <c r="M75" s="19">
        <f t="shared" si="10"/>
        <v>0</v>
      </c>
    </row>
    <row r="76" spans="1:13" x14ac:dyDescent="0.25">
      <c r="A76" s="43"/>
      <c r="G76" s="5"/>
      <c r="H76" s="17">
        <v>71</v>
      </c>
      <c r="I76" s="18" t="str">
        <f t="shared" si="8"/>
        <v/>
      </c>
      <c r="J76" s="17">
        <f t="shared" si="11"/>
        <v>-3</v>
      </c>
      <c r="K76" s="17">
        <f t="shared" si="9"/>
        <v>-30</v>
      </c>
      <c r="L76" s="17"/>
      <c r="M76" s="19">
        <f t="shared" si="10"/>
        <v>0</v>
      </c>
    </row>
    <row r="77" spans="1:13" x14ac:dyDescent="0.25">
      <c r="A77" s="43"/>
      <c r="G77" s="5"/>
      <c r="H77" s="17">
        <v>72</v>
      </c>
      <c r="I77" s="18" t="str">
        <f t="shared" si="8"/>
        <v/>
      </c>
      <c r="J77" s="17">
        <f t="shared" si="11"/>
        <v>-3</v>
      </c>
      <c r="K77" s="17">
        <f t="shared" si="9"/>
        <v>-30</v>
      </c>
      <c r="L77" s="17"/>
      <c r="M77" s="19">
        <f t="shared" si="10"/>
        <v>0</v>
      </c>
    </row>
    <row r="78" spans="1:13" x14ac:dyDescent="0.25">
      <c r="A78" s="43"/>
      <c r="G78" s="5"/>
      <c r="H78" s="17">
        <v>73</v>
      </c>
      <c r="I78" s="18" t="str">
        <f t="shared" si="8"/>
        <v/>
      </c>
      <c r="J78" s="17">
        <f t="shared" si="11"/>
        <v>-3</v>
      </c>
      <c r="K78" s="17">
        <f t="shared" si="9"/>
        <v>-30</v>
      </c>
      <c r="L78" s="17"/>
      <c r="M78" s="19">
        <f t="shared" si="10"/>
        <v>0</v>
      </c>
    </row>
    <row r="79" spans="1:13" x14ac:dyDescent="0.25">
      <c r="A79" s="43"/>
      <c r="G79" s="5"/>
      <c r="H79" s="17">
        <v>74</v>
      </c>
      <c r="I79" s="18" t="str">
        <f t="shared" si="8"/>
        <v/>
      </c>
      <c r="J79" s="17">
        <f t="shared" si="11"/>
        <v>-3</v>
      </c>
      <c r="K79" s="17">
        <f t="shared" si="9"/>
        <v>-30</v>
      </c>
      <c r="L79" s="17"/>
      <c r="M79" s="19">
        <f t="shared" si="10"/>
        <v>0</v>
      </c>
    </row>
    <row r="80" spans="1:13" x14ac:dyDescent="0.25">
      <c r="A80" s="43"/>
      <c r="G80" s="5"/>
      <c r="H80" s="17">
        <v>75</v>
      </c>
      <c r="I80" s="18" t="str">
        <f t="shared" si="8"/>
        <v/>
      </c>
      <c r="J80" s="17">
        <f t="shared" si="11"/>
        <v>-3</v>
      </c>
      <c r="K80" s="17">
        <f t="shared" si="9"/>
        <v>-30</v>
      </c>
      <c r="L80" s="17"/>
      <c r="M80" s="19">
        <f t="shared" si="10"/>
        <v>0</v>
      </c>
    </row>
    <row r="81" spans="1:13" x14ac:dyDescent="0.25">
      <c r="A81" s="43"/>
      <c r="G81" s="5"/>
      <c r="H81" s="17">
        <v>76</v>
      </c>
      <c r="I81" s="18" t="str">
        <f t="shared" si="8"/>
        <v/>
      </c>
      <c r="J81" s="17">
        <f t="shared" si="11"/>
        <v>-3</v>
      </c>
      <c r="K81" s="17">
        <f t="shared" si="9"/>
        <v>-30</v>
      </c>
      <c r="L81" s="17"/>
      <c r="M81" s="19">
        <f t="shared" si="10"/>
        <v>0</v>
      </c>
    </row>
    <row r="82" spans="1:13" x14ac:dyDescent="0.25">
      <c r="A82" s="43"/>
      <c r="G82" s="5"/>
      <c r="H82" s="17">
        <v>77</v>
      </c>
      <c r="I82" s="18" t="str">
        <f t="shared" si="8"/>
        <v/>
      </c>
      <c r="J82" s="17">
        <f t="shared" si="11"/>
        <v>-3</v>
      </c>
      <c r="K82" s="17">
        <f t="shared" si="9"/>
        <v>-30</v>
      </c>
      <c r="L82" s="17"/>
      <c r="M82" s="19">
        <f t="shared" si="10"/>
        <v>0</v>
      </c>
    </row>
    <row r="83" spans="1:13" x14ac:dyDescent="0.25">
      <c r="A83" s="43"/>
      <c r="G83" s="5"/>
      <c r="H83" s="17">
        <v>78</v>
      </c>
      <c r="I83" s="18" t="str">
        <f t="shared" si="8"/>
        <v/>
      </c>
      <c r="J83" s="17">
        <f t="shared" si="11"/>
        <v>-3</v>
      </c>
      <c r="K83" s="17">
        <f t="shared" si="9"/>
        <v>-30</v>
      </c>
      <c r="L83" s="17"/>
      <c r="M83" s="19">
        <f t="shared" si="10"/>
        <v>0</v>
      </c>
    </row>
    <row r="84" spans="1:13" x14ac:dyDescent="0.25">
      <c r="A84" s="43"/>
      <c r="G84" s="5"/>
      <c r="H84" s="17">
        <v>79</v>
      </c>
      <c r="I84" s="18" t="str">
        <f t="shared" si="8"/>
        <v/>
      </c>
      <c r="J84" s="17">
        <f t="shared" si="11"/>
        <v>-3</v>
      </c>
      <c r="K84" s="17">
        <f t="shared" si="9"/>
        <v>-30</v>
      </c>
      <c r="L84" s="17"/>
      <c r="M84" s="19">
        <f t="shared" si="10"/>
        <v>0</v>
      </c>
    </row>
    <row r="85" spans="1:13" x14ac:dyDescent="0.25">
      <c r="A85" s="43"/>
      <c r="G85" s="5"/>
      <c r="H85" s="17">
        <v>80</v>
      </c>
      <c r="I85" s="18" t="str">
        <f t="shared" si="8"/>
        <v/>
      </c>
      <c r="J85" s="17">
        <f t="shared" si="11"/>
        <v>-3</v>
      </c>
      <c r="K85" s="17">
        <f t="shared" si="9"/>
        <v>-30</v>
      </c>
      <c r="L85" s="17"/>
      <c r="M85" s="19">
        <f t="shared" si="10"/>
        <v>0</v>
      </c>
    </row>
    <row r="86" spans="1:13" x14ac:dyDescent="0.25">
      <c r="A86" s="43"/>
      <c r="G86" s="5"/>
      <c r="H86" s="17">
        <v>81</v>
      </c>
      <c r="I86" s="18" t="str">
        <f t="shared" si="8"/>
        <v/>
      </c>
      <c r="J86" s="17">
        <f t="shared" si="11"/>
        <v>-3</v>
      </c>
      <c r="K86" s="17">
        <f t="shared" si="9"/>
        <v>-30</v>
      </c>
      <c r="L86" s="17"/>
      <c r="M86" s="19">
        <f t="shared" si="10"/>
        <v>0</v>
      </c>
    </row>
    <row r="87" spans="1:13" x14ac:dyDescent="0.25">
      <c r="A87" s="43"/>
      <c r="G87" s="5"/>
      <c r="H87" s="17">
        <v>82</v>
      </c>
      <c r="I87" s="18" t="str">
        <f t="shared" si="8"/>
        <v/>
      </c>
      <c r="J87" s="17">
        <f t="shared" si="11"/>
        <v>-3</v>
      </c>
      <c r="K87" s="17">
        <f t="shared" si="9"/>
        <v>-30</v>
      </c>
      <c r="L87" s="17"/>
      <c r="M87" s="19">
        <f t="shared" si="10"/>
        <v>0</v>
      </c>
    </row>
    <row r="88" spans="1:13" x14ac:dyDescent="0.25">
      <c r="A88" s="43"/>
      <c r="G88" s="5"/>
      <c r="H88" s="17">
        <v>83</v>
      </c>
      <c r="I88" s="18" t="str">
        <f t="shared" si="8"/>
        <v/>
      </c>
      <c r="J88" s="17">
        <f t="shared" si="11"/>
        <v>-3</v>
      </c>
      <c r="K88" s="17">
        <f t="shared" si="9"/>
        <v>-30</v>
      </c>
      <c r="L88" s="17"/>
      <c r="M88" s="19">
        <f t="shared" si="10"/>
        <v>0</v>
      </c>
    </row>
    <row r="89" spans="1:13" x14ac:dyDescent="0.25">
      <c r="A89" s="43"/>
      <c r="G89" s="5"/>
      <c r="H89" s="17">
        <v>84</v>
      </c>
      <c r="I89" s="18" t="str">
        <f t="shared" si="8"/>
        <v/>
      </c>
      <c r="J89" s="17">
        <f t="shared" si="11"/>
        <v>-3</v>
      </c>
      <c r="K89" s="17">
        <f t="shared" si="9"/>
        <v>-30</v>
      </c>
      <c r="L89" s="17"/>
      <c r="M89" s="19">
        <f t="shared" si="10"/>
        <v>0</v>
      </c>
    </row>
    <row r="90" spans="1:13" x14ac:dyDescent="0.25">
      <c r="A90" s="43"/>
      <c r="G90" s="5"/>
      <c r="H90" s="17">
        <v>85</v>
      </c>
      <c r="I90" s="18" t="str">
        <f t="shared" si="8"/>
        <v/>
      </c>
      <c r="J90" s="17">
        <f t="shared" si="11"/>
        <v>-3</v>
      </c>
      <c r="K90" s="17">
        <f t="shared" si="9"/>
        <v>-30</v>
      </c>
      <c r="L90" s="17"/>
      <c r="M90" s="19">
        <f t="shared" si="10"/>
        <v>0</v>
      </c>
    </row>
    <row r="91" spans="1:13" x14ac:dyDescent="0.25">
      <c r="A91" s="43"/>
      <c r="G91" s="5"/>
      <c r="H91" s="17">
        <v>86</v>
      </c>
      <c r="I91" s="18" t="str">
        <f t="shared" si="8"/>
        <v/>
      </c>
      <c r="J91" s="17">
        <f t="shared" si="11"/>
        <v>-3</v>
      </c>
      <c r="K91" s="17">
        <f t="shared" si="9"/>
        <v>-30</v>
      </c>
      <c r="L91" s="17"/>
      <c r="M91" s="19">
        <f t="shared" si="10"/>
        <v>0</v>
      </c>
    </row>
    <row r="92" spans="1:13" x14ac:dyDescent="0.25">
      <c r="A92" s="43"/>
      <c r="G92" s="5"/>
      <c r="H92" s="17">
        <v>87</v>
      </c>
      <c r="I92" s="18" t="str">
        <f t="shared" si="8"/>
        <v/>
      </c>
      <c r="J92" s="17">
        <f t="shared" si="11"/>
        <v>-3</v>
      </c>
      <c r="K92" s="17">
        <f t="shared" si="9"/>
        <v>-30</v>
      </c>
      <c r="L92" s="17"/>
      <c r="M92" s="19">
        <f t="shared" si="10"/>
        <v>0</v>
      </c>
    </row>
    <row r="93" spans="1:13" x14ac:dyDescent="0.25">
      <c r="A93" s="43"/>
      <c r="G93" s="5"/>
      <c r="H93" s="17">
        <v>88</v>
      </c>
      <c r="I93" s="18" t="str">
        <f t="shared" si="8"/>
        <v/>
      </c>
      <c r="J93" s="17">
        <f t="shared" si="11"/>
        <v>-3</v>
      </c>
      <c r="K93" s="17">
        <f t="shared" si="9"/>
        <v>-30</v>
      </c>
      <c r="L93" s="17"/>
      <c r="M93" s="19">
        <f t="shared" si="10"/>
        <v>0</v>
      </c>
    </row>
    <row r="94" spans="1:13" x14ac:dyDescent="0.25">
      <c r="A94" s="43"/>
      <c r="G94" s="5"/>
      <c r="H94" s="17">
        <v>89</v>
      </c>
      <c r="I94" s="18" t="str">
        <f t="shared" si="8"/>
        <v/>
      </c>
      <c r="J94" s="17">
        <f t="shared" si="11"/>
        <v>-3</v>
      </c>
      <c r="K94" s="17">
        <f t="shared" si="9"/>
        <v>-30</v>
      </c>
      <c r="L94" s="17"/>
      <c r="M94" s="19">
        <f t="shared" si="10"/>
        <v>0</v>
      </c>
    </row>
    <row r="95" spans="1:13" x14ac:dyDescent="0.25">
      <c r="A95" s="43"/>
      <c r="G95" s="5"/>
      <c r="H95" s="17">
        <v>90</v>
      </c>
      <c r="I95" s="18" t="str">
        <f t="shared" si="8"/>
        <v/>
      </c>
      <c r="J95" s="17">
        <f t="shared" si="11"/>
        <v>-3</v>
      </c>
      <c r="K95" s="17">
        <f t="shared" si="9"/>
        <v>-30</v>
      </c>
      <c r="L95" s="17"/>
      <c r="M95" s="19">
        <f t="shared" si="10"/>
        <v>0</v>
      </c>
    </row>
    <row r="96" spans="1:13" x14ac:dyDescent="0.25">
      <c r="A96" s="43"/>
      <c r="G96" s="5"/>
      <c r="H96" s="17">
        <v>91</v>
      </c>
      <c r="I96" s="18" t="str">
        <f t="shared" si="8"/>
        <v/>
      </c>
      <c r="J96" s="17">
        <f t="shared" si="11"/>
        <v>-3</v>
      </c>
      <c r="K96" s="17">
        <f t="shared" si="9"/>
        <v>-30</v>
      </c>
      <c r="L96" s="17"/>
      <c r="M96" s="19">
        <f t="shared" si="10"/>
        <v>0</v>
      </c>
    </row>
    <row r="97" spans="1:13" x14ac:dyDescent="0.25">
      <c r="A97" s="43"/>
      <c r="G97" s="5"/>
      <c r="H97" s="17">
        <v>92</v>
      </c>
      <c r="I97" s="18" t="str">
        <f t="shared" si="8"/>
        <v/>
      </c>
      <c r="J97" s="17">
        <f t="shared" si="11"/>
        <v>-3</v>
      </c>
      <c r="K97" s="17">
        <f t="shared" si="9"/>
        <v>-30</v>
      </c>
      <c r="L97" s="17"/>
      <c r="M97" s="19">
        <f t="shared" si="10"/>
        <v>0</v>
      </c>
    </row>
    <row r="98" spans="1:13" x14ac:dyDescent="0.25">
      <c r="A98" s="43"/>
      <c r="G98" s="5"/>
      <c r="H98" s="17">
        <v>93</v>
      </c>
      <c r="I98" s="18" t="str">
        <f t="shared" si="8"/>
        <v/>
      </c>
      <c r="J98" s="17">
        <f t="shared" si="11"/>
        <v>-3</v>
      </c>
      <c r="K98" s="17">
        <f t="shared" si="9"/>
        <v>-30</v>
      </c>
      <c r="L98" s="17"/>
      <c r="M98" s="19">
        <f t="shared" si="10"/>
        <v>0</v>
      </c>
    </row>
    <row r="99" spans="1:13" x14ac:dyDescent="0.25">
      <c r="A99" s="43"/>
      <c r="G99" s="5"/>
      <c r="H99" s="17">
        <v>94</v>
      </c>
      <c r="I99" s="18" t="str">
        <f t="shared" si="8"/>
        <v/>
      </c>
      <c r="J99" s="17">
        <f t="shared" si="11"/>
        <v>-3</v>
      </c>
      <c r="K99" s="17">
        <f t="shared" si="9"/>
        <v>-30</v>
      </c>
      <c r="L99" s="17"/>
      <c r="M99" s="19">
        <f t="shared" si="10"/>
        <v>0</v>
      </c>
    </row>
    <row r="100" spans="1:13" x14ac:dyDescent="0.25">
      <c r="A100" s="43"/>
      <c r="G100" s="5"/>
      <c r="H100" s="17">
        <v>95</v>
      </c>
      <c r="I100" s="18" t="str">
        <f t="shared" si="8"/>
        <v/>
      </c>
      <c r="J100" s="17">
        <f t="shared" si="11"/>
        <v>-3</v>
      </c>
      <c r="K100" s="17">
        <f t="shared" si="9"/>
        <v>-30</v>
      </c>
      <c r="L100" s="17"/>
      <c r="M100" s="19">
        <f t="shared" si="10"/>
        <v>0</v>
      </c>
    </row>
    <row r="101" spans="1:13" x14ac:dyDescent="0.25">
      <c r="A101" s="43"/>
      <c r="G101" s="5"/>
      <c r="H101" s="17">
        <v>96</v>
      </c>
      <c r="I101" s="18" t="str">
        <f t="shared" si="8"/>
        <v/>
      </c>
      <c r="J101" s="17">
        <f t="shared" si="11"/>
        <v>-3</v>
      </c>
      <c r="K101" s="17">
        <f t="shared" si="9"/>
        <v>-30</v>
      </c>
      <c r="L101" s="17"/>
      <c r="M101" s="19">
        <f t="shared" si="10"/>
        <v>0</v>
      </c>
    </row>
    <row r="102" spans="1:13" x14ac:dyDescent="0.25">
      <c r="A102" s="43"/>
      <c r="G102" s="5"/>
      <c r="H102" s="17">
        <v>97</v>
      </c>
      <c r="I102" s="18" t="str">
        <f t="shared" si="8"/>
        <v/>
      </c>
      <c r="J102" s="17">
        <f t="shared" si="11"/>
        <v>-3</v>
      </c>
      <c r="K102" s="17">
        <f t="shared" si="9"/>
        <v>-30</v>
      </c>
      <c r="L102" s="17"/>
      <c r="M102" s="19">
        <f t="shared" si="10"/>
        <v>0</v>
      </c>
    </row>
    <row r="103" spans="1:13" x14ac:dyDescent="0.25">
      <c r="A103" s="43"/>
      <c r="G103" s="5"/>
      <c r="H103" s="17">
        <v>98</v>
      </c>
      <c r="I103" s="18" t="str">
        <f t="shared" si="8"/>
        <v/>
      </c>
      <c r="J103" s="17">
        <f t="shared" si="11"/>
        <v>-3</v>
      </c>
      <c r="K103" s="17">
        <f t="shared" si="9"/>
        <v>-30</v>
      </c>
      <c r="L103" s="17"/>
      <c r="M103" s="19">
        <f t="shared" si="10"/>
        <v>0</v>
      </c>
    </row>
    <row r="104" spans="1:13" x14ac:dyDescent="0.25">
      <c r="A104" s="43"/>
      <c r="G104" s="5"/>
      <c r="H104" s="17">
        <v>99</v>
      </c>
      <c r="I104" s="18" t="str">
        <f t="shared" si="8"/>
        <v/>
      </c>
      <c r="J104" s="17">
        <f t="shared" si="11"/>
        <v>-3</v>
      </c>
      <c r="K104" s="17">
        <f t="shared" si="9"/>
        <v>-30</v>
      </c>
      <c r="L104" s="17"/>
      <c r="M104" s="19">
        <f t="shared" si="10"/>
        <v>0</v>
      </c>
    </row>
    <row r="105" spans="1:13" x14ac:dyDescent="0.25">
      <c r="A105" s="43"/>
      <c r="G105" s="5"/>
      <c r="H105" s="17">
        <v>100</v>
      </c>
      <c r="I105" s="18" t="str">
        <f t="shared" si="8"/>
        <v/>
      </c>
      <c r="J105" s="17">
        <f t="shared" si="11"/>
        <v>-3</v>
      </c>
      <c r="K105" s="17">
        <f t="shared" si="9"/>
        <v>-30</v>
      </c>
      <c r="L105" s="17"/>
      <c r="M105" s="19">
        <f t="shared" si="10"/>
        <v>0</v>
      </c>
    </row>
    <row r="106" spans="1:13" x14ac:dyDescent="0.25">
      <c r="A106" s="43"/>
      <c r="G106" s="5"/>
      <c r="H106" s="17">
        <v>101</v>
      </c>
      <c r="I106" s="18" t="str">
        <f t="shared" si="8"/>
        <v/>
      </c>
      <c r="J106" s="17">
        <f t="shared" si="11"/>
        <v>-3</v>
      </c>
      <c r="K106" s="17">
        <f t="shared" si="9"/>
        <v>-30</v>
      </c>
      <c r="L106" s="17"/>
      <c r="M106" s="19">
        <f t="shared" si="10"/>
        <v>0</v>
      </c>
    </row>
    <row r="107" spans="1:13" x14ac:dyDescent="0.25">
      <c r="A107" s="43"/>
      <c r="G107" s="5"/>
      <c r="H107" s="17">
        <v>102</v>
      </c>
      <c r="I107" s="18" t="str">
        <f t="shared" si="8"/>
        <v/>
      </c>
      <c r="J107" s="17">
        <f t="shared" si="11"/>
        <v>-3</v>
      </c>
      <c r="K107" s="17">
        <f t="shared" si="9"/>
        <v>-30</v>
      </c>
      <c r="L107" s="17"/>
      <c r="M107" s="19">
        <f t="shared" si="10"/>
        <v>0</v>
      </c>
    </row>
    <row r="108" spans="1:13" x14ac:dyDescent="0.25">
      <c r="A108" s="43"/>
      <c r="G108" s="5"/>
      <c r="H108" s="17">
        <v>103</v>
      </c>
      <c r="I108" s="18" t="str">
        <f t="shared" si="8"/>
        <v/>
      </c>
      <c r="J108" s="17">
        <f t="shared" si="11"/>
        <v>-3</v>
      </c>
      <c r="K108" s="17">
        <f t="shared" si="9"/>
        <v>-30</v>
      </c>
      <c r="L108" s="17"/>
      <c r="M108" s="19">
        <f t="shared" si="10"/>
        <v>0</v>
      </c>
    </row>
    <row r="109" spans="1:13" x14ac:dyDescent="0.25">
      <c r="A109" s="43"/>
      <c r="G109" s="5"/>
      <c r="H109" s="17">
        <v>104</v>
      </c>
      <c r="I109" s="18" t="str">
        <f t="shared" si="8"/>
        <v/>
      </c>
      <c r="J109" s="17">
        <f t="shared" si="11"/>
        <v>-3</v>
      </c>
      <c r="K109" s="17">
        <f t="shared" si="9"/>
        <v>-30</v>
      </c>
      <c r="L109" s="17"/>
      <c r="M109" s="19">
        <f t="shared" si="10"/>
        <v>0</v>
      </c>
    </row>
    <row r="110" spans="1:13" x14ac:dyDescent="0.25">
      <c r="A110" s="43"/>
      <c r="G110" s="5"/>
      <c r="H110" s="17">
        <v>105</v>
      </c>
      <c r="I110" s="18" t="str">
        <f t="shared" si="8"/>
        <v/>
      </c>
      <c r="J110" s="17">
        <f t="shared" si="11"/>
        <v>-3</v>
      </c>
      <c r="K110" s="17">
        <f t="shared" si="9"/>
        <v>-30</v>
      </c>
      <c r="L110" s="17"/>
      <c r="M110" s="19">
        <f t="shared" si="10"/>
        <v>0</v>
      </c>
    </row>
    <row r="111" spans="1:13" x14ac:dyDescent="0.25">
      <c r="A111" s="43"/>
      <c r="G111" s="5"/>
      <c r="H111" s="17">
        <v>106</v>
      </c>
      <c r="I111" s="18" t="str">
        <f t="shared" si="8"/>
        <v/>
      </c>
      <c r="J111" s="17">
        <f t="shared" si="11"/>
        <v>-3</v>
      </c>
      <c r="K111" s="17">
        <f t="shared" si="9"/>
        <v>-30</v>
      </c>
      <c r="L111" s="17"/>
      <c r="M111" s="19">
        <f t="shared" si="10"/>
        <v>0</v>
      </c>
    </row>
    <row r="112" spans="1:13" x14ac:dyDescent="0.25">
      <c r="A112" s="43"/>
      <c r="G112" s="5"/>
      <c r="H112" s="17">
        <v>107</v>
      </c>
      <c r="I112" s="18" t="str">
        <f t="shared" si="8"/>
        <v/>
      </c>
      <c r="J112" s="17">
        <f t="shared" si="11"/>
        <v>-3</v>
      </c>
      <c r="K112" s="17">
        <f t="shared" si="9"/>
        <v>-30</v>
      </c>
      <c r="L112" s="17"/>
      <c r="M112" s="19">
        <f t="shared" si="10"/>
        <v>0</v>
      </c>
    </row>
    <row r="113" spans="1:13" x14ac:dyDescent="0.25">
      <c r="A113" s="43"/>
      <c r="G113" s="5"/>
      <c r="H113" s="17">
        <v>108</v>
      </c>
      <c r="I113" s="18" t="str">
        <f t="shared" si="8"/>
        <v/>
      </c>
      <c r="J113" s="17">
        <f t="shared" si="11"/>
        <v>-3</v>
      </c>
      <c r="K113" s="17">
        <f t="shared" si="9"/>
        <v>-30</v>
      </c>
      <c r="L113" s="17"/>
      <c r="M113" s="19">
        <f t="shared" si="10"/>
        <v>0</v>
      </c>
    </row>
    <row r="114" spans="1:13" x14ac:dyDescent="0.25">
      <c r="A114" s="43"/>
      <c r="G114" s="5"/>
      <c r="H114" s="17">
        <v>109</v>
      </c>
      <c r="I114" s="18" t="str">
        <f t="shared" si="8"/>
        <v/>
      </c>
      <c r="J114" s="17">
        <f t="shared" si="11"/>
        <v>-3</v>
      </c>
      <c r="K114" s="17">
        <f t="shared" si="9"/>
        <v>-30</v>
      </c>
      <c r="L114" s="17"/>
      <c r="M114" s="19">
        <f t="shared" si="10"/>
        <v>0</v>
      </c>
    </row>
    <row r="115" spans="1:13" x14ac:dyDescent="0.25">
      <c r="A115" s="43"/>
      <c r="G115" s="5"/>
      <c r="H115" s="17">
        <v>110</v>
      </c>
      <c r="I115" s="18" t="str">
        <f t="shared" si="8"/>
        <v/>
      </c>
      <c r="J115" s="17">
        <f t="shared" si="11"/>
        <v>-3</v>
      </c>
      <c r="K115" s="17">
        <f t="shared" si="9"/>
        <v>-30</v>
      </c>
      <c r="L115" s="17"/>
      <c r="M115" s="19">
        <f t="shared" si="10"/>
        <v>0</v>
      </c>
    </row>
    <row r="116" spans="1:13" x14ac:dyDescent="0.25">
      <c r="A116" s="43"/>
      <c r="G116" s="5"/>
      <c r="H116" s="17">
        <v>111</v>
      </c>
      <c r="I116" s="18" t="str">
        <f t="shared" si="8"/>
        <v/>
      </c>
      <c r="J116" s="17">
        <f t="shared" si="11"/>
        <v>-3</v>
      </c>
      <c r="K116" s="17">
        <f t="shared" si="9"/>
        <v>-30</v>
      </c>
      <c r="L116" s="17"/>
      <c r="M116" s="19">
        <f t="shared" si="10"/>
        <v>0</v>
      </c>
    </row>
    <row r="117" spans="1:13" x14ac:dyDescent="0.25">
      <c r="A117" s="43"/>
      <c r="G117" s="5"/>
      <c r="H117" s="17">
        <v>112</v>
      </c>
      <c r="I117" s="18" t="str">
        <f t="shared" si="8"/>
        <v/>
      </c>
      <c r="J117" s="17">
        <f t="shared" si="11"/>
        <v>-3</v>
      </c>
      <c r="K117" s="17">
        <f t="shared" si="9"/>
        <v>-30</v>
      </c>
      <c r="L117" s="17"/>
      <c r="M117" s="19">
        <f t="shared" si="10"/>
        <v>0</v>
      </c>
    </row>
    <row r="118" spans="1:13" x14ac:dyDescent="0.25">
      <c r="A118" s="43"/>
      <c r="G118" s="5"/>
      <c r="H118" s="17">
        <v>113</v>
      </c>
      <c r="I118" s="18" t="str">
        <f t="shared" si="8"/>
        <v/>
      </c>
      <c r="J118" s="17">
        <f t="shared" si="11"/>
        <v>-3</v>
      </c>
      <c r="K118" s="17">
        <f t="shared" si="9"/>
        <v>-30</v>
      </c>
      <c r="L118" s="17"/>
      <c r="M118" s="19">
        <f t="shared" si="10"/>
        <v>0</v>
      </c>
    </row>
    <row r="119" spans="1:13" x14ac:dyDescent="0.25">
      <c r="A119" s="43"/>
      <c r="G119" s="5"/>
      <c r="H119" s="17">
        <v>114</v>
      </c>
      <c r="I119" s="18" t="str">
        <f t="shared" si="8"/>
        <v/>
      </c>
      <c r="J119" s="17">
        <f t="shared" si="11"/>
        <v>-3</v>
      </c>
      <c r="K119" s="17">
        <f t="shared" si="9"/>
        <v>-30</v>
      </c>
      <c r="L119" s="17"/>
      <c r="M119" s="19">
        <f t="shared" si="10"/>
        <v>0</v>
      </c>
    </row>
    <row r="120" spans="1:13" x14ac:dyDescent="0.25">
      <c r="A120" s="43"/>
      <c r="G120" s="5"/>
      <c r="H120" s="17">
        <v>115</v>
      </c>
      <c r="I120" s="18" t="str">
        <f t="shared" si="8"/>
        <v/>
      </c>
      <c r="J120" s="17">
        <f t="shared" si="11"/>
        <v>-3</v>
      </c>
      <c r="K120" s="17">
        <f t="shared" si="9"/>
        <v>-30</v>
      </c>
      <c r="L120" s="17"/>
      <c r="M120" s="19">
        <f t="shared" si="10"/>
        <v>0</v>
      </c>
    </row>
    <row r="121" spans="1:13" x14ac:dyDescent="0.25">
      <c r="A121" s="43"/>
      <c r="G121" s="5"/>
      <c r="H121" s="17">
        <v>116</v>
      </c>
      <c r="I121" s="18" t="str">
        <f t="shared" si="8"/>
        <v/>
      </c>
      <c r="J121" s="17">
        <f t="shared" si="11"/>
        <v>-3</v>
      </c>
      <c r="K121" s="17">
        <f t="shared" si="9"/>
        <v>-30</v>
      </c>
      <c r="L121" s="17"/>
      <c r="M121" s="19">
        <f t="shared" si="10"/>
        <v>0</v>
      </c>
    </row>
    <row r="122" spans="1:13" x14ac:dyDescent="0.25">
      <c r="A122" s="43"/>
      <c r="G122" s="5"/>
      <c r="H122" s="17">
        <v>117</v>
      </c>
      <c r="I122" s="18" t="str">
        <f t="shared" si="8"/>
        <v/>
      </c>
      <c r="J122" s="17">
        <f t="shared" si="11"/>
        <v>-3</v>
      </c>
      <c r="K122" s="17">
        <f t="shared" si="9"/>
        <v>-30</v>
      </c>
      <c r="L122" s="17"/>
      <c r="M122" s="19">
        <f t="shared" si="10"/>
        <v>0</v>
      </c>
    </row>
    <row r="123" spans="1:13" x14ac:dyDescent="0.25">
      <c r="A123" s="43"/>
      <c r="G123" s="5"/>
      <c r="H123" s="17">
        <v>118</v>
      </c>
      <c r="I123" s="18" t="str">
        <f t="shared" si="8"/>
        <v/>
      </c>
      <c r="J123" s="17">
        <f t="shared" si="11"/>
        <v>-3</v>
      </c>
      <c r="K123" s="17">
        <f t="shared" si="9"/>
        <v>-30</v>
      </c>
      <c r="L123" s="17"/>
      <c r="M123" s="19">
        <f t="shared" si="10"/>
        <v>0</v>
      </c>
    </row>
    <row r="124" spans="1:13" x14ac:dyDescent="0.25">
      <c r="A124" s="43"/>
      <c r="G124" s="5"/>
      <c r="H124" s="17">
        <v>119</v>
      </c>
      <c r="I124" s="18" t="str">
        <f t="shared" si="8"/>
        <v/>
      </c>
      <c r="J124" s="17">
        <f t="shared" si="11"/>
        <v>-3</v>
      </c>
      <c r="K124" s="17">
        <f t="shared" si="9"/>
        <v>-30</v>
      </c>
      <c r="L124" s="17"/>
      <c r="M124" s="19">
        <f t="shared" si="10"/>
        <v>0</v>
      </c>
    </row>
    <row r="125" spans="1:13" x14ac:dyDescent="0.25">
      <c r="A125" s="43"/>
      <c r="G125" s="5"/>
      <c r="H125" s="17">
        <v>120</v>
      </c>
      <c r="I125" s="18" t="str">
        <f t="shared" si="8"/>
        <v/>
      </c>
      <c r="J125" s="17">
        <f t="shared" si="11"/>
        <v>-3</v>
      </c>
      <c r="K125" s="17">
        <f t="shared" si="9"/>
        <v>-30</v>
      </c>
      <c r="L125" s="17"/>
      <c r="M125" s="19">
        <f t="shared" si="10"/>
        <v>0</v>
      </c>
    </row>
    <row r="126" spans="1:13" x14ac:dyDescent="0.25">
      <c r="A126" s="43"/>
      <c r="G126" s="5"/>
      <c r="H126" s="17">
        <v>121</v>
      </c>
      <c r="I126" s="18" t="str">
        <f t="shared" si="8"/>
        <v/>
      </c>
      <c r="J126" s="17">
        <f t="shared" si="11"/>
        <v>-3</v>
      </c>
      <c r="K126" s="17">
        <f t="shared" si="9"/>
        <v>-30</v>
      </c>
      <c r="L126" s="17"/>
      <c r="M126" s="19">
        <f t="shared" si="10"/>
        <v>0</v>
      </c>
    </row>
    <row r="127" spans="1:13" x14ac:dyDescent="0.25">
      <c r="A127" s="43"/>
      <c r="G127" s="5"/>
      <c r="H127" s="17">
        <v>122</v>
      </c>
      <c r="I127" s="18" t="str">
        <f t="shared" si="8"/>
        <v/>
      </c>
      <c r="J127" s="17">
        <f t="shared" si="11"/>
        <v>-3</v>
      </c>
      <c r="K127" s="17">
        <f t="shared" si="9"/>
        <v>-30</v>
      </c>
      <c r="L127" s="17"/>
      <c r="M127" s="19">
        <f t="shared" si="10"/>
        <v>0</v>
      </c>
    </row>
    <row r="128" spans="1:13" x14ac:dyDescent="0.25">
      <c r="A128" s="43"/>
      <c r="G128" s="5"/>
      <c r="H128" s="17">
        <v>123</v>
      </c>
      <c r="I128" s="18" t="str">
        <f t="shared" si="8"/>
        <v/>
      </c>
      <c r="J128" s="17">
        <f t="shared" si="11"/>
        <v>-3</v>
      </c>
      <c r="K128" s="17">
        <f t="shared" si="9"/>
        <v>-30</v>
      </c>
      <c r="L128" s="17"/>
      <c r="M128" s="19">
        <f t="shared" si="10"/>
        <v>0</v>
      </c>
    </row>
    <row r="129" spans="1:13" x14ac:dyDescent="0.25">
      <c r="A129" s="43"/>
      <c r="G129" s="5"/>
      <c r="H129" s="17">
        <v>124</v>
      </c>
      <c r="I129" s="18" t="str">
        <f t="shared" si="8"/>
        <v/>
      </c>
      <c r="J129" s="17">
        <f t="shared" si="11"/>
        <v>-3</v>
      </c>
      <c r="K129" s="17">
        <f t="shared" si="9"/>
        <v>-30</v>
      </c>
      <c r="L129" s="17"/>
      <c r="M129" s="19">
        <f t="shared" si="10"/>
        <v>0</v>
      </c>
    </row>
    <row r="130" spans="1:13" x14ac:dyDescent="0.25">
      <c r="A130" s="43"/>
      <c r="G130" s="5"/>
      <c r="H130" s="17">
        <v>125</v>
      </c>
      <c r="I130" s="18" t="str">
        <f t="shared" si="8"/>
        <v/>
      </c>
      <c r="J130" s="17">
        <f t="shared" si="11"/>
        <v>-3</v>
      </c>
      <c r="K130" s="17">
        <f t="shared" si="9"/>
        <v>-30</v>
      </c>
      <c r="L130" s="17"/>
      <c r="M130" s="19">
        <f t="shared" si="10"/>
        <v>0</v>
      </c>
    </row>
    <row r="131" spans="1:13" x14ac:dyDescent="0.25">
      <c r="A131" s="43"/>
      <c r="G131" s="5"/>
      <c r="H131" s="17">
        <v>126</v>
      </c>
      <c r="I131" s="18" t="str">
        <f t="shared" si="8"/>
        <v/>
      </c>
      <c r="J131" s="17">
        <f t="shared" si="11"/>
        <v>-3</v>
      </c>
      <c r="K131" s="17">
        <f t="shared" si="9"/>
        <v>-30</v>
      </c>
      <c r="L131" s="17"/>
      <c r="M131" s="19">
        <f t="shared" si="10"/>
        <v>0</v>
      </c>
    </row>
    <row r="132" spans="1:13" x14ac:dyDescent="0.25">
      <c r="A132" s="43"/>
      <c r="G132" s="5"/>
      <c r="H132" s="17">
        <v>127</v>
      </c>
      <c r="I132" s="18" t="str">
        <f t="shared" si="8"/>
        <v/>
      </c>
      <c r="J132" s="17">
        <f t="shared" si="11"/>
        <v>-3</v>
      </c>
      <c r="K132" s="17">
        <f t="shared" si="9"/>
        <v>-30</v>
      </c>
      <c r="L132" s="17"/>
      <c r="M132" s="19">
        <f t="shared" si="10"/>
        <v>0</v>
      </c>
    </row>
    <row r="133" spans="1:13" x14ac:dyDescent="0.25">
      <c r="A133" s="43"/>
      <c r="G133" s="5"/>
      <c r="H133" s="17">
        <v>128</v>
      </c>
      <c r="I133" s="18" t="str">
        <f t="shared" si="8"/>
        <v/>
      </c>
      <c r="J133" s="17">
        <f t="shared" si="11"/>
        <v>-3</v>
      </c>
      <c r="K133" s="17">
        <f t="shared" si="9"/>
        <v>-30</v>
      </c>
      <c r="L133" s="17"/>
      <c r="M133" s="19">
        <f t="shared" si="10"/>
        <v>0</v>
      </c>
    </row>
    <row r="134" spans="1:13" x14ac:dyDescent="0.25">
      <c r="A134" s="43"/>
      <c r="G134" s="5"/>
      <c r="H134" s="17">
        <v>129</v>
      </c>
      <c r="I134" s="18" t="str">
        <f t="shared" ref="I134:I197" si="12">IF(H134&lt;$H$2+1,($I$2-($I$2-1)*(LOG(H134)/LOG($H$2))),"")</f>
        <v/>
      </c>
      <c r="J134" s="17">
        <f t="shared" si="11"/>
        <v>-4</v>
      </c>
      <c r="K134" s="17">
        <f t="shared" ref="K134:K197" si="13">J134*$J$2</f>
        <v>-40</v>
      </c>
      <c r="L134" s="17"/>
      <c r="M134" s="19">
        <f t="shared" ref="M134:M197" si="14">IF(I134&lt;&gt;"",K134+I134+L134,0)</f>
        <v>0</v>
      </c>
    </row>
    <row r="135" spans="1:13" x14ac:dyDescent="0.25">
      <c r="A135" s="43"/>
      <c r="G135" s="5"/>
      <c r="H135" s="17">
        <v>130</v>
      </c>
      <c r="I135" s="18" t="str">
        <f t="shared" si="12"/>
        <v/>
      </c>
      <c r="J135" s="17">
        <f t="shared" ref="J135:J198" si="15">INT(LOG($H$2,2))-ROUNDUP(LOG(H135,2),0)+IF(OR($H$2=1,$H$2=2,$H$2=4,$H$2=8,$H$2=16,$H$2=32,$H$2=64,$H$2=128,$H$2=256),0,1)</f>
        <v>-4</v>
      </c>
      <c r="K135" s="17">
        <f t="shared" si="13"/>
        <v>-40</v>
      </c>
      <c r="L135" s="17"/>
      <c r="M135" s="19">
        <f t="shared" si="14"/>
        <v>0</v>
      </c>
    </row>
    <row r="136" spans="1:13" x14ac:dyDescent="0.25">
      <c r="A136" s="43"/>
      <c r="G136" s="5"/>
      <c r="H136" s="17">
        <v>131</v>
      </c>
      <c r="I136" s="18" t="str">
        <f t="shared" si="12"/>
        <v/>
      </c>
      <c r="J136" s="17">
        <f t="shared" si="15"/>
        <v>-4</v>
      </c>
      <c r="K136" s="17">
        <f t="shared" si="13"/>
        <v>-40</v>
      </c>
      <c r="L136" s="17"/>
      <c r="M136" s="19">
        <f t="shared" si="14"/>
        <v>0</v>
      </c>
    </row>
    <row r="137" spans="1:13" x14ac:dyDescent="0.25">
      <c r="A137" s="43"/>
      <c r="G137" s="5"/>
      <c r="H137" s="17">
        <v>132</v>
      </c>
      <c r="I137" s="18" t="str">
        <f t="shared" si="12"/>
        <v/>
      </c>
      <c r="J137" s="17">
        <f t="shared" si="15"/>
        <v>-4</v>
      </c>
      <c r="K137" s="17">
        <f t="shared" si="13"/>
        <v>-40</v>
      </c>
      <c r="L137" s="17"/>
      <c r="M137" s="19">
        <f t="shared" si="14"/>
        <v>0</v>
      </c>
    </row>
    <row r="138" spans="1:13" x14ac:dyDescent="0.25">
      <c r="A138" s="43"/>
      <c r="G138" s="5"/>
      <c r="H138" s="17">
        <v>133</v>
      </c>
      <c r="I138" s="18" t="str">
        <f t="shared" si="12"/>
        <v/>
      </c>
      <c r="J138" s="17">
        <f t="shared" si="15"/>
        <v>-4</v>
      </c>
      <c r="K138" s="17">
        <f t="shared" si="13"/>
        <v>-40</v>
      </c>
      <c r="L138" s="17"/>
      <c r="M138" s="19">
        <f t="shared" si="14"/>
        <v>0</v>
      </c>
    </row>
    <row r="139" spans="1:13" x14ac:dyDescent="0.25">
      <c r="A139" s="43"/>
      <c r="G139" s="5"/>
      <c r="H139" s="17">
        <v>134</v>
      </c>
      <c r="I139" s="18" t="str">
        <f t="shared" si="12"/>
        <v/>
      </c>
      <c r="J139" s="17">
        <f t="shared" si="15"/>
        <v>-4</v>
      </c>
      <c r="K139" s="17">
        <f t="shared" si="13"/>
        <v>-40</v>
      </c>
      <c r="L139" s="17"/>
      <c r="M139" s="19">
        <f t="shared" si="14"/>
        <v>0</v>
      </c>
    </row>
    <row r="140" spans="1:13" x14ac:dyDescent="0.25">
      <c r="A140" s="43"/>
      <c r="G140" s="5"/>
      <c r="H140" s="17">
        <v>135</v>
      </c>
      <c r="I140" s="18" t="str">
        <f t="shared" si="12"/>
        <v/>
      </c>
      <c r="J140" s="17">
        <f t="shared" si="15"/>
        <v>-4</v>
      </c>
      <c r="K140" s="17">
        <f t="shared" si="13"/>
        <v>-40</v>
      </c>
      <c r="L140" s="17"/>
      <c r="M140" s="19">
        <f t="shared" si="14"/>
        <v>0</v>
      </c>
    </row>
    <row r="141" spans="1:13" x14ac:dyDescent="0.25">
      <c r="A141" s="43"/>
      <c r="G141" s="5"/>
      <c r="H141" s="17">
        <v>136</v>
      </c>
      <c r="I141" s="18" t="str">
        <f t="shared" si="12"/>
        <v/>
      </c>
      <c r="J141" s="17">
        <f t="shared" si="15"/>
        <v>-4</v>
      </c>
      <c r="K141" s="17">
        <f t="shared" si="13"/>
        <v>-40</v>
      </c>
      <c r="L141" s="17"/>
      <c r="M141" s="19">
        <f t="shared" si="14"/>
        <v>0</v>
      </c>
    </row>
    <row r="142" spans="1:13" x14ac:dyDescent="0.25">
      <c r="A142" s="43"/>
      <c r="G142" s="5"/>
      <c r="H142" s="17">
        <v>137</v>
      </c>
      <c r="I142" s="18" t="str">
        <f t="shared" si="12"/>
        <v/>
      </c>
      <c r="J142" s="17">
        <f t="shared" si="15"/>
        <v>-4</v>
      </c>
      <c r="K142" s="17">
        <f t="shared" si="13"/>
        <v>-40</v>
      </c>
      <c r="L142" s="17"/>
      <c r="M142" s="19">
        <f t="shared" si="14"/>
        <v>0</v>
      </c>
    </row>
    <row r="143" spans="1:13" x14ac:dyDescent="0.25">
      <c r="A143" s="43"/>
      <c r="G143" s="5"/>
      <c r="H143" s="17">
        <v>138</v>
      </c>
      <c r="I143" s="18" t="str">
        <f t="shared" si="12"/>
        <v/>
      </c>
      <c r="J143" s="17">
        <f t="shared" si="15"/>
        <v>-4</v>
      </c>
      <c r="K143" s="17">
        <f t="shared" si="13"/>
        <v>-40</v>
      </c>
      <c r="L143" s="17"/>
      <c r="M143" s="19">
        <f t="shared" si="14"/>
        <v>0</v>
      </c>
    </row>
    <row r="144" spans="1:13" x14ac:dyDescent="0.25">
      <c r="A144" s="43"/>
      <c r="G144" s="5"/>
      <c r="H144" s="17">
        <v>139</v>
      </c>
      <c r="I144" s="18" t="str">
        <f t="shared" si="12"/>
        <v/>
      </c>
      <c r="J144" s="17">
        <f t="shared" si="15"/>
        <v>-4</v>
      </c>
      <c r="K144" s="17">
        <f t="shared" si="13"/>
        <v>-40</v>
      </c>
      <c r="L144" s="17"/>
      <c r="M144" s="19">
        <f t="shared" si="14"/>
        <v>0</v>
      </c>
    </row>
    <row r="145" spans="1:13" x14ac:dyDescent="0.25">
      <c r="A145" s="43"/>
      <c r="G145" s="5"/>
      <c r="H145" s="17">
        <v>140</v>
      </c>
      <c r="I145" s="18" t="str">
        <f t="shared" si="12"/>
        <v/>
      </c>
      <c r="J145" s="17">
        <f t="shared" si="15"/>
        <v>-4</v>
      </c>
      <c r="K145" s="17">
        <f t="shared" si="13"/>
        <v>-40</v>
      </c>
      <c r="L145" s="17"/>
      <c r="M145" s="19">
        <f t="shared" si="14"/>
        <v>0</v>
      </c>
    </row>
    <row r="146" spans="1:13" x14ac:dyDescent="0.25">
      <c r="A146" s="43"/>
      <c r="G146" s="5"/>
      <c r="H146" s="17">
        <v>141</v>
      </c>
      <c r="I146" s="18" t="str">
        <f t="shared" si="12"/>
        <v/>
      </c>
      <c r="J146" s="17">
        <f t="shared" si="15"/>
        <v>-4</v>
      </c>
      <c r="K146" s="17">
        <f t="shared" si="13"/>
        <v>-40</v>
      </c>
      <c r="L146" s="17"/>
      <c r="M146" s="19">
        <f t="shared" si="14"/>
        <v>0</v>
      </c>
    </row>
    <row r="147" spans="1:13" x14ac:dyDescent="0.25">
      <c r="A147" s="43"/>
      <c r="G147" s="5"/>
      <c r="H147" s="17">
        <v>142</v>
      </c>
      <c r="I147" s="18" t="str">
        <f t="shared" si="12"/>
        <v/>
      </c>
      <c r="J147" s="17">
        <f t="shared" si="15"/>
        <v>-4</v>
      </c>
      <c r="K147" s="17">
        <f t="shared" si="13"/>
        <v>-40</v>
      </c>
      <c r="L147" s="17"/>
      <c r="M147" s="19">
        <f t="shared" si="14"/>
        <v>0</v>
      </c>
    </row>
    <row r="148" spans="1:13" x14ac:dyDescent="0.25">
      <c r="A148" s="43"/>
      <c r="G148" s="5"/>
      <c r="H148" s="17">
        <v>143</v>
      </c>
      <c r="I148" s="18" t="str">
        <f t="shared" si="12"/>
        <v/>
      </c>
      <c r="J148" s="17">
        <f t="shared" si="15"/>
        <v>-4</v>
      </c>
      <c r="K148" s="17">
        <f t="shared" si="13"/>
        <v>-40</v>
      </c>
      <c r="L148" s="17"/>
      <c r="M148" s="19">
        <f t="shared" si="14"/>
        <v>0</v>
      </c>
    </row>
    <row r="149" spans="1:13" x14ac:dyDescent="0.25">
      <c r="A149" s="43"/>
      <c r="G149" s="5"/>
      <c r="H149" s="17">
        <v>144</v>
      </c>
      <c r="I149" s="18" t="str">
        <f t="shared" si="12"/>
        <v/>
      </c>
      <c r="J149" s="17">
        <f t="shared" si="15"/>
        <v>-4</v>
      </c>
      <c r="K149" s="17">
        <f t="shared" si="13"/>
        <v>-40</v>
      </c>
      <c r="L149" s="17"/>
      <c r="M149" s="19">
        <f t="shared" si="14"/>
        <v>0</v>
      </c>
    </row>
    <row r="150" spans="1:13" x14ac:dyDescent="0.25">
      <c r="A150" s="43"/>
      <c r="G150" s="5"/>
      <c r="H150" s="17">
        <v>145</v>
      </c>
      <c r="I150" s="18" t="str">
        <f t="shared" si="12"/>
        <v/>
      </c>
      <c r="J150" s="17">
        <f t="shared" si="15"/>
        <v>-4</v>
      </c>
      <c r="K150" s="17">
        <f t="shared" si="13"/>
        <v>-40</v>
      </c>
      <c r="L150" s="17"/>
      <c r="M150" s="19">
        <f t="shared" si="14"/>
        <v>0</v>
      </c>
    </row>
    <row r="151" spans="1:13" x14ac:dyDescent="0.25">
      <c r="A151" s="43"/>
      <c r="G151" s="5"/>
      <c r="H151" s="17">
        <v>146</v>
      </c>
      <c r="I151" s="18" t="str">
        <f t="shared" si="12"/>
        <v/>
      </c>
      <c r="J151" s="17">
        <f t="shared" si="15"/>
        <v>-4</v>
      </c>
      <c r="K151" s="17">
        <f t="shared" si="13"/>
        <v>-40</v>
      </c>
      <c r="L151" s="17"/>
      <c r="M151" s="19">
        <f t="shared" si="14"/>
        <v>0</v>
      </c>
    </row>
    <row r="152" spans="1:13" x14ac:dyDescent="0.25">
      <c r="A152" s="43"/>
      <c r="G152" s="5"/>
      <c r="H152" s="17">
        <v>147</v>
      </c>
      <c r="I152" s="18" t="str">
        <f t="shared" si="12"/>
        <v/>
      </c>
      <c r="J152" s="17">
        <f t="shared" si="15"/>
        <v>-4</v>
      </c>
      <c r="K152" s="17">
        <f t="shared" si="13"/>
        <v>-40</v>
      </c>
      <c r="L152" s="17"/>
      <c r="M152" s="19">
        <f t="shared" si="14"/>
        <v>0</v>
      </c>
    </row>
    <row r="153" spans="1:13" x14ac:dyDescent="0.25">
      <c r="A153" s="43"/>
      <c r="G153" s="5"/>
      <c r="H153" s="17">
        <v>148</v>
      </c>
      <c r="I153" s="18" t="str">
        <f t="shared" si="12"/>
        <v/>
      </c>
      <c r="J153" s="17">
        <f t="shared" si="15"/>
        <v>-4</v>
      </c>
      <c r="K153" s="17">
        <f t="shared" si="13"/>
        <v>-40</v>
      </c>
      <c r="L153" s="17"/>
      <c r="M153" s="19">
        <f t="shared" si="14"/>
        <v>0</v>
      </c>
    </row>
    <row r="154" spans="1:13" x14ac:dyDescent="0.25">
      <c r="A154" s="43"/>
      <c r="G154" s="5"/>
      <c r="H154" s="17">
        <v>149</v>
      </c>
      <c r="I154" s="18" t="str">
        <f t="shared" si="12"/>
        <v/>
      </c>
      <c r="J154" s="17">
        <f t="shared" si="15"/>
        <v>-4</v>
      </c>
      <c r="K154" s="17">
        <f t="shared" si="13"/>
        <v>-40</v>
      </c>
      <c r="L154" s="17"/>
      <c r="M154" s="19">
        <f t="shared" si="14"/>
        <v>0</v>
      </c>
    </row>
    <row r="155" spans="1:13" x14ac:dyDescent="0.25">
      <c r="A155" s="43"/>
      <c r="G155" s="5"/>
      <c r="H155" s="17">
        <v>150</v>
      </c>
      <c r="I155" s="18" t="str">
        <f t="shared" si="12"/>
        <v/>
      </c>
      <c r="J155" s="17">
        <f t="shared" si="15"/>
        <v>-4</v>
      </c>
      <c r="K155" s="17">
        <f t="shared" si="13"/>
        <v>-40</v>
      </c>
      <c r="L155" s="17"/>
      <c r="M155" s="19">
        <f t="shared" si="14"/>
        <v>0</v>
      </c>
    </row>
    <row r="156" spans="1:13" x14ac:dyDescent="0.25">
      <c r="A156" s="43"/>
      <c r="G156" s="5"/>
      <c r="H156" s="17">
        <v>151</v>
      </c>
      <c r="I156" s="18" t="str">
        <f t="shared" si="12"/>
        <v/>
      </c>
      <c r="J156" s="17">
        <f t="shared" si="15"/>
        <v>-4</v>
      </c>
      <c r="K156" s="17">
        <f t="shared" si="13"/>
        <v>-40</v>
      </c>
      <c r="L156" s="17"/>
      <c r="M156" s="19">
        <f t="shared" si="14"/>
        <v>0</v>
      </c>
    </row>
    <row r="157" spans="1:13" x14ac:dyDescent="0.25">
      <c r="A157" s="43"/>
      <c r="G157" s="5"/>
      <c r="H157" s="17">
        <v>152</v>
      </c>
      <c r="I157" s="18" t="str">
        <f t="shared" si="12"/>
        <v/>
      </c>
      <c r="J157" s="17">
        <f t="shared" si="15"/>
        <v>-4</v>
      </c>
      <c r="K157" s="17">
        <f t="shared" si="13"/>
        <v>-40</v>
      </c>
      <c r="L157" s="17"/>
      <c r="M157" s="19">
        <f t="shared" si="14"/>
        <v>0</v>
      </c>
    </row>
    <row r="158" spans="1:13" x14ac:dyDescent="0.25">
      <c r="A158" s="43"/>
      <c r="G158" s="5"/>
      <c r="H158" s="17">
        <v>153</v>
      </c>
      <c r="I158" s="18" t="str">
        <f t="shared" si="12"/>
        <v/>
      </c>
      <c r="J158" s="17">
        <f t="shared" si="15"/>
        <v>-4</v>
      </c>
      <c r="K158" s="17">
        <f t="shared" si="13"/>
        <v>-40</v>
      </c>
      <c r="L158" s="17"/>
      <c r="M158" s="19">
        <f t="shared" si="14"/>
        <v>0</v>
      </c>
    </row>
    <row r="159" spans="1:13" x14ac:dyDescent="0.25">
      <c r="A159" s="43"/>
      <c r="G159" s="5"/>
      <c r="H159" s="17">
        <v>154</v>
      </c>
      <c r="I159" s="18" t="str">
        <f t="shared" si="12"/>
        <v/>
      </c>
      <c r="J159" s="17">
        <f t="shared" si="15"/>
        <v>-4</v>
      </c>
      <c r="K159" s="17">
        <f t="shared" si="13"/>
        <v>-40</v>
      </c>
      <c r="L159" s="17"/>
      <c r="M159" s="19">
        <f t="shared" si="14"/>
        <v>0</v>
      </c>
    </row>
    <row r="160" spans="1:13" x14ac:dyDescent="0.25">
      <c r="A160" s="43"/>
      <c r="G160" s="5"/>
      <c r="H160" s="17">
        <v>155</v>
      </c>
      <c r="I160" s="18" t="str">
        <f t="shared" si="12"/>
        <v/>
      </c>
      <c r="J160" s="17">
        <f t="shared" si="15"/>
        <v>-4</v>
      </c>
      <c r="K160" s="17">
        <f t="shared" si="13"/>
        <v>-40</v>
      </c>
      <c r="L160" s="17"/>
      <c r="M160" s="19">
        <f t="shared" si="14"/>
        <v>0</v>
      </c>
    </row>
    <row r="161" spans="1:13" x14ac:dyDescent="0.25">
      <c r="A161" s="43"/>
      <c r="G161" s="5"/>
      <c r="H161" s="17">
        <v>156</v>
      </c>
      <c r="I161" s="18" t="str">
        <f t="shared" si="12"/>
        <v/>
      </c>
      <c r="J161" s="17">
        <f t="shared" si="15"/>
        <v>-4</v>
      </c>
      <c r="K161" s="17">
        <f t="shared" si="13"/>
        <v>-40</v>
      </c>
      <c r="L161" s="17"/>
      <c r="M161" s="19">
        <f t="shared" si="14"/>
        <v>0</v>
      </c>
    </row>
    <row r="162" spans="1:13" x14ac:dyDescent="0.25">
      <c r="A162" s="43"/>
      <c r="G162" s="5"/>
      <c r="H162" s="17">
        <v>157</v>
      </c>
      <c r="I162" s="18" t="str">
        <f t="shared" si="12"/>
        <v/>
      </c>
      <c r="J162" s="17">
        <f t="shared" si="15"/>
        <v>-4</v>
      </c>
      <c r="K162" s="17">
        <f t="shared" si="13"/>
        <v>-40</v>
      </c>
      <c r="L162" s="17"/>
      <c r="M162" s="19">
        <f t="shared" si="14"/>
        <v>0</v>
      </c>
    </row>
    <row r="163" spans="1:13" x14ac:dyDescent="0.25">
      <c r="A163" s="43"/>
      <c r="G163" s="5"/>
      <c r="H163" s="17">
        <v>158</v>
      </c>
      <c r="I163" s="18" t="str">
        <f t="shared" si="12"/>
        <v/>
      </c>
      <c r="J163" s="17">
        <f t="shared" si="15"/>
        <v>-4</v>
      </c>
      <c r="K163" s="17">
        <f t="shared" si="13"/>
        <v>-40</v>
      </c>
      <c r="L163" s="17"/>
      <c r="M163" s="19">
        <f t="shared" si="14"/>
        <v>0</v>
      </c>
    </row>
    <row r="164" spans="1:13" x14ac:dyDescent="0.25">
      <c r="A164" s="43"/>
      <c r="G164" s="5"/>
      <c r="H164" s="17">
        <v>159</v>
      </c>
      <c r="I164" s="18" t="str">
        <f t="shared" si="12"/>
        <v/>
      </c>
      <c r="J164" s="17">
        <f t="shared" si="15"/>
        <v>-4</v>
      </c>
      <c r="K164" s="17">
        <f t="shared" si="13"/>
        <v>-40</v>
      </c>
      <c r="L164" s="17"/>
      <c r="M164" s="19">
        <f t="shared" si="14"/>
        <v>0</v>
      </c>
    </row>
    <row r="165" spans="1:13" x14ac:dyDescent="0.25">
      <c r="A165" s="43"/>
      <c r="G165" s="5"/>
      <c r="H165" s="17">
        <v>160</v>
      </c>
      <c r="I165" s="18" t="str">
        <f t="shared" si="12"/>
        <v/>
      </c>
      <c r="J165" s="17">
        <f t="shared" si="15"/>
        <v>-4</v>
      </c>
      <c r="K165" s="17">
        <f t="shared" si="13"/>
        <v>-40</v>
      </c>
      <c r="L165" s="17"/>
      <c r="M165" s="19">
        <f t="shared" si="14"/>
        <v>0</v>
      </c>
    </row>
    <row r="166" spans="1:13" x14ac:dyDescent="0.25">
      <c r="A166" s="43"/>
      <c r="G166" s="5"/>
      <c r="H166" s="17">
        <v>161</v>
      </c>
      <c r="I166" s="18" t="str">
        <f t="shared" si="12"/>
        <v/>
      </c>
      <c r="J166" s="17">
        <f t="shared" si="15"/>
        <v>-4</v>
      </c>
      <c r="K166" s="17">
        <f t="shared" si="13"/>
        <v>-40</v>
      </c>
      <c r="L166" s="17"/>
      <c r="M166" s="19">
        <f t="shared" si="14"/>
        <v>0</v>
      </c>
    </row>
    <row r="167" spans="1:13" x14ac:dyDescent="0.25">
      <c r="A167" s="43"/>
      <c r="G167" s="5"/>
      <c r="H167" s="17">
        <v>162</v>
      </c>
      <c r="I167" s="18" t="str">
        <f t="shared" si="12"/>
        <v/>
      </c>
      <c r="J167" s="17">
        <f t="shared" si="15"/>
        <v>-4</v>
      </c>
      <c r="K167" s="17">
        <f t="shared" si="13"/>
        <v>-40</v>
      </c>
      <c r="L167" s="17"/>
      <c r="M167" s="19">
        <f t="shared" si="14"/>
        <v>0</v>
      </c>
    </row>
    <row r="168" spans="1:13" x14ac:dyDescent="0.25">
      <c r="A168" s="43"/>
      <c r="G168" s="5"/>
      <c r="H168" s="17">
        <v>163</v>
      </c>
      <c r="I168" s="18" t="str">
        <f t="shared" si="12"/>
        <v/>
      </c>
      <c r="J168" s="17">
        <f t="shared" si="15"/>
        <v>-4</v>
      </c>
      <c r="K168" s="17">
        <f t="shared" si="13"/>
        <v>-40</v>
      </c>
      <c r="L168" s="17"/>
      <c r="M168" s="19">
        <f t="shared" si="14"/>
        <v>0</v>
      </c>
    </row>
    <row r="169" spans="1:13" x14ac:dyDescent="0.25">
      <c r="A169" s="43"/>
      <c r="G169" s="5"/>
      <c r="H169" s="17">
        <v>164</v>
      </c>
      <c r="I169" s="18" t="str">
        <f t="shared" si="12"/>
        <v/>
      </c>
      <c r="J169" s="17">
        <f t="shared" si="15"/>
        <v>-4</v>
      </c>
      <c r="K169" s="17">
        <f t="shared" si="13"/>
        <v>-40</v>
      </c>
      <c r="L169" s="17"/>
      <c r="M169" s="19">
        <f t="shared" si="14"/>
        <v>0</v>
      </c>
    </row>
    <row r="170" spans="1:13" x14ac:dyDescent="0.25">
      <c r="A170" s="43"/>
      <c r="G170" s="5"/>
      <c r="H170" s="17">
        <v>165</v>
      </c>
      <c r="I170" s="18" t="str">
        <f t="shared" si="12"/>
        <v/>
      </c>
      <c r="J170" s="17">
        <f t="shared" si="15"/>
        <v>-4</v>
      </c>
      <c r="K170" s="17">
        <f t="shared" si="13"/>
        <v>-40</v>
      </c>
      <c r="L170" s="17"/>
      <c r="M170" s="19">
        <f t="shared" si="14"/>
        <v>0</v>
      </c>
    </row>
    <row r="171" spans="1:13" x14ac:dyDescent="0.25">
      <c r="A171" s="43"/>
      <c r="G171" s="5"/>
      <c r="H171" s="17">
        <v>166</v>
      </c>
      <c r="I171" s="18" t="str">
        <f t="shared" si="12"/>
        <v/>
      </c>
      <c r="J171" s="17">
        <f t="shared" si="15"/>
        <v>-4</v>
      </c>
      <c r="K171" s="17">
        <f t="shared" si="13"/>
        <v>-40</v>
      </c>
      <c r="L171" s="17"/>
      <c r="M171" s="19">
        <f t="shared" si="14"/>
        <v>0</v>
      </c>
    </row>
    <row r="172" spans="1:13" x14ac:dyDescent="0.25">
      <c r="A172" s="43"/>
      <c r="G172" s="5"/>
      <c r="H172" s="17">
        <v>167</v>
      </c>
      <c r="I172" s="18" t="str">
        <f t="shared" si="12"/>
        <v/>
      </c>
      <c r="J172" s="17">
        <f t="shared" si="15"/>
        <v>-4</v>
      </c>
      <c r="K172" s="17">
        <f t="shared" si="13"/>
        <v>-40</v>
      </c>
      <c r="L172" s="17"/>
      <c r="M172" s="19">
        <f t="shared" si="14"/>
        <v>0</v>
      </c>
    </row>
    <row r="173" spans="1:13" x14ac:dyDescent="0.25">
      <c r="A173" s="43"/>
      <c r="G173" s="5"/>
      <c r="H173" s="17">
        <v>168</v>
      </c>
      <c r="I173" s="18" t="str">
        <f t="shared" si="12"/>
        <v/>
      </c>
      <c r="J173" s="17">
        <f t="shared" si="15"/>
        <v>-4</v>
      </c>
      <c r="K173" s="17">
        <f t="shared" si="13"/>
        <v>-40</v>
      </c>
      <c r="L173" s="17"/>
      <c r="M173" s="19">
        <f t="shared" si="14"/>
        <v>0</v>
      </c>
    </row>
    <row r="174" spans="1:13" x14ac:dyDescent="0.25">
      <c r="A174" s="43"/>
      <c r="G174" s="5"/>
      <c r="H174" s="17">
        <v>169</v>
      </c>
      <c r="I174" s="18" t="str">
        <f t="shared" si="12"/>
        <v/>
      </c>
      <c r="J174" s="17">
        <f t="shared" si="15"/>
        <v>-4</v>
      </c>
      <c r="K174" s="17">
        <f t="shared" si="13"/>
        <v>-40</v>
      </c>
      <c r="L174" s="17"/>
      <c r="M174" s="19">
        <f t="shared" si="14"/>
        <v>0</v>
      </c>
    </row>
    <row r="175" spans="1:13" x14ac:dyDescent="0.25">
      <c r="A175" s="43"/>
      <c r="G175" s="5"/>
      <c r="H175" s="17">
        <v>170</v>
      </c>
      <c r="I175" s="18" t="str">
        <f t="shared" si="12"/>
        <v/>
      </c>
      <c r="J175" s="17">
        <f t="shared" si="15"/>
        <v>-4</v>
      </c>
      <c r="K175" s="17">
        <f t="shared" si="13"/>
        <v>-40</v>
      </c>
      <c r="L175" s="17"/>
      <c r="M175" s="19">
        <f t="shared" si="14"/>
        <v>0</v>
      </c>
    </row>
    <row r="176" spans="1:13" x14ac:dyDescent="0.25">
      <c r="A176" s="43"/>
      <c r="G176" s="5"/>
      <c r="H176" s="17">
        <v>171</v>
      </c>
      <c r="I176" s="18" t="str">
        <f t="shared" si="12"/>
        <v/>
      </c>
      <c r="J176" s="17">
        <f t="shared" si="15"/>
        <v>-4</v>
      </c>
      <c r="K176" s="17">
        <f t="shared" si="13"/>
        <v>-40</v>
      </c>
      <c r="L176" s="17"/>
      <c r="M176" s="19">
        <f t="shared" si="14"/>
        <v>0</v>
      </c>
    </row>
    <row r="177" spans="1:13" x14ac:dyDescent="0.25">
      <c r="A177" s="43"/>
      <c r="G177" s="5"/>
      <c r="H177" s="17">
        <v>172</v>
      </c>
      <c r="I177" s="18" t="str">
        <f t="shared" si="12"/>
        <v/>
      </c>
      <c r="J177" s="17">
        <f t="shared" si="15"/>
        <v>-4</v>
      </c>
      <c r="K177" s="17">
        <f t="shared" si="13"/>
        <v>-40</v>
      </c>
      <c r="L177" s="17"/>
      <c r="M177" s="19">
        <f t="shared" si="14"/>
        <v>0</v>
      </c>
    </row>
    <row r="178" spans="1:13" x14ac:dyDescent="0.25">
      <c r="A178" s="43"/>
      <c r="G178" s="5"/>
      <c r="H178" s="17">
        <v>173</v>
      </c>
      <c r="I178" s="18" t="str">
        <f t="shared" si="12"/>
        <v/>
      </c>
      <c r="J178" s="17">
        <f t="shared" si="15"/>
        <v>-4</v>
      </c>
      <c r="K178" s="17">
        <f t="shared" si="13"/>
        <v>-40</v>
      </c>
      <c r="L178" s="17"/>
      <c r="M178" s="19">
        <f t="shared" si="14"/>
        <v>0</v>
      </c>
    </row>
    <row r="179" spans="1:13" x14ac:dyDescent="0.25">
      <c r="A179" s="43"/>
      <c r="G179" s="5"/>
      <c r="H179" s="17">
        <v>174</v>
      </c>
      <c r="I179" s="18" t="str">
        <f t="shared" si="12"/>
        <v/>
      </c>
      <c r="J179" s="17">
        <f t="shared" si="15"/>
        <v>-4</v>
      </c>
      <c r="K179" s="17">
        <f t="shared" si="13"/>
        <v>-40</v>
      </c>
      <c r="L179" s="17"/>
      <c r="M179" s="19">
        <f t="shared" si="14"/>
        <v>0</v>
      </c>
    </row>
    <row r="180" spans="1:13" x14ac:dyDescent="0.25">
      <c r="A180" s="43"/>
      <c r="G180" s="5"/>
      <c r="H180" s="17">
        <v>175</v>
      </c>
      <c r="I180" s="18" t="str">
        <f t="shared" si="12"/>
        <v/>
      </c>
      <c r="J180" s="17">
        <f t="shared" si="15"/>
        <v>-4</v>
      </c>
      <c r="K180" s="17">
        <f t="shared" si="13"/>
        <v>-40</v>
      </c>
      <c r="L180" s="17"/>
      <c r="M180" s="19">
        <f t="shared" si="14"/>
        <v>0</v>
      </c>
    </row>
    <row r="181" spans="1:13" x14ac:dyDescent="0.25">
      <c r="A181" s="43"/>
      <c r="G181" s="5"/>
      <c r="H181" s="17">
        <v>176</v>
      </c>
      <c r="I181" s="18" t="str">
        <f t="shared" si="12"/>
        <v/>
      </c>
      <c r="J181" s="17">
        <f t="shared" si="15"/>
        <v>-4</v>
      </c>
      <c r="K181" s="17">
        <f t="shared" si="13"/>
        <v>-40</v>
      </c>
      <c r="L181" s="17"/>
      <c r="M181" s="19">
        <f t="shared" si="14"/>
        <v>0</v>
      </c>
    </row>
    <row r="182" spans="1:13" x14ac:dyDescent="0.25">
      <c r="A182" s="43"/>
      <c r="G182" s="5"/>
      <c r="H182" s="17">
        <v>177</v>
      </c>
      <c r="I182" s="18" t="str">
        <f t="shared" si="12"/>
        <v/>
      </c>
      <c r="J182" s="17">
        <f t="shared" si="15"/>
        <v>-4</v>
      </c>
      <c r="K182" s="17">
        <f t="shared" si="13"/>
        <v>-40</v>
      </c>
      <c r="L182" s="17"/>
      <c r="M182" s="19">
        <f t="shared" si="14"/>
        <v>0</v>
      </c>
    </row>
    <row r="183" spans="1:13" x14ac:dyDescent="0.25">
      <c r="A183" s="43"/>
      <c r="G183" s="5"/>
      <c r="H183" s="17">
        <v>178</v>
      </c>
      <c r="I183" s="18" t="str">
        <f t="shared" si="12"/>
        <v/>
      </c>
      <c r="J183" s="17">
        <f t="shared" si="15"/>
        <v>-4</v>
      </c>
      <c r="K183" s="17">
        <f t="shared" si="13"/>
        <v>-40</v>
      </c>
      <c r="L183" s="17"/>
      <c r="M183" s="19">
        <f t="shared" si="14"/>
        <v>0</v>
      </c>
    </row>
    <row r="184" spans="1:13" x14ac:dyDescent="0.25">
      <c r="A184" s="43"/>
      <c r="G184" s="5"/>
      <c r="H184" s="17">
        <v>179</v>
      </c>
      <c r="I184" s="18" t="str">
        <f t="shared" si="12"/>
        <v/>
      </c>
      <c r="J184" s="17">
        <f t="shared" si="15"/>
        <v>-4</v>
      </c>
      <c r="K184" s="17">
        <f t="shared" si="13"/>
        <v>-40</v>
      </c>
      <c r="L184" s="17"/>
      <c r="M184" s="19">
        <f t="shared" si="14"/>
        <v>0</v>
      </c>
    </row>
    <row r="185" spans="1:13" x14ac:dyDescent="0.25">
      <c r="A185" s="43"/>
      <c r="G185" s="5"/>
      <c r="H185" s="17">
        <v>180</v>
      </c>
      <c r="I185" s="18" t="str">
        <f t="shared" si="12"/>
        <v/>
      </c>
      <c r="J185" s="17">
        <f t="shared" si="15"/>
        <v>-4</v>
      </c>
      <c r="K185" s="17">
        <f t="shared" si="13"/>
        <v>-40</v>
      </c>
      <c r="L185" s="17"/>
      <c r="M185" s="19">
        <f t="shared" si="14"/>
        <v>0</v>
      </c>
    </row>
    <row r="186" spans="1:13" x14ac:dyDescent="0.25">
      <c r="A186" s="43"/>
      <c r="G186" s="5"/>
      <c r="H186" s="17">
        <v>181</v>
      </c>
      <c r="I186" s="18" t="str">
        <f t="shared" si="12"/>
        <v/>
      </c>
      <c r="J186" s="17">
        <f t="shared" si="15"/>
        <v>-4</v>
      </c>
      <c r="K186" s="17">
        <f t="shared" si="13"/>
        <v>-40</v>
      </c>
      <c r="L186" s="17"/>
      <c r="M186" s="19">
        <f t="shared" si="14"/>
        <v>0</v>
      </c>
    </row>
    <row r="187" spans="1:13" x14ac:dyDescent="0.25">
      <c r="A187" s="43"/>
      <c r="G187" s="5"/>
      <c r="H187" s="17">
        <v>182</v>
      </c>
      <c r="I187" s="18" t="str">
        <f t="shared" si="12"/>
        <v/>
      </c>
      <c r="J187" s="17">
        <f t="shared" si="15"/>
        <v>-4</v>
      </c>
      <c r="K187" s="17">
        <f t="shared" si="13"/>
        <v>-40</v>
      </c>
      <c r="L187" s="17"/>
      <c r="M187" s="19">
        <f t="shared" si="14"/>
        <v>0</v>
      </c>
    </row>
    <row r="188" spans="1:13" x14ac:dyDescent="0.25">
      <c r="A188" s="43"/>
      <c r="G188" s="5"/>
      <c r="H188" s="17">
        <v>183</v>
      </c>
      <c r="I188" s="18" t="str">
        <f t="shared" si="12"/>
        <v/>
      </c>
      <c r="J188" s="17">
        <f t="shared" si="15"/>
        <v>-4</v>
      </c>
      <c r="K188" s="17">
        <f t="shared" si="13"/>
        <v>-40</v>
      </c>
      <c r="L188" s="17"/>
      <c r="M188" s="19">
        <f t="shared" si="14"/>
        <v>0</v>
      </c>
    </row>
    <row r="189" spans="1:13" x14ac:dyDescent="0.25">
      <c r="A189" s="43"/>
      <c r="G189" s="5"/>
      <c r="H189" s="17">
        <v>184</v>
      </c>
      <c r="I189" s="18" t="str">
        <f t="shared" si="12"/>
        <v/>
      </c>
      <c r="J189" s="17">
        <f t="shared" si="15"/>
        <v>-4</v>
      </c>
      <c r="K189" s="17">
        <f t="shared" si="13"/>
        <v>-40</v>
      </c>
      <c r="L189" s="17"/>
      <c r="M189" s="19">
        <f t="shared" si="14"/>
        <v>0</v>
      </c>
    </row>
    <row r="190" spans="1:13" x14ac:dyDescent="0.25">
      <c r="A190" s="43"/>
      <c r="G190" s="5"/>
      <c r="H190" s="17">
        <v>185</v>
      </c>
      <c r="I190" s="18" t="str">
        <f t="shared" si="12"/>
        <v/>
      </c>
      <c r="J190" s="17">
        <f t="shared" si="15"/>
        <v>-4</v>
      </c>
      <c r="K190" s="17">
        <f t="shared" si="13"/>
        <v>-40</v>
      </c>
      <c r="L190" s="17"/>
      <c r="M190" s="19">
        <f t="shared" si="14"/>
        <v>0</v>
      </c>
    </row>
    <row r="191" spans="1:13" x14ac:dyDescent="0.25">
      <c r="A191" s="43"/>
      <c r="G191" s="5"/>
      <c r="H191" s="17">
        <v>186</v>
      </c>
      <c r="I191" s="18" t="str">
        <f t="shared" si="12"/>
        <v/>
      </c>
      <c r="J191" s="17">
        <f t="shared" si="15"/>
        <v>-4</v>
      </c>
      <c r="K191" s="17">
        <f t="shared" si="13"/>
        <v>-40</v>
      </c>
      <c r="L191" s="17"/>
      <c r="M191" s="19">
        <f t="shared" si="14"/>
        <v>0</v>
      </c>
    </row>
    <row r="192" spans="1:13" x14ac:dyDescent="0.25">
      <c r="A192" s="43"/>
      <c r="G192" s="5"/>
      <c r="H192" s="17">
        <v>187</v>
      </c>
      <c r="I192" s="18" t="str">
        <f t="shared" si="12"/>
        <v/>
      </c>
      <c r="J192" s="17">
        <f t="shared" si="15"/>
        <v>-4</v>
      </c>
      <c r="K192" s="17">
        <f t="shared" si="13"/>
        <v>-40</v>
      </c>
      <c r="L192" s="17"/>
      <c r="M192" s="19">
        <f t="shared" si="14"/>
        <v>0</v>
      </c>
    </row>
    <row r="193" spans="1:13" x14ac:dyDescent="0.25">
      <c r="A193" s="43"/>
      <c r="G193" s="5"/>
      <c r="H193" s="17">
        <v>188</v>
      </c>
      <c r="I193" s="18" t="str">
        <f t="shared" si="12"/>
        <v/>
      </c>
      <c r="J193" s="17">
        <f t="shared" si="15"/>
        <v>-4</v>
      </c>
      <c r="K193" s="17">
        <f t="shared" si="13"/>
        <v>-40</v>
      </c>
      <c r="L193" s="17"/>
      <c r="M193" s="19">
        <f t="shared" si="14"/>
        <v>0</v>
      </c>
    </row>
    <row r="194" spans="1:13" x14ac:dyDescent="0.25">
      <c r="A194" s="43"/>
      <c r="G194" s="5"/>
      <c r="H194" s="17">
        <v>189</v>
      </c>
      <c r="I194" s="18" t="str">
        <f t="shared" si="12"/>
        <v/>
      </c>
      <c r="J194" s="17">
        <f t="shared" si="15"/>
        <v>-4</v>
      </c>
      <c r="K194" s="17">
        <f t="shared" si="13"/>
        <v>-40</v>
      </c>
      <c r="L194" s="17"/>
      <c r="M194" s="19">
        <f t="shared" si="14"/>
        <v>0</v>
      </c>
    </row>
    <row r="195" spans="1:13" x14ac:dyDescent="0.25">
      <c r="A195" s="43"/>
      <c r="G195" s="5"/>
      <c r="H195" s="17">
        <v>190</v>
      </c>
      <c r="I195" s="18" t="str">
        <f t="shared" si="12"/>
        <v/>
      </c>
      <c r="J195" s="17">
        <f t="shared" si="15"/>
        <v>-4</v>
      </c>
      <c r="K195" s="17">
        <f t="shared" si="13"/>
        <v>-40</v>
      </c>
      <c r="L195" s="17"/>
      <c r="M195" s="19">
        <f t="shared" si="14"/>
        <v>0</v>
      </c>
    </row>
    <row r="196" spans="1:13" x14ac:dyDescent="0.25">
      <c r="A196" s="43"/>
      <c r="G196" s="5"/>
      <c r="H196" s="17">
        <v>191</v>
      </c>
      <c r="I196" s="18" t="str">
        <f t="shared" si="12"/>
        <v/>
      </c>
      <c r="J196" s="17">
        <f t="shared" si="15"/>
        <v>-4</v>
      </c>
      <c r="K196" s="17">
        <f t="shared" si="13"/>
        <v>-40</v>
      </c>
      <c r="L196" s="17"/>
      <c r="M196" s="19">
        <f t="shared" si="14"/>
        <v>0</v>
      </c>
    </row>
    <row r="197" spans="1:13" x14ac:dyDescent="0.25">
      <c r="A197" s="43"/>
      <c r="G197" s="5"/>
      <c r="H197" s="17">
        <v>192</v>
      </c>
      <c r="I197" s="18" t="str">
        <f t="shared" si="12"/>
        <v/>
      </c>
      <c r="J197" s="17">
        <f t="shared" si="15"/>
        <v>-4</v>
      </c>
      <c r="K197" s="17">
        <f t="shared" si="13"/>
        <v>-40</v>
      </c>
      <c r="L197" s="17"/>
      <c r="M197" s="19">
        <f t="shared" si="14"/>
        <v>0</v>
      </c>
    </row>
    <row r="198" spans="1:13" x14ac:dyDescent="0.25">
      <c r="A198" s="43"/>
      <c r="G198" s="5"/>
      <c r="H198" s="17">
        <v>193</v>
      </c>
      <c r="I198" s="18" t="str">
        <f t="shared" ref="I198:I261" si="16">IF(H198&lt;$H$2+1,($I$2-($I$2-1)*(LOG(H198)/LOG($H$2))),"")</f>
        <v/>
      </c>
      <c r="J198" s="17">
        <f t="shared" si="15"/>
        <v>-4</v>
      </c>
      <c r="K198" s="17">
        <f t="shared" ref="K198:K261" si="17">J198*$J$2</f>
        <v>-40</v>
      </c>
      <c r="L198" s="17"/>
      <c r="M198" s="19">
        <f t="shared" ref="M198:M261" si="18">IF(I198&lt;&gt;"",K198+I198+L198,0)</f>
        <v>0</v>
      </c>
    </row>
    <row r="199" spans="1:13" x14ac:dyDescent="0.25">
      <c r="A199" s="43"/>
      <c r="G199" s="5"/>
      <c r="H199" s="17">
        <v>194</v>
      </c>
      <c r="I199" s="18" t="str">
        <f t="shared" si="16"/>
        <v/>
      </c>
      <c r="J199" s="17">
        <f t="shared" ref="J199:J262" si="19">INT(LOG($H$2,2))-ROUNDUP(LOG(H199,2),0)+IF(OR($H$2=1,$H$2=2,$H$2=4,$H$2=8,$H$2=16,$H$2=32,$H$2=64,$H$2=128,$H$2=256),0,1)</f>
        <v>-4</v>
      </c>
      <c r="K199" s="17">
        <f t="shared" si="17"/>
        <v>-40</v>
      </c>
      <c r="L199" s="17"/>
      <c r="M199" s="19">
        <f t="shared" si="18"/>
        <v>0</v>
      </c>
    </row>
    <row r="200" spans="1:13" x14ac:dyDescent="0.25">
      <c r="A200" s="43"/>
      <c r="G200" s="5"/>
      <c r="H200" s="17">
        <v>195</v>
      </c>
      <c r="I200" s="18" t="str">
        <f t="shared" si="16"/>
        <v/>
      </c>
      <c r="J200" s="17">
        <f t="shared" si="19"/>
        <v>-4</v>
      </c>
      <c r="K200" s="17">
        <f t="shared" si="17"/>
        <v>-40</v>
      </c>
      <c r="L200" s="17"/>
      <c r="M200" s="19">
        <f t="shared" si="18"/>
        <v>0</v>
      </c>
    </row>
    <row r="201" spans="1:13" x14ac:dyDescent="0.25">
      <c r="A201" s="43"/>
      <c r="G201" s="5"/>
      <c r="H201" s="17">
        <v>196</v>
      </c>
      <c r="I201" s="18" t="str">
        <f t="shared" si="16"/>
        <v/>
      </c>
      <c r="J201" s="17">
        <f t="shared" si="19"/>
        <v>-4</v>
      </c>
      <c r="K201" s="17">
        <f t="shared" si="17"/>
        <v>-40</v>
      </c>
      <c r="L201" s="17"/>
      <c r="M201" s="19">
        <f t="shared" si="18"/>
        <v>0</v>
      </c>
    </row>
    <row r="202" spans="1:13" x14ac:dyDescent="0.25">
      <c r="A202" s="43"/>
      <c r="G202" s="5"/>
      <c r="H202" s="17">
        <v>197</v>
      </c>
      <c r="I202" s="18" t="str">
        <f t="shared" si="16"/>
        <v/>
      </c>
      <c r="J202" s="17">
        <f t="shared" si="19"/>
        <v>-4</v>
      </c>
      <c r="K202" s="17">
        <f t="shared" si="17"/>
        <v>-40</v>
      </c>
      <c r="L202" s="17"/>
      <c r="M202" s="19">
        <f t="shared" si="18"/>
        <v>0</v>
      </c>
    </row>
    <row r="203" spans="1:13" x14ac:dyDescent="0.25">
      <c r="A203" s="43"/>
      <c r="G203" s="5"/>
      <c r="H203" s="17">
        <v>198</v>
      </c>
      <c r="I203" s="18" t="str">
        <f t="shared" si="16"/>
        <v/>
      </c>
      <c r="J203" s="17">
        <f t="shared" si="19"/>
        <v>-4</v>
      </c>
      <c r="K203" s="17">
        <f t="shared" si="17"/>
        <v>-40</v>
      </c>
      <c r="L203" s="17"/>
      <c r="M203" s="19">
        <f t="shared" si="18"/>
        <v>0</v>
      </c>
    </row>
    <row r="204" spans="1:13" x14ac:dyDescent="0.25">
      <c r="A204" s="43"/>
      <c r="G204" s="5"/>
      <c r="H204" s="17">
        <v>199</v>
      </c>
      <c r="I204" s="18" t="str">
        <f t="shared" si="16"/>
        <v/>
      </c>
      <c r="J204" s="17">
        <f t="shared" si="19"/>
        <v>-4</v>
      </c>
      <c r="K204" s="17">
        <f t="shared" si="17"/>
        <v>-40</v>
      </c>
      <c r="L204" s="17"/>
      <c r="M204" s="19">
        <f t="shared" si="18"/>
        <v>0</v>
      </c>
    </row>
    <row r="205" spans="1:13" x14ac:dyDescent="0.25">
      <c r="A205" s="43"/>
      <c r="G205" s="5"/>
      <c r="H205" s="17">
        <v>200</v>
      </c>
      <c r="I205" s="18" t="str">
        <f t="shared" si="16"/>
        <v/>
      </c>
      <c r="J205" s="17">
        <f t="shared" si="19"/>
        <v>-4</v>
      </c>
      <c r="K205" s="17">
        <f t="shared" si="17"/>
        <v>-40</v>
      </c>
      <c r="L205" s="17"/>
      <c r="M205" s="19">
        <f t="shared" si="18"/>
        <v>0</v>
      </c>
    </row>
    <row r="206" spans="1:13" x14ac:dyDescent="0.25">
      <c r="A206" s="43"/>
      <c r="G206" s="5"/>
      <c r="H206" s="17">
        <v>201</v>
      </c>
      <c r="I206" s="18" t="str">
        <f t="shared" si="16"/>
        <v/>
      </c>
      <c r="J206" s="17">
        <f t="shared" si="19"/>
        <v>-4</v>
      </c>
      <c r="K206" s="17">
        <f t="shared" si="17"/>
        <v>-40</v>
      </c>
      <c r="L206" s="17"/>
      <c r="M206" s="19">
        <f t="shared" si="18"/>
        <v>0</v>
      </c>
    </row>
    <row r="207" spans="1:13" x14ac:dyDescent="0.25">
      <c r="A207" s="43"/>
      <c r="G207" s="5"/>
      <c r="H207" s="17">
        <v>202</v>
      </c>
      <c r="I207" s="18" t="str">
        <f t="shared" si="16"/>
        <v/>
      </c>
      <c r="J207" s="17">
        <f t="shared" si="19"/>
        <v>-4</v>
      </c>
      <c r="K207" s="17">
        <f t="shared" si="17"/>
        <v>-40</v>
      </c>
      <c r="L207" s="17"/>
      <c r="M207" s="19">
        <f t="shared" si="18"/>
        <v>0</v>
      </c>
    </row>
    <row r="208" spans="1:13" x14ac:dyDescent="0.25">
      <c r="A208" s="43"/>
      <c r="G208" s="5"/>
      <c r="H208" s="17">
        <v>203</v>
      </c>
      <c r="I208" s="18" t="str">
        <f t="shared" si="16"/>
        <v/>
      </c>
      <c r="J208" s="17">
        <f t="shared" si="19"/>
        <v>-4</v>
      </c>
      <c r="K208" s="17">
        <f t="shared" si="17"/>
        <v>-40</v>
      </c>
      <c r="L208" s="17"/>
      <c r="M208" s="19">
        <f t="shared" si="18"/>
        <v>0</v>
      </c>
    </row>
    <row r="209" spans="1:13" x14ac:dyDescent="0.25">
      <c r="A209" s="43"/>
      <c r="G209" s="5"/>
      <c r="H209" s="17">
        <v>204</v>
      </c>
      <c r="I209" s="18" t="str">
        <f t="shared" si="16"/>
        <v/>
      </c>
      <c r="J209" s="17">
        <f t="shared" si="19"/>
        <v>-4</v>
      </c>
      <c r="K209" s="17">
        <f t="shared" si="17"/>
        <v>-40</v>
      </c>
      <c r="L209" s="17"/>
      <c r="M209" s="19">
        <f t="shared" si="18"/>
        <v>0</v>
      </c>
    </row>
    <row r="210" spans="1:13" x14ac:dyDescent="0.25">
      <c r="A210" s="43"/>
      <c r="G210" s="5"/>
      <c r="H210" s="17">
        <v>205</v>
      </c>
      <c r="I210" s="18" t="str">
        <f t="shared" si="16"/>
        <v/>
      </c>
      <c r="J210" s="17">
        <f t="shared" si="19"/>
        <v>-4</v>
      </c>
      <c r="K210" s="17">
        <f t="shared" si="17"/>
        <v>-40</v>
      </c>
      <c r="L210" s="17"/>
      <c r="M210" s="19">
        <f t="shared" si="18"/>
        <v>0</v>
      </c>
    </row>
    <row r="211" spans="1:13" x14ac:dyDescent="0.25">
      <c r="A211" s="43"/>
      <c r="G211" s="5"/>
      <c r="H211" s="17">
        <v>206</v>
      </c>
      <c r="I211" s="18" t="str">
        <f t="shared" si="16"/>
        <v/>
      </c>
      <c r="J211" s="17">
        <f t="shared" si="19"/>
        <v>-4</v>
      </c>
      <c r="K211" s="17">
        <f t="shared" si="17"/>
        <v>-40</v>
      </c>
      <c r="L211" s="17"/>
      <c r="M211" s="19">
        <f t="shared" si="18"/>
        <v>0</v>
      </c>
    </row>
    <row r="212" spans="1:13" x14ac:dyDescent="0.25">
      <c r="A212" s="43"/>
      <c r="G212" s="5"/>
      <c r="H212" s="17">
        <v>207</v>
      </c>
      <c r="I212" s="18" t="str">
        <f t="shared" si="16"/>
        <v/>
      </c>
      <c r="J212" s="17">
        <f t="shared" si="19"/>
        <v>-4</v>
      </c>
      <c r="K212" s="17">
        <f t="shared" si="17"/>
        <v>-40</v>
      </c>
      <c r="L212" s="17"/>
      <c r="M212" s="19">
        <f t="shared" si="18"/>
        <v>0</v>
      </c>
    </row>
    <row r="213" spans="1:13" x14ac:dyDescent="0.25">
      <c r="A213" s="43"/>
      <c r="G213" s="5"/>
      <c r="H213" s="17">
        <v>208</v>
      </c>
      <c r="I213" s="18" t="str">
        <f t="shared" si="16"/>
        <v/>
      </c>
      <c r="J213" s="17">
        <f t="shared" si="19"/>
        <v>-4</v>
      </c>
      <c r="K213" s="17">
        <f t="shared" si="17"/>
        <v>-40</v>
      </c>
      <c r="L213" s="17"/>
      <c r="M213" s="19">
        <f t="shared" si="18"/>
        <v>0</v>
      </c>
    </row>
    <row r="214" spans="1:13" x14ac:dyDescent="0.25">
      <c r="A214" s="43"/>
      <c r="G214" s="5"/>
      <c r="H214" s="17">
        <v>209</v>
      </c>
      <c r="I214" s="18" t="str">
        <f t="shared" si="16"/>
        <v/>
      </c>
      <c r="J214" s="17">
        <f t="shared" si="19"/>
        <v>-4</v>
      </c>
      <c r="K214" s="17">
        <f t="shared" si="17"/>
        <v>-40</v>
      </c>
      <c r="L214" s="17"/>
      <c r="M214" s="19">
        <f t="shared" si="18"/>
        <v>0</v>
      </c>
    </row>
    <row r="215" spans="1:13" x14ac:dyDescent="0.25">
      <c r="A215" s="43"/>
      <c r="G215" s="5"/>
      <c r="H215" s="17">
        <v>210</v>
      </c>
      <c r="I215" s="18" t="str">
        <f t="shared" si="16"/>
        <v/>
      </c>
      <c r="J215" s="17">
        <f t="shared" si="19"/>
        <v>-4</v>
      </c>
      <c r="K215" s="17">
        <f t="shared" si="17"/>
        <v>-40</v>
      </c>
      <c r="L215" s="17"/>
      <c r="M215" s="19">
        <f t="shared" si="18"/>
        <v>0</v>
      </c>
    </row>
    <row r="216" spans="1:13" x14ac:dyDescent="0.25">
      <c r="A216" s="43"/>
      <c r="G216" s="5"/>
      <c r="H216" s="17">
        <v>211</v>
      </c>
      <c r="I216" s="18" t="str">
        <f t="shared" si="16"/>
        <v/>
      </c>
      <c r="J216" s="17">
        <f t="shared" si="19"/>
        <v>-4</v>
      </c>
      <c r="K216" s="17">
        <f t="shared" si="17"/>
        <v>-40</v>
      </c>
      <c r="L216" s="17"/>
      <c r="M216" s="19">
        <f t="shared" si="18"/>
        <v>0</v>
      </c>
    </row>
    <row r="217" spans="1:13" x14ac:dyDescent="0.25">
      <c r="A217" s="43"/>
      <c r="G217" s="5"/>
      <c r="H217" s="17">
        <v>212</v>
      </c>
      <c r="I217" s="18" t="str">
        <f t="shared" si="16"/>
        <v/>
      </c>
      <c r="J217" s="17">
        <f t="shared" si="19"/>
        <v>-4</v>
      </c>
      <c r="K217" s="17">
        <f t="shared" si="17"/>
        <v>-40</v>
      </c>
      <c r="L217" s="17"/>
      <c r="M217" s="19">
        <f t="shared" si="18"/>
        <v>0</v>
      </c>
    </row>
    <row r="218" spans="1:13" x14ac:dyDescent="0.25">
      <c r="A218" s="43"/>
      <c r="G218" s="5"/>
      <c r="H218" s="17">
        <v>213</v>
      </c>
      <c r="I218" s="18" t="str">
        <f t="shared" si="16"/>
        <v/>
      </c>
      <c r="J218" s="17">
        <f t="shared" si="19"/>
        <v>-4</v>
      </c>
      <c r="K218" s="17">
        <f t="shared" si="17"/>
        <v>-40</v>
      </c>
      <c r="L218" s="17"/>
      <c r="M218" s="19">
        <f t="shared" si="18"/>
        <v>0</v>
      </c>
    </row>
    <row r="219" spans="1:13" x14ac:dyDescent="0.25">
      <c r="A219" s="43"/>
      <c r="G219" s="5"/>
      <c r="H219" s="17">
        <v>214</v>
      </c>
      <c r="I219" s="18" t="str">
        <f t="shared" si="16"/>
        <v/>
      </c>
      <c r="J219" s="17">
        <f t="shared" si="19"/>
        <v>-4</v>
      </c>
      <c r="K219" s="17">
        <f t="shared" si="17"/>
        <v>-40</v>
      </c>
      <c r="L219" s="17"/>
      <c r="M219" s="19">
        <f t="shared" si="18"/>
        <v>0</v>
      </c>
    </row>
    <row r="220" spans="1:13" x14ac:dyDescent="0.25">
      <c r="A220" s="43"/>
      <c r="G220" s="5"/>
      <c r="H220" s="17">
        <v>215</v>
      </c>
      <c r="I220" s="18" t="str">
        <f t="shared" si="16"/>
        <v/>
      </c>
      <c r="J220" s="17">
        <f t="shared" si="19"/>
        <v>-4</v>
      </c>
      <c r="K220" s="17">
        <f t="shared" si="17"/>
        <v>-40</v>
      </c>
      <c r="L220" s="17"/>
      <c r="M220" s="19">
        <f t="shared" si="18"/>
        <v>0</v>
      </c>
    </row>
    <row r="221" spans="1:13" x14ac:dyDescent="0.25">
      <c r="A221" s="43"/>
      <c r="G221" s="5"/>
      <c r="H221" s="17">
        <v>216</v>
      </c>
      <c r="I221" s="18" t="str">
        <f t="shared" si="16"/>
        <v/>
      </c>
      <c r="J221" s="17">
        <f t="shared" si="19"/>
        <v>-4</v>
      </c>
      <c r="K221" s="17">
        <f t="shared" si="17"/>
        <v>-40</v>
      </c>
      <c r="L221" s="17"/>
      <c r="M221" s="19">
        <f t="shared" si="18"/>
        <v>0</v>
      </c>
    </row>
    <row r="222" spans="1:13" x14ac:dyDescent="0.25">
      <c r="A222" s="43"/>
      <c r="G222" s="5"/>
      <c r="H222" s="17">
        <v>217</v>
      </c>
      <c r="I222" s="18" t="str">
        <f t="shared" si="16"/>
        <v/>
      </c>
      <c r="J222" s="17">
        <f t="shared" si="19"/>
        <v>-4</v>
      </c>
      <c r="K222" s="17">
        <f t="shared" si="17"/>
        <v>-40</v>
      </c>
      <c r="L222" s="17"/>
      <c r="M222" s="19">
        <f t="shared" si="18"/>
        <v>0</v>
      </c>
    </row>
    <row r="223" spans="1:13" x14ac:dyDescent="0.25">
      <c r="A223" s="43"/>
      <c r="G223" s="5"/>
      <c r="H223" s="17">
        <v>218</v>
      </c>
      <c r="I223" s="18" t="str">
        <f t="shared" si="16"/>
        <v/>
      </c>
      <c r="J223" s="17">
        <f t="shared" si="19"/>
        <v>-4</v>
      </c>
      <c r="K223" s="17">
        <f t="shared" si="17"/>
        <v>-40</v>
      </c>
      <c r="L223" s="17"/>
      <c r="M223" s="19">
        <f t="shared" si="18"/>
        <v>0</v>
      </c>
    </row>
    <row r="224" spans="1:13" x14ac:dyDescent="0.25">
      <c r="A224" s="43"/>
      <c r="G224" s="5"/>
      <c r="H224" s="17">
        <v>219</v>
      </c>
      <c r="I224" s="18" t="str">
        <f t="shared" si="16"/>
        <v/>
      </c>
      <c r="J224" s="17">
        <f t="shared" si="19"/>
        <v>-4</v>
      </c>
      <c r="K224" s="17">
        <f t="shared" si="17"/>
        <v>-40</v>
      </c>
      <c r="L224" s="17"/>
      <c r="M224" s="19">
        <f t="shared" si="18"/>
        <v>0</v>
      </c>
    </row>
    <row r="225" spans="1:13" x14ac:dyDescent="0.25">
      <c r="A225" s="43"/>
      <c r="G225" s="5"/>
      <c r="H225" s="17">
        <v>220</v>
      </c>
      <c r="I225" s="18" t="str">
        <f t="shared" si="16"/>
        <v/>
      </c>
      <c r="J225" s="17">
        <f t="shared" si="19"/>
        <v>-4</v>
      </c>
      <c r="K225" s="17">
        <f t="shared" si="17"/>
        <v>-40</v>
      </c>
      <c r="L225" s="17"/>
      <c r="M225" s="19">
        <f t="shared" si="18"/>
        <v>0</v>
      </c>
    </row>
    <row r="226" spans="1:13" x14ac:dyDescent="0.25">
      <c r="A226" s="43"/>
      <c r="G226" s="5"/>
      <c r="H226" s="17">
        <v>221</v>
      </c>
      <c r="I226" s="18" t="str">
        <f t="shared" si="16"/>
        <v/>
      </c>
      <c r="J226" s="17">
        <f t="shared" si="19"/>
        <v>-4</v>
      </c>
      <c r="K226" s="17">
        <f t="shared" si="17"/>
        <v>-40</v>
      </c>
      <c r="L226" s="17"/>
      <c r="M226" s="19">
        <f t="shared" si="18"/>
        <v>0</v>
      </c>
    </row>
    <row r="227" spans="1:13" x14ac:dyDescent="0.25">
      <c r="A227" s="43"/>
      <c r="G227" s="5"/>
      <c r="H227" s="17">
        <v>222</v>
      </c>
      <c r="I227" s="18" t="str">
        <f t="shared" si="16"/>
        <v/>
      </c>
      <c r="J227" s="17">
        <f t="shared" si="19"/>
        <v>-4</v>
      </c>
      <c r="K227" s="17">
        <f t="shared" si="17"/>
        <v>-40</v>
      </c>
      <c r="L227" s="17"/>
      <c r="M227" s="19">
        <f t="shared" si="18"/>
        <v>0</v>
      </c>
    </row>
    <row r="228" spans="1:13" x14ac:dyDescent="0.25">
      <c r="A228" s="43"/>
      <c r="G228" s="5"/>
      <c r="H228" s="17">
        <v>223</v>
      </c>
      <c r="I228" s="18" t="str">
        <f t="shared" si="16"/>
        <v/>
      </c>
      <c r="J228" s="17">
        <f t="shared" si="19"/>
        <v>-4</v>
      </c>
      <c r="K228" s="17">
        <f t="shared" si="17"/>
        <v>-40</v>
      </c>
      <c r="L228" s="17"/>
      <c r="M228" s="19">
        <f t="shared" si="18"/>
        <v>0</v>
      </c>
    </row>
    <row r="229" spans="1:13" x14ac:dyDescent="0.25">
      <c r="A229" s="43"/>
      <c r="G229" s="5"/>
      <c r="H229" s="17">
        <v>224</v>
      </c>
      <c r="I229" s="18" t="str">
        <f t="shared" si="16"/>
        <v/>
      </c>
      <c r="J229" s="17">
        <f t="shared" si="19"/>
        <v>-4</v>
      </c>
      <c r="K229" s="17">
        <f t="shared" si="17"/>
        <v>-40</v>
      </c>
      <c r="L229" s="17"/>
      <c r="M229" s="19">
        <f t="shared" si="18"/>
        <v>0</v>
      </c>
    </row>
    <row r="230" spans="1:13" x14ac:dyDescent="0.25">
      <c r="A230" s="43"/>
      <c r="G230" s="5"/>
      <c r="H230" s="17">
        <v>225</v>
      </c>
      <c r="I230" s="18" t="str">
        <f t="shared" si="16"/>
        <v/>
      </c>
      <c r="J230" s="17">
        <f t="shared" si="19"/>
        <v>-4</v>
      </c>
      <c r="K230" s="17">
        <f t="shared" si="17"/>
        <v>-40</v>
      </c>
      <c r="L230" s="17"/>
      <c r="M230" s="19">
        <f t="shared" si="18"/>
        <v>0</v>
      </c>
    </row>
    <row r="231" spans="1:13" x14ac:dyDescent="0.25">
      <c r="A231" s="43"/>
      <c r="G231" s="5"/>
      <c r="H231" s="17">
        <v>226</v>
      </c>
      <c r="I231" s="18" t="str">
        <f t="shared" si="16"/>
        <v/>
      </c>
      <c r="J231" s="17">
        <f t="shared" si="19"/>
        <v>-4</v>
      </c>
      <c r="K231" s="17">
        <f t="shared" si="17"/>
        <v>-40</v>
      </c>
      <c r="L231" s="17"/>
      <c r="M231" s="19">
        <f t="shared" si="18"/>
        <v>0</v>
      </c>
    </row>
    <row r="232" spans="1:13" x14ac:dyDescent="0.25">
      <c r="A232" s="43"/>
      <c r="G232" s="5"/>
      <c r="H232" s="17">
        <v>227</v>
      </c>
      <c r="I232" s="18" t="str">
        <f t="shared" si="16"/>
        <v/>
      </c>
      <c r="J232" s="17">
        <f t="shared" si="19"/>
        <v>-4</v>
      </c>
      <c r="K232" s="17">
        <f t="shared" si="17"/>
        <v>-40</v>
      </c>
      <c r="L232" s="17"/>
      <c r="M232" s="19">
        <f t="shared" si="18"/>
        <v>0</v>
      </c>
    </row>
    <row r="233" spans="1:13" x14ac:dyDescent="0.25">
      <c r="A233" s="43"/>
      <c r="G233" s="5"/>
      <c r="H233" s="17">
        <v>228</v>
      </c>
      <c r="I233" s="18" t="str">
        <f t="shared" si="16"/>
        <v/>
      </c>
      <c r="J233" s="17">
        <f t="shared" si="19"/>
        <v>-4</v>
      </c>
      <c r="K233" s="17">
        <f t="shared" si="17"/>
        <v>-40</v>
      </c>
      <c r="L233" s="17"/>
      <c r="M233" s="19">
        <f t="shared" si="18"/>
        <v>0</v>
      </c>
    </row>
    <row r="234" spans="1:13" x14ac:dyDescent="0.25">
      <c r="A234" s="43"/>
      <c r="G234" s="5"/>
      <c r="H234" s="17">
        <v>229</v>
      </c>
      <c r="I234" s="18" t="str">
        <f t="shared" si="16"/>
        <v/>
      </c>
      <c r="J234" s="17">
        <f t="shared" si="19"/>
        <v>-4</v>
      </c>
      <c r="K234" s="17">
        <f t="shared" si="17"/>
        <v>-40</v>
      </c>
      <c r="L234" s="17"/>
      <c r="M234" s="19">
        <f t="shared" si="18"/>
        <v>0</v>
      </c>
    </row>
    <row r="235" spans="1:13" x14ac:dyDescent="0.25">
      <c r="A235" s="43"/>
      <c r="G235" s="5"/>
      <c r="H235" s="17">
        <v>230</v>
      </c>
      <c r="I235" s="18" t="str">
        <f t="shared" si="16"/>
        <v/>
      </c>
      <c r="J235" s="17">
        <f t="shared" si="19"/>
        <v>-4</v>
      </c>
      <c r="K235" s="17">
        <f t="shared" si="17"/>
        <v>-40</v>
      </c>
      <c r="L235" s="17"/>
      <c r="M235" s="19">
        <f t="shared" si="18"/>
        <v>0</v>
      </c>
    </row>
    <row r="236" spans="1:13" x14ac:dyDescent="0.25">
      <c r="A236" s="43"/>
      <c r="G236" s="5"/>
      <c r="H236" s="17">
        <v>231</v>
      </c>
      <c r="I236" s="18" t="str">
        <f t="shared" si="16"/>
        <v/>
      </c>
      <c r="J236" s="17">
        <f t="shared" si="19"/>
        <v>-4</v>
      </c>
      <c r="K236" s="17">
        <f t="shared" si="17"/>
        <v>-40</v>
      </c>
      <c r="L236" s="17"/>
      <c r="M236" s="19">
        <f t="shared" si="18"/>
        <v>0</v>
      </c>
    </row>
    <row r="237" spans="1:13" x14ac:dyDescent="0.25">
      <c r="A237" s="43"/>
      <c r="G237" s="5"/>
      <c r="H237" s="17">
        <v>232</v>
      </c>
      <c r="I237" s="18" t="str">
        <f t="shared" si="16"/>
        <v/>
      </c>
      <c r="J237" s="17">
        <f t="shared" si="19"/>
        <v>-4</v>
      </c>
      <c r="K237" s="17">
        <f t="shared" si="17"/>
        <v>-40</v>
      </c>
      <c r="L237" s="17"/>
      <c r="M237" s="19">
        <f t="shared" si="18"/>
        <v>0</v>
      </c>
    </row>
    <row r="238" spans="1:13" x14ac:dyDescent="0.25">
      <c r="A238" s="43"/>
      <c r="G238" s="5"/>
      <c r="H238" s="17">
        <v>233</v>
      </c>
      <c r="I238" s="18" t="str">
        <f t="shared" si="16"/>
        <v/>
      </c>
      <c r="J238" s="17">
        <f t="shared" si="19"/>
        <v>-4</v>
      </c>
      <c r="K238" s="17">
        <f t="shared" si="17"/>
        <v>-40</v>
      </c>
      <c r="L238" s="17"/>
      <c r="M238" s="19">
        <f t="shared" si="18"/>
        <v>0</v>
      </c>
    </row>
    <row r="239" spans="1:13" x14ac:dyDescent="0.25">
      <c r="A239" s="43"/>
      <c r="G239" s="5"/>
      <c r="H239" s="17">
        <v>234</v>
      </c>
      <c r="I239" s="18" t="str">
        <f t="shared" si="16"/>
        <v/>
      </c>
      <c r="J239" s="17">
        <f t="shared" si="19"/>
        <v>-4</v>
      </c>
      <c r="K239" s="17">
        <f t="shared" si="17"/>
        <v>-40</v>
      </c>
      <c r="L239" s="17"/>
      <c r="M239" s="19">
        <f t="shared" si="18"/>
        <v>0</v>
      </c>
    </row>
    <row r="240" spans="1:13" x14ac:dyDescent="0.25">
      <c r="A240" s="43"/>
      <c r="G240" s="5"/>
      <c r="H240" s="17">
        <v>235</v>
      </c>
      <c r="I240" s="18" t="str">
        <f t="shared" si="16"/>
        <v/>
      </c>
      <c r="J240" s="17">
        <f t="shared" si="19"/>
        <v>-4</v>
      </c>
      <c r="K240" s="17">
        <f t="shared" si="17"/>
        <v>-40</v>
      </c>
      <c r="L240" s="17"/>
      <c r="M240" s="19">
        <f t="shared" si="18"/>
        <v>0</v>
      </c>
    </row>
    <row r="241" spans="1:13" x14ac:dyDescent="0.25">
      <c r="A241" s="43"/>
      <c r="G241" s="5"/>
      <c r="H241" s="17">
        <v>236</v>
      </c>
      <c r="I241" s="18" t="str">
        <f t="shared" si="16"/>
        <v/>
      </c>
      <c r="J241" s="17">
        <f t="shared" si="19"/>
        <v>-4</v>
      </c>
      <c r="K241" s="17">
        <f t="shared" si="17"/>
        <v>-40</v>
      </c>
      <c r="L241" s="17"/>
      <c r="M241" s="19">
        <f t="shared" si="18"/>
        <v>0</v>
      </c>
    </row>
    <row r="242" spans="1:13" x14ac:dyDescent="0.25">
      <c r="A242" s="43"/>
      <c r="G242" s="5"/>
      <c r="H242" s="17">
        <v>237</v>
      </c>
      <c r="I242" s="18" t="str">
        <f t="shared" si="16"/>
        <v/>
      </c>
      <c r="J242" s="17">
        <f t="shared" si="19"/>
        <v>-4</v>
      </c>
      <c r="K242" s="17">
        <f t="shared" si="17"/>
        <v>-40</v>
      </c>
      <c r="L242" s="17"/>
      <c r="M242" s="19">
        <f t="shared" si="18"/>
        <v>0</v>
      </c>
    </row>
    <row r="243" spans="1:13" x14ac:dyDescent="0.25">
      <c r="A243" s="43"/>
      <c r="G243" s="5"/>
      <c r="H243" s="17">
        <v>238</v>
      </c>
      <c r="I243" s="18" t="str">
        <f t="shared" si="16"/>
        <v/>
      </c>
      <c r="J243" s="17">
        <f t="shared" si="19"/>
        <v>-4</v>
      </c>
      <c r="K243" s="17">
        <f t="shared" si="17"/>
        <v>-40</v>
      </c>
      <c r="L243" s="17"/>
      <c r="M243" s="19">
        <f t="shared" si="18"/>
        <v>0</v>
      </c>
    </row>
    <row r="244" spans="1:13" x14ac:dyDescent="0.25">
      <c r="A244" s="43"/>
      <c r="G244" s="5"/>
      <c r="H244" s="17">
        <v>239</v>
      </c>
      <c r="I244" s="18" t="str">
        <f t="shared" si="16"/>
        <v/>
      </c>
      <c r="J244" s="17">
        <f t="shared" si="19"/>
        <v>-4</v>
      </c>
      <c r="K244" s="17">
        <f t="shared" si="17"/>
        <v>-40</v>
      </c>
      <c r="L244" s="17"/>
      <c r="M244" s="19">
        <f t="shared" si="18"/>
        <v>0</v>
      </c>
    </row>
    <row r="245" spans="1:13" x14ac:dyDescent="0.25">
      <c r="A245" s="43"/>
      <c r="G245" s="5"/>
      <c r="H245" s="17">
        <v>240</v>
      </c>
      <c r="I245" s="18" t="str">
        <f t="shared" si="16"/>
        <v/>
      </c>
      <c r="J245" s="17">
        <f t="shared" si="19"/>
        <v>-4</v>
      </c>
      <c r="K245" s="17">
        <f t="shared" si="17"/>
        <v>-40</v>
      </c>
      <c r="L245" s="17"/>
      <c r="M245" s="19">
        <f t="shared" si="18"/>
        <v>0</v>
      </c>
    </row>
    <row r="246" spans="1:13" x14ac:dyDescent="0.25">
      <c r="A246" s="43"/>
      <c r="G246" s="5"/>
      <c r="H246" s="17">
        <v>241</v>
      </c>
      <c r="I246" s="18" t="str">
        <f t="shared" si="16"/>
        <v/>
      </c>
      <c r="J246" s="17">
        <f t="shared" si="19"/>
        <v>-4</v>
      </c>
      <c r="K246" s="17">
        <f t="shared" si="17"/>
        <v>-40</v>
      </c>
      <c r="L246" s="17"/>
      <c r="M246" s="19">
        <f t="shared" si="18"/>
        <v>0</v>
      </c>
    </row>
    <row r="247" spans="1:13" x14ac:dyDescent="0.25">
      <c r="A247" s="43"/>
      <c r="G247" s="5"/>
      <c r="H247" s="17">
        <v>242</v>
      </c>
      <c r="I247" s="18" t="str">
        <f t="shared" si="16"/>
        <v/>
      </c>
      <c r="J247" s="17">
        <f t="shared" si="19"/>
        <v>-4</v>
      </c>
      <c r="K247" s="17">
        <f t="shared" si="17"/>
        <v>-40</v>
      </c>
      <c r="L247" s="17"/>
      <c r="M247" s="19">
        <f t="shared" si="18"/>
        <v>0</v>
      </c>
    </row>
    <row r="248" spans="1:13" x14ac:dyDescent="0.25">
      <c r="A248" s="43"/>
      <c r="G248" s="5"/>
      <c r="H248" s="17">
        <v>243</v>
      </c>
      <c r="I248" s="18" t="str">
        <f t="shared" si="16"/>
        <v/>
      </c>
      <c r="J248" s="17">
        <f t="shared" si="19"/>
        <v>-4</v>
      </c>
      <c r="K248" s="17">
        <f t="shared" si="17"/>
        <v>-40</v>
      </c>
      <c r="L248" s="17"/>
      <c r="M248" s="19">
        <f t="shared" si="18"/>
        <v>0</v>
      </c>
    </row>
    <row r="249" spans="1:13" x14ac:dyDescent="0.25">
      <c r="A249" s="43"/>
      <c r="G249" s="5"/>
      <c r="H249" s="17">
        <v>244</v>
      </c>
      <c r="I249" s="18" t="str">
        <f t="shared" si="16"/>
        <v/>
      </c>
      <c r="J249" s="17">
        <f t="shared" si="19"/>
        <v>-4</v>
      </c>
      <c r="K249" s="17">
        <f t="shared" si="17"/>
        <v>-40</v>
      </c>
      <c r="L249" s="17"/>
      <c r="M249" s="19">
        <f t="shared" si="18"/>
        <v>0</v>
      </c>
    </row>
    <row r="250" spans="1:13" x14ac:dyDescent="0.25">
      <c r="A250" s="43"/>
      <c r="G250" s="5"/>
      <c r="H250" s="17">
        <v>245</v>
      </c>
      <c r="I250" s="18" t="str">
        <f t="shared" si="16"/>
        <v/>
      </c>
      <c r="J250" s="17">
        <f t="shared" si="19"/>
        <v>-4</v>
      </c>
      <c r="K250" s="17">
        <f t="shared" si="17"/>
        <v>-40</v>
      </c>
      <c r="L250" s="17"/>
      <c r="M250" s="19">
        <f t="shared" si="18"/>
        <v>0</v>
      </c>
    </row>
    <row r="251" spans="1:13" x14ac:dyDescent="0.25">
      <c r="A251" s="43"/>
      <c r="G251" s="5"/>
      <c r="H251" s="17">
        <v>246</v>
      </c>
      <c r="I251" s="18" t="str">
        <f t="shared" si="16"/>
        <v/>
      </c>
      <c r="J251" s="17">
        <f t="shared" si="19"/>
        <v>-4</v>
      </c>
      <c r="K251" s="17">
        <f t="shared" si="17"/>
        <v>-40</v>
      </c>
      <c r="L251" s="17"/>
      <c r="M251" s="19">
        <f t="shared" si="18"/>
        <v>0</v>
      </c>
    </row>
    <row r="252" spans="1:13" x14ac:dyDescent="0.25">
      <c r="A252" s="43"/>
      <c r="G252" s="5"/>
      <c r="H252" s="17">
        <v>247</v>
      </c>
      <c r="I252" s="18" t="str">
        <f t="shared" si="16"/>
        <v/>
      </c>
      <c r="J252" s="17">
        <f t="shared" si="19"/>
        <v>-4</v>
      </c>
      <c r="K252" s="17">
        <f t="shared" si="17"/>
        <v>-40</v>
      </c>
      <c r="L252" s="17"/>
      <c r="M252" s="19">
        <f t="shared" si="18"/>
        <v>0</v>
      </c>
    </row>
    <row r="253" spans="1:13" x14ac:dyDescent="0.25">
      <c r="A253" s="43"/>
      <c r="G253" s="5"/>
      <c r="H253" s="17">
        <v>248</v>
      </c>
      <c r="I253" s="18" t="str">
        <f t="shared" si="16"/>
        <v/>
      </c>
      <c r="J253" s="17">
        <f t="shared" si="19"/>
        <v>-4</v>
      </c>
      <c r="K253" s="17">
        <f t="shared" si="17"/>
        <v>-40</v>
      </c>
      <c r="L253" s="17"/>
      <c r="M253" s="19">
        <f t="shared" si="18"/>
        <v>0</v>
      </c>
    </row>
    <row r="254" spans="1:13" x14ac:dyDescent="0.25">
      <c r="A254" s="43"/>
      <c r="G254" s="5"/>
      <c r="H254" s="17">
        <v>249</v>
      </c>
      <c r="I254" s="18" t="str">
        <f t="shared" si="16"/>
        <v/>
      </c>
      <c r="J254" s="17">
        <f t="shared" si="19"/>
        <v>-4</v>
      </c>
      <c r="K254" s="17">
        <f t="shared" si="17"/>
        <v>-40</v>
      </c>
      <c r="L254" s="17"/>
      <c r="M254" s="19">
        <f t="shared" si="18"/>
        <v>0</v>
      </c>
    </row>
    <row r="255" spans="1:13" x14ac:dyDescent="0.25">
      <c r="A255" s="43"/>
      <c r="G255" s="5"/>
      <c r="H255" s="17">
        <v>250</v>
      </c>
      <c r="I255" s="18" t="str">
        <f t="shared" si="16"/>
        <v/>
      </c>
      <c r="J255" s="17">
        <f t="shared" si="19"/>
        <v>-4</v>
      </c>
      <c r="K255" s="17">
        <f t="shared" si="17"/>
        <v>-40</v>
      </c>
      <c r="L255" s="17"/>
      <c r="M255" s="19">
        <f t="shared" si="18"/>
        <v>0</v>
      </c>
    </row>
    <row r="256" spans="1:13" x14ac:dyDescent="0.25">
      <c r="A256" s="43"/>
      <c r="G256" s="5"/>
      <c r="H256" s="17">
        <v>251</v>
      </c>
      <c r="I256" s="18" t="str">
        <f t="shared" si="16"/>
        <v/>
      </c>
      <c r="J256" s="17">
        <f t="shared" si="19"/>
        <v>-4</v>
      </c>
      <c r="K256" s="17">
        <f t="shared" si="17"/>
        <v>-40</v>
      </c>
      <c r="L256" s="17"/>
      <c r="M256" s="19">
        <f t="shared" si="18"/>
        <v>0</v>
      </c>
    </row>
    <row r="257" spans="1:13" x14ac:dyDescent="0.25">
      <c r="A257" s="43"/>
      <c r="G257" s="5"/>
      <c r="H257" s="17">
        <v>252</v>
      </c>
      <c r="I257" s="18" t="str">
        <f t="shared" si="16"/>
        <v/>
      </c>
      <c r="J257" s="17">
        <f t="shared" si="19"/>
        <v>-4</v>
      </c>
      <c r="K257" s="17">
        <f t="shared" si="17"/>
        <v>-40</v>
      </c>
      <c r="L257" s="17"/>
      <c r="M257" s="19">
        <f t="shared" si="18"/>
        <v>0</v>
      </c>
    </row>
    <row r="258" spans="1:13" x14ac:dyDescent="0.25">
      <c r="A258" s="43"/>
      <c r="G258" s="5"/>
      <c r="H258" s="17">
        <v>253</v>
      </c>
      <c r="I258" s="18" t="str">
        <f t="shared" si="16"/>
        <v/>
      </c>
      <c r="J258" s="17">
        <f t="shared" si="19"/>
        <v>-4</v>
      </c>
      <c r="K258" s="17">
        <f t="shared" si="17"/>
        <v>-40</v>
      </c>
      <c r="L258" s="17"/>
      <c r="M258" s="19">
        <f t="shared" si="18"/>
        <v>0</v>
      </c>
    </row>
    <row r="259" spans="1:13" x14ac:dyDescent="0.25">
      <c r="A259" s="43"/>
      <c r="G259" s="5"/>
      <c r="H259" s="17">
        <v>254</v>
      </c>
      <c r="I259" s="18" t="str">
        <f t="shared" si="16"/>
        <v/>
      </c>
      <c r="J259" s="17">
        <f t="shared" si="19"/>
        <v>-4</v>
      </c>
      <c r="K259" s="17">
        <f t="shared" si="17"/>
        <v>-40</v>
      </c>
      <c r="L259" s="17"/>
      <c r="M259" s="19">
        <f t="shared" si="18"/>
        <v>0</v>
      </c>
    </row>
    <row r="260" spans="1:13" x14ac:dyDescent="0.25">
      <c r="A260" s="43"/>
      <c r="G260" s="5"/>
      <c r="H260" s="17">
        <v>255</v>
      </c>
      <c r="I260" s="18" t="str">
        <f t="shared" si="16"/>
        <v/>
      </c>
      <c r="J260" s="17">
        <f t="shared" si="19"/>
        <v>-4</v>
      </c>
      <c r="K260" s="17">
        <f t="shared" si="17"/>
        <v>-40</v>
      </c>
      <c r="L260" s="17"/>
      <c r="M260" s="19">
        <f t="shared" si="18"/>
        <v>0</v>
      </c>
    </row>
    <row r="261" spans="1:13" x14ac:dyDescent="0.25">
      <c r="A261" s="43"/>
      <c r="G261" s="5"/>
      <c r="H261" s="17">
        <v>256</v>
      </c>
      <c r="I261" s="18" t="str">
        <f t="shared" si="16"/>
        <v/>
      </c>
      <c r="J261" s="17">
        <f t="shared" si="19"/>
        <v>-4</v>
      </c>
      <c r="K261" s="17">
        <f t="shared" si="17"/>
        <v>-40</v>
      </c>
      <c r="L261" s="17"/>
      <c r="M261" s="19">
        <f t="shared" si="18"/>
        <v>0</v>
      </c>
    </row>
    <row r="262" spans="1:13" x14ac:dyDescent="0.25">
      <c r="A262" s="43"/>
      <c r="G262" s="5"/>
      <c r="H262" s="17">
        <v>257</v>
      </c>
      <c r="I262" s="18" t="str">
        <f t="shared" ref="I262:I305" si="20">IF(H262&lt;$H$2+1,($I$2-($I$2-1)*(LOG(H262)/LOG($H$2))),"")</f>
        <v/>
      </c>
      <c r="J262" s="17">
        <f t="shared" si="19"/>
        <v>-5</v>
      </c>
      <c r="K262" s="17">
        <f t="shared" ref="K262:K305" si="21">J262*$J$2</f>
        <v>-50</v>
      </c>
      <c r="L262" s="17"/>
      <c r="M262" s="19">
        <f t="shared" ref="M262:M305" si="22">IF(I262&lt;&gt;"",K262+I262+L262,0)</f>
        <v>0</v>
      </c>
    </row>
    <row r="263" spans="1:13" x14ac:dyDescent="0.25">
      <c r="A263" s="43"/>
      <c r="G263" s="5"/>
      <c r="H263" s="17">
        <v>258</v>
      </c>
      <c r="I263" s="18" t="str">
        <f t="shared" si="20"/>
        <v/>
      </c>
      <c r="J263" s="17">
        <f t="shared" ref="J263:J326" si="23">INT(LOG($H$2,2))-ROUNDUP(LOG(H263,2),0)+IF(OR($H$2=1,$H$2=2,$H$2=4,$H$2=8,$H$2=16,$H$2=32,$H$2=64,$H$2=128,$H$2=256),0,1)</f>
        <v>-5</v>
      </c>
      <c r="K263" s="17">
        <f t="shared" si="21"/>
        <v>-50</v>
      </c>
      <c r="L263" s="17"/>
      <c r="M263" s="19">
        <f t="shared" si="22"/>
        <v>0</v>
      </c>
    </row>
    <row r="264" spans="1:13" x14ac:dyDescent="0.25">
      <c r="A264" s="43"/>
      <c r="G264" s="5"/>
      <c r="H264" s="17">
        <v>259</v>
      </c>
      <c r="I264" s="18" t="str">
        <f t="shared" si="20"/>
        <v/>
      </c>
      <c r="J264" s="17">
        <f t="shared" si="23"/>
        <v>-5</v>
      </c>
      <c r="K264" s="17">
        <f t="shared" si="21"/>
        <v>-50</v>
      </c>
      <c r="L264" s="17"/>
      <c r="M264" s="19">
        <f t="shared" si="22"/>
        <v>0</v>
      </c>
    </row>
    <row r="265" spans="1:13" x14ac:dyDescent="0.25">
      <c r="A265" s="43"/>
      <c r="G265" s="5"/>
      <c r="H265" s="17">
        <v>260</v>
      </c>
      <c r="I265" s="18" t="str">
        <f t="shared" si="20"/>
        <v/>
      </c>
      <c r="J265" s="17">
        <f t="shared" si="23"/>
        <v>-5</v>
      </c>
      <c r="K265" s="17">
        <f t="shared" si="21"/>
        <v>-50</v>
      </c>
      <c r="L265" s="17"/>
      <c r="M265" s="19">
        <f t="shared" si="22"/>
        <v>0</v>
      </c>
    </row>
    <row r="266" spans="1:13" x14ac:dyDescent="0.25">
      <c r="A266" s="43"/>
      <c r="G266" s="5"/>
      <c r="H266" s="17">
        <v>261</v>
      </c>
      <c r="I266" s="18" t="str">
        <f t="shared" si="20"/>
        <v/>
      </c>
      <c r="J266" s="17">
        <f t="shared" si="23"/>
        <v>-5</v>
      </c>
      <c r="K266" s="17">
        <f t="shared" si="21"/>
        <v>-50</v>
      </c>
      <c r="L266" s="17"/>
      <c r="M266" s="19">
        <f t="shared" si="22"/>
        <v>0</v>
      </c>
    </row>
    <row r="267" spans="1:13" x14ac:dyDescent="0.25">
      <c r="A267" s="43"/>
      <c r="G267" s="5"/>
      <c r="H267" s="17">
        <v>262</v>
      </c>
      <c r="I267" s="18" t="str">
        <f t="shared" si="20"/>
        <v/>
      </c>
      <c r="J267" s="17">
        <f t="shared" si="23"/>
        <v>-5</v>
      </c>
      <c r="K267" s="17">
        <f t="shared" si="21"/>
        <v>-50</v>
      </c>
      <c r="L267" s="17"/>
      <c r="M267" s="19">
        <f t="shared" si="22"/>
        <v>0</v>
      </c>
    </row>
    <row r="268" spans="1:13" x14ac:dyDescent="0.25">
      <c r="A268" s="43"/>
      <c r="G268" s="5"/>
      <c r="H268" s="17">
        <v>263</v>
      </c>
      <c r="I268" s="18" t="str">
        <f t="shared" si="20"/>
        <v/>
      </c>
      <c r="J268" s="17">
        <f t="shared" si="23"/>
        <v>-5</v>
      </c>
      <c r="K268" s="17">
        <f t="shared" si="21"/>
        <v>-50</v>
      </c>
      <c r="L268" s="17"/>
      <c r="M268" s="19">
        <f t="shared" si="22"/>
        <v>0</v>
      </c>
    </row>
    <row r="269" spans="1:13" x14ac:dyDescent="0.25">
      <c r="A269" s="43"/>
      <c r="G269" s="5"/>
      <c r="H269" s="17">
        <v>264</v>
      </c>
      <c r="I269" s="18" t="str">
        <f t="shared" si="20"/>
        <v/>
      </c>
      <c r="J269" s="17">
        <f t="shared" si="23"/>
        <v>-5</v>
      </c>
      <c r="K269" s="17">
        <f t="shared" si="21"/>
        <v>-50</v>
      </c>
      <c r="L269" s="17"/>
      <c r="M269" s="19">
        <f t="shared" si="22"/>
        <v>0</v>
      </c>
    </row>
    <row r="270" spans="1:13" x14ac:dyDescent="0.25">
      <c r="A270" s="43"/>
      <c r="G270" s="5"/>
      <c r="H270" s="17">
        <v>265</v>
      </c>
      <c r="I270" s="18" t="str">
        <f t="shared" si="20"/>
        <v/>
      </c>
      <c r="J270" s="17">
        <f t="shared" si="23"/>
        <v>-5</v>
      </c>
      <c r="K270" s="17">
        <f t="shared" si="21"/>
        <v>-50</v>
      </c>
      <c r="L270" s="17"/>
      <c r="M270" s="19">
        <f t="shared" si="22"/>
        <v>0</v>
      </c>
    </row>
    <row r="271" spans="1:13" x14ac:dyDescent="0.25">
      <c r="A271" s="43"/>
      <c r="G271" s="5"/>
      <c r="H271" s="17">
        <v>266</v>
      </c>
      <c r="I271" s="18" t="str">
        <f t="shared" si="20"/>
        <v/>
      </c>
      <c r="J271" s="17">
        <f t="shared" si="23"/>
        <v>-5</v>
      </c>
      <c r="K271" s="17">
        <f t="shared" si="21"/>
        <v>-50</v>
      </c>
      <c r="L271" s="17"/>
      <c r="M271" s="19">
        <f t="shared" si="22"/>
        <v>0</v>
      </c>
    </row>
    <row r="272" spans="1:13" x14ac:dyDescent="0.25">
      <c r="A272" s="43"/>
      <c r="G272" s="5"/>
      <c r="H272" s="17">
        <v>267</v>
      </c>
      <c r="I272" s="18" t="str">
        <f t="shared" si="20"/>
        <v/>
      </c>
      <c r="J272" s="17">
        <f t="shared" si="23"/>
        <v>-5</v>
      </c>
      <c r="K272" s="17">
        <f t="shared" si="21"/>
        <v>-50</v>
      </c>
      <c r="L272" s="17"/>
      <c r="M272" s="19">
        <f t="shared" si="22"/>
        <v>0</v>
      </c>
    </row>
    <row r="273" spans="1:13" x14ac:dyDescent="0.25">
      <c r="A273" s="43"/>
      <c r="G273" s="5"/>
      <c r="H273" s="17">
        <v>268</v>
      </c>
      <c r="I273" s="18" t="str">
        <f t="shared" si="20"/>
        <v/>
      </c>
      <c r="J273" s="17">
        <f t="shared" si="23"/>
        <v>-5</v>
      </c>
      <c r="K273" s="17">
        <f t="shared" si="21"/>
        <v>-50</v>
      </c>
      <c r="L273" s="17"/>
      <c r="M273" s="19">
        <f t="shared" si="22"/>
        <v>0</v>
      </c>
    </row>
    <row r="274" spans="1:13" x14ac:dyDescent="0.25">
      <c r="A274" s="43"/>
      <c r="G274" s="5"/>
      <c r="H274" s="17">
        <v>269</v>
      </c>
      <c r="I274" s="18" t="str">
        <f t="shared" si="20"/>
        <v/>
      </c>
      <c r="J274" s="17">
        <f t="shared" si="23"/>
        <v>-5</v>
      </c>
      <c r="K274" s="17">
        <f t="shared" si="21"/>
        <v>-50</v>
      </c>
      <c r="L274" s="17"/>
      <c r="M274" s="19">
        <f t="shared" si="22"/>
        <v>0</v>
      </c>
    </row>
    <row r="275" spans="1:13" x14ac:dyDescent="0.25">
      <c r="A275" s="43"/>
      <c r="G275" s="5"/>
      <c r="H275" s="17">
        <v>270</v>
      </c>
      <c r="I275" s="18" t="str">
        <f t="shared" si="20"/>
        <v/>
      </c>
      <c r="J275" s="17">
        <f t="shared" si="23"/>
        <v>-5</v>
      </c>
      <c r="K275" s="17">
        <f t="shared" si="21"/>
        <v>-50</v>
      </c>
      <c r="L275" s="17"/>
      <c r="M275" s="19">
        <f t="shared" si="22"/>
        <v>0</v>
      </c>
    </row>
    <row r="276" spans="1:13" x14ac:dyDescent="0.25">
      <c r="A276" s="43"/>
      <c r="G276" s="5"/>
      <c r="H276" s="17">
        <v>271</v>
      </c>
      <c r="I276" s="18" t="str">
        <f t="shared" si="20"/>
        <v/>
      </c>
      <c r="J276" s="17">
        <f t="shared" si="23"/>
        <v>-5</v>
      </c>
      <c r="K276" s="17">
        <f t="shared" si="21"/>
        <v>-50</v>
      </c>
      <c r="L276" s="17"/>
      <c r="M276" s="19">
        <f t="shared" si="22"/>
        <v>0</v>
      </c>
    </row>
    <row r="277" spans="1:13" x14ac:dyDescent="0.25">
      <c r="A277" s="43"/>
      <c r="G277" s="5"/>
      <c r="H277" s="17">
        <v>272</v>
      </c>
      <c r="I277" s="18" t="str">
        <f t="shared" si="20"/>
        <v/>
      </c>
      <c r="J277" s="17">
        <f t="shared" si="23"/>
        <v>-5</v>
      </c>
      <c r="K277" s="17">
        <f t="shared" si="21"/>
        <v>-50</v>
      </c>
      <c r="L277" s="17"/>
      <c r="M277" s="19">
        <f t="shared" si="22"/>
        <v>0</v>
      </c>
    </row>
    <row r="278" spans="1:13" x14ac:dyDescent="0.25">
      <c r="A278" s="43"/>
      <c r="G278" s="5"/>
      <c r="H278" s="17">
        <v>273</v>
      </c>
      <c r="I278" s="18" t="str">
        <f t="shared" si="20"/>
        <v/>
      </c>
      <c r="J278" s="17">
        <f t="shared" si="23"/>
        <v>-5</v>
      </c>
      <c r="K278" s="17">
        <f t="shared" si="21"/>
        <v>-50</v>
      </c>
      <c r="L278" s="17"/>
      <c r="M278" s="19">
        <f t="shared" si="22"/>
        <v>0</v>
      </c>
    </row>
    <row r="279" spans="1:13" x14ac:dyDescent="0.25">
      <c r="A279" s="43"/>
      <c r="G279" s="5"/>
      <c r="H279" s="17">
        <v>274</v>
      </c>
      <c r="I279" s="18" t="str">
        <f t="shared" si="20"/>
        <v/>
      </c>
      <c r="J279" s="17">
        <f t="shared" si="23"/>
        <v>-5</v>
      </c>
      <c r="K279" s="17">
        <f t="shared" si="21"/>
        <v>-50</v>
      </c>
      <c r="L279" s="17"/>
      <c r="M279" s="19">
        <f t="shared" si="22"/>
        <v>0</v>
      </c>
    </row>
    <row r="280" spans="1:13" x14ac:dyDescent="0.25">
      <c r="A280" s="43"/>
      <c r="G280" s="5"/>
      <c r="H280" s="17">
        <v>275</v>
      </c>
      <c r="I280" s="18" t="str">
        <f t="shared" si="20"/>
        <v/>
      </c>
      <c r="J280" s="17">
        <f t="shared" si="23"/>
        <v>-5</v>
      </c>
      <c r="K280" s="17">
        <f t="shared" si="21"/>
        <v>-50</v>
      </c>
      <c r="L280" s="17"/>
      <c r="M280" s="19">
        <f t="shared" si="22"/>
        <v>0</v>
      </c>
    </row>
    <row r="281" spans="1:13" x14ac:dyDescent="0.25">
      <c r="A281" s="43"/>
      <c r="G281" s="5"/>
      <c r="H281" s="17">
        <v>276</v>
      </c>
      <c r="I281" s="18" t="str">
        <f t="shared" si="20"/>
        <v/>
      </c>
      <c r="J281" s="17">
        <f t="shared" si="23"/>
        <v>-5</v>
      </c>
      <c r="K281" s="17">
        <f t="shared" si="21"/>
        <v>-50</v>
      </c>
      <c r="L281" s="17"/>
      <c r="M281" s="19">
        <f t="shared" si="22"/>
        <v>0</v>
      </c>
    </row>
    <row r="282" spans="1:13" x14ac:dyDescent="0.25">
      <c r="A282" s="43"/>
      <c r="G282" s="5"/>
      <c r="H282" s="17">
        <v>277</v>
      </c>
      <c r="I282" s="18" t="str">
        <f t="shared" si="20"/>
        <v/>
      </c>
      <c r="J282" s="17">
        <f t="shared" si="23"/>
        <v>-5</v>
      </c>
      <c r="K282" s="17">
        <f t="shared" si="21"/>
        <v>-50</v>
      </c>
      <c r="L282" s="17"/>
      <c r="M282" s="19">
        <f t="shared" si="22"/>
        <v>0</v>
      </c>
    </row>
    <row r="283" spans="1:13" x14ac:dyDescent="0.25">
      <c r="A283" s="43"/>
      <c r="G283" s="5"/>
      <c r="H283" s="17">
        <v>278</v>
      </c>
      <c r="I283" s="18" t="str">
        <f t="shared" si="20"/>
        <v/>
      </c>
      <c r="J283" s="17">
        <f t="shared" si="23"/>
        <v>-5</v>
      </c>
      <c r="K283" s="17">
        <f t="shared" si="21"/>
        <v>-50</v>
      </c>
      <c r="L283" s="17"/>
      <c r="M283" s="19">
        <f t="shared" si="22"/>
        <v>0</v>
      </c>
    </row>
    <row r="284" spans="1:13" x14ac:dyDescent="0.25">
      <c r="A284" s="43"/>
      <c r="G284" s="5"/>
      <c r="H284" s="17">
        <v>279</v>
      </c>
      <c r="I284" s="18" t="str">
        <f t="shared" si="20"/>
        <v/>
      </c>
      <c r="J284" s="17">
        <f t="shared" si="23"/>
        <v>-5</v>
      </c>
      <c r="K284" s="17">
        <f t="shared" si="21"/>
        <v>-50</v>
      </c>
      <c r="L284" s="17"/>
      <c r="M284" s="19">
        <f t="shared" si="22"/>
        <v>0</v>
      </c>
    </row>
    <row r="285" spans="1:13" x14ac:dyDescent="0.25">
      <c r="A285" s="43"/>
      <c r="G285" s="5"/>
      <c r="H285" s="17">
        <v>280</v>
      </c>
      <c r="I285" s="18" t="str">
        <f t="shared" si="20"/>
        <v/>
      </c>
      <c r="J285" s="17">
        <f t="shared" si="23"/>
        <v>-5</v>
      </c>
      <c r="K285" s="17">
        <f t="shared" si="21"/>
        <v>-50</v>
      </c>
      <c r="L285" s="17"/>
      <c r="M285" s="19">
        <f t="shared" si="22"/>
        <v>0</v>
      </c>
    </row>
    <row r="286" spans="1:13" x14ac:dyDescent="0.25">
      <c r="A286" s="43"/>
      <c r="G286" s="5"/>
      <c r="H286" s="17">
        <v>281</v>
      </c>
      <c r="I286" s="18" t="str">
        <f t="shared" si="20"/>
        <v/>
      </c>
      <c r="J286" s="17">
        <f t="shared" si="23"/>
        <v>-5</v>
      </c>
      <c r="K286" s="17">
        <f t="shared" si="21"/>
        <v>-50</v>
      </c>
      <c r="L286" s="17"/>
      <c r="M286" s="19">
        <f t="shared" si="22"/>
        <v>0</v>
      </c>
    </row>
    <row r="287" spans="1:13" x14ac:dyDescent="0.25">
      <c r="A287" s="43"/>
      <c r="G287" s="5"/>
      <c r="H287" s="17">
        <v>282</v>
      </c>
      <c r="I287" s="18" t="str">
        <f t="shared" si="20"/>
        <v/>
      </c>
      <c r="J287" s="17">
        <f t="shared" si="23"/>
        <v>-5</v>
      </c>
      <c r="K287" s="17">
        <f t="shared" si="21"/>
        <v>-50</v>
      </c>
      <c r="L287" s="17"/>
      <c r="M287" s="19">
        <f t="shared" si="22"/>
        <v>0</v>
      </c>
    </row>
    <row r="288" spans="1:13" x14ac:dyDescent="0.25">
      <c r="A288" s="43"/>
      <c r="G288" s="5"/>
      <c r="H288" s="17">
        <v>283</v>
      </c>
      <c r="I288" s="18" t="str">
        <f t="shared" si="20"/>
        <v/>
      </c>
      <c r="J288" s="17">
        <f t="shared" si="23"/>
        <v>-5</v>
      </c>
      <c r="K288" s="17">
        <f t="shared" si="21"/>
        <v>-50</v>
      </c>
      <c r="L288" s="17"/>
      <c r="M288" s="19">
        <f t="shared" si="22"/>
        <v>0</v>
      </c>
    </row>
    <row r="289" spans="1:13" x14ac:dyDescent="0.25">
      <c r="A289" s="43"/>
      <c r="G289" s="5"/>
      <c r="H289" s="17">
        <v>284</v>
      </c>
      <c r="I289" s="18" t="str">
        <f t="shared" si="20"/>
        <v/>
      </c>
      <c r="J289" s="17">
        <f t="shared" si="23"/>
        <v>-5</v>
      </c>
      <c r="K289" s="17">
        <f t="shared" si="21"/>
        <v>-50</v>
      </c>
      <c r="L289" s="17"/>
      <c r="M289" s="19">
        <f t="shared" si="22"/>
        <v>0</v>
      </c>
    </row>
    <row r="290" spans="1:13" x14ac:dyDescent="0.25">
      <c r="A290" s="43"/>
      <c r="G290" s="5"/>
      <c r="H290" s="17">
        <v>285</v>
      </c>
      <c r="I290" s="18" t="str">
        <f t="shared" si="20"/>
        <v/>
      </c>
      <c r="J290" s="17">
        <f t="shared" si="23"/>
        <v>-5</v>
      </c>
      <c r="K290" s="17">
        <f t="shared" si="21"/>
        <v>-50</v>
      </c>
      <c r="L290" s="17"/>
      <c r="M290" s="19">
        <f t="shared" si="22"/>
        <v>0</v>
      </c>
    </row>
    <row r="291" spans="1:13" x14ac:dyDescent="0.25">
      <c r="A291" s="43"/>
      <c r="G291" s="5"/>
      <c r="H291" s="17">
        <v>286</v>
      </c>
      <c r="I291" s="18" t="str">
        <f t="shared" si="20"/>
        <v/>
      </c>
      <c r="J291" s="17">
        <f t="shared" si="23"/>
        <v>-5</v>
      </c>
      <c r="K291" s="17">
        <f t="shared" si="21"/>
        <v>-50</v>
      </c>
      <c r="L291" s="17"/>
      <c r="M291" s="19">
        <f t="shared" si="22"/>
        <v>0</v>
      </c>
    </row>
    <row r="292" spans="1:13" x14ac:dyDescent="0.25">
      <c r="A292" s="43"/>
      <c r="G292" s="5"/>
      <c r="H292" s="17">
        <v>287</v>
      </c>
      <c r="I292" s="18" t="str">
        <f t="shared" si="20"/>
        <v/>
      </c>
      <c r="J292" s="17">
        <f t="shared" si="23"/>
        <v>-5</v>
      </c>
      <c r="K292" s="17">
        <f t="shared" si="21"/>
        <v>-50</v>
      </c>
      <c r="L292" s="17"/>
      <c r="M292" s="19">
        <f t="shared" si="22"/>
        <v>0</v>
      </c>
    </row>
    <row r="293" spans="1:13" x14ac:dyDescent="0.25">
      <c r="A293" s="43"/>
      <c r="G293" s="5"/>
      <c r="H293" s="17">
        <v>288</v>
      </c>
      <c r="I293" s="18" t="str">
        <f t="shared" si="20"/>
        <v/>
      </c>
      <c r="J293" s="17">
        <f t="shared" si="23"/>
        <v>-5</v>
      </c>
      <c r="K293" s="17">
        <f t="shared" si="21"/>
        <v>-50</v>
      </c>
      <c r="L293" s="17"/>
      <c r="M293" s="19">
        <f t="shared" si="22"/>
        <v>0</v>
      </c>
    </row>
    <row r="294" spans="1:13" x14ac:dyDescent="0.25">
      <c r="A294" s="43"/>
      <c r="G294" s="5"/>
      <c r="H294" s="17">
        <v>289</v>
      </c>
      <c r="I294" s="18" t="str">
        <f t="shared" si="20"/>
        <v/>
      </c>
      <c r="J294" s="17">
        <f t="shared" si="23"/>
        <v>-5</v>
      </c>
      <c r="K294" s="17">
        <f t="shared" si="21"/>
        <v>-50</v>
      </c>
      <c r="L294" s="17"/>
      <c r="M294" s="19">
        <f t="shared" si="22"/>
        <v>0</v>
      </c>
    </row>
    <row r="295" spans="1:13" x14ac:dyDescent="0.25">
      <c r="A295" s="43"/>
      <c r="G295" s="5"/>
      <c r="H295" s="17">
        <v>290</v>
      </c>
      <c r="I295" s="18" t="str">
        <f t="shared" si="20"/>
        <v/>
      </c>
      <c r="J295" s="17">
        <f t="shared" si="23"/>
        <v>-5</v>
      </c>
      <c r="K295" s="17">
        <f t="shared" si="21"/>
        <v>-50</v>
      </c>
      <c r="L295" s="17"/>
      <c r="M295" s="19">
        <f t="shared" si="22"/>
        <v>0</v>
      </c>
    </row>
    <row r="296" spans="1:13" x14ac:dyDescent="0.25">
      <c r="A296" s="43"/>
      <c r="G296" s="5"/>
      <c r="H296" s="17">
        <v>291</v>
      </c>
      <c r="I296" s="18" t="str">
        <f t="shared" si="20"/>
        <v/>
      </c>
      <c r="J296" s="17">
        <f t="shared" si="23"/>
        <v>-5</v>
      </c>
      <c r="K296" s="17">
        <f t="shared" si="21"/>
        <v>-50</v>
      </c>
      <c r="L296" s="17"/>
      <c r="M296" s="19">
        <f t="shared" si="22"/>
        <v>0</v>
      </c>
    </row>
    <row r="297" spans="1:13" x14ac:dyDescent="0.25">
      <c r="A297" s="43"/>
      <c r="G297" s="5"/>
      <c r="H297" s="17">
        <v>292</v>
      </c>
      <c r="I297" s="18" t="str">
        <f t="shared" si="20"/>
        <v/>
      </c>
      <c r="J297" s="17">
        <f t="shared" si="23"/>
        <v>-5</v>
      </c>
      <c r="K297" s="17">
        <f t="shared" si="21"/>
        <v>-50</v>
      </c>
      <c r="L297" s="17"/>
      <c r="M297" s="19">
        <f t="shared" si="22"/>
        <v>0</v>
      </c>
    </row>
    <row r="298" spans="1:13" x14ac:dyDescent="0.25">
      <c r="A298" s="43"/>
      <c r="G298" s="5"/>
      <c r="H298" s="17">
        <v>293</v>
      </c>
      <c r="I298" s="18" t="str">
        <f t="shared" si="20"/>
        <v/>
      </c>
      <c r="J298" s="17">
        <f t="shared" si="23"/>
        <v>-5</v>
      </c>
      <c r="K298" s="17">
        <f t="shared" si="21"/>
        <v>-50</v>
      </c>
      <c r="L298" s="17"/>
      <c r="M298" s="19">
        <f t="shared" si="22"/>
        <v>0</v>
      </c>
    </row>
    <row r="299" spans="1:13" x14ac:dyDescent="0.25">
      <c r="A299" s="43"/>
      <c r="G299" s="5"/>
      <c r="H299" s="17">
        <v>294</v>
      </c>
      <c r="I299" s="18" t="str">
        <f t="shared" si="20"/>
        <v/>
      </c>
      <c r="J299" s="17">
        <f t="shared" si="23"/>
        <v>-5</v>
      </c>
      <c r="K299" s="17">
        <f t="shared" si="21"/>
        <v>-50</v>
      </c>
      <c r="L299" s="17"/>
      <c r="M299" s="19">
        <f t="shared" si="22"/>
        <v>0</v>
      </c>
    </row>
    <row r="300" spans="1:13" x14ac:dyDescent="0.25">
      <c r="A300" s="43"/>
      <c r="G300" s="5"/>
      <c r="H300" s="17">
        <v>295</v>
      </c>
      <c r="I300" s="18" t="str">
        <f t="shared" si="20"/>
        <v/>
      </c>
      <c r="J300" s="17">
        <f t="shared" si="23"/>
        <v>-5</v>
      </c>
      <c r="K300" s="17">
        <f t="shared" si="21"/>
        <v>-50</v>
      </c>
      <c r="L300" s="17"/>
      <c r="M300" s="19">
        <f t="shared" si="22"/>
        <v>0</v>
      </c>
    </row>
    <row r="301" spans="1:13" x14ac:dyDescent="0.25">
      <c r="A301" s="43"/>
      <c r="G301" s="5"/>
      <c r="H301" s="17">
        <v>296</v>
      </c>
      <c r="I301" s="18" t="str">
        <f t="shared" si="20"/>
        <v/>
      </c>
      <c r="J301" s="17">
        <f t="shared" si="23"/>
        <v>-5</v>
      </c>
      <c r="K301" s="17">
        <f t="shared" si="21"/>
        <v>-50</v>
      </c>
      <c r="L301" s="17"/>
      <c r="M301" s="19">
        <f t="shared" si="22"/>
        <v>0</v>
      </c>
    </row>
    <row r="302" spans="1:13" x14ac:dyDescent="0.25">
      <c r="A302" s="43"/>
      <c r="G302" s="5"/>
      <c r="H302" s="17">
        <v>297</v>
      </c>
      <c r="I302" s="18" t="str">
        <f t="shared" si="20"/>
        <v/>
      </c>
      <c r="J302" s="17">
        <f t="shared" si="23"/>
        <v>-5</v>
      </c>
      <c r="K302" s="17">
        <f t="shared" si="21"/>
        <v>-50</v>
      </c>
      <c r="L302" s="17"/>
      <c r="M302" s="19">
        <f t="shared" si="22"/>
        <v>0</v>
      </c>
    </row>
    <row r="303" spans="1:13" x14ac:dyDescent="0.25">
      <c r="A303" s="43"/>
      <c r="G303" s="5"/>
      <c r="H303" s="17">
        <v>298</v>
      </c>
      <c r="I303" s="18" t="str">
        <f t="shared" si="20"/>
        <v/>
      </c>
      <c r="J303" s="17">
        <f t="shared" si="23"/>
        <v>-5</v>
      </c>
      <c r="K303" s="17">
        <f t="shared" si="21"/>
        <v>-50</v>
      </c>
      <c r="L303" s="17"/>
      <c r="M303" s="19">
        <f t="shared" si="22"/>
        <v>0</v>
      </c>
    </row>
    <row r="304" spans="1:13" x14ac:dyDescent="0.25">
      <c r="A304" s="43"/>
      <c r="G304" s="5"/>
      <c r="H304" s="17">
        <v>299</v>
      </c>
      <c r="I304" s="18" t="str">
        <f t="shared" si="20"/>
        <v/>
      </c>
      <c r="J304" s="17">
        <f t="shared" si="23"/>
        <v>-5</v>
      </c>
      <c r="K304" s="17">
        <f t="shared" si="21"/>
        <v>-50</v>
      </c>
      <c r="L304" s="17"/>
      <c r="M304" s="19">
        <f t="shared" si="22"/>
        <v>0</v>
      </c>
    </row>
    <row r="305" spans="1:16" x14ac:dyDescent="0.25">
      <c r="A305" s="43"/>
      <c r="G305" s="5"/>
      <c r="H305" s="17">
        <v>300</v>
      </c>
      <c r="I305" s="18" t="str">
        <f t="shared" si="20"/>
        <v/>
      </c>
      <c r="J305" s="17">
        <f t="shared" si="23"/>
        <v>-5</v>
      </c>
      <c r="K305" s="17">
        <f t="shared" si="21"/>
        <v>-50</v>
      </c>
      <c r="L305" s="17"/>
      <c r="M305" s="19">
        <f t="shared" si="22"/>
        <v>0</v>
      </c>
    </row>
    <row r="306" spans="1:16" x14ac:dyDescent="0.25">
      <c r="A306" s="4"/>
      <c r="J306" s="20" t="e">
        <f t="shared" si="23"/>
        <v>#NUM!</v>
      </c>
    </row>
    <row r="307" spans="1:16" x14ac:dyDescent="0.25">
      <c r="J307" s="20" t="e">
        <f t="shared" si="23"/>
        <v>#NUM!</v>
      </c>
    </row>
    <row r="308" spans="1:16" x14ac:dyDescent="0.25">
      <c r="J308" s="20" t="e">
        <f t="shared" si="23"/>
        <v>#NUM!</v>
      </c>
    </row>
    <row r="309" spans="1:16" x14ac:dyDescent="0.25">
      <c r="J309" s="20" t="e">
        <f t="shared" si="23"/>
        <v>#NUM!</v>
      </c>
    </row>
    <row r="310" spans="1:16" x14ac:dyDescent="0.25">
      <c r="J310" s="20" t="e">
        <f t="shared" si="23"/>
        <v>#NUM!</v>
      </c>
    </row>
    <row r="311" spans="1:16" x14ac:dyDescent="0.25">
      <c r="J311" s="20" t="e">
        <f t="shared" si="23"/>
        <v>#NUM!</v>
      </c>
    </row>
    <row r="312" spans="1:16" x14ac:dyDescent="0.25">
      <c r="J312" s="20" t="e">
        <f t="shared" si="23"/>
        <v>#NUM!</v>
      </c>
    </row>
    <row r="313" spans="1:16" x14ac:dyDescent="0.25">
      <c r="J313" s="20" t="e">
        <f t="shared" si="23"/>
        <v>#NUM!</v>
      </c>
    </row>
    <row r="314" spans="1:16" x14ac:dyDescent="0.25">
      <c r="J314" s="20" t="e">
        <f t="shared" si="23"/>
        <v>#NUM!</v>
      </c>
      <c r="L314" s="21"/>
      <c r="P314" s="49"/>
    </row>
    <row r="315" spans="1:16" x14ac:dyDescent="0.25">
      <c r="J315" s="20" t="e">
        <f t="shared" si="23"/>
        <v>#NUM!</v>
      </c>
      <c r="L315" s="21"/>
      <c r="P315" s="49"/>
    </row>
    <row r="316" spans="1:16" x14ac:dyDescent="0.25">
      <c r="J316" s="20" t="e">
        <f t="shared" si="23"/>
        <v>#NUM!</v>
      </c>
      <c r="L316" s="21"/>
      <c r="P316" s="49"/>
    </row>
    <row r="317" spans="1:16" x14ac:dyDescent="0.25">
      <c r="J317" s="20" t="e">
        <f t="shared" si="23"/>
        <v>#NUM!</v>
      </c>
      <c r="L317" s="21"/>
      <c r="P317" s="49"/>
    </row>
    <row r="318" spans="1:16" x14ac:dyDescent="0.25">
      <c r="J318" s="20" t="e">
        <f t="shared" si="23"/>
        <v>#NUM!</v>
      </c>
    </row>
    <row r="319" spans="1:16" x14ac:dyDescent="0.25">
      <c r="J319" s="20" t="e">
        <f t="shared" si="23"/>
        <v>#NUM!</v>
      </c>
    </row>
    <row r="320" spans="1:16" x14ac:dyDescent="0.25">
      <c r="J320" s="20" t="e">
        <f t="shared" si="23"/>
        <v>#NUM!</v>
      </c>
    </row>
    <row r="321" spans="10:10" x14ac:dyDescent="0.25">
      <c r="J321" s="20" t="e">
        <f t="shared" si="23"/>
        <v>#NUM!</v>
      </c>
    </row>
    <row r="322" spans="10:10" x14ac:dyDescent="0.25">
      <c r="J322" s="20" t="e">
        <f t="shared" si="23"/>
        <v>#NUM!</v>
      </c>
    </row>
    <row r="323" spans="10:10" x14ac:dyDescent="0.25">
      <c r="J323" s="20" t="e">
        <f t="shared" si="23"/>
        <v>#NUM!</v>
      </c>
    </row>
    <row r="324" spans="10:10" x14ac:dyDescent="0.25">
      <c r="J324" s="20" t="e">
        <f t="shared" si="23"/>
        <v>#NUM!</v>
      </c>
    </row>
    <row r="325" spans="10:10" x14ac:dyDescent="0.25">
      <c r="J325" s="20" t="e">
        <f t="shared" si="23"/>
        <v>#NUM!</v>
      </c>
    </row>
    <row r="326" spans="10:10" x14ac:dyDescent="0.25">
      <c r="J326" s="20" t="e">
        <f t="shared" si="23"/>
        <v>#NUM!</v>
      </c>
    </row>
    <row r="327" spans="10:10" x14ac:dyDescent="0.25">
      <c r="J327" s="20" t="e">
        <f t="shared" ref="J327:J373" si="24">INT(LOG($H$2,2))-ROUNDUP(LOG(H327,2),0)+IF(OR($H$2=1,$H$2=2,$H$2=4,$H$2=8,$H$2=16,$H$2=32,$H$2=64,$H$2=128,$H$2=256),0,1)</f>
        <v>#NUM!</v>
      </c>
    </row>
    <row r="328" spans="10:10" x14ac:dyDescent="0.25">
      <c r="J328" s="20" t="e">
        <f t="shared" si="24"/>
        <v>#NUM!</v>
      </c>
    </row>
    <row r="329" spans="10:10" x14ac:dyDescent="0.25">
      <c r="J329" s="20" t="e">
        <f t="shared" si="24"/>
        <v>#NUM!</v>
      </c>
    </row>
    <row r="330" spans="10:10" x14ac:dyDescent="0.25">
      <c r="J330" s="20" t="e">
        <f t="shared" si="24"/>
        <v>#NUM!</v>
      </c>
    </row>
    <row r="331" spans="10:10" x14ac:dyDescent="0.25">
      <c r="J331" s="20" t="e">
        <f t="shared" si="24"/>
        <v>#NUM!</v>
      </c>
    </row>
    <row r="332" spans="10:10" x14ac:dyDescent="0.25">
      <c r="J332" s="20" t="e">
        <f t="shared" si="24"/>
        <v>#NUM!</v>
      </c>
    </row>
    <row r="333" spans="10:10" x14ac:dyDescent="0.25">
      <c r="J333" s="20" t="e">
        <f t="shared" si="24"/>
        <v>#NUM!</v>
      </c>
    </row>
    <row r="334" spans="10:10" x14ac:dyDescent="0.25">
      <c r="J334" s="20" t="e">
        <f t="shared" si="24"/>
        <v>#NUM!</v>
      </c>
    </row>
    <row r="335" spans="10:10" x14ac:dyDescent="0.25">
      <c r="J335" s="20" t="e">
        <f t="shared" si="24"/>
        <v>#NUM!</v>
      </c>
    </row>
    <row r="336" spans="10:10" x14ac:dyDescent="0.25">
      <c r="J336" s="20" t="e">
        <f t="shared" si="24"/>
        <v>#NUM!</v>
      </c>
    </row>
    <row r="337" spans="10:10" x14ac:dyDescent="0.25">
      <c r="J337" s="20" t="e">
        <f t="shared" si="24"/>
        <v>#NUM!</v>
      </c>
    </row>
    <row r="338" spans="10:10" x14ac:dyDescent="0.25">
      <c r="J338" s="20" t="e">
        <f t="shared" si="24"/>
        <v>#NUM!</v>
      </c>
    </row>
    <row r="339" spans="10:10" x14ac:dyDescent="0.25">
      <c r="J339" s="20" t="e">
        <f t="shared" si="24"/>
        <v>#NUM!</v>
      </c>
    </row>
    <row r="340" spans="10:10" x14ac:dyDescent="0.25">
      <c r="J340" s="20" t="e">
        <f t="shared" si="24"/>
        <v>#NUM!</v>
      </c>
    </row>
    <row r="341" spans="10:10" x14ac:dyDescent="0.25">
      <c r="J341" s="20" t="e">
        <f t="shared" si="24"/>
        <v>#NUM!</v>
      </c>
    </row>
    <row r="342" spans="10:10" x14ac:dyDescent="0.25">
      <c r="J342" s="20" t="e">
        <f t="shared" si="24"/>
        <v>#NUM!</v>
      </c>
    </row>
    <row r="343" spans="10:10" x14ac:dyDescent="0.25">
      <c r="J343" s="20" t="e">
        <f t="shared" si="24"/>
        <v>#NUM!</v>
      </c>
    </row>
    <row r="344" spans="10:10" x14ac:dyDescent="0.25">
      <c r="J344" s="20" t="e">
        <f t="shared" si="24"/>
        <v>#NUM!</v>
      </c>
    </row>
    <row r="345" spans="10:10" x14ac:dyDescent="0.25">
      <c r="J345" s="20" t="e">
        <f t="shared" si="24"/>
        <v>#NUM!</v>
      </c>
    </row>
    <row r="346" spans="10:10" x14ac:dyDescent="0.25">
      <c r="J346" s="20" t="e">
        <f t="shared" si="24"/>
        <v>#NUM!</v>
      </c>
    </row>
    <row r="347" spans="10:10" x14ac:dyDescent="0.25">
      <c r="J347" s="20" t="e">
        <f t="shared" si="24"/>
        <v>#NUM!</v>
      </c>
    </row>
    <row r="348" spans="10:10" x14ac:dyDescent="0.25">
      <c r="J348" s="20" t="e">
        <f t="shared" si="24"/>
        <v>#NUM!</v>
      </c>
    </row>
    <row r="349" spans="10:10" x14ac:dyDescent="0.25">
      <c r="J349" s="20" t="e">
        <f t="shared" si="24"/>
        <v>#NUM!</v>
      </c>
    </row>
    <row r="350" spans="10:10" x14ac:dyDescent="0.25">
      <c r="J350" s="20" t="e">
        <f t="shared" si="24"/>
        <v>#NUM!</v>
      </c>
    </row>
    <row r="351" spans="10:10" x14ac:dyDescent="0.25">
      <c r="J351" s="20" t="e">
        <f t="shared" si="24"/>
        <v>#NUM!</v>
      </c>
    </row>
    <row r="352" spans="10:10" x14ac:dyDescent="0.25">
      <c r="J352" s="20" t="e">
        <f t="shared" si="24"/>
        <v>#NUM!</v>
      </c>
    </row>
    <row r="353" spans="10:10" x14ac:dyDescent="0.25">
      <c r="J353" s="20" t="e">
        <f t="shared" si="24"/>
        <v>#NUM!</v>
      </c>
    </row>
    <row r="354" spans="10:10" x14ac:dyDescent="0.25">
      <c r="J354" s="20" t="e">
        <f t="shared" si="24"/>
        <v>#NUM!</v>
      </c>
    </row>
    <row r="355" spans="10:10" x14ac:dyDescent="0.25">
      <c r="J355" s="20" t="e">
        <f t="shared" si="24"/>
        <v>#NUM!</v>
      </c>
    </row>
    <row r="356" spans="10:10" x14ac:dyDescent="0.25">
      <c r="J356" s="20" t="e">
        <f t="shared" si="24"/>
        <v>#NUM!</v>
      </c>
    </row>
    <row r="357" spans="10:10" x14ac:dyDescent="0.25">
      <c r="J357" s="20" t="e">
        <f t="shared" si="24"/>
        <v>#NUM!</v>
      </c>
    </row>
    <row r="358" spans="10:10" x14ac:dyDescent="0.25">
      <c r="J358" s="20" t="e">
        <f t="shared" si="24"/>
        <v>#NUM!</v>
      </c>
    </row>
    <row r="359" spans="10:10" x14ac:dyDescent="0.25">
      <c r="J359" s="20" t="e">
        <f t="shared" si="24"/>
        <v>#NUM!</v>
      </c>
    </row>
    <row r="360" spans="10:10" x14ac:dyDescent="0.25">
      <c r="J360" s="20" t="e">
        <f t="shared" si="24"/>
        <v>#NUM!</v>
      </c>
    </row>
    <row r="361" spans="10:10" x14ac:dyDescent="0.25">
      <c r="J361" s="20" t="e">
        <f t="shared" si="24"/>
        <v>#NUM!</v>
      </c>
    </row>
    <row r="362" spans="10:10" x14ac:dyDescent="0.25">
      <c r="J362" s="20" t="e">
        <f t="shared" si="24"/>
        <v>#NUM!</v>
      </c>
    </row>
    <row r="363" spans="10:10" x14ac:dyDescent="0.25">
      <c r="J363" s="20" t="e">
        <f t="shared" si="24"/>
        <v>#NUM!</v>
      </c>
    </row>
    <row r="364" spans="10:10" x14ac:dyDescent="0.25">
      <c r="J364" s="20" t="e">
        <f t="shared" si="24"/>
        <v>#NUM!</v>
      </c>
    </row>
    <row r="365" spans="10:10" x14ac:dyDescent="0.25">
      <c r="J365" s="20" t="e">
        <f t="shared" si="24"/>
        <v>#NUM!</v>
      </c>
    </row>
    <row r="366" spans="10:10" x14ac:dyDescent="0.25">
      <c r="J366" s="20" t="e">
        <f t="shared" si="24"/>
        <v>#NUM!</v>
      </c>
    </row>
    <row r="367" spans="10:10" x14ac:dyDescent="0.25">
      <c r="J367" s="20" t="e">
        <f t="shared" si="24"/>
        <v>#NUM!</v>
      </c>
    </row>
    <row r="368" spans="10:10" x14ac:dyDescent="0.25">
      <c r="J368" s="20" t="e">
        <f t="shared" si="24"/>
        <v>#NUM!</v>
      </c>
    </row>
    <row r="369" spans="10:10" x14ac:dyDescent="0.25">
      <c r="J369" s="20" t="e">
        <f t="shared" si="24"/>
        <v>#NUM!</v>
      </c>
    </row>
    <row r="370" spans="10:10" x14ac:dyDescent="0.25">
      <c r="J370" s="20" t="e">
        <f t="shared" si="24"/>
        <v>#NUM!</v>
      </c>
    </row>
    <row r="371" spans="10:10" x14ac:dyDescent="0.25">
      <c r="J371" s="20" t="e">
        <f t="shared" si="24"/>
        <v>#NUM!</v>
      </c>
    </row>
    <row r="372" spans="10:10" x14ac:dyDescent="0.25">
      <c r="J372" s="20" t="e">
        <f t="shared" si="24"/>
        <v>#NUM!</v>
      </c>
    </row>
    <row r="373" spans="10:10" x14ac:dyDescent="0.25">
      <c r="J373" s="20" t="e">
        <f t="shared" si="24"/>
        <v>#NUM!</v>
      </c>
    </row>
  </sheetData>
  <mergeCells count="2">
    <mergeCell ref="C2:D2"/>
    <mergeCell ref="C3:D3"/>
  </mergeCells>
  <conditionalFormatting sqref="J7:K305">
    <cfRule type="cellIs" dxfId="27" priority="1" operator="lessThanOrEqual">
      <formula>0</formula>
    </cfRule>
  </conditionalFormatting>
  <dataValidations disablePrompts="1" count="1">
    <dataValidation type="list" allowBlank="1" showInputMessage="1" showErrorMessage="1" sqref="C38:C69" xr:uid="{F484B82C-C91C-4FDC-BA6C-90D1BEE9D278}">
      <formula1>#REF!</formula1>
    </dataValidation>
  </dataValidations>
  <hyperlinks>
    <hyperlink ref="C2:D2" r:id="rId1" display="GDAŃSK" xr:uid="{2A701071-A4A7-4A48-9BE4-655F64D67063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43C7A-3849-4A93-844B-C26CA14E4779}">
  <sheetPr>
    <tabColor rgb="FF92D050"/>
  </sheetPr>
  <dimension ref="A1:AL317"/>
  <sheetViews>
    <sheetView workbookViewId="0">
      <selection activeCell="C13" sqref="C13"/>
    </sheetView>
  </sheetViews>
  <sheetFormatPr defaultColWidth="8.875" defaultRowHeight="14.3" x14ac:dyDescent="0.25"/>
  <cols>
    <col min="1" max="1" width="8" style="169" customWidth="1"/>
    <col min="2" max="2" width="8.25" style="169" customWidth="1"/>
    <col min="3" max="3" width="34.75" style="169" customWidth="1"/>
    <col min="4" max="4" width="11.25" style="169" customWidth="1"/>
    <col min="5" max="6" width="8.875" style="169"/>
    <col min="7" max="7" width="0.875" style="169" customWidth="1"/>
    <col min="8" max="8" width="8.875" style="171"/>
    <col min="9" max="9" width="11" style="171" customWidth="1"/>
    <col min="10" max="10" width="15.25" style="171" customWidth="1"/>
    <col min="11" max="11" width="8.75" style="171" customWidth="1"/>
    <col min="12" max="12" width="11" style="171" customWidth="1"/>
    <col min="13" max="13" width="11.75" style="172" customWidth="1"/>
    <col min="14" max="15" width="13.875" style="138" customWidth="1"/>
    <col min="16" max="18" width="8.875" style="138"/>
    <col min="19" max="20" width="8.875" style="143"/>
    <col min="21" max="21" width="12.125" style="143" customWidth="1"/>
    <col min="22" max="22" width="27.375" style="143" customWidth="1"/>
    <col min="23" max="38" width="8.875" style="143"/>
    <col min="39" max="16384" width="8.875" style="169"/>
  </cols>
  <sheetData>
    <row r="1" spans="1:36" x14ac:dyDescent="0.25">
      <c r="A1" s="138"/>
      <c r="B1" s="138"/>
      <c r="C1" s="138"/>
      <c r="D1" s="138"/>
      <c r="E1" s="138"/>
      <c r="F1" s="138"/>
      <c r="G1" s="138"/>
      <c r="H1" s="139" t="s">
        <v>38</v>
      </c>
      <c r="I1" s="140" t="s">
        <v>39</v>
      </c>
      <c r="J1" s="140" t="s">
        <v>40</v>
      </c>
      <c r="K1" s="141" t="s">
        <v>41</v>
      </c>
      <c r="L1" s="142"/>
      <c r="M1" s="142"/>
    </row>
    <row r="2" spans="1:36" ht="14.45" customHeight="1" x14ac:dyDescent="0.25">
      <c r="A2" s="138"/>
      <c r="B2" s="47" t="s">
        <v>42</v>
      </c>
      <c r="C2" s="271" t="s">
        <v>91</v>
      </c>
      <c r="D2" s="271"/>
      <c r="E2" s="6"/>
      <c r="F2" s="6"/>
      <c r="G2" s="6"/>
      <c r="H2" s="144">
        <v>12</v>
      </c>
      <c r="I2" s="145">
        <v>50</v>
      </c>
      <c r="J2" s="145">
        <v>10</v>
      </c>
      <c r="K2" s="146">
        <f>3*H2^(1/3)</f>
        <v>6.8682854553199917</v>
      </c>
      <c r="L2" s="142"/>
      <c r="M2" s="142"/>
    </row>
    <row r="3" spans="1:36" ht="14.45" customHeight="1" x14ac:dyDescent="0.25">
      <c r="A3" s="138"/>
      <c r="B3" s="147" t="s">
        <v>44</v>
      </c>
      <c r="C3" s="272" t="s">
        <v>92</v>
      </c>
      <c r="D3" s="272"/>
      <c r="E3" s="7"/>
      <c r="F3" s="7"/>
      <c r="G3" s="7"/>
      <c r="H3" s="142"/>
      <c r="I3" s="142"/>
      <c r="J3" s="148"/>
      <c r="K3" s="142"/>
      <c r="L3" s="142"/>
      <c r="M3" s="142"/>
    </row>
    <row r="4" spans="1:36" ht="10.199999999999999" customHeight="1" x14ac:dyDescent="0.25">
      <c r="A4" s="8"/>
      <c r="B4" s="7"/>
      <c r="C4" s="8"/>
      <c r="D4" s="8"/>
      <c r="E4" s="8"/>
      <c r="F4" s="8"/>
      <c r="G4" s="8"/>
      <c r="H4" s="142"/>
      <c r="I4" s="142"/>
      <c r="J4" s="148"/>
      <c r="K4" s="142"/>
      <c r="L4" s="142"/>
      <c r="M4" s="142"/>
    </row>
    <row r="5" spans="1:36" ht="34.65" x14ac:dyDescent="0.25">
      <c r="A5" s="1" t="s">
        <v>45</v>
      </c>
      <c r="B5" s="37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8"/>
      <c r="H5" s="149" t="s">
        <v>51</v>
      </c>
      <c r="I5" s="150" t="s">
        <v>52</v>
      </c>
      <c r="J5" s="151" t="s">
        <v>93</v>
      </c>
      <c r="K5" s="150" t="s">
        <v>94</v>
      </c>
      <c r="L5" s="150" t="s">
        <v>55</v>
      </c>
      <c r="M5" s="149" t="s">
        <v>56</v>
      </c>
    </row>
    <row r="6" spans="1:36" ht="14.45" customHeight="1" x14ac:dyDescent="0.25">
      <c r="A6" s="39">
        <f>M6</f>
        <v>110.60485636595998</v>
      </c>
      <c r="B6" s="36">
        <f t="shared" ref="B6:B19" si="0">IF(H6&gt;$H$2,"",(ROW()-5))</f>
        <v>1</v>
      </c>
      <c r="C6" s="24" t="s">
        <v>20</v>
      </c>
      <c r="D6" s="24" t="s">
        <v>59</v>
      </c>
      <c r="E6" s="24" t="s">
        <v>86</v>
      </c>
      <c r="F6" s="24"/>
      <c r="G6" s="8"/>
      <c r="H6" s="152">
        <v>1</v>
      </c>
      <c r="I6" s="153">
        <f>IF(H2=1,50,IF(H6&lt;$H$2+1,($I$2-($I$2-1)*(LOG(H6)/LOG($H$2))),""))</f>
        <v>50</v>
      </c>
      <c r="J6" s="152">
        <f>INT(LOG($H$2,2))-ROUNDUP(LOG(H6,2),0)+IF(OR($H$2=1,$H$2=2,$H$2=4,$H$2=8,$H$2=16,$H$2=32,$H$2=64,$H$2=128,$H$2=256),0,1)</f>
        <v>4</v>
      </c>
      <c r="K6" s="152">
        <f t="shared" ref="K6:K69" si="1">J6*$J$2</f>
        <v>40</v>
      </c>
      <c r="L6" s="154">
        <f>3*K2</f>
        <v>20.604856365959975</v>
      </c>
      <c r="M6" s="154">
        <f t="shared" ref="M6:M69" si="2">IF(I6&lt;&gt;"",K6+I6+L6,0)</f>
        <v>110.60485636595998</v>
      </c>
    </row>
    <row r="7" spans="1:36" ht="14.45" customHeight="1" x14ac:dyDescent="0.25">
      <c r="A7" s="40">
        <f t="shared" ref="A7:A37" si="3">M7</f>
        <v>80.068366573734622</v>
      </c>
      <c r="B7" s="35">
        <f t="shared" si="0"/>
        <v>2</v>
      </c>
      <c r="C7" s="25" t="s">
        <v>19</v>
      </c>
      <c r="D7" s="25" t="s">
        <v>75</v>
      </c>
      <c r="E7" s="25" t="s">
        <v>86</v>
      </c>
      <c r="F7" s="25"/>
      <c r="G7" s="8"/>
      <c r="H7" s="155">
        <v>2</v>
      </c>
      <c r="I7" s="156">
        <f t="shared" ref="I7:I70" si="4">IF(H7&lt;$H$2+1,($I$2-($I$2-1)*(LOG(H7)/LOG($H$2))),"")</f>
        <v>36.331795663094638</v>
      </c>
      <c r="J7" s="155">
        <f t="shared" ref="J7:J70" si="5">INT(LOG($H$2,2))-ROUNDUP(LOG(H7,2),0)+IF(OR($H$2=1,$H$2=2,$H$2=4,$H$2=8,$H$2=16,$H$2=32,$H$2=64,$H$2=128,$H$2=256),0,1)</f>
        <v>3</v>
      </c>
      <c r="K7" s="155">
        <f t="shared" si="1"/>
        <v>30</v>
      </c>
      <c r="L7" s="157">
        <f>2*K2</f>
        <v>13.736570910639983</v>
      </c>
      <c r="M7" s="157">
        <f t="shared" si="2"/>
        <v>80.068366573734622</v>
      </c>
    </row>
    <row r="8" spans="1:36" ht="14.45" customHeight="1" x14ac:dyDescent="0.25">
      <c r="A8" s="39">
        <f t="shared" si="3"/>
        <v>55.204694129130715</v>
      </c>
      <c r="B8" s="36">
        <f t="shared" si="0"/>
        <v>3</v>
      </c>
      <c r="C8" s="24" t="s">
        <v>21</v>
      </c>
      <c r="D8" s="24" t="s">
        <v>60</v>
      </c>
      <c r="E8" s="24" t="s">
        <v>86</v>
      </c>
      <c r="F8" s="24"/>
      <c r="G8" s="8"/>
      <c r="H8" s="152">
        <v>3</v>
      </c>
      <c r="I8" s="153">
        <f t="shared" si="4"/>
        <v>28.336408673810727</v>
      </c>
      <c r="J8" s="152">
        <f t="shared" si="5"/>
        <v>2</v>
      </c>
      <c r="K8" s="152">
        <f t="shared" si="1"/>
        <v>20</v>
      </c>
      <c r="L8" s="154">
        <f>K2</f>
        <v>6.8682854553199917</v>
      </c>
      <c r="M8" s="154">
        <f t="shared" si="2"/>
        <v>55.204694129130715</v>
      </c>
    </row>
    <row r="9" spans="1:36" ht="14.45" customHeight="1" x14ac:dyDescent="0.25">
      <c r="A9" s="40">
        <f t="shared" si="3"/>
        <v>42.663591326189277</v>
      </c>
      <c r="B9" s="35">
        <f t="shared" si="0"/>
        <v>4</v>
      </c>
      <c r="C9" s="25" t="s">
        <v>23</v>
      </c>
      <c r="D9" s="25" t="s">
        <v>73</v>
      </c>
      <c r="E9" s="25" t="s">
        <v>86</v>
      </c>
      <c r="F9" s="25"/>
      <c r="G9" s="8"/>
      <c r="H9" s="155">
        <v>4</v>
      </c>
      <c r="I9" s="156">
        <f t="shared" si="4"/>
        <v>22.663591326189277</v>
      </c>
      <c r="J9" s="155">
        <f t="shared" si="5"/>
        <v>2</v>
      </c>
      <c r="K9" s="155">
        <f t="shared" si="1"/>
        <v>20</v>
      </c>
      <c r="L9" s="157"/>
      <c r="M9" s="157">
        <f t="shared" si="2"/>
        <v>42.663591326189277</v>
      </c>
      <c r="V9" s="158"/>
      <c r="Z9" s="159"/>
      <c r="AA9" s="159"/>
      <c r="AG9" s="160"/>
      <c r="AH9" s="143" t="s">
        <v>95</v>
      </c>
      <c r="AI9" s="143">
        <v>23</v>
      </c>
    </row>
    <row r="10" spans="1:36" ht="14.45" customHeight="1" x14ac:dyDescent="0.25">
      <c r="A10" s="39">
        <f t="shared" si="3"/>
        <v>28.263412343478148</v>
      </c>
      <c r="B10" s="36">
        <f t="shared" si="0"/>
        <v>5</v>
      </c>
      <c r="C10" s="24" t="s">
        <v>24</v>
      </c>
      <c r="D10" s="24" t="s">
        <v>64</v>
      </c>
      <c r="E10" s="24" t="s">
        <v>86</v>
      </c>
      <c r="F10" s="24"/>
      <c r="G10" s="8"/>
      <c r="H10" s="152">
        <v>5</v>
      </c>
      <c r="I10" s="153">
        <f t="shared" si="4"/>
        <v>18.263412343478148</v>
      </c>
      <c r="J10" s="152">
        <f t="shared" si="5"/>
        <v>1</v>
      </c>
      <c r="K10" s="152">
        <f t="shared" si="1"/>
        <v>10</v>
      </c>
      <c r="L10" s="152"/>
      <c r="M10" s="154">
        <f t="shared" si="2"/>
        <v>28.263412343478148</v>
      </c>
      <c r="V10" s="158"/>
      <c r="Z10" s="159"/>
      <c r="AA10" s="159"/>
      <c r="AG10" s="160"/>
      <c r="AH10" s="143" t="s">
        <v>96</v>
      </c>
      <c r="AI10" s="143">
        <v>45</v>
      </c>
    </row>
    <row r="11" spans="1:36" ht="14.45" customHeight="1" x14ac:dyDescent="0.25">
      <c r="A11" s="40">
        <f t="shared" si="3"/>
        <v>24.668204336905362</v>
      </c>
      <c r="B11" s="35">
        <f t="shared" si="0"/>
        <v>6</v>
      </c>
      <c r="C11" s="25" t="s">
        <v>26</v>
      </c>
      <c r="D11" s="25" t="s">
        <v>61</v>
      </c>
      <c r="E11" s="25" t="s">
        <v>86</v>
      </c>
      <c r="F11" s="25"/>
      <c r="G11" s="8"/>
      <c r="H11" s="155">
        <v>6</v>
      </c>
      <c r="I11" s="156">
        <f t="shared" si="4"/>
        <v>14.668204336905362</v>
      </c>
      <c r="J11" s="155">
        <f t="shared" si="5"/>
        <v>1</v>
      </c>
      <c r="K11" s="155">
        <f t="shared" si="1"/>
        <v>10</v>
      </c>
      <c r="L11" s="155"/>
      <c r="M11" s="157">
        <f t="shared" si="2"/>
        <v>24.668204336905362</v>
      </c>
      <c r="V11" s="161"/>
      <c r="Z11" s="159"/>
      <c r="AA11" s="159"/>
      <c r="AG11" s="160"/>
      <c r="AH11" s="143" t="s">
        <v>97</v>
      </c>
      <c r="AI11" s="143">
        <v>50</v>
      </c>
    </row>
    <row r="12" spans="1:36" ht="14.45" customHeight="1" x14ac:dyDescent="0.25">
      <c r="A12" s="39">
        <f t="shared" si="3"/>
        <v>21.628499279099643</v>
      </c>
      <c r="B12" s="36">
        <f t="shared" si="0"/>
        <v>7</v>
      </c>
      <c r="C12" s="24" t="s">
        <v>25</v>
      </c>
      <c r="D12" s="24" t="s">
        <v>63</v>
      </c>
      <c r="E12" s="24" t="s">
        <v>86</v>
      </c>
      <c r="F12" s="24"/>
      <c r="G12" s="8"/>
      <c r="H12" s="152">
        <v>7</v>
      </c>
      <c r="I12" s="153">
        <f t="shared" si="4"/>
        <v>11.628499279099643</v>
      </c>
      <c r="J12" s="152">
        <f t="shared" si="5"/>
        <v>1</v>
      </c>
      <c r="K12" s="152">
        <f t="shared" si="1"/>
        <v>10</v>
      </c>
      <c r="L12" s="152"/>
      <c r="M12" s="154">
        <f t="shared" si="2"/>
        <v>21.628499279099643</v>
      </c>
      <c r="Z12" s="159"/>
      <c r="AA12" s="159"/>
      <c r="AG12" s="160"/>
      <c r="AH12" s="143" t="s">
        <v>98</v>
      </c>
      <c r="AI12" s="143">
        <f>AI11-1</f>
        <v>49</v>
      </c>
    </row>
    <row r="13" spans="1:36" ht="14.45" customHeight="1" x14ac:dyDescent="0.25">
      <c r="A13" s="41">
        <f t="shared" si="3"/>
        <v>18.995386989283922</v>
      </c>
      <c r="B13" s="35">
        <f t="shared" si="0"/>
        <v>8</v>
      </c>
      <c r="C13" s="25" t="s">
        <v>34</v>
      </c>
      <c r="D13" s="25" t="s">
        <v>99</v>
      </c>
      <c r="E13" s="25" t="s">
        <v>100</v>
      </c>
      <c r="F13" s="25"/>
      <c r="G13" s="8"/>
      <c r="H13" s="155">
        <v>8</v>
      </c>
      <c r="I13" s="156">
        <f t="shared" si="4"/>
        <v>8.9953869892839222</v>
      </c>
      <c r="J13" s="155">
        <f t="shared" si="5"/>
        <v>1</v>
      </c>
      <c r="K13" s="155">
        <f t="shared" si="1"/>
        <v>10</v>
      </c>
      <c r="L13" s="155"/>
      <c r="M13" s="157">
        <f t="shared" si="2"/>
        <v>18.995386989283922</v>
      </c>
      <c r="X13" s="158"/>
      <c r="AG13" s="160"/>
      <c r="AH13" s="143" t="s">
        <v>101</v>
      </c>
      <c r="AI13" s="143">
        <f>LOG(AI9)</f>
        <v>1.3617278360175928</v>
      </c>
    </row>
    <row r="14" spans="1:36" ht="51.65" x14ac:dyDescent="0.25">
      <c r="A14" s="42">
        <f t="shared" si="3"/>
        <v>6.6728173476214536</v>
      </c>
      <c r="B14" s="36">
        <f t="shared" si="0"/>
        <v>9</v>
      </c>
      <c r="C14" s="24" t="s">
        <v>28</v>
      </c>
      <c r="D14" s="24" t="s">
        <v>65</v>
      </c>
      <c r="E14" s="24" t="s">
        <v>86</v>
      </c>
      <c r="F14" s="24"/>
      <c r="G14" s="8"/>
      <c r="H14" s="152">
        <v>9</v>
      </c>
      <c r="I14" s="153">
        <f t="shared" si="4"/>
        <v>6.6728173476214536</v>
      </c>
      <c r="J14" s="152">
        <f t="shared" si="5"/>
        <v>0</v>
      </c>
      <c r="K14" s="152">
        <f t="shared" si="1"/>
        <v>0</v>
      </c>
      <c r="L14" s="152"/>
      <c r="M14" s="154">
        <f t="shared" si="2"/>
        <v>6.6728173476214536</v>
      </c>
      <c r="X14" s="162"/>
      <c r="Z14" s="159"/>
      <c r="AA14" s="159"/>
      <c r="AG14" s="160"/>
      <c r="AH14" s="143" t="s">
        <v>102</v>
      </c>
      <c r="AI14" s="143">
        <f>LOG(AI10)</f>
        <v>1.6532125137753437</v>
      </c>
    </row>
    <row r="15" spans="1:36" x14ac:dyDescent="0.25">
      <c r="A15" s="41">
        <f t="shared" si="3"/>
        <v>4.5952080065727898</v>
      </c>
      <c r="B15" s="35">
        <f t="shared" si="0"/>
        <v>10</v>
      </c>
      <c r="C15" s="25" t="s">
        <v>30</v>
      </c>
      <c r="D15" s="25" t="s">
        <v>103</v>
      </c>
      <c r="E15" s="25" t="s">
        <v>86</v>
      </c>
      <c r="F15" s="25"/>
      <c r="G15" s="8"/>
      <c r="H15" s="155">
        <v>10</v>
      </c>
      <c r="I15" s="156">
        <f t="shared" si="4"/>
        <v>4.5952080065727898</v>
      </c>
      <c r="J15" s="155">
        <f t="shared" si="5"/>
        <v>0</v>
      </c>
      <c r="K15" s="155">
        <f t="shared" si="1"/>
        <v>0</v>
      </c>
      <c r="L15" s="155"/>
      <c r="M15" s="157">
        <f t="shared" si="2"/>
        <v>4.5952080065727898</v>
      </c>
      <c r="X15" s="158"/>
      <c r="Z15" s="159"/>
      <c r="AA15" s="159"/>
    </row>
    <row r="16" spans="1:36" ht="38.75" x14ac:dyDescent="0.25">
      <c r="A16" s="42">
        <f t="shared" si="3"/>
        <v>2.7157817469141534</v>
      </c>
      <c r="B16" s="36">
        <f t="shared" si="0"/>
        <v>11</v>
      </c>
      <c r="C16" s="24" t="s">
        <v>33</v>
      </c>
      <c r="D16" s="24" t="s">
        <v>66</v>
      </c>
      <c r="E16" s="24" t="s">
        <v>86</v>
      </c>
      <c r="F16" s="24"/>
      <c r="G16" s="8"/>
      <c r="H16" s="152">
        <v>11</v>
      </c>
      <c r="I16" s="153">
        <f t="shared" si="4"/>
        <v>2.7157817469141534</v>
      </c>
      <c r="J16" s="152">
        <f t="shared" si="5"/>
        <v>0</v>
      </c>
      <c r="K16" s="152">
        <f t="shared" si="1"/>
        <v>0</v>
      </c>
      <c r="L16" s="152"/>
      <c r="M16" s="154">
        <f t="shared" si="2"/>
        <v>2.7157817469141534</v>
      </c>
      <c r="R16" s="163"/>
      <c r="Z16" s="159"/>
      <c r="AA16" s="159"/>
      <c r="AH16" s="164" t="s">
        <v>104</v>
      </c>
      <c r="AI16" s="143">
        <f>AI11-AI12*AI13/AI14</f>
        <v>9.6393909380186855</v>
      </c>
      <c r="AJ16" s="143" t="s">
        <v>105</v>
      </c>
    </row>
    <row r="17" spans="1:19" ht="25.85" x14ac:dyDescent="0.25">
      <c r="A17" s="41">
        <f t="shared" si="3"/>
        <v>1</v>
      </c>
      <c r="B17" s="35">
        <f t="shared" si="0"/>
        <v>12</v>
      </c>
      <c r="C17" s="25" t="s">
        <v>37</v>
      </c>
      <c r="D17" s="25" t="s">
        <v>64</v>
      </c>
      <c r="E17" s="25" t="s">
        <v>86</v>
      </c>
      <c r="F17" s="25"/>
      <c r="G17" s="8"/>
      <c r="H17" s="155">
        <v>12</v>
      </c>
      <c r="I17" s="156">
        <f t="shared" si="4"/>
        <v>1</v>
      </c>
      <c r="J17" s="155">
        <f t="shared" si="5"/>
        <v>0</v>
      </c>
      <c r="K17" s="155">
        <f t="shared" si="1"/>
        <v>0</v>
      </c>
      <c r="L17" s="155"/>
      <c r="M17" s="157">
        <f t="shared" si="2"/>
        <v>1</v>
      </c>
    </row>
    <row r="18" spans="1:19" x14ac:dyDescent="0.25">
      <c r="A18" s="42">
        <f t="shared" si="3"/>
        <v>0</v>
      </c>
      <c r="B18" s="36" t="str">
        <f t="shared" si="0"/>
        <v/>
      </c>
      <c r="C18" s="24"/>
      <c r="D18" s="24"/>
      <c r="E18" s="24"/>
      <c r="F18" s="24"/>
      <c r="G18" s="8"/>
      <c r="H18" s="152">
        <v>13</v>
      </c>
      <c r="I18" s="153" t="str">
        <f t="shared" si="4"/>
        <v/>
      </c>
      <c r="J18" s="152">
        <f t="shared" si="5"/>
        <v>0</v>
      </c>
      <c r="K18" s="152">
        <f t="shared" si="1"/>
        <v>0</v>
      </c>
      <c r="L18" s="152"/>
      <c r="M18" s="154">
        <f t="shared" si="2"/>
        <v>0</v>
      </c>
    </row>
    <row r="19" spans="1:19" x14ac:dyDescent="0.25">
      <c r="A19" s="41">
        <f t="shared" si="3"/>
        <v>0</v>
      </c>
      <c r="B19" s="35" t="str">
        <f t="shared" si="0"/>
        <v/>
      </c>
      <c r="C19" s="25"/>
      <c r="D19" s="25"/>
      <c r="E19" s="25"/>
      <c r="F19" s="25"/>
      <c r="G19" s="8"/>
      <c r="H19" s="155">
        <v>14</v>
      </c>
      <c r="I19" s="156" t="str">
        <f t="shared" si="4"/>
        <v/>
      </c>
      <c r="J19" s="155">
        <f t="shared" si="5"/>
        <v>0</v>
      </c>
      <c r="K19" s="155">
        <f t="shared" si="1"/>
        <v>0</v>
      </c>
      <c r="L19" s="155"/>
      <c r="M19" s="157">
        <f t="shared" si="2"/>
        <v>0</v>
      </c>
    </row>
    <row r="20" spans="1:19" x14ac:dyDescent="0.25">
      <c r="A20" s="42">
        <f t="shared" si="3"/>
        <v>0</v>
      </c>
      <c r="B20" s="36" t="str">
        <f t="shared" ref="B20:B65" si="6">IF(H20&gt;$H$2,"",(ROW()-5))</f>
        <v/>
      </c>
      <c r="C20" s="24"/>
      <c r="D20" s="24"/>
      <c r="E20" s="24"/>
      <c r="F20" s="24"/>
      <c r="G20" s="8"/>
      <c r="H20" s="152">
        <v>15</v>
      </c>
      <c r="I20" s="153" t="str">
        <f t="shared" si="4"/>
        <v/>
      </c>
      <c r="J20" s="152">
        <f t="shared" si="5"/>
        <v>0</v>
      </c>
      <c r="K20" s="152">
        <f t="shared" si="1"/>
        <v>0</v>
      </c>
      <c r="L20" s="152"/>
      <c r="M20" s="154">
        <f t="shared" si="2"/>
        <v>0</v>
      </c>
      <c r="R20" s="165"/>
      <c r="S20" s="166"/>
    </row>
    <row r="21" spans="1:19" x14ac:dyDescent="0.25">
      <c r="A21" s="41">
        <f t="shared" si="3"/>
        <v>0</v>
      </c>
      <c r="B21" s="35" t="str">
        <f t="shared" si="6"/>
        <v/>
      </c>
      <c r="C21" s="25"/>
      <c r="D21" s="25"/>
      <c r="E21" s="25"/>
      <c r="F21" s="25"/>
      <c r="G21" s="8"/>
      <c r="H21" s="155">
        <v>16</v>
      </c>
      <c r="I21" s="156" t="str">
        <f t="shared" si="4"/>
        <v/>
      </c>
      <c r="J21" s="155">
        <f t="shared" si="5"/>
        <v>0</v>
      </c>
      <c r="K21" s="155">
        <f t="shared" si="1"/>
        <v>0</v>
      </c>
      <c r="L21" s="155"/>
      <c r="M21" s="157">
        <f t="shared" si="2"/>
        <v>0</v>
      </c>
    </row>
    <row r="22" spans="1:19" x14ac:dyDescent="0.25">
      <c r="A22" s="42">
        <f t="shared" si="3"/>
        <v>0</v>
      </c>
      <c r="B22" s="36" t="str">
        <f t="shared" si="6"/>
        <v/>
      </c>
      <c r="C22" s="24"/>
      <c r="D22" s="24"/>
      <c r="E22" s="24"/>
      <c r="F22" s="24"/>
      <c r="G22" s="8"/>
      <c r="H22" s="152">
        <v>17</v>
      </c>
      <c r="I22" s="153" t="str">
        <f t="shared" si="4"/>
        <v/>
      </c>
      <c r="J22" s="152">
        <f t="shared" si="5"/>
        <v>-1</v>
      </c>
      <c r="K22" s="152">
        <f t="shared" si="1"/>
        <v>-10</v>
      </c>
      <c r="L22" s="152"/>
      <c r="M22" s="154">
        <f t="shared" si="2"/>
        <v>0</v>
      </c>
    </row>
    <row r="23" spans="1:19" x14ac:dyDescent="0.25">
      <c r="A23" s="41">
        <f t="shared" si="3"/>
        <v>0</v>
      </c>
      <c r="B23" s="35" t="str">
        <f t="shared" si="6"/>
        <v/>
      </c>
      <c r="C23" s="25"/>
      <c r="D23" s="25"/>
      <c r="E23" s="25"/>
      <c r="F23" s="25"/>
      <c r="G23" s="8"/>
      <c r="H23" s="155">
        <v>18</v>
      </c>
      <c r="I23" s="156" t="str">
        <f t="shared" si="4"/>
        <v/>
      </c>
      <c r="J23" s="155">
        <f t="shared" si="5"/>
        <v>-1</v>
      </c>
      <c r="K23" s="155">
        <f t="shared" si="1"/>
        <v>-10</v>
      </c>
      <c r="L23" s="155"/>
      <c r="M23" s="157">
        <f t="shared" si="2"/>
        <v>0</v>
      </c>
    </row>
    <row r="24" spans="1:19" x14ac:dyDescent="0.25">
      <c r="A24" s="42">
        <f t="shared" si="3"/>
        <v>0</v>
      </c>
      <c r="B24" s="36" t="str">
        <f t="shared" si="6"/>
        <v/>
      </c>
      <c r="C24" s="24"/>
      <c r="D24" s="24"/>
      <c r="E24" s="24"/>
      <c r="F24" s="24"/>
      <c r="G24" s="8"/>
      <c r="H24" s="152">
        <v>19</v>
      </c>
      <c r="I24" s="153" t="str">
        <f t="shared" si="4"/>
        <v/>
      </c>
      <c r="J24" s="152">
        <f t="shared" si="5"/>
        <v>-1</v>
      </c>
      <c r="K24" s="152">
        <f t="shared" si="1"/>
        <v>-10</v>
      </c>
      <c r="L24" s="152"/>
      <c r="M24" s="154">
        <f t="shared" si="2"/>
        <v>0</v>
      </c>
      <c r="R24" s="165"/>
      <c r="S24" s="166"/>
    </row>
    <row r="25" spans="1:19" x14ac:dyDescent="0.25">
      <c r="A25" s="41">
        <f t="shared" si="3"/>
        <v>0</v>
      </c>
      <c r="B25" s="35" t="str">
        <f t="shared" si="6"/>
        <v/>
      </c>
      <c r="C25" s="25"/>
      <c r="D25" s="25"/>
      <c r="E25" s="25"/>
      <c r="F25" s="25"/>
      <c r="G25" s="8"/>
      <c r="H25" s="155">
        <v>20</v>
      </c>
      <c r="I25" s="156" t="str">
        <f t="shared" si="4"/>
        <v/>
      </c>
      <c r="J25" s="155">
        <f t="shared" si="5"/>
        <v>-1</v>
      </c>
      <c r="K25" s="155">
        <f t="shared" si="1"/>
        <v>-10</v>
      </c>
      <c r="L25" s="155"/>
      <c r="M25" s="157">
        <f t="shared" si="2"/>
        <v>0</v>
      </c>
    </row>
    <row r="26" spans="1:19" x14ac:dyDescent="0.25">
      <c r="A26" s="42">
        <f t="shared" si="3"/>
        <v>0</v>
      </c>
      <c r="B26" s="36" t="str">
        <f t="shared" si="6"/>
        <v/>
      </c>
      <c r="C26" s="24"/>
      <c r="D26" s="24"/>
      <c r="E26" s="24"/>
      <c r="F26" s="24"/>
      <c r="G26" s="8"/>
      <c r="H26" s="152">
        <v>21</v>
      </c>
      <c r="I26" s="153" t="str">
        <f t="shared" si="4"/>
        <v/>
      </c>
      <c r="J26" s="152">
        <f t="shared" si="5"/>
        <v>-1</v>
      </c>
      <c r="K26" s="152">
        <f t="shared" si="1"/>
        <v>-10</v>
      </c>
      <c r="L26" s="152"/>
      <c r="M26" s="154">
        <f t="shared" si="2"/>
        <v>0</v>
      </c>
    </row>
    <row r="27" spans="1:19" x14ac:dyDescent="0.25">
      <c r="A27" s="41">
        <f t="shared" si="3"/>
        <v>0</v>
      </c>
      <c r="B27" s="35" t="str">
        <f t="shared" si="6"/>
        <v/>
      </c>
      <c r="C27" s="25"/>
      <c r="D27" s="25"/>
      <c r="E27" s="25"/>
      <c r="F27" s="25"/>
      <c r="G27" s="8"/>
      <c r="H27" s="155">
        <v>22</v>
      </c>
      <c r="I27" s="156" t="str">
        <f t="shared" si="4"/>
        <v/>
      </c>
      <c r="J27" s="155">
        <f t="shared" si="5"/>
        <v>-1</v>
      </c>
      <c r="K27" s="155">
        <f t="shared" si="1"/>
        <v>-10</v>
      </c>
      <c r="L27" s="155"/>
      <c r="M27" s="157">
        <f t="shared" si="2"/>
        <v>0</v>
      </c>
    </row>
    <row r="28" spans="1:19" x14ac:dyDescent="0.25">
      <c r="A28" s="42">
        <f t="shared" si="3"/>
        <v>0</v>
      </c>
      <c r="B28" s="36" t="str">
        <f t="shared" si="6"/>
        <v/>
      </c>
      <c r="C28" s="24"/>
      <c r="D28" s="24"/>
      <c r="E28" s="24"/>
      <c r="F28" s="24"/>
      <c r="G28" s="8"/>
      <c r="H28" s="152">
        <v>23</v>
      </c>
      <c r="I28" s="153" t="str">
        <f t="shared" si="4"/>
        <v/>
      </c>
      <c r="J28" s="152">
        <f t="shared" si="5"/>
        <v>-1</v>
      </c>
      <c r="K28" s="152">
        <f t="shared" si="1"/>
        <v>-10</v>
      </c>
      <c r="L28" s="152"/>
      <c r="M28" s="154">
        <f t="shared" si="2"/>
        <v>0</v>
      </c>
      <c r="R28" s="165"/>
      <c r="S28" s="166"/>
    </row>
    <row r="29" spans="1:19" x14ac:dyDescent="0.25">
      <c r="A29" s="41">
        <f t="shared" si="3"/>
        <v>0</v>
      </c>
      <c r="B29" s="35" t="str">
        <f t="shared" si="6"/>
        <v/>
      </c>
      <c r="C29" s="25"/>
      <c r="D29" s="25"/>
      <c r="E29" s="25"/>
      <c r="F29" s="25"/>
      <c r="G29" s="138"/>
      <c r="H29" s="155">
        <v>24</v>
      </c>
      <c r="I29" s="156" t="str">
        <f t="shared" si="4"/>
        <v/>
      </c>
      <c r="J29" s="155">
        <f t="shared" si="5"/>
        <v>-1</v>
      </c>
      <c r="K29" s="155">
        <f t="shared" si="1"/>
        <v>-10</v>
      </c>
      <c r="L29" s="155"/>
      <c r="M29" s="157">
        <f t="shared" si="2"/>
        <v>0</v>
      </c>
    </row>
    <row r="30" spans="1:19" x14ac:dyDescent="0.25">
      <c r="A30" s="42">
        <f t="shared" si="3"/>
        <v>0</v>
      </c>
      <c r="B30" s="36" t="str">
        <f t="shared" si="6"/>
        <v/>
      </c>
      <c r="C30" s="24"/>
      <c r="D30" s="24"/>
      <c r="E30" s="24"/>
      <c r="F30" s="24"/>
      <c r="G30" s="138"/>
      <c r="H30" s="152">
        <v>25</v>
      </c>
      <c r="I30" s="153" t="str">
        <f t="shared" si="4"/>
        <v/>
      </c>
      <c r="J30" s="152">
        <f t="shared" si="5"/>
        <v>-1</v>
      </c>
      <c r="K30" s="152">
        <f t="shared" si="1"/>
        <v>-10</v>
      </c>
      <c r="L30" s="152"/>
      <c r="M30" s="154">
        <f t="shared" si="2"/>
        <v>0</v>
      </c>
    </row>
    <row r="31" spans="1:19" x14ac:dyDescent="0.25">
      <c r="A31" s="41">
        <f t="shared" si="3"/>
        <v>0</v>
      </c>
      <c r="B31" s="35" t="str">
        <f t="shared" si="6"/>
        <v/>
      </c>
      <c r="C31" s="25"/>
      <c r="D31" s="25"/>
      <c r="E31" s="25"/>
      <c r="F31" s="25"/>
      <c r="G31" s="138"/>
      <c r="H31" s="155">
        <v>26</v>
      </c>
      <c r="I31" s="156" t="str">
        <f t="shared" si="4"/>
        <v/>
      </c>
      <c r="J31" s="155">
        <f t="shared" si="5"/>
        <v>-1</v>
      </c>
      <c r="K31" s="155">
        <f t="shared" si="1"/>
        <v>-10</v>
      </c>
      <c r="L31" s="155"/>
      <c r="M31" s="157">
        <f t="shared" si="2"/>
        <v>0</v>
      </c>
    </row>
    <row r="32" spans="1:19" x14ac:dyDescent="0.25">
      <c r="A32" s="42">
        <f t="shared" si="3"/>
        <v>0</v>
      </c>
      <c r="B32" s="36" t="str">
        <f t="shared" si="6"/>
        <v/>
      </c>
      <c r="C32" s="24"/>
      <c r="D32" s="24"/>
      <c r="E32" s="24"/>
      <c r="F32" s="24"/>
      <c r="G32" s="138"/>
      <c r="H32" s="152">
        <v>27</v>
      </c>
      <c r="I32" s="153" t="str">
        <f t="shared" si="4"/>
        <v/>
      </c>
      <c r="J32" s="152">
        <f t="shared" si="5"/>
        <v>-1</v>
      </c>
      <c r="K32" s="152">
        <f t="shared" si="1"/>
        <v>-10</v>
      </c>
      <c r="L32" s="152"/>
      <c r="M32" s="154">
        <f t="shared" si="2"/>
        <v>0</v>
      </c>
      <c r="R32" s="165"/>
      <c r="S32" s="166"/>
    </row>
    <row r="33" spans="1:21" x14ac:dyDescent="0.25">
      <c r="A33" s="41">
        <f t="shared" si="3"/>
        <v>0</v>
      </c>
      <c r="B33" s="35" t="str">
        <f t="shared" si="6"/>
        <v/>
      </c>
      <c r="C33" s="25"/>
      <c r="D33" s="25"/>
      <c r="E33" s="25"/>
      <c r="F33" s="25"/>
      <c r="G33" s="138"/>
      <c r="H33" s="155">
        <v>28</v>
      </c>
      <c r="I33" s="156" t="str">
        <f t="shared" si="4"/>
        <v/>
      </c>
      <c r="J33" s="155">
        <f t="shared" si="5"/>
        <v>-1</v>
      </c>
      <c r="K33" s="155">
        <f t="shared" si="1"/>
        <v>-10</v>
      </c>
      <c r="L33" s="155"/>
      <c r="M33" s="157">
        <f t="shared" si="2"/>
        <v>0</v>
      </c>
    </row>
    <row r="34" spans="1:21" x14ac:dyDescent="0.25">
      <c r="A34" s="42">
        <f t="shared" si="3"/>
        <v>0</v>
      </c>
      <c r="B34" s="36" t="str">
        <f t="shared" si="6"/>
        <v/>
      </c>
      <c r="C34" s="24"/>
      <c r="D34" s="24"/>
      <c r="E34" s="24"/>
      <c r="F34" s="24"/>
      <c r="G34" s="138"/>
      <c r="H34" s="152">
        <v>29</v>
      </c>
      <c r="I34" s="153" t="str">
        <f t="shared" si="4"/>
        <v/>
      </c>
      <c r="J34" s="152">
        <f t="shared" si="5"/>
        <v>-1</v>
      </c>
      <c r="K34" s="152">
        <f t="shared" si="1"/>
        <v>-10</v>
      </c>
      <c r="L34" s="152"/>
      <c r="M34" s="154">
        <f t="shared" si="2"/>
        <v>0</v>
      </c>
    </row>
    <row r="35" spans="1:21" x14ac:dyDescent="0.25">
      <c r="A35" s="41">
        <f t="shared" si="3"/>
        <v>0</v>
      </c>
      <c r="B35" s="35" t="str">
        <f t="shared" si="6"/>
        <v/>
      </c>
      <c r="C35" s="25"/>
      <c r="D35" s="25"/>
      <c r="E35" s="25"/>
      <c r="F35" s="25"/>
      <c r="G35" s="138"/>
      <c r="H35" s="155">
        <v>30</v>
      </c>
      <c r="I35" s="156" t="str">
        <f t="shared" si="4"/>
        <v/>
      </c>
      <c r="J35" s="155">
        <f t="shared" si="5"/>
        <v>-1</v>
      </c>
      <c r="K35" s="155">
        <f t="shared" si="1"/>
        <v>-10</v>
      </c>
      <c r="L35" s="155"/>
      <c r="M35" s="157">
        <f t="shared" si="2"/>
        <v>0</v>
      </c>
    </row>
    <row r="36" spans="1:21" x14ac:dyDescent="0.25">
      <c r="A36" s="42">
        <f t="shared" si="3"/>
        <v>0</v>
      </c>
      <c r="B36" s="36" t="str">
        <f t="shared" si="6"/>
        <v/>
      </c>
      <c r="C36" s="24"/>
      <c r="D36" s="24"/>
      <c r="E36" s="24"/>
      <c r="F36" s="24"/>
      <c r="G36" s="138"/>
      <c r="H36" s="152">
        <v>31</v>
      </c>
      <c r="I36" s="153" t="str">
        <f t="shared" si="4"/>
        <v/>
      </c>
      <c r="J36" s="152">
        <f t="shared" si="5"/>
        <v>-1</v>
      </c>
      <c r="K36" s="152">
        <f t="shared" si="1"/>
        <v>-10</v>
      </c>
      <c r="L36" s="152"/>
      <c r="M36" s="154">
        <f t="shared" si="2"/>
        <v>0</v>
      </c>
      <c r="R36" s="165"/>
      <c r="S36" s="166"/>
    </row>
    <row r="37" spans="1:21" x14ac:dyDescent="0.25">
      <c r="A37" s="41">
        <f t="shared" si="3"/>
        <v>0</v>
      </c>
      <c r="B37" s="35" t="str">
        <f t="shared" si="6"/>
        <v/>
      </c>
      <c r="C37" s="25"/>
      <c r="D37" s="25"/>
      <c r="E37" s="25"/>
      <c r="F37" s="25"/>
      <c r="G37" s="138"/>
      <c r="H37" s="155">
        <v>32</v>
      </c>
      <c r="I37" s="156" t="str">
        <f t="shared" si="4"/>
        <v/>
      </c>
      <c r="J37" s="155">
        <f t="shared" si="5"/>
        <v>-1</v>
      </c>
      <c r="K37" s="155">
        <f t="shared" si="1"/>
        <v>-10</v>
      </c>
      <c r="L37" s="155"/>
      <c r="M37" s="157">
        <f t="shared" si="2"/>
        <v>0</v>
      </c>
    </row>
    <row r="38" spans="1:21" x14ac:dyDescent="0.25">
      <c r="A38" s="42"/>
      <c r="B38" s="36" t="str">
        <f t="shared" si="6"/>
        <v/>
      </c>
      <c r="C38" s="24"/>
      <c r="D38" s="24"/>
      <c r="E38" s="24"/>
      <c r="F38" s="24"/>
      <c r="G38" s="138"/>
      <c r="H38" s="152">
        <v>33</v>
      </c>
      <c r="I38" s="153" t="str">
        <f t="shared" si="4"/>
        <v/>
      </c>
      <c r="J38" s="152">
        <f t="shared" si="5"/>
        <v>-2</v>
      </c>
      <c r="K38" s="152">
        <f t="shared" si="1"/>
        <v>-20</v>
      </c>
      <c r="L38" s="152"/>
      <c r="M38" s="154">
        <f t="shared" si="2"/>
        <v>0</v>
      </c>
    </row>
    <row r="39" spans="1:21" x14ac:dyDescent="0.25">
      <c r="A39" s="41"/>
      <c r="B39" s="35" t="str">
        <f t="shared" si="6"/>
        <v/>
      </c>
      <c r="C39" s="25"/>
      <c r="D39" s="25"/>
      <c r="E39" s="25"/>
      <c r="F39" s="25"/>
      <c r="G39" s="138"/>
      <c r="H39" s="155">
        <v>34</v>
      </c>
      <c r="I39" s="156" t="str">
        <f t="shared" si="4"/>
        <v/>
      </c>
      <c r="J39" s="155">
        <f t="shared" si="5"/>
        <v>-2</v>
      </c>
      <c r="K39" s="155">
        <f t="shared" si="1"/>
        <v>-20</v>
      </c>
      <c r="L39" s="155"/>
      <c r="M39" s="157">
        <f t="shared" si="2"/>
        <v>0</v>
      </c>
    </row>
    <row r="40" spans="1:21" x14ac:dyDescent="0.25">
      <c r="A40" s="42"/>
      <c r="B40" s="36" t="str">
        <f t="shared" si="6"/>
        <v/>
      </c>
      <c r="C40" s="24"/>
      <c r="D40" s="24"/>
      <c r="E40" s="24"/>
      <c r="F40" s="24"/>
      <c r="G40" s="138"/>
      <c r="H40" s="152">
        <v>35</v>
      </c>
      <c r="I40" s="153" t="str">
        <f t="shared" si="4"/>
        <v/>
      </c>
      <c r="J40" s="152">
        <f t="shared" si="5"/>
        <v>-2</v>
      </c>
      <c r="K40" s="152">
        <f t="shared" si="1"/>
        <v>-20</v>
      </c>
      <c r="L40" s="152"/>
      <c r="M40" s="154">
        <f t="shared" si="2"/>
        <v>0</v>
      </c>
    </row>
    <row r="41" spans="1:21" x14ac:dyDescent="0.25">
      <c r="A41" s="41"/>
      <c r="B41" s="35" t="str">
        <f t="shared" si="6"/>
        <v/>
      </c>
      <c r="C41" s="25"/>
      <c r="D41" s="25"/>
      <c r="E41" s="25"/>
      <c r="F41" s="25"/>
      <c r="G41" s="138"/>
      <c r="H41" s="155">
        <v>36</v>
      </c>
      <c r="I41" s="156" t="str">
        <f t="shared" si="4"/>
        <v/>
      </c>
      <c r="J41" s="155">
        <f t="shared" si="5"/>
        <v>-2</v>
      </c>
      <c r="K41" s="155">
        <f t="shared" si="1"/>
        <v>-20</v>
      </c>
      <c r="L41" s="155"/>
      <c r="M41" s="157">
        <f t="shared" si="2"/>
        <v>0</v>
      </c>
      <c r="S41" s="167"/>
    </row>
    <row r="42" spans="1:21" x14ac:dyDescent="0.25">
      <c r="A42" s="42"/>
      <c r="B42" s="36" t="str">
        <f t="shared" si="6"/>
        <v/>
      </c>
      <c r="C42" s="24"/>
      <c r="D42" s="24"/>
      <c r="E42" s="24"/>
      <c r="F42" s="24"/>
      <c r="G42" s="138"/>
      <c r="H42" s="152">
        <v>37</v>
      </c>
      <c r="I42" s="153" t="str">
        <f t="shared" si="4"/>
        <v/>
      </c>
      <c r="J42" s="152">
        <f t="shared" si="5"/>
        <v>-2</v>
      </c>
      <c r="K42" s="152">
        <f t="shared" si="1"/>
        <v>-20</v>
      </c>
      <c r="L42" s="152"/>
      <c r="M42" s="154">
        <f t="shared" si="2"/>
        <v>0</v>
      </c>
    </row>
    <row r="43" spans="1:21" x14ac:dyDescent="0.25">
      <c r="A43" s="41"/>
      <c r="B43" s="35" t="str">
        <f t="shared" si="6"/>
        <v/>
      </c>
      <c r="C43" s="25"/>
      <c r="D43" s="25"/>
      <c r="E43" s="25"/>
      <c r="F43" s="25"/>
      <c r="G43" s="138"/>
      <c r="H43" s="155">
        <v>38</v>
      </c>
      <c r="I43" s="156" t="str">
        <f t="shared" si="4"/>
        <v/>
      </c>
      <c r="J43" s="155">
        <f t="shared" si="5"/>
        <v>-2</v>
      </c>
      <c r="K43" s="155">
        <f t="shared" si="1"/>
        <v>-20</v>
      </c>
      <c r="L43" s="155"/>
      <c r="M43" s="157">
        <f t="shared" si="2"/>
        <v>0</v>
      </c>
    </row>
    <row r="44" spans="1:21" x14ac:dyDescent="0.25">
      <c r="A44" s="42"/>
      <c r="B44" s="36" t="str">
        <f t="shared" si="6"/>
        <v/>
      </c>
      <c r="C44" s="24"/>
      <c r="D44" s="24"/>
      <c r="E44" s="24"/>
      <c r="F44" s="24"/>
      <c r="G44" s="138"/>
      <c r="H44" s="152">
        <v>39</v>
      </c>
      <c r="I44" s="153" t="str">
        <f t="shared" si="4"/>
        <v/>
      </c>
      <c r="J44" s="152">
        <f t="shared" si="5"/>
        <v>-2</v>
      </c>
      <c r="K44" s="152">
        <f t="shared" si="1"/>
        <v>-20</v>
      </c>
      <c r="L44" s="152"/>
      <c r="M44" s="154">
        <f t="shared" si="2"/>
        <v>0</v>
      </c>
    </row>
    <row r="45" spans="1:21" x14ac:dyDescent="0.25">
      <c r="A45" s="41"/>
      <c r="B45" s="35" t="str">
        <f t="shared" si="6"/>
        <v/>
      </c>
      <c r="C45" s="25"/>
      <c r="D45" s="25"/>
      <c r="E45" s="25"/>
      <c r="F45" s="25"/>
      <c r="G45" s="138"/>
      <c r="H45" s="155">
        <v>40</v>
      </c>
      <c r="I45" s="156" t="str">
        <f t="shared" si="4"/>
        <v/>
      </c>
      <c r="J45" s="155">
        <f t="shared" si="5"/>
        <v>-2</v>
      </c>
      <c r="K45" s="155">
        <f t="shared" si="1"/>
        <v>-20</v>
      </c>
      <c r="L45" s="155"/>
      <c r="M45" s="157">
        <f t="shared" si="2"/>
        <v>0</v>
      </c>
    </row>
    <row r="46" spans="1:21" x14ac:dyDescent="0.25">
      <c r="A46" s="42"/>
      <c r="B46" s="36" t="str">
        <f t="shared" si="6"/>
        <v/>
      </c>
      <c r="C46" s="24"/>
      <c r="D46" s="24"/>
      <c r="E46" s="24"/>
      <c r="F46" s="24"/>
      <c r="G46" s="138"/>
      <c r="H46" s="152">
        <v>41</v>
      </c>
      <c r="I46" s="153" t="str">
        <f t="shared" si="4"/>
        <v/>
      </c>
      <c r="J46" s="152">
        <f t="shared" si="5"/>
        <v>-2</v>
      </c>
      <c r="K46" s="152">
        <f t="shared" si="1"/>
        <v>-20</v>
      </c>
      <c r="L46" s="152"/>
      <c r="M46" s="154">
        <f t="shared" si="2"/>
        <v>0</v>
      </c>
      <c r="R46" s="138">
        <f>LOG($H$2,2)</f>
        <v>3.5849625007211565</v>
      </c>
      <c r="T46" s="143">
        <f>LOG(H38,2)</f>
        <v>5.0443941193584534</v>
      </c>
      <c r="U46" s="143">
        <f>R46-T46</f>
        <v>-1.4594316186372969</v>
      </c>
    </row>
    <row r="47" spans="1:21" x14ac:dyDescent="0.25">
      <c r="A47" s="41"/>
      <c r="B47" s="35" t="str">
        <f t="shared" si="6"/>
        <v/>
      </c>
      <c r="C47" s="25"/>
      <c r="D47" s="25"/>
      <c r="E47" s="25"/>
      <c r="F47" s="25"/>
      <c r="G47" s="138"/>
      <c r="H47" s="155">
        <v>42</v>
      </c>
      <c r="I47" s="156" t="str">
        <f t="shared" si="4"/>
        <v/>
      </c>
      <c r="J47" s="155">
        <f t="shared" si="5"/>
        <v>-2</v>
      </c>
      <c r="K47" s="155">
        <f t="shared" si="1"/>
        <v>-20</v>
      </c>
      <c r="L47" s="155"/>
      <c r="M47" s="157">
        <f t="shared" si="2"/>
        <v>0</v>
      </c>
    </row>
    <row r="48" spans="1:21" x14ac:dyDescent="0.25">
      <c r="A48" s="42"/>
      <c r="B48" s="36" t="str">
        <f t="shared" si="6"/>
        <v/>
      </c>
      <c r="C48" s="24"/>
      <c r="D48" s="24"/>
      <c r="E48" s="24"/>
      <c r="F48" s="24"/>
      <c r="G48" s="138"/>
      <c r="H48" s="152">
        <v>43</v>
      </c>
      <c r="I48" s="153" t="str">
        <f t="shared" si="4"/>
        <v/>
      </c>
      <c r="J48" s="152">
        <f t="shared" si="5"/>
        <v>-2</v>
      </c>
      <c r="K48" s="152">
        <f t="shared" si="1"/>
        <v>-20</v>
      </c>
      <c r="L48" s="152"/>
      <c r="M48" s="154">
        <f t="shared" si="2"/>
        <v>0</v>
      </c>
    </row>
    <row r="49" spans="1:13" x14ac:dyDescent="0.25">
      <c r="A49" s="41"/>
      <c r="B49" s="35" t="str">
        <f t="shared" si="6"/>
        <v/>
      </c>
      <c r="C49" s="25"/>
      <c r="D49" s="25"/>
      <c r="E49" s="25"/>
      <c r="F49" s="25"/>
      <c r="G49" s="138"/>
      <c r="H49" s="155">
        <v>44</v>
      </c>
      <c r="I49" s="156" t="str">
        <f t="shared" si="4"/>
        <v/>
      </c>
      <c r="J49" s="155">
        <f t="shared" si="5"/>
        <v>-2</v>
      </c>
      <c r="K49" s="155">
        <f t="shared" si="1"/>
        <v>-20</v>
      </c>
      <c r="L49" s="155"/>
      <c r="M49" s="157">
        <f t="shared" si="2"/>
        <v>0</v>
      </c>
    </row>
    <row r="50" spans="1:13" x14ac:dyDescent="0.25">
      <c r="A50" s="42"/>
      <c r="B50" s="36" t="str">
        <f t="shared" si="6"/>
        <v/>
      </c>
      <c r="C50" s="24"/>
      <c r="D50" s="24"/>
      <c r="E50" s="24"/>
      <c r="F50" s="24"/>
      <c r="G50" s="138"/>
      <c r="H50" s="152">
        <v>45</v>
      </c>
      <c r="I50" s="153" t="str">
        <f t="shared" si="4"/>
        <v/>
      </c>
      <c r="J50" s="152">
        <f t="shared" si="5"/>
        <v>-2</v>
      </c>
      <c r="K50" s="152">
        <f t="shared" si="1"/>
        <v>-20</v>
      </c>
      <c r="L50" s="152"/>
      <c r="M50" s="154">
        <f t="shared" si="2"/>
        <v>0</v>
      </c>
    </row>
    <row r="51" spans="1:13" x14ac:dyDescent="0.25">
      <c r="A51" s="41"/>
      <c r="B51" s="35" t="str">
        <f t="shared" si="6"/>
        <v/>
      </c>
      <c r="C51" s="25"/>
      <c r="D51" s="25"/>
      <c r="E51" s="25"/>
      <c r="F51" s="25"/>
      <c r="G51" s="138"/>
      <c r="H51" s="155">
        <v>46</v>
      </c>
      <c r="I51" s="156" t="str">
        <f t="shared" si="4"/>
        <v/>
      </c>
      <c r="J51" s="155">
        <f t="shared" si="5"/>
        <v>-2</v>
      </c>
      <c r="K51" s="155">
        <f t="shared" si="1"/>
        <v>-20</v>
      </c>
      <c r="L51" s="155"/>
      <c r="M51" s="157">
        <f t="shared" si="2"/>
        <v>0</v>
      </c>
    </row>
    <row r="52" spans="1:13" x14ac:dyDescent="0.25">
      <c r="A52" s="42"/>
      <c r="B52" s="36" t="str">
        <f t="shared" si="6"/>
        <v/>
      </c>
      <c r="C52" s="24"/>
      <c r="D52" s="24"/>
      <c r="E52" s="24"/>
      <c r="F52" s="24"/>
      <c r="G52" s="138"/>
      <c r="H52" s="152">
        <v>47</v>
      </c>
      <c r="I52" s="153" t="str">
        <f t="shared" si="4"/>
        <v/>
      </c>
      <c r="J52" s="152">
        <f t="shared" si="5"/>
        <v>-2</v>
      </c>
      <c r="K52" s="152">
        <f t="shared" si="1"/>
        <v>-20</v>
      </c>
      <c r="L52" s="152"/>
      <c r="M52" s="154">
        <f t="shared" si="2"/>
        <v>0</v>
      </c>
    </row>
    <row r="53" spans="1:13" x14ac:dyDescent="0.25">
      <c r="A53" s="41"/>
      <c r="B53" s="35" t="str">
        <f t="shared" si="6"/>
        <v/>
      </c>
      <c r="C53" s="25"/>
      <c r="D53" s="25"/>
      <c r="E53" s="25"/>
      <c r="F53" s="25"/>
      <c r="G53" s="138"/>
      <c r="H53" s="155">
        <v>48</v>
      </c>
      <c r="I53" s="156" t="str">
        <f t="shared" si="4"/>
        <v/>
      </c>
      <c r="J53" s="155">
        <f t="shared" si="5"/>
        <v>-2</v>
      </c>
      <c r="K53" s="155">
        <f t="shared" si="1"/>
        <v>-20</v>
      </c>
      <c r="L53" s="155"/>
      <c r="M53" s="157">
        <f t="shared" si="2"/>
        <v>0</v>
      </c>
    </row>
    <row r="54" spans="1:13" x14ac:dyDescent="0.25">
      <c r="A54" s="42"/>
      <c r="B54" s="36" t="str">
        <f t="shared" si="6"/>
        <v/>
      </c>
      <c r="C54" s="24"/>
      <c r="D54" s="24"/>
      <c r="E54" s="24"/>
      <c r="F54" s="24"/>
      <c r="G54" s="138"/>
      <c r="H54" s="152">
        <v>49</v>
      </c>
      <c r="I54" s="153" t="str">
        <f t="shared" si="4"/>
        <v/>
      </c>
      <c r="J54" s="152">
        <f t="shared" si="5"/>
        <v>-2</v>
      </c>
      <c r="K54" s="152">
        <f t="shared" si="1"/>
        <v>-20</v>
      </c>
      <c r="L54" s="152"/>
      <c r="M54" s="154">
        <f t="shared" si="2"/>
        <v>0</v>
      </c>
    </row>
    <row r="55" spans="1:13" x14ac:dyDescent="0.25">
      <c r="A55" s="41"/>
      <c r="B55" s="35" t="str">
        <f t="shared" si="6"/>
        <v/>
      </c>
      <c r="C55" s="25"/>
      <c r="D55" s="25"/>
      <c r="E55" s="25"/>
      <c r="F55" s="25"/>
      <c r="G55" s="138"/>
      <c r="H55" s="155">
        <v>50</v>
      </c>
      <c r="I55" s="156" t="str">
        <f t="shared" si="4"/>
        <v/>
      </c>
      <c r="J55" s="155">
        <f t="shared" si="5"/>
        <v>-2</v>
      </c>
      <c r="K55" s="155">
        <f t="shared" si="1"/>
        <v>-20</v>
      </c>
      <c r="L55" s="155"/>
      <c r="M55" s="157">
        <f t="shared" si="2"/>
        <v>0</v>
      </c>
    </row>
    <row r="56" spans="1:13" x14ac:dyDescent="0.25">
      <c r="A56" s="42"/>
      <c r="B56" s="36" t="str">
        <f t="shared" si="6"/>
        <v/>
      </c>
      <c r="C56" s="24"/>
      <c r="D56" s="24"/>
      <c r="E56" s="24"/>
      <c r="F56" s="24"/>
      <c r="G56" s="138"/>
      <c r="H56" s="152">
        <v>51</v>
      </c>
      <c r="I56" s="153" t="str">
        <f t="shared" si="4"/>
        <v/>
      </c>
      <c r="J56" s="152">
        <f t="shared" si="5"/>
        <v>-2</v>
      </c>
      <c r="K56" s="152">
        <f t="shared" si="1"/>
        <v>-20</v>
      </c>
      <c r="L56" s="152"/>
      <c r="M56" s="154">
        <f t="shared" si="2"/>
        <v>0</v>
      </c>
    </row>
    <row r="57" spans="1:13" x14ac:dyDescent="0.25">
      <c r="A57" s="41"/>
      <c r="B57" s="35" t="str">
        <f t="shared" si="6"/>
        <v/>
      </c>
      <c r="C57" s="25"/>
      <c r="D57" s="25"/>
      <c r="E57" s="25"/>
      <c r="F57" s="25"/>
      <c r="G57" s="138"/>
      <c r="H57" s="155">
        <v>52</v>
      </c>
      <c r="I57" s="156" t="str">
        <f t="shared" si="4"/>
        <v/>
      </c>
      <c r="J57" s="155">
        <f t="shared" si="5"/>
        <v>-2</v>
      </c>
      <c r="K57" s="155">
        <f t="shared" si="1"/>
        <v>-20</v>
      </c>
      <c r="L57" s="155"/>
      <c r="M57" s="157">
        <f t="shared" si="2"/>
        <v>0</v>
      </c>
    </row>
    <row r="58" spans="1:13" x14ac:dyDescent="0.25">
      <c r="A58" s="42"/>
      <c r="B58" s="36" t="str">
        <f t="shared" si="6"/>
        <v/>
      </c>
      <c r="C58" s="24"/>
      <c r="D58" s="24"/>
      <c r="E58" s="24"/>
      <c r="F58" s="24"/>
      <c r="G58" s="138"/>
      <c r="H58" s="152">
        <v>53</v>
      </c>
      <c r="I58" s="153" t="str">
        <f t="shared" si="4"/>
        <v/>
      </c>
      <c r="J58" s="152">
        <f t="shared" si="5"/>
        <v>-2</v>
      </c>
      <c r="K58" s="152">
        <f t="shared" si="1"/>
        <v>-20</v>
      </c>
      <c r="L58" s="152"/>
      <c r="M58" s="154">
        <f t="shared" si="2"/>
        <v>0</v>
      </c>
    </row>
    <row r="59" spans="1:13" x14ac:dyDescent="0.25">
      <c r="A59" s="41"/>
      <c r="B59" s="35" t="str">
        <f t="shared" si="6"/>
        <v/>
      </c>
      <c r="C59" s="25"/>
      <c r="D59" s="25"/>
      <c r="E59" s="25"/>
      <c r="F59" s="25"/>
      <c r="G59" s="138"/>
      <c r="H59" s="155">
        <v>54</v>
      </c>
      <c r="I59" s="156" t="str">
        <f t="shared" si="4"/>
        <v/>
      </c>
      <c r="J59" s="155">
        <f t="shared" si="5"/>
        <v>-2</v>
      </c>
      <c r="K59" s="155">
        <f t="shared" si="1"/>
        <v>-20</v>
      </c>
      <c r="L59" s="155"/>
      <c r="M59" s="157">
        <f t="shared" si="2"/>
        <v>0</v>
      </c>
    </row>
    <row r="60" spans="1:13" x14ac:dyDescent="0.25">
      <c r="A60" s="42"/>
      <c r="B60" s="36" t="str">
        <f t="shared" si="6"/>
        <v/>
      </c>
      <c r="C60" s="24"/>
      <c r="D60" s="24"/>
      <c r="E60" s="24"/>
      <c r="F60" s="24"/>
      <c r="G60" s="138"/>
      <c r="H60" s="152">
        <v>55</v>
      </c>
      <c r="I60" s="153" t="str">
        <f t="shared" si="4"/>
        <v/>
      </c>
      <c r="J60" s="152">
        <f t="shared" si="5"/>
        <v>-2</v>
      </c>
      <c r="K60" s="152">
        <f t="shared" si="1"/>
        <v>-20</v>
      </c>
      <c r="L60" s="152"/>
      <c r="M60" s="154">
        <f t="shared" si="2"/>
        <v>0</v>
      </c>
    </row>
    <row r="61" spans="1:13" x14ac:dyDescent="0.25">
      <c r="A61" s="41"/>
      <c r="B61" s="35" t="str">
        <f t="shared" si="6"/>
        <v/>
      </c>
      <c r="C61" s="25"/>
      <c r="D61" s="25"/>
      <c r="E61" s="25"/>
      <c r="F61" s="25"/>
      <c r="G61" s="138"/>
      <c r="H61" s="155">
        <v>56</v>
      </c>
      <c r="I61" s="156" t="str">
        <f t="shared" si="4"/>
        <v/>
      </c>
      <c r="J61" s="155">
        <f t="shared" si="5"/>
        <v>-2</v>
      </c>
      <c r="K61" s="155">
        <f t="shared" si="1"/>
        <v>-20</v>
      </c>
      <c r="L61" s="155"/>
      <c r="M61" s="157">
        <f t="shared" si="2"/>
        <v>0</v>
      </c>
    </row>
    <row r="62" spans="1:13" x14ac:dyDescent="0.25">
      <c r="A62" s="42"/>
      <c r="B62" s="36" t="str">
        <f t="shared" si="6"/>
        <v/>
      </c>
      <c r="C62" s="24"/>
      <c r="D62" s="24"/>
      <c r="E62" s="24"/>
      <c r="F62" s="24"/>
      <c r="G62" s="138"/>
      <c r="H62" s="152">
        <v>57</v>
      </c>
      <c r="I62" s="153" t="str">
        <f t="shared" si="4"/>
        <v/>
      </c>
      <c r="J62" s="152">
        <f t="shared" si="5"/>
        <v>-2</v>
      </c>
      <c r="K62" s="152">
        <f t="shared" si="1"/>
        <v>-20</v>
      </c>
      <c r="L62" s="152"/>
      <c r="M62" s="154">
        <f t="shared" si="2"/>
        <v>0</v>
      </c>
    </row>
    <row r="63" spans="1:13" x14ac:dyDescent="0.25">
      <c r="A63" s="41"/>
      <c r="B63" s="35" t="str">
        <f t="shared" si="6"/>
        <v/>
      </c>
      <c r="C63" s="25"/>
      <c r="D63" s="25"/>
      <c r="E63" s="25"/>
      <c r="F63" s="25"/>
      <c r="G63" s="138"/>
      <c r="H63" s="155">
        <v>58</v>
      </c>
      <c r="I63" s="156" t="str">
        <f t="shared" si="4"/>
        <v/>
      </c>
      <c r="J63" s="155">
        <f t="shared" si="5"/>
        <v>-2</v>
      </c>
      <c r="K63" s="155">
        <f t="shared" si="1"/>
        <v>-20</v>
      </c>
      <c r="L63" s="155"/>
      <c r="M63" s="157">
        <f t="shared" si="2"/>
        <v>0</v>
      </c>
    </row>
    <row r="64" spans="1:13" x14ac:dyDescent="0.25">
      <c r="A64" s="42"/>
      <c r="B64" s="36" t="str">
        <f t="shared" si="6"/>
        <v/>
      </c>
      <c r="C64" s="24"/>
      <c r="D64" s="24"/>
      <c r="E64" s="24"/>
      <c r="F64" s="24"/>
      <c r="G64" s="138"/>
      <c r="H64" s="152">
        <v>59</v>
      </c>
      <c r="I64" s="153" t="str">
        <f t="shared" si="4"/>
        <v/>
      </c>
      <c r="J64" s="152">
        <f t="shared" si="5"/>
        <v>-2</v>
      </c>
      <c r="K64" s="152">
        <f t="shared" si="1"/>
        <v>-20</v>
      </c>
      <c r="L64" s="152"/>
      <c r="M64" s="154">
        <f t="shared" si="2"/>
        <v>0</v>
      </c>
    </row>
    <row r="65" spans="1:13" x14ac:dyDescent="0.25">
      <c r="A65" s="41"/>
      <c r="B65" s="35" t="str">
        <f t="shared" si="6"/>
        <v/>
      </c>
      <c r="C65" s="25"/>
      <c r="D65" s="25"/>
      <c r="E65" s="25"/>
      <c r="F65" s="25"/>
      <c r="G65" s="138"/>
      <c r="H65" s="155">
        <v>60</v>
      </c>
      <c r="I65" s="156" t="str">
        <f t="shared" si="4"/>
        <v/>
      </c>
      <c r="J65" s="155">
        <f t="shared" si="5"/>
        <v>-2</v>
      </c>
      <c r="K65" s="155">
        <f t="shared" si="1"/>
        <v>-20</v>
      </c>
      <c r="L65" s="155"/>
      <c r="M65" s="157">
        <f t="shared" si="2"/>
        <v>0</v>
      </c>
    </row>
    <row r="66" spans="1:13" x14ac:dyDescent="0.25">
      <c r="A66" s="168"/>
      <c r="B66" s="36"/>
      <c r="G66" s="138"/>
      <c r="H66" s="152">
        <v>61</v>
      </c>
      <c r="I66" s="153" t="str">
        <f t="shared" si="4"/>
        <v/>
      </c>
      <c r="J66" s="152">
        <f t="shared" si="5"/>
        <v>-2</v>
      </c>
      <c r="K66" s="152">
        <f t="shared" si="1"/>
        <v>-20</v>
      </c>
      <c r="L66" s="152"/>
      <c r="M66" s="154">
        <f t="shared" si="2"/>
        <v>0</v>
      </c>
    </row>
    <row r="67" spans="1:13" x14ac:dyDescent="0.25">
      <c r="A67" s="168"/>
      <c r="B67" s="35"/>
      <c r="G67" s="138"/>
      <c r="H67" s="152">
        <v>62</v>
      </c>
      <c r="I67" s="153" t="str">
        <f t="shared" si="4"/>
        <v/>
      </c>
      <c r="J67" s="152">
        <f t="shared" si="5"/>
        <v>-2</v>
      </c>
      <c r="K67" s="152">
        <f t="shared" si="1"/>
        <v>-20</v>
      </c>
      <c r="L67" s="152"/>
      <c r="M67" s="154">
        <f t="shared" si="2"/>
        <v>0</v>
      </c>
    </row>
    <row r="68" spans="1:13" x14ac:dyDescent="0.25">
      <c r="A68" s="168"/>
      <c r="B68" s="36"/>
      <c r="G68" s="138"/>
      <c r="H68" s="152">
        <v>63</v>
      </c>
      <c r="I68" s="153" t="str">
        <f t="shared" si="4"/>
        <v/>
      </c>
      <c r="J68" s="152">
        <f t="shared" si="5"/>
        <v>-2</v>
      </c>
      <c r="K68" s="152">
        <f t="shared" si="1"/>
        <v>-20</v>
      </c>
      <c r="L68" s="152"/>
      <c r="M68" s="154">
        <f t="shared" si="2"/>
        <v>0</v>
      </c>
    </row>
    <row r="69" spans="1:13" x14ac:dyDescent="0.25">
      <c r="A69" s="168"/>
      <c r="B69" s="35"/>
      <c r="G69" s="138"/>
      <c r="H69" s="152">
        <v>64</v>
      </c>
      <c r="I69" s="153" t="str">
        <f t="shared" si="4"/>
        <v/>
      </c>
      <c r="J69" s="152">
        <f t="shared" si="5"/>
        <v>-2</v>
      </c>
      <c r="K69" s="152">
        <f t="shared" si="1"/>
        <v>-20</v>
      </c>
      <c r="L69" s="152"/>
      <c r="M69" s="154">
        <f t="shared" si="2"/>
        <v>0</v>
      </c>
    </row>
    <row r="70" spans="1:13" x14ac:dyDescent="0.25">
      <c r="A70" s="168"/>
      <c r="G70" s="138"/>
      <c r="H70" s="152">
        <v>65</v>
      </c>
      <c r="I70" s="153" t="str">
        <f t="shared" si="4"/>
        <v/>
      </c>
      <c r="J70" s="152">
        <f t="shared" si="5"/>
        <v>-3</v>
      </c>
      <c r="K70" s="152">
        <f t="shared" ref="K70:K133" si="7">J70*$J$2</f>
        <v>-30</v>
      </c>
      <c r="L70" s="152"/>
      <c r="M70" s="154">
        <f t="shared" ref="M70:M133" si="8">IF(I70&lt;&gt;"",K70+I70+L70,0)</f>
        <v>0</v>
      </c>
    </row>
    <row r="71" spans="1:13" x14ac:dyDescent="0.25">
      <c r="A71" s="168"/>
      <c r="G71" s="138"/>
      <c r="H71" s="152">
        <v>66</v>
      </c>
      <c r="I71" s="153" t="str">
        <f t="shared" ref="I71:I134" si="9">IF(H71&lt;$H$2+1,($I$2-($I$2-1)*(LOG(H71)/LOG($H$2))),"")</f>
        <v/>
      </c>
      <c r="J71" s="152">
        <f t="shared" ref="J71:J134" si="10">INT(LOG($H$2,2))-ROUNDUP(LOG(H71,2),0)+IF(OR($H$2=1,$H$2=2,$H$2=4,$H$2=8,$H$2=16,$H$2=32,$H$2=64,$H$2=128,$H$2=256),0,1)</f>
        <v>-3</v>
      </c>
      <c r="K71" s="152">
        <f t="shared" si="7"/>
        <v>-30</v>
      </c>
      <c r="L71" s="152"/>
      <c r="M71" s="154">
        <f t="shared" si="8"/>
        <v>0</v>
      </c>
    </row>
    <row r="72" spans="1:13" x14ac:dyDescent="0.25">
      <c r="A72" s="168"/>
      <c r="G72" s="138"/>
      <c r="H72" s="152">
        <v>67</v>
      </c>
      <c r="I72" s="153" t="str">
        <f t="shared" si="9"/>
        <v/>
      </c>
      <c r="J72" s="152">
        <f t="shared" si="10"/>
        <v>-3</v>
      </c>
      <c r="K72" s="152">
        <f t="shared" si="7"/>
        <v>-30</v>
      </c>
      <c r="L72" s="152"/>
      <c r="M72" s="154">
        <f t="shared" si="8"/>
        <v>0</v>
      </c>
    </row>
    <row r="73" spans="1:13" x14ac:dyDescent="0.25">
      <c r="A73" s="168"/>
      <c r="G73" s="138"/>
      <c r="H73" s="152">
        <v>68</v>
      </c>
      <c r="I73" s="153" t="str">
        <f t="shared" si="9"/>
        <v/>
      </c>
      <c r="J73" s="152">
        <f t="shared" si="10"/>
        <v>-3</v>
      </c>
      <c r="K73" s="152">
        <f t="shared" si="7"/>
        <v>-30</v>
      </c>
      <c r="L73" s="152"/>
      <c r="M73" s="154">
        <f t="shared" si="8"/>
        <v>0</v>
      </c>
    </row>
    <row r="74" spans="1:13" x14ac:dyDescent="0.25">
      <c r="A74" s="168"/>
      <c r="G74" s="138"/>
      <c r="H74" s="152">
        <v>69</v>
      </c>
      <c r="I74" s="153" t="str">
        <f t="shared" si="9"/>
        <v/>
      </c>
      <c r="J74" s="152">
        <f t="shared" si="10"/>
        <v>-3</v>
      </c>
      <c r="K74" s="152">
        <f t="shared" si="7"/>
        <v>-30</v>
      </c>
      <c r="L74" s="152"/>
      <c r="M74" s="154">
        <f t="shared" si="8"/>
        <v>0</v>
      </c>
    </row>
    <row r="75" spans="1:13" x14ac:dyDescent="0.25">
      <c r="A75" s="168"/>
      <c r="G75" s="138"/>
      <c r="H75" s="152">
        <v>70</v>
      </c>
      <c r="I75" s="153" t="str">
        <f t="shared" si="9"/>
        <v/>
      </c>
      <c r="J75" s="152">
        <f t="shared" si="10"/>
        <v>-3</v>
      </c>
      <c r="K75" s="152">
        <f t="shared" si="7"/>
        <v>-30</v>
      </c>
      <c r="L75" s="152"/>
      <c r="M75" s="154">
        <f t="shared" si="8"/>
        <v>0</v>
      </c>
    </row>
    <row r="76" spans="1:13" x14ac:dyDescent="0.25">
      <c r="A76" s="168"/>
      <c r="G76" s="138"/>
      <c r="H76" s="152">
        <v>71</v>
      </c>
      <c r="I76" s="153" t="str">
        <f t="shared" si="9"/>
        <v/>
      </c>
      <c r="J76" s="152">
        <f t="shared" si="10"/>
        <v>-3</v>
      </c>
      <c r="K76" s="152">
        <f t="shared" si="7"/>
        <v>-30</v>
      </c>
      <c r="L76" s="152"/>
      <c r="M76" s="154">
        <f t="shared" si="8"/>
        <v>0</v>
      </c>
    </row>
    <row r="77" spans="1:13" x14ac:dyDescent="0.25">
      <c r="A77" s="168"/>
      <c r="G77" s="138"/>
      <c r="H77" s="152">
        <v>72</v>
      </c>
      <c r="I77" s="153" t="str">
        <f t="shared" si="9"/>
        <v/>
      </c>
      <c r="J77" s="152">
        <f t="shared" si="10"/>
        <v>-3</v>
      </c>
      <c r="K77" s="152">
        <f t="shared" si="7"/>
        <v>-30</v>
      </c>
      <c r="L77" s="152"/>
      <c r="M77" s="154">
        <f t="shared" si="8"/>
        <v>0</v>
      </c>
    </row>
    <row r="78" spans="1:13" x14ac:dyDescent="0.25">
      <c r="A78" s="168"/>
      <c r="G78" s="138"/>
      <c r="H78" s="152">
        <v>73</v>
      </c>
      <c r="I78" s="153" t="str">
        <f t="shared" si="9"/>
        <v/>
      </c>
      <c r="J78" s="152">
        <f t="shared" si="10"/>
        <v>-3</v>
      </c>
      <c r="K78" s="152">
        <f t="shared" si="7"/>
        <v>-30</v>
      </c>
      <c r="L78" s="152"/>
      <c r="M78" s="154">
        <f t="shared" si="8"/>
        <v>0</v>
      </c>
    </row>
    <row r="79" spans="1:13" x14ac:dyDescent="0.25">
      <c r="A79" s="168"/>
      <c r="G79" s="138"/>
      <c r="H79" s="152">
        <v>74</v>
      </c>
      <c r="I79" s="153" t="str">
        <f t="shared" si="9"/>
        <v/>
      </c>
      <c r="J79" s="152">
        <f t="shared" si="10"/>
        <v>-3</v>
      </c>
      <c r="K79" s="152">
        <f t="shared" si="7"/>
        <v>-30</v>
      </c>
      <c r="L79" s="152"/>
      <c r="M79" s="154">
        <f t="shared" si="8"/>
        <v>0</v>
      </c>
    </row>
    <row r="80" spans="1:13" x14ac:dyDescent="0.25">
      <c r="A80" s="168"/>
      <c r="G80" s="138"/>
      <c r="H80" s="152">
        <v>75</v>
      </c>
      <c r="I80" s="153" t="str">
        <f t="shared" si="9"/>
        <v/>
      </c>
      <c r="J80" s="152">
        <f t="shared" si="10"/>
        <v>-3</v>
      </c>
      <c r="K80" s="152">
        <f t="shared" si="7"/>
        <v>-30</v>
      </c>
      <c r="L80" s="152"/>
      <c r="M80" s="154">
        <f t="shared" si="8"/>
        <v>0</v>
      </c>
    </row>
    <row r="81" spans="1:13" x14ac:dyDescent="0.25">
      <c r="A81" s="168"/>
      <c r="G81" s="138"/>
      <c r="H81" s="152">
        <v>76</v>
      </c>
      <c r="I81" s="153" t="str">
        <f t="shared" si="9"/>
        <v/>
      </c>
      <c r="J81" s="152">
        <f t="shared" si="10"/>
        <v>-3</v>
      </c>
      <c r="K81" s="152">
        <f t="shared" si="7"/>
        <v>-30</v>
      </c>
      <c r="L81" s="152"/>
      <c r="M81" s="154">
        <f t="shared" si="8"/>
        <v>0</v>
      </c>
    </row>
    <row r="82" spans="1:13" x14ac:dyDescent="0.25">
      <c r="A82" s="168"/>
      <c r="G82" s="138"/>
      <c r="H82" s="152">
        <v>77</v>
      </c>
      <c r="I82" s="153" t="str">
        <f t="shared" si="9"/>
        <v/>
      </c>
      <c r="J82" s="152">
        <f t="shared" si="10"/>
        <v>-3</v>
      </c>
      <c r="K82" s="152">
        <f t="shared" si="7"/>
        <v>-30</v>
      </c>
      <c r="L82" s="152"/>
      <c r="M82" s="154">
        <f t="shared" si="8"/>
        <v>0</v>
      </c>
    </row>
    <row r="83" spans="1:13" x14ac:dyDescent="0.25">
      <c r="A83" s="168"/>
      <c r="G83" s="138"/>
      <c r="H83" s="152">
        <v>78</v>
      </c>
      <c r="I83" s="153" t="str">
        <f t="shared" si="9"/>
        <v/>
      </c>
      <c r="J83" s="152">
        <f t="shared" si="10"/>
        <v>-3</v>
      </c>
      <c r="K83" s="152">
        <f t="shared" si="7"/>
        <v>-30</v>
      </c>
      <c r="L83" s="152"/>
      <c r="M83" s="154">
        <f t="shared" si="8"/>
        <v>0</v>
      </c>
    </row>
    <row r="84" spans="1:13" x14ac:dyDescent="0.25">
      <c r="A84" s="168"/>
      <c r="G84" s="138"/>
      <c r="H84" s="152">
        <v>79</v>
      </c>
      <c r="I84" s="153" t="str">
        <f t="shared" si="9"/>
        <v/>
      </c>
      <c r="J84" s="152">
        <f t="shared" si="10"/>
        <v>-3</v>
      </c>
      <c r="K84" s="152">
        <f t="shared" si="7"/>
        <v>-30</v>
      </c>
      <c r="L84" s="152"/>
      <c r="M84" s="154">
        <f t="shared" si="8"/>
        <v>0</v>
      </c>
    </row>
    <row r="85" spans="1:13" x14ac:dyDescent="0.25">
      <c r="A85" s="168"/>
      <c r="G85" s="138"/>
      <c r="H85" s="152">
        <v>80</v>
      </c>
      <c r="I85" s="153" t="str">
        <f t="shared" si="9"/>
        <v/>
      </c>
      <c r="J85" s="152">
        <f t="shared" si="10"/>
        <v>-3</v>
      </c>
      <c r="K85" s="152">
        <f t="shared" si="7"/>
        <v>-30</v>
      </c>
      <c r="L85" s="152"/>
      <c r="M85" s="154">
        <f t="shared" si="8"/>
        <v>0</v>
      </c>
    </row>
    <row r="86" spans="1:13" x14ac:dyDescent="0.25">
      <c r="A86" s="168"/>
      <c r="G86" s="138"/>
      <c r="H86" s="152">
        <v>81</v>
      </c>
      <c r="I86" s="153" t="str">
        <f t="shared" si="9"/>
        <v/>
      </c>
      <c r="J86" s="152">
        <f t="shared" si="10"/>
        <v>-3</v>
      </c>
      <c r="K86" s="152">
        <f t="shared" si="7"/>
        <v>-30</v>
      </c>
      <c r="L86" s="152"/>
      <c r="M86" s="154">
        <f t="shared" si="8"/>
        <v>0</v>
      </c>
    </row>
    <row r="87" spans="1:13" x14ac:dyDescent="0.25">
      <c r="A87" s="168"/>
      <c r="G87" s="138"/>
      <c r="H87" s="152">
        <v>82</v>
      </c>
      <c r="I87" s="153" t="str">
        <f t="shared" si="9"/>
        <v/>
      </c>
      <c r="J87" s="152">
        <f t="shared" si="10"/>
        <v>-3</v>
      </c>
      <c r="K87" s="152">
        <f t="shared" si="7"/>
        <v>-30</v>
      </c>
      <c r="L87" s="152"/>
      <c r="M87" s="154">
        <f t="shared" si="8"/>
        <v>0</v>
      </c>
    </row>
    <row r="88" spans="1:13" x14ac:dyDescent="0.25">
      <c r="A88" s="168"/>
      <c r="G88" s="138"/>
      <c r="H88" s="152">
        <v>83</v>
      </c>
      <c r="I88" s="153" t="str">
        <f t="shared" si="9"/>
        <v/>
      </c>
      <c r="J88" s="152">
        <f t="shared" si="10"/>
        <v>-3</v>
      </c>
      <c r="K88" s="152">
        <f t="shared" si="7"/>
        <v>-30</v>
      </c>
      <c r="L88" s="152"/>
      <c r="M88" s="154">
        <f t="shared" si="8"/>
        <v>0</v>
      </c>
    </row>
    <row r="89" spans="1:13" x14ac:dyDescent="0.25">
      <c r="A89" s="168"/>
      <c r="G89" s="138"/>
      <c r="H89" s="152">
        <v>84</v>
      </c>
      <c r="I89" s="153" t="str">
        <f t="shared" si="9"/>
        <v/>
      </c>
      <c r="J89" s="152">
        <f t="shared" si="10"/>
        <v>-3</v>
      </c>
      <c r="K89" s="152">
        <f t="shared" si="7"/>
        <v>-30</v>
      </c>
      <c r="L89" s="152"/>
      <c r="M89" s="154">
        <f t="shared" si="8"/>
        <v>0</v>
      </c>
    </row>
    <row r="90" spans="1:13" x14ac:dyDescent="0.25">
      <c r="A90" s="168"/>
      <c r="G90" s="138"/>
      <c r="H90" s="152">
        <v>85</v>
      </c>
      <c r="I90" s="153" t="str">
        <f t="shared" si="9"/>
        <v/>
      </c>
      <c r="J90" s="152">
        <f t="shared" si="10"/>
        <v>-3</v>
      </c>
      <c r="K90" s="152">
        <f t="shared" si="7"/>
        <v>-30</v>
      </c>
      <c r="L90" s="152"/>
      <c r="M90" s="154">
        <f t="shared" si="8"/>
        <v>0</v>
      </c>
    </row>
    <row r="91" spans="1:13" x14ac:dyDescent="0.25">
      <c r="A91" s="168"/>
      <c r="G91" s="138"/>
      <c r="H91" s="152">
        <v>86</v>
      </c>
      <c r="I91" s="153" t="str">
        <f t="shared" si="9"/>
        <v/>
      </c>
      <c r="J91" s="152">
        <f t="shared" si="10"/>
        <v>-3</v>
      </c>
      <c r="K91" s="152">
        <f t="shared" si="7"/>
        <v>-30</v>
      </c>
      <c r="L91" s="152"/>
      <c r="M91" s="154">
        <f t="shared" si="8"/>
        <v>0</v>
      </c>
    </row>
    <row r="92" spans="1:13" x14ac:dyDescent="0.25">
      <c r="A92" s="168"/>
      <c r="G92" s="138"/>
      <c r="H92" s="152">
        <v>87</v>
      </c>
      <c r="I92" s="153" t="str">
        <f t="shared" si="9"/>
        <v/>
      </c>
      <c r="J92" s="152">
        <f t="shared" si="10"/>
        <v>-3</v>
      </c>
      <c r="K92" s="152">
        <f t="shared" si="7"/>
        <v>-30</v>
      </c>
      <c r="L92" s="152"/>
      <c r="M92" s="154">
        <f t="shared" si="8"/>
        <v>0</v>
      </c>
    </row>
    <row r="93" spans="1:13" x14ac:dyDescent="0.25">
      <c r="A93" s="168"/>
      <c r="G93" s="138"/>
      <c r="H93" s="152">
        <v>88</v>
      </c>
      <c r="I93" s="153" t="str">
        <f t="shared" si="9"/>
        <v/>
      </c>
      <c r="J93" s="152">
        <f t="shared" si="10"/>
        <v>-3</v>
      </c>
      <c r="K93" s="152">
        <f t="shared" si="7"/>
        <v>-30</v>
      </c>
      <c r="L93" s="152"/>
      <c r="M93" s="154">
        <f t="shared" si="8"/>
        <v>0</v>
      </c>
    </row>
    <row r="94" spans="1:13" x14ac:dyDescent="0.25">
      <c r="A94" s="168"/>
      <c r="G94" s="138"/>
      <c r="H94" s="152">
        <v>89</v>
      </c>
      <c r="I94" s="153" t="str">
        <f t="shared" si="9"/>
        <v/>
      </c>
      <c r="J94" s="152">
        <f t="shared" si="10"/>
        <v>-3</v>
      </c>
      <c r="K94" s="152">
        <f t="shared" si="7"/>
        <v>-30</v>
      </c>
      <c r="L94" s="152"/>
      <c r="M94" s="154">
        <f t="shared" si="8"/>
        <v>0</v>
      </c>
    </row>
    <row r="95" spans="1:13" x14ac:dyDescent="0.25">
      <c r="A95" s="168"/>
      <c r="G95" s="138"/>
      <c r="H95" s="152">
        <v>90</v>
      </c>
      <c r="I95" s="153" t="str">
        <f t="shared" si="9"/>
        <v/>
      </c>
      <c r="J95" s="152">
        <f t="shared" si="10"/>
        <v>-3</v>
      </c>
      <c r="K95" s="152">
        <f t="shared" si="7"/>
        <v>-30</v>
      </c>
      <c r="L95" s="152"/>
      <c r="M95" s="154">
        <f t="shared" si="8"/>
        <v>0</v>
      </c>
    </row>
    <row r="96" spans="1:13" x14ac:dyDescent="0.25">
      <c r="A96" s="168"/>
      <c r="G96" s="138"/>
      <c r="H96" s="152">
        <v>91</v>
      </c>
      <c r="I96" s="153" t="str">
        <f t="shared" si="9"/>
        <v/>
      </c>
      <c r="J96" s="152">
        <f t="shared" si="10"/>
        <v>-3</v>
      </c>
      <c r="K96" s="152">
        <f t="shared" si="7"/>
        <v>-30</v>
      </c>
      <c r="L96" s="152"/>
      <c r="M96" s="154">
        <f t="shared" si="8"/>
        <v>0</v>
      </c>
    </row>
    <row r="97" spans="1:13" x14ac:dyDescent="0.25">
      <c r="A97" s="168"/>
      <c r="G97" s="138"/>
      <c r="H97" s="152">
        <v>92</v>
      </c>
      <c r="I97" s="153" t="str">
        <f t="shared" si="9"/>
        <v/>
      </c>
      <c r="J97" s="152">
        <f t="shared" si="10"/>
        <v>-3</v>
      </c>
      <c r="K97" s="152">
        <f t="shared" si="7"/>
        <v>-30</v>
      </c>
      <c r="L97" s="152"/>
      <c r="M97" s="154">
        <f t="shared" si="8"/>
        <v>0</v>
      </c>
    </row>
    <row r="98" spans="1:13" x14ac:dyDescent="0.25">
      <c r="A98" s="168"/>
      <c r="G98" s="138"/>
      <c r="H98" s="152">
        <v>93</v>
      </c>
      <c r="I98" s="153" t="str">
        <f t="shared" si="9"/>
        <v/>
      </c>
      <c r="J98" s="152">
        <f t="shared" si="10"/>
        <v>-3</v>
      </c>
      <c r="K98" s="152">
        <f t="shared" si="7"/>
        <v>-30</v>
      </c>
      <c r="L98" s="152"/>
      <c r="M98" s="154">
        <f t="shared" si="8"/>
        <v>0</v>
      </c>
    </row>
    <row r="99" spans="1:13" x14ac:dyDescent="0.25">
      <c r="A99" s="168"/>
      <c r="G99" s="138"/>
      <c r="H99" s="152">
        <v>94</v>
      </c>
      <c r="I99" s="153" t="str">
        <f t="shared" si="9"/>
        <v/>
      </c>
      <c r="J99" s="152">
        <f t="shared" si="10"/>
        <v>-3</v>
      </c>
      <c r="K99" s="152">
        <f t="shared" si="7"/>
        <v>-30</v>
      </c>
      <c r="L99" s="152"/>
      <c r="M99" s="154">
        <f t="shared" si="8"/>
        <v>0</v>
      </c>
    </row>
    <row r="100" spans="1:13" x14ac:dyDescent="0.25">
      <c r="A100" s="168"/>
      <c r="G100" s="138"/>
      <c r="H100" s="152">
        <v>95</v>
      </c>
      <c r="I100" s="153" t="str">
        <f t="shared" si="9"/>
        <v/>
      </c>
      <c r="J100" s="152">
        <f t="shared" si="10"/>
        <v>-3</v>
      </c>
      <c r="K100" s="152">
        <f t="shared" si="7"/>
        <v>-30</v>
      </c>
      <c r="L100" s="152"/>
      <c r="M100" s="154">
        <f t="shared" si="8"/>
        <v>0</v>
      </c>
    </row>
    <row r="101" spans="1:13" x14ac:dyDescent="0.25">
      <c r="A101" s="168"/>
      <c r="G101" s="138"/>
      <c r="H101" s="152">
        <v>96</v>
      </c>
      <c r="I101" s="153" t="str">
        <f t="shared" si="9"/>
        <v/>
      </c>
      <c r="J101" s="152">
        <f t="shared" si="10"/>
        <v>-3</v>
      </c>
      <c r="K101" s="152">
        <f t="shared" si="7"/>
        <v>-30</v>
      </c>
      <c r="L101" s="152"/>
      <c r="M101" s="154">
        <f t="shared" si="8"/>
        <v>0</v>
      </c>
    </row>
    <row r="102" spans="1:13" x14ac:dyDescent="0.25">
      <c r="A102" s="168"/>
      <c r="G102" s="138"/>
      <c r="H102" s="152">
        <v>97</v>
      </c>
      <c r="I102" s="153" t="str">
        <f t="shared" si="9"/>
        <v/>
      </c>
      <c r="J102" s="152">
        <f t="shared" si="10"/>
        <v>-3</v>
      </c>
      <c r="K102" s="152">
        <f t="shared" si="7"/>
        <v>-30</v>
      </c>
      <c r="L102" s="152"/>
      <c r="M102" s="154">
        <f t="shared" si="8"/>
        <v>0</v>
      </c>
    </row>
    <row r="103" spans="1:13" x14ac:dyDescent="0.25">
      <c r="A103" s="168"/>
      <c r="G103" s="138"/>
      <c r="H103" s="152">
        <v>98</v>
      </c>
      <c r="I103" s="153" t="str">
        <f t="shared" si="9"/>
        <v/>
      </c>
      <c r="J103" s="152">
        <f t="shared" si="10"/>
        <v>-3</v>
      </c>
      <c r="K103" s="152">
        <f t="shared" si="7"/>
        <v>-30</v>
      </c>
      <c r="L103" s="152"/>
      <c r="M103" s="154">
        <f t="shared" si="8"/>
        <v>0</v>
      </c>
    </row>
    <row r="104" spans="1:13" x14ac:dyDescent="0.25">
      <c r="A104" s="168"/>
      <c r="G104" s="138"/>
      <c r="H104" s="152">
        <v>99</v>
      </c>
      <c r="I104" s="153" t="str">
        <f t="shared" si="9"/>
        <v/>
      </c>
      <c r="J104" s="152">
        <f t="shared" si="10"/>
        <v>-3</v>
      </c>
      <c r="K104" s="152">
        <f t="shared" si="7"/>
        <v>-30</v>
      </c>
      <c r="L104" s="152"/>
      <c r="M104" s="154">
        <f t="shared" si="8"/>
        <v>0</v>
      </c>
    </row>
    <row r="105" spans="1:13" x14ac:dyDescent="0.25">
      <c r="A105" s="168"/>
      <c r="G105" s="138"/>
      <c r="H105" s="152">
        <v>100</v>
      </c>
      <c r="I105" s="153" t="str">
        <f t="shared" si="9"/>
        <v/>
      </c>
      <c r="J105" s="152">
        <f t="shared" si="10"/>
        <v>-3</v>
      </c>
      <c r="K105" s="152">
        <f t="shared" si="7"/>
        <v>-30</v>
      </c>
      <c r="L105" s="152"/>
      <c r="M105" s="154">
        <f t="shared" si="8"/>
        <v>0</v>
      </c>
    </row>
    <row r="106" spans="1:13" x14ac:dyDescent="0.25">
      <c r="A106" s="168"/>
      <c r="G106" s="138"/>
      <c r="H106" s="152">
        <v>101</v>
      </c>
      <c r="I106" s="153" t="str">
        <f t="shared" si="9"/>
        <v/>
      </c>
      <c r="J106" s="152">
        <f t="shared" si="10"/>
        <v>-3</v>
      </c>
      <c r="K106" s="152">
        <f t="shared" si="7"/>
        <v>-30</v>
      </c>
      <c r="L106" s="152"/>
      <c r="M106" s="154">
        <f t="shared" si="8"/>
        <v>0</v>
      </c>
    </row>
    <row r="107" spans="1:13" x14ac:dyDescent="0.25">
      <c r="A107" s="168"/>
      <c r="G107" s="138"/>
      <c r="H107" s="152">
        <v>102</v>
      </c>
      <c r="I107" s="153" t="str">
        <f t="shared" si="9"/>
        <v/>
      </c>
      <c r="J107" s="152">
        <f t="shared" si="10"/>
        <v>-3</v>
      </c>
      <c r="K107" s="152">
        <f t="shared" si="7"/>
        <v>-30</v>
      </c>
      <c r="L107" s="152"/>
      <c r="M107" s="154">
        <f t="shared" si="8"/>
        <v>0</v>
      </c>
    </row>
    <row r="108" spans="1:13" x14ac:dyDescent="0.25">
      <c r="A108" s="168"/>
      <c r="G108" s="138"/>
      <c r="H108" s="152">
        <v>103</v>
      </c>
      <c r="I108" s="153" t="str">
        <f t="shared" si="9"/>
        <v/>
      </c>
      <c r="J108" s="152">
        <f t="shared" si="10"/>
        <v>-3</v>
      </c>
      <c r="K108" s="152">
        <f t="shared" si="7"/>
        <v>-30</v>
      </c>
      <c r="L108" s="152"/>
      <c r="M108" s="154">
        <f t="shared" si="8"/>
        <v>0</v>
      </c>
    </row>
    <row r="109" spans="1:13" x14ac:dyDescent="0.25">
      <c r="A109" s="168"/>
      <c r="G109" s="138"/>
      <c r="H109" s="152">
        <v>104</v>
      </c>
      <c r="I109" s="153" t="str">
        <f t="shared" si="9"/>
        <v/>
      </c>
      <c r="J109" s="152">
        <f t="shared" si="10"/>
        <v>-3</v>
      </c>
      <c r="K109" s="152">
        <f t="shared" si="7"/>
        <v>-30</v>
      </c>
      <c r="L109" s="152"/>
      <c r="M109" s="154">
        <f t="shared" si="8"/>
        <v>0</v>
      </c>
    </row>
    <row r="110" spans="1:13" x14ac:dyDescent="0.25">
      <c r="A110" s="168"/>
      <c r="G110" s="138"/>
      <c r="H110" s="152">
        <v>105</v>
      </c>
      <c r="I110" s="153" t="str">
        <f t="shared" si="9"/>
        <v/>
      </c>
      <c r="J110" s="152">
        <f t="shared" si="10"/>
        <v>-3</v>
      </c>
      <c r="K110" s="152">
        <f t="shared" si="7"/>
        <v>-30</v>
      </c>
      <c r="L110" s="152"/>
      <c r="M110" s="154">
        <f t="shared" si="8"/>
        <v>0</v>
      </c>
    </row>
    <row r="111" spans="1:13" x14ac:dyDescent="0.25">
      <c r="A111" s="168"/>
      <c r="G111" s="138"/>
      <c r="H111" s="152">
        <v>106</v>
      </c>
      <c r="I111" s="153" t="str">
        <f t="shared" si="9"/>
        <v/>
      </c>
      <c r="J111" s="152">
        <f t="shared" si="10"/>
        <v>-3</v>
      </c>
      <c r="K111" s="152">
        <f t="shared" si="7"/>
        <v>-30</v>
      </c>
      <c r="L111" s="152"/>
      <c r="M111" s="154">
        <f t="shared" si="8"/>
        <v>0</v>
      </c>
    </row>
    <row r="112" spans="1:13" x14ac:dyDescent="0.25">
      <c r="A112" s="168"/>
      <c r="G112" s="138"/>
      <c r="H112" s="152">
        <v>107</v>
      </c>
      <c r="I112" s="153" t="str">
        <f t="shared" si="9"/>
        <v/>
      </c>
      <c r="J112" s="152">
        <f t="shared" si="10"/>
        <v>-3</v>
      </c>
      <c r="K112" s="152">
        <f t="shared" si="7"/>
        <v>-30</v>
      </c>
      <c r="L112" s="152"/>
      <c r="M112" s="154">
        <f t="shared" si="8"/>
        <v>0</v>
      </c>
    </row>
    <row r="113" spans="1:13" x14ac:dyDescent="0.25">
      <c r="A113" s="168"/>
      <c r="G113" s="138"/>
      <c r="H113" s="152">
        <v>108</v>
      </c>
      <c r="I113" s="153" t="str">
        <f t="shared" si="9"/>
        <v/>
      </c>
      <c r="J113" s="152">
        <f t="shared" si="10"/>
        <v>-3</v>
      </c>
      <c r="K113" s="152">
        <f t="shared" si="7"/>
        <v>-30</v>
      </c>
      <c r="L113" s="152"/>
      <c r="M113" s="154">
        <f t="shared" si="8"/>
        <v>0</v>
      </c>
    </row>
    <row r="114" spans="1:13" x14ac:dyDescent="0.25">
      <c r="A114" s="168"/>
      <c r="G114" s="138"/>
      <c r="H114" s="152">
        <v>109</v>
      </c>
      <c r="I114" s="153" t="str">
        <f t="shared" si="9"/>
        <v/>
      </c>
      <c r="J114" s="152">
        <f t="shared" si="10"/>
        <v>-3</v>
      </c>
      <c r="K114" s="152">
        <f t="shared" si="7"/>
        <v>-30</v>
      </c>
      <c r="L114" s="152"/>
      <c r="M114" s="154">
        <f t="shared" si="8"/>
        <v>0</v>
      </c>
    </row>
    <row r="115" spans="1:13" x14ac:dyDescent="0.25">
      <c r="A115" s="168"/>
      <c r="G115" s="138"/>
      <c r="H115" s="152">
        <v>110</v>
      </c>
      <c r="I115" s="153" t="str">
        <f t="shared" si="9"/>
        <v/>
      </c>
      <c r="J115" s="152">
        <f t="shared" si="10"/>
        <v>-3</v>
      </c>
      <c r="K115" s="152">
        <f t="shared" si="7"/>
        <v>-30</v>
      </c>
      <c r="L115" s="152"/>
      <c r="M115" s="154">
        <f t="shared" si="8"/>
        <v>0</v>
      </c>
    </row>
    <row r="116" spans="1:13" x14ac:dyDescent="0.25">
      <c r="A116" s="168"/>
      <c r="G116" s="138"/>
      <c r="H116" s="152">
        <v>111</v>
      </c>
      <c r="I116" s="153" t="str">
        <f t="shared" si="9"/>
        <v/>
      </c>
      <c r="J116" s="152">
        <f t="shared" si="10"/>
        <v>-3</v>
      </c>
      <c r="K116" s="152">
        <f t="shared" si="7"/>
        <v>-30</v>
      </c>
      <c r="L116" s="152"/>
      <c r="M116" s="154">
        <f t="shared" si="8"/>
        <v>0</v>
      </c>
    </row>
    <row r="117" spans="1:13" x14ac:dyDescent="0.25">
      <c r="A117" s="168"/>
      <c r="G117" s="138"/>
      <c r="H117" s="152">
        <v>112</v>
      </c>
      <c r="I117" s="153" t="str">
        <f t="shared" si="9"/>
        <v/>
      </c>
      <c r="J117" s="152">
        <f t="shared" si="10"/>
        <v>-3</v>
      </c>
      <c r="K117" s="152">
        <f t="shared" si="7"/>
        <v>-30</v>
      </c>
      <c r="L117" s="152"/>
      <c r="M117" s="154">
        <f t="shared" si="8"/>
        <v>0</v>
      </c>
    </row>
    <row r="118" spans="1:13" x14ac:dyDescent="0.25">
      <c r="A118" s="168"/>
      <c r="G118" s="138"/>
      <c r="H118" s="152">
        <v>113</v>
      </c>
      <c r="I118" s="153" t="str">
        <f t="shared" si="9"/>
        <v/>
      </c>
      <c r="J118" s="152">
        <f t="shared" si="10"/>
        <v>-3</v>
      </c>
      <c r="K118" s="152">
        <f t="shared" si="7"/>
        <v>-30</v>
      </c>
      <c r="L118" s="152"/>
      <c r="M118" s="154">
        <f t="shared" si="8"/>
        <v>0</v>
      </c>
    </row>
    <row r="119" spans="1:13" x14ac:dyDescent="0.25">
      <c r="A119" s="168"/>
      <c r="G119" s="138"/>
      <c r="H119" s="152">
        <v>114</v>
      </c>
      <c r="I119" s="153" t="str">
        <f t="shared" si="9"/>
        <v/>
      </c>
      <c r="J119" s="152">
        <f t="shared" si="10"/>
        <v>-3</v>
      </c>
      <c r="K119" s="152">
        <f t="shared" si="7"/>
        <v>-30</v>
      </c>
      <c r="L119" s="152"/>
      <c r="M119" s="154">
        <f t="shared" si="8"/>
        <v>0</v>
      </c>
    </row>
    <row r="120" spans="1:13" x14ac:dyDescent="0.25">
      <c r="A120" s="168"/>
      <c r="G120" s="138"/>
      <c r="H120" s="152">
        <v>115</v>
      </c>
      <c r="I120" s="153" t="str">
        <f t="shared" si="9"/>
        <v/>
      </c>
      <c r="J120" s="152">
        <f t="shared" si="10"/>
        <v>-3</v>
      </c>
      <c r="K120" s="152">
        <f t="shared" si="7"/>
        <v>-30</v>
      </c>
      <c r="L120" s="152"/>
      <c r="M120" s="154">
        <f t="shared" si="8"/>
        <v>0</v>
      </c>
    </row>
    <row r="121" spans="1:13" x14ac:dyDescent="0.25">
      <c r="A121" s="168"/>
      <c r="G121" s="138"/>
      <c r="H121" s="152">
        <v>116</v>
      </c>
      <c r="I121" s="153" t="str">
        <f t="shared" si="9"/>
        <v/>
      </c>
      <c r="J121" s="152">
        <f t="shared" si="10"/>
        <v>-3</v>
      </c>
      <c r="K121" s="152">
        <f t="shared" si="7"/>
        <v>-30</v>
      </c>
      <c r="L121" s="152"/>
      <c r="M121" s="154">
        <f t="shared" si="8"/>
        <v>0</v>
      </c>
    </row>
    <row r="122" spans="1:13" x14ac:dyDescent="0.25">
      <c r="A122" s="168"/>
      <c r="G122" s="138"/>
      <c r="H122" s="152">
        <v>117</v>
      </c>
      <c r="I122" s="153" t="str">
        <f t="shared" si="9"/>
        <v/>
      </c>
      <c r="J122" s="152">
        <f t="shared" si="10"/>
        <v>-3</v>
      </c>
      <c r="K122" s="152">
        <f t="shared" si="7"/>
        <v>-30</v>
      </c>
      <c r="L122" s="152"/>
      <c r="M122" s="154">
        <f t="shared" si="8"/>
        <v>0</v>
      </c>
    </row>
    <row r="123" spans="1:13" x14ac:dyDescent="0.25">
      <c r="A123" s="168"/>
      <c r="G123" s="138"/>
      <c r="H123" s="152">
        <v>118</v>
      </c>
      <c r="I123" s="153" t="str">
        <f t="shared" si="9"/>
        <v/>
      </c>
      <c r="J123" s="152">
        <f t="shared" si="10"/>
        <v>-3</v>
      </c>
      <c r="K123" s="152">
        <f t="shared" si="7"/>
        <v>-30</v>
      </c>
      <c r="L123" s="152"/>
      <c r="M123" s="154">
        <f t="shared" si="8"/>
        <v>0</v>
      </c>
    </row>
    <row r="124" spans="1:13" x14ac:dyDescent="0.25">
      <c r="A124" s="168"/>
      <c r="G124" s="138"/>
      <c r="H124" s="152">
        <v>119</v>
      </c>
      <c r="I124" s="153" t="str">
        <f t="shared" si="9"/>
        <v/>
      </c>
      <c r="J124" s="152">
        <f t="shared" si="10"/>
        <v>-3</v>
      </c>
      <c r="K124" s="152">
        <f t="shared" si="7"/>
        <v>-30</v>
      </c>
      <c r="L124" s="152"/>
      <c r="M124" s="154">
        <f t="shared" si="8"/>
        <v>0</v>
      </c>
    </row>
    <row r="125" spans="1:13" x14ac:dyDescent="0.25">
      <c r="A125" s="168"/>
      <c r="G125" s="138"/>
      <c r="H125" s="152">
        <v>120</v>
      </c>
      <c r="I125" s="153" t="str">
        <f t="shared" si="9"/>
        <v/>
      </c>
      <c r="J125" s="152">
        <f t="shared" si="10"/>
        <v>-3</v>
      </c>
      <c r="K125" s="152">
        <f t="shared" si="7"/>
        <v>-30</v>
      </c>
      <c r="L125" s="152"/>
      <c r="M125" s="154">
        <f t="shared" si="8"/>
        <v>0</v>
      </c>
    </row>
    <row r="126" spans="1:13" x14ac:dyDescent="0.25">
      <c r="A126" s="168"/>
      <c r="G126" s="138"/>
      <c r="H126" s="152">
        <v>121</v>
      </c>
      <c r="I126" s="153" t="str">
        <f t="shared" si="9"/>
        <v/>
      </c>
      <c r="J126" s="152">
        <f t="shared" si="10"/>
        <v>-3</v>
      </c>
      <c r="K126" s="152">
        <f t="shared" si="7"/>
        <v>-30</v>
      </c>
      <c r="L126" s="152"/>
      <c r="M126" s="154">
        <f t="shared" si="8"/>
        <v>0</v>
      </c>
    </row>
    <row r="127" spans="1:13" x14ac:dyDescent="0.25">
      <c r="A127" s="168"/>
      <c r="G127" s="138"/>
      <c r="H127" s="152">
        <v>122</v>
      </c>
      <c r="I127" s="153" t="str">
        <f t="shared" si="9"/>
        <v/>
      </c>
      <c r="J127" s="152">
        <f t="shared" si="10"/>
        <v>-3</v>
      </c>
      <c r="K127" s="152">
        <f t="shared" si="7"/>
        <v>-30</v>
      </c>
      <c r="L127" s="152"/>
      <c r="M127" s="154">
        <f t="shared" si="8"/>
        <v>0</v>
      </c>
    </row>
    <row r="128" spans="1:13" x14ac:dyDescent="0.25">
      <c r="A128" s="168"/>
      <c r="G128" s="138"/>
      <c r="H128" s="152">
        <v>123</v>
      </c>
      <c r="I128" s="153" t="str">
        <f t="shared" si="9"/>
        <v/>
      </c>
      <c r="J128" s="152">
        <f t="shared" si="10"/>
        <v>-3</v>
      </c>
      <c r="K128" s="152">
        <f t="shared" si="7"/>
        <v>-30</v>
      </c>
      <c r="L128" s="152"/>
      <c r="M128" s="154">
        <f t="shared" si="8"/>
        <v>0</v>
      </c>
    </row>
    <row r="129" spans="1:13" x14ac:dyDescent="0.25">
      <c r="A129" s="168"/>
      <c r="G129" s="138"/>
      <c r="H129" s="152">
        <v>124</v>
      </c>
      <c r="I129" s="153" t="str">
        <f t="shared" si="9"/>
        <v/>
      </c>
      <c r="J129" s="152">
        <f t="shared" si="10"/>
        <v>-3</v>
      </c>
      <c r="K129" s="152">
        <f t="shared" si="7"/>
        <v>-30</v>
      </c>
      <c r="L129" s="152"/>
      <c r="M129" s="154">
        <f t="shared" si="8"/>
        <v>0</v>
      </c>
    </row>
    <row r="130" spans="1:13" x14ac:dyDescent="0.25">
      <c r="A130" s="168"/>
      <c r="G130" s="138"/>
      <c r="H130" s="152">
        <v>125</v>
      </c>
      <c r="I130" s="153" t="str">
        <f t="shared" si="9"/>
        <v/>
      </c>
      <c r="J130" s="152">
        <f t="shared" si="10"/>
        <v>-3</v>
      </c>
      <c r="K130" s="152">
        <f t="shared" si="7"/>
        <v>-30</v>
      </c>
      <c r="L130" s="152"/>
      <c r="M130" s="154">
        <f t="shared" si="8"/>
        <v>0</v>
      </c>
    </row>
    <row r="131" spans="1:13" x14ac:dyDescent="0.25">
      <c r="A131" s="168"/>
      <c r="G131" s="138"/>
      <c r="H131" s="152">
        <v>126</v>
      </c>
      <c r="I131" s="153" t="str">
        <f t="shared" si="9"/>
        <v/>
      </c>
      <c r="J131" s="152">
        <f t="shared" si="10"/>
        <v>-3</v>
      </c>
      <c r="K131" s="152">
        <f t="shared" si="7"/>
        <v>-30</v>
      </c>
      <c r="L131" s="152"/>
      <c r="M131" s="154">
        <f t="shared" si="8"/>
        <v>0</v>
      </c>
    </row>
    <row r="132" spans="1:13" x14ac:dyDescent="0.25">
      <c r="A132" s="168"/>
      <c r="G132" s="138"/>
      <c r="H132" s="152">
        <v>127</v>
      </c>
      <c r="I132" s="153" t="str">
        <f t="shared" si="9"/>
        <v/>
      </c>
      <c r="J132" s="152">
        <f t="shared" si="10"/>
        <v>-3</v>
      </c>
      <c r="K132" s="152">
        <f t="shared" si="7"/>
        <v>-30</v>
      </c>
      <c r="L132" s="152"/>
      <c r="M132" s="154">
        <f t="shared" si="8"/>
        <v>0</v>
      </c>
    </row>
    <row r="133" spans="1:13" x14ac:dyDescent="0.25">
      <c r="A133" s="168"/>
      <c r="G133" s="138"/>
      <c r="H133" s="152">
        <v>128</v>
      </c>
      <c r="I133" s="153" t="str">
        <f t="shared" si="9"/>
        <v/>
      </c>
      <c r="J133" s="152">
        <f t="shared" si="10"/>
        <v>-3</v>
      </c>
      <c r="K133" s="152">
        <f t="shared" si="7"/>
        <v>-30</v>
      </c>
      <c r="L133" s="152"/>
      <c r="M133" s="154">
        <f t="shared" si="8"/>
        <v>0</v>
      </c>
    </row>
    <row r="134" spans="1:13" x14ac:dyDescent="0.25">
      <c r="A134" s="168"/>
      <c r="G134" s="138"/>
      <c r="H134" s="152">
        <v>129</v>
      </c>
      <c r="I134" s="153" t="str">
        <f t="shared" si="9"/>
        <v/>
      </c>
      <c r="J134" s="152">
        <f t="shared" si="10"/>
        <v>-4</v>
      </c>
      <c r="K134" s="152">
        <f t="shared" ref="K134:K197" si="11">J134*$J$2</f>
        <v>-40</v>
      </c>
      <c r="L134" s="152"/>
      <c r="M134" s="154">
        <f t="shared" ref="M134:M197" si="12">IF(I134&lt;&gt;"",K134+I134+L134,0)</f>
        <v>0</v>
      </c>
    </row>
    <row r="135" spans="1:13" x14ac:dyDescent="0.25">
      <c r="A135" s="168"/>
      <c r="G135" s="138"/>
      <c r="H135" s="152">
        <v>130</v>
      </c>
      <c r="I135" s="153" t="str">
        <f t="shared" ref="I135:I198" si="13">IF(H135&lt;$H$2+1,($I$2-($I$2-1)*(LOG(H135)/LOG($H$2))),"")</f>
        <v/>
      </c>
      <c r="J135" s="152">
        <f t="shared" ref="J135:J198" si="14">INT(LOG($H$2,2))-ROUNDUP(LOG(H135,2),0)+IF(OR($H$2=1,$H$2=2,$H$2=4,$H$2=8,$H$2=16,$H$2=32,$H$2=64,$H$2=128,$H$2=256),0,1)</f>
        <v>-4</v>
      </c>
      <c r="K135" s="152">
        <f t="shared" si="11"/>
        <v>-40</v>
      </c>
      <c r="L135" s="152"/>
      <c r="M135" s="154">
        <f t="shared" si="12"/>
        <v>0</v>
      </c>
    </row>
    <row r="136" spans="1:13" x14ac:dyDescent="0.25">
      <c r="A136" s="168"/>
      <c r="G136" s="138"/>
      <c r="H136" s="152">
        <v>131</v>
      </c>
      <c r="I136" s="153" t="str">
        <f t="shared" si="13"/>
        <v/>
      </c>
      <c r="J136" s="152">
        <f t="shared" si="14"/>
        <v>-4</v>
      </c>
      <c r="K136" s="152">
        <f t="shared" si="11"/>
        <v>-40</v>
      </c>
      <c r="L136" s="152"/>
      <c r="M136" s="154">
        <f t="shared" si="12"/>
        <v>0</v>
      </c>
    </row>
    <row r="137" spans="1:13" x14ac:dyDescent="0.25">
      <c r="A137" s="168"/>
      <c r="G137" s="138"/>
      <c r="H137" s="152">
        <v>132</v>
      </c>
      <c r="I137" s="153" t="str">
        <f t="shared" si="13"/>
        <v/>
      </c>
      <c r="J137" s="152">
        <f t="shared" si="14"/>
        <v>-4</v>
      </c>
      <c r="K137" s="152">
        <f t="shared" si="11"/>
        <v>-40</v>
      </c>
      <c r="L137" s="152"/>
      <c r="M137" s="154">
        <f t="shared" si="12"/>
        <v>0</v>
      </c>
    </row>
    <row r="138" spans="1:13" x14ac:dyDescent="0.25">
      <c r="A138" s="168"/>
      <c r="G138" s="138"/>
      <c r="H138" s="152">
        <v>133</v>
      </c>
      <c r="I138" s="153" t="str">
        <f t="shared" si="13"/>
        <v/>
      </c>
      <c r="J138" s="152">
        <f t="shared" si="14"/>
        <v>-4</v>
      </c>
      <c r="K138" s="152">
        <f t="shared" si="11"/>
        <v>-40</v>
      </c>
      <c r="L138" s="152"/>
      <c r="M138" s="154">
        <f t="shared" si="12"/>
        <v>0</v>
      </c>
    </row>
    <row r="139" spans="1:13" x14ac:dyDescent="0.25">
      <c r="A139" s="168"/>
      <c r="G139" s="138"/>
      <c r="H139" s="152">
        <v>134</v>
      </c>
      <c r="I139" s="153" t="str">
        <f t="shared" si="13"/>
        <v/>
      </c>
      <c r="J139" s="152">
        <f t="shared" si="14"/>
        <v>-4</v>
      </c>
      <c r="K139" s="152">
        <f t="shared" si="11"/>
        <v>-40</v>
      </c>
      <c r="L139" s="152"/>
      <c r="M139" s="154">
        <f t="shared" si="12"/>
        <v>0</v>
      </c>
    </row>
    <row r="140" spans="1:13" x14ac:dyDescent="0.25">
      <c r="A140" s="168"/>
      <c r="G140" s="138"/>
      <c r="H140" s="152">
        <v>135</v>
      </c>
      <c r="I140" s="153" t="str">
        <f t="shared" si="13"/>
        <v/>
      </c>
      <c r="J140" s="152">
        <f t="shared" si="14"/>
        <v>-4</v>
      </c>
      <c r="K140" s="152">
        <f t="shared" si="11"/>
        <v>-40</v>
      </c>
      <c r="L140" s="152"/>
      <c r="M140" s="154">
        <f t="shared" si="12"/>
        <v>0</v>
      </c>
    </row>
    <row r="141" spans="1:13" x14ac:dyDescent="0.25">
      <c r="A141" s="168"/>
      <c r="G141" s="138"/>
      <c r="H141" s="152">
        <v>136</v>
      </c>
      <c r="I141" s="153" t="str">
        <f t="shared" si="13"/>
        <v/>
      </c>
      <c r="J141" s="152">
        <f t="shared" si="14"/>
        <v>-4</v>
      </c>
      <c r="K141" s="152">
        <f t="shared" si="11"/>
        <v>-40</v>
      </c>
      <c r="L141" s="152"/>
      <c r="M141" s="154">
        <f t="shared" si="12"/>
        <v>0</v>
      </c>
    </row>
    <row r="142" spans="1:13" x14ac:dyDescent="0.25">
      <c r="A142" s="168"/>
      <c r="G142" s="138"/>
      <c r="H142" s="152">
        <v>137</v>
      </c>
      <c r="I142" s="153" t="str">
        <f t="shared" si="13"/>
        <v/>
      </c>
      <c r="J142" s="152">
        <f t="shared" si="14"/>
        <v>-4</v>
      </c>
      <c r="K142" s="152">
        <f t="shared" si="11"/>
        <v>-40</v>
      </c>
      <c r="L142" s="152"/>
      <c r="M142" s="154">
        <f t="shared" si="12"/>
        <v>0</v>
      </c>
    </row>
    <row r="143" spans="1:13" x14ac:dyDescent="0.25">
      <c r="A143" s="168"/>
      <c r="G143" s="138"/>
      <c r="H143" s="152">
        <v>138</v>
      </c>
      <c r="I143" s="153" t="str">
        <f t="shared" si="13"/>
        <v/>
      </c>
      <c r="J143" s="152">
        <f t="shared" si="14"/>
        <v>-4</v>
      </c>
      <c r="K143" s="152">
        <f t="shared" si="11"/>
        <v>-40</v>
      </c>
      <c r="L143" s="152"/>
      <c r="M143" s="154">
        <f t="shared" si="12"/>
        <v>0</v>
      </c>
    </row>
    <row r="144" spans="1:13" x14ac:dyDescent="0.25">
      <c r="A144" s="168"/>
      <c r="G144" s="138"/>
      <c r="H144" s="152">
        <v>139</v>
      </c>
      <c r="I144" s="153" t="str">
        <f t="shared" si="13"/>
        <v/>
      </c>
      <c r="J144" s="152">
        <f t="shared" si="14"/>
        <v>-4</v>
      </c>
      <c r="K144" s="152">
        <f t="shared" si="11"/>
        <v>-40</v>
      </c>
      <c r="L144" s="152"/>
      <c r="M144" s="154">
        <f t="shared" si="12"/>
        <v>0</v>
      </c>
    </row>
    <row r="145" spans="1:13" x14ac:dyDescent="0.25">
      <c r="A145" s="168"/>
      <c r="G145" s="138"/>
      <c r="H145" s="152">
        <v>140</v>
      </c>
      <c r="I145" s="153" t="str">
        <f t="shared" si="13"/>
        <v/>
      </c>
      <c r="J145" s="152">
        <f t="shared" si="14"/>
        <v>-4</v>
      </c>
      <c r="K145" s="152">
        <f t="shared" si="11"/>
        <v>-40</v>
      </c>
      <c r="L145" s="152"/>
      <c r="M145" s="154">
        <f t="shared" si="12"/>
        <v>0</v>
      </c>
    </row>
    <row r="146" spans="1:13" x14ac:dyDescent="0.25">
      <c r="A146" s="168"/>
      <c r="G146" s="138"/>
      <c r="H146" s="152">
        <v>141</v>
      </c>
      <c r="I146" s="153" t="str">
        <f t="shared" si="13"/>
        <v/>
      </c>
      <c r="J146" s="152">
        <f t="shared" si="14"/>
        <v>-4</v>
      </c>
      <c r="K146" s="152">
        <f t="shared" si="11"/>
        <v>-40</v>
      </c>
      <c r="L146" s="152"/>
      <c r="M146" s="154">
        <f t="shared" si="12"/>
        <v>0</v>
      </c>
    </row>
    <row r="147" spans="1:13" x14ac:dyDescent="0.25">
      <c r="A147" s="168"/>
      <c r="G147" s="138"/>
      <c r="H147" s="152">
        <v>142</v>
      </c>
      <c r="I147" s="153" t="str">
        <f t="shared" si="13"/>
        <v/>
      </c>
      <c r="J147" s="152">
        <f t="shared" si="14"/>
        <v>-4</v>
      </c>
      <c r="K147" s="152">
        <f t="shared" si="11"/>
        <v>-40</v>
      </c>
      <c r="L147" s="152"/>
      <c r="M147" s="154">
        <f t="shared" si="12"/>
        <v>0</v>
      </c>
    </row>
    <row r="148" spans="1:13" x14ac:dyDescent="0.25">
      <c r="A148" s="168"/>
      <c r="G148" s="138"/>
      <c r="H148" s="152">
        <v>143</v>
      </c>
      <c r="I148" s="153" t="str">
        <f t="shared" si="13"/>
        <v/>
      </c>
      <c r="J148" s="152">
        <f t="shared" si="14"/>
        <v>-4</v>
      </c>
      <c r="K148" s="152">
        <f t="shared" si="11"/>
        <v>-40</v>
      </c>
      <c r="L148" s="152"/>
      <c r="M148" s="154">
        <f t="shared" si="12"/>
        <v>0</v>
      </c>
    </row>
    <row r="149" spans="1:13" x14ac:dyDescent="0.25">
      <c r="A149" s="168"/>
      <c r="G149" s="138"/>
      <c r="H149" s="152">
        <v>144</v>
      </c>
      <c r="I149" s="153" t="str">
        <f t="shared" si="13"/>
        <v/>
      </c>
      <c r="J149" s="152">
        <f t="shared" si="14"/>
        <v>-4</v>
      </c>
      <c r="K149" s="152">
        <f t="shared" si="11"/>
        <v>-40</v>
      </c>
      <c r="L149" s="152"/>
      <c r="M149" s="154">
        <f t="shared" si="12"/>
        <v>0</v>
      </c>
    </row>
    <row r="150" spans="1:13" x14ac:dyDescent="0.25">
      <c r="A150" s="168"/>
      <c r="G150" s="138"/>
      <c r="H150" s="152">
        <v>145</v>
      </c>
      <c r="I150" s="153" t="str">
        <f t="shared" si="13"/>
        <v/>
      </c>
      <c r="J150" s="152">
        <f t="shared" si="14"/>
        <v>-4</v>
      </c>
      <c r="K150" s="152">
        <f t="shared" si="11"/>
        <v>-40</v>
      </c>
      <c r="L150" s="152"/>
      <c r="M150" s="154">
        <f t="shared" si="12"/>
        <v>0</v>
      </c>
    </row>
    <row r="151" spans="1:13" x14ac:dyDescent="0.25">
      <c r="A151" s="168"/>
      <c r="G151" s="138"/>
      <c r="H151" s="152">
        <v>146</v>
      </c>
      <c r="I151" s="153" t="str">
        <f t="shared" si="13"/>
        <v/>
      </c>
      <c r="J151" s="152">
        <f t="shared" si="14"/>
        <v>-4</v>
      </c>
      <c r="K151" s="152">
        <f t="shared" si="11"/>
        <v>-40</v>
      </c>
      <c r="L151" s="152"/>
      <c r="M151" s="154">
        <f t="shared" si="12"/>
        <v>0</v>
      </c>
    </row>
    <row r="152" spans="1:13" x14ac:dyDescent="0.25">
      <c r="A152" s="168"/>
      <c r="G152" s="138"/>
      <c r="H152" s="152">
        <v>147</v>
      </c>
      <c r="I152" s="153" t="str">
        <f t="shared" si="13"/>
        <v/>
      </c>
      <c r="J152" s="152">
        <f t="shared" si="14"/>
        <v>-4</v>
      </c>
      <c r="K152" s="152">
        <f t="shared" si="11"/>
        <v>-40</v>
      </c>
      <c r="L152" s="152"/>
      <c r="M152" s="154">
        <f t="shared" si="12"/>
        <v>0</v>
      </c>
    </row>
    <row r="153" spans="1:13" x14ac:dyDescent="0.25">
      <c r="A153" s="168"/>
      <c r="G153" s="138"/>
      <c r="H153" s="152">
        <v>148</v>
      </c>
      <c r="I153" s="153" t="str">
        <f t="shared" si="13"/>
        <v/>
      </c>
      <c r="J153" s="152">
        <f t="shared" si="14"/>
        <v>-4</v>
      </c>
      <c r="K153" s="152">
        <f t="shared" si="11"/>
        <v>-40</v>
      </c>
      <c r="L153" s="152"/>
      <c r="M153" s="154">
        <f t="shared" si="12"/>
        <v>0</v>
      </c>
    </row>
    <row r="154" spans="1:13" x14ac:dyDescent="0.25">
      <c r="A154" s="168"/>
      <c r="G154" s="138"/>
      <c r="H154" s="152">
        <v>149</v>
      </c>
      <c r="I154" s="153" t="str">
        <f t="shared" si="13"/>
        <v/>
      </c>
      <c r="J154" s="152">
        <f t="shared" si="14"/>
        <v>-4</v>
      </c>
      <c r="K154" s="152">
        <f t="shared" si="11"/>
        <v>-40</v>
      </c>
      <c r="L154" s="152"/>
      <c r="M154" s="154">
        <f t="shared" si="12"/>
        <v>0</v>
      </c>
    </row>
    <row r="155" spans="1:13" x14ac:dyDescent="0.25">
      <c r="A155" s="168"/>
      <c r="G155" s="138"/>
      <c r="H155" s="152">
        <v>150</v>
      </c>
      <c r="I155" s="153" t="str">
        <f t="shared" si="13"/>
        <v/>
      </c>
      <c r="J155" s="152">
        <f t="shared" si="14"/>
        <v>-4</v>
      </c>
      <c r="K155" s="152">
        <f t="shared" si="11"/>
        <v>-40</v>
      </c>
      <c r="L155" s="152"/>
      <c r="M155" s="154">
        <f t="shared" si="12"/>
        <v>0</v>
      </c>
    </row>
    <row r="156" spans="1:13" x14ac:dyDescent="0.25">
      <c r="A156" s="168"/>
      <c r="G156" s="138"/>
      <c r="H156" s="152">
        <v>151</v>
      </c>
      <c r="I156" s="153" t="str">
        <f t="shared" si="13"/>
        <v/>
      </c>
      <c r="J156" s="152">
        <f t="shared" si="14"/>
        <v>-4</v>
      </c>
      <c r="K156" s="152">
        <f t="shared" si="11"/>
        <v>-40</v>
      </c>
      <c r="L156" s="152"/>
      <c r="M156" s="154">
        <f t="shared" si="12"/>
        <v>0</v>
      </c>
    </row>
    <row r="157" spans="1:13" x14ac:dyDescent="0.25">
      <c r="A157" s="168"/>
      <c r="G157" s="138"/>
      <c r="H157" s="152">
        <v>152</v>
      </c>
      <c r="I157" s="153" t="str">
        <f t="shared" si="13"/>
        <v/>
      </c>
      <c r="J157" s="152">
        <f t="shared" si="14"/>
        <v>-4</v>
      </c>
      <c r="K157" s="152">
        <f t="shared" si="11"/>
        <v>-40</v>
      </c>
      <c r="L157" s="152"/>
      <c r="M157" s="154">
        <f t="shared" si="12"/>
        <v>0</v>
      </c>
    </row>
    <row r="158" spans="1:13" x14ac:dyDescent="0.25">
      <c r="A158" s="168"/>
      <c r="G158" s="138"/>
      <c r="H158" s="152">
        <v>153</v>
      </c>
      <c r="I158" s="153" t="str">
        <f t="shared" si="13"/>
        <v/>
      </c>
      <c r="J158" s="152">
        <f t="shared" si="14"/>
        <v>-4</v>
      </c>
      <c r="K158" s="152">
        <f t="shared" si="11"/>
        <v>-40</v>
      </c>
      <c r="L158" s="152"/>
      <c r="M158" s="154">
        <f t="shared" si="12"/>
        <v>0</v>
      </c>
    </row>
    <row r="159" spans="1:13" x14ac:dyDescent="0.25">
      <c r="A159" s="168"/>
      <c r="G159" s="138"/>
      <c r="H159" s="152">
        <v>154</v>
      </c>
      <c r="I159" s="153" t="str">
        <f t="shared" si="13"/>
        <v/>
      </c>
      <c r="J159" s="152">
        <f t="shared" si="14"/>
        <v>-4</v>
      </c>
      <c r="K159" s="152">
        <f t="shared" si="11"/>
        <v>-40</v>
      </c>
      <c r="L159" s="152"/>
      <c r="M159" s="154">
        <f t="shared" si="12"/>
        <v>0</v>
      </c>
    </row>
    <row r="160" spans="1:13" x14ac:dyDescent="0.25">
      <c r="A160" s="168"/>
      <c r="G160" s="138"/>
      <c r="H160" s="152">
        <v>155</v>
      </c>
      <c r="I160" s="153" t="str">
        <f t="shared" si="13"/>
        <v/>
      </c>
      <c r="J160" s="152">
        <f t="shared" si="14"/>
        <v>-4</v>
      </c>
      <c r="K160" s="152">
        <f t="shared" si="11"/>
        <v>-40</v>
      </c>
      <c r="L160" s="152"/>
      <c r="M160" s="154">
        <f t="shared" si="12"/>
        <v>0</v>
      </c>
    </row>
    <row r="161" spans="1:13" x14ac:dyDescent="0.25">
      <c r="A161" s="168"/>
      <c r="G161" s="138"/>
      <c r="H161" s="152">
        <v>156</v>
      </c>
      <c r="I161" s="153" t="str">
        <f t="shared" si="13"/>
        <v/>
      </c>
      <c r="J161" s="152">
        <f t="shared" si="14"/>
        <v>-4</v>
      </c>
      <c r="K161" s="152">
        <f t="shared" si="11"/>
        <v>-40</v>
      </c>
      <c r="L161" s="152"/>
      <c r="M161" s="154">
        <f t="shared" si="12"/>
        <v>0</v>
      </c>
    </row>
    <row r="162" spans="1:13" x14ac:dyDescent="0.25">
      <c r="A162" s="168"/>
      <c r="G162" s="138"/>
      <c r="H162" s="152">
        <v>157</v>
      </c>
      <c r="I162" s="153" t="str">
        <f t="shared" si="13"/>
        <v/>
      </c>
      <c r="J162" s="152">
        <f t="shared" si="14"/>
        <v>-4</v>
      </c>
      <c r="K162" s="152">
        <f t="shared" si="11"/>
        <v>-40</v>
      </c>
      <c r="L162" s="152"/>
      <c r="M162" s="154">
        <f t="shared" si="12"/>
        <v>0</v>
      </c>
    </row>
    <row r="163" spans="1:13" x14ac:dyDescent="0.25">
      <c r="A163" s="168"/>
      <c r="G163" s="138"/>
      <c r="H163" s="152">
        <v>158</v>
      </c>
      <c r="I163" s="153" t="str">
        <f t="shared" si="13"/>
        <v/>
      </c>
      <c r="J163" s="152">
        <f t="shared" si="14"/>
        <v>-4</v>
      </c>
      <c r="K163" s="152">
        <f t="shared" si="11"/>
        <v>-40</v>
      </c>
      <c r="L163" s="152"/>
      <c r="M163" s="154">
        <f t="shared" si="12"/>
        <v>0</v>
      </c>
    </row>
    <row r="164" spans="1:13" x14ac:dyDescent="0.25">
      <c r="A164" s="168"/>
      <c r="G164" s="138"/>
      <c r="H164" s="152">
        <v>159</v>
      </c>
      <c r="I164" s="153" t="str">
        <f t="shared" si="13"/>
        <v/>
      </c>
      <c r="J164" s="152">
        <f t="shared" si="14"/>
        <v>-4</v>
      </c>
      <c r="K164" s="152">
        <f t="shared" si="11"/>
        <v>-40</v>
      </c>
      <c r="L164" s="152"/>
      <c r="M164" s="154">
        <f t="shared" si="12"/>
        <v>0</v>
      </c>
    </row>
    <row r="165" spans="1:13" x14ac:dyDescent="0.25">
      <c r="A165" s="168"/>
      <c r="G165" s="138"/>
      <c r="H165" s="152">
        <v>160</v>
      </c>
      <c r="I165" s="153" t="str">
        <f t="shared" si="13"/>
        <v/>
      </c>
      <c r="J165" s="152">
        <f t="shared" si="14"/>
        <v>-4</v>
      </c>
      <c r="K165" s="152">
        <f t="shared" si="11"/>
        <v>-40</v>
      </c>
      <c r="L165" s="152"/>
      <c r="M165" s="154">
        <f t="shared" si="12"/>
        <v>0</v>
      </c>
    </row>
    <row r="166" spans="1:13" x14ac:dyDescent="0.25">
      <c r="A166" s="168"/>
      <c r="G166" s="138"/>
      <c r="H166" s="152">
        <v>161</v>
      </c>
      <c r="I166" s="153" t="str">
        <f t="shared" si="13"/>
        <v/>
      </c>
      <c r="J166" s="152">
        <f t="shared" si="14"/>
        <v>-4</v>
      </c>
      <c r="K166" s="152">
        <f t="shared" si="11"/>
        <v>-40</v>
      </c>
      <c r="L166" s="152"/>
      <c r="M166" s="154">
        <f t="shared" si="12"/>
        <v>0</v>
      </c>
    </row>
    <row r="167" spans="1:13" x14ac:dyDescent="0.25">
      <c r="A167" s="168"/>
      <c r="G167" s="138"/>
      <c r="H167" s="152">
        <v>162</v>
      </c>
      <c r="I167" s="153" t="str">
        <f t="shared" si="13"/>
        <v/>
      </c>
      <c r="J167" s="152">
        <f t="shared" si="14"/>
        <v>-4</v>
      </c>
      <c r="K167" s="152">
        <f t="shared" si="11"/>
        <v>-40</v>
      </c>
      <c r="L167" s="152"/>
      <c r="M167" s="154">
        <f t="shared" si="12"/>
        <v>0</v>
      </c>
    </row>
    <row r="168" spans="1:13" x14ac:dyDescent="0.25">
      <c r="A168" s="168"/>
      <c r="G168" s="138"/>
      <c r="H168" s="152">
        <v>163</v>
      </c>
      <c r="I168" s="153" t="str">
        <f t="shared" si="13"/>
        <v/>
      </c>
      <c r="J168" s="152">
        <f t="shared" si="14"/>
        <v>-4</v>
      </c>
      <c r="K168" s="152">
        <f t="shared" si="11"/>
        <v>-40</v>
      </c>
      <c r="L168" s="152"/>
      <c r="M168" s="154">
        <f t="shared" si="12"/>
        <v>0</v>
      </c>
    </row>
    <row r="169" spans="1:13" x14ac:dyDescent="0.25">
      <c r="A169" s="168"/>
      <c r="G169" s="138"/>
      <c r="H169" s="152">
        <v>164</v>
      </c>
      <c r="I169" s="153" t="str">
        <f t="shared" si="13"/>
        <v/>
      </c>
      <c r="J169" s="152">
        <f t="shared" si="14"/>
        <v>-4</v>
      </c>
      <c r="K169" s="152">
        <f t="shared" si="11"/>
        <v>-40</v>
      </c>
      <c r="L169" s="152"/>
      <c r="M169" s="154">
        <f t="shared" si="12"/>
        <v>0</v>
      </c>
    </row>
    <row r="170" spans="1:13" x14ac:dyDescent="0.25">
      <c r="A170" s="168"/>
      <c r="G170" s="138"/>
      <c r="H170" s="152">
        <v>165</v>
      </c>
      <c r="I170" s="153" t="str">
        <f t="shared" si="13"/>
        <v/>
      </c>
      <c r="J170" s="152">
        <f t="shared" si="14"/>
        <v>-4</v>
      </c>
      <c r="K170" s="152">
        <f t="shared" si="11"/>
        <v>-40</v>
      </c>
      <c r="L170" s="152"/>
      <c r="M170" s="154">
        <f t="shared" si="12"/>
        <v>0</v>
      </c>
    </row>
    <row r="171" spans="1:13" x14ac:dyDescent="0.25">
      <c r="A171" s="168"/>
      <c r="G171" s="138"/>
      <c r="H171" s="152">
        <v>166</v>
      </c>
      <c r="I171" s="153" t="str">
        <f t="shared" si="13"/>
        <v/>
      </c>
      <c r="J171" s="152">
        <f t="shared" si="14"/>
        <v>-4</v>
      </c>
      <c r="K171" s="152">
        <f t="shared" si="11"/>
        <v>-40</v>
      </c>
      <c r="L171" s="152"/>
      <c r="M171" s="154">
        <f t="shared" si="12"/>
        <v>0</v>
      </c>
    </row>
    <row r="172" spans="1:13" x14ac:dyDescent="0.25">
      <c r="A172" s="168"/>
      <c r="G172" s="138"/>
      <c r="H172" s="152">
        <v>167</v>
      </c>
      <c r="I172" s="153" t="str">
        <f t="shared" si="13"/>
        <v/>
      </c>
      <c r="J172" s="152">
        <f t="shared" si="14"/>
        <v>-4</v>
      </c>
      <c r="K172" s="152">
        <f t="shared" si="11"/>
        <v>-40</v>
      </c>
      <c r="L172" s="152"/>
      <c r="M172" s="154">
        <f t="shared" si="12"/>
        <v>0</v>
      </c>
    </row>
    <row r="173" spans="1:13" x14ac:dyDescent="0.25">
      <c r="A173" s="168"/>
      <c r="G173" s="138"/>
      <c r="H173" s="152">
        <v>168</v>
      </c>
      <c r="I173" s="153" t="str">
        <f t="shared" si="13"/>
        <v/>
      </c>
      <c r="J173" s="152">
        <f t="shared" si="14"/>
        <v>-4</v>
      </c>
      <c r="K173" s="152">
        <f t="shared" si="11"/>
        <v>-40</v>
      </c>
      <c r="L173" s="152"/>
      <c r="M173" s="154">
        <f t="shared" si="12"/>
        <v>0</v>
      </c>
    </row>
    <row r="174" spans="1:13" x14ac:dyDescent="0.25">
      <c r="A174" s="168"/>
      <c r="G174" s="138"/>
      <c r="H174" s="152">
        <v>169</v>
      </c>
      <c r="I174" s="153" t="str">
        <f t="shared" si="13"/>
        <v/>
      </c>
      <c r="J174" s="152">
        <f t="shared" si="14"/>
        <v>-4</v>
      </c>
      <c r="K174" s="152">
        <f t="shared" si="11"/>
        <v>-40</v>
      </c>
      <c r="L174" s="152"/>
      <c r="M174" s="154">
        <f t="shared" si="12"/>
        <v>0</v>
      </c>
    </row>
    <row r="175" spans="1:13" x14ac:dyDescent="0.25">
      <c r="A175" s="168"/>
      <c r="G175" s="138"/>
      <c r="H175" s="152">
        <v>170</v>
      </c>
      <c r="I175" s="153" t="str">
        <f t="shared" si="13"/>
        <v/>
      </c>
      <c r="J175" s="152">
        <f t="shared" si="14"/>
        <v>-4</v>
      </c>
      <c r="K175" s="152">
        <f t="shared" si="11"/>
        <v>-40</v>
      </c>
      <c r="L175" s="152"/>
      <c r="M175" s="154">
        <f t="shared" si="12"/>
        <v>0</v>
      </c>
    </row>
    <row r="176" spans="1:13" x14ac:dyDescent="0.25">
      <c r="A176" s="168"/>
      <c r="G176" s="138"/>
      <c r="H176" s="152">
        <v>171</v>
      </c>
      <c r="I176" s="153" t="str">
        <f t="shared" si="13"/>
        <v/>
      </c>
      <c r="J176" s="152">
        <f t="shared" si="14"/>
        <v>-4</v>
      </c>
      <c r="K176" s="152">
        <f t="shared" si="11"/>
        <v>-40</v>
      </c>
      <c r="L176" s="152"/>
      <c r="M176" s="154">
        <f t="shared" si="12"/>
        <v>0</v>
      </c>
    </row>
    <row r="177" spans="1:13" x14ac:dyDescent="0.25">
      <c r="A177" s="168"/>
      <c r="G177" s="138"/>
      <c r="H177" s="152">
        <v>172</v>
      </c>
      <c r="I177" s="153" t="str">
        <f t="shared" si="13"/>
        <v/>
      </c>
      <c r="J177" s="152">
        <f t="shared" si="14"/>
        <v>-4</v>
      </c>
      <c r="K177" s="152">
        <f t="shared" si="11"/>
        <v>-40</v>
      </c>
      <c r="L177" s="152"/>
      <c r="M177" s="154">
        <f t="shared" si="12"/>
        <v>0</v>
      </c>
    </row>
    <row r="178" spans="1:13" x14ac:dyDescent="0.25">
      <c r="A178" s="168"/>
      <c r="G178" s="138"/>
      <c r="H178" s="152">
        <v>173</v>
      </c>
      <c r="I178" s="153" t="str">
        <f t="shared" si="13"/>
        <v/>
      </c>
      <c r="J178" s="152">
        <f t="shared" si="14"/>
        <v>-4</v>
      </c>
      <c r="K178" s="152">
        <f t="shared" si="11"/>
        <v>-40</v>
      </c>
      <c r="L178" s="152"/>
      <c r="M178" s="154">
        <f t="shared" si="12"/>
        <v>0</v>
      </c>
    </row>
    <row r="179" spans="1:13" x14ac:dyDescent="0.25">
      <c r="A179" s="168"/>
      <c r="G179" s="138"/>
      <c r="H179" s="152">
        <v>174</v>
      </c>
      <c r="I179" s="153" t="str">
        <f t="shared" si="13"/>
        <v/>
      </c>
      <c r="J179" s="152">
        <f t="shared" si="14"/>
        <v>-4</v>
      </c>
      <c r="K179" s="152">
        <f t="shared" si="11"/>
        <v>-40</v>
      </c>
      <c r="L179" s="152"/>
      <c r="M179" s="154">
        <f t="shared" si="12"/>
        <v>0</v>
      </c>
    </row>
    <row r="180" spans="1:13" x14ac:dyDescent="0.25">
      <c r="A180" s="168"/>
      <c r="G180" s="138"/>
      <c r="H180" s="152">
        <v>175</v>
      </c>
      <c r="I180" s="153" t="str">
        <f t="shared" si="13"/>
        <v/>
      </c>
      <c r="J180" s="152">
        <f t="shared" si="14"/>
        <v>-4</v>
      </c>
      <c r="K180" s="152">
        <f t="shared" si="11"/>
        <v>-40</v>
      </c>
      <c r="L180" s="152"/>
      <c r="M180" s="154">
        <f t="shared" si="12"/>
        <v>0</v>
      </c>
    </row>
    <row r="181" spans="1:13" x14ac:dyDescent="0.25">
      <c r="A181" s="168"/>
      <c r="G181" s="138"/>
      <c r="H181" s="152">
        <v>176</v>
      </c>
      <c r="I181" s="153" t="str">
        <f t="shared" si="13"/>
        <v/>
      </c>
      <c r="J181" s="152">
        <f t="shared" si="14"/>
        <v>-4</v>
      </c>
      <c r="K181" s="152">
        <f t="shared" si="11"/>
        <v>-40</v>
      </c>
      <c r="L181" s="152"/>
      <c r="M181" s="154">
        <f t="shared" si="12"/>
        <v>0</v>
      </c>
    </row>
    <row r="182" spans="1:13" x14ac:dyDescent="0.25">
      <c r="A182" s="168"/>
      <c r="G182" s="138"/>
      <c r="H182" s="152">
        <v>177</v>
      </c>
      <c r="I182" s="153" t="str">
        <f t="shared" si="13"/>
        <v/>
      </c>
      <c r="J182" s="152">
        <f t="shared" si="14"/>
        <v>-4</v>
      </c>
      <c r="K182" s="152">
        <f t="shared" si="11"/>
        <v>-40</v>
      </c>
      <c r="L182" s="152"/>
      <c r="M182" s="154">
        <f t="shared" si="12"/>
        <v>0</v>
      </c>
    </row>
    <row r="183" spans="1:13" x14ac:dyDescent="0.25">
      <c r="A183" s="168"/>
      <c r="G183" s="138"/>
      <c r="H183" s="152">
        <v>178</v>
      </c>
      <c r="I183" s="153" t="str">
        <f t="shared" si="13"/>
        <v/>
      </c>
      <c r="J183" s="152">
        <f t="shared" si="14"/>
        <v>-4</v>
      </c>
      <c r="K183" s="152">
        <f t="shared" si="11"/>
        <v>-40</v>
      </c>
      <c r="L183" s="152"/>
      <c r="M183" s="154">
        <f t="shared" si="12"/>
        <v>0</v>
      </c>
    </row>
    <row r="184" spans="1:13" x14ac:dyDescent="0.25">
      <c r="A184" s="168"/>
      <c r="G184" s="138"/>
      <c r="H184" s="152">
        <v>179</v>
      </c>
      <c r="I184" s="153" t="str">
        <f t="shared" si="13"/>
        <v/>
      </c>
      <c r="J184" s="152">
        <f t="shared" si="14"/>
        <v>-4</v>
      </c>
      <c r="K184" s="152">
        <f t="shared" si="11"/>
        <v>-40</v>
      </c>
      <c r="L184" s="152"/>
      <c r="M184" s="154">
        <f t="shared" si="12"/>
        <v>0</v>
      </c>
    </row>
    <row r="185" spans="1:13" x14ac:dyDescent="0.25">
      <c r="A185" s="168"/>
      <c r="G185" s="138"/>
      <c r="H185" s="152">
        <v>180</v>
      </c>
      <c r="I185" s="153" t="str">
        <f t="shared" si="13"/>
        <v/>
      </c>
      <c r="J185" s="152">
        <f t="shared" si="14"/>
        <v>-4</v>
      </c>
      <c r="K185" s="152">
        <f t="shared" si="11"/>
        <v>-40</v>
      </c>
      <c r="L185" s="152"/>
      <c r="M185" s="154">
        <f t="shared" si="12"/>
        <v>0</v>
      </c>
    </row>
    <row r="186" spans="1:13" x14ac:dyDescent="0.25">
      <c r="A186" s="168"/>
      <c r="G186" s="138"/>
      <c r="H186" s="152">
        <v>181</v>
      </c>
      <c r="I186" s="153" t="str">
        <f t="shared" si="13"/>
        <v/>
      </c>
      <c r="J186" s="152">
        <f t="shared" si="14"/>
        <v>-4</v>
      </c>
      <c r="K186" s="152">
        <f t="shared" si="11"/>
        <v>-40</v>
      </c>
      <c r="L186" s="152"/>
      <c r="M186" s="154">
        <f t="shared" si="12"/>
        <v>0</v>
      </c>
    </row>
    <row r="187" spans="1:13" x14ac:dyDescent="0.25">
      <c r="A187" s="168"/>
      <c r="G187" s="138"/>
      <c r="H187" s="152">
        <v>182</v>
      </c>
      <c r="I187" s="153" t="str">
        <f t="shared" si="13"/>
        <v/>
      </c>
      <c r="J187" s="152">
        <f t="shared" si="14"/>
        <v>-4</v>
      </c>
      <c r="K187" s="152">
        <f t="shared" si="11"/>
        <v>-40</v>
      </c>
      <c r="L187" s="152"/>
      <c r="M187" s="154">
        <f t="shared" si="12"/>
        <v>0</v>
      </c>
    </row>
    <row r="188" spans="1:13" x14ac:dyDescent="0.25">
      <c r="A188" s="168"/>
      <c r="G188" s="138"/>
      <c r="H188" s="152">
        <v>183</v>
      </c>
      <c r="I188" s="153" t="str">
        <f t="shared" si="13"/>
        <v/>
      </c>
      <c r="J188" s="152">
        <f t="shared" si="14"/>
        <v>-4</v>
      </c>
      <c r="K188" s="152">
        <f t="shared" si="11"/>
        <v>-40</v>
      </c>
      <c r="L188" s="152"/>
      <c r="M188" s="154">
        <f t="shared" si="12"/>
        <v>0</v>
      </c>
    </row>
    <row r="189" spans="1:13" x14ac:dyDescent="0.25">
      <c r="A189" s="168"/>
      <c r="G189" s="138"/>
      <c r="H189" s="152">
        <v>184</v>
      </c>
      <c r="I189" s="153" t="str">
        <f t="shared" si="13"/>
        <v/>
      </c>
      <c r="J189" s="152">
        <f t="shared" si="14"/>
        <v>-4</v>
      </c>
      <c r="K189" s="152">
        <f t="shared" si="11"/>
        <v>-40</v>
      </c>
      <c r="L189" s="152"/>
      <c r="M189" s="154">
        <f t="shared" si="12"/>
        <v>0</v>
      </c>
    </row>
    <row r="190" spans="1:13" x14ac:dyDescent="0.25">
      <c r="A190" s="168"/>
      <c r="G190" s="138"/>
      <c r="H190" s="152">
        <v>185</v>
      </c>
      <c r="I190" s="153" t="str">
        <f t="shared" si="13"/>
        <v/>
      </c>
      <c r="J190" s="152">
        <f t="shared" si="14"/>
        <v>-4</v>
      </c>
      <c r="K190" s="152">
        <f t="shared" si="11"/>
        <v>-40</v>
      </c>
      <c r="L190" s="152"/>
      <c r="M190" s="154">
        <f t="shared" si="12"/>
        <v>0</v>
      </c>
    </row>
    <row r="191" spans="1:13" x14ac:dyDescent="0.25">
      <c r="A191" s="168"/>
      <c r="G191" s="138"/>
      <c r="H191" s="152">
        <v>186</v>
      </c>
      <c r="I191" s="153" t="str">
        <f t="shared" si="13"/>
        <v/>
      </c>
      <c r="J191" s="152">
        <f t="shared" si="14"/>
        <v>-4</v>
      </c>
      <c r="K191" s="152">
        <f t="shared" si="11"/>
        <v>-40</v>
      </c>
      <c r="L191" s="152"/>
      <c r="M191" s="154">
        <f t="shared" si="12"/>
        <v>0</v>
      </c>
    </row>
    <row r="192" spans="1:13" x14ac:dyDescent="0.25">
      <c r="A192" s="168"/>
      <c r="G192" s="138"/>
      <c r="H192" s="152">
        <v>187</v>
      </c>
      <c r="I192" s="153" t="str">
        <f t="shared" si="13"/>
        <v/>
      </c>
      <c r="J192" s="152">
        <f t="shared" si="14"/>
        <v>-4</v>
      </c>
      <c r="K192" s="152">
        <f t="shared" si="11"/>
        <v>-40</v>
      </c>
      <c r="L192" s="152"/>
      <c r="M192" s="154">
        <f t="shared" si="12"/>
        <v>0</v>
      </c>
    </row>
    <row r="193" spans="1:13" x14ac:dyDescent="0.25">
      <c r="A193" s="168"/>
      <c r="G193" s="138"/>
      <c r="H193" s="152">
        <v>188</v>
      </c>
      <c r="I193" s="153" t="str">
        <f t="shared" si="13"/>
        <v/>
      </c>
      <c r="J193" s="152">
        <f t="shared" si="14"/>
        <v>-4</v>
      </c>
      <c r="K193" s="152">
        <f t="shared" si="11"/>
        <v>-40</v>
      </c>
      <c r="L193" s="152"/>
      <c r="M193" s="154">
        <f t="shared" si="12"/>
        <v>0</v>
      </c>
    </row>
    <row r="194" spans="1:13" x14ac:dyDescent="0.25">
      <c r="A194" s="168"/>
      <c r="G194" s="138"/>
      <c r="H194" s="152">
        <v>189</v>
      </c>
      <c r="I194" s="153" t="str">
        <f t="shared" si="13"/>
        <v/>
      </c>
      <c r="J194" s="152">
        <f t="shared" si="14"/>
        <v>-4</v>
      </c>
      <c r="K194" s="152">
        <f t="shared" si="11"/>
        <v>-40</v>
      </c>
      <c r="L194" s="152"/>
      <c r="M194" s="154">
        <f t="shared" si="12"/>
        <v>0</v>
      </c>
    </row>
    <row r="195" spans="1:13" x14ac:dyDescent="0.25">
      <c r="A195" s="168"/>
      <c r="G195" s="138"/>
      <c r="H195" s="152">
        <v>190</v>
      </c>
      <c r="I195" s="153" t="str">
        <f t="shared" si="13"/>
        <v/>
      </c>
      <c r="J195" s="152">
        <f t="shared" si="14"/>
        <v>-4</v>
      </c>
      <c r="K195" s="152">
        <f t="shared" si="11"/>
        <v>-40</v>
      </c>
      <c r="L195" s="152"/>
      <c r="M195" s="154">
        <f t="shared" si="12"/>
        <v>0</v>
      </c>
    </row>
    <row r="196" spans="1:13" x14ac:dyDescent="0.25">
      <c r="A196" s="168"/>
      <c r="G196" s="138"/>
      <c r="H196" s="152">
        <v>191</v>
      </c>
      <c r="I196" s="153" t="str">
        <f t="shared" si="13"/>
        <v/>
      </c>
      <c r="J196" s="152">
        <f t="shared" si="14"/>
        <v>-4</v>
      </c>
      <c r="K196" s="152">
        <f t="shared" si="11"/>
        <v>-40</v>
      </c>
      <c r="L196" s="152"/>
      <c r="M196" s="154">
        <f t="shared" si="12"/>
        <v>0</v>
      </c>
    </row>
    <row r="197" spans="1:13" x14ac:dyDescent="0.25">
      <c r="A197" s="168"/>
      <c r="G197" s="138"/>
      <c r="H197" s="152">
        <v>192</v>
      </c>
      <c r="I197" s="153" t="str">
        <f t="shared" si="13"/>
        <v/>
      </c>
      <c r="J197" s="152">
        <f t="shared" si="14"/>
        <v>-4</v>
      </c>
      <c r="K197" s="152">
        <f t="shared" si="11"/>
        <v>-40</v>
      </c>
      <c r="L197" s="152"/>
      <c r="M197" s="154">
        <f t="shared" si="12"/>
        <v>0</v>
      </c>
    </row>
    <row r="198" spans="1:13" x14ac:dyDescent="0.25">
      <c r="A198" s="168"/>
      <c r="G198" s="138"/>
      <c r="H198" s="152">
        <v>193</v>
      </c>
      <c r="I198" s="153" t="str">
        <f t="shared" si="13"/>
        <v/>
      </c>
      <c r="J198" s="152">
        <f t="shared" si="14"/>
        <v>-4</v>
      </c>
      <c r="K198" s="152">
        <f t="shared" ref="K198:K261" si="15">J198*$J$2</f>
        <v>-40</v>
      </c>
      <c r="L198" s="152"/>
      <c r="M198" s="154">
        <f t="shared" ref="M198:M261" si="16">IF(I198&lt;&gt;"",K198+I198+L198,0)</f>
        <v>0</v>
      </c>
    </row>
    <row r="199" spans="1:13" x14ac:dyDescent="0.25">
      <c r="A199" s="168"/>
      <c r="G199" s="138"/>
      <c r="H199" s="152">
        <v>194</v>
      </c>
      <c r="I199" s="153" t="str">
        <f t="shared" ref="I199:I262" si="17">IF(H199&lt;$H$2+1,($I$2-($I$2-1)*(LOG(H199)/LOG($H$2))),"")</f>
        <v/>
      </c>
      <c r="J199" s="152">
        <f t="shared" ref="J199:J262" si="18">INT(LOG($H$2,2))-ROUNDUP(LOG(H199,2),0)+IF(OR($H$2=1,$H$2=2,$H$2=4,$H$2=8,$H$2=16,$H$2=32,$H$2=64,$H$2=128,$H$2=256),0,1)</f>
        <v>-4</v>
      </c>
      <c r="K199" s="152">
        <f t="shared" si="15"/>
        <v>-40</v>
      </c>
      <c r="L199" s="152"/>
      <c r="M199" s="154">
        <f t="shared" si="16"/>
        <v>0</v>
      </c>
    </row>
    <row r="200" spans="1:13" x14ac:dyDescent="0.25">
      <c r="A200" s="168"/>
      <c r="G200" s="138"/>
      <c r="H200" s="152">
        <v>195</v>
      </c>
      <c r="I200" s="153" t="str">
        <f t="shared" si="17"/>
        <v/>
      </c>
      <c r="J200" s="152">
        <f t="shared" si="18"/>
        <v>-4</v>
      </c>
      <c r="K200" s="152">
        <f t="shared" si="15"/>
        <v>-40</v>
      </c>
      <c r="L200" s="152"/>
      <c r="M200" s="154">
        <f t="shared" si="16"/>
        <v>0</v>
      </c>
    </row>
    <row r="201" spans="1:13" x14ac:dyDescent="0.25">
      <c r="A201" s="168"/>
      <c r="G201" s="138"/>
      <c r="H201" s="152">
        <v>196</v>
      </c>
      <c r="I201" s="153" t="str">
        <f t="shared" si="17"/>
        <v/>
      </c>
      <c r="J201" s="152">
        <f t="shared" si="18"/>
        <v>-4</v>
      </c>
      <c r="K201" s="152">
        <f t="shared" si="15"/>
        <v>-40</v>
      </c>
      <c r="L201" s="152"/>
      <c r="M201" s="154">
        <f t="shared" si="16"/>
        <v>0</v>
      </c>
    </row>
    <row r="202" spans="1:13" x14ac:dyDescent="0.25">
      <c r="A202" s="168"/>
      <c r="G202" s="138"/>
      <c r="H202" s="152">
        <v>197</v>
      </c>
      <c r="I202" s="153" t="str">
        <f t="shared" si="17"/>
        <v/>
      </c>
      <c r="J202" s="152">
        <f t="shared" si="18"/>
        <v>-4</v>
      </c>
      <c r="K202" s="152">
        <f t="shared" si="15"/>
        <v>-40</v>
      </c>
      <c r="L202" s="152"/>
      <c r="M202" s="154">
        <f t="shared" si="16"/>
        <v>0</v>
      </c>
    </row>
    <row r="203" spans="1:13" x14ac:dyDescent="0.25">
      <c r="A203" s="168"/>
      <c r="G203" s="138"/>
      <c r="H203" s="152">
        <v>198</v>
      </c>
      <c r="I203" s="153" t="str">
        <f t="shared" si="17"/>
        <v/>
      </c>
      <c r="J203" s="152">
        <f t="shared" si="18"/>
        <v>-4</v>
      </c>
      <c r="K203" s="152">
        <f t="shared" si="15"/>
        <v>-40</v>
      </c>
      <c r="L203" s="152"/>
      <c r="M203" s="154">
        <f t="shared" si="16"/>
        <v>0</v>
      </c>
    </row>
    <row r="204" spans="1:13" x14ac:dyDescent="0.25">
      <c r="A204" s="168"/>
      <c r="G204" s="138"/>
      <c r="H204" s="152">
        <v>199</v>
      </c>
      <c r="I204" s="153" t="str">
        <f t="shared" si="17"/>
        <v/>
      </c>
      <c r="J204" s="152">
        <f t="shared" si="18"/>
        <v>-4</v>
      </c>
      <c r="K204" s="152">
        <f t="shared" si="15"/>
        <v>-40</v>
      </c>
      <c r="L204" s="152"/>
      <c r="M204" s="154">
        <f t="shared" si="16"/>
        <v>0</v>
      </c>
    </row>
    <row r="205" spans="1:13" x14ac:dyDescent="0.25">
      <c r="A205" s="168"/>
      <c r="G205" s="138"/>
      <c r="H205" s="152">
        <v>200</v>
      </c>
      <c r="I205" s="153" t="str">
        <f t="shared" si="17"/>
        <v/>
      </c>
      <c r="J205" s="152">
        <f t="shared" si="18"/>
        <v>-4</v>
      </c>
      <c r="K205" s="152">
        <f t="shared" si="15"/>
        <v>-40</v>
      </c>
      <c r="L205" s="152"/>
      <c r="M205" s="154">
        <f t="shared" si="16"/>
        <v>0</v>
      </c>
    </row>
    <row r="206" spans="1:13" x14ac:dyDescent="0.25">
      <c r="A206" s="168"/>
      <c r="G206" s="138"/>
      <c r="H206" s="152">
        <v>201</v>
      </c>
      <c r="I206" s="153" t="str">
        <f t="shared" si="17"/>
        <v/>
      </c>
      <c r="J206" s="152">
        <f t="shared" si="18"/>
        <v>-4</v>
      </c>
      <c r="K206" s="152">
        <f t="shared" si="15"/>
        <v>-40</v>
      </c>
      <c r="L206" s="152"/>
      <c r="M206" s="154">
        <f t="shared" si="16"/>
        <v>0</v>
      </c>
    </row>
    <row r="207" spans="1:13" x14ac:dyDescent="0.25">
      <c r="A207" s="168"/>
      <c r="G207" s="138"/>
      <c r="H207" s="152">
        <v>202</v>
      </c>
      <c r="I207" s="153" t="str">
        <f t="shared" si="17"/>
        <v/>
      </c>
      <c r="J207" s="152">
        <f t="shared" si="18"/>
        <v>-4</v>
      </c>
      <c r="K207" s="152">
        <f t="shared" si="15"/>
        <v>-40</v>
      </c>
      <c r="L207" s="152"/>
      <c r="M207" s="154">
        <f t="shared" si="16"/>
        <v>0</v>
      </c>
    </row>
    <row r="208" spans="1:13" x14ac:dyDescent="0.25">
      <c r="A208" s="168"/>
      <c r="G208" s="138"/>
      <c r="H208" s="152">
        <v>203</v>
      </c>
      <c r="I208" s="153" t="str">
        <f t="shared" si="17"/>
        <v/>
      </c>
      <c r="J208" s="152">
        <f t="shared" si="18"/>
        <v>-4</v>
      </c>
      <c r="K208" s="152">
        <f t="shared" si="15"/>
        <v>-40</v>
      </c>
      <c r="L208" s="152"/>
      <c r="M208" s="154">
        <f t="shared" si="16"/>
        <v>0</v>
      </c>
    </row>
    <row r="209" spans="1:13" x14ac:dyDescent="0.25">
      <c r="A209" s="168"/>
      <c r="G209" s="138"/>
      <c r="H209" s="152">
        <v>204</v>
      </c>
      <c r="I209" s="153" t="str">
        <f t="shared" si="17"/>
        <v/>
      </c>
      <c r="J209" s="152">
        <f t="shared" si="18"/>
        <v>-4</v>
      </c>
      <c r="K209" s="152">
        <f t="shared" si="15"/>
        <v>-40</v>
      </c>
      <c r="L209" s="152"/>
      <c r="M209" s="154">
        <f t="shared" si="16"/>
        <v>0</v>
      </c>
    </row>
    <row r="210" spans="1:13" x14ac:dyDescent="0.25">
      <c r="A210" s="168"/>
      <c r="G210" s="138"/>
      <c r="H210" s="152">
        <v>205</v>
      </c>
      <c r="I210" s="153" t="str">
        <f t="shared" si="17"/>
        <v/>
      </c>
      <c r="J210" s="152">
        <f t="shared" si="18"/>
        <v>-4</v>
      </c>
      <c r="K210" s="152">
        <f t="shared" si="15"/>
        <v>-40</v>
      </c>
      <c r="L210" s="152"/>
      <c r="M210" s="154">
        <f t="shared" si="16"/>
        <v>0</v>
      </c>
    </row>
    <row r="211" spans="1:13" x14ac:dyDescent="0.25">
      <c r="A211" s="168"/>
      <c r="G211" s="138"/>
      <c r="H211" s="152">
        <v>206</v>
      </c>
      <c r="I211" s="153" t="str">
        <f t="shared" si="17"/>
        <v/>
      </c>
      <c r="J211" s="152">
        <f t="shared" si="18"/>
        <v>-4</v>
      </c>
      <c r="K211" s="152">
        <f t="shared" si="15"/>
        <v>-40</v>
      </c>
      <c r="L211" s="152"/>
      <c r="M211" s="154">
        <f t="shared" si="16"/>
        <v>0</v>
      </c>
    </row>
    <row r="212" spans="1:13" x14ac:dyDescent="0.25">
      <c r="A212" s="168"/>
      <c r="G212" s="138"/>
      <c r="H212" s="152">
        <v>207</v>
      </c>
      <c r="I212" s="153" t="str">
        <f t="shared" si="17"/>
        <v/>
      </c>
      <c r="J212" s="152">
        <f t="shared" si="18"/>
        <v>-4</v>
      </c>
      <c r="K212" s="152">
        <f t="shared" si="15"/>
        <v>-40</v>
      </c>
      <c r="L212" s="152"/>
      <c r="M212" s="154">
        <f t="shared" si="16"/>
        <v>0</v>
      </c>
    </row>
    <row r="213" spans="1:13" x14ac:dyDescent="0.25">
      <c r="A213" s="168"/>
      <c r="G213" s="138"/>
      <c r="H213" s="152">
        <v>208</v>
      </c>
      <c r="I213" s="153" t="str">
        <f t="shared" si="17"/>
        <v/>
      </c>
      <c r="J213" s="152">
        <f t="shared" si="18"/>
        <v>-4</v>
      </c>
      <c r="K213" s="152">
        <f t="shared" si="15"/>
        <v>-40</v>
      </c>
      <c r="L213" s="152"/>
      <c r="M213" s="154">
        <f t="shared" si="16"/>
        <v>0</v>
      </c>
    </row>
    <row r="214" spans="1:13" x14ac:dyDescent="0.25">
      <c r="A214" s="168"/>
      <c r="G214" s="138"/>
      <c r="H214" s="152">
        <v>209</v>
      </c>
      <c r="I214" s="153" t="str">
        <f t="shared" si="17"/>
        <v/>
      </c>
      <c r="J214" s="152">
        <f t="shared" si="18"/>
        <v>-4</v>
      </c>
      <c r="K214" s="152">
        <f t="shared" si="15"/>
        <v>-40</v>
      </c>
      <c r="L214" s="152"/>
      <c r="M214" s="154">
        <f t="shared" si="16"/>
        <v>0</v>
      </c>
    </row>
    <row r="215" spans="1:13" x14ac:dyDescent="0.25">
      <c r="A215" s="168"/>
      <c r="G215" s="138"/>
      <c r="H215" s="152">
        <v>210</v>
      </c>
      <c r="I215" s="153" t="str">
        <f t="shared" si="17"/>
        <v/>
      </c>
      <c r="J215" s="152">
        <f t="shared" si="18"/>
        <v>-4</v>
      </c>
      <c r="K215" s="152">
        <f t="shared" si="15"/>
        <v>-40</v>
      </c>
      <c r="L215" s="152"/>
      <c r="M215" s="154">
        <f t="shared" si="16"/>
        <v>0</v>
      </c>
    </row>
    <row r="216" spans="1:13" x14ac:dyDescent="0.25">
      <c r="A216" s="168"/>
      <c r="G216" s="138"/>
      <c r="H216" s="152">
        <v>211</v>
      </c>
      <c r="I216" s="153" t="str">
        <f t="shared" si="17"/>
        <v/>
      </c>
      <c r="J216" s="152">
        <f t="shared" si="18"/>
        <v>-4</v>
      </c>
      <c r="K216" s="152">
        <f t="shared" si="15"/>
        <v>-40</v>
      </c>
      <c r="L216" s="152"/>
      <c r="M216" s="154">
        <f t="shared" si="16"/>
        <v>0</v>
      </c>
    </row>
    <row r="217" spans="1:13" x14ac:dyDescent="0.25">
      <c r="A217" s="168"/>
      <c r="G217" s="138"/>
      <c r="H217" s="152">
        <v>212</v>
      </c>
      <c r="I217" s="153" t="str">
        <f t="shared" si="17"/>
        <v/>
      </c>
      <c r="J217" s="152">
        <f t="shared" si="18"/>
        <v>-4</v>
      </c>
      <c r="K217" s="152">
        <f t="shared" si="15"/>
        <v>-40</v>
      </c>
      <c r="L217" s="152"/>
      <c r="M217" s="154">
        <f t="shared" si="16"/>
        <v>0</v>
      </c>
    </row>
    <row r="218" spans="1:13" x14ac:dyDescent="0.25">
      <c r="A218" s="168"/>
      <c r="G218" s="138"/>
      <c r="H218" s="152">
        <v>213</v>
      </c>
      <c r="I218" s="153" t="str">
        <f t="shared" si="17"/>
        <v/>
      </c>
      <c r="J218" s="152">
        <f t="shared" si="18"/>
        <v>-4</v>
      </c>
      <c r="K218" s="152">
        <f t="shared" si="15"/>
        <v>-40</v>
      </c>
      <c r="L218" s="152"/>
      <c r="M218" s="154">
        <f t="shared" si="16"/>
        <v>0</v>
      </c>
    </row>
    <row r="219" spans="1:13" x14ac:dyDescent="0.25">
      <c r="A219" s="168"/>
      <c r="G219" s="138"/>
      <c r="H219" s="152">
        <v>214</v>
      </c>
      <c r="I219" s="153" t="str">
        <f t="shared" si="17"/>
        <v/>
      </c>
      <c r="J219" s="152">
        <f t="shared" si="18"/>
        <v>-4</v>
      </c>
      <c r="K219" s="152">
        <f t="shared" si="15"/>
        <v>-40</v>
      </c>
      <c r="L219" s="152"/>
      <c r="M219" s="154">
        <f t="shared" si="16"/>
        <v>0</v>
      </c>
    </row>
    <row r="220" spans="1:13" x14ac:dyDescent="0.25">
      <c r="A220" s="168"/>
      <c r="G220" s="138"/>
      <c r="H220" s="152">
        <v>215</v>
      </c>
      <c r="I220" s="153" t="str">
        <f t="shared" si="17"/>
        <v/>
      </c>
      <c r="J220" s="152">
        <f t="shared" si="18"/>
        <v>-4</v>
      </c>
      <c r="K220" s="152">
        <f t="shared" si="15"/>
        <v>-40</v>
      </c>
      <c r="L220" s="152"/>
      <c r="M220" s="154">
        <f t="shared" si="16"/>
        <v>0</v>
      </c>
    </row>
    <row r="221" spans="1:13" x14ac:dyDescent="0.25">
      <c r="A221" s="168"/>
      <c r="G221" s="138"/>
      <c r="H221" s="152">
        <v>216</v>
      </c>
      <c r="I221" s="153" t="str">
        <f t="shared" si="17"/>
        <v/>
      </c>
      <c r="J221" s="152">
        <f t="shared" si="18"/>
        <v>-4</v>
      </c>
      <c r="K221" s="152">
        <f t="shared" si="15"/>
        <v>-40</v>
      </c>
      <c r="L221" s="152"/>
      <c r="M221" s="154">
        <f t="shared" si="16"/>
        <v>0</v>
      </c>
    </row>
    <row r="222" spans="1:13" x14ac:dyDescent="0.25">
      <c r="A222" s="168"/>
      <c r="G222" s="138"/>
      <c r="H222" s="152">
        <v>217</v>
      </c>
      <c r="I222" s="153" t="str">
        <f t="shared" si="17"/>
        <v/>
      </c>
      <c r="J222" s="152">
        <f t="shared" si="18"/>
        <v>-4</v>
      </c>
      <c r="K222" s="152">
        <f t="shared" si="15"/>
        <v>-40</v>
      </c>
      <c r="L222" s="152"/>
      <c r="M222" s="154">
        <f t="shared" si="16"/>
        <v>0</v>
      </c>
    </row>
    <row r="223" spans="1:13" x14ac:dyDescent="0.25">
      <c r="A223" s="168"/>
      <c r="G223" s="138"/>
      <c r="H223" s="152">
        <v>218</v>
      </c>
      <c r="I223" s="153" t="str">
        <f t="shared" si="17"/>
        <v/>
      </c>
      <c r="J223" s="152">
        <f t="shared" si="18"/>
        <v>-4</v>
      </c>
      <c r="K223" s="152">
        <f t="shared" si="15"/>
        <v>-40</v>
      </c>
      <c r="L223" s="152"/>
      <c r="M223" s="154">
        <f t="shared" si="16"/>
        <v>0</v>
      </c>
    </row>
    <row r="224" spans="1:13" x14ac:dyDescent="0.25">
      <c r="A224" s="168"/>
      <c r="G224" s="138"/>
      <c r="H224" s="152">
        <v>219</v>
      </c>
      <c r="I224" s="153" t="str">
        <f t="shared" si="17"/>
        <v/>
      </c>
      <c r="J224" s="152">
        <f t="shared" si="18"/>
        <v>-4</v>
      </c>
      <c r="K224" s="152">
        <f t="shared" si="15"/>
        <v>-40</v>
      </c>
      <c r="L224" s="152"/>
      <c r="M224" s="154">
        <f t="shared" si="16"/>
        <v>0</v>
      </c>
    </row>
    <row r="225" spans="1:13" x14ac:dyDescent="0.25">
      <c r="A225" s="168"/>
      <c r="G225" s="138"/>
      <c r="H225" s="152">
        <v>220</v>
      </c>
      <c r="I225" s="153" t="str">
        <f t="shared" si="17"/>
        <v/>
      </c>
      <c r="J225" s="152">
        <f t="shared" si="18"/>
        <v>-4</v>
      </c>
      <c r="K225" s="152">
        <f t="shared" si="15"/>
        <v>-40</v>
      </c>
      <c r="L225" s="152"/>
      <c r="M225" s="154">
        <f t="shared" si="16"/>
        <v>0</v>
      </c>
    </row>
    <row r="226" spans="1:13" x14ac:dyDescent="0.25">
      <c r="A226" s="168"/>
      <c r="G226" s="138"/>
      <c r="H226" s="152">
        <v>221</v>
      </c>
      <c r="I226" s="153" t="str">
        <f t="shared" si="17"/>
        <v/>
      </c>
      <c r="J226" s="152">
        <f t="shared" si="18"/>
        <v>-4</v>
      </c>
      <c r="K226" s="152">
        <f t="shared" si="15"/>
        <v>-40</v>
      </c>
      <c r="L226" s="152"/>
      <c r="M226" s="154">
        <f t="shared" si="16"/>
        <v>0</v>
      </c>
    </row>
    <row r="227" spans="1:13" x14ac:dyDescent="0.25">
      <c r="A227" s="168"/>
      <c r="G227" s="138"/>
      <c r="H227" s="152">
        <v>222</v>
      </c>
      <c r="I227" s="153" t="str">
        <f t="shared" si="17"/>
        <v/>
      </c>
      <c r="J227" s="152">
        <f t="shared" si="18"/>
        <v>-4</v>
      </c>
      <c r="K227" s="152">
        <f t="shared" si="15"/>
        <v>-40</v>
      </c>
      <c r="L227" s="152"/>
      <c r="M227" s="154">
        <f t="shared" si="16"/>
        <v>0</v>
      </c>
    </row>
    <row r="228" spans="1:13" x14ac:dyDescent="0.25">
      <c r="A228" s="168"/>
      <c r="G228" s="138"/>
      <c r="H228" s="152">
        <v>223</v>
      </c>
      <c r="I228" s="153" t="str">
        <f t="shared" si="17"/>
        <v/>
      </c>
      <c r="J228" s="152">
        <f t="shared" si="18"/>
        <v>-4</v>
      </c>
      <c r="K228" s="152">
        <f t="shared" si="15"/>
        <v>-40</v>
      </c>
      <c r="L228" s="152"/>
      <c r="M228" s="154">
        <f t="shared" si="16"/>
        <v>0</v>
      </c>
    </row>
    <row r="229" spans="1:13" x14ac:dyDescent="0.25">
      <c r="A229" s="168"/>
      <c r="G229" s="138"/>
      <c r="H229" s="152">
        <v>224</v>
      </c>
      <c r="I229" s="153" t="str">
        <f t="shared" si="17"/>
        <v/>
      </c>
      <c r="J229" s="152">
        <f t="shared" si="18"/>
        <v>-4</v>
      </c>
      <c r="K229" s="152">
        <f t="shared" si="15"/>
        <v>-40</v>
      </c>
      <c r="L229" s="152"/>
      <c r="M229" s="154">
        <f t="shared" si="16"/>
        <v>0</v>
      </c>
    </row>
    <row r="230" spans="1:13" x14ac:dyDescent="0.25">
      <c r="A230" s="168"/>
      <c r="G230" s="138"/>
      <c r="H230" s="152">
        <v>225</v>
      </c>
      <c r="I230" s="153" t="str">
        <f t="shared" si="17"/>
        <v/>
      </c>
      <c r="J230" s="152">
        <f t="shared" si="18"/>
        <v>-4</v>
      </c>
      <c r="K230" s="152">
        <f t="shared" si="15"/>
        <v>-40</v>
      </c>
      <c r="L230" s="152"/>
      <c r="M230" s="154">
        <f t="shared" si="16"/>
        <v>0</v>
      </c>
    </row>
    <row r="231" spans="1:13" x14ac:dyDescent="0.25">
      <c r="A231" s="168"/>
      <c r="G231" s="138"/>
      <c r="H231" s="152">
        <v>226</v>
      </c>
      <c r="I231" s="153" t="str">
        <f t="shared" si="17"/>
        <v/>
      </c>
      <c r="J231" s="152">
        <f t="shared" si="18"/>
        <v>-4</v>
      </c>
      <c r="K231" s="152">
        <f t="shared" si="15"/>
        <v>-40</v>
      </c>
      <c r="L231" s="152"/>
      <c r="M231" s="154">
        <f t="shared" si="16"/>
        <v>0</v>
      </c>
    </row>
    <row r="232" spans="1:13" x14ac:dyDescent="0.25">
      <c r="A232" s="168"/>
      <c r="G232" s="138"/>
      <c r="H232" s="152">
        <v>227</v>
      </c>
      <c r="I232" s="153" t="str">
        <f t="shared" si="17"/>
        <v/>
      </c>
      <c r="J232" s="152">
        <f t="shared" si="18"/>
        <v>-4</v>
      </c>
      <c r="K232" s="152">
        <f t="shared" si="15"/>
        <v>-40</v>
      </c>
      <c r="L232" s="152"/>
      <c r="M232" s="154">
        <f t="shared" si="16"/>
        <v>0</v>
      </c>
    </row>
    <row r="233" spans="1:13" x14ac:dyDescent="0.25">
      <c r="A233" s="168"/>
      <c r="G233" s="138"/>
      <c r="H233" s="152">
        <v>228</v>
      </c>
      <c r="I233" s="153" t="str">
        <f t="shared" si="17"/>
        <v/>
      </c>
      <c r="J233" s="152">
        <f t="shared" si="18"/>
        <v>-4</v>
      </c>
      <c r="K233" s="152">
        <f t="shared" si="15"/>
        <v>-40</v>
      </c>
      <c r="L233" s="152"/>
      <c r="M233" s="154">
        <f t="shared" si="16"/>
        <v>0</v>
      </c>
    </row>
    <row r="234" spans="1:13" x14ac:dyDescent="0.25">
      <c r="A234" s="168"/>
      <c r="G234" s="138"/>
      <c r="H234" s="152">
        <v>229</v>
      </c>
      <c r="I234" s="153" t="str">
        <f t="shared" si="17"/>
        <v/>
      </c>
      <c r="J234" s="152">
        <f t="shared" si="18"/>
        <v>-4</v>
      </c>
      <c r="K234" s="152">
        <f t="shared" si="15"/>
        <v>-40</v>
      </c>
      <c r="L234" s="152"/>
      <c r="M234" s="154">
        <f t="shared" si="16"/>
        <v>0</v>
      </c>
    </row>
    <row r="235" spans="1:13" x14ac:dyDescent="0.25">
      <c r="A235" s="168"/>
      <c r="G235" s="138"/>
      <c r="H235" s="152">
        <v>230</v>
      </c>
      <c r="I235" s="153" t="str">
        <f t="shared" si="17"/>
        <v/>
      </c>
      <c r="J235" s="152">
        <f t="shared" si="18"/>
        <v>-4</v>
      </c>
      <c r="K235" s="152">
        <f t="shared" si="15"/>
        <v>-40</v>
      </c>
      <c r="L235" s="152"/>
      <c r="M235" s="154">
        <f t="shared" si="16"/>
        <v>0</v>
      </c>
    </row>
    <row r="236" spans="1:13" x14ac:dyDescent="0.25">
      <c r="A236" s="168"/>
      <c r="G236" s="138"/>
      <c r="H236" s="152">
        <v>231</v>
      </c>
      <c r="I236" s="153" t="str">
        <f t="shared" si="17"/>
        <v/>
      </c>
      <c r="J236" s="152">
        <f t="shared" si="18"/>
        <v>-4</v>
      </c>
      <c r="K236" s="152">
        <f t="shared" si="15"/>
        <v>-40</v>
      </c>
      <c r="L236" s="152"/>
      <c r="M236" s="154">
        <f t="shared" si="16"/>
        <v>0</v>
      </c>
    </row>
    <row r="237" spans="1:13" x14ac:dyDescent="0.25">
      <c r="A237" s="168"/>
      <c r="G237" s="138"/>
      <c r="H237" s="152">
        <v>232</v>
      </c>
      <c r="I237" s="153" t="str">
        <f t="shared" si="17"/>
        <v/>
      </c>
      <c r="J237" s="152">
        <f t="shared" si="18"/>
        <v>-4</v>
      </c>
      <c r="K237" s="152">
        <f t="shared" si="15"/>
        <v>-40</v>
      </c>
      <c r="L237" s="152"/>
      <c r="M237" s="154">
        <f t="shared" si="16"/>
        <v>0</v>
      </c>
    </row>
    <row r="238" spans="1:13" x14ac:dyDescent="0.25">
      <c r="A238" s="168"/>
      <c r="G238" s="138"/>
      <c r="H238" s="152">
        <v>233</v>
      </c>
      <c r="I238" s="153" t="str">
        <f t="shared" si="17"/>
        <v/>
      </c>
      <c r="J238" s="152">
        <f t="shared" si="18"/>
        <v>-4</v>
      </c>
      <c r="K238" s="152">
        <f t="shared" si="15"/>
        <v>-40</v>
      </c>
      <c r="L238" s="152"/>
      <c r="M238" s="154">
        <f t="shared" si="16"/>
        <v>0</v>
      </c>
    </row>
    <row r="239" spans="1:13" x14ac:dyDescent="0.25">
      <c r="A239" s="168"/>
      <c r="G239" s="138"/>
      <c r="H239" s="152">
        <v>234</v>
      </c>
      <c r="I239" s="153" t="str">
        <f t="shared" si="17"/>
        <v/>
      </c>
      <c r="J239" s="152">
        <f t="shared" si="18"/>
        <v>-4</v>
      </c>
      <c r="K239" s="152">
        <f t="shared" si="15"/>
        <v>-40</v>
      </c>
      <c r="L239" s="152"/>
      <c r="M239" s="154">
        <f t="shared" si="16"/>
        <v>0</v>
      </c>
    </row>
    <row r="240" spans="1:13" x14ac:dyDescent="0.25">
      <c r="A240" s="168"/>
      <c r="G240" s="138"/>
      <c r="H240" s="152">
        <v>235</v>
      </c>
      <c r="I240" s="153" t="str">
        <f t="shared" si="17"/>
        <v/>
      </c>
      <c r="J240" s="152">
        <f t="shared" si="18"/>
        <v>-4</v>
      </c>
      <c r="K240" s="152">
        <f t="shared" si="15"/>
        <v>-40</v>
      </c>
      <c r="L240" s="152"/>
      <c r="M240" s="154">
        <f t="shared" si="16"/>
        <v>0</v>
      </c>
    </row>
    <row r="241" spans="1:13" x14ac:dyDescent="0.25">
      <c r="A241" s="168"/>
      <c r="G241" s="138"/>
      <c r="H241" s="152">
        <v>236</v>
      </c>
      <c r="I241" s="153" t="str">
        <f t="shared" si="17"/>
        <v/>
      </c>
      <c r="J241" s="152">
        <f t="shared" si="18"/>
        <v>-4</v>
      </c>
      <c r="K241" s="152">
        <f t="shared" si="15"/>
        <v>-40</v>
      </c>
      <c r="L241" s="152"/>
      <c r="M241" s="154">
        <f t="shared" si="16"/>
        <v>0</v>
      </c>
    </row>
    <row r="242" spans="1:13" x14ac:dyDescent="0.25">
      <c r="A242" s="168"/>
      <c r="G242" s="138"/>
      <c r="H242" s="152">
        <v>237</v>
      </c>
      <c r="I242" s="153" t="str">
        <f t="shared" si="17"/>
        <v/>
      </c>
      <c r="J242" s="152">
        <f t="shared" si="18"/>
        <v>-4</v>
      </c>
      <c r="K242" s="152">
        <f t="shared" si="15"/>
        <v>-40</v>
      </c>
      <c r="L242" s="152"/>
      <c r="M242" s="154">
        <f t="shared" si="16"/>
        <v>0</v>
      </c>
    </row>
    <row r="243" spans="1:13" x14ac:dyDescent="0.25">
      <c r="A243" s="168"/>
      <c r="G243" s="138"/>
      <c r="H243" s="152">
        <v>238</v>
      </c>
      <c r="I243" s="153" t="str">
        <f t="shared" si="17"/>
        <v/>
      </c>
      <c r="J243" s="152">
        <f t="shared" si="18"/>
        <v>-4</v>
      </c>
      <c r="K243" s="152">
        <f t="shared" si="15"/>
        <v>-40</v>
      </c>
      <c r="L243" s="152"/>
      <c r="M243" s="154">
        <f t="shared" si="16"/>
        <v>0</v>
      </c>
    </row>
    <row r="244" spans="1:13" x14ac:dyDescent="0.25">
      <c r="A244" s="168"/>
      <c r="G244" s="138"/>
      <c r="H244" s="152">
        <v>239</v>
      </c>
      <c r="I244" s="153" t="str">
        <f t="shared" si="17"/>
        <v/>
      </c>
      <c r="J244" s="152">
        <f t="shared" si="18"/>
        <v>-4</v>
      </c>
      <c r="K244" s="152">
        <f t="shared" si="15"/>
        <v>-40</v>
      </c>
      <c r="L244" s="152"/>
      <c r="M244" s="154">
        <f t="shared" si="16"/>
        <v>0</v>
      </c>
    </row>
    <row r="245" spans="1:13" x14ac:dyDescent="0.25">
      <c r="A245" s="168"/>
      <c r="G245" s="138"/>
      <c r="H245" s="152">
        <v>240</v>
      </c>
      <c r="I245" s="153" t="str">
        <f t="shared" si="17"/>
        <v/>
      </c>
      <c r="J245" s="152">
        <f t="shared" si="18"/>
        <v>-4</v>
      </c>
      <c r="K245" s="152">
        <f t="shared" si="15"/>
        <v>-40</v>
      </c>
      <c r="L245" s="152"/>
      <c r="M245" s="154">
        <f t="shared" si="16"/>
        <v>0</v>
      </c>
    </row>
    <row r="246" spans="1:13" x14ac:dyDescent="0.25">
      <c r="A246" s="168"/>
      <c r="G246" s="138"/>
      <c r="H246" s="152">
        <v>241</v>
      </c>
      <c r="I246" s="153" t="str">
        <f t="shared" si="17"/>
        <v/>
      </c>
      <c r="J246" s="152">
        <f t="shared" si="18"/>
        <v>-4</v>
      </c>
      <c r="K246" s="152">
        <f t="shared" si="15"/>
        <v>-40</v>
      </c>
      <c r="L246" s="152"/>
      <c r="M246" s="154">
        <f t="shared" si="16"/>
        <v>0</v>
      </c>
    </row>
    <row r="247" spans="1:13" x14ac:dyDescent="0.25">
      <c r="A247" s="168"/>
      <c r="G247" s="138"/>
      <c r="H247" s="152">
        <v>242</v>
      </c>
      <c r="I247" s="153" t="str">
        <f t="shared" si="17"/>
        <v/>
      </c>
      <c r="J247" s="152">
        <f t="shared" si="18"/>
        <v>-4</v>
      </c>
      <c r="K247" s="152">
        <f t="shared" si="15"/>
        <v>-40</v>
      </c>
      <c r="L247" s="152"/>
      <c r="M247" s="154">
        <f t="shared" si="16"/>
        <v>0</v>
      </c>
    </row>
    <row r="248" spans="1:13" x14ac:dyDescent="0.25">
      <c r="A248" s="168"/>
      <c r="G248" s="138"/>
      <c r="H248" s="152">
        <v>243</v>
      </c>
      <c r="I248" s="153" t="str">
        <f t="shared" si="17"/>
        <v/>
      </c>
      <c r="J248" s="152">
        <f t="shared" si="18"/>
        <v>-4</v>
      </c>
      <c r="K248" s="152">
        <f t="shared" si="15"/>
        <v>-40</v>
      </c>
      <c r="L248" s="152"/>
      <c r="M248" s="154">
        <f t="shared" si="16"/>
        <v>0</v>
      </c>
    </row>
    <row r="249" spans="1:13" x14ac:dyDescent="0.25">
      <c r="A249" s="168"/>
      <c r="G249" s="138"/>
      <c r="H249" s="152">
        <v>244</v>
      </c>
      <c r="I249" s="153" t="str">
        <f t="shared" si="17"/>
        <v/>
      </c>
      <c r="J249" s="152">
        <f t="shared" si="18"/>
        <v>-4</v>
      </c>
      <c r="K249" s="152">
        <f t="shared" si="15"/>
        <v>-40</v>
      </c>
      <c r="L249" s="152"/>
      <c r="M249" s="154">
        <f t="shared" si="16"/>
        <v>0</v>
      </c>
    </row>
    <row r="250" spans="1:13" x14ac:dyDescent="0.25">
      <c r="A250" s="168"/>
      <c r="G250" s="138"/>
      <c r="H250" s="152">
        <v>245</v>
      </c>
      <c r="I250" s="153" t="str">
        <f t="shared" si="17"/>
        <v/>
      </c>
      <c r="J250" s="152">
        <f t="shared" si="18"/>
        <v>-4</v>
      </c>
      <c r="K250" s="152">
        <f t="shared" si="15"/>
        <v>-40</v>
      </c>
      <c r="L250" s="152"/>
      <c r="M250" s="154">
        <f t="shared" si="16"/>
        <v>0</v>
      </c>
    </row>
    <row r="251" spans="1:13" x14ac:dyDescent="0.25">
      <c r="A251" s="168"/>
      <c r="G251" s="138"/>
      <c r="H251" s="152">
        <v>246</v>
      </c>
      <c r="I251" s="153" t="str">
        <f t="shared" si="17"/>
        <v/>
      </c>
      <c r="J251" s="152">
        <f t="shared" si="18"/>
        <v>-4</v>
      </c>
      <c r="K251" s="152">
        <f t="shared" si="15"/>
        <v>-40</v>
      </c>
      <c r="L251" s="152"/>
      <c r="M251" s="154">
        <f t="shared" si="16"/>
        <v>0</v>
      </c>
    </row>
    <row r="252" spans="1:13" x14ac:dyDescent="0.25">
      <c r="A252" s="168"/>
      <c r="G252" s="138"/>
      <c r="H252" s="152">
        <v>247</v>
      </c>
      <c r="I252" s="153" t="str">
        <f t="shared" si="17"/>
        <v/>
      </c>
      <c r="J252" s="152">
        <f t="shared" si="18"/>
        <v>-4</v>
      </c>
      <c r="K252" s="152">
        <f t="shared" si="15"/>
        <v>-40</v>
      </c>
      <c r="L252" s="152"/>
      <c r="M252" s="154">
        <f t="shared" si="16"/>
        <v>0</v>
      </c>
    </row>
    <row r="253" spans="1:13" x14ac:dyDescent="0.25">
      <c r="A253" s="168"/>
      <c r="G253" s="138"/>
      <c r="H253" s="152">
        <v>248</v>
      </c>
      <c r="I253" s="153" t="str">
        <f t="shared" si="17"/>
        <v/>
      </c>
      <c r="J253" s="152">
        <f t="shared" si="18"/>
        <v>-4</v>
      </c>
      <c r="K253" s="152">
        <f t="shared" si="15"/>
        <v>-40</v>
      </c>
      <c r="L253" s="152"/>
      <c r="M253" s="154">
        <f t="shared" si="16"/>
        <v>0</v>
      </c>
    </row>
    <row r="254" spans="1:13" x14ac:dyDescent="0.25">
      <c r="A254" s="168"/>
      <c r="G254" s="138"/>
      <c r="H254" s="152">
        <v>249</v>
      </c>
      <c r="I254" s="153" t="str">
        <f t="shared" si="17"/>
        <v/>
      </c>
      <c r="J254" s="152">
        <f t="shared" si="18"/>
        <v>-4</v>
      </c>
      <c r="K254" s="152">
        <f t="shared" si="15"/>
        <v>-40</v>
      </c>
      <c r="L254" s="152"/>
      <c r="M254" s="154">
        <f t="shared" si="16"/>
        <v>0</v>
      </c>
    </row>
    <row r="255" spans="1:13" x14ac:dyDescent="0.25">
      <c r="A255" s="168"/>
      <c r="G255" s="138"/>
      <c r="H255" s="152">
        <v>250</v>
      </c>
      <c r="I255" s="153" t="str">
        <f t="shared" si="17"/>
        <v/>
      </c>
      <c r="J255" s="152">
        <f t="shared" si="18"/>
        <v>-4</v>
      </c>
      <c r="K255" s="152">
        <f t="shared" si="15"/>
        <v>-40</v>
      </c>
      <c r="L255" s="152"/>
      <c r="M255" s="154">
        <f t="shared" si="16"/>
        <v>0</v>
      </c>
    </row>
    <row r="256" spans="1:13" x14ac:dyDescent="0.25">
      <c r="A256" s="168"/>
      <c r="G256" s="138"/>
      <c r="H256" s="152">
        <v>251</v>
      </c>
      <c r="I256" s="153" t="str">
        <f t="shared" si="17"/>
        <v/>
      </c>
      <c r="J256" s="152">
        <f t="shared" si="18"/>
        <v>-4</v>
      </c>
      <c r="K256" s="152">
        <f t="shared" si="15"/>
        <v>-40</v>
      </c>
      <c r="L256" s="152"/>
      <c r="M256" s="154">
        <f t="shared" si="16"/>
        <v>0</v>
      </c>
    </row>
    <row r="257" spans="1:13" x14ac:dyDescent="0.25">
      <c r="A257" s="168"/>
      <c r="G257" s="138"/>
      <c r="H257" s="152">
        <v>252</v>
      </c>
      <c r="I257" s="153" t="str">
        <f t="shared" si="17"/>
        <v/>
      </c>
      <c r="J257" s="152">
        <f t="shared" si="18"/>
        <v>-4</v>
      </c>
      <c r="K257" s="152">
        <f t="shared" si="15"/>
        <v>-40</v>
      </c>
      <c r="L257" s="152"/>
      <c r="M257" s="154">
        <f t="shared" si="16"/>
        <v>0</v>
      </c>
    </row>
    <row r="258" spans="1:13" x14ac:dyDescent="0.25">
      <c r="A258" s="168"/>
      <c r="G258" s="138"/>
      <c r="H258" s="152">
        <v>253</v>
      </c>
      <c r="I258" s="153" t="str">
        <f t="shared" si="17"/>
        <v/>
      </c>
      <c r="J258" s="152">
        <f t="shared" si="18"/>
        <v>-4</v>
      </c>
      <c r="K258" s="152">
        <f t="shared" si="15"/>
        <v>-40</v>
      </c>
      <c r="L258" s="152"/>
      <c r="M258" s="154">
        <f t="shared" si="16"/>
        <v>0</v>
      </c>
    </row>
    <row r="259" spans="1:13" x14ac:dyDescent="0.25">
      <c r="A259" s="168"/>
      <c r="G259" s="138"/>
      <c r="H259" s="152">
        <v>254</v>
      </c>
      <c r="I259" s="153" t="str">
        <f t="shared" si="17"/>
        <v/>
      </c>
      <c r="J259" s="152">
        <f t="shared" si="18"/>
        <v>-4</v>
      </c>
      <c r="K259" s="152">
        <f t="shared" si="15"/>
        <v>-40</v>
      </c>
      <c r="L259" s="152"/>
      <c r="M259" s="154">
        <f t="shared" si="16"/>
        <v>0</v>
      </c>
    </row>
    <row r="260" spans="1:13" x14ac:dyDescent="0.25">
      <c r="A260" s="168"/>
      <c r="G260" s="138"/>
      <c r="H260" s="152">
        <v>255</v>
      </c>
      <c r="I260" s="153" t="str">
        <f t="shared" si="17"/>
        <v/>
      </c>
      <c r="J260" s="152">
        <f t="shared" si="18"/>
        <v>-4</v>
      </c>
      <c r="K260" s="152">
        <f t="shared" si="15"/>
        <v>-40</v>
      </c>
      <c r="L260" s="152"/>
      <c r="M260" s="154">
        <f t="shared" si="16"/>
        <v>0</v>
      </c>
    </row>
    <row r="261" spans="1:13" x14ac:dyDescent="0.25">
      <c r="A261" s="168"/>
      <c r="G261" s="138"/>
      <c r="H261" s="152">
        <v>256</v>
      </c>
      <c r="I261" s="153" t="str">
        <f t="shared" si="17"/>
        <v/>
      </c>
      <c r="J261" s="152">
        <f t="shared" si="18"/>
        <v>-4</v>
      </c>
      <c r="K261" s="152">
        <f t="shared" si="15"/>
        <v>-40</v>
      </c>
      <c r="L261" s="152"/>
      <c r="M261" s="154">
        <f t="shared" si="16"/>
        <v>0</v>
      </c>
    </row>
    <row r="262" spans="1:13" x14ac:dyDescent="0.25">
      <c r="A262" s="168"/>
      <c r="G262" s="138"/>
      <c r="H262" s="152">
        <v>257</v>
      </c>
      <c r="I262" s="153" t="str">
        <f t="shared" si="17"/>
        <v/>
      </c>
      <c r="J262" s="152">
        <f t="shared" si="18"/>
        <v>-5</v>
      </c>
      <c r="K262" s="152">
        <f t="shared" ref="K262:K305" si="19">J262*$J$2</f>
        <v>-50</v>
      </c>
      <c r="L262" s="152"/>
      <c r="M262" s="154">
        <f t="shared" ref="M262:M305" si="20">IF(I262&lt;&gt;"",K262+I262+L262,0)</f>
        <v>0</v>
      </c>
    </row>
    <row r="263" spans="1:13" x14ac:dyDescent="0.25">
      <c r="A263" s="168"/>
      <c r="G263" s="138"/>
      <c r="H263" s="152">
        <v>258</v>
      </c>
      <c r="I263" s="153" t="str">
        <f t="shared" ref="I263:I305" si="21">IF(H263&lt;$H$2+1,($I$2-($I$2-1)*(LOG(H263)/LOG($H$2))),"")</f>
        <v/>
      </c>
      <c r="J263" s="152">
        <f t="shared" ref="J263:J305" si="22">INT(LOG($H$2,2))-ROUNDUP(LOG(H263,2),0)+IF(OR($H$2=1,$H$2=2,$H$2=4,$H$2=8,$H$2=16,$H$2=32,$H$2=64,$H$2=128,$H$2=256),0,1)</f>
        <v>-5</v>
      </c>
      <c r="K263" s="152">
        <f t="shared" si="19"/>
        <v>-50</v>
      </c>
      <c r="L263" s="152"/>
      <c r="M263" s="154">
        <f t="shared" si="20"/>
        <v>0</v>
      </c>
    </row>
    <row r="264" spans="1:13" x14ac:dyDescent="0.25">
      <c r="A264" s="168"/>
      <c r="G264" s="138"/>
      <c r="H264" s="152">
        <v>259</v>
      </c>
      <c r="I264" s="153" t="str">
        <f t="shared" si="21"/>
        <v/>
      </c>
      <c r="J264" s="152">
        <f t="shared" si="22"/>
        <v>-5</v>
      </c>
      <c r="K264" s="152">
        <f t="shared" si="19"/>
        <v>-50</v>
      </c>
      <c r="L264" s="152"/>
      <c r="M264" s="154">
        <f t="shared" si="20"/>
        <v>0</v>
      </c>
    </row>
    <row r="265" spans="1:13" x14ac:dyDescent="0.25">
      <c r="A265" s="168"/>
      <c r="G265" s="138"/>
      <c r="H265" s="152">
        <v>260</v>
      </c>
      <c r="I265" s="153" t="str">
        <f t="shared" si="21"/>
        <v/>
      </c>
      <c r="J265" s="152">
        <f t="shared" si="22"/>
        <v>-5</v>
      </c>
      <c r="K265" s="152">
        <f t="shared" si="19"/>
        <v>-50</v>
      </c>
      <c r="L265" s="152"/>
      <c r="M265" s="154">
        <f t="shared" si="20"/>
        <v>0</v>
      </c>
    </row>
    <row r="266" spans="1:13" x14ac:dyDescent="0.25">
      <c r="A266" s="168"/>
      <c r="G266" s="138"/>
      <c r="H266" s="152">
        <v>261</v>
      </c>
      <c r="I266" s="153" t="str">
        <f t="shared" si="21"/>
        <v/>
      </c>
      <c r="J266" s="152">
        <f t="shared" si="22"/>
        <v>-5</v>
      </c>
      <c r="K266" s="152">
        <f t="shared" si="19"/>
        <v>-50</v>
      </c>
      <c r="L266" s="152"/>
      <c r="M266" s="154">
        <f t="shared" si="20"/>
        <v>0</v>
      </c>
    </row>
    <row r="267" spans="1:13" x14ac:dyDescent="0.25">
      <c r="A267" s="168"/>
      <c r="G267" s="138"/>
      <c r="H267" s="152">
        <v>262</v>
      </c>
      <c r="I267" s="153" t="str">
        <f t="shared" si="21"/>
        <v/>
      </c>
      <c r="J267" s="152">
        <f t="shared" si="22"/>
        <v>-5</v>
      </c>
      <c r="K267" s="152">
        <f t="shared" si="19"/>
        <v>-50</v>
      </c>
      <c r="L267" s="152"/>
      <c r="M267" s="154">
        <f t="shared" si="20"/>
        <v>0</v>
      </c>
    </row>
    <row r="268" spans="1:13" x14ac:dyDescent="0.25">
      <c r="A268" s="168"/>
      <c r="G268" s="138"/>
      <c r="H268" s="152">
        <v>263</v>
      </c>
      <c r="I268" s="153" t="str">
        <f t="shared" si="21"/>
        <v/>
      </c>
      <c r="J268" s="152">
        <f t="shared" si="22"/>
        <v>-5</v>
      </c>
      <c r="K268" s="152">
        <f t="shared" si="19"/>
        <v>-50</v>
      </c>
      <c r="L268" s="152"/>
      <c r="M268" s="154">
        <f t="shared" si="20"/>
        <v>0</v>
      </c>
    </row>
    <row r="269" spans="1:13" x14ac:dyDescent="0.25">
      <c r="A269" s="168"/>
      <c r="G269" s="138"/>
      <c r="H269" s="152">
        <v>264</v>
      </c>
      <c r="I269" s="153" t="str">
        <f t="shared" si="21"/>
        <v/>
      </c>
      <c r="J269" s="152">
        <f t="shared" si="22"/>
        <v>-5</v>
      </c>
      <c r="K269" s="152">
        <f t="shared" si="19"/>
        <v>-50</v>
      </c>
      <c r="L269" s="152"/>
      <c r="M269" s="154">
        <f t="shared" si="20"/>
        <v>0</v>
      </c>
    </row>
    <row r="270" spans="1:13" x14ac:dyDescent="0.25">
      <c r="A270" s="168"/>
      <c r="G270" s="138"/>
      <c r="H270" s="152">
        <v>265</v>
      </c>
      <c r="I270" s="153" t="str">
        <f t="shared" si="21"/>
        <v/>
      </c>
      <c r="J270" s="152">
        <f t="shared" si="22"/>
        <v>-5</v>
      </c>
      <c r="K270" s="152">
        <f t="shared" si="19"/>
        <v>-50</v>
      </c>
      <c r="L270" s="152"/>
      <c r="M270" s="154">
        <f t="shared" si="20"/>
        <v>0</v>
      </c>
    </row>
    <row r="271" spans="1:13" x14ac:dyDescent="0.25">
      <c r="A271" s="168"/>
      <c r="G271" s="138"/>
      <c r="H271" s="152">
        <v>266</v>
      </c>
      <c r="I271" s="153" t="str">
        <f t="shared" si="21"/>
        <v/>
      </c>
      <c r="J271" s="152">
        <f t="shared" si="22"/>
        <v>-5</v>
      </c>
      <c r="K271" s="152">
        <f t="shared" si="19"/>
        <v>-50</v>
      </c>
      <c r="L271" s="152"/>
      <c r="M271" s="154">
        <f t="shared" si="20"/>
        <v>0</v>
      </c>
    </row>
    <row r="272" spans="1:13" x14ac:dyDescent="0.25">
      <c r="A272" s="168"/>
      <c r="G272" s="138"/>
      <c r="H272" s="152">
        <v>267</v>
      </c>
      <c r="I272" s="153" t="str">
        <f t="shared" si="21"/>
        <v/>
      </c>
      <c r="J272" s="152">
        <f t="shared" si="22"/>
        <v>-5</v>
      </c>
      <c r="K272" s="152">
        <f t="shared" si="19"/>
        <v>-50</v>
      </c>
      <c r="L272" s="152"/>
      <c r="M272" s="154">
        <f t="shared" si="20"/>
        <v>0</v>
      </c>
    </row>
    <row r="273" spans="1:13" x14ac:dyDescent="0.25">
      <c r="A273" s="168"/>
      <c r="G273" s="138"/>
      <c r="H273" s="152">
        <v>268</v>
      </c>
      <c r="I273" s="153" t="str">
        <f t="shared" si="21"/>
        <v/>
      </c>
      <c r="J273" s="152">
        <f t="shared" si="22"/>
        <v>-5</v>
      </c>
      <c r="K273" s="152">
        <f t="shared" si="19"/>
        <v>-50</v>
      </c>
      <c r="L273" s="152"/>
      <c r="M273" s="154">
        <f t="shared" si="20"/>
        <v>0</v>
      </c>
    </row>
    <row r="274" spans="1:13" x14ac:dyDescent="0.25">
      <c r="A274" s="168"/>
      <c r="G274" s="138"/>
      <c r="H274" s="152">
        <v>269</v>
      </c>
      <c r="I274" s="153" t="str">
        <f t="shared" si="21"/>
        <v/>
      </c>
      <c r="J274" s="152">
        <f t="shared" si="22"/>
        <v>-5</v>
      </c>
      <c r="K274" s="152">
        <f t="shared" si="19"/>
        <v>-50</v>
      </c>
      <c r="L274" s="152"/>
      <c r="M274" s="154">
        <f t="shared" si="20"/>
        <v>0</v>
      </c>
    </row>
    <row r="275" spans="1:13" x14ac:dyDescent="0.25">
      <c r="A275" s="168"/>
      <c r="G275" s="138"/>
      <c r="H275" s="152">
        <v>270</v>
      </c>
      <c r="I275" s="153" t="str">
        <f t="shared" si="21"/>
        <v/>
      </c>
      <c r="J275" s="152">
        <f t="shared" si="22"/>
        <v>-5</v>
      </c>
      <c r="K275" s="152">
        <f t="shared" si="19"/>
        <v>-50</v>
      </c>
      <c r="L275" s="152"/>
      <c r="M275" s="154">
        <f t="shared" si="20"/>
        <v>0</v>
      </c>
    </row>
    <row r="276" spans="1:13" x14ac:dyDescent="0.25">
      <c r="A276" s="168"/>
      <c r="G276" s="138"/>
      <c r="H276" s="152">
        <v>271</v>
      </c>
      <c r="I276" s="153" t="str">
        <f t="shared" si="21"/>
        <v/>
      </c>
      <c r="J276" s="152">
        <f t="shared" si="22"/>
        <v>-5</v>
      </c>
      <c r="K276" s="152">
        <f t="shared" si="19"/>
        <v>-50</v>
      </c>
      <c r="L276" s="152"/>
      <c r="M276" s="154">
        <f t="shared" si="20"/>
        <v>0</v>
      </c>
    </row>
    <row r="277" spans="1:13" x14ac:dyDescent="0.25">
      <c r="A277" s="168"/>
      <c r="G277" s="138"/>
      <c r="H277" s="152">
        <v>272</v>
      </c>
      <c r="I277" s="153" t="str">
        <f t="shared" si="21"/>
        <v/>
      </c>
      <c r="J277" s="152">
        <f t="shared" si="22"/>
        <v>-5</v>
      </c>
      <c r="K277" s="152">
        <f t="shared" si="19"/>
        <v>-50</v>
      </c>
      <c r="L277" s="152"/>
      <c r="M277" s="154">
        <f t="shared" si="20"/>
        <v>0</v>
      </c>
    </row>
    <row r="278" spans="1:13" x14ac:dyDescent="0.25">
      <c r="A278" s="168"/>
      <c r="G278" s="138"/>
      <c r="H278" s="152">
        <v>273</v>
      </c>
      <c r="I278" s="153" t="str">
        <f t="shared" si="21"/>
        <v/>
      </c>
      <c r="J278" s="152">
        <f t="shared" si="22"/>
        <v>-5</v>
      </c>
      <c r="K278" s="152">
        <f t="shared" si="19"/>
        <v>-50</v>
      </c>
      <c r="L278" s="152"/>
      <c r="M278" s="154">
        <f t="shared" si="20"/>
        <v>0</v>
      </c>
    </row>
    <row r="279" spans="1:13" x14ac:dyDescent="0.25">
      <c r="A279" s="168"/>
      <c r="G279" s="138"/>
      <c r="H279" s="152">
        <v>274</v>
      </c>
      <c r="I279" s="153" t="str">
        <f t="shared" si="21"/>
        <v/>
      </c>
      <c r="J279" s="152">
        <f t="shared" si="22"/>
        <v>-5</v>
      </c>
      <c r="K279" s="152">
        <f t="shared" si="19"/>
        <v>-50</v>
      </c>
      <c r="L279" s="152"/>
      <c r="M279" s="154">
        <f t="shared" si="20"/>
        <v>0</v>
      </c>
    </row>
    <row r="280" spans="1:13" x14ac:dyDescent="0.25">
      <c r="A280" s="168"/>
      <c r="G280" s="138"/>
      <c r="H280" s="152">
        <v>275</v>
      </c>
      <c r="I280" s="153" t="str">
        <f t="shared" si="21"/>
        <v/>
      </c>
      <c r="J280" s="152">
        <f t="shared" si="22"/>
        <v>-5</v>
      </c>
      <c r="K280" s="152">
        <f t="shared" si="19"/>
        <v>-50</v>
      </c>
      <c r="L280" s="152"/>
      <c r="M280" s="154">
        <f t="shared" si="20"/>
        <v>0</v>
      </c>
    </row>
    <row r="281" spans="1:13" x14ac:dyDescent="0.25">
      <c r="A281" s="168"/>
      <c r="G281" s="138"/>
      <c r="H281" s="152">
        <v>276</v>
      </c>
      <c r="I281" s="153" t="str">
        <f t="shared" si="21"/>
        <v/>
      </c>
      <c r="J281" s="152">
        <f t="shared" si="22"/>
        <v>-5</v>
      </c>
      <c r="K281" s="152">
        <f t="shared" si="19"/>
        <v>-50</v>
      </c>
      <c r="L281" s="152"/>
      <c r="M281" s="154">
        <f t="shared" si="20"/>
        <v>0</v>
      </c>
    </row>
    <row r="282" spans="1:13" x14ac:dyDescent="0.25">
      <c r="A282" s="168"/>
      <c r="G282" s="138"/>
      <c r="H282" s="152">
        <v>277</v>
      </c>
      <c r="I282" s="153" t="str">
        <f t="shared" si="21"/>
        <v/>
      </c>
      <c r="J282" s="152">
        <f t="shared" si="22"/>
        <v>-5</v>
      </c>
      <c r="K282" s="152">
        <f t="shared" si="19"/>
        <v>-50</v>
      </c>
      <c r="L282" s="152"/>
      <c r="M282" s="154">
        <f t="shared" si="20"/>
        <v>0</v>
      </c>
    </row>
    <row r="283" spans="1:13" x14ac:dyDescent="0.25">
      <c r="A283" s="168"/>
      <c r="G283" s="138"/>
      <c r="H283" s="152">
        <v>278</v>
      </c>
      <c r="I283" s="153" t="str">
        <f t="shared" si="21"/>
        <v/>
      </c>
      <c r="J283" s="152">
        <f t="shared" si="22"/>
        <v>-5</v>
      </c>
      <c r="K283" s="152">
        <f t="shared" si="19"/>
        <v>-50</v>
      </c>
      <c r="L283" s="152"/>
      <c r="M283" s="154">
        <f t="shared" si="20"/>
        <v>0</v>
      </c>
    </row>
    <row r="284" spans="1:13" x14ac:dyDescent="0.25">
      <c r="A284" s="168"/>
      <c r="G284" s="138"/>
      <c r="H284" s="152">
        <v>279</v>
      </c>
      <c r="I284" s="153" t="str">
        <f t="shared" si="21"/>
        <v/>
      </c>
      <c r="J284" s="152">
        <f t="shared" si="22"/>
        <v>-5</v>
      </c>
      <c r="K284" s="152">
        <f t="shared" si="19"/>
        <v>-50</v>
      </c>
      <c r="L284" s="152"/>
      <c r="M284" s="154">
        <f t="shared" si="20"/>
        <v>0</v>
      </c>
    </row>
    <row r="285" spans="1:13" x14ac:dyDescent="0.25">
      <c r="A285" s="168"/>
      <c r="G285" s="138"/>
      <c r="H285" s="152">
        <v>280</v>
      </c>
      <c r="I285" s="153" t="str">
        <f t="shared" si="21"/>
        <v/>
      </c>
      <c r="J285" s="152">
        <f t="shared" si="22"/>
        <v>-5</v>
      </c>
      <c r="K285" s="152">
        <f t="shared" si="19"/>
        <v>-50</v>
      </c>
      <c r="L285" s="152"/>
      <c r="M285" s="154">
        <f t="shared" si="20"/>
        <v>0</v>
      </c>
    </row>
    <row r="286" spans="1:13" x14ac:dyDescent="0.25">
      <c r="A286" s="168"/>
      <c r="G286" s="138"/>
      <c r="H286" s="152">
        <v>281</v>
      </c>
      <c r="I286" s="153" t="str">
        <f t="shared" si="21"/>
        <v/>
      </c>
      <c r="J286" s="152">
        <f t="shared" si="22"/>
        <v>-5</v>
      </c>
      <c r="K286" s="152">
        <f t="shared" si="19"/>
        <v>-50</v>
      </c>
      <c r="L286" s="152"/>
      <c r="M286" s="154">
        <f t="shared" si="20"/>
        <v>0</v>
      </c>
    </row>
    <row r="287" spans="1:13" x14ac:dyDescent="0.25">
      <c r="A287" s="168"/>
      <c r="G287" s="138"/>
      <c r="H287" s="152">
        <v>282</v>
      </c>
      <c r="I287" s="153" t="str">
        <f t="shared" si="21"/>
        <v/>
      </c>
      <c r="J287" s="152">
        <f t="shared" si="22"/>
        <v>-5</v>
      </c>
      <c r="K287" s="152">
        <f t="shared" si="19"/>
        <v>-50</v>
      </c>
      <c r="L287" s="152"/>
      <c r="M287" s="154">
        <f t="shared" si="20"/>
        <v>0</v>
      </c>
    </row>
    <row r="288" spans="1:13" x14ac:dyDescent="0.25">
      <c r="A288" s="168"/>
      <c r="G288" s="138"/>
      <c r="H288" s="152">
        <v>283</v>
      </c>
      <c r="I288" s="153" t="str">
        <f t="shared" si="21"/>
        <v/>
      </c>
      <c r="J288" s="152">
        <f t="shared" si="22"/>
        <v>-5</v>
      </c>
      <c r="K288" s="152">
        <f t="shared" si="19"/>
        <v>-50</v>
      </c>
      <c r="L288" s="152"/>
      <c r="M288" s="154">
        <f t="shared" si="20"/>
        <v>0</v>
      </c>
    </row>
    <row r="289" spans="1:13" x14ac:dyDescent="0.25">
      <c r="A289" s="168"/>
      <c r="G289" s="138"/>
      <c r="H289" s="152">
        <v>284</v>
      </c>
      <c r="I289" s="153" t="str">
        <f t="shared" si="21"/>
        <v/>
      </c>
      <c r="J289" s="152">
        <f t="shared" si="22"/>
        <v>-5</v>
      </c>
      <c r="K289" s="152">
        <f t="shared" si="19"/>
        <v>-50</v>
      </c>
      <c r="L289" s="152"/>
      <c r="M289" s="154">
        <f t="shared" si="20"/>
        <v>0</v>
      </c>
    </row>
    <row r="290" spans="1:13" x14ac:dyDescent="0.25">
      <c r="A290" s="168"/>
      <c r="G290" s="138"/>
      <c r="H290" s="152">
        <v>285</v>
      </c>
      <c r="I290" s="153" t="str">
        <f t="shared" si="21"/>
        <v/>
      </c>
      <c r="J290" s="152">
        <f t="shared" si="22"/>
        <v>-5</v>
      </c>
      <c r="K290" s="152">
        <f t="shared" si="19"/>
        <v>-50</v>
      </c>
      <c r="L290" s="152"/>
      <c r="M290" s="154">
        <f t="shared" si="20"/>
        <v>0</v>
      </c>
    </row>
    <row r="291" spans="1:13" x14ac:dyDescent="0.25">
      <c r="A291" s="168"/>
      <c r="G291" s="138"/>
      <c r="H291" s="152">
        <v>286</v>
      </c>
      <c r="I291" s="153" t="str">
        <f t="shared" si="21"/>
        <v/>
      </c>
      <c r="J291" s="152">
        <f t="shared" si="22"/>
        <v>-5</v>
      </c>
      <c r="K291" s="152">
        <f t="shared" si="19"/>
        <v>-50</v>
      </c>
      <c r="L291" s="152"/>
      <c r="M291" s="154">
        <f t="shared" si="20"/>
        <v>0</v>
      </c>
    </row>
    <row r="292" spans="1:13" x14ac:dyDescent="0.25">
      <c r="A292" s="168"/>
      <c r="G292" s="138"/>
      <c r="H292" s="152">
        <v>287</v>
      </c>
      <c r="I292" s="153" t="str">
        <f t="shared" si="21"/>
        <v/>
      </c>
      <c r="J292" s="152">
        <f t="shared" si="22"/>
        <v>-5</v>
      </c>
      <c r="K292" s="152">
        <f t="shared" si="19"/>
        <v>-50</v>
      </c>
      <c r="L292" s="152"/>
      <c r="M292" s="154">
        <f t="shared" si="20"/>
        <v>0</v>
      </c>
    </row>
    <row r="293" spans="1:13" x14ac:dyDescent="0.25">
      <c r="A293" s="168"/>
      <c r="G293" s="138"/>
      <c r="H293" s="152">
        <v>288</v>
      </c>
      <c r="I293" s="153" t="str">
        <f t="shared" si="21"/>
        <v/>
      </c>
      <c r="J293" s="152">
        <f t="shared" si="22"/>
        <v>-5</v>
      </c>
      <c r="K293" s="152">
        <f t="shared" si="19"/>
        <v>-50</v>
      </c>
      <c r="L293" s="152"/>
      <c r="M293" s="154">
        <f t="shared" si="20"/>
        <v>0</v>
      </c>
    </row>
    <row r="294" spans="1:13" x14ac:dyDescent="0.25">
      <c r="A294" s="168"/>
      <c r="G294" s="138"/>
      <c r="H294" s="152">
        <v>289</v>
      </c>
      <c r="I294" s="153" t="str">
        <f t="shared" si="21"/>
        <v/>
      </c>
      <c r="J294" s="152">
        <f t="shared" si="22"/>
        <v>-5</v>
      </c>
      <c r="K294" s="152">
        <f t="shared" si="19"/>
        <v>-50</v>
      </c>
      <c r="L294" s="152"/>
      <c r="M294" s="154">
        <f t="shared" si="20"/>
        <v>0</v>
      </c>
    </row>
    <row r="295" spans="1:13" x14ac:dyDescent="0.25">
      <c r="A295" s="168"/>
      <c r="G295" s="138"/>
      <c r="H295" s="152">
        <v>290</v>
      </c>
      <c r="I295" s="153" t="str">
        <f t="shared" si="21"/>
        <v/>
      </c>
      <c r="J295" s="152">
        <f t="shared" si="22"/>
        <v>-5</v>
      </c>
      <c r="K295" s="152">
        <f t="shared" si="19"/>
        <v>-50</v>
      </c>
      <c r="L295" s="152"/>
      <c r="M295" s="154">
        <f t="shared" si="20"/>
        <v>0</v>
      </c>
    </row>
    <row r="296" spans="1:13" x14ac:dyDescent="0.25">
      <c r="A296" s="168"/>
      <c r="G296" s="138"/>
      <c r="H296" s="152">
        <v>291</v>
      </c>
      <c r="I296" s="153" t="str">
        <f t="shared" si="21"/>
        <v/>
      </c>
      <c r="J296" s="152">
        <f t="shared" si="22"/>
        <v>-5</v>
      </c>
      <c r="K296" s="152">
        <f t="shared" si="19"/>
        <v>-50</v>
      </c>
      <c r="L296" s="152"/>
      <c r="M296" s="154">
        <f t="shared" si="20"/>
        <v>0</v>
      </c>
    </row>
    <row r="297" spans="1:13" x14ac:dyDescent="0.25">
      <c r="A297" s="168"/>
      <c r="G297" s="138"/>
      <c r="H297" s="152">
        <v>292</v>
      </c>
      <c r="I297" s="153" t="str">
        <f t="shared" si="21"/>
        <v/>
      </c>
      <c r="J297" s="152">
        <f t="shared" si="22"/>
        <v>-5</v>
      </c>
      <c r="K297" s="152">
        <f t="shared" si="19"/>
        <v>-50</v>
      </c>
      <c r="L297" s="152"/>
      <c r="M297" s="154">
        <f t="shared" si="20"/>
        <v>0</v>
      </c>
    </row>
    <row r="298" spans="1:13" x14ac:dyDescent="0.25">
      <c r="A298" s="168"/>
      <c r="G298" s="138"/>
      <c r="H298" s="152">
        <v>293</v>
      </c>
      <c r="I298" s="153" t="str">
        <f t="shared" si="21"/>
        <v/>
      </c>
      <c r="J298" s="152">
        <f t="shared" si="22"/>
        <v>-5</v>
      </c>
      <c r="K298" s="152">
        <f t="shared" si="19"/>
        <v>-50</v>
      </c>
      <c r="L298" s="152"/>
      <c r="M298" s="154">
        <f t="shared" si="20"/>
        <v>0</v>
      </c>
    </row>
    <row r="299" spans="1:13" x14ac:dyDescent="0.25">
      <c r="A299" s="168"/>
      <c r="G299" s="138"/>
      <c r="H299" s="152">
        <v>294</v>
      </c>
      <c r="I299" s="153" t="str">
        <f t="shared" si="21"/>
        <v/>
      </c>
      <c r="J299" s="152">
        <f t="shared" si="22"/>
        <v>-5</v>
      </c>
      <c r="K299" s="152">
        <f t="shared" si="19"/>
        <v>-50</v>
      </c>
      <c r="L299" s="152"/>
      <c r="M299" s="154">
        <f t="shared" si="20"/>
        <v>0</v>
      </c>
    </row>
    <row r="300" spans="1:13" x14ac:dyDescent="0.25">
      <c r="A300" s="168"/>
      <c r="G300" s="138"/>
      <c r="H300" s="152">
        <v>295</v>
      </c>
      <c r="I300" s="153" t="str">
        <f t="shared" si="21"/>
        <v/>
      </c>
      <c r="J300" s="152">
        <f t="shared" si="22"/>
        <v>-5</v>
      </c>
      <c r="K300" s="152">
        <f t="shared" si="19"/>
        <v>-50</v>
      </c>
      <c r="L300" s="152"/>
      <c r="M300" s="154">
        <f t="shared" si="20"/>
        <v>0</v>
      </c>
    </row>
    <row r="301" spans="1:13" x14ac:dyDescent="0.25">
      <c r="A301" s="168"/>
      <c r="G301" s="138"/>
      <c r="H301" s="152">
        <v>296</v>
      </c>
      <c r="I301" s="153" t="str">
        <f t="shared" si="21"/>
        <v/>
      </c>
      <c r="J301" s="152">
        <f t="shared" si="22"/>
        <v>-5</v>
      </c>
      <c r="K301" s="152">
        <f t="shared" si="19"/>
        <v>-50</v>
      </c>
      <c r="L301" s="152"/>
      <c r="M301" s="154">
        <f t="shared" si="20"/>
        <v>0</v>
      </c>
    </row>
    <row r="302" spans="1:13" x14ac:dyDescent="0.25">
      <c r="A302" s="168"/>
      <c r="G302" s="138"/>
      <c r="H302" s="152">
        <v>297</v>
      </c>
      <c r="I302" s="153" t="str">
        <f t="shared" si="21"/>
        <v/>
      </c>
      <c r="J302" s="152">
        <f t="shared" si="22"/>
        <v>-5</v>
      </c>
      <c r="K302" s="152">
        <f t="shared" si="19"/>
        <v>-50</v>
      </c>
      <c r="L302" s="152"/>
      <c r="M302" s="154">
        <f t="shared" si="20"/>
        <v>0</v>
      </c>
    </row>
    <row r="303" spans="1:13" x14ac:dyDescent="0.25">
      <c r="A303" s="168"/>
      <c r="G303" s="138"/>
      <c r="H303" s="152">
        <v>298</v>
      </c>
      <c r="I303" s="153" t="str">
        <f t="shared" si="21"/>
        <v/>
      </c>
      <c r="J303" s="152">
        <f t="shared" si="22"/>
        <v>-5</v>
      </c>
      <c r="K303" s="152">
        <f t="shared" si="19"/>
        <v>-50</v>
      </c>
      <c r="L303" s="152"/>
      <c r="M303" s="154">
        <f t="shared" si="20"/>
        <v>0</v>
      </c>
    </row>
    <row r="304" spans="1:13" x14ac:dyDescent="0.25">
      <c r="A304" s="168"/>
      <c r="G304" s="138"/>
      <c r="H304" s="152">
        <v>299</v>
      </c>
      <c r="I304" s="153" t="str">
        <f t="shared" si="21"/>
        <v/>
      </c>
      <c r="J304" s="152">
        <f t="shared" si="22"/>
        <v>-5</v>
      </c>
      <c r="K304" s="152">
        <f t="shared" si="19"/>
        <v>-50</v>
      </c>
      <c r="L304" s="152"/>
      <c r="M304" s="154">
        <f t="shared" si="20"/>
        <v>0</v>
      </c>
    </row>
    <row r="305" spans="1:16" x14ac:dyDescent="0.25">
      <c r="A305" s="168"/>
      <c r="G305" s="138"/>
      <c r="H305" s="152">
        <v>300</v>
      </c>
      <c r="I305" s="153" t="str">
        <f t="shared" si="21"/>
        <v/>
      </c>
      <c r="J305" s="152">
        <f t="shared" si="22"/>
        <v>-5</v>
      </c>
      <c r="K305" s="152">
        <f t="shared" si="19"/>
        <v>-50</v>
      </c>
      <c r="L305" s="152"/>
      <c r="M305" s="154">
        <f t="shared" si="20"/>
        <v>0</v>
      </c>
    </row>
    <row r="306" spans="1:16" x14ac:dyDescent="0.25">
      <c r="A306" s="170"/>
    </row>
    <row r="314" spans="1:16" x14ac:dyDescent="0.25">
      <c r="L314" s="173"/>
      <c r="P314" s="163"/>
    </row>
    <row r="315" spans="1:16" x14ac:dyDescent="0.25">
      <c r="L315" s="173"/>
      <c r="P315" s="163"/>
    </row>
    <row r="316" spans="1:16" x14ac:dyDescent="0.25">
      <c r="L316" s="173"/>
      <c r="P316" s="163"/>
    </row>
    <row r="317" spans="1:16" x14ac:dyDescent="0.25">
      <c r="L317" s="173"/>
      <c r="P317" s="163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2C8658C0-2293-4781-83CD-C79348E1AF41}">
      <formula1>#REF!</formula1>
    </dataValidation>
  </dataValidations>
  <hyperlinks>
    <hyperlink ref="C2:D2" r:id="rId1" display="KRAKÓW" xr:uid="{5DE0F94B-D56C-4220-991F-1FFDD1455092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1D92-37EF-489E-A2A0-519E5A1851D1}">
  <sheetPr>
    <tabColor rgb="FF92D050"/>
  </sheetPr>
  <dimension ref="A1:AL317"/>
  <sheetViews>
    <sheetView workbookViewId="0">
      <selection activeCell="E21" sqref="E21"/>
    </sheetView>
  </sheetViews>
  <sheetFormatPr defaultColWidth="8.875" defaultRowHeight="14.3" x14ac:dyDescent="0.25"/>
  <cols>
    <col min="1" max="1" width="8" style="169" customWidth="1"/>
    <col min="2" max="2" width="8.25" style="169" customWidth="1"/>
    <col min="3" max="3" width="34.75" style="169" customWidth="1"/>
    <col min="4" max="4" width="11.25" style="169" customWidth="1"/>
    <col min="5" max="6" width="8.875" style="169"/>
    <col min="7" max="7" width="0.875" style="169" customWidth="1"/>
    <col min="8" max="8" width="8.875" style="171"/>
    <col min="9" max="9" width="11" style="171" customWidth="1"/>
    <col min="10" max="10" width="15.25" style="171" customWidth="1"/>
    <col min="11" max="11" width="8.75" style="171" customWidth="1"/>
    <col min="12" max="12" width="11" style="171" customWidth="1"/>
    <col min="13" max="13" width="11.75" style="172" customWidth="1"/>
    <col min="14" max="15" width="13.875" style="138" customWidth="1"/>
    <col min="16" max="18" width="8.875" style="138"/>
    <col min="19" max="20" width="8.875" style="143"/>
    <col min="21" max="21" width="12.125" style="143" customWidth="1"/>
    <col min="22" max="22" width="27.375" style="143" customWidth="1"/>
    <col min="23" max="38" width="8.875" style="143"/>
    <col min="39" max="16384" width="8.875" style="169"/>
  </cols>
  <sheetData>
    <row r="1" spans="1:36" x14ac:dyDescent="0.25">
      <c r="A1" s="138"/>
      <c r="B1" s="138"/>
      <c r="C1" s="138"/>
      <c r="D1" s="138"/>
      <c r="E1" s="138"/>
      <c r="F1" s="138"/>
      <c r="G1" s="138"/>
      <c r="H1" s="139" t="s">
        <v>38</v>
      </c>
      <c r="I1" s="140" t="s">
        <v>39</v>
      </c>
      <c r="J1" s="140" t="s">
        <v>40</v>
      </c>
      <c r="K1" s="141" t="s">
        <v>41</v>
      </c>
      <c r="L1" s="142"/>
      <c r="M1" s="142"/>
    </row>
    <row r="2" spans="1:36" ht="14.45" customHeight="1" x14ac:dyDescent="0.25">
      <c r="A2" s="138"/>
      <c r="B2" s="47" t="s">
        <v>42</v>
      </c>
      <c r="C2" s="271" t="s">
        <v>565</v>
      </c>
      <c r="D2" s="271"/>
      <c r="E2" s="6"/>
      <c r="F2" s="6"/>
      <c r="G2" s="6"/>
      <c r="H2" s="144">
        <v>12</v>
      </c>
      <c r="I2" s="145">
        <v>50</v>
      </c>
      <c r="J2" s="145">
        <v>10</v>
      </c>
      <c r="K2" s="146">
        <f>3*H2^(1/3)</f>
        <v>6.8682854553199917</v>
      </c>
      <c r="L2" s="142"/>
      <c r="M2" s="142"/>
    </row>
    <row r="3" spans="1:36" ht="14.45" customHeight="1" x14ac:dyDescent="0.25">
      <c r="A3" s="138"/>
      <c r="B3" s="147" t="s">
        <v>44</v>
      </c>
      <c r="C3" s="272" t="s">
        <v>566</v>
      </c>
      <c r="D3" s="272"/>
      <c r="E3" s="7"/>
      <c r="F3" s="7"/>
      <c r="G3" s="7"/>
      <c r="H3" s="142"/>
      <c r="I3" s="142"/>
      <c r="J3" s="148"/>
      <c r="K3" s="142"/>
      <c r="L3" s="142"/>
      <c r="M3" s="142"/>
    </row>
    <row r="4" spans="1:36" ht="10.199999999999999" customHeight="1" x14ac:dyDescent="0.25">
      <c r="A4" s="8"/>
      <c r="B4" s="7"/>
      <c r="C4" s="8"/>
      <c r="D4" s="8"/>
      <c r="E4" s="8"/>
      <c r="F4" s="8"/>
      <c r="G4" s="8"/>
      <c r="H4" s="142"/>
      <c r="I4" s="142"/>
      <c r="J4" s="148"/>
      <c r="K4" s="142"/>
      <c r="L4" s="142"/>
      <c r="M4" s="142"/>
    </row>
    <row r="5" spans="1:36" ht="34.65" x14ac:dyDescent="0.25">
      <c r="A5" s="1" t="s">
        <v>45</v>
      </c>
      <c r="B5" s="37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8"/>
      <c r="H5" s="149" t="s">
        <v>51</v>
      </c>
      <c r="I5" s="150" t="s">
        <v>52</v>
      </c>
      <c r="J5" s="151" t="s">
        <v>93</v>
      </c>
      <c r="K5" s="150" t="s">
        <v>94</v>
      </c>
      <c r="L5" s="150" t="s">
        <v>55</v>
      </c>
      <c r="M5" s="149" t="s">
        <v>56</v>
      </c>
    </row>
    <row r="6" spans="1:36" ht="14.45" customHeight="1" x14ac:dyDescent="0.25">
      <c r="A6" s="39">
        <f>M6</f>
        <v>110.60485636595998</v>
      </c>
      <c r="B6" s="36">
        <f t="shared" ref="B6:B17" si="0">IF(H6&gt;$H$2,"",(ROW()-5))</f>
        <v>1</v>
      </c>
      <c r="C6" s="24" t="s">
        <v>19</v>
      </c>
      <c r="D6" s="24" t="s">
        <v>75</v>
      </c>
      <c r="E6" s="24"/>
      <c r="F6" s="24"/>
      <c r="G6" s="8"/>
      <c r="H6" s="152">
        <v>1</v>
      </c>
      <c r="I6" s="153">
        <f>IF(H2=1,50,IF(H6&lt;$H$2+1,($I$2-($I$2-1)*(LOG(H6)/LOG($H$2))),""))</f>
        <v>50</v>
      </c>
      <c r="J6" s="152">
        <f>INT(LOG($H$2,2))-ROUNDUP(LOG(H6,2),0)+IF(OR($H$2=1,$H$2=2,$H$2=4,$H$2=8,$H$2=16,$H$2=32,$H$2=64,$H$2=128,$H$2=256),0,1)</f>
        <v>4</v>
      </c>
      <c r="K6" s="152">
        <f t="shared" ref="K6:K69" si="1">J6*$J$2</f>
        <v>40</v>
      </c>
      <c r="L6" s="154">
        <f>3*K2</f>
        <v>20.604856365959975</v>
      </c>
      <c r="M6" s="154">
        <f t="shared" ref="M6:M69" si="2">IF(I6&lt;&gt;"",K6+I6+L6,0)</f>
        <v>110.60485636595998</v>
      </c>
    </row>
    <row r="7" spans="1:36" ht="14.45" customHeight="1" x14ac:dyDescent="0.25">
      <c r="A7" s="40">
        <f t="shared" ref="A7:A37" si="3">M7</f>
        <v>80.068366573734622</v>
      </c>
      <c r="B7" s="35">
        <f t="shared" si="0"/>
        <v>2</v>
      </c>
      <c r="C7" s="25" t="s">
        <v>22</v>
      </c>
      <c r="D7" s="25" t="s">
        <v>59</v>
      </c>
      <c r="E7" s="25"/>
      <c r="F7" s="25"/>
      <c r="G7" s="8"/>
      <c r="H7" s="155">
        <v>2</v>
      </c>
      <c r="I7" s="156">
        <f t="shared" ref="I7:I70" si="4">IF(H7&lt;$H$2+1,($I$2-($I$2-1)*(LOG(H7)/LOG($H$2))),"")</f>
        <v>36.331795663094638</v>
      </c>
      <c r="J7" s="155">
        <f t="shared" ref="J7:J70" si="5">INT(LOG($H$2,2))-ROUNDUP(LOG(H7,2),0)+IF(OR($H$2=1,$H$2=2,$H$2=4,$H$2=8,$H$2=16,$H$2=32,$H$2=64,$H$2=128,$H$2=256),0,1)</f>
        <v>3</v>
      </c>
      <c r="K7" s="155">
        <f t="shared" si="1"/>
        <v>30</v>
      </c>
      <c r="L7" s="157">
        <f>2*K2</f>
        <v>13.736570910639983</v>
      </c>
      <c r="M7" s="157">
        <f t="shared" si="2"/>
        <v>80.068366573734622</v>
      </c>
    </row>
    <row r="8" spans="1:36" ht="14.45" customHeight="1" x14ac:dyDescent="0.25">
      <c r="A8" s="39">
        <f t="shared" si="3"/>
        <v>55.204694129130715</v>
      </c>
      <c r="B8" s="36">
        <f t="shared" si="0"/>
        <v>3</v>
      </c>
      <c r="C8" s="24" t="s">
        <v>20</v>
      </c>
      <c r="D8" s="24" t="s">
        <v>59</v>
      </c>
      <c r="E8" s="24"/>
      <c r="F8" s="24"/>
      <c r="G8" s="8"/>
      <c r="H8" s="152">
        <v>3</v>
      </c>
      <c r="I8" s="153">
        <f t="shared" si="4"/>
        <v>28.336408673810727</v>
      </c>
      <c r="J8" s="152">
        <f t="shared" si="5"/>
        <v>2</v>
      </c>
      <c r="K8" s="152">
        <f t="shared" si="1"/>
        <v>20</v>
      </c>
      <c r="L8" s="154">
        <f>K2</f>
        <v>6.8682854553199917</v>
      </c>
      <c r="M8" s="154">
        <f t="shared" si="2"/>
        <v>55.204694129130715</v>
      </c>
    </row>
    <row r="9" spans="1:36" ht="14.45" customHeight="1" x14ac:dyDescent="0.25">
      <c r="A9" s="40">
        <f t="shared" si="3"/>
        <v>42.663591326189277</v>
      </c>
      <c r="B9" s="35">
        <f t="shared" si="0"/>
        <v>4</v>
      </c>
      <c r="C9" s="25" t="s">
        <v>21</v>
      </c>
      <c r="D9" s="25" t="s">
        <v>60</v>
      </c>
      <c r="E9" s="25"/>
      <c r="F9" s="25"/>
      <c r="G9" s="8"/>
      <c r="H9" s="155">
        <v>4</v>
      </c>
      <c r="I9" s="156">
        <f t="shared" si="4"/>
        <v>22.663591326189277</v>
      </c>
      <c r="J9" s="155">
        <f t="shared" si="5"/>
        <v>2</v>
      </c>
      <c r="K9" s="155">
        <f t="shared" si="1"/>
        <v>20</v>
      </c>
      <c r="L9" s="157"/>
      <c r="M9" s="157">
        <f t="shared" si="2"/>
        <v>42.663591326189277</v>
      </c>
      <c r="V9" s="158"/>
      <c r="Z9" s="159"/>
      <c r="AA9" s="159"/>
      <c r="AG9" s="160"/>
      <c r="AH9" s="143" t="s">
        <v>95</v>
      </c>
      <c r="AI9" s="143">
        <v>23</v>
      </c>
    </row>
    <row r="10" spans="1:36" ht="14.45" customHeight="1" x14ac:dyDescent="0.25">
      <c r="A10" s="39">
        <f t="shared" si="3"/>
        <v>28.263412343478148</v>
      </c>
      <c r="B10" s="36">
        <f t="shared" si="0"/>
        <v>5</v>
      </c>
      <c r="C10" s="24" t="s">
        <v>29</v>
      </c>
      <c r="D10" s="24" t="s">
        <v>80</v>
      </c>
      <c r="E10" s="24"/>
      <c r="F10" s="24"/>
      <c r="G10" s="8"/>
      <c r="H10" s="152">
        <v>5</v>
      </c>
      <c r="I10" s="153">
        <f t="shared" si="4"/>
        <v>18.263412343478148</v>
      </c>
      <c r="J10" s="152">
        <f t="shared" si="5"/>
        <v>1</v>
      </c>
      <c r="K10" s="152">
        <f t="shared" si="1"/>
        <v>10</v>
      </c>
      <c r="L10" s="152"/>
      <c r="M10" s="154">
        <f t="shared" si="2"/>
        <v>28.263412343478148</v>
      </c>
      <c r="V10" s="158"/>
      <c r="Z10" s="159"/>
      <c r="AA10" s="159"/>
      <c r="AG10" s="160"/>
      <c r="AH10" s="143" t="s">
        <v>96</v>
      </c>
      <c r="AI10" s="143">
        <v>45</v>
      </c>
    </row>
    <row r="11" spans="1:36" ht="14.45" customHeight="1" x14ac:dyDescent="0.25">
      <c r="A11" s="40">
        <f t="shared" si="3"/>
        <v>24.668204336905362</v>
      </c>
      <c r="B11" s="35">
        <f t="shared" si="0"/>
        <v>6</v>
      </c>
      <c r="C11" s="25" t="s">
        <v>568</v>
      </c>
      <c r="D11" s="25" t="s">
        <v>65</v>
      </c>
      <c r="E11" s="25"/>
      <c r="F11" s="25"/>
      <c r="G11" s="8"/>
      <c r="H11" s="155">
        <v>6</v>
      </c>
      <c r="I11" s="156">
        <f t="shared" si="4"/>
        <v>14.668204336905362</v>
      </c>
      <c r="J11" s="155">
        <f t="shared" si="5"/>
        <v>1</v>
      </c>
      <c r="K11" s="155">
        <f t="shared" si="1"/>
        <v>10</v>
      </c>
      <c r="L11" s="155"/>
      <c r="M11" s="157">
        <f t="shared" si="2"/>
        <v>24.668204336905362</v>
      </c>
      <c r="V11" s="161"/>
      <c r="Z11" s="159"/>
      <c r="AA11" s="159"/>
      <c r="AG11" s="160"/>
      <c r="AH11" s="143" t="s">
        <v>97</v>
      </c>
      <c r="AI11" s="143">
        <v>50</v>
      </c>
    </row>
    <row r="12" spans="1:36" ht="14.45" customHeight="1" x14ac:dyDescent="0.25">
      <c r="A12" s="39">
        <f t="shared" si="3"/>
        <v>21.628499279099643</v>
      </c>
      <c r="B12" s="36">
        <f t="shared" si="0"/>
        <v>7</v>
      </c>
      <c r="C12" s="24" t="s">
        <v>24</v>
      </c>
      <c r="D12" s="24" t="s">
        <v>64</v>
      </c>
      <c r="E12" s="24"/>
      <c r="F12" s="24"/>
      <c r="G12" s="8"/>
      <c r="H12" s="152">
        <v>7</v>
      </c>
      <c r="I12" s="153">
        <f t="shared" si="4"/>
        <v>11.628499279099643</v>
      </c>
      <c r="J12" s="152">
        <f t="shared" si="5"/>
        <v>1</v>
      </c>
      <c r="K12" s="152">
        <f t="shared" si="1"/>
        <v>10</v>
      </c>
      <c r="L12" s="152"/>
      <c r="M12" s="154">
        <f t="shared" si="2"/>
        <v>21.628499279099643</v>
      </c>
      <c r="Z12" s="159"/>
      <c r="AA12" s="159"/>
      <c r="AG12" s="160"/>
      <c r="AH12" s="143" t="s">
        <v>98</v>
      </c>
      <c r="AI12" s="143">
        <f>AI11-1</f>
        <v>49</v>
      </c>
    </row>
    <row r="13" spans="1:36" ht="14.45" customHeight="1" x14ac:dyDescent="0.25">
      <c r="A13" s="41">
        <f t="shared" si="3"/>
        <v>18.995386989283922</v>
      </c>
      <c r="B13" s="35">
        <f t="shared" si="0"/>
        <v>8</v>
      </c>
      <c r="C13" s="25" t="s">
        <v>27</v>
      </c>
      <c r="D13" s="25" t="s">
        <v>60</v>
      </c>
      <c r="E13" s="25"/>
      <c r="F13" s="25"/>
      <c r="G13" s="8"/>
      <c r="H13" s="155">
        <v>8</v>
      </c>
      <c r="I13" s="156">
        <f t="shared" si="4"/>
        <v>8.9953869892839222</v>
      </c>
      <c r="J13" s="155">
        <f t="shared" si="5"/>
        <v>1</v>
      </c>
      <c r="K13" s="155">
        <f t="shared" si="1"/>
        <v>10</v>
      </c>
      <c r="L13" s="155"/>
      <c r="M13" s="157">
        <f t="shared" si="2"/>
        <v>18.995386989283922</v>
      </c>
      <c r="X13" s="158"/>
      <c r="AG13" s="160"/>
      <c r="AH13" s="143" t="s">
        <v>101</v>
      </c>
      <c r="AI13" s="143">
        <f>LOG(AI9)</f>
        <v>1.3617278360175928</v>
      </c>
    </row>
    <row r="14" spans="1:36" ht="51.65" x14ac:dyDescent="0.25">
      <c r="A14" s="42">
        <f t="shared" si="3"/>
        <v>6.6728173476214536</v>
      </c>
      <c r="B14" s="36">
        <f t="shared" si="0"/>
        <v>9</v>
      </c>
      <c r="C14" s="24" t="s">
        <v>25</v>
      </c>
      <c r="D14" s="24" t="s">
        <v>63</v>
      </c>
      <c r="E14" s="24"/>
      <c r="F14" s="24"/>
      <c r="G14" s="8"/>
      <c r="H14" s="152">
        <v>9</v>
      </c>
      <c r="I14" s="153">
        <f t="shared" si="4"/>
        <v>6.6728173476214536</v>
      </c>
      <c r="J14" s="152">
        <f t="shared" si="5"/>
        <v>0</v>
      </c>
      <c r="K14" s="152">
        <f t="shared" si="1"/>
        <v>0</v>
      </c>
      <c r="L14" s="152"/>
      <c r="M14" s="154">
        <f t="shared" si="2"/>
        <v>6.6728173476214536</v>
      </c>
      <c r="X14" s="162"/>
      <c r="Z14" s="159"/>
      <c r="AA14" s="159"/>
      <c r="AG14" s="160"/>
      <c r="AH14" s="143" t="s">
        <v>102</v>
      </c>
      <c r="AI14" s="143">
        <f>LOG(AI10)</f>
        <v>1.6532125137753437</v>
      </c>
    </row>
    <row r="15" spans="1:36" ht="38.75" x14ac:dyDescent="0.25">
      <c r="A15" s="41">
        <f t="shared" si="3"/>
        <v>4.5952080065727898</v>
      </c>
      <c r="B15" s="35">
        <f t="shared" si="0"/>
        <v>10</v>
      </c>
      <c r="C15" s="25" t="s">
        <v>33</v>
      </c>
      <c r="D15" s="25" t="s">
        <v>66</v>
      </c>
      <c r="E15" s="25"/>
      <c r="F15" s="25"/>
      <c r="G15" s="8"/>
      <c r="H15" s="155">
        <v>10</v>
      </c>
      <c r="I15" s="156">
        <f t="shared" si="4"/>
        <v>4.5952080065727898</v>
      </c>
      <c r="J15" s="155">
        <f t="shared" si="5"/>
        <v>0</v>
      </c>
      <c r="K15" s="155">
        <f t="shared" si="1"/>
        <v>0</v>
      </c>
      <c r="L15" s="155"/>
      <c r="M15" s="157">
        <f t="shared" si="2"/>
        <v>4.5952080065727898</v>
      </c>
      <c r="X15" s="158"/>
      <c r="Z15" s="159"/>
      <c r="AA15" s="159"/>
    </row>
    <row r="16" spans="1:36" ht="38.75" x14ac:dyDescent="0.25">
      <c r="A16" s="42">
        <f t="shared" si="3"/>
        <v>2.7157817469141534</v>
      </c>
      <c r="B16" s="36">
        <f t="shared" si="0"/>
        <v>11</v>
      </c>
      <c r="C16" s="24" t="s">
        <v>35</v>
      </c>
      <c r="D16" s="24" t="s">
        <v>82</v>
      </c>
      <c r="E16" s="24"/>
      <c r="F16" s="24"/>
      <c r="G16" s="8"/>
      <c r="H16" s="152">
        <v>11</v>
      </c>
      <c r="I16" s="153">
        <f t="shared" si="4"/>
        <v>2.7157817469141534</v>
      </c>
      <c r="J16" s="152">
        <f t="shared" si="5"/>
        <v>0</v>
      </c>
      <c r="K16" s="152">
        <f t="shared" si="1"/>
        <v>0</v>
      </c>
      <c r="L16" s="152"/>
      <c r="M16" s="154">
        <f t="shared" si="2"/>
        <v>2.7157817469141534</v>
      </c>
      <c r="R16" s="163"/>
      <c r="Z16" s="159"/>
      <c r="AA16" s="159"/>
      <c r="AH16" s="164" t="s">
        <v>104</v>
      </c>
      <c r="AI16" s="143">
        <f>AI11-AI12*AI13/AI14</f>
        <v>9.6393909380186855</v>
      </c>
      <c r="AJ16" s="143" t="s">
        <v>105</v>
      </c>
    </row>
    <row r="17" spans="1:19" ht="38.75" x14ac:dyDescent="0.25">
      <c r="A17" s="41">
        <f t="shared" si="3"/>
        <v>1</v>
      </c>
      <c r="B17" s="35">
        <f t="shared" si="0"/>
        <v>12</v>
      </c>
      <c r="C17" s="25" t="s">
        <v>569</v>
      </c>
      <c r="D17" s="25" t="s">
        <v>567</v>
      </c>
      <c r="E17" s="25"/>
      <c r="F17" s="25"/>
      <c r="G17" s="8"/>
      <c r="H17" s="155">
        <v>12</v>
      </c>
      <c r="I17" s="156">
        <f t="shared" si="4"/>
        <v>1</v>
      </c>
      <c r="J17" s="155">
        <f t="shared" si="5"/>
        <v>0</v>
      </c>
      <c r="K17" s="155">
        <f t="shared" si="1"/>
        <v>0</v>
      </c>
      <c r="L17" s="155"/>
      <c r="M17" s="157">
        <f t="shared" si="2"/>
        <v>1</v>
      </c>
    </row>
    <row r="18" spans="1:19" x14ac:dyDescent="0.25">
      <c r="A18" s="42">
        <f t="shared" si="3"/>
        <v>0</v>
      </c>
      <c r="B18" s="36" t="str">
        <f t="shared" ref="B18:B65" si="6">IF(H18&gt;$H$2,"",(ROW()-5))</f>
        <v/>
      </c>
      <c r="C18" s="24"/>
      <c r="D18" s="24"/>
      <c r="E18" s="24"/>
      <c r="F18" s="24"/>
      <c r="G18" s="8"/>
      <c r="H18" s="152">
        <v>13</v>
      </c>
      <c r="I18" s="153" t="str">
        <f t="shared" si="4"/>
        <v/>
      </c>
      <c r="J18" s="152">
        <f t="shared" si="5"/>
        <v>0</v>
      </c>
      <c r="K18" s="152">
        <f t="shared" si="1"/>
        <v>0</v>
      </c>
      <c r="L18" s="152"/>
      <c r="M18" s="154">
        <f t="shared" si="2"/>
        <v>0</v>
      </c>
    </row>
    <row r="19" spans="1:19" x14ac:dyDescent="0.25">
      <c r="A19" s="41">
        <f t="shared" si="3"/>
        <v>0</v>
      </c>
      <c r="B19" s="35" t="str">
        <f t="shared" si="6"/>
        <v/>
      </c>
      <c r="C19" s="25"/>
      <c r="D19" s="25"/>
      <c r="E19" s="25"/>
      <c r="F19" s="25"/>
      <c r="G19" s="8"/>
      <c r="H19" s="155">
        <v>14</v>
      </c>
      <c r="I19" s="156" t="str">
        <f t="shared" si="4"/>
        <v/>
      </c>
      <c r="J19" s="155">
        <f t="shared" si="5"/>
        <v>0</v>
      </c>
      <c r="K19" s="155">
        <f t="shared" si="1"/>
        <v>0</v>
      </c>
      <c r="L19" s="155"/>
      <c r="M19" s="157">
        <f t="shared" si="2"/>
        <v>0</v>
      </c>
    </row>
    <row r="20" spans="1:19" x14ac:dyDescent="0.25">
      <c r="A20" s="42">
        <f t="shared" si="3"/>
        <v>0</v>
      </c>
      <c r="B20" s="36" t="str">
        <f t="shared" si="6"/>
        <v/>
      </c>
      <c r="C20" s="24"/>
      <c r="D20" s="24"/>
      <c r="E20" s="24"/>
      <c r="F20" s="24"/>
      <c r="G20" s="8"/>
      <c r="H20" s="152">
        <v>15</v>
      </c>
      <c r="I20" s="153" t="str">
        <f t="shared" si="4"/>
        <v/>
      </c>
      <c r="J20" s="152">
        <f t="shared" si="5"/>
        <v>0</v>
      </c>
      <c r="K20" s="152">
        <f t="shared" si="1"/>
        <v>0</v>
      </c>
      <c r="L20" s="152"/>
      <c r="M20" s="154">
        <f t="shared" si="2"/>
        <v>0</v>
      </c>
      <c r="R20" s="165"/>
      <c r="S20" s="166"/>
    </row>
    <row r="21" spans="1:19" x14ac:dyDescent="0.25">
      <c r="A21" s="41">
        <f t="shared" si="3"/>
        <v>0</v>
      </c>
      <c r="B21" s="35" t="str">
        <f t="shared" si="6"/>
        <v/>
      </c>
      <c r="C21" s="25"/>
      <c r="D21" s="25"/>
      <c r="E21" s="25"/>
      <c r="F21" s="25"/>
      <c r="G21" s="8"/>
      <c r="H21" s="155">
        <v>16</v>
      </c>
      <c r="I21" s="156" t="str">
        <f t="shared" si="4"/>
        <v/>
      </c>
      <c r="J21" s="155">
        <f t="shared" si="5"/>
        <v>0</v>
      </c>
      <c r="K21" s="155">
        <f t="shared" si="1"/>
        <v>0</v>
      </c>
      <c r="L21" s="155"/>
      <c r="M21" s="157">
        <f t="shared" si="2"/>
        <v>0</v>
      </c>
    </row>
    <row r="22" spans="1:19" x14ac:dyDescent="0.25">
      <c r="A22" s="42">
        <f t="shared" si="3"/>
        <v>0</v>
      </c>
      <c r="B22" s="36" t="str">
        <f t="shared" si="6"/>
        <v/>
      </c>
      <c r="C22" s="24"/>
      <c r="D22" s="24"/>
      <c r="E22" s="24"/>
      <c r="F22" s="24"/>
      <c r="G22" s="8"/>
      <c r="H22" s="152">
        <v>17</v>
      </c>
      <c r="I22" s="153" t="str">
        <f t="shared" si="4"/>
        <v/>
      </c>
      <c r="J22" s="152">
        <f t="shared" si="5"/>
        <v>-1</v>
      </c>
      <c r="K22" s="152">
        <f t="shared" si="1"/>
        <v>-10</v>
      </c>
      <c r="L22" s="152"/>
      <c r="M22" s="154">
        <f t="shared" si="2"/>
        <v>0</v>
      </c>
    </row>
    <row r="23" spans="1:19" x14ac:dyDescent="0.25">
      <c r="A23" s="41">
        <f t="shared" si="3"/>
        <v>0</v>
      </c>
      <c r="B23" s="35" t="str">
        <f t="shared" si="6"/>
        <v/>
      </c>
      <c r="C23" s="25"/>
      <c r="D23" s="25"/>
      <c r="E23" s="25"/>
      <c r="F23" s="25"/>
      <c r="G23" s="8"/>
      <c r="H23" s="155">
        <v>18</v>
      </c>
      <c r="I23" s="156" t="str">
        <f t="shared" si="4"/>
        <v/>
      </c>
      <c r="J23" s="155">
        <f t="shared" si="5"/>
        <v>-1</v>
      </c>
      <c r="K23" s="155">
        <f t="shared" si="1"/>
        <v>-10</v>
      </c>
      <c r="L23" s="155"/>
      <c r="M23" s="157">
        <f t="shared" si="2"/>
        <v>0</v>
      </c>
    </row>
    <row r="24" spans="1:19" x14ac:dyDescent="0.25">
      <c r="A24" s="42">
        <f t="shared" si="3"/>
        <v>0</v>
      </c>
      <c r="B24" s="36" t="str">
        <f t="shared" si="6"/>
        <v/>
      </c>
      <c r="C24" s="24"/>
      <c r="D24" s="24"/>
      <c r="E24" s="24"/>
      <c r="F24" s="24"/>
      <c r="G24" s="8"/>
      <c r="H24" s="152">
        <v>19</v>
      </c>
      <c r="I24" s="153" t="str">
        <f t="shared" si="4"/>
        <v/>
      </c>
      <c r="J24" s="152">
        <f t="shared" si="5"/>
        <v>-1</v>
      </c>
      <c r="K24" s="152">
        <f t="shared" si="1"/>
        <v>-10</v>
      </c>
      <c r="L24" s="152"/>
      <c r="M24" s="154">
        <f t="shared" si="2"/>
        <v>0</v>
      </c>
      <c r="R24" s="165"/>
      <c r="S24" s="166"/>
    </row>
    <row r="25" spans="1:19" x14ac:dyDescent="0.25">
      <c r="A25" s="41">
        <f t="shared" si="3"/>
        <v>0</v>
      </c>
      <c r="B25" s="35" t="str">
        <f t="shared" si="6"/>
        <v/>
      </c>
      <c r="C25" s="25"/>
      <c r="D25" s="25"/>
      <c r="E25" s="25"/>
      <c r="F25" s="25"/>
      <c r="G25" s="8"/>
      <c r="H25" s="155">
        <v>20</v>
      </c>
      <c r="I25" s="156" t="str">
        <f t="shared" si="4"/>
        <v/>
      </c>
      <c r="J25" s="155">
        <f t="shared" si="5"/>
        <v>-1</v>
      </c>
      <c r="K25" s="155">
        <f t="shared" si="1"/>
        <v>-10</v>
      </c>
      <c r="L25" s="155"/>
      <c r="M25" s="157">
        <f t="shared" si="2"/>
        <v>0</v>
      </c>
    </row>
    <row r="26" spans="1:19" x14ac:dyDescent="0.25">
      <c r="A26" s="42">
        <f t="shared" si="3"/>
        <v>0</v>
      </c>
      <c r="B26" s="36" t="str">
        <f t="shared" si="6"/>
        <v/>
      </c>
      <c r="C26" s="24"/>
      <c r="D26" s="24"/>
      <c r="E26" s="24"/>
      <c r="F26" s="24"/>
      <c r="G26" s="8"/>
      <c r="H26" s="152">
        <v>21</v>
      </c>
      <c r="I26" s="153" t="str">
        <f t="shared" si="4"/>
        <v/>
      </c>
      <c r="J26" s="152">
        <f t="shared" si="5"/>
        <v>-1</v>
      </c>
      <c r="K26" s="152">
        <f t="shared" si="1"/>
        <v>-10</v>
      </c>
      <c r="L26" s="152"/>
      <c r="M26" s="154">
        <f t="shared" si="2"/>
        <v>0</v>
      </c>
    </row>
    <row r="27" spans="1:19" x14ac:dyDescent="0.25">
      <c r="A27" s="41">
        <f t="shared" si="3"/>
        <v>0</v>
      </c>
      <c r="B27" s="35" t="str">
        <f t="shared" si="6"/>
        <v/>
      </c>
      <c r="C27" s="25"/>
      <c r="D27" s="25"/>
      <c r="E27" s="25"/>
      <c r="F27" s="25"/>
      <c r="G27" s="8"/>
      <c r="H27" s="155">
        <v>22</v>
      </c>
      <c r="I27" s="156" t="str">
        <f t="shared" si="4"/>
        <v/>
      </c>
      <c r="J27" s="155">
        <f t="shared" si="5"/>
        <v>-1</v>
      </c>
      <c r="K27" s="155">
        <f t="shared" si="1"/>
        <v>-10</v>
      </c>
      <c r="L27" s="155"/>
      <c r="M27" s="157">
        <f t="shared" si="2"/>
        <v>0</v>
      </c>
    </row>
    <row r="28" spans="1:19" x14ac:dyDescent="0.25">
      <c r="A28" s="42">
        <f t="shared" si="3"/>
        <v>0</v>
      </c>
      <c r="B28" s="36" t="str">
        <f t="shared" si="6"/>
        <v/>
      </c>
      <c r="C28" s="24"/>
      <c r="D28" s="24"/>
      <c r="E28" s="24"/>
      <c r="F28" s="24"/>
      <c r="G28" s="8"/>
      <c r="H28" s="152">
        <v>23</v>
      </c>
      <c r="I28" s="153" t="str">
        <f t="shared" si="4"/>
        <v/>
      </c>
      <c r="J28" s="152">
        <f t="shared" si="5"/>
        <v>-1</v>
      </c>
      <c r="K28" s="152">
        <f t="shared" si="1"/>
        <v>-10</v>
      </c>
      <c r="L28" s="152"/>
      <c r="M28" s="154">
        <f t="shared" si="2"/>
        <v>0</v>
      </c>
      <c r="R28" s="165"/>
      <c r="S28" s="166"/>
    </row>
    <row r="29" spans="1:19" x14ac:dyDescent="0.25">
      <c r="A29" s="41">
        <f t="shared" si="3"/>
        <v>0</v>
      </c>
      <c r="B29" s="35" t="str">
        <f t="shared" si="6"/>
        <v/>
      </c>
      <c r="C29" s="25"/>
      <c r="D29" s="25"/>
      <c r="E29" s="25"/>
      <c r="F29" s="25"/>
      <c r="G29" s="138"/>
      <c r="H29" s="155">
        <v>24</v>
      </c>
      <c r="I29" s="156" t="str">
        <f t="shared" si="4"/>
        <v/>
      </c>
      <c r="J29" s="155">
        <f t="shared" si="5"/>
        <v>-1</v>
      </c>
      <c r="K29" s="155">
        <f t="shared" si="1"/>
        <v>-10</v>
      </c>
      <c r="L29" s="155"/>
      <c r="M29" s="157">
        <f t="shared" si="2"/>
        <v>0</v>
      </c>
    </row>
    <row r="30" spans="1:19" x14ac:dyDescent="0.25">
      <c r="A30" s="42">
        <f t="shared" si="3"/>
        <v>0</v>
      </c>
      <c r="B30" s="36" t="str">
        <f t="shared" si="6"/>
        <v/>
      </c>
      <c r="C30" s="24"/>
      <c r="D30" s="24"/>
      <c r="E30" s="24"/>
      <c r="F30" s="24"/>
      <c r="G30" s="138"/>
      <c r="H30" s="152">
        <v>25</v>
      </c>
      <c r="I30" s="153" t="str">
        <f t="shared" si="4"/>
        <v/>
      </c>
      <c r="J30" s="152">
        <f t="shared" si="5"/>
        <v>-1</v>
      </c>
      <c r="K30" s="152">
        <f t="shared" si="1"/>
        <v>-10</v>
      </c>
      <c r="L30" s="152"/>
      <c r="M30" s="154">
        <f t="shared" si="2"/>
        <v>0</v>
      </c>
    </row>
    <row r="31" spans="1:19" x14ac:dyDescent="0.25">
      <c r="A31" s="41">
        <f t="shared" si="3"/>
        <v>0</v>
      </c>
      <c r="B31" s="35" t="str">
        <f t="shared" si="6"/>
        <v/>
      </c>
      <c r="C31" s="25"/>
      <c r="D31" s="25"/>
      <c r="E31" s="25"/>
      <c r="F31" s="25"/>
      <c r="G31" s="138"/>
      <c r="H31" s="155">
        <v>26</v>
      </c>
      <c r="I31" s="156" t="str">
        <f t="shared" si="4"/>
        <v/>
      </c>
      <c r="J31" s="155">
        <f t="shared" si="5"/>
        <v>-1</v>
      </c>
      <c r="K31" s="155">
        <f t="shared" si="1"/>
        <v>-10</v>
      </c>
      <c r="L31" s="155"/>
      <c r="M31" s="157">
        <f t="shared" si="2"/>
        <v>0</v>
      </c>
    </row>
    <row r="32" spans="1:19" x14ac:dyDescent="0.25">
      <c r="A32" s="42">
        <f t="shared" si="3"/>
        <v>0</v>
      </c>
      <c r="B32" s="36" t="str">
        <f t="shared" si="6"/>
        <v/>
      </c>
      <c r="C32" s="24"/>
      <c r="D32" s="24"/>
      <c r="E32" s="24"/>
      <c r="F32" s="24"/>
      <c r="G32" s="138"/>
      <c r="H32" s="152">
        <v>27</v>
      </c>
      <c r="I32" s="153" t="str">
        <f t="shared" si="4"/>
        <v/>
      </c>
      <c r="J32" s="152">
        <f t="shared" si="5"/>
        <v>-1</v>
      </c>
      <c r="K32" s="152">
        <f t="shared" si="1"/>
        <v>-10</v>
      </c>
      <c r="L32" s="152"/>
      <c r="M32" s="154">
        <f t="shared" si="2"/>
        <v>0</v>
      </c>
      <c r="R32" s="165"/>
      <c r="S32" s="166"/>
    </row>
    <row r="33" spans="1:21" x14ac:dyDescent="0.25">
      <c r="A33" s="41">
        <f t="shared" si="3"/>
        <v>0</v>
      </c>
      <c r="B33" s="35" t="str">
        <f t="shared" si="6"/>
        <v/>
      </c>
      <c r="C33" s="25"/>
      <c r="D33" s="25"/>
      <c r="E33" s="25"/>
      <c r="F33" s="25"/>
      <c r="G33" s="138"/>
      <c r="H33" s="155">
        <v>28</v>
      </c>
      <c r="I33" s="156" t="str">
        <f t="shared" si="4"/>
        <v/>
      </c>
      <c r="J33" s="155">
        <f t="shared" si="5"/>
        <v>-1</v>
      </c>
      <c r="K33" s="155">
        <f t="shared" si="1"/>
        <v>-10</v>
      </c>
      <c r="L33" s="155"/>
      <c r="M33" s="157">
        <f t="shared" si="2"/>
        <v>0</v>
      </c>
    </row>
    <row r="34" spans="1:21" x14ac:dyDescent="0.25">
      <c r="A34" s="42">
        <f t="shared" si="3"/>
        <v>0</v>
      </c>
      <c r="B34" s="36" t="str">
        <f t="shared" si="6"/>
        <v/>
      </c>
      <c r="C34" s="24"/>
      <c r="D34" s="24"/>
      <c r="E34" s="24"/>
      <c r="F34" s="24"/>
      <c r="G34" s="138"/>
      <c r="H34" s="152">
        <v>29</v>
      </c>
      <c r="I34" s="153" t="str">
        <f t="shared" si="4"/>
        <v/>
      </c>
      <c r="J34" s="152">
        <f t="shared" si="5"/>
        <v>-1</v>
      </c>
      <c r="K34" s="152">
        <f t="shared" si="1"/>
        <v>-10</v>
      </c>
      <c r="L34" s="152"/>
      <c r="M34" s="154">
        <f t="shared" si="2"/>
        <v>0</v>
      </c>
    </row>
    <row r="35" spans="1:21" x14ac:dyDescent="0.25">
      <c r="A35" s="41">
        <f t="shared" si="3"/>
        <v>0</v>
      </c>
      <c r="B35" s="35" t="str">
        <f t="shared" si="6"/>
        <v/>
      </c>
      <c r="C35" s="25"/>
      <c r="D35" s="25"/>
      <c r="E35" s="25"/>
      <c r="F35" s="25"/>
      <c r="G35" s="138"/>
      <c r="H35" s="155">
        <v>30</v>
      </c>
      <c r="I35" s="156" t="str">
        <f t="shared" si="4"/>
        <v/>
      </c>
      <c r="J35" s="155">
        <f t="shared" si="5"/>
        <v>-1</v>
      </c>
      <c r="K35" s="155">
        <f t="shared" si="1"/>
        <v>-10</v>
      </c>
      <c r="L35" s="155"/>
      <c r="M35" s="157">
        <f t="shared" si="2"/>
        <v>0</v>
      </c>
    </row>
    <row r="36" spans="1:21" x14ac:dyDescent="0.25">
      <c r="A36" s="42">
        <f t="shared" si="3"/>
        <v>0</v>
      </c>
      <c r="B36" s="36" t="str">
        <f t="shared" si="6"/>
        <v/>
      </c>
      <c r="C36" s="24"/>
      <c r="D36" s="24"/>
      <c r="E36" s="24"/>
      <c r="F36" s="24"/>
      <c r="G36" s="138"/>
      <c r="H36" s="152">
        <v>31</v>
      </c>
      <c r="I36" s="153" t="str">
        <f t="shared" si="4"/>
        <v/>
      </c>
      <c r="J36" s="152">
        <f t="shared" si="5"/>
        <v>-1</v>
      </c>
      <c r="K36" s="152">
        <f t="shared" si="1"/>
        <v>-10</v>
      </c>
      <c r="L36" s="152"/>
      <c r="M36" s="154">
        <f t="shared" si="2"/>
        <v>0</v>
      </c>
      <c r="R36" s="165"/>
      <c r="S36" s="166"/>
    </row>
    <row r="37" spans="1:21" x14ac:dyDescent="0.25">
      <c r="A37" s="41">
        <f t="shared" si="3"/>
        <v>0</v>
      </c>
      <c r="B37" s="35" t="str">
        <f t="shared" si="6"/>
        <v/>
      </c>
      <c r="C37" s="25"/>
      <c r="D37" s="25"/>
      <c r="E37" s="25"/>
      <c r="F37" s="25"/>
      <c r="G37" s="138"/>
      <c r="H37" s="155">
        <v>32</v>
      </c>
      <c r="I37" s="156" t="str">
        <f t="shared" si="4"/>
        <v/>
      </c>
      <c r="J37" s="155">
        <f t="shared" si="5"/>
        <v>-1</v>
      </c>
      <c r="K37" s="155">
        <f t="shared" si="1"/>
        <v>-10</v>
      </c>
      <c r="L37" s="155"/>
      <c r="M37" s="157">
        <f t="shared" si="2"/>
        <v>0</v>
      </c>
    </row>
    <row r="38" spans="1:21" x14ac:dyDescent="0.25">
      <c r="A38" s="42"/>
      <c r="B38" s="36" t="str">
        <f t="shared" si="6"/>
        <v/>
      </c>
      <c r="C38" s="24"/>
      <c r="D38" s="24"/>
      <c r="E38" s="24"/>
      <c r="F38" s="24"/>
      <c r="G38" s="138"/>
      <c r="H38" s="152">
        <v>33</v>
      </c>
      <c r="I38" s="153" t="str">
        <f t="shared" si="4"/>
        <v/>
      </c>
      <c r="J38" s="152">
        <f t="shared" si="5"/>
        <v>-2</v>
      </c>
      <c r="K38" s="152">
        <f t="shared" si="1"/>
        <v>-20</v>
      </c>
      <c r="L38" s="152"/>
      <c r="M38" s="154">
        <f t="shared" si="2"/>
        <v>0</v>
      </c>
    </row>
    <row r="39" spans="1:21" x14ac:dyDescent="0.25">
      <c r="A39" s="41"/>
      <c r="B39" s="35" t="str">
        <f t="shared" si="6"/>
        <v/>
      </c>
      <c r="C39" s="25"/>
      <c r="D39" s="25"/>
      <c r="E39" s="25"/>
      <c r="F39" s="25"/>
      <c r="G39" s="138"/>
      <c r="H39" s="155">
        <v>34</v>
      </c>
      <c r="I39" s="156" t="str">
        <f t="shared" si="4"/>
        <v/>
      </c>
      <c r="J39" s="155">
        <f t="shared" si="5"/>
        <v>-2</v>
      </c>
      <c r="K39" s="155">
        <f t="shared" si="1"/>
        <v>-20</v>
      </c>
      <c r="L39" s="155"/>
      <c r="M39" s="157">
        <f t="shared" si="2"/>
        <v>0</v>
      </c>
    </row>
    <row r="40" spans="1:21" x14ac:dyDescent="0.25">
      <c r="A40" s="42"/>
      <c r="B40" s="36" t="str">
        <f t="shared" si="6"/>
        <v/>
      </c>
      <c r="C40" s="24"/>
      <c r="D40" s="24"/>
      <c r="E40" s="24"/>
      <c r="F40" s="24"/>
      <c r="G40" s="138"/>
      <c r="H40" s="152">
        <v>35</v>
      </c>
      <c r="I40" s="153" t="str">
        <f t="shared" si="4"/>
        <v/>
      </c>
      <c r="J40" s="152">
        <f t="shared" si="5"/>
        <v>-2</v>
      </c>
      <c r="K40" s="152">
        <f t="shared" si="1"/>
        <v>-20</v>
      </c>
      <c r="L40" s="152"/>
      <c r="M40" s="154">
        <f t="shared" si="2"/>
        <v>0</v>
      </c>
    </row>
    <row r="41" spans="1:21" x14ac:dyDescent="0.25">
      <c r="A41" s="41"/>
      <c r="B41" s="35" t="str">
        <f t="shared" si="6"/>
        <v/>
      </c>
      <c r="C41" s="25"/>
      <c r="D41" s="25"/>
      <c r="E41" s="25"/>
      <c r="F41" s="25"/>
      <c r="G41" s="138"/>
      <c r="H41" s="155">
        <v>36</v>
      </c>
      <c r="I41" s="156" t="str">
        <f t="shared" si="4"/>
        <v/>
      </c>
      <c r="J41" s="155">
        <f t="shared" si="5"/>
        <v>-2</v>
      </c>
      <c r="K41" s="155">
        <f t="shared" si="1"/>
        <v>-20</v>
      </c>
      <c r="L41" s="155"/>
      <c r="M41" s="157">
        <f t="shared" si="2"/>
        <v>0</v>
      </c>
      <c r="S41" s="167"/>
    </row>
    <row r="42" spans="1:21" x14ac:dyDescent="0.25">
      <c r="A42" s="42"/>
      <c r="B42" s="36" t="str">
        <f t="shared" si="6"/>
        <v/>
      </c>
      <c r="C42" s="24"/>
      <c r="D42" s="24"/>
      <c r="E42" s="24"/>
      <c r="F42" s="24"/>
      <c r="G42" s="138"/>
      <c r="H42" s="152">
        <v>37</v>
      </c>
      <c r="I42" s="153" t="str">
        <f t="shared" si="4"/>
        <v/>
      </c>
      <c r="J42" s="152">
        <f t="shared" si="5"/>
        <v>-2</v>
      </c>
      <c r="K42" s="152">
        <f t="shared" si="1"/>
        <v>-20</v>
      </c>
      <c r="L42" s="152"/>
      <c r="M42" s="154">
        <f t="shared" si="2"/>
        <v>0</v>
      </c>
    </row>
    <row r="43" spans="1:21" x14ac:dyDescent="0.25">
      <c r="A43" s="41"/>
      <c r="B43" s="35" t="str">
        <f t="shared" si="6"/>
        <v/>
      </c>
      <c r="C43" s="25"/>
      <c r="D43" s="25"/>
      <c r="E43" s="25"/>
      <c r="F43" s="25"/>
      <c r="G43" s="138"/>
      <c r="H43" s="155">
        <v>38</v>
      </c>
      <c r="I43" s="156" t="str">
        <f t="shared" si="4"/>
        <v/>
      </c>
      <c r="J43" s="155">
        <f t="shared" si="5"/>
        <v>-2</v>
      </c>
      <c r="K43" s="155">
        <f t="shared" si="1"/>
        <v>-20</v>
      </c>
      <c r="L43" s="155"/>
      <c r="M43" s="157">
        <f t="shared" si="2"/>
        <v>0</v>
      </c>
    </row>
    <row r="44" spans="1:21" x14ac:dyDescent="0.25">
      <c r="A44" s="42"/>
      <c r="B44" s="36" t="str">
        <f t="shared" si="6"/>
        <v/>
      </c>
      <c r="C44" s="24"/>
      <c r="D44" s="24"/>
      <c r="E44" s="24"/>
      <c r="F44" s="24"/>
      <c r="G44" s="138"/>
      <c r="H44" s="152">
        <v>39</v>
      </c>
      <c r="I44" s="153" t="str">
        <f t="shared" si="4"/>
        <v/>
      </c>
      <c r="J44" s="152">
        <f t="shared" si="5"/>
        <v>-2</v>
      </c>
      <c r="K44" s="152">
        <f t="shared" si="1"/>
        <v>-20</v>
      </c>
      <c r="L44" s="152"/>
      <c r="M44" s="154">
        <f t="shared" si="2"/>
        <v>0</v>
      </c>
    </row>
    <row r="45" spans="1:21" x14ac:dyDescent="0.25">
      <c r="A45" s="41"/>
      <c r="B45" s="35" t="str">
        <f t="shared" si="6"/>
        <v/>
      </c>
      <c r="C45" s="25"/>
      <c r="D45" s="25"/>
      <c r="E45" s="25"/>
      <c r="F45" s="25"/>
      <c r="G45" s="138"/>
      <c r="H45" s="155">
        <v>40</v>
      </c>
      <c r="I45" s="156" t="str">
        <f t="shared" si="4"/>
        <v/>
      </c>
      <c r="J45" s="155">
        <f t="shared" si="5"/>
        <v>-2</v>
      </c>
      <c r="K45" s="155">
        <f t="shared" si="1"/>
        <v>-20</v>
      </c>
      <c r="L45" s="155"/>
      <c r="M45" s="157">
        <f t="shared" si="2"/>
        <v>0</v>
      </c>
    </row>
    <row r="46" spans="1:21" x14ac:dyDescent="0.25">
      <c r="A46" s="42"/>
      <c r="B46" s="36" t="str">
        <f t="shared" si="6"/>
        <v/>
      </c>
      <c r="C46" s="24"/>
      <c r="D46" s="24"/>
      <c r="E46" s="24"/>
      <c r="F46" s="24"/>
      <c r="G46" s="138"/>
      <c r="H46" s="152">
        <v>41</v>
      </c>
      <c r="I46" s="153" t="str">
        <f t="shared" si="4"/>
        <v/>
      </c>
      <c r="J46" s="152">
        <f t="shared" si="5"/>
        <v>-2</v>
      </c>
      <c r="K46" s="152">
        <f t="shared" si="1"/>
        <v>-20</v>
      </c>
      <c r="L46" s="152"/>
      <c r="M46" s="154">
        <f t="shared" si="2"/>
        <v>0</v>
      </c>
      <c r="R46" s="138">
        <f>LOG($H$2,2)</f>
        <v>3.5849625007211565</v>
      </c>
      <c r="T46" s="143">
        <f>LOG(H38,2)</f>
        <v>5.0443941193584534</v>
      </c>
      <c r="U46" s="143">
        <f>R46-T46</f>
        <v>-1.4594316186372969</v>
      </c>
    </row>
    <row r="47" spans="1:21" x14ac:dyDescent="0.25">
      <c r="A47" s="41"/>
      <c r="B47" s="35" t="str">
        <f t="shared" si="6"/>
        <v/>
      </c>
      <c r="C47" s="25"/>
      <c r="D47" s="25"/>
      <c r="E47" s="25"/>
      <c r="F47" s="25"/>
      <c r="G47" s="138"/>
      <c r="H47" s="155">
        <v>42</v>
      </c>
      <c r="I47" s="156" t="str">
        <f t="shared" si="4"/>
        <v/>
      </c>
      <c r="J47" s="155">
        <f t="shared" si="5"/>
        <v>-2</v>
      </c>
      <c r="K47" s="155">
        <f t="shared" si="1"/>
        <v>-20</v>
      </c>
      <c r="L47" s="155"/>
      <c r="M47" s="157">
        <f t="shared" si="2"/>
        <v>0</v>
      </c>
    </row>
    <row r="48" spans="1:21" x14ac:dyDescent="0.25">
      <c r="A48" s="42"/>
      <c r="B48" s="36" t="str">
        <f t="shared" si="6"/>
        <v/>
      </c>
      <c r="C48" s="24"/>
      <c r="D48" s="24"/>
      <c r="E48" s="24"/>
      <c r="F48" s="24"/>
      <c r="G48" s="138"/>
      <c r="H48" s="152">
        <v>43</v>
      </c>
      <c r="I48" s="153" t="str">
        <f t="shared" si="4"/>
        <v/>
      </c>
      <c r="J48" s="152">
        <f t="shared" si="5"/>
        <v>-2</v>
      </c>
      <c r="K48" s="152">
        <f t="shared" si="1"/>
        <v>-20</v>
      </c>
      <c r="L48" s="152"/>
      <c r="M48" s="154">
        <f t="shared" si="2"/>
        <v>0</v>
      </c>
    </row>
    <row r="49" spans="1:13" x14ac:dyDescent="0.25">
      <c r="A49" s="41"/>
      <c r="B49" s="35" t="str">
        <f t="shared" si="6"/>
        <v/>
      </c>
      <c r="C49" s="25"/>
      <c r="D49" s="25"/>
      <c r="E49" s="25"/>
      <c r="F49" s="25"/>
      <c r="G49" s="138"/>
      <c r="H49" s="155">
        <v>44</v>
      </c>
      <c r="I49" s="156" t="str">
        <f t="shared" si="4"/>
        <v/>
      </c>
      <c r="J49" s="155">
        <f t="shared" si="5"/>
        <v>-2</v>
      </c>
      <c r="K49" s="155">
        <f t="shared" si="1"/>
        <v>-20</v>
      </c>
      <c r="L49" s="155"/>
      <c r="M49" s="157">
        <f t="shared" si="2"/>
        <v>0</v>
      </c>
    </row>
    <row r="50" spans="1:13" x14ac:dyDescent="0.25">
      <c r="A50" s="42"/>
      <c r="B50" s="36" t="str">
        <f t="shared" si="6"/>
        <v/>
      </c>
      <c r="C50" s="24"/>
      <c r="D50" s="24"/>
      <c r="E50" s="24"/>
      <c r="F50" s="24"/>
      <c r="G50" s="138"/>
      <c r="H50" s="152">
        <v>45</v>
      </c>
      <c r="I50" s="153" t="str">
        <f t="shared" si="4"/>
        <v/>
      </c>
      <c r="J50" s="152">
        <f t="shared" si="5"/>
        <v>-2</v>
      </c>
      <c r="K50" s="152">
        <f t="shared" si="1"/>
        <v>-20</v>
      </c>
      <c r="L50" s="152"/>
      <c r="M50" s="154">
        <f t="shared" si="2"/>
        <v>0</v>
      </c>
    </row>
    <row r="51" spans="1:13" x14ac:dyDescent="0.25">
      <c r="A51" s="41"/>
      <c r="B51" s="35" t="str">
        <f t="shared" si="6"/>
        <v/>
      </c>
      <c r="C51" s="25"/>
      <c r="D51" s="25"/>
      <c r="E51" s="25"/>
      <c r="F51" s="25"/>
      <c r="G51" s="138"/>
      <c r="H51" s="155">
        <v>46</v>
      </c>
      <c r="I51" s="156" t="str">
        <f t="shared" si="4"/>
        <v/>
      </c>
      <c r="J51" s="155">
        <f t="shared" si="5"/>
        <v>-2</v>
      </c>
      <c r="K51" s="155">
        <f t="shared" si="1"/>
        <v>-20</v>
      </c>
      <c r="L51" s="155"/>
      <c r="M51" s="157">
        <f t="shared" si="2"/>
        <v>0</v>
      </c>
    </row>
    <row r="52" spans="1:13" x14ac:dyDescent="0.25">
      <c r="A52" s="42"/>
      <c r="B52" s="36" t="str">
        <f t="shared" si="6"/>
        <v/>
      </c>
      <c r="C52" s="24"/>
      <c r="D52" s="24"/>
      <c r="E52" s="24"/>
      <c r="F52" s="24"/>
      <c r="G52" s="138"/>
      <c r="H52" s="152">
        <v>47</v>
      </c>
      <c r="I52" s="153" t="str">
        <f t="shared" si="4"/>
        <v/>
      </c>
      <c r="J52" s="152">
        <f t="shared" si="5"/>
        <v>-2</v>
      </c>
      <c r="K52" s="152">
        <f t="shared" si="1"/>
        <v>-20</v>
      </c>
      <c r="L52" s="152"/>
      <c r="M52" s="154">
        <f t="shared" si="2"/>
        <v>0</v>
      </c>
    </row>
    <row r="53" spans="1:13" x14ac:dyDescent="0.25">
      <c r="A53" s="41"/>
      <c r="B53" s="35" t="str">
        <f t="shared" si="6"/>
        <v/>
      </c>
      <c r="C53" s="25"/>
      <c r="D53" s="25"/>
      <c r="E53" s="25"/>
      <c r="F53" s="25"/>
      <c r="G53" s="138"/>
      <c r="H53" s="155">
        <v>48</v>
      </c>
      <c r="I53" s="156" t="str">
        <f t="shared" si="4"/>
        <v/>
      </c>
      <c r="J53" s="155">
        <f t="shared" si="5"/>
        <v>-2</v>
      </c>
      <c r="K53" s="155">
        <f t="shared" si="1"/>
        <v>-20</v>
      </c>
      <c r="L53" s="155"/>
      <c r="M53" s="157">
        <f t="shared" si="2"/>
        <v>0</v>
      </c>
    </row>
    <row r="54" spans="1:13" x14ac:dyDescent="0.25">
      <c r="A54" s="42"/>
      <c r="B54" s="36" t="str">
        <f t="shared" si="6"/>
        <v/>
      </c>
      <c r="C54" s="24"/>
      <c r="D54" s="24"/>
      <c r="E54" s="24"/>
      <c r="F54" s="24"/>
      <c r="G54" s="138"/>
      <c r="H54" s="152">
        <v>49</v>
      </c>
      <c r="I54" s="153" t="str">
        <f t="shared" si="4"/>
        <v/>
      </c>
      <c r="J54" s="152">
        <f t="shared" si="5"/>
        <v>-2</v>
      </c>
      <c r="K54" s="152">
        <f t="shared" si="1"/>
        <v>-20</v>
      </c>
      <c r="L54" s="152"/>
      <c r="M54" s="154">
        <f t="shared" si="2"/>
        <v>0</v>
      </c>
    </row>
    <row r="55" spans="1:13" x14ac:dyDescent="0.25">
      <c r="A55" s="41"/>
      <c r="B55" s="35" t="str">
        <f t="shared" si="6"/>
        <v/>
      </c>
      <c r="C55" s="25"/>
      <c r="D55" s="25"/>
      <c r="E55" s="25"/>
      <c r="F55" s="25"/>
      <c r="G55" s="138"/>
      <c r="H55" s="155">
        <v>50</v>
      </c>
      <c r="I55" s="156" t="str">
        <f t="shared" si="4"/>
        <v/>
      </c>
      <c r="J55" s="155">
        <f t="shared" si="5"/>
        <v>-2</v>
      </c>
      <c r="K55" s="155">
        <f t="shared" si="1"/>
        <v>-20</v>
      </c>
      <c r="L55" s="155"/>
      <c r="M55" s="157">
        <f t="shared" si="2"/>
        <v>0</v>
      </c>
    </row>
    <row r="56" spans="1:13" x14ac:dyDescent="0.25">
      <c r="A56" s="42"/>
      <c r="B56" s="36" t="str">
        <f t="shared" si="6"/>
        <v/>
      </c>
      <c r="C56" s="24"/>
      <c r="D56" s="24"/>
      <c r="E56" s="24"/>
      <c r="F56" s="24"/>
      <c r="G56" s="138"/>
      <c r="H56" s="152">
        <v>51</v>
      </c>
      <c r="I56" s="153" t="str">
        <f t="shared" si="4"/>
        <v/>
      </c>
      <c r="J56" s="152">
        <f t="shared" si="5"/>
        <v>-2</v>
      </c>
      <c r="K56" s="152">
        <f t="shared" si="1"/>
        <v>-20</v>
      </c>
      <c r="L56" s="152"/>
      <c r="M56" s="154">
        <f t="shared" si="2"/>
        <v>0</v>
      </c>
    </row>
    <row r="57" spans="1:13" x14ac:dyDescent="0.25">
      <c r="A57" s="41"/>
      <c r="B57" s="35" t="str">
        <f t="shared" si="6"/>
        <v/>
      </c>
      <c r="C57" s="25"/>
      <c r="D57" s="25"/>
      <c r="E57" s="25"/>
      <c r="F57" s="25"/>
      <c r="G57" s="138"/>
      <c r="H57" s="155">
        <v>52</v>
      </c>
      <c r="I57" s="156" t="str">
        <f t="shared" si="4"/>
        <v/>
      </c>
      <c r="J57" s="155">
        <f t="shared" si="5"/>
        <v>-2</v>
      </c>
      <c r="K57" s="155">
        <f t="shared" si="1"/>
        <v>-20</v>
      </c>
      <c r="L57" s="155"/>
      <c r="M57" s="157">
        <f t="shared" si="2"/>
        <v>0</v>
      </c>
    </row>
    <row r="58" spans="1:13" x14ac:dyDescent="0.25">
      <c r="A58" s="42"/>
      <c r="B58" s="36" t="str">
        <f t="shared" si="6"/>
        <v/>
      </c>
      <c r="C58" s="24"/>
      <c r="D58" s="24"/>
      <c r="E58" s="24"/>
      <c r="F58" s="24"/>
      <c r="G58" s="138"/>
      <c r="H58" s="152">
        <v>53</v>
      </c>
      <c r="I58" s="153" t="str">
        <f t="shared" si="4"/>
        <v/>
      </c>
      <c r="J58" s="152">
        <f t="shared" si="5"/>
        <v>-2</v>
      </c>
      <c r="K58" s="152">
        <f t="shared" si="1"/>
        <v>-20</v>
      </c>
      <c r="L58" s="152"/>
      <c r="M58" s="154">
        <f t="shared" si="2"/>
        <v>0</v>
      </c>
    </row>
    <row r="59" spans="1:13" x14ac:dyDescent="0.25">
      <c r="A59" s="41"/>
      <c r="B59" s="35" t="str">
        <f t="shared" si="6"/>
        <v/>
      </c>
      <c r="C59" s="25"/>
      <c r="D59" s="25"/>
      <c r="E59" s="25"/>
      <c r="F59" s="25"/>
      <c r="G59" s="138"/>
      <c r="H59" s="155">
        <v>54</v>
      </c>
      <c r="I59" s="156" t="str">
        <f t="shared" si="4"/>
        <v/>
      </c>
      <c r="J59" s="155">
        <f t="shared" si="5"/>
        <v>-2</v>
      </c>
      <c r="K59" s="155">
        <f t="shared" si="1"/>
        <v>-20</v>
      </c>
      <c r="L59" s="155"/>
      <c r="M59" s="157">
        <f t="shared" si="2"/>
        <v>0</v>
      </c>
    </row>
    <row r="60" spans="1:13" x14ac:dyDescent="0.25">
      <c r="A60" s="42"/>
      <c r="B60" s="36" t="str">
        <f t="shared" si="6"/>
        <v/>
      </c>
      <c r="C60" s="24"/>
      <c r="D60" s="24"/>
      <c r="E60" s="24"/>
      <c r="F60" s="24"/>
      <c r="G60" s="138"/>
      <c r="H60" s="152">
        <v>55</v>
      </c>
      <c r="I60" s="153" t="str">
        <f t="shared" si="4"/>
        <v/>
      </c>
      <c r="J60" s="152">
        <f t="shared" si="5"/>
        <v>-2</v>
      </c>
      <c r="K60" s="152">
        <f t="shared" si="1"/>
        <v>-20</v>
      </c>
      <c r="L60" s="152"/>
      <c r="M60" s="154">
        <f t="shared" si="2"/>
        <v>0</v>
      </c>
    </row>
    <row r="61" spans="1:13" x14ac:dyDescent="0.25">
      <c r="A61" s="41"/>
      <c r="B61" s="35" t="str">
        <f t="shared" si="6"/>
        <v/>
      </c>
      <c r="C61" s="25"/>
      <c r="D61" s="25"/>
      <c r="E61" s="25"/>
      <c r="F61" s="25"/>
      <c r="G61" s="138"/>
      <c r="H61" s="155">
        <v>56</v>
      </c>
      <c r="I61" s="156" t="str">
        <f t="shared" si="4"/>
        <v/>
      </c>
      <c r="J61" s="155">
        <f t="shared" si="5"/>
        <v>-2</v>
      </c>
      <c r="K61" s="155">
        <f t="shared" si="1"/>
        <v>-20</v>
      </c>
      <c r="L61" s="155"/>
      <c r="M61" s="157">
        <f t="shared" si="2"/>
        <v>0</v>
      </c>
    </row>
    <row r="62" spans="1:13" x14ac:dyDescent="0.25">
      <c r="A62" s="42"/>
      <c r="B62" s="36" t="str">
        <f t="shared" si="6"/>
        <v/>
      </c>
      <c r="C62" s="24"/>
      <c r="D62" s="24"/>
      <c r="E62" s="24"/>
      <c r="F62" s="24"/>
      <c r="G62" s="138"/>
      <c r="H62" s="152">
        <v>57</v>
      </c>
      <c r="I62" s="153" t="str">
        <f t="shared" si="4"/>
        <v/>
      </c>
      <c r="J62" s="152">
        <f t="shared" si="5"/>
        <v>-2</v>
      </c>
      <c r="K62" s="152">
        <f t="shared" si="1"/>
        <v>-20</v>
      </c>
      <c r="L62" s="152"/>
      <c r="M62" s="154">
        <f t="shared" si="2"/>
        <v>0</v>
      </c>
    </row>
    <row r="63" spans="1:13" x14ac:dyDescent="0.25">
      <c r="A63" s="41"/>
      <c r="B63" s="35" t="str">
        <f t="shared" si="6"/>
        <v/>
      </c>
      <c r="C63" s="25"/>
      <c r="D63" s="25"/>
      <c r="E63" s="25"/>
      <c r="F63" s="25"/>
      <c r="G63" s="138"/>
      <c r="H63" s="155">
        <v>58</v>
      </c>
      <c r="I63" s="156" t="str">
        <f t="shared" si="4"/>
        <v/>
      </c>
      <c r="J63" s="155">
        <f t="shared" si="5"/>
        <v>-2</v>
      </c>
      <c r="K63" s="155">
        <f t="shared" si="1"/>
        <v>-20</v>
      </c>
      <c r="L63" s="155"/>
      <c r="M63" s="157">
        <f t="shared" si="2"/>
        <v>0</v>
      </c>
    </row>
    <row r="64" spans="1:13" x14ac:dyDescent="0.25">
      <c r="A64" s="42"/>
      <c r="B64" s="36" t="str">
        <f t="shared" si="6"/>
        <v/>
      </c>
      <c r="C64" s="24"/>
      <c r="D64" s="24"/>
      <c r="E64" s="24"/>
      <c r="F64" s="24"/>
      <c r="G64" s="138"/>
      <c r="H64" s="152">
        <v>59</v>
      </c>
      <c r="I64" s="153" t="str">
        <f t="shared" si="4"/>
        <v/>
      </c>
      <c r="J64" s="152">
        <f t="shared" si="5"/>
        <v>-2</v>
      </c>
      <c r="K64" s="152">
        <f t="shared" si="1"/>
        <v>-20</v>
      </c>
      <c r="L64" s="152"/>
      <c r="M64" s="154">
        <f t="shared" si="2"/>
        <v>0</v>
      </c>
    </row>
    <row r="65" spans="1:13" x14ac:dyDescent="0.25">
      <c r="A65" s="41"/>
      <c r="B65" s="35" t="str">
        <f t="shared" si="6"/>
        <v/>
      </c>
      <c r="C65" s="25"/>
      <c r="D65" s="25"/>
      <c r="E65" s="25"/>
      <c r="F65" s="25"/>
      <c r="G65" s="138"/>
      <c r="H65" s="155">
        <v>60</v>
      </c>
      <c r="I65" s="156" t="str">
        <f t="shared" si="4"/>
        <v/>
      </c>
      <c r="J65" s="155">
        <f t="shared" si="5"/>
        <v>-2</v>
      </c>
      <c r="K65" s="155">
        <f t="shared" si="1"/>
        <v>-20</v>
      </c>
      <c r="L65" s="155"/>
      <c r="M65" s="157">
        <f t="shared" si="2"/>
        <v>0</v>
      </c>
    </row>
    <row r="66" spans="1:13" x14ac:dyDescent="0.25">
      <c r="A66" s="168"/>
      <c r="B66" s="36"/>
      <c r="G66" s="138"/>
      <c r="H66" s="152">
        <v>61</v>
      </c>
      <c r="I66" s="153" t="str">
        <f t="shared" si="4"/>
        <v/>
      </c>
      <c r="J66" s="152">
        <f t="shared" si="5"/>
        <v>-2</v>
      </c>
      <c r="K66" s="152">
        <f t="shared" si="1"/>
        <v>-20</v>
      </c>
      <c r="L66" s="152"/>
      <c r="M66" s="154">
        <f t="shared" si="2"/>
        <v>0</v>
      </c>
    </row>
    <row r="67" spans="1:13" x14ac:dyDescent="0.25">
      <c r="A67" s="168"/>
      <c r="B67" s="35"/>
      <c r="G67" s="138"/>
      <c r="H67" s="152">
        <v>62</v>
      </c>
      <c r="I67" s="153" t="str">
        <f t="shared" si="4"/>
        <v/>
      </c>
      <c r="J67" s="152">
        <f t="shared" si="5"/>
        <v>-2</v>
      </c>
      <c r="K67" s="152">
        <f t="shared" si="1"/>
        <v>-20</v>
      </c>
      <c r="L67" s="152"/>
      <c r="M67" s="154">
        <f t="shared" si="2"/>
        <v>0</v>
      </c>
    </row>
    <row r="68" spans="1:13" x14ac:dyDescent="0.25">
      <c r="A68" s="168"/>
      <c r="B68" s="36"/>
      <c r="G68" s="138"/>
      <c r="H68" s="152">
        <v>63</v>
      </c>
      <c r="I68" s="153" t="str">
        <f t="shared" si="4"/>
        <v/>
      </c>
      <c r="J68" s="152">
        <f t="shared" si="5"/>
        <v>-2</v>
      </c>
      <c r="K68" s="152">
        <f t="shared" si="1"/>
        <v>-20</v>
      </c>
      <c r="L68" s="152"/>
      <c r="M68" s="154">
        <f t="shared" si="2"/>
        <v>0</v>
      </c>
    </row>
    <row r="69" spans="1:13" x14ac:dyDescent="0.25">
      <c r="A69" s="168"/>
      <c r="B69" s="35"/>
      <c r="G69" s="138"/>
      <c r="H69" s="152">
        <v>64</v>
      </c>
      <c r="I69" s="153" t="str">
        <f t="shared" si="4"/>
        <v/>
      </c>
      <c r="J69" s="152">
        <f t="shared" si="5"/>
        <v>-2</v>
      </c>
      <c r="K69" s="152">
        <f t="shared" si="1"/>
        <v>-20</v>
      </c>
      <c r="L69" s="152"/>
      <c r="M69" s="154">
        <f t="shared" si="2"/>
        <v>0</v>
      </c>
    </row>
    <row r="70" spans="1:13" x14ac:dyDescent="0.25">
      <c r="A70" s="168"/>
      <c r="G70" s="138"/>
      <c r="H70" s="152">
        <v>65</v>
      </c>
      <c r="I70" s="153" t="str">
        <f t="shared" si="4"/>
        <v/>
      </c>
      <c r="J70" s="152">
        <f t="shared" si="5"/>
        <v>-3</v>
      </c>
      <c r="K70" s="152">
        <f t="shared" ref="K70:K133" si="7">J70*$J$2</f>
        <v>-30</v>
      </c>
      <c r="L70" s="152"/>
      <c r="M70" s="154">
        <f t="shared" ref="M70:M133" si="8">IF(I70&lt;&gt;"",K70+I70+L70,0)</f>
        <v>0</v>
      </c>
    </row>
    <row r="71" spans="1:13" x14ac:dyDescent="0.25">
      <c r="A71" s="168"/>
      <c r="G71" s="138"/>
      <c r="H71" s="152">
        <v>66</v>
      </c>
      <c r="I71" s="153" t="str">
        <f t="shared" ref="I71:I134" si="9">IF(H71&lt;$H$2+1,($I$2-($I$2-1)*(LOG(H71)/LOG($H$2))),"")</f>
        <v/>
      </c>
      <c r="J71" s="152">
        <f t="shared" ref="J71:J134" si="10">INT(LOG($H$2,2))-ROUNDUP(LOG(H71,2),0)+IF(OR($H$2=1,$H$2=2,$H$2=4,$H$2=8,$H$2=16,$H$2=32,$H$2=64,$H$2=128,$H$2=256),0,1)</f>
        <v>-3</v>
      </c>
      <c r="K71" s="152">
        <f t="shared" si="7"/>
        <v>-30</v>
      </c>
      <c r="L71" s="152"/>
      <c r="M71" s="154">
        <f t="shared" si="8"/>
        <v>0</v>
      </c>
    </row>
    <row r="72" spans="1:13" x14ac:dyDescent="0.25">
      <c r="A72" s="168"/>
      <c r="G72" s="138"/>
      <c r="H72" s="152">
        <v>67</v>
      </c>
      <c r="I72" s="153" t="str">
        <f t="shared" si="9"/>
        <v/>
      </c>
      <c r="J72" s="152">
        <f t="shared" si="10"/>
        <v>-3</v>
      </c>
      <c r="K72" s="152">
        <f t="shared" si="7"/>
        <v>-30</v>
      </c>
      <c r="L72" s="152"/>
      <c r="M72" s="154">
        <f t="shared" si="8"/>
        <v>0</v>
      </c>
    </row>
    <row r="73" spans="1:13" x14ac:dyDescent="0.25">
      <c r="A73" s="168"/>
      <c r="G73" s="138"/>
      <c r="H73" s="152">
        <v>68</v>
      </c>
      <c r="I73" s="153" t="str">
        <f t="shared" si="9"/>
        <v/>
      </c>
      <c r="J73" s="152">
        <f t="shared" si="10"/>
        <v>-3</v>
      </c>
      <c r="K73" s="152">
        <f t="shared" si="7"/>
        <v>-30</v>
      </c>
      <c r="L73" s="152"/>
      <c r="M73" s="154">
        <f t="shared" si="8"/>
        <v>0</v>
      </c>
    </row>
    <row r="74" spans="1:13" x14ac:dyDescent="0.25">
      <c r="A74" s="168"/>
      <c r="G74" s="138"/>
      <c r="H74" s="152">
        <v>69</v>
      </c>
      <c r="I74" s="153" t="str">
        <f t="shared" si="9"/>
        <v/>
      </c>
      <c r="J74" s="152">
        <f t="shared" si="10"/>
        <v>-3</v>
      </c>
      <c r="K74" s="152">
        <f t="shared" si="7"/>
        <v>-30</v>
      </c>
      <c r="L74" s="152"/>
      <c r="M74" s="154">
        <f t="shared" si="8"/>
        <v>0</v>
      </c>
    </row>
    <row r="75" spans="1:13" x14ac:dyDescent="0.25">
      <c r="A75" s="168"/>
      <c r="G75" s="138"/>
      <c r="H75" s="152">
        <v>70</v>
      </c>
      <c r="I75" s="153" t="str">
        <f t="shared" si="9"/>
        <v/>
      </c>
      <c r="J75" s="152">
        <f t="shared" si="10"/>
        <v>-3</v>
      </c>
      <c r="K75" s="152">
        <f t="shared" si="7"/>
        <v>-30</v>
      </c>
      <c r="L75" s="152"/>
      <c r="M75" s="154">
        <f t="shared" si="8"/>
        <v>0</v>
      </c>
    </row>
    <row r="76" spans="1:13" x14ac:dyDescent="0.25">
      <c r="A76" s="168"/>
      <c r="G76" s="138"/>
      <c r="H76" s="152">
        <v>71</v>
      </c>
      <c r="I76" s="153" t="str">
        <f t="shared" si="9"/>
        <v/>
      </c>
      <c r="J76" s="152">
        <f t="shared" si="10"/>
        <v>-3</v>
      </c>
      <c r="K76" s="152">
        <f t="shared" si="7"/>
        <v>-30</v>
      </c>
      <c r="L76" s="152"/>
      <c r="M76" s="154">
        <f t="shared" si="8"/>
        <v>0</v>
      </c>
    </row>
    <row r="77" spans="1:13" x14ac:dyDescent="0.25">
      <c r="A77" s="168"/>
      <c r="G77" s="138"/>
      <c r="H77" s="152">
        <v>72</v>
      </c>
      <c r="I77" s="153" t="str">
        <f t="shared" si="9"/>
        <v/>
      </c>
      <c r="J77" s="152">
        <f t="shared" si="10"/>
        <v>-3</v>
      </c>
      <c r="K77" s="152">
        <f t="shared" si="7"/>
        <v>-30</v>
      </c>
      <c r="L77" s="152"/>
      <c r="M77" s="154">
        <f t="shared" si="8"/>
        <v>0</v>
      </c>
    </row>
    <row r="78" spans="1:13" x14ac:dyDescent="0.25">
      <c r="A78" s="168"/>
      <c r="G78" s="138"/>
      <c r="H78" s="152">
        <v>73</v>
      </c>
      <c r="I78" s="153" t="str">
        <f t="shared" si="9"/>
        <v/>
      </c>
      <c r="J78" s="152">
        <f t="shared" si="10"/>
        <v>-3</v>
      </c>
      <c r="K78" s="152">
        <f t="shared" si="7"/>
        <v>-30</v>
      </c>
      <c r="L78" s="152"/>
      <c r="M78" s="154">
        <f t="shared" si="8"/>
        <v>0</v>
      </c>
    </row>
    <row r="79" spans="1:13" x14ac:dyDescent="0.25">
      <c r="A79" s="168"/>
      <c r="G79" s="138"/>
      <c r="H79" s="152">
        <v>74</v>
      </c>
      <c r="I79" s="153" t="str">
        <f t="shared" si="9"/>
        <v/>
      </c>
      <c r="J79" s="152">
        <f t="shared" si="10"/>
        <v>-3</v>
      </c>
      <c r="K79" s="152">
        <f t="shared" si="7"/>
        <v>-30</v>
      </c>
      <c r="L79" s="152"/>
      <c r="M79" s="154">
        <f t="shared" si="8"/>
        <v>0</v>
      </c>
    </row>
    <row r="80" spans="1:13" x14ac:dyDescent="0.25">
      <c r="A80" s="168"/>
      <c r="G80" s="138"/>
      <c r="H80" s="152">
        <v>75</v>
      </c>
      <c r="I80" s="153" t="str">
        <f t="shared" si="9"/>
        <v/>
      </c>
      <c r="J80" s="152">
        <f t="shared" si="10"/>
        <v>-3</v>
      </c>
      <c r="K80" s="152">
        <f t="shared" si="7"/>
        <v>-30</v>
      </c>
      <c r="L80" s="152"/>
      <c r="M80" s="154">
        <f t="shared" si="8"/>
        <v>0</v>
      </c>
    </row>
    <row r="81" spans="1:13" x14ac:dyDescent="0.25">
      <c r="A81" s="168"/>
      <c r="G81" s="138"/>
      <c r="H81" s="152">
        <v>76</v>
      </c>
      <c r="I81" s="153" t="str">
        <f t="shared" si="9"/>
        <v/>
      </c>
      <c r="J81" s="152">
        <f t="shared" si="10"/>
        <v>-3</v>
      </c>
      <c r="K81" s="152">
        <f t="shared" si="7"/>
        <v>-30</v>
      </c>
      <c r="L81" s="152"/>
      <c r="M81" s="154">
        <f t="shared" si="8"/>
        <v>0</v>
      </c>
    </row>
    <row r="82" spans="1:13" x14ac:dyDescent="0.25">
      <c r="A82" s="168"/>
      <c r="G82" s="138"/>
      <c r="H82" s="152">
        <v>77</v>
      </c>
      <c r="I82" s="153" t="str">
        <f t="shared" si="9"/>
        <v/>
      </c>
      <c r="J82" s="152">
        <f t="shared" si="10"/>
        <v>-3</v>
      </c>
      <c r="K82" s="152">
        <f t="shared" si="7"/>
        <v>-30</v>
      </c>
      <c r="L82" s="152"/>
      <c r="M82" s="154">
        <f t="shared" si="8"/>
        <v>0</v>
      </c>
    </row>
    <row r="83" spans="1:13" x14ac:dyDescent="0.25">
      <c r="A83" s="168"/>
      <c r="G83" s="138"/>
      <c r="H83" s="152">
        <v>78</v>
      </c>
      <c r="I83" s="153" t="str">
        <f t="shared" si="9"/>
        <v/>
      </c>
      <c r="J83" s="152">
        <f t="shared" si="10"/>
        <v>-3</v>
      </c>
      <c r="K83" s="152">
        <f t="shared" si="7"/>
        <v>-30</v>
      </c>
      <c r="L83" s="152"/>
      <c r="M83" s="154">
        <f t="shared" si="8"/>
        <v>0</v>
      </c>
    </row>
    <row r="84" spans="1:13" x14ac:dyDescent="0.25">
      <c r="A84" s="168"/>
      <c r="G84" s="138"/>
      <c r="H84" s="152">
        <v>79</v>
      </c>
      <c r="I84" s="153" t="str">
        <f t="shared" si="9"/>
        <v/>
      </c>
      <c r="J84" s="152">
        <f t="shared" si="10"/>
        <v>-3</v>
      </c>
      <c r="K84" s="152">
        <f t="shared" si="7"/>
        <v>-30</v>
      </c>
      <c r="L84" s="152"/>
      <c r="M84" s="154">
        <f t="shared" si="8"/>
        <v>0</v>
      </c>
    </row>
    <row r="85" spans="1:13" x14ac:dyDescent="0.25">
      <c r="A85" s="168"/>
      <c r="G85" s="138"/>
      <c r="H85" s="152">
        <v>80</v>
      </c>
      <c r="I85" s="153" t="str">
        <f t="shared" si="9"/>
        <v/>
      </c>
      <c r="J85" s="152">
        <f t="shared" si="10"/>
        <v>-3</v>
      </c>
      <c r="K85" s="152">
        <f t="shared" si="7"/>
        <v>-30</v>
      </c>
      <c r="L85" s="152"/>
      <c r="M85" s="154">
        <f t="shared" si="8"/>
        <v>0</v>
      </c>
    </row>
    <row r="86" spans="1:13" x14ac:dyDescent="0.25">
      <c r="A86" s="168"/>
      <c r="G86" s="138"/>
      <c r="H86" s="152">
        <v>81</v>
      </c>
      <c r="I86" s="153" t="str">
        <f t="shared" si="9"/>
        <v/>
      </c>
      <c r="J86" s="152">
        <f t="shared" si="10"/>
        <v>-3</v>
      </c>
      <c r="K86" s="152">
        <f t="shared" si="7"/>
        <v>-30</v>
      </c>
      <c r="L86" s="152"/>
      <c r="M86" s="154">
        <f t="shared" si="8"/>
        <v>0</v>
      </c>
    </row>
    <row r="87" spans="1:13" x14ac:dyDescent="0.25">
      <c r="A87" s="168"/>
      <c r="G87" s="138"/>
      <c r="H87" s="152">
        <v>82</v>
      </c>
      <c r="I87" s="153" t="str">
        <f t="shared" si="9"/>
        <v/>
      </c>
      <c r="J87" s="152">
        <f t="shared" si="10"/>
        <v>-3</v>
      </c>
      <c r="K87" s="152">
        <f t="shared" si="7"/>
        <v>-30</v>
      </c>
      <c r="L87" s="152"/>
      <c r="M87" s="154">
        <f t="shared" si="8"/>
        <v>0</v>
      </c>
    </row>
    <row r="88" spans="1:13" x14ac:dyDescent="0.25">
      <c r="A88" s="168"/>
      <c r="G88" s="138"/>
      <c r="H88" s="152">
        <v>83</v>
      </c>
      <c r="I88" s="153" t="str">
        <f t="shared" si="9"/>
        <v/>
      </c>
      <c r="J88" s="152">
        <f t="shared" si="10"/>
        <v>-3</v>
      </c>
      <c r="K88" s="152">
        <f t="shared" si="7"/>
        <v>-30</v>
      </c>
      <c r="L88" s="152"/>
      <c r="M88" s="154">
        <f t="shared" si="8"/>
        <v>0</v>
      </c>
    </row>
    <row r="89" spans="1:13" x14ac:dyDescent="0.25">
      <c r="A89" s="168"/>
      <c r="G89" s="138"/>
      <c r="H89" s="152">
        <v>84</v>
      </c>
      <c r="I89" s="153" t="str">
        <f t="shared" si="9"/>
        <v/>
      </c>
      <c r="J89" s="152">
        <f t="shared" si="10"/>
        <v>-3</v>
      </c>
      <c r="K89" s="152">
        <f t="shared" si="7"/>
        <v>-30</v>
      </c>
      <c r="L89" s="152"/>
      <c r="M89" s="154">
        <f t="shared" si="8"/>
        <v>0</v>
      </c>
    </row>
    <row r="90" spans="1:13" x14ac:dyDescent="0.25">
      <c r="A90" s="168"/>
      <c r="G90" s="138"/>
      <c r="H90" s="152">
        <v>85</v>
      </c>
      <c r="I90" s="153" t="str">
        <f t="shared" si="9"/>
        <v/>
      </c>
      <c r="J90" s="152">
        <f t="shared" si="10"/>
        <v>-3</v>
      </c>
      <c r="K90" s="152">
        <f t="shared" si="7"/>
        <v>-30</v>
      </c>
      <c r="L90" s="152"/>
      <c r="M90" s="154">
        <f t="shared" si="8"/>
        <v>0</v>
      </c>
    </row>
    <row r="91" spans="1:13" x14ac:dyDescent="0.25">
      <c r="A91" s="168"/>
      <c r="G91" s="138"/>
      <c r="H91" s="152">
        <v>86</v>
      </c>
      <c r="I91" s="153" t="str">
        <f t="shared" si="9"/>
        <v/>
      </c>
      <c r="J91" s="152">
        <f t="shared" si="10"/>
        <v>-3</v>
      </c>
      <c r="K91" s="152">
        <f t="shared" si="7"/>
        <v>-30</v>
      </c>
      <c r="L91" s="152"/>
      <c r="M91" s="154">
        <f t="shared" si="8"/>
        <v>0</v>
      </c>
    </row>
    <row r="92" spans="1:13" x14ac:dyDescent="0.25">
      <c r="A92" s="168"/>
      <c r="G92" s="138"/>
      <c r="H92" s="152">
        <v>87</v>
      </c>
      <c r="I92" s="153" t="str">
        <f t="shared" si="9"/>
        <v/>
      </c>
      <c r="J92" s="152">
        <f t="shared" si="10"/>
        <v>-3</v>
      </c>
      <c r="K92" s="152">
        <f t="shared" si="7"/>
        <v>-30</v>
      </c>
      <c r="L92" s="152"/>
      <c r="M92" s="154">
        <f t="shared" si="8"/>
        <v>0</v>
      </c>
    </row>
    <row r="93" spans="1:13" x14ac:dyDescent="0.25">
      <c r="A93" s="168"/>
      <c r="G93" s="138"/>
      <c r="H93" s="152">
        <v>88</v>
      </c>
      <c r="I93" s="153" t="str">
        <f t="shared" si="9"/>
        <v/>
      </c>
      <c r="J93" s="152">
        <f t="shared" si="10"/>
        <v>-3</v>
      </c>
      <c r="K93" s="152">
        <f t="shared" si="7"/>
        <v>-30</v>
      </c>
      <c r="L93" s="152"/>
      <c r="M93" s="154">
        <f t="shared" si="8"/>
        <v>0</v>
      </c>
    </row>
    <row r="94" spans="1:13" x14ac:dyDescent="0.25">
      <c r="A94" s="168"/>
      <c r="G94" s="138"/>
      <c r="H94" s="152">
        <v>89</v>
      </c>
      <c r="I94" s="153" t="str">
        <f t="shared" si="9"/>
        <v/>
      </c>
      <c r="J94" s="152">
        <f t="shared" si="10"/>
        <v>-3</v>
      </c>
      <c r="K94" s="152">
        <f t="shared" si="7"/>
        <v>-30</v>
      </c>
      <c r="L94" s="152"/>
      <c r="M94" s="154">
        <f t="shared" si="8"/>
        <v>0</v>
      </c>
    </row>
    <row r="95" spans="1:13" x14ac:dyDescent="0.25">
      <c r="A95" s="168"/>
      <c r="G95" s="138"/>
      <c r="H95" s="152">
        <v>90</v>
      </c>
      <c r="I95" s="153" t="str">
        <f t="shared" si="9"/>
        <v/>
      </c>
      <c r="J95" s="152">
        <f t="shared" si="10"/>
        <v>-3</v>
      </c>
      <c r="K95" s="152">
        <f t="shared" si="7"/>
        <v>-30</v>
      </c>
      <c r="L95" s="152"/>
      <c r="M95" s="154">
        <f t="shared" si="8"/>
        <v>0</v>
      </c>
    </row>
    <row r="96" spans="1:13" x14ac:dyDescent="0.25">
      <c r="A96" s="168"/>
      <c r="G96" s="138"/>
      <c r="H96" s="152">
        <v>91</v>
      </c>
      <c r="I96" s="153" t="str">
        <f t="shared" si="9"/>
        <v/>
      </c>
      <c r="J96" s="152">
        <f t="shared" si="10"/>
        <v>-3</v>
      </c>
      <c r="K96" s="152">
        <f t="shared" si="7"/>
        <v>-30</v>
      </c>
      <c r="L96" s="152"/>
      <c r="M96" s="154">
        <f t="shared" si="8"/>
        <v>0</v>
      </c>
    </row>
    <row r="97" spans="1:13" x14ac:dyDescent="0.25">
      <c r="A97" s="168"/>
      <c r="G97" s="138"/>
      <c r="H97" s="152">
        <v>92</v>
      </c>
      <c r="I97" s="153" t="str">
        <f t="shared" si="9"/>
        <v/>
      </c>
      <c r="J97" s="152">
        <f t="shared" si="10"/>
        <v>-3</v>
      </c>
      <c r="K97" s="152">
        <f t="shared" si="7"/>
        <v>-30</v>
      </c>
      <c r="L97" s="152"/>
      <c r="M97" s="154">
        <f t="shared" si="8"/>
        <v>0</v>
      </c>
    </row>
    <row r="98" spans="1:13" x14ac:dyDescent="0.25">
      <c r="A98" s="168"/>
      <c r="G98" s="138"/>
      <c r="H98" s="152">
        <v>93</v>
      </c>
      <c r="I98" s="153" t="str">
        <f t="shared" si="9"/>
        <v/>
      </c>
      <c r="J98" s="152">
        <f t="shared" si="10"/>
        <v>-3</v>
      </c>
      <c r="K98" s="152">
        <f t="shared" si="7"/>
        <v>-30</v>
      </c>
      <c r="L98" s="152"/>
      <c r="M98" s="154">
        <f t="shared" si="8"/>
        <v>0</v>
      </c>
    </row>
    <row r="99" spans="1:13" x14ac:dyDescent="0.25">
      <c r="A99" s="168"/>
      <c r="G99" s="138"/>
      <c r="H99" s="152">
        <v>94</v>
      </c>
      <c r="I99" s="153" t="str">
        <f t="shared" si="9"/>
        <v/>
      </c>
      <c r="J99" s="152">
        <f t="shared" si="10"/>
        <v>-3</v>
      </c>
      <c r="K99" s="152">
        <f t="shared" si="7"/>
        <v>-30</v>
      </c>
      <c r="L99" s="152"/>
      <c r="M99" s="154">
        <f t="shared" si="8"/>
        <v>0</v>
      </c>
    </row>
    <row r="100" spans="1:13" x14ac:dyDescent="0.25">
      <c r="A100" s="168"/>
      <c r="G100" s="138"/>
      <c r="H100" s="152">
        <v>95</v>
      </c>
      <c r="I100" s="153" t="str">
        <f t="shared" si="9"/>
        <v/>
      </c>
      <c r="J100" s="152">
        <f t="shared" si="10"/>
        <v>-3</v>
      </c>
      <c r="K100" s="152">
        <f t="shared" si="7"/>
        <v>-30</v>
      </c>
      <c r="L100" s="152"/>
      <c r="M100" s="154">
        <f t="shared" si="8"/>
        <v>0</v>
      </c>
    </row>
    <row r="101" spans="1:13" x14ac:dyDescent="0.25">
      <c r="A101" s="168"/>
      <c r="G101" s="138"/>
      <c r="H101" s="152">
        <v>96</v>
      </c>
      <c r="I101" s="153" t="str">
        <f t="shared" si="9"/>
        <v/>
      </c>
      <c r="J101" s="152">
        <f t="shared" si="10"/>
        <v>-3</v>
      </c>
      <c r="K101" s="152">
        <f t="shared" si="7"/>
        <v>-30</v>
      </c>
      <c r="L101" s="152"/>
      <c r="M101" s="154">
        <f t="shared" si="8"/>
        <v>0</v>
      </c>
    </row>
    <row r="102" spans="1:13" x14ac:dyDescent="0.25">
      <c r="A102" s="168"/>
      <c r="G102" s="138"/>
      <c r="H102" s="152">
        <v>97</v>
      </c>
      <c r="I102" s="153" t="str">
        <f t="shared" si="9"/>
        <v/>
      </c>
      <c r="J102" s="152">
        <f t="shared" si="10"/>
        <v>-3</v>
      </c>
      <c r="K102" s="152">
        <f t="shared" si="7"/>
        <v>-30</v>
      </c>
      <c r="L102" s="152"/>
      <c r="M102" s="154">
        <f t="shared" si="8"/>
        <v>0</v>
      </c>
    </row>
    <row r="103" spans="1:13" x14ac:dyDescent="0.25">
      <c r="A103" s="168"/>
      <c r="G103" s="138"/>
      <c r="H103" s="152">
        <v>98</v>
      </c>
      <c r="I103" s="153" t="str">
        <f t="shared" si="9"/>
        <v/>
      </c>
      <c r="J103" s="152">
        <f t="shared" si="10"/>
        <v>-3</v>
      </c>
      <c r="K103" s="152">
        <f t="shared" si="7"/>
        <v>-30</v>
      </c>
      <c r="L103" s="152"/>
      <c r="M103" s="154">
        <f t="shared" si="8"/>
        <v>0</v>
      </c>
    </row>
    <row r="104" spans="1:13" x14ac:dyDescent="0.25">
      <c r="A104" s="168"/>
      <c r="G104" s="138"/>
      <c r="H104" s="152">
        <v>99</v>
      </c>
      <c r="I104" s="153" t="str">
        <f t="shared" si="9"/>
        <v/>
      </c>
      <c r="J104" s="152">
        <f t="shared" si="10"/>
        <v>-3</v>
      </c>
      <c r="K104" s="152">
        <f t="shared" si="7"/>
        <v>-30</v>
      </c>
      <c r="L104" s="152"/>
      <c r="M104" s="154">
        <f t="shared" si="8"/>
        <v>0</v>
      </c>
    </row>
    <row r="105" spans="1:13" x14ac:dyDescent="0.25">
      <c r="A105" s="168"/>
      <c r="G105" s="138"/>
      <c r="H105" s="152">
        <v>100</v>
      </c>
      <c r="I105" s="153" t="str">
        <f t="shared" si="9"/>
        <v/>
      </c>
      <c r="J105" s="152">
        <f t="shared" si="10"/>
        <v>-3</v>
      </c>
      <c r="K105" s="152">
        <f t="shared" si="7"/>
        <v>-30</v>
      </c>
      <c r="L105" s="152"/>
      <c r="M105" s="154">
        <f t="shared" si="8"/>
        <v>0</v>
      </c>
    </row>
    <row r="106" spans="1:13" x14ac:dyDescent="0.25">
      <c r="A106" s="168"/>
      <c r="G106" s="138"/>
      <c r="H106" s="152">
        <v>101</v>
      </c>
      <c r="I106" s="153" t="str">
        <f t="shared" si="9"/>
        <v/>
      </c>
      <c r="J106" s="152">
        <f t="shared" si="10"/>
        <v>-3</v>
      </c>
      <c r="K106" s="152">
        <f t="shared" si="7"/>
        <v>-30</v>
      </c>
      <c r="L106" s="152"/>
      <c r="M106" s="154">
        <f t="shared" si="8"/>
        <v>0</v>
      </c>
    </row>
    <row r="107" spans="1:13" x14ac:dyDescent="0.25">
      <c r="A107" s="168"/>
      <c r="G107" s="138"/>
      <c r="H107" s="152">
        <v>102</v>
      </c>
      <c r="I107" s="153" t="str">
        <f t="shared" si="9"/>
        <v/>
      </c>
      <c r="J107" s="152">
        <f t="shared" si="10"/>
        <v>-3</v>
      </c>
      <c r="K107" s="152">
        <f t="shared" si="7"/>
        <v>-30</v>
      </c>
      <c r="L107" s="152"/>
      <c r="M107" s="154">
        <f t="shared" si="8"/>
        <v>0</v>
      </c>
    </row>
    <row r="108" spans="1:13" x14ac:dyDescent="0.25">
      <c r="A108" s="168"/>
      <c r="G108" s="138"/>
      <c r="H108" s="152">
        <v>103</v>
      </c>
      <c r="I108" s="153" t="str">
        <f t="shared" si="9"/>
        <v/>
      </c>
      <c r="J108" s="152">
        <f t="shared" si="10"/>
        <v>-3</v>
      </c>
      <c r="K108" s="152">
        <f t="shared" si="7"/>
        <v>-30</v>
      </c>
      <c r="L108" s="152"/>
      <c r="M108" s="154">
        <f t="shared" si="8"/>
        <v>0</v>
      </c>
    </row>
    <row r="109" spans="1:13" x14ac:dyDescent="0.25">
      <c r="A109" s="168"/>
      <c r="G109" s="138"/>
      <c r="H109" s="152">
        <v>104</v>
      </c>
      <c r="I109" s="153" t="str">
        <f t="shared" si="9"/>
        <v/>
      </c>
      <c r="J109" s="152">
        <f t="shared" si="10"/>
        <v>-3</v>
      </c>
      <c r="K109" s="152">
        <f t="shared" si="7"/>
        <v>-30</v>
      </c>
      <c r="L109" s="152"/>
      <c r="M109" s="154">
        <f t="shared" si="8"/>
        <v>0</v>
      </c>
    </row>
    <row r="110" spans="1:13" x14ac:dyDescent="0.25">
      <c r="A110" s="168"/>
      <c r="G110" s="138"/>
      <c r="H110" s="152">
        <v>105</v>
      </c>
      <c r="I110" s="153" t="str">
        <f t="shared" si="9"/>
        <v/>
      </c>
      <c r="J110" s="152">
        <f t="shared" si="10"/>
        <v>-3</v>
      </c>
      <c r="K110" s="152">
        <f t="shared" si="7"/>
        <v>-30</v>
      </c>
      <c r="L110" s="152"/>
      <c r="M110" s="154">
        <f t="shared" si="8"/>
        <v>0</v>
      </c>
    </row>
    <row r="111" spans="1:13" x14ac:dyDescent="0.25">
      <c r="A111" s="168"/>
      <c r="G111" s="138"/>
      <c r="H111" s="152">
        <v>106</v>
      </c>
      <c r="I111" s="153" t="str">
        <f t="shared" si="9"/>
        <v/>
      </c>
      <c r="J111" s="152">
        <f t="shared" si="10"/>
        <v>-3</v>
      </c>
      <c r="K111" s="152">
        <f t="shared" si="7"/>
        <v>-30</v>
      </c>
      <c r="L111" s="152"/>
      <c r="M111" s="154">
        <f t="shared" si="8"/>
        <v>0</v>
      </c>
    </row>
    <row r="112" spans="1:13" x14ac:dyDescent="0.25">
      <c r="A112" s="168"/>
      <c r="G112" s="138"/>
      <c r="H112" s="152">
        <v>107</v>
      </c>
      <c r="I112" s="153" t="str">
        <f t="shared" si="9"/>
        <v/>
      </c>
      <c r="J112" s="152">
        <f t="shared" si="10"/>
        <v>-3</v>
      </c>
      <c r="K112" s="152">
        <f t="shared" si="7"/>
        <v>-30</v>
      </c>
      <c r="L112" s="152"/>
      <c r="M112" s="154">
        <f t="shared" si="8"/>
        <v>0</v>
      </c>
    </row>
    <row r="113" spans="1:13" x14ac:dyDescent="0.25">
      <c r="A113" s="168"/>
      <c r="G113" s="138"/>
      <c r="H113" s="152">
        <v>108</v>
      </c>
      <c r="I113" s="153" t="str">
        <f t="shared" si="9"/>
        <v/>
      </c>
      <c r="J113" s="152">
        <f t="shared" si="10"/>
        <v>-3</v>
      </c>
      <c r="K113" s="152">
        <f t="shared" si="7"/>
        <v>-30</v>
      </c>
      <c r="L113" s="152"/>
      <c r="M113" s="154">
        <f t="shared" si="8"/>
        <v>0</v>
      </c>
    </row>
    <row r="114" spans="1:13" x14ac:dyDescent="0.25">
      <c r="A114" s="168"/>
      <c r="G114" s="138"/>
      <c r="H114" s="152">
        <v>109</v>
      </c>
      <c r="I114" s="153" t="str">
        <f t="shared" si="9"/>
        <v/>
      </c>
      <c r="J114" s="152">
        <f t="shared" si="10"/>
        <v>-3</v>
      </c>
      <c r="K114" s="152">
        <f t="shared" si="7"/>
        <v>-30</v>
      </c>
      <c r="L114" s="152"/>
      <c r="M114" s="154">
        <f t="shared" si="8"/>
        <v>0</v>
      </c>
    </row>
    <row r="115" spans="1:13" x14ac:dyDescent="0.25">
      <c r="A115" s="168"/>
      <c r="G115" s="138"/>
      <c r="H115" s="152">
        <v>110</v>
      </c>
      <c r="I115" s="153" t="str">
        <f t="shared" si="9"/>
        <v/>
      </c>
      <c r="J115" s="152">
        <f t="shared" si="10"/>
        <v>-3</v>
      </c>
      <c r="K115" s="152">
        <f t="shared" si="7"/>
        <v>-30</v>
      </c>
      <c r="L115" s="152"/>
      <c r="M115" s="154">
        <f t="shared" si="8"/>
        <v>0</v>
      </c>
    </row>
    <row r="116" spans="1:13" x14ac:dyDescent="0.25">
      <c r="A116" s="168"/>
      <c r="G116" s="138"/>
      <c r="H116" s="152">
        <v>111</v>
      </c>
      <c r="I116" s="153" t="str">
        <f t="shared" si="9"/>
        <v/>
      </c>
      <c r="J116" s="152">
        <f t="shared" si="10"/>
        <v>-3</v>
      </c>
      <c r="K116" s="152">
        <f t="shared" si="7"/>
        <v>-30</v>
      </c>
      <c r="L116" s="152"/>
      <c r="M116" s="154">
        <f t="shared" si="8"/>
        <v>0</v>
      </c>
    </row>
    <row r="117" spans="1:13" x14ac:dyDescent="0.25">
      <c r="A117" s="168"/>
      <c r="G117" s="138"/>
      <c r="H117" s="152">
        <v>112</v>
      </c>
      <c r="I117" s="153" t="str">
        <f t="shared" si="9"/>
        <v/>
      </c>
      <c r="J117" s="152">
        <f t="shared" si="10"/>
        <v>-3</v>
      </c>
      <c r="K117" s="152">
        <f t="shared" si="7"/>
        <v>-30</v>
      </c>
      <c r="L117" s="152"/>
      <c r="M117" s="154">
        <f t="shared" si="8"/>
        <v>0</v>
      </c>
    </row>
    <row r="118" spans="1:13" x14ac:dyDescent="0.25">
      <c r="A118" s="168"/>
      <c r="G118" s="138"/>
      <c r="H118" s="152">
        <v>113</v>
      </c>
      <c r="I118" s="153" t="str">
        <f t="shared" si="9"/>
        <v/>
      </c>
      <c r="J118" s="152">
        <f t="shared" si="10"/>
        <v>-3</v>
      </c>
      <c r="K118" s="152">
        <f t="shared" si="7"/>
        <v>-30</v>
      </c>
      <c r="L118" s="152"/>
      <c r="M118" s="154">
        <f t="shared" si="8"/>
        <v>0</v>
      </c>
    </row>
    <row r="119" spans="1:13" x14ac:dyDescent="0.25">
      <c r="A119" s="168"/>
      <c r="G119" s="138"/>
      <c r="H119" s="152">
        <v>114</v>
      </c>
      <c r="I119" s="153" t="str">
        <f t="shared" si="9"/>
        <v/>
      </c>
      <c r="J119" s="152">
        <f t="shared" si="10"/>
        <v>-3</v>
      </c>
      <c r="K119" s="152">
        <f t="shared" si="7"/>
        <v>-30</v>
      </c>
      <c r="L119" s="152"/>
      <c r="M119" s="154">
        <f t="shared" si="8"/>
        <v>0</v>
      </c>
    </row>
    <row r="120" spans="1:13" x14ac:dyDescent="0.25">
      <c r="A120" s="168"/>
      <c r="G120" s="138"/>
      <c r="H120" s="152">
        <v>115</v>
      </c>
      <c r="I120" s="153" t="str">
        <f t="shared" si="9"/>
        <v/>
      </c>
      <c r="J120" s="152">
        <f t="shared" si="10"/>
        <v>-3</v>
      </c>
      <c r="K120" s="152">
        <f t="shared" si="7"/>
        <v>-30</v>
      </c>
      <c r="L120" s="152"/>
      <c r="M120" s="154">
        <f t="shared" si="8"/>
        <v>0</v>
      </c>
    </row>
    <row r="121" spans="1:13" x14ac:dyDescent="0.25">
      <c r="A121" s="168"/>
      <c r="G121" s="138"/>
      <c r="H121" s="152">
        <v>116</v>
      </c>
      <c r="I121" s="153" t="str">
        <f t="shared" si="9"/>
        <v/>
      </c>
      <c r="J121" s="152">
        <f t="shared" si="10"/>
        <v>-3</v>
      </c>
      <c r="K121" s="152">
        <f t="shared" si="7"/>
        <v>-30</v>
      </c>
      <c r="L121" s="152"/>
      <c r="M121" s="154">
        <f t="shared" si="8"/>
        <v>0</v>
      </c>
    </row>
    <row r="122" spans="1:13" x14ac:dyDescent="0.25">
      <c r="A122" s="168"/>
      <c r="G122" s="138"/>
      <c r="H122" s="152">
        <v>117</v>
      </c>
      <c r="I122" s="153" t="str">
        <f t="shared" si="9"/>
        <v/>
      </c>
      <c r="J122" s="152">
        <f t="shared" si="10"/>
        <v>-3</v>
      </c>
      <c r="K122" s="152">
        <f t="shared" si="7"/>
        <v>-30</v>
      </c>
      <c r="L122" s="152"/>
      <c r="M122" s="154">
        <f t="shared" si="8"/>
        <v>0</v>
      </c>
    </row>
    <row r="123" spans="1:13" x14ac:dyDescent="0.25">
      <c r="A123" s="168"/>
      <c r="G123" s="138"/>
      <c r="H123" s="152">
        <v>118</v>
      </c>
      <c r="I123" s="153" t="str">
        <f t="shared" si="9"/>
        <v/>
      </c>
      <c r="J123" s="152">
        <f t="shared" si="10"/>
        <v>-3</v>
      </c>
      <c r="K123" s="152">
        <f t="shared" si="7"/>
        <v>-30</v>
      </c>
      <c r="L123" s="152"/>
      <c r="M123" s="154">
        <f t="shared" si="8"/>
        <v>0</v>
      </c>
    </row>
    <row r="124" spans="1:13" x14ac:dyDescent="0.25">
      <c r="A124" s="168"/>
      <c r="G124" s="138"/>
      <c r="H124" s="152">
        <v>119</v>
      </c>
      <c r="I124" s="153" t="str">
        <f t="shared" si="9"/>
        <v/>
      </c>
      <c r="J124" s="152">
        <f t="shared" si="10"/>
        <v>-3</v>
      </c>
      <c r="K124" s="152">
        <f t="shared" si="7"/>
        <v>-30</v>
      </c>
      <c r="L124" s="152"/>
      <c r="M124" s="154">
        <f t="shared" si="8"/>
        <v>0</v>
      </c>
    </row>
    <row r="125" spans="1:13" x14ac:dyDescent="0.25">
      <c r="A125" s="168"/>
      <c r="G125" s="138"/>
      <c r="H125" s="152">
        <v>120</v>
      </c>
      <c r="I125" s="153" t="str">
        <f t="shared" si="9"/>
        <v/>
      </c>
      <c r="J125" s="152">
        <f t="shared" si="10"/>
        <v>-3</v>
      </c>
      <c r="K125" s="152">
        <f t="shared" si="7"/>
        <v>-30</v>
      </c>
      <c r="L125" s="152"/>
      <c r="M125" s="154">
        <f t="shared" si="8"/>
        <v>0</v>
      </c>
    </row>
    <row r="126" spans="1:13" x14ac:dyDescent="0.25">
      <c r="A126" s="168"/>
      <c r="G126" s="138"/>
      <c r="H126" s="152">
        <v>121</v>
      </c>
      <c r="I126" s="153" t="str">
        <f t="shared" si="9"/>
        <v/>
      </c>
      <c r="J126" s="152">
        <f t="shared" si="10"/>
        <v>-3</v>
      </c>
      <c r="K126" s="152">
        <f t="shared" si="7"/>
        <v>-30</v>
      </c>
      <c r="L126" s="152"/>
      <c r="M126" s="154">
        <f t="shared" si="8"/>
        <v>0</v>
      </c>
    </row>
    <row r="127" spans="1:13" x14ac:dyDescent="0.25">
      <c r="A127" s="168"/>
      <c r="G127" s="138"/>
      <c r="H127" s="152">
        <v>122</v>
      </c>
      <c r="I127" s="153" t="str">
        <f t="shared" si="9"/>
        <v/>
      </c>
      <c r="J127" s="152">
        <f t="shared" si="10"/>
        <v>-3</v>
      </c>
      <c r="K127" s="152">
        <f t="shared" si="7"/>
        <v>-30</v>
      </c>
      <c r="L127" s="152"/>
      <c r="M127" s="154">
        <f t="shared" si="8"/>
        <v>0</v>
      </c>
    </row>
    <row r="128" spans="1:13" x14ac:dyDescent="0.25">
      <c r="A128" s="168"/>
      <c r="G128" s="138"/>
      <c r="H128" s="152">
        <v>123</v>
      </c>
      <c r="I128" s="153" t="str">
        <f t="shared" si="9"/>
        <v/>
      </c>
      <c r="J128" s="152">
        <f t="shared" si="10"/>
        <v>-3</v>
      </c>
      <c r="K128" s="152">
        <f t="shared" si="7"/>
        <v>-30</v>
      </c>
      <c r="L128" s="152"/>
      <c r="M128" s="154">
        <f t="shared" si="8"/>
        <v>0</v>
      </c>
    </row>
    <row r="129" spans="1:13" x14ac:dyDescent="0.25">
      <c r="A129" s="168"/>
      <c r="G129" s="138"/>
      <c r="H129" s="152">
        <v>124</v>
      </c>
      <c r="I129" s="153" t="str">
        <f t="shared" si="9"/>
        <v/>
      </c>
      <c r="J129" s="152">
        <f t="shared" si="10"/>
        <v>-3</v>
      </c>
      <c r="K129" s="152">
        <f t="shared" si="7"/>
        <v>-30</v>
      </c>
      <c r="L129" s="152"/>
      <c r="M129" s="154">
        <f t="shared" si="8"/>
        <v>0</v>
      </c>
    </row>
    <row r="130" spans="1:13" x14ac:dyDescent="0.25">
      <c r="A130" s="168"/>
      <c r="G130" s="138"/>
      <c r="H130" s="152">
        <v>125</v>
      </c>
      <c r="I130" s="153" t="str">
        <f t="shared" si="9"/>
        <v/>
      </c>
      <c r="J130" s="152">
        <f t="shared" si="10"/>
        <v>-3</v>
      </c>
      <c r="K130" s="152">
        <f t="shared" si="7"/>
        <v>-30</v>
      </c>
      <c r="L130" s="152"/>
      <c r="M130" s="154">
        <f t="shared" si="8"/>
        <v>0</v>
      </c>
    </row>
    <row r="131" spans="1:13" x14ac:dyDescent="0.25">
      <c r="A131" s="168"/>
      <c r="G131" s="138"/>
      <c r="H131" s="152">
        <v>126</v>
      </c>
      <c r="I131" s="153" t="str">
        <f t="shared" si="9"/>
        <v/>
      </c>
      <c r="J131" s="152">
        <f t="shared" si="10"/>
        <v>-3</v>
      </c>
      <c r="K131" s="152">
        <f t="shared" si="7"/>
        <v>-30</v>
      </c>
      <c r="L131" s="152"/>
      <c r="M131" s="154">
        <f t="shared" si="8"/>
        <v>0</v>
      </c>
    </row>
    <row r="132" spans="1:13" x14ac:dyDescent="0.25">
      <c r="A132" s="168"/>
      <c r="G132" s="138"/>
      <c r="H132" s="152">
        <v>127</v>
      </c>
      <c r="I132" s="153" t="str">
        <f t="shared" si="9"/>
        <v/>
      </c>
      <c r="J132" s="152">
        <f t="shared" si="10"/>
        <v>-3</v>
      </c>
      <c r="K132" s="152">
        <f t="shared" si="7"/>
        <v>-30</v>
      </c>
      <c r="L132" s="152"/>
      <c r="M132" s="154">
        <f t="shared" si="8"/>
        <v>0</v>
      </c>
    </row>
    <row r="133" spans="1:13" x14ac:dyDescent="0.25">
      <c r="A133" s="168"/>
      <c r="G133" s="138"/>
      <c r="H133" s="152">
        <v>128</v>
      </c>
      <c r="I133" s="153" t="str">
        <f t="shared" si="9"/>
        <v/>
      </c>
      <c r="J133" s="152">
        <f t="shared" si="10"/>
        <v>-3</v>
      </c>
      <c r="K133" s="152">
        <f t="shared" si="7"/>
        <v>-30</v>
      </c>
      <c r="L133" s="152"/>
      <c r="M133" s="154">
        <f t="shared" si="8"/>
        <v>0</v>
      </c>
    </row>
    <row r="134" spans="1:13" x14ac:dyDescent="0.25">
      <c r="A134" s="168"/>
      <c r="G134" s="138"/>
      <c r="H134" s="152">
        <v>129</v>
      </c>
      <c r="I134" s="153" t="str">
        <f t="shared" si="9"/>
        <v/>
      </c>
      <c r="J134" s="152">
        <f t="shared" si="10"/>
        <v>-4</v>
      </c>
      <c r="K134" s="152">
        <f t="shared" ref="K134:K197" si="11">J134*$J$2</f>
        <v>-40</v>
      </c>
      <c r="L134" s="152"/>
      <c r="M134" s="154">
        <f t="shared" ref="M134:M197" si="12">IF(I134&lt;&gt;"",K134+I134+L134,0)</f>
        <v>0</v>
      </c>
    </row>
    <row r="135" spans="1:13" x14ac:dyDescent="0.25">
      <c r="A135" s="168"/>
      <c r="G135" s="138"/>
      <c r="H135" s="152">
        <v>130</v>
      </c>
      <c r="I135" s="153" t="str">
        <f t="shared" ref="I135:I198" si="13">IF(H135&lt;$H$2+1,($I$2-($I$2-1)*(LOG(H135)/LOG($H$2))),"")</f>
        <v/>
      </c>
      <c r="J135" s="152">
        <f t="shared" ref="J135:J198" si="14">INT(LOG($H$2,2))-ROUNDUP(LOG(H135,2),0)+IF(OR($H$2=1,$H$2=2,$H$2=4,$H$2=8,$H$2=16,$H$2=32,$H$2=64,$H$2=128,$H$2=256),0,1)</f>
        <v>-4</v>
      </c>
      <c r="K135" s="152">
        <f t="shared" si="11"/>
        <v>-40</v>
      </c>
      <c r="L135" s="152"/>
      <c r="M135" s="154">
        <f t="shared" si="12"/>
        <v>0</v>
      </c>
    </row>
    <row r="136" spans="1:13" x14ac:dyDescent="0.25">
      <c r="A136" s="168"/>
      <c r="G136" s="138"/>
      <c r="H136" s="152">
        <v>131</v>
      </c>
      <c r="I136" s="153" t="str">
        <f t="shared" si="13"/>
        <v/>
      </c>
      <c r="J136" s="152">
        <f t="shared" si="14"/>
        <v>-4</v>
      </c>
      <c r="K136" s="152">
        <f t="shared" si="11"/>
        <v>-40</v>
      </c>
      <c r="L136" s="152"/>
      <c r="M136" s="154">
        <f t="shared" si="12"/>
        <v>0</v>
      </c>
    </row>
    <row r="137" spans="1:13" x14ac:dyDescent="0.25">
      <c r="A137" s="168"/>
      <c r="G137" s="138"/>
      <c r="H137" s="152">
        <v>132</v>
      </c>
      <c r="I137" s="153" t="str">
        <f t="shared" si="13"/>
        <v/>
      </c>
      <c r="J137" s="152">
        <f t="shared" si="14"/>
        <v>-4</v>
      </c>
      <c r="K137" s="152">
        <f t="shared" si="11"/>
        <v>-40</v>
      </c>
      <c r="L137" s="152"/>
      <c r="M137" s="154">
        <f t="shared" si="12"/>
        <v>0</v>
      </c>
    </row>
    <row r="138" spans="1:13" x14ac:dyDescent="0.25">
      <c r="A138" s="168"/>
      <c r="G138" s="138"/>
      <c r="H138" s="152">
        <v>133</v>
      </c>
      <c r="I138" s="153" t="str">
        <f t="shared" si="13"/>
        <v/>
      </c>
      <c r="J138" s="152">
        <f t="shared" si="14"/>
        <v>-4</v>
      </c>
      <c r="K138" s="152">
        <f t="shared" si="11"/>
        <v>-40</v>
      </c>
      <c r="L138" s="152"/>
      <c r="M138" s="154">
        <f t="shared" si="12"/>
        <v>0</v>
      </c>
    </row>
    <row r="139" spans="1:13" x14ac:dyDescent="0.25">
      <c r="A139" s="168"/>
      <c r="G139" s="138"/>
      <c r="H139" s="152">
        <v>134</v>
      </c>
      <c r="I139" s="153" t="str">
        <f t="shared" si="13"/>
        <v/>
      </c>
      <c r="J139" s="152">
        <f t="shared" si="14"/>
        <v>-4</v>
      </c>
      <c r="K139" s="152">
        <f t="shared" si="11"/>
        <v>-40</v>
      </c>
      <c r="L139" s="152"/>
      <c r="M139" s="154">
        <f t="shared" si="12"/>
        <v>0</v>
      </c>
    </row>
    <row r="140" spans="1:13" x14ac:dyDescent="0.25">
      <c r="A140" s="168"/>
      <c r="G140" s="138"/>
      <c r="H140" s="152">
        <v>135</v>
      </c>
      <c r="I140" s="153" t="str">
        <f t="shared" si="13"/>
        <v/>
      </c>
      <c r="J140" s="152">
        <f t="shared" si="14"/>
        <v>-4</v>
      </c>
      <c r="K140" s="152">
        <f t="shared" si="11"/>
        <v>-40</v>
      </c>
      <c r="L140" s="152"/>
      <c r="M140" s="154">
        <f t="shared" si="12"/>
        <v>0</v>
      </c>
    </row>
    <row r="141" spans="1:13" x14ac:dyDescent="0.25">
      <c r="A141" s="168"/>
      <c r="G141" s="138"/>
      <c r="H141" s="152">
        <v>136</v>
      </c>
      <c r="I141" s="153" t="str">
        <f t="shared" si="13"/>
        <v/>
      </c>
      <c r="J141" s="152">
        <f t="shared" si="14"/>
        <v>-4</v>
      </c>
      <c r="K141" s="152">
        <f t="shared" si="11"/>
        <v>-40</v>
      </c>
      <c r="L141" s="152"/>
      <c r="M141" s="154">
        <f t="shared" si="12"/>
        <v>0</v>
      </c>
    </row>
    <row r="142" spans="1:13" x14ac:dyDescent="0.25">
      <c r="A142" s="168"/>
      <c r="G142" s="138"/>
      <c r="H142" s="152">
        <v>137</v>
      </c>
      <c r="I142" s="153" t="str">
        <f t="shared" si="13"/>
        <v/>
      </c>
      <c r="J142" s="152">
        <f t="shared" si="14"/>
        <v>-4</v>
      </c>
      <c r="K142" s="152">
        <f t="shared" si="11"/>
        <v>-40</v>
      </c>
      <c r="L142" s="152"/>
      <c r="M142" s="154">
        <f t="shared" si="12"/>
        <v>0</v>
      </c>
    </row>
    <row r="143" spans="1:13" x14ac:dyDescent="0.25">
      <c r="A143" s="168"/>
      <c r="G143" s="138"/>
      <c r="H143" s="152">
        <v>138</v>
      </c>
      <c r="I143" s="153" t="str">
        <f t="shared" si="13"/>
        <v/>
      </c>
      <c r="J143" s="152">
        <f t="shared" si="14"/>
        <v>-4</v>
      </c>
      <c r="K143" s="152">
        <f t="shared" si="11"/>
        <v>-40</v>
      </c>
      <c r="L143" s="152"/>
      <c r="M143" s="154">
        <f t="shared" si="12"/>
        <v>0</v>
      </c>
    </row>
    <row r="144" spans="1:13" x14ac:dyDescent="0.25">
      <c r="A144" s="168"/>
      <c r="G144" s="138"/>
      <c r="H144" s="152">
        <v>139</v>
      </c>
      <c r="I144" s="153" t="str">
        <f t="shared" si="13"/>
        <v/>
      </c>
      <c r="J144" s="152">
        <f t="shared" si="14"/>
        <v>-4</v>
      </c>
      <c r="K144" s="152">
        <f t="shared" si="11"/>
        <v>-40</v>
      </c>
      <c r="L144" s="152"/>
      <c r="M144" s="154">
        <f t="shared" si="12"/>
        <v>0</v>
      </c>
    </row>
    <row r="145" spans="1:13" x14ac:dyDescent="0.25">
      <c r="A145" s="168"/>
      <c r="G145" s="138"/>
      <c r="H145" s="152">
        <v>140</v>
      </c>
      <c r="I145" s="153" t="str">
        <f t="shared" si="13"/>
        <v/>
      </c>
      <c r="J145" s="152">
        <f t="shared" si="14"/>
        <v>-4</v>
      </c>
      <c r="K145" s="152">
        <f t="shared" si="11"/>
        <v>-40</v>
      </c>
      <c r="L145" s="152"/>
      <c r="M145" s="154">
        <f t="shared" si="12"/>
        <v>0</v>
      </c>
    </row>
    <row r="146" spans="1:13" x14ac:dyDescent="0.25">
      <c r="A146" s="168"/>
      <c r="G146" s="138"/>
      <c r="H146" s="152">
        <v>141</v>
      </c>
      <c r="I146" s="153" t="str">
        <f t="shared" si="13"/>
        <v/>
      </c>
      <c r="J146" s="152">
        <f t="shared" si="14"/>
        <v>-4</v>
      </c>
      <c r="K146" s="152">
        <f t="shared" si="11"/>
        <v>-40</v>
      </c>
      <c r="L146" s="152"/>
      <c r="M146" s="154">
        <f t="shared" si="12"/>
        <v>0</v>
      </c>
    </row>
    <row r="147" spans="1:13" x14ac:dyDescent="0.25">
      <c r="A147" s="168"/>
      <c r="G147" s="138"/>
      <c r="H147" s="152">
        <v>142</v>
      </c>
      <c r="I147" s="153" t="str">
        <f t="shared" si="13"/>
        <v/>
      </c>
      <c r="J147" s="152">
        <f t="shared" si="14"/>
        <v>-4</v>
      </c>
      <c r="K147" s="152">
        <f t="shared" si="11"/>
        <v>-40</v>
      </c>
      <c r="L147" s="152"/>
      <c r="M147" s="154">
        <f t="shared" si="12"/>
        <v>0</v>
      </c>
    </row>
    <row r="148" spans="1:13" x14ac:dyDescent="0.25">
      <c r="A148" s="168"/>
      <c r="G148" s="138"/>
      <c r="H148" s="152">
        <v>143</v>
      </c>
      <c r="I148" s="153" t="str">
        <f t="shared" si="13"/>
        <v/>
      </c>
      <c r="J148" s="152">
        <f t="shared" si="14"/>
        <v>-4</v>
      </c>
      <c r="K148" s="152">
        <f t="shared" si="11"/>
        <v>-40</v>
      </c>
      <c r="L148" s="152"/>
      <c r="M148" s="154">
        <f t="shared" si="12"/>
        <v>0</v>
      </c>
    </row>
    <row r="149" spans="1:13" x14ac:dyDescent="0.25">
      <c r="A149" s="168"/>
      <c r="G149" s="138"/>
      <c r="H149" s="152">
        <v>144</v>
      </c>
      <c r="I149" s="153" t="str">
        <f t="shared" si="13"/>
        <v/>
      </c>
      <c r="J149" s="152">
        <f t="shared" si="14"/>
        <v>-4</v>
      </c>
      <c r="K149" s="152">
        <f t="shared" si="11"/>
        <v>-40</v>
      </c>
      <c r="L149" s="152"/>
      <c r="M149" s="154">
        <f t="shared" si="12"/>
        <v>0</v>
      </c>
    </row>
    <row r="150" spans="1:13" x14ac:dyDescent="0.25">
      <c r="A150" s="168"/>
      <c r="G150" s="138"/>
      <c r="H150" s="152">
        <v>145</v>
      </c>
      <c r="I150" s="153" t="str">
        <f t="shared" si="13"/>
        <v/>
      </c>
      <c r="J150" s="152">
        <f t="shared" si="14"/>
        <v>-4</v>
      </c>
      <c r="K150" s="152">
        <f t="shared" si="11"/>
        <v>-40</v>
      </c>
      <c r="L150" s="152"/>
      <c r="M150" s="154">
        <f t="shared" si="12"/>
        <v>0</v>
      </c>
    </row>
    <row r="151" spans="1:13" x14ac:dyDescent="0.25">
      <c r="A151" s="168"/>
      <c r="G151" s="138"/>
      <c r="H151" s="152">
        <v>146</v>
      </c>
      <c r="I151" s="153" t="str">
        <f t="shared" si="13"/>
        <v/>
      </c>
      <c r="J151" s="152">
        <f t="shared" si="14"/>
        <v>-4</v>
      </c>
      <c r="K151" s="152">
        <f t="shared" si="11"/>
        <v>-40</v>
      </c>
      <c r="L151" s="152"/>
      <c r="M151" s="154">
        <f t="shared" si="12"/>
        <v>0</v>
      </c>
    </row>
    <row r="152" spans="1:13" x14ac:dyDescent="0.25">
      <c r="A152" s="168"/>
      <c r="G152" s="138"/>
      <c r="H152" s="152">
        <v>147</v>
      </c>
      <c r="I152" s="153" t="str">
        <f t="shared" si="13"/>
        <v/>
      </c>
      <c r="J152" s="152">
        <f t="shared" si="14"/>
        <v>-4</v>
      </c>
      <c r="K152" s="152">
        <f t="shared" si="11"/>
        <v>-40</v>
      </c>
      <c r="L152" s="152"/>
      <c r="M152" s="154">
        <f t="shared" si="12"/>
        <v>0</v>
      </c>
    </row>
    <row r="153" spans="1:13" x14ac:dyDescent="0.25">
      <c r="A153" s="168"/>
      <c r="G153" s="138"/>
      <c r="H153" s="152">
        <v>148</v>
      </c>
      <c r="I153" s="153" t="str">
        <f t="shared" si="13"/>
        <v/>
      </c>
      <c r="J153" s="152">
        <f t="shared" si="14"/>
        <v>-4</v>
      </c>
      <c r="K153" s="152">
        <f t="shared" si="11"/>
        <v>-40</v>
      </c>
      <c r="L153" s="152"/>
      <c r="M153" s="154">
        <f t="shared" si="12"/>
        <v>0</v>
      </c>
    </row>
    <row r="154" spans="1:13" x14ac:dyDescent="0.25">
      <c r="A154" s="168"/>
      <c r="G154" s="138"/>
      <c r="H154" s="152">
        <v>149</v>
      </c>
      <c r="I154" s="153" t="str">
        <f t="shared" si="13"/>
        <v/>
      </c>
      <c r="J154" s="152">
        <f t="shared" si="14"/>
        <v>-4</v>
      </c>
      <c r="K154" s="152">
        <f t="shared" si="11"/>
        <v>-40</v>
      </c>
      <c r="L154" s="152"/>
      <c r="M154" s="154">
        <f t="shared" si="12"/>
        <v>0</v>
      </c>
    </row>
    <row r="155" spans="1:13" x14ac:dyDescent="0.25">
      <c r="A155" s="168"/>
      <c r="G155" s="138"/>
      <c r="H155" s="152">
        <v>150</v>
      </c>
      <c r="I155" s="153" t="str">
        <f t="shared" si="13"/>
        <v/>
      </c>
      <c r="J155" s="152">
        <f t="shared" si="14"/>
        <v>-4</v>
      </c>
      <c r="K155" s="152">
        <f t="shared" si="11"/>
        <v>-40</v>
      </c>
      <c r="L155" s="152"/>
      <c r="M155" s="154">
        <f t="shared" si="12"/>
        <v>0</v>
      </c>
    </row>
    <row r="156" spans="1:13" x14ac:dyDescent="0.25">
      <c r="A156" s="168"/>
      <c r="G156" s="138"/>
      <c r="H156" s="152">
        <v>151</v>
      </c>
      <c r="I156" s="153" t="str">
        <f t="shared" si="13"/>
        <v/>
      </c>
      <c r="J156" s="152">
        <f t="shared" si="14"/>
        <v>-4</v>
      </c>
      <c r="K156" s="152">
        <f t="shared" si="11"/>
        <v>-40</v>
      </c>
      <c r="L156" s="152"/>
      <c r="M156" s="154">
        <f t="shared" si="12"/>
        <v>0</v>
      </c>
    </row>
    <row r="157" spans="1:13" x14ac:dyDescent="0.25">
      <c r="A157" s="168"/>
      <c r="G157" s="138"/>
      <c r="H157" s="152">
        <v>152</v>
      </c>
      <c r="I157" s="153" t="str">
        <f t="shared" si="13"/>
        <v/>
      </c>
      <c r="J157" s="152">
        <f t="shared" si="14"/>
        <v>-4</v>
      </c>
      <c r="K157" s="152">
        <f t="shared" si="11"/>
        <v>-40</v>
      </c>
      <c r="L157" s="152"/>
      <c r="M157" s="154">
        <f t="shared" si="12"/>
        <v>0</v>
      </c>
    </row>
    <row r="158" spans="1:13" x14ac:dyDescent="0.25">
      <c r="A158" s="168"/>
      <c r="G158" s="138"/>
      <c r="H158" s="152">
        <v>153</v>
      </c>
      <c r="I158" s="153" t="str">
        <f t="shared" si="13"/>
        <v/>
      </c>
      <c r="J158" s="152">
        <f t="shared" si="14"/>
        <v>-4</v>
      </c>
      <c r="K158" s="152">
        <f t="shared" si="11"/>
        <v>-40</v>
      </c>
      <c r="L158" s="152"/>
      <c r="M158" s="154">
        <f t="shared" si="12"/>
        <v>0</v>
      </c>
    </row>
    <row r="159" spans="1:13" x14ac:dyDescent="0.25">
      <c r="A159" s="168"/>
      <c r="G159" s="138"/>
      <c r="H159" s="152">
        <v>154</v>
      </c>
      <c r="I159" s="153" t="str">
        <f t="shared" si="13"/>
        <v/>
      </c>
      <c r="J159" s="152">
        <f t="shared" si="14"/>
        <v>-4</v>
      </c>
      <c r="K159" s="152">
        <f t="shared" si="11"/>
        <v>-40</v>
      </c>
      <c r="L159" s="152"/>
      <c r="M159" s="154">
        <f t="shared" si="12"/>
        <v>0</v>
      </c>
    </row>
    <row r="160" spans="1:13" x14ac:dyDescent="0.25">
      <c r="A160" s="168"/>
      <c r="G160" s="138"/>
      <c r="H160" s="152">
        <v>155</v>
      </c>
      <c r="I160" s="153" t="str">
        <f t="shared" si="13"/>
        <v/>
      </c>
      <c r="J160" s="152">
        <f t="shared" si="14"/>
        <v>-4</v>
      </c>
      <c r="K160" s="152">
        <f t="shared" si="11"/>
        <v>-40</v>
      </c>
      <c r="L160" s="152"/>
      <c r="M160" s="154">
        <f t="shared" si="12"/>
        <v>0</v>
      </c>
    </row>
    <row r="161" spans="1:13" x14ac:dyDescent="0.25">
      <c r="A161" s="168"/>
      <c r="G161" s="138"/>
      <c r="H161" s="152">
        <v>156</v>
      </c>
      <c r="I161" s="153" t="str">
        <f t="shared" si="13"/>
        <v/>
      </c>
      <c r="J161" s="152">
        <f t="shared" si="14"/>
        <v>-4</v>
      </c>
      <c r="K161" s="152">
        <f t="shared" si="11"/>
        <v>-40</v>
      </c>
      <c r="L161" s="152"/>
      <c r="M161" s="154">
        <f t="shared" si="12"/>
        <v>0</v>
      </c>
    </row>
    <row r="162" spans="1:13" x14ac:dyDescent="0.25">
      <c r="A162" s="168"/>
      <c r="G162" s="138"/>
      <c r="H162" s="152">
        <v>157</v>
      </c>
      <c r="I162" s="153" t="str">
        <f t="shared" si="13"/>
        <v/>
      </c>
      <c r="J162" s="152">
        <f t="shared" si="14"/>
        <v>-4</v>
      </c>
      <c r="K162" s="152">
        <f t="shared" si="11"/>
        <v>-40</v>
      </c>
      <c r="L162" s="152"/>
      <c r="M162" s="154">
        <f t="shared" si="12"/>
        <v>0</v>
      </c>
    </row>
    <row r="163" spans="1:13" x14ac:dyDescent="0.25">
      <c r="A163" s="168"/>
      <c r="G163" s="138"/>
      <c r="H163" s="152">
        <v>158</v>
      </c>
      <c r="I163" s="153" t="str">
        <f t="shared" si="13"/>
        <v/>
      </c>
      <c r="J163" s="152">
        <f t="shared" si="14"/>
        <v>-4</v>
      </c>
      <c r="K163" s="152">
        <f t="shared" si="11"/>
        <v>-40</v>
      </c>
      <c r="L163" s="152"/>
      <c r="M163" s="154">
        <f t="shared" si="12"/>
        <v>0</v>
      </c>
    </row>
    <row r="164" spans="1:13" x14ac:dyDescent="0.25">
      <c r="A164" s="168"/>
      <c r="G164" s="138"/>
      <c r="H164" s="152">
        <v>159</v>
      </c>
      <c r="I164" s="153" t="str">
        <f t="shared" si="13"/>
        <v/>
      </c>
      <c r="J164" s="152">
        <f t="shared" si="14"/>
        <v>-4</v>
      </c>
      <c r="K164" s="152">
        <f t="shared" si="11"/>
        <v>-40</v>
      </c>
      <c r="L164" s="152"/>
      <c r="M164" s="154">
        <f t="shared" si="12"/>
        <v>0</v>
      </c>
    </row>
    <row r="165" spans="1:13" x14ac:dyDescent="0.25">
      <c r="A165" s="168"/>
      <c r="G165" s="138"/>
      <c r="H165" s="152">
        <v>160</v>
      </c>
      <c r="I165" s="153" t="str">
        <f t="shared" si="13"/>
        <v/>
      </c>
      <c r="J165" s="152">
        <f t="shared" si="14"/>
        <v>-4</v>
      </c>
      <c r="K165" s="152">
        <f t="shared" si="11"/>
        <v>-40</v>
      </c>
      <c r="L165" s="152"/>
      <c r="M165" s="154">
        <f t="shared" si="12"/>
        <v>0</v>
      </c>
    </row>
    <row r="166" spans="1:13" x14ac:dyDescent="0.25">
      <c r="A166" s="168"/>
      <c r="G166" s="138"/>
      <c r="H166" s="152">
        <v>161</v>
      </c>
      <c r="I166" s="153" t="str">
        <f t="shared" si="13"/>
        <v/>
      </c>
      <c r="J166" s="152">
        <f t="shared" si="14"/>
        <v>-4</v>
      </c>
      <c r="K166" s="152">
        <f t="shared" si="11"/>
        <v>-40</v>
      </c>
      <c r="L166" s="152"/>
      <c r="M166" s="154">
        <f t="shared" si="12"/>
        <v>0</v>
      </c>
    </row>
    <row r="167" spans="1:13" x14ac:dyDescent="0.25">
      <c r="A167" s="168"/>
      <c r="G167" s="138"/>
      <c r="H167" s="152">
        <v>162</v>
      </c>
      <c r="I167" s="153" t="str">
        <f t="shared" si="13"/>
        <v/>
      </c>
      <c r="J167" s="152">
        <f t="shared" si="14"/>
        <v>-4</v>
      </c>
      <c r="K167" s="152">
        <f t="shared" si="11"/>
        <v>-40</v>
      </c>
      <c r="L167" s="152"/>
      <c r="M167" s="154">
        <f t="shared" si="12"/>
        <v>0</v>
      </c>
    </row>
    <row r="168" spans="1:13" x14ac:dyDescent="0.25">
      <c r="A168" s="168"/>
      <c r="G168" s="138"/>
      <c r="H168" s="152">
        <v>163</v>
      </c>
      <c r="I168" s="153" t="str">
        <f t="shared" si="13"/>
        <v/>
      </c>
      <c r="J168" s="152">
        <f t="shared" si="14"/>
        <v>-4</v>
      </c>
      <c r="K168" s="152">
        <f t="shared" si="11"/>
        <v>-40</v>
      </c>
      <c r="L168" s="152"/>
      <c r="M168" s="154">
        <f t="shared" si="12"/>
        <v>0</v>
      </c>
    </row>
    <row r="169" spans="1:13" x14ac:dyDescent="0.25">
      <c r="A169" s="168"/>
      <c r="G169" s="138"/>
      <c r="H169" s="152">
        <v>164</v>
      </c>
      <c r="I169" s="153" t="str">
        <f t="shared" si="13"/>
        <v/>
      </c>
      <c r="J169" s="152">
        <f t="shared" si="14"/>
        <v>-4</v>
      </c>
      <c r="K169" s="152">
        <f t="shared" si="11"/>
        <v>-40</v>
      </c>
      <c r="L169" s="152"/>
      <c r="M169" s="154">
        <f t="shared" si="12"/>
        <v>0</v>
      </c>
    </row>
    <row r="170" spans="1:13" x14ac:dyDescent="0.25">
      <c r="A170" s="168"/>
      <c r="G170" s="138"/>
      <c r="H170" s="152">
        <v>165</v>
      </c>
      <c r="I170" s="153" t="str">
        <f t="shared" si="13"/>
        <v/>
      </c>
      <c r="J170" s="152">
        <f t="shared" si="14"/>
        <v>-4</v>
      </c>
      <c r="K170" s="152">
        <f t="shared" si="11"/>
        <v>-40</v>
      </c>
      <c r="L170" s="152"/>
      <c r="M170" s="154">
        <f t="shared" si="12"/>
        <v>0</v>
      </c>
    </row>
    <row r="171" spans="1:13" x14ac:dyDescent="0.25">
      <c r="A171" s="168"/>
      <c r="G171" s="138"/>
      <c r="H171" s="152">
        <v>166</v>
      </c>
      <c r="I171" s="153" t="str">
        <f t="shared" si="13"/>
        <v/>
      </c>
      <c r="J171" s="152">
        <f t="shared" si="14"/>
        <v>-4</v>
      </c>
      <c r="K171" s="152">
        <f t="shared" si="11"/>
        <v>-40</v>
      </c>
      <c r="L171" s="152"/>
      <c r="M171" s="154">
        <f t="shared" si="12"/>
        <v>0</v>
      </c>
    </row>
    <row r="172" spans="1:13" x14ac:dyDescent="0.25">
      <c r="A172" s="168"/>
      <c r="G172" s="138"/>
      <c r="H172" s="152">
        <v>167</v>
      </c>
      <c r="I172" s="153" t="str">
        <f t="shared" si="13"/>
        <v/>
      </c>
      <c r="J172" s="152">
        <f t="shared" si="14"/>
        <v>-4</v>
      </c>
      <c r="K172" s="152">
        <f t="shared" si="11"/>
        <v>-40</v>
      </c>
      <c r="L172" s="152"/>
      <c r="M172" s="154">
        <f t="shared" si="12"/>
        <v>0</v>
      </c>
    </row>
    <row r="173" spans="1:13" x14ac:dyDescent="0.25">
      <c r="A173" s="168"/>
      <c r="G173" s="138"/>
      <c r="H173" s="152">
        <v>168</v>
      </c>
      <c r="I173" s="153" t="str">
        <f t="shared" si="13"/>
        <v/>
      </c>
      <c r="J173" s="152">
        <f t="shared" si="14"/>
        <v>-4</v>
      </c>
      <c r="K173" s="152">
        <f t="shared" si="11"/>
        <v>-40</v>
      </c>
      <c r="L173" s="152"/>
      <c r="M173" s="154">
        <f t="shared" si="12"/>
        <v>0</v>
      </c>
    </row>
    <row r="174" spans="1:13" x14ac:dyDescent="0.25">
      <c r="A174" s="168"/>
      <c r="G174" s="138"/>
      <c r="H174" s="152">
        <v>169</v>
      </c>
      <c r="I174" s="153" t="str">
        <f t="shared" si="13"/>
        <v/>
      </c>
      <c r="J174" s="152">
        <f t="shared" si="14"/>
        <v>-4</v>
      </c>
      <c r="K174" s="152">
        <f t="shared" si="11"/>
        <v>-40</v>
      </c>
      <c r="L174" s="152"/>
      <c r="M174" s="154">
        <f t="shared" si="12"/>
        <v>0</v>
      </c>
    </row>
    <row r="175" spans="1:13" x14ac:dyDescent="0.25">
      <c r="A175" s="168"/>
      <c r="G175" s="138"/>
      <c r="H175" s="152">
        <v>170</v>
      </c>
      <c r="I175" s="153" t="str">
        <f t="shared" si="13"/>
        <v/>
      </c>
      <c r="J175" s="152">
        <f t="shared" si="14"/>
        <v>-4</v>
      </c>
      <c r="K175" s="152">
        <f t="shared" si="11"/>
        <v>-40</v>
      </c>
      <c r="L175" s="152"/>
      <c r="M175" s="154">
        <f t="shared" si="12"/>
        <v>0</v>
      </c>
    </row>
    <row r="176" spans="1:13" x14ac:dyDescent="0.25">
      <c r="A176" s="168"/>
      <c r="G176" s="138"/>
      <c r="H176" s="152">
        <v>171</v>
      </c>
      <c r="I176" s="153" t="str">
        <f t="shared" si="13"/>
        <v/>
      </c>
      <c r="J176" s="152">
        <f t="shared" si="14"/>
        <v>-4</v>
      </c>
      <c r="K176" s="152">
        <f t="shared" si="11"/>
        <v>-40</v>
      </c>
      <c r="L176" s="152"/>
      <c r="M176" s="154">
        <f t="shared" si="12"/>
        <v>0</v>
      </c>
    </row>
    <row r="177" spans="1:13" x14ac:dyDescent="0.25">
      <c r="A177" s="168"/>
      <c r="G177" s="138"/>
      <c r="H177" s="152">
        <v>172</v>
      </c>
      <c r="I177" s="153" t="str">
        <f t="shared" si="13"/>
        <v/>
      </c>
      <c r="J177" s="152">
        <f t="shared" si="14"/>
        <v>-4</v>
      </c>
      <c r="K177" s="152">
        <f t="shared" si="11"/>
        <v>-40</v>
      </c>
      <c r="L177" s="152"/>
      <c r="M177" s="154">
        <f t="shared" si="12"/>
        <v>0</v>
      </c>
    </row>
    <row r="178" spans="1:13" x14ac:dyDescent="0.25">
      <c r="A178" s="168"/>
      <c r="G178" s="138"/>
      <c r="H178" s="152">
        <v>173</v>
      </c>
      <c r="I178" s="153" t="str">
        <f t="shared" si="13"/>
        <v/>
      </c>
      <c r="J178" s="152">
        <f t="shared" si="14"/>
        <v>-4</v>
      </c>
      <c r="K178" s="152">
        <f t="shared" si="11"/>
        <v>-40</v>
      </c>
      <c r="L178" s="152"/>
      <c r="M178" s="154">
        <f t="shared" si="12"/>
        <v>0</v>
      </c>
    </row>
    <row r="179" spans="1:13" x14ac:dyDescent="0.25">
      <c r="A179" s="168"/>
      <c r="G179" s="138"/>
      <c r="H179" s="152">
        <v>174</v>
      </c>
      <c r="I179" s="153" t="str">
        <f t="shared" si="13"/>
        <v/>
      </c>
      <c r="J179" s="152">
        <f t="shared" si="14"/>
        <v>-4</v>
      </c>
      <c r="K179" s="152">
        <f t="shared" si="11"/>
        <v>-40</v>
      </c>
      <c r="L179" s="152"/>
      <c r="M179" s="154">
        <f t="shared" si="12"/>
        <v>0</v>
      </c>
    </row>
    <row r="180" spans="1:13" x14ac:dyDescent="0.25">
      <c r="A180" s="168"/>
      <c r="G180" s="138"/>
      <c r="H180" s="152">
        <v>175</v>
      </c>
      <c r="I180" s="153" t="str">
        <f t="shared" si="13"/>
        <v/>
      </c>
      <c r="J180" s="152">
        <f t="shared" si="14"/>
        <v>-4</v>
      </c>
      <c r="K180" s="152">
        <f t="shared" si="11"/>
        <v>-40</v>
      </c>
      <c r="L180" s="152"/>
      <c r="M180" s="154">
        <f t="shared" si="12"/>
        <v>0</v>
      </c>
    </row>
    <row r="181" spans="1:13" x14ac:dyDescent="0.25">
      <c r="A181" s="168"/>
      <c r="G181" s="138"/>
      <c r="H181" s="152">
        <v>176</v>
      </c>
      <c r="I181" s="153" t="str">
        <f t="shared" si="13"/>
        <v/>
      </c>
      <c r="J181" s="152">
        <f t="shared" si="14"/>
        <v>-4</v>
      </c>
      <c r="K181" s="152">
        <f t="shared" si="11"/>
        <v>-40</v>
      </c>
      <c r="L181" s="152"/>
      <c r="M181" s="154">
        <f t="shared" si="12"/>
        <v>0</v>
      </c>
    </row>
    <row r="182" spans="1:13" x14ac:dyDescent="0.25">
      <c r="A182" s="168"/>
      <c r="G182" s="138"/>
      <c r="H182" s="152">
        <v>177</v>
      </c>
      <c r="I182" s="153" t="str">
        <f t="shared" si="13"/>
        <v/>
      </c>
      <c r="J182" s="152">
        <f t="shared" si="14"/>
        <v>-4</v>
      </c>
      <c r="K182" s="152">
        <f t="shared" si="11"/>
        <v>-40</v>
      </c>
      <c r="L182" s="152"/>
      <c r="M182" s="154">
        <f t="shared" si="12"/>
        <v>0</v>
      </c>
    </row>
    <row r="183" spans="1:13" x14ac:dyDescent="0.25">
      <c r="A183" s="168"/>
      <c r="G183" s="138"/>
      <c r="H183" s="152">
        <v>178</v>
      </c>
      <c r="I183" s="153" t="str">
        <f t="shared" si="13"/>
        <v/>
      </c>
      <c r="J183" s="152">
        <f t="shared" si="14"/>
        <v>-4</v>
      </c>
      <c r="K183" s="152">
        <f t="shared" si="11"/>
        <v>-40</v>
      </c>
      <c r="L183" s="152"/>
      <c r="M183" s="154">
        <f t="shared" si="12"/>
        <v>0</v>
      </c>
    </row>
    <row r="184" spans="1:13" x14ac:dyDescent="0.25">
      <c r="A184" s="168"/>
      <c r="G184" s="138"/>
      <c r="H184" s="152">
        <v>179</v>
      </c>
      <c r="I184" s="153" t="str">
        <f t="shared" si="13"/>
        <v/>
      </c>
      <c r="J184" s="152">
        <f t="shared" si="14"/>
        <v>-4</v>
      </c>
      <c r="K184" s="152">
        <f t="shared" si="11"/>
        <v>-40</v>
      </c>
      <c r="L184" s="152"/>
      <c r="M184" s="154">
        <f t="shared" si="12"/>
        <v>0</v>
      </c>
    </row>
    <row r="185" spans="1:13" x14ac:dyDescent="0.25">
      <c r="A185" s="168"/>
      <c r="G185" s="138"/>
      <c r="H185" s="152">
        <v>180</v>
      </c>
      <c r="I185" s="153" t="str">
        <f t="shared" si="13"/>
        <v/>
      </c>
      <c r="J185" s="152">
        <f t="shared" si="14"/>
        <v>-4</v>
      </c>
      <c r="K185" s="152">
        <f t="shared" si="11"/>
        <v>-40</v>
      </c>
      <c r="L185" s="152"/>
      <c r="M185" s="154">
        <f t="shared" si="12"/>
        <v>0</v>
      </c>
    </row>
    <row r="186" spans="1:13" x14ac:dyDescent="0.25">
      <c r="A186" s="168"/>
      <c r="G186" s="138"/>
      <c r="H186" s="152">
        <v>181</v>
      </c>
      <c r="I186" s="153" t="str">
        <f t="shared" si="13"/>
        <v/>
      </c>
      <c r="J186" s="152">
        <f t="shared" si="14"/>
        <v>-4</v>
      </c>
      <c r="K186" s="152">
        <f t="shared" si="11"/>
        <v>-40</v>
      </c>
      <c r="L186" s="152"/>
      <c r="M186" s="154">
        <f t="shared" si="12"/>
        <v>0</v>
      </c>
    </row>
    <row r="187" spans="1:13" x14ac:dyDescent="0.25">
      <c r="A187" s="168"/>
      <c r="G187" s="138"/>
      <c r="H187" s="152">
        <v>182</v>
      </c>
      <c r="I187" s="153" t="str">
        <f t="shared" si="13"/>
        <v/>
      </c>
      <c r="J187" s="152">
        <f t="shared" si="14"/>
        <v>-4</v>
      </c>
      <c r="K187" s="152">
        <f t="shared" si="11"/>
        <v>-40</v>
      </c>
      <c r="L187" s="152"/>
      <c r="M187" s="154">
        <f t="shared" si="12"/>
        <v>0</v>
      </c>
    </row>
    <row r="188" spans="1:13" x14ac:dyDescent="0.25">
      <c r="A188" s="168"/>
      <c r="G188" s="138"/>
      <c r="H188" s="152">
        <v>183</v>
      </c>
      <c r="I188" s="153" t="str">
        <f t="shared" si="13"/>
        <v/>
      </c>
      <c r="J188" s="152">
        <f t="shared" si="14"/>
        <v>-4</v>
      </c>
      <c r="K188" s="152">
        <f t="shared" si="11"/>
        <v>-40</v>
      </c>
      <c r="L188" s="152"/>
      <c r="M188" s="154">
        <f t="shared" si="12"/>
        <v>0</v>
      </c>
    </row>
    <row r="189" spans="1:13" x14ac:dyDescent="0.25">
      <c r="A189" s="168"/>
      <c r="G189" s="138"/>
      <c r="H189" s="152">
        <v>184</v>
      </c>
      <c r="I189" s="153" t="str">
        <f t="shared" si="13"/>
        <v/>
      </c>
      <c r="J189" s="152">
        <f t="shared" si="14"/>
        <v>-4</v>
      </c>
      <c r="K189" s="152">
        <f t="shared" si="11"/>
        <v>-40</v>
      </c>
      <c r="L189" s="152"/>
      <c r="M189" s="154">
        <f t="shared" si="12"/>
        <v>0</v>
      </c>
    </row>
    <row r="190" spans="1:13" x14ac:dyDescent="0.25">
      <c r="A190" s="168"/>
      <c r="G190" s="138"/>
      <c r="H190" s="152">
        <v>185</v>
      </c>
      <c r="I190" s="153" t="str">
        <f t="shared" si="13"/>
        <v/>
      </c>
      <c r="J190" s="152">
        <f t="shared" si="14"/>
        <v>-4</v>
      </c>
      <c r="K190" s="152">
        <f t="shared" si="11"/>
        <v>-40</v>
      </c>
      <c r="L190" s="152"/>
      <c r="M190" s="154">
        <f t="shared" si="12"/>
        <v>0</v>
      </c>
    </row>
    <row r="191" spans="1:13" x14ac:dyDescent="0.25">
      <c r="A191" s="168"/>
      <c r="G191" s="138"/>
      <c r="H191" s="152">
        <v>186</v>
      </c>
      <c r="I191" s="153" t="str">
        <f t="shared" si="13"/>
        <v/>
      </c>
      <c r="J191" s="152">
        <f t="shared" si="14"/>
        <v>-4</v>
      </c>
      <c r="K191" s="152">
        <f t="shared" si="11"/>
        <v>-40</v>
      </c>
      <c r="L191" s="152"/>
      <c r="M191" s="154">
        <f t="shared" si="12"/>
        <v>0</v>
      </c>
    </row>
    <row r="192" spans="1:13" x14ac:dyDescent="0.25">
      <c r="A192" s="168"/>
      <c r="G192" s="138"/>
      <c r="H192" s="152">
        <v>187</v>
      </c>
      <c r="I192" s="153" t="str">
        <f t="shared" si="13"/>
        <v/>
      </c>
      <c r="J192" s="152">
        <f t="shared" si="14"/>
        <v>-4</v>
      </c>
      <c r="K192" s="152">
        <f t="shared" si="11"/>
        <v>-40</v>
      </c>
      <c r="L192" s="152"/>
      <c r="M192" s="154">
        <f t="shared" si="12"/>
        <v>0</v>
      </c>
    </row>
    <row r="193" spans="1:13" x14ac:dyDescent="0.25">
      <c r="A193" s="168"/>
      <c r="G193" s="138"/>
      <c r="H193" s="152">
        <v>188</v>
      </c>
      <c r="I193" s="153" t="str">
        <f t="shared" si="13"/>
        <v/>
      </c>
      <c r="J193" s="152">
        <f t="shared" si="14"/>
        <v>-4</v>
      </c>
      <c r="K193" s="152">
        <f t="shared" si="11"/>
        <v>-40</v>
      </c>
      <c r="L193" s="152"/>
      <c r="M193" s="154">
        <f t="shared" si="12"/>
        <v>0</v>
      </c>
    </row>
    <row r="194" spans="1:13" x14ac:dyDescent="0.25">
      <c r="A194" s="168"/>
      <c r="G194" s="138"/>
      <c r="H194" s="152">
        <v>189</v>
      </c>
      <c r="I194" s="153" t="str">
        <f t="shared" si="13"/>
        <v/>
      </c>
      <c r="J194" s="152">
        <f t="shared" si="14"/>
        <v>-4</v>
      </c>
      <c r="K194" s="152">
        <f t="shared" si="11"/>
        <v>-40</v>
      </c>
      <c r="L194" s="152"/>
      <c r="M194" s="154">
        <f t="shared" si="12"/>
        <v>0</v>
      </c>
    </row>
    <row r="195" spans="1:13" x14ac:dyDescent="0.25">
      <c r="A195" s="168"/>
      <c r="G195" s="138"/>
      <c r="H195" s="152">
        <v>190</v>
      </c>
      <c r="I195" s="153" t="str">
        <f t="shared" si="13"/>
        <v/>
      </c>
      <c r="J195" s="152">
        <f t="shared" si="14"/>
        <v>-4</v>
      </c>
      <c r="K195" s="152">
        <f t="shared" si="11"/>
        <v>-40</v>
      </c>
      <c r="L195" s="152"/>
      <c r="M195" s="154">
        <f t="shared" si="12"/>
        <v>0</v>
      </c>
    </row>
    <row r="196" spans="1:13" x14ac:dyDescent="0.25">
      <c r="A196" s="168"/>
      <c r="G196" s="138"/>
      <c r="H196" s="152">
        <v>191</v>
      </c>
      <c r="I196" s="153" t="str">
        <f t="shared" si="13"/>
        <v/>
      </c>
      <c r="J196" s="152">
        <f t="shared" si="14"/>
        <v>-4</v>
      </c>
      <c r="K196" s="152">
        <f t="shared" si="11"/>
        <v>-40</v>
      </c>
      <c r="L196" s="152"/>
      <c r="M196" s="154">
        <f t="shared" si="12"/>
        <v>0</v>
      </c>
    </row>
    <row r="197" spans="1:13" x14ac:dyDescent="0.25">
      <c r="A197" s="168"/>
      <c r="G197" s="138"/>
      <c r="H197" s="152">
        <v>192</v>
      </c>
      <c r="I197" s="153" t="str">
        <f t="shared" si="13"/>
        <v/>
      </c>
      <c r="J197" s="152">
        <f t="shared" si="14"/>
        <v>-4</v>
      </c>
      <c r="K197" s="152">
        <f t="shared" si="11"/>
        <v>-40</v>
      </c>
      <c r="L197" s="152"/>
      <c r="M197" s="154">
        <f t="shared" si="12"/>
        <v>0</v>
      </c>
    </row>
    <row r="198" spans="1:13" x14ac:dyDescent="0.25">
      <c r="A198" s="168"/>
      <c r="G198" s="138"/>
      <c r="H198" s="152">
        <v>193</v>
      </c>
      <c r="I198" s="153" t="str">
        <f t="shared" si="13"/>
        <v/>
      </c>
      <c r="J198" s="152">
        <f t="shared" si="14"/>
        <v>-4</v>
      </c>
      <c r="K198" s="152">
        <f t="shared" ref="K198:K261" si="15">J198*$J$2</f>
        <v>-40</v>
      </c>
      <c r="L198" s="152"/>
      <c r="M198" s="154">
        <f t="shared" ref="M198:M261" si="16">IF(I198&lt;&gt;"",K198+I198+L198,0)</f>
        <v>0</v>
      </c>
    </row>
    <row r="199" spans="1:13" x14ac:dyDescent="0.25">
      <c r="A199" s="168"/>
      <c r="G199" s="138"/>
      <c r="H199" s="152">
        <v>194</v>
      </c>
      <c r="I199" s="153" t="str">
        <f t="shared" ref="I199:I262" si="17">IF(H199&lt;$H$2+1,($I$2-($I$2-1)*(LOG(H199)/LOG($H$2))),"")</f>
        <v/>
      </c>
      <c r="J199" s="152">
        <f t="shared" ref="J199:J262" si="18">INT(LOG($H$2,2))-ROUNDUP(LOG(H199,2),0)+IF(OR($H$2=1,$H$2=2,$H$2=4,$H$2=8,$H$2=16,$H$2=32,$H$2=64,$H$2=128,$H$2=256),0,1)</f>
        <v>-4</v>
      </c>
      <c r="K199" s="152">
        <f t="shared" si="15"/>
        <v>-40</v>
      </c>
      <c r="L199" s="152"/>
      <c r="M199" s="154">
        <f t="shared" si="16"/>
        <v>0</v>
      </c>
    </row>
    <row r="200" spans="1:13" x14ac:dyDescent="0.25">
      <c r="A200" s="168"/>
      <c r="G200" s="138"/>
      <c r="H200" s="152">
        <v>195</v>
      </c>
      <c r="I200" s="153" t="str">
        <f t="shared" si="17"/>
        <v/>
      </c>
      <c r="J200" s="152">
        <f t="shared" si="18"/>
        <v>-4</v>
      </c>
      <c r="K200" s="152">
        <f t="shared" si="15"/>
        <v>-40</v>
      </c>
      <c r="L200" s="152"/>
      <c r="M200" s="154">
        <f t="shared" si="16"/>
        <v>0</v>
      </c>
    </row>
    <row r="201" spans="1:13" x14ac:dyDescent="0.25">
      <c r="A201" s="168"/>
      <c r="G201" s="138"/>
      <c r="H201" s="152">
        <v>196</v>
      </c>
      <c r="I201" s="153" t="str">
        <f t="shared" si="17"/>
        <v/>
      </c>
      <c r="J201" s="152">
        <f t="shared" si="18"/>
        <v>-4</v>
      </c>
      <c r="K201" s="152">
        <f t="shared" si="15"/>
        <v>-40</v>
      </c>
      <c r="L201" s="152"/>
      <c r="M201" s="154">
        <f t="shared" si="16"/>
        <v>0</v>
      </c>
    </row>
    <row r="202" spans="1:13" x14ac:dyDescent="0.25">
      <c r="A202" s="168"/>
      <c r="G202" s="138"/>
      <c r="H202" s="152">
        <v>197</v>
      </c>
      <c r="I202" s="153" t="str">
        <f t="shared" si="17"/>
        <v/>
      </c>
      <c r="J202" s="152">
        <f t="shared" si="18"/>
        <v>-4</v>
      </c>
      <c r="K202" s="152">
        <f t="shared" si="15"/>
        <v>-40</v>
      </c>
      <c r="L202" s="152"/>
      <c r="M202" s="154">
        <f t="shared" si="16"/>
        <v>0</v>
      </c>
    </row>
    <row r="203" spans="1:13" x14ac:dyDescent="0.25">
      <c r="A203" s="168"/>
      <c r="G203" s="138"/>
      <c r="H203" s="152">
        <v>198</v>
      </c>
      <c r="I203" s="153" t="str">
        <f t="shared" si="17"/>
        <v/>
      </c>
      <c r="J203" s="152">
        <f t="shared" si="18"/>
        <v>-4</v>
      </c>
      <c r="K203" s="152">
        <f t="shared" si="15"/>
        <v>-40</v>
      </c>
      <c r="L203" s="152"/>
      <c r="M203" s="154">
        <f t="shared" si="16"/>
        <v>0</v>
      </c>
    </row>
    <row r="204" spans="1:13" x14ac:dyDescent="0.25">
      <c r="A204" s="168"/>
      <c r="G204" s="138"/>
      <c r="H204" s="152">
        <v>199</v>
      </c>
      <c r="I204" s="153" t="str">
        <f t="shared" si="17"/>
        <v/>
      </c>
      <c r="J204" s="152">
        <f t="shared" si="18"/>
        <v>-4</v>
      </c>
      <c r="K204" s="152">
        <f t="shared" si="15"/>
        <v>-40</v>
      </c>
      <c r="L204" s="152"/>
      <c r="M204" s="154">
        <f t="shared" si="16"/>
        <v>0</v>
      </c>
    </row>
    <row r="205" spans="1:13" x14ac:dyDescent="0.25">
      <c r="A205" s="168"/>
      <c r="G205" s="138"/>
      <c r="H205" s="152">
        <v>200</v>
      </c>
      <c r="I205" s="153" t="str">
        <f t="shared" si="17"/>
        <v/>
      </c>
      <c r="J205" s="152">
        <f t="shared" si="18"/>
        <v>-4</v>
      </c>
      <c r="K205" s="152">
        <f t="shared" si="15"/>
        <v>-40</v>
      </c>
      <c r="L205" s="152"/>
      <c r="M205" s="154">
        <f t="shared" si="16"/>
        <v>0</v>
      </c>
    </row>
    <row r="206" spans="1:13" x14ac:dyDescent="0.25">
      <c r="A206" s="168"/>
      <c r="G206" s="138"/>
      <c r="H206" s="152">
        <v>201</v>
      </c>
      <c r="I206" s="153" t="str">
        <f t="shared" si="17"/>
        <v/>
      </c>
      <c r="J206" s="152">
        <f t="shared" si="18"/>
        <v>-4</v>
      </c>
      <c r="K206" s="152">
        <f t="shared" si="15"/>
        <v>-40</v>
      </c>
      <c r="L206" s="152"/>
      <c r="M206" s="154">
        <f t="shared" si="16"/>
        <v>0</v>
      </c>
    </row>
    <row r="207" spans="1:13" x14ac:dyDescent="0.25">
      <c r="A207" s="168"/>
      <c r="G207" s="138"/>
      <c r="H207" s="152">
        <v>202</v>
      </c>
      <c r="I207" s="153" t="str">
        <f t="shared" si="17"/>
        <v/>
      </c>
      <c r="J207" s="152">
        <f t="shared" si="18"/>
        <v>-4</v>
      </c>
      <c r="K207" s="152">
        <f t="shared" si="15"/>
        <v>-40</v>
      </c>
      <c r="L207" s="152"/>
      <c r="M207" s="154">
        <f t="shared" si="16"/>
        <v>0</v>
      </c>
    </row>
    <row r="208" spans="1:13" x14ac:dyDescent="0.25">
      <c r="A208" s="168"/>
      <c r="G208" s="138"/>
      <c r="H208" s="152">
        <v>203</v>
      </c>
      <c r="I208" s="153" t="str">
        <f t="shared" si="17"/>
        <v/>
      </c>
      <c r="J208" s="152">
        <f t="shared" si="18"/>
        <v>-4</v>
      </c>
      <c r="K208" s="152">
        <f t="shared" si="15"/>
        <v>-40</v>
      </c>
      <c r="L208" s="152"/>
      <c r="M208" s="154">
        <f t="shared" si="16"/>
        <v>0</v>
      </c>
    </row>
    <row r="209" spans="1:13" x14ac:dyDescent="0.25">
      <c r="A209" s="168"/>
      <c r="G209" s="138"/>
      <c r="H209" s="152">
        <v>204</v>
      </c>
      <c r="I209" s="153" t="str">
        <f t="shared" si="17"/>
        <v/>
      </c>
      <c r="J209" s="152">
        <f t="shared" si="18"/>
        <v>-4</v>
      </c>
      <c r="K209" s="152">
        <f t="shared" si="15"/>
        <v>-40</v>
      </c>
      <c r="L209" s="152"/>
      <c r="M209" s="154">
        <f t="shared" si="16"/>
        <v>0</v>
      </c>
    </row>
    <row r="210" spans="1:13" x14ac:dyDescent="0.25">
      <c r="A210" s="168"/>
      <c r="G210" s="138"/>
      <c r="H210" s="152">
        <v>205</v>
      </c>
      <c r="I210" s="153" t="str">
        <f t="shared" si="17"/>
        <v/>
      </c>
      <c r="J210" s="152">
        <f t="shared" si="18"/>
        <v>-4</v>
      </c>
      <c r="K210" s="152">
        <f t="shared" si="15"/>
        <v>-40</v>
      </c>
      <c r="L210" s="152"/>
      <c r="M210" s="154">
        <f t="shared" si="16"/>
        <v>0</v>
      </c>
    </row>
    <row r="211" spans="1:13" x14ac:dyDescent="0.25">
      <c r="A211" s="168"/>
      <c r="G211" s="138"/>
      <c r="H211" s="152">
        <v>206</v>
      </c>
      <c r="I211" s="153" t="str">
        <f t="shared" si="17"/>
        <v/>
      </c>
      <c r="J211" s="152">
        <f t="shared" si="18"/>
        <v>-4</v>
      </c>
      <c r="K211" s="152">
        <f t="shared" si="15"/>
        <v>-40</v>
      </c>
      <c r="L211" s="152"/>
      <c r="M211" s="154">
        <f t="shared" si="16"/>
        <v>0</v>
      </c>
    </row>
    <row r="212" spans="1:13" x14ac:dyDescent="0.25">
      <c r="A212" s="168"/>
      <c r="G212" s="138"/>
      <c r="H212" s="152">
        <v>207</v>
      </c>
      <c r="I212" s="153" t="str">
        <f t="shared" si="17"/>
        <v/>
      </c>
      <c r="J212" s="152">
        <f t="shared" si="18"/>
        <v>-4</v>
      </c>
      <c r="K212" s="152">
        <f t="shared" si="15"/>
        <v>-40</v>
      </c>
      <c r="L212" s="152"/>
      <c r="M212" s="154">
        <f t="shared" si="16"/>
        <v>0</v>
      </c>
    </row>
    <row r="213" spans="1:13" x14ac:dyDescent="0.25">
      <c r="A213" s="168"/>
      <c r="G213" s="138"/>
      <c r="H213" s="152">
        <v>208</v>
      </c>
      <c r="I213" s="153" t="str">
        <f t="shared" si="17"/>
        <v/>
      </c>
      <c r="J213" s="152">
        <f t="shared" si="18"/>
        <v>-4</v>
      </c>
      <c r="K213" s="152">
        <f t="shared" si="15"/>
        <v>-40</v>
      </c>
      <c r="L213" s="152"/>
      <c r="M213" s="154">
        <f t="shared" si="16"/>
        <v>0</v>
      </c>
    </row>
    <row r="214" spans="1:13" x14ac:dyDescent="0.25">
      <c r="A214" s="168"/>
      <c r="G214" s="138"/>
      <c r="H214" s="152">
        <v>209</v>
      </c>
      <c r="I214" s="153" t="str">
        <f t="shared" si="17"/>
        <v/>
      </c>
      <c r="J214" s="152">
        <f t="shared" si="18"/>
        <v>-4</v>
      </c>
      <c r="K214" s="152">
        <f t="shared" si="15"/>
        <v>-40</v>
      </c>
      <c r="L214" s="152"/>
      <c r="M214" s="154">
        <f t="shared" si="16"/>
        <v>0</v>
      </c>
    </row>
    <row r="215" spans="1:13" x14ac:dyDescent="0.25">
      <c r="A215" s="168"/>
      <c r="G215" s="138"/>
      <c r="H215" s="152">
        <v>210</v>
      </c>
      <c r="I215" s="153" t="str">
        <f t="shared" si="17"/>
        <v/>
      </c>
      <c r="J215" s="152">
        <f t="shared" si="18"/>
        <v>-4</v>
      </c>
      <c r="K215" s="152">
        <f t="shared" si="15"/>
        <v>-40</v>
      </c>
      <c r="L215" s="152"/>
      <c r="M215" s="154">
        <f t="shared" si="16"/>
        <v>0</v>
      </c>
    </row>
    <row r="216" spans="1:13" x14ac:dyDescent="0.25">
      <c r="A216" s="168"/>
      <c r="G216" s="138"/>
      <c r="H216" s="152">
        <v>211</v>
      </c>
      <c r="I216" s="153" t="str">
        <f t="shared" si="17"/>
        <v/>
      </c>
      <c r="J216" s="152">
        <f t="shared" si="18"/>
        <v>-4</v>
      </c>
      <c r="K216" s="152">
        <f t="shared" si="15"/>
        <v>-40</v>
      </c>
      <c r="L216" s="152"/>
      <c r="M216" s="154">
        <f t="shared" si="16"/>
        <v>0</v>
      </c>
    </row>
    <row r="217" spans="1:13" x14ac:dyDescent="0.25">
      <c r="A217" s="168"/>
      <c r="G217" s="138"/>
      <c r="H217" s="152">
        <v>212</v>
      </c>
      <c r="I217" s="153" t="str">
        <f t="shared" si="17"/>
        <v/>
      </c>
      <c r="J217" s="152">
        <f t="shared" si="18"/>
        <v>-4</v>
      </c>
      <c r="K217" s="152">
        <f t="shared" si="15"/>
        <v>-40</v>
      </c>
      <c r="L217" s="152"/>
      <c r="M217" s="154">
        <f t="shared" si="16"/>
        <v>0</v>
      </c>
    </row>
    <row r="218" spans="1:13" x14ac:dyDescent="0.25">
      <c r="A218" s="168"/>
      <c r="G218" s="138"/>
      <c r="H218" s="152">
        <v>213</v>
      </c>
      <c r="I218" s="153" t="str">
        <f t="shared" si="17"/>
        <v/>
      </c>
      <c r="J218" s="152">
        <f t="shared" si="18"/>
        <v>-4</v>
      </c>
      <c r="K218" s="152">
        <f t="shared" si="15"/>
        <v>-40</v>
      </c>
      <c r="L218" s="152"/>
      <c r="M218" s="154">
        <f t="shared" si="16"/>
        <v>0</v>
      </c>
    </row>
    <row r="219" spans="1:13" x14ac:dyDescent="0.25">
      <c r="A219" s="168"/>
      <c r="G219" s="138"/>
      <c r="H219" s="152">
        <v>214</v>
      </c>
      <c r="I219" s="153" t="str">
        <f t="shared" si="17"/>
        <v/>
      </c>
      <c r="J219" s="152">
        <f t="shared" si="18"/>
        <v>-4</v>
      </c>
      <c r="K219" s="152">
        <f t="shared" si="15"/>
        <v>-40</v>
      </c>
      <c r="L219" s="152"/>
      <c r="M219" s="154">
        <f t="shared" si="16"/>
        <v>0</v>
      </c>
    </row>
    <row r="220" spans="1:13" x14ac:dyDescent="0.25">
      <c r="A220" s="168"/>
      <c r="G220" s="138"/>
      <c r="H220" s="152">
        <v>215</v>
      </c>
      <c r="I220" s="153" t="str">
        <f t="shared" si="17"/>
        <v/>
      </c>
      <c r="J220" s="152">
        <f t="shared" si="18"/>
        <v>-4</v>
      </c>
      <c r="K220" s="152">
        <f t="shared" si="15"/>
        <v>-40</v>
      </c>
      <c r="L220" s="152"/>
      <c r="M220" s="154">
        <f t="shared" si="16"/>
        <v>0</v>
      </c>
    </row>
    <row r="221" spans="1:13" x14ac:dyDescent="0.25">
      <c r="A221" s="168"/>
      <c r="G221" s="138"/>
      <c r="H221" s="152">
        <v>216</v>
      </c>
      <c r="I221" s="153" t="str">
        <f t="shared" si="17"/>
        <v/>
      </c>
      <c r="J221" s="152">
        <f t="shared" si="18"/>
        <v>-4</v>
      </c>
      <c r="K221" s="152">
        <f t="shared" si="15"/>
        <v>-40</v>
      </c>
      <c r="L221" s="152"/>
      <c r="M221" s="154">
        <f t="shared" si="16"/>
        <v>0</v>
      </c>
    </row>
    <row r="222" spans="1:13" x14ac:dyDescent="0.25">
      <c r="A222" s="168"/>
      <c r="G222" s="138"/>
      <c r="H222" s="152">
        <v>217</v>
      </c>
      <c r="I222" s="153" t="str">
        <f t="shared" si="17"/>
        <v/>
      </c>
      <c r="J222" s="152">
        <f t="shared" si="18"/>
        <v>-4</v>
      </c>
      <c r="K222" s="152">
        <f t="shared" si="15"/>
        <v>-40</v>
      </c>
      <c r="L222" s="152"/>
      <c r="M222" s="154">
        <f t="shared" si="16"/>
        <v>0</v>
      </c>
    </row>
    <row r="223" spans="1:13" x14ac:dyDescent="0.25">
      <c r="A223" s="168"/>
      <c r="G223" s="138"/>
      <c r="H223" s="152">
        <v>218</v>
      </c>
      <c r="I223" s="153" t="str">
        <f t="shared" si="17"/>
        <v/>
      </c>
      <c r="J223" s="152">
        <f t="shared" si="18"/>
        <v>-4</v>
      </c>
      <c r="K223" s="152">
        <f t="shared" si="15"/>
        <v>-40</v>
      </c>
      <c r="L223" s="152"/>
      <c r="M223" s="154">
        <f t="shared" si="16"/>
        <v>0</v>
      </c>
    </row>
    <row r="224" spans="1:13" x14ac:dyDescent="0.25">
      <c r="A224" s="168"/>
      <c r="G224" s="138"/>
      <c r="H224" s="152">
        <v>219</v>
      </c>
      <c r="I224" s="153" t="str">
        <f t="shared" si="17"/>
        <v/>
      </c>
      <c r="J224" s="152">
        <f t="shared" si="18"/>
        <v>-4</v>
      </c>
      <c r="K224" s="152">
        <f t="shared" si="15"/>
        <v>-40</v>
      </c>
      <c r="L224" s="152"/>
      <c r="M224" s="154">
        <f t="shared" si="16"/>
        <v>0</v>
      </c>
    </row>
    <row r="225" spans="1:13" x14ac:dyDescent="0.25">
      <c r="A225" s="168"/>
      <c r="G225" s="138"/>
      <c r="H225" s="152">
        <v>220</v>
      </c>
      <c r="I225" s="153" t="str">
        <f t="shared" si="17"/>
        <v/>
      </c>
      <c r="J225" s="152">
        <f t="shared" si="18"/>
        <v>-4</v>
      </c>
      <c r="K225" s="152">
        <f t="shared" si="15"/>
        <v>-40</v>
      </c>
      <c r="L225" s="152"/>
      <c r="M225" s="154">
        <f t="shared" si="16"/>
        <v>0</v>
      </c>
    </row>
    <row r="226" spans="1:13" x14ac:dyDescent="0.25">
      <c r="A226" s="168"/>
      <c r="G226" s="138"/>
      <c r="H226" s="152">
        <v>221</v>
      </c>
      <c r="I226" s="153" t="str">
        <f t="shared" si="17"/>
        <v/>
      </c>
      <c r="J226" s="152">
        <f t="shared" si="18"/>
        <v>-4</v>
      </c>
      <c r="K226" s="152">
        <f t="shared" si="15"/>
        <v>-40</v>
      </c>
      <c r="L226" s="152"/>
      <c r="M226" s="154">
        <f t="shared" si="16"/>
        <v>0</v>
      </c>
    </row>
    <row r="227" spans="1:13" x14ac:dyDescent="0.25">
      <c r="A227" s="168"/>
      <c r="G227" s="138"/>
      <c r="H227" s="152">
        <v>222</v>
      </c>
      <c r="I227" s="153" t="str">
        <f t="shared" si="17"/>
        <v/>
      </c>
      <c r="J227" s="152">
        <f t="shared" si="18"/>
        <v>-4</v>
      </c>
      <c r="K227" s="152">
        <f t="shared" si="15"/>
        <v>-40</v>
      </c>
      <c r="L227" s="152"/>
      <c r="M227" s="154">
        <f t="shared" si="16"/>
        <v>0</v>
      </c>
    </row>
    <row r="228" spans="1:13" x14ac:dyDescent="0.25">
      <c r="A228" s="168"/>
      <c r="G228" s="138"/>
      <c r="H228" s="152">
        <v>223</v>
      </c>
      <c r="I228" s="153" t="str">
        <f t="shared" si="17"/>
        <v/>
      </c>
      <c r="J228" s="152">
        <f t="shared" si="18"/>
        <v>-4</v>
      </c>
      <c r="K228" s="152">
        <f t="shared" si="15"/>
        <v>-40</v>
      </c>
      <c r="L228" s="152"/>
      <c r="M228" s="154">
        <f t="shared" si="16"/>
        <v>0</v>
      </c>
    </row>
    <row r="229" spans="1:13" x14ac:dyDescent="0.25">
      <c r="A229" s="168"/>
      <c r="G229" s="138"/>
      <c r="H229" s="152">
        <v>224</v>
      </c>
      <c r="I229" s="153" t="str">
        <f t="shared" si="17"/>
        <v/>
      </c>
      <c r="J229" s="152">
        <f t="shared" si="18"/>
        <v>-4</v>
      </c>
      <c r="K229" s="152">
        <f t="shared" si="15"/>
        <v>-40</v>
      </c>
      <c r="L229" s="152"/>
      <c r="M229" s="154">
        <f t="shared" si="16"/>
        <v>0</v>
      </c>
    </row>
    <row r="230" spans="1:13" x14ac:dyDescent="0.25">
      <c r="A230" s="168"/>
      <c r="G230" s="138"/>
      <c r="H230" s="152">
        <v>225</v>
      </c>
      <c r="I230" s="153" t="str">
        <f t="shared" si="17"/>
        <v/>
      </c>
      <c r="J230" s="152">
        <f t="shared" si="18"/>
        <v>-4</v>
      </c>
      <c r="K230" s="152">
        <f t="shared" si="15"/>
        <v>-40</v>
      </c>
      <c r="L230" s="152"/>
      <c r="M230" s="154">
        <f t="shared" si="16"/>
        <v>0</v>
      </c>
    </row>
    <row r="231" spans="1:13" x14ac:dyDescent="0.25">
      <c r="A231" s="168"/>
      <c r="G231" s="138"/>
      <c r="H231" s="152">
        <v>226</v>
      </c>
      <c r="I231" s="153" t="str">
        <f t="shared" si="17"/>
        <v/>
      </c>
      <c r="J231" s="152">
        <f t="shared" si="18"/>
        <v>-4</v>
      </c>
      <c r="K231" s="152">
        <f t="shared" si="15"/>
        <v>-40</v>
      </c>
      <c r="L231" s="152"/>
      <c r="M231" s="154">
        <f t="shared" si="16"/>
        <v>0</v>
      </c>
    </row>
    <row r="232" spans="1:13" x14ac:dyDescent="0.25">
      <c r="A232" s="168"/>
      <c r="G232" s="138"/>
      <c r="H232" s="152">
        <v>227</v>
      </c>
      <c r="I232" s="153" t="str">
        <f t="shared" si="17"/>
        <v/>
      </c>
      <c r="J232" s="152">
        <f t="shared" si="18"/>
        <v>-4</v>
      </c>
      <c r="K232" s="152">
        <f t="shared" si="15"/>
        <v>-40</v>
      </c>
      <c r="L232" s="152"/>
      <c r="M232" s="154">
        <f t="shared" si="16"/>
        <v>0</v>
      </c>
    </row>
    <row r="233" spans="1:13" x14ac:dyDescent="0.25">
      <c r="A233" s="168"/>
      <c r="G233" s="138"/>
      <c r="H233" s="152">
        <v>228</v>
      </c>
      <c r="I233" s="153" t="str">
        <f t="shared" si="17"/>
        <v/>
      </c>
      <c r="J233" s="152">
        <f t="shared" si="18"/>
        <v>-4</v>
      </c>
      <c r="K233" s="152">
        <f t="shared" si="15"/>
        <v>-40</v>
      </c>
      <c r="L233" s="152"/>
      <c r="M233" s="154">
        <f t="shared" si="16"/>
        <v>0</v>
      </c>
    </row>
    <row r="234" spans="1:13" x14ac:dyDescent="0.25">
      <c r="A234" s="168"/>
      <c r="G234" s="138"/>
      <c r="H234" s="152">
        <v>229</v>
      </c>
      <c r="I234" s="153" t="str">
        <f t="shared" si="17"/>
        <v/>
      </c>
      <c r="J234" s="152">
        <f t="shared" si="18"/>
        <v>-4</v>
      </c>
      <c r="K234" s="152">
        <f t="shared" si="15"/>
        <v>-40</v>
      </c>
      <c r="L234" s="152"/>
      <c r="M234" s="154">
        <f t="shared" si="16"/>
        <v>0</v>
      </c>
    </row>
    <row r="235" spans="1:13" x14ac:dyDescent="0.25">
      <c r="A235" s="168"/>
      <c r="G235" s="138"/>
      <c r="H235" s="152">
        <v>230</v>
      </c>
      <c r="I235" s="153" t="str">
        <f t="shared" si="17"/>
        <v/>
      </c>
      <c r="J235" s="152">
        <f t="shared" si="18"/>
        <v>-4</v>
      </c>
      <c r="K235" s="152">
        <f t="shared" si="15"/>
        <v>-40</v>
      </c>
      <c r="L235" s="152"/>
      <c r="M235" s="154">
        <f t="shared" si="16"/>
        <v>0</v>
      </c>
    </row>
    <row r="236" spans="1:13" x14ac:dyDescent="0.25">
      <c r="A236" s="168"/>
      <c r="G236" s="138"/>
      <c r="H236" s="152">
        <v>231</v>
      </c>
      <c r="I236" s="153" t="str">
        <f t="shared" si="17"/>
        <v/>
      </c>
      <c r="J236" s="152">
        <f t="shared" si="18"/>
        <v>-4</v>
      </c>
      <c r="K236" s="152">
        <f t="shared" si="15"/>
        <v>-40</v>
      </c>
      <c r="L236" s="152"/>
      <c r="M236" s="154">
        <f t="shared" si="16"/>
        <v>0</v>
      </c>
    </row>
    <row r="237" spans="1:13" x14ac:dyDescent="0.25">
      <c r="A237" s="168"/>
      <c r="G237" s="138"/>
      <c r="H237" s="152">
        <v>232</v>
      </c>
      <c r="I237" s="153" t="str">
        <f t="shared" si="17"/>
        <v/>
      </c>
      <c r="J237" s="152">
        <f t="shared" si="18"/>
        <v>-4</v>
      </c>
      <c r="K237" s="152">
        <f t="shared" si="15"/>
        <v>-40</v>
      </c>
      <c r="L237" s="152"/>
      <c r="M237" s="154">
        <f t="shared" si="16"/>
        <v>0</v>
      </c>
    </row>
    <row r="238" spans="1:13" x14ac:dyDescent="0.25">
      <c r="A238" s="168"/>
      <c r="G238" s="138"/>
      <c r="H238" s="152">
        <v>233</v>
      </c>
      <c r="I238" s="153" t="str">
        <f t="shared" si="17"/>
        <v/>
      </c>
      <c r="J238" s="152">
        <f t="shared" si="18"/>
        <v>-4</v>
      </c>
      <c r="K238" s="152">
        <f t="shared" si="15"/>
        <v>-40</v>
      </c>
      <c r="L238" s="152"/>
      <c r="M238" s="154">
        <f t="shared" si="16"/>
        <v>0</v>
      </c>
    </row>
    <row r="239" spans="1:13" x14ac:dyDescent="0.25">
      <c r="A239" s="168"/>
      <c r="G239" s="138"/>
      <c r="H239" s="152">
        <v>234</v>
      </c>
      <c r="I239" s="153" t="str">
        <f t="shared" si="17"/>
        <v/>
      </c>
      <c r="J239" s="152">
        <f t="shared" si="18"/>
        <v>-4</v>
      </c>
      <c r="K239" s="152">
        <f t="shared" si="15"/>
        <v>-40</v>
      </c>
      <c r="L239" s="152"/>
      <c r="M239" s="154">
        <f t="shared" si="16"/>
        <v>0</v>
      </c>
    </row>
    <row r="240" spans="1:13" x14ac:dyDescent="0.25">
      <c r="A240" s="168"/>
      <c r="G240" s="138"/>
      <c r="H240" s="152">
        <v>235</v>
      </c>
      <c r="I240" s="153" t="str">
        <f t="shared" si="17"/>
        <v/>
      </c>
      <c r="J240" s="152">
        <f t="shared" si="18"/>
        <v>-4</v>
      </c>
      <c r="K240" s="152">
        <f t="shared" si="15"/>
        <v>-40</v>
      </c>
      <c r="L240" s="152"/>
      <c r="M240" s="154">
        <f t="shared" si="16"/>
        <v>0</v>
      </c>
    </row>
    <row r="241" spans="1:13" x14ac:dyDescent="0.25">
      <c r="A241" s="168"/>
      <c r="G241" s="138"/>
      <c r="H241" s="152">
        <v>236</v>
      </c>
      <c r="I241" s="153" t="str">
        <f t="shared" si="17"/>
        <v/>
      </c>
      <c r="J241" s="152">
        <f t="shared" si="18"/>
        <v>-4</v>
      </c>
      <c r="K241" s="152">
        <f t="shared" si="15"/>
        <v>-40</v>
      </c>
      <c r="L241" s="152"/>
      <c r="M241" s="154">
        <f t="shared" si="16"/>
        <v>0</v>
      </c>
    </row>
    <row r="242" spans="1:13" x14ac:dyDescent="0.25">
      <c r="A242" s="168"/>
      <c r="G242" s="138"/>
      <c r="H242" s="152">
        <v>237</v>
      </c>
      <c r="I242" s="153" t="str">
        <f t="shared" si="17"/>
        <v/>
      </c>
      <c r="J242" s="152">
        <f t="shared" si="18"/>
        <v>-4</v>
      </c>
      <c r="K242" s="152">
        <f t="shared" si="15"/>
        <v>-40</v>
      </c>
      <c r="L242" s="152"/>
      <c r="M242" s="154">
        <f t="shared" si="16"/>
        <v>0</v>
      </c>
    </row>
    <row r="243" spans="1:13" x14ac:dyDescent="0.25">
      <c r="A243" s="168"/>
      <c r="G243" s="138"/>
      <c r="H243" s="152">
        <v>238</v>
      </c>
      <c r="I243" s="153" t="str">
        <f t="shared" si="17"/>
        <v/>
      </c>
      <c r="J243" s="152">
        <f t="shared" si="18"/>
        <v>-4</v>
      </c>
      <c r="K243" s="152">
        <f t="shared" si="15"/>
        <v>-40</v>
      </c>
      <c r="L243" s="152"/>
      <c r="M243" s="154">
        <f t="shared" si="16"/>
        <v>0</v>
      </c>
    </row>
    <row r="244" spans="1:13" x14ac:dyDescent="0.25">
      <c r="A244" s="168"/>
      <c r="G244" s="138"/>
      <c r="H244" s="152">
        <v>239</v>
      </c>
      <c r="I244" s="153" t="str">
        <f t="shared" si="17"/>
        <v/>
      </c>
      <c r="J244" s="152">
        <f t="shared" si="18"/>
        <v>-4</v>
      </c>
      <c r="K244" s="152">
        <f t="shared" si="15"/>
        <v>-40</v>
      </c>
      <c r="L244" s="152"/>
      <c r="M244" s="154">
        <f t="shared" si="16"/>
        <v>0</v>
      </c>
    </row>
    <row r="245" spans="1:13" x14ac:dyDescent="0.25">
      <c r="A245" s="168"/>
      <c r="G245" s="138"/>
      <c r="H245" s="152">
        <v>240</v>
      </c>
      <c r="I245" s="153" t="str">
        <f t="shared" si="17"/>
        <v/>
      </c>
      <c r="J245" s="152">
        <f t="shared" si="18"/>
        <v>-4</v>
      </c>
      <c r="K245" s="152">
        <f t="shared" si="15"/>
        <v>-40</v>
      </c>
      <c r="L245" s="152"/>
      <c r="M245" s="154">
        <f t="shared" si="16"/>
        <v>0</v>
      </c>
    </row>
    <row r="246" spans="1:13" x14ac:dyDescent="0.25">
      <c r="A246" s="168"/>
      <c r="G246" s="138"/>
      <c r="H246" s="152">
        <v>241</v>
      </c>
      <c r="I246" s="153" t="str">
        <f t="shared" si="17"/>
        <v/>
      </c>
      <c r="J246" s="152">
        <f t="shared" si="18"/>
        <v>-4</v>
      </c>
      <c r="K246" s="152">
        <f t="shared" si="15"/>
        <v>-40</v>
      </c>
      <c r="L246" s="152"/>
      <c r="M246" s="154">
        <f t="shared" si="16"/>
        <v>0</v>
      </c>
    </row>
    <row r="247" spans="1:13" x14ac:dyDescent="0.25">
      <c r="A247" s="168"/>
      <c r="G247" s="138"/>
      <c r="H247" s="152">
        <v>242</v>
      </c>
      <c r="I247" s="153" t="str">
        <f t="shared" si="17"/>
        <v/>
      </c>
      <c r="J247" s="152">
        <f t="shared" si="18"/>
        <v>-4</v>
      </c>
      <c r="K247" s="152">
        <f t="shared" si="15"/>
        <v>-40</v>
      </c>
      <c r="L247" s="152"/>
      <c r="M247" s="154">
        <f t="shared" si="16"/>
        <v>0</v>
      </c>
    </row>
    <row r="248" spans="1:13" x14ac:dyDescent="0.25">
      <c r="A248" s="168"/>
      <c r="G248" s="138"/>
      <c r="H248" s="152">
        <v>243</v>
      </c>
      <c r="I248" s="153" t="str">
        <f t="shared" si="17"/>
        <v/>
      </c>
      <c r="J248" s="152">
        <f t="shared" si="18"/>
        <v>-4</v>
      </c>
      <c r="K248" s="152">
        <f t="shared" si="15"/>
        <v>-40</v>
      </c>
      <c r="L248" s="152"/>
      <c r="M248" s="154">
        <f t="shared" si="16"/>
        <v>0</v>
      </c>
    </row>
    <row r="249" spans="1:13" x14ac:dyDescent="0.25">
      <c r="A249" s="168"/>
      <c r="G249" s="138"/>
      <c r="H249" s="152">
        <v>244</v>
      </c>
      <c r="I249" s="153" t="str">
        <f t="shared" si="17"/>
        <v/>
      </c>
      <c r="J249" s="152">
        <f t="shared" si="18"/>
        <v>-4</v>
      </c>
      <c r="K249" s="152">
        <f t="shared" si="15"/>
        <v>-40</v>
      </c>
      <c r="L249" s="152"/>
      <c r="M249" s="154">
        <f t="shared" si="16"/>
        <v>0</v>
      </c>
    </row>
    <row r="250" spans="1:13" x14ac:dyDescent="0.25">
      <c r="A250" s="168"/>
      <c r="G250" s="138"/>
      <c r="H250" s="152">
        <v>245</v>
      </c>
      <c r="I250" s="153" t="str">
        <f t="shared" si="17"/>
        <v/>
      </c>
      <c r="J250" s="152">
        <f t="shared" si="18"/>
        <v>-4</v>
      </c>
      <c r="K250" s="152">
        <f t="shared" si="15"/>
        <v>-40</v>
      </c>
      <c r="L250" s="152"/>
      <c r="M250" s="154">
        <f t="shared" si="16"/>
        <v>0</v>
      </c>
    </row>
    <row r="251" spans="1:13" x14ac:dyDescent="0.25">
      <c r="A251" s="168"/>
      <c r="G251" s="138"/>
      <c r="H251" s="152">
        <v>246</v>
      </c>
      <c r="I251" s="153" t="str">
        <f t="shared" si="17"/>
        <v/>
      </c>
      <c r="J251" s="152">
        <f t="shared" si="18"/>
        <v>-4</v>
      </c>
      <c r="K251" s="152">
        <f t="shared" si="15"/>
        <v>-40</v>
      </c>
      <c r="L251" s="152"/>
      <c r="M251" s="154">
        <f t="shared" si="16"/>
        <v>0</v>
      </c>
    </row>
    <row r="252" spans="1:13" x14ac:dyDescent="0.25">
      <c r="A252" s="168"/>
      <c r="G252" s="138"/>
      <c r="H252" s="152">
        <v>247</v>
      </c>
      <c r="I252" s="153" t="str">
        <f t="shared" si="17"/>
        <v/>
      </c>
      <c r="J252" s="152">
        <f t="shared" si="18"/>
        <v>-4</v>
      </c>
      <c r="K252" s="152">
        <f t="shared" si="15"/>
        <v>-40</v>
      </c>
      <c r="L252" s="152"/>
      <c r="M252" s="154">
        <f t="shared" si="16"/>
        <v>0</v>
      </c>
    </row>
    <row r="253" spans="1:13" x14ac:dyDescent="0.25">
      <c r="A253" s="168"/>
      <c r="G253" s="138"/>
      <c r="H253" s="152">
        <v>248</v>
      </c>
      <c r="I253" s="153" t="str">
        <f t="shared" si="17"/>
        <v/>
      </c>
      <c r="J253" s="152">
        <f t="shared" si="18"/>
        <v>-4</v>
      </c>
      <c r="K253" s="152">
        <f t="shared" si="15"/>
        <v>-40</v>
      </c>
      <c r="L253" s="152"/>
      <c r="M253" s="154">
        <f t="shared" si="16"/>
        <v>0</v>
      </c>
    </row>
    <row r="254" spans="1:13" x14ac:dyDescent="0.25">
      <c r="A254" s="168"/>
      <c r="G254" s="138"/>
      <c r="H254" s="152">
        <v>249</v>
      </c>
      <c r="I254" s="153" t="str">
        <f t="shared" si="17"/>
        <v/>
      </c>
      <c r="J254" s="152">
        <f t="shared" si="18"/>
        <v>-4</v>
      </c>
      <c r="K254" s="152">
        <f t="shared" si="15"/>
        <v>-40</v>
      </c>
      <c r="L254" s="152"/>
      <c r="M254" s="154">
        <f t="shared" si="16"/>
        <v>0</v>
      </c>
    </row>
    <row r="255" spans="1:13" x14ac:dyDescent="0.25">
      <c r="A255" s="168"/>
      <c r="G255" s="138"/>
      <c r="H255" s="152">
        <v>250</v>
      </c>
      <c r="I255" s="153" t="str">
        <f t="shared" si="17"/>
        <v/>
      </c>
      <c r="J255" s="152">
        <f t="shared" si="18"/>
        <v>-4</v>
      </c>
      <c r="K255" s="152">
        <f t="shared" si="15"/>
        <v>-40</v>
      </c>
      <c r="L255" s="152"/>
      <c r="M255" s="154">
        <f t="shared" si="16"/>
        <v>0</v>
      </c>
    </row>
    <row r="256" spans="1:13" x14ac:dyDescent="0.25">
      <c r="A256" s="168"/>
      <c r="G256" s="138"/>
      <c r="H256" s="152">
        <v>251</v>
      </c>
      <c r="I256" s="153" t="str">
        <f t="shared" si="17"/>
        <v/>
      </c>
      <c r="J256" s="152">
        <f t="shared" si="18"/>
        <v>-4</v>
      </c>
      <c r="K256" s="152">
        <f t="shared" si="15"/>
        <v>-40</v>
      </c>
      <c r="L256" s="152"/>
      <c r="M256" s="154">
        <f t="shared" si="16"/>
        <v>0</v>
      </c>
    </row>
    <row r="257" spans="1:13" x14ac:dyDescent="0.25">
      <c r="A257" s="168"/>
      <c r="G257" s="138"/>
      <c r="H257" s="152">
        <v>252</v>
      </c>
      <c r="I257" s="153" t="str">
        <f t="shared" si="17"/>
        <v/>
      </c>
      <c r="J257" s="152">
        <f t="shared" si="18"/>
        <v>-4</v>
      </c>
      <c r="K257" s="152">
        <f t="shared" si="15"/>
        <v>-40</v>
      </c>
      <c r="L257" s="152"/>
      <c r="M257" s="154">
        <f t="shared" si="16"/>
        <v>0</v>
      </c>
    </row>
    <row r="258" spans="1:13" x14ac:dyDescent="0.25">
      <c r="A258" s="168"/>
      <c r="G258" s="138"/>
      <c r="H258" s="152">
        <v>253</v>
      </c>
      <c r="I258" s="153" t="str">
        <f t="shared" si="17"/>
        <v/>
      </c>
      <c r="J258" s="152">
        <f t="shared" si="18"/>
        <v>-4</v>
      </c>
      <c r="K258" s="152">
        <f t="shared" si="15"/>
        <v>-40</v>
      </c>
      <c r="L258" s="152"/>
      <c r="M258" s="154">
        <f t="shared" si="16"/>
        <v>0</v>
      </c>
    </row>
    <row r="259" spans="1:13" x14ac:dyDescent="0.25">
      <c r="A259" s="168"/>
      <c r="G259" s="138"/>
      <c r="H259" s="152">
        <v>254</v>
      </c>
      <c r="I259" s="153" t="str">
        <f t="shared" si="17"/>
        <v/>
      </c>
      <c r="J259" s="152">
        <f t="shared" si="18"/>
        <v>-4</v>
      </c>
      <c r="K259" s="152">
        <f t="shared" si="15"/>
        <v>-40</v>
      </c>
      <c r="L259" s="152"/>
      <c r="M259" s="154">
        <f t="shared" si="16"/>
        <v>0</v>
      </c>
    </row>
    <row r="260" spans="1:13" x14ac:dyDescent="0.25">
      <c r="A260" s="168"/>
      <c r="G260" s="138"/>
      <c r="H260" s="152">
        <v>255</v>
      </c>
      <c r="I260" s="153" t="str">
        <f t="shared" si="17"/>
        <v/>
      </c>
      <c r="J260" s="152">
        <f t="shared" si="18"/>
        <v>-4</v>
      </c>
      <c r="K260" s="152">
        <f t="shared" si="15"/>
        <v>-40</v>
      </c>
      <c r="L260" s="152"/>
      <c r="M260" s="154">
        <f t="shared" si="16"/>
        <v>0</v>
      </c>
    </row>
    <row r="261" spans="1:13" x14ac:dyDescent="0.25">
      <c r="A261" s="168"/>
      <c r="G261" s="138"/>
      <c r="H261" s="152">
        <v>256</v>
      </c>
      <c r="I261" s="153" t="str">
        <f t="shared" si="17"/>
        <v/>
      </c>
      <c r="J261" s="152">
        <f t="shared" si="18"/>
        <v>-4</v>
      </c>
      <c r="K261" s="152">
        <f t="shared" si="15"/>
        <v>-40</v>
      </c>
      <c r="L261" s="152"/>
      <c r="M261" s="154">
        <f t="shared" si="16"/>
        <v>0</v>
      </c>
    </row>
    <row r="262" spans="1:13" x14ac:dyDescent="0.25">
      <c r="A262" s="168"/>
      <c r="G262" s="138"/>
      <c r="H262" s="152">
        <v>257</v>
      </c>
      <c r="I262" s="153" t="str">
        <f t="shared" si="17"/>
        <v/>
      </c>
      <c r="J262" s="152">
        <f t="shared" si="18"/>
        <v>-5</v>
      </c>
      <c r="K262" s="152">
        <f t="shared" ref="K262:K305" si="19">J262*$J$2</f>
        <v>-50</v>
      </c>
      <c r="L262" s="152"/>
      <c r="M262" s="154">
        <f t="shared" ref="M262:M305" si="20">IF(I262&lt;&gt;"",K262+I262+L262,0)</f>
        <v>0</v>
      </c>
    </row>
    <row r="263" spans="1:13" x14ac:dyDescent="0.25">
      <c r="A263" s="168"/>
      <c r="G263" s="138"/>
      <c r="H263" s="152">
        <v>258</v>
      </c>
      <c r="I263" s="153" t="str">
        <f t="shared" ref="I263:I305" si="21">IF(H263&lt;$H$2+1,($I$2-($I$2-1)*(LOG(H263)/LOG($H$2))),"")</f>
        <v/>
      </c>
      <c r="J263" s="152">
        <f t="shared" ref="J263:J305" si="22">INT(LOG($H$2,2))-ROUNDUP(LOG(H263,2),0)+IF(OR($H$2=1,$H$2=2,$H$2=4,$H$2=8,$H$2=16,$H$2=32,$H$2=64,$H$2=128,$H$2=256),0,1)</f>
        <v>-5</v>
      </c>
      <c r="K263" s="152">
        <f t="shared" si="19"/>
        <v>-50</v>
      </c>
      <c r="L263" s="152"/>
      <c r="M263" s="154">
        <f t="shared" si="20"/>
        <v>0</v>
      </c>
    </row>
    <row r="264" spans="1:13" x14ac:dyDescent="0.25">
      <c r="A264" s="168"/>
      <c r="G264" s="138"/>
      <c r="H264" s="152">
        <v>259</v>
      </c>
      <c r="I264" s="153" t="str">
        <f t="shared" si="21"/>
        <v/>
      </c>
      <c r="J264" s="152">
        <f t="shared" si="22"/>
        <v>-5</v>
      </c>
      <c r="K264" s="152">
        <f t="shared" si="19"/>
        <v>-50</v>
      </c>
      <c r="L264" s="152"/>
      <c r="M264" s="154">
        <f t="shared" si="20"/>
        <v>0</v>
      </c>
    </row>
    <row r="265" spans="1:13" x14ac:dyDescent="0.25">
      <c r="A265" s="168"/>
      <c r="G265" s="138"/>
      <c r="H265" s="152">
        <v>260</v>
      </c>
      <c r="I265" s="153" t="str">
        <f t="shared" si="21"/>
        <v/>
      </c>
      <c r="J265" s="152">
        <f t="shared" si="22"/>
        <v>-5</v>
      </c>
      <c r="K265" s="152">
        <f t="shared" si="19"/>
        <v>-50</v>
      </c>
      <c r="L265" s="152"/>
      <c r="M265" s="154">
        <f t="shared" si="20"/>
        <v>0</v>
      </c>
    </row>
    <row r="266" spans="1:13" x14ac:dyDescent="0.25">
      <c r="A266" s="168"/>
      <c r="G266" s="138"/>
      <c r="H266" s="152">
        <v>261</v>
      </c>
      <c r="I266" s="153" t="str">
        <f t="shared" si="21"/>
        <v/>
      </c>
      <c r="J266" s="152">
        <f t="shared" si="22"/>
        <v>-5</v>
      </c>
      <c r="K266" s="152">
        <f t="shared" si="19"/>
        <v>-50</v>
      </c>
      <c r="L266" s="152"/>
      <c r="M266" s="154">
        <f t="shared" si="20"/>
        <v>0</v>
      </c>
    </row>
    <row r="267" spans="1:13" x14ac:dyDescent="0.25">
      <c r="A267" s="168"/>
      <c r="G267" s="138"/>
      <c r="H267" s="152">
        <v>262</v>
      </c>
      <c r="I267" s="153" t="str">
        <f t="shared" si="21"/>
        <v/>
      </c>
      <c r="J267" s="152">
        <f t="shared" si="22"/>
        <v>-5</v>
      </c>
      <c r="K267" s="152">
        <f t="shared" si="19"/>
        <v>-50</v>
      </c>
      <c r="L267" s="152"/>
      <c r="M267" s="154">
        <f t="shared" si="20"/>
        <v>0</v>
      </c>
    </row>
    <row r="268" spans="1:13" x14ac:dyDescent="0.25">
      <c r="A268" s="168"/>
      <c r="G268" s="138"/>
      <c r="H268" s="152">
        <v>263</v>
      </c>
      <c r="I268" s="153" t="str">
        <f t="shared" si="21"/>
        <v/>
      </c>
      <c r="J268" s="152">
        <f t="shared" si="22"/>
        <v>-5</v>
      </c>
      <c r="K268" s="152">
        <f t="shared" si="19"/>
        <v>-50</v>
      </c>
      <c r="L268" s="152"/>
      <c r="M268" s="154">
        <f t="shared" si="20"/>
        <v>0</v>
      </c>
    </row>
    <row r="269" spans="1:13" x14ac:dyDescent="0.25">
      <c r="A269" s="168"/>
      <c r="G269" s="138"/>
      <c r="H269" s="152">
        <v>264</v>
      </c>
      <c r="I269" s="153" t="str">
        <f t="shared" si="21"/>
        <v/>
      </c>
      <c r="J269" s="152">
        <f t="shared" si="22"/>
        <v>-5</v>
      </c>
      <c r="K269" s="152">
        <f t="shared" si="19"/>
        <v>-50</v>
      </c>
      <c r="L269" s="152"/>
      <c r="M269" s="154">
        <f t="shared" si="20"/>
        <v>0</v>
      </c>
    </row>
    <row r="270" spans="1:13" x14ac:dyDescent="0.25">
      <c r="A270" s="168"/>
      <c r="G270" s="138"/>
      <c r="H270" s="152">
        <v>265</v>
      </c>
      <c r="I270" s="153" t="str">
        <f t="shared" si="21"/>
        <v/>
      </c>
      <c r="J270" s="152">
        <f t="shared" si="22"/>
        <v>-5</v>
      </c>
      <c r="K270" s="152">
        <f t="shared" si="19"/>
        <v>-50</v>
      </c>
      <c r="L270" s="152"/>
      <c r="M270" s="154">
        <f t="shared" si="20"/>
        <v>0</v>
      </c>
    </row>
    <row r="271" spans="1:13" x14ac:dyDescent="0.25">
      <c r="A271" s="168"/>
      <c r="G271" s="138"/>
      <c r="H271" s="152">
        <v>266</v>
      </c>
      <c r="I271" s="153" t="str">
        <f t="shared" si="21"/>
        <v/>
      </c>
      <c r="J271" s="152">
        <f t="shared" si="22"/>
        <v>-5</v>
      </c>
      <c r="K271" s="152">
        <f t="shared" si="19"/>
        <v>-50</v>
      </c>
      <c r="L271" s="152"/>
      <c r="M271" s="154">
        <f t="shared" si="20"/>
        <v>0</v>
      </c>
    </row>
    <row r="272" spans="1:13" x14ac:dyDescent="0.25">
      <c r="A272" s="168"/>
      <c r="G272" s="138"/>
      <c r="H272" s="152">
        <v>267</v>
      </c>
      <c r="I272" s="153" t="str">
        <f t="shared" si="21"/>
        <v/>
      </c>
      <c r="J272" s="152">
        <f t="shared" si="22"/>
        <v>-5</v>
      </c>
      <c r="K272" s="152">
        <f t="shared" si="19"/>
        <v>-50</v>
      </c>
      <c r="L272" s="152"/>
      <c r="M272" s="154">
        <f t="shared" si="20"/>
        <v>0</v>
      </c>
    </row>
    <row r="273" spans="1:13" x14ac:dyDescent="0.25">
      <c r="A273" s="168"/>
      <c r="G273" s="138"/>
      <c r="H273" s="152">
        <v>268</v>
      </c>
      <c r="I273" s="153" t="str">
        <f t="shared" si="21"/>
        <v/>
      </c>
      <c r="J273" s="152">
        <f t="shared" si="22"/>
        <v>-5</v>
      </c>
      <c r="K273" s="152">
        <f t="shared" si="19"/>
        <v>-50</v>
      </c>
      <c r="L273" s="152"/>
      <c r="M273" s="154">
        <f t="shared" si="20"/>
        <v>0</v>
      </c>
    </row>
    <row r="274" spans="1:13" x14ac:dyDescent="0.25">
      <c r="A274" s="168"/>
      <c r="G274" s="138"/>
      <c r="H274" s="152">
        <v>269</v>
      </c>
      <c r="I274" s="153" t="str">
        <f t="shared" si="21"/>
        <v/>
      </c>
      <c r="J274" s="152">
        <f t="shared" si="22"/>
        <v>-5</v>
      </c>
      <c r="K274" s="152">
        <f t="shared" si="19"/>
        <v>-50</v>
      </c>
      <c r="L274" s="152"/>
      <c r="M274" s="154">
        <f t="shared" si="20"/>
        <v>0</v>
      </c>
    </row>
    <row r="275" spans="1:13" x14ac:dyDescent="0.25">
      <c r="A275" s="168"/>
      <c r="G275" s="138"/>
      <c r="H275" s="152">
        <v>270</v>
      </c>
      <c r="I275" s="153" t="str">
        <f t="shared" si="21"/>
        <v/>
      </c>
      <c r="J275" s="152">
        <f t="shared" si="22"/>
        <v>-5</v>
      </c>
      <c r="K275" s="152">
        <f t="shared" si="19"/>
        <v>-50</v>
      </c>
      <c r="L275" s="152"/>
      <c r="M275" s="154">
        <f t="shared" si="20"/>
        <v>0</v>
      </c>
    </row>
    <row r="276" spans="1:13" x14ac:dyDescent="0.25">
      <c r="A276" s="168"/>
      <c r="G276" s="138"/>
      <c r="H276" s="152">
        <v>271</v>
      </c>
      <c r="I276" s="153" t="str">
        <f t="shared" si="21"/>
        <v/>
      </c>
      <c r="J276" s="152">
        <f t="shared" si="22"/>
        <v>-5</v>
      </c>
      <c r="K276" s="152">
        <f t="shared" si="19"/>
        <v>-50</v>
      </c>
      <c r="L276" s="152"/>
      <c r="M276" s="154">
        <f t="shared" si="20"/>
        <v>0</v>
      </c>
    </row>
    <row r="277" spans="1:13" x14ac:dyDescent="0.25">
      <c r="A277" s="168"/>
      <c r="G277" s="138"/>
      <c r="H277" s="152">
        <v>272</v>
      </c>
      <c r="I277" s="153" t="str">
        <f t="shared" si="21"/>
        <v/>
      </c>
      <c r="J277" s="152">
        <f t="shared" si="22"/>
        <v>-5</v>
      </c>
      <c r="K277" s="152">
        <f t="shared" si="19"/>
        <v>-50</v>
      </c>
      <c r="L277" s="152"/>
      <c r="M277" s="154">
        <f t="shared" si="20"/>
        <v>0</v>
      </c>
    </row>
    <row r="278" spans="1:13" x14ac:dyDescent="0.25">
      <c r="A278" s="168"/>
      <c r="G278" s="138"/>
      <c r="H278" s="152">
        <v>273</v>
      </c>
      <c r="I278" s="153" t="str">
        <f t="shared" si="21"/>
        <v/>
      </c>
      <c r="J278" s="152">
        <f t="shared" si="22"/>
        <v>-5</v>
      </c>
      <c r="K278" s="152">
        <f t="shared" si="19"/>
        <v>-50</v>
      </c>
      <c r="L278" s="152"/>
      <c r="M278" s="154">
        <f t="shared" si="20"/>
        <v>0</v>
      </c>
    </row>
    <row r="279" spans="1:13" x14ac:dyDescent="0.25">
      <c r="A279" s="168"/>
      <c r="G279" s="138"/>
      <c r="H279" s="152">
        <v>274</v>
      </c>
      <c r="I279" s="153" t="str">
        <f t="shared" si="21"/>
        <v/>
      </c>
      <c r="J279" s="152">
        <f t="shared" si="22"/>
        <v>-5</v>
      </c>
      <c r="K279" s="152">
        <f t="shared" si="19"/>
        <v>-50</v>
      </c>
      <c r="L279" s="152"/>
      <c r="M279" s="154">
        <f t="shared" si="20"/>
        <v>0</v>
      </c>
    </row>
    <row r="280" spans="1:13" x14ac:dyDescent="0.25">
      <c r="A280" s="168"/>
      <c r="G280" s="138"/>
      <c r="H280" s="152">
        <v>275</v>
      </c>
      <c r="I280" s="153" t="str">
        <f t="shared" si="21"/>
        <v/>
      </c>
      <c r="J280" s="152">
        <f t="shared" si="22"/>
        <v>-5</v>
      </c>
      <c r="K280" s="152">
        <f t="shared" si="19"/>
        <v>-50</v>
      </c>
      <c r="L280" s="152"/>
      <c r="M280" s="154">
        <f t="shared" si="20"/>
        <v>0</v>
      </c>
    </row>
    <row r="281" spans="1:13" x14ac:dyDescent="0.25">
      <c r="A281" s="168"/>
      <c r="G281" s="138"/>
      <c r="H281" s="152">
        <v>276</v>
      </c>
      <c r="I281" s="153" t="str">
        <f t="shared" si="21"/>
        <v/>
      </c>
      <c r="J281" s="152">
        <f t="shared" si="22"/>
        <v>-5</v>
      </c>
      <c r="K281" s="152">
        <f t="shared" si="19"/>
        <v>-50</v>
      </c>
      <c r="L281" s="152"/>
      <c r="M281" s="154">
        <f t="shared" si="20"/>
        <v>0</v>
      </c>
    </row>
    <row r="282" spans="1:13" x14ac:dyDescent="0.25">
      <c r="A282" s="168"/>
      <c r="G282" s="138"/>
      <c r="H282" s="152">
        <v>277</v>
      </c>
      <c r="I282" s="153" t="str">
        <f t="shared" si="21"/>
        <v/>
      </c>
      <c r="J282" s="152">
        <f t="shared" si="22"/>
        <v>-5</v>
      </c>
      <c r="K282" s="152">
        <f t="shared" si="19"/>
        <v>-50</v>
      </c>
      <c r="L282" s="152"/>
      <c r="M282" s="154">
        <f t="shared" si="20"/>
        <v>0</v>
      </c>
    </row>
    <row r="283" spans="1:13" x14ac:dyDescent="0.25">
      <c r="A283" s="168"/>
      <c r="G283" s="138"/>
      <c r="H283" s="152">
        <v>278</v>
      </c>
      <c r="I283" s="153" t="str">
        <f t="shared" si="21"/>
        <v/>
      </c>
      <c r="J283" s="152">
        <f t="shared" si="22"/>
        <v>-5</v>
      </c>
      <c r="K283" s="152">
        <f t="shared" si="19"/>
        <v>-50</v>
      </c>
      <c r="L283" s="152"/>
      <c r="M283" s="154">
        <f t="shared" si="20"/>
        <v>0</v>
      </c>
    </row>
    <row r="284" spans="1:13" x14ac:dyDescent="0.25">
      <c r="A284" s="168"/>
      <c r="G284" s="138"/>
      <c r="H284" s="152">
        <v>279</v>
      </c>
      <c r="I284" s="153" t="str">
        <f t="shared" si="21"/>
        <v/>
      </c>
      <c r="J284" s="152">
        <f t="shared" si="22"/>
        <v>-5</v>
      </c>
      <c r="K284" s="152">
        <f t="shared" si="19"/>
        <v>-50</v>
      </c>
      <c r="L284" s="152"/>
      <c r="M284" s="154">
        <f t="shared" si="20"/>
        <v>0</v>
      </c>
    </row>
    <row r="285" spans="1:13" x14ac:dyDescent="0.25">
      <c r="A285" s="168"/>
      <c r="G285" s="138"/>
      <c r="H285" s="152">
        <v>280</v>
      </c>
      <c r="I285" s="153" t="str">
        <f t="shared" si="21"/>
        <v/>
      </c>
      <c r="J285" s="152">
        <f t="shared" si="22"/>
        <v>-5</v>
      </c>
      <c r="K285" s="152">
        <f t="shared" si="19"/>
        <v>-50</v>
      </c>
      <c r="L285" s="152"/>
      <c r="M285" s="154">
        <f t="shared" si="20"/>
        <v>0</v>
      </c>
    </row>
    <row r="286" spans="1:13" x14ac:dyDescent="0.25">
      <c r="A286" s="168"/>
      <c r="G286" s="138"/>
      <c r="H286" s="152">
        <v>281</v>
      </c>
      <c r="I286" s="153" t="str">
        <f t="shared" si="21"/>
        <v/>
      </c>
      <c r="J286" s="152">
        <f t="shared" si="22"/>
        <v>-5</v>
      </c>
      <c r="K286" s="152">
        <f t="shared" si="19"/>
        <v>-50</v>
      </c>
      <c r="L286" s="152"/>
      <c r="M286" s="154">
        <f t="shared" si="20"/>
        <v>0</v>
      </c>
    </row>
    <row r="287" spans="1:13" x14ac:dyDescent="0.25">
      <c r="A287" s="168"/>
      <c r="G287" s="138"/>
      <c r="H287" s="152">
        <v>282</v>
      </c>
      <c r="I287" s="153" t="str">
        <f t="shared" si="21"/>
        <v/>
      </c>
      <c r="J287" s="152">
        <f t="shared" si="22"/>
        <v>-5</v>
      </c>
      <c r="K287" s="152">
        <f t="shared" si="19"/>
        <v>-50</v>
      </c>
      <c r="L287" s="152"/>
      <c r="M287" s="154">
        <f t="shared" si="20"/>
        <v>0</v>
      </c>
    </row>
    <row r="288" spans="1:13" x14ac:dyDescent="0.25">
      <c r="A288" s="168"/>
      <c r="G288" s="138"/>
      <c r="H288" s="152">
        <v>283</v>
      </c>
      <c r="I288" s="153" t="str">
        <f t="shared" si="21"/>
        <v/>
      </c>
      <c r="J288" s="152">
        <f t="shared" si="22"/>
        <v>-5</v>
      </c>
      <c r="K288" s="152">
        <f t="shared" si="19"/>
        <v>-50</v>
      </c>
      <c r="L288" s="152"/>
      <c r="M288" s="154">
        <f t="shared" si="20"/>
        <v>0</v>
      </c>
    </row>
    <row r="289" spans="1:13" x14ac:dyDescent="0.25">
      <c r="A289" s="168"/>
      <c r="G289" s="138"/>
      <c r="H289" s="152">
        <v>284</v>
      </c>
      <c r="I289" s="153" t="str">
        <f t="shared" si="21"/>
        <v/>
      </c>
      <c r="J289" s="152">
        <f t="shared" si="22"/>
        <v>-5</v>
      </c>
      <c r="K289" s="152">
        <f t="shared" si="19"/>
        <v>-50</v>
      </c>
      <c r="L289" s="152"/>
      <c r="M289" s="154">
        <f t="shared" si="20"/>
        <v>0</v>
      </c>
    </row>
    <row r="290" spans="1:13" x14ac:dyDescent="0.25">
      <c r="A290" s="168"/>
      <c r="G290" s="138"/>
      <c r="H290" s="152">
        <v>285</v>
      </c>
      <c r="I290" s="153" t="str">
        <f t="shared" si="21"/>
        <v/>
      </c>
      <c r="J290" s="152">
        <f t="shared" si="22"/>
        <v>-5</v>
      </c>
      <c r="K290" s="152">
        <f t="shared" si="19"/>
        <v>-50</v>
      </c>
      <c r="L290" s="152"/>
      <c r="M290" s="154">
        <f t="shared" si="20"/>
        <v>0</v>
      </c>
    </row>
    <row r="291" spans="1:13" x14ac:dyDescent="0.25">
      <c r="A291" s="168"/>
      <c r="G291" s="138"/>
      <c r="H291" s="152">
        <v>286</v>
      </c>
      <c r="I291" s="153" t="str">
        <f t="shared" si="21"/>
        <v/>
      </c>
      <c r="J291" s="152">
        <f t="shared" si="22"/>
        <v>-5</v>
      </c>
      <c r="K291" s="152">
        <f t="shared" si="19"/>
        <v>-50</v>
      </c>
      <c r="L291" s="152"/>
      <c r="M291" s="154">
        <f t="shared" si="20"/>
        <v>0</v>
      </c>
    </row>
    <row r="292" spans="1:13" x14ac:dyDescent="0.25">
      <c r="A292" s="168"/>
      <c r="G292" s="138"/>
      <c r="H292" s="152">
        <v>287</v>
      </c>
      <c r="I292" s="153" t="str">
        <f t="shared" si="21"/>
        <v/>
      </c>
      <c r="J292" s="152">
        <f t="shared" si="22"/>
        <v>-5</v>
      </c>
      <c r="K292" s="152">
        <f t="shared" si="19"/>
        <v>-50</v>
      </c>
      <c r="L292" s="152"/>
      <c r="M292" s="154">
        <f t="shared" si="20"/>
        <v>0</v>
      </c>
    </row>
    <row r="293" spans="1:13" x14ac:dyDescent="0.25">
      <c r="A293" s="168"/>
      <c r="G293" s="138"/>
      <c r="H293" s="152">
        <v>288</v>
      </c>
      <c r="I293" s="153" t="str">
        <f t="shared" si="21"/>
        <v/>
      </c>
      <c r="J293" s="152">
        <f t="shared" si="22"/>
        <v>-5</v>
      </c>
      <c r="K293" s="152">
        <f t="shared" si="19"/>
        <v>-50</v>
      </c>
      <c r="L293" s="152"/>
      <c r="M293" s="154">
        <f t="shared" si="20"/>
        <v>0</v>
      </c>
    </row>
    <row r="294" spans="1:13" x14ac:dyDescent="0.25">
      <c r="A294" s="168"/>
      <c r="G294" s="138"/>
      <c r="H294" s="152">
        <v>289</v>
      </c>
      <c r="I294" s="153" t="str">
        <f t="shared" si="21"/>
        <v/>
      </c>
      <c r="J294" s="152">
        <f t="shared" si="22"/>
        <v>-5</v>
      </c>
      <c r="K294" s="152">
        <f t="shared" si="19"/>
        <v>-50</v>
      </c>
      <c r="L294" s="152"/>
      <c r="M294" s="154">
        <f t="shared" si="20"/>
        <v>0</v>
      </c>
    </row>
    <row r="295" spans="1:13" x14ac:dyDescent="0.25">
      <c r="A295" s="168"/>
      <c r="G295" s="138"/>
      <c r="H295" s="152">
        <v>290</v>
      </c>
      <c r="I295" s="153" t="str">
        <f t="shared" si="21"/>
        <v/>
      </c>
      <c r="J295" s="152">
        <f t="shared" si="22"/>
        <v>-5</v>
      </c>
      <c r="K295" s="152">
        <f t="shared" si="19"/>
        <v>-50</v>
      </c>
      <c r="L295" s="152"/>
      <c r="M295" s="154">
        <f t="shared" si="20"/>
        <v>0</v>
      </c>
    </row>
    <row r="296" spans="1:13" x14ac:dyDescent="0.25">
      <c r="A296" s="168"/>
      <c r="G296" s="138"/>
      <c r="H296" s="152">
        <v>291</v>
      </c>
      <c r="I296" s="153" t="str">
        <f t="shared" si="21"/>
        <v/>
      </c>
      <c r="J296" s="152">
        <f t="shared" si="22"/>
        <v>-5</v>
      </c>
      <c r="K296" s="152">
        <f t="shared" si="19"/>
        <v>-50</v>
      </c>
      <c r="L296" s="152"/>
      <c r="M296" s="154">
        <f t="shared" si="20"/>
        <v>0</v>
      </c>
    </row>
    <row r="297" spans="1:13" x14ac:dyDescent="0.25">
      <c r="A297" s="168"/>
      <c r="G297" s="138"/>
      <c r="H297" s="152">
        <v>292</v>
      </c>
      <c r="I297" s="153" t="str">
        <f t="shared" si="21"/>
        <v/>
      </c>
      <c r="J297" s="152">
        <f t="shared" si="22"/>
        <v>-5</v>
      </c>
      <c r="K297" s="152">
        <f t="shared" si="19"/>
        <v>-50</v>
      </c>
      <c r="L297" s="152"/>
      <c r="M297" s="154">
        <f t="shared" si="20"/>
        <v>0</v>
      </c>
    </row>
    <row r="298" spans="1:13" x14ac:dyDescent="0.25">
      <c r="A298" s="168"/>
      <c r="G298" s="138"/>
      <c r="H298" s="152">
        <v>293</v>
      </c>
      <c r="I298" s="153" t="str">
        <f t="shared" si="21"/>
        <v/>
      </c>
      <c r="J298" s="152">
        <f t="shared" si="22"/>
        <v>-5</v>
      </c>
      <c r="K298" s="152">
        <f t="shared" si="19"/>
        <v>-50</v>
      </c>
      <c r="L298" s="152"/>
      <c r="M298" s="154">
        <f t="shared" si="20"/>
        <v>0</v>
      </c>
    </row>
    <row r="299" spans="1:13" x14ac:dyDescent="0.25">
      <c r="A299" s="168"/>
      <c r="G299" s="138"/>
      <c r="H299" s="152">
        <v>294</v>
      </c>
      <c r="I299" s="153" t="str">
        <f t="shared" si="21"/>
        <v/>
      </c>
      <c r="J299" s="152">
        <f t="shared" si="22"/>
        <v>-5</v>
      </c>
      <c r="K299" s="152">
        <f t="shared" si="19"/>
        <v>-50</v>
      </c>
      <c r="L299" s="152"/>
      <c r="M299" s="154">
        <f t="shared" si="20"/>
        <v>0</v>
      </c>
    </row>
    <row r="300" spans="1:13" x14ac:dyDescent="0.25">
      <c r="A300" s="168"/>
      <c r="G300" s="138"/>
      <c r="H300" s="152">
        <v>295</v>
      </c>
      <c r="I300" s="153" t="str">
        <f t="shared" si="21"/>
        <v/>
      </c>
      <c r="J300" s="152">
        <f t="shared" si="22"/>
        <v>-5</v>
      </c>
      <c r="K300" s="152">
        <f t="shared" si="19"/>
        <v>-50</v>
      </c>
      <c r="L300" s="152"/>
      <c r="M300" s="154">
        <f t="shared" si="20"/>
        <v>0</v>
      </c>
    </row>
    <row r="301" spans="1:13" x14ac:dyDescent="0.25">
      <c r="A301" s="168"/>
      <c r="G301" s="138"/>
      <c r="H301" s="152">
        <v>296</v>
      </c>
      <c r="I301" s="153" t="str">
        <f t="shared" si="21"/>
        <v/>
      </c>
      <c r="J301" s="152">
        <f t="shared" si="22"/>
        <v>-5</v>
      </c>
      <c r="K301" s="152">
        <f t="shared" si="19"/>
        <v>-50</v>
      </c>
      <c r="L301" s="152"/>
      <c r="M301" s="154">
        <f t="shared" si="20"/>
        <v>0</v>
      </c>
    </row>
    <row r="302" spans="1:13" x14ac:dyDescent="0.25">
      <c r="A302" s="168"/>
      <c r="G302" s="138"/>
      <c r="H302" s="152">
        <v>297</v>
      </c>
      <c r="I302" s="153" t="str">
        <f t="shared" si="21"/>
        <v/>
      </c>
      <c r="J302" s="152">
        <f t="shared" si="22"/>
        <v>-5</v>
      </c>
      <c r="K302" s="152">
        <f t="shared" si="19"/>
        <v>-50</v>
      </c>
      <c r="L302" s="152"/>
      <c r="M302" s="154">
        <f t="shared" si="20"/>
        <v>0</v>
      </c>
    </row>
    <row r="303" spans="1:13" x14ac:dyDescent="0.25">
      <c r="A303" s="168"/>
      <c r="G303" s="138"/>
      <c r="H303" s="152">
        <v>298</v>
      </c>
      <c r="I303" s="153" t="str">
        <f t="shared" si="21"/>
        <v/>
      </c>
      <c r="J303" s="152">
        <f t="shared" si="22"/>
        <v>-5</v>
      </c>
      <c r="K303" s="152">
        <f t="shared" si="19"/>
        <v>-50</v>
      </c>
      <c r="L303" s="152"/>
      <c r="M303" s="154">
        <f t="shared" si="20"/>
        <v>0</v>
      </c>
    </row>
    <row r="304" spans="1:13" x14ac:dyDescent="0.25">
      <c r="A304" s="168"/>
      <c r="G304" s="138"/>
      <c r="H304" s="152">
        <v>299</v>
      </c>
      <c r="I304" s="153" t="str">
        <f t="shared" si="21"/>
        <v/>
      </c>
      <c r="J304" s="152">
        <f t="shared" si="22"/>
        <v>-5</v>
      </c>
      <c r="K304" s="152">
        <f t="shared" si="19"/>
        <v>-50</v>
      </c>
      <c r="L304" s="152"/>
      <c r="M304" s="154">
        <f t="shared" si="20"/>
        <v>0</v>
      </c>
    </row>
    <row r="305" spans="1:16" x14ac:dyDescent="0.25">
      <c r="A305" s="168"/>
      <c r="G305" s="138"/>
      <c r="H305" s="152">
        <v>300</v>
      </c>
      <c r="I305" s="153" t="str">
        <f t="shared" si="21"/>
        <v/>
      </c>
      <c r="J305" s="152">
        <f t="shared" si="22"/>
        <v>-5</v>
      </c>
      <c r="K305" s="152">
        <f t="shared" si="19"/>
        <v>-50</v>
      </c>
      <c r="L305" s="152"/>
      <c r="M305" s="154">
        <f t="shared" si="20"/>
        <v>0</v>
      </c>
    </row>
    <row r="306" spans="1:16" x14ac:dyDescent="0.25">
      <c r="A306" s="170"/>
    </row>
    <row r="314" spans="1:16" x14ac:dyDescent="0.25">
      <c r="L314" s="173"/>
      <c r="P314" s="163"/>
    </row>
    <row r="315" spans="1:16" x14ac:dyDescent="0.25">
      <c r="L315" s="173"/>
      <c r="P315" s="163"/>
    </row>
    <row r="316" spans="1:16" x14ac:dyDescent="0.25">
      <c r="L316" s="173"/>
      <c r="P316" s="163"/>
    </row>
    <row r="317" spans="1:16" x14ac:dyDescent="0.25">
      <c r="L317" s="173"/>
      <c r="P317" s="163"/>
    </row>
  </sheetData>
  <mergeCells count="2">
    <mergeCell ref="C2:D2"/>
    <mergeCell ref="C3:D3"/>
  </mergeCells>
  <conditionalFormatting sqref="J6:K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E213C72D-847B-439A-A219-D40CB71E43C0}">
      <formula1>#REF!</formula1>
    </dataValidation>
  </dataValidations>
  <hyperlinks>
    <hyperlink ref="C2:D2" r:id="rId1" display="LESZNO" xr:uid="{EA3B50A6-24FF-4537-9DBA-C1809C7A11A7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88990-3ABF-4A71-9A90-4AF636A699A0}">
  <sheetPr>
    <tabColor rgb="FF92D050"/>
  </sheetPr>
  <dimension ref="A1:AL317"/>
  <sheetViews>
    <sheetView workbookViewId="0">
      <selection activeCell="C11" sqref="C11"/>
    </sheetView>
  </sheetViews>
  <sheetFormatPr defaultColWidth="8.875" defaultRowHeight="14.3" x14ac:dyDescent="0.25"/>
  <cols>
    <col min="1" max="1" width="8" style="169" customWidth="1"/>
    <col min="2" max="2" width="8.25" style="169" customWidth="1"/>
    <col min="3" max="3" width="34.75" style="169" customWidth="1"/>
    <col min="4" max="4" width="11.25" style="169" customWidth="1"/>
    <col min="5" max="6" width="8.875" style="169"/>
    <col min="7" max="7" width="0.875" style="169" customWidth="1"/>
    <col min="8" max="8" width="8.875" style="171"/>
    <col min="9" max="9" width="11" style="171" customWidth="1"/>
    <col min="10" max="10" width="15.25" style="171" customWidth="1"/>
    <col min="11" max="11" width="8.75" style="171" customWidth="1"/>
    <col min="12" max="12" width="11" style="171" customWidth="1"/>
    <col min="13" max="13" width="11.75" style="172" customWidth="1"/>
    <col min="14" max="15" width="13.875" style="138" customWidth="1"/>
    <col min="16" max="18" width="8.875" style="138"/>
    <col min="19" max="20" width="8.875" style="143"/>
    <col min="21" max="21" width="12.125" style="143" customWidth="1"/>
    <col min="22" max="22" width="27.375" style="143" customWidth="1"/>
    <col min="23" max="38" width="8.875" style="143"/>
    <col min="39" max="16384" width="8.875" style="169"/>
  </cols>
  <sheetData>
    <row r="1" spans="1:36" x14ac:dyDescent="0.25">
      <c r="A1" s="138"/>
      <c r="B1" s="138"/>
      <c r="C1" s="138"/>
      <c r="D1" s="138"/>
      <c r="E1" s="138"/>
      <c r="F1" s="138"/>
      <c r="G1" s="138"/>
      <c r="H1" s="139" t="s">
        <v>38</v>
      </c>
      <c r="I1" s="140" t="s">
        <v>39</v>
      </c>
      <c r="J1" s="140" t="s">
        <v>40</v>
      </c>
      <c r="K1" s="141" t="s">
        <v>41</v>
      </c>
      <c r="L1" s="142"/>
      <c r="M1" s="142"/>
    </row>
    <row r="2" spans="1:36" ht="14.45" customHeight="1" x14ac:dyDescent="0.25">
      <c r="A2" s="138"/>
      <c r="B2" s="47" t="s">
        <v>42</v>
      </c>
      <c r="C2" s="271" t="s">
        <v>74</v>
      </c>
      <c r="D2" s="271"/>
      <c r="E2" s="6"/>
      <c r="F2" s="6"/>
      <c r="G2" s="6"/>
      <c r="H2" s="144">
        <v>9</v>
      </c>
      <c r="I2" s="145">
        <v>50</v>
      </c>
      <c r="J2" s="145">
        <v>10</v>
      </c>
      <c r="K2" s="146">
        <f>3*H2^(1/3)</f>
        <v>6.2402514691557123</v>
      </c>
      <c r="L2" s="142"/>
      <c r="M2" s="142"/>
    </row>
    <row r="3" spans="1:36" ht="14.45" customHeight="1" x14ac:dyDescent="0.25">
      <c r="A3" s="138"/>
      <c r="B3" s="147" t="s">
        <v>44</v>
      </c>
      <c r="C3" s="272" t="s">
        <v>576</v>
      </c>
      <c r="D3" s="272"/>
      <c r="E3" s="7"/>
      <c r="F3" s="7"/>
      <c r="G3" s="7"/>
      <c r="H3" s="142"/>
      <c r="I3" s="142"/>
      <c r="J3" s="148"/>
      <c r="K3" s="142"/>
      <c r="L3" s="142"/>
      <c r="M3" s="142"/>
    </row>
    <row r="4" spans="1:36" ht="10.199999999999999" customHeight="1" x14ac:dyDescent="0.25">
      <c r="A4" s="8"/>
      <c r="B4" s="7"/>
      <c r="C4" s="8"/>
      <c r="D4" s="8"/>
      <c r="E4" s="8"/>
      <c r="F4" s="8"/>
      <c r="G4" s="8"/>
      <c r="H4" s="142"/>
      <c r="I4" s="142"/>
      <c r="J4" s="148"/>
      <c r="K4" s="142"/>
      <c r="L4" s="142"/>
      <c r="M4" s="142"/>
    </row>
    <row r="5" spans="1:36" ht="34.65" x14ac:dyDescent="0.25">
      <c r="A5" s="1" t="s">
        <v>45</v>
      </c>
      <c r="B5" s="37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8"/>
      <c r="H5" s="149" t="s">
        <v>51</v>
      </c>
      <c r="I5" s="150" t="s">
        <v>52</v>
      </c>
      <c r="J5" s="151" t="s">
        <v>93</v>
      </c>
      <c r="K5" s="150" t="s">
        <v>94</v>
      </c>
      <c r="L5" s="150" t="s">
        <v>55</v>
      </c>
      <c r="M5" s="149" t="s">
        <v>56</v>
      </c>
    </row>
    <row r="6" spans="1:36" ht="14.45" customHeight="1" x14ac:dyDescent="0.25">
      <c r="A6" s="39">
        <f>M6</f>
        <v>108.72075440746714</v>
      </c>
      <c r="B6" s="36">
        <f t="shared" ref="B6:B16" si="0">IF(H6&gt;$H$2,"",(ROW()-5))</f>
        <v>1</v>
      </c>
      <c r="C6" s="24" t="s">
        <v>22</v>
      </c>
      <c r="D6" s="24" t="s">
        <v>59</v>
      </c>
      <c r="E6" s="24"/>
      <c r="F6" s="24"/>
      <c r="G6" s="8"/>
      <c r="H6" s="152">
        <v>1</v>
      </c>
      <c r="I6" s="153">
        <f>IF(H2=1,50,IF(H6&lt;$H$2+1,($I$2-($I$2-1)*(LOG(H6)/LOG($H$2))),""))</f>
        <v>50</v>
      </c>
      <c r="J6" s="152">
        <f>INT(LOG($H$2,2))-ROUNDUP(LOG(H6,2),0)+IF(OR($H$2=1,$H$2=2,$H$2=4,$H$2=8,$H$2=16,$H$2=32,$H$2=64,$H$2=128,$H$2=256),0,1)</f>
        <v>4</v>
      </c>
      <c r="K6" s="152">
        <f t="shared" ref="K6:K69" si="1">J6*$J$2</f>
        <v>40</v>
      </c>
      <c r="L6" s="154">
        <f>3*K2</f>
        <v>18.720754407467137</v>
      </c>
      <c r="M6" s="154">
        <f t="shared" ref="M6:M69" si="2">IF(I6&lt;&gt;"",K6+I6+L6,0)</f>
        <v>108.72075440746714</v>
      </c>
    </row>
    <row r="7" spans="1:36" ht="14.45" customHeight="1" x14ac:dyDescent="0.25">
      <c r="A7" s="40">
        <f t="shared" ref="A7:A37" si="3">M7</f>
        <v>77.02272397581072</v>
      </c>
      <c r="B7" s="35">
        <f t="shared" si="0"/>
        <v>2</v>
      </c>
      <c r="C7" s="25" t="s">
        <v>20</v>
      </c>
      <c r="D7" s="25" t="s">
        <v>59</v>
      </c>
      <c r="E7" s="25"/>
      <c r="F7" s="25"/>
      <c r="G7" s="8"/>
      <c r="H7" s="155">
        <v>2</v>
      </c>
      <c r="I7" s="156">
        <f t="shared" ref="I7:I70" si="4">IF(H7&lt;$H$2+1,($I$2-($I$2-1)*(LOG(H7)/LOG($H$2))),"")</f>
        <v>34.542221037499296</v>
      </c>
      <c r="J7" s="155">
        <f t="shared" ref="J7:J70" si="5">INT(LOG($H$2,2))-ROUNDUP(LOG(H7,2),0)+IF(OR($H$2=1,$H$2=2,$H$2=4,$H$2=8,$H$2=16,$H$2=32,$H$2=64,$H$2=128,$H$2=256),0,1)</f>
        <v>3</v>
      </c>
      <c r="K7" s="155">
        <f t="shared" si="1"/>
        <v>30</v>
      </c>
      <c r="L7" s="157">
        <f>2*K2</f>
        <v>12.480502938311425</v>
      </c>
      <c r="M7" s="157">
        <f t="shared" si="2"/>
        <v>77.02272397581072</v>
      </c>
    </row>
    <row r="8" spans="1:36" ht="14.45" customHeight="1" x14ac:dyDescent="0.25">
      <c r="A8" s="39">
        <f t="shared" si="3"/>
        <v>51.740251469155709</v>
      </c>
      <c r="B8" s="36">
        <f t="shared" si="0"/>
        <v>3</v>
      </c>
      <c r="C8" s="24" t="s">
        <v>21</v>
      </c>
      <c r="D8" s="24" t="s">
        <v>60</v>
      </c>
      <c r="E8" s="24"/>
      <c r="F8" s="24"/>
      <c r="G8" s="8"/>
      <c r="H8" s="152">
        <v>3</v>
      </c>
      <c r="I8" s="153">
        <f t="shared" si="4"/>
        <v>25.5</v>
      </c>
      <c r="J8" s="152">
        <f t="shared" si="5"/>
        <v>2</v>
      </c>
      <c r="K8" s="152">
        <f t="shared" si="1"/>
        <v>20</v>
      </c>
      <c r="L8" s="154">
        <f>K2</f>
        <v>6.2402514691557123</v>
      </c>
      <c r="M8" s="154">
        <f t="shared" si="2"/>
        <v>51.740251469155709</v>
      </c>
    </row>
    <row r="9" spans="1:36" ht="14.45" customHeight="1" x14ac:dyDescent="0.25">
      <c r="A9" s="40">
        <f t="shared" si="3"/>
        <v>39.084442074998591</v>
      </c>
      <c r="B9" s="35">
        <f t="shared" si="0"/>
        <v>4</v>
      </c>
      <c r="C9" s="25" t="s">
        <v>23</v>
      </c>
      <c r="D9" s="25" t="s">
        <v>73</v>
      </c>
      <c r="E9" s="25"/>
      <c r="F9" s="25"/>
      <c r="G9" s="8"/>
      <c r="H9" s="155">
        <v>4</v>
      </c>
      <c r="I9" s="156">
        <f t="shared" si="4"/>
        <v>19.084442074998588</v>
      </c>
      <c r="J9" s="155">
        <f t="shared" si="5"/>
        <v>2</v>
      </c>
      <c r="K9" s="155">
        <f t="shared" si="1"/>
        <v>20</v>
      </c>
      <c r="L9" s="157"/>
      <c r="M9" s="157">
        <f t="shared" si="2"/>
        <v>39.084442074998591</v>
      </c>
      <c r="V9" s="158"/>
      <c r="Z9" s="159"/>
      <c r="AA9" s="159"/>
      <c r="AG9" s="160"/>
      <c r="AH9" s="143" t="s">
        <v>95</v>
      </c>
      <c r="AI9" s="143">
        <v>23</v>
      </c>
    </row>
    <row r="10" spans="1:36" ht="14.45" customHeight="1" x14ac:dyDescent="0.25">
      <c r="A10" s="39">
        <f t="shared" si="3"/>
        <v>24.108148742410783</v>
      </c>
      <c r="B10" s="36">
        <f t="shared" si="0"/>
        <v>5</v>
      </c>
      <c r="C10" s="24" t="s">
        <v>19</v>
      </c>
      <c r="D10" s="24" t="s">
        <v>75</v>
      </c>
      <c r="E10" s="24"/>
      <c r="F10" s="24"/>
      <c r="G10" s="8"/>
      <c r="H10" s="152">
        <v>5</v>
      </c>
      <c r="I10" s="153">
        <f t="shared" si="4"/>
        <v>14.108148742410783</v>
      </c>
      <c r="J10" s="152">
        <f t="shared" si="5"/>
        <v>1</v>
      </c>
      <c r="K10" s="152">
        <f t="shared" si="1"/>
        <v>10</v>
      </c>
      <c r="L10" s="152"/>
      <c r="M10" s="154">
        <f t="shared" si="2"/>
        <v>24.108148742410783</v>
      </c>
      <c r="V10" s="158"/>
      <c r="Z10" s="159"/>
      <c r="AA10" s="159"/>
      <c r="AG10" s="160"/>
      <c r="AH10" s="143" t="s">
        <v>96</v>
      </c>
      <c r="AI10" s="143">
        <v>45</v>
      </c>
    </row>
    <row r="11" spans="1:36" ht="14.45" customHeight="1" x14ac:dyDescent="0.25">
      <c r="A11" s="40">
        <f t="shared" si="3"/>
        <v>20.042221037499289</v>
      </c>
      <c r="B11" s="35">
        <f t="shared" si="0"/>
        <v>6</v>
      </c>
      <c r="C11" s="25" t="s">
        <v>575</v>
      </c>
      <c r="D11" s="25" t="s">
        <v>574</v>
      </c>
      <c r="E11" s="25"/>
      <c r="F11" s="25"/>
      <c r="G11" s="8"/>
      <c r="H11" s="155">
        <v>6</v>
      </c>
      <c r="I11" s="156">
        <f t="shared" si="4"/>
        <v>10.042221037499289</v>
      </c>
      <c r="J11" s="155">
        <f t="shared" si="5"/>
        <v>1</v>
      </c>
      <c r="K11" s="155">
        <f t="shared" si="1"/>
        <v>10</v>
      </c>
      <c r="L11" s="155"/>
      <c r="M11" s="157">
        <f t="shared" si="2"/>
        <v>20.042221037499289</v>
      </c>
      <c r="V11" s="161"/>
      <c r="Z11" s="159"/>
      <c r="AA11" s="159"/>
      <c r="AG11" s="160"/>
      <c r="AH11" s="143" t="s">
        <v>97</v>
      </c>
      <c r="AI11" s="143">
        <v>50</v>
      </c>
    </row>
    <row r="12" spans="1:36" ht="14.45" customHeight="1" x14ac:dyDescent="0.25">
      <c r="A12" s="39">
        <f t="shared" si="3"/>
        <v>16.60452814554516</v>
      </c>
      <c r="B12" s="36">
        <f t="shared" si="0"/>
        <v>7</v>
      </c>
      <c r="C12" s="24" t="s">
        <v>27</v>
      </c>
      <c r="D12" s="24" t="s">
        <v>60</v>
      </c>
      <c r="E12" s="24"/>
      <c r="F12" s="24"/>
      <c r="G12" s="8"/>
      <c r="H12" s="152">
        <v>7</v>
      </c>
      <c r="I12" s="153">
        <f t="shared" si="4"/>
        <v>6.6045281455451601</v>
      </c>
      <c r="J12" s="152">
        <f t="shared" si="5"/>
        <v>1</v>
      </c>
      <c r="K12" s="152">
        <f t="shared" si="1"/>
        <v>10</v>
      </c>
      <c r="L12" s="152"/>
      <c r="M12" s="154">
        <f t="shared" si="2"/>
        <v>16.60452814554516</v>
      </c>
      <c r="Z12" s="159"/>
      <c r="AA12" s="159"/>
      <c r="AG12" s="160"/>
      <c r="AH12" s="143" t="s">
        <v>98</v>
      </c>
      <c r="AI12" s="143">
        <f>AI11-1</f>
        <v>49</v>
      </c>
    </row>
    <row r="13" spans="1:36" ht="14.45" customHeight="1" x14ac:dyDescent="0.25">
      <c r="A13" s="41">
        <f t="shared" si="3"/>
        <v>13.62666311249788</v>
      </c>
      <c r="B13" s="35">
        <f t="shared" si="0"/>
        <v>8</v>
      </c>
      <c r="C13" s="25" t="s">
        <v>569</v>
      </c>
      <c r="D13" s="25" t="s">
        <v>567</v>
      </c>
      <c r="E13" s="25"/>
      <c r="F13" s="25"/>
      <c r="G13" s="8"/>
      <c r="H13" s="155">
        <v>8</v>
      </c>
      <c r="I13" s="156">
        <f t="shared" si="4"/>
        <v>3.6266631124978801</v>
      </c>
      <c r="J13" s="155">
        <f t="shared" si="5"/>
        <v>1</v>
      </c>
      <c r="K13" s="155">
        <f t="shared" si="1"/>
        <v>10</v>
      </c>
      <c r="L13" s="155"/>
      <c r="M13" s="157">
        <f t="shared" si="2"/>
        <v>13.62666311249788</v>
      </c>
      <c r="X13" s="158"/>
      <c r="AG13" s="160"/>
      <c r="AH13" s="143" t="s">
        <v>101</v>
      </c>
      <c r="AI13" s="143">
        <f>LOG(AI9)</f>
        <v>1.3617278360175928</v>
      </c>
    </row>
    <row r="14" spans="1:36" ht="51.65" x14ac:dyDescent="0.25">
      <c r="A14" s="42">
        <f t="shared" si="3"/>
        <v>1</v>
      </c>
      <c r="B14" s="36">
        <f t="shared" si="0"/>
        <v>9</v>
      </c>
      <c r="C14" s="24" t="s">
        <v>568</v>
      </c>
      <c r="D14" s="24" t="s">
        <v>65</v>
      </c>
      <c r="E14" s="24"/>
      <c r="F14" s="24"/>
      <c r="G14" s="8"/>
      <c r="H14" s="152">
        <v>9</v>
      </c>
      <c r="I14" s="153">
        <f t="shared" si="4"/>
        <v>1</v>
      </c>
      <c r="J14" s="152">
        <f t="shared" si="5"/>
        <v>0</v>
      </c>
      <c r="K14" s="152">
        <f t="shared" si="1"/>
        <v>0</v>
      </c>
      <c r="L14" s="152"/>
      <c r="M14" s="154">
        <f t="shared" si="2"/>
        <v>1</v>
      </c>
      <c r="X14" s="162"/>
      <c r="Z14" s="159"/>
      <c r="AA14" s="159"/>
      <c r="AG14" s="160"/>
      <c r="AH14" s="143" t="s">
        <v>102</v>
      </c>
      <c r="AI14" s="143">
        <f>LOG(AI10)</f>
        <v>1.6532125137753437</v>
      </c>
    </row>
    <row r="15" spans="1:36" x14ac:dyDescent="0.25">
      <c r="A15" s="41">
        <f t="shared" si="3"/>
        <v>0</v>
      </c>
      <c r="B15" s="35" t="str">
        <f t="shared" si="0"/>
        <v/>
      </c>
      <c r="C15" s="25"/>
      <c r="D15" s="25"/>
      <c r="E15" s="25"/>
      <c r="F15" s="25"/>
      <c r="G15" s="8"/>
      <c r="H15" s="155">
        <v>10</v>
      </c>
      <c r="I15" s="156" t="str">
        <f t="shared" si="4"/>
        <v/>
      </c>
      <c r="J15" s="155">
        <f t="shared" si="5"/>
        <v>0</v>
      </c>
      <c r="K15" s="155">
        <f t="shared" si="1"/>
        <v>0</v>
      </c>
      <c r="L15" s="155"/>
      <c r="M15" s="157">
        <f t="shared" si="2"/>
        <v>0</v>
      </c>
      <c r="X15" s="158"/>
      <c r="Z15" s="159"/>
      <c r="AA15" s="159"/>
    </row>
    <row r="16" spans="1:36" x14ac:dyDescent="0.25">
      <c r="A16" s="42">
        <f t="shared" si="3"/>
        <v>0</v>
      </c>
      <c r="B16" s="36" t="str">
        <f t="shared" si="0"/>
        <v/>
      </c>
      <c r="C16" s="24"/>
      <c r="D16" s="24"/>
      <c r="E16" s="24"/>
      <c r="F16" s="24"/>
      <c r="G16" s="8"/>
      <c r="H16" s="152">
        <v>11</v>
      </c>
      <c r="I16" s="153" t="str">
        <f t="shared" si="4"/>
        <v/>
      </c>
      <c r="J16" s="152">
        <f t="shared" si="5"/>
        <v>0</v>
      </c>
      <c r="K16" s="152">
        <f t="shared" si="1"/>
        <v>0</v>
      </c>
      <c r="L16" s="152"/>
      <c r="M16" s="154">
        <f t="shared" si="2"/>
        <v>0</v>
      </c>
      <c r="R16" s="163"/>
      <c r="Z16" s="159"/>
      <c r="AA16" s="159"/>
      <c r="AH16" s="164" t="s">
        <v>104</v>
      </c>
      <c r="AI16" s="143">
        <f>AI11-AI12*AI13/AI14</f>
        <v>9.6393909380186855</v>
      </c>
      <c r="AJ16" s="143" t="s">
        <v>105</v>
      </c>
    </row>
    <row r="17" spans="1:19" x14ac:dyDescent="0.25">
      <c r="A17" s="41">
        <f t="shared" si="3"/>
        <v>0</v>
      </c>
      <c r="B17" s="35" t="str">
        <f t="shared" ref="B15:B65" si="6">IF(H17&gt;$H$2,"",(ROW()-5))</f>
        <v/>
      </c>
      <c r="C17" s="25"/>
      <c r="D17" s="25"/>
      <c r="E17" s="25"/>
      <c r="F17" s="25"/>
      <c r="G17" s="8"/>
      <c r="H17" s="155">
        <v>12</v>
      </c>
      <c r="I17" s="156" t="str">
        <f t="shared" si="4"/>
        <v/>
      </c>
      <c r="J17" s="155">
        <f t="shared" si="5"/>
        <v>0</v>
      </c>
      <c r="K17" s="155">
        <f t="shared" si="1"/>
        <v>0</v>
      </c>
      <c r="L17" s="155"/>
      <c r="M17" s="157">
        <f t="shared" si="2"/>
        <v>0</v>
      </c>
    </row>
    <row r="18" spans="1:19" x14ac:dyDescent="0.25">
      <c r="A18" s="42">
        <f t="shared" si="3"/>
        <v>0</v>
      </c>
      <c r="B18" s="36" t="str">
        <f t="shared" si="6"/>
        <v/>
      </c>
      <c r="C18" s="24"/>
      <c r="D18" s="24"/>
      <c r="E18" s="24"/>
      <c r="F18" s="24"/>
      <c r="G18" s="8"/>
      <c r="H18" s="152">
        <v>13</v>
      </c>
      <c r="I18" s="153" t="str">
        <f t="shared" si="4"/>
        <v/>
      </c>
      <c r="J18" s="152">
        <f t="shared" si="5"/>
        <v>0</v>
      </c>
      <c r="K18" s="152">
        <f t="shared" si="1"/>
        <v>0</v>
      </c>
      <c r="L18" s="152"/>
      <c r="M18" s="154">
        <f t="shared" si="2"/>
        <v>0</v>
      </c>
    </row>
    <row r="19" spans="1:19" x14ac:dyDescent="0.25">
      <c r="A19" s="41">
        <f t="shared" si="3"/>
        <v>0</v>
      </c>
      <c r="B19" s="35" t="str">
        <f t="shared" si="6"/>
        <v/>
      </c>
      <c r="C19" s="25"/>
      <c r="D19" s="25"/>
      <c r="E19" s="25"/>
      <c r="F19" s="25"/>
      <c r="G19" s="8"/>
      <c r="H19" s="155">
        <v>14</v>
      </c>
      <c r="I19" s="156" t="str">
        <f t="shared" si="4"/>
        <v/>
      </c>
      <c r="J19" s="155">
        <f t="shared" si="5"/>
        <v>0</v>
      </c>
      <c r="K19" s="155">
        <f t="shared" si="1"/>
        <v>0</v>
      </c>
      <c r="L19" s="155"/>
      <c r="M19" s="157">
        <f t="shared" si="2"/>
        <v>0</v>
      </c>
    </row>
    <row r="20" spans="1:19" x14ac:dyDescent="0.25">
      <c r="A20" s="42">
        <f t="shared" si="3"/>
        <v>0</v>
      </c>
      <c r="B20" s="36" t="str">
        <f t="shared" si="6"/>
        <v/>
      </c>
      <c r="C20" s="24"/>
      <c r="D20" s="24"/>
      <c r="E20" s="24"/>
      <c r="F20" s="24"/>
      <c r="G20" s="8"/>
      <c r="H20" s="152">
        <v>15</v>
      </c>
      <c r="I20" s="153" t="str">
        <f t="shared" si="4"/>
        <v/>
      </c>
      <c r="J20" s="152">
        <f t="shared" si="5"/>
        <v>0</v>
      </c>
      <c r="K20" s="152">
        <f t="shared" si="1"/>
        <v>0</v>
      </c>
      <c r="L20" s="152"/>
      <c r="M20" s="154">
        <f t="shared" si="2"/>
        <v>0</v>
      </c>
      <c r="R20" s="165"/>
      <c r="S20" s="166"/>
    </row>
    <row r="21" spans="1:19" x14ac:dyDescent="0.25">
      <c r="A21" s="41">
        <f t="shared" si="3"/>
        <v>0</v>
      </c>
      <c r="B21" s="35" t="str">
        <f t="shared" si="6"/>
        <v/>
      </c>
      <c r="C21" s="25"/>
      <c r="D21" s="25"/>
      <c r="E21" s="25"/>
      <c r="F21" s="25"/>
      <c r="G21" s="8"/>
      <c r="H21" s="155">
        <v>16</v>
      </c>
      <c r="I21" s="156" t="str">
        <f t="shared" si="4"/>
        <v/>
      </c>
      <c r="J21" s="155">
        <f t="shared" si="5"/>
        <v>0</v>
      </c>
      <c r="K21" s="155">
        <f t="shared" si="1"/>
        <v>0</v>
      </c>
      <c r="L21" s="155"/>
      <c r="M21" s="157">
        <f t="shared" si="2"/>
        <v>0</v>
      </c>
    </row>
    <row r="22" spans="1:19" x14ac:dyDescent="0.25">
      <c r="A22" s="42">
        <f t="shared" si="3"/>
        <v>0</v>
      </c>
      <c r="B22" s="36" t="str">
        <f t="shared" si="6"/>
        <v/>
      </c>
      <c r="C22" s="24"/>
      <c r="D22" s="24"/>
      <c r="E22" s="24"/>
      <c r="F22" s="24"/>
      <c r="G22" s="8"/>
      <c r="H22" s="152">
        <v>17</v>
      </c>
      <c r="I22" s="153" t="str">
        <f t="shared" si="4"/>
        <v/>
      </c>
      <c r="J22" s="152">
        <f t="shared" si="5"/>
        <v>-1</v>
      </c>
      <c r="K22" s="152">
        <f t="shared" si="1"/>
        <v>-10</v>
      </c>
      <c r="L22" s="152"/>
      <c r="M22" s="154">
        <f t="shared" si="2"/>
        <v>0</v>
      </c>
    </row>
    <row r="23" spans="1:19" x14ac:dyDescent="0.25">
      <c r="A23" s="41">
        <f t="shared" si="3"/>
        <v>0</v>
      </c>
      <c r="B23" s="35" t="str">
        <f t="shared" si="6"/>
        <v/>
      </c>
      <c r="C23" s="25"/>
      <c r="D23" s="25"/>
      <c r="E23" s="25"/>
      <c r="F23" s="25"/>
      <c r="G23" s="8"/>
      <c r="H23" s="155">
        <v>18</v>
      </c>
      <c r="I23" s="156" t="str">
        <f t="shared" si="4"/>
        <v/>
      </c>
      <c r="J23" s="155">
        <f t="shared" si="5"/>
        <v>-1</v>
      </c>
      <c r="K23" s="155">
        <f t="shared" si="1"/>
        <v>-10</v>
      </c>
      <c r="L23" s="155"/>
      <c r="M23" s="157">
        <f t="shared" si="2"/>
        <v>0</v>
      </c>
    </row>
    <row r="24" spans="1:19" x14ac:dyDescent="0.25">
      <c r="A24" s="42">
        <f t="shared" si="3"/>
        <v>0</v>
      </c>
      <c r="B24" s="36" t="str">
        <f t="shared" si="6"/>
        <v/>
      </c>
      <c r="C24" s="24"/>
      <c r="D24" s="24"/>
      <c r="E24" s="24"/>
      <c r="F24" s="24"/>
      <c r="G24" s="8"/>
      <c r="H24" s="152">
        <v>19</v>
      </c>
      <c r="I24" s="153" t="str">
        <f t="shared" si="4"/>
        <v/>
      </c>
      <c r="J24" s="152">
        <f t="shared" si="5"/>
        <v>-1</v>
      </c>
      <c r="K24" s="152">
        <f t="shared" si="1"/>
        <v>-10</v>
      </c>
      <c r="L24" s="152"/>
      <c r="M24" s="154">
        <f t="shared" si="2"/>
        <v>0</v>
      </c>
      <c r="R24" s="165"/>
      <c r="S24" s="166"/>
    </row>
    <row r="25" spans="1:19" x14ac:dyDescent="0.25">
      <c r="A25" s="41">
        <f t="shared" si="3"/>
        <v>0</v>
      </c>
      <c r="B25" s="35" t="str">
        <f t="shared" si="6"/>
        <v/>
      </c>
      <c r="C25" s="25"/>
      <c r="D25" s="25"/>
      <c r="E25" s="25"/>
      <c r="F25" s="25"/>
      <c r="G25" s="8"/>
      <c r="H25" s="155">
        <v>20</v>
      </c>
      <c r="I25" s="156" t="str">
        <f t="shared" si="4"/>
        <v/>
      </c>
      <c r="J25" s="155">
        <f t="shared" si="5"/>
        <v>-1</v>
      </c>
      <c r="K25" s="155">
        <f t="shared" si="1"/>
        <v>-10</v>
      </c>
      <c r="L25" s="155"/>
      <c r="M25" s="157">
        <f t="shared" si="2"/>
        <v>0</v>
      </c>
    </row>
    <row r="26" spans="1:19" x14ac:dyDescent="0.25">
      <c r="A26" s="42">
        <f t="shared" si="3"/>
        <v>0</v>
      </c>
      <c r="B26" s="36" t="str">
        <f t="shared" si="6"/>
        <v/>
      </c>
      <c r="C26" s="24"/>
      <c r="D26" s="24"/>
      <c r="E26" s="24"/>
      <c r="F26" s="24"/>
      <c r="G26" s="8"/>
      <c r="H26" s="152">
        <v>21</v>
      </c>
      <c r="I26" s="153" t="str">
        <f t="shared" si="4"/>
        <v/>
      </c>
      <c r="J26" s="152">
        <f t="shared" si="5"/>
        <v>-1</v>
      </c>
      <c r="K26" s="152">
        <f t="shared" si="1"/>
        <v>-10</v>
      </c>
      <c r="L26" s="152"/>
      <c r="M26" s="154">
        <f t="shared" si="2"/>
        <v>0</v>
      </c>
    </row>
    <row r="27" spans="1:19" x14ac:dyDescent="0.25">
      <c r="A27" s="41">
        <f t="shared" si="3"/>
        <v>0</v>
      </c>
      <c r="B27" s="35" t="str">
        <f t="shared" si="6"/>
        <v/>
      </c>
      <c r="C27" s="25"/>
      <c r="D27" s="25"/>
      <c r="E27" s="25"/>
      <c r="F27" s="25"/>
      <c r="G27" s="8"/>
      <c r="H27" s="155">
        <v>22</v>
      </c>
      <c r="I27" s="156" t="str">
        <f t="shared" si="4"/>
        <v/>
      </c>
      <c r="J27" s="155">
        <f t="shared" si="5"/>
        <v>-1</v>
      </c>
      <c r="K27" s="155">
        <f t="shared" si="1"/>
        <v>-10</v>
      </c>
      <c r="L27" s="155"/>
      <c r="M27" s="157">
        <f t="shared" si="2"/>
        <v>0</v>
      </c>
    </row>
    <row r="28" spans="1:19" x14ac:dyDescent="0.25">
      <c r="A28" s="42">
        <f t="shared" si="3"/>
        <v>0</v>
      </c>
      <c r="B28" s="36" t="str">
        <f t="shared" si="6"/>
        <v/>
      </c>
      <c r="C28" s="24"/>
      <c r="D28" s="24"/>
      <c r="E28" s="24"/>
      <c r="F28" s="24"/>
      <c r="G28" s="8"/>
      <c r="H28" s="152">
        <v>23</v>
      </c>
      <c r="I28" s="153" t="str">
        <f t="shared" si="4"/>
        <v/>
      </c>
      <c r="J28" s="152">
        <f t="shared" si="5"/>
        <v>-1</v>
      </c>
      <c r="K28" s="152">
        <f t="shared" si="1"/>
        <v>-10</v>
      </c>
      <c r="L28" s="152"/>
      <c r="M28" s="154">
        <f t="shared" si="2"/>
        <v>0</v>
      </c>
      <c r="R28" s="165"/>
      <c r="S28" s="166"/>
    </row>
    <row r="29" spans="1:19" x14ac:dyDescent="0.25">
      <c r="A29" s="41">
        <f t="shared" si="3"/>
        <v>0</v>
      </c>
      <c r="B29" s="35" t="str">
        <f t="shared" si="6"/>
        <v/>
      </c>
      <c r="C29" s="25"/>
      <c r="D29" s="25"/>
      <c r="E29" s="25"/>
      <c r="F29" s="25"/>
      <c r="G29" s="138"/>
      <c r="H29" s="155">
        <v>24</v>
      </c>
      <c r="I29" s="156" t="str">
        <f t="shared" si="4"/>
        <v/>
      </c>
      <c r="J29" s="155">
        <f t="shared" si="5"/>
        <v>-1</v>
      </c>
      <c r="K29" s="155">
        <f t="shared" si="1"/>
        <v>-10</v>
      </c>
      <c r="L29" s="155"/>
      <c r="M29" s="157">
        <f t="shared" si="2"/>
        <v>0</v>
      </c>
    </row>
    <row r="30" spans="1:19" x14ac:dyDescent="0.25">
      <c r="A30" s="42">
        <f t="shared" si="3"/>
        <v>0</v>
      </c>
      <c r="B30" s="36" t="str">
        <f t="shared" si="6"/>
        <v/>
      </c>
      <c r="C30" s="24"/>
      <c r="D30" s="24"/>
      <c r="E30" s="24"/>
      <c r="F30" s="24"/>
      <c r="G30" s="138"/>
      <c r="H30" s="152">
        <v>25</v>
      </c>
      <c r="I30" s="153" t="str">
        <f t="shared" si="4"/>
        <v/>
      </c>
      <c r="J30" s="152">
        <f t="shared" si="5"/>
        <v>-1</v>
      </c>
      <c r="K30" s="152">
        <f t="shared" si="1"/>
        <v>-10</v>
      </c>
      <c r="L30" s="152"/>
      <c r="M30" s="154">
        <f t="shared" si="2"/>
        <v>0</v>
      </c>
    </row>
    <row r="31" spans="1:19" x14ac:dyDescent="0.25">
      <c r="A31" s="41">
        <f t="shared" si="3"/>
        <v>0</v>
      </c>
      <c r="B31" s="35" t="str">
        <f t="shared" si="6"/>
        <v/>
      </c>
      <c r="C31" s="25"/>
      <c r="D31" s="25"/>
      <c r="E31" s="25"/>
      <c r="F31" s="25"/>
      <c r="G31" s="138"/>
      <c r="H31" s="155">
        <v>26</v>
      </c>
      <c r="I31" s="156" t="str">
        <f t="shared" si="4"/>
        <v/>
      </c>
      <c r="J31" s="155">
        <f t="shared" si="5"/>
        <v>-1</v>
      </c>
      <c r="K31" s="155">
        <f t="shared" si="1"/>
        <v>-10</v>
      </c>
      <c r="L31" s="155"/>
      <c r="M31" s="157">
        <f t="shared" si="2"/>
        <v>0</v>
      </c>
    </row>
    <row r="32" spans="1:19" x14ac:dyDescent="0.25">
      <c r="A32" s="42">
        <f t="shared" si="3"/>
        <v>0</v>
      </c>
      <c r="B32" s="36" t="str">
        <f t="shared" si="6"/>
        <v/>
      </c>
      <c r="C32" s="24"/>
      <c r="D32" s="24"/>
      <c r="E32" s="24"/>
      <c r="F32" s="24"/>
      <c r="G32" s="138"/>
      <c r="H32" s="152">
        <v>27</v>
      </c>
      <c r="I32" s="153" t="str">
        <f t="shared" si="4"/>
        <v/>
      </c>
      <c r="J32" s="152">
        <f t="shared" si="5"/>
        <v>-1</v>
      </c>
      <c r="K32" s="152">
        <f t="shared" si="1"/>
        <v>-10</v>
      </c>
      <c r="L32" s="152"/>
      <c r="M32" s="154">
        <f t="shared" si="2"/>
        <v>0</v>
      </c>
      <c r="R32" s="165"/>
      <c r="S32" s="166"/>
    </row>
    <row r="33" spans="1:21" x14ac:dyDescent="0.25">
      <c r="A33" s="41">
        <f t="shared" si="3"/>
        <v>0</v>
      </c>
      <c r="B33" s="35" t="str">
        <f t="shared" si="6"/>
        <v/>
      </c>
      <c r="C33" s="25"/>
      <c r="D33" s="25"/>
      <c r="E33" s="25"/>
      <c r="F33" s="25"/>
      <c r="G33" s="138"/>
      <c r="H33" s="155">
        <v>28</v>
      </c>
      <c r="I33" s="156" t="str">
        <f t="shared" si="4"/>
        <v/>
      </c>
      <c r="J33" s="155">
        <f t="shared" si="5"/>
        <v>-1</v>
      </c>
      <c r="K33" s="155">
        <f t="shared" si="1"/>
        <v>-10</v>
      </c>
      <c r="L33" s="155"/>
      <c r="M33" s="157">
        <f t="shared" si="2"/>
        <v>0</v>
      </c>
    </row>
    <row r="34" spans="1:21" x14ac:dyDescent="0.25">
      <c r="A34" s="42">
        <f t="shared" si="3"/>
        <v>0</v>
      </c>
      <c r="B34" s="36" t="str">
        <f t="shared" si="6"/>
        <v/>
      </c>
      <c r="C34" s="24"/>
      <c r="D34" s="24"/>
      <c r="E34" s="24"/>
      <c r="F34" s="24"/>
      <c r="G34" s="138"/>
      <c r="H34" s="152">
        <v>29</v>
      </c>
      <c r="I34" s="153" t="str">
        <f t="shared" si="4"/>
        <v/>
      </c>
      <c r="J34" s="152">
        <f t="shared" si="5"/>
        <v>-1</v>
      </c>
      <c r="K34" s="152">
        <f t="shared" si="1"/>
        <v>-10</v>
      </c>
      <c r="L34" s="152"/>
      <c r="M34" s="154">
        <f t="shared" si="2"/>
        <v>0</v>
      </c>
    </row>
    <row r="35" spans="1:21" x14ac:dyDescent="0.25">
      <c r="A35" s="41">
        <f t="shared" si="3"/>
        <v>0</v>
      </c>
      <c r="B35" s="35" t="str">
        <f t="shared" si="6"/>
        <v/>
      </c>
      <c r="C35" s="25"/>
      <c r="D35" s="25"/>
      <c r="E35" s="25"/>
      <c r="F35" s="25"/>
      <c r="G35" s="138"/>
      <c r="H35" s="155">
        <v>30</v>
      </c>
      <c r="I35" s="156" t="str">
        <f t="shared" si="4"/>
        <v/>
      </c>
      <c r="J35" s="155">
        <f t="shared" si="5"/>
        <v>-1</v>
      </c>
      <c r="K35" s="155">
        <f t="shared" si="1"/>
        <v>-10</v>
      </c>
      <c r="L35" s="155"/>
      <c r="M35" s="157">
        <f t="shared" si="2"/>
        <v>0</v>
      </c>
    </row>
    <row r="36" spans="1:21" x14ac:dyDescent="0.25">
      <c r="A36" s="42">
        <f t="shared" si="3"/>
        <v>0</v>
      </c>
      <c r="B36" s="36" t="str">
        <f t="shared" si="6"/>
        <v/>
      </c>
      <c r="C36" s="24"/>
      <c r="D36" s="24"/>
      <c r="E36" s="24"/>
      <c r="F36" s="24"/>
      <c r="G36" s="138"/>
      <c r="H36" s="152">
        <v>31</v>
      </c>
      <c r="I36" s="153" t="str">
        <f t="shared" si="4"/>
        <v/>
      </c>
      <c r="J36" s="152">
        <f t="shared" si="5"/>
        <v>-1</v>
      </c>
      <c r="K36" s="152">
        <f t="shared" si="1"/>
        <v>-10</v>
      </c>
      <c r="L36" s="152"/>
      <c r="M36" s="154">
        <f t="shared" si="2"/>
        <v>0</v>
      </c>
      <c r="R36" s="165"/>
      <c r="S36" s="166"/>
    </row>
    <row r="37" spans="1:21" x14ac:dyDescent="0.25">
      <c r="A37" s="41">
        <f t="shared" si="3"/>
        <v>0</v>
      </c>
      <c r="B37" s="35" t="str">
        <f t="shared" si="6"/>
        <v/>
      </c>
      <c r="C37" s="25"/>
      <c r="D37" s="25"/>
      <c r="E37" s="25"/>
      <c r="F37" s="25"/>
      <c r="G37" s="138"/>
      <c r="H37" s="155">
        <v>32</v>
      </c>
      <c r="I37" s="156" t="str">
        <f t="shared" si="4"/>
        <v/>
      </c>
      <c r="J37" s="155">
        <f t="shared" si="5"/>
        <v>-1</v>
      </c>
      <c r="K37" s="155">
        <f t="shared" si="1"/>
        <v>-10</v>
      </c>
      <c r="L37" s="155"/>
      <c r="M37" s="157">
        <f t="shared" si="2"/>
        <v>0</v>
      </c>
    </row>
    <row r="38" spans="1:21" x14ac:dyDescent="0.25">
      <c r="A38" s="42"/>
      <c r="B38" s="36" t="str">
        <f t="shared" si="6"/>
        <v/>
      </c>
      <c r="C38" s="24"/>
      <c r="D38" s="24"/>
      <c r="E38" s="24"/>
      <c r="F38" s="24"/>
      <c r="G38" s="138"/>
      <c r="H38" s="152">
        <v>33</v>
      </c>
      <c r="I38" s="153" t="str">
        <f t="shared" si="4"/>
        <v/>
      </c>
      <c r="J38" s="152">
        <f t="shared" si="5"/>
        <v>-2</v>
      </c>
      <c r="K38" s="152">
        <f t="shared" si="1"/>
        <v>-20</v>
      </c>
      <c r="L38" s="152"/>
      <c r="M38" s="154">
        <f t="shared" si="2"/>
        <v>0</v>
      </c>
    </row>
    <row r="39" spans="1:21" x14ac:dyDescent="0.25">
      <c r="A39" s="41"/>
      <c r="B39" s="35" t="str">
        <f t="shared" si="6"/>
        <v/>
      </c>
      <c r="C39" s="25"/>
      <c r="D39" s="25"/>
      <c r="E39" s="25"/>
      <c r="F39" s="25"/>
      <c r="G39" s="138"/>
      <c r="H39" s="155">
        <v>34</v>
      </c>
      <c r="I39" s="156" t="str">
        <f t="shared" si="4"/>
        <v/>
      </c>
      <c r="J39" s="155">
        <f t="shared" si="5"/>
        <v>-2</v>
      </c>
      <c r="K39" s="155">
        <f t="shared" si="1"/>
        <v>-20</v>
      </c>
      <c r="L39" s="155"/>
      <c r="M39" s="157">
        <f t="shared" si="2"/>
        <v>0</v>
      </c>
    </row>
    <row r="40" spans="1:21" x14ac:dyDescent="0.25">
      <c r="A40" s="42"/>
      <c r="B40" s="36" t="str">
        <f t="shared" si="6"/>
        <v/>
      </c>
      <c r="C40" s="24"/>
      <c r="D40" s="24"/>
      <c r="E40" s="24"/>
      <c r="F40" s="24"/>
      <c r="G40" s="138"/>
      <c r="H40" s="152">
        <v>35</v>
      </c>
      <c r="I40" s="153" t="str">
        <f t="shared" si="4"/>
        <v/>
      </c>
      <c r="J40" s="152">
        <f t="shared" si="5"/>
        <v>-2</v>
      </c>
      <c r="K40" s="152">
        <f t="shared" si="1"/>
        <v>-20</v>
      </c>
      <c r="L40" s="152"/>
      <c r="M40" s="154">
        <f t="shared" si="2"/>
        <v>0</v>
      </c>
    </row>
    <row r="41" spans="1:21" x14ac:dyDescent="0.25">
      <c r="A41" s="41"/>
      <c r="B41" s="35" t="str">
        <f t="shared" si="6"/>
        <v/>
      </c>
      <c r="C41" s="25"/>
      <c r="D41" s="25"/>
      <c r="E41" s="25"/>
      <c r="F41" s="25"/>
      <c r="G41" s="138"/>
      <c r="H41" s="155">
        <v>36</v>
      </c>
      <c r="I41" s="156" t="str">
        <f t="shared" si="4"/>
        <v/>
      </c>
      <c r="J41" s="155">
        <f t="shared" si="5"/>
        <v>-2</v>
      </c>
      <c r="K41" s="155">
        <f t="shared" si="1"/>
        <v>-20</v>
      </c>
      <c r="L41" s="155"/>
      <c r="M41" s="157">
        <f t="shared" si="2"/>
        <v>0</v>
      </c>
      <c r="S41" s="167"/>
    </row>
    <row r="42" spans="1:21" x14ac:dyDescent="0.25">
      <c r="A42" s="42"/>
      <c r="B42" s="36" t="str">
        <f t="shared" si="6"/>
        <v/>
      </c>
      <c r="C42" s="24"/>
      <c r="D42" s="24"/>
      <c r="E42" s="24"/>
      <c r="F42" s="24"/>
      <c r="G42" s="138"/>
      <c r="H42" s="152">
        <v>37</v>
      </c>
      <c r="I42" s="153" t="str">
        <f t="shared" si="4"/>
        <v/>
      </c>
      <c r="J42" s="152">
        <f t="shared" si="5"/>
        <v>-2</v>
      </c>
      <c r="K42" s="152">
        <f t="shared" si="1"/>
        <v>-20</v>
      </c>
      <c r="L42" s="152"/>
      <c r="M42" s="154">
        <f t="shared" si="2"/>
        <v>0</v>
      </c>
    </row>
    <row r="43" spans="1:21" x14ac:dyDescent="0.25">
      <c r="A43" s="41"/>
      <c r="B43" s="35" t="str">
        <f t="shared" si="6"/>
        <v/>
      </c>
      <c r="C43" s="25"/>
      <c r="D43" s="25"/>
      <c r="E43" s="25"/>
      <c r="F43" s="25"/>
      <c r="G43" s="138"/>
      <c r="H43" s="155">
        <v>38</v>
      </c>
      <c r="I43" s="156" t="str">
        <f t="shared" si="4"/>
        <v/>
      </c>
      <c r="J43" s="155">
        <f t="shared" si="5"/>
        <v>-2</v>
      </c>
      <c r="K43" s="155">
        <f t="shared" si="1"/>
        <v>-20</v>
      </c>
      <c r="L43" s="155"/>
      <c r="M43" s="157">
        <f t="shared" si="2"/>
        <v>0</v>
      </c>
    </row>
    <row r="44" spans="1:21" x14ac:dyDescent="0.25">
      <c r="A44" s="42"/>
      <c r="B44" s="36" t="str">
        <f t="shared" si="6"/>
        <v/>
      </c>
      <c r="C44" s="24"/>
      <c r="D44" s="24"/>
      <c r="E44" s="24"/>
      <c r="F44" s="24"/>
      <c r="G44" s="138"/>
      <c r="H44" s="152">
        <v>39</v>
      </c>
      <c r="I44" s="153" t="str">
        <f t="shared" si="4"/>
        <v/>
      </c>
      <c r="J44" s="152">
        <f t="shared" si="5"/>
        <v>-2</v>
      </c>
      <c r="K44" s="152">
        <f t="shared" si="1"/>
        <v>-20</v>
      </c>
      <c r="L44" s="152"/>
      <c r="M44" s="154">
        <f t="shared" si="2"/>
        <v>0</v>
      </c>
    </row>
    <row r="45" spans="1:21" x14ac:dyDescent="0.25">
      <c r="A45" s="41"/>
      <c r="B45" s="35" t="str">
        <f t="shared" si="6"/>
        <v/>
      </c>
      <c r="C45" s="25"/>
      <c r="D45" s="25"/>
      <c r="E45" s="25"/>
      <c r="F45" s="25"/>
      <c r="G45" s="138"/>
      <c r="H45" s="155">
        <v>40</v>
      </c>
      <c r="I45" s="156" t="str">
        <f t="shared" si="4"/>
        <v/>
      </c>
      <c r="J45" s="155">
        <f t="shared" si="5"/>
        <v>-2</v>
      </c>
      <c r="K45" s="155">
        <f t="shared" si="1"/>
        <v>-20</v>
      </c>
      <c r="L45" s="155"/>
      <c r="M45" s="157">
        <f t="shared" si="2"/>
        <v>0</v>
      </c>
    </row>
    <row r="46" spans="1:21" x14ac:dyDescent="0.25">
      <c r="A46" s="42"/>
      <c r="B46" s="36" t="str">
        <f t="shared" si="6"/>
        <v/>
      </c>
      <c r="C46" s="24"/>
      <c r="D46" s="24"/>
      <c r="E46" s="24"/>
      <c r="F46" s="24"/>
      <c r="G46" s="138"/>
      <c r="H46" s="152">
        <v>41</v>
      </c>
      <c r="I46" s="153" t="str">
        <f t="shared" si="4"/>
        <v/>
      </c>
      <c r="J46" s="152">
        <f t="shared" si="5"/>
        <v>-2</v>
      </c>
      <c r="K46" s="152">
        <f t="shared" si="1"/>
        <v>-20</v>
      </c>
      <c r="L46" s="152"/>
      <c r="M46" s="154">
        <f t="shared" si="2"/>
        <v>0</v>
      </c>
      <c r="R46" s="138">
        <f>LOG($H$2,2)</f>
        <v>3.1699250014423126</v>
      </c>
      <c r="T46" s="143">
        <f>LOG(H38,2)</f>
        <v>5.0443941193584534</v>
      </c>
      <c r="U46" s="143">
        <f>R46-T46</f>
        <v>-1.8744691179161408</v>
      </c>
    </row>
    <row r="47" spans="1:21" x14ac:dyDescent="0.25">
      <c r="A47" s="41"/>
      <c r="B47" s="35" t="str">
        <f t="shared" si="6"/>
        <v/>
      </c>
      <c r="C47" s="25"/>
      <c r="D47" s="25"/>
      <c r="E47" s="25"/>
      <c r="F47" s="25"/>
      <c r="G47" s="138"/>
      <c r="H47" s="155">
        <v>42</v>
      </c>
      <c r="I47" s="156" t="str">
        <f t="shared" si="4"/>
        <v/>
      </c>
      <c r="J47" s="155">
        <f t="shared" si="5"/>
        <v>-2</v>
      </c>
      <c r="K47" s="155">
        <f t="shared" si="1"/>
        <v>-20</v>
      </c>
      <c r="L47" s="155"/>
      <c r="M47" s="157">
        <f t="shared" si="2"/>
        <v>0</v>
      </c>
    </row>
    <row r="48" spans="1:21" x14ac:dyDescent="0.25">
      <c r="A48" s="42"/>
      <c r="B48" s="36" t="str">
        <f t="shared" si="6"/>
        <v/>
      </c>
      <c r="C48" s="24"/>
      <c r="D48" s="24"/>
      <c r="E48" s="24"/>
      <c r="F48" s="24"/>
      <c r="G48" s="138"/>
      <c r="H48" s="152">
        <v>43</v>
      </c>
      <c r="I48" s="153" t="str">
        <f t="shared" si="4"/>
        <v/>
      </c>
      <c r="J48" s="152">
        <f t="shared" si="5"/>
        <v>-2</v>
      </c>
      <c r="K48" s="152">
        <f t="shared" si="1"/>
        <v>-20</v>
      </c>
      <c r="L48" s="152"/>
      <c r="M48" s="154">
        <f t="shared" si="2"/>
        <v>0</v>
      </c>
    </row>
    <row r="49" spans="1:13" x14ac:dyDescent="0.25">
      <c r="A49" s="41"/>
      <c r="B49" s="35" t="str">
        <f t="shared" si="6"/>
        <v/>
      </c>
      <c r="C49" s="25"/>
      <c r="D49" s="25"/>
      <c r="E49" s="25"/>
      <c r="F49" s="25"/>
      <c r="G49" s="138"/>
      <c r="H49" s="155">
        <v>44</v>
      </c>
      <c r="I49" s="156" t="str">
        <f t="shared" si="4"/>
        <v/>
      </c>
      <c r="J49" s="155">
        <f t="shared" si="5"/>
        <v>-2</v>
      </c>
      <c r="K49" s="155">
        <f t="shared" si="1"/>
        <v>-20</v>
      </c>
      <c r="L49" s="155"/>
      <c r="M49" s="157">
        <f t="shared" si="2"/>
        <v>0</v>
      </c>
    </row>
    <row r="50" spans="1:13" x14ac:dyDescent="0.25">
      <c r="A50" s="42"/>
      <c r="B50" s="36" t="str">
        <f t="shared" si="6"/>
        <v/>
      </c>
      <c r="C50" s="24"/>
      <c r="D50" s="24"/>
      <c r="E50" s="24"/>
      <c r="F50" s="24"/>
      <c r="G50" s="138"/>
      <c r="H50" s="152">
        <v>45</v>
      </c>
      <c r="I50" s="153" t="str">
        <f t="shared" si="4"/>
        <v/>
      </c>
      <c r="J50" s="152">
        <f t="shared" si="5"/>
        <v>-2</v>
      </c>
      <c r="K50" s="152">
        <f t="shared" si="1"/>
        <v>-20</v>
      </c>
      <c r="L50" s="152"/>
      <c r="M50" s="154">
        <f t="shared" si="2"/>
        <v>0</v>
      </c>
    </row>
    <row r="51" spans="1:13" x14ac:dyDescent="0.25">
      <c r="A51" s="41"/>
      <c r="B51" s="35" t="str">
        <f t="shared" si="6"/>
        <v/>
      </c>
      <c r="C51" s="25"/>
      <c r="D51" s="25"/>
      <c r="E51" s="25"/>
      <c r="F51" s="25"/>
      <c r="G51" s="138"/>
      <c r="H51" s="155">
        <v>46</v>
      </c>
      <c r="I51" s="156" t="str">
        <f t="shared" si="4"/>
        <v/>
      </c>
      <c r="J51" s="155">
        <f t="shared" si="5"/>
        <v>-2</v>
      </c>
      <c r="K51" s="155">
        <f t="shared" si="1"/>
        <v>-20</v>
      </c>
      <c r="L51" s="155"/>
      <c r="M51" s="157">
        <f t="shared" si="2"/>
        <v>0</v>
      </c>
    </row>
    <row r="52" spans="1:13" x14ac:dyDescent="0.25">
      <c r="A52" s="42"/>
      <c r="B52" s="36" t="str">
        <f t="shared" si="6"/>
        <v/>
      </c>
      <c r="C52" s="24"/>
      <c r="D52" s="24"/>
      <c r="E52" s="24"/>
      <c r="F52" s="24"/>
      <c r="G52" s="138"/>
      <c r="H52" s="152">
        <v>47</v>
      </c>
      <c r="I52" s="153" t="str">
        <f t="shared" si="4"/>
        <v/>
      </c>
      <c r="J52" s="152">
        <f t="shared" si="5"/>
        <v>-2</v>
      </c>
      <c r="K52" s="152">
        <f t="shared" si="1"/>
        <v>-20</v>
      </c>
      <c r="L52" s="152"/>
      <c r="M52" s="154">
        <f t="shared" si="2"/>
        <v>0</v>
      </c>
    </row>
    <row r="53" spans="1:13" x14ac:dyDescent="0.25">
      <c r="A53" s="41"/>
      <c r="B53" s="35" t="str">
        <f t="shared" si="6"/>
        <v/>
      </c>
      <c r="C53" s="25"/>
      <c r="D53" s="25"/>
      <c r="E53" s="25"/>
      <c r="F53" s="25"/>
      <c r="G53" s="138"/>
      <c r="H53" s="155">
        <v>48</v>
      </c>
      <c r="I53" s="156" t="str">
        <f t="shared" si="4"/>
        <v/>
      </c>
      <c r="J53" s="155">
        <f t="shared" si="5"/>
        <v>-2</v>
      </c>
      <c r="K53" s="155">
        <f t="shared" si="1"/>
        <v>-20</v>
      </c>
      <c r="L53" s="155"/>
      <c r="M53" s="157">
        <f t="shared" si="2"/>
        <v>0</v>
      </c>
    </row>
    <row r="54" spans="1:13" x14ac:dyDescent="0.25">
      <c r="A54" s="42"/>
      <c r="B54" s="36" t="str">
        <f t="shared" si="6"/>
        <v/>
      </c>
      <c r="C54" s="24"/>
      <c r="D54" s="24"/>
      <c r="E54" s="24"/>
      <c r="F54" s="24"/>
      <c r="G54" s="138"/>
      <c r="H54" s="152">
        <v>49</v>
      </c>
      <c r="I54" s="153" t="str">
        <f t="shared" si="4"/>
        <v/>
      </c>
      <c r="J54" s="152">
        <f t="shared" si="5"/>
        <v>-2</v>
      </c>
      <c r="K54" s="152">
        <f t="shared" si="1"/>
        <v>-20</v>
      </c>
      <c r="L54" s="152"/>
      <c r="M54" s="154">
        <f t="shared" si="2"/>
        <v>0</v>
      </c>
    </row>
    <row r="55" spans="1:13" x14ac:dyDescent="0.25">
      <c r="A55" s="41"/>
      <c r="B55" s="35" t="str">
        <f t="shared" si="6"/>
        <v/>
      </c>
      <c r="C55" s="25"/>
      <c r="D55" s="25"/>
      <c r="E55" s="25"/>
      <c r="F55" s="25"/>
      <c r="G55" s="138"/>
      <c r="H55" s="155">
        <v>50</v>
      </c>
      <c r="I55" s="156" t="str">
        <f t="shared" si="4"/>
        <v/>
      </c>
      <c r="J55" s="155">
        <f t="shared" si="5"/>
        <v>-2</v>
      </c>
      <c r="K55" s="155">
        <f t="shared" si="1"/>
        <v>-20</v>
      </c>
      <c r="L55" s="155"/>
      <c r="M55" s="157">
        <f t="shared" si="2"/>
        <v>0</v>
      </c>
    </row>
    <row r="56" spans="1:13" x14ac:dyDescent="0.25">
      <c r="A56" s="42"/>
      <c r="B56" s="36" t="str">
        <f t="shared" si="6"/>
        <v/>
      </c>
      <c r="C56" s="24"/>
      <c r="D56" s="24"/>
      <c r="E56" s="24"/>
      <c r="F56" s="24"/>
      <c r="G56" s="138"/>
      <c r="H56" s="152">
        <v>51</v>
      </c>
      <c r="I56" s="153" t="str">
        <f t="shared" si="4"/>
        <v/>
      </c>
      <c r="J56" s="152">
        <f t="shared" si="5"/>
        <v>-2</v>
      </c>
      <c r="K56" s="152">
        <f t="shared" si="1"/>
        <v>-20</v>
      </c>
      <c r="L56" s="152"/>
      <c r="M56" s="154">
        <f t="shared" si="2"/>
        <v>0</v>
      </c>
    </row>
    <row r="57" spans="1:13" x14ac:dyDescent="0.25">
      <c r="A57" s="41"/>
      <c r="B57" s="35" t="str">
        <f t="shared" si="6"/>
        <v/>
      </c>
      <c r="C57" s="25"/>
      <c r="D57" s="25"/>
      <c r="E57" s="25"/>
      <c r="F57" s="25"/>
      <c r="G57" s="138"/>
      <c r="H57" s="155">
        <v>52</v>
      </c>
      <c r="I57" s="156" t="str">
        <f t="shared" si="4"/>
        <v/>
      </c>
      <c r="J57" s="155">
        <f t="shared" si="5"/>
        <v>-2</v>
      </c>
      <c r="K57" s="155">
        <f t="shared" si="1"/>
        <v>-20</v>
      </c>
      <c r="L57" s="155"/>
      <c r="M57" s="157">
        <f t="shared" si="2"/>
        <v>0</v>
      </c>
    </row>
    <row r="58" spans="1:13" x14ac:dyDescent="0.25">
      <c r="A58" s="42"/>
      <c r="B58" s="36" t="str">
        <f t="shared" si="6"/>
        <v/>
      </c>
      <c r="C58" s="24"/>
      <c r="D58" s="24"/>
      <c r="E58" s="24"/>
      <c r="F58" s="24"/>
      <c r="G58" s="138"/>
      <c r="H58" s="152">
        <v>53</v>
      </c>
      <c r="I58" s="153" t="str">
        <f t="shared" si="4"/>
        <v/>
      </c>
      <c r="J58" s="152">
        <f t="shared" si="5"/>
        <v>-2</v>
      </c>
      <c r="K58" s="152">
        <f t="shared" si="1"/>
        <v>-20</v>
      </c>
      <c r="L58" s="152"/>
      <c r="M58" s="154">
        <f t="shared" si="2"/>
        <v>0</v>
      </c>
    </row>
    <row r="59" spans="1:13" x14ac:dyDescent="0.25">
      <c r="A59" s="41"/>
      <c r="B59" s="35" t="str">
        <f t="shared" si="6"/>
        <v/>
      </c>
      <c r="C59" s="25"/>
      <c r="D59" s="25"/>
      <c r="E59" s="25"/>
      <c r="F59" s="25"/>
      <c r="G59" s="138"/>
      <c r="H59" s="155">
        <v>54</v>
      </c>
      <c r="I59" s="156" t="str">
        <f t="shared" si="4"/>
        <v/>
      </c>
      <c r="J59" s="155">
        <f t="shared" si="5"/>
        <v>-2</v>
      </c>
      <c r="K59" s="155">
        <f t="shared" si="1"/>
        <v>-20</v>
      </c>
      <c r="L59" s="155"/>
      <c r="M59" s="157">
        <f t="shared" si="2"/>
        <v>0</v>
      </c>
    </row>
    <row r="60" spans="1:13" x14ac:dyDescent="0.25">
      <c r="A60" s="42"/>
      <c r="B60" s="36" t="str">
        <f t="shared" si="6"/>
        <v/>
      </c>
      <c r="C60" s="24"/>
      <c r="D60" s="24"/>
      <c r="E60" s="24"/>
      <c r="F60" s="24"/>
      <c r="G60" s="138"/>
      <c r="H60" s="152">
        <v>55</v>
      </c>
      <c r="I60" s="153" t="str">
        <f t="shared" si="4"/>
        <v/>
      </c>
      <c r="J60" s="152">
        <f t="shared" si="5"/>
        <v>-2</v>
      </c>
      <c r="K60" s="152">
        <f t="shared" si="1"/>
        <v>-20</v>
      </c>
      <c r="L60" s="152"/>
      <c r="M60" s="154">
        <f t="shared" si="2"/>
        <v>0</v>
      </c>
    </row>
    <row r="61" spans="1:13" x14ac:dyDescent="0.25">
      <c r="A61" s="41"/>
      <c r="B61" s="35" t="str">
        <f t="shared" si="6"/>
        <v/>
      </c>
      <c r="C61" s="25"/>
      <c r="D61" s="25"/>
      <c r="E61" s="25"/>
      <c r="F61" s="25"/>
      <c r="G61" s="138"/>
      <c r="H61" s="155">
        <v>56</v>
      </c>
      <c r="I61" s="156" t="str">
        <f t="shared" si="4"/>
        <v/>
      </c>
      <c r="J61" s="155">
        <f t="shared" si="5"/>
        <v>-2</v>
      </c>
      <c r="K61" s="155">
        <f t="shared" si="1"/>
        <v>-20</v>
      </c>
      <c r="L61" s="155"/>
      <c r="M61" s="157">
        <f t="shared" si="2"/>
        <v>0</v>
      </c>
    </row>
    <row r="62" spans="1:13" x14ac:dyDescent="0.25">
      <c r="A62" s="42"/>
      <c r="B62" s="36" t="str">
        <f t="shared" si="6"/>
        <v/>
      </c>
      <c r="C62" s="24"/>
      <c r="D62" s="24"/>
      <c r="E62" s="24"/>
      <c r="F62" s="24"/>
      <c r="G62" s="138"/>
      <c r="H62" s="152">
        <v>57</v>
      </c>
      <c r="I62" s="153" t="str">
        <f t="shared" si="4"/>
        <v/>
      </c>
      <c r="J62" s="152">
        <f t="shared" si="5"/>
        <v>-2</v>
      </c>
      <c r="K62" s="152">
        <f t="shared" si="1"/>
        <v>-20</v>
      </c>
      <c r="L62" s="152"/>
      <c r="M62" s="154">
        <f t="shared" si="2"/>
        <v>0</v>
      </c>
    </row>
    <row r="63" spans="1:13" x14ac:dyDescent="0.25">
      <c r="A63" s="41"/>
      <c r="B63" s="35" t="str">
        <f t="shared" si="6"/>
        <v/>
      </c>
      <c r="C63" s="25"/>
      <c r="D63" s="25"/>
      <c r="E63" s="25"/>
      <c r="F63" s="25"/>
      <c r="G63" s="138"/>
      <c r="H63" s="155">
        <v>58</v>
      </c>
      <c r="I63" s="156" t="str">
        <f t="shared" si="4"/>
        <v/>
      </c>
      <c r="J63" s="155">
        <f t="shared" si="5"/>
        <v>-2</v>
      </c>
      <c r="K63" s="155">
        <f t="shared" si="1"/>
        <v>-20</v>
      </c>
      <c r="L63" s="155"/>
      <c r="M63" s="157">
        <f t="shared" si="2"/>
        <v>0</v>
      </c>
    </row>
    <row r="64" spans="1:13" x14ac:dyDescent="0.25">
      <c r="A64" s="42"/>
      <c r="B64" s="36" t="str">
        <f t="shared" si="6"/>
        <v/>
      </c>
      <c r="C64" s="24"/>
      <c r="D64" s="24"/>
      <c r="E64" s="24"/>
      <c r="F64" s="24"/>
      <c r="G64" s="138"/>
      <c r="H64" s="152">
        <v>59</v>
      </c>
      <c r="I64" s="153" t="str">
        <f t="shared" si="4"/>
        <v/>
      </c>
      <c r="J64" s="152">
        <f t="shared" si="5"/>
        <v>-2</v>
      </c>
      <c r="K64" s="152">
        <f t="shared" si="1"/>
        <v>-20</v>
      </c>
      <c r="L64" s="152"/>
      <c r="M64" s="154">
        <f t="shared" si="2"/>
        <v>0</v>
      </c>
    </row>
    <row r="65" spans="1:13" x14ac:dyDescent="0.25">
      <c r="A65" s="41"/>
      <c r="B65" s="35" t="str">
        <f t="shared" si="6"/>
        <v/>
      </c>
      <c r="C65" s="25"/>
      <c r="D65" s="25"/>
      <c r="E65" s="25"/>
      <c r="F65" s="25"/>
      <c r="G65" s="138"/>
      <c r="H65" s="155">
        <v>60</v>
      </c>
      <c r="I65" s="156" t="str">
        <f t="shared" si="4"/>
        <v/>
      </c>
      <c r="J65" s="155">
        <f t="shared" si="5"/>
        <v>-2</v>
      </c>
      <c r="K65" s="155">
        <f t="shared" si="1"/>
        <v>-20</v>
      </c>
      <c r="L65" s="155"/>
      <c r="M65" s="157">
        <f t="shared" si="2"/>
        <v>0</v>
      </c>
    </row>
    <row r="66" spans="1:13" x14ac:dyDescent="0.25">
      <c r="A66" s="168"/>
      <c r="B66" s="36"/>
      <c r="G66" s="138"/>
      <c r="H66" s="152">
        <v>61</v>
      </c>
      <c r="I66" s="153" t="str">
        <f t="shared" si="4"/>
        <v/>
      </c>
      <c r="J66" s="152">
        <f t="shared" si="5"/>
        <v>-2</v>
      </c>
      <c r="K66" s="152">
        <f t="shared" si="1"/>
        <v>-20</v>
      </c>
      <c r="L66" s="152"/>
      <c r="M66" s="154">
        <f t="shared" si="2"/>
        <v>0</v>
      </c>
    </row>
    <row r="67" spans="1:13" x14ac:dyDescent="0.25">
      <c r="A67" s="168"/>
      <c r="B67" s="35"/>
      <c r="G67" s="138"/>
      <c r="H67" s="152">
        <v>62</v>
      </c>
      <c r="I67" s="153" t="str">
        <f t="shared" si="4"/>
        <v/>
      </c>
      <c r="J67" s="152">
        <f t="shared" si="5"/>
        <v>-2</v>
      </c>
      <c r="K67" s="152">
        <f t="shared" si="1"/>
        <v>-20</v>
      </c>
      <c r="L67" s="152"/>
      <c r="M67" s="154">
        <f t="shared" si="2"/>
        <v>0</v>
      </c>
    </row>
    <row r="68" spans="1:13" x14ac:dyDescent="0.25">
      <c r="A68" s="168"/>
      <c r="B68" s="36"/>
      <c r="G68" s="138"/>
      <c r="H68" s="152">
        <v>63</v>
      </c>
      <c r="I68" s="153" t="str">
        <f t="shared" si="4"/>
        <v/>
      </c>
      <c r="J68" s="152">
        <f t="shared" si="5"/>
        <v>-2</v>
      </c>
      <c r="K68" s="152">
        <f t="shared" si="1"/>
        <v>-20</v>
      </c>
      <c r="L68" s="152"/>
      <c r="M68" s="154">
        <f t="shared" si="2"/>
        <v>0</v>
      </c>
    </row>
    <row r="69" spans="1:13" x14ac:dyDescent="0.25">
      <c r="A69" s="168"/>
      <c r="B69" s="35"/>
      <c r="G69" s="138"/>
      <c r="H69" s="152">
        <v>64</v>
      </c>
      <c r="I69" s="153" t="str">
        <f t="shared" si="4"/>
        <v/>
      </c>
      <c r="J69" s="152">
        <f t="shared" si="5"/>
        <v>-2</v>
      </c>
      <c r="K69" s="152">
        <f t="shared" si="1"/>
        <v>-20</v>
      </c>
      <c r="L69" s="152"/>
      <c r="M69" s="154">
        <f t="shared" si="2"/>
        <v>0</v>
      </c>
    </row>
    <row r="70" spans="1:13" x14ac:dyDescent="0.25">
      <c r="A70" s="168"/>
      <c r="G70" s="138"/>
      <c r="H70" s="152">
        <v>65</v>
      </c>
      <c r="I70" s="153" t="str">
        <f t="shared" si="4"/>
        <v/>
      </c>
      <c r="J70" s="152">
        <f t="shared" si="5"/>
        <v>-3</v>
      </c>
      <c r="K70" s="152">
        <f t="shared" ref="K70:K133" si="7">J70*$J$2</f>
        <v>-30</v>
      </c>
      <c r="L70" s="152"/>
      <c r="M70" s="154">
        <f t="shared" ref="M70:M133" si="8">IF(I70&lt;&gt;"",K70+I70+L70,0)</f>
        <v>0</v>
      </c>
    </row>
    <row r="71" spans="1:13" x14ac:dyDescent="0.25">
      <c r="A71" s="168"/>
      <c r="G71" s="138"/>
      <c r="H71" s="152">
        <v>66</v>
      </c>
      <c r="I71" s="153" t="str">
        <f t="shared" ref="I71:I134" si="9">IF(H71&lt;$H$2+1,($I$2-($I$2-1)*(LOG(H71)/LOG($H$2))),"")</f>
        <v/>
      </c>
      <c r="J71" s="152">
        <f t="shared" ref="J71:J134" si="10">INT(LOG($H$2,2))-ROUNDUP(LOG(H71,2),0)+IF(OR($H$2=1,$H$2=2,$H$2=4,$H$2=8,$H$2=16,$H$2=32,$H$2=64,$H$2=128,$H$2=256),0,1)</f>
        <v>-3</v>
      </c>
      <c r="K71" s="152">
        <f t="shared" si="7"/>
        <v>-30</v>
      </c>
      <c r="L71" s="152"/>
      <c r="M71" s="154">
        <f t="shared" si="8"/>
        <v>0</v>
      </c>
    </row>
    <row r="72" spans="1:13" x14ac:dyDescent="0.25">
      <c r="A72" s="168"/>
      <c r="G72" s="138"/>
      <c r="H72" s="152">
        <v>67</v>
      </c>
      <c r="I72" s="153" t="str">
        <f t="shared" si="9"/>
        <v/>
      </c>
      <c r="J72" s="152">
        <f t="shared" si="10"/>
        <v>-3</v>
      </c>
      <c r="K72" s="152">
        <f t="shared" si="7"/>
        <v>-30</v>
      </c>
      <c r="L72" s="152"/>
      <c r="M72" s="154">
        <f t="shared" si="8"/>
        <v>0</v>
      </c>
    </row>
    <row r="73" spans="1:13" x14ac:dyDescent="0.25">
      <c r="A73" s="168"/>
      <c r="G73" s="138"/>
      <c r="H73" s="152">
        <v>68</v>
      </c>
      <c r="I73" s="153" t="str">
        <f t="shared" si="9"/>
        <v/>
      </c>
      <c r="J73" s="152">
        <f t="shared" si="10"/>
        <v>-3</v>
      </c>
      <c r="K73" s="152">
        <f t="shared" si="7"/>
        <v>-30</v>
      </c>
      <c r="L73" s="152"/>
      <c r="M73" s="154">
        <f t="shared" si="8"/>
        <v>0</v>
      </c>
    </row>
    <row r="74" spans="1:13" x14ac:dyDescent="0.25">
      <c r="A74" s="168"/>
      <c r="G74" s="138"/>
      <c r="H74" s="152">
        <v>69</v>
      </c>
      <c r="I74" s="153" t="str">
        <f t="shared" si="9"/>
        <v/>
      </c>
      <c r="J74" s="152">
        <f t="shared" si="10"/>
        <v>-3</v>
      </c>
      <c r="K74" s="152">
        <f t="shared" si="7"/>
        <v>-30</v>
      </c>
      <c r="L74" s="152"/>
      <c r="M74" s="154">
        <f t="shared" si="8"/>
        <v>0</v>
      </c>
    </row>
    <row r="75" spans="1:13" x14ac:dyDescent="0.25">
      <c r="A75" s="168"/>
      <c r="G75" s="138"/>
      <c r="H75" s="152">
        <v>70</v>
      </c>
      <c r="I75" s="153" t="str">
        <f t="shared" si="9"/>
        <v/>
      </c>
      <c r="J75" s="152">
        <f t="shared" si="10"/>
        <v>-3</v>
      </c>
      <c r="K75" s="152">
        <f t="shared" si="7"/>
        <v>-30</v>
      </c>
      <c r="L75" s="152"/>
      <c r="M75" s="154">
        <f t="shared" si="8"/>
        <v>0</v>
      </c>
    </row>
    <row r="76" spans="1:13" x14ac:dyDescent="0.25">
      <c r="A76" s="168"/>
      <c r="G76" s="138"/>
      <c r="H76" s="152">
        <v>71</v>
      </c>
      <c r="I76" s="153" t="str">
        <f t="shared" si="9"/>
        <v/>
      </c>
      <c r="J76" s="152">
        <f t="shared" si="10"/>
        <v>-3</v>
      </c>
      <c r="K76" s="152">
        <f t="shared" si="7"/>
        <v>-30</v>
      </c>
      <c r="L76" s="152"/>
      <c r="M76" s="154">
        <f t="shared" si="8"/>
        <v>0</v>
      </c>
    </row>
    <row r="77" spans="1:13" x14ac:dyDescent="0.25">
      <c r="A77" s="168"/>
      <c r="G77" s="138"/>
      <c r="H77" s="152">
        <v>72</v>
      </c>
      <c r="I77" s="153" t="str">
        <f t="shared" si="9"/>
        <v/>
      </c>
      <c r="J77" s="152">
        <f t="shared" si="10"/>
        <v>-3</v>
      </c>
      <c r="K77" s="152">
        <f t="shared" si="7"/>
        <v>-30</v>
      </c>
      <c r="L77" s="152"/>
      <c r="M77" s="154">
        <f t="shared" si="8"/>
        <v>0</v>
      </c>
    </row>
    <row r="78" spans="1:13" x14ac:dyDescent="0.25">
      <c r="A78" s="168"/>
      <c r="G78" s="138"/>
      <c r="H78" s="152">
        <v>73</v>
      </c>
      <c r="I78" s="153" t="str">
        <f t="shared" si="9"/>
        <v/>
      </c>
      <c r="J78" s="152">
        <f t="shared" si="10"/>
        <v>-3</v>
      </c>
      <c r="K78" s="152">
        <f t="shared" si="7"/>
        <v>-30</v>
      </c>
      <c r="L78" s="152"/>
      <c r="M78" s="154">
        <f t="shared" si="8"/>
        <v>0</v>
      </c>
    </row>
    <row r="79" spans="1:13" x14ac:dyDescent="0.25">
      <c r="A79" s="168"/>
      <c r="G79" s="138"/>
      <c r="H79" s="152">
        <v>74</v>
      </c>
      <c r="I79" s="153" t="str">
        <f t="shared" si="9"/>
        <v/>
      </c>
      <c r="J79" s="152">
        <f t="shared" si="10"/>
        <v>-3</v>
      </c>
      <c r="K79" s="152">
        <f t="shared" si="7"/>
        <v>-30</v>
      </c>
      <c r="L79" s="152"/>
      <c r="M79" s="154">
        <f t="shared" si="8"/>
        <v>0</v>
      </c>
    </row>
    <row r="80" spans="1:13" x14ac:dyDescent="0.25">
      <c r="A80" s="168"/>
      <c r="G80" s="138"/>
      <c r="H80" s="152">
        <v>75</v>
      </c>
      <c r="I80" s="153" t="str">
        <f t="shared" si="9"/>
        <v/>
      </c>
      <c r="J80" s="152">
        <f t="shared" si="10"/>
        <v>-3</v>
      </c>
      <c r="K80" s="152">
        <f t="shared" si="7"/>
        <v>-30</v>
      </c>
      <c r="L80" s="152"/>
      <c r="M80" s="154">
        <f t="shared" si="8"/>
        <v>0</v>
      </c>
    </row>
    <row r="81" spans="1:13" x14ac:dyDescent="0.25">
      <c r="A81" s="168"/>
      <c r="G81" s="138"/>
      <c r="H81" s="152">
        <v>76</v>
      </c>
      <c r="I81" s="153" t="str">
        <f t="shared" si="9"/>
        <v/>
      </c>
      <c r="J81" s="152">
        <f t="shared" si="10"/>
        <v>-3</v>
      </c>
      <c r="K81" s="152">
        <f t="shared" si="7"/>
        <v>-30</v>
      </c>
      <c r="L81" s="152"/>
      <c r="M81" s="154">
        <f t="shared" si="8"/>
        <v>0</v>
      </c>
    </row>
    <row r="82" spans="1:13" x14ac:dyDescent="0.25">
      <c r="A82" s="168"/>
      <c r="G82" s="138"/>
      <c r="H82" s="152">
        <v>77</v>
      </c>
      <c r="I82" s="153" t="str">
        <f t="shared" si="9"/>
        <v/>
      </c>
      <c r="J82" s="152">
        <f t="shared" si="10"/>
        <v>-3</v>
      </c>
      <c r="K82" s="152">
        <f t="shared" si="7"/>
        <v>-30</v>
      </c>
      <c r="L82" s="152"/>
      <c r="M82" s="154">
        <f t="shared" si="8"/>
        <v>0</v>
      </c>
    </row>
    <row r="83" spans="1:13" x14ac:dyDescent="0.25">
      <c r="A83" s="168"/>
      <c r="G83" s="138"/>
      <c r="H83" s="152">
        <v>78</v>
      </c>
      <c r="I83" s="153" t="str">
        <f t="shared" si="9"/>
        <v/>
      </c>
      <c r="J83" s="152">
        <f t="shared" si="10"/>
        <v>-3</v>
      </c>
      <c r="K83" s="152">
        <f t="shared" si="7"/>
        <v>-30</v>
      </c>
      <c r="L83" s="152"/>
      <c r="M83" s="154">
        <f t="shared" si="8"/>
        <v>0</v>
      </c>
    </row>
    <row r="84" spans="1:13" x14ac:dyDescent="0.25">
      <c r="A84" s="168"/>
      <c r="G84" s="138"/>
      <c r="H84" s="152">
        <v>79</v>
      </c>
      <c r="I84" s="153" t="str">
        <f t="shared" si="9"/>
        <v/>
      </c>
      <c r="J84" s="152">
        <f t="shared" si="10"/>
        <v>-3</v>
      </c>
      <c r="K84" s="152">
        <f t="shared" si="7"/>
        <v>-30</v>
      </c>
      <c r="L84" s="152"/>
      <c r="M84" s="154">
        <f t="shared" si="8"/>
        <v>0</v>
      </c>
    </row>
    <row r="85" spans="1:13" x14ac:dyDescent="0.25">
      <c r="A85" s="168"/>
      <c r="G85" s="138"/>
      <c r="H85" s="152">
        <v>80</v>
      </c>
      <c r="I85" s="153" t="str">
        <f t="shared" si="9"/>
        <v/>
      </c>
      <c r="J85" s="152">
        <f t="shared" si="10"/>
        <v>-3</v>
      </c>
      <c r="K85" s="152">
        <f t="shared" si="7"/>
        <v>-30</v>
      </c>
      <c r="L85" s="152"/>
      <c r="M85" s="154">
        <f t="shared" si="8"/>
        <v>0</v>
      </c>
    </row>
    <row r="86" spans="1:13" x14ac:dyDescent="0.25">
      <c r="A86" s="168"/>
      <c r="G86" s="138"/>
      <c r="H86" s="152">
        <v>81</v>
      </c>
      <c r="I86" s="153" t="str">
        <f t="shared" si="9"/>
        <v/>
      </c>
      <c r="J86" s="152">
        <f t="shared" si="10"/>
        <v>-3</v>
      </c>
      <c r="K86" s="152">
        <f t="shared" si="7"/>
        <v>-30</v>
      </c>
      <c r="L86" s="152"/>
      <c r="M86" s="154">
        <f t="shared" si="8"/>
        <v>0</v>
      </c>
    </row>
    <row r="87" spans="1:13" x14ac:dyDescent="0.25">
      <c r="A87" s="168"/>
      <c r="G87" s="138"/>
      <c r="H87" s="152">
        <v>82</v>
      </c>
      <c r="I87" s="153" t="str">
        <f t="shared" si="9"/>
        <v/>
      </c>
      <c r="J87" s="152">
        <f t="shared" si="10"/>
        <v>-3</v>
      </c>
      <c r="K87" s="152">
        <f t="shared" si="7"/>
        <v>-30</v>
      </c>
      <c r="L87" s="152"/>
      <c r="M87" s="154">
        <f t="shared" si="8"/>
        <v>0</v>
      </c>
    </row>
    <row r="88" spans="1:13" x14ac:dyDescent="0.25">
      <c r="A88" s="168"/>
      <c r="G88" s="138"/>
      <c r="H88" s="152">
        <v>83</v>
      </c>
      <c r="I88" s="153" t="str">
        <f t="shared" si="9"/>
        <v/>
      </c>
      <c r="J88" s="152">
        <f t="shared" si="10"/>
        <v>-3</v>
      </c>
      <c r="K88" s="152">
        <f t="shared" si="7"/>
        <v>-30</v>
      </c>
      <c r="L88" s="152"/>
      <c r="M88" s="154">
        <f t="shared" si="8"/>
        <v>0</v>
      </c>
    </row>
    <row r="89" spans="1:13" x14ac:dyDescent="0.25">
      <c r="A89" s="168"/>
      <c r="G89" s="138"/>
      <c r="H89" s="152">
        <v>84</v>
      </c>
      <c r="I89" s="153" t="str">
        <f t="shared" si="9"/>
        <v/>
      </c>
      <c r="J89" s="152">
        <f t="shared" si="10"/>
        <v>-3</v>
      </c>
      <c r="K89" s="152">
        <f t="shared" si="7"/>
        <v>-30</v>
      </c>
      <c r="L89" s="152"/>
      <c r="M89" s="154">
        <f t="shared" si="8"/>
        <v>0</v>
      </c>
    </row>
    <row r="90" spans="1:13" x14ac:dyDescent="0.25">
      <c r="A90" s="168"/>
      <c r="G90" s="138"/>
      <c r="H90" s="152">
        <v>85</v>
      </c>
      <c r="I90" s="153" t="str">
        <f t="shared" si="9"/>
        <v/>
      </c>
      <c r="J90" s="152">
        <f t="shared" si="10"/>
        <v>-3</v>
      </c>
      <c r="K90" s="152">
        <f t="shared" si="7"/>
        <v>-30</v>
      </c>
      <c r="L90" s="152"/>
      <c r="M90" s="154">
        <f t="shared" si="8"/>
        <v>0</v>
      </c>
    </row>
    <row r="91" spans="1:13" x14ac:dyDescent="0.25">
      <c r="A91" s="168"/>
      <c r="G91" s="138"/>
      <c r="H91" s="152">
        <v>86</v>
      </c>
      <c r="I91" s="153" t="str">
        <f t="shared" si="9"/>
        <v/>
      </c>
      <c r="J91" s="152">
        <f t="shared" si="10"/>
        <v>-3</v>
      </c>
      <c r="K91" s="152">
        <f t="shared" si="7"/>
        <v>-30</v>
      </c>
      <c r="L91" s="152"/>
      <c r="M91" s="154">
        <f t="shared" si="8"/>
        <v>0</v>
      </c>
    </row>
    <row r="92" spans="1:13" x14ac:dyDescent="0.25">
      <c r="A92" s="168"/>
      <c r="G92" s="138"/>
      <c r="H92" s="152">
        <v>87</v>
      </c>
      <c r="I92" s="153" t="str">
        <f t="shared" si="9"/>
        <v/>
      </c>
      <c r="J92" s="152">
        <f t="shared" si="10"/>
        <v>-3</v>
      </c>
      <c r="K92" s="152">
        <f t="shared" si="7"/>
        <v>-30</v>
      </c>
      <c r="L92" s="152"/>
      <c r="M92" s="154">
        <f t="shared" si="8"/>
        <v>0</v>
      </c>
    </row>
    <row r="93" spans="1:13" x14ac:dyDescent="0.25">
      <c r="A93" s="168"/>
      <c r="G93" s="138"/>
      <c r="H93" s="152">
        <v>88</v>
      </c>
      <c r="I93" s="153" t="str">
        <f t="shared" si="9"/>
        <v/>
      </c>
      <c r="J93" s="152">
        <f t="shared" si="10"/>
        <v>-3</v>
      </c>
      <c r="K93" s="152">
        <f t="shared" si="7"/>
        <v>-30</v>
      </c>
      <c r="L93" s="152"/>
      <c r="M93" s="154">
        <f t="shared" si="8"/>
        <v>0</v>
      </c>
    </row>
    <row r="94" spans="1:13" x14ac:dyDescent="0.25">
      <c r="A94" s="168"/>
      <c r="G94" s="138"/>
      <c r="H94" s="152">
        <v>89</v>
      </c>
      <c r="I94" s="153" t="str">
        <f t="shared" si="9"/>
        <v/>
      </c>
      <c r="J94" s="152">
        <f t="shared" si="10"/>
        <v>-3</v>
      </c>
      <c r="K94" s="152">
        <f t="shared" si="7"/>
        <v>-30</v>
      </c>
      <c r="L94" s="152"/>
      <c r="M94" s="154">
        <f t="shared" si="8"/>
        <v>0</v>
      </c>
    </row>
    <row r="95" spans="1:13" x14ac:dyDescent="0.25">
      <c r="A95" s="168"/>
      <c r="G95" s="138"/>
      <c r="H95" s="152">
        <v>90</v>
      </c>
      <c r="I95" s="153" t="str">
        <f t="shared" si="9"/>
        <v/>
      </c>
      <c r="J95" s="152">
        <f t="shared" si="10"/>
        <v>-3</v>
      </c>
      <c r="K95" s="152">
        <f t="shared" si="7"/>
        <v>-30</v>
      </c>
      <c r="L95" s="152"/>
      <c r="M95" s="154">
        <f t="shared" si="8"/>
        <v>0</v>
      </c>
    </row>
    <row r="96" spans="1:13" x14ac:dyDescent="0.25">
      <c r="A96" s="168"/>
      <c r="G96" s="138"/>
      <c r="H96" s="152">
        <v>91</v>
      </c>
      <c r="I96" s="153" t="str">
        <f t="shared" si="9"/>
        <v/>
      </c>
      <c r="J96" s="152">
        <f t="shared" si="10"/>
        <v>-3</v>
      </c>
      <c r="K96" s="152">
        <f t="shared" si="7"/>
        <v>-30</v>
      </c>
      <c r="L96" s="152"/>
      <c r="M96" s="154">
        <f t="shared" si="8"/>
        <v>0</v>
      </c>
    </row>
    <row r="97" spans="1:13" x14ac:dyDescent="0.25">
      <c r="A97" s="168"/>
      <c r="G97" s="138"/>
      <c r="H97" s="152">
        <v>92</v>
      </c>
      <c r="I97" s="153" t="str">
        <f t="shared" si="9"/>
        <v/>
      </c>
      <c r="J97" s="152">
        <f t="shared" si="10"/>
        <v>-3</v>
      </c>
      <c r="K97" s="152">
        <f t="shared" si="7"/>
        <v>-30</v>
      </c>
      <c r="L97" s="152"/>
      <c r="M97" s="154">
        <f t="shared" si="8"/>
        <v>0</v>
      </c>
    </row>
    <row r="98" spans="1:13" x14ac:dyDescent="0.25">
      <c r="A98" s="168"/>
      <c r="G98" s="138"/>
      <c r="H98" s="152">
        <v>93</v>
      </c>
      <c r="I98" s="153" t="str">
        <f t="shared" si="9"/>
        <v/>
      </c>
      <c r="J98" s="152">
        <f t="shared" si="10"/>
        <v>-3</v>
      </c>
      <c r="K98" s="152">
        <f t="shared" si="7"/>
        <v>-30</v>
      </c>
      <c r="L98" s="152"/>
      <c r="M98" s="154">
        <f t="shared" si="8"/>
        <v>0</v>
      </c>
    </row>
    <row r="99" spans="1:13" x14ac:dyDescent="0.25">
      <c r="A99" s="168"/>
      <c r="G99" s="138"/>
      <c r="H99" s="152">
        <v>94</v>
      </c>
      <c r="I99" s="153" t="str">
        <f t="shared" si="9"/>
        <v/>
      </c>
      <c r="J99" s="152">
        <f t="shared" si="10"/>
        <v>-3</v>
      </c>
      <c r="K99" s="152">
        <f t="shared" si="7"/>
        <v>-30</v>
      </c>
      <c r="L99" s="152"/>
      <c r="M99" s="154">
        <f t="shared" si="8"/>
        <v>0</v>
      </c>
    </row>
    <row r="100" spans="1:13" x14ac:dyDescent="0.25">
      <c r="A100" s="168"/>
      <c r="G100" s="138"/>
      <c r="H100" s="152">
        <v>95</v>
      </c>
      <c r="I100" s="153" t="str">
        <f t="shared" si="9"/>
        <v/>
      </c>
      <c r="J100" s="152">
        <f t="shared" si="10"/>
        <v>-3</v>
      </c>
      <c r="K100" s="152">
        <f t="shared" si="7"/>
        <v>-30</v>
      </c>
      <c r="L100" s="152"/>
      <c r="M100" s="154">
        <f t="shared" si="8"/>
        <v>0</v>
      </c>
    </row>
    <row r="101" spans="1:13" x14ac:dyDescent="0.25">
      <c r="A101" s="168"/>
      <c r="G101" s="138"/>
      <c r="H101" s="152">
        <v>96</v>
      </c>
      <c r="I101" s="153" t="str">
        <f t="shared" si="9"/>
        <v/>
      </c>
      <c r="J101" s="152">
        <f t="shared" si="10"/>
        <v>-3</v>
      </c>
      <c r="K101" s="152">
        <f t="shared" si="7"/>
        <v>-30</v>
      </c>
      <c r="L101" s="152"/>
      <c r="M101" s="154">
        <f t="shared" si="8"/>
        <v>0</v>
      </c>
    </row>
    <row r="102" spans="1:13" x14ac:dyDescent="0.25">
      <c r="A102" s="168"/>
      <c r="G102" s="138"/>
      <c r="H102" s="152">
        <v>97</v>
      </c>
      <c r="I102" s="153" t="str">
        <f t="shared" si="9"/>
        <v/>
      </c>
      <c r="J102" s="152">
        <f t="shared" si="10"/>
        <v>-3</v>
      </c>
      <c r="K102" s="152">
        <f t="shared" si="7"/>
        <v>-30</v>
      </c>
      <c r="L102" s="152"/>
      <c r="M102" s="154">
        <f t="shared" si="8"/>
        <v>0</v>
      </c>
    </row>
    <row r="103" spans="1:13" x14ac:dyDescent="0.25">
      <c r="A103" s="168"/>
      <c r="G103" s="138"/>
      <c r="H103" s="152">
        <v>98</v>
      </c>
      <c r="I103" s="153" t="str">
        <f t="shared" si="9"/>
        <v/>
      </c>
      <c r="J103" s="152">
        <f t="shared" si="10"/>
        <v>-3</v>
      </c>
      <c r="K103" s="152">
        <f t="shared" si="7"/>
        <v>-30</v>
      </c>
      <c r="L103" s="152"/>
      <c r="M103" s="154">
        <f t="shared" si="8"/>
        <v>0</v>
      </c>
    </row>
    <row r="104" spans="1:13" x14ac:dyDescent="0.25">
      <c r="A104" s="168"/>
      <c r="G104" s="138"/>
      <c r="H104" s="152">
        <v>99</v>
      </c>
      <c r="I104" s="153" t="str">
        <f t="shared" si="9"/>
        <v/>
      </c>
      <c r="J104" s="152">
        <f t="shared" si="10"/>
        <v>-3</v>
      </c>
      <c r="K104" s="152">
        <f t="shared" si="7"/>
        <v>-30</v>
      </c>
      <c r="L104" s="152"/>
      <c r="M104" s="154">
        <f t="shared" si="8"/>
        <v>0</v>
      </c>
    </row>
    <row r="105" spans="1:13" x14ac:dyDescent="0.25">
      <c r="A105" s="168"/>
      <c r="G105" s="138"/>
      <c r="H105" s="152">
        <v>100</v>
      </c>
      <c r="I105" s="153" t="str">
        <f t="shared" si="9"/>
        <v/>
      </c>
      <c r="J105" s="152">
        <f t="shared" si="10"/>
        <v>-3</v>
      </c>
      <c r="K105" s="152">
        <f t="shared" si="7"/>
        <v>-30</v>
      </c>
      <c r="L105" s="152"/>
      <c r="M105" s="154">
        <f t="shared" si="8"/>
        <v>0</v>
      </c>
    </row>
    <row r="106" spans="1:13" x14ac:dyDescent="0.25">
      <c r="A106" s="168"/>
      <c r="G106" s="138"/>
      <c r="H106" s="152">
        <v>101</v>
      </c>
      <c r="I106" s="153" t="str">
        <f t="shared" si="9"/>
        <v/>
      </c>
      <c r="J106" s="152">
        <f t="shared" si="10"/>
        <v>-3</v>
      </c>
      <c r="K106" s="152">
        <f t="shared" si="7"/>
        <v>-30</v>
      </c>
      <c r="L106" s="152"/>
      <c r="M106" s="154">
        <f t="shared" si="8"/>
        <v>0</v>
      </c>
    </row>
    <row r="107" spans="1:13" x14ac:dyDescent="0.25">
      <c r="A107" s="168"/>
      <c r="G107" s="138"/>
      <c r="H107" s="152">
        <v>102</v>
      </c>
      <c r="I107" s="153" t="str">
        <f t="shared" si="9"/>
        <v/>
      </c>
      <c r="J107" s="152">
        <f t="shared" si="10"/>
        <v>-3</v>
      </c>
      <c r="K107" s="152">
        <f t="shared" si="7"/>
        <v>-30</v>
      </c>
      <c r="L107" s="152"/>
      <c r="M107" s="154">
        <f t="shared" si="8"/>
        <v>0</v>
      </c>
    </row>
    <row r="108" spans="1:13" x14ac:dyDescent="0.25">
      <c r="A108" s="168"/>
      <c r="G108" s="138"/>
      <c r="H108" s="152">
        <v>103</v>
      </c>
      <c r="I108" s="153" t="str">
        <f t="shared" si="9"/>
        <v/>
      </c>
      <c r="J108" s="152">
        <f t="shared" si="10"/>
        <v>-3</v>
      </c>
      <c r="K108" s="152">
        <f t="shared" si="7"/>
        <v>-30</v>
      </c>
      <c r="L108" s="152"/>
      <c r="M108" s="154">
        <f t="shared" si="8"/>
        <v>0</v>
      </c>
    </row>
    <row r="109" spans="1:13" x14ac:dyDescent="0.25">
      <c r="A109" s="168"/>
      <c r="G109" s="138"/>
      <c r="H109" s="152">
        <v>104</v>
      </c>
      <c r="I109" s="153" t="str">
        <f t="shared" si="9"/>
        <v/>
      </c>
      <c r="J109" s="152">
        <f t="shared" si="10"/>
        <v>-3</v>
      </c>
      <c r="K109" s="152">
        <f t="shared" si="7"/>
        <v>-30</v>
      </c>
      <c r="L109" s="152"/>
      <c r="M109" s="154">
        <f t="shared" si="8"/>
        <v>0</v>
      </c>
    </row>
    <row r="110" spans="1:13" x14ac:dyDescent="0.25">
      <c r="A110" s="168"/>
      <c r="G110" s="138"/>
      <c r="H110" s="152">
        <v>105</v>
      </c>
      <c r="I110" s="153" t="str">
        <f t="shared" si="9"/>
        <v/>
      </c>
      <c r="J110" s="152">
        <f t="shared" si="10"/>
        <v>-3</v>
      </c>
      <c r="K110" s="152">
        <f t="shared" si="7"/>
        <v>-30</v>
      </c>
      <c r="L110" s="152"/>
      <c r="M110" s="154">
        <f t="shared" si="8"/>
        <v>0</v>
      </c>
    </row>
    <row r="111" spans="1:13" x14ac:dyDescent="0.25">
      <c r="A111" s="168"/>
      <c r="G111" s="138"/>
      <c r="H111" s="152">
        <v>106</v>
      </c>
      <c r="I111" s="153" t="str">
        <f t="shared" si="9"/>
        <v/>
      </c>
      <c r="J111" s="152">
        <f t="shared" si="10"/>
        <v>-3</v>
      </c>
      <c r="K111" s="152">
        <f t="shared" si="7"/>
        <v>-30</v>
      </c>
      <c r="L111" s="152"/>
      <c r="M111" s="154">
        <f t="shared" si="8"/>
        <v>0</v>
      </c>
    </row>
    <row r="112" spans="1:13" x14ac:dyDescent="0.25">
      <c r="A112" s="168"/>
      <c r="G112" s="138"/>
      <c r="H112" s="152">
        <v>107</v>
      </c>
      <c r="I112" s="153" t="str">
        <f t="shared" si="9"/>
        <v/>
      </c>
      <c r="J112" s="152">
        <f t="shared" si="10"/>
        <v>-3</v>
      </c>
      <c r="K112" s="152">
        <f t="shared" si="7"/>
        <v>-30</v>
      </c>
      <c r="L112" s="152"/>
      <c r="M112" s="154">
        <f t="shared" si="8"/>
        <v>0</v>
      </c>
    </row>
    <row r="113" spans="1:13" x14ac:dyDescent="0.25">
      <c r="A113" s="168"/>
      <c r="G113" s="138"/>
      <c r="H113" s="152">
        <v>108</v>
      </c>
      <c r="I113" s="153" t="str">
        <f t="shared" si="9"/>
        <v/>
      </c>
      <c r="J113" s="152">
        <f t="shared" si="10"/>
        <v>-3</v>
      </c>
      <c r="K113" s="152">
        <f t="shared" si="7"/>
        <v>-30</v>
      </c>
      <c r="L113" s="152"/>
      <c r="M113" s="154">
        <f t="shared" si="8"/>
        <v>0</v>
      </c>
    </row>
    <row r="114" spans="1:13" x14ac:dyDescent="0.25">
      <c r="A114" s="168"/>
      <c r="G114" s="138"/>
      <c r="H114" s="152">
        <v>109</v>
      </c>
      <c r="I114" s="153" t="str">
        <f t="shared" si="9"/>
        <v/>
      </c>
      <c r="J114" s="152">
        <f t="shared" si="10"/>
        <v>-3</v>
      </c>
      <c r="K114" s="152">
        <f t="shared" si="7"/>
        <v>-30</v>
      </c>
      <c r="L114" s="152"/>
      <c r="M114" s="154">
        <f t="shared" si="8"/>
        <v>0</v>
      </c>
    </row>
    <row r="115" spans="1:13" x14ac:dyDescent="0.25">
      <c r="A115" s="168"/>
      <c r="G115" s="138"/>
      <c r="H115" s="152">
        <v>110</v>
      </c>
      <c r="I115" s="153" t="str">
        <f t="shared" si="9"/>
        <v/>
      </c>
      <c r="J115" s="152">
        <f t="shared" si="10"/>
        <v>-3</v>
      </c>
      <c r="K115" s="152">
        <f t="shared" si="7"/>
        <v>-30</v>
      </c>
      <c r="L115" s="152"/>
      <c r="M115" s="154">
        <f t="shared" si="8"/>
        <v>0</v>
      </c>
    </row>
    <row r="116" spans="1:13" x14ac:dyDescent="0.25">
      <c r="A116" s="168"/>
      <c r="G116" s="138"/>
      <c r="H116" s="152">
        <v>111</v>
      </c>
      <c r="I116" s="153" t="str">
        <f t="shared" si="9"/>
        <v/>
      </c>
      <c r="J116" s="152">
        <f t="shared" si="10"/>
        <v>-3</v>
      </c>
      <c r="K116" s="152">
        <f t="shared" si="7"/>
        <v>-30</v>
      </c>
      <c r="L116" s="152"/>
      <c r="M116" s="154">
        <f t="shared" si="8"/>
        <v>0</v>
      </c>
    </row>
    <row r="117" spans="1:13" x14ac:dyDescent="0.25">
      <c r="A117" s="168"/>
      <c r="G117" s="138"/>
      <c r="H117" s="152">
        <v>112</v>
      </c>
      <c r="I117" s="153" t="str">
        <f t="shared" si="9"/>
        <v/>
      </c>
      <c r="J117" s="152">
        <f t="shared" si="10"/>
        <v>-3</v>
      </c>
      <c r="K117" s="152">
        <f t="shared" si="7"/>
        <v>-30</v>
      </c>
      <c r="L117" s="152"/>
      <c r="M117" s="154">
        <f t="shared" si="8"/>
        <v>0</v>
      </c>
    </row>
    <row r="118" spans="1:13" x14ac:dyDescent="0.25">
      <c r="A118" s="168"/>
      <c r="G118" s="138"/>
      <c r="H118" s="152">
        <v>113</v>
      </c>
      <c r="I118" s="153" t="str">
        <f t="shared" si="9"/>
        <v/>
      </c>
      <c r="J118" s="152">
        <f t="shared" si="10"/>
        <v>-3</v>
      </c>
      <c r="K118" s="152">
        <f t="shared" si="7"/>
        <v>-30</v>
      </c>
      <c r="L118" s="152"/>
      <c r="M118" s="154">
        <f t="shared" si="8"/>
        <v>0</v>
      </c>
    </row>
    <row r="119" spans="1:13" x14ac:dyDescent="0.25">
      <c r="A119" s="168"/>
      <c r="G119" s="138"/>
      <c r="H119" s="152">
        <v>114</v>
      </c>
      <c r="I119" s="153" t="str">
        <f t="shared" si="9"/>
        <v/>
      </c>
      <c r="J119" s="152">
        <f t="shared" si="10"/>
        <v>-3</v>
      </c>
      <c r="K119" s="152">
        <f t="shared" si="7"/>
        <v>-30</v>
      </c>
      <c r="L119" s="152"/>
      <c r="M119" s="154">
        <f t="shared" si="8"/>
        <v>0</v>
      </c>
    </row>
    <row r="120" spans="1:13" x14ac:dyDescent="0.25">
      <c r="A120" s="168"/>
      <c r="G120" s="138"/>
      <c r="H120" s="152">
        <v>115</v>
      </c>
      <c r="I120" s="153" t="str">
        <f t="shared" si="9"/>
        <v/>
      </c>
      <c r="J120" s="152">
        <f t="shared" si="10"/>
        <v>-3</v>
      </c>
      <c r="K120" s="152">
        <f t="shared" si="7"/>
        <v>-30</v>
      </c>
      <c r="L120" s="152"/>
      <c r="M120" s="154">
        <f t="shared" si="8"/>
        <v>0</v>
      </c>
    </row>
    <row r="121" spans="1:13" x14ac:dyDescent="0.25">
      <c r="A121" s="168"/>
      <c r="G121" s="138"/>
      <c r="H121" s="152">
        <v>116</v>
      </c>
      <c r="I121" s="153" t="str">
        <f t="shared" si="9"/>
        <v/>
      </c>
      <c r="J121" s="152">
        <f t="shared" si="10"/>
        <v>-3</v>
      </c>
      <c r="K121" s="152">
        <f t="shared" si="7"/>
        <v>-30</v>
      </c>
      <c r="L121" s="152"/>
      <c r="M121" s="154">
        <f t="shared" si="8"/>
        <v>0</v>
      </c>
    </row>
    <row r="122" spans="1:13" x14ac:dyDescent="0.25">
      <c r="A122" s="168"/>
      <c r="G122" s="138"/>
      <c r="H122" s="152">
        <v>117</v>
      </c>
      <c r="I122" s="153" t="str">
        <f t="shared" si="9"/>
        <v/>
      </c>
      <c r="J122" s="152">
        <f t="shared" si="10"/>
        <v>-3</v>
      </c>
      <c r="K122" s="152">
        <f t="shared" si="7"/>
        <v>-30</v>
      </c>
      <c r="L122" s="152"/>
      <c r="M122" s="154">
        <f t="shared" si="8"/>
        <v>0</v>
      </c>
    </row>
    <row r="123" spans="1:13" x14ac:dyDescent="0.25">
      <c r="A123" s="168"/>
      <c r="G123" s="138"/>
      <c r="H123" s="152">
        <v>118</v>
      </c>
      <c r="I123" s="153" t="str">
        <f t="shared" si="9"/>
        <v/>
      </c>
      <c r="J123" s="152">
        <f t="shared" si="10"/>
        <v>-3</v>
      </c>
      <c r="K123" s="152">
        <f t="shared" si="7"/>
        <v>-30</v>
      </c>
      <c r="L123" s="152"/>
      <c r="M123" s="154">
        <f t="shared" si="8"/>
        <v>0</v>
      </c>
    </row>
    <row r="124" spans="1:13" x14ac:dyDescent="0.25">
      <c r="A124" s="168"/>
      <c r="G124" s="138"/>
      <c r="H124" s="152">
        <v>119</v>
      </c>
      <c r="I124" s="153" t="str">
        <f t="shared" si="9"/>
        <v/>
      </c>
      <c r="J124" s="152">
        <f t="shared" si="10"/>
        <v>-3</v>
      </c>
      <c r="K124" s="152">
        <f t="shared" si="7"/>
        <v>-30</v>
      </c>
      <c r="L124" s="152"/>
      <c r="M124" s="154">
        <f t="shared" si="8"/>
        <v>0</v>
      </c>
    </row>
    <row r="125" spans="1:13" x14ac:dyDescent="0.25">
      <c r="A125" s="168"/>
      <c r="G125" s="138"/>
      <c r="H125" s="152">
        <v>120</v>
      </c>
      <c r="I125" s="153" t="str">
        <f t="shared" si="9"/>
        <v/>
      </c>
      <c r="J125" s="152">
        <f t="shared" si="10"/>
        <v>-3</v>
      </c>
      <c r="K125" s="152">
        <f t="shared" si="7"/>
        <v>-30</v>
      </c>
      <c r="L125" s="152"/>
      <c r="M125" s="154">
        <f t="shared" si="8"/>
        <v>0</v>
      </c>
    </row>
    <row r="126" spans="1:13" x14ac:dyDescent="0.25">
      <c r="A126" s="168"/>
      <c r="G126" s="138"/>
      <c r="H126" s="152">
        <v>121</v>
      </c>
      <c r="I126" s="153" t="str">
        <f t="shared" si="9"/>
        <v/>
      </c>
      <c r="J126" s="152">
        <f t="shared" si="10"/>
        <v>-3</v>
      </c>
      <c r="K126" s="152">
        <f t="shared" si="7"/>
        <v>-30</v>
      </c>
      <c r="L126" s="152"/>
      <c r="M126" s="154">
        <f t="shared" si="8"/>
        <v>0</v>
      </c>
    </row>
    <row r="127" spans="1:13" x14ac:dyDescent="0.25">
      <c r="A127" s="168"/>
      <c r="G127" s="138"/>
      <c r="H127" s="152">
        <v>122</v>
      </c>
      <c r="I127" s="153" t="str">
        <f t="shared" si="9"/>
        <v/>
      </c>
      <c r="J127" s="152">
        <f t="shared" si="10"/>
        <v>-3</v>
      </c>
      <c r="K127" s="152">
        <f t="shared" si="7"/>
        <v>-30</v>
      </c>
      <c r="L127" s="152"/>
      <c r="M127" s="154">
        <f t="shared" si="8"/>
        <v>0</v>
      </c>
    </row>
    <row r="128" spans="1:13" x14ac:dyDescent="0.25">
      <c r="A128" s="168"/>
      <c r="G128" s="138"/>
      <c r="H128" s="152">
        <v>123</v>
      </c>
      <c r="I128" s="153" t="str">
        <f t="shared" si="9"/>
        <v/>
      </c>
      <c r="J128" s="152">
        <f t="shared" si="10"/>
        <v>-3</v>
      </c>
      <c r="K128" s="152">
        <f t="shared" si="7"/>
        <v>-30</v>
      </c>
      <c r="L128" s="152"/>
      <c r="M128" s="154">
        <f t="shared" si="8"/>
        <v>0</v>
      </c>
    </row>
    <row r="129" spans="1:13" x14ac:dyDescent="0.25">
      <c r="A129" s="168"/>
      <c r="G129" s="138"/>
      <c r="H129" s="152">
        <v>124</v>
      </c>
      <c r="I129" s="153" t="str">
        <f t="shared" si="9"/>
        <v/>
      </c>
      <c r="J129" s="152">
        <f t="shared" si="10"/>
        <v>-3</v>
      </c>
      <c r="K129" s="152">
        <f t="shared" si="7"/>
        <v>-30</v>
      </c>
      <c r="L129" s="152"/>
      <c r="M129" s="154">
        <f t="shared" si="8"/>
        <v>0</v>
      </c>
    </row>
    <row r="130" spans="1:13" x14ac:dyDescent="0.25">
      <c r="A130" s="168"/>
      <c r="G130" s="138"/>
      <c r="H130" s="152">
        <v>125</v>
      </c>
      <c r="I130" s="153" t="str">
        <f t="shared" si="9"/>
        <v/>
      </c>
      <c r="J130" s="152">
        <f t="shared" si="10"/>
        <v>-3</v>
      </c>
      <c r="K130" s="152">
        <f t="shared" si="7"/>
        <v>-30</v>
      </c>
      <c r="L130" s="152"/>
      <c r="M130" s="154">
        <f t="shared" si="8"/>
        <v>0</v>
      </c>
    </row>
    <row r="131" spans="1:13" x14ac:dyDescent="0.25">
      <c r="A131" s="168"/>
      <c r="G131" s="138"/>
      <c r="H131" s="152">
        <v>126</v>
      </c>
      <c r="I131" s="153" t="str">
        <f t="shared" si="9"/>
        <v/>
      </c>
      <c r="J131" s="152">
        <f t="shared" si="10"/>
        <v>-3</v>
      </c>
      <c r="K131" s="152">
        <f t="shared" si="7"/>
        <v>-30</v>
      </c>
      <c r="L131" s="152"/>
      <c r="M131" s="154">
        <f t="shared" si="8"/>
        <v>0</v>
      </c>
    </row>
    <row r="132" spans="1:13" x14ac:dyDescent="0.25">
      <c r="A132" s="168"/>
      <c r="G132" s="138"/>
      <c r="H132" s="152">
        <v>127</v>
      </c>
      <c r="I132" s="153" t="str">
        <f t="shared" si="9"/>
        <v/>
      </c>
      <c r="J132" s="152">
        <f t="shared" si="10"/>
        <v>-3</v>
      </c>
      <c r="K132" s="152">
        <f t="shared" si="7"/>
        <v>-30</v>
      </c>
      <c r="L132" s="152"/>
      <c r="M132" s="154">
        <f t="shared" si="8"/>
        <v>0</v>
      </c>
    </row>
    <row r="133" spans="1:13" x14ac:dyDescent="0.25">
      <c r="A133" s="168"/>
      <c r="G133" s="138"/>
      <c r="H133" s="152">
        <v>128</v>
      </c>
      <c r="I133" s="153" t="str">
        <f t="shared" si="9"/>
        <v/>
      </c>
      <c r="J133" s="152">
        <f t="shared" si="10"/>
        <v>-3</v>
      </c>
      <c r="K133" s="152">
        <f t="shared" si="7"/>
        <v>-30</v>
      </c>
      <c r="L133" s="152"/>
      <c r="M133" s="154">
        <f t="shared" si="8"/>
        <v>0</v>
      </c>
    </row>
    <row r="134" spans="1:13" x14ac:dyDescent="0.25">
      <c r="A134" s="168"/>
      <c r="G134" s="138"/>
      <c r="H134" s="152">
        <v>129</v>
      </c>
      <c r="I134" s="153" t="str">
        <f t="shared" si="9"/>
        <v/>
      </c>
      <c r="J134" s="152">
        <f t="shared" si="10"/>
        <v>-4</v>
      </c>
      <c r="K134" s="152">
        <f t="shared" ref="K134:K197" si="11">J134*$J$2</f>
        <v>-40</v>
      </c>
      <c r="L134" s="152"/>
      <c r="M134" s="154">
        <f t="shared" ref="M134:M197" si="12">IF(I134&lt;&gt;"",K134+I134+L134,0)</f>
        <v>0</v>
      </c>
    </row>
    <row r="135" spans="1:13" x14ac:dyDescent="0.25">
      <c r="A135" s="168"/>
      <c r="G135" s="138"/>
      <c r="H135" s="152">
        <v>130</v>
      </c>
      <c r="I135" s="153" t="str">
        <f t="shared" ref="I135:I198" si="13">IF(H135&lt;$H$2+1,($I$2-($I$2-1)*(LOG(H135)/LOG($H$2))),"")</f>
        <v/>
      </c>
      <c r="J135" s="152">
        <f t="shared" ref="J135:J198" si="14">INT(LOG($H$2,2))-ROUNDUP(LOG(H135,2),0)+IF(OR($H$2=1,$H$2=2,$H$2=4,$H$2=8,$H$2=16,$H$2=32,$H$2=64,$H$2=128,$H$2=256),0,1)</f>
        <v>-4</v>
      </c>
      <c r="K135" s="152">
        <f t="shared" si="11"/>
        <v>-40</v>
      </c>
      <c r="L135" s="152"/>
      <c r="M135" s="154">
        <f t="shared" si="12"/>
        <v>0</v>
      </c>
    </row>
    <row r="136" spans="1:13" x14ac:dyDescent="0.25">
      <c r="A136" s="168"/>
      <c r="G136" s="138"/>
      <c r="H136" s="152">
        <v>131</v>
      </c>
      <c r="I136" s="153" t="str">
        <f t="shared" si="13"/>
        <v/>
      </c>
      <c r="J136" s="152">
        <f t="shared" si="14"/>
        <v>-4</v>
      </c>
      <c r="K136" s="152">
        <f t="shared" si="11"/>
        <v>-40</v>
      </c>
      <c r="L136" s="152"/>
      <c r="M136" s="154">
        <f t="shared" si="12"/>
        <v>0</v>
      </c>
    </row>
    <row r="137" spans="1:13" x14ac:dyDescent="0.25">
      <c r="A137" s="168"/>
      <c r="G137" s="138"/>
      <c r="H137" s="152">
        <v>132</v>
      </c>
      <c r="I137" s="153" t="str">
        <f t="shared" si="13"/>
        <v/>
      </c>
      <c r="J137" s="152">
        <f t="shared" si="14"/>
        <v>-4</v>
      </c>
      <c r="K137" s="152">
        <f t="shared" si="11"/>
        <v>-40</v>
      </c>
      <c r="L137" s="152"/>
      <c r="M137" s="154">
        <f t="shared" si="12"/>
        <v>0</v>
      </c>
    </row>
    <row r="138" spans="1:13" x14ac:dyDescent="0.25">
      <c r="A138" s="168"/>
      <c r="G138" s="138"/>
      <c r="H138" s="152">
        <v>133</v>
      </c>
      <c r="I138" s="153" t="str">
        <f t="shared" si="13"/>
        <v/>
      </c>
      <c r="J138" s="152">
        <f t="shared" si="14"/>
        <v>-4</v>
      </c>
      <c r="K138" s="152">
        <f t="shared" si="11"/>
        <v>-40</v>
      </c>
      <c r="L138" s="152"/>
      <c r="M138" s="154">
        <f t="shared" si="12"/>
        <v>0</v>
      </c>
    </row>
    <row r="139" spans="1:13" x14ac:dyDescent="0.25">
      <c r="A139" s="168"/>
      <c r="G139" s="138"/>
      <c r="H139" s="152">
        <v>134</v>
      </c>
      <c r="I139" s="153" t="str">
        <f t="shared" si="13"/>
        <v/>
      </c>
      <c r="J139" s="152">
        <f t="shared" si="14"/>
        <v>-4</v>
      </c>
      <c r="K139" s="152">
        <f t="shared" si="11"/>
        <v>-40</v>
      </c>
      <c r="L139" s="152"/>
      <c r="M139" s="154">
        <f t="shared" si="12"/>
        <v>0</v>
      </c>
    </row>
    <row r="140" spans="1:13" x14ac:dyDescent="0.25">
      <c r="A140" s="168"/>
      <c r="G140" s="138"/>
      <c r="H140" s="152">
        <v>135</v>
      </c>
      <c r="I140" s="153" t="str">
        <f t="shared" si="13"/>
        <v/>
      </c>
      <c r="J140" s="152">
        <f t="shared" si="14"/>
        <v>-4</v>
      </c>
      <c r="K140" s="152">
        <f t="shared" si="11"/>
        <v>-40</v>
      </c>
      <c r="L140" s="152"/>
      <c r="M140" s="154">
        <f t="shared" si="12"/>
        <v>0</v>
      </c>
    </row>
    <row r="141" spans="1:13" x14ac:dyDescent="0.25">
      <c r="A141" s="168"/>
      <c r="G141" s="138"/>
      <c r="H141" s="152">
        <v>136</v>
      </c>
      <c r="I141" s="153" t="str">
        <f t="shared" si="13"/>
        <v/>
      </c>
      <c r="J141" s="152">
        <f t="shared" si="14"/>
        <v>-4</v>
      </c>
      <c r="K141" s="152">
        <f t="shared" si="11"/>
        <v>-40</v>
      </c>
      <c r="L141" s="152"/>
      <c r="M141" s="154">
        <f t="shared" si="12"/>
        <v>0</v>
      </c>
    </row>
    <row r="142" spans="1:13" x14ac:dyDescent="0.25">
      <c r="A142" s="168"/>
      <c r="G142" s="138"/>
      <c r="H142" s="152">
        <v>137</v>
      </c>
      <c r="I142" s="153" t="str">
        <f t="shared" si="13"/>
        <v/>
      </c>
      <c r="J142" s="152">
        <f t="shared" si="14"/>
        <v>-4</v>
      </c>
      <c r="K142" s="152">
        <f t="shared" si="11"/>
        <v>-40</v>
      </c>
      <c r="L142" s="152"/>
      <c r="M142" s="154">
        <f t="shared" si="12"/>
        <v>0</v>
      </c>
    </row>
    <row r="143" spans="1:13" x14ac:dyDescent="0.25">
      <c r="A143" s="168"/>
      <c r="G143" s="138"/>
      <c r="H143" s="152">
        <v>138</v>
      </c>
      <c r="I143" s="153" t="str">
        <f t="shared" si="13"/>
        <v/>
      </c>
      <c r="J143" s="152">
        <f t="shared" si="14"/>
        <v>-4</v>
      </c>
      <c r="K143" s="152">
        <f t="shared" si="11"/>
        <v>-40</v>
      </c>
      <c r="L143" s="152"/>
      <c r="M143" s="154">
        <f t="shared" si="12"/>
        <v>0</v>
      </c>
    </row>
    <row r="144" spans="1:13" x14ac:dyDescent="0.25">
      <c r="A144" s="168"/>
      <c r="G144" s="138"/>
      <c r="H144" s="152">
        <v>139</v>
      </c>
      <c r="I144" s="153" t="str">
        <f t="shared" si="13"/>
        <v/>
      </c>
      <c r="J144" s="152">
        <f t="shared" si="14"/>
        <v>-4</v>
      </c>
      <c r="K144" s="152">
        <f t="shared" si="11"/>
        <v>-40</v>
      </c>
      <c r="L144" s="152"/>
      <c r="M144" s="154">
        <f t="shared" si="12"/>
        <v>0</v>
      </c>
    </row>
    <row r="145" spans="1:13" x14ac:dyDescent="0.25">
      <c r="A145" s="168"/>
      <c r="G145" s="138"/>
      <c r="H145" s="152">
        <v>140</v>
      </c>
      <c r="I145" s="153" t="str">
        <f t="shared" si="13"/>
        <v/>
      </c>
      <c r="J145" s="152">
        <f t="shared" si="14"/>
        <v>-4</v>
      </c>
      <c r="K145" s="152">
        <f t="shared" si="11"/>
        <v>-40</v>
      </c>
      <c r="L145" s="152"/>
      <c r="M145" s="154">
        <f t="shared" si="12"/>
        <v>0</v>
      </c>
    </row>
    <row r="146" spans="1:13" x14ac:dyDescent="0.25">
      <c r="A146" s="168"/>
      <c r="G146" s="138"/>
      <c r="H146" s="152">
        <v>141</v>
      </c>
      <c r="I146" s="153" t="str">
        <f t="shared" si="13"/>
        <v/>
      </c>
      <c r="J146" s="152">
        <f t="shared" si="14"/>
        <v>-4</v>
      </c>
      <c r="K146" s="152">
        <f t="shared" si="11"/>
        <v>-40</v>
      </c>
      <c r="L146" s="152"/>
      <c r="M146" s="154">
        <f t="shared" si="12"/>
        <v>0</v>
      </c>
    </row>
    <row r="147" spans="1:13" x14ac:dyDescent="0.25">
      <c r="A147" s="168"/>
      <c r="G147" s="138"/>
      <c r="H147" s="152">
        <v>142</v>
      </c>
      <c r="I147" s="153" t="str">
        <f t="shared" si="13"/>
        <v/>
      </c>
      <c r="J147" s="152">
        <f t="shared" si="14"/>
        <v>-4</v>
      </c>
      <c r="K147" s="152">
        <f t="shared" si="11"/>
        <v>-40</v>
      </c>
      <c r="L147" s="152"/>
      <c r="M147" s="154">
        <f t="shared" si="12"/>
        <v>0</v>
      </c>
    </row>
    <row r="148" spans="1:13" x14ac:dyDescent="0.25">
      <c r="A148" s="168"/>
      <c r="G148" s="138"/>
      <c r="H148" s="152">
        <v>143</v>
      </c>
      <c r="I148" s="153" t="str">
        <f t="shared" si="13"/>
        <v/>
      </c>
      <c r="J148" s="152">
        <f t="shared" si="14"/>
        <v>-4</v>
      </c>
      <c r="K148" s="152">
        <f t="shared" si="11"/>
        <v>-40</v>
      </c>
      <c r="L148" s="152"/>
      <c r="M148" s="154">
        <f t="shared" si="12"/>
        <v>0</v>
      </c>
    </row>
    <row r="149" spans="1:13" x14ac:dyDescent="0.25">
      <c r="A149" s="168"/>
      <c r="G149" s="138"/>
      <c r="H149" s="152">
        <v>144</v>
      </c>
      <c r="I149" s="153" t="str">
        <f t="shared" si="13"/>
        <v/>
      </c>
      <c r="J149" s="152">
        <f t="shared" si="14"/>
        <v>-4</v>
      </c>
      <c r="K149" s="152">
        <f t="shared" si="11"/>
        <v>-40</v>
      </c>
      <c r="L149" s="152"/>
      <c r="M149" s="154">
        <f t="shared" si="12"/>
        <v>0</v>
      </c>
    </row>
    <row r="150" spans="1:13" x14ac:dyDescent="0.25">
      <c r="A150" s="168"/>
      <c r="G150" s="138"/>
      <c r="H150" s="152">
        <v>145</v>
      </c>
      <c r="I150" s="153" t="str">
        <f t="shared" si="13"/>
        <v/>
      </c>
      <c r="J150" s="152">
        <f t="shared" si="14"/>
        <v>-4</v>
      </c>
      <c r="K150" s="152">
        <f t="shared" si="11"/>
        <v>-40</v>
      </c>
      <c r="L150" s="152"/>
      <c r="M150" s="154">
        <f t="shared" si="12"/>
        <v>0</v>
      </c>
    </row>
    <row r="151" spans="1:13" x14ac:dyDescent="0.25">
      <c r="A151" s="168"/>
      <c r="G151" s="138"/>
      <c r="H151" s="152">
        <v>146</v>
      </c>
      <c r="I151" s="153" t="str">
        <f t="shared" si="13"/>
        <v/>
      </c>
      <c r="J151" s="152">
        <f t="shared" si="14"/>
        <v>-4</v>
      </c>
      <c r="K151" s="152">
        <f t="shared" si="11"/>
        <v>-40</v>
      </c>
      <c r="L151" s="152"/>
      <c r="M151" s="154">
        <f t="shared" si="12"/>
        <v>0</v>
      </c>
    </row>
    <row r="152" spans="1:13" x14ac:dyDescent="0.25">
      <c r="A152" s="168"/>
      <c r="G152" s="138"/>
      <c r="H152" s="152">
        <v>147</v>
      </c>
      <c r="I152" s="153" t="str">
        <f t="shared" si="13"/>
        <v/>
      </c>
      <c r="J152" s="152">
        <f t="shared" si="14"/>
        <v>-4</v>
      </c>
      <c r="K152" s="152">
        <f t="shared" si="11"/>
        <v>-40</v>
      </c>
      <c r="L152" s="152"/>
      <c r="M152" s="154">
        <f t="shared" si="12"/>
        <v>0</v>
      </c>
    </row>
    <row r="153" spans="1:13" x14ac:dyDescent="0.25">
      <c r="A153" s="168"/>
      <c r="G153" s="138"/>
      <c r="H153" s="152">
        <v>148</v>
      </c>
      <c r="I153" s="153" t="str">
        <f t="shared" si="13"/>
        <v/>
      </c>
      <c r="J153" s="152">
        <f t="shared" si="14"/>
        <v>-4</v>
      </c>
      <c r="K153" s="152">
        <f t="shared" si="11"/>
        <v>-40</v>
      </c>
      <c r="L153" s="152"/>
      <c r="M153" s="154">
        <f t="shared" si="12"/>
        <v>0</v>
      </c>
    </row>
    <row r="154" spans="1:13" x14ac:dyDescent="0.25">
      <c r="A154" s="168"/>
      <c r="G154" s="138"/>
      <c r="H154" s="152">
        <v>149</v>
      </c>
      <c r="I154" s="153" t="str">
        <f t="shared" si="13"/>
        <v/>
      </c>
      <c r="J154" s="152">
        <f t="shared" si="14"/>
        <v>-4</v>
      </c>
      <c r="K154" s="152">
        <f t="shared" si="11"/>
        <v>-40</v>
      </c>
      <c r="L154" s="152"/>
      <c r="M154" s="154">
        <f t="shared" si="12"/>
        <v>0</v>
      </c>
    </row>
    <row r="155" spans="1:13" x14ac:dyDescent="0.25">
      <c r="A155" s="168"/>
      <c r="G155" s="138"/>
      <c r="H155" s="152">
        <v>150</v>
      </c>
      <c r="I155" s="153" t="str">
        <f t="shared" si="13"/>
        <v/>
      </c>
      <c r="J155" s="152">
        <f t="shared" si="14"/>
        <v>-4</v>
      </c>
      <c r="K155" s="152">
        <f t="shared" si="11"/>
        <v>-40</v>
      </c>
      <c r="L155" s="152"/>
      <c r="M155" s="154">
        <f t="shared" si="12"/>
        <v>0</v>
      </c>
    </row>
    <row r="156" spans="1:13" x14ac:dyDescent="0.25">
      <c r="A156" s="168"/>
      <c r="G156" s="138"/>
      <c r="H156" s="152">
        <v>151</v>
      </c>
      <c r="I156" s="153" t="str">
        <f t="shared" si="13"/>
        <v/>
      </c>
      <c r="J156" s="152">
        <f t="shared" si="14"/>
        <v>-4</v>
      </c>
      <c r="K156" s="152">
        <f t="shared" si="11"/>
        <v>-40</v>
      </c>
      <c r="L156" s="152"/>
      <c r="M156" s="154">
        <f t="shared" si="12"/>
        <v>0</v>
      </c>
    </row>
    <row r="157" spans="1:13" x14ac:dyDescent="0.25">
      <c r="A157" s="168"/>
      <c r="G157" s="138"/>
      <c r="H157" s="152">
        <v>152</v>
      </c>
      <c r="I157" s="153" t="str">
        <f t="shared" si="13"/>
        <v/>
      </c>
      <c r="J157" s="152">
        <f t="shared" si="14"/>
        <v>-4</v>
      </c>
      <c r="K157" s="152">
        <f t="shared" si="11"/>
        <v>-40</v>
      </c>
      <c r="L157" s="152"/>
      <c r="M157" s="154">
        <f t="shared" si="12"/>
        <v>0</v>
      </c>
    </row>
    <row r="158" spans="1:13" x14ac:dyDescent="0.25">
      <c r="A158" s="168"/>
      <c r="G158" s="138"/>
      <c r="H158" s="152">
        <v>153</v>
      </c>
      <c r="I158" s="153" t="str">
        <f t="shared" si="13"/>
        <v/>
      </c>
      <c r="J158" s="152">
        <f t="shared" si="14"/>
        <v>-4</v>
      </c>
      <c r="K158" s="152">
        <f t="shared" si="11"/>
        <v>-40</v>
      </c>
      <c r="L158" s="152"/>
      <c r="M158" s="154">
        <f t="shared" si="12"/>
        <v>0</v>
      </c>
    </row>
    <row r="159" spans="1:13" x14ac:dyDescent="0.25">
      <c r="A159" s="168"/>
      <c r="G159" s="138"/>
      <c r="H159" s="152">
        <v>154</v>
      </c>
      <c r="I159" s="153" t="str">
        <f t="shared" si="13"/>
        <v/>
      </c>
      <c r="J159" s="152">
        <f t="shared" si="14"/>
        <v>-4</v>
      </c>
      <c r="K159" s="152">
        <f t="shared" si="11"/>
        <v>-40</v>
      </c>
      <c r="L159" s="152"/>
      <c r="M159" s="154">
        <f t="shared" si="12"/>
        <v>0</v>
      </c>
    </row>
    <row r="160" spans="1:13" x14ac:dyDescent="0.25">
      <c r="A160" s="168"/>
      <c r="G160" s="138"/>
      <c r="H160" s="152">
        <v>155</v>
      </c>
      <c r="I160" s="153" t="str">
        <f t="shared" si="13"/>
        <v/>
      </c>
      <c r="J160" s="152">
        <f t="shared" si="14"/>
        <v>-4</v>
      </c>
      <c r="K160" s="152">
        <f t="shared" si="11"/>
        <v>-40</v>
      </c>
      <c r="L160" s="152"/>
      <c r="M160" s="154">
        <f t="shared" si="12"/>
        <v>0</v>
      </c>
    </row>
    <row r="161" spans="1:13" x14ac:dyDescent="0.25">
      <c r="A161" s="168"/>
      <c r="G161" s="138"/>
      <c r="H161" s="152">
        <v>156</v>
      </c>
      <c r="I161" s="153" t="str">
        <f t="shared" si="13"/>
        <v/>
      </c>
      <c r="J161" s="152">
        <f t="shared" si="14"/>
        <v>-4</v>
      </c>
      <c r="K161" s="152">
        <f t="shared" si="11"/>
        <v>-40</v>
      </c>
      <c r="L161" s="152"/>
      <c r="M161" s="154">
        <f t="shared" si="12"/>
        <v>0</v>
      </c>
    </row>
    <row r="162" spans="1:13" x14ac:dyDescent="0.25">
      <c r="A162" s="168"/>
      <c r="G162" s="138"/>
      <c r="H162" s="152">
        <v>157</v>
      </c>
      <c r="I162" s="153" t="str">
        <f t="shared" si="13"/>
        <v/>
      </c>
      <c r="J162" s="152">
        <f t="shared" si="14"/>
        <v>-4</v>
      </c>
      <c r="K162" s="152">
        <f t="shared" si="11"/>
        <v>-40</v>
      </c>
      <c r="L162" s="152"/>
      <c r="M162" s="154">
        <f t="shared" si="12"/>
        <v>0</v>
      </c>
    </row>
    <row r="163" spans="1:13" x14ac:dyDescent="0.25">
      <c r="A163" s="168"/>
      <c r="G163" s="138"/>
      <c r="H163" s="152">
        <v>158</v>
      </c>
      <c r="I163" s="153" t="str">
        <f t="shared" si="13"/>
        <v/>
      </c>
      <c r="J163" s="152">
        <f t="shared" si="14"/>
        <v>-4</v>
      </c>
      <c r="K163" s="152">
        <f t="shared" si="11"/>
        <v>-40</v>
      </c>
      <c r="L163" s="152"/>
      <c r="M163" s="154">
        <f t="shared" si="12"/>
        <v>0</v>
      </c>
    </row>
    <row r="164" spans="1:13" x14ac:dyDescent="0.25">
      <c r="A164" s="168"/>
      <c r="G164" s="138"/>
      <c r="H164" s="152">
        <v>159</v>
      </c>
      <c r="I164" s="153" t="str">
        <f t="shared" si="13"/>
        <v/>
      </c>
      <c r="J164" s="152">
        <f t="shared" si="14"/>
        <v>-4</v>
      </c>
      <c r="K164" s="152">
        <f t="shared" si="11"/>
        <v>-40</v>
      </c>
      <c r="L164" s="152"/>
      <c r="M164" s="154">
        <f t="shared" si="12"/>
        <v>0</v>
      </c>
    </row>
    <row r="165" spans="1:13" x14ac:dyDescent="0.25">
      <c r="A165" s="168"/>
      <c r="G165" s="138"/>
      <c r="H165" s="152">
        <v>160</v>
      </c>
      <c r="I165" s="153" t="str">
        <f t="shared" si="13"/>
        <v/>
      </c>
      <c r="J165" s="152">
        <f t="shared" si="14"/>
        <v>-4</v>
      </c>
      <c r="K165" s="152">
        <f t="shared" si="11"/>
        <v>-40</v>
      </c>
      <c r="L165" s="152"/>
      <c r="M165" s="154">
        <f t="shared" si="12"/>
        <v>0</v>
      </c>
    </row>
    <row r="166" spans="1:13" x14ac:dyDescent="0.25">
      <c r="A166" s="168"/>
      <c r="G166" s="138"/>
      <c r="H166" s="152">
        <v>161</v>
      </c>
      <c r="I166" s="153" t="str">
        <f t="shared" si="13"/>
        <v/>
      </c>
      <c r="J166" s="152">
        <f t="shared" si="14"/>
        <v>-4</v>
      </c>
      <c r="K166" s="152">
        <f t="shared" si="11"/>
        <v>-40</v>
      </c>
      <c r="L166" s="152"/>
      <c r="M166" s="154">
        <f t="shared" si="12"/>
        <v>0</v>
      </c>
    </row>
    <row r="167" spans="1:13" x14ac:dyDescent="0.25">
      <c r="A167" s="168"/>
      <c r="G167" s="138"/>
      <c r="H167" s="152">
        <v>162</v>
      </c>
      <c r="I167" s="153" t="str">
        <f t="shared" si="13"/>
        <v/>
      </c>
      <c r="J167" s="152">
        <f t="shared" si="14"/>
        <v>-4</v>
      </c>
      <c r="K167" s="152">
        <f t="shared" si="11"/>
        <v>-40</v>
      </c>
      <c r="L167" s="152"/>
      <c r="M167" s="154">
        <f t="shared" si="12"/>
        <v>0</v>
      </c>
    </row>
    <row r="168" spans="1:13" x14ac:dyDescent="0.25">
      <c r="A168" s="168"/>
      <c r="G168" s="138"/>
      <c r="H168" s="152">
        <v>163</v>
      </c>
      <c r="I168" s="153" t="str">
        <f t="shared" si="13"/>
        <v/>
      </c>
      <c r="J168" s="152">
        <f t="shared" si="14"/>
        <v>-4</v>
      </c>
      <c r="K168" s="152">
        <f t="shared" si="11"/>
        <v>-40</v>
      </c>
      <c r="L168" s="152"/>
      <c r="M168" s="154">
        <f t="shared" si="12"/>
        <v>0</v>
      </c>
    </row>
    <row r="169" spans="1:13" x14ac:dyDescent="0.25">
      <c r="A169" s="168"/>
      <c r="G169" s="138"/>
      <c r="H169" s="152">
        <v>164</v>
      </c>
      <c r="I169" s="153" t="str">
        <f t="shared" si="13"/>
        <v/>
      </c>
      <c r="J169" s="152">
        <f t="shared" si="14"/>
        <v>-4</v>
      </c>
      <c r="K169" s="152">
        <f t="shared" si="11"/>
        <v>-40</v>
      </c>
      <c r="L169" s="152"/>
      <c r="M169" s="154">
        <f t="shared" si="12"/>
        <v>0</v>
      </c>
    </row>
    <row r="170" spans="1:13" x14ac:dyDescent="0.25">
      <c r="A170" s="168"/>
      <c r="G170" s="138"/>
      <c r="H170" s="152">
        <v>165</v>
      </c>
      <c r="I170" s="153" t="str">
        <f t="shared" si="13"/>
        <v/>
      </c>
      <c r="J170" s="152">
        <f t="shared" si="14"/>
        <v>-4</v>
      </c>
      <c r="K170" s="152">
        <f t="shared" si="11"/>
        <v>-40</v>
      </c>
      <c r="L170" s="152"/>
      <c r="M170" s="154">
        <f t="shared" si="12"/>
        <v>0</v>
      </c>
    </row>
    <row r="171" spans="1:13" x14ac:dyDescent="0.25">
      <c r="A171" s="168"/>
      <c r="G171" s="138"/>
      <c r="H171" s="152">
        <v>166</v>
      </c>
      <c r="I171" s="153" t="str">
        <f t="shared" si="13"/>
        <v/>
      </c>
      <c r="J171" s="152">
        <f t="shared" si="14"/>
        <v>-4</v>
      </c>
      <c r="K171" s="152">
        <f t="shared" si="11"/>
        <v>-40</v>
      </c>
      <c r="L171" s="152"/>
      <c r="M171" s="154">
        <f t="shared" si="12"/>
        <v>0</v>
      </c>
    </row>
    <row r="172" spans="1:13" x14ac:dyDescent="0.25">
      <c r="A172" s="168"/>
      <c r="G172" s="138"/>
      <c r="H172" s="152">
        <v>167</v>
      </c>
      <c r="I172" s="153" t="str">
        <f t="shared" si="13"/>
        <v/>
      </c>
      <c r="J172" s="152">
        <f t="shared" si="14"/>
        <v>-4</v>
      </c>
      <c r="K172" s="152">
        <f t="shared" si="11"/>
        <v>-40</v>
      </c>
      <c r="L172" s="152"/>
      <c r="M172" s="154">
        <f t="shared" si="12"/>
        <v>0</v>
      </c>
    </row>
    <row r="173" spans="1:13" x14ac:dyDescent="0.25">
      <c r="A173" s="168"/>
      <c r="G173" s="138"/>
      <c r="H173" s="152">
        <v>168</v>
      </c>
      <c r="I173" s="153" t="str">
        <f t="shared" si="13"/>
        <v/>
      </c>
      <c r="J173" s="152">
        <f t="shared" si="14"/>
        <v>-4</v>
      </c>
      <c r="K173" s="152">
        <f t="shared" si="11"/>
        <v>-40</v>
      </c>
      <c r="L173" s="152"/>
      <c r="M173" s="154">
        <f t="shared" si="12"/>
        <v>0</v>
      </c>
    </row>
    <row r="174" spans="1:13" x14ac:dyDescent="0.25">
      <c r="A174" s="168"/>
      <c r="G174" s="138"/>
      <c r="H174" s="152">
        <v>169</v>
      </c>
      <c r="I174" s="153" t="str">
        <f t="shared" si="13"/>
        <v/>
      </c>
      <c r="J174" s="152">
        <f t="shared" si="14"/>
        <v>-4</v>
      </c>
      <c r="K174" s="152">
        <f t="shared" si="11"/>
        <v>-40</v>
      </c>
      <c r="L174" s="152"/>
      <c r="M174" s="154">
        <f t="shared" si="12"/>
        <v>0</v>
      </c>
    </row>
    <row r="175" spans="1:13" x14ac:dyDescent="0.25">
      <c r="A175" s="168"/>
      <c r="G175" s="138"/>
      <c r="H175" s="152">
        <v>170</v>
      </c>
      <c r="I175" s="153" t="str">
        <f t="shared" si="13"/>
        <v/>
      </c>
      <c r="J175" s="152">
        <f t="shared" si="14"/>
        <v>-4</v>
      </c>
      <c r="K175" s="152">
        <f t="shared" si="11"/>
        <v>-40</v>
      </c>
      <c r="L175" s="152"/>
      <c r="M175" s="154">
        <f t="shared" si="12"/>
        <v>0</v>
      </c>
    </row>
    <row r="176" spans="1:13" x14ac:dyDescent="0.25">
      <c r="A176" s="168"/>
      <c r="G176" s="138"/>
      <c r="H176" s="152">
        <v>171</v>
      </c>
      <c r="I176" s="153" t="str">
        <f t="shared" si="13"/>
        <v/>
      </c>
      <c r="J176" s="152">
        <f t="shared" si="14"/>
        <v>-4</v>
      </c>
      <c r="K176" s="152">
        <f t="shared" si="11"/>
        <v>-40</v>
      </c>
      <c r="L176" s="152"/>
      <c r="M176" s="154">
        <f t="shared" si="12"/>
        <v>0</v>
      </c>
    </row>
    <row r="177" spans="1:13" x14ac:dyDescent="0.25">
      <c r="A177" s="168"/>
      <c r="G177" s="138"/>
      <c r="H177" s="152">
        <v>172</v>
      </c>
      <c r="I177" s="153" t="str">
        <f t="shared" si="13"/>
        <v/>
      </c>
      <c r="J177" s="152">
        <f t="shared" si="14"/>
        <v>-4</v>
      </c>
      <c r="K177" s="152">
        <f t="shared" si="11"/>
        <v>-40</v>
      </c>
      <c r="L177" s="152"/>
      <c r="M177" s="154">
        <f t="shared" si="12"/>
        <v>0</v>
      </c>
    </row>
    <row r="178" spans="1:13" x14ac:dyDescent="0.25">
      <c r="A178" s="168"/>
      <c r="G178" s="138"/>
      <c r="H178" s="152">
        <v>173</v>
      </c>
      <c r="I178" s="153" t="str">
        <f t="shared" si="13"/>
        <v/>
      </c>
      <c r="J178" s="152">
        <f t="shared" si="14"/>
        <v>-4</v>
      </c>
      <c r="K178" s="152">
        <f t="shared" si="11"/>
        <v>-40</v>
      </c>
      <c r="L178" s="152"/>
      <c r="M178" s="154">
        <f t="shared" si="12"/>
        <v>0</v>
      </c>
    </row>
    <row r="179" spans="1:13" x14ac:dyDescent="0.25">
      <c r="A179" s="168"/>
      <c r="G179" s="138"/>
      <c r="H179" s="152">
        <v>174</v>
      </c>
      <c r="I179" s="153" t="str">
        <f t="shared" si="13"/>
        <v/>
      </c>
      <c r="J179" s="152">
        <f t="shared" si="14"/>
        <v>-4</v>
      </c>
      <c r="K179" s="152">
        <f t="shared" si="11"/>
        <v>-40</v>
      </c>
      <c r="L179" s="152"/>
      <c r="M179" s="154">
        <f t="shared" si="12"/>
        <v>0</v>
      </c>
    </row>
    <row r="180" spans="1:13" x14ac:dyDescent="0.25">
      <c r="A180" s="168"/>
      <c r="G180" s="138"/>
      <c r="H180" s="152">
        <v>175</v>
      </c>
      <c r="I180" s="153" t="str">
        <f t="shared" si="13"/>
        <v/>
      </c>
      <c r="J180" s="152">
        <f t="shared" si="14"/>
        <v>-4</v>
      </c>
      <c r="K180" s="152">
        <f t="shared" si="11"/>
        <v>-40</v>
      </c>
      <c r="L180" s="152"/>
      <c r="M180" s="154">
        <f t="shared" si="12"/>
        <v>0</v>
      </c>
    </row>
    <row r="181" spans="1:13" x14ac:dyDescent="0.25">
      <c r="A181" s="168"/>
      <c r="G181" s="138"/>
      <c r="H181" s="152">
        <v>176</v>
      </c>
      <c r="I181" s="153" t="str">
        <f t="shared" si="13"/>
        <v/>
      </c>
      <c r="J181" s="152">
        <f t="shared" si="14"/>
        <v>-4</v>
      </c>
      <c r="K181" s="152">
        <f t="shared" si="11"/>
        <v>-40</v>
      </c>
      <c r="L181" s="152"/>
      <c r="M181" s="154">
        <f t="shared" si="12"/>
        <v>0</v>
      </c>
    </row>
    <row r="182" spans="1:13" x14ac:dyDescent="0.25">
      <c r="A182" s="168"/>
      <c r="G182" s="138"/>
      <c r="H182" s="152">
        <v>177</v>
      </c>
      <c r="I182" s="153" t="str">
        <f t="shared" si="13"/>
        <v/>
      </c>
      <c r="J182" s="152">
        <f t="shared" si="14"/>
        <v>-4</v>
      </c>
      <c r="K182" s="152">
        <f t="shared" si="11"/>
        <v>-40</v>
      </c>
      <c r="L182" s="152"/>
      <c r="M182" s="154">
        <f t="shared" si="12"/>
        <v>0</v>
      </c>
    </row>
    <row r="183" spans="1:13" x14ac:dyDescent="0.25">
      <c r="A183" s="168"/>
      <c r="G183" s="138"/>
      <c r="H183" s="152">
        <v>178</v>
      </c>
      <c r="I183" s="153" t="str">
        <f t="shared" si="13"/>
        <v/>
      </c>
      <c r="J183" s="152">
        <f t="shared" si="14"/>
        <v>-4</v>
      </c>
      <c r="K183" s="152">
        <f t="shared" si="11"/>
        <v>-40</v>
      </c>
      <c r="L183" s="152"/>
      <c r="M183" s="154">
        <f t="shared" si="12"/>
        <v>0</v>
      </c>
    </row>
    <row r="184" spans="1:13" x14ac:dyDescent="0.25">
      <c r="A184" s="168"/>
      <c r="G184" s="138"/>
      <c r="H184" s="152">
        <v>179</v>
      </c>
      <c r="I184" s="153" t="str">
        <f t="shared" si="13"/>
        <v/>
      </c>
      <c r="J184" s="152">
        <f t="shared" si="14"/>
        <v>-4</v>
      </c>
      <c r="K184" s="152">
        <f t="shared" si="11"/>
        <v>-40</v>
      </c>
      <c r="L184" s="152"/>
      <c r="M184" s="154">
        <f t="shared" si="12"/>
        <v>0</v>
      </c>
    </row>
    <row r="185" spans="1:13" x14ac:dyDescent="0.25">
      <c r="A185" s="168"/>
      <c r="G185" s="138"/>
      <c r="H185" s="152">
        <v>180</v>
      </c>
      <c r="I185" s="153" t="str">
        <f t="shared" si="13"/>
        <v/>
      </c>
      <c r="J185" s="152">
        <f t="shared" si="14"/>
        <v>-4</v>
      </c>
      <c r="K185" s="152">
        <f t="shared" si="11"/>
        <v>-40</v>
      </c>
      <c r="L185" s="152"/>
      <c r="M185" s="154">
        <f t="shared" si="12"/>
        <v>0</v>
      </c>
    </row>
    <row r="186" spans="1:13" x14ac:dyDescent="0.25">
      <c r="A186" s="168"/>
      <c r="G186" s="138"/>
      <c r="H186" s="152">
        <v>181</v>
      </c>
      <c r="I186" s="153" t="str">
        <f t="shared" si="13"/>
        <v/>
      </c>
      <c r="J186" s="152">
        <f t="shared" si="14"/>
        <v>-4</v>
      </c>
      <c r="K186" s="152">
        <f t="shared" si="11"/>
        <v>-40</v>
      </c>
      <c r="L186" s="152"/>
      <c r="M186" s="154">
        <f t="shared" si="12"/>
        <v>0</v>
      </c>
    </row>
    <row r="187" spans="1:13" x14ac:dyDescent="0.25">
      <c r="A187" s="168"/>
      <c r="G187" s="138"/>
      <c r="H187" s="152">
        <v>182</v>
      </c>
      <c r="I187" s="153" t="str">
        <f t="shared" si="13"/>
        <v/>
      </c>
      <c r="J187" s="152">
        <f t="shared" si="14"/>
        <v>-4</v>
      </c>
      <c r="K187" s="152">
        <f t="shared" si="11"/>
        <v>-40</v>
      </c>
      <c r="L187" s="152"/>
      <c r="M187" s="154">
        <f t="shared" si="12"/>
        <v>0</v>
      </c>
    </row>
    <row r="188" spans="1:13" x14ac:dyDescent="0.25">
      <c r="A188" s="168"/>
      <c r="G188" s="138"/>
      <c r="H188" s="152">
        <v>183</v>
      </c>
      <c r="I188" s="153" t="str">
        <f t="shared" si="13"/>
        <v/>
      </c>
      <c r="J188" s="152">
        <f t="shared" si="14"/>
        <v>-4</v>
      </c>
      <c r="K188" s="152">
        <f t="shared" si="11"/>
        <v>-40</v>
      </c>
      <c r="L188" s="152"/>
      <c r="M188" s="154">
        <f t="shared" si="12"/>
        <v>0</v>
      </c>
    </row>
    <row r="189" spans="1:13" x14ac:dyDescent="0.25">
      <c r="A189" s="168"/>
      <c r="G189" s="138"/>
      <c r="H189" s="152">
        <v>184</v>
      </c>
      <c r="I189" s="153" t="str">
        <f t="shared" si="13"/>
        <v/>
      </c>
      <c r="J189" s="152">
        <f t="shared" si="14"/>
        <v>-4</v>
      </c>
      <c r="K189" s="152">
        <f t="shared" si="11"/>
        <v>-40</v>
      </c>
      <c r="L189" s="152"/>
      <c r="M189" s="154">
        <f t="shared" si="12"/>
        <v>0</v>
      </c>
    </row>
    <row r="190" spans="1:13" x14ac:dyDescent="0.25">
      <c r="A190" s="168"/>
      <c r="G190" s="138"/>
      <c r="H190" s="152">
        <v>185</v>
      </c>
      <c r="I190" s="153" t="str">
        <f t="shared" si="13"/>
        <v/>
      </c>
      <c r="J190" s="152">
        <f t="shared" si="14"/>
        <v>-4</v>
      </c>
      <c r="K190" s="152">
        <f t="shared" si="11"/>
        <v>-40</v>
      </c>
      <c r="L190" s="152"/>
      <c r="M190" s="154">
        <f t="shared" si="12"/>
        <v>0</v>
      </c>
    </row>
    <row r="191" spans="1:13" x14ac:dyDescent="0.25">
      <c r="A191" s="168"/>
      <c r="G191" s="138"/>
      <c r="H191" s="152">
        <v>186</v>
      </c>
      <c r="I191" s="153" t="str">
        <f t="shared" si="13"/>
        <v/>
      </c>
      <c r="J191" s="152">
        <f t="shared" si="14"/>
        <v>-4</v>
      </c>
      <c r="K191" s="152">
        <f t="shared" si="11"/>
        <v>-40</v>
      </c>
      <c r="L191" s="152"/>
      <c r="M191" s="154">
        <f t="shared" si="12"/>
        <v>0</v>
      </c>
    </row>
    <row r="192" spans="1:13" x14ac:dyDescent="0.25">
      <c r="A192" s="168"/>
      <c r="G192" s="138"/>
      <c r="H192" s="152">
        <v>187</v>
      </c>
      <c r="I192" s="153" t="str">
        <f t="shared" si="13"/>
        <v/>
      </c>
      <c r="J192" s="152">
        <f t="shared" si="14"/>
        <v>-4</v>
      </c>
      <c r="K192" s="152">
        <f t="shared" si="11"/>
        <v>-40</v>
      </c>
      <c r="L192" s="152"/>
      <c r="M192" s="154">
        <f t="shared" si="12"/>
        <v>0</v>
      </c>
    </row>
    <row r="193" spans="1:13" x14ac:dyDescent="0.25">
      <c r="A193" s="168"/>
      <c r="G193" s="138"/>
      <c r="H193" s="152">
        <v>188</v>
      </c>
      <c r="I193" s="153" t="str">
        <f t="shared" si="13"/>
        <v/>
      </c>
      <c r="J193" s="152">
        <f t="shared" si="14"/>
        <v>-4</v>
      </c>
      <c r="K193" s="152">
        <f t="shared" si="11"/>
        <v>-40</v>
      </c>
      <c r="L193" s="152"/>
      <c r="M193" s="154">
        <f t="shared" si="12"/>
        <v>0</v>
      </c>
    </row>
    <row r="194" spans="1:13" x14ac:dyDescent="0.25">
      <c r="A194" s="168"/>
      <c r="G194" s="138"/>
      <c r="H194" s="152">
        <v>189</v>
      </c>
      <c r="I194" s="153" t="str">
        <f t="shared" si="13"/>
        <v/>
      </c>
      <c r="J194" s="152">
        <f t="shared" si="14"/>
        <v>-4</v>
      </c>
      <c r="K194" s="152">
        <f t="shared" si="11"/>
        <v>-40</v>
      </c>
      <c r="L194" s="152"/>
      <c r="M194" s="154">
        <f t="shared" si="12"/>
        <v>0</v>
      </c>
    </row>
    <row r="195" spans="1:13" x14ac:dyDescent="0.25">
      <c r="A195" s="168"/>
      <c r="G195" s="138"/>
      <c r="H195" s="152">
        <v>190</v>
      </c>
      <c r="I195" s="153" t="str">
        <f t="shared" si="13"/>
        <v/>
      </c>
      <c r="J195" s="152">
        <f t="shared" si="14"/>
        <v>-4</v>
      </c>
      <c r="K195" s="152">
        <f t="shared" si="11"/>
        <v>-40</v>
      </c>
      <c r="L195" s="152"/>
      <c r="M195" s="154">
        <f t="shared" si="12"/>
        <v>0</v>
      </c>
    </row>
    <row r="196" spans="1:13" x14ac:dyDescent="0.25">
      <c r="A196" s="168"/>
      <c r="G196" s="138"/>
      <c r="H196" s="152">
        <v>191</v>
      </c>
      <c r="I196" s="153" t="str">
        <f t="shared" si="13"/>
        <v/>
      </c>
      <c r="J196" s="152">
        <f t="shared" si="14"/>
        <v>-4</v>
      </c>
      <c r="K196" s="152">
        <f t="shared" si="11"/>
        <v>-40</v>
      </c>
      <c r="L196" s="152"/>
      <c r="M196" s="154">
        <f t="shared" si="12"/>
        <v>0</v>
      </c>
    </row>
    <row r="197" spans="1:13" x14ac:dyDescent="0.25">
      <c r="A197" s="168"/>
      <c r="G197" s="138"/>
      <c r="H197" s="152">
        <v>192</v>
      </c>
      <c r="I197" s="153" t="str">
        <f t="shared" si="13"/>
        <v/>
      </c>
      <c r="J197" s="152">
        <f t="shared" si="14"/>
        <v>-4</v>
      </c>
      <c r="K197" s="152">
        <f t="shared" si="11"/>
        <v>-40</v>
      </c>
      <c r="L197" s="152"/>
      <c r="M197" s="154">
        <f t="shared" si="12"/>
        <v>0</v>
      </c>
    </row>
    <row r="198" spans="1:13" x14ac:dyDescent="0.25">
      <c r="A198" s="168"/>
      <c r="G198" s="138"/>
      <c r="H198" s="152">
        <v>193</v>
      </c>
      <c r="I198" s="153" t="str">
        <f t="shared" si="13"/>
        <v/>
      </c>
      <c r="J198" s="152">
        <f t="shared" si="14"/>
        <v>-4</v>
      </c>
      <c r="K198" s="152">
        <f t="shared" ref="K198:K261" si="15">J198*$J$2</f>
        <v>-40</v>
      </c>
      <c r="L198" s="152"/>
      <c r="M198" s="154">
        <f t="shared" ref="M198:M261" si="16">IF(I198&lt;&gt;"",K198+I198+L198,0)</f>
        <v>0</v>
      </c>
    </row>
    <row r="199" spans="1:13" x14ac:dyDescent="0.25">
      <c r="A199" s="168"/>
      <c r="G199" s="138"/>
      <c r="H199" s="152">
        <v>194</v>
      </c>
      <c r="I199" s="153" t="str">
        <f t="shared" ref="I199:I262" si="17">IF(H199&lt;$H$2+1,($I$2-($I$2-1)*(LOG(H199)/LOG($H$2))),"")</f>
        <v/>
      </c>
      <c r="J199" s="152">
        <f t="shared" ref="J199:J262" si="18">INT(LOG($H$2,2))-ROUNDUP(LOG(H199,2),0)+IF(OR($H$2=1,$H$2=2,$H$2=4,$H$2=8,$H$2=16,$H$2=32,$H$2=64,$H$2=128,$H$2=256),0,1)</f>
        <v>-4</v>
      </c>
      <c r="K199" s="152">
        <f t="shared" si="15"/>
        <v>-40</v>
      </c>
      <c r="L199" s="152"/>
      <c r="M199" s="154">
        <f t="shared" si="16"/>
        <v>0</v>
      </c>
    </row>
    <row r="200" spans="1:13" x14ac:dyDescent="0.25">
      <c r="A200" s="168"/>
      <c r="G200" s="138"/>
      <c r="H200" s="152">
        <v>195</v>
      </c>
      <c r="I200" s="153" t="str">
        <f t="shared" si="17"/>
        <v/>
      </c>
      <c r="J200" s="152">
        <f t="shared" si="18"/>
        <v>-4</v>
      </c>
      <c r="K200" s="152">
        <f t="shared" si="15"/>
        <v>-40</v>
      </c>
      <c r="L200" s="152"/>
      <c r="M200" s="154">
        <f t="shared" si="16"/>
        <v>0</v>
      </c>
    </row>
    <row r="201" spans="1:13" x14ac:dyDescent="0.25">
      <c r="A201" s="168"/>
      <c r="G201" s="138"/>
      <c r="H201" s="152">
        <v>196</v>
      </c>
      <c r="I201" s="153" t="str">
        <f t="shared" si="17"/>
        <v/>
      </c>
      <c r="J201" s="152">
        <f t="shared" si="18"/>
        <v>-4</v>
      </c>
      <c r="K201" s="152">
        <f t="shared" si="15"/>
        <v>-40</v>
      </c>
      <c r="L201" s="152"/>
      <c r="M201" s="154">
        <f t="shared" si="16"/>
        <v>0</v>
      </c>
    </row>
    <row r="202" spans="1:13" x14ac:dyDescent="0.25">
      <c r="A202" s="168"/>
      <c r="G202" s="138"/>
      <c r="H202" s="152">
        <v>197</v>
      </c>
      <c r="I202" s="153" t="str">
        <f t="shared" si="17"/>
        <v/>
      </c>
      <c r="J202" s="152">
        <f t="shared" si="18"/>
        <v>-4</v>
      </c>
      <c r="K202" s="152">
        <f t="shared" si="15"/>
        <v>-40</v>
      </c>
      <c r="L202" s="152"/>
      <c r="M202" s="154">
        <f t="shared" si="16"/>
        <v>0</v>
      </c>
    </row>
    <row r="203" spans="1:13" x14ac:dyDescent="0.25">
      <c r="A203" s="168"/>
      <c r="G203" s="138"/>
      <c r="H203" s="152">
        <v>198</v>
      </c>
      <c r="I203" s="153" t="str">
        <f t="shared" si="17"/>
        <v/>
      </c>
      <c r="J203" s="152">
        <f t="shared" si="18"/>
        <v>-4</v>
      </c>
      <c r="K203" s="152">
        <f t="shared" si="15"/>
        <v>-40</v>
      </c>
      <c r="L203" s="152"/>
      <c r="M203" s="154">
        <f t="shared" si="16"/>
        <v>0</v>
      </c>
    </row>
    <row r="204" spans="1:13" x14ac:dyDescent="0.25">
      <c r="A204" s="168"/>
      <c r="G204" s="138"/>
      <c r="H204" s="152">
        <v>199</v>
      </c>
      <c r="I204" s="153" t="str">
        <f t="shared" si="17"/>
        <v/>
      </c>
      <c r="J204" s="152">
        <f t="shared" si="18"/>
        <v>-4</v>
      </c>
      <c r="K204" s="152">
        <f t="shared" si="15"/>
        <v>-40</v>
      </c>
      <c r="L204" s="152"/>
      <c r="M204" s="154">
        <f t="shared" si="16"/>
        <v>0</v>
      </c>
    </row>
    <row r="205" spans="1:13" x14ac:dyDescent="0.25">
      <c r="A205" s="168"/>
      <c r="G205" s="138"/>
      <c r="H205" s="152">
        <v>200</v>
      </c>
      <c r="I205" s="153" t="str">
        <f t="shared" si="17"/>
        <v/>
      </c>
      <c r="J205" s="152">
        <f t="shared" si="18"/>
        <v>-4</v>
      </c>
      <c r="K205" s="152">
        <f t="shared" si="15"/>
        <v>-40</v>
      </c>
      <c r="L205" s="152"/>
      <c r="M205" s="154">
        <f t="shared" si="16"/>
        <v>0</v>
      </c>
    </row>
    <row r="206" spans="1:13" x14ac:dyDescent="0.25">
      <c r="A206" s="168"/>
      <c r="G206" s="138"/>
      <c r="H206" s="152">
        <v>201</v>
      </c>
      <c r="I206" s="153" t="str">
        <f t="shared" si="17"/>
        <v/>
      </c>
      <c r="J206" s="152">
        <f t="shared" si="18"/>
        <v>-4</v>
      </c>
      <c r="K206" s="152">
        <f t="shared" si="15"/>
        <v>-40</v>
      </c>
      <c r="L206" s="152"/>
      <c r="M206" s="154">
        <f t="shared" si="16"/>
        <v>0</v>
      </c>
    </row>
    <row r="207" spans="1:13" x14ac:dyDescent="0.25">
      <c r="A207" s="168"/>
      <c r="G207" s="138"/>
      <c r="H207" s="152">
        <v>202</v>
      </c>
      <c r="I207" s="153" t="str">
        <f t="shared" si="17"/>
        <v/>
      </c>
      <c r="J207" s="152">
        <f t="shared" si="18"/>
        <v>-4</v>
      </c>
      <c r="K207" s="152">
        <f t="shared" si="15"/>
        <v>-40</v>
      </c>
      <c r="L207" s="152"/>
      <c r="M207" s="154">
        <f t="shared" si="16"/>
        <v>0</v>
      </c>
    </row>
    <row r="208" spans="1:13" x14ac:dyDescent="0.25">
      <c r="A208" s="168"/>
      <c r="G208" s="138"/>
      <c r="H208" s="152">
        <v>203</v>
      </c>
      <c r="I208" s="153" t="str">
        <f t="shared" si="17"/>
        <v/>
      </c>
      <c r="J208" s="152">
        <f t="shared" si="18"/>
        <v>-4</v>
      </c>
      <c r="K208" s="152">
        <f t="shared" si="15"/>
        <v>-40</v>
      </c>
      <c r="L208" s="152"/>
      <c r="M208" s="154">
        <f t="shared" si="16"/>
        <v>0</v>
      </c>
    </row>
    <row r="209" spans="1:13" x14ac:dyDescent="0.25">
      <c r="A209" s="168"/>
      <c r="G209" s="138"/>
      <c r="H209" s="152">
        <v>204</v>
      </c>
      <c r="I209" s="153" t="str">
        <f t="shared" si="17"/>
        <v/>
      </c>
      <c r="J209" s="152">
        <f t="shared" si="18"/>
        <v>-4</v>
      </c>
      <c r="K209" s="152">
        <f t="shared" si="15"/>
        <v>-40</v>
      </c>
      <c r="L209" s="152"/>
      <c r="M209" s="154">
        <f t="shared" si="16"/>
        <v>0</v>
      </c>
    </row>
    <row r="210" spans="1:13" x14ac:dyDescent="0.25">
      <c r="A210" s="168"/>
      <c r="G210" s="138"/>
      <c r="H210" s="152">
        <v>205</v>
      </c>
      <c r="I210" s="153" t="str">
        <f t="shared" si="17"/>
        <v/>
      </c>
      <c r="J210" s="152">
        <f t="shared" si="18"/>
        <v>-4</v>
      </c>
      <c r="K210" s="152">
        <f t="shared" si="15"/>
        <v>-40</v>
      </c>
      <c r="L210" s="152"/>
      <c r="M210" s="154">
        <f t="shared" si="16"/>
        <v>0</v>
      </c>
    </row>
    <row r="211" spans="1:13" x14ac:dyDescent="0.25">
      <c r="A211" s="168"/>
      <c r="G211" s="138"/>
      <c r="H211" s="152">
        <v>206</v>
      </c>
      <c r="I211" s="153" t="str">
        <f t="shared" si="17"/>
        <v/>
      </c>
      <c r="J211" s="152">
        <f t="shared" si="18"/>
        <v>-4</v>
      </c>
      <c r="K211" s="152">
        <f t="shared" si="15"/>
        <v>-40</v>
      </c>
      <c r="L211" s="152"/>
      <c r="M211" s="154">
        <f t="shared" si="16"/>
        <v>0</v>
      </c>
    </row>
    <row r="212" spans="1:13" x14ac:dyDescent="0.25">
      <c r="A212" s="168"/>
      <c r="G212" s="138"/>
      <c r="H212" s="152">
        <v>207</v>
      </c>
      <c r="I212" s="153" t="str">
        <f t="shared" si="17"/>
        <v/>
      </c>
      <c r="J212" s="152">
        <f t="shared" si="18"/>
        <v>-4</v>
      </c>
      <c r="K212" s="152">
        <f t="shared" si="15"/>
        <v>-40</v>
      </c>
      <c r="L212" s="152"/>
      <c r="M212" s="154">
        <f t="shared" si="16"/>
        <v>0</v>
      </c>
    </row>
    <row r="213" spans="1:13" x14ac:dyDescent="0.25">
      <c r="A213" s="168"/>
      <c r="G213" s="138"/>
      <c r="H213" s="152">
        <v>208</v>
      </c>
      <c r="I213" s="153" t="str">
        <f t="shared" si="17"/>
        <v/>
      </c>
      <c r="J213" s="152">
        <f t="shared" si="18"/>
        <v>-4</v>
      </c>
      <c r="K213" s="152">
        <f t="shared" si="15"/>
        <v>-40</v>
      </c>
      <c r="L213" s="152"/>
      <c r="M213" s="154">
        <f t="shared" si="16"/>
        <v>0</v>
      </c>
    </row>
    <row r="214" spans="1:13" x14ac:dyDescent="0.25">
      <c r="A214" s="168"/>
      <c r="G214" s="138"/>
      <c r="H214" s="152">
        <v>209</v>
      </c>
      <c r="I214" s="153" t="str">
        <f t="shared" si="17"/>
        <v/>
      </c>
      <c r="J214" s="152">
        <f t="shared" si="18"/>
        <v>-4</v>
      </c>
      <c r="K214" s="152">
        <f t="shared" si="15"/>
        <v>-40</v>
      </c>
      <c r="L214" s="152"/>
      <c r="M214" s="154">
        <f t="shared" si="16"/>
        <v>0</v>
      </c>
    </row>
    <row r="215" spans="1:13" x14ac:dyDescent="0.25">
      <c r="A215" s="168"/>
      <c r="G215" s="138"/>
      <c r="H215" s="152">
        <v>210</v>
      </c>
      <c r="I215" s="153" t="str">
        <f t="shared" si="17"/>
        <v/>
      </c>
      <c r="J215" s="152">
        <f t="shared" si="18"/>
        <v>-4</v>
      </c>
      <c r="K215" s="152">
        <f t="shared" si="15"/>
        <v>-40</v>
      </c>
      <c r="L215" s="152"/>
      <c r="M215" s="154">
        <f t="shared" si="16"/>
        <v>0</v>
      </c>
    </row>
    <row r="216" spans="1:13" x14ac:dyDescent="0.25">
      <c r="A216" s="168"/>
      <c r="G216" s="138"/>
      <c r="H216" s="152">
        <v>211</v>
      </c>
      <c r="I216" s="153" t="str">
        <f t="shared" si="17"/>
        <v/>
      </c>
      <c r="J216" s="152">
        <f t="shared" si="18"/>
        <v>-4</v>
      </c>
      <c r="K216" s="152">
        <f t="shared" si="15"/>
        <v>-40</v>
      </c>
      <c r="L216" s="152"/>
      <c r="M216" s="154">
        <f t="shared" si="16"/>
        <v>0</v>
      </c>
    </row>
    <row r="217" spans="1:13" x14ac:dyDescent="0.25">
      <c r="A217" s="168"/>
      <c r="G217" s="138"/>
      <c r="H217" s="152">
        <v>212</v>
      </c>
      <c r="I217" s="153" t="str">
        <f t="shared" si="17"/>
        <v/>
      </c>
      <c r="J217" s="152">
        <f t="shared" si="18"/>
        <v>-4</v>
      </c>
      <c r="K217" s="152">
        <f t="shared" si="15"/>
        <v>-40</v>
      </c>
      <c r="L217" s="152"/>
      <c r="M217" s="154">
        <f t="shared" si="16"/>
        <v>0</v>
      </c>
    </row>
    <row r="218" spans="1:13" x14ac:dyDescent="0.25">
      <c r="A218" s="168"/>
      <c r="G218" s="138"/>
      <c r="H218" s="152">
        <v>213</v>
      </c>
      <c r="I218" s="153" t="str">
        <f t="shared" si="17"/>
        <v/>
      </c>
      <c r="J218" s="152">
        <f t="shared" si="18"/>
        <v>-4</v>
      </c>
      <c r="K218" s="152">
        <f t="shared" si="15"/>
        <v>-40</v>
      </c>
      <c r="L218" s="152"/>
      <c r="M218" s="154">
        <f t="shared" si="16"/>
        <v>0</v>
      </c>
    </row>
    <row r="219" spans="1:13" x14ac:dyDescent="0.25">
      <c r="A219" s="168"/>
      <c r="G219" s="138"/>
      <c r="H219" s="152">
        <v>214</v>
      </c>
      <c r="I219" s="153" t="str">
        <f t="shared" si="17"/>
        <v/>
      </c>
      <c r="J219" s="152">
        <f t="shared" si="18"/>
        <v>-4</v>
      </c>
      <c r="K219" s="152">
        <f t="shared" si="15"/>
        <v>-40</v>
      </c>
      <c r="L219" s="152"/>
      <c r="M219" s="154">
        <f t="shared" si="16"/>
        <v>0</v>
      </c>
    </row>
    <row r="220" spans="1:13" x14ac:dyDescent="0.25">
      <c r="A220" s="168"/>
      <c r="G220" s="138"/>
      <c r="H220" s="152">
        <v>215</v>
      </c>
      <c r="I220" s="153" t="str">
        <f t="shared" si="17"/>
        <v/>
      </c>
      <c r="J220" s="152">
        <f t="shared" si="18"/>
        <v>-4</v>
      </c>
      <c r="K220" s="152">
        <f t="shared" si="15"/>
        <v>-40</v>
      </c>
      <c r="L220" s="152"/>
      <c r="M220" s="154">
        <f t="shared" si="16"/>
        <v>0</v>
      </c>
    </row>
    <row r="221" spans="1:13" x14ac:dyDescent="0.25">
      <c r="A221" s="168"/>
      <c r="G221" s="138"/>
      <c r="H221" s="152">
        <v>216</v>
      </c>
      <c r="I221" s="153" t="str">
        <f t="shared" si="17"/>
        <v/>
      </c>
      <c r="J221" s="152">
        <f t="shared" si="18"/>
        <v>-4</v>
      </c>
      <c r="K221" s="152">
        <f t="shared" si="15"/>
        <v>-40</v>
      </c>
      <c r="L221" s="152"/>
      <c r="M221" s="154">
        <f t="shared" si="16"/>
        <v>0</v>
      </c>
    </row>
    <row r="222" spans="1:13" x14ac:dyDescent="0.25">
      <c r="A222" s="168"/>
      <c r="G222" s="138"/>
      <c r="H222" s="152">
        <v>217</v>
      </c>
      <c r="I222" s="153" t="str">
        <f t="shared" si="17"/>
        <v/>
      </c>
      <c r="J222" s="152">
        <f t="shared" si="18"/>
        <v>-4</v>
      </c>
      <c r="K222" s="152">
        <f t="shared" si="15"/>
        <v>-40</v>
      </c>
      <c r="L222" s="152"/>
      <c r="M222" s="154">
        <f t="shared" si="16"/>
        <v>0</v>
      </c>
    </row>
    <row r="223" spans="1:13" x14ac:dyDescent="0.25">
      <c r="A223" s="168"/>
      <c r="G223" s="138"/>
      <c r="H223" s="152">
        <v>218</v>
      </c>
      <c r="I223" s="153" t="str">
        <f t="shared" si="17"/>
        <v/>
      </c>
      <c r="J223" s="152">
        <f t="shared" si="18"/>
        <v>-4</v>
      </c>
      <c r="K223" s="152">
        <f t="shared" si="15"/>
        <v>-40</v>
      </c>
      <c r="L223" s="152"/>
      <c r="M223" s="154">
        <f t="shared" si="16"/>
        <v>0</v>
      </c>
    </row>
    <row r="224" spans="1:13" x14ac:dyDescent="0.25">
      <c r="A224" s="168"/>
      <c r="G224" s="138"/>
      <c r="H224" s="152">
        <v>219</v>
      </c>
      <c r="I224" s="153" t="str">
        <f t="shared" si="17"/>
        <v/>
      </c>
      <c r="J224" s="152">
        <f t="shared" si="18"/>
        <v>-4</v>
      </c>
      <c r="K224" s="152">
        <f t="shared" si="15"/>
        <v>-40</v>
      </c>
      <c r="L224" s="152"/>
      <c r="M224" s="154">
        <f t="shared" si="16"/>
        <v>0</v>
      </c>
    </row>
    <row r="225" spans="1:13" x14ac:dyDescent="0.25">
      <c r="A225" s="168"/>
      <c r="G225" s="138"/>
      <c r="H225" s="152">
        <v>220</v>
      </c>
      <c r="I225" s="153" t="str">
        <f t="shared" si="17"/>
        <v/>
      </c>
      <c r="J225" s="152">
        <f t="shared" si="18"/>
        <v>-4</v>
      </c>
      <c r="K225" s="152">
        <f t="shared" si="15"/>
        <v>-40</v>
      </c>
      <c r="L225" s="152"/>
      <c r="M225" s="154">
        <f t="shared" si="16"/>
        <v>0</v>
      </c>
    </row>
    <row r="226" spans="1:13" x14ac:dyDescent="0.25">
      <c r="A226" s="168"/>
      <c r="G226" s="138"/>
      <c r="H226" s="152">
        <v>221</v>
      </c>
      <c r="I226" s="153" t="str">
        <f t="shared" si="17"/>
        <v/>
      </c>
      <c r="J226" s="152">
        <f t="shared" si="18"/>
        <v>-4</v>
      </c>
      <c r="K226" s="152">
        <f t="shared" si="15"/>
        <v>-40</v>
      </c>
      <c r="L226" s="152"/>
      <c r="M226" s="154">
        <f t="shared" si="16"/>
        <v>0</v>
      </c>
    </row>
    <row r="227" spans="1:13" x14ac:dyDescent="0.25">
      <c r="A227" s="168"/>
      <c r="G227" s="138"/>
      <c r="H227" s="152">
        <v>222</v>
      </c>
      <c r="I227" s="153" t="str">
        <f t="shared" si="17"/>
        <v/>
      </c>
      <c r="J227" s="152">
        <f t="shared" si="18"/>
        <v>-4</v>
      </c>
      <c r="K227" s="152">
        <f t="shared" si="15"/>
        <v>-40</v>
      </c>
      <c r="L227" s="152"/>
      <c r="M227" s="154">
        <f t="shared" si="16"/>
        <v>0</v>
      </c>
    </row>
    <row r="228" spans="1:13" x14ac:dyDescent="0.25">
      <c r="A228" s="168"/>
      <c r="G228" s="138"/>
      <c r="H228" s="152">
        <v>223</v>
      </c>
      <c r="I228" s="153" t="str">
        <f t="shared" si="17"/>
        <v/>
      </c>
      <c r="J228" s="152">
        <f t="shared" si="18"/>
        <v>-4</v>
      </c>
      <c r="K228" s="152">
        <f t="shared" si="15"/>
        <v>-40</v>
      </c>
      <c r="L228" s="152"/>
      <c r="M228" s="154">
        <f t="shared" si="16"/>
        <v>0</v>
      </c>
    </row>
    <row r="229" spans="1:13" x14ac:dyDescent="0.25">
      <c r="A229" s="168"/>
      <c r="G229" s="138"/>
      <c r="H229" s="152">
        <v>224</v>
      </c>
      <c r="I229" s="153" t="str">
        <f t="shared" si="17"/>
        <v/>
      </c>
      <c r="J229" s="152">
        <f t="shared" si="18"/>
        <v>-4</v>
      </c>
      <c r="K229" s="152">
        <f t="shared" si="15"/>
        <v>-40</v>
      </c>
      <c r="L229" s="152"/>
      <c r="M229" s="154">
        <f t="shared" si="16"/>
        <v>0</v>
      </c>
    </row>
    <row r="230" spans="1:13" x14ac:dyDescent="0.25">
      <c r="A230" s="168"/>
      <c r="G230" s="138"/>
      <c r="H230" s="152">
        <v>225</v>
      </c>
      <c r="I230" s="153" t="str">
        <f t="shared" si="17"/>
        <v/>
      </c>
      <c r="J230" s="152">
        <f t="shared" si="18"/>
        <v>-4</v>
      </c>
      <c r="K230" s="152">
        <f t="shared" si="15"/>
        <v>-40</v>
      </c>
      <c r="L230" s="152"/>
      <c r="M230" s="154">
        <f t="shared" si="16"/>
        <v>0</v>
      </c>
    </row>
    <row r="231" spans="1:13" x14ac:dyDescent="0.25">
      <c r="A231" s="168"/>
      <c r="G231" s="138"/>
      <c r="H231" s="152">
        <v>226</v>
      </c>
      <c r="I231" s="153" t="str">
        <f t="shared" si="17"/>
        <v/>
      </c>
      <c r="J231" s="152">
        <f t="shared" si="18"/>
        <v>-4</v>
      </c>
      <c r="K231" s="152">
        <f t="shared" si="15"/>
        <v>-40</v>
      </c>
      <c r="L231" s="152"/>
      <c r="M231" s="154">
        <f t="shared" si="16"/>
        <v>0</v>
      </c>
    </row>
    <row r="232" spans="1:13" x14ac:dyDescent="0.25">
      <c r="A232" s="168"/>
      <c r="G232" s="138"/>
      <c r="H232" s="152">
        <v>227</v>
      </c>
      <c r="I232" s="153" t="str">
        <f t="shared" si="17"/>
        <v/>
      </c>
      <c r="J232" s="152">
        <f t="shared" si="18"/>
        <v>-4</v>
      </c>
      <c r="K232" s="152">
        <f t="shared" si="15"/>
        <v>-40</v>
      </c>
      <c r="L232" s="152"/>
      <c r="M232" s="154">
        <f t="shared" si="16"/>
        <v>0</v>
      </c>
    </row>
    <row r="233" spans="1:13" x14ac:dyDescent="0.25">
      <c r="A233" s="168"/>
      <c r="G233" s="138"/>
      <c r="H233" s="152">
        <v>228</v>
      </c>
      <c r="I233" s="153" t="str">
        <f t="shared" si="17"/>
        <v/>
      </c>
      <c r="J233" s="152">
        <f t="shared" si="18"/>
        <v>-4</v>
      </c>
      <c r="K233" s="152">
        <f t="shared" si="15"/>
        <v>-40</v>
      </c>
      <c r="L233" s="152"/>
      <c r="M233" s="154">
        <f t="shared" si="16"/>
        <v>0</v>
      </c>
    </row>
    <row r="234" spans="1:13" x14ac:dyDescent="0.25">
      <c r="A234" s="168"/>
      <c r="G234" s="138"/>
      <c r="H234" s="152">
        <v>229</v>
      </c>
      <c r="I234" s="153" t="str">
        <f t="shared" si="17"/>
        <v/>
      </c>
      <c r="J234" s="152">
        <f t="shared" si="18"/>
        <v>-4</v>
      </c>
      <c r="K234" s="152">
        <f t="shared" si="15"/>
        <v>-40</v>
      </c>
      <c r="L234" s="152"/>
      <c r="M234" s="154">
        <f t="shared" si="16"/>
        <v>0</v>
      </c>
    </row>
    <row r="235" spans="1:13" x14ac:dyDescent="0.25">
      <c r="A235" s="168"/>
      <c r="G235" s="138"/>
      <c r="H235" s="152">
        <v>230</v>
      </c>
      <c r="I235" s="153" t="str">
        <f t="shared" si="17"/>
        <v/>
      </c>
      <c r="J235" s="152">
        <f t="shared" si="18"/>
        <v>-4</v>
      </c>
      <c r="K235" s="152">
        <f t="shared" si="15"/>
        <v>-40</v>
      </c>
      <c r="L235" s="152"/>
      <c r="M235" s="154">
        <f t="shared" si="16"/>
        <v>0</v>
      </c>
    </row>
    <row r="236" spans="1:13" x14ac:dyDescent="0.25">
      <c r="A236" s="168"/>
      <c r="G236" s="138"/>
      <c r="H236" s="152">
        <v>231</v>
      </c>
      <c r="I236" s="153" t="str">
        <f t="shared" si="17"/>
        <v/>
      </c>
      <c r="J236" s="152">
        <f t="shared" si="18"/>
        <v>-4</v>
      </c>
      <c r="K236" s="152">
        <f t="shared" si="15"/>
        <v>-40</v>
      </c>
      <c r="L236" s="152"/>
      <c r="M236" s="154">
        <f t="shared" si="16"/>
        <v>0</v>
      </c>
    </row>
    <row r="237" spans="1:13" x14ac:dyDescent="0.25">
      <c r="A237" s="168"/>
      <c r="G237" s="138"/>
      <c r="H237" s="152">
        <v>232</v>
      </c>
      <c r="I237" s="153" t="str">
        <f t="shared" si="17"/>
        <v/>
      </c>
      <c r="J237" s="152">
        <f t="shared" si="18"/>
        <v>-4</v>
      </c>
      <c r="K237" s="152">
        <f t="shared" si="15"/>
        <v>-40</v>
      </c>
      <c r="L237" s="152"/>
      <c r="M237" s="154">
        <f t="shared" si="16"/>
        <v>0</v>
      </c>
    </row>
    <row r="238" spans="1:13" x14ac:dyDescent="0.25">
      <c r="A238" s="168"/>
      <c r="G238" s="138"/>
      <c r="H238" s="152">
        <v>233</v>
      </c>
      <c r="I238" s="153" t="str">
        <f t="shared" si="17"/>
        <v/>
      </c>
      <c r="J238" s="152">
        <f t="shared" si="18"/>
        <v>-4</v>
      </c>
      <c r="K238" s="152">
        <f t="shared" si="15"/>
        <v>-40</v>
      </c>
      <c r="L238" s="152"/>
      <c r="M238" s="154">
        <f t="shared" si="16"/>
        <v>0</v>
      </c>
    </row>
    <row r="239" spans="1:13" x14ac:dyDescent="0.25">
      <c r="A239" s="168"/>
      <c r="G239" s="138"/>
      <c r="H239" s="152">
        <v>234</v>
      </c>
      <c r="I239" s="153" t="str">
        <f t="shared" si="17"/>
        <v/>
      </c>
      <c r="J239" s="152">
        <f t="shared" si="18"/>
        <v>-4</v>
      </c>
      <c r="K239" s="152">
        <f t="shared" si="15"/>
        <v>-40</v>
      </c>
      <c r="L239" s="152"/>
      <c r="M239" s="154">
        <f t="shared" si="16"/>
        <v>0</v>
      </c>
    </row>
    <row r="240" spans="1:13" x14ac:dyDescent="0.25">
      <c r="A240" s="168"/>
      <c r="G240" s="138"/>
      <c r="H240" s="152">
        <v>235</v>
      </c>
      <c r="I240" s="153" t="str">
        <f t="shared" si="17"/>
        <v/>
      </c>
      <c r="J240" s="152">
        <f t="shared" si="18"/>
        <v>-4</v>
      </c>
      <c r="K240" s="152">
        <f t="shared" si="15"/>
        <v>-40</v>
      </c>
      <c r="L240" s="152"/>
      <c r="M240" s="154">
        <f t="shared" si="16"/>
        <v>0</v>
      </c>
    </row>
    <row r="241" spans="1:13" x14ac:dyDescent="0.25">
      <c r="A241" s="168"/>
      <c r="G241" s="138"/>
      <c r="H241" s="152">
        <v>236</v>
      </c>
      <c r="I241" s="153" t="str">
        <f t="shared" si="17"/>
        <v/>
      </c>
      <c r="J241" s="152">
        <f t="shared" si="18"/>
        <v>-4</v>
      </c>
      <c r="K241" s="152">
        <f t="shared" si="15"/>
        <v>-40</v>
      </c>
      <c r="L241" s="152"/>
      <c r="M241" s="154">
        <f t="shared" si="16"/>
        <v>0</v>
      </c>
    </row>
    <row r="242" spans="1:13" x14ac:dyDescent="0.25">
      <c r="A242" s="168"/>
      <c r="G242" s="138"/>
      <c r="H242" s="152">
        <v>237</v>
      </c>
      <c r="I242" s="153" t="str">
        <f t="shared" si="17"/>
        <v/>
      </c>
      <c r="J242" s="152">
        <f t="shared" si="18"/>
        <v>-4</v>
      </c>
      <c r="K242" s="152">
        <f t="shared" si="15"/>
        <v>-40</v>
      </c>
      <c r="L242" s="152"/>
      <c r="M242" s="154">
        <f t="shared" si="16"/>
        <v>0</v>
      </c>
    </row>
    <row r="243" spans="1:13" x14ac:dyDescent="0.25">
      <c r="A243" s="168"/>
      <c r="G243" s="138"/>
      <c r="H243" s="152">
        <v>238</v>
      </c>
      <c r="I243" s="153" t="str">
        <f t="shared" si="17"/>
        <v/>
      </c>
      <c r="J243" s="152">
        <f t="shared" si="18"/>
        <v>-4</v>
      </c>
      <c r="K243" s="152">
        <f t="shared" si="15"/>
        <v>-40</v>
      </c>
      <c r="L243" s="152"/>
      <c r="M243" s="154">
        <f t="shared" si="16"/>
        <v>0</v>
      </c>
    </row>
    <row r="244" spans="1:13" x14ac:dyDescent="0.25">
      <c r="A244" s="168"/>
      <c r="G244" s="138"/>
      <c r="H244" s="152">
        <v>239</v>
      </c>
      <c r="I244" s="153" t="str">
        <f t="shared" si="17"/>
        <v/>
      </c>
      <c r="J244" s="152">
        <f t="shared" si="18"/>
        <v>-4</v>
      </c>
      <c r="K244" s="152">
        <f t="shared" si="15"/>
        <v>-40</v>
      </c>
      <c r="L244" s="152"/>
      <c r="M244" s="154">
        <f t="shared" si="16"/>
        <v>0</v>
      </c>
    </row>
    <row r="245" spans="1:13" x14ac:dyDescent="0.25">
      <c r="A245" s="168"/>
      <c r="G245" s="138"/>
      <c r="H245" s="152">
        <v>240</v>
      </c>
      <c r="I245" s="153" t="str">
        <f t="shared" si="17"/>
        <v/>
      </c>
      <c r="J245" s="152">
        <f t="shared" si="18"/>
        <v>-4</v>
      </c>
      <c r="K245" s="152">
        <f t="shared" si="15"/>
        <v>-40</v>
      </c>
      <c r="L245" s="152"/>
      <c r="M245" s="154">
        <f t="shared" si="16"/>
        <v>0</v>
      </c>
    </row>
    <row r="246" spans="1:13" x14ac:dyDescent="0.25">
      <c r="A246" s="168"/>
      <c r="G246" s="138"/>
      <c r="H246" s="152">
        <v>241</v>
      </c>
      <c r="I246" s="153" t="str">
        <f t="shared" si="17"/>
        <v/>
      </c>
      <c r="J246" s="152">
        <f t="shared" si="18"/>
        <v>-4</v>
      </c>
      <c r="K246" s="152">
        <f t="shared" si="15"/>
        <v>-40</v>
      </c>
      <c r="L246" s="152"/>
      <c r="M246" s="154">
        <f t="shared" si="16"/>
        <v>0</v>
      </c>
    </row>
    <row r="247" spans="1:13" x14ac:dyDescent="0.25">
      <c r="A247" s="168"/>
      <c r="G247" s="138"/>
      <c r="H247" s="152">
        <v>242</v>
      </c>
      <c r="I247" s="153" t="str">
        <f t="shared" si="17"/>
        <v/>
      </c>
      <c r="J247" s="152">
        <f t="shared" si="18"/>
        <v>-4</v>
      </c>
      <c r="K247" s="152">
        <f t="shared" si="15"/>
        <v>-40</v>
      </c>
      <c r="L247" s="152"/>
      <c r="M247" s="154">
        <f t="shared" si="16"/>
        <v>0</v>
      </c>
    </row>
    <row r="248" spans="1:13" x14ac:dyDescent="0.25">
      <c r="A248" s="168"/>
      <c r="G248" s="138"/>
      <c r="H248" s="152">
        <v>243</v>
      </c>
      <c r="I248" s="153" t="str">
        <f t="shared" si="17"/>
        <v/>
      </c>
      <c r="J248" s="152">
        <f t="shared" si="18"/>
        <v>-4</v>
      </c>
      <c r="K248" s="152">
        <f t="shared" si="15"/>
        <v>-40</v>
      </c>
      <c r="L248" s="152"/>
      <c r="M248" s="154">
        <f t="shared" si="16"/>
        <v>0</v>
      </c>
    </row>
    <row r="249" spans="1:13" x14ac:dyDescent="0.25">
      <c r="A249" s="168"/>
      <c r="G249" s="138"/>
      <c r="H249" s="152">
        <v>244</v>
      </c>
      <c r="I249" s="153" t="str">
        <f t="shared" si="17"/>
        <v/>
      </c>
      <c r="J249" s="152">
        <f t="shared" si="18"/>
        <v>-4</v>
      </c>
      <c r="K249" s="152">
        <f t="shared" si="15"/>
        <v>-40</v>
      </c>
      <c r="L249" s="152"/>
      <c r="M249" s="154">
        <f t="shared" si="16"/>
        <v>0</v>
      </c>
    </row>
    <row r="250" spans="1:13" x14ac:dyDescent="0.25">
      <c r="A250" s="168"/>
      <c r="G250" s="138"/>
      <c r="H250" s="152">
        <v>245</v>
      </c>
      <c r="I250" s="153" t="str">
        <f t="shared" si="17"/>
        <v/>
      </c>
      <c r="J250" s="152">
        <f t="shared" si="18"/>
        <v>-4</v>
      </c>
      <c r="K250" s="152">
        <f t="shared" si="15"/>
        <v>-40</v>
      </c>
      <c r="L250" s="152"/>
      <c r="M250" s="154">
        <f t="shared" si="16"/>
        <v>0</v>
      </c>
    </row>
    <row r="251" spans="1:13" x14ac:dyDescent="0.25">
      <c r="A251" s="168"/>
      <c r="G251" s="138"/>
      <c r="H251" s="152">
        <v>246</v>
      </c>
      <c r="I251" s="153" t="str">
        <f t="shared" si="17"/>
        <v/>
      </c>
      <c r="J251" s="152">
        <f t="shared" si="18"/>
        <v>-4</v>
      </c>
      <c r="K251" s="152">
        <f t="shared" si="15"/>
        <v>-40</v>
      </c>
      <c r="L251" s="152"/>
      <c r="M251" s="154">
        <f t="shared" si="16"/>
        <v>0</v>
      </c>
    </row>
    <row r="252" spans="1:13" x14ac:dyDescent="0.25">
      <c r="A252" s="168"/>
      <c r="G252" s="138"/>
      <c r="H252" s="152">
        <v>247</v>
      </c>
      <c r="I252" s="153" t="str">
        <f t="shared" si="17"/>
        <v/>
      </c>
      <c r="J252" s="152">
        <f t="shared" si="18"/>
        <v>-4</v>
      </c>
      <c r="K252" s="152">
        <f t="shared" si="15"/>
        <v>-40</v>
      </c>
      <c r="L252" s="152"/>
      <c r="M252" s="154">
        <f t="shared" si="16"/>
        <v>0</v>
      </c>
    </row>
    <row r="253" spans="1:13" x14ac:dyDescent="0.25">
      <c r="A253" s="168"/>
      <c r="G253" s="138"/>
      <c r="H253" s="152">
        <v>248</v>
      </c>
      <c r="I253" s="153" t="str">
        <f t="shared" si="17"/>
        <v/>
      </c>
      <c r="J253" s="152">
        <f t="shared" si="18"/>
        <v>-4</v>
      </c>
      <c r="K253" s="152">
        <f t="shared" si="15"/>
        <v>-40</v>
      </c>
      <c r="L253" s="152"/>
      <c r="M253" s="154">
        <f t="shared" si="16"/>
        <v>0</v>
      </c>
    </row>
    <row r="254" spans="1:13" x14ac:dyDescent="0.25">
      <c r="A254" s="168"/>
      <c r="G254" s="138"/>
      <c r="H254" s="152">
        <v>249</v>
      </c>
      <c r="I254" s="153" t="str">
        <f t="shared" si="17"/>
        <v/>
      </c>
      <c r="J254" s="152">
        <f t="shared" si="18"/>
        <v>-4</v>
      </c>
      <c r="K254" s="152">
        <f t="shared" si="15"/>
        <v>-40</v>
      </c>
      <c r="L254" s="152"/>
      <c r="M254" s="154">
        <f t="shared" si="16"/>
        <v>0</v>
      </c>
    </row>
    <row r="255" spans="1:13" x14ac:dyDescent="0.25">
      <c r="A255" s="168"/>
      <c r="G255" s="138"/>
      <c r="H255" s="152">
        <v>250</v>
      </c>
      <c r="I255" s="153" t="str">
        <f t="shared" si="17"/>
        <v/>
      </c>
      <c r="J255" s="152">
        <f t="shared" si="18"/>
        <v>-4</v>
      </c>
      <c r="K255" s="152">
        <f t="shared" si="15"/>
        <v>-40</v>
      </c>
      <c r="L255" s="152"/>
      <c r="M255" s="154">
        <f t="shared" si="16"/>
        <v>0</v>
      </c>
    </row>
    <row r="256" spans="1:13" x14ac:dyDescent="0.25">
      <c r="A256" s="168"/>
      <c r="G256" s="138"/>
      <c r="H256" s="152">
        <v>251</v>
      </c>
      <c r="I256" s="153" t="str">
        <f t="shared" si="17"/>
        <v/>
      </c>
      <c r="J256" s="152">
        <f t="shared" si="18"/>
        <v>-4</v>
      </c>
      <c r="K256" s="152">
        <f t="shared" si="15"/>
        <v>-40</v>
      </c>
      <c r="L256" s="152"/>
      <c r="M256" s="154">
        <f t="shared" si="16"/>
        <v>0</v>
      </c>
    </row>
    <row r="257" spans="1:13" x14ac:dyDescent="0.25">
      <c r="A257" s="168"/>
      <c r="G257" s="138"/>
      <c r="H257" s="152">
        <v>252</v>
      </c>
      <c r="I257" s="153" t="str">
        <f t="shared" si="17"/>
        <v/>
      </c>
      <c r="J257" s="152">
        <f t="shared" si="18"/>
        <v>-4</v>
      </c>
      <c r="K257" s="152">
        <f t="shared" si="15"/>
        <v>-40</v>
      </c>
      <c r="L257" s="152"/>
      <c r="M257" s="154">
        <f t="shared" si="16"/>
        <v>0</v>
      </c>
    </row>
    <row r="258" spans="1:13" x14ac:dyDescent="0.25">
      <c r="A258" s="168"/>
      <c r="G258" s="138"/>
      <c r="H258" s="152">
        <v>253</v>
      </c>
      <c r="I258" s="153" t="str">
        <f t="shared" si="17"/>
        <v/>
      </c>
      <c r="J258" s="152">
        <f t="shared" si="18"/>
        <v>-4</v>
      </c>
      <c r="K258" s="152">
        <f t="shared" si="15"/>
        <v>-40</v>
      </c>
      <c r="L258" s="152"/>
      <c r="M258" s="154">
        <f t="shared" si="16"/>
        <v>0</v>
      </c>
    </row>
    <row r="259" spans="1:13" x14ac:dyDescent="0.25">
      <c r="A259" s="168"/>
      <c r="G259" s="138"/>
      <c r="H259" s="152">
        <v>254</v>
      </c>
      <c r="I259" s="153" t="str">
        <f t="shared" si="17"/>
        <v/>
      </c>
      <c r="J259" s="152">
        <f t="shared" si="18"/>
        <v>-4</v>
      </c>
      <c r="K259" s="152">
        <f t="shared" si="15"/>
        <v>-40</v>
      </c>
      <c r="L259" s="152"/>
      <c r="M259" s="154">
        <f t="shared" si="16"/>
        <v>0</v>
      </c>
    </row>
    <row r="260" spans="1:13" x14ac:dyDescent="0.25">
      <c r="A260" s="168"/>
      <c r="G260" s="138"/>
      <c r="H260" s="152">
        <v>255</v>
      </c>
      <c r="I260" s="153" t="str">
        <f t="shared" si="17"/>
        <v/>
      </c>
      <c r="J260" s="152">
        <f t="shared" si="18"/>
        <v>-4</v>
      </c>
      <c r="K260" s="152">
        <f t="shared" si="15"/>
        <v>-40</v>
      </c>
      <c r="L260" s="152"/>
      <c r="M260" s="154">
        <f t="shared" si="16"/>
        <v>0</v>
      </c>
    </row>
    <row r="261" spans="1:13" x14ac:dyDescent="0.25">
      <c r="A261" s="168"/>
      <c r="G261" s="138"/>
      <c r="H261" s="152">
        <v>256</v>
      </c>
      <c r="I261" s="153" t="str">
        <f t="shared" si="17"/>
        <v/>
      </c>
      <c r="J261" s="152">
        <f t="shared" si="18"/>
        <v>-4</v>
      </c>
      <c r="K261" s="152">
        <f t="shared" si="15"/>
        <v>-40</v>
      </c>
      <c r="L261" s="152"/>
      <c r="M261" s="154">
        <f t="shared" si="16"/>
        <v>0</v>
      </c>
    </row>
    <row r="262" spans="1:13" x14ac:dyDescent="0.25">
      <c r="A262" s="168"/>
      <c r="G262" s="138"/>
      <c r="H262" s="152">
        <v>257</v>
      </c>
      <c r="I262" s="153" t="str">
        <f t="shared" si="17"/>
        <v/>
      </c>
      <c r="J262" s="152">
        <f t="shared" si="18"/>
        <v>-5</v>
      </c>
      <c r="K262" s="152">
        <f t="shared" ref="K262:K305" si="19">J262*$J$2</f>
        <v>-50</v>
      </c>
      <c r="L262" s="152"/>
      <c r="M262" s="154">
        <f t="shared" ref="M262:M305" si="20">IF(I262&lt;&gt;"",K262+I262+L262,0)</f>
        <v>0</v>
      </c>
    </row>
    <row r="263" spans="1:13" x14ac:dyDescent="0.25">
      <c r="A263" s="168"/>
      <c r="G263" s="138"/>
      <c r="H263" s="152">
        <v>258</v>
      </c>
      <c r="I263" s="153" t="str">
        <f t="shared" ref="I263:I305" si="21">IF(H263&lt;$H$2+1,($I$2-($I$2-1)*(LOG(H263)/LOG($H$2))),"")</f>
        <v/>
      </c>
      <c r="J263" s="152">
        <f t="shared" ref="J263:J305" si="22">INT(LOG($H$2,2))-ROUNDUP(LOG(H263,2),0)+IF(OR($H$2=1,$H$2=2,$H$2=4,$H$2=8,$H$2=16,$H$2=32,$H$2=64,$H$2=128,$H$2=256),0,1)</f>
        <v>-5</v>
      </c>
      <c r="K263" s="152">
        <f t="shared" si="19"/>
        <v>-50</v>
      </c>
      <c r="L263" s="152"/>
      <c r="M263" s="154">
        <f t="shared" si="20"/>
        <v>0</v>
      </c>
    </row>
    <row r="264" spans="1:13" x14ac:dyDescent="0.25">
      <c r="A264" s="168"/>
      <c r="G264" s="138"/>
      <c r="H264" s="152">
        <v>259</v>
      </c>
      <c r="I264" s="153" t="str">
        <f t="shared" si="21"/>
        <v/>
      </c>
      <c r="J264" s="152">
        <f t="shared" si="22"/>
        <v>-5</v>
      </c>
      <c r="K264" s="152">
        <f t="shared" si="19"/>
        <v>-50</v>
      </c>
      <c r="L264" s="152"/>
      <c r="M264" s="154">
        <f t="shared" si="20"/>
        <v>0</v>
      </c>
    </row>
    <row r="265" spans="1:13" x14ac:dyDescent="0.25">
      <c r="A265" s="168"/>
      <c r="G265" s="138"/>
      <c r="H265" s="152">
        <v>260</v>
      </c>
      <c r="I265" s="153" t="str">
        <f t="shared" si="21"/>
        <v/>
      </c>
      <c r="J265" s="152">
        <f t="shared" si="22"/>
        <v>-5</v>
      </c>
      <c r="K265" s="152">
        <f t="shared" si="19"/>
        <v>-50</v>
      </c>
      <c r="L265" s="152"/>
      <c r="M265" s="154">
        <f t="shared" si="20"/>
        <v>0</v>
      </c>
    </row>
    <row r="266" spans="1:13" x14ac:dyDescent="0.25">
      <c r="A266" s="168"/>
      <c r="G266" s="138"/>
      <c r="H266" s="152">
        <v>261</v>
      </c>
      <c r="I266" s="153" t="str">
        <f t="shared" si="21"/>
        <v/>
      </c>
      <c r="J266" s="152">
        <f t="shared" si="22"/>
        <v>-5</v>
      </c>
      <c r="K266" s="152">
        <f t="shared" si="19"/>
        <v>-50</v>
      </c>
      <c r="L266" s="152"/>
      <c r="M266" s="154">
        <f t="shared" si="20"/>
        <v>0</v>
      </c>
    </row>
    <row r="267" spans="1:13" x14ac:dyDescent="0.25">
      <c r="A267" s="168"/>
      <c r="G267" s="138"/>
      <c r="H267" s="152">
        <v>262</v>
      </c>
      <c r="I267" s="153" t="str">
        <f t="shared" si="21"/>
        <v/>
      </c>
      <c r="J267" s="152">
        <f t="shared" si="22"/>
        <v>-5</v>
      </c>
      <c r="K267" s="152">
        <f t="shared" si="19"/>
        <v>-50</v>
      </c>
      <c r="L267" s="152"/>
      <c r="M267" s="154">
        <f t="shared" si="20"/>
        <v>0</v>
      </c>
    </row>
    <row r="268" spans="1:13" x14ac:dyDescent="0.25">
      <c r="A268" s="168"/>
      <c r="G268" s="138"/>
      <c r="H268" s="152">
        <v>263</v>
      </c>
      <c r="I268" s="153" t="str">
        <f t="shared" si="21"/>
        <v/>
      </c>
      <c r="J268" s="152">
        <f t="shared" si="22"/>
        <v>-5</v>
      </c>
      <c r="K268" s="152">
        <f t="shared" si="19"/>
        <v>-50</v>
      </c>
      <c r="L268" s="152"/>
      <c r="M268" s="154">
        <f t="shared" si="20"/>
        <v>0</v>
      </c>
    </row>
    <row r="269" spans="1:13" x14ac:dyDescent="0.25">
      <c r="A269" s="168"/>
      <c r="G269" s="138"/>
      <c r="H269" s="152">
        <v>264</v>
      </c>
      <c r="I269" s="153" t="str">
        <f t="shared" si="21"/>
        <v/>
      </c>
      <c r="J269" s="152">
        <f t="shared" si="22"/>
        <v>-5</v>
      </c>
      <c r="K269" s="152">
        <f t="shared" si="19"/>
        <v>-50</v>
      </c>
      <c r="L269" s="152"/>
      <c r="M269" s="154">
        <f t="shared" si="20"/>
        <v>0</v>
      </c>
    </row>
    <row r="270" spans="1:13" x14ac:dyDescent="0.25">
      <c r="A270" s="168"/>
      <c r="G270" s="138"/>
      <c r="H270" s="152">
        <v>265</v>
      </c>
      <c r="I270" s="153" t="str">
        <f t="shared" si="21"/>
        <v/>
      </c>
      <c r="J270" s="152">
        <f t="shared" si="22"/>
        <v>-5</v>
      </c>
      <c r="K270" s="152">
        <f t="shared" si="19"/>
        <v>-50</v>
      </c>
      <c r="L270" s="152"/>
      <c r="M270" s="154">
        <f t="shared" si="20"/>
        <v>0</v>
      </c>
    </row>
    <row r="271" spans="1:13" x14ac:dyDescent="0.25">
      <c r="A271" s="168"/>
      <c r="G271" s="138"/>
      <c r="H271" s="152">
        <v>266</v>
      </c>
      <c r="I271" s="153" t="str">
        <f t="shared" si="21"/>
        <v/>
      </c>
      <c r="J271" s="152">
        <f t="shared" si="22"/>
        <v>-5</v>
      </c>
      <c r="K271" s="152">
        <f t="shared" si="19"/>
        <v>-50</v>
      </c>
      <c r="L271" s="152"/>
      <c r="M271" s="154">
        <f t="shared" si="20"/>
        <v>0</v>
      </c>
    </row>
    <row r="272" spans="1:13" x14ac:dyDescent="0.25">
      <c r="A272" s="168"/>
      <c r="G272" s="138"/>
      <c r="H272" s="152">
        <v>267</v>
      </c>
      <c r="I272" s="153" t="str">
        <f t="shared" si="21"/>
        <v/>
      </c>
      <c r="J272" s="152">
        <f t="shared" si="22"/>
        <v>-5</v>
      </c>
      <c r="K272" s="152">
        <f t="shared" si="19"/>
        <v>-50</v>
      </c>
      <c r="L272" s="152"/>
      <c r="M272" s="154">
        <f t="shared" si="20"/>
        <v>0</v>
      </c>
    </row>
    <row r="273" spans="1:13" x14ac:dyDescent="0.25">
      <c r="A273" s="168"/>
      <c r="G273" s="138"/>
      <c r="H273" s="152">
        <v>268</v>
      </c>
      <c r="I273" s="153" t="str">
        <f t="shared" si="21"/>
        <v/>
      </c>
      <c r="J273" s="152">
        <f t="shared" si="22"/>
        <v>-5</v>
      </c>
      <c r="K273" s="152">
        <f t="shared" si="19"/>
        <v>-50</v>
      </c>
      <c r="L273" s="152"/>
      <c r="M273" s="154">
        <f t="shared" si="20"/>
        <v>0</v>
      </c>
    </row>
    <row r="274" spans="1:13" x14ac:dyDescent="0.25">
      <c r="A274" s="168"/>
      <c r="G274" s="138"/>
      <c r="H274" s="152">
        <v>269</v>
      </c>
      <c r="I274" s="153" t="str">
        <f t="shared" si="21"/>
        <v/>
      </c>
      <c r="J274" s="152">
        <f t="shared" si="22"/>
        <v>-5</v>
      </c>
      <c r="K274" s="152">
        <f t="shared" si="19"/>
        <v>-50</v>
      </c>
      <c r="L274" s="152"/>
      <c r="M274" s="154">
        <f t="shared" si="20"/>
        <v>0</v>
      </c>
    </row>
    <row r="275" spans="1:13" x14ac:dyDescent="0.25">
      <c r="A275" s="168"/>
      <c r="G275" s="138"/>
      <c r="H275" s="152">
        <v>270</v>
      </c>
      <c r="I275" s="153" t="str">
        <f t="shared" si="21"/>
        <v/>
      </c>
      <c r="J275" s="152">
        <f t="shared" si="22"/>
        <v>-5</v>
      </c>
      <c r="K275" s="152">
        <f t="shared" si="19"/>
        <v>-50</v>
      </c>
      <c r="L275" s="152"/>
      <c r="M275" s="154">
        <f t="shared" si="20"/>
        <v>0</v>
      </c>
    </row>
    <row r="276" spans="1:13" x14ac:dyDescent="0.25">
      <c r="A276" s="168"/>
      <c r="G276" s="138"/>
      <c r="H276" s="152">
        <v>271</v>
      </c>
      <c r="I276" s="153" t="str">
        <f t="shared" si="21"/>
        <v/>
      </c>
      <c r="J276" s="152">
        <f t="shared" si="22"/>
        <v>-5</v>
      </c>
      <c r="K276" s="152">
        <f t="shared" si="19"/>
        <v>-50</v>
      </c>
      <c r="L276" s="152"/>
      <c r="M276" s="154">
        <f t="shared" si="20"/>
        <v>0</v>
      </c>
    </row>
    <row r="277" spans="1:13" x14ac:dyDescent="0.25">
      <c r="A277" s="168"/>
      <c r="G277" s="138"/>
      <c r="H277" s="152">
        <v>272</v>
      </c>
      <c r="I277" s="153" t="str">
        <f t="shared" si="21"/>
        <v/>
      </c>
      <c r="J277" s="152">
        <f t="shared" si="22"/>
        <v>-5</v>
      </c>
      <c r="K277" s="152">
        <f t="shared" si="19"/>
        <v>-50</v>
      </c>
      <c r="L277" s="152"/>
      <c r="M277" s="154">
        <f t="shared" si="20"/>
        <v>0</v>
      </c>
    </row>
    <row r="278" spans="1:13" x14ac:dyDescent="0.25">
      <c r="A278" s="168"/>
      <c r="G278" s="138"/>
      <c r="H278" s="152">
        <v>273</v>
      </c>
      <c r="I278" s="153" t="str">
        <f t="shared" si="21"/>
        <v/>
      </c>
      <c r="J278" s="152">
        <f t="shared" si="22"/>
        <v>-5</v>
      </c>
      <c r="K278" s="152">
        <f t="shared" si="19"/>
        <v>-50</v>
      </c>
      <c r="L278" s="152"/>
      <c r="M278" s="154">
        <f t="shared" si="20"/>
        <v>0</v>
      </c>
    </row>
    <row r="279" spans="1:13" x14ac:dyDescent="0.25">
      <c r="A279" s="168"/>
      <c r="G279" s="138"/>
      <c r="H279" s="152">
        <v>274</v>
      </c>
      <c r="I279" s="153" t="str">
        <f t="shared" si="21"/>
        <v/>
      </c>
      <c r="J279" s="152">
        <f t="shared" si="22"/>
        <v>-5</v>
      </c>
      <c r="K279" s="152">
        <f t="shared" si="19"/>
        <v>-50</v>
      </c>
      <c r="L279" s="152"/>
      <c r="M279" s="154">
        <f t="shared" si="20"/>
        <v>0</v>
      </c>
    </row>
    <row r="280" spans="1:13" x14ac:dyDescent="0.25">
      <c r="A280" s="168"/>
      <c r="G280" s="138"/>
      <c r="H280" s="152">
        <v>275</v>
      </c>
      <c r="I280" s="153" t="str">
        <f t="shared" si="21"/>
        <v/>
      </c>
      <c r="J280" s="152">
        <f t="shared" si="22"/>
        <v>-5</v>
      </c>
      <c r="K280" s="152">
        <f t="shared" si="19"/>
        <v>-50</v>
      </c>
      <c r="L280" s="152"/>
      <c r="M280" s="154">
        <f t="shared" si="20"/>
        <v>0</v>
      </c>
    </row>
    <row r="281" spans="1:13" x14ac:dyDescent="0.25">
      <c r="A281" s="168"/>
      <c r="G281" s="138"/>
      <c r="H281" s="152">
        <v>276</v>
      </c>
      <c r="I281" s="153" t="str">
        <f t="shared" si="21"/>
        <v/>
      </c>
      <c r="J281" s="152">
        <f t="shared" si="22"/>
        <v>-5</v>
      </c>
      <c r="K281" s="152">
        <f t="shared" si="19"/>
        <v>-50</v>
      </c>
      <c r="L281" s="152"/>
      <c r="M281" s="154">
        <f t="shared" si="20"/>
        <v>0</v>
      </c>
    </row>
    <row r="282" spans="1:13" x14ac:dyDescent="0.25">
      <c r="A282" s="168"/>
      <c r="G282" s="138"/>
      <c r="H282" s="152">
        <v>277</v>
      </c>
      <c r="I282" s="153" t="str">
        <f t="shared" si="21"/>
        <v/>
      </c>
      <c r="J282" s="152">
        <f t="shared" si="22"/>
        <v>-5</v>
      </c>
      <c r="K282" s="152">
        <f t="shared" si="19"/>
        <v>-50</v>
      </c>
      <c r="L282" s="152"/>
      <c r="M282" s="154">
        <f t="shared" si="20"/>
        <v>0</v>
      </c>
    </row>
    <row r="283" spans="1:13" x14ac:dyDescent="0.25">
      <c r="A283" s="168"/>
      <c r="G283" s="138"/>
      <c r="H283" s="152">
        <v>278</v>
      </c>
      <c r="I283" s="153" t="str">
        <f t="shared" si="21"/>
        <v/>
      </c>
      <c r="J283" s="152">
        <f t="shared" si="22"/>
        <v>-5</v>
      </c>
      <c r="K283" s="152">
        <f t="shared" si="19"/>
        <v>-50</v>
      </c>
      <c r="L283" s="152"/>
      <c r="M283" s="154">
        <f t="shared" si="20"/>
        <v>0</v>
      </c>
    </row>
    <row r="284" spans="1:13" x14ac:dyDescent="0.25">
      <c r="A284" s="168"/>
      <c r="G284" s="138"/>
      <c r="H284" s="152">
        <v>279</v>
      </c>
      <c r="I284" s="153" t="str">
        <f t="shared" si="21"/>
        <v/>
      </c>
      <c r="J284" s="152">
        <f t="shared" si="22"/>
        <v>-5</v>
      </c>
      <c r="K284" s="152">
        <f t="shared" si="19"/>
        <v>-50</v>
      </c>
      <c r="L284" s="152"/>
      <c r="M284" s="154">
        <f t="shared" si="20"/>
        <v>0</v>
      </c>
    </row>
    <row r="285" spans="1:13" x14ac:dyDescent="0.25">
      <c r="A285" s="168"/>
      <c r="G285" s="138"/>
      <c r="H285" s="152">
        <v>280</v>
      </c>
      <c r="I285" s="153" t="str">
        <f t="shared" si="21"/>
        <v/>
      </c>
      <c r="J285" s="152">
        <f t="shared" si="22"/>
        <v>-5</v>
      </c>
      <c r="K285" s="152">
        <f t="shared" si="19"/>
        <v>-50</v>
      </c>
      <c r="L285" s="152"/>
      <c r="M285" s="154">
        <f t="shared" si="20"/>
        <v>0</v>
      </c>
    </row>
    <row r="286" spans="1:13" x14ac:dyDescent="0.25">
      <c r="A286" s="168"/>
      <c r="G286" s="138"/>
      <c r="H286" s="152">
        <v>281</v>
      </c>
      <c r="I286" s="153" t="str">
        <f t="shared" si="21"/>
        <v/>
      </c>
      <c r="J286" s="152">
        <f t="shared" si="22"/>
        <v>-5</v>
      </c>
      <c r="K286" s="152">
        <f t="shared" si="19"/>
        <v>-50</v>
      </c>
      <c r="L286" s="152"/>
      <c r="M286" s="154">
        <f t="shared" si="20"/>
        <v>0</v>
      </c>
    </row>
    <row r="287" spans="1:13" x14ac:dyDescent="0.25">
      <c r="A287" s="168"/>
      <c r="G287" s="138"/>
      <c r="H287" s="152">
        <v>282</v>
      </c>
      <c r="I287" s="153" t="str">
        <f t="shared" si="21"/>
        <v/>
      </c>
      <c r="J287" s="152">
        <f t="shared" si="22"/>
        <v>-5</v>
      </c>
      <c r="K287" s="152">
        <f t="shared" si="19"/>
        <v>-50</v>
      </c>
      <c r="L287" s="152"/>
      <c r="M287" s="154">
        <f t="shared" si="20"/>
        <v>0</v>
      </c>
    </row>
    <row r="288" spans="1:13" x14ac:dyDescent="0.25">
      <c r="A288" s="168"/>
      <c r="G288" s="138"/>
      <c r="H288" s="152">
        <v>283</v>
      </c>
      <c r="I288" s="153" t="str">
        <f t="shared" si="21"/>
        <v/>
      </c>
      <c r="J288" s="152">
        <f t="shared" si="22"/>
        <v>-5</v>
      </c>
      <c r="K288" s="152">
        <f t="shared" si="19"/>
        <v>-50</v>
      </c>
      <c r="L288" s="152"/>
      <c r="M288" s="154">
        <f t="shared" si="20"/>
        <v>0</v>
      </c>
    </row>
    <row r="289" spans="1:13" x14ac:dyDescent="0.25">
      <c r="A289" s="168"/>
      <c r="G289" s="138"/>
      <c r="H289" s="152">
        <v>284</v>
      </c>
      <c r="I289" s="153" t="str">
        <f t="shared" si="21"/>
        <v/>
      </c>
      <c r="J289" s="152">
        <f t="shared" si="22"/>
        <v>-5</v>
      </c>
      <c r="K289" s="152">
        <f t="shared" si="19"/>
        <v>-50</v>
      </c>
      <c r="L289" s="152"/>
      <c r="M289" s="154">
        <f t="shared" si="20"/>
        <v>0</v>
      </c>
    </row>
    <row r="290" spans="1:13" x14ac:dyDescent="0.25">
      <c r="A290" s="168"/>
      <c r="G290" s="138"/>
      <c r="H290" s="152">
        <v>285</v>
      </c>
      <c r="I290" s="153" t="str">
        <f t="shared" si="21"/>
        <v/>
      </c>
      <c r="J290" s="152">
        <f t="shared" si="22"/>
        <v>-5</v>
      </c>
      <c r="K290" s="152">
        <f t="shared" si="19"/>
        <v>-50</v>
      </c>
      <c r="L290" s="152"/>
      <c r="M290" s="154">
        <f t="shared" si="20"/>
        <v>0</v>
      </c>
    </row>
    <row r="291" spans="1:13" x14ac:dyDescent="0.25">
      <c r="A291" s="168"/>
      <c r="G291" s="138"/>
      <c r="H291" s="152">
        <v>286</v>
      </c>
      <c r="I291" s="153" t="str">
        <f t="shared" si="21"/>
        <v/>
      </c>
      <c r="J291" s="152">
        <f t="shared" si="22"/>
        <v>-5</v>
      </c>
      <c r="K291" s="152">
        <f t="shared" si="19"/>
        <v>-50</v>
      </c>
      <c r="L291" s="152"/>
      <c r="M291" s="154">
        <f t="shared" si="20"/>
        <v>0</v>
      </c>
    </row>
    <row r="292" spans="1:13" x14ac:dyDescent="0.25">
      <c r="A292" s="168"/>
      <c r="G292" s="138"/>
      <c r="H292" s="152">
        <v>287</v>
      </c>
      <c r="I292" s="153" t="str">
        <f t="shared" si="21"/>
        <v/>
      </c>
      <c r="J292" s="152">
        <f t="shared" si="22"/>
        <v>-5</v>
      </c>
      <c r="K292" s="152">
        <f t="shared" si="19"/>
        <v>-50</v>
      </c>
      <c r="L292" s="152"/>
      <c r="M292" s="154">
        <f t="shared" si="20"/>
        <v>0</v>
      </c>
    </row>
    <row r="293" spans="1:13" x14ac:dyDescent="0.25">
      <c r="A293" s="168"/>
      <c r="G293" s="138"/>
      <c r="H293" s="152">
        <v>288</v>
      </c>
      <c r="I293" s="153" t="str">
        <f t="shared" si="21"/>
        <v/>
      </c>
      <c r="J293" s="152">
        <f t="shared" si="22"/>
        <v>-5</v>
      </c>
      <c r="K293" s="152">
        <f t="shared" si="19"/>
        <v>-50</v>
      </c>
      <c r="L293" s="152"/>
      <c r="M293" s="154">
        <f t="shared" si="20"/>
        <v>0</v>
      </c>
    </row>
    <row r="294" spans="1:13" x14ac:dyDescent="0.25">
      <c r="A294" s="168"/>
      <c r="G294" s="138"/>
      <c r="H294" s="152">
        <v>289</v>
      </c>
      <c r="I294" s="153" t="str">
        <f t="shared" si="21"/>
        <v/>
      </c>
      <c r="J294" s="152">
        <f t="shared" si="22"/>
        <v>-5</v>
      </c>
      <c r="K294" s="152">
        <f t="shared" si="19"/>
        <v>-50</v>
      </c>
      <c r="L294" s="152"/>
      <c r="M294" s="154">
        <f t="shared" si="20"/>
        <v>0</v>
      </c>
    </row>
    <row r="295" spans="1:13" x14ac:dyDescent="0.25">
      <c r="A295" s="168"/>
      <c r="G295" s="138"/>
      <c r="H295" s="152">
        <v>290</v>
      </c>
      <c r="I295" s="153" t="str">
        <f t="shared" si="21"/>
        <v/>
      </c>
      <c r="J295" s="152">
        <f t="shared" si="22"/>
        <v>-5</v>
      </c>
      <c r="K295" s="152">
        <f t="shared" si="19"/>
        <v>-50</v>
      </c>
      <c r="L295" s="152"/>
      <c r="M295" s="154">
        <f t="shared" si="20"/>
        <v>0</v>
      </c>
    </row>
    <row r="296" spans="1:13" x14ac:dyDescent="0.25">
      <c r="A296" s="168"/>
      <c r="G296" s="138"/>
      <c r="H296" s="152">
        <v>291</v>
      </c>
      <c r="I296" s="153" t="str">
        <f t="shared" si="21"/>
        <v/>
      </c>
      <c r="J296" s="152">
        <f t="shared" si="22"/>
        <v>-5</v>
      </c>
      <c r="K296" s="152">
        <f t="shared" si="19"/>
        <v>-50</v>
      </c>
      <c r="L296" s="152"/>
      <c r="M296" s="154">
        <f t="shared" si="20"/>
        <v>0</v>
      </c>
    </row>
    <row r="297" spans="1:13" x14ac:dyDescent="0.25">
      <c r="A297" s="168"/>
      <c r="G297" s="138"/>
      <c r="H297" s="152">
        <v>292</v>
      </c>
      <c r="I297" s="153" t="str">
        <f t="shared" si="21"/>
        <v/>
      </c>
      <c r="J297" s="152">
        <f t="shared" si="22"/>
        <v>-5</v>
      </c>
      <c r="K297" s="152">
        <f t="shared" si="19"/>
        <v>-50</v>
      </c>
      <c r="L297" s="152"/>
      <c r="M297" s="154">
        <f t="shared" si="20"/>
        <v>0</v>
      </c>
    </row>
    <row r="298" spans="1:13" x14ac:dyDescent="0.25">
      <c r="A298" s="168"/>
      <c r="G298" s="138"/>
      <c r="H298" s="152">
        <v>293</v>
      </c>
      <c r="I298" s="153" t="str">
        <f t="shared" si="21"/>
        <v/>
      </c>
      <c r="J298" s="152">
        <f t="shared" si="22"/>
        <v>-5</v>
      </c>
      <c r="K298" s="152">
        <f t="shared" si="19"/>
        <v>-50</v>
      </c>
      <c r="L298" s="152"/>
      <c r="M298" s="154">
        <f t="shared" si="20"/>
        <v>0</v>
      </c>
    </row>
    <row r="299" spans="1:13" x14ac:dyDescent="0.25">
      <c r="A299" s="168"/>
      <c r="G299" s="138"/>
      <c r="H299" s="152">
        <v>294</v>
      </c>
      <c r="I299" s="153" t="str">
        <f t="shared" si="21"/>
        <v/>
      </c>
      <c r="J299" s="152">
        <f t="shared" si="22"/>
        <v>-5</v>
      </c>
      <c r="K299" s="152">
        <f t="shared" si="19"/>
        <v>-50</v>
      </c>
      <c r="L299" s="152"/>
      <c r="M299" s="154">
        <f t="shared" si="20"/>
        <v>0</v>
      </c>
    </row>
    <row r="300" spans="1:13" x14ac:dyDescent="0.25">
      <c r="A300" s="168"/>
      <c r="G300" s="138"/>
      <c r="H300" s="152">
        <v>295</v>
      </c>
      <c r="I300" s="153" t="str">
        <f t="shared" si="21"/>
        <v/>
      </c>
      <c r="J300" s="152">
        <f t="shared" si="22"/>
        <v>-5</v>
      </c>
      <c r="K300" s="152">
        <f t="shared" si="19"/>
        <v>-50</v>
      </c>
      <c r="L300" s="152"/>
      <c r="M300" s="154">
        <f t="shared" si="20"/>
        <v>0</v>
      </c>
    </row>
    <row r="301" spans="1:13" x14ac:dyDescent="0.25">
      <c r="A301" s="168"/>
      <c r="G301" s="138"/>
      <c r="H301" s="152">
        <v>296</v>
      </c>
      <c r="I301" s="153" t="str">
        <f t="shared" si="21"/>
        <v/>
      </c>
      <c r="J301" s="152">
        <f t="shared" si="22"/>
        <v>-5</v>
      </c>
      <c r="K301" s="152">
        <f t="shared" si="19"/>
        <v>-50</v>
      </c>
      <c r="L301" s="152"/>
      <c r="M301" s="154">
        <f t="shared" si="20"/>
        <v>0</v>
      </c>
    </row>
    <row r="302" spans="1:13" x14ac:dyDescent="0.25">
      <c r="A302" s="168"/>
      <c r="G302" s="138"/>
      <c r="H302" s="152">
        <v>297</v>
      </c>
      <c r="I302" s="153" t="str">
        <f t="shared" si="21"/>
        <v/>
      </c>
      <c r="J302" s="152">
        <f t="shared" si="22"/>
        <v>-5</v>
      </c>
      <c r="K302" s="152">
        <f t="shared" si="19"/>
        <v>-50</v>
      </c>
      <c r="L302" s="152"/>
      <c r="M302" s="154">
        <f t="shared" si="20"/>
        <v>0</v>
      </c>
    </row>
    <row r="303" spans="1:13" x14ac:dyDescent="0.25">
      <c r="A303" s="168"/>
      <c r="G303" s="138"/>
      <c r="H303" s="152">
        <v>298</v>
      </c>
      <c r="I303" s="153" t="str">
        <f t="shared" si="21"/>
        <v/>
      </c>
      <c r="J303" s="152">
        <f t="shared" si="22"/>
        <v>-5</v>
      </c>
      <c r="K303" s="152">
        <f t="shared" si="19"/>
        <v>-50</v>
      </c>
      <c r="L303" s="152"/>
      <c r="M303" s="154">
        <f t="shared" si="20"/>
        <v>0</v>
      </c>
    </row>
    <row r="304" spans="1:13" x14ac:dyDescent="0.25">
      <c r="A304" s="168"/>
      <c r="G304" s="138"/>
      <c r="H304" s="152">
        <v>299</v>
      </c>
      <c r="I304" s="153" t="str">
        <f t="shared" si="21"/>
        <v/>
      </c>
      <c r="J304" s="152">
        <f t="shared" si="22"/>
        <v>-5</v>
      </c>
      <c r="K304" s="152">
        <f t="shared" si="19"/>
        <v>-50</v>
      </c>
      <c r="L304" s="152"/>
      <c r="M304" s="154">
        <f t="shared" si="20"/>
        <v>0</v>
      </c>
    </row>
    <row r="305" spans="1:16" x14ac:dyDescent="0.25">
      <c r="A305" s="168"/>
      <c r="G305" s="138"/>
      <c r="H305" s="152">
        <v>300</v>
      </c>
      <c r="I305" s="153" t="str">
        <f t="shared" si="21"/>
        <v/>
      </c>
      <c r="J305" s="152">
        <f t="shared" si="22"/>
        <v>-5</v>
      </c>
      <c r="K305" s="152">
        <f t="shared" si="19"/>
        <v>-50</v>
      </c>
      <c r="L305" s="152"/>
      <c r="M305" s="154">
        <f t="shared" si="20"/>
        <v>0</v>
      </c>
    </row>
    <row r="306" spans="1:16" x14ac:dyDescent="0.25">
      <c r="A306" s="170"/>
    </row>
    <row r="314" spans="1:16" x14ac:dyDescent="0.25">
      <c r="L314" s="173"/>
      <c r="P314" s="163"/>
    </row>
    <row r="315" spans="1:16" x14ac:dyDescent="0.25">
      <c r="L315" s="173"/>
      <c r="P315" s="163"/>
    </row>
    <row r="316" spans="1:16" x14ac:dyDescent="0.25">
      <c r="L316" s="173"/>
      <c r="P316" s="163"/>
    </row>
    <row r="317" spans="1:16" x14ac:dyDescent="0.25">
      <c r="L317" s="173"/>
      <c r="P317" s="163"/>
    </row>
  </sheetData>
  <mergeCells count="2">
    <mergeCell ref="C2:D2"/>
    <mergeCell ref="C3:D3"/>
  </mergeCells>
  <conditionalFormatting sqref="J6:K305">
    <cfRule type="cellIs" dxfId="24" priority="1" operator="lessThanOrEqual">
      <formula>0</formula>
    </cfRule>
  </conditionalFormatting>
  <dataValidations count="1">
    <dataValidation type="list" allowBlank="1" showInputMessage="1" showErrorMessage="1" sqref="C38:C69" xr:uid="{ED54F448-1832-488D-A0AC-F9F41B6826C0}">
      <formula1>#REF!</formula1>
    </dataValidation>
  </dataValidations>
  <hyperlinks>
    <hyperlink ref="C2:D2" r:id="rId1" display="NIEPOŁOMICE" xr:uid="{456F93B4-9A98-4AAC-ACE1-8B5540791B78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90F6C-6C30-41C6-AEBE-89E669B556C0}">
  <sheetPr>
    <tabColor rgb="FF92D050"/>
  </sheetPr>
  <dimension ref="A1:AM373"/>
  <sheetViews>
    <sheetView workbookViewId="0">
      <selection activeCell="C14" sqref="C14"/>
    </sheetView>
  </sheetViews>
  <sheetFormatPr defaultColWidth="8.875" defaultRowHeight="14.3" x14ac:dyDescent="0.25"/>
  <cols>
    <col min="1" max="1" width="8" style="3" customWidth="1"/>
    <col min="2" max="2" width="8.25" style="3" customWidth="1"/>
    <col min="3" max="3" width="34.75" style="3" customWidth="1"/>
    <col min="4" max="4" width="11.25" style="3" customWidth="1"/>
    <col min="5" max="6" width="8.875" style="3"/>
    <col min="7" max="7" width="0.875" style="3" customWidth="1"/>
    <col min="8" max="8" width="8.875" style="20"/>
    <col min="9" max="9" width="11" style="20" customWidth="1"/>
    <col min="10" max="10" width="15.25" style="20" customWidth="1"/>
    <col min="11" max="11" width="8.75" style="20" customWidth="1"/>
    <col min="12" max="12" width="11" style="20" customWidth="1"/>
    <col min="13" max="13" width="11.75" style="20" customWidth="1"/>
    <col min="14" max="14" width="11.75" style="15" customWidth="1"/>
    <col min="15" max="16" width="13.875" style="5" customWidth="1"/>
    <col min="17" max="19" width="8.875" style="5"/>
    <col min="20" max="21" width="8.875" style="26"/>
    <col min="22" max="22" width="12.125" style="26" customWidth="1"/>
    <col min="23" max="23" width="27.375" style="26" customWidth="1"/>
    <col min="24" max="39" width="8.875" style="26"/>
    <col min="40" max="16384" width="8.875" style="3"/>
  </cols>
  <sheetData>
    <row r="1" spans="1:35" x14ac:dyDescent="0.25">
      <c r="A1" s="5"/>
      <c r="B1" s="5"/>
      <c r="C1" s="5"/>
      <c r="D1" s="5"/>
      <c r="E1" s="5"/>
      <c r="F1" s="5"/>
      <c r="G1" s="5"/>
      <c r="H1" s="22" t="s">
        <v>38</v>
      </c>
      <c r="I1" s="12" t="s">
        <v>39</v>
      </c>
      <c r="J1" s="12" t="s">
        <v>40</v>
      </c>
      <c r="K1" s="23" t="s">
        <v>106</v>
      </c>
      <c r="L1" s="64" t="s">
        <v>107</v>
      </c>
      <c r="M1" s="254"/>
      <c r="N1" s="13"/>
    </row>
    <row r="2" spans="1:35" x14ac:dyDescent="0.25">
      <c r="A2" s="5"/>
      <c r="B2" s="47" t="s">
        <v>42</v>
      </c>
      <c r="C2" s="271" t="s">
        <v>570</v>
      </c>
      <c r="D2" s="271"/>
      <c r="E2" s="6"/>
      <c r="F2" s="6"/>
      <c r="G2" s="6"/>
      <c r="H2" s="14">
        <v>13</v>
      </c>
      <c r="I2" s="61">
        <v>50</v>
      </c>
      <c r="J2" s="61">
        <v>10</v>
      </c>
      <c r="K2" s="62">
        <f>3*H2^(1/3)</f>
        <v>7.0540040631622718</v>
      </c>
      <c r="L2" s="63">
        <f>1.2</f>
        <v>1.2</v>
      </c>
      <c r="M2" s="13"/>
      <c r="N2" s="13"/>
    </row>
    <row r="3" spans="1:35" ht="14.3" customHeight="1" x14ac:dyDescent="0.25">
      <c r="A3" s="5"/>
      <c r="B3" s="48" t="s">
        <v>44</v>
      </c>
      <c r="C3" s="272" t="s">
        <v>571</v>
      </c>
      <c r="D3" s="272"/>
      <c r="E3" s="7"/>
      <c r="F3" s="7"/>
      <c r="G3" s="7"/>
      <c r="H3" s="13"/>
      <c r="I3" s="13"/>
      <c r="J3" s="16"/>
      <c r="K3" s="13"/>
      <c r="L3" s="13"/>
      <c r="M3" s="13"/>
      <c r="N3" s="13"/>
    </row>
    <row r="4" spans="1:35" ht="10.4" customHeight="1" x14ac:dyDescent="0.25">
      <c r="A4" s="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  <c r="N4" s="13"/>
    </row>
    <row r="5" spans="1:35" ht="46.2" x14ac:dyDescent="0.25">
      <c r="A5" s="1" t="s">
        <v>45</v>
      </c>
      <c r="B5" s="37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8"/>
      <c r="H5" s="9" t="s">
        <v>51</v>
      </c>
      <c r="I5" s="10" t="s">
        <v>52</v>
      </c>
      <c r="J5" s="11" t="s">
        <v>53</v>
      </c>
      <c r="K5" s="10" t="s">
        <v>54</v>
      </c>
      <c r="L5" s="10" t="s">
        <v>55</v>
      </c>
      <c r="M5" s="9" t="s">
        <v>56</v>
      </c>
      <c r="N5" s="9" t="s">
        <v>108</v>
      </c>
    </row>
    <row r="6" spans="1:35" ht="14.45" customHeight="1" x14ac:dyDescent="0.25">
      <c r="A6" s="39">
        <f t="shared" ref="A6:A21" si="0">N6</f>
        <v>133.39441462738418</v>
      </c>
      <c r="B6" s="36">
        <f t="shared" ref="B6:B21" si="1">IF(H6&gt;$H$2,"",(ROW()-5))</f>
        <v>1</v>
      </c>
      <c r="C6" s="24" t="s">
        <v>19</v>
      </c>
      <c r="D6" s="24" t="s">
        <v>75</v>
      </c>
      <c r="E6" s="24"/>
      <c r="F6" s="24" t="s">
        <v>76</v>
      </c>
      <c r="G6" s="8"/>
      <c r="H6" s="17">
        <v>1</v>
      </c>
      <c r="I6" s="18">
        <f>IF(H2=1,50,IF(H6&lt;$H$2+1,($I$2-($I$2-1)*(LOG(H6)/LOG($H$2))),""))</f>
        <v>50</v>
      </c>
      <c r="J6" s="17">
        <f>INT(LOG($H$2,2))-ROUNDUP(LOG(H6,2),0)+IF(OR($H$2=1,$H$2=2,$H$2=4,$H$2=8,$H$2=16,$H$2=32,$H$2=64,$H$2=128,$H$2=256),0,1)</f>
        <v>4</v>
      </c>
      <c r="K6" s="17">
        <f t="shared" ref="K6" si="2">J6*$J$2</f>
        <v>40</v>
      </c>
      <c r="L6" s="19">
        <f>3*K2</f>
        <v>21.162012189486816</v>
      </c>
      <c r="M6" s="19">
        <f t="shared" ref="M6:M69" si="3">IF(I6&lt;&gt;"",K6+I6+L6,0)</f>
        <v>111.16201218948682</v>
      </c>
      <c r="N6" s="19">
        <f>IF(I6&lt;&gt;"",M6*L$2,"")</f>
        <v>133.39441462738418</v>
      </c>
    </row>
    <row r="7" spans="1:35" ht="14.45" customHeight="1" x14ac:dyDescent="0.25">
      <c r="A7" s="40">
        <f t="shared" si="0"/>
        <v>97.039606271263054</v>
      </c>
      <c r="B7" s="35">
        <f t="shared" si="1"/>
        <v>2</v>
      </c>
      <c r="C7" s="25" t="s">
        <v>22</v>
      </c>
      <c r="D7" s="25" t="s">
        <v>59</v>
      </c>
      <c r="E7" s="25"/>
      <c r="F7" s="25" t="s">
        <v>76</v>
      </c>
      <c r="G7" s="8"/>
      <c r="H7" s="44">
        <v>2</v>
      </c>
      <c r="I7" s="45">
        <f t="shared" ref="I7:I69" si="4">IF(H7&lt;$H$2+1,($I$2-($I$2-1)*(LOG(H7)/LOG($H$2))),"")</f>
        <v>36.758330433061332</v>
      </c>
      <c r="J7" s="44">
        <f t="shared" ref="J7:J70" si="5">INT(LOG($H$2,2))-ROUNDUP(LOG(H7,2),0)+IF(OR($H$2=1,$H$2=2,$H$2=4,$H$2=8,$H$2=16,$H$2=32,$H$2=64,$H$2=128,$H$2=256),0,1)</f>
        <v>3</v>
      </c>
      <c r="K7" s="44">
        <f t="shared" ref="K7:K69" si="6">J7*$J$2</f>
        <v>30</v>
      </c>
      <c r="L7" s="46">
        <f>2*K2</f>
        <v>14.108008126324544</v>
      </c>
      <c r="M7" s="46">
        <f t="shared" si="3"/>
        <v>80.866338559385881</v>
      </c>
      <c r="N7" s="46">
        <f t="shared" ref="N7:N70" si="7">IF(I7&lt;&gt;"",M7*L$2,"")</f>
        <v>97.039606271263054</v>
      </c>
    </row>
    <row r="8" spans="1:35" ht="14.45" customHeight="1" x14ac:dyDescent="0.25">
      <c r="A8" s="39">
        <f t="shared" si="0"/>
        <v>67.279745223148723</v>
      </c>
      <c r="B8" s="36">
        <f t="shared" si="1"/>
        <v>3</v>
      </c>
      <c r="C8" s="24" t="s">
        <v>20</v>
      </c>
      <c r="D8" s="24" t="s">
        <v>59</v>
      </c>
      <c r="E8" s="24"/>
      <c r="F8" s="24" t="s">
        <v>76</v>
      </c>
      <c r="G8" s="8"/>
      <c r="H8" s="17">
        <v>3</v>
      </c>
      <c r="I8" s="18">
        <f t="shared" si="4"/>
        <v>29.012450289461661</v>
      </c>
      <c r="J8" s="17">
        <f t="shared" si="5"/>
        <v>2</v>
      </c>
      <c r="K8" s="17">
        <f t="shared" si="6"/>
        <v>20</v>
      </c>
      <c r="L8" s="19">
        <f>K2</f>
        <v>7.0540040631622718</v>
      </c>
      <c r="M8" s="19">
        <f t="shared" si="3"/>
        <v>56.066454352623936</v>
      </c>
      <c r="N8" s="19">
        <f t="shared" si="7"/>
        <v>67.279745223148723</v>
      </c>
    </row>
    <row r="9" spans="1:35" ht="14.45" customHeight="1" x14ac:dyDescent="0.25">
      <c r="A9" s="40">
        <f t="shared" si="0"/>
        <v>52.219993039347194</v>
      </c>
      <c r="B9" s="35">
        <f t="shared" si="1"/>
        <v>4</v>
      </c>
      <c r="C9" s="25" t="s">
        <v>21</v>
      </c>
      <c r="D9" s="25" t="s">
        <v>60</v>
      </c>
      <c r="E9" s="25"/>
      <c r="F9" s="25" t="s">
        <v>76</v>
      </c>
      <c r="G9" s="8"/>
      <c r="H9" s="44">
        <v>4</v>
      </c>
      <c r="I9" s="45">
        <f t="shared" si="4"/>
        <v>23.516660866122667</v>
      </c>
      <c r="J9" s="44">
        <f t="shared" si="5"/>
        <v>2</v>
      </c>
      <c r="K9" s="44">
        <f t="shared" si="6"/>
        <v>20</v>
      </c>
      <c r="L9" s="46"/>
      <c r="M9" s="46">
        <f t="shared" si="3"/>
        <v>43.516660866122663</v>
      </c>
      <c r="N9" s="46">
        <f t="shared" si="7"/>
        <v>52.219993039347194</v>
      </c>
      <c r="W9" s="27"/>
      <c r="AA9" s="28"/>
      <c r="AB9" s="28"/>
      <c r="AH9" s="29"/>
    </row>
    <row r="10" spans="1:35" ht="14.45" customHeight="1" x14ac:dyDescent="0.25">
      <c r="A10" s="39">
        <f t="shared" si="0"/>
        <v>35.104554491172159</v>
      </c>
      <c r="B10" s="36">
        <f t="shared" si="1"/>
        <v>5</v>
      </c>
      <c r="C10" s="24" t="s">
        <v>572</v>
      </c>
      <c r="D10" s="24" t="s">
        <v>60</v>
      </c>
      <c r="E10" s="24"/>
      <c r="F10" s="24" t="s">
        <v>76</v>
      </c>
      <c r="G10" s="8"/>
      <c r="H10" s="17">
        <v>5</v>
      </c>
      <c r="I10" s="18">
        <f t="shared" si="4"/>
        <v>19.253795409310133</v>
      </c>
      <c r="J10" s="17">
        <f t="shared" si="5"/>
        <v>1</v>
      </c>
      <c r="K10" s="17">
        <f t="shared" si="6"/>
        <v>10</v>
      </c>
      <c r="L10" s="17"/>
      <c r="M10" s="19">
        <f t="shared" si="3"/>
        <v>29.253795409310133</v>
      </c>
      <c r="N10" s="19">
        <f t="shared" si="7"/>
        <v>35.104554491172159</v>
      </c>
      <c r="W10" s="27"/>
      <c r="AA10" s="28"/>
      <c r="AB10" s="28"/>
      <c r="AH10" s="29"/>
    </row>
    <row r="11" spans="1:35" ht="14.45" customHeight="1" x14ac:dyDescent="0.25">
      <c r="A11" s="40">
        <f t="shared" si="0"/>
        <v>30.92493686702759</v>
      </c>
      <c r="B11" s="35">
        <f t="shared" si="1"/>
        <v>6</v>
      </c>
      <c r="C11" s="25" t="s">
        <v>23</v>
      </c>
      <c r="D11" s="25" t="s">
        <v>73</v>
      </c>
      <c r="E11" s="25"/>
      <c r="F11" s="25" t="s">
        <v>76</v>
      </c>
      <c r="G11" s="8"/>
      <c r="H11" s="44">
        <v>6</v>
      </c>
      <c r="I11" s="45">
        <f t="shared" si="4"/>
        <v>15.770780722522993</v>
      </c>
      <c r="J11" s="44">
        <f t="shared" si="5"/>
        <v>1</v>
      </c>
      <c r="K11" s="44">
        <f t="shared" si="6"/>
        <v>10</v>
      </c>
      <c r="L11" s="44"/>
      <c r="M11" s="46">
        <f t="shared" si="3"/>
        <v>25.770780722522993</v>
      </c>
      <c r="N11" s="46">
        <f t="shared" si="7"/>
        <v>30.92493686702759</v>
      </c>
      <c r="W11" s="30"/>
      <c r="AA11" s="28"/>
      <c r="AB11" s="28"/>
      <c r="AH11" s="29"/>
    </row>
    <row r="12" spans="1:35" ht="14.45" customHeight="1" x14ac:dyDescent="0.25">
      <c r="A12" s="39">
        <f t="shared" si="0"/>
        <v>27.391120517993215</v>
      </c>
      <c r="B12" s="36">
        <f t="shared" si="1"/>
        <v>7</v>
      </c>
      <c r="C12" s="24" t="s">
        <v>24</v>
      </c>
      <c r="D12" s="24" t="s">
        <v>64</v>
      </c>
      <c r="E12" s="24"/>
      <c r="F12" s="24" t="s">
        <v>76</v>
      </c>
      <c r="G12" s="8"/>
      <c r="H12" s="17">
        <v>7</v>
      </c>
      <c r="I12" s="18">
        <f t="shared" si="4"/>
        <v>12.825933764994346</v>
      </c>
      <c r="J12" s="17">
        <f t="shared" si="5"/>
        <v>1</v>
      </c>
      <c r="K12" s="17">
        <f t="shared" si="6"/>
        <v>10</v>
      </c>
      <c r="L12" s="17"/>
      <c r="M12" s="19">
        <f t="shared" si="3"/>
        <v>22.825933764994346</v>
      </c>
      <c r="N12" s="19">
        <f t="shared" si="7"/>
        <v>27.391120517993215</v>
      </c>
      <c r="AA12" s="28"/>
      <c r="AB12" s="28"/>
      <c r="AH12" s="29"/>
    </row>
    <row r="13" spans="1:35" ht="14.45" customHeight="1" x14ac:dyDescent="0.25">
      <c r="A13" s="41">
        <f t="shared" si="0"/>
        <v>24.329989559020802</v>
      </c>
      <c r="B13" s="35">
        <f t="shared" si="1"/>
        <v>8</v>
      </c>
      <c r="C13" s="25" t="s">
        <v>30</v>
      </c>
      <c r="D13" s="25" t="s">
        <v>103</v>
      </c>
      <c r="E13" s="25" t="s">
        <v>109</v>
      </c>
      <c r="F13" s="25" t="s">
        <v>76</v>
      </c>
      <c r="G13" s="8"/>
      <c r="H13" s="44">
        <v>8</v>
      </c>
      <c r="I13" s="45">
        <f t="shared" si="4"/>
        <v>10.274991299184002</v>
      </c>
      <c r="J13" s="44">
        <f t="shared" si="5"/>
        <v>1</v>
      </c>
      <c r="K13" s="44">
        <f t="shared" si="6"/>
        <v>10</v>
      </c>
      <c r="L13" s="44"/>
      <c r="M13" s="46">
        <f t="shared" si="3"/>
        <v>20.274991299184002</v>
      </c>
      <c r="N13" s="46">
        <f t="shared" si="7"/>
        <v>24.329989559020802</v>
      </c>
      <c r="Y13" s="27"/>
      <c r="AH13" s="29"/>
    </row>
    <row r="14" spans="1:35" ht="38.75" x14ac:dyDescent="0.25">
      <c r="A14" s="42">
        <f t="shared" si="0"/>
        <v>9.6298806947079871</v>
      </c>
      <c r="B14" s="36">
        <f t="shared" si="1"/>
        <v>9</v>
      </c>
      <c r="C14" s="24" t="s">
        <v>573</v>
      </c>
      <c r="D14" s="24" t="s">
        <v>60</v>
      </c>
      <c r="E14" s="24"/>
      <c r="F14" s="24" t="s">
        <v>76</v>
      </c>
      <c r="G14" s="8"/>
      <c r="H14" s="17">
        <v>9</v>
      </c>
      <c r="I14" s="18">
        <f t="shared" si="4"/>
        <v>8.0249005789233223</v>
      </c>
      <c r="J14" s="17">
        <f t="shared" si="5"/>
        <v>0</v>
      </c>
      <c r="K14" s="17">
        <f t="shared" si="6"/>
        <v>0</v>
      </c>
      <c r="L14" s="17"/>
      <c r="M14" s="19">
        <f t="shared" si="3"/>
        <v>8.0249005789233223</v>
      </c>
      <c r="N14" s="19">
        <f t="shared" si="7"/>
        <v>9.6298806947079871</v>
      </c>
      <c r="Y14" s="31"/>
      <c r="AA14" s="28"/>
      <c r="AB14" s="28"/>
      <c r="AH14" s="29"/>
    </row>
    <row r="15" spans="1:35" ht="51.65" x14ac:dyDescent="0.25">
      <c r="A15" s="41">
        <f t="shared" si="0"/>
        <v>7.2145510108457609</v>
      </c>
      <c r="B15" s="35">
        <f t="shared" si="1"/>
        <v>10</v>
      </c>
      <c r="C15" s="25" t="s">
        <v>568</v>
      </c>
      <c r="D15" s="25" t="s">
        <v>65</v>
      </c>
      <c r="E15" s="25"/>
      <c r="F15" s="25" t="s">
        <v>76</v>
      </c>
      <c r="G15" s="8"/>
      <c r="H15" s="44">
        <v>10</v>
      </c>
      <c r="I15" s="45">
        <f t="shared" si="4"/>
        <v>6.0121258423714679</v>
      </c>
      <c r="J15" s="44">
        <f t="shared" si="5"/>
        <v>0</v>
      </c>
      <c r="K15" s="44">
        <f t="shared" si="6"/>
        <v>0</v>
      </c>
      <c r="L15" s="44"/>
      <c r="M15" s="46">
        <f t="shared" si="3"/>
        <v>6.0121258423714679</v>
      </c>
      <c r="N15" s="46">
        <f t="shared" si="7"/>
        <v>7.2145510108457609</v>
      </c>
      <c r="Y15" s="27"/>
      <c r="AA15" s="28"/>
      <c r="AB15" s="28"/>
    </row>
    <row r="16" spans="1:35" ht="38.75" x14ac:dyDescent="0.25">
      <c r="A16" s="42">
        <f t="shared" si="0"/>
        <v>5.0296195399021455</v>
      </c>
      <c r="B16" s="36">
        <f t="shared" si="1"/>
        <v>11</v>
      </c>
      <c r="C16" s="24" t="s">
        <v>35</v>
      </c>
      <c r="D16" s="24" t="s">
        <v>82</v>
      </c>
      <c r="E16" s="24"/>
      <c r="F16" s="24"/>
      <c r="G16" s="8"/>
      <c r="H16" s="17">
        <v>11</v>
      </c>
      <c r="I16" s="18">
        <f t="shared" si="4"/>
        <v>4.1913496165851214</v>
      </c>
      <c r="J16" s="17">
        <f t="shared" si="5"/>
        <v>0</v>
      </c>
      <c r="K16" s="17">
        <f t="shared" si="6"/>
        <v>0</v>
      </c>
      <c r="L16" s="17"/>
      <c r="M16" s="19">
        <f t="shared" si="3"/>
        <v>4.1913496165851214</v>
      </c>
      <c r="N16" s="19">
        <f t="shared" si="7"/>
        <v>5.0296195399021455</v>
      </c>
      <c r="S16" s="49"/>
      <c r="AA16" s="28"/>
      <c r="AB16" s="28"/>
      <c r="AI16" s="33"/>
    </row>
    <row r="17" spans="1:20" ht="14.3" customHeight="1" x14ac:dyDescent="0.25">
      <c r="A17" s="41">
        <f t="shared" si="0"/>
        <v>3.0349333867011894</v>
      </c>
      <c r="B17" s="35">
        <f t="shared" si="1"/>
        <v>12</v>
      </c>
      <c r="C17" s="25" t="s">
        <v>27</v>
      </c>
      <c r="D17" s="25" t="s">
        <v>60</v>
      </c>
      <c r="E17" s="25"/>
      <c r="F17" s="25" t="s">
        <v>76</v>
      </c>
      <c r="G17" s="8"/>
      <c r="H17" s="44">
        <v>12</v>
      </c>
      <c r="I17" s="45">
        <f t="shared" si="4"/>
        <v>2.5291111555843244</v>
      </c>
      <c r="J17" s="44">
        <f t="shared" si="5"/>
        <v>0</v>
      </c>
      <c r="K17" s="44">
        <f t="shared" si="6"/>
        <v>0</v>
      </c>
      <c r="L17" s="44"/>
      <c r="M17" s="46">
        <f t="shared" si="3"/>
        <v>2.5291111555843244</v>
      </c>
      <c r="N17" s="46">
        <f t="shared" si="7"/>
        <v>3.0349333867011894</v>
      </c>
    </row>
    <row r="18" spans="1:20" ht="38.75" x14ac:dyDescent="0.25">
      <c r="A18" s="42">
        <f t="shared" si="0"/>
        <v>1.2</v>
      </c>
      <c r="B18" s="36">
        <f t="shared" si="1"/>
        <v>13</v>
      </c>
      <c r="C18" s="24" t="s">
        <v>33</v>
      </c>
      <c r="D18" s="24" t="s">
        <v>66</v>
      </c>
      <c r="E18" s="24"/>
      <c r="F18" s="24" t="s">
        <v>76</v>
      </c>
      <c r="G18" s="8"/>
      <c r="H18" s="17">
        <v>13</v>
      </c>
      <c r="I18" s="18">
        <f t="shared" si="4"/>
        <v>1</v>
      </c>
      <c r="J18" s="17">
        <f t="shared" si="5"/>
        <v>0</v>
      </c>
      <c r="K18" s="17">
        <f t="shared" si="6"/>
        <v>0</v>
      </c>
      <c r="L18" s="17"/>
      <c r="M18" s="19">
        <f t="shared" si="3"/>
        <v>1</v>
      </c>
      <c r="N18" s="19">
        <f t="shared" si="7"/>
        <v>1.2</v>
      </c>
    </row>
    <row r="19" spans="1:20" x14ac:dyDescent="0.25">
      <c r="A19" s="41" t="str">
        <f t="shared" si="0"/>
        <v/>
      </c>
      <c r="B19" s="35" t="str">
        <f t="shared" si="1"/>
        <v/>
      </c>
      <c r="C19" s="25"/>
      <c r="D19" s="25"/>
      <c r="E19" s="25"/>
      <c r="F19" s="25"/>
      <c r="G19" s="8"/>
      <c r="H19" s="44">
        <v>14</v>
      </c>
      <c r="I19" s="45" t="str">
        <f t="shared" si="4"/>
        <v/>
      </c>
      <c r="J19" s="44">
        <f t="shared" si="5"/>
        <v>0</v>
      </c>
      <c r="K19" s="44">
        <f t="shared" si="6"/>
        <v>0</v>
      </c>
      <c r="L19" s="44"/>
      <c r="M19" s="46">
        <f t="shared" si="3"/>
        <v>0</v>
      </c>
      <c r="N19" s="46" t="str">
        <f t="shared" si="7"/>
        <v/>
      </c>
    </row>
    <row r="20" spans="1:20" x14ac:dyDescent="0.25">
      <c r="A20" s="42" t="str">
        <f t="shared" si="0"/>
        <v/>
      </c>
      <c r="B20" s="36" t="str">
        <f t="shared" si="1"/>
        <v/>
      </c>
      <c r="C20" s="24"/>
      <c r="D20" s="24"/>
      <c r="E20" s="24"/>
      <c r="F20" s="24"/>
      <c r="G20" s="8"/>
      <c r="H20" s="17">
        <v>15</v>
      </c>
      <c r="I20" s="18" t="str">
        <f t="shared" si="4"/>
        <v/>
      </c>
      <c r="J20" s="17">
        <f t="shared" si="5"/>
        <v>0</v>
      </c>
      <c r="K20" s="17">
        <f t="shared" si="6"/>
        <v>0</v>
      </c>
      <c r="L20" s="17"/>
      <c r="M20" s="19">
        <f t="shared" si="3"/>
        <v>0</v>
      </c>
      <c r="N20" s="19" t="str">
        <f t="shared" si="7"/>
        <v/>
      </c>
    </row>
    <row r="21" spans="1:20" x14ac:dyDescent="0.25">
      <c r="A21" s="41" t="str">
        <f t="shared" si="0"/>
        <v/>
      </c>
      <c r="B21" s="35" t="str">
        <f t="shared" si="1"/>
        <v/>
      </c>
      <c r="C21" s="25"/>
      <c r="D21" s="25"/>
      <c r="E21" s="25"/>
      <c r="F21" s="25"/>
      <c r="G21" s="8"/>
      <c r="H21" s="44">
        <v>16</v>
      </c>
      <c r="I21" s="45" t="str">
        <f t="shared" si="4"/>
        <v/>
      </c>
      <c r="J21" s="44">
        <f t="shared" si="5"/>
        <v>0</v>
      </c>
      <c r="K21" s="44">
        <f t="shared" si="6"/>
        <v>0</v>
      </c>
      <c r="L21" s="44"/>
      <c r="M21" s="46">
        <f t="shared" si="3"/>
        <v>0</v>
      </c>
      <c r="N21" s="46" t="str">
        <f t="shared" si="7"/>
        <v/>
      </c>
    </row>
    <row r="22" spans="1:20" x14ac:dyDescent="0.25">
      <c r="A22" s="42" t="str">
        <f t="shared" ref="A22:A70" si="8">N22</f>
        <v/>
      </c>
      <c r="B22" s="36" t="str">
        <f t="shared" ref="B22:B65" si="9">IF(H22&gt;$H$2,"",(ROW()-5))</f>
        <v/>
      </c>
      <c r="C22" s="24"/>
      <c r="D22" s="24"/>
      <c r="E22" s="24"/>
      <c r="F22" s="24"/>
      <c r="G22" s="8"/>
      <c r="H22" s="17">
        <v>17</v>
      </c>
      <c r="I22" s="18" t="str">
        <f t="shared" si="4"/>
        <v/>
      </c>
      <c r="J22" s="17">
        <f t="shared" si="5"/>
        <v>-1</v>
      </c>
      <c r="K22" s="17">
        <f t="shared" si="6"/>
        <v>-10</v>
      </c>
      <c r="L22" s="17"/>
      <c r="M22" s="19">
        <f t="shared" si="3"/>
        <v>0</v>
      </c>
      <c r="N22" s="19" t="str">
        <f t="shared" si="7"/>
        <v/>
      </c>
    </row>
    <row r="23" spans="1:20" x14ac:dyDescent="0.25">
      <c r="A23" s="41" t="str">
        <f t="shared" si="8"/>
        <v/>
      </c>
      <c r="B23" s="35" t="str">
        <f t="shared" si="9"/>
        <v/>
      </c>
      <c r="C23" s="25"/>
      <c r="D23" s="25"/>
      <c r="E23" s="25"/>
      <c r="F23" s="25"/>
      <c r="G23" s="8"/>
      <c r="H23" s="44">
        <v>18</v>
      </c>
      <c r="I23" s="45" t="str">
        <f t="shared" si="4"/>
        <v/>
      </c>
      <c r="J23" s="44">
        <f t="shared" si="5"/>
        <v>-1</v>
      </c>
      <c r="K23" s="44">
        <f t="shared" si="6"/>
        <v>-10</v>
      </c>
      <c r="L23" s="44"/>
      <c r="M23" s="46">
        <f t="shared" si="3"/>
        <v>0</v>
      </c>
      <c r="N23" s="46" t="str">
        <f t="shared" si="7"/>
        <v/>
      </c>
    </row>
    <row r="24" spans="1:20" x14ac:dyDescent="0.25">
      <c r="A24" s="42" t="str">
        <f t="shared" si="8"/>
        <v/>
      </c>
      <c r="B24" s="36" t="str">
        <f t="shared" si="9"/>
        <v/>
      </c>
      <c r="C24" s="24"/>
      <c r="D24" s="24"/>
      <c r="E24" s="24"/>
      <c r="F24" s="24"/>
      <c r="G24" s="8"/>
      <c r="H24" s="17">
        <v>19</v>
      </c>
      <c r="I24" s="18" t="str">
        <f t="shared" si="4"/>
        <v/>
      </c>
      <c r="J24" s="17">
        <f t="shared" si="5"/>
        <v>-1</v>
      </c>
      <c r="K24" s="17">
        <f t="shared" si="6"/>
        <v>-10</v>
      </c>
      <c r="L24" s="17"/>
      <c r="M24" s="19">
        <f t="shared" si="3"/>
        <v>0</v>
      </c>
      <c r="N24" s="19" t="str">
        <f t="shared" si="7"/>
        <v/>
      </c>
      <c r="S24" s="50"/>
      <c r="T24" s="34"/>
    </row>
    <row r="25" spans="1:20" x14ac:dyDescent="0.25">
      <c r="A25" s="41" t="str">
        <f t="shared" si="8"/>
        <v/>
      </c>
      <c r="B25" s="35" t="str">
        <f t="shared" si="9"/>
        <v/>
      </c>
      <c r="C25" s="25"/>
      <c r="D25" s="25"/>
      <c r="E25" s="25"/>
      <c r="F25" s="25"/>
      <c r="G25" s="8"/>
      <c r="H25" s="44">
        <v>20</v>
      </c>
      <c r="I25" s="45" t="str">
        <f t="shared" si="4"/>
        <v/>
      </c>
      <c r="J25" s="44">
        <f t="shared" si="5"/>
        <v>-1</v>
      </c>
      <c r="K25" s="44">
        <f t="shared" si="6"/>
        <v>-10</v>
      </c>
      <c r="L25" s="44"/>
      <c r="M25" s="46">
        <f t="shared" si="3"/>
        <v>0</v>
      </c>
      <c r="N25" s="46" t="str">
        <f t="shared" si="7"/>
        <v/>
      </c>
    </row>
    <row r="26" spans="1:20" x14ac:dyDescent="0.25">
      <c r="A26" s="42" t="str">
        <f t="shared" si="8"/>
        <v/>
      </c>
      <c r="B26" s="36" t="str">
        <f t="shared" si="9"/>
        <v/>
      </c>
      <c r="C26" s="24"/>
      <c r="D26" s="24"/>
      <c r="E26" s="24"/>
      <c r="F26" s="24"/>
      <c r="G26" s="8"/>
      <c r="H26" s="17">
        <v>21</v>
      </c>
      <c r="I26" s="18" t="str">
        <f t="shared" si="4"/>
        <v/>
      </c>
      <c r="J26" s="17">
        <f t="shared" si="5"/>
        <v>-1</v>
      </c>
      <c r="K26" s="17">
        <f t="shared" si="6"/>
        <v>-10</v>
      </c>
      <c r="L26" s="17"/>
      <c r="M26" s="19">
        <f t="shared" si="3"/>
        <v>0</v>
      </c>
      <c r="N26" s="19" t="str">
        <f t="shared" si="7"/>
        <v/>
      </c>
    </row>
    <row r="27" spans="1:20" x14ac:dyDescent="0.25">
      <c r="A27" s="41" t="str">
        <f t="shared" si="8"/>
        <v/>
      </c>
      <c r="B27" s="35" t="str">
        <f t="shared" si="9"/>
        <v/>
      </c>
      <c r="C27" s="25"/>
      <c r="D27" s="25"/>
      <c r="E27" s="25"/>
      <c r="F27" s="25"/>
      <c r="G27" s="8"/>
      <c r="H27" s="44">
        <v>22</v>
      </c>
      <c r="I27" s="45" t="str">
        <f t="shared" si="4"/>
        <v/>
      </c>
      <c r="J27" s="44">
        <f t="shared" si="5"/>
        <v>-1</v>
      </c>
      <c r="K27" s="44">
        <f t="shared" si="6"/>
        <v>-10</v>
      </c>
      <c r="L27" s="44"/>
      <c r="M27" s="46">
        <f t="shared" si="3"/>
        <v>0</v>
      </c>
      <c r="N27" s="46" t="str">
        <f t="shared" si="7"/>
        <v/>
      </c>
    </row>
    <row r="28" spans="1:20" x14ac:dyDescent="0.25">
      <c r="A28" s="42" t="str">
        <f t="shared" si="8"/>
        <v/>
      </c>
      <c r="B28" s="36" t="str">
        <f t="shared" si="9"/>
        <v/>
      </c>
      <c r="C28" s="24"/>
      <c r="D28" s="24"/>
      <c r="E28" s="24"/>
      <c r="F28" s="24"/>
      <c r="G28" s="8"/>
      <c r="H28" s="17">
        <v>23</v>
      </c>
      <c r="I28" s="18" t="str">
        <f t="shared" si="4"/>
        <v/>
      </c>
      <c r="J28" s="17">
        <f t="shared" si="5"/>
        <v>-1</v>
      </c>
      <c r="K28" s="17">
        <f t="shared" si="6"/>
        <v>-10</v>
      </c>
      <c r="L28" s="17"/>
      <c r="M28" s="19">
        <f t="shared" si="3"/>
        <v>0</v>
      </c>
      <c r="N28" s="19" t="str">
        <f t="shared" si="7"/>
        <v/>
      </c>
      <c r="S28" s="50"/>
      <c r="T28" s="34"/>
    </row>
    <row r="29" spans="1:20" x14ac:dyDescent="0.25">
      <c r="A29" s="41" t="str">
        <f t="shared" si="8"/>
        <v/>
      </c>
      <c r="B29" s="35" t="str">
        <f t="shared" si="9"/>
        <v/>
      </c>
      <c r="C29" s="25"/>
      <c r="D29" s="25"/>
      <c r="E29" s="25"/>
      <c r="F29" s="25"/>
      <c r="G29" s="5"/>
      <c r="H29" s="44">
        <v>24</v>
      </c>
      <c r="I29" s="45" t="str">
        <f t="shared" si="4"/>
        <v/>
      </c>
      <c r="J29" s="44">
        <f t="shared" si="5"/>
        <v>-1</v>
      </c>
      <c r="K29" s="44">
        <f t="shared" si="6"/>
        <v>-10</v>
      </c>
      <c r="L29" s="44"/>
      <c r="M29" s="46">
        <f t="shared" si="3"/>
        <v>0</v>
      </c>
      <c r="N29" s="46" t="str">
        <f t="shared" si="7"/>
        <v/>
      </c>
    </row>
    <row r="30" spans="1:20" x14ac:dyDescent="0.25">
      <c r="A30" s="42" t="str">
        <f t="shared" si="8"/>
        <v/>
      </c>
      <c r="B30" s="36" t="str">
        <f t="shared" si="9"/>
        <v/>
      </c>
      <c r="C30" s="24"/>
      <c r="D30" s="24"/>
      <c r="E30" s="24"/>
      <c r="F30" s="24"/>
      <c r="G30" s="5"/>
      <c r="H30" s="17">
        <v>25</v>
      </c>
      <c r="I30" s="18" t="str">
        <f t="shared" si="4"/>
        <v/>
      </c>
      <c r="J30" s="17">
        <f t="shared" si="5"/>
        <v>-1</v>
      </c>
      <c r="K30" s="17">
        <f t="shared" si="6"/>
        <v>-10</v>
      </c>
      <c r="L30" s="17"/>
      <c r="M30" s="19">
        <f t="shared" si="3"/>
        <v>0</v>
      </c>
      <c r="N30" s="19" t="str">
        <f t="shared" si="7"/>
        <v/>
      </c>
    </row>
    <row r="31" spans="1:20" x14ac:dyDescent="0.25">
      <c r="A31" s="41" t="str">
        <f t="shared" si="8"/>
        <v/>
      </c>
      <c r="B31" s="35" t="str">
        <f t="shared" si="9"/>
        <v/>
      </c>
      <c r="C31" s="25"/>
      <c r="D31" s="25"/>
      <c r="E31" s="25"/>
      <c r="F31" s="25"/>
      <c r="G31" s="5"/>
      <c r="H31" s="44">
        <v>26</v>
      </c>
      <c r="I31" s="45" t="str">
        <f t="shared" si="4"/>
        <v/>
      </c>
      <c r="J31" s="44">
        <f t="shared" si="5"/>
        <v>-1</v>
      </c>
      <c r="K31" s="44">
        <f t="shared" si="6"/>
        <v>-10</v>
      </c>
      <c r="L31" s="44"/>
      <c r="M31" s="46">
        <f t="shared" si="3"/>
        <v>0</v>
      </c>
      <c r="N31" s="46" t="str">
        <f t="shared" si="7"/>
        <v/>
      </c>
    </row>
    <row r="32" spans="1:20" x14ac:dyDescent="0.25">
      <c r="A32" s="42" t="str">
        <f t="shared" si="8"/>
        <v/>
      </c>
      <c r="B32" s="36" t="str">
        <f t="shared" si="9"/>
        <v/>
      </c>
      <c r="C32" s="24"/>
      <c r="D32" s="24"/>
      <c r="E32" s="24"/>
      <c r="F32" s="24"/>
      <c r="G32" s="5"/>
      <c r="H32" s="17">
        <v>27</v>
      </c>
      <c r="I32" s="18" t="str">
        <f t="shared" si="4"/>
        <v/>
      </c>
      <c r="J32" s="17">
        <f t="shared" si="5"/>
        <v>-1</v>
      </c>
      <c r="K32" s="17">
        <f t="shared" si="6"/>
        <v>-10</v>
      </c>
      <c r="L32" s="17"/>
      <c r="M32" s="19">
        <f t="shared" si="3"/>
        <v>0</v>
      </c>
      <c r="N32" s="19" t="str">
        <f t="shared" si="7"/>
        <v/>
      </c>
      <c r="S32" s="50"/>
      <c r="T32" s="34"/>
    </row>
    <row r="33" spans="1:20" x14ac:dyDescent="0.25">
      <c r="A33" s="41" t="str">
        <f t="shared" si="8"/>
        <v/>
      </c>
      <c r="B33" s="35" t="str">
        <f t="shared" si="9"/>
        <v/>
      </c>
      <c r="C33" s="25"/>
      <c r="D33" s="25"/>
      <c r="E33" s="25"/>
      <c r="F33" s="25"/>
      <c r="G33" s="5"/>
      <c r="H33" s="44">
        <v>28</v>
      </c>
      <c r="I33" s="45" t="str">
        <f t="shared" si="4"/>
        <v/>
      </c>
      <c r="J33" s="44">
        <f t="shared" si="5"/>
        <v>-1</v>
      </c>
      <c r="K33" s="44">
        <f t="shared" si="6"/>
        <v>-10</v>
      </c>
      <c r="L33" s="44"/>
      <c r="M33" s="46">
        <f t="shared" si="3"/>
        <v>0</v>
      </c>
      <c r="N33" s="46" t="str">
        <f t="shared" si="7"/>
        <v/>
      </c>
    </row>
    <row r="34" spans="1:20" x14ac:dyDescent="0.25">
      <c r="A34" s="42" t="str">
        <f t="shared" si="8"/>
        <v/>
      </c>
      <c r="B34" s="36" t="str">
        <f t="shared" si="9"/>
        <v/>
      </c>
      <c r="C34" s="24"/>
      <c r="D34" s="24"/>
      <c r="E34" s="24"/>
      <c r="F34" s="24"/>
      <c r="G34" s="5"/>
      <c r="H34" s="17">
        <v>29</v>
      </c>
      <c r="I34" s="18" t="str">
        <f t="shared" si="4"/>
        <v/>
      </c>
      <c r="J34" s="17">
        <f t="shared" si="5"/>
        <v>-1</v>
      </c>
      <c r="K34" s="17">
        <f t="shared" si="6"/>
        <v>-10</v>
      </c>
      <c r="L34" s="17"/>
      <c r="M34" s="19">
        <f t="shared" si="3"/>
        <v>0</v>
      </c>
      <c r="N34" s="19" t="str">
        <f t="shared" si="7"/>
        <v/>
      </c>
    </row>
    <row r="35" spans="1:20" x14ac:dyDescent="0.25">
      <c r="A35" s="41" t="str">
        <f t="shared" si="8"/>
        <v/>
      </c>
      <c r="B35" s="35" t="str">
        <f t="shared" si="9"/>
        <v/>
      </c>
      <c r="C35" s="25"/>
      <c r="D35" s="25"/>
      <c r="E35" s="25"/>
      <c r="F35" s="25"/>
      <c r="G35" s="5"/>
      <c r="H35" s="44">
        <v>30</v>
      </c>
      <c r="I35" s="45" t="str">
        <f t="shared" si="4"/>
        <v/>
      </c>
      <c r="J35" s="44">
        <f t="shared" si="5"/>
        <v>-1</v>
      </c>
      <c r="K35" s="44">
        <f t="shared" si="6"/>
        <v>-10</v>
      </c>
      <c r="L35" s="44"/>
      <c r="M35" s="46">
        <f t="shared" si="3"/>
        <v>0</v>
      </c>
      <c r="N35" s="46" t="str">
        <f t="shared" si="7"/>
        <v/>
      </c>
    </row>
    <row r="36" spans="1:20" x14ac:dyDescent="0.25">
      <c r="A36" s="42" t="str">
        <f t="shared" si="8"/>
        <v/>
      </c>
      <c r="B36" s="36" t="str">
        <f t="shared" si="9"/>
        <v/>
      </c>
      <c r="C36" s="24"/>
      <c r="D36" s="24"/>
      <c r="E36" s="24"/>
      <c r="F36" s="24"/>
      <c r="G36" s="5"/>
      <c r="H36" s="17">
        <v>31</v>
      </c>
      <c r="I36" s="18" t="str">
        <f t="shared" si="4"/>
        <v/>
      </c>
      <c r="J36" s="17">
        <f t="shared" si="5"/>
        <v>-1</v>
      </c>
      <c r="K36" s="17">
        <f t="shared" si="6"/>
        <v>-10</v>
      </c>
      <c r="L36" s="17"/>
      <c r="M36" s="19">
        <f t="shared" si="3"/>
        <v>0</v>
      </c>
      <c r="N36" s="19" t="str">
        <f t="shared" si="7"/>
        <v/>
      </c>
      <c r="S36" s="50"/>
      <c r="T36" s="34"/>
    </row>
    <row r="37" spans="1:20" x14ac:dyDescent="0.25">
      <c r="A37" s="41" t="str">
        <f t="shared" si="8"/>
        <v/>
      </c>
      <c r="B37" s="35" t="str">
        <f t="shared" si="9"/>
        <v/>
      </c>
      <c r="C37" s="25"/>
      <c r="D37" s="25"/>
      <c r="E37" s="25"/>
      <c r="F37" s="25"/>
      <c r="G37" s="5"/>
      <c r="H37" s="44">
        <v>32</v>
      </c>
      <c r="I37" s="45" t="str">
        <f t="shared" si="4"/>
        <v/>
      </c>
      <c r="J37" s="44">
        <f t="shared" si="5"/>
        <v>-1</v>
      </c>
      <c r="K37" s="44">
        <f t="shared" si="6"/>
        <v>-10</v>
      </c>
      <c r="L37" s="44"/>
      <c r="M37" s="46">
        <f t="shared" si="3"/>
        <v>0</v>
      </c>
      <c r="N37" s="46" t="str">
        <f t="shared" si="7"/>
        <v/>
      </c>
    </row>
    <row r="38" spans="1:20" x14ac:dyDescent="0.25">
      <c r="A38" s="42" t="str">
        <f t="shared" si="8"/>
        <v/>
      </c>
      <c r="B38" s="36" t="str">
        <f t="shared" si="9"/>
        <v/>
      </c>
      <c r="C38" s="24"/>
      <c r="D38" s="24"/>
      <c r="E38" s="24"/>
      <c r="F38" s="24"/>
      <c r="G38" s="5"/>
      <c r="H38" s="17">
        <v>33</v>
      </c>
      <c r="I38" s="18" t="str">
        <f t="shared" si="4"/>
        <v/>
      </c>
      <c r="J38" s="17">
        <f t="shared" si="5"/>
        <v>-2</v>
      </c>
      <c r="K38" s="17">
        <f t="shared" si="6"/>
        <v>-20</v>
      </c>
      <c r="L38" s="17"/>
      <c r="M38" s="19">
        <f t="shared" si="3"/>
        <v>0</v>
      </c>
      <c r="N38" s="19" t="str">
        <f t="shared" si="7"/>
        <v/>
      </c>
    </row>
    <row r="39" spans="1:20" x14ac:dyDescent="0.25">
      <c r="A39" s="41" t="str">
        <f t="shared" si="8"/>
        <v/>
      </c>
      <c r="B39" s="35" t="str">
        <f t="shared" si="9"/>
        <v/>
      </c>
      <c r="C39" s="25"/>
      <c r="D39" s="25"/>
      <c r="E39" s="25"/>
      <c r="F39" s="25"/>
      <c r="G39" s="5"/>
      <c r="H39" s="44">
        <v>34</v>
      </c>
      <c r="I39" s="45" t="str">
        <f t="shared" si="4"/>
        <v/>
      </c>
      <c r="J39" s="44">
        <f t="shared" si="5"/>
        <v>-2</v>
      </c>
      <c r="K39" s="44">
        <f t="shared" si="6"/>
        <v>-20</v>
      </c>
      <c r="L39" s="44"/>
      <c r="M39" s="46">
        <f t="shared" si="3"/>
        <v>0</v>
      </c>
      <c r="N39" s="46" t="str">
        <f t="shared" si="7"/>
        <v/>
      </c>
    </row>
    <row r="40" spans="1:20" x14ac:dyDescent="0.25">
      <c r="A40" s="42" t="str">
        <f t="shared" si="8"/>
        <v/>
      </c>
      <c r="B40" s="36" t="str">
        <f t="shared" si="9"/>
        <v/>
      </c>
      <c r="C40" s="24"/>
      <c r="D40" s="24"/>
      <c r="E40" s="24"/>
      <c r="F40" s="24"/>
      <c r="G40" s="5"/>
      <c r="H40" s="17">
        <v>35</v>
      </c>
      <c r="I40" s="18" t="str">
        <f t="shared" si="4"/>
        <v/>
      </c>
      <c r="J40" s="17">
        <f t="shared" si="5"/>
        <v>-2</v>
      </c>
      <c r="K40" s="17">
        <f t="shared" si="6"/>
        <v>-20</v>
      </c>
      <c r="L40" s="17"/>
      <c r="M40" s="19">
        <f t="shared" si="3"/>
        <v>0</v>
      </c>
      <c r="N40" s="19" t="str">
        <f t="shared" si="7"/>
        <v/>
      </c>
    </row>
    <row r="41" spans="1:20" x14ac:dyDescent="0.25">
      <c r="A41" s="41" t="str">
        <f t="shared" si="8"/>
        <v/>
      </c>
      <c r="B41" s="35" t="str">
        <f t="shared" si="9"/>
        <v/>
      </c>
      <c r="C41" s="25"/>
      <c r="D41" s="25"/>
      <c r="E41" s="25"/>
      <c r="F41" s="25"/>
      <c r="G41" s="5"/>
      <c r="H41" s="44">
        <v>36</v>
      </c>
      <c r="I41" s="45" t="str">
        <f t="shared" si="4"/>
        <v/>
      </c>
      <c r="J41" s="44">
        <f t="shared" si="5"/>
        <v>-2</v>
      </c>
      <c r="K41" s="44">
        <f t="shared" si="6"/>
        <v>-20</v>
      </c>
      <c r="L41" s="44"/>
      <c r="M41" s="46">
        <f t="shared" si="3"/>
        <v>0</v>
      </c>
      <c r="N41" s="46" t="str">
        <f t="shared" si="7"/>
        <v/>
      </c>
      <c r="T41" s="32"/>
    </row>
    <row r="42" spans="1:20" x14ac:dyDescent="0.25">
      <c r="A42" s="42" t="str">
        <f t="shared" si="8"/>
        <v/>
      </c>
      <c r="B42" s="36" t="str">
        <f t="shared" si="9"/>
        <v/>
      </c>
      <c r="C42" s="24"/>
      <c r="D42" s="24"/>
      <c r="E42" s="24"/>
      <c r="F42" s="24"/>
      <c r="G42" s="5"/>
      <c r="H42" s="17">
        <v>37</v>
      </c>
      <c r="I42" s="18" t="str">
        <f t="shared" si="4"/>
        <v/>
      </c>
      <c r="J42" s="17">
        <f t="shared" si="5"/>
        <v>-2</v>
      </c>
      <c r="K42" s="17">
        <f t="shared" si="6"/>
        <v>-20</v>
      </c>
      <c r="L42" s="17"/>
      <c r="M42" s="19">
        <f t="shared" si="3"/>
        <v>0</v>
      </c>
      <c r="N42" s="19" t="str">
        <f t="shared" si="7"/>
        <v/>
      </c>
    </row>
    <row r="43" spans="1:20" x14ac:dyDescent="0.25">
      <c r="A43" s="41" t="str">
        <f t="shared" si="8"/>
        <v/>
      </c>
      <c r="B43" s="35" t="str">
        <f t="shared" si="9"/>
        <v/>
      </c>
      <c r="C43" s="25"/>
      <c r="D43" s="25"/>
      <c r="E43" s="25"/>
      <c r="F43" s="25"/>
      <c r="G43" s="5"/>
      <c r="H43" s="44">
        <v>38</v>
      </c>
      <c r="I43" s="45" t="str">
        <f t="shared" si="4"/>
        <v/>
      </c>
      <c r="J43" s="44">
        <f t="shared" si="5"/>
        <v>-2</v>
      </c>
      <c r="K43" s="44">
        <f t="shared" si="6"/>
        <v>-20</v>
      </c>
      <c r="L43" s="44"/>
      <c r="M43" s="46">
        <f t="shared" si="3"/>
        <v>0</v>
      </c>
      <c r="N43" s="46" t="str">
        <f t="shared" si="7"/>
        <v/>
      </c>
    </row>
    <row r="44" spans="1:20" x14ac:dyDescent="0.25">
      <c r="A44" s="42" t="str">
        <f t="shared" si="8"/>
        <v/>
      </c>
      <c r="B44" s="36" t="str">
        <f t="shared" si="9"/>
        <v/>
      </c>
      <c r="C44" s="24"/>
      <c r="D44" s="24"/>
      <c r="E44" s="24"/>
      <c r="F44" s="24"/>
      <c r="G44" s="5"/>
      <c r="H44" s="17">
        <v>39</v>
      </c>
      <c r="I44" s="18" t="str">
        <f t="shared" si="4"/>
        <v/>
      </c>
      <c r="J44" s="17">
        <f t="shared" si="5"/>
        <v>-2</v>
      </c>
      <c r="K44" s="17">
        <f t="shared" si="6"/>
        <v>-20</v>
      </c>
      <c r="L44" s="17"/>
      <c r="M44" s="19">
        <f t="shared" si="3"/>
        <v>0</v>
      </c>
      <c r="N44" s="19" t="str">
        <f t="shared" si="7"/>
        <v/>
      </c>
    </row>
    <row r="45" spans="1:20" x14ac:dyDescent="0.25">
      <c r="A45" s="41" t="str">
        <f t="shared" si="8"/>
        <v/>
      </c>
      <c r="B45" s="35" t="str">
        <f t="shared" si="9"/>
        <v/>
      </c>
      <c r="C45" s="25"/>
      <c r="D45" s="25"/>
      <c r="E45" s="25"/>
      <c r="F45" s="25"/>
      <c r="G45" s="5"/>
      <c r="H45" s="44">
        <v>40</v>
      </c>
      <c r="I45" s="45" t="str">
        <f t="shared" si="4"/>
        <v/>
      </c>
      <c r="J45" s="44">
        <f t="shared" si="5"/>
        <v>-2</v>
      </c>
      <c r="K45" s="44">
        <f t="shared" si="6"/>
        <v>-20</v>
      </c>
      <c r="L45" s="44"/>
      <c r="M45" s="46">
        <f t="shared" si="3"/>
        <v>0</v>
      </c>
      <c r="N45" s="46" t="str">
        <f t="shared" si="7"/>
        <v/>
      </c>
    </row>
    <row r="46" spans="1:20" x14ac:dyDescent="0.25">
      <c r="A46" s="42" t="str">
        <f t="shared" si="8"/>
        <v/>
      </c>
      <c r="B46" s="36" t="str">
        <f t="shared" si="9"/>
        <v/>
      </c>
      <c r="C46" s="24"/>
      <c r="D46" s="24"/>
      <c r="E46" s="24"/>
      <c r="F46" s="24"/>
      <c r="G46" s="5"/>
      <c r="H46" s="17">
        <v>41</v>
      </c>
      <c r="I46" s="18" t="str">
        <f t="shared" si="4"/>
        <v/>
      </c>
      <c r="J46" s="17">
        <f t="shared" si="5"/>
        <v>-2</v>
      </c>
      <c r="K46" s="17">
        <f t="shared" si="6"/>
        <v>-20</v>
      </c>
      <c r="L46" s="17"/>
      <c r="M46" s="19">
        <f t="shared" si="3"/>
        <v>0</v>
      </c>
      <c r="N46" s="19" t="str">
        <f t="shared" si="7"/>
        <v/>
      </c>
    </row>
    <row r="47" spans="1:20" x14ac:dyDescent="0.25">
      <c r="A47" s="41" t="str">
        <f t="shared" si="8"/>
        <v/>
      </c>
      <c r="B47" s="35" t="str">
        <f t="shared" si="9"/>
        <v/>
      </c>
      <c r="C47" s="25"/>
      <c r="D47" s="25"/>
      <c r="E47" s="25"/>
      <c r="F47" s="25"/>
      <c r="G47" s="5"/>
      <c r="H47" s="44">
        <v>42</v>
      </c>
      <c r="I47" s="45" t="str">
        <f t="shared" si="4"/>
        <v/>
      </c>
      <c r="J47" s="44">
        <f t="shared" si="5"/>
        <v>-2</v>
      </c>
      <c r="K47" s="44">
        <f t="shared" si="6"/>
        <v>-20</v>
      </c>
      <c r="L47" s="44"/>
      <c r="M47" s="46">
        <f t="shared" si="3"/>
        <v>0</v>
      </c>
      <c r="N47" s="46" t="str">
        <f t="shared" si="7"/>
        <v/>
      </c>
    </row>
    <row r="48" spans="1:20" x14ac:dyDescent="0.25">
      <c r="A48" s="42" t="str">
        <f t="shared" si="8"/>
        <v/>
      </c>
      <c r="B48" s="36" t="str">
        <f t="shared" si="9"/>
        <v/>
      </c>
      <c r="C48" s="24"/>
      <c r="D48" s="24"/>
      <c r="E48" s="24"/>
      <c r="F48" s="24"/>
      <c r="G48" s="5"/>
      <c r="H48" s="17">
        <v>43</v>
      </c>
      <c r="I48" s="18" t="str">
        <f t="shared" si="4"/>
        <v/>
      </c>
      <c r="J48" s="17">
        <f t="shared" si="5"/>
        <v>-2</v>
      </c>
      <c r="K48" s="17">
        <f t="shared" si="6"/>
        <v>-20</v>
      </c>
      <c r="L48" s="17"/>
      <c r="M48" s="19">
        <f t="shared" si="3"/>
        <v>0</v>
      </c>
      <c r="N48" s="19" t="str">
        <f t="shared" si="7"/>
        <v/>
      </c>
    </row>
    <row r="49" spans="1:14" x14ac:dyDescent="0.25">
      <c r="A49" s="41" t="str">
        <f t="shared" si="8"/>
        <v/>
      </c>
      <c r="B49" s="35" t="str">
        <f t="shared" si="9"/>
        <v/>
      </c>
      <c r="C49" s="25"/>
      <c r="D49" s="25"/>
      <c r="E49" s="25"/>
      <c r="F49" s="25"/>
      <c r="G49" s="5"/>
      <c r="H49" s="44">
        <v>44</v>
      </c>
      <c r="I49" s="45" t="str">
        <f t="shared" si="4"/>
        <v/>
      </c>
      <c r="J49" s="44">
        <f t="shared" si="5"/>
        <v>-2</v>
      </c>
      <c r="K49" s="44">
        <f t="shared" si="6"/>
        <v>-20</v>
      </c>
      <c r="L49" s="44"/>
      <c r="M49" s="46">
        <f t="shared" si="3"/>
        <v>0</v>
      </c>
      <c r="N49" s="46" t="str">
        <f t="shared" si="7"/>
        <v/>
      </c>
    </row>
    <row r="50" spans="1:14" x14ac:dyDescent="0.25">
      <c r="A50" s="42" t="str">
        <f t="shared" si="8"/>
        <v/>
      </c>
      <c r="B50" s="36" t="str">
        <f t="shared" si="9"/>
        <v/>
      </c>
      <c r="C50" s="24"/>
      <c r="D50" s="24"/>
      <c r="E50" s="24"/>
      <c r="F50" s="24"/>
      <c r="G50" s="5"/>
      <c r="H50" s="17">
        <v>45</v>
      </c>
      <c r="I50" s="18" t="str">
        <f t="shared" si="4"/>
        <v/>
      </c>
      <c r="J50" s="17">
        <f t="shared" si="5"/>
        <v>-2</v>
      </c>
      <c r="K50" s="17">
        <f t="shared" si="6"/>
        <v>-20</v>
      </c>
      <c r="L50" s="17"/>
      <c r="M50" s="19">
        <f t="shared" si="3"/>
        <v>0</v>
      </c>
      <c r="N50" s="19" t="str">
        <f t="shared" si="7"/>
        <v/>
      </c>
    </row>
    <row r="51" spans="1:14" x14ac:dyDescent="0.25">
      <c r="A51" s="41" t="str">
        <f t="shared" si="8"/>
        <v/>
      </c>
      <c r="B51" s="35" t="str">
        <f t="shared" si="9"/>
        <v/>
      </c>
      <c r="C51" s="25"/>
      <c r="D51" s="25"/>
      <c r="E51" s="25"/>
      <c r="F51" s="25"/>
      <c r="G51" s="5"/>
      <c r="H51" s="44">
        <v>46</v>
      </c>
      <c r="I51" s="45" t="str">
        <f t="shared" si="4"/>
        <v/>
      </c>
      <c r="J51" s="44">
        <f t="shared" si="5"/>
        <v>-2</v>
      </c>
      <c r="K51" s="44">
        <f t="shared" si="6"/>
        <v>-20</v>
      </c>
      <c r="L51" s="44"/>
      <c r="M51" s="46">
        <f t="shared" si="3"/>
        <v>0</v>
      </c>
      <c r="N51" s="46" t="str">
        <f t="shared" si="7"/>
        <v/>
      </c>
    </row>
    <row r="52" spans="1:14" x14ac:dyDescent="0.25">
      <c r="A52" s="42" t="str">
        <f t="shared" si="8"/>
        <v/>
      </c>
      <c r="B52" s="36" t="str">
        <f t="shared" si="9"/>
        <v/>
      </c>
      <c r="C52" s="24"/>
      <c r="D52" s="24"/>
      <c r="E52" s="24"/>
      <c r="F52" s="24"/>
      <c r="G52" s="5"/>
      <c r="H52" s="17">
        <v>47</v>
      </c>
      <c r="I52" s="18" t="str">
        <f t="shared" si="4"/>
        <v/>
      </c>
      <c r="J52" s="17">
        <f t="shared" si="5"/>
        <v>-2</v>
      </c>
      <c r="K52" s="17">
        <f t="shared" si="6"/>
        <v>-20</v>
      </c>
      <c r="L52" s="17"/>
      <c r="M52" s="19">
        <f t="shared" si="3"/>
        <v>0</v>
      </c>
      <c r="N52" s="19" t="str">
        <f t="shared" si="7"/>
        <v/>
      </c>
    </row>
    <row r="53" spans="1:14" x14ac:dyDescent="0.25">
      <c r="A53" s="41" t="str">
        <f t="shared" si="8"/>
        <v/>
      </c>
      <c r="B53" s="35" t="str">
        <f t="shared" si="9"/>
        <v/>
      </c>
      <c r="C53" s="25"/>
      <c r="D53" s="25"/>
      <c r="E53" s="25"/>
      <c r="F53" s="25"/>
      <c r="G53" s="5"/>
      <c r="H53" s="44">
        <v>48</v>
      </c>
      <c r="I53" s="45" t="str">
        <f t="shared" si="4"/>
        <v/>
      </c>
      <c r="J53" s="44">
        <f t="shared" si="5"/>
        <v>-2</v>
      </c>
      <c r="K53" s="44">
        <f t="shared" si="6"/>
        <v>-20</v>
      </c>
      <c r="L53" s="44"/>
      <c r="M53" s="46">
        <f t="shared" si="3"/>
        <v>0</v>
      </c>
      <c r="N53" s="46" t="str">
        <f t="shared" si="7"/>
        <v/>
      </c>
    </row>
    <row r="54" spans="1:14" x14ac:dyDescent="0.25">
      <c r="A54" s="42" t="str">
        <f t="shared" si="8"/>
        <v/>
      </c>
      <c r="B54" s="36" t="str">
        <f t="shared" si="9"/>
        <v/>
      </c>
      <c r="C54" s="24"/>
      <c r="D54" s="24"/>
      <c r="E54" s="24"/>
      <c r="F54" s="24"/>
      <c r="G54" s="5"/>
      <c r="H54" s="17">
        <v>49</v>
      </c>
      <c r="I54" s="18" t="str">
        <f t="shared" si="4"/>
        <v/>
      </c>
      <c r="J54" s="17">
        <f t="shared" si="5"/>
        <v>-2</v>
      </c>
      <c r="K54" s="17">
        <f t="shared" si="6"/>
        <v>-20</v>
      </c>
      <c r="L54" s="17"/>
      <c r="M54" s="19">
        <f t="shared" si="3"/>
        <v>0</v>
      </c>
      <c r="N54" s="19" t="str">
        <f t="shared" si="7"/>
        <v/>
      </c>
    </row>
    <row r="55" spans="1:14" x14ac:dyDescent="0.25">
      <c r="A55" s="41" t="str">
        <f t="shared" si="8"/>
        <v/>
      </c>
      <c r="B55" s="35" t="str">
        <f t="shared" si="9"/>
        <v/>
      </c>
      <c r="C55" s="25"/>
      <c r="D55" s="25"/>
      <c r="E55" s="25"/>
      <c r="F55" s="25"/>
      <c r="G55" s="5"/>
      <c r="H55" s="44">
        <v>50</v>
      </c>
      <c r="I55" s="45" t="str">
        <f t="shared" si="4"/>
        <v/>
      </c>
      <c r="J55" s="44">
        <f t="shared" si="5"/>
        <v>-2</v>
      </c>
      <c r="K55" s="44">
        <f t="shared" si="6"/>
        <v>-20</v>
      </c>
      <c r="L55" s="44"/>
      <c r="M55" s="46">
        <f t="shared" si="3"/>
        <v>0</v>
      </c>
      <c r="N55" s="46" t="str">
        <f t="shared" si="7"/>
        <v/>
      </c>
    </row>
    <row r="56" spans="1:14" x14ac:dyDescent="0.25">
      <c r="A56" s="42" t="str">
        <f t="shared" si="8"/>
        <v/>
      </c>
      <c r="B56" s="36" t="str">
        <f t="shared" si="9"/>
        <v/>
      </c>
      <c r="C56" s="24"/>
      <c r="D56" s="24"/>
      <c r="E56" s="24"/>
      <c r="F56" s="24"/>
      <c r="G56" s="5"/>
      <c r="H56" s="17">
        <v>51</v>
      </c>
      <c r="I56" s="18" t="str">
        <f t="shared" si="4"/>
        <v/>
      </c>
      <c r="J56" s="17">
        <f t="shared" si="5"/>
        <v>-2</v>
      </c>
      <c r="K56" s="17">
        <f t="shared" si="6"/>
        <v>-20</v>
      </c>
      <c r="L56" s="17"/>
      <c r="M56" s="19">
        <f t="shared" si="3"/>
        <v>0</v>
      </c>
      <c r="N56" s="19" t="str">
        <f t="shared" si="7"/>
        <v/>
      </c>
    </row>
    <row r="57" spans="1:14" x14ac:dyDescent="0.25">
      <c r="A57" s="41" t="str">
        <f t="shared" si="8"/>
        <v/>
      </c>
      <c r="B57" s="35" t="str">
        <f t="shared" si="9"/>
        <v/>
      </c>
      <c r="C57" s="25"/>
      <c r="D57" s="25"/>
      <c r="E57" s="25"/>
      <c r="F57" s="25"/>
      <c r="G57" s="5"/>
      <c r="H57" s="44">
        <v>52</v>
      </c>
      <c r="I57" s="45" t="str">
        <f t="shared" si="4"/>
        <v/>
      </c>
      <c r="J57" s="44">
        <f t="shared" si="5"/>
        <v>-2</v>
      </c>
      <c r="K57" s="44">
        <f t="shared" si="6"/>
        <v>-20</v>
      </c>
      <c r="L57" s="44"/>
      <c r="M57" s="46">
        <f t="shared" si="3"/>
        <v>0</v>
      </c>
      <c r="N57" s="46" t="str">
        <f t="shared" si="7"/>
        <v/>
      </c>
    </row>
    <row r="58" spans="1:14" x14ac:dyDescent="0.25">
      <c r="A58" s="42" t="str">
        <f t="shared" si="8"/>
        <v/>
      </c>
      <c r="B58" s="36" t="str">
        <f t="shared" si="9"/>
        <v/>
      </c>
      <c r="C58" s="24"/>
      <c r="D58" s="24"/>
      <c r="E58" s="24"/>
      <c r="F58" s="24"/>
      <c r="G58" s="5"/>
      <c r="H58" s="17">
        <v>53</v>
      </c>
      <c r="I58" s="18" t="str">
        <f t="shared" si="4"/>
        <v/>
      </c>
      <c r="J58" s="17">
        <f t="shared" si="5"/>
        <v>-2</v>
      </c>
      <c r="K58" s="17">
        <f t="shared" si="6"/>
        <v>-20</v>
      </c>
      <c r="L58" s="17"/>
      <c r="M58" s="19">
        <f t="shared" si="3"/>
        <v>0</v>
      </c>
      <c r="N58" s="19" t="str">
        <f t="shared" si="7"/>
        <v/>
      </c>
    </row>
    <row r="59" spans="1:14" x14ac:dyDescent="0.25">
      <c r="A59" s="41" t="str">
        <f t="shared" si="8"/>
        <v/>
      </c>
      <c r="B59" s="35" t="str">
        <f t="shared" si="9"/>
        <v/>
      </c>
      <c r="C59" s="25"/>
      <c r="D59" s="25"/>
      <c r="E59" s="25"/>
      <c r="F59" s="25"/>
      <c r="G59" s="5"/>
      <c r="H59" s="44">
        <v>54</v>
      </c>
      <c r="I59" s="45" t="str">
        <f t="shared" si="4"/>
        <v/>
      </c>
      <c r="J59" s="44">
        <f t="shared" si="5"/>
        <v>-2</v>
      </c>
      <c r="K59" s="44">
        <f t="shared" si="6"/>
        <v>-20</v>
      </c>
      <c r="L59" s="44"/>
      <c r="M59" s="46">
        <f t="shared" si="3"/>
        <v>0</v>
      </c>
      <c r="N59" s="46" t="str">
        <f t="shared" si="7"/>
        <v/>
      </c>
    </row>
    <row r="60" spans="1:14" x14ac:dyDescent="0.25">
      <c r="A60" s="42" t="str">
        <f t="shared" si="8"/>
        <v/>
      </c>
      <c r="B60" s="36" t="str">
        <f t="shared" si="9"/>
        <v/>
      </c>
      <c r="C60" s="24"/>
      <c r="D60" s="24"/>
      <c r="E60" s="24"/>
      <c r="F60" s="24"/>
      <c r="G60" s="5"/>
      <c r="H60" s="17">
        <v>55</v>
      </c>
      <c r="I60" s="18" t="str">
        <f t="shared" si="4"/>
        <v/>
      </c>
      <c r="J60" s="17">
        <f t="shared" si="5"/>
        <v>-2</v>
      </c>
      <c r="K60" s="17">
        <f t="shared" si="6"/>
        <v>-20</v>
      </c>
      <c r="L60" s="17"/>
      <c r="M60" s="19">
        <f t="shared" si="3"/>
        <v>0</v>
      </c>
      <c r="N60" s="19" t="str">
        <f t="shared" si="7"/>
        <v/>
      </c>
    </row>
    <row r="61" spans="1:14" x14ac:dyDescent="0.25">
      <c r="A61" s="41" t="str">
        <f t="shared" si="8"/>
        <v/>
      </c>
      <c r="B61" s="35" t="str">
        <f t="shared" si="9"/>
        <v/>
      </c>
      <c r="C61" s="25"/>
      <c r="D61" s="25"/>
      <c r="E61" s="25"/>
      <c r="F61" s="25"/>
      <c r="G61" s="5"/>
      <c r="H61" s="44">
        <v>56</v>
      </c>
      <c r="I61" s="45" t="str">
        <f t="shared" si="4"/>
        <v/>
      </c>
      <c r="J61" s="44">
        <f t="shared" si="5"/>
        <v>-2</v>
      </c>
      <c r="K61" s="44">
        <f t="shared" si="6"/>
        <v>-20</v>
      </c>
      <c r="L61" s="44"/>
      <c r="M61" s="46">
        <f t="shared" si="3"/>
        <v>0</v>
      </c>
      <c r="N61" s="46" t="str">
        <f t="shared" si="7"/>
        <v/>
      </c>
    </row>
    <row r="62" spans="1:14" x14ac:dyDescent="0.25">
      <c r="A62" s="42" t="str">
        <f t="shared" si="8"/>
        <v/>
      </c>
      <c r="B62" s="36" t="str">
        <f t="shared" si="9"/>
        <v/>
      </c>
      <c r="C62" s="24"/>
      <c r="D62" s="24"/>
      <c r="E62" s="24"/>
      <c r="F62" s="24"/>
      <c r="G62" s="5"/>
      <c r="H62" s="17">
        <v>57</v>
      </c>
      <c r="I62" s="18" t="str">
        <f t="shared" si="4"/>
        <v/>
      </c>
      <c r="J62" s="17">
        <f t="shared" si="5"/>
        <v>-2</v>
      </c>
      <c r="K62" s="17">
        <f t="shared" si="6"/>
        <v>-20</v>
      </c>
      <c r="L62" s="17"/>
      <c r="M62" s="19">
        <f t="shared" si="3"/>
        <v>0</v>
      </c>
      <c r="N62" s="19" t="str">
        <f t="shared" si="7"/>
        <v/>
      </c>
    </row>
    <row r="63" spans="1:14" x14ac:dyDescent="0.25">
      <c r="A63" s="41" t="str">
        <f t="shared" si="8"/>
        <v/>
      </c>
      <c r="B63" s="35" t="str">
        <f t="shared" si="9"/>
        <v/>
      </c>
      <c r="C63" s="25"/>
      <c r="D63" s="25"/>
      <c r="E63" s="25"/>
      <c r="F63" s="25"/>
      <c r="G63" s="5"/>
      <c r="H63" s="44">
        <v>58</v>
      </c>
      <c r="I63" s="45" t="str">
        <f t="shared" si="4"/>
        <v/>
      </c>
      <c r="J63" s="44">
        <f t="shared" si="5"/>
        <v>-2</v>
      </c>
      <c r="K63" s="44">
        <f t="shared" si="6"/>
        <v>-20</v>
      </c>
      <c r="L63" s="44"/>
      <c r="M63" s="46">
        <f t="shared" si="3"/>
        <v>0</v>
      </c>
      <c r="N63" s="46" t="str">
        <f t="shared" si="7"/>
        <v/>
      </c>
    </row>
    <row r="64" spans="1:14" x14ac:dyDescent="0.25">
      <c r="A64" s="42" t="str">
        <f t="shared" si="8"/>
        <v/>
      </c>
      <c r="B64" s="36" t="str">
        <f t="shared" si="9"/>
        <v/>
      </c>
      <c r="C64" s="24"/>
      <c r="D64" s="24"/>
      <c r="E64" s="24"/>
      <c r="F64" s="24"/>
      <c r="G64" s="5"/>
      <c r="H64" s="17">
        <v>59</v>
      </c>
      <c r="I64" s="18" t="str">
        <f t="shared" si="4"/>
        <v/>
      </c>
      <c r="J64" s="17">
        <f t="shared" si="5"/>
        <v>-2</v>
      </c>
      <c r="K64" s="17">
        <f t="shared" si="6"/>
        <v>-20</v>
      </c>
      <c r="L64" s="17"/>
      <c r="M64" s="19">
        <f t="shared" si="3"/>
        <v>0</v>
      </c>
      <c r="N64" s="19" t="str">
        <f t="shared" si="7"/>
        <v/>
      </c>
    </row>
    <row r="65" spans="1:14" x14ac:dyDescent="0.25">
      <c r="A65" s="41" t="str">
        <f t="shared" si="8"/>
        <v/>
      </c>
      <c r="B65" s="35" t="str">
        <f t="shared" si="9"/>
        <v/>
      </c>
      <c r="C65" s="25"/>
      <c r="D65" s="25"/>
      <c r="E65" s="25"/>
      <c r="F65" s="25"/>
      <c r="G65" s="5"/>
      <c r="H65" s="44">
        <v>60</v>
      </c>
      <c r="I65" s="45" t="str">
        <f t="shared" si="4"/>
        <v/>
      </c>
      <c r="J65" s="44">
        <f t="shared" si="5"/>
        <v>-2</v>
      </c>
      <c r="K65" s="44">
        <f t="shared" si="6"/>
        <v>-20</v>
      </c>
      <c r="L65" s="44"/>
      <c r="M65" s="46">
        <f t="shared" si="3"/>
        <v>0</v>
      </c>
      <c r="N65" s="46" t="str">
        <f t="shared" si="7"/>
        <v/>
      </c>
    </row>
    <row r="66" spans="1:14" x14ac:dyDescent="0.25">
      <c r="A66" s="43" t="str">
        <f t="shared" si="8"/>
        <v/>
      </c>
      <c r="B66" s="36"/>
      <c r="G66" s="5"/>
      <c r="H66" s="17">
        <v>61</v>
      </c>
      <c r="I66" s="18" t="str">
        <f t="shared" si="4"/>
        <v/>
      </c>
      <c r="J66" s="17">
        <f t="shared" si="5"/>
        <v>-2</v>
      </c>
      <c r="K66" s="17">
        <f t="shared" si="6"/>
        <v>-20</v>
      </c>
      <c r="L66" s="17"/>
      <c r="M66" s="19">
        <f t="shared" si="3"/>
        <v>0</v>
      </c>
      <c r="N66" s="19" t="str">
        <f t="shared" si="7"/>
        <v/>
      </c>
    </row>
    <row r="67" spans="1:14" x14ac:dyDescent="0.25">
      <c r="A67" s="43" t="str">
        <f t="shared" si="8"/>
        <v/>
      </c>
      <c r="B67" s="35"/>
      <c r="G67" s="5"/>
      <c r="H67" s="17">
        <v>62</v>
      </c>
      <c r="I67" s="18" t="str">
        <f t="shared" si="4"/>
        <v/>
      </c>
      <c r="J67" s="17">
        <f t="shared" si="5"/>
        <v>-2</v>
      </c>
      <c r="K67" s="17">
        <f t="shared" si="6"/>
        <v>-20</v>
      </c>
      <c r="L67" s="17"/>
      <c r="M67" s="19">
        <f t="shared" si="3"/>
        <v>0</v>
      </c>
      <c r="N67" s="19" t="str">
        <f t="shared" si="7"/>
        <v/>
      </c>
    </row>
    <row r="68" spans="1:14" x14ac:dyDescent="0.25">
      <c r="A68" s="43" t="str">
        <f t="shared" si="8"/>
        <v/>
      </c>
      <c r="B68" s="36"/>
      <c r="G68" s="5"/>
      <c r="H68" s="17">
        <v>63</v>
      </c>
      <c r="I68" s="18" t="str">
        <f t="shared" si="4"/>
        <v/>
      </c>
      <c r="J68" s="17">
        <f t="shared" si="5"/>
        <v>-2</v>
      </c>
      <c r="K68" s="17">
        <f t="shared" si="6"/>
        <v>-20</v>
      </c>
      <c r="L68" s="17"/>
      <c r="M68" s="19">
        <f t="shared" si="3"/>
        <v>0</v>
      </c>
      <c r="N68" s="19" t="str">
        <f t="shared" si="7"/>
        <v/>
      </c>
    </row>
    <row r="69" spans="1:14" x14ac:dyDescent="0.25">
      <c r="A69" s="43" t="str">
        <f t="shared" si="8"/>
        <v/>
      </c>
      <c r="B69" s="35"/>
      <c r="G69" s="5"/>
      <c r="H69" s="17">
        <v>64</v>
      </c>
      <c r="I69" s="18" t="str">
        <f t="shared" si="4"/>
        <v/>
      </c>
      <c r="J69" s="17">
        <f t="shared" si="5"/>
        <v>-2</v>
      </c>
      <c r="K69" s="17">
        <f t="shared" si="6"/>
        <v>-20</v>
      </c>
      <c r="L69" s="17"/>
      <c r="M69" s="19">
        <f t="shared" si="3"/>
        <v>0</v>
      </c>
      <c r="N69" s="19" t="str">
        <f t="shared" si="7"/>
        <v/>
      </c>
    </row>
    <row r="70" spans="1:14" x14ac:dyDescent="0.25">
      <c r="A70" s="43" t="str">
        <f t="shared" si="8"/>
        <v/>
      </c>
      <c r="G70" s="5"/>
      <c r="H70" s="17">
        <v>65</v>
      </c>
      <c r="I70" s="18" t="str">
        <f t="shared" ref="I70:I133" si="10">IF(H70&lt;$H$2+1,($I$2-($I$2-1)*(LOG(H70)/LOG($H$2))),"")</f>
        <v/>
      </c>
      <c r="J70" s="17">
        <f t="shared" si="5"/>
        <v>-3</v>
      </c>
      <c r="K70" s="17">
        <f t="shared" ref="K70:K133" si="11">J70*$J$2</f>
        <v>-30</v>
      </c>
      <c r="L70" s="17"/>
      <c r="M70" s="19">
        <f t="shared" ref="M70:M133" si="12">IF(I70&lt;&gt;"",K70+I70+L70,0)</f>
        <v>0</v>
      </c>
      <c r="N70" s="19" t="str">
        <f t="shared" si="7"/>
        <v/>
      </c>
    </row>
    <row r="71" spans="1:14" x14ac:dyDescent="0.25">
      <c r="A71" s="43" t="str">
        <f t="shared" ref="A71:A134" si="13">N71</f>
        <v/>
      </c>
      <c r="G71" s="5"/>
      <c r="H71" s="17">
        <v>66</v>
      </c>
      <c r="I71" s="18" t="str">
        <f t="shared" si="10"/>
        <v/>
      </c>
      <c r="J71" s="17">
        <f t="shared" ref="J71:J134" si="14">INT(LOG($H$2,2))-ROUNDUP(LOG(H71,2),0)+IF(OR($H$2=1,$H$2=2,$H$2=4,$H$2=8,$H$2=16,$H$2=32,$H$2=64,$H$2=128,$H$2=256),0,1)</f>
        <v>-3</v>
      </c>
      <c r="K71" s="17">
        <f t="shared" si="11"/>
        <v>-30</v>
      </c>
      <c r="L71" s="17"/>
      <c r="M71" s="19">
        <f t="shared" si="12"/>
        <v>0</v>
      </c>
      <c r="N71" s="19" t="str">
        <f t="shared" ref="N71:N134" si="15">IF(I71&lt;&gt;"",M71*L$2,"")</f>
        <v/>
      </c>
    </row>
    <row r="72" spans="1:14" x14ac:dyDescent="0.25">
      <c r="A72" s="43" t="str">
        <f t="shared" si="13"/>
        <v/>
      </c>
      <c r="G72" s="5"/>
      <c r="H72" s="17">
        <v>67</v>
      </c>
      <c r="I72" s="18" t="str">
        <f t="shared" si="10"/>
        <v/>
      </c>
      <c r="J72" s="17">
        <f t="shared" si="14"/>
        <v>-3</v>
      </c>
      <c r="K72" s="17">
        <f t="shared" si="11"/>
        <v>-30</v>
      </c>
      <c r="L72" s="17"/>
      <c r="M72" s="19">
        <f t="shared" si="12"/>
        <v>0</v>
      </c>
      <c r="N72" s="19" t="str">
        <f t="shared" si="15"/>
        <v/>
      </c>
    </row>
    <row r="73" spans="1:14" x14ac:dyDescent="0.25">
      <c r="A73" s="43" t="str">
        <f t="shared" si="13"/>
        <v/>
      </c>
      <c r="G73" s="5"/>
      <c r="H73" s="17">
        <v>68</v>
      </c>
      <c r="I73" s="18" t="str">
        <f t="shared" si="10"/>
        <v/>
      </c>
      <c r="J73" s="17">
        <f t="shared" si="14"/>
        <v>-3</v>
      </c>
      <c r="K73" s="17">
        <f t="shared" si="11"/>
        <v>-30</v>
      </c>
      <c r="L73" s="17"/>
      <c r="M73" s="19">
        <f t="shared" si="12"/>
        <v>0</v>
      </c>
      <c r="N73" s="19" t="str">
        <f t="shared" si="15"/>
        <v/>
      </c>
    </row>
    <row r="74" spans="1:14" x14ac:dyDescent="0.25">
      <c r="A74" s="43" t="str">
        <f t="shared" si="13"/>
        <v/>
      </c>
      <c r="G74" s="5"/>
      <c r="H74" s="17">
        <v>69</v>
      </c>
      <c r="I74" s="18" t="str">
        <f t="shared" si="10"/>
        <v/>
      </c>
      <c r="J74" s="17">
        <f t="shared" si="14"/>
        <v>-3</v>
      </c>
      <c r="K74" s="17">
        <f t="shared" si="11"/>
        <v>-30</v>
      </c>
      <c r="L74" s="17"/>
      <c r="M74" s="19">
        <f t="shared" si="12"/>
        <v>0</v>
      </c>
      <c r="N74" s="19" t="str">
        <f t="shared" si="15"/>
        <v/>
      </c>
    </row>
    <row r="75" spans="1:14" x14ac:dyDescent="0.25">
      <c r="A75" s="43" t="str">
        <f t="shared" si="13"/>
        <v/>
      </c>
      <c r="G75" s="5"/>
      <c r="H75" s="17">
        <v>70</v>
      </c>
      <c r="I75" s="18" t="str">
        <f t="shared" si="10"/>
        <v/>
      </c>
      <c r="J75" s="17">
        <f t="shared" si="14"/>
        <v>-3</v>
      </c>
      <c r="K75" s="17">
        <f t="shared" si="11"/>
        <v>-30</v>
      </c>
      <c r="L75" s="17"/>
      <c r="M75" s="19">
        <f t="shared" si="12"/>
        <v>0</v>
      </c>
      <c r="N75" s="19" t="str">
        <f t="shared" si="15"/>
        <v/>
      </c>
    </row>
    <row r="76" spans="1:14" x14ac:dyDescent="0.25">
      <c r="A76" s="43" t="str">
        <f t="shared" si="13"/>
        <v/>
      </c>
      <c r="G76" s="5"/>
      <c r="H76" s="17">
        <v>71</v>
      </c>
      <c r="I76" s="18" t="str">
        <f t="shared" si="10"/>
        <v/>
      </c>
      <c r="J76" s="17">
        <f t="shared" si="14"/>
        <v>-3</v>
      </c>
      <c r="K76" s="17">
        <f t="shared" si="11"/>
        <v>-30</v>
      </c>
      <c r="L76" s="17"/>
      <c r="M76" s="19">
        <f t="shared" si="12"/>
        <v>0</v>
      </c>
      <c r="N76" s="19" t="str">
        <f t="shared" si="15"/>
        <v/>
      </c>
    </row>
    <row r="77" spans="1:14" x14ac:dyDescent="0.25">
      <c r="A77" s="43" t="str">
        <f t="shared" si="13"/>
        <v/>
      </c>
      <c r="G77" s="5"/>
      <c r="H77" s="17">
        <v>72</v>
      </c>
      <c r="I77" s="18" t="str">
        <f t="shared" si="10"/>
        <v/>
      </c>
      <c r="J77" s="17">
        <f t="shared" si="14"/>
        <v>-3</v>
      </c>
      <c r="K77" s="17">
        <f t="shared" si="11"/>
        <v>-30</v>
      </c>
      <c r="L77" s="17"/>
      <c r="M77" s="19">
        <f t="shared" si="12"/>
        <v>0</v>
      </c>
      <c r="N77" s="19" t="str">
        <f t="shared" si="15"/>
        <v/>
      </c>
    </row>
    <row r="78" spans="1:14" x14ac:dyDescent="0.25">
      <c r="A78" s="43" t="str">
        <f t="shared" si="13"/>
        <v/>
      </c>
      <c r="G78" s="5"/>
      <c r="H78" s="17">
        <v>73</v>
      </c>
      <c r="I78" s="18" t="str">
        <f t="shared" si="10"/>
        <v/>
      </c>
      <c r="J78" s="17">
        <f t="shared" si="14"/>
        <v>-3</v>
      </c>
      <c r="K78" s="17">
        <f t="shared" si="11"/>
        <v>-30</v>
      </c>
      <c r="L78" s="17"/>
      <c r="M78" s="19">
        <f t="shared" si="12"/>
        <v>0</v>
      </c>
      <c r="N78" s="19" t="str">
        <f t="shared" si="15"/>
        <v/>
      </c>
    </row>
    <row r="79" spans="1:14" x14ac:dyDescent="0.25">
      <c r="A79" s="43" t="str">
        <f t="shared" si="13"/>
        <v/>
      </c>
      <c r="G79" s="5"/>
      <c r="H79" s="17">
        <v>74</v>
      </c>
      <c r="I79" s="18" t="str">
        <f t="shared" si="10"/>
        <v/>
      </c>
      <c r="J79" s="17">
        <f t="shared" si="14"/>
        <v>-3</v>
      </c>
      <c r="K79" s="17">
        <f t="shared" si="11"/>
        <v>-30</v>
      </c>
      <c r="L79" s="17"/>
      <c r="M79" s="19">
        <f t="shared" si="12"/>
        <v>0</v>
      </c>
      <c r="N79" s="19" t="str">
        <f t="shared" si="15"/>
        <v/>
      </c>
    </row>
    <row r="80" spans="1:14" x14ac:dyDescent="0.25">
      <c r="A80" s="43" t="str">
        <f t="shared" si="13"/>
        <v/>
      </c>
      <c r="G80" s="5"/>
      <c r="H80" s="17">
        <v>75</v>
      </c>
      <c r="I80" s="18" t="str">
        <f t="shared" si="10"/>
        <v/>
      </c>
      <c r="J80" s="17">
        <f t="shared" si="14"/>
        <v>-3</v>
      </c>
      <c r="K80" s="17">
        <f t="shared" si="11"/>
        <v>-30</v>
      </c>
      <c r="L80" s="17"/>
      <c r="M80" s="19">
        <f t="shared" si="12"/>
        <v>0</v>
      </c>
      <c r="N80" s="19" t="str">
        <f t="shared" si="15"/>
        <v/>
      </c>
    </row>
    <row r="81" spans="1:14" x14ac:dyDescent="0.25">
      <c r="A81" s="43" t="str">
        <f t="shared" si="13"/>
        <v/>
      </c>
      <c r="G81" s="5"/>
      <c r="H81" s="17">
        <v>76</v>
      </c>
      <c r="I81" s="18" t="str">
        <f t="shared" si="10"/>
        <v/>
      </c>
      <c r="J81" s="17">
        <f t="shared" si="14"/>
        <v>-3</v>
      </c>
      <c r="K81" s="17">
        <f t="shared" si="11"/>
        <v>-30</v>
      </c>
      <c r="L81" s="17"/>
      <c r="M81" s="19">
        <f t="shared" si="12"/>
        <v>0</v>
      </c>
      <c r="N81" s="19" t="str">
        <f t="shared" si="15"/>
        <v/>
      </c>
    </row>
    <row r="82" spans="1:14" x14ac:dyDescent="0.25">
      <c r="A82" s="43" t="str">
        <f t="shared" si="13"/>
        <v/>
      </c>
      <c r="G82" s="5"/>
      <c r="H82" s="17">
        <v>77</v>
      </c>
      <c r="I82" s="18" t="str">
        <f t="shared" si="10"/>
        <v/>
      </c>
      <c r="J82" s="17">
        <f t="shared" si="14"/>
        <v>-3</v>
      </c>
      <c r="K82" s="17">
        <f t="shared" si="11"/>
        <v>-30</v>
      </c>
      <c r="L82" s="17"/>
      <c r="M82" s="19">
        <f t="shared" si="12"/>
        <v>0</v>
      </c>
      <c r="N82" s="19" t="str">
        <f t="shared" si="15"/>
        <v/>
      </c>
    </row>
    <row r="83" spans="1:14" x14ac:dyDescent="0.25">
      <c r="A83" s="43" t="str">
        <f t="shared" si="13"/>
        <v/>
      </c>
      <c r="G83" s="5"/>
      <c r="H83" s="17">
        <v>78</v>
      </c>
      <c r="I83" s="18" t="str">
        <f t="shared" si="10"/>
        <v/>
      </c>
      <c r="J83" s="17">
        <f t="shared" si="14"/>
        <v>-3</v>
      </c>
      <c r="K83" s="17">
        <f t="shared" si="11"/>
        <v>-30</v>
      </c>
      <c r="L83" s="17"/>
      <c r="M83" s="19">
        <f t="shared" si="12"/>
        <v>0</v>
      </c>
      <c r="N83" s="19" t="str">
        <f t="shared" si="15"/>
        <v/>
      </c>
    </row>
    <row r="84" spans="1:14" x14ac:dyDescent="0.25">
      <c r="A84" s="43" t="str">
        <f t="shared" si="13"/>
        <v/>
      </c>
      <c r="G84" s="5"/>
      <c r="H84" s="17">
        <v>79</v>
      </c>
      <c r="I84" s="18" t="str">
        <f t="shared" si="10"/>
        <v/>
      </c>
      <c r="J84" s="17">
        <f t="shared" si="14"/>
        <v>-3</v>
      </c>
      <c r="K84" s="17">
        <f t="shared" si="11"/>
        <v>-30</v>
      </c>
      <c r="L84" s="17"/>
      <c r="M84" s="19">
        <f t="shared" si="12"/>
        <v>0</v>
      </c>
      <c r="N84" s="19" t="str">
        <f t="shared" si="15"/>
        <v/>
      </c>
    </row>
    <row r="85" spans="1:14" x14ac:dyDescent="0.25">
      <c r="A85" s="43" t="str">
        <f t="shared" si="13"/>
        <v/>
      </c>
      <c r="G85" s="5"/>
      <c r="H85" s="17">
        <v>80</v>
      </c>
      <c r="I85" s="18" t="str">
        <f t="shared" si="10"/>
        <v/>
      </c>
      <c r="J85" s="17">
        <f t="shared" si="14"/>
        <v>-3</v>
      </c>
      <c r="K85" s="17">
        <f t="shared" si="11"/>
        <v>-30</v>
      </c>
      <c r="L85" s="17"/>
      <c r="M85" s="19">
        <f t="shared" si="12"/>
        <v>0</v>
      </c>
      <c r="N85" s="19" t="str">
        <f t="shared" si="15"/>
        <v/>
      </c>
    </row>
    <row r="86" spans="1:14" x14ac:dyDescent="0.25">
      <c r="A86" s="43" t="str">
        <f t="shared" si="13"/>
        <v/>
      </c>
      <c r="G86" s="5"/>
      <c r="H86" s="17">
        <v>81</v>
      </c>
      <c r="I86" s="18" t="str">
        <f t="shared" si="10"/>
        <v/>
      </c>
      <c r="J86" s="17">
        <f t="shared" si="14"/>
        <v>-3</v>
      </c>
      <c r="K86" s="17">
        <f t="shared" si="11"/>
        <v>-30</v>
      </c>
      <c r="L86" s="17"/>
      <c r="M86" s="19">
        <f t="shared" si="12"/>
        <v>0</v>
      </c>
      <c r="N86" s="19" t="str">
        <f t="shared" si="15"/>
        <v/>
      </c>
    </row>
    <row r="87" spans="1:14" x14ac:dyDescent="0.25">
      <c r="A87" s="43" t="str">
        <f t="shared" si="13"/>
        <v/>
      </c>
      <c r="G87" s="5"/>
      <c r="H87" s="17">
        <v>82</v>
      </c>
      <c r="I87" s="18" t="str">
        <f t="shared" si="10"/>
        <v/>
      </c>
      <c r="J87" s="17">
        <f t="shared" si="14"/>
        <v>-3</v>
      </c>
      <c r="K87" s="17">
        <f t="shared" si="11"/>
        <v>-30</v>
      </c>
      <c r="L87" s="17"/>
      <c r="M87" s="19">
        <f t="shared" si="12"/>
        <v>0</v>
      </c>
      <c r="N87" s="19" t="str">
        <f t="shared" si="15"/>
        <v/>
      </c>
    </row>
    <row r="88" spans="1:14" x14ac:dyDescent="0.25">
      <c r="A88" s="43" t="str">
        <f t="shared" si="13"/>
        <v/>
      </c>
      <c r="G88" s="5"/>
      <c r="H88" s="17">
        <v>83</v>
      </c>
      <c r="I88" s="18" t="str">
        <f t="shared" si="10"/>
        <v/>
      </c>
      <c r="J88" s="17">
        <f t="shared" si="14"/>
        <v>-3</v>
      </c>
      <c r="K88" s="17">
        <f t="shared" si="11"/>
        <v>-30</v>
      </c>
      <c r="L88" s="17"/>
      <c r="M88" s="19">
        <f t="shared" si="12"/>
        <v>0</v>
      </c>
      <c r="N88" s="19" t="str">
        <f t="shared" si="15"/>
        <v/>
      </c>
    </row>
    <row r="89" spans="1:14" x14ac:dyDescent="0.25">
      <c r="A89" s="43" t="str">
        <f t="shared" si="13"/>
        <v/>
      </c>
      <c r="G89" s="5"/>
      <c r="H89" s="17">
        <v>84</v>
      </c>
      <c r="I89" s="18" t="str">
        <f t="shared" si="10"/>
        <v/>
      </c>
      <c r="J89" s="17">
        <f t="shared" si="14"/>
        <v>-3</v>
      </c>
      <c r="K89" s="17">
        <f t="shared" si="11"/>
        <v>-30</v>
      </c>
      <c r="L89" s="17"/>
      <c r="M89" s="19">
        <f t="shared" si="12"/>
        <v>0</v>
      </c>
      <c r="N89" s="19" t="str">
        <f t="shared" si="15"/>
        <v/>
      </c>
    </row>
    <row r="90" spans="1:14" x14ac:dyDescent="0.25">
      <c r="A90" s="43" t="str">
        <f t="shared" si="13"/>
        <v/>
      </c>
      <c r="G90" s="5"/>
      <c r="H90" s="17">
        <v>85</v>
      </c>
      <c r="I90" s="18" t="str">
        <f t="shared" si="10"/>
        <v/>
      </c>
      <c r="J90" s="17">
        <f t="shared" si="14"/>
        <v>-3</v>
      </c>
      <c r="K90" s="17">
        <f t="shared" si="11"/>
        <v>-30</v>
      </c>
      <c r="L90" s="17"/>
      <c r="M90" s="19">
        <f t="shared" si="12"/>
        <v>0</v>
      </c>
      <c r="N90" s="19" t="str">
        <f t="shared" si="15"/>
        <v/>
      </c>
    </row>
    <row r="91" spans="1:14" x14ac:dyDescent="0.25">
      <c r="A91" s="43" t="str">
        <f t="shared" si="13"/>
        <v/>
      </c>
      <c r="G91" s="5"/>
      <c r="H91" s="17">
        <v>86</v>
      </c>
      <c r="I91" s="18" t="str">
        <f t="shared" si="10"/>
        <v/>
      </c>
      <c r="J91" s="17">
        <f t="shared" si="14"/>
        <v>-3</v>
      </c>
      <c r="K91" s="17">
        <f t="shared" si="11"/>
        <v>-30</v>
      </c>
      <c r="L91" s="17"/>
      <c r="M91" s="19">
        <f t="shared" si="12"/>
        <v>0</v>
      </c>
      <c r="N91" s="19" t="str">
        <f t="shared" si="15"/>
        <v/>
      </c>
    </row>
    <row r="92" spans="1:14" x14ac:dyDescent="0.25">
      <c r="A92" s="43" t="str">
        <f t="shared" si="13"/>
        <v/>
      </c>
      <c r="G92" s="5"/>
      <c r="H92" s="17">
        <v>87</v>
      </c>
      <c r="I92" s="18" t="str">
        <f t="shared" si="10"/>
        <v/>
      </c>
      <c r="J92" s="17">
        <f t="shared" si="14"/>
        <v>-3</v>
      </c>
      <c r="K92" s="17">
        <f t="shared" si="11"/>
        <v>-30</v>
      </c>
      <c r="L92" s="17"/>
      <c r="M92" s="19">
        <f t="shared" si="12"/>
        <v>0</v>
      </c>
      <c r="N92" s="19" t="str">
        <f t="shared" si="15"/>
        <v/>
      </c>
    </row>
    <row r="93" spans="1:14" x14ac:dyDescent="0.25">
      <c r="A93" s="43" t="str">
        <f t="shared" si="13"/>
        <v/>
      </c>
      <c r="G93" s="5"/>
      <c r="H93" s="17">
        <v>88</v>
      </c>
      <c r="I93" s="18" t="str">
        <f t="shared" si="10"/>
        <v/>
      </c>
      <c r="J93" s="17">
        <f t="shared" si="14"/>
        <v>-3</v>
      </c>
      <c r="K93" s="17">
        <f t="shared" si="11"/>
        <v>-30</v>
      </c>
      <c r="L93" s="17"/>
      <c r="M93" s="19">
        <f t="shared" si="12"/>
        <v>0</v>
      </c>
      <c r="N93" s="19" t="str">
        <f t="shared" si="15"/>
        <v/>
      </c>
    </row>
    <row r="94" spans="1:14" x14ac:dyDescent="0.25">
      <c r="A94" s="43" t="str">
        <f t="shared" si="13"/>
        <v/>
      </c>
      <c r="G94" s="5"/>
      <c r="H94" s="17">
        <v>89</v>
      </c>
      <c r="I94" s="18" t="str">
        <f t="shared" si="10"/>
        <v/>
      </c>
      <c r="J94" s="17">
        <f t="shared" si="14"/>
        <v>-3</v>
      </c>
      <c r="K94" s="17">
        <f t="shared" si="11"/>
        <v>-30</v>
      </c>
      <c r="L94" s="17"/>
      <c r="M94" s="19">
        <f t="shared" si="12"/>
        <v>0</v>
      </c>
      <c r="N94" s="19" t="str">
        <f t="shared" si="15"/>
        <v/>
      </c>
    </row>
    <row r="95" spans="1:14" x14ac:dyDescent="0.25">
      <c r="A95" s="43" t="str">
        <f t="shared" si="13"/>
        <v/>
      </c>
      <c r="G95" s="5"/>
      <c r="H95" s="17">
        <v>90</v>
      </c>
      <c r="I95" s="18" t="str">
        <f t="shared" si="10"/>
        <v/>
      </c>
      <c r="J95" s="17">
        <f t="shared" si="14"/>
        <v>-3</v>
      </c>
      <c r="K95" s="17">
        <f t="shared" si="11"/>
        <v>-30</v>
      </c>
      <c r="L95" s="17"/>
      <c r="M95" s="19">
        <f t="shared" si="12"/>
        <v>0</v>
      </c>
      <c r="N95" s="19" t="str">
        <f t="shared" si="15"/>
        <v/>
      </c>
    </row>
    <row r="96" spans="1:14" x14ac:dyDescent="0.25">
      <c r="A96" s="43" t="str">
        <f t="shared" si="13"/>
        <v/>
      </c>
      <c r="G96" s="5"/>
      <c r="H96" s="17">
        <v>91</v>
      </c>
      <c r="I96" s="18" t="str">
        <f t="shared" si="10"/>
        <v/>
      </c>
      <c r="J96" s="17">
        <f t="shared" si="14"/>
        <v>-3</v>
      </c>
      <c r="K96" s="17">
        <f t="shared" si="11"/>
        <v>-30</v>
      </c>
      <c r="L96" s="17"/>
      <c r="M96" s="19">
        <f t="shared" si="12"/>
        <v>0</v>
      </c>
      <c r="N96" s="19" t="str">
        <f t="shared" si="15"/>
        <v/>
      </c>
    </row>
    <row r="97" spans="1:14" x14ac:dyDescent="0.25">
      <c r="A97" s="43" t="str">
        <f t="shared" si="13"/>
        <v/>
      </c>
      <c r="G97" s="5"/>
      <c r="H97" s="17">
        <v>92</v>
      </c>
      <c r="I97" s="18" t="str">
        <f t="shared" si="10"/>
        <v/>
      </c>
      <c r="J97" s="17">
        <f t="shared" si="14"/>
        <v>-3</v>
      </c>
      <c r="K97" s="17">
        <f t="shared" si="11"/>
        <v>-30</v>
      </c>
      <c r="L97" s="17"/>
      <c r="M97" s="19">
        <f t="shared" si="12"/>
        <v>0</v>
      </c>
      <c r="N97" s="19" t="str">
        <f t="shared" si="15"/>
        <v/>
      </c>
    </row>
    <row r="98" spans="1:14" x14ac:dyDescent="0.25">
      <c r="A98" s="43" t="str">
        <f t="shared" si="13"/>
        <v/>
      </c>
      <c r="G98" s="5"/>
      <c r="H98" s="17">
        <v>93</v>
      </c>
      <c r="I98" s="18" t="str">
        <f t="shared" si="10"/>
        <v/>
      </c>
      <c r="J98" s="17">
        <f t="shared" si="14"/>
        <v>-3</v>
      </c>
      <c r="K98" s="17">
        <f t="shared" si="11"/>
        <v>-30</v>
      </c>
      <c r="L98" s="17"/>
      <c r="M98" s="19">
        <f t="shared" si="12"/>
        <v>0</v>
      </c>
      <c r="N98" s="19" t="str">
        <f t="shared" si="15"/>
        <v/>
      </c>
    </row>
    <row r="99" spans="1:14" x14ac:dyDescent="0.25">
      <c r="A99" s="43" t="str">
        <f t="shared" si="13"/>
        <v/>
      </c>
      <c r="G99" s="5"/>
      <c r="H99" s="17">
        <v>94</v>
      </c>
      <c r="I99" s="18" t="str">
        <f t="shared" si="10"/>
        <v/>
      </c>
      <c r="J99" s="17">
        <f t="shared" si="14"/>
        <v>-3</v>
      </c>
      <c r="K99" s="17">
        <f t="shared" si="11"/>
        <v>-30</v>
      </c>
      <c r="L99" s="17"/>
      <c r="M99" s="19">
        <f t="shared" si="12"/>
        <v>0</v>
      </c>
      <c r="N99" s="19" t="str">
        <f t="shared" si="15"/>
        <v/>
      </c>
    </row>
    <row r="100" spans="1:14" x14ac:dyDescent="0.25">
      <c r="A100" s="43" t="str">
        <f t="shared" si="13"/>
        <v/>
      </c>
      <c r="G100" s="5"/>
      <c r="H100" s="17">
        <v>95</v>
      </c>
      <c r="I100" s="18" t="str">
        <f t="shared" si="10"/>
        <v/>
      </c>
      <c r="J100" s="17">
        <f t="shared" si="14"/>
        <v>-3</v>
      </c>
      <c r="K100" s="17">
        <f t="shared" si="11"/>
        <v>-30</v>
      </c>
      <c r="L100" s="17"/>
      <c r="M100" s="19">
        <f t="shared" si="12"/>
        <v>0</v>
      </c>
      <c r="N100" s="19" t="str">
        <f t="shared" si="15"/>
        <v/>
      </c>
    </row>
    <row r="101" spans="1:14" x14ac:dyDescent="0.25">
      <c r="A101" s="43" t="str">
        <f t="shared" si="13"/>
        <v/>
      </c>
      <c r="G101" s="5"/>
      <c r="H101" s="17">
        <v>96</v>
      </c>
      <c r="I101" s="18" t="str">
        <f t="shared" si="10"/>
        <v/>
      </c>
      <c r="J101" s="17">
        <f t="shared" si="14"/>
        <v>-3</v>
      </c>
      <c r="K101" s="17">
        <f t="shared" si="11"/>
        <v>-30</v>
      </c>
      <c r="L101" s="17"/>
      <c r="M101" s="19">
        <f t="shared" si="12"/>
        <v>0</v>
      </c>
      <c r="N101" s="19" t="str">
        <f t="shared" si="15"/>
        <v/>
      </c>
    </row>
    <row r="102" spans="1:14" x14ac:dyDescent="0.25">
      <c r="A102" s="43" t="str">
        <f t="shared" si="13"/>
        <v/>
      </c>
      <c r="G102" s="5"/>
      <c r="H102" s="17">
        <v>97</v>
      </c>
      <c r="I102" s="18" t="str">
        <f t="shared" si="10"/>
        <v/>
      </c>
      <c r="J102" s="17">
        <f t="shared" si="14"/>
        <v>-3</v>
      </c>
      <c r="K102" s="17">
        <f t="shared" si="11"/>
        <v>-30</v>
      </c>
      <c r="L102" s="17"/>
      <c r="M102" s="19">
        <f t="shared" si="12"/>
        <v>0</v>
      </c>
      <c r="N102" s="19" t="str">
        <f t="shared" si="15"/>
        <v/>
      </c>
    </row>
    <row r="103" spans="1:14" x14ac:dyDescent="0.25">
      <c r="A103" s="43" t="str">
        <f t="shared" si="13"/>
        <v/>
      </c>
      <c r="G103" s="5"/>
      <c r="H103" s="17">
        <v>98</v>
      </c>
      <c r="I103" s="18" t="str">
        <f t="shared" si="10"/>
        <v/>
      </c>
      <c r="J103" s="17">
        <f t="shared" si="14"/>
        <v>-3</v>
      </c>
      <c r="K103" s="17">
        <f t="shared" si="11"/>
        <v>-30</v>
      </c>
      <c r="L103" s="17"/>
      <c r="M103" s="19">
        <f t="shared" si="12"/>
        <v>0</v>
      </c>
      <c r="N103" s="19" t="str">
        <f t="shared" si="15"/>
        <v/>
      </c>
    </row>
    <row r="104" spans="1:14" x14ac:dyDescent="0.25">
      <c r="A104" s="43" t="str">
        <f t="shared" si="13"/>
        <v/>
      </c>
      <c r="G104" s="5"/>
      <c r="H104" s="17">
        <v>99</v>
      </c>
      <c r="I104" s="18" t="str">
        <f t="shared" si="10"/>
        <v/>
      </c>
      <c r="J104" s="17">
        <f t="shared" si="14"/>
        <v>-3</v>
      </c>
      <c r="K104" s="17">
        <f t="shared" si="11"/>
        <v>-30</v>
      </c>
      <c r="L104" s="17"/>
      <c r="M104" s="19">
        <f t="shared" si="12"/>
        <v>0</v>
      </c>
      <c r="N104" s="19" t="str">
        <f t="shared" si="15"/>
        <v/>
      </c>
    </row>
    <row r="105" spans="1:14" x14ac:dyDescent="0.25">
      <c r="A105" s="43" t="str">
        <f t="shared" si="13"/>
        <v/>
      </c>
      <c r="G105" s="5"/>
      <c r="H105" s="17">
        <v>100</v>
      </c>
      <c r="I105" s="18" t="str">
        <f t="shared" si="10"/>
        <v/>
      </c>
      <c r="J105" s="17">
        <f t="shared" si="14"/>
        <v>-3</v>
      </c>
      <c r="K105" s="17">
        <f t="shared" si="11"/>
        <v>-30</v>
      </c>
      <c r="L105" s="17"/>
      <c r="M105" s="19">
        <f t="shared" si="12"/>
        <v>0</v>
      </c>
      <c r="N105" s="19" t="str">
        <f t="shared" si="15"/>
        <v/>
      </c>
    </row>
    <row r="106" spans="1:14" x14ac:dyDescent="0.25">
      <c r="A106" s="43" t="str">
        <f t="shared" si="13"/>
        <v/>
      </c>
      <c r="G106" s="5"/>
      <c r="H106" s="17">
        <v>101</v>
      </c>
      <c r="I106" s="18" t="str">
        <f t="shared" si="10"/>
        <v/>
      </c>
      <c r="J106" s="17">
        <f t="shared" si="14"/>
        <v>-3</v>
      </c>
      <c r="K106" s="17">
        <f t="shared" si="11"/>
        <v>-30</v>
      </c>
      <c r="L106" s="17"/>
      <c r="M106" s="19">
        <f t="shared" si="12"/>
        <v>0</v>
      </c>
      <c r="N106" s="19" t="str">
        <f t="shared" si="15"/>
        <v/>
      </c>
    </row>
    <row r="107" spans="1:14" x14ac:dyDescent="0.25">
      <c r="A107" s="43" t="str">
        <f t="shared" si="13"/>
        <v/>
      </c>
      <c r="G107" s="5"/>
      <c r="H107" s="17">
        <v>102</v>
      </c>
      <c r="I107" s="18" t="str">
        <f t="shared" si="10"/>
        <v/>
      </c>
      <c r="J107" s="17">
        <f t="shared" si="14"/>
        <v>-3</v>
      </c>
      <c r="K107" s="17">
        <f t="shared" si="11"/>
        <v>-30</v>
      </c>
      <c r="L107" s="17"/>
      <c r="M107" s="19">
        <f t="shared" si="12"/>
        <v>0</v>
      </c>
      <c r="N107" s="19" t="str">
        <f t="shared" si="15"/>
        <v/>
      </c>
    </row>
    <row r="108" spans="1:14" x14ac:dyDescent="0.25">
      <c r="A108" s="43" t="str">
        <f t="shared" si="13"/>
        <v/>
      </c>
      <c r="G108" s="5"/>
      <c r="H108" s="17">
        <v>103</v>
      </c>
      <c r="I108" s="18" t="str">
        <f t="shared" si="10"/>
        <v/>
      </c>
      <c r="J108" s="17">
        <f t="shared" si="14"/>
        <v>-3</v>
      </c>
      <c r="K108" s="17">
        <f t="shared" si="11"/>
        <v>-30</v>
      </c>
      <c r="L108" s="17"/>
      <c r="M108" s="19">
        <f t="shared" si="12"/>
        <v>0</v>
      </c>
      <c r="N108" s="19" t="str">
        <f t="shared" si="15"/>
        <v/>
      </c>
    </row>
    <row r="109" spans="1:14" x14ac:dyDescent="0.25">
      <c r="A109" s="43" t="str">
        <f t="shared" si="13"/>
        <v/>
      </c>
      <c r="G109" s="5"/>
      <c r="H109" s="17">
        <v>104</v>
      </c>
      <c r="I109" s="18" t="str">
        <f t="shared" si="10"/>
        <v/>
      </c>
      <c r="J109" s="17">
        <f t="shared" si="14"/>
        <v>-3</v>
      </c>
      <c r="K109" s="17">
        <f t="shared" si="11"/>
        <v>-30</v>
      </c>
      <c r="L109" s="17"/>
      <c r="M109" s="19">
        <f t="shared" si="12"/>
        <v>0</v>
      </c>
      <c r="N109" s="19" t="str">
        <f t="shared" si="15"/>
        <v/>
      </c>
    </row>
    <row r="110" spans="1:14" x14ac:dyDescent="0.25">
      <c r="A110" s="43" t="str">
        <f t="shared" si="13"/>
        <v/>
      </c>
      <c r="G110" s="5"/>
      <c r="H110" s="17">
        <v>105</v>
      </c>
      <c r="I110" s="18" t="str">
        <f t="shared" si="10"/>
        <v/>
      </c>
      <c r="J110" s="17">
        <f t="shared" si="14"/>
        <v>-3</v>
      </c>
      <c r="K110" s="17">
        <f t="shared" si="11"/>
        <v>-30</v>
      </c>
      <c r="L110" s="17"/>
      <c r="M110" s="19">
        <f t="shared" si="12"/>
        <v>0</v>
      </c>
      <c r="N110" s="19" t="str">
        <f t="shared" si="15"/>
        <v/>
      </c>
    </row>
    <row r="111" spans="1:14" x14ac:dyDescent="0.25">
      <c r="A111" s="43" t="str">
        <f t="shared" si="13"/>
        <v/>
      </c>
      <c r="G111" s="5"/>
      <c r="H111" s="17">
        <v>106</v>
      </c>
      <c r="I111" s="18" t="str">
        <f t="shared" si="10"/>
        <v/>
      </c>
      <c r="J111" s="17">
        <f t="shared" si="14"/>
        <v>-3</v>
      </c>
      <c r="K111" s="17">
        <f t="shared" si="11"/>
        <v>-30</v>
      </c>
      <c r="L111" s="17"/>
      <c r="M111" s="19">
        <f t="shared" si="12"/>
        <v>0</v>
      </c>
      <c r="N111" s="19" t="str">
        <f t="shared" si="15"/>
        <v/>
      </c>
    </row>
    <row r="112" spans="1:14" x14ac:dyDescent="0.25">
      <c r="A112" s="43" t="str">
        <f t="shared" si="13"/>
        <v/>
      </c>
      <c r="G112" s="5"/>
      <c r="H112" s="17">
        <v>107</v>
      </c>
      <c r="I112" s="18" t="str">
        <f t="shared" si="10"/>
        <v/>
      </c>
      <c r="J112" s="17">
        <f t="shared" si="14"/>
        <v>-3</v>
      </c>
      <c r="K112" s="17">
        <f t="shared" si="11"/>
        <v>-30</v>
      </c>
      <c r="L112" s="17"/>
      <c r="M112" s="19">
        <f t="shared" si="12"/>
        <v>0</v>
      </c>
      <c r="N112" s="19" t="str">
        <f t="shared" si="15"/>
        <v/>
      </c>
    </row>
    <row r="113" spans="1:14" x14ac:dyDescent="0.25">
      <c r="A113" s="43" t="str">
        <f t="shared" si="13"/>
        <v/>
      </c>
      <c r="G113" s="5"/>
      <c r="H113" s="17">
        <v>108</v>
      </c>
      <c r="I113" s="18" t="str">
        <f t="shared" si="10"/>
        <v/>
      </c>
      <c r="J113" s="17">
        <f t="shared" si="14"/>
        <v>-3</v>
      </c>
      <c r="K113" s="17">
        <f t="shared" si="11"/>
        <v>-30</v>
      </c>
      <c r="L113" s="17"/>
      <c r="M113" s="19">
        <f t="shared" si="12"/>
        <v>0</v>
      </c>
      <c r="N113" s="19" t="str">
        <f t="shared" si="15"/>
        <v/>
      </c>
    </row>
    <row r="114" spans="1:14" x14ac:dyDescent="0.25">
      <c r="A114" s="43" t="str">
        <f t="shared" si="13"/>
        <v/>
      </c>
      <c r="G114" s="5"/>
      <c r="H114" s="17">
        <v>109</v>
      </c>
      <c r="I114" s="18" t="str">
        <f t="shared" si="10"/>
        <v/>
      </c>
      <c r="J114" s="17">
        <f t="shared" si="14"/>
        <v>-3</v>
      </c>
      <c r="K114" s="17">
        <f t="shared" si="11"/>
        <v>-30</v>
      </c>
      <c r="L114" s="17"/>
      <c r="M114" s="19">
        <f t="shared" si="12"/>
        <v>0</v>
      </c>
      <c r="N114" s="19" t="str">
        <f t="shared" si="15"/>
        <v/>
      </c>
    </row>
    <row r="115" spans="1:14" x14ac:dyDescent="0.25">
      <c r="A115" s="43" t="str">
        <f t="shared" si="13"/>
        <v/>
      </c>
      <c r="G115" s="5"/>
      <c r="H115" s="17">
        <v>110</v>
      </c>
      <c r="I115" s="18" t="str">
        <f t="shared" si="10"/>
        <v/>
      </c>
      <c r="J115" s="17">
        <f t="shared" si="14"/>
        <v>-3</v>
      </c>
      <c r="K115" s="17">
        <f t="shared" si="11"/>
        <v>-30</v>
      </c>
      <c r="L115" s="17"/>
      <c r="M115" s="19">
        <f t="shared" si="12"/>
        <v>0</v>
      </c>
      <c r="N115" s="19" t="str">
        <f t="shared" si="15"/>
        <v/>
      </c>
    </row>
    <row r="116" spans="1:14" x14ac:dyDescent="0.25">
      <c r="A116" s="43" t="str">
        <f t="shared" si="13"/>
        <v/>
      </c>
      <c r="G116" s="5"/>
      <c r="H116" s="17">
        <v>111</v>
      </c>
      <c r="I116" s="18" t="str">
        <f t="shared" si="10"/>
        <v/>
      </c>
      <c r="J116" s="17">
        <f t="shared" si="14"/>
        <v>-3</v>
      </c>
      <c r="K116" s="17">
        <f t="shared" si="11"/>
        <v>-30</v>
      </c>
      <c r="L116" s="17"/>
      <c r="M116" s="19">
        <f t="shared" si="12"/>
        <v>0</v>
      </c>
      <c r="N116" s="19" t="str">
        <f t="shared" si="15"/>
        <v/>
      </c>
    </row>
    <row r="117" spans="1:14" x14ac:dyDescent="0.25">
      <c r="A117" s="43" t="str">
        <f t="shared" si="13"/>
        <v/>
      </c>
      <c r="G117" s="5"/>
      <c r="H117" s="17">
        <v>112</v>
      </c>
      <c r="I117" s="18" t="str">
        <f t="shared" si="10"/>
        <v/>
      </c>
      <c r="J117" s="17">
        <f t="shared" si="14"/>
        <v>-3</v>
      </c>
      <c r="K117" s="17">
        <f t="shared" si="11"/>
        <v>-30</v>
      </c>
      <c r="L117" s="17"/>
      <c r="M117" s="19">
        <f t="shared" si="12"/>
        <v>0</v>
      </c>
      <c r="N117" s="19" t="str">
        <f t="shared" si="15"/>
        <v/>
      </c>
    </row>
    <row r="118" spans="1:14" x14ac:dyDescent="0.25">
      <c r="A118" s="43" t="str">
        <f t="shared" si="13"/>
        <v/>
      </c>
      <c r="G118" s="5"/>
      <c r="H118" s="17">
        <v>113</v>
      </c>
      <c r="I118" s="18" t="str">
        <f t="shared" si="10"/>
        <v/>
      </c>
      <c r="J118" s="17">
        <f t="shared" si="14"/>
        <v>-3</v>
      </c>
      <c r="K118" s="17">
        <f t="shared" si="11"/>
        <v>-30</v>
      </c>
      <c r="L118" s="17"/>
      <c r="M118" s="19">
        <f t="shared" si="12"/>
        <v>0</v>
      </c>
      <c r="N118" s="19" t="str">
        <f t="shared" si="15"/>
        <v/>
      </c>
    </row>
    <row r="119" spans="1:14" x14ac:dyDescent="0.25">
      <c r="A119" s="43" t="str">
        <f t="shared" si="13"/>
        <v/>
      </c>
      <c r="G119" s="5"/>
      <c r="H119" s="17">
        <v>114</v>
      </c>
      <c r="I119" s="18" t="str">
        <f t="shared" si="10"/>
        <v/>
      </c>
      <c r="J119" s="17">
        <f t="shared" si="14"/>
        <v>-3</v>
      </c>
      <c r="K119" s="17">
        <f t="shared" si="11"/>
        <v>-30</v>
      </c>
      <c r="L119" s="17"/>
      <c r="M119" s="19">
        <f t="shared" si="12"/>
        <v>0</v>
      </c>
      <c r="N119" s="19" t="str">
        <f t="shared" si="15"/>
        <v/>
      </c>
    </row>
    <row r="120" spans="1:14" x14ac:dyDescent="0.25">
      <c r="A120" s="43" t="str">
        <f t="shared" si="13"/>
        <v/>
      </c>
      <c r="G120" s="5"/>
      <c r="H120" s="17">
        <v>115</v>
      </c>
      <c r="I120" s="18" t="str">
        <f t="shared" si="10"/>
        <v/>
      </c>
      <c r="J120" s="17">
        <f t="shared" si="14"/>
        <v>-3</v>
      </c>
      <c r="K120" s="17">
        <f t="shared" si="11"/>
        <v>-30</v>
      </c>
      <c r="L120" s="17"/>
      <c r="M120" s="19">
        <f t="shared" si="12"/>
        <v>0</v>
      </c>
      <c r="N120" s="19" t="str">
        <f t="shared" si="15"/>
        <v/>
      </c>
    </row>
    <row r="121" spans="1:14" x14ac:dyDescent="0.25">
      <c r="A121" s="43" t="str">
        <f t="shared" si="13"/>
        <v/>
      </c>
      <c r="G121" s="5"/>
      <c r="H121" s="17">
        <v>116</v>
      </c>
      <c r="I121" s="18" t="str">
        <f t="shared" si="10"/>
        <v/>
      </c>
      <c r="J121" s="17">
        <f t="shared" si="14"/>
        <v>-3</v>
      </c>
      <c r="K121" s="17">
        <f t="shared" si="11"/>
        <v>-30</v>
      </c>
      <c r="L121" s="17"/>
      <c r="M121" s="19">
        <f t="shared" si="12"/>
        <v>0</v>
      </c>
      <c r="N121" s="19" t="str">
        <f t="shared" si="15"/>
        <v/>
      </c>
    </row>
    <row r="122" spans="1:14" x14ac:dyDescent="0.25">
      <c r="A122" s="43" t="str">
        <f t="shared" si="13"/>
        <v/>
      </c>
      <c r="G122" s="5"/>
      <c r="H122" s="17">
        <v>117</v>
      </c>
      <c r="I122" s="18" t="str">
        <f t="shared" si="10"/>
        <v/>
      </c>
      <c r="J122" s="17">
        <f t="shared" si="14"/>
        <v>-3</v>
      </c>
      <c r="K122" s="17">
        <f t="shared" si="11"/>
        <v>-30</v>
      </c>
      <c r="L122" s="17"/>
      <c r="M122" s="19">
        <f t="shared" si="12"/>
        <v>0</v>
      </c>
      <c r="N122" s="19" t="str">
        <f t="shared" si="15"/>
        <v/>
      </c>
    </row>
    <row r="123" spans="1:14" x14ac:dyDescent="0.25">
      <c r="A123" s="43" t="str">
        <f t="shared" si="13"/>
        <v/>
      </c>
      <c r="G123" s="5"/>
      <c r="H123" s="17">
        <v>118</v>
      </c>
      <c r="I123" s="18" t="str">
        <f t="shared" si="10"/>
        <v/>
      </c>
      <c r="J123" s="17">
        <f t="shared" si="14"/>
        <v>-3</v>
      </c>
      <c r="K123" s="17">
        <f t="shared" si="11"/>
        <v>-30</v>
      </c>
      <c r="L123" s="17"/>
      <c r="M123" s="19">
        <f t="shared" si="12"/>
        <v>0</v>
      </c>
      <c r="N123" s="19" t="str">
        <f t="shared" si="15"/>
        <v/>
      </c>
    </row>
    <row r="124" spans="1:14" x14ac:dyDescent="0.25">
      <c r="A124" s="43" t="str">
        <f t="shared" si="13"/>
        <v/>
      </c>
      <c r="G124" s="5"/>
      <c r="H124" s="17">
        <v>119</v>
      </c>
      <c r="I124" s="18" t="str">
        <f t="shared" si="10"/>
        <v/>
      </c>
      <c r="J124" s="17">
        <f t="shared" si="14"/>
        <v>-3</v>
      </c>
      <c r="K124" s="17">
        <f t="shared" si="11"/>
        <v>-30</v>
      </c>
      <c r="L124" s="17"/>
      <c r="M124" s="19">
        <f t="shared" si="12"/>
        <v>0</v>
      </c>
      <c r="N124" s="19" t="str">
        <f t="shared" si="15"/>
        <v/>
      </c>
    </row>
    <row r="125" spans="1:14" x14ac:dyDescent="0.25">
      <c r="A125" s="43" t="str">
        <f t="shared" si="13"/>
        <v/>
      </c>
      <c r="G125" s="5"/>
      <c r="H125" s="17">
        <v>120</v>
      </c>
      <c r="I125" s="18" t="str">
        <f t="shared" si="10"/>
        <v/>
      </c>
      <c r="J125" s="17">
        <f t="shared" si="14"/>
        <v>-3</v>
      </c>
      <c r="K125" s="17">
        <f t="shared" si="11"/>
        <v>-30</v>
      </c>
      <c r="L125" s="17"/>
      <c r="M125" s="19">
        <f t="shared" si="12"/>
        <v>0</v>
      </c>
      <c r="N125" s="19" t="str">
        <f t="shared" si="15"/>
        <v/>
      </c>
    </row>
    <row r="126" spans="1:14" x14ac:dyDescent="0.25">
      <c r="A126" s="43" t="str">
        <f t="shared" si="13"/>
        <v/>
      </c>
      <c r="G126" s="5"/>
      <c r="H126" s="17">
        <v>121</v>
      </c>
      <c r="I126" s="18" t="str">
        <f t="shared" si="10"/>
        <v/>
      </c>
      <c r="J126" s="17">
        <f t="shared" si="14"/>
        <v>-3</v>
      </c>
      <c r="K126" s="17">
        <f t="shared" si="11"/>
        <v>-30</v>
      </c>
      <c r="L126" s="17"/>
      <c r="M126" s="19">
        <f t="shared" si="12"/>
        <v>0</v>
      </c>
      <c r="N126" s="19" t="str">
        <f t="shared" si="15"/>
        <v/>
      </c>
    </row>
    <row r="127" spans="1:14" x14ac:dyDescent="0.25">
      <c r="A127" s="43" t="str">
        <f t="shared" si="13"/>
        <v/>
      </c>
      <c r="G127" s="5"/>
      <c r="H127" s="17">
        <v>122</v>
      </c>
      <c r="I127" s="18" t="str">
        <f t="shared" si="10"/>
        <v/>
      </c>
      <c r="J127" s="17">
        <f t="shared" si="14"/>
        <v>-3</v>
      </c>
      <c r="K127" s="17">
        <f t="shared" si="11"/>
        <v>-30</v>
      </c>
      <c r="L127" s="17"/>
      <c r="M127" s="19">
        <f t="shared" si="12"/>
        <v>0</v>
      </c>
      <c r="N127" s="19" t="str">
        <f t="shared" si="15"/>
        <v/>
      </c>
    </row>
    <row r="128" spans="1:14" x14ac:dyDescent="0.25">
      <c r="A128" s="43" t="str">
        <f t="shared" si="13"/>
        <v/>
      </c>
      <c r="G128" s="5"/>
      <c r="H128" s="17">
        <v>123</v>
      </c>
      <c r="I128" s="18" t="str">
        <f t="shared" si="10"/>
        <v/>
      </c>
      <c r="J128" s="17">
        <f t="shared" si="14"/>
        <v>-3</v>
      </c>
      <c r="K128" s="17">
        <f t="shared" si="11"/>
        <v>-30</v>
      </c>
      <c r="L128" s="17"/>
      <c r="M128" s="19">
        <f t="shared" si="12"/>
        <v>0</v>
      </c>
      <c r="N128" s="19" t="str">
        <f t="shared" si="15"/>
        <v/>
      </c>
    </row>
    <row r="129" spans="1:14" x14ac:dyDescent="0.25">
      <c r="A129" s="43" t="str">
        <f t="shared" si="13"/>
        <v/>
      </c>
      <c r="G129" s="5"/>
      <c r="H129" s="17">
        <v>124</v>
      </c>
      <c r="I129" s="18" t="str">
        <f t="shared" si="10"/>
        <v/>
      </c>
      <c r="J129" s="17">
        <f t="shared" si="14"/>
        <v>-3</v>
      </c>
      <c r="K129" s="17">
        <f t="shared" si="11"/>
        <v>-30</v>
      </c>
      <c r="L129" s="17"/>
      <c r="M129" s="19">
        <f t="shared" si="12"/>
        <v>0</v>
      </c>
      <c r="N129" s="19" t="str">
        <f t="shared" si="15"/>
        <v/>
      </c>
    </row>
    <row r="130" spans="1:14" x14ac:dyDescent="0.25">
      <c r="A130" s="43" t="str">
        <f t="shared" si="13"/>
        <v/>
      </c>
      <c r="G130" s="5"/>
      <c r="H130" s="17">
        <v>125</v>
      </c>
      <c r="I130" s="18" t="str">
        <f t="shared" si="10"/>
        <v/>
      </c>
      <c r="J130" s="17">
        <f t="shared" si="14"/>
        <v>-3</v>
      </c>
      <c r="K130" s="17">
        <f t="shared" si="11"/>
        <v>-30</v>
      </c>
      <c r="L130" s="17"/>
      <c r="M130" s="19">
        <f t="shared" si="12"/>
        <v>0</v>
      </c>
      <c r="N130" s="19" t="str">
        <f t="shared" si="15"/>
        <v/>
      </c>
    </row>
    <row r="131" spans="1:14" x14ac:dyDescent="0.25">
      <c r="A131" s="43" t="str">
        <f t="shared" si="13"/>
        <v/>
      </c>
      <c r="G131" s="5"/>
      <c r="H131" s="17">
        <v>126</v>
      </c>
      <c r="I131" s="18" t="str">
        <f t="shared" si="10"/>
        <v/>
      </c>
      <c r="J131" s="17">
        <f t="shared" si="14"/>
        <v>-3</v>
      </c>
      <c r="K131" s="17">
        <f t="shared" si="11"/>
        <v>-30</v>
      </c>
      <c r="L131" s="17"/>
      <c r="M131" s="19">
        <f t="shared" si="12"/>
        <v>0</v>
      </c>
      <c r="N131" s="19" t="str">
        <f t="shared" si="15"/>
        <v/>
      </c>
    </row>
    <row r="132" spans="1:14" x14ac:dyDescent="0.25">
      <c r="A132" s="43" t="str">
        <f t="shared" si="13"/>
        <v/>
      </c>
      <c r="G132" s="5"/>
      <c r="H132" s="17">
        <v>127</v>
      </c>
      <c r="I132" s="18" t="str">
        <f t="shared" si="10"/>
        <v/>
      </c>
      <c r="J132" s="17">
        <f t="shared" si="14"/>
        <v>-3</v>
      </c>
      <c r="K132" s="17">
        <f t="shared" si="11"/>
        <v>-30</v>
      </c>
      <c r="L132" s="17"/>
      <c r="M132" s="19">
        <f t="shared" si="12"/>
        <v>0</v>
      </c>
      <c r="N132" s="19" t="str">
        <f t="shared" si="15"/>
        <v/>
      </c>
    </row>
    <row r="133" spans="1:14" x14ac:dyDescent="0.25">
      <c r="A133" s="43" t="str">
        <f t="shared" si="13"/>
        <v/>
      </c>
      <c r="G133" s="5"/>
      <c r="H133" s="17">
        <v>128</v>
      </c>
      <c r="I133" s="18" t="str">
        <f t="shared" si="10"/>
        <v/>
      </c>
      <c r="J133" s="17">
        <f t="shared" si="14"/>
        <v>-3</v>
      </c>
      <c r="K133" s="17">
        <f t="shared" si="11"/>
        <v>-30</v>
      </c>
      <c r="L133" s="17"/>
      <c r="M133" s="19">
        <f t="shared" si="12"/>
        <v>0</v>
      </c>
      <c r="N133" s="19" t="str">
        <f t="shared" si="15"/>
        <v/>
      </c>
    </row>
    <row r="134" spans="1:14" x14ac:dyDescent="0.25">
      <c r="A134" s="43" t="str">
        <f t="shared" si="13"/>
        <v/>
      </c>
      <c r="G134" s="5"/>
      <c r="H134" s="17">
        <v>129</v>
      </c>
      <c r="I134" s="18" t="str">
        <f t="shared" ref="I134:I197" si="16">IF(H134&lt;$H$2+1,($I$2-($I$2-1)*(LOG(H134)/LOG($H$2))),"")</f>
        <v/>
      </c>
      <c r="J134" s="17">
        <f t="shared" si="14"/>
        <v>-4</v>
      </c>
      <c r="K134" s="17">
        <f t="shared" ref="K134:K197" si="17">J134*$J$2</f>
        <v>-40</v>
      </c>
      <c r="L134" s="17"/>
      <c r="M134" s="19">
        <f t="shared" ref="M134:M197" si="18">IF(I134&lt;&gt;"",K134+I134+L134,0)</f>
        <v>0</v>
      </c>
      <c r="N134" s="19" t="str">
        <f t="shared" si="15"/>
        <v/>
      </c>
    </row>
    <row r="135" spans="1:14" x14ac:dyDescent="0.25">
      <c r="A135" s="43" t="str">
        <f t="shared" ref="A135:A198" si="19">N135</f>
        <v/>
      </c>
      <c r="G135" s="5"/>
      <c r="H135" s="17">
        <v>130</v>
      </c>
      <c r="I135" s="18" t="str">
        <f t="shared" si="16"/>
        <v/>
      </c>
      <c r="J135" s="17">
        <f t="shared" ref="J135:J198" si="20">INT(LOG($H$2,2))-ROUNDUP(LOG(H135,2),0)+IF(OR($H$2=1,$H$2=2,$H$2=4,$H$2=8,$H$2=16,$H$2=32,$H$2=64,$H$2=128,$H$2=256),0,1)</f>
        <v>-4</v>
      </c>
      <c r="K135" s="17">
        <f t="shared" si="17"/>
        <v>-40</v>
      </c>
      <c r="L135" s="17"/>
      <c r="M135" s="19">
        <f t="shared" si="18"/>
        <v>0</v>
      </c>
      <c r="N135" s="19" t="str">
        <f t="shared" ref="N135:N198" si="21">IF(I135&lt;&gt;"",M135*L$2,"")</f>
        <v/>
      </c>
    </row>
    <row r="136" spans="1:14" x14ac:dyDescent="0.25">
      <c r="A136" s="43" t="str">
        <f t="shared" si="19"/>
        <v/>
      </c>
      <c r="G136" s="5"/>
      <c r="H136" s="17">
        <v>131</v>
      </c>
      <c r="I136" s="18" t="str">
        <f t="shared" si="16"/>
        <v/>
      </c>
      <c r="J136" s="17">
        <f t="shared" si="20"/>
        <v>-4</v>
      </c>
      <c r="K136" s="17">
        <f t="shared" si="17"/>
        <v>-40</v>
      </c>
      <c r="L136" s="17"/>
      <c r="M136" s="19">
        <f t="shared" si="18"/>
        <v>0</v>
      </c>
      <c r="N136" s="19" t="str">
        <f t="shared" si="21"/>
        <v/>
      </c>
    </row>
    <row r="137" spans="1:14" x14ac:dyDescent="0.25">
      <c r="A137" s="43" t="str">
        <f t="shared" si="19"/>
        <v/>
      </c>
      <c r="G137" s="5"/>
      <c r="H137" s="17">
        <v>132</v>
      </c>
      <c r="I137" s="18" t="str">
        <f t="shared" si="16"/>
        <v/>
      </c>
      <c r="J137" s="17">
        <f t="shared" si="20"/>
        <v>-4</v>
      </c>
      <c r="K137" s="17">
        <f t="shared" si="17"/>
        <v>-40</v>
      </c>
      <c r="L137" s="17"/>
      <c r="M137" s="19">
        <f t="shared" si="18"/>
        <v>0</v>
      </c>
      <c r="N137" s="19" t="str">
        <f t="shared" si="21"/>
        <v/>
      </c>
    </row>
    <row r="138" spans="1:14" x14ac:dyDescent="0.25">
      <c r="A138" s="43" t="str">
        <f t="shared" si="19"/>
        <v/>
      </c>
      <c r="G138" s="5"/>
      <c r="H138" s="17">
        <v>133</v>
      </c>
      <c r="I138" s="18" t="str">
        <f t="shared" si="16"/>
        <v/>
      </c>
      <c r="J138" s="17">
        <f t="shared" si="20"/>
        <v>-4</v>
      </c>
      <c r="K138" s="17">
        <f t="shared" si="17"/>
        <v>-40</v>
      </c>
      <c r="L138" s="17"/>
      <c r="M138" s="19">
        <f t="shared" si="18"/>
        <v>0</v>
      </c>
      <c r="N138" s="19" t="str">
        <f t="shared" si="21"/>
        <v/>
      </c>
    </row>
    <row r="139" spans="1:14" x14ac:dyDescent="0.25">
      <c r="A139" s="43" t="str">
        <f t="shared" si="19"/>
        <v/>
      </c>
      <c r="G139" s="5"/>
      <c r="H139" s="17">
        <v>134</v>
      </c>
      <c r="I139" s="18" t="str">
        <f t="shared" si="16"/>
        <v/>
      </c>
      <c r="J139" s="17">
        <f t="shared" si="20"/>
        <v>-4</v>
      </c>
      <c r="K139" s="17">
        <f t="shared" si="17"/>
        <v>-40</v>
      </c>
      <c r="L139" s="17"/>
      <c r="M139" s="19">
        <f t="shared" si="18"/>
        <v>0</v>
      </c>
      <c r="N139" s="19" t="str">
        <f t="shared" si="21"/>
        <v/>
      </c>
    </row>
    <row r="140" spans="1:14" x14ac:dyDescent="0.25">
      <c r="A140" s="43" t="str">
        <f t="shared" si="19"/>
        <v/>
      </c>
      <c r="G140" s="5"/>
      <c r="H140" s="17">
        <v>135</v>
      </c>
      <c r="I140" s="18" t="str">
        <f t="shared" si="16"/>
        <v/>
      </c>
      <c r="J140" s="17">
        <f t="shared" si="20"/>
        <v>-4</v>
      </c>
      <c r="K140" s="17">
        <f t="shared" si="17"/>
        <v>-40</v>
      </c>
      <c r="L140" s="17"/>
      <c r="M140" s="19">
        <f t="shared" si="18"/>
        <v>0</v>
      </c>
      <c r="N140" s="19" t="str">
        <f t="shared" si="21"/>
        <v/>
      </c>
    </row>
    <row r="141" spans="1:14" x14ac:dyDescent="0.25">
      <c r="A141" s="43" t="str">
        <f t="shared" si="19"/>
        <v/>
      </c>
      <c r="G141" s="5"/>
      <c r="H141" s="17">
        <v>136</v>
      </c>
      <c r="I141" s="18" t="str">
        <f t="shared" si="16"/>
        <v/>
      </c>
      <c r="J141" s="17">
        <f t="shared" si="20"/>
        <v>-4</v>
      </c>
      <c r="K141" s="17">
        <f t="shared" si="17"/>
        <v>-40</v>
      </c>
      <c r="L141" s="17"/>
      <c r="M141" s="19">
        <f t="shared" si="18"/>
        <v>0</v>
      </c>
      <c r="N141" s="19" t="str">
        <f t="shared" si="21"/>
        <v/>
      </c>
    </row>
    <row r="142" spans="1:14" x14ac:dyDescent="0.25">
      <c r="A142" s="43" t="str">
        <f t="shared" si="19"/>
        <v/>
      </c>
      <c r="G142" s="5"/>
      <c r="H142" s="17">
        <v>137</v>
      </c>
      <c r="I142" s="18" t="str">
        <f t="shared" si="16"/>
        <v/>
      </c>
      <c r="J142" s="17">
        <f t="shared" si="20"/>
        <v>-4</v>
      </c>
      <c r="K142" s="17">
        <f t="shared" si="17"/>
        <v>-40</v>
      </c>
      <c r="L142" s="17"/>
      <c r="M142" s="19">
        <f t="shared" si="18"/>
        <v>0</v>
      </c>
      <c r="N142" s="19" t="str">
        <f t="shared" si="21"/>
        <v/>
      </c>
    </row>
    <row r="143" spans="1:14" x14ac:dyDescent="0.25">
      <c r="A143" s="43" t="str">
        <f t="shared" si="19"/>
        <v/>
      </c>
      <c r="G143" s="5"/>
      <c r="H143" s="17">
        <v>138</v>
      </c>
      <c r="I143" s="18" t="str">
        <f t="shared" si="16"/>
        <v/>
      </c>
      <c r="J143" s="17">
        <f t="shared" si="20"/>
        <v>-4</v>
      </c>
      <c r="K143" s="17">
        <f t="shared" si="17"/>
        <v>-40</v>
      </c>
      <c r="L143" s="17"/>
      <c r="M143" s="19">
        <f t="shared" si="18"/>
        <v>0</v>
      </c>
      <c r="N143" s="19" t="str">
        <f t="shared" si="21"/>
        <v/>
      </c>
    </row>
    <row r="144" spans="1:14" x14ac:dyDescent="0.25">
      <c r="A144" s="43" t="str">
        <f t="shared" si="19"/>
        <v/>
      </c>
      <c r="G144" s="5"/>
      <c r="H144" s="17">
        <v>139</v>
      </c>
      <c r="I144" s="18" t="str">
        <f t="shared" si="16"/>
        <v/>
      </c>
      <c r="J144" s="17">
        <f t="shared" si="20"/>
        <v>-4</v>
      </c>
      <c r="K144" s="17">
        <f t="shared" si="17"/>
        <v>-40</v>
      </c>
      <c r="L144" s="17"/>
      <c r="M144" s="19">
        <f t="shared" si="18"/>
        <v>0</v>
      </c>
      <c r="N144" s="19" t="str">
        <f t="shared" si="21"/>
        <v/>
      </c>
    </row>
    <row r="145" spans="1:14" x14ac:dyDescent="0.25">
      <c r="A145" s="43" t="str">
        <f t="shared" si="19"/>
        <v/>
      </c>
      <c r="G145" s="5"/>
      <c r="H145" s="17">
        <v>140</v>
      </c>
      <c r="I145" s="18" t="str">
        <f t="shared" si="16"/>
        <v/>
      </c>
      <c r="J145" s="17">
        <f t="shared" si="20"/>
        <v>-4</v>
      </c>
      <c r="K145" s="17">
        <f t="shared" si="17"/>
        <v>-40</v>
      </c>
      <c r="L145" s="17"/>
      <c r="M145" s="19">
        <f t="shared" si="18"/>
        <v>0</v>
      </c>
      <c r="N145" s="19" t="str">
        <f t="shared" si="21"/>
        <v/>
      </c>
    </row>
    <row r="146" spans="1:14" x14ac:dyDescent="0.25">
      <c r="A146" s="43" t="str">
        <f t="shared" si="19"/>
        <v/>
      </c>
      <c r="G146" s="5"/>
      <c r="H146" s="17">
        <v>141</v>
      </c>
      <c r="I146" s="18" t="str">
        <f t="shared" si="16"/>
        <v/>
      </c>
      <c r="J146" s="17">
        <f t="shared" si="20"/>
        <v>-4</v>
      </c>
      <c r="K146" s="17">
        <f t="shared" si="17"/>
        <v>-40</v>
      </c>
      <c r="L146" s="17"/>
      <c r="M146" s="19">
        <f t="shared" si="18"/>
        <v>0</v>
      </c>
      <c r="N146" s="19" t="str">
        <f t="shared" si="21"/>
        <v/>
      </c>
    </row>
    <row r="147" spans="1:14" x14ac:dyDescent="0.25">
      <c r="A147" s="43" t="str">
        <f t="shared" si="19"/>
        <v/>
      </c>
      <c r="G147" s="5"/>
      <c r="H147" s="17">
        <v>142</v>
      </c>
      <c r="I147" s="18" t="str">
        <f t="shared" si="16"/>
        <v/>
      </c>
      <c r="J147" s="17">
        <f t="shared" si="20"/>
        <v>-4</v>
      </c>
      <c r="K147" s="17">
        <f t="shared" si="17"/>
        <v>-40</v>
      </c>
      <c r="L147" s="17"/>
      <c r="M147" s="19">
        <f t="shared" si="18"/>
        <v>0</v>
      </c>
      <c r="N147" s="19" t="str">
        <f t="shared" si="21"/>
        <v/>
      </c>
    </row>
    <row r="148" spans="1:14" x14ac:dyDescent="0.25">
      <c r="A148" s="43" t="str">
        <f t="shared" si="19"/>
        <v/>
      </c>
      <c r="G148" s="5"/>
      <c r="H148" s="17">
        <v>143</v>
      </c>
      <c r="I148" s="18" t="str">
        <f t="shared" si="16"/>
        <v/>
      </c>
      <c r="J148" s="17">
        <f t="shared" si="20"/>
        <v>-4</v>
      </c>
      <c r="K148" s="17">
        <f t="shared" si="17"/>
        <v>-40</v>
      </c>
      <c r="L148" s="17"/>
      <c r="M148" s="19">
        <f t="shared" si="18"/>
        <v>0</v>
      </c>
      <c r="N148" s="19" t="str">
        <f t="shared" si="21"/>
        <v/>
      </c>
    </row>
    <row r="149" spans="1:14" x14ac:dyDescent="0.25">
      <c r="A149" s="43" t="str">
        <f t="shared" si="19"/>
        <v/>
      </c>
      <c r="G149" s="5"/>
      <c r="H149" s="17">
        <v>144</v>
      </c>
      <c r="I149" s="18" t="str">
        <f t="shared" si="16"/>
        <v/>
      </c>
      <c r="J149" s="17">
        <f t="shared" si="20"/>
        <v>-4</v>
      </c>
      <c r="K149" s="17">
        <f t="shared" si="17"/>
        <v>-40</v>
      </c>
      <c r="L149" s="17"/>
      <c r="M149" s="19">
        <f t="shared" si="18"/>
        <v>0</v>
      </c>
      <c r="N149" s="19" t="str">
        <f t="shared" si="21"/>
        <v/>
      </c>
    </row>
    <row r="150" spans="1:14" x14ac:dyDescent="0.25">
      <c r="A150" s="43" t="str">
        <f t="shared" si="19"/>
        <v/>
      </c>
      <c r="G150" s="5"/>
      <c r="H150" s="17">
        <v>145</v>
      </c>
      <c r="I150" s="18" t="str">
        <f t="shared" si="16"/>
        <v/>
      </c>
      <c r="J150" s="17">
        <f t="shared" si="20"/>
        <v>-4</v>
      </c>
      <c r="K150" s="17">
        <f t="shared" si="17"/>
        <v>-40</v>
      </c>
      <c r="L150" s="17"/>
      <c r="M150" s="19">
        <f t="shared" si="18"/>
        <v>0</v>
      </c>
      <c r="N150" s="19" t="str">
        <f t="shared" si="21"/>
        <v/>
      </c>
    </row>
    <row r="151" spans="1:14" x14ac:dyDescent="0.25">
      <c r="A151" s="43" t="str">
        <f t="shared" si="19"/>
        <v/>
      </c>
      <c r="G151" s="5"/>
      <c r="H151" s="17">
        <v>146</v>
      </c>
      <c r="I151" s="18" t="str">
        <f t="shared" si="16"/>
        <v/>
      </c>
      <c r="J151" s="17">
        <f t="shared" si="20"/>
        <v>-4</v>
      </c>
      <c r="K151" s="17">
        <f t="shared" si="17"/>
        <v>-40</v>
      </c>
      <c r="L151" s="17"/>
      <c r="M151" s="19">
        <f t="shared" si="18"/>
        <v>0</v>
      </c>
      <c r="N151" s="19" t="str">
        <f t="shared" si="21"/>
        <v/>
      </c>
    </row>
    <row r="152" spans="1:14" x14ac:dyDescent="0.25">
      <c r="A152" s="43" t="str">
        <f t="shared" si="19"/>
        <v/>
      </c>
      <c r="G152" s="5"/>
      <c r="H152" s="17">
        <v>147</v>
      </c>
      <c r="I152" s="18" t="str">
        <f t="shared" si="16"/>
        <v/>
      </c>
      <c r="J152" s="17">
        <f t="shared" si="20"/>
        <v>-4</v>
      </c>
      <c r="K152" s="17">
        <f t="shared" si="17"/>
        <v>-40</v>
      </c>
      <c r="L152" s="17"/>
      <c r="M152" s="19">
        <f t="shared" si="18"/>
        <v>0</v>
      </c>
      <c r="N152" s="19" t="str">
        <f t="shared" si="21"/>
        <v/>
      </c>
    </row>
    <row r="153" spans="1:14" x14ac:dyDescent="0.25">
      <c r="A153" s="43" t="str">
        <f t="shared" si="19"/>
        <v/>
      </c>
      <c r="G153" s="5"/>
      <c r="H153" s="17">
        <v>148</v>
      </c>
      <c r="I153" s="18" t="str">
        <f t="shared" si="16"/>
        <v/>
      </c>
      <c r="J153" s="17">
        <f t="shared" si="20"/>
        <v>-4</v>
      </c>
      <c r="K153" s="17">
        <f t="shared" si="17"/>
        <v>-40</v>
      </c>
      <c r="L153" s="17"/>
      <c r="M153" s="19">
        <f t="shared" si="18"/>
        <v>0</v>
      </c>
      <c r="N153" s="19" t="str">
        <f t="shared" si="21"/>
        <v/>
      </c>
    </row>
    <row r="154" spans="1:14" x14ac:dyDescent="0.25">
      <c r="A154" s="43" t="str">
        <f t="shared" si="19"/>
        <v/>
      </c>
      <c r="G154" s="5"/>
      <c r="H154" s="17">
        <v>149</v>
      </c>
      <c r="I154" s="18" t="str">
        <f t="shared" si="16"/>
        <v/>
      </c>
      <c r="J154" s="17">
        <f t="shared" si="20"/>
        <v>-4</v>
      </c>
      <c r="K154" s="17">
        <f t="shared" si="17"/>
        <v>-40</v>
      </c>
      <c r="L154" s="17"/>
      <c r="M154" s="19">
        <f t="shared" si="18"/>
        <v>0</v>
      </c>
      <c r="N154" s="19" t="str">
        <f t="shared" si="21"/>
        <v/>
      </c>
    </row>
    <row r="155" spans="1:14" x14ac:dyDescent="0.25">
      <c r="A155" s="43" t="str">
        <f t="shared" si="19"/>
        <v/>
      </c>
      <c r="G155" s="5"/>
      <c r="H155" s="17">
        <v>150</v>
      </c>
      <c r="I155" s="18" t="str">
        <f t="shared" si="16"/>
        <v/>
      </c>
      <c r="J155" s="17">
        <f t="shared" si="20"/>
        <v>-4</v>
      </c>
      <c r="K155" s="17">
        <f t="shared" si="17"/>
        <v>-40</v>
      </c>
      <c r="L155" s="17"/>
      <c r="M155" s="19">
        <f t="shared" si="18"/>
        <v>0</v>
      </c>
      <c r="N155" s="19" t="str">
        <f t="shared" si="21"/>
        <v/>
      </c>
    </row>
    <row r="156" spans="1:14" x14ac:dyDescent="0.25">
      <c r="A156" s="43" t="str">
        <f t="shared" si="19"/>
        <v/>
      </c>
      <c r="G156" s="5"/>
      <c r="H156" s="17">
        <v>151</v>
      </c>
      <c r="I156" s="18" t="str">
        <f t="shared" si="16"/>
        <v/>
      </c>
      <c r="J156" s="17">
        <f t="shared" si="20"/>
        <v>-4</v>
      </c>
      <c r="K156" s="17">
        <f t="shared" si="17"/>
        <v>-40</v>
      </c>
      <c r="L156" s="17"/>
      <c r="M156" s="19">
        <f t="shared" si="18"/>
        <v>0</v>
      </c>
      <c r="N156" s="19" t="str">
        <f t="shared" si="21"/>
        <v/>
      </c>
    </row>
    <row r="157" spans="1:14" x14ac:dyDescent="0.25">
      <c r="A157" s="43" t="str">
        <f t="shared" si="19"/>
        <v/>
      </c>
      <c r="G157" s="5"/>
      <c r="H157" s="17">
        <v>152</v>
      </c>
      <c r="I157" s="18" t="str">
        <f t="shared" si="16"/>
        <v/>
      </c>
      <c r="J157" s="17">
        <f t="shared" si="20"/>
        <v>-4</v>
      </c>
      <c r="K157" s="17">
        <f t="shared" si="17"/>
        <v>-40</v>
      </c>
      <c r="L157" s="17"/>
      <c r="M157" s="19">
        <f t="shared" si="18"/>
        <v>0</v>
      </c>
      <c r="N157" s="19" t="str">
        <f t="shared" si="21"/>
        <v/>
      </c>
    </row>
    <row r="158" spans="1:14" x14ac:dyDescent="0.25">
      <c r="A158" s="43" t="str">
        <f t="shared" si="19"/>
        <v/>
      </c>
      <c r="G158" s="5"/>
      <c r="H158" s="17">
        <v>153</v>
      </c>
      <c r="I158" s="18" t="str">
        <f t="shared" si="16"/>
        <v/>
      </c>
      <c r="J158" s="17">
        <f t="shared" si="20"/>
        <v>-4</v>
      </c>
      <c r="K158" s="17">
        <f t="shared" si="17"/>
        <v>-40</v>
      </c>
      <c r="L158" s="17"/>
      <c r="M158" s="19">
        <f t="shared" si="18"/>
        <v>0</v>
      </c>
      <c r="N158" s="19" t="str">
        <f t="shared" si="21"/>
        <v/>
      </c>
    </row>
    <row r="159" spans="1:14" x14ac:dyDescent="0.25">
      <c r="A159" s="43" t="str">
        <f t="shared" si="19"/>
        <v/>
      </c>
      <c r="G159" s="5"/>
      <c r="H159" s="17">
        <v>154</v>
      </c>
      <c r="I159" s="18" t="str">
        <f t="shared" si="16"/>
        <v/>
      </c>
      <c r="J159" s="17">
        <f t="shared" si="20"/>
        <v>-4</v>
      </c>
      <c r="K159" s="17">
        <f t="shared" si="17"/>
        <v>-40</v>
      </c>
      <c r="L159" s="17"/>
      <c r="M159" s="19">
        <f t="shared" si="18"/>
        <v>0</v>
      </c>
      <c r="N159" s="19" t="str">
        <f t="shared" si="21"/>
        <v/>
      </c>
    </row>
    <row r="160" spans="1:14" x14ac:dyDescent="0.25">
      <c r="A160" s="43" t="str">
        <f t="shared" si="19"/>
        <v/>
      </c>
      <c r="G160" s="5"/>
      <c r="H160" s="17">
        <v>155</v>
      </c>
      <c r="I160" s="18" t="str">
        <f t="shared" si="16"/>
        <v/>
      </c>
      <c r="J160" s="17">
        <f t="shared" si="20"/>
        <v>-4</v>
      </c>
      <c r="K160" s="17">
        <f t="shared" si="17"/>
        <v>-40</v>
      </c>
      <c r="L160" s="17"/>
      <c r="M160" s="19">
        <f t="shared" si="18"/>
        <v>0</v>
      </c>
      <c r="N160" s="19" t="str">
        <f t="shared" si="21"/>
        <v/>
      </c>
    </row>
    <row r="161" spans="1:14" x14ac:dyDescent="0.25">
      <c r="A161" s="43" t="str">
        <f t="shared" si="19"/>
        <v/>
      </c>
      <c r="G161" s="5"/>
      <c r="H161" s="17">
        <v>156</v>
      </c>
      <c r="I161" s="18" t="str">
        <f t="shared" si="16"/>
        <v/>
      </c>
      <c r="J161" s="17">
        <f t="shared" si="20"/>
        <v>-4</v>
      </c>
      <c r="K161" s="17">
        <f t="shared" si="17"/>
        <v>-40</v>
      </c>
      <c r="L161" s="17"/>
      <c r="M161" s="19">
        <f t="shared" si="18"/>
        <v>0</v>
      </c>
      <c r="N161" s="19" t="str">
        <f t="shared" si="21"/>
        <v/>
      </c>
    </row>
    <row r="162" spans="1:14" x14ac:dyDescent="0.25">
      <c r="A162" s="43" t="str">
        <f t="shared" si="19"/>
        <v/>
      </c>
      <c r="G162" s="5"/>
      <c r="H162" s="17">
        <v>157</v>
      </c>
      <c r="I162" s="18" t="str">
        <f t="shared" si="16"/>
        <v/>
      </c>
      <c r="J162" s="17">
        <f t="shared" si="20"/>
        <v>-4</v>
      </c>
      <c r="K162" s="17">
        <f t="shared" si="17"/>
        <v>-40</v>
      </c>
      <c r="L162" s="17"/>
      <c r="M162" s="19">
        <f t="shared" si="18"/>
        <v>0</v>
      </c>
      <c r="N162" s="19" t="str">
        <f t="shared" si="21"/>
        <v/>
      </c>
    </row>
    <row r="163" spans="1:14" x14ac:dyDescent="0.25">
      <c r="A163" s="43" t="str">
        <f t="shared" si="19"/>
        <v/>
      </c>
      <c r="G163" s="5"/>
      <c r="H163" s="17">
        <v>158</v>
      </c>
      <c r="I163" s="18" t="str">
        <f t="shared" si="16"/>
        <v/>
      </c>
      <c r="J163" s="17">
        <f t="shared" si="20"/>
        <v>-4</v>
      </c>
      <c r="K163" s="17">
        <f t="shared" si="17"/>
        <v>-40</v>
      </c>
      <c r="L163" s="17"/>
      <c r="M163" s="19">
        <f t="shared" si="18"/>
        <v>0</v>
      </c>
      <c r="N163" s="19" t="str">
        <f t="shared" si="21"/>
        <v/>
      </c>
    </row>
    <row r="164" spans="1:14" x14ac:dyDescent="0.25">
      <c r="A164" s="43" t="str">
        <f t="shared" si="19"/>
        <v/>
      </c>
      <c r="G164" s="5"/>
      <c r="H164" s="17">
        <v>159</v>
      </c>
      <c r="I164" s="18" t="str">
        <f t="shared" si="16"/>
        <v/>
      </c>
      <c r="J164" s="17">
        <f t="shared" si="20"/>
        <v>-4</v>
      </c>
      <c r="K164" s="17">
        <f t="shared" si="17"/>
        <v>-40</v>
      </c>
      <c r="L164" s="17"/>
      <c r="M164" s="19">
        <f t="shared" si="18"/>
        <v>0</v>
      </c>
      <c r="N164" s="19" t="str">
        <f t="shared" si="21"/>
        <v/>
      </c>
    </row>
    <row r="165" spans="1:14" x14ac:dyDescent="0.25">
      <c r="A165" s="43" t="str">
        <f t="shared" si="19"/>
        <v/>
      </c>
      <c r="G165" s="5"/>
      <c r="H165" s="17">
        <v>160</v>
      </c>
      <c r="I165" s="18" t="str">
        <f t="shared" si="16"/>
        <v/>
      </c>
      <c r="J165" s="17">
        <f t="shared" si="20"/>
        <v>-4</v>
      </c>
      <c r="K165" s="17">
        <f t="shared" si="17"/>
        <v>-40</v>
      </c>
      <c r="L165" s="17"/>
      <c r="M165" s="19">
        <f t="shared" si="18"/>
        <v>0</v>
      </c>
      <c r="N165" s="19" t="str">
        <f t="shared" si="21"/>
        <v/>
      </c>
    </row>
    <row r="166" spans="1:14" x14ac:dyDescent="0.25">
      <c r="A166" s="43" t="str">
        <f t="shared" si="19"/>
        <v/>
      </c>
      <c r="G166" s="5"/>
      <c r="H166" s="17">
        <v>161</v>
      </c>
      <c r="I166" s="18" t="str">
        <f t="shared" si="16"/>
        <v/>
      </c>
      <c r="J166" s="17">
        <f t="shared" si="20"/>
        <v>-4</v>
      </c>
      <c r="K166" s="17">
        <f t="shared" si="17"/>
        <v>-40</v>
      </c>
      <c r="L166" s="17"/>
      <c r="M166" s="19">
        <f t="shared" si="18"/>
        <v>0</v>
      </c>
      <c r="N166" s="19" t="str">
        <f t="shared" si="21"/>
        <v/>
      </c>
    </row>
    <row r="167" spans="1:14" x14ac:dyDescent="0.25">
      <c r="A167" s="43" t="str">
        <f t="shared" si="19"/>
        <v/>
      </c>
      <c r="G167" s="5"/>
      <c r="H167" s="17">
        <v>162</v>
      </c>
      <c r="I167" s="18" t="str">
        <f t="shared" si="16"/>
        <v/>
      </c>
      <c r="J167" s="17">
        <f t="shared" si="20"/>
        <v>-4</v>
      </c>
      <c r="K167" s="17">
        <f t="shared" si="17"/>
        <v>-40</v>
      </c>
      <c r="L167" s="17"/>
      <c r="M167" s="19">
        <f t="shared" si="18"/>
        <v>0</v>
      </c>
      <c r="N167" s="19" t="str">
        <f t="shared" si="21"/>
        <v/>
      </c>
    </row>
    <row r="168" spans="1:14" x14ac:dyDescent="0.25">
      <c r="A168" s="43" t="str">
        <f t="shared" si="19"/>
        <v/>
      </c>
      <c r="G168" s="5"/>
      <c r="H168" s="17">
        <v>163</v>
      </c>
      <c r="I168" s="18" t="str">
        <f t="shared" si="16"/>
        <v/>
      </c>
      <c r="J168" s="17">
        <f t="shared" si="20"/>
        <v>-4</v>
      </c>
      <c r="K168" s="17">
        <f t="shared" si="17"/>
        <v>-40</v>
      </c>
      <c r="L168" s="17"/>
      <c r="M168" s="19">
        <f t="shared" si="18"/>
        <v>0</v>
      </c>
      <c r="N168" s="19" t="str">
        <f t="shared" si="21"/>
        <v/>
      </c>
    </row>
    <row r="169" spans="1:14" x14ac:dyDescent="0.25">
      <c r="A169" s="43" t="str">
        <f t="shared" si="19"/>
        <v/>
      </c>
      <c r="G169" s="5"/>
      <c r="H169" s="17">
        <v>164</v>
      </c>
      <c r="I169" s="18" t="str">
        <f t="shared" si="16"/>
        <v/>
      </c>
      <c r="J169" s="17">
        <f t="shared" si="20"/>
        <v>-4</v>
      </c>
      <c r="K169" s="17">
        <f t="shared" si="17"/>
        <v>-40</v>
      </c>
      <c r="L169" s="17"/>
      <c r="M169" s="19">
        <f t="shared" si="18"/>
        <v>0</v>
      </c>
      <c r="N169" s="19" t="str">
        <f t="shared" si="21"/>
        <v/>
      </c>
    </row>
    <row r="170" spans="1:14" x14ac:dyDescent="0.25">
      <c r="A170" s="43" t="str">
        <f t="shared" si="19"/>
        <v/>
      </c>
      <c r="G170" s="5"/>
      <c r="H170" s="17">
        <v>165</v>
      </c>
      <c r="I170" s="18" t="str">
        <f t="shared" si="16"/>
        <v/>
      </c>
      <c r="J170" s="17">
        <f t="shared" si="20"/>
        <v>-4</v>
      </c>
      <c r="K170" s="17">
        <f t="shared" si="17"/>
        <v>-40</v>
      </c>
      <c r="L170" s="17"/>
      <c r="M170" s="19">
        <f t="shared" si="18"/>
        <v>0</v>
      </c>
      <c r="N170" s="19" t="str">
        <f t="shared" si="21"/>
        <v/>
      </c>
    </row>
    <row r="171" spans="1:14" x14ac:dyDescent="0.25">
      <c r="A171" s="43" t="str">
        <f t="shared" si="19"/>
        <v/>
      </c>
      <c r="G171" s="5"/>
      <c r="H171" s="17">
        <v>166</v>
      </c>
      <c r="I171" s="18" t="str">
        <f t="shared" si="16"/>
        <v/>
      </c>
      <c r="J171" s="17">
        <f t="shared" si="20"/>
        <v>-4</v>
      </c>
      <c r="K171" s="17">
        <f t="shared" si="17"/>
        <v>-40</v>
      </c>
      <c r="L171" s="17"/>
      <c r="M171" s="19">
        <f t="shared" si="18"/>
        <v>0</v>
      </c>
      <c r="N171" s="19" t="str">
        <f t="shared" si="21"/>
        <v/>
      </c>
    </row>
    <row r="172" spans="1:14" x14ac:dyDescent="0.25">
      <c r="A172" s="43" t="str">
        <f t="shared" si="19"/>
        <v/>
      </c>
      <c r="G172" s="5"/>
      <c r="H172" s="17">
        <v>167</v>
      </c>
      <c r="I172" s="18" t="str">
        <f t="shared" si="16"/>
        <v/>
      </c>
      <c r="J172" s="17">
        <f t="shared" si="20"/>
        <v>-4</v>
      </c>
      <c r="K172" s="17">
        <f t="shared" si="17"/>
        <v>-40</v>
      </c>
      <c r="L172" s="17"/>
      <c r="M172" s="19">
        <f t="shared" si="18"/>
        <v>0</v>
      </c>
      <c r="N172" s="19" t="str">
        <f t="shared" si="21"/>
        <v/>
      </c>
    </row>
    <row r="173" spans="1:14" x14ac:dyDescent="0.25">
      <c r="A173" s="43" t="str">
        <f t="shared" si="19"/>
        <v/>
      </c>
      <c r="G173" s="5"/>
      <c r="H173" s="17">
        <v>168</v>
      </c>
      <c r="I173" s="18" t="str">
        <f t="shared" si="16"/>
        <v/>
      </c>
      <c r="J173" s="17">
        <f t="shared" si="20"/>
        <v>-4</v>
      </c>
      <c r="K173" s="17">
        <f t="shared" si="17"/>
        <v>-40</v>
      </c>
      <c r="L173" s="17"/>
      <c r="M173" s="19">
        <f t="shared" si="18"/>
        <v>0</v>
      </c>
      <c r="N173" s="19" t="str">
        <f t="shared" si="21"/>
        <v/>
      </c>
    </row>
    <row r="174" spans="1:14" x14ac:dyDescent="0.25">
      <c r="A174" s="43" t="str">
        <f t="shared" si="19"/>
        <v/>
      </c>
      <c r="G174" s="5"/>
      <c r="H174" s="17">
        <v>169</v>
      </c>
      <c r="I174" s="18" t="str">
        <f t="shared" si="16"/>
        <v/>
      </c>
      <c r="J174" s="17">
        <f t="shared" si="20"/>
        <v>-4</v>
      </c>
      <c r="K174" s="17">
        <f t="shared" si="17"/>
        <v>-40</v>
      </c>
      <c r="L174" s="17"/>
      <c r="M174" s="19">
        <f t="shared" si="18"/>
        <v>0</v>
      </c>
      <c r="N174" s="19" t="str">
        <f t="shared" si="21"/>
        <v/>
      </c>
    </row>
    <row r="175" spans="1:14" x14ac:dyDescent="0.25">
      <c r="A175" s="43" t="str">
        <f t="shared" si="19"/>
        <v/>
      </c>
      <c r="G175" s="5"/>
      <c r="H175" s="17">
        <v>170</v>
      </c>
      <c r="I175" s="18" t="str">
        <f t="shared" si="16"/>
        <v/>
      </c>
      <c r="J175" s="17">
        <f t="shared" si="20"/>
        <v>-4</v>
      </c>
      <c r="K175" s="17">
        <f t="shared" si="17"/>
        <v>-40</v>
      </c>
      <c r="L175" s="17"/>
      <c r="M175" s="19">
        <f t="shared" si="18"/>
        <v>0</v>
      </c>
      <c r="N175" s="19" t="str">
        <f t="shared" si="21"/>
        <v/>
      </c>
    </row>
    <row r="176" spans="1:14" x14ac:dyDescent="0.25">
      <c r="A176" s="43" t="str">
        <f t="shared" si="19"/>
        <v/>
      </c>
      <c r="G176" s="5"/>
      <c r="H176" s="17">
        <v>171</v>
      </c>
      <c r="I176" s="18" t="str">
        <f t="shared" si="16"/>
        <v/>
      </c>
      <c r="J176" s="17">
        <f t="shared" si="20"/>
        <v>-4</v>
      </c>
      <c r="K176" s="17">
        <f t="shared" si="17"/>
        <v>-40</v>
      </c>
      <c r="L176" s="17"/>
      <c r="M176" s="19">
        <f t="shared" si="18"/>
        <v>0</v>
      </c>
      <c r="N176" s="19" t="str">
        <f t="shared" si="21"/>
        <v/>
      </c>
    </row>
    <row r="177" spans="1:14" x14ac:dyDescent="0.25">
      <c r="A177" s="43" t="str">
        <f t="shared" si="19"/>
        <v/>
      </c>
      <c r="G177" s="5"/>
      <c r="H177" s="17">
        <v>172</v>
      </c>
      <c r="I177" s="18" t="str">
        <f t="shared" si="16"/>
        <v/>
      </c>
      <c r="J177" s="17">
        <f t="shared" si="20"/>
        <v>-4</v>
      </c>
      <c r="K177" s="17">
        <f t="shared" si="17"/>
        <v>-40</v>
      </c>
      <c r="L177" s="17"/>
      <c r="M177" s="19">
        <f t="shared" si="18"/>
        <v>0</v>
      </c>
      <c r="N177" s="19" t="str">
        <f t="shared" si="21"/>
        <v/>
      </c>
    </row>
    <row r="178" spans="1:14" x14ac:dyDescent="0.25">
      <c r="A178" s="43" t="str">
        <f t="shared" si="19"/>
        <v/>
      </c>
      <c r="G178" s="5"/>
      <c r="H178" s="17">
        <v>173</v>
      </c>
      <c r="I178" s="18" t="str">
        <f t="shared" si="16"/>
        <v/>
      </c>
      <c r="J178" s="17">
        <f t="shared" si="20"/>
        <v>-4</v>
      </c>
      <c r="K178" s="17">
        <f t="shared" si="17"/>
        <v>-40</v>
      </c>
      <c r="L178" s="17"/>
      <c r="M178" s="19">
        <f t="shared" si="18"/>
        <v>0</v>
      </c>
      <c r="N178" s="19" t="str">
        <f t="shared" si="21"/>
        <v/>
      </c>
    </row>
    <row r="179" spans="1:14" x14ac:dyDescent="0.25">
      <c r="A179" s="43" t="str">
        <f t="shared" si="19"/>
        <v/>
      </c>
      <c r="G179" s="5"/>
      <c r="H179" s="17">
        <v>174</v>
      </c>
      <c r="I179" s="18" t="str">
        <f t="shared" si="16"/>
        <v/>
      </c>
      <c r="J179" s="17">
        <f t="shared" si="20"/>
        <v>-4</v>
      </c>
      <c r="K179" s="17">
        <f t="shared" si="17"/>
        <v>-40</v>
      </c>
      <c r="L179" s="17"/>
      <c r="M179" s="19">
        <f t="shared" si="18"/>
        <v>0</v>
      </c>
      <c r="N179" s="19" t="str">
        <f t="shared" si="21"/>
        <v/>
      </c>
    </row>
    <row r="180" spans="1:14" x14ac:dyDescent="0.25">
      <c r="A180" s="43" t="str">
        <f t="shared" si="19"/>
        <v/>
      </c>
      <c r="G180" s="5"/>
      <c r="H180" s="17">
        <v>175</v>
      </c>
      <c r="I180" s="18" t="str">
        <f t="shared" si="16"/>
        <v/>
      </c>
      <c r="J180" s="17">
        <f t="shared" si="20"/>
        <v>-4</v>
      </c>
      <c r="K180" s="17">
        <f t="shared" si="17"/>
        <v>-40</v>
      </c>
      <c r="L180" s="17"/>
      <c r="M180" s="19">
        <f t="shared" si="18"/>
        <v>0</v>
      </c>
      <c r="N180" s="19" t="str">
        <f t="shared" si="21"/>
        <v/>
      </c>
    </row>
    <row r="181" spans="1:14" x14ac:dyDescent="0.25">
      <c r="A181" s="43" t="str">
        <f t="shared" si="19"/>
        <v/>
      </c>
      <c r="G181" s="5"/>
      <c r="H181" s="17">
        <v>176</v>
      </c>
      <c r="I181" s="18" t="str">
        <f t="shared" si="16"/>
        <v/>
      </c>
      <c r="J181" s="17">
        <f t="shared" si="20"/>
        <v>-4</v>
      </c>
      <c r="K181" s="17">
        <f t="shared" si="17"/>
        <v>-40</v>
      </c>
      <c r="L181" s="17"/>
      <c r="M181" s="19">
        <f t="shared" si="18"/>
        <v>0</v>
      </c>
      <c r="N181" s="19" t="str">
        <f t="shared" si="21"/>
        <v/>
      </c>
    </row>
    <row r="182" spans="1:14" x14ac:dyDescent="0.25">
      <c r="A182" s="43" t="str">
        <f t="shared" si="19"/>
        <v/>
      </c>
      <c r="G182" s="5"/>
      <c r="H182" s="17">
        <v>177</v>
      </c>
      <c r="I182" s="18" t="str">
        <f t="shared" si="16"/>
        <v/>
      </c>
      <c r="J182" s="17">
        <f t="shared" si="20"/>
        <v>-4</v>
      </c>
      <c r="K182" s="17">
        <f t="shared" si="17"/>
        <v>-40</v>
      </c>
      <c r="L182" s="17"/>
      <c r="M182" s="19">
        <f t="shared" si="18"/>
        <v>0</v>
      </c>
      <c r="N182" s="19" t="str">
        <f t="shared" si="21"/>
        <v/>
      </c>
    </row>
    <row r="183" spans="1:14" x14ac:dyDescent="0.25">
      <c r="A183" s="43" t="str">
        <f t="shared" si="19"/>
        <v/>
      </c>
      <c r="G183" s="5"/>
      <c r="H183" s="17">
        <v>178</v>
      </c>
      <c r="I183" s="18" t="str">
        <f t="shared" si="16"/>
        <v/>
      </c>
      <c r="J183" s="17">
        <f t="shared" si="20"/>
        <v>-4</v>
      </c>
      <c r="K183" s="17">
        <f t="shared" si="17"/>
        <v>-40</v>
      </c>
      <c r="L183" s="17"/>
      <c r="M183" s="19">
        <f t="shared" si="18"/>
        <v>0</v>
      </c>
      <c r="N183" s="19" t="str">
        <f t="shared" si="21"/>
        <v/>
      </c>
    </row>
    <row r="184" spans="1:14" x14ac:dyDescent="0.25">
      <c r="A184" s="43" t="str">
        <f t="shared" si="19"/>
        <v/>
      </c>
      <c r="G184" s="5"/>
      <c r="H184" s="17">
        <v>179</v>
      </c>
      <c r="I184" s="18" t="str">
        <f t="shared" si="16"/>
        <v/>
      </c>
      <c r="J184" s="17">
        <f t="shared" si="20"/>
        <v>-4</v>
      </c>
      <c r="K184" s="17">
        <f t="shared" si="17"/>
        <v>-40</v>
      </c>
      <c r="L184" s="17"/>
      <c r="M184" s="19">
        <f t="shared" si="18"/>
        <v>0</v>
      </c>
      <c r="N184" s="19" t="str">
        <f t="shared" si="21"/>
        <v/>
      </c>
    </row>
    <row r="185" spans="1:14" x14ac:dyDescent="0.25">
      <c r="A185" s="43" t="str">
        <f t="shared" si="19"/>
        <v/>
      </c>
      <c r="G185" s="5"/>
      <c r="H185" s="17">
        <v>180</v>
      </c>
      <c r="I185" s="18" t="str">
        <f t="shared" si="16"/>
        <v/>
      </c>
      <c r="J185" s="17">
        <f t="shared" si="20"/>
        <v>-4</v>
      </c>
      <c r="K185" s="17">
        <f t="shared" si="17"/>
        <v>-40</v>
      </c>
      <c r="L185" s="17"/>
      <c r="M185" s="19">
        <f t="shared" si="18"/>
        <v>0</v>
      </c>
      <c r="N185" s="19" t="str">
        <f t="shared" si="21"/>
        <v/>
      </c>
    </row>
    <row r="186" spans="1:14" x14ac:dyDescent="0.25">
      <c r="A186" s="43" t="str">
        <f t="shared" si="19"/>
        <v/>
      </c>
      <c r="G186" s="5"/>
      <c r="H186" s="17">
        <v>181</v>
      </c>
      <c r="I186" s="18" t="str">
        <f t="shared" si="16"/>
        <v/>
      </c>
      <c r="J186" s="17">
        <f t="shared" si="20"/>
        <v>-4</v>
      </c>
      <c r="K186" s="17">
        <f t="shared" si="17"/>
        <v>-40</v>
      </c>
      <c r="L186" s="17"/>
      <c r="M186" s="19">
        <f t="shared" si="18"/>
        <v>0</v>
      </c>
      <c r="N186" s="19" t="str">
        <f t="shared" si="21"/>
        <v/>
      </c>
    </row>
    <row r="187" spans="1:14" x14ac:dyDescent="0.25">
      <c r="A187" s="43" t="str">
        <f t="shared" si="19"/>
        <v/>
      </c>
      <c r="G187" s="5"/>
      <c r="H187" s="17">
        <v>182</v>
      </c>
      <c r="I187" s="18" t="str">
        <f t="shared" si="16"/>
        <v/>
      </c>
      <c r="J187" s="17">
        <f t="shared" si="20"/>
        <v>-4</v>
      </c>
      <c r="K187" s="17">
        <f t="shared" si="17"/>
        <v>-40</v>
      </c>
      <c r="L187" s="17"/>
      <c r="M187" s="19">
        <f t="shared" si="18"/>
        <v>0</v>
      </c>
      <c r="N187" s="19" t="str">
        <f t="shared" si="21"/>
        <v/>
      </c>
    </row>
    <row r="188" spans="1:14" x14ac:dyDescent="0.25">
      <c r="A188" s="43" t="str">
        <f t="shared" si="19"/>
        <v/>
      </c>
      <c r="G188" s="5"/>
      <c r="H188" s="17">
        <v>183</v>
      </c>
      <c r="I188" s="18" t="str">
        <f t="shared" si="16"/>
        <v/>
      </c>
      <c r="J188" s="17">
        <f t="shared" si="20"/>
        <v>-4</v>
      </c>
      <c r="K188" s="17">
        <f t="shared" si="17"/>
        <v>-40</v>
      </c>
      <c r="L188" s="17"/>
      <c r="M188" s="19">
        <f t="shared" si="18"/>
        <v>0</v>
      </c>
      <c r="N188" s="19" t="str">
        <f t="shared" si="21"/>
        <v/>
      </c>
    </row>
    <row r="189" spans="1:14" x14ac:dyDescent="0.25">
      <c r="A189" s="43" t="str">
        <f t="shared" si="19"/>
        <v/>
      </c>
      <c r="G189" s="5"/>
      <c r="H189" s="17">
        <v>184</v>
      </c>
      <c r="I189" s="18" t="str">
        <f t="shared" si="16"/>
        <v/>
      </c>
      <c r="J189" s="17">
        <f t="shared" si="20"/>
        <v>-4</v>
      </c>
      <c r="K189" s="17">
        <f t="shared" si="17"/>
        <v>-40</v>
      </c>
      <c r="L189" s="17"/>
      <c r="M189" s="19">
        <f t="shared" si="18"/>
        <v>0</v>
      </c>
      <c r="N189" s="19" t="str">
        <f t="shared" si="21"/>
        <v/>
      </c>
    </row>
    <row r="190" spans="1:14" x14ac:dyDescent="0.25">
      <c r="A190" s="43" t="str">
        <f t="shared" si="19"/>
        <v/>
      </c>
      <c r="G190" s="5"/>
      <c r="H190" s="17">
        <v>185</v>
      </c>
      <c r="I190" s="18" t="str">
        <f t="shared" si="16"/>
        <v/>
      </c>
      <c r="J190" s="17">
        <f t="shared" si="20"/>
        <v>-4</v>
      </c>
      <c r="K190" s="17">
        <f t="shared" si="17"/>
        <v>-40</v>
      </c>
      <c r="L190" s="17"/>
      <c r="M190" s="19">
        <f t="shared" si="18"/>
        <v>0</v>
      </c>
      <c r="N190" s="19" t="str">
        <f t="shared" si="21"/>
        <v/>
      </c>
    </row>
    <row r="191" spans="1:14" x14ac:dyDescent="0.25">
      <c r="A191" s="43" t="str">
        <f t="shared" si="19"/>
        <v/>
      </c>
      <c r="G191" s="5"/>
      <c r="H191" s="17">
        <v>186</v>
      </c>
      <c r="I191" s="18" t="str">
        <f t="shared" si="16"/>
        <v/>
      </c>
      <c r="J191" s="17">
        <f t="shared" si="20"/>
        <v>-4</v>
      </c>
      <c r="K191" s="17">
        <f t="shared" si="17"/>
        <v>-40</v>
      </c>
      <c r="L191" s="17"/>
      <c r="M191" s="19">
        <f t="shared" si="18"/>
        <v>0</v>
      </c>
      <c r="N191" s="19" t="str">
        <f t="shared" si="21"/>
        <v/>
      </c>
    </row>
    <row r="192" spans="1:14" x14ac:dyDescent="0.25">
      <c r="A192" s="43" t="str">
        <f t="shared" si="19"/>
        <v/>
      </c>
      <c r="G192" s="5"/>
      <c r="H192" s="17">
        <v>187</v>
      </c>
      <c r="I192" s="18" t="str">
        <f t="shared" si="16"/>
        <v/>
      </c>
      <c r="J192" s="17">
        <f t="shared" si="20"/>
        <v>-4</v>
      </c>
      <c r="K192" s="17">
        <f t="shared" si="17"/>
        <v>-40</v>
      </c>
      <c r="L192" s="17"/>
      <c r="M192" s="19">
        <f t="shared" si="18"/>
        <v>0</v>
      </c>
      <c r="N192" s="19" t="str">
        <f t="shared" si="21"/>
        <v/>
      </c>
    </row>
    <row r="193" spans="1:14" x14ac:dyDescent="0.25">
      <c r="A193" s="43" t="str">
        <f t="shared" si="19"/>
        <v/>
      </c>
      <c r="G193" s="5"/>
      <c r="H193" s="17">
        <v>188</v>
      </c>
      <c r="I193" s="18" t="str">
        <f t="shared" si="16"/>
        <v/>
      </c>
      <c r="J193" s="17">
        <f t="shared" si="20"/>
        <v>-4</v>
      </c>
      <c r="K193" s="17">
        <f t="shared" si="17"/>
        <v>-40</v>
      </c>
      <c r="L193" s="17"/>
      <c r="M193" s="19">
        <f t="shared" si="18"/>
        <v>0</v>
      </c>
      <c r="N193" s="19" t="str">
        <f t="shared" si="21"/>
        <v/>
      </c>
    </row>
    <row r="194" spans="1:14" x14ac:dyDescent="0.25">
      <c r="A194" s="43" t="str">
        <f t="shared" si="19"/>
        <v/>
      </c>
      <c r="G194" s="5"/>
      <c r="H194" s="17">
        <v>189</v>
      </c>
      <c r="I194" s="18" t="str">
        <f t="shared" si="16"/>
        <v/>
      </c>
      <c r="J194" s="17">
        <f t="shared" si="20"/>
        <v>-4</v>
      </c>
      <c r="K194" s="17">
        <f t="shared" si="17"/>
        <v>-40</v>
      </c>
      <c r="L194" s="17"/>
      <c r="M194" s="19">
        <f t="shared" si="18"/>
        <v>0</v>
      </c>
      <c r="N194" s="19" t="str">
        <f t="shared" si="21"/>
        <v/>
      </c>
    </row>
    <row r="195" spans="1:14" x14ac:dyDescent="0.25">
      <c r="A195" s="43" t="str">
        <f t="shared" si="19"/>
        <v/>
      </c>
      <c r="G195" s="5"/>
      <c r="H195" s="17">
        <v>190</v>
      </c>
      <c r="I195" s="18" t="str">
        <f t="shared" si="16"/>
        <v/>
      </c>
      <c r="J195" s="17">
        <f t="shared" si="20"/>
        <v>-4</v>
      </c>
      <c r="K195" s="17">
        <f t="shared" si="17"/>
        <v>-40</v>
      </c>
      <c r="L195" s="17"/>
      <c r="M195" s="19">
        <f t="shared" si="18"/>
        <v>0</v>
      </c>
      <c r="N195" s="19" t="str">
        <f t="shared" si="21"/>
        <v/>
      </c>
    </row>
    <row r="196" spans="1:14" x14ac:dyDescent="0.25">
      <c r="A196" s="43" t="str">
        <f t="shared" si="19"/>
        <v/>
      </c>
      <c r="G196" s="5"/>
      <c r="H196" s="17">
        <v>191</v>
      </c>
      <c r="I196" s="18" t="str">
        <f t="shared" si="16"/>
        <v/>
      </c>
      <c r="J196" s="17">
        <f t="shared" si="20"/>
        <v>-4</v>
      </c>
      <c r="K196" s="17">
        <f t="shared" si="17"/>
        <v>-40</v>
      </c>
      <c r="L196" s="17"/>
      <c r="M196" s="19">
        <f t="shared" si="18"/>
        <v>0</v>
      </c>
      <c r="N196" s="19" t="str">
        <f t="shared" si="21"/>
        <v/>
      </c>
    </row>
    <row r="197" spans="1:14" x14ac:dyDescent="0.25">
      <c r="A197" s="43" t="str">
        <f t="shared" si="19"/>
        <v/>
      </c>
      <c r="G197" s="5"/>
      <c r="H197" s="17">
        <v>192</v>
      </c>
      <c r="I197" s="18" t="str">
        <f t="shared" si="16"/>
        <v/>
      </c>
      <c r="J197" s="17">
        <f t="shared" si="20"/>
        <v>-4</v>
      </c>
      <c r="K197" s="17">
        <f t="shared" si="17"/>
        <v>-40</v>
      </c>
      <c r="L197" s="17"/>
      <c r="M197" s="19">
        <f t="shared" si="18"/>
        <v>0</v>
      </c>
      <c r="N197" s="19" t="str">
        <f t="shared" si="21"/>
        <v/>
      </c>
    </row>
    <row r="198" spans="1:14" x14ac:dyDescent="0.25">
      <c r="A198" s="43" t="str">
        <f t="shared" si="19"/>
        <v/>
      </c>
      <c r="G198" s="5"/>
      <c r="H198" s="17">
        <v>193</v>
      </c>
      <c r="I198" s="18" t="str">
        <f t="shared" ref="I198:I261" si="22">IF(H198&lt;$H$2+1,($I$2-($I$2-1)*(LOG(H198)/LOG($H$2))),"")</f>
        <v/>
      </c>
      <c r="J198" s="17">
        <f t="shared" si="20"/>
        <v>-4</v>
      </c>
      <c r="K198" s="17">
        <f t="shared" ref="K198:K261" si="23">J198*$J$2</f>
        <v>-40</v>
      </c>
      <c r="L198" s="17"/>
      <c r="M198" s="19">
        <f t="shared" ref="M198:M261" si="24">IF(I198&lt;&gt;"",K198+I198+L198,0)</f>
        <v>0</v>
      </c>
      <c r="N198" s="19" t="str">
        <f t="shared" si="21"/>
        <v/>
      </c>
    </row>
    <row r="199" spans="1:14" x14ac:dyDescent="0.25">
      <c r="A199" s="43" t="str">
        <f t="shared" ref="A199:A262" si="25">N199</f>
        <v/>
      </c>
      <c r="G199" s="5"/>
      <c r="H199" s="17">
        <v>194</v>
      </c>
      <c r="I199" s="18" t="str">
        <f t="shared" si="22"/>
        <v/>
      </c>
      <c r="J199" s="17">
        <f t="shared" ref="J199:J262" si="26">INT(LOG($H$2,2))-ROUNDUP(LOG(H199,2),0)+IF(OR($H$2=1,$H$2=2,$H$2=4,$H$2=8,$H$2=16,$H$2=32,$H$2=64,$H$2=128,$H$2=256),0,1)</f>
        <v>-4</v>
      </c>
      <c r="K199" s="17">
        <f t="shared" si="23"/>
        <v>-40</v>
      </c>
      <c r="L199" s="17"/>
      <c r="M199" s="19">
        <f t="shared" si="24"/>
        <v>0</v>
      </c>
      <c r="N199" s="19" t="str">
        <f t="shared" ref="N199:N262" si="27">IF(I199&lt;&gt;"",M199*L$2,"")</f>
        <v/>
      </c>
    </row>
    <row r="200" spans="1:14" x14ac:dyDescent="0.25">
      <c r="A200" s="43" t="str">
        <f t="shared" si="25"/>
        <v/>
      </c>
      <c r="G200" s="5"/>
      <c r="H200" s="17">
        <v>195</v>
      </c>
      <c r="I200" s="18" t="str">
        <f t="shared" si="22"/>
        <v/>
      </c>
      <c r="J200" s="17">
        <f t="shared" si="26"/>
        <v>-4</v>
      </c>
      <c r="K200" s="17">
        <f t="shared" si="23"/>
        <v>-40</v>
      </c>
      <c r="L200" s="17"/>
      <c r="M200" s="19">
        <f t="shared" si="24"/>
        <v>0</v>
      </c>
      <c r="N200" s="19" t="str">
        <f t="shared" si="27"/>
        <v/>
      </c>
    </row>
    <row r="201" spans="1:14" x14ac:dyDescent="0.25">
      <c r="A201" s="43" t="str">
        <f t="shared" si="25"/>
        <v/>
      </c>
      <c r="G201" s="5"/>
      <c r="H201" s="17">
        <v>196</v>
      </c>
      <c r="I201" s="18" t="str">
        <f t="shared" si="22"/>
        <v/>
      </c>
      <c r="J201" s="17">
        <f t="shared" si="26"/>
        <v>-4</v>
      </c>
      <c r="K201" s="17">
        <f t="shared" si="23"/>
        <v>-40</v>
      </c>
      <c r="L201" s="17"/>
      <c r="M201" s="19">
        <f t="shared" si="24"/>
        <v>0</v>
      </c>
      <c r="N201" s="19" t="str">
        <f t="shared" si="27"/>
        <v/>
      </c>
    </row>
    <row r="202" spans="1:14" x14ac:dyDescent="0.25">
      <c r="A202" s="43" t="str">
        <f t="shared" si="25"/>
        <v/>
      </c>
      <c r="G202" s="5"/>
      <c r="H202" s="17">
        <v>197</v>
      </c>
      <c r="I202" s="18" t="str">
        <f t="shared" si="22"/>
        <v/>
      </c>
      <c r="J202" s="17">
        <f t="shared" si="26"/>
        <v>-4</v>
      </c>
      <c r="K202" s="17">
        <f t="shared" si="23"/>
        <v>-40</v>
      </c>
      <c r="L202" s="17"/>
      <c r="M202" s="19">
        <f t="shared" si="24"/>
        <v>0</v>
      </c>
      <c r="N202" s="19" t="str">
        <f t="shared" si="27"/>
        <v/>
      </c>
    </row>
    <row r="203" spans="1:14" x14ac:dyDescent="0.25">
      <c r="A203" s="43" t="str">
        <f t="shared" si="25"/>
        <v/>
      </c>
      <c r="G203" s="5"/>
      <c r="H203" s="17">
        <v>198</v>
      </c>
      <c r="I203" s="18" t="str">
        <f t="shared" si="22"/>
        <v/>
      </c>
      <c r="J203" s="17">
        <f t="shared" si="26"/>
        <v>-4</v>
      </c>
      <c r="K203" s="17">
        <f t="shared" si="23"/>
        <v>-40</v>
      </c>
      <c r="L203" s="17"/>
      <c r="M203" s="19">
        <f t="shared" si="24"/>
        <v>0</v>
      </c>
      <c r="N203" s="19" t="str">
        <f t="shared" si="27"/>
        <v/>
      </c>
    </row>
    <row r="204" spans="1:14" x14ac:dyDescent="0.25">
      <c r="A204" s="43" t="str">
        <f t="shared" si="25"/>
        <v/>
      </c>
      <c r="G204" s="5"/>
      <c r="H204" s="17">
        <v>199</v>
      </c>
      <c r="I204" s="18" t="str">
        <f t="shared" si="22"/>
        <v/>
      </c>
      <c r="J204" s="17">
        <f t="shared" si="26"/>
        <v>-4</v>
      </c>
      <c r="K204" s="17">
        <f t="shared" si="23"/>
        <v>-40</v>
      </c>
      <c r="L204" s="17"/>
      <c r="M204" s="19">
        <f t="shared" si="24"/>
        <v>0</v>
      </c>
      <c r="N204" s="19" t="str">
        <f t="shared" si="27"/>
        <v/>
      </c>
    </row>
    <row r="205" spans="1:14" x14ac:dyDescent="0.25">
      <c r="A205" s="43" t="str">
        <f t="shared" si="25"/>
        <v/>
      </c>
      <c r="G205" s="5"/>
      <c r="H205" s="17">
        <v>200</v>
      </c>
      <c r="I205" s="18" t="str">
        <f t="shared" si="22"/>
        <v/>
      </c>
      <c r="J205" s="17">
        <f t="shared" si="26"/>
        <v>-4</v>
      </c>
      <c r="K205" s="17">
        <f t="shared" si="23"/>
        <v>-40</v>
      </c>
      <c r="L205" s="17"/>
      <c r="M205" s="19">
        <f t="shared" si="24"/>
        <v>0</v>
      </c>
      <c r="N205" s="19" t="str">
        <f t="shared" si="27"/>
        <v/>
      </c>
    </row>
    <row r="206" spans="1:14" x14ac:dyDescent="0.25">
      <c r="A206" s="43" t="str">
        <f t="shared" si="25"/>
        <v/>
      </c>
      <c r="G206" s="5"/>
      <c r="H206" s="17">
        <v>201</v>
      </c>
      <c r="I206" s="18" t="str">
        <f t="shared" si="22"/>
        <v/>
      </c>
      <c r="J206" s="17">
        <f t="shared" si="26"/>
        <v>-4</v>
      </c>
      <c r="K206" s="17">
        <f t="shared" si="23"/>
        <v>-40</v>
      </c>
      <c r="L206" s="17"/>
      <c r="M206" s="19">
        <f t="shared" si="24"/>
        <v>0</v>
      </c>
      <c r="N206" s="19" t="str">
        <f t="shared" si="27"/>
        <v/>
      </c>
    </row>
    <row r="207" spans="1:14" x14ac:dyDescent="0.25">
      <c r="A207" s="43" t="str">
        <f t="shared" si="25"/>
        <v/>
      </c>
      <c r="G207" s="5"/>
      <c r="H207" s="17">
        <v>202</v>
      </c>
      <c r="I207" s="18" t="str">
        <f t="shared" si="22"/>
        <v/>
      </c>
      <c r="J207" s="17">
        <f t="shared" si="26"/>
        <v>-4</v>
      </c>
      <c r="K207" s="17">
        <f t="shared" si="23"/>
        <v>-40</v>
      </c>
      <c r="L207" s="17"/>
      <c r="M207" s="19">
        <f t="shared" si="24"/>
        <v>0</v>
      </c>
      <c r="N207" s="19" t="str">
        <f t="shared" si="27"/>
        <v/>
      </c>
    </row>
    <row r="208" spans="1:14" x14ac:dyDescent="0.25">
      <c r="A208" s="43" t="str">
        <f t="shared" si="25"/>
        <v/>
      </c>
      <c r="G208" s="5"/>
      <c r="H208" s="17">
        <v>203</v>
      </c>
      <c r="I208" s="18" t="str">
        <f t="shared" si="22"/>
        <v/>
      </c>
      <c r="J208" s="17">
        <f t="shared" si="26"/>
        <v>-4</v>
      </c>
      <c r="K208" s="17">
        <f t="shared" si="23"/>
        <v>-40</v>
      </c>
      <c r="L208" s="17"/>
      <c r="M208" s="19">
        <f t="shared" si="24"/>
        <v>0</v>
      </c>
      <c r="N208" s="19" t="str">
        <f t="shared" si="27"/>
        <v/>
      </c>
    </row>
    <row r="209" spans="1:14" x14ac:dyDescent="0.25">
      <c r="A209" s="43" t="str">
        <f t="shared" si="25"/>
        <v/>
      </c>
      <c r="G209" s="5"/>
      <c r="H209" s="17">
        <v>204</v>
      </c>
      <c r="I209" s="18" t="str">
        <f t="shared" si="22"/>
        <v/>
      </c>
      <c r="J209" s="17">
        <f t="shared" si="26"/>
        <v>-4</v>
      </c>
      <c r="K209" s="17">
        <f t="shared" si="23"/>
        <v>-40</v>
      </c>
      <c r="L209" s="17"/>
      <c r="M209" s="19">
        <f t="shared" si="24"/>
        <v>0</v>
      </c>
      <c r="N209" s="19" t="str">
        <f t="shared" si="27"/>
        <v/>
      </c>
    </row>
    <row r="210" spans="1:14" x14ac:dyDescent="0.25">
      <c r="A210" s="43" t="str">
        <f t="shared" si="25"/>
        <v/>
      </c>
      <c r="G210" s="5"/>
      <c r="H210" s="17">
        <v>205</v>
      </c>
      <c r="I210" s="18" t="str">
        <f t="shared" si="22"/>
        <v/>
      </c>
      <c r="J210" s="17">
        <f t="shared" si="26"/>
        <v>-4</v>
      </c>
      <c r="K210" s="17">
        <f t="shared" si="23"/>
        <v>-40</v>
      </c>
      <c r="L210" s="17"/>
      <c r="M210" s="19">
        <f t="shared" si="24"/>
        <v>0</v>
      </c>
      <c r="N210" s="19" t="str">
        <f t="shared" si="27"/>
        <v/>
      </c>
    </row>
    <row r="211" spans="1:14" x14ac:dyDescent="0.25">
      <c r="A211" s="43" t="str">
        <f t="shared" si="25"/>
        <v/>
      </c>
      <c r="G211" s="5"/>
      <c r="H211" s="17">
        <v>206</v>
      </c>
      <c r="I211" s="18" t="str">
        <f t="shared" si="22"/>
        <v/>
      </c>
      <c r="J211" s="17">
        <f t="shared" si="26"/>
        <v>-4</v>
      </c>
      <c r="K211" s="17">
        <f t="shared" si="23"/>
        <v>-40</v>
      </c>
      <c r="L211" s="17"/>
      <c r="M211" s="19">
        <f t="shared" si="24"/>
        <v>0</v>
      </c>
      <c r="N211" s="19" t="str">
        <f t="shared" si="27"/>
        <v/>
      </c>
    </row>
    <row r="212" spans="1:14" x14ac:dyDescent="0.25">
      <c r="A212" s="43" t="str">
        <f t="shared" si="25"/>
        <v/>
      </c>
      <c r="G212" s="5"/>
      <c r="H212" s="17">
        <v>207</v>
      </c>
      <c r="I212" s="18" t="str">
        <f t="shared" si="22"/>
        <v/>
      </c>
      <c r="J212" s="17">
        <f t="shared" si="26"/>
        <v>-4</v>
      </c>
      <c r="K212" s="17">
        <f t="shared" si="23"/>
        <v>-40</v>
      </c>
      <c r="L212" s="17"/>
      <c r="M212" s="19">
        <f t="shared" si="24"/>
        <v>0</v>
      </c>
      <c r="N212" s="19" t="str">
        <f t="shared" si="27"/>
        <v/>
      </c>
    </row>
    <row r="213" spans="1:14" x14ac:dyDescent="0.25">
      <c r="A213" s="43" t="str">
        <f t="shared" si="25"/>
        <v/>
      </c>
      <c r="G213" s="5"/>
      <c r="H213" s="17">
        <v>208</v>
      </c>
      <c r="I213" s="18" t="str">
        <f t="shared" si="22"/>
        <v/>
      </c>
      <c r="J213" s="17">
        <f t="shared" si="26"/>
        <v>-4</v>
      </c>
      <c r="K213" s="17">
        <f t="shared" si="23"/>
        <v>-40</v>
      </c>
      <c r="L213" s="17"/>
      <c r="M213" s="19">
        <f t="shared" si="24"/>
        <v>0</v>
      </c>
      <c r="N213" s="19" t="str">
        <f t="shared" si="27"/>
        <v/>
      </c>
    </row>
    <row r="214" spans="1:14" x14ac:dyDescent="0.25">
      <c r="A214" s="43" t="str">
        <f t="shared" si="25"/>
        <v/>
      </c>
      <c r="G214" s="5"/>
      <c r="H214" s="17">
        <v>209</v>
      </c>
      <c r="I214" s="18" t="str">
        <f t="shared" si="22"/>
        <v/>
      </c>
      <c r="J214" s="17">
        <f t="shared" si="26"/>
        <v>-4</v>
      </c>
      <c r="K214" s="17">
        <f t="shared" si="23"/>
        <v>-40</v>
      </c>
      <c r="L214" s="17"/>
      <c r="M214" s="19">
        <f t="shared" si="24"/>
        <v>0</v>
      </c>
      <c r="N214" s="19" t="str">
        <f t="shared" si="27"/>
        <v/>
      </c>
    </row>
    <row r="215" spans="1:14" x14ac:dyDescent="0.25">
      <c r="A215" s="43" t="str">
        <f t="shared" si="25"/>
        <v/>
      </c>
      <c r="G215" s="5"/>
      <c r="H215" s="17">
        <v>210</v>
      </c>
      <c r="I215" s="18" t="str">
        <f t="shared" si="22"/>
        <v/>
      </c>
      <c r="J215" s="17">
        <f t="shared" si="26"/>
        <v>-4</v>
      </c>
      <c r="K215" s="17">
        <f t="shared" si="23"/>
        <v>-40</v>
      </c>
      <c r="L215" s="17"/>
      <c r="M215" s="19">
        <f t="shared" si="24"/>
        <v>0</v>
      </c>
      <c r="N215" s="19" t="str">
        <f t="shared" si="27"/>
        <v/>
      </c>
    </row>
    <row r="216" spans="1:14" x14ac:dyDescent="0.25">
      <c r="A216" s="43" t="str">
        <f t="shared" si="25"/>
        <v/>
      </c>
      <c r="G216" s="5"/>
      <c r="H216" s="17">
        <v>211</v>
      </c>
      <c r="I216" s="18" t="str">
        <f t="shared" si="22"/>
        <v/>
      </c>
      <c r="J216" s="17">
        <f t="shared" si="26"/>
        <v>-4</v>
      </c>
      <c r="K216" s="17">
        <f t="shared" si="23"/>
        <v>-40</v>
      </c>
      <c r="L216" s="17"/>
      <c r="M216" s="19">
        <f t="shared" si="24"/>
        <v>0</v>
      </c>
      <c r="N216" s="19" t="str">
        <f t="shared" si="27"/>
        <v/>
      </c>
    </row>
    <row r="217" spans="1:14" x14ac:dyDescent="0.25">
      <c r="A217" s="43" t="str">
        <f t="shared" si="25"/>
        <v/>
      </c>
      <c r="G217" s="5"/>
      <c r="H217" s="17">
        <v>212</v>
      </c>
      <c r="I217" s="18" t="str">
        <f t="shared" si="22"/>
        <v/>
      </c>
      <c r="J217" s="17">
        <f t="shared" si="26"/>
        <v>-4</v>
      </c>
      <c r="K217" s="17">
        <f t="shared" si="23"/>
        <v>-40</v>
      </c>
      <c r="L217" s="17"/>
      <c r="M217" s="19">
        <f t="shared" si="24"/>
        <v>0</v>
      </c>
      <c r="N217" s="19" t="str">
        <f t="shared" si="27"/>
        <v/>
      </c>
    </row>
    <row r="218" spans="1:14" x14ac:dyDescent="0.25">
      <c r="A218" s="43" t="str">
        <f t="shared" si="25"/>
        <v/>
      </c>
      <c r="G218" s="5"/>
      <c r="H218" s="17">
        <v>213</v>
      </c>
      <c r="I218" s="18" t="str">
        <f t="shared" si="22"/>
        <v/>
      </c>
      <c r="J218" s="17">
        <f t="shared" si="26"/>
        <v>-4</v>
      </c>
      <c r="K218" s="17">
        <f t="shared" si="23"/>
        <v>-40</v>
      </c>
      <c r="L218" s="17"/>
      <c r="M218" s="19">
        <f t="shared" si="24"/>
        <v>0</v>
      </c>
      <c r="N218" s="19" t="str">
        <f t="shared" si="27"/>
        <v/>
      </c>
    </row>
    <row r="219" spans="1:14" x14ac:dyDescent="0.25">
      <c r="A219" s="43" t="str">
        <f t="shared" si="25"/>
        <v/>
      </c>
      <c r="G219" s="5"/>
      <c r="H219" s="17">
        <v>214</v>
      </c>
      <c r="I219" s="18" t="str">
        <f t="shared" si="22"/>
        <v/>
      </c>
      <c r="J219" s="17">
        <f t="shared" si="26"/>
        <v>-4</v>
      </c>
      <c r="K219" s="17">
        <f t="shared" si="23"/>
        <v>-40</v>
      </c>
      <c r="L219" s="17"/>
      <c r="M219" s="19">
        <f t="shared" si="24"/>
        <v>0</v>
      </c>
      <c r="N219" s="19" t="str">
        <f t="shared" si="27"/>
        <v/>
      </c>
    </row>
    <row r="220" spans="1:14" x14ac:dyDescent="0.25">
      <c r="A220" s="43" t="str">
        <f t="shared" si="25"/>
        <v/>
      </c>
      <c r="G220" s="5"/>
      <c r="H220" s="17">
        <v>215</v>
      </c>
      <c r="I220" s="18" t="str">
        <f t="shared" si="22"/>
        <v/>
      </c>
      <c r="J220" s="17">
        <f t="shared" si="26"/>
        <v>-4</v>
      </c>
      <c r="K220" s="17">
        <f t="shared" si="23"/>
        <v>-40</v>
      </c>
      <c r="L220" s="17"/>
      <c r="M220" s="19">
        <f t="shared" si="24"/>
        <v>0</v>
      </c>
      <c r="N220" s="19" t="str">
        <f t="shared" si="27"/>
        <v/>
      </c>
    </row>
    <row r="221" spans="1:14" x14ac:dyDescent="0.25">
      <c r="A221" s="43" t="str">
        <f t="shared" si="25"/>
        <v/>
      </c>
      <c r="G221" s="5"/>
      <c r="H221" s="17">
        <v>216</v>
      </c>
      <c r="I221" s="18" t="str">
        <f t="shared" si="22"/>
        <v/>
      </c>
      <c r="J221" s="17">
        <f t="shared" si="26"/>
        <v>-4</v>
      </c>
      <c r="K221" s="17">
        <f t="shared" si="23"/>
        <v>-40</v>
      </c>
      <c r="L221" s="17"/>
      <c r="M221" s="19">
        <f t="shared" si="24"/>
        <v>0</v>
      </c>
      <c r="N221" s="19" t="str">
        <f t="shared" si="27"/>
        <v/>
      </c>
    </row>
    <row r="222" spans="1:14" x14ac:dyDescent="0.25">
      <c r="A222" s="43" t="str">
        <f t="shared" si="25"/>
        <v/>
      </c>
      <c r="G222" s="5"/>
      <c r="H222" s="17">
        <v>217</v>
      </c>
      <c r="I222" s="18" t="str">
        <f t="shared" si="22"/>
        <v/>
      </c>
      <c r="J222" s="17">
        <f t="shared" si="26"/>
        <v>-4</v>
      </c>
      <c r="K222" s="17">
        <f t="shared" si="23"/>
        <v>-40</v>
      </c>
      <c r="L222" s="17"/>
      <c r="M222" s="19">
        <f t="shared" si="24"/>
        <v>0</v>
      </c>
      <c r="N222" s="19" t="str">
        <f t="shared" si="27"/>
        <v/>
      </c>
    </row>
    <row r="223" spans="1:14" x14ac:dyDescent="0.25">
      <c r="A223" s="43" t="str">
        <f t="shared" si="25"/>
        <v/>
      </c>
      <c r="G223" s="5"/>
      <c r="H223" s="17">
        <v>218</v>
      </c>
      <c r="I223" s="18" t="str">
        <f t="shared" si="22"/>
        <v/>
      </c>
      <c r="J223" s="17">
        <f t="shared" si="26"/>
        <v>-4</v>
      </c>
      <c r="K223" s="17">
        <f t="shared" si="23"/>
        <v>-40</v>
      </c>
      <c r="L223" s="17"/>
      <c r="M223" s="19">
        <f t="shared" si="24"/>
        <v>0</v>
      </c>
      <c r="N223" s="19" t="str">
        <f t="shared" si="27"/>
        <v/>
      </c>
    </row>
    <row r="224" spans="1:14" x14ac:dyDescent="0.25">
      <c r="A224" s="43" t="str">
        <f t="shared" si="25"/>
        <v/>
      </c>
      <c r="G224" s="5"/>
      <c r="H224" s="17">
        <v>219</v>
      </c>
      <c r="I224" s="18" t="str">
        <f t="shared" si="22"/>
        <v/>
      </c>
      <c r="J224" s="17">
        <f t="shared" si="26"/>
        <v>-4</v>
      </c>
      <c r="K224" s="17">
        <f t="shared" si="23"/>
        <v>-40</v>
      </c>
      <c r="L224" s="17"/>
      <c r="M224" s="19">
        <f t="shared" si="24"/>
        <v>0</v>
      </c>
      <c r="N224" s="19" t="str">
        <f t="shared" si="27"/>
        <v/>
      </c>
    </row>
    <row r="225" spans="1:14" x14ac:dyDescent="0.25">
      <c r="A225" s="43" t="str">
        <f t="shared" si="25"/>
        <v/>
      </c>
      <c r="G225" s="5"/>
      <c r="H225" s="17">
        <v>220</v>
      </c>
      <c r="I225" s="18" t="str">
        <f t="shared" si="22"/>
        <v/>
      </c>
      <c r="J225" s="17">
        <f t="shared" si="26"/>
        <v>-4</v>
      </c>
      <c r="K225" s="17">
        <f t="shared" si="23"/>
        <v>-40</v>
      </c>
      <c r="L225" s="17"/>
      <c r="M225" s="19">
        <f t="shared" si="24"/>
        <v>0</v>
      </c>
      <c r="N225" s="19" t="str">
        <f t="shared" si="27"/>
        <v/>
      </c>
    </row>
    <row r="226" spans="1:14" x14ac:dyDescent="0.25">
      <c r="A226" s="43" t="str">
        <f t="shared" si="25"/>
        <v/>
      </c>
      <c r="G226" s="5"/>
      <c r="H226" s="17">
        <v>221</v>
      </c>
      <c r="I226" s="18" t="str">
        <f t="shared" si="22"/>
        <v/>
      </c>
      <c r="J226" s="17">
        <f t="shared" si="26"/>
        <v>-4</v>
      </c>
      <c r="K226" s="17">
        <f t="shared" si="23"/>
        <v>-40</v>
      </c>
      <c r="L226" s="17"/>
      <c r="M226" s="19">
        <f t="shared" si="24"/>
        <v>0</v>
      </c>
      <c r="N226" s="19" t="str">
        <f t="shared" si="27"/>
        <v/>
      </c>
    </row>
    <row r="227" spans="1:14" x14ac:dyDescent="0.25">
      <c r="A227" s="43" t="str">
        <f t="shared" si="25"/>
        <v/>
      </c>
      <c r="G227" s="5"/>
      <c r="H227" s="17">
        <v>222</v>
      </c>
      <c r="I227" s="18" t="str">
        <f t="shared" si="22"/>
        <v/>
      </c>
      <c r="J227" s="17">
        <f t="shared" si="26"/>
        <v>-4</v>
      </c>
      <c r="K227" s="17">
        <f t="shared" si="23"/>
        <v>-40</v>
      </c>
      <c r="L227" s="17"/>
      <c r="M227" s="19">
        <f t="shared" si="24"/>
        <v>0</v>
      </c>
      <c r="N227" s="19" t="str">
        <f t="shared" si="27"/>
        <v/>
      </c>
    </row>
    <row r="228" spans="1:14" x14ac:dyDescent="0.25">
      <c r="A228" s="43" t="str">
        <f t="shared" si="25"/>
        <v/>
      </c>
      <c r="G228" s="5"/>
      <c r="H228" s="17">
        <v>223</v>
      </c>
      <c r="I228" s="18" t="str">
        <f t="shared" si="22"/>
        <v/>
      </c>
      <c r="J228" s="17">
        <f t="shared" si="26"/>
        <v>-4</v>
      </c>
      <c r="K228" s="17">
        <f t="shared" si="23"/>
        <v>-40</v>
      </c>
      <c r="L228" s="17"/>
      <c r="M228" s="19">
        <f t="shared" si="24"/>
        <v>0</v>
      </c>
      <c r="N228" s="19" t="str">
        <f t="shared" si="27"/>
        <v/>
      </c>
    </row>
    <row r="229" spans="1:14" x14ac:dyDescent="0.25">
      <c r="A229" s="43" t="str">
        <f t="shared" si="25"/>
        <v/>
      </c>
      <c r="G229" s="5"/>
      <c r="H229" s="17">
        <v>224</v>
      </c>
      <c r="I229" s="18" t="str">
        <f t="shared" si="22"/>
        <v/>
      </c>
      <c r="J229" s="17">
        <f t="shared" si="26"/>
        <v>-4</v>
      </c>
      <c r="K229" s="17">
        <f t="shared" si="23"/>
        <v>-40</v>
      </c>
      <c r="L229" s="17"/>
      <c r="M229" s="19">
        <f t="shared" si="24"/>
        <v>0</v>
      </c>
      <c r="N229" s="19" t="str">
        <f t="shared" si="27"/>
        <v/>
      </c>
    </row>
    <row r="230" spans="1:14" x14ac:dyDescent="0.25">
      <c r="A230" s="43" t="str">
        <f t="shared" si="25"/>
        <v/>
      </c>
      <c r="G230" s="5"/>
      <c r="H230" s="17">
        <v>225</v>
      </c>
      <c r="I230" s="18" t="str">
        <f t="shared" si="22"/>
        <v/>
      </c>
      <c r="J230" s="17">
        <f t="shared" si="26"/>
        <v>-4</v>
      </c>
      <c r="K230" s="17">
        <f t="shared" si="23"/>
        <v>-40</v>
      </c>
      <c r="L230" s="17"/>
      <c r="M230" s="19">
        <f t="shared" si="24"/>
        <v>0</v>
      </c>
      <c r="N230" s="19" t="str">
        <f t="shared" si="27"/>
        <v/>
      </c>
    </row>
    <row r="231" spans="1:14" x14ac:dyDescent="0.25">
      <c r="A231" s="43" t="str">
        <f t="shared" si="25"/>
        <v/>
      </c>
      <c r="G231" s="5"/>
      <c r="H231" s="17">
        <v>226</v>
      </c>
      <c r="I231" s="18" t="str">
        <f t="shared" si="22"/>
        <v/>
      </c>
      <c r="J231" s="17">
        <f t="shared" si="26"/>
        <v>-4</v>
      </c>
      <c r="K231" s="17">
        <f t="shared" si="23"/>
        <v>-40</v>
      </c>
      <c r="L231" s="17"/>
      <c r="M231" s="19">
        <f t="shared" si="24"/>
        <v>0</v>
      </c>
      <c r="N231" s="19" t="str">
        <f t="shared" si="27"/>
        <v/>
      </c>
    </row>
    <row r="232" spans="1:14" x14ac:dyDescent="0.25">
      <c r="A232" s="43" t="str">
        <f t="shared" si="25"/>
        <v/>
      </c>
      <c r="G232" s="5"/>
      <c r="H232" s="17">
        <v>227</v>
      </c>
      <c r="I232" s="18" t="str">
        <f t="shared" si="22"/>
        <v/>
      </c>
      <c r="J232" s="17">
        <f t="shared" si="26"/>
        <v>-4</v>
      </c>
      <c r="K232" s="17">
        <f t="shared" si="23"/>
        <v>-40</v>
      </c>
      <c r="L232" s="17"/>
      <c r="M232" s="19">
        <f t="shared" si="24"/>
        <v>0</v>
      </c>
      <c r="N232" s="19" t="str">
        <f t="shared" si="27"/>
        <v/>
      </c>
    </row>
    <row r="233" spans="1:14" x14ac:dyDescent="0.25">
      <c r="A233" s="43" t="str">
        <f t="shared" si="25"/>
        <v/>
      </c>
      <c r="G233" s="5"/>
      <c r="H233" s="17">
        <v>228</v>
      </c>
      <c r="I233" s="18" t="str">
        <f t="shared" si="22"/>
        <v/>
      </c>
      <c r="J233" s="17">
        <f t="shared" si="26"/>
        <v>-4</v>
      </c>
      <c r="K233" s="17">
        <f t="shared" si="23"/>
        <v>-40</v>
      </c>
      <c r="L233" s="17"/>
      <c r="M233" s="19">
        <f t="shared" si="24"/>
        <v>0</v>
      </c>
      <c r="N233" s="19" t="str">
        <f t="shared" si="27"/>
        <v/>
      </c>
    </row>
    <row r="234" spans="1:14" x14ac:dyDescent="0.25">
      <c r="A234" s="43" t="str">
        <f t="shared" si="25"/>
        <v/>
      </c>
      <c r="G234" s="5"/>
      <c r="H234" s="17">
        <v>229</v>
      </c>
      <c r="I234" s="18" t="str">
        <f t="shared" si="22"/>
        <v/>
      </c>
      <c r="J234" s="17">
        <f t="shared" si="26"/>
        <v>-4</v>
      </c>
      <c r="K234" s="17">
        <f t="shared" si="23"/>
        <v>-40</v>
      </c>
      <c r="L234" s="17"/>
      <c r="M234" s="19">
        <f t="shared" si="24"/>
        <v>0</v>
      </c>
      <c r="N234" s="19" t="str">
        <f t="shared" si="27"/>
        <v/>
      </c>
    </row>
    <row r="235" spans="1:14" x14ac:dyDescent="0.25">
      <c r="A235" s="43" t="str">
        <f t="shared" si="25"/>
        <v/>
      </c>
      <c r="G235" s="5"/>
      <c r="H235" s="17">
        <v>230</v>
      </c>
      <c r="I235" s="18" t="str">
        <f t="shared" si="22"/>
        <v/>
      </c>
      <c r="J235" s="17">
        <f t="shared" si="26"/>
        <v>-4</v>
      </c>
      <c r="K235" s="17">
        <f t="shared" si="23"/>
        <v>-40</v>
      </c>
      <c r="L235" s="17"/>
      <c r="M235" s="19">
        <f t="shared" si="24"/>
        <v>0</v>
      </c>
      <c r="N235" s="19" t="str">
        <f t="shared" si="27"/>
        <v/>
      </c>
    </row>
    <row r="236" spans="1:14" x14ac:dyDescent="0.25">
      <c r="A236" s="43" t="str">
        <f t="shared" si="25"/>
        <v/>
      </c>
      <c r="G236" s="5"/>
      <c r="H236" s="17">
        <v>231</v>
      </c>
      <c r="I236" s="18" t="str">
        <f t="shared" si="22"/>
        <v/>
      </c>
      <c r="J236" s="17">
        <f t="shared" si="26"/>
        <v>-4</v>
      </c>
      <c r="K236" s="17">
        <f t="shared" si="23"/>
        <v>-40</v>
      </c>
      <c r="L236" s="17"/>
      <c r="M236" s="19">
        <f t="shared" si="24"/>
        <v>0</v>
      </c>
      <c r="N236" s="19" t="str">
        <f t="shared" si="27"/>
        <v/>
      </c>
    </row>
    <row r="237" spans="1:14" x14ac:dyDescent="0.25">
      <c r="A237" s="43" t="str">
        <f t="shared" si="25"/>
        <v/>
      </c>
      <c r="G237" s="5"/>
      <c r="H237" s="17">
        <v>232</v>
      </c>
      <c r="I237" s="18" t="str">
        <f t="shared" si="22"/>
        <v/>
      </c>
      <c r="J237" s="17">
        <f t="shared" si="26"/>
        <v>-4</v>
      </c>
      <c r="K237" s="17">
        <f t="shared" si="23"/>
        <v>-40</v>
      </c>
      <c r="L237" s="17"/>
      <c r="M237" s="19">
        <f t="shared" si="24"/>
        <v>0</v>
      </c>
      <c r="N237" s="19" t="str">
        <f t="shared" si="27"/>
        <v/>
      </c>
    </row>
    <row r="238" spans="1:14" x14ac:dyDescent="0.25">
      <c r="A238" s="43" t="str">
        <f t="shared" si="25"/>
        <v/>
      </c>
      <c r="G238" s="5"/>
      <c r="H238" s="17">
        <v>233</v>
      </c>
      <c r="I238" s="18" t="str">
        <f t="shared" si="22"/>
        <v/>
      </c>
      <c r="J238" s="17">
        <f t="shared" si="26"/>
        <v>-4</v>
      </c>
      <c r="K238" s="17">
        <f t="shared" si="23"/>
        <v>-40</v>
      </c>
      <c r="L238" s="17"/>
      <c r="M238" s="19">
        <f t="shared" si="24"/>
        <v>0</v>
      </c>
      <c r="N238" s="19" t="str">
        <f t="shared" si="27"/>
        <v/>
      </c>
    </row>
    <row r="239" spans="1:14" x14ac:dyDescent="0.25">
      <c r="A239" s="43" t="str">
        <f t="shared" si="25"/>
        <v/>
      </c>
      <c r="G239" s="5"/>
      <c r="H239" s="17">
        <v>234</v>
      </c>
      <c r="I239" s="18" t="str">
        <f t="shared" si="22"/>
        <v/>
      </c>
      <c r="J239" s="17">
        <f t="shared" si="26"/>
        <v>-4</v>
      </c>
      <c r="K239" s="17">
        <f t="shared" si="23"/>
        <v>-40</v>
      </c>
      <c r="L239" s="17"/>
      <c r="M239" s="19">
        <f t="shared" si="24"/>
        <v>0</v>
      </c>
      <c r="N239" s="19" t="str">
        <f t="shared" si="27"/>
        <v/>
      </c>
    </row>
    <row r="240" spans="1:14" x14ac:dyDescent="0.25">
      <c r="A240" s="43" t="str">
        <f t="shared" si="25"/>
        <v/>
      </c>
      <c r="G240" s="5"/>
      <c r="H240" s="17">
        <v>235</v>
      </c>
      <c r="I240" s="18" t="str">
        <f t="shared" si="22"/>
        <v/>
      </c>
      <c r="J240" s="17">
        <f t="shared" si="26"/>
        <v>-4</v>
      </c>
      <c r="K240" s="17">
        <f t="shared" si="23"/>
        <v>-40</v>
      </c>
      <c r="L240" s="17"/>
      <c r="M240" s="19">
        <f t="shared" si="24"/>
        <v>0</v>
      </c>
      <c r="N240" s="19" t="str">
        <f t="shared" si="27"/>
        <v/>
      </c>
    </row>
    <row r="241" spans="1:14" x14ac:dyDescent="0.25">
      <c r="A241" s="43" t="str">
        <f t="shared" si="25"/>
        <v/>
      </c>
      <c r="G241" s="5"/>
      <c r="H241" s="17">
        <v>236</v>
      </c>
      <c r="I241" s="18" t="str">
        <f t="shared" si="22"/>
        <v/>
      </c>
      <c r="J241" s="17">
        <f t="shared" si="26"/>
        <v>-4</v>
      </c>
      <c r="K241" s="17">
        <f t="shared" si="23"/>
        <v>-40</v>
      </c>
      <c r="L241" s="17"/>
      <c r="M241" s="19">
        <f t="shared" si="24"/>
        <v>0</v>
      </c>
      <c r="N241" s="19" t="str">
        <f t="shared" si="27"/>
        <v/>
      </c>
    </row>
    <row r="242" spans="1:14" x14ac:dyDescent="0.25">
      <c r="A242" s="43" t="str">
        <f t="shared" si="25"/>
        <v/>
      </c>
      <c r="G242" s="5"/>
      <c r="H242" s="17">
        <v>237</v>
      </c>
      <c r="I242" s="18" t="str">
        <f t="shared" si="22"/>
        <v/>
      </c>
      <c r="J242" s="17">
        <f t="shared" si="26"/>
        <v>-4</v>
      </c>
      <c r="K242" s="17">
        <f t="shared" si="23"/>
        <v>-40</v>
      </c>
      <c r="L242" s="17"/>
      <c r="M242" s="19">
        <f t="shared" si="24"/>
        <v>0</v>
      </c>
      <c r="N242" s="19" t="str">
        <f t="shared" si="27"/>
        <v/>
      </c>
    </row>
    <row r="243" spans="1:14" x14ac:dyDescent="0.25">
      <c r="A243" s="43" t="str">
        <f t="shared" si="25"/>
        <v/>
      </c>
      <c r="G243" s="5"/>
      <c r="H243" s="17">
        <v>238</v>
      </c>
      <c r="I243" s="18" t="str">
        <f t="shared" si="22"/>
        <v/>
      </c>
      <c r="J243" s="17">
        <f t="shared" si="26"/>
        <v>-4</v>
      </c>
      <c r="K243" s="17">
        <f t="shared" si="23"/>
        <v>-40</v>
      </c>
      <c r="L243" s="17"/>
      <c r="M243" s="19">
        <f t="shared" si="24"/>
        <v>0</v>
      </c>
      <c r="N243" s="19" t="str">
        <f t="shared" si="27"/>
        <v/>
      </c>
    </row>
    <row r="244" spans="1:14" x14ac:dyDescent="0.25">
      <c r="A244" s="43" t="str">
        <f t="shared" si="25"/>
        <v/>
      </c>
      <c r="G244" s="5"/>
      <c r="H244" s="17">
        <v>239</v>
      </c>
      <c r="I244" s="18" t="str">
        <f t="shared" si="22"/>
        <v/>
      </c>
      <c r="J244" s="17">
        <f t="shared" si="26"/>
        <v>-4</v>
      </c>
      <c r="K244" s="17">
        <f t="shared" si="23"/>
        <v>-40</v>
      </c>
      <c r="L244" s="17"/>
      <c r="M244" s="19">
        <f t="shared" si="24"/>
        <v>0</v>
      </c>
      <c r="N244" s="19" t="str">
        <f t="shared" si="27"/>
        <v/>
      </c>
    </row>
    <row r="245" spans="1:14" x14ac:dyDescent="0.25">
      <c r="A245" s="43" t="str">
        <f t="shared" si="25"/>
        <v/>
      </c>
      <c r="G245" s="5"/>
      <c r="H245" s="17">
        <v>240</v>
      </c>
      <c r="I245" s="18" t="str">
        <f t="shared" si="22"/>
        <v/>
      </c>
      <c r="J245" s="17">
        <f t="shared" si="26"/>
        <v>-4</v>
      </c>
      <c r="K245" s="17">
        <f t="shared" si="23"/>
        <v>-40</v>
      </c>
      <c r="L245" s="17"/>
      <c r="M245" s="19">
        <f t="shared" si="24"/>
        <v>0</v>
      </c>
      <c r="N245" s="19" t="str">
        <f t="shared" si="27"/>
        <v/>
      </c>
    </row>
    <row r="246" spans="1:14" x14ac:dyDescent="0.25">
      <c r="A246" s="43" t="str">
        <f t="shared" si="25"/>
        <v/>
      </c>
      <c r="G246" s="5"/>
      <c r="H246" s="17">
        <v>241</v>
      </c>
      <c r="I246" s="18" t="str">
        <f t="shared" si="22"/>
        <v/>
      </c>
      <c r="J246" s="17">
        <f t="shared" si="26"/>
        <v>-4</v>
      </c>
      <c r="K246" s="17">
        <f t="shared" si="23"/>
        <v>-40</v>
      </c>
      <c r="L246" s="17"/>
      <c r="M246" s="19">
        <f t="shared" si="24"/>
        <v>0</v>
      </c>
      <c r="N246" s="19" t="str">
        <f t="shared" si="27"/>
        <v/>
      </c>
    </row>
    <row r="247" spans="1:14" x14ac:dyDescent="0.25">
      <c r="A247" s="43" t="str">
        <f t="shared" si="25"/>
        <v/>
      </c>
      <c r="G247" s="5"/>
      <c r="H247" s="17">
        <v>242</v>
      </c>
      <c r="I247" s="18" t="str">
        <f t="shared" si="22"/>
        <v/>
      </c>
      <c r="J247" s="17">
        <f t="shared" si="26"/>
        <v>-4</v>
      </c>
      <c r="K247" s="17">
        <f t="shared" si="23"/>
        <v>-40</v>
      </c>
      <c r="L247" s="17"/>
      <c r="M247" s="19">
        <f t="shared" si="24"/>
        <v>0</v>
      </c>
      <c r="N247" s="19" t="str">
        <f t="shared" si="27"/>
        <v/>
      </c>
    </row>
    <row r="248" spans="1:14" x14ac:dyDescent="0.25">
      <c r="A248" s="43" t="str">
        <f t="shared" si="25"/>
        <v/>
      </c>
      <c r="G248" s="5"/>
      <c r="H248" s="17">
        <v>243</v>
      </c>
      <c r="I248" s="18" t="str">
        <f t="shared" si="22"/>
        <v/>
      </c>
      <c r="J248" s="17">
        <f t="shared" si="26"/>
        <v>-4</v>
      </c>
      <c r="K248" s="17">
        <f t="shared" si="23"/>
        <v>-40</v>
      </c>
      <c r="L248" s="17"/>
      <c r="M248" s="19">
        <f t="shared" si="24"/>
        <v>0</v>
      </c>
      <c r="N248" s="19" t="str">
        <f t="shared" si="27"/>
        <v/>
      </c>
    </row>
    <row r="249" spans="1:14" x14ac:dyDescent="0.25">
      <c r="A249" s="43" t="str">
        <f t="shared" si="25"/>
        <v/>
      </c>
      <c r="G249" s="5"/>
      <c r="H249" s="17">
        <v>244</v>
      </c>
      <c r="I249" s="18" t="str">
        <f t="shared" si="22"/>
        <v/>
      </c>
      <c r="J249" s="17">
        <f t="shared" si="26"/>
        <v>-4</v>
      </c>
      <c r="K249" s="17">
        <f t="shared" si="23"/>
        <v>-40</v>
      </c>
      <c r="L249" s="17"/>
      <c r="M249" s="19">
        <f t="shared" si="24"/>
        <v>0</v>
      </c>
      <c r="N249" s="19" t="str">
        <f t="shared" si="27"/>
        <v/>
      </c>
    </row>
    <row r="250" spans="1:14" x14ac:dyDescent="0.25">
      <c r="A250" s="43" t="str">
        <f t="shared" si="25"/>
        <v/>
      </c>
      <c r="G250" s="5"/>
      <c r="H250" s="17">
        <v>245</v>
      </c>
      <c r="I250" s="18" t="str">
        <f t="shared" si="22"/>
        <v/>
      </c>
      <c r="J250" s="17">
        <f t="shared" si="26"/>
        <v>-4</v>
      </c>
      <c r="K250" s="17">
        <f t="shared" si="23"/>
        <v>-40</v>
      </c>
      <c r="L250" s="17"/>
      <c r="M250" s="19">
        <f t="shared" si="24"/>
        <v>0</v>
      </c>
      <c r="N250" s="19" t="str">
        <f t="shared" si="27"/>
        <v/>
      </c>
    </row>
    <row r="251" spans="1:14" x14ac:dyDescent="0.25">
      <c r="A251" s="43" t="str">
        <f t="shared" si="25"/>
        <v/>
      </c>
      <c r="G251" s="5"/>
      <c r="H251" s="17">
        <v>246</v>
      </c>
      <c r="I251" s="18" t="str">
        <f t="shared" si="22"/>
        <v/>
      </c>
      <c r="J251" s="17">
        <f t="shared" si="26"/>
        <v>-4</v>
      </c>
      <c r="K251" s="17">
        <f t="shared" si="23"/>
        <v>-40</v>
      </c>
      <c r="L251" s="17"/>
      <c r="M251" s="19">
        <f t="shared" si="24"/>
        <v>0</v>
      </c>
      <c r="N251" s="19" t="str">
        <f t="shared" si="27"/>
        <v/>
      </c>
    </row>
    <row r="252" spans="1:14" x14ac:dyDescent="0.25">
      <c r="A252" s="43" t="str">
        <f t="shared" si="25"/>
        <v/>
      </c>
      <c r="G252" s="5"/>
      <c r="H252" s="17">
        <v>247</v>
      </c>
      <c r="I252" s="18" t="str">
        <f t="shared" si="22"/>
        <v/>
      </c>
      <c r="J252" s="17">
        <f t="shared" si="26"/>
        <v>-4</v>
      </c>
      <c r="K252" s="17">
        <f t="shared" si="23"/>
        <v>-40</v>
      </c>
      <c r="L252" s="17"/>
      <c r="M252" s="19">
        <f t="shared" si="24"/>
        <v>0</v>
      </c>
      <c r="N252" s="19" t="str">
        <f t="shared" si="27"/>
        <v/>
      </c>
    </row>
    <row r="253" spans="1:14" x14ac:dyDescent="0.25">
      <c r="A253" s="43" t="str">
        <f t="shared" si="25"/>
        <v/>
      </c>
      <c r="G253" s="5"/>
      <c r="H253" s="17">
        <v>248</v>
      </c>
      <c r="I253" s="18" t="str">
        <f t="shared" si="22"/>
        <v/>
      </c>
      <c r="J253" s="17">
        <f t="shared" si="26"/>
        <v>-4</v>
      </c>
      <c r="K253" s="17">
        <f t="shared" si="23"/>
        <v>-40</v>
      </c>
      <c r="L253" s="17"/>
      <c r="M253" s="19">
        <f t="shared" si="24"/>
        <v>0</v>
      </c>
      <c r="N253" s="19" t="str">
        <f t="shared" si="27"/>
        <v/>
      </c>
    </row>
    <row r="254" spans="1:14" x14ac:dyDescent="0.25">
      <c r="A254" s="43" t="str">
        <f t="shared" si="25"/>
        <v/>
      </c>
      <c r="G254" s="5"/>
      <c r="H254" s="17">
        <v>249</v>
      </c>
      <c r="I254" s="18" t="str">
        <f t="shared" si="22"/>
        <v/>
      </c>
      <c r="J254" s="17">
        <f t="shared" si="26"/>
        <v>-4</v>
      </c>
      <c r="K254" s="17">
        <f t="shared" si="23"/>
        <v>-40</v>
      </c>
      <c r="L254" s="17"/>
      <c r="M254" s="19">
        <f t="shared" si="24"/>
        <v>0</v>
      </c>
      <c r="N254" s="19" t="str">
        <f t="shared" si="27"/>
        <v/>
      </c>
    </row>
    <row r="255" spans="1:14" x14ac:dyDescent="0.25">
      <c r="A255" s="43" t="str">
        <f t="shared" si="25"/>
        <v/>
      </c>
      <c r="G255" s="5"/>
      <c r="H255" s="17">
        <v>250</v>
      </c>
      <c r="I255" s="18" t="str">
        <f t="shared" si="22"/>
        <v/>
      </c>
      <c r="J255" s="17">
        <f t="shared" si="26"/>
        <v>-4</v>
      </c>
      <c r="K255" s="17">
        <f t="shared" si="23"/>
        <v>-40</v>
      </c>
      <c r="L255" s="17"/>
      <c r="M255" s="19">
        <f t="shared" si="24"/>
        <v>0</v>
      </c>
      <c r="N255" s="19" t="str">
        <f t="shared" si="27"/>
        <v/>
      </c>
    </row>
    <row r="256" spans="1:14" x14ac:dyDescent="0.25">
      <c r="A256" s="43" t="str">
        <f t="shared" si="25"/>
        <v/>
      </c>
      <c r="G256" s="5"/>
      <c r="H256" s="17">
        <v>251</v>
      </c>
      <c r="I256" s="18" t="str">
        <f t="shared" si="22"/>
        <v/>
      </c>
      <c r="J256" s="17">
        <f t="shared" si="26"/>
        <v>-4</v>
      </c>
      <c r="K256" s="17">
        <f t="shared" si="23"/>
        <v>-40</v>
      </c>
      <c r="L256" s="17"/>
      <c r="M256" s="19">
        <f t="shared" si="24"/>
        <v>0</v>
      </c>
      <c r="N256" s="19" t="str">
        <f t="shared" si="27"/>
        <v/>
      </c>
    </row>
    <row r="257" spans="1:14" x14ac:dyDescent="0.25">
      <c r="A257" s="43" t="str">
        <f t="shared" si="25"/>
        <v/>
      </c>
      <c r="G257" s="5"/>
      <c r="H257" s="17">
        <v>252</v>
      </c>
      <c r="I257" s="18" t="str">
        <f t="shared" si="22"/>
        <v/>
      </c>
      <c r="J257" s="17">
        <f t="shared" si="26"/>
        <v>-4</v>
      </c>
      <c r="K257" s="17">
        <f t="shared" si="23"/>
        <v>-40</v>
      </c>
      <c r="L257" s="17"/>
      <c r="M257" s="19">
        <f t="shared" si="24"/>
        <v>0</v>
      </c>
      <c r="N257" s="19" t="str">
        <f t="shared" si="27"/>
        <v/>
      </c>
    </row>
    <row r="258" spans="1:14" x14ac:dyDescent="0.25">
      <c r="A258" s="43" t="str">
        <f t="shared" si="25"/>
        <v/>
      </c>
      <c r="G258" s="5"/>
      <c r="H258" s="17">
        <v>253</v>
      </c>
      <c r="I258" s="18" t="str">
        <f t="shared" si="22"/>
        <v/>
      </c>
      <c r="J258" s="17">
        <f t="shared" si="26"/>
        <v>-4</v>
      </c>
      <c r="K258" s="17">
        <f t="shared" si="23"/>
        <v>-40</v>
      </c>
      <c r="L258" s="17"/>
      <c r="M258" s="19">
        <f t="shared" si="24"/>
        <v>0</v>
      </c>
      <c r="N258" s="19" t="str">
        <f t="shared" si="27"/>
        <v/>
      </c>
    </row>
    <row r="259" spans="1:14" x14ac:dyDescent="0.25">
      <c r="A259" s="43" t="str">
        <f t="shared" si="25"/>
        <v/>
      </c>
      <c r="G259" s="5"/>
      <c r="H259" s="17">
        <v>254</v>
      </c>
      <c r="I259" s="18" t="str">
        <f t="shared" si="22"/>
        <v/>
      </c>
      <c r="J259" s="17">
        <f t="shared" si="26"/>
        <v>-4</v>
      </c>
      <c r="K259" s="17">
        <f t="shared" si="23"/>
        <v>-40</v>
      </c>
      <c r="L259" s="17"/>
      <c r="M259" s="19">
        <f t="shared" si="24"/>
        <v>0</v>
      </c>
      <c r="N259" s="19" t="str">
        <f t="shared" si="27"/>
        <v/>
      </c>
    </row>
    <row r="260" spans="1:14" x14ac:dyDescent="0.25">
      <c r="A260" s="43" t="str">
        <f t="shared" si="25"/>
        <v/>
      </c>
      <c r="G260" s="5"/>
      <c r="H260" s="17">
        <v>255</v>
      </c>
      <c r="I260" s="18" t="str">
        <f t="shared" si="22"/>
        <v/>
      </c>
      <c r="J260" s="17">
        <f t="shared" si="26"/>
        <v>-4</v>
      </c>
      <c r="K260" s="17">
        <f t="shared" si="23"/>
        <v>-40</v>
      </c>
      <c r="L260" s="17"/>
      <c r="M260" s="19">
        <f t="shared" si="24"/>
        <v>0</v>
      </c>
      <c r="N260" s="19" t="str">
        <f t="shared" si="27"/>
        <v/>
      </c>
    </row>
    <row r="261" spans="1:14" x14ac:dyDescent="0.25">
      <c r="A261" s="43" t="str">
        <f t="shared" si="25"/>
        <v/>
      </c>
      <c r="G261" s="5"/>
      <c r="H261" s="17">
        <v>256</v>
      </c>
      <c r="I261" s="18" t="str">
        <f t="shared" si="22"/>
        <v/>
      </c>
      <c r="J261" s="17">
        <f t="shared" si="26"/>
        <v>-4</v>
      </c>
      <c r="K261" s="17">
        <f t="shared" si="23"/>
        <v>-40</v>
      </c>
      <c r="L261" s="17"/>
      <c r="M261" s="19">
        <f t="shared" si="24"/>
        <v>0</v>
      </c>
      <c r="N261" s="19" t="str">
        <f t="shared" si="27"/>
        <v/>
      </c>
    </row>
    <row r="262" spans="1:14" x14ac:dyDescent="0.25">
      <c r="A262" s="43" t="str">
        <f t="shared" si="25"/>
        <v/>
      </c>
      <c r="G262" s="5"/>
      <c r="H262" s="17">
        <v>257</v>
      </c>
      <c r="I262" s="18" t="str">
        <f t="shared" ref="I262:I305" si="28">IF(H262&lt;$H$2+1,($I$2-($I$2-1)*(LOG(H262)/LOG($H$2))),"")</f>
        <v/>
      </c>
      <c r="J262" s="17">
        <f t="shared" si="26"/>
        <v>-5</v>
      </c>
      <c r="K262" s="17">
        <f t="shared" ref="K262:K305" si="29">J262*$J$2</f>
        <v>-50</v>
      </c>
      <c r="L262" s="17"/>
      <c r="M262" s="19">
        <f t="shared" ref="M262:M305" si="30">IF(I262&lt;&gt;"",K262+I262+L262,0)</f>
        <v>0</v>
      </c>
      <c r="N262" s="19" t="str">
        <f t="shared" si="27"/>
        <v/>
      </c>
    </row>
    <row r="263" spans="1:14" x14ac:dyDescent="0.25">
      <c r="A263" s="43" t="str">
        <f t="shared" ref="A263:A305" si="31">N263</f>
        <v/>
      </c>
      <c r="G263" s="5"/>
      <c r="H263" s="17">
        <v>258</v>
      </c>
      <c r="I263" s="18" t="str">
        <f t="shared" si="28"/>
        <v/>
      </c>
      <c r="J263" s="17">
        <f t="shared" ref="J263:J326" si="32">INT(LOG($H$2,2))-ROUNDUP(LOG(H263,2),0)+IF(OR($H$2=1,$H$2=2,$H$2=4,$H$2=8,$H$2=16,$H$2=32,$H$2=64,$H$2=128,$H$2=256),0,1)</f>
        <v>-5</v>
      </c>
      <c r="K263" s="17">
        <f t="shared" si="29"/>
        <v>-50</v>
      </c>
      <c r="L263" s="17"/>
      <c r="M263" s="19">
        <f t="shared" si="30"/>
        <v>0</v>
      </c>
      <c r="N263" s="19" t="str">
        <f t="shared" ref="N263:N305" si="33">IF(I263&lt;&gt;"",M263*L$2,"")</f>
        <v/>
      </c>
    </row>
    <row r="264" spans="1:14" x14ac:dyDescent="0.25">
      <c r="A264" s="43" t="str">
        <f t="shared" si="31"/>
        <v/>
      </c>
      <c r="G264" s="5"/>
      <c r="H264" s="17">
        <v>259</v>
      </c>
      <c r="I264" s="18" t="str">
        <f t="shared" si="28"/>
        <v/>
      </c>
      <c r="J264" s="17">
        <f t="shared" si="32"/>
        <v>-5</v>
      </c>
      <c r="K264" s="17">
        <f t="shared" si="29"/>
        <v>-50</v>
      </c>
      <c r="L264" s="17"/>
      <c r="M264" s="19">
        <f t="shared" si="30"/>
        <v>0</v>
      </c>
      <c r="N264" s="19" t="str">
        <f t="shared" si="33"/>
        <v/>
      </c>
    </row>
    <row r="265" spans="1:14" x14ac:dyDescent="0.25">
      <c r="A265" s="43" t="str">
        <f t="shared" si="31"/>
        <v/>
      </c>
      <c r="G265" s="5"/>
      <c r="H265" s="17">
        <v>260</v>
      </c>
      <c r="I265" s="18" t="str">
        <f t="shared" si="28"/>
        <v/>
      </c>
      <c r="J265" s="17">
        <f t="shared" si="32"/>
        <v>-5</v>
      </c>
      <c r="K265" s="17">
        <f t="shared" si="29"/>
        <v>-50</v>
      </c>
      <c r="L265" s="17"/>
      <c r="M265" s="19">
        <f t="shared" si="30"/>
        <v>0</v>
      </c>
      <c r="N265" s="19" t="str">
        <f t="shared" si="33"/>
        <v/>
      </c>
    </row>
    <row r="266" spans="1:14" x14ac:dyDescent="0.25">
      <c r="A266" s="43" t="str">
        <f t="shared" si="31"/>
        <v/>
      </c>
      <c r="G266" s="5"/>
      <c r="H266" s="17">
        <v>261</v>
      </c>
      <c r="I266" s="18" t="str">
        <f t="shared" si="28"/>
        <v/>
      </c>
      <c r="J266" s="17">
        <f t="shared" si="32"/>
        <v>-5</v>
      </c>
      <c r="K266" s="17">
        <f t="shared" si="29"/>
        <v>-50</v>
      </c>
      <c r="L266" s="17"/>
      <c r="M266" s="19">
        <f t="shared" si="30"/>
        <v>0</v>
      </c>
      <c r="N266" s="19" t="str">
        <f t="shared" si="33"/>
        <v/>
      </c>
    </row>
    <row r="267" spans="1:14" x14ac:dyDescent="0.25">
      <c r="A267" s="43" t="str">
        <f t="shared" si="31"/>
        <v/>
      </c>
      <c r="G267" s="5"/>
      <c r="H267" s="17">
        <v>262</v>
      </c>
      <c r="I267" s="18" t="str">
        <f t="shared" si="28"/>
        <v/>
      </c>
      <c r="J267" s="17">
        <f t="shared" si="32"/>
        <v>-5</v>
      </c>
      <c r="K267" s="17">
        <f t="shared" si="29"/>
        <v>-50</v>
      </c>
      <c r="L267" s="17"/>
      <c r="M267" s="19">
        <f t="shared" si="30"/>
        <v>0</v>
      </c>
      <c r="N267" s="19" t="str">
        <f t="shared" si="33"/>
        <v/>
      </c>
    </row>
    <row r="268" spans="1:14" x14ac:dyDescent="0.25">
      <c r="A268" s="43" t="str">
        <f t="shared" si="31"/>
        <v/>
      </c>
      <c r="G268" s="5"/>
      <c r="H268" s="17">
        <v>263</v>
      </c>
      <c r="I268" s="18" t="str">
        <f t="shared" si="28"/>
        <v/>
      </c>
      <c r="J268" s="17">
        <f t="shared" si="32"/>
        <v>-5</v>
      </c>
      <c r="K268" s="17">
        <f t="shared" si="29"/>
        <v>-50</v>
      </c>
      <c r="L268" s="17"/>
      <c r="M268" s="19">
        <f t="shared" si="30"/>
        <v>0</v>
      </c>
      <c r="N268" s="19" t="str">
        <f t="shared" si="33"/>
        <v/>
      </c>
    </row>
    <row r="269" spans="1:14" x14ac:dyDescent="0.25">
      <c r="A269" s="43" t="str">
        <f t="shared" si="31"/>
        <v/>
      </c>
      <c r="G269" s="5"/>
      <c r="H269" s="17">
        <v>264</v>
      </c>
      <c r="I269" s="18" t="str">
        <f t="shared" si="28"/>
        <v/>
      </c>
      <c r="J269" s="17">
        <f t="shared" si="32"/>
        <v>-5</v>
      </c>
      <c r="K269" s="17">
        <f t="shared" si="29"/>
        <v>-50</v>
      </c>
      <c r="L269" s="17"/>
      <c r="M269" s="19">
        <f t="shared" si="30"/>
        <v>0</v>
      </c>
      <c r="N269" s="19" t="str">
        <f t="shared" si="33"/>
        <v/>
      </c>
    </row>
    <row r="270" spans="1:14" x14ac:dyDescent="0.25">
      <c r="A270" s="43" t="str">
        <f t="shared" si="31"/>
        <v/>
      </c>
      <c r="G270" s="5"/>
      <c r="H270" s="17">
        <v>265</v>
      </c>
      <c r="I270" s="18" t="str">
        <f t="shared" si="28"/>
        <v/>
      </c>
      <c r="J270" s="17">
        <f t="shared" si="32"/>
        <v>-5</v>
      </c>
      <c r="K270" s="17">
        <f t="shared" si="29"/>
        <v>-50</v>
      </c>
      <c r="L270" s="17"/>
      <c r="M270" s="19">
        <f t="shared" si="30"/>
        <v>0</v>
      </c>
      <c r="N270" s="19" t="str">
        <f t="shared" si="33"/>
        <v/>
      </c>
    </row>
    <row r="271" spans="1:14" x14ac:dyDescent="0.25">
      <c r="A271" s="43" t="str">
        <f t="shared" si="31"/>
        <v/>
      </c>
      <c r="G271" s="5"/>
      <c r="H271" s="17">
        <v>266</v>
      </c>
      <c r="I271" s="18" t="str">
        <f t="shared" si="28"/>
        <v/>
      </c>
      <c r="J271" s="17">
        <f t="shared" si="32"/>
        <v>-5</v>
      </c>
      <c r="K271" s="17">
        <f t="shared" si="29"/>
        <v>-50</v>
      </c>
      <c r="L271" s="17"/>
      <c r="M271" s="19">
        <f t="shared" si="30"/>
        <v>0</v>
      </c>
      <c r="N271" s="19" t="str">
        <f t="shared" si="33"/>
        <v/>
      </c>
    </row>
    <row r="272" spans="1:14" x14ac:dyDescent="0.25">
      <c r="A272" s="43" t="str">
        <f t="shared" si="31"/>
        <v/>
      </c>
      <c r="G272" s="5"/>
      <c r="H272" s="17">
        <v>267</v>
      </c>
      <c r="I272" s="18" t="str">
        <f t="shared" si="28"/>
        <v/>
      </c>
      <c r="J272" s="17">
        <f t="shared" si="32"/>
        <v>-5</v>
      </c>
      <c r="K272" s="17">
        <f t="shared" si="29"/>
        <v>-50</v>
      </c>
      <c r="L272" s="17"/>
      <c r="M272" s="19">
        <f t="shared" si="30"/>
        <v>0</v>
      </c>
      <c r="N272" s="19" t="str">
        <f t="shared" si="33"/>
        <v/>
      </c>
    </row>
    <row r="273" spans="1:14" x14ac:dyDescent="0.25">
      <c r="A273" s="43" t="str">
        <f t="shared" si="31"/>
        <v/>
      </c>
      <c r="G273" s="5"/>
      <c r="H273" s="17">
        <v>268</v>
      </c>
      <c r="I273" s="18" t="str">
        <f t="shared" si="28"/>
        <v/>
      </c>
      <c r="J273" s="17">
        <f t="shared" si="32"/>
        <v>-5</v>
      </c>
      <c r="K273" s="17">
        <f t="shared" si="29"/>
        <v>-50</v>
      </c>
      <c r="L273" s="17"/>
      <c r="M273" s="19">
        <f t="shared" si="30"/>
        <v>0</v>
      </c>
      <c r="N273" s="19" t="str">
        <f t="shared" si="33"/>
        <v/>
      </c>
    </row>
    <row r="274" spans="1:14" x14ac:dyDescent="0.25">
      <c r="A274" s="43" t="str">
        <f t="shared" si="31"/>
        <v/>
      </c>
      <c r="G274" s="5"/>
      <c r="H274" s="17">
        <v>269</v>
      </c>
      <c r="I274" s="18" t="str">
        <f t="shared" si="28"/>
        <v/>
      </c>
      <c r="J274" s="17">
        <f t="shared" si="32"/>
        <v>-5</v>
      </c>
      <c r="K274" s="17">
        <f t="shared" si="29"/>
        <v>-50</v>
      </c>
      <c r="L274" s="17"/>
      <c r="M274" s="19">
        <f t="shared" si="30"/>
        <v>0</v>
      </c>
      <c r="N274" s="19" t="str">
        <f t="shared" si="33"/>
        <v/>
      </c>
    </row>
    <row r="275" spans="1:14" x14ac:dyDescent="0.25">
      <c r="A275" s="43" t="str">
        <f t="shared" si="31"/>
        <v/>
      </c>
      <c r="G275" s="5"/>
      <c r="H275" s="17">
        <v>270</v>
      </c>
      <c r="I275" s="18" t="str">
        <f t="shared" si="28"/>
        <v/>
      </c>
      <c r="J275" s="17">
        <f t="shared" si="32"/>
        <v>-5</v>
      </c>
      <c r="K275" s="17">
        <f t="shared" si="29"/>
        <v>-50</v>
      </c>
      <c r="L275" s="17"/>
      <c r="M275" s="19">
        <f t="shared" si="30"/>
        <v>0</v>
      </c>
      <c r="N275" s="19" t="str">
        <f t="shared" si="33"/>
        <v/>
      </c>
    </row>
    <row r="276" spans="1:14" x14ac:dyDescent="0.25">
      <c r="A276" s="43" t="str">
        <f t="shared" si="31"/>
        <v/>
      </c>
      <c r="G276" s="5"/>
      <c r="H276" s="17">
        <v>271</v>
      </c>
      <c r="I276" s="18" t="str">
        <f t="shared" si="28"/>
        <v/>
      </c>
      <c r="J276" s="17">
        <f t="shared" si="32"/>
        <v>-5</v>
      </c>
      <c r="K276" s="17">
        <f t="shared" si="29"/>
        <v>-50</v>
      </c>
      <c r="L276" s="17"/>
      <c r="M276" s="19">
        <f t="shared" si="30"/>
        <v>0</v>
      </c>
      <c r="N276" s="19" t="str">
        <f t="shared" si="33"/>
        <v/>
      </c>
    </row>
    <row r="277" spans="1:14" x14ac:dyDescent="0.25">
      <c r="A277" s="43" t="str">
        <f t="shared" si="31"/>
        <v/>
      </c>
      <c r="G277" s="5"/>
      <c r="H277" s="17">
        <v>272</v>
      </c>
      <c r="I277" s="18" t="str">
        <f t="shared" si="28"/>
        <v/>
      </c>
      <c r="J277" s="17">
        <f t="shared" si="32"/>
        <v>-5</v>
      </c>
      <c r="K277" s="17">
        <f t="shared" si="29"/>
        <v>-50</v>
      </c>
      <c r="L277" s="17"/>
      <c r="M277" s="19">
        <f t="shared" si="30"/>
        <v>0</v>
      </c>
      <c r="N277" s="19" t="str">
        <f t="shared" si="33"/>
        <v/>
      </c>
    </row>
    <row r="278" spans="1:14" x14ac:dyDescent="0.25">
      <c r="A278" s="43" t="str">
        <f t="shared" si="31"/>
        <v/>
      </c>
      <c r="G278" s="5"/>
      <c r="H278" s="17">
        <v>273</v>
      </c>
      <c r="I278" s="18" t="str">
        <f t="shared" si="28"/>
        <v/>
      </c>
      <c r="J278" s="17">
        <f t="shared" si="32"/>
        <v>-5</v>
      </c>
      <c r="K278" s="17">
        <f t="shared" si="29"/>
        <v>-50</v>
      </c>
      <c r="L278" s="17"/>
      <c r="M278" s="19">
        <f t="shared" si="30"/>
        <v>0</v>
      </c>
      <c r="N278" s="19" t="str">
        <f t="shared" si="33"/>
        <v/>
      </c>
    </row>
    <row r="279" spans="1:14" x14ac:dyDescent="0.25">
      <c r="A279" s="43" t="str">
        <f t="shared" si="31"/>
        <v/>
      </c>
      <c r="G279" s="5"/>
      <c r="H279" s="17">
        <v>274</v>
      </c>
      <c r="I279" s="18" t="str">
        <f t="shared" si="28"/>
        <v/>
      </c>
      <c r="J279" s="17">
        <f t="shared" si="32"/>
        <v>-5</v>
      </c>
      <c r="K279" s="17">
        <f t="shared" si="29"/>
        <v>-50</v>
      </c>
      <c r="L279" s="17"/>
      <c r="M279" s="19">
        <f t="shared" si="30"/>
        <v>0</v>
      </c>
      <c r="N279" s="19" t="str">
        <f t="shared" si="33"/>
        <v/>
      </c>
    </row>
    <row r="280" spans="1:14" x14ac:dyDescent="0.25">
      <c r="A280" s="43" t="str">
        <f t="shared" si="31"/>
        <v/>
      </c>
      <c r="G280" s="5"/>
      <c r="H280" s="17">
        <v>275</v>
      </c>
      <c r="I280" s="18" t="str">
        <f t="shared" si="28"/>
        <v/>
      </c>
      <c r="J280" s="17">
        <f t="shared" si="32"/>
        <v>-5</v>
      </c>
      <c r="K280" s="17">
        <f t="shared" si="29"/>
        <v>-50</v>
      </c>
      <c r="L280" s="17"/>
      <c r="M280" s="19">
        <f t="shared" si="30"/>
        <v>0</v>
      </c>
      <c r="N280" s="19" t="str">
        <f t="shared" si="33"/>
        <v/>
      </c>
    </row>
    <row r="281" spans="1:14" x14ac:dyDescent="0.25">
      <c r="A281" s="43" t="str">
        <f t="shared" si="31"/>
        <v/>
      </c>
      <c r="G281" s="5"/>
      <c r="H281" s="17">
        <v>276</v>
      </c>
      <c r="I281" s="18" t="str">
        <f t="shared" si="28"/>
        <v/>
      </c>
      <c r="J281" s="17">
        <f t="shared" si="32"/>
        <v>-5</v>
      </c>
      <c r="K281" s="17">
        <f t="shared" si="29"/>
        <v>-50</v>
      </c>
      <c r="L281" s="17"/>
      <c r="M281" s="19">
        <f t="shared" si="30"/>
        <v>0</v>
      </c>
      <c r="N281" s="19" t="str">
        <f t="shared" si="33"/>
        <v/>
      </c>
    </row>
    <row r="282" spans="1:14" x14ac:dyDescent="0.25">
      <c r="A282" s="43" t="str">
        <f t="shared" si="31"/>
        <v/>
      </c>
      <c r="G282" s="5"/>
      <c r="H282" s="17">
        <v>277</v>
      </c>
      <c r="I282" s="18" t="str">
        <f t="shared" si="28"/>
        <v/>
      </c>
      <c r="J282" s="17">
        <f t="shared" si="32"/>
        <v>-5</v>
      </c>
      <c r="K282" s="17">
        <f t="shared" si="29"/>
        <v>-50</v>
      </c>
      <c r="L282" s="17"/>
      <c r="M282" s="19">
        <f t="shared" si="30"/>
        <v>0</v>
      </c>
      <c r="N282" s="19" t="str">
        <f t="shared" si="33"/>
        <v/>
      </c>
    </row>
    <row r="283" spans="1:14" x14ac:dyDescent="0.25">
      <c r="A283" s="43" t="str">
        <f t="shared" si="31"/>
        <v/>
      </c>
      <c r="G283" s="5"/>
      <c r="H283" s="17">
        <v>278</v>
      </c>
      <c r="I283" s="18" t="str">
        <f t="shared" si="28"/>
        <v/>
      </c>
      <c r="J283" s="17">
        <f t="shared" si="32"/>
        <v>-5</v>
      </c>
      <c r="K283" s="17">
        <f t="shared" si="29"/>
        <v>-50</v>
      </c>
      <c r="L283" s="17"/>
      <c r="M283" s="19">
        <f t="shared" si="30"/>
        <v>0</v>
      </c>
      <c r="N283" s="19" t="str">
        <f t="shared" si="33"/>
        <v/>
      </c>
    </row>
    <row r="284" spans="1:14" x14ac:dyDescent="0.25">
      <c r="A284" s="43" t="str">
        <f t="shared" si="31"/>
        <v/>
      </c>
      <c r="G284" s="5"/>
      <c r="H284" s="17">
        <v>279</v>
      </c>
      <c r="I284" s="18" t="str">
        <f t="shared" si="28"/>
        <v/>
      </c>
      <c r="J284" s="17">
        <f t="shared" si="32"/>
        <v>-5</v>
      </c>
      <c r="K284" s="17">
        <f t="shared" si="29"/>
        <v>-50</v>
      </c>
      <c r="L284" s="17"/>
      <c r="M284" s="19">
        <f t="shared" si="30"/>
        <v>0</v>
      </c>
      <c r="N284" s="19" t="str">
        <f t="shared" si="33"/>
        <v/>
      </c>
    </row>
    <row r="285" spans="1:14" x14ac:dyDescent="0.25">
      <c r="A285" s="43" t="str">
        <f t="shared" si="31"/>
        <v/>
      </c>
      <c r="G285" s="5"/>
      <c r="H285" s="17">
        <v>280</v>
      </c>
      <c r="I285" s="18" t="str">
        <f t="shared" si="28"/>
        <v/>
      </c>
      <c r="J285" s="17">
        <f t="shared" si="32"/>
        <v>-5</v>
      </c>
      <c r="K285" s="17">
        <f t="shared" si="29"/>
        <v>-50</v>
      </c>
      <c r="L285" s="17"/>
      <c r="M285" s="19">
        <f t="shared" si="30"/>
        <v>0</v>
      </c>
      <c r="N285" s="19" t="str">
        <f t="shared" si="33"/>
        <v/>
      </c>
    </row>
    <row r="286" spans="1:14" x14ac:dyDescent="0.25">
      <c r="A286" s="43" t="str">
        <f t="shared" si="31"/>
        <v/>
      </c>
      <c r="G286" s="5"/>
      <c r="H286" s="17">
        <v>281</v>
      </c>
      <c r="I286" s="18" t="str">
        <f t="shared" si="28"/>
        <v/>
      </c>
      <c r="J286" s="17">
        <f t="shared" si="32"/>
        <v>-5</v>
      </c>
      <c r="K286" s="17">
        <f t="shared" si="29"/>
        <v>-50</v>
      </c>
      <c r="L286" s="17"/>
      <c r="M286" s="19">
        <f t="shared" si="30"/>
        <v>0</v>
      </c>
      <c r="N286" s="19" t="str">
        <f t="shared" si="33"/>
        <v/>
      </c>
    </row>
    <row r="287" spans="1:14" x14ac:dyDescent="0.25">
      <c r="A287" s="43" t="str">
        <f t="shared" si="31"/>
        <v/>
      </c>
      <c r="G287" s="5"/>
      <c r="H287" s="17">
        <v>282</v>
      </c>
      <c r="I287" s="18" t="str">
        <f t="shared" si="28"/>
        <v/>
      </c>
      <c r="J287" s="17">
        <f t="shared" si="32"/>
        <v>-5</v>
      </c>
      <c r="K287" s="17">
        <f t="shared" si="29"/>
        <v>-50</v>
      </c>
      <c r="L287" s="17"/>
      <c r="M287" s="19">
        <f t="shared" si="30"/>
        <v>0</v>
      </c>
      <c r="N287" s="19" t="str">
        <f t="shared" si="33"/>
        <v/>
      </c>
    </row>
    <row r="288" spans="1:14" x14ac:dyDescent="0.25">
      <c r="A288" s="43" t="str">
        <f t="shared" si="31"/>
        <v/>
      </c>
      <c r="G288" s="5"/>
      <c r="H288" s="17">
        <v>283</v>
      </c>
      <c r="I288" s="18" t="str">
        <f t="shared" si="28"/>
        <v/>
      </c>
      <c r="J288" s="17">
        <f t="shared" si="32"/>
        <v>-5</v>
      </c>
      <c r="K288" s="17">
        <f t="shared" si="29"/>
        <v>-50</v>
      </c>
      <c r="L288" s="17"/>
      <c r="M288" s="19">
        <f t="shared" si="30"/>
        <v>0</v>
      </c>
      <c r="N288" s="19" t="str">
        <f t="shared" si="33"/>
        <v/>
      </c>
    </row>
    <row r="289" spans="1:14" x14ac:dyDescent="0.25">
      <c r="A289" s="43" t="str">
        <f t="shared" si="31"/>
        <v/>
      </c>
      <c r="G289" s="5"/>
      <c r="H289" s="17">
        <v>284</v>
      </c>
      <c r="I289" s="18" t="str">
        <f t="shared" si="28"/>
        <v/>
      </c>
      <c r="J289" s="17">
        <f t="shared" si="32"/>
        <v>-5</v>
      </c>
      <c r="K289" s="17">
        <f t="shared" si="29"/>
        <v>-50</v>
      </c>
      <c r="L289" s="17"/>
      <c r="M289" s="19">
        <f t="shared" si="30"/>
        <v>0</v>
      </c>
      <c r="N289" s="19" t="str">
        <f t="shared" si="33"/>
        <v/>
      </c>
    </row>
    <row r="290" spans="1:14" x14ac:dyDescent="0.25">
      <c r="A290" s="43" t="str">
        <f t="shared" si="31"/>
        <v/>
      </c>
      <c r="G290" s="5"/>
      <c r="H290" s="17">
        <v>285</v>
      </c>
      <c r="I290" s="18" t="str">
        <f t="shared" si="28"/>
        <v/>
      </c>
      <c r="J290" s="17">
        <f t="shared" si="32"/>
        <v>-5</v>
      </c>
      <c r="K290" s="17">
        <f t="shared" si="29"/>
        <v>-50</v>
      </c>
      <c r="L290" s="17"/>
      <c r="M290" s="19">
        <f t="shared" si="30"/>
        <v>0</v>
      </c>
      <c r="N290" s="19" t="str">
        <f t="shared" si="33"/>
        <v/>
      </c>
    </row>
    <row r="291" spans="1:14" x14ac:dyDescent="0.25">
      <c r="A291" s="43" t="str">
        <f t="shared" si="31"/>
        <v/>
      </c>
      <c r="G291" s="5"/>
      <c r="H291" s="17">
        <v>286</v>
      </c>
      <c r="I291" s="18" t="str">
        <f t="shared" si="28"/>
        <v/>
      </c>
      <c r="J291" s="17">
        <f t="shared" si="32"/>
        <v>-5</v>
      </c>
      <c r="K291" s="17">
        <f t="shared" si="29"/>
        <v>-50</v>
      </c>
      <c r="L291" s="17"/>
      <c r="M291" s="19">
        <f t="shared" si="30"/>
        <v>0</v>
      </c>
      <c r="N291" s="19" t="str">
        <f t="shared" si="33"/>
        <v/>
      </c>
    </row>
    <row r="292" spans="1:14" x14ac:dyDescent="0.25">
      <c r="A292" s="43" t="str">
        <f t="shared" si="31"/>
        <v/>
      </c>
      <c r="G292" s="5"/>
      <c r="H292" s="17">
        <v>287</v>
      </c>
      <c r="I292" s="18" t="str">
        <f t="shared" si="28"/>
        <v/>
      </c>
      <c r="J292" s="17">
        <f t="shared" si="32"/>
        <v>-5</v>
      </c>
      <c r="K292" s="17">
        <f t="shared" si="29"/>
        <v>-50</v>
      </c>
      <c r="L292" s="17"/>
      <c r="M292" s="19">
        <f t="shared" si="30"/>
        <v>0</v>
      </c>
      <c r="N292" s="19" t="str">
        <f t="shared" si="33"/>
        <v/>
      </c>
    </row>
    <row r="293" spans="1:14" x14ac:dyDescent="0.25">
      <c r="A293" s="43" t="str">
        <f t="shared" si="31"/>
        <v/>
      </c>
      <c r="G293" s="5"/>
      <c r="H293" s="17">
        <v>288</v>
      </c>
      <c r="I293" s="18" t="str">
        <f t="shared" si="28"/>
        <v/>
      </c>
      <c r="J293" s="17">
        <f t="shared" si="32"/>
        <v>-5</v>
      </c>
      <c r="K293" s="17">
        <f t="shared" si="29"/>
        <v>-50</v>
      </c>
      <c r="L293" s="17"/>
      <c r="M293" s="19">
        <f t="shared" si="30"/>
        <v>0</v>
      </c>
      <c r="N293" s="19" t="str">
        <f t="shared" si="33"/>
        <v/>
      </c>
    </row>
    <row r="294" spans="1:14" x14ac:dyDescent="0.25">
      <c r="A294" s="43" t="str">
        <f t="shared" si="31"/>
        <v/>
      </c>
      <c r="G294" s="5"/>
      <c r="H294" s="17">
        <v>289</v>
      </c>
      <c r="I294" s="18" t="str">
        <f t="shared" si="28"/>
        <v/>
      </c>
      <c r="J294" s="17">
        <f t="shared" si="32"/>
        <v>-5</v>
      </c>
      <c r="K294" s="17">
        <f t="shared" si="29"/>
        <v>-50</v>
      </c>
      <c r="L294" s="17"/>
      <c r="M294" s="19">
        <f t="shared" si="30"/>
        <v>0</v>
      </c>
      <c r="N294" s="19" t="str">
        <f t="shared" si="33"/>
        <v/>
      </c>
    </row>
    <row r="295" spans="1:14" x14ac:dyDescent="0.25">
      <c r="A295" s="43" t="str">
        <f t="shared" si="31"/>
        <v/>
      </c>
      <c r="G295" s="5"/>
      <c r="H295" s="17">
        <v>290</v>
      </c>
      <c r="I295" s="18" t="str">
        <f t="shared" si="28"/>
        <v/>
      </c>
      <c r="J295" s="17">
        <f t="shared" si="32"/>
        <v>-5</v>
      </c>
      <c r="K295" s="17">
        <f t="shared" si="29"/>
        <v>-50</v>
      </c>
      <c r="L295" s="17"/>
      <c r="M295" s="19">
        <f t="shared" si="30"/>
        <v>0</v>
      </c>
      <c r="N295" s="19" t="str">
        <f t="shared" si="33"/>
        <v/>
      </c>
    </row>
    <row r="296" spans="1:14" x14ac:dyDescent="0.25">
      <c r="A296" s="43" t="str">
        <f t="shared" si="31"/>
        <v/>
      </c>
      <c r="G296" s="5"/>
      <c r="H296" s="17">
        <v>291</v>
      </c>
      <c r="I296" s="18" t="str">
        <f t="shared" si="28"/>
        <v/>
      </c>
      <c r="J296" s="17">
        <f t="shared" si="32"/>
        <v>-5</v>
      </c>
      <c r="K296" s="17">
        <f t="shared" si="29"/>
        <v>-50</v>
      </c>
      <c r="L296" s="17"/>
      <c r="M296" s="19">
        <f t="shared" si="30"/>
        <v>0</v>
      </c>
      <c r="N296" s="19" t="str">
        <f t="shared" si="33"/>
        <v/>
      </c>
    </row>
    <row r="297" spans="1:14" x14ac:dyDescent="0.25">
      <c r="A297" s="43" t="str">
        <f t="shared" si="31"/>
        <v/>
      </c>
      <c r="G297" s="5"/>
      <c r="H297" s="17">
        <v>292</v>
      </c>
      <c r="I297" s="18" t="str">
        <f t="shared" si="28"/>
        <v/>
      </c>
      <c r="J297" s="17">
        <f t="shared" si="32"/>
        <v>-5</v>
      </c>
      <c r="K297" s="17">
        <f t="shared" si="29"/>
        <v>-50</v>
      </c>
      <c r="L297" s="17"/>
      <c r="M297" s="19">
        <f t="shared" si="30"/>
        <v>0</v>
      </c>
      <c r="N297" s="19" t="str">
        <f t="shared" si="33"/>
        <v/>
      </c>
    </row>
    <row r="298" spans="1:14" x14ac:dyDescent="0.25">
      <c r="A298" s="43" t="str">
        <f t="shared" si="31"/>
        <v/>
      </c>
      <c r="G298" s="5"/>
      <c r="H298" s="17">
        <v>293</v>
      </c>
      <c r="I298" s="18" t="str">
        <f t="shared" si="28"/>
        <v/>
      </c>
      <c r="J298" s="17">
        <f t="shared" si="32"/>
        <v>-5</v>
      </c>
      <c r="K298" s="17">
        <f t="shared" si="29"/>
        <v>-50</v>
      </c>
      <c r="L298" s="17"/>
      <c r="M298" s="19">
        <f t="shared" si="30"/>
        <v>0</v>
      </c>
      <c r="N298" s="19" t="str">
        <f t="shared" si="33"/>
        <v/>
      </c>
    </row>
    <row r="299" spans="1:14" x14ac:dyDescent="0.25">
      <c r="A299" s="43" t="str">
        <f t="shared" si="31"/>
        <v/>
      </c>
      <c r="G299" s="5"/>
      <c r="H299" s="17">
        <v>294</v>
      </c>
      <c r="I299" s="18" t="str">
        <f t="shared" si="28"/>
        <v/>
      </c>
      <c r="J299" s="17">
        <f t="shared" si="32"/>
        <v>-5</v>
      </c>
      <c r="K299" s="17">
        <f t="shared" si="29"/>
        <v>-50</v>
      </c>
      <c r="L299" s="17"/>
      <c r="M299" s="19">
        <f t="shared" si="30"/>
        <v>0</v>
      </c>
      <c r="N299" s="19" t="str">
        <f t="shared" si="33"/>
        <v/>
      </c>
    </row>
    <row r="300" spans="1:14" x14ac:dyDescent="0.25">
      <c r="A300" s="43" t="str">
        <f t="shared" si="31"/>
        <v/>
      </c>
      <c r="G300" s="5"/>
      <c r="H300" s="17">
        <v>295</v>
      </c>
      <c r="I300" s="18" t="str">
        <f t="shared" si="28"/>
        <v/>
      </c>
      <c r="J300" s="17">
        <f t="shared" si="32"/>
        <v>-5</v>
      </c>
      <c r="K300" s="17">
        <f t="shared" si="29"/>
        <v>-50</v>
      </c>
      <c r="L300" s="17"/>
      <c r="M300" s="19">
        <f t="shared" si="30"/>
        <v>0</v>
      </c>
      <c r="N300" s="19" t="str">
        <f t="shared" si="33"/>
        <v/>
      </c>
    </row>
    <row r="301" spans="1:14" x14ac:dyDescent="0.25">
      <c r="A301" s="43" t="str">
        <f t="shared" si="31"/>
        <v/>
      </c>
      <c r="G301" s="5"/>
      <c r="H301" s="17">
        <v>296</v>
      </c>
      <c r="I301" s="18" t="str">
        <f t="shared" si="28"/>
        <v/>
      </c>
      <c r="J301" s="17">
        <f t="shared" si="32"/>
        <v>-5</v>
      </c>
      <c r="K301" s="17">
        <f t="shared" si="29"/>
        <v>-50</v>
      </c>
      <c r="L301" s="17"/>
      <c r="M301" s="19">
        <f t="shared" si="30"/>
        <v>0</v>
      </c>
      <c r="N301" s="19" t="str">
        <f t="shared" si="33"/>
        <v/>
      </c>
    </row>
    <row r="302" spans="1:14" x14ac:dyDescent="0.25">
      <c r="A302" s="43" t="str">
        <f t="shared" si="31"/>
        <v/>
      </c>
      <c r="G302" s="5"/>
      <c r="H302" s="17">
        <v>297</v>
      </c>
      <c r="I302" s="18" t="str">
        <f t="shared" si="28"/>
        <v/>
      </c>
      <c r="J302" s="17">
        <f t="shared" si="32"/>
        <v>-5</v>
      </c>
      <c r="K302" s="17">
        <f t="shared" si="29"/>
        <v>-50</v>
      </c>
      <c r="L302" s="17"/>
      <c r="M302" s="19">
        <f t="shared" si="30"/>
        <v>0</v>
      </c>
      <c r="N302" s="19" t="str">
        <f t="shared" si="33"/>
        <v/>
      </c>
    </row>
    <row r="303" spans="1:14" x14ac:dyDescent="0.25">
      <c r="A303" s="43" t="str">
        <f t="shared" si="31"/>
        <v/>
      </c>
      <c r="G303" s="5"/>
      <c r="H303" s="17">
        <v>298</v>
      </c>
      <c r="I303" s="18" t="str">
        <f t="shared" si="28"/>
        <v/>
      </c>
      <c r="J303" s="17">
        <f t="shared" si="32"/>
        <v>-5</v>
      </c>
      <c r="K303" s="17">
        <f t="shared" si="29"/>
        <v>-50</v>
      </c>
      <c r="L303" s="17"/>
      <c r="M303" s="19">
        <f t="shared" si="30"/>
        <v>0</v>
      </c>
      <c r="N303" s="19" t="str">
        <f t="shared" si="33"/>
        <v/>
      </c>
    </row>
    <row r="304" spans="1:14" x14ac:dyDescent="0.25">
      <c r="A304" s="43" t="str">
        <f t="shared" si="31"/>
        <v/>
      </c>
      <c r="G304" s="5"/>
      <c r="H304" s="17">
        <v>299</v>
      </c>
      <c r="I304" s="18" t="str">
        <f t="shared" si="28"/>
        <v/>
      </c>
      <c r="J304" s="17">
        <f t="shared" si="32"/>
        <v>-5</v>
      </c>
      <c r="K304" s="17">
        <f t="shared" si="29"/>
        <v>-50</v>
      </c>
      <c r="L304" s="17"/>
      <c r="M304" s="19">
        <f t="shared" si="30"/>
        <v>0</v>
      </c>
      <c r="N304" s="19" t="str">
        <f t="shared" si="33"/>
        <v/>
      </c>
    </row>
    <row r="305" spans="1:17" x14ac:dyDescent="0.25">
      <c r="A305" s="43" t="str">
        <f t="shared" si="31"/>
        <v/>
      </c>
      <c r="G305" s="5"/>
      <c r="H305" s="17">
        <v>300</v>
      </c>
      <c r="I305" s="18" t="str">
        <f t="shared" si="28"/>
        <v/>
      </c>
      <c r="J305" s="17">
        <f t="shared" si="32"/>
        <v>-5</v>
      </c>
      <c r="K305" s="17">
        <f t="shared" si="29"/>
        <v>-50</v>
      </c>
      <c r="L305" s="17"/>
      <c r="M305" s="19">
        <f t="shared" si="30"/>
        <v>0</v>
      </c>
      <c r="N305" s="19" t="str">
        <f t="shared" si="33"/>
        <v/>
      </c>
    </row>
    <row r="306" spans="1:17" x14ac:dyDescent="0.25">
      <c r="A306" s="4"/>
      <c r="J306" s="20" t="e">
        <f t="shared" si="32"/>
        <v>#NUM!</v>
      </c>
    </row>
    <row r="307" spans="1:17" x14ac:dyDescent="0.25">
      <c r="J307" s="20" t="e">
        <f t="shared" si="32"/>
        <v>#NUM!</v>
      </c>
    </row>
    <row r="308" spans="1:17" x14ac:dyDescent="0.25">
      <c r="J308" s="20" t="e">
        <f t="shared" si="32"/>
        <v>#NUM!</v>
      </c>
    </row>
    <row r="309" spans="1:17" x14ac:dyDescent="0.25">
      <c r="J309" s="20" t="e">
        <f t="shared" si="32"/>
        <v>#NUM!</v>
      </c>
    </row>
    <row r="310" spans="1:17" x14ac:dyDescent="0.25">
      <c r="J310" s="20" t="e">
        <f t="shared" si="32"/>
        <v>#NUM!</v>
      </c>
    </row>
    <row r="311" spans="1:17" x14ac:dyDescent="0.25">
      <c r="J311" s="20" t="e">
        <f t="shared" si="32"/>
        <v>#NUM!</v>
      </c>
    </row>
    <row r="312" spans="1:17" x14ac:dyDescent="0.25">
      <c r="J312" s="20" t="e">
        <f t="shared" si="32"/>
        <v>#NUM!</v>
      </c>
    </row>
    <row r="313" spans="1:17" x14ac:dyDescent="0.25">
      <c r="J313" s="20" t="e">
        <f t="shared" si="32"/>
        <v>#NUM!</v>
      </c>
    </row>
    <row r="314" spans="1:17" x14ac:dyDescent="0.25">
      <c r="J314" s="20" t="e">
        <f t="shared" si="32"/>
        <v>#NUM!</v>
      </c>
      <c r="L314" s="21"/>
      <c r="M314" s="21"/>
      <c r="Q314" s="49"/>
    </row>
    <row r="315" spans="1:17" x14ac:dyDescent="0.25">
      <c r="J315" s="20" t="e">
        <f t="shared" si="32"/>
        <v>#NUM!</v>
      </c>
      <c r="L315" s="21"/>
      <c r="M315" s="21"/>
      <c r="Q315" s="49"/>
    </row>
    <row r="316" spans="1:17" x14ac:dyDescent="0.25">
      <c r="J316" s="20" t="e">
        <f t="shared" si="32"/>
        <v>#NUM!</v>
      </c>
      <c r="L316" s="21"/>
      <c r="M316" s="21"/>
      <c r="Q316" s="49"/>
    </row>
    <row r="317" spans="1:17" x14ac:dyDescent="0.25">
      <c r="J317" s="20" t="e">
        <f t="shared" si="32"/>
        <v>#NUM!</v>
      </c>
      <c r="L317" s="21"/>
      <c r="M317" s="21"/>
      <c r="Q317" s="49"/>
    </row>
    <row r="318" spans="1:17" x14ac:dyDescent="0.25">
      <c r="J318" s="20" t="e">
        <f t="shared" si="32"/>
        <v>#NUM!</v>
      </c>
    </row>
    <row r="319" spans="1:17" x14ac:dyDescent="0.25">
      <c r="J319" s="20" t="e">
        <f t="shared" si="32"/>
        <v>#NUM!</v>
      </c>
    </row>
    <row r="320" spans="1:17" x14ac:dyDescent="0.25">
      <c r="J320" s="20" t="e">
        <f t="shared" si="32"/>
        <v>#NUM!</v>
      </c>
    </row>
    <row r="321" spans="10:10" x14ac:dyDescent="0.25">
      <c r="J321" s="20" t="e">
        <f t="shared" si="32"/>
        <v>#NUM!</v>
      </c>
    </row>
    <row r="322" spans="10:10" x14ac:dyDescent="0.25">
      <c r="J322" s="20" t="e">
        <f t="shared" si="32"/>
        <v>#NUM!</v>
      </c>
    </row>
    <row r="323" spans="10:10" x14ac:dyDescent="0.25">
      <c r="J323" s="20" t="e">
        <f t="shared" si="32"/>
        <v>#NUM!</v>
      </c>
    </row>
    <row r="324" spans="10:10" x14ac:dyDescent="0.25">
      <c r="J324" s="20" t="e">
        <f t="shared" si="32"/>
        <v>#NUM!</v>
      </c>
    </row>
    <row r="325" spans="10:10" x14ac:dyDescent="0.25">
      <c r="J325" s="20" t="e">
        <f t="shared" si="32"/>
        <v>#NUM!</v>
      </c>
    </row>
    <row r="326" spans="10:10" x14ac:dyDescent="0.25">
      <c r="J326" s="20" t="e">
        <f t="shared" si="32"/>
        <v>#NUM!</v>
      </c>
    </row>
    <row r="327" spans="10:10" x14ac:dyDescent="0.25">
      <c r="J327" s="20" t="e">
        <f t="shared" ref="J327:J373" si="34">INT(LOG($H$2,2))-ROUNDUP(LOG(H327,2),0)+IF(OR($H$2=1,$H$2=2,$H$2=4,$H$2=8,$H$2=16,$H$2=32,$H$2=64,$H$2=128,$H$2=256),0,1)</f>
        <v>#NUM!</v>
      </c>
    </row>
    <row r="328" spans="10:10" x14ac:dyDescent="0.25">
      <c r="J328" s="20" t="e">
        <f t="shared" si="34"/>
        <v>#NUM!</v>
      </c>
    </row>
    <row r="329" spans="10:10" x14ac:dyDescent="0.25">
      <c r="J329" s="20" t="e">
        <f t="shared" si="34"/>
        <v>#NUM!</v>
      </c>
    </row>
    <row r="330" spans="10:10" x14ac:dyDescent="0.25">
      <c r="J330" s="20" t="e">
        <f t="shared" si="34"/>
        <v>#NUM!</v>
      </c>
    </row>
    <row r="331" spans="10:10" x14ac:dyDescent="0.25">
      <c r="J331" s="20" t="e">
        <f t="shared" si="34"/>
        <v>#NUM!</v>
      </c>
    </row>
    <row r="332" spans="10:10" x14ac:dyDescent="0.25">
      <c r="J332" s="20" t="e">
        <f t="shared" si="34"/>
        <v>#NUM!</v>
      </c>
    </row>
    <row r="333" spans="10:10" x14ac:dyDescent="0.25">
      <c r="J333" s="20" t="e">
        <f t="shared" si="34"/>
        <v>#NUM!</v>
      </c>
    </row>
    <row r="334" spans="10:10" x14ac:dyDescent="0.25">
      <c r="J334" s="20" t="e">
        <f t="shared" si="34"/>
        <v>#NUM!</v>
      </c>
    </row>
    <row r="335" spans="10:10" x14ac:dyDescent="0.25">
      <c r="J335" s="20" t="e">
        <f t="shared" si="34"/>
        <v>#NUM!</v>
      </c>
    </row>
    <row r="336" spans="10:10" x14ac:dyDescent="0.25">
      <c r="J336" s="20" t="e">
        <f t="shared" si="34"/>
        <v>#NUM!</v>
      </c>
    </row>
    <row r="337" spans="10:10" x14ac:dyDescent="0.25">
      <c r="J337" s="20" t="e">
        <f t="shared" si="34"/>
        <v>#NUM!</v>
      </c>
    </row>
    <row r="338" spans="10:10" x14ac:dyDescent="0.25">
      <c r="J338" s="20" t="e">
        <f t="shared" si="34"/>
        <v>#NUM!</v>
      </c>
    </row>
    <row r="339" spans="10:10" x14ac:dyDescent="0.25">
      <c r="J339" s="20" t="e">
        <f t="shared" si="34"/>
        <v>#NUM!</v>
      </c>
    </row>
    <row r="340" spans="10:10" x14ac:dyDescent="0.25">
      <c r="J340" s="20" t="e">
        <f t="shared" si="34"/>
        <v>#NUM!</v>
      </c>
    </row>
    <row r="341" spans="10:10" x14ac:dyDescent="0.25">
      <c r="J341" s="20" t="e">
        <f t="shared" si="34"/>
        <v>#NUM!</v>
      </c>
    </row>
    <row r="342" spans="10:10" x14ac:dyDescent="0.25">
      <c r="J342" s="20" t="e">
        <f t="shared" si="34"/>
        <v>#NUM!</v>
      </c>
    </row>
    <row r="343" spans="10:10" x14ac:dyDescent="0.25">
      <c r="J343" s="20" t="e">
        <f t="shared" si="34"/>
        <v>#NUM!</v>
      </c>
    </row>
    <row r="344" spans="10:10" x14ac:dyDescent="0.25">
      <c r="J344" s="20" t="e">
        <f t="shared" si="34"/>
        <v>#NUM!</v>
      </c>
    </row>
    <row r="345" spans="10:10" x14ac:dyDescent="0.25">
      <c r="J345" s="20" t="e">
        <f t="shared" si="34"/>
        <v>#NUM!</v>
      </c>
    </row>
    <row r="346" spans="10:10" x14ac:dyDescent="0.25">
      <c r="J346" s="20" t="e">
        <f t="shared" si="34"/>
        <v>#NUM!</v>
      </c>
    </row>
    <row r="347" spans="10:10" x14ac:dyDescent="0.25">
      <c r="J347" s="20" t="e">
        <f t="shared" si="34"/>
        <v>#NUM!</v>
      </c>
    </row>
    <row r="348" spans="10:10" x14ac:dyDescent="0.25">
      <c r="J348" s="20" t="e">
        <f t="shared" si="34"/>
        <v>#NUM!</v>
      </c>
    </row>
    <row r="349" spans="10:10" x14ac:dyDescent="0.25">
      <c r="J349" s="20" t="e">
        <f t="shared" si="34"/>
        <v>#NUM!</v>
      </c>
    </row>
    <row r="350" spans="10:10" x14ac:dyDescent="0.25">
      <c r="J350" s="20" t="e">
        <f t="shared" si="34"/>
        <v>#NUM!</v>
      </c>
    </row>
    <row r="351" spans="10:10" x14ac:dyDescent="0.25">
      <c r="J351" s="20" t="e">
        <f t="shared" si="34"/>
        <v>#NUM!</v>
      </c>
    </row>
    <row r="352" spans="10:10" x14ac:dyDescent="0.25">
      <c r="J352" s="20" t="e">
        <f t="shared" si="34"/>
        <v>#NUM!</v>
      </c>
    </row>
    <row r="353" spans="10:10" x14ac:dyDescent="0.25">
      <c r="J353" s="20" t="e">
        <f t="shared" si="34"/>
        <v>#NUM!</v>
      </c>
    </row>
    <row r="354" spans="10:10" x14ac:dyDescent="0.25">
      <c r="J354" s="20" t="e">
        <f t="shared" si="34"/>
        <v>#NUM!</v>
      </c>
    </row>
    <row r="355" spans="10:10" x14ac:dyDescent="0.25">
      <c r="J355" s="20" t="e">
        <f t="shared" si="34"/>
        <v>#NUM!</v>
      </c>
    </row>
    <row r="356" spans="10:10" x14ac:dyDescent="0.25">
      <c r="J356" s="20" t="e">
        <f t="shared" si="34"/>
        <v>#NUM!</v>
      </c>
    </row>
    <row r="357" spans="10:10" x14ac:dyDescent="0.25">
      <c r="J357" s="20" t="e">
        <f t="shared" si="34"/>
        <v>#NUM!</v>
      </c>
    </row>
    <row r="358" spans="10:10" x14ac:dyDescent="0.25">
      <c r="J358" s="20" t="e">
        <f t="shared" si="34"/>
        <v>#NUM!</v>
      </c>
    </row>
    <row r="359" spans="10:10" x14ac:dyDescent="0.25">
      <c r="J359" s="20" t="e">
        <f t="shared" si="34"/>
        <v>#NUM!</v>
      </c>
    </row>
    <row r="360" spans="10:10" x14ac:dyDescent="0.25">
      <c r="J360" s="20" t="e">
        <f t="shared" si="34"/>
        <v>#NUM!</v>
      </c>
    </row>
    <row r="361" spans="10:10" x14ac:dyDescent="0.25">
      <c r="J361" s="20" t="e">
        <f t="shared" si="34"/>
        <v>#NUM!</v>
      </c>
    </row>
    <row r="362" spans="10:10" x14ac:dyDescent="0.25">
      <c r="J362" s="20" t="e">
        <f t="shared" si="34"/>
        <v>#NUM!</v>
      </c>
    </row>
    <row r="363" spans="10:10" x14ac:dyDescent="0.25">
      <c r="J363" s="20" t="e">
        <f t="shared" si="34"/>
        <v>#NUM!</v>
      </c>
    </row>
    <row r="364" spans="10:10" x14ac:dyDescent="0.25">
      <c r="J364" s="20" t="e">
        <f t="shared" si="34"/>
        <v>#NUM!</v>
      </c>
    </row>
    <row r="365" spans="10:10" x14ac:dyDescent="0.25">
      <c r="J365" s="20" t="e">
        <f t="shared" si="34"/>
        <v>#NUM!</v>
      </c>
    </row>
    <row r="366" spans="10:10" x14ac:dyDescent="0.25">
      <c r="J366" s="20" t="e">
        <f t="shared" si="34"/>
        <v>#NUM!</v>
      </c>
    </row>
    <row r="367" spans="10:10" x14ac:dyDescent="0.25">
      <c r="J367" s="20" t="e">
        <f t="shared" si="34"/>
        <v>#NUM!</v>
      </c>
    </row>
    <row r="368" spans="10:10" x14ac:dyDescent="0.25">
      <c r="J368" s="20" t="e">
        <f t="shared" si="34"/>
        <v>#NUM!</v>
      </c>
    </row>
    <row r="369" spans="10:10" x14ac:dyDescent="0.25">
      <c r="J369" s="20" t="e">
        <f t="shared" si="34"/>
        <v>#NUM!</v>
      </c>
    </row>
    <row r="370" spans="10:10" x14ac:dyDescent="0.25">
      <c r="J370" s="20" t="e">
        <f t="shared" si="34"/>
        <v>#NUM!</v>
      </c>
    </row>
    <row r="371" spans="10:10" x14ac:dyDescent="0.25">
      <c r="J371" s="20" t="e">
        <f t="shared" si="34"/>
        <v>#NUM!</v>
      </c>
    </row>
    <row r="372" spans="10:10" x14ac:dyDescent="0.25">
      <c r="J372" s="20" t="e">
        <f t="shared" si="34"/>
        <v>#NUM!</v>
      </c>
    </row>
    <row r="373" spans="10:10" x14ac:dyDescent="0.25">
      <c r="J373" s="20" t="e">
        <f t="shared" si="34"/>
        <v>#NUM!</v>
      </c>
    </row>
  </sheetData>
  <mergeCells count="2">
    <mergeCell ref="C2:D2"/>
    <mergeCell ref="C3:D3"/>
  </mergeCells>
  <conditionalFormatting sqref="L6:N6 J7:N305">
    <cfRule type="cellIs" dxfId="23" priority="1" operator="lessThanOrEqual">
      <formula>0</formula>
    </cfRule>
  </conditionalFormatting>
  <dataValidations disablePrompts="1" count="1">
    <dataValidation type="list" allowBlank="1" showInputMessage="1" showErrorMessage="1" sqref="C38:C69" xr:uid="{C6C166D9-3A2A-4D04-AC4E-CA8CC3FBB9E7}">
      <formula1>#REF!</formula1>
    </dataValidation>
  </dataValidations>
  <hyperlinks>
    <hyperlink ref="C2:D2" r:id="rId1" display="WARSZAWA" xr:uid="{37459C7B-04B6-461B-B177-3FA7F3E0365A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852B5-D7B1-4259-8584-1B877B9BDBBD}">
  <dimension ref="A1:BG38"/>
  <sheetViews>
    <sheetView workbookViewId="0">
      <selection activeCell="C10" sqref="C10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5" width="5.125" customWidth="1"/>
    <col min="6" max="6" width="6.375" bestFit="1" customWidth="1"/>
    <col min="7" max="7" width="5.125" customWidth="1"/>
    <col min="8" max="8" width="6.375" bestFit="1" customWidth="1"/>
    <col min="9" max="9" width="5.125" customWidth="1"/>
    <col min="10" max="10" width="6.375" bestFit="1" customWidth="1"/>
    <col min="11" max="11" width="5.125" customWidth="1"/>
    <col min="12" max="12" width="6.375" bestFit="1" customWidth="1"/>
    <col min="13" max="13" width="5.125" customWidth="1"/>
    <col min="14" max="14" width="6.375" bestFit="1" customWidth="1"/>
    <col min="15" max="15" width="5.125" customWidth="1"/>
    <col min="16" max="16" width="6.375" bestFit="1" customWidth="1"/>
    <col min="17" max="17" width="5.125" customWidth="1"/>
    <col min="18" max="18" width="6.5" bestFit="1" customWidth="1"/>
    <col min="19" max="19" width="5.125" customWidth="1"/>
    <col min="20" max="20" width="6.5" bestFit="1" customWidth="1"/>
    <col min="21" max="21" width="5.125" customWidth="1"/>
    <col min="22" max="22" width="6.375" bestFit="1" customWidth="1"/>
    <col min="23" max="23" width="2" customWidth="1"/>
    <col min="24" max="28" width="5.125" customWidth="1"/>
    <col min="29" max="29" width="6.375" bestFit="1" customWidth="1"/>
    <col min="30" max="30" width="5.125" customWidth="1"/>
    <col min="31" max="31" width="6.375" bestFit="1" customWidth="1"/>
    <col min="32" max="34" width="5.125" customWidth="1"/>
    <col min="35" max="35" width="6.375" bestFit="1" customWidth="1"/>
    <col min="36" max="36" width="5.125" customWidth="1"/>
    <col min="37" max="37" width="6.375" bestFit="1" customWidth="1"/>
    <col min="38" max="38" width="5.125" customWidth="1"/>
    <col min="39" max="39" width="6.375" bestFit="1" customWidth="1"/>
    <col min="40" max="49" width="6.375" customWidth="1"/>
    <col min="50" max="50" width="5.125" customWidth="1"/>
    <col min="51" max="51" width="6.375" bestFit="1" customWidth="1"/>
    <col min="53" max="59" width="3.125" customWidth="1"/>
  </cols>
  <sheetData>
    <row r="1" spans="1:59" ht="13.75" customHeight="1" thickTop="1" x14ac:dyDescent="0.2">
      <c r="A1" s="58"/>
      <c r="B1" s="58"/>
      <c r="C1" s="58"/>
      <c r="D1" s="273" t="s">
        <v>110</v>
      </c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X1" s="278" t="s">
        <v>111</v>
      </c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  <c r="AR1" s="279"/>
      <c r="AS1" s="279"/>
      <c r="AT1" s="279"/>
      <c r="AU1" s="279"/>
      <c r="AV1" s="279"/>
      <c r="AW1" s="279"/>
      <c r="AX1" s="279"/>
      <c r="AY1" s="280"/>
    </row>
    <row r="2" spans="1:59" ht="13.75" customHeight="1" x14ac:dyDescent="0.2">
      <c r="A2" s="58"/>
      <c r="B2" s="2" t="s">
        <v>0</v>
      </c>
      <c r="C2" s="58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X2" s="281"/>
      <c r="Y2" s="282"/>
      <c r="Z2" s="282"/>
      <c r="AA2" s="282"/>
      <c r="AB2" s="282"/>
      <c r="AC2" s="282"/>
      <c r="AD2" s="282"/>
      <c r="AE2" s="282"/>
      <c r="AF2" s="282"/>
      <c r="AG2" s="282"/>
      <c r="AH2" s="282"/>
      <c r="AI2" s="282"/>
      <c r="AJ2" s="282"/>
      <c r="AK2" s="282"/>
      <c r="AL2" s="282"/>
      <c r="AM2" s="282"/>
      <c r="AN2" s="282"/>
      <c r="AO2" s="282"/>
      <c r="AP2" s="282"/>
      <c r="AQ2" s="282"/>
      <c r="AR2" s="282"/>
      <c r="AS2" s="282"/>
      <c r="AT2" s="282"/>
      <c r="AU2" s="282"/>
      <c r="AV2" s="282"/>
      <c r="AW2" s="282"/>
      <c r="AX2" s="282"/>
      <c r="AY2" s="283"/>
    </row>
    <row r="3" spans="1:59" ht="13.75" customHeight="1" thickBot="1" x14ac:dyDescent="0.3">
      <c r="A3" s="58"/>
      <c r="B3" s="58"/>
      <c r="C3" s="58"/>
      <c r="D3" s="70" t="s">
        <v>112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X3" s="284"/>
      <c r="Y3" s="285"/>
      <c r="Z3" s="285"/>
      <c r="AA3" s="285"/>
      <c r="AB3" s="285"/>
      <c r="AC3" s="285"/>
      <c r="AD3" s="285"/>
      <c r="AE3" s="285"/>
      <c r="AF3" s="285"/>
      <c r="AG3" s="285"/>
      <c r="AH3" s="285"/>
      <c r="AI3" s="285"/>
      <c r="AJ3" s="285"/>
      <c r="AK3" s="285"/>
      <c r="AL3" s="285"/>
      <c r="AM3" s="285"/>
      <c r="AN3" s="285"/>
      <c r="AO3" s="285"/>
      <c r="AP3" s="285"/>
      <c r="AQ3" s="285"/>
      <c r="AR3" s="285"/>
      <c r="AS3" s="285"/>
      <c r="AT3" s="285"/>
      <c r="AU3" s="285"/>
      <c r="AV3" s="285"/>
      <c r="AW3" s="285"/>
      <c r="AX3" s="285"/>
      <c r="AY3" s="286"/>
    </row>
    <row r="4" spans="1:59" ht="24.8" customHeight="1" thickTop="1" x14ac:dyDescent="0.2">
      <c r="A4" s="287" t="s">
        <v>4</v>
      </c>
      <c r="B4" s="289" t="s">
        <v>5</v>
      </c>
      <c r="C4" s="289" t="s">
        <v>6</v>
      </c>
      <c r="D4" s="289" t="s">
        <v>7</v>
      </c>
      <c r="E4" s="274" t="s">
        <v>8</v>
      </c>
      <c r="F4" s="275"/>
      <c r="G4" s="274" t="s">
        <v>9</v>
      </c>
      <c r="H4" s="275"/>
      <c r="I4" s="274" t="s">
        <v>10</v>
      </c>
      <c r="J4" s="275"/>
      <c r="K4" s="274" t="s">
        <v>11</v>
      </c>
      <c r="L4" s="275"/>
      <c r="M4" s="274" t="s">
        <v>12</v>
      </c>
      <c r="N4" s="275"/>
      <c r="O4" s="264" t="s">
        <v>13</v>
      </c>
      <c r="P4" s="265"/>
      <c r="Q4" s="264" t="s">
        <v>14</v>
      </c>
      <c r="R4" s="265"/>
      <c r="S4" s="264" t="s">
        <v>15</v>
      </c>
      <c r="T4" s="265"/>
      <c r="U4" s="274" t="s">
        <v>16</v>
      </c>
      <c r="V4" s="275"/>
      <c r="X4" s="276" t="s">
        <v>113</v>
      </c>
      <c r="Y4" s="277"/>
      <c r="Z4" s="276" t="s">
        <v>114</v>
      </c>
      <c r="AA4" s="277"/>
      <c r="AB4" s="276" t="s">
        <v>115</v>
      </c>
      <c r="AC4" s="277"/>
      <c r="AD4" s="276" t="s">
        <v>116</v>
      </c>
      <c r="AE4" s="277"/>
      <c r="AF4" s="276" t="s">
        <v>117</v>
      </c>
      <c r="AG4" s="277"/>
      <c r="AH4" s="276" t="s">
        <v>118</v>
      </c>
      <c r="AI4" s="277"/>
      <c r="AJ4" s="276" t="s">
        <v>119</v>
      </c>
      <c r="AK4" s="277"/>
      <c r="AL4" s="276" t="s">
        <v>120</v>
      </c>
      <c r="AM4" s="277"/>
      <c r="AN4" s="276" t="s">
        <v>121</v>
      </c>
      <c r="AO4" s="277"/>
      <c r="AP4" s="276" t="s">
        <v>122</v>
      </c>
      <c r="AQ4" s="277"/>
      <c r="AR4" s="276" t="s">
        <v>123</v>
      </c>
      <c r="AS4" s="277"/>
      <c r="AT4" s="276" t="s">
        <v>124</v>
      </c>
      <c r="AU4" s="277"/>
      <c r="AV4" s="276" t="s">
        <v>125</v>
      </c>
      <c r="AW4" s="277"/>
      <c r="AX4" s="276" t="s">
        <v>126</v>
      </c>
      <c r="AY4" s="277"/>
    </row>
    <row r="5" spans="1:59" ht="18" customHeight="1" x14ac:dyDescent="0.2">
      <c r="A5" s="288"/>
      <c r="B5" s="290"/>
      <c r="C5" s="290"/>
      <c r="D5" s="291"/>
      <c r="E5" s="71" t="s">
        <v>17</v>
      </c>
      <c r="F5" s="71" t="s">
        <v>18</v>
      </c>
      <c r="G5" s="71" t="s">
        <v>17</v>
      </c>
      <c r="H5" s="71" t="s">
        <v>18</v>
      </c>
      <c r="I5" s="71" t="s">
        <v>17</v>
      </c>
      <c r="J5" s="71" t="s">
        <v>18</v>
      </c>
      <c r="K5" s="71" t="s">
        <v>17</v>
      </c>
      <c r="L5" s="71" t="s">
        <v>18</v>
      </c>
      <c r="M5" s="71" t="s">
        <v>17</v>
      </c>
      <c r="N5" s="72" t="s">
        <v>18</v>
      </c>
      <c r="O5" s="38" t="s">
        <v>17</v>
      </c>
      <c r="P5" s="55" t="s">
        <v>18</v>
      </c>
      <c r="Q5" s="38" t="s">
        <v>17</v>
      </c>
      <c r="R5" s="55" t="s">
        <v>18</v>
      </c>
      <c r="S5" s="38" t="s">
        <v>17</v>
      </c>
      <c r="T5" s="55" t="s">
        <v>18</v>
      </c>
      <c r="U5" s="71" t="s">
        <v>17</v>
      </c>
      <c r="V5" s="72" t="s">
        <v>18</v>
      </c>
      <c r="X5" s="73" t="s">
        <v>17</v>
      </c>
      <c r="Y5" s="73" t="s">
        <v>18</v>
      </c>
      <c r="Z5" s="73" t="s">
        <v>17</v>
      </c>
      <c r="AA5" s="73" t="s">
        <v>18</v>
      </c>
      <c r="AB5" s="73" t="s">
        <v>17</v>
      </c>
      <c r="AC5" s="73" t="s">
        <v>18</v>
      </c>
      <c r="AD5" s="73" t="s">
        <v>17</v>
      </c>
      <c r="AE5" s="73" t="s">
        <v>18</v>
      </c>
      <c r="AF5" s="73" t="s">
        <v>17</v>
      </c>
      <c r="AG5" s="73" t="s">
        <v>18</v>
      </c>
      <c r="AH5" s="73" t="s">
        <v>17</v>
      </c>
      <c r="AI5" s="74" t="s">
        <v>18</v>
      </c>
      <c r="AJ5" s="73" t="s">
        <v>17</v>
      </c>
      <c r="AK5" s="74" t="s">
        <v>18</v>
      </c>
      <c r="AL5" s="73" t="s">
        <v>17</v>
      </c>
      <c r="AM5" s="74" t="s">
        <v>18</v>
      </c>
      <c r="AN5" s="73" t="s">
        <v>17</v>
      </c>
      <c r="AO5" s="74" t="s">
        <v>18</v>
      </c>
      <c r="AP5" s="73" t="s">
        <v>17</v>
      </c>
      <c r="AQ5" s="74" t="s">
        <v>18</v>
      </c>
      <c r="AR5" s="73" t="s">
        <v>17</v>
      </c>
      <c r="AS5" s="74" t="s">
        <v>18</v>
      </c>
      <c r="AT5" s="73" t="s">
        <v>17</v>
      </c>
      <c r="AU5" s="74" t="s">
        <v>18</v>
      </c>
      <c r="AV5" s="73" t="s">
        <v>17</v>
      </c>
      <c r="AW5" s="74" t="s">
        <v>18</v>
      </c>
      <c r="AX5" s="73" t="s">
        <v>17</v>
      </c>
      <c r="AY5" s="74" t="s">
        <v>18</v>
      </c>
    </row>
    <row r="6" spans="1:59" ht="14.8" customHeight="1" x14ac:dyDescent="0.25">
      <c r="A6" s="56">
        <f>ROW()-5</f>
        <v>1</v>
      </c>
      <c r="B6" s="51" t="s">
        <v>19</v>
      </c>
      <c r="C6" s="129"/>
      <c r="D6" s="75">
        <f>SUM(F6,H6,J6,L6,N6,P6,R6,T6,V6)-SUM(SMALL((F6,H6,J6,L6,N6,P6,R6,T6),1),SMALL((F6,H6,J6,L6,N6,P6,R6,T6),2))+SUM(LARGE((Y6,AA6,AC6,AE6,AG6,AI6,AK6,AM6,AO6,AQ6,AS6,AU6,AW6),1),LARGE((Y6,AA6,AC6,AE6,AG6,AI6,AK6,AM6,AO6,AQ6,AS6,AU6,AW6),2),LARGE((Y6,AA6,AC6,AE6,AG6,AI6,AK6,AM6,AO6,AQ6,AS6,AU6,AW6),3),AY6)</f>
        <v>1133.5548037433755</v>
      </c>
      <c r="E6" s="65">
        <f>_xlfn.XLOOKUP($B6,'GP1'!$C$6:$C$101,'GP1'!$B$6:$B$101,"")</f>
        <v>1</v>
      </c>
      <c r="F6" s="133">
        <f>_xlfn.XLOOKUP(E6,'GP1'!$B$6:$B$75,'GP1'!$A$6:$A$75,0)</f>
        <v>110.01582081512385</v>
      </c>
      <c r="G6" s="65">
        <f>_xlfn.XLOOKUP($B6,'GP2'!$C$6:$C$101,'GP2'!$B$6:$B$101,"")</f>
        <v>1</v>
      </c>
      <c r="H6" s="133">
        <f>_xlfn.XLOOKUP(G6,'GP2'!$B$6:$B$75,'GP2'!$A$6:$A$75,0)</f>
        <v>110.01582081512385</v>
      </c>
      <c r="I6" s="65">
        <f>_xlfn.XLOOKUP($B6,'GP3'!$C$6:$C$101,'GP3'!$B$6:$B$101,"")</f>
        <v>1</v>
      </c>
      <c r="J6" s="133">
        <f>_xlfn.XLOOKUP(I6,'GP3'!$B$6:$B$75,'GP3'!$A$6:$A$75,0)</f>
        <v>108.72075440746714</v>
      </c>
      <c r="K6" s="65">
        <f>_xlfn.XLOOKUP($B6,'GP4'!$C$6:$C$101,'GP4'!$B$6:$B$101,"")</f>
        <v>1</v>
      </c>
      <c r="L6" s="133">
        <f>_xlfn.XLOOKUP(K6,'GP4'!$B$6:$B$75,'GP4'!$A$6:$A$75,0)</f>
        <v>110.01582081512385</v>
      </c>
      <c r="M6" s="65" t="str">
        <f>_xlfn.XLOOKUP($B6,'GP5'!$C$6:$C$101,'GP5'!$B$6:$B$101,"")</f>
        <v/>
      </c>
      <c r="N6" s="135">
        <f>_xlfn.XLOOKUP(M6,'GP5'!$B$6:$B$75,'GP5'!$A$6:$A$75,0)</f>
        <v>0</v>
      </c>
      <c r="O6" s="126">
        <f>_xlfn.XLOOKUP($B6,'GP6'!$C$6:$C$101,'GP6'!$B$6:$B$101,"")</f>
        <v>2</v>
      </c>
      <c r="P6" s="135">
        <f>_xlfn.XLOOKUP(O6,'GP6'!$B$6:$B$75,'GP6'!$A$6:$A$75,0)</f>
        <v>80.068366573734622</v>
      </c>
      <c r="Q6" s="126">
        <f>_xlfn.XLOOKUP($B6,'GP7'!$C$6:$C$101,'GP7'!$B$6:$B$101,"")</f>
        <v>1</v>
      </c>
      <c r="R6" s="135">
        <f>_xlfn.XLOOKUP(Q6,'GP7'!$B$6:$B$75,'GP7'!$A$6:$A$75,0)</f>
        <v>110.60485636595998</v>
      </c>
      <c r="S6" s="126">
        <f>_xlfn.XLOOKUP($B6,'GP8'!$C$6:$C$101,'GP8'!$B$6:$B$101,"")</f>
        <v>5</v>
      </c>
      <c r="T6" s="135">
        <f>_xlfn.XLOOKUP(S6,'GP8'!$B$6:$B$75,'GP8'!$A$6:$A$75,0)</f>
        <v>24.108148742410783</v>
      </c>
      <c r="U6" s="65">
        <f>_xlfn.XLOOKUP(B6,MPW!C$6:C$101,MPW!B$6:B$101,"")</f>
        <v>1</v>
      </c>
      <c r="V6" s="135">
        <f>_xlfn.XLOOKUP(U6,MPW!B$6:B$75,MPW!A$6:A$75,0)</f>
        <v>133.39441462738418</v>
      </c>
      <c r="X6" s="65" t="str">
        <f>_xlfn.XLOOKUP($B6,'PEW1'!$C$6:$C$101,'PEW1'!$B$6:$B$101,"")</f>
        <v/>
      </c>
      <c r="Y6" s="76">
        <f>_xlfn.XLOOKUP(X6,'PEW1'!$B$6:$B$75,'PEW1'!$A$6:$A$75,0)</f>
        <v>0</v>
      </c>
      <c r="Z6" s="65">
        <f>_xlfn.XLOOKUP($B6,'PEW2'!$C$6:$C$101,'PEW2'!$B$6:$B$101,"")</f>
        <v>5</v>
      </c>
      <c r="AA6" s="76">
        <f>_xlfn.XLOOKUP(Z6,'PEW2'!$B$6:$B$75,'PEW2'!$A$6:$A$75,0)</f>
        <v>45.185298324340607</v>
      </c>
      <c r="AB6" s="65">
        <f>_xlfn.XLOOKUP($B6,'PEW3'!$C$6:$C$101,'PEW3'!$B$6:$B$101,"")</f>
        <v>9</v>
      </c>
      <c r="AC6" s="76">
        <f>_xlfn.XLOOKUP(AB6,'PEW3'!$B$6:$B$75,'PEW3'!$A$6:$A$75,0)</f>
        <v>24.636816941976043</v>
      </c>
      <c r="AD6" s="65" t="str">
        <f>_xlfn.XLOOKUP($B6,VFC!$C$6:$C$101,VFC!$B$6:$B$101,"")</f>
        <v/>
      </c>
      <c r="AE6" s="76">
        <f>_xlfn.XLOOKUP(AD6,VFC!$B$6:$B$75,VFC!$A$6:$A$75,0)</f>
        <v>0</v>
      </c>
      <c r="AF6" s="65">
        <f>_xlfn.XLOOKUP($B6,'PEW4'!$C$6:$C$101,'PEW4'!$B$6:$B$101,"")</f>
        <v>3</v>
      </c>
      <c r="AG6" s="76">
        <f>_xlfn.XLOOKUP(AF6,'PEW4'!$B$6:$B$75,'PEW4'!$A$6:$A$75,0)</f>
        <v>85.287100905758422</v>
      </c>
      <c r="AH6" s="65" t="str">
        <f>_xlfn.XLOOKUP($B6,'PEW5'!$C$6:$C$101,'PEW5'!$B$6:$B$101,"")</f>
        <v/>
      </c>
      <c r="AI6" s="76">
        <f>_xlfn.XLOOKUP(AH6,'PEW5'!$B$6:$B$75,'PEW5'!$A$6:$A$75,0)</f>
        <v>0</v>
      </c>
      <c r="AJ6" s="65">
        <f>_xlfn.XLOOKUP($B6,'PEW6'!$C$6:$C$101,'PEW6'!$B$6:$B$101,"")</f>
        <v>3</v>
      </c>
      <c r="AK6" s="76">
        <f>_xlfn.XLOOKUP(AJ6,'PEW6'!$B$6:$B$75,'PEW6'!$A$6:$A$75,0)</f>
        <v>86.197740578884677</v>
      </c>
      <c r="AL6" s="65" t="str">
        <f>_xlfn.XLOOKUP($B6,'PEW7'!$C$6:$C$101,'PEW7'!$B$6:$B$101,"")</f>
        <v/>
      </c>
      <c r="AM6" s="76">
        <f>_xlfn.XLOOKUP(AL6,'PEW7'!$B$6:$B$75,'PEW7'!$A$6:$A$75,0)</f>
        <v>0</v>
      </c>
      <c r="AN6" s="65">
        <f>_xlfn.XLOOKUP($B6,'PEW8'!$C$6:$C$101,'PEW8'!$B$6:$B$101,"")</f>
        <v>3</v>
      </c>
      <c r="AO6" s="76">
        <f>_xlfn.XLOOKUP(AN6,'PEW8'!$B$6:$B$75,'PEW8'!$A$6:$A$75,0)</f>
        <v>86.996960980196945</v>
      </c>
      <c r="AP6" s="65" t="str">
        <f>_xlfn.XLOOKUP($B6,'PEW9'!$C$6:$C$101,'PEW9'!$B$6:$B$101,"")</f>
        <v/>
      </c>
      <c r="AQ6" s="76">
        <f>_xlfn.XLOOKUP(AP6,'PEW9'!$B$6:$B$75,'PEW9'!$A$6:$A$75,0)</f>
        <v>0</v>
      </c>
      <c r="AR6" s="65" t="str">
        <f>_xlfn.XLOOKUP($B6,'PEW10'!$C$6:$C$101,'PEW10'!$B$6:$B$101,"")</f>
        <v/>
      </c>
      <c r="AS6" s="76">
        <f>_xlfn.XLOOKUP(AR6,'PEW10'!$B$6:$B$75,'PEW10'!$A$6:$A$75,0)</f>
        <v>0</v>
      </c>
      <c r="AT6" s="65">
        <f>_xlfn.XLOOKUP($B6,'PEW11'!$C$6:$C$101,'PEW11'!$B$6:$B$101,"")</f>
        <v>2</v>
      </c>
      <c r="AU6" s="76">
        <f>_xlfn.XLOOKUP(AT6,'PEW11'!$B$6:$B$75,'PEW11'!$A$6:$A$75,0)</f>
        <v>96.99253075647907</v>
      </c>
      <c r="AV6" s="65" t="str">
        <f>_xlfn.XLOOKUP($B6,'PEW12'!$C$6:$C$101,'PEW12'!$B$6:$B$101,"")</f>
        <v/>
      </c>
      <c r="AW6" s="76">
        <f>_xlfn.XLOOKUP(AV6,'PEW12'!$B$6:$B$75,'PEW12'!$A$6:$A$75,0)</f>
        <v>0</v>
      </c>
      <c r="AX6" s="65" cm="1">
        <f t="array" ref="AX6">_xlfn.XLOOKUP($B6,IMEW!C$6:C$201,IMEW!$B$6:B$201,"")</f>
        <v>6</v>
      </c>
      <c r="AY6" s="77">
        <f>_xlfn.XLOOKUP(AX6,IMEW!$B$6:$B$201,IMEW!$A$6:$A$201,0)</f>
        <v>100.53171700789723</v>
      </c>
      <c r="BA6" s="78">
        <f>Y6</f>
        <v>0</v>
      </c>
      <c r="BB6" s="78">
        <f>AA6</f>
        <v>45.185298324340607</v>
      </c>
      <c r="BC6" s="78">
        <f>AC6</f>
        <v>24.636816941976043</v>
      </c>
      <c r="BD6" s="78">
        <f>AG6</f>
        <v>85.287100905758422</v>
      </c>
      <c r="BE6" s="78">
        <f>AI6</f>
        <v>0</v>
      </c>
      <c r="BF6" s="78">
        <f>AK6</f>
        <v>86.197740578884677</v>
      </c>
      <c r="BG6" s="78">
        <f>AM6</f>
        <v>0</v>
      </c>
    </row>
    <row r="7" spans="1:59" ht="14.8" customHeight="1" x14ac:dyDescent="0.25">
      <c r="A7" s="56">
        <f>ROW()-5</f>
        <v>2</v>
      </c>
      <c r="B7" s="53" t="s">
        <v>20</v>
      </c>
      <c r="C7" s="130"/>
      <c r="D7" s="75">
        <f>SUM(F7,H7,J7,L7,N7,P7,R7,T7,V7)-SUM(SMALL((F7,H7,J7,L7,N7,P7,R7,T7),1),SMALL((F7,H7,J7,L7,N7,P7,R7,T7),2))+SUM(LARGE((Y7,AA7,AC7,AE7,AG7,AI7,AK7,AM7,AO7,AQ7,AS7,AU7,AW7),1),LARGE((Y7,AA7,AC7,AE7,AG7,AI7,AK7,AM7,AO7,AQ7,AS7,AU7,AW7),2),LARGE((Y7,AA7,AC7,AE7,AG7,AI7,AK7,AM7,AO7,AQ7,AS7,AU7,AW7),3),AY7)</f>
        <v>852.58671102841572</v>
      </c>
      <c r="E7" s="65">
        <f>_xlfn.XLOOKUP($B7,'GP1'!$C$6:$C$101,'GP1'!$B$6:$B$101,"")</f>
        <v>2</v>
      </c>
      <c r="F7" s="133">
        <f>_xlfn.XLOOKUP(E7,'GP1'!$B$6:$B$75,'GP1'!$A$6:$A$75,0)</f>
        <v>79.179704053839387</v>
      </c>
      <c r="G7" s="65">
        <f>_xlfn.XLOOKUP($B7,'GP2'!$C$6:$C$101,'GP2'!$B$6:$B$101,"")</f>
        <v>2</v>
      </c>
      <c r="H7" s="133">
        <f>_xlfn.XLOOKUP(G7,'GP2'!$B$6:$B$75,'GP2'!$A$6:$A$75,0)</f>
        <v>79.179704053839387</v>
      </c>
      <c r="I7" s="66">
        <f>_xlfn.XLOOKUP($B7,'GP3'!$C$6:$C$101,'GP3'!$B$6:$B$101,"")</f>
        <v>3</v>
      </c>
      <c r="J7" s="134">
        <f>_xlfn.XLOOKUP(I7,'GP3'!$B$6:$B$75,'GP3'!$A$6:$A$75,0)</f>
        <v>51.740251469155709</v>
      </c>
      <c r="K7" s="66">
        <f>_xlfn.XLOOKUP($B7,'GP4'!$C$6:$C$101,'GP4'!$B$6:$B$101,"")</f>
        <v>4</v>
      </c>
      <c r="L7" s="134">
        <f>_xlfn.XLOOKUP(K7,'GP4'!$B$6:$B$75,'GP4'!$A$6:$A$75,0)</f>
        <v>41.67164702084699</v>
      </c>
      <c r="M7" s="66" t="str">
        <f>_xlfn.XLOOKUP($B7,'GP5'!$C$6:$C$101,'GP5'!$B$6:$B$101,"")</f>
        <v/>
      </c>
      <c r="N7" s="136">
        <f>_xlfn.XLOOKUP(M7,'GP5'!$B$6:$B$75,'GP5'!$A$6:$A$75,0)</f>
        <v>0</v>
      </c>
      <c r="O7" s="127">
        <f>_xlfn.XLOOKUP($B7,'GP6'!$C$6:$C$101,'GP6'!$B$6:$B$101,"")</f>
        <v>1</v>
      </c>
      <c r="P7" s="136">
        <f>_xlfn.XLOOKUP(O7,'GP6'!$B$6:$B$75,'GP6'!$A$6:$A$75,0)</f>
        <v>110.60485636595998</v>
      </c>
      <c r="Q7" s="127">
        <f>_xlfn.XLOOKUP($B7,'GP7'!$C$6:$C$101,'GP7'!$B$6:$B$101,"")</f>
        <v>3</v>
      </c>
      <c r="R7" s="136">
        <f>_xlfn.XLOOKUP(Q7,'GP7'!$B$6:$B$75,'GP7'!$A$6:$A$75,0)</f>
        <v>55.204694129130715</v>
      </c>
      <c r="S7" s="127">
        <f>_xlfn.XLOOKUP($B7,'GP8'!$C$6:$C$101,'GP8'!$B$6:$B$101,"")</f>
        <v>2</v>
      </c>
      <c r="T7" s="136">
        <f>_xlfn.XLOOKUP(S7,'GP8'!$B$6:$B$75,'GP8'!$A$6:$A$75,0)</f>
        <v>77.02272397581072</v>
      </c>
      <c r="U7" s="66">
        <f>_xlfn.XLOOKUP(B7,MPW!C$6:C$101,MPW!B$6:B$101,"")</f>
        <v>3</v>
      </c>
      <c r="V7" s="136">
        <f>_xlfn.XLOOKUP(U7,MPW!B$6:B$75,MPW!A$6:A$75,0)</f>
        <v>67.279745223148723</v>
      </c>
      <c r="X7" s="66" t="str">
        <f>_xlfn.XLOOKUP($B7,'PEW1'!$C$6:$C$101,'PEW1'!$B$6:$B$101,"")</f>
        <v/>
      </c>
      <c r="Y7" s="79">
        <f>_xlfn.XLOOKUP(X7,'PEW1'!$B$6:$B$75,'PEW1'!$A$6:$A$75,0)</f>
        <v>0</v>
      </c>
      <c r="Z7" s="65" t="str">
        <f>_xlfn.XLOOKUP($B7,'PEW2'!$C$6:$C$101,'PEW2'!$B$6:$B$101,"")</f>
        <v/>
      </c>
      <c r="AA7" s="76">
        <f>_xlfn.XLOOKUP(Z7,'PEW2'!$B$6:$B$75,'PEW2'!$A$6:$A$75,0)</f>
        <v>0</v>
      </c>
      <c r="AB7" s="65">
        <f>_xlfn.XLOOKUP($B7,'PEW3'!$C$6:$C$101,'PEW3'!$B$6:$B$101,"")</f>
        <v>1</v>
      </c>
      <c r="AC7" s="76">
        <f>_xlfn.XLOOKUP(AB7,'PEW3'!$B$6:$B$75,'PEW3'!$A$6:$A$75,0)</f>
        <v>114.83031758743009</v>
      </c>
      <c r="AD7" s="65" t="str">
        <f>_xlfn.XLOOKUP($B7,VFC!$C$6:$C$101,VFC!$B$6:$B$101,"")</f>
        <v/>
      </c>
      <c r="AE7" s="76">
        <f>_xlfn.XLOOKUP(AD7,VFC!$B$6:$B$75,VFC!$A$6:$A$75,0)</f>
        <v>0</v>
      </c>
      <c r="AF7" s="65">
        <f>_xlfn.XLOOKUP($B7,'PEW4'!$C$6:$C$101,'PEW4'!$B$6:$B$101,"")</f>
        <v>5</v>
      </c>
      <c r="AG7" s="76">
        <f>_xlfn.XLOOKUP(AF7,'PEW4'!$B$6:$B$75,'PEW4'!$A$6:$A$75,0)</f>
        <v>58.320112776324493</v>
      </c>
      <c r="AH7" s="65" t="str">
        <f>_xlfn.XLOOKUP($B7,'PEW5'!$C$6:$C$101,'PEW5'!$B$6:$B$101,"")</f>
        <v/>
      </c>
      <c r="AI7" s="76">
        <f>_xlfn.XLOOKUP(AH7,'PEW5'!$B$6:$B$75,'PEW5'!$A$6:$A$75,0)</f>
        <v>0</v>
      </c>
      <c r="AJ7" s="65" t="str">
        <f>_xlfn.XLOOKUP($B7,'PEW6'!$C$6:$C$101,'PEW6'!$B$6:$B$101,"")</f>
        <v/>
      </c>
      <c r="AK7" s="76">
        <f>_xlfn.XLOOKUP(AJ7,'PEW6'!$B$6:$B$75,'PEW6'!$A$6:$A$75,0)</f>
        <v>0</v>
      </c>
      <c r="AL7" s="65">
        <f>_xlfn.XLOOKUP($B7,'PEW7'!$C$6:$C$101,'PEW7'!$B$6:$B$101,"")</f>
        <v>7</v>
      </c>
      <c r="AM7" s="76">
        <f>_xlfn.XLOOKUP(AL7,'PEW7'!$B$6:$B$75,'PEW7'!$A$6:$A$75,0)</f>
        <v>56.71187760222071</v>
      </c>
      <c r="AN7" s="65" t="str">
        <f>_xlfn.XLOOKUP($B7,'PEW8'!$C$6:$C$101,'PEW8'!$B$6:$B$101,"")</f>
        <v/>
      </c>
      <c r="AO7" s="76">
        <f>_xlfn.XLOOKUP(AN7,'PEW8'!$B$6:$B$75,'PEW8'!$A$6:$A$75,0)</f>
        <v>0</v>
      </c>
      <c r="AP7" s="65" t="str">
        <f>_xlfn.XLOOKUP($B7,'PEW9'!$C$6:$C$101,'PEW9'!$B$6:$B$101,"")</f>
        <v/>
      </c>
      <c r="AQ7" s="76">
        <f>_xlfn.XLOOKUP(AP7,'PEW9'!$B$6:$B$75,'PEW9'!$A$6:$A$75,0)</f>
        <v>0</v>
      </c>
      <c r="AR7" s="65" t="str">
        <f>_xlfn.XLOOKUP($B7,'PEW10'!$C$6:$C$101,'PEW10'!$B$6:$B$101,"")</f>
        <v/>
      </c>
      <c r="AS7" s="76">
        <f>_xlfn.XLOOKUP(AR7,'PEW10'!$B$6:$B$75,'PEW10'!$A$6:$A$75,0)</f>
        <v>0</v>
      </c>
      <c r="AT7" s="65">
        <f>_xlfn.XLOOKUP($B7,'PEW11'!$C$6:$C$101,'PEW11'!$B$6:$B$101,"")</f>
        <v>5</v>
      </c>
      <c r="AU7" s="76">
        <f>_xlfn.XLOOKUP(AT7,'PEW11'!$B$6:$B$75,'PEW11'!$A$6:$A$75,0)</f>
        <v>45.5</v>
      </c>
      <c r="AV7" s="65" t="str">
        <f>_xlfn.XLOOKUP($B7,'PEW12'!$C$6:$C$101,'PEW12'!$B$6:$B$101,"")</f>
        <v/>
      </c>
      <c r="AW7" s="76">
        <f>_xlfn.XLOOKUP(AV7,'PEW12'!$B$6:$B$75,'PEW12'!$A$6:$A$75,0)</f>
        <v>0</v>
      </c>
      <c r="AX7" s="65" cm="1">
        <f t="array" ref="AX7">_xlfn.XLOOKUP($B7,IMEW!C$6:C$201,IMEW!$B$6:B$201,"")</f>
        <v>5</v>
      </c>
      <c r="AY7" s="77">
        <f>_xlfn.XLOOKUP(AX7,IMEW!$B$6:$B$201,IMEW!$A$6:$A$201,0)</f>
        <v>102.5127237915559</v>
      </c>
      <c r="BA7" s="78">
        <f t="shared" ref="BA7:BA23" si="0">Y7</f>
        <v>0</v>
      </c>
      <c r="BB7" s="78">
        <f t="shared" ref="BB7:BB23" si="1">AA7</f>
        <v>0</v>
      </c>
      <c r="BC7" s="78">
        <f t="shared" ref="BC7:BC23" si="2">AC7</f>
        <v>114.83031758743009</v>
      </c>
      <c r="BD7" s="78">
        <f t="shared" ref="BD7:BD23" si="3">AG7</f>
        <v>58.320112776324493</v>
      </c>
      <c r="BE7" s="78">
        <f t="shared" ref="BE7:BE23" si="4">AI7</f>
        <v>0</v>
      </c>
      <c r="BF7" s="78">
        <f t="shared" ref="BF7:BF23" si="5">AK7</f>
        <v>0</v>
      </c>
      <c r="BG7" s="78">
        <f t="shared" ref="BG7:BG23" si="6">AM7</f>
        <v>56.71187760222071</v>
      </c>
    </row>
    <row r="8" spans="1:59" ht="15.8" customHeight="1" x14ac:dyDescent="0.25">
      <c r="A8" s="56">
        <f>ROW()-5</f>
        <v>3</v>
      </c>
      <c r="B8" s="53" t="s">
        <v>21</v>
      </c>
      <c r="C8" s="54"/>
      <c r="D8" s="75">
        <f>SUM(F8,H8,J8,L8,N8,P8,R8,T8,V8)-SUM(SMALL((F8,H8,J8,L8,N8,P8,R8,T8),1),SMALL((F8,H8,J8,L8,N8,P8,R8,T8),2))+SUM(LARGE((Y8,AA8,AC8,AE8,AG8,AI8,AK8,AM8,AO8,AQ8,AS8,AU8,AW8),1),LARGE((Y8,AA8,AC8,AE8,AG8,AI8,AK8,AM8,AO8,AQ8,AS8,AU8,AW8),2),LARGE((Y8,AA8,AC8,AE8,AG8,AI8,AK8,AM8,AO8,AQ8,AS8,AU8,AW8),3),AY8)</f>
        <v>788.18738258621102</v>
      </c>
      <c r="E8" s="65">
        <f>_xlfn.XLOOKUP($B8,'GP1'!$C$6:$C$101,'GP1'!$B$6:$B$101,"")</f>
        <v>3</v>
      </c>
      <c r="F8" s="133">
        <f>_xlfn.XLOOKUP(E8,'GP1'!$B$6:$B$75,'GP1'!$A$6:$A$75,0)</f>
        <v>54.222251682132963</v>
      </c>
      <c r="G8" s="65">
        <f>_xlfn.XLOOKUP($B8,'GP2'!$C$6:$C$101,'GP2'!$B$6:$B$101,"")</f>
        <v>3</v>
      </c>
      <c r="H8" s="133">
        <f>_xlfn.XLOOKUP(G8,'GP2'!$B$6:$B$75,'GP2'!$A$6:$A$75,0)</f>
        <v>54.222251682132963</v>
      </c>
      <c r="I8" s="66">
        <f>_xlfn.XLOOKUP($B8,'GP3'!$C$6:$C$101,'GP3'!$B$6:$B$101,"")</f>
        <v>4</v>
      </c>
      <c r="J8" s="134">
        <f>_xlfn.XLOOKUP(I8,'GP3'!$B$6:$B$75,'GP3'!$A$6:$A$75,0)</f>
        <v>39.084442074998591</v>
      </c>
      <c r="K8" s="66">
        <f>_xlfn.XLOOKUP($B8,'GP4'!$C$6:$C$101,'GP4'!$B$6:$B$101,"")</f>
        <v>3</v>
      </c>
      <c r="L8" s="134">
        <f>_xlfn.XLOOKUP(K8,'GP4'!$B$6:$B$75,'GP4'!$A$6:$A$75,0)</f>
        <v>54.222251682132963</v>
      </c>
      <c r="M8" s="66">
        <f>_xlfn.XLOOKUP($B8,'GP5'!$C$6:$C$101,'GP5'!$B$6:$B$101,"")</f>
        <v>1</v>
      </c>
      <c r="N8" s="136">
        <f>_xlfn.XLOOKUP(M8,'GP5'!$B$6:$B$75,'GP5'!$A$6:$A$75,0)</f>
        <v>108.72075440746714</v>
      </c>
      <c r="O8" s="127">
        <f>_xlfn.XLOOKUP($B8,'GP6'!$C$6:$C$101,'GP6'!$B$6:$B$101,"")</f>
        <v>3</v>
      </c>
      <c r="P8" s="136">
        <f>_xlfn.XLOOKUP(O8,'GP6'!$B$6:$B$75,'GP6'!$A$6:$A$75,0)</f>
        <v>55.204694129130715</v>
      </c>
      <c r="Q8" s="127">
        <f>_xlfn.XLOOKUP($B8,'GP7'!$C$6:$C$101,'GP7'!$B$6:$B$101,"")</f>
        <v>4</v>
      </c>
      <c r="R8" s="136">
        <f>_xlfn.XLOOKUP(Q8,'GP7'!$B$6:$B$75,'GP7'!$A$6:$A$75,0)</f>
        <v>42.663591326189277</v>
      </c>
      <c r="S8" s="127">
        <f>_xlfn.XLOOKUP($B8,'GP8'!$C$6:$C$101,'GP8'!$B$6:$B$101,"")</f>
        <v>3</v>
      </c>
      <c r="T8" s="136">
        <f>_xlfn.XLOOKUP(S8,'GP8'!$B$6:$B$75,'GP8'!$A$6:$A$75,0)</f>
        <v>51.740251469155709</v>
      </c>
      <c r="U8" s="66">
        <f>_xlfn.XLOOKUP(B8,MPW!C$6:C$101,MPW!B$6:B$101,"")</f>
        <v>4</v>
      </c>
      <c r="V8" s="136">
        <f>_xlfn.XLOOKUP(U8,MPW!B$6:B$75,MPW!A$6:A$75,0)</f>
        <v>52.219993039347194</v>
      </c>
      <c r="X8" s="66">
        <f>_xlfn.XLOOKUP($B8,'PEW1'!$C$6:$C$101,'PEW1'!$B$6:$B$101,"")</f>
        <v>20</v>
      </c>
      <c r="Y8" s="79">
        <f>_xlfn.XLOOKUP(X8,'PEW1'!$B$6:$B$75,'PEW1'!$A$6:$A$75,0)</f>
        <v>22.665973744508214</v>
      </c>
      <c r="Z8" s="65" t="str">
        <f>_xlfn.XLOOKUP($B8,'PEW2'!$C$6:$C$101,'PEW2'!$B$6:$B$101,"")</f>
        <v/>
      </c>
      <c r="AA8" s="76">
        <f>_xlfn.XLOOKUP(Z8,'PEW2'!$B$6:$B$75,'PEW2'!$A$6:$A$75,0)</f>
        <v>0</v>
      </c>
      <c r="AB8" s="65">
        <f>_xlfn.XLOOKUP($B8,'PEW3'!$C$6:$C$101,'PEW3'!$B$6:$B$101,"")</f>
        <v>3</v>
      </c>
      <c r="AC8" s="76">
        <f>_xlfn.XLOOKUP(AB8,'PEW3'!$B$6:$B$75,'PEW3'!$A$6:$A$75,0)</f>
        <v>60.595181000131376</v>
      </c>
      <c r="AD8" s="65" t="str">
        <f>_xlfn.XLOOKUP($B8,VFC!$C$6:$C$101,VFC!$B$6:$B$101,"")</f>
        <v/>
      </c>
      <c r="AE8" s="76">
        <f>_xlfn.XLOOKUP(AD8,VFC!$B$6:$B$75,VFC!$A$6:$A$75,0)</f>
        <v>0</v>
      </c>
      <c r="AF8" s="65">
        <f>_xlfn.XLOOKUP($B8,'PEW4'!$C$6:$C$101,'PEW4'!$B$6:$B$101,"")</f>
        <v>14</v>
      </c>
      <c r="AG8" s="76">
        <f>_xlfn.XLOOKUP(AF8,'PEW4'!$B$6:$B$75,'PEW4'!$A$6:$A$75,0)</f>
        <v>34.450653957602896</v>
      </c>
      <c r="AH8" s="65" t="str">
        <f>_xlfn.XLOOKUP($B8,'PEW5'!$C$6:$C$101,'PEW5'!$B$6:$B$101,"")</f>
        <v/>
      </c>
      <c r="AI8" s="76">
        <f>_xlfn.XLOOKUP(AH8,'PEW5'!$B$6:$B$75,'PEW5'!$A$6:$A$75,0)</f>
        <v>0</v>
      </c>
      <c r="AJ8" s="65">
        <f>_xlfn.XLOOKUP($B8,'PEW6'!$C$6:$C$101,'PEW6'!$B$6:$B$101,"")</f>
        <v>9</v>
      </c>
      <c r="AK8" s="76">
        <f>_xlfn.XLOOKUP(AJ8,'PEW6'!$B$6:$B$75,'PEW6'!$A$6:$A$75,0)</f>
        <v>41.375092795448992</v>
      </c>
      <c r="AL8" s="65">
        <f>_xlfn.XLOOKUP($B8,'PEW7'!$C$6:$C$101,'PEW7'!$B$6:$B$101,"")</f>
        <v>11</v>
      </c>
      <c r="AM8" s="76">
        <f>_xlfn.XLOOKUP(AL8,'PEW7'!$B$6:$B$75,'PEW7'!$A$6:$A$75,0)</f>
        <v>41.302642808510541</v>
      </c>
      <c r="AN8" s="65">
        <f>_xlfn.XLOOKUP($B8,'PEW8'!$C$6:$C$101,'PEW8'!$B$6:$B$101,"")</f>
        <v>19</v>
      </c>
      <c r="AO8" s="76">
        <f>_xlfn.XLOOKUP(AN8,'PEW8'!$B$6:$B$75,'PEW8'!$A$6:$A$75,0)</f>
        <v>22.730555821662442</v>
      </c>
      <c r="AP8" s="65">
        <f>_xlfn.XLOOKUP($B8,'PEW9'!$C$6:$C$101,'PEW9'!$B$6:$B$101,"")</f>
        <v>1</v>
      </c>
      <c r="AQ8" s="76">
        <f>_xlfn.XLOOKUP(AP8,'PEW9'!$B$6:$B$75,'PEW9'!$A$6:$A$75,0)</f>
        <v>125.96049226553335</v>
      </c>
      <c r="AR8" s="65" t="str">
        <f>_xlfn.XLOOKUP($B8,'PEW10'!$C$6:$C$101,'PEW10'!$B$6:$B$101,"")</f>
        <v/>
      </c>
      <c r="AS8" s="76">
        <f>_xlfn.XLOOKUP(AR8,'PEW10'!$B$6:$B$75,'PEW10'!$A$6:$A$75,0)</f>
        <v>0</v>
      </c>
      <c r="AT8" s="65">
        <f>_xlfn.XLOOKUP($B8,'PEW11'!$C$6:$C$101,'PEW11'!$B$6:$B$101,"")</f>
        <v>3</v>
      </c>
      <c r="AU8" s="76">
        <f>_xlfn.XLOOKUP(AT8,'PEW11'!$B$6:$B$75,'PEW11'!$A$6:$A$75,0)</f>
        <v>72.048201449731948</v>
      </c>
      <c r="AV8" s="65">
        <f>_xlfn.XLOOKUP($B8,'PEW12'!$C$6:$C$101,'PEW12'!$B$6:$B$101,"")</f>
        <v>2</v>
      </c>
      <c r="AW8" s="76">
        <f>_xlfn.XLOOKUP(AV8,'PEW12'!$B$6:$B$75,'PEW12'!$A$6:$A$75,0)</f>
        <v>97.69481402499953</v>
      </c>
      <c r="AX8" s="65" cm="1">
        <f t="array" ref="AX8">_xlfn.XLOOKUP($B8,IMEW!C$6:C$201,IMEW!$B$6:B$201,"")</f>
        <v>23</v>
      </c>
      <c r="AY8" s="77">
        <f>_xlfn.XLOOKUP(AX8,IMEW!$B$6:$B$201,IMEW!$A$6:$A$201,0)</f>
        <v>61.93142675444647</v>
      </c>
      <c r="BA8" s="78">
        <f t="shared" si="0"/>
        <v>22.665973744508214</v>
      </c>
      <c r="BB8" s="78">
        <f t="shared" si="1"/>
        <v>0</v>
      </c>
      <c r="BC8" s="78">
        <f t="shared" si="2"/>
        <v>60.595181000131376</v>
      </c>
      <c r="BD8" s="78">
        <f t="shared" si="3"/>
        <v>34.450653957602896</v>
      </c>
      <c r="BE8" s="78">
        <f t="shared" si="4"/>
        <v>0</v>
      </c>
      <c r="BF8" s="78">
        <f t="shared" si="5"/>
        <v>41.375092795448992</v>
      </c>
      <c r="BG8" s="78">
        <f t="shared" si="6"/>
        <v>41.302642808510541</v>
      </c>
    </row>
    <row r="9" spans="1:59" ht="14.8" customHeight="1" x14ac:dyDescent="0.25">
      <c r="A9" s="56">
        <f>ROW()-5</f>
        <v>4</v>
      </c>
      <c r="B9" s="137" t="s">
        <v>22</v>
      </c>
      <c r="C9" s="54"/>
      <c r="D9" s="75">
        <f>SUM(F9,H9,J9,L9,N9,P9,R9,T9,V9)-SUM(SMALL((F9,H9,J9,L9,N9,P9,R9,T9),1),SMALL((F9,H9,J9,L9,N9,P9,R9,T9),2))+SUM(LARGE((Y9,AA9,AC9,AE9,AG9,AI9,AK9,AM9,AO9,AQ9,AS9,AU9,AW9),1),LARGE((Y9,AA9,AC9,AE9,AG9,AI9,AK9,AM9,AO9,AQ9,AS9,AU9,AW9),2),LARGE((Y9,AA9,AC9,AE9,AG9,AI9,AK9,AM9,AO9,AQ9,AS9,AU9,AW9),3),AY9)</f>
        <v>572.19092950960589</v>
      </c>
      <c r="E9" s="65" t="str">
        <f>_xlfn.XLOOKUP($B9,'GP1'!$C$6:$C$101,'GP1'!$B$6:$B$101,"")</f>
        <v/>
      </c>
      <c r="F9" s="133">
        <f>_xlfn.XLOOKUP(E9,'GP1'!$B$6:$B$75,'GP1'!$A$6:$A$75,0)</f>
        <v>0</v>
      </c>
      <c r="G9" s="65" t="str">
        <f>_xlfn.XLOOKUP($B9,'GP2'!$C$6:$C$101,'GP2'!$B$6:$B$101,"")</f>
        <v/>
      </c>
      <c r="H9" s="133">
        <f>_xlfn.XLOOKUP(G9,'GP2'!$B$6:$B$75,'GP2'!$A$6:$A$75,0)</f>
        <v>0</v>
      </c>
      <c r="I9" s="66" t="str">
        <f>_xlfn.XLOOKUP($B9,'GP3'!$C$6:$C$101,'GP3'!$B$6:$B$101,"")</f>
        <v>2k1</v>
      </c>
      <c r="J9" s="134">
        <f>_xlfn.XLOOKUP(I9,'GP3'!$B$6:$B$75,'GP3'!$A$6:$A$75,0)</f>
        <v>80.866338559385881</v>
      </c>
      <c r="K9" s="66">
        <f>_xlfn.XLOOKUP($B9,'GP4'!$C$6:$C$101,'GP4'!$B$6:$B$101,"")</f>
        <v>2</v>
      </c>
      <c r="L9" s="134">
        <f>_xlfn.XLOOKUP(K9,'GP4'!$B$6:$B$75,'GP4'!$A$6:$A$75,0)</f>
        <v>79.179704053839387</v>
      </c>
      <c r="M9" s="66" t="str">
        <f>_xlfn.XLOOKUP($B9,'GP5'!$C$6:$C$101,'GP5'!$B$6:$B$101,"")</f>
        <v/>
      </c>
      <c r="N9" s="136">
        <f>_xlfn.XLOOKUP(M9,'GP5'!$B$6:$B$75,'GP5'!$A$6:$A$75,0)</f>
        <v>0</v>
      </c>
      <c r="O9" s="127" t="str">
        <f>_xlfn.XLOOKUP($B9,'GP6'!$C$6:$C$101,'GP6'!$B$6:$B$101,"")</f>
        <v/>
      </c>
      <c r="P9" s="136">
        <f>_xlfn.XLOOKUP(O9,'GP6'!$B$6:$B$75,'GP6'!$A$6:$A$75,0)</f>
        <v>0</v>
      </c>
      <c r="Q9" s="127">
        <f>_xlfn.XLOOKUP($B9,'GP7'!$C$6:$C$101,'GP7'!$B$6:$B$101,"")</f>
        <v>2</v>
      </c>
      <c r="R9" s="136">
        <f>_xlfn.XLOOKUP(Q9,'GP7'!$B$6:$B$75,'GP7'!$A$6:$A$75,0)</f>
        <v>80.068366573734622</v>
      </c>
      <c r="S9" s="127">
        <f>_xlfn.XLOOKUP($B9,'GP8'!$C$6:$C$101,'GP8'!$B$6:$B$101,"")</f>
        <v>1</v>
      </c>
      <c r="T9" s="136">
        <f>_xlfn.XLOOKUP(S9,'GP8'!$B$6:$B$75,'GP8'!$A$6:$A$75,0)</f>
        <v>108.72075440746714</v>
      </c>
      <c r="U9" s="66">
        <f>_xlfn.XLOOKUP(B9,MPW!C$6:C$101,MPW!B$6:B$101,"")</f>
        <v>2</v>
      </c>
      <c r="V9" s="136">
        <f>_xlfn.XLOOKUP(U9,MPW!B$6:B$75,MPW!A$6:A$75,0)</f>
        <v>97.039606271263054</v>
      </c>
      <c r="X9" s="66" t="str">
        <f>_xlfn.XLOOKUP($B9,'PEW1'!$C$6:$C$101,'PEW1'!$B$6:$B$101,"")</f>
        <v/>
      </c>
      <c r="Y9" s="79">
        <f>_xlfn.XLOOKUP(X9,'PEW1'!$B$6:$B$75,'PEW1'!$A$6:$A$75,0)</f>
        <v>0</v>
      </c>
      <c r="Z9" s="65" t="str">
        <f>_xlfn.XLOOKUP($B9,'PEW2'!$C$6:$C$101,'PEW2'!$B$6:$B$101,"")</f>
        <v/>
      </c>
      <c r="AA9" s="76">
        <f>_xlfn.XLOOKUP(Z9,'PEW2'!$B$6:$B$75,'PEW2'!$A$6:$A$75,0)</f>
        <v>0</v>
      </c>
      <c r="AB9" s="65" t="str">
        <f>_xlfn.XLOOKUP($B9,'PEW3'!$C$6:$C$101,'PEW3'!$B$6:$B$101,"")</f>
        <v/>
      </c>
      <c r="AC9" s="76">
        <f>_xlfn.XLOOKUP(AB9,'PEW3'!$B$6:$B$75,'PEW3'!$A$6:$A$75,0)</f>
        <v>0</v>
      </c>
      <c r="AD9" s="65" t="str">
        <f>_xlfn.XLOOKUP($B9,VFC!$C$6:$C$101,VFC!$B$6:$B$101,"")</f>
        <v/>
      </c>
      <c r="AE9" s="76">
        <f>_xlfn.XLOOKUP(AD9,VFC!$B$6:$B$75,VFC!$A$6:$A$75,0)</f>
        <v>0</v>
      </c>
      <c r="AF9" s="65" t="str">
        <f>_xlfn.XLOOKUP($B9,'PEW4'!$C$6:$C$101,'PEW4'!$B$6:$B$101,"")</f>
        <v/>
      </c>
      <c r="AG9" s="76">
        <f>_xlfn.XLOOKUP(AF9,'PEW4'!$B$6:$B$75,'PEW4'!$A$6:$A$75,0)</f>
        <v>0</v>
      </c>
      <c r="AH9" s="65" t="str">
        <f>_xlfn.XLOOKUP($B9,'PEW5'!$C$6:$C$101,'PEW5'!$B$6:$B$101,"")</f>
        <v/>
      </c>
      <c r="AI9" s="76">
        <f>_xlfn.XLOOKUP(AH9,'PEW5'!$B$6:$B$75,'PEW5'!$A$6:$A$75,0)</f>
        <v>0</v>
      </c>
      <c r="AJ9" s="65" t="str">
        <f>_xlfn.XLOOKUP($B9,'PEW6'!$C$6:$C$101,'PEW6'!$B$6:$B$101,"")</f>
        <v/>
      </c>
      <c r="AK9" s="76">
        <f>_xlfn.XLOOKUP(AJ9,'PEW6'!$B$6:$B$75,'PEW6'!$A$6:$A$75,0)</f>
        <v>0</v>
      </c>
      <c r="AL9" s="65" t="str">
        <f>_xlfn.XLOOKUP($B9,'PEW7'!$C$6:$C$101,'PEW7'!$B$6:$B$101,"")</f>
        <v/>
      </c>
      <c r="AM9" s="76">
        <f>_xlfn.XLOOKUP(AL9,'PEW7'!$B$6:$B$75,'PEW7'!$A$6:$A$75,0)</f>
        <v>0</v>
      </c>
      <c r="AN9" s="65" t="str">
        <f>_xlfn.XLOOKUP($B9,'PEW8'!$C$6:$C$101,'PEW8'!$B$6:$B$101,"")</f>
        <v/>
      </c>
      <c r="AO9" s="76">
        <f>_xlfn.XLOOKUP(AN9,'PEW8'!$B$6:$B$75,'PEW8'!$A$6:$A$75,0)</f>
        <v>0</v>
      </c>
      <c r="AP9" s="65" t="str">
        <f>_xlfn.XLOOKUP($B9,'PEW9'!$C$6:$C$101,'PEW9'!$B$6:$B$101,"")</f>
        <v/>
      </c>
      <c r="AQ9" s="76">
        <f>_xlfn.XLOOKUP(AP9,'PEW9'!$B$6:$B$75,'PEW9'!$A$6:$A$75,0)</f>
        <v>0</v>
      </c>
      <c r="AR9" s="65" t="str">
        <f>_xlfn.XLOOKUP($B9,'PEW10'!$C$6:$C$101,'PEW10'!$B$6:$B$101,"")</f>
        <v/>
      </c>
      <c r="AS9" s="76">
        <f>_xlfn.XLOOKUP(AR9,'PEW10'!$B$6:$B$75,'PEW10'!$A$6:$A$75,0)</f>
        <v>0</v>
      </c>
      <c r="AT9" s="65">
        <f>_xlfn.XLOOKUP($B9,'PEW11'!$C$6:$C$101,'PEW11'!$B$6:$B$101,"")</f>
        <v>1</v>
      </c>
      <c r="AU9" s="76">
        <f>_xlfn.XLOOKUP(AT9,'PEW11'!$B$6:$B$75,'PEW11'!$A$6:$A$75,0)</f>
        <v>126.3161596439158</v>
      </c>
      <c r="AV9" s="65" t="str">
        <f>_xlfn.XLOOKUP($B9,'PEW12'!$C$6:$C$101,'PEW12'!$B$6:$B$101,"")</f>
        <v/>
      </c>
      <c r="AW9" s="76">
        <f>_xlfn.XLOOKUP(AV9,'PEW12'!$B$6:$B$75,'PEW12'!$A$6:$A$75,0)</f>
        <v>0</v>
      </c>
      <c r="AX9" s="65" t="str" cm="1">
        <f t="array" ref="AX9">_xlfn.XLOOKUP($B9,IMEW!C$6:C$201,IMEW!$B$6:B$201,"")</f>
        <v/>
      </c>
      <c r="AY9" s="77">
        <f>_xlfn.XLOOKUP(AX9,IMEW!$B$6:$B$201,IMEW!$A$6:$A$201,0)</f>
        <v>0</v>
      </c>
      <c r="BA9" s="78">
        <f t="shared" si="0"/>
        <v>0</v>
      </c>
      <c r="BB9" s="78">
        <f t="shared" si="1"/>
        <v>0</v>
      </c>
      <c r="BC9" s="78">
        <f t="shared" si="2"/>
        <v>0</v>
      </c>
      <c r="BD9" s="78">
        <f t="shared" si="3"/>
        <v>0</v>
      </c>
      <c r="BE9" s="78">
        <f t="shared" si="4"/>
        <v>0</v>
      </c>
      <c r="BF9" s="78">
        <f t="shared" si="5"/>
        <v>0</v>
      </c>
      <c r="BG9" s="78">
        <f t="shared" si="6"/>
        <v>0</v>
      </c>
    </row>
    <row r="10" spans="1:59" ht="14.8" customHeight="1" x14ac:dyDescent="0.25">
      <c r="A10" s="56">
        <f>ROW()-5</f>
        <v>5</v>
      </c>
      <c r="B10" s="137" t="s">
        <v>23</v>
      </c>
      <c r="C10" s="54"/>
      <c r="D10" s="75">
        <f>SUM(F10,H10,J10,L10,N10,P10,R10,T10,V10)-SUM(SMALL((F10,H10,J10,L10,N10,P10,R10,T10),1),SMALL((F10,H10,J10,L10,N10,P10,R10,T10),2))+SUM(LARGE((Y10,AA10,AC10,AE10,AG10,AI10,AK10,AM10,AO10,AQ10,AS10,AU10,AW10),1),LARGE((Y10,AA10,AC10,AE10,AG10,AI10,AK10,AM10,AO10,AQ10,AS10,AU10,AW10),2),LARGE((Y10,AA10,AC10,AE10,AG10,AI10,AK10,AM10,AO10,AQ10,AS10,AU10,AW10),3),AY10)</f>
        <v>300.88988746347661</v>
      </c>
      <c r="E10" s="65" t="str">
        <f>_xlfn.XLOOKUP($B10,'GP1'!$C$6:$C$101,'GP1'!$B$6:$B$101,"")</f>
        <v/>
      </c>
      <c r="F10" s="133">
        <f>_xlfn.XLOOKUP(E10,'GP1'!$B$6:$B$75,'GP1'!$A$6:$A$75,0)</f>
        <v>0</v>
      </c>
      <c r="G10" s="65" t="str">
        <f>_xlfn.XLOOKUP($B10,'GP2'!$C$6:$C$101,'GP2'!$B$6:$B$101,"")</f>
        <v>6k1</v>
      </c>
      <c r="H10" s="133">
        <f>_xlfn.XLOOKUP(G10,'GP2'!$B$6:$B$75,'GP2'!$A$6:$A$75,0)</f>
        <v>21.870588731201465</v>
      </c>
      <c r="I10" s="66" t="str">
        <f>_xlfn.XLOOKUP($B10,'GP3'!$C$6:$C$101,'GP3'!$B$6:$B$101,"")</f>
        <v>6k1</v>
      </c>
      <c r="J10" s="134">
        <f>_xlfn.XLOOKUP(I10,'GP3'!$B$6:$B$75,'GP3'!$A$6:$A$75,0)</f>
        <v>25.770780722522993</v>
      </c>
      <c r="K10" s="66">
        <f>_xlfn.XLOOKUP($B10,'GP4'!$C$6:$C$101,'GP4'!$B$6:$B$101,"")</f>
        <v>5</v>
      </c>
      <c r="L10" s="134">
        <f>_xlfn.XLOOKUP(K10,'GP4'!$B$6:$B$75,'GP4'!$A$6:$A$75,0)</f>
        <v>27.111800667909257</v>
      </c>
      <c r="M10" s="66">
        <f>_xlfn.XLOOKUP($B10,'GP5'!$C$6:$C$101,'GP5'!$B$6:$B$101,"")</f>
        <v>2</v>
      </c>
      <c r="N10" s="136">
        <f>_xlfn.XLOOKUP(M10,'GP5'!$B$6:$B$75,'GP5'!$A$6:$A$75,0)</f>
        <v>77.02272397581072</v>
      </c>
      <c r="O10" s="127">
        <f>_xlfn.XLOOKUP($B10,'GP6'!$C$6:$C$101,'GP6'!$B$6:$B$101,"")</f>
        <v>4</v>
      </c>
      <c r="P10" s="136">
        <f>_xlfn.XLOOKUP(O10,'GP6'!$B$6:$B$75,'GP6'!$A$6:$A$75,0)</f>
        <v>42.663591326189277</v>
      </c>
      <c r="Q10" s="127" t="str">
        <f>_xlfn.XLOOKUP($B10,'GP7'!$C$6:$C$101,'GP7'!$B$6:$B$101,"")</f>
        <v/>
      </c>
      <c r="R10" s="136">
        <f>_xlfn.XLOOKUP(Q10,'GP7'!$B$6:$B$75,'GP7'!$A$6:$A$75,0)</f>
        <v>0</v>
      </c>
      <c r="S10" s="127">
        <f>_xlfn.XLOOKUP($B10,'GP8'!$C$6:$C$101,'GP8'!$B$6:$B$101,"")</f>
        <v>4</v>
      </c>
      <c r="T10" s="136">
        <f>_xlfn.XLOOKUP(S10,'GP8'!$B$6:$B$75,'GP8'!$A$6:$A$75,0)</f>
        <v>39.084442074998591</v>
      </c>
      <c r="U10" s="66">
        <f>_xlfn.XLOOKUP(B10,MPW!C$6:C$101,MPW!B$6:B$101,"")</f>
        <v>6</v>
      </c>
      <c r="V10" s="136">
        <f>_xlfn.XLOOKUP(U10,MPW!B$6:B$75,MPW!A$6:A$75,0)</f>
        <v>30.92493686702759</v>
      </c>
      <c r="X10" s="66" t="str">
        <f>_xlfn.XLOOKUP($B10,'PEW1'!$C$6:$C$101,'PEW1'!$B$6:$B$101,"")</f>
        <v/>
      </c>
      <c r="Y10" s="79">
        <f>_xlfn.XLOOKUP(X10,'PEW1'!$B$6:$B$75,'PEW1'!$A$6:$A$75,0)</f>
        <v>0</v>
      </c>
      <c r="Z10" s="65" t="str">
        <f>_xlfn.XLOOKUP($B10,'PEW2'!$C$6:$C$101,'PEW2'!$B$6:$B$101,"")</f>
        <v/>
      </c>
      <c r="AA10" s="76">
        <f>_xlfn.XLOOKUP(Z10,'PEW2'!$B$6:$B$75,'PEW2'!$A$6:$A$75,0)</f>
        <v>0</v>
      </c>
      <c r="AB10" s="65" t="str">
        <f>_xlfn.XLOOKUP($B10,'PEW3'!$C$6:$C$101,'PEW3'!$B$6:$B$101,"")</f>
        <v>12k1</v>
      </c>
      <c r="AC10" s="76">
        <f>_xlfn.XLOOKUP(AB10,'PEW3'!$B$6:$B$75,'PEW3'!$A$6:$A$75,0)</f>
        <v>18.647325789009237</v>
      </c>
      <c r="AD10" s="65" t="str">
        <f>_xlfn.XLOOKUP($B10,VFC!$C$6:$C$101,VFC!$B$6:$B$101,"")</f>
        <v/>
      </c>
      <c r="AE10" s="76">
        <f>_xlfn.XLOOKUP(AD10,VFC!$B$6:$B$75,VFC!$A$6:$A$75,0)</f>
        <v>0</v>
      </c>
      <c r="AF10" s="65" t="str">
        <f>_xlfn.XLOOKUP($B10,'PEW4'!$C$6:$C$101,'PEW4'!$B$6:$B$101,"")</f>
        <v/>
      </c>
      <c r="AG10" s="76">
        <f>_xlfn.XLOOKUP(AF10,'PEW4'!$B$6:$B$75,'PEW4'!$A$6:$A$75,0)</f>
        <v>0</v>
      </c>
      <c r="AH10" s="65" t="str">
        <f>_xlfn.XLOOKUP($B10,'PEW5'!$C$6:$C$101,'PEW5'!$B$6:$B$101,"")</f>
        <v/>
      </c>
      <c r="AI10" s="76">
        <f>_xlfn.XLOOKUP(AH10,'PEW5'!$B$6:$B$75,'PEW5'!$A$6:$A$75,0)</f>
        <v>0</v>
      </c>
      <c r="AJ10" s="65" t="str">
        <f>_xlfn.XLOOKUP($B10,'PEW6'!$C$6:$C$101,'PEW6'!$B$6:$B$101,"")</f>
        <v/>
      </c>
      <c r="AK10" s="76">
        <f>_xlfn.XLOOKUP(AJ10,'PEW6'!$B$6:$B$75,'PEW6'!$A$6:$A$75,0)</f>
        <v>0</v>
      </c>
      <c r="AL10" s="65" t="str">
        <f>_xlfn.XLOOKUP($B10,'PEW7'!$C$6:$C$101,'PEW7'!$B$6:$B$101,"")</f>
        <v/>
      </c>
      <c r="AM10" s="76">
        <f>_xlfn.XLOOKUP(AL10,'PEW7'!$B$6:$B$75,'PEW7'!$A$6:$A$75,0)</f>
        <v>0</v>
      </c>
      <c r="AN10" s="65" t="str">
        <f>_xlfn.XLOOKUP($B10,'PEW8'!$C$6:$C$101,'PEW8'!$B$6:$B$101,"")</f>
        <v/>
      </c>
      <c r="AO10" s="76">
        <f>_xlfn.XLOOKUP(AN10,'PEW8'!$B$6:$B$75,'PEW8'!$A$6:$A$75,0)</f>
        <v>0</v>
      </c>
      <c r="AP10" s="65" t="str">
        <f>_xlfn.XLOOKUP($B10,'PEW9'!$C$6:$C$101,'PEW9'!$B$6:$B$101,"")</f>
        <v/>
      </c>
      <c r="AQ10" s="76">
        <f>_xlfn.XLOOKUP(AP10,'PEW9'!$B$6:$B$75,'PEW9'!$A$6:$A$75,0)</f>
        <v>0</v>
      </c>
      <c r="AR10" s="65" t="str">
        <f>_xlfn.XLOOKUP($B10,'PEW10'!$C$6:$C$101,'PEW10'!$B$6:$B$101,"")</f>
        <v/>
      </c>
      <c r="AS10" s="76">
        <f>_xlfn.XLOOKUP(AR10,'PEW10'!$B$6:$B$75,'PEW10'!$A$6:$A$75,0)</f>
        <v>0</v>
      </c>
      <c r="AT10" s="65">
        <f>_xlfn.XLOOKUP($B10,'PEW11'!$C$6:$C$101,'PEW11'!$B$6:$B$101,"")</f>
        <v>16</v>
      </c>
      <c r="AU10" s="76">
        <f>_xlfn.XLOOKUP(AT10,'PEW11'!$B$6:$B$75,'PEW11'!$A$6:$A$75,0)</f>
        <v>17.793697308807488</v>
      </c>
      <c r="AV10" s="65" t="str">
        <f>_xlfn.XLOOKUP($B10,'PEW12'!$C$6:$C$101,'PEW12'!$B$6:$B$101,"")</f>
        <v/>
      </c>
      <c r="AW10" s="76">
        <f>_xlfn.XLOOKUP(AV10,'PEW12'!$B$6:$B$75,'PEW12'!$A$6:$A$75,0)</f>
        <v>0</v>
      </c>
      <c r="AX10" s="65" t="str" cm="1">
        <f t="array" ref="AX10">_xlfn.XLOOKUP($B10,IMEW!C$6:C$201,IMEW!$B$6:B$201,"")</f>
        <v/>
      </c>
      <c r="AY10" s="77">
        <f>_xlfn.XLOOKUP(AX10,IMEW!$B$6:$B$201,IMEW!$A$6:$A$201,0)</f>
        <v>0</v>
      </c>
      <c r="BA10" s="78">
        <f t="shared" si="0"/>
        <v>0</v>
      </c>
      <c r="BB10" s="78">
        <f t="shared" si="1"/>
        <v>0</v>
      </c>
      <c r="BC10" s="78">
        <f t="shared" si="2"/>
        <v>18.647325789009237</v>
      </c>
      <c r="BD10" s="78">
        <f t="shared" si="3"/>
        <v>0</v>
      </c>
      <c r="BE10" s="78">
        <f t="shared" si="4"/>
        <v>0</v>
      </c>
      <c r="BF10" s="78">
        <f t="shared" si="5"/>
        <v>0</v>
      </c>
      <c r="BG10" s="78">
        <f t="shared" si="6"/>
        <v>0</v>
      </c>
    </row>
    <row r="11" spans="1:59" ht="14.8" customHeight="1" x14ac:dyDescent="0.25">
      <c r="A11" s="56">
        <f>ROW()-5</f>
        <v>6</v>
      </c>
      <c r="B11" s="53" t="s">
        <v>29</v>
      </c>
      <c r="C11" s="54"/>
      <c r="D11" s="75">
        <f>SUM(F11,H11,J11,L11,N11,P11,R11,T11,V11)-SUM(SMALL((F11,H11,J11,L11,N11,P11,R11,T11),1),SMALL((F11,H11,J11,L11,N11,P11,R11,T11),2))+SUM(LARGE((Y11,AA11,AC11,AE11,AG11,AI11,AK11,AM11,AO11,AQ11,AS11,AU11,AW11),1),LARGE((Y11,AA11,AC11,AE11,AG11,AI11,AK11,AM11,AO11,AQ11,AS11,AU11,AW11),2),LARGE((Y11,AA11,AC11,AE11,AG11,AI11,AK11,AM11,AO11,AQ11,AS11,AU11,AW11),3),AY11)</f>
        <v>171.27195061493521</v>
      </c>
      <c r="E11" s="65">
        <f>_xlfn.XLOOKUP($B11,'GP1'!$C$6:$C$101,'GP1'!$B$6:$B$101,"")</f>
        <v>6</v>
      </c>
      <c r="F11" s="133">
        <f>_xlfn.XLOOKUP(E11,'GP1'!$B$6:$B$75,'GP1'!$A$6:$A$75,0)</f>
        <v>23.386134920848519</v>
      </c>
      <c r="G11" s="65" t="str">
        <f>_xlfn.XLOOKUP($B11,'GP2'!$C$6:$C$101,'GP2'!$B$6:$B$101,"")</f>
        <v/>
      </c>
      <c r="H11" s="133">
        <f>_xlfn.XLOOKUP(G11,'GP2'!$B$6:$B$75,'GP2'!$A$6:$A$75,0)</f>
        <v>0</v>
      </c>
      <c r="I11" s="66" t="str">
        <f>_xlfn.XLOOKUP($B11,'GP3'!$C$6:$C$101,'GP3'!$B$6:$B$101,"")</f>
        <v/>
      </c>
      <c r="J11" s="134">
        <f>_xlfn.XLOOKUP(I11,'GP3'!$B$6:$B$75,'GP3'!$A$6:$A$75,0)</f>
        <v>0</v>
      </c>
      <c r="K11" s="66" t="str">
        <f>_xlfn.XLOOKUP($B11,'GP4'!$C$6:$C$101,'GP4'!$B$6:$B$101,"")</f>
        <v/>
      </c>
      <c r="L11" s="134">
        <f>_xlfn.XLOOKUP(K11,'GP4'!$B$6:$B$75,'GP4'!$A$6:$A$75,0)</f>
        <v>0</v>
      </c>
      <c r="M11" s="66">
        <f>_xlfn.XLOOKUP($B11,'GP5'!$C$6:$C$101,'GP5'!$B$6:$B$101,"")</f>
        <v>4</v>
      </c>
      <c r="N11" s="136">
        <f>_xlfn.XLOOKUP(M11,'GP5'!$B$6:$B$75,'GP5'!$A$6:$A$75,0)</f>
        <v>39.084442074998591</v>
      </c>
      <c r="O11" s="127" t="str">
        <f>_xlfn.XLOOKUP($B11,'GP6'!$C$6:$C$101,'GP6'!$B$6:$B$101,"")</f>
        <v/>
      </c>
      <c r="P11" s="136">
        <f>_xlfn.XLOOKUP(O11,'GP6'!$B$6:$B$75,'GP6'!$A$6:$A$75,0)</f>
        <v>0</v>
      </c>
      <c r="Q11" s="127">
        <f>_xlfn.XLOOKUP($B11,'GP7'!$C$6:$C$101,'GP7'!$B$6:$B$101,"")</f>
        <v>5</v>
      </c>
      <c r="R11" s="136">
        <f>_xlfn.XLOOKUP(Q11,'GP7'!$B$6:$B$75,'GP7'!$A$6:$A$75,0)</f>
        <v>28.263412343478148</v>
      </c>
      <c r="S11" s="127" t="str">
        <f>_xlfn.XLOOKUP($B11,'GP8'!$C$6:$C$101,'GP8'!$B$6:$B$101,"")</f>
        <v/>
      </c>
      <c r="T11" s="136">
        <f>_xlfn.XLOOKUP(S11,'GP8'!$B$6:$B$75,'GP8'!$A$6:$A$75,0)</f>
        <v>0</v>
      </c>
      <c r="U11" s="66" t="str">
        <f>_xlfn.XLOOKUP(B11,MPW!C$6:C$101,MPW!B$6:B$101,"")</f>
        <v/>
      </c>
      <c r="V11" s="136" t="str">
        <f>_xlfn.XLOOKUP(U11,MPW!B$6:B$75,MPW!A$6:A$75,0)</f>
        <v/>
      </c>
      <c r="X11" s="66" t="str">
        <f>_xlfn.XLOOKUP($B11,'PEW1'!$C$6:$C$101,'PEW1'!$B$6:$B$101,"")</f>
        <v/>
      </c>
      <c r="Y11" s="79">
        <f>_xlfn.XLOOKUP(X11,'PEW1'!$B$6:$B$75,'PEW1'!$A$6:$A$75,0)</f>
        <v>0</v>
      </c>
      <c r="Z11" s="65" t="str">
        <f>_xlfn.XLOOKUP($B11,'PEW2'!$C$6:$C$101,'PEW2'!$B$6:$B$101,"")</f>
        <v/>
      </c>
      <c r="AA11" s="76">
        <f>_xlfn.XLOOKUP(Z11,'PEW2'!$B$6:$B$75,'PEW2'!$A$6:$A$75,0)</f>
        <v>0</v>
      </c>
      <c r="AB11" s="65">
        <f>_xlfn.XLOOKUP($B11,'PEW3'!$C$6:$C$101,'PEW3'!$B$6:$B$101,"")</f>
        <v>15</v>
      </c>
      <c r="AC11" s="76">
        <f>_xlfn.XLOOKUP(AB11,'PEW3'!$B$6:$B$75,'PEW3'!$A$6:$A$75,0)</f>
        <v>16.41534507683506</v>
      </c>
      <c r="AD11" s="65" t="str">
        <f>_xlfn.XLOOKUP($B11,VFC!$C$6:$C$101,VFC!$B$6:$B$101,"")</f>
        <v/>
      </c>
      <c r="AE11" s="76">
        <f>_xlfn.XLOOKUP(AD11,VFC!$B$6:$B$75,VFC!$A$6:$A$75,0)</f>
        <v>0</v>
      </c>
      <c r="AF11" s="65">
        <f>_xlfn.XLOOKUP($B11,'PEW4'!$C$6:$C$101,'PEW4'!$B$6:$B$101,"")</f>
        <v>12</v>
      </c>
      <c r="AG11" s="76">
        <f>_xlfn.XLOOKUP(AF11,'PEW4'!$B$6:$B$75,'PEW4'!$A$6:$A$75,0)</f>
        <v>36.527136267537735</v>
      </c>
      <c r="AH11" s="65" t="str">
        <f>_xlfn.XLOOKUP($B11,'PEW5'!$C$6:$C$101,'PEW5'!$B$6:$B$101,"")</f>
        <v/>
      </c>
      <c r="AI11" s="76">
        <f>_xlfn.XLOOKUP(AH11,'PEW5'!$B$6:$B$75,'PEW5'!$A$6:$A$75,0)</f>
        <v>0</v>
      </c>
      <c r="AJ11" s="65">
        <f>_xlfn.XLOOKUP($B11,'PEW6'!$C$6:$C$101,'PEW6'!$B$6:$B$101,"")</f>
        <v>22</v>
      </c>
      <c r="AK11" s="76">
        <f>_xlfn.XLOOKUP(AJ11,'PEW6'!$B$6:$B$75,'PEW6'!$A$6:$A$75,0)</f>
        <v>19.730650974249428</v>
      </c>
      <c r="AL11" s="65" t="str">
        <f>_xlfn.XLOOKUP($B11,'PEW7'!$C$6:$C$101,'PEW7'!$B$6:$B$101,"")</f>
        <v/>
      </c>
      <c r="AM11" s="76">
        <f>_xlfn.XLOOKUP(AL11,'PEW7'!$B$6:$B$75,'PEW7'!$A$6:$A$75,0)</f>
        <v>0</v>
      </c>
      <c r="AN11" s="65" t="str">
        <f>_xlfn.XLOOKUP($B11,'PEW8'!$C$6:$C$101,'PEW8'!$B$6:$B$101,"")</f>
        <v/>
      </c>
      <c r="AO11" s="76">
        <f>_xlfn.XLOOKUP(AN11,'PEW8'!$B$6:$B$75,'PEW8'!$A$6:$A$75,0)</f>
        <v>0</v>
      </c>
      <c r="AP11" s="65" t="str">
        <f>_xlfn.XLOOKUP($B11,'PEW9'!$C$6:$C$101,'PEW9'!$B$6:$B$101,"")</f>
        <v/>
      </c>
      <c r="AQ11" s="76">
        <f>_xlfn.XLOOKUP(AP11,'PEW9'!$B$6:$B$75,'PEW9'!$A$6:$A$75,0)</f>
        <v>0</v>
      </c>
      <c r="AR11" s="65" t="str">
        <f>_xlfn.XLOOKUP($B11,'PEW10'!$C$6:$C$101,'PEW10'!$B$6:$B$101,"")</f>
        <v/>
      </c>
      <c r="AS11" s="76">
        <f>_xlfn.XLOOKUP(AR11,'PEW10'!$B$6:$B$75,'PEW10'!$A$6:$A$75,0)</f>
        <v>0</v>
      </c>
      <c r="AT11" s="65">
        <f>_xlfn.XLOOKUP($B11,'PEW11'!$C$6:$C$101,'PEW11'!$B$6:$B$101,"")</f>
        <v>13</v>
      </c>
      <c r="AU11" s="76">
        <f>_xlfn.XLOOKUP(AT11,'PEW11'!$B$6:$B$75,'PEW11'!$A$6:$A$75,0)</f>
        <v>20.954530291406485</v>
      </c>
      <c r="AV11" s="65">
        <f>_xlfn.XLOOKUP($B11,'PEW12'!$C$6:$C$101,'PEW12'!$B$6:$B$101,"")</f>
        <v>12</v>
      </c>
      <c r="AW11" s="76">
        <f>_xlfn.XLOOKUP(AV11,'PEW12'!$B$6:$B$75,'PEW12'!$A$6:$A$75,0)</f>
        <v>23.056294716665725</v>
      </c>
      <c r="AX11" s="65" t="str" cm="1">
        <f t="array" ref="AX11">_xlfn.XLOOKUP($B11,IMEW!C$6:C$201,IMEW!$B$6:B$201,"")</f>
        <v/>
      </c>
      <c r="AY11" s="77">
        <f>_xlfn.XLOOKUP(AX11,IMEW!$B$6:$B$201,IMEW!$A$6:$A$201,0)</f>
        <v>0</v>
      </c>
      <c r="BA11" s="78">
        <f t="shared" si="0"/>
        <v>0</v>
      </c>
      <c r="BB11" s="78">
        <f t="shared" si="1"/>
        <v>0</v>
      </c>
      <c r="BC11" s="78">
        <f t="shared" si="2"/>
        <v>16.41534507683506</v>
      </c>
      <c r="BD11" s="78">
        <f t="shared" si="3"/>
        <v>36.527136267537735</v>
      </c>
      <c r="BE11" s="78">
        <f t="shared" si="4"/>
        <v>0</v>
      </c>
      <c r="BF11" s="78">
        <f t="shared" si="5"/>
        <v>19.730650974249428</v>
      </c>
      <c r="BG11" s="78">
        <f t="shared" si="6"/>
        <v>0</v>
      </c>
    </row>
    <row r="12" spans="1:59" ht="14.8" customHeight="1" x14ac:dyDescent="0.25">
      <c r="A12" s="56">
        <f>ROW()-5</f>
        <v>7</v>
      </c>
      <c r="B12" s="217" t="s">
        <v>27</v>
      </c>
      <c r="C12" s="54"/>
      <c r="D12" s="75">
        <f>SUM(F12,H12,J12,L12,N12,P12,R12,T12,V12)-SUM(SMALL((F12,H12,J12,L12,N12,P12,R12,T12),1),SMALL((F12,H12,J12,L12,N12,P12,R12,T12),2))+SUM(LARGE((Y12,AA12,AC12,AE12,AG12,AI12,AK12,AM12,AO12,AQ12,AS12,AU12,AW12),1),LARGE((Y12,AA12,AC12,AE12,AG12,AI12,AK12,AM12,AO12,AQ12,AS12,AU12,AW12),2),LARGE((Y12,AA12,AC12,AE12,AG12,AI12,AK12,AM12,AO12,AQ12,AS12,AU12,AW12),3),AY12)</f>
        <v>160.88490987388468</v>
      </c>
      <c r="E12" s="65">
        <f>_xlfn.XLOOKUP($B12,'GP1'!$C$6:$C$101,'GP1'!$B$6:$B$101,"")</f>
        <v>5</v>
      </c>
      <c r="F12" s="133">
        <f>_xlfn.XLOOKUP(E12,'GP1'!$B$6:$B$75,'GP1'!$A$6:$A$75,0)</f>
        <v>27.111800667909257</v>
      </c>
      <c r="G12" s="65">
        <f>_xlfn.XLOOKUP($B12,'GP2'!$C$6:$C$101,'GP2'!$B$6:$B$101,"")</f>
        <v>7</v>
      </c>
      <c r="H12" s="133">
        <f>_xlfn.XLOOKUP(G12,'GP2'!$B$6:$B$75,'GP2'!$A$6:$A$75,0)</f>
        <v>20.236129415094808</v>
      </c>
      <c r="I12" s="66">
        <f>_xlfn.XLOOKUP($B12,'GP3'!$C$6:$C$101,'GP3'!$B$6:$B$101,"")</f>
        <v>7</v>
      </c>
      <c r="J12" s="134">
        <f>_xlfn.XLOOKUP(I12,'GP3'!$B$6:$B$75,'GP3'!$A$6:$A$75,0)</f>
        <v>16.60452814554516</v>
      </c>
      <c r="K12" s="66">
        <f>_xlfn.XLOOKUP($B12,'GP4'!$C$6:$C$101,'GP4'!$B$6:$B$101,"")</f>
        <v>6</v>
      </c>
      <c r="L12" s="134">
        <f>_xlfn.XLOOKUP(K12,'GP4'!$B$6:$B$75,'GP4'!$A$6:$A$75,0)</f>
        <v>23.386134920848519</v>
      </c>
      <c r="M12" s="66">
        <f>_xlfn.XLOOKUP($B12,'GP5'!$C$6:$C$101,'GP5'!$B$6:$B$101,"")</f>
        <v>5</v>
      </c>
      <c r="N12" s="136">
        <f>_xlfn.XLOOKUP(M12,'GP5'!$B$6:$B$75,'GP5'!$A$6:$A$75,0)</f>
        <v>24.108148742410783</v>
      </c>
      <c r="O12" s="127" t="str">
        <f>_xlfn.XLOOKUP($B12,'GP6'!$C$6:$C$101,'GP6'!$B$6:$B$101,"")</f>
        <v/>
      </c>
      <c r="P12" s="136">
        <f>_xlfn.XLOOKUP(O12,'GP6'!$B$6:$B$75,'GP6'!$A$6:$A$75,0)</f>
        <v>0</v>
      </c>
      <c r="Q12" s="127">
        <f>_xlfn.XLOOKUP($B12,'GP7'!$C$6:$C$101,'GP7'!$B$6:$B$101,"")</f>
        <v>8</v>
      </c>
      <c r="R12" s="136">
        <f>_xlfn.XLOOKUP(Q12,'GP7'!$B$6:$B$75,'GP7'!$A$6:$A$75,0)</f>
        <v>18.995386989283922</v>
      </c>
      <c r="S12" s="127">
        <f>_xlfn.XLOOKUP($B12,'GP8'!$C$6:$C$101,'GP8'!$B$6:$B$101,"")</f>
        <v>7</v>
      </c>
      <c r="T12" s="136">
        <f>_xlfn.XLOOKUP(S12,'GP8'!$B$6:$B$75,'GP8'!$A$6:$A$75,0)</f>
        <v>16.60452814554516</v>
      </c>
      <c r="U12" s="66">
        <f>_xlfn.XLOOKUP(B12,MPW!C$6:C$101,MPW!B$6:B$101,"")</f>
        <v>12</v>
      </c>
      <c r="V12" s="136">
        <f>_xlfn.XLOOKUP(U12,MPW!B$6:B$75,MPW!A$6:A$75,0)</f>
        <v>3.0349333867011894</v>
      </c>
      <c r="X12" s="66" t="str">
        <f>_xlfn.XLOOKUP($B12,'PEW1'!$C$6:$C$101,'PEW1'!$B$6:$B$101,"")</f>
        <v/>
      </c>
      <c r="Y12" s="79">
        <f>_xlfn.XLOOKUP(X12,'PEW1'!$B$6:$B$75,'PEW1'!$A$6:$A$75,0)</f>
        <v>0</v>
      </c>
      <c r="Z12" s="65" t="str">
        <f>_xlfn.XLOOKUP($B12,'PEW2'!$C$6:$C$101,'PEW2'!$B$6:$B$101,"")</f>
        <v/>
      </c>
      <c r="AA12" s="76">
        <f>_xlfn.XLOOKUP(Z12,'PEW2'!$B$6:$B$75,'PEW2'!$A$6:$A$75,0)</f>
        <v>0</v>
      </c>
      <c r="AB12" s="65">
        <f>_xlfn.XLOOKUP($B12,'PEW3'!$C$6:$C$101,'PEW3'!$B$6:$B$101,"")</f>
        <v>11</v>
      </c>
      <c r="AC12" s="76">
        <f>_xlfn.XLOOKUP(AB12,'PEW3'!$B$6:$B$75,'PEW3'!$A$6:$A$75,0)</f>
        <v>21.407126808702444</v>
      </c>
      <c r="AD12" s="65" t="str">
        <f>_xlfn.XLOOKUP($B12,VFC!$C$6:$C$101,VFC!$B$6:$B$101,"")</f>
        <v/>
      </c>
      <c r="AE12" s="76">
        <f>_xlfn.XLOOKUP(AD12,VFC!$B$6:$B$75,VFC!$A$6:$A$75,0)</f>
        <v>0</v>
      </c>
      <c r="AF12" s="65" t="str">
        <f>_xlfn.XLOOKUP($B12,'PEW4'!$C$6:$C$101,'PEW4'!$B$6:$B$101,"")</f>
        <v/>
      </c>
      <c r="AG12" s="76">
        <f>_xlfn.XLOOKUP(AF12,'PEW4'!$B$6:$B$75,'PEW4'!$A$6:$A$75,0)</f>
        <v>0</v>
      </c>
      <c r="AH12" s="65" t="str">
        <f>_xlfn.XLOOKUP($B12,'PEW5'!$C$6:$C$101,'PEW5'!$B$6:$B$101,"")</f>
        <v/>
      </c>
      <c r="AI12" s="76">
        <f>_xlfn.XLOOKUP(AH12,'PEW5'!$B$6:$B$75,'PEW5'!$A$6:$A$75,0)</f>
        <v>0</v>
      </c>
      <c r="AJ12" s="65" t="str">
        <f>_xlfn.XLOOKUP($B12,'PEW6'!$C$6:$C$101,'PEW6'!$B$6:$B$101,"")</f>
        <v/>
      </c>
      <c r="AK12" s="76">
        <f>_xlfn.XLOOKUP(AJ12,'PEW6'!$B$6:$B$75,'PEW6'!$A$6:$A$75,0)</f>
        <v>0</v>
      </c>
      <c r="AL12" s="65" t="str">
        <f>_xlfn.XLOOKUP($B12,'PEW7'!$C$6:$C$101,'PEW7'!$B$6:$B$101,"")</f>
        <v/>
      </c>
      <c r="AM12" s="76">
        <f>_xlfn.XLOOKUP(AL12,'PEW7'!$B$6:$B$75,'PEW7'!$A$6:$A$75,0)</f>
        <v>0</v>
      </c>
      <c r="AN12" s="65" t="str">
        <f>_xlfn.XLOOKUP($B12,'PEW8'!$C$6:$C$101,'PEW8'!$B$6:$B$101,"")</f>
        <v/>
      </c>
      <c r="AO12" s="76">
        <f>_xlfn.XLOOKUP(AN12,'PEW8'!$B$6:$B$75,'PEW8'!$A$6:$A$75,0)</f>
        <v>0</v>
      </c>
      <c r="AP12" s="65" t="str">
        <f>_xlfn.XLOOKUP($B12,'PEW9'!$C$6:$C$101,'PEW9'!$B$6:$B$101,"")</f>
        <v/>
      </c>
      <c r="AQ12" s="76">
        <f>_xlfn.XLOOKUP(AP12,'PEW9'!$B$6:$B$75,'PEW9'!$A$6:$A$75,0)</f>
        <v>0</v>
      </c>
      <c r="AR12" s="65" t="str">
        <f>_xlfn.XLOOKUP($B12,'PEW10'!$C$6:$C$101,'PEW10'!$B$6:$B$101,"")</f>
        <v/>
      </c>
      <c r="AS12" s="76">
        <f>_xlfn.XLOOKUP(AR12,'PEW10'!$B$6:$B$75,'PEW10'!$A$6:$A$75,0)</f>
        <v>0</v>
      </c>
      <c r="AT12" s="65">
        <f>_xlfn.XLOOKUP($B12,'PEW11'!$C$6:$C$101,'PEW11'!$B$6:$B$101,"")</f>
        <v>18</v>
      </c>
      <c r="AU12" s="76">
        <f>_xlfn.XLOOKUP(AT12,'PEW11'!$B$6:$B$75,'PEW11'!$A$6:$A$75,0)</f>
        <v>6.0007207973885954</v>
      </c>
      <c r="AV12" s="65" t="str">
        <f>_xlfn.XLOOKUP($B12,'PEW12'!$C$6:$C$101,'PEW12'!$B$6:$B$101,"")</f>
        <v/>
      </c>
      <c r="AW12" s="76">
        <f>_xlfn.XLOOKUP(AV12,'PEW12'!$B$6:$B$75,'PEW12'!$A$6:$A$75,0)</f>
        <v>0</v>
      </c>
      <c r="AX12" s="65" t="str" cm="1">
        <f t="array" ref="AX12">_xlfn.XLOOKUP($B12,IMEW!C$6:C$201,IMEW!$B$6:B$201,"")</f>
        <v/>
      </c>
      <c r="AY12" s="77">
        <f>_xlfn.XLOOKUP(AX12,IMEW!$B$6:$B$201,IMEW!$A$6:$A$201,0)</f>
        <v>0</v>
      </c>
      <c r="BA12" s="78">
        <f t="shared" si="0"/>
        <v>0</v>
      </c>
      <c r="BB12" s="78">
        <f t="shared" si="1"/>
        <v>0</v>
      </c>
      <c r="BC12" s="78">
        <f t="shared" si="2"/>
        <v>21.407126808702444</v>
      </c>
      <c r="BD12" s="78">
        <f t="shared" si="3"/>
        <v>0</v>
      </c>
      <c r="BE12" s="78">
        <f t="shared" si="4"/>
        <v>0</v>
      </c>
      <c r="BF12" s="78">
        <f t="shared" si="5"/>
        <v>0</v>
      </c>
      <c r="BG12" s="78">
        <f t="shared" si="6"/>
        <v>0</v>
      </c>
    </row>
    <row r="13" spans="1:59" ht="14.8" customHeight="1" x14ac:dyDescent="0.25">
      <c r="A13" s="56">
        <f>ROW()-5</f>
        <v>8</v>
      </c>
      <c r="B13" s="53" t="s">
        <v>25</v>
      </c>
      <c r="C13" s="54"/>
      <c r="D13" s="75">
        <f>SUM(F13,H13,J13,L13,N13,P13,R13,T13,V13)-SUM(SMALL((F13,H13,J13,L13,N13,P13,R13,T13),1),SMALL((F13,H13,J13,L13,N13,P13,R13,T13),2))+SUM(LARGE((Y13,AA13,AC13,AE13,AG13,AI13,AK13,AM13,AO13,AQ13,AS13,AU13,AW13),1),LARGE((Y13,AA13,AC13,AE13,AG13,AI13,AK13,AM13,AO13,AQ13,AS13,AU13,AW13),2),LARGE((Y13,AA13,AC13,AE13,AG13,AI13,AK13,AM13,AO13,AQ13,AS13,AU13,AW13),3),AY13)</f>
        <v>136.28986889368383</v>
      </c>
      <c r="E13" s="65">
        <f>_xlfn.XLOOKUP($B13,'GP1'!$C$6:$C$101,'GP1'!$B$6:$B$101,"")</f>
        <v>7</v>
      </c>
      <c r="F13" s="133">
        <f>_xlfn.XLOOKUP(E13,'GP1'!$B$6:$B$75,'GP1'!$A$6:$A$75,0)</f>
        <v>20.236129415094808</v>
      </c>
      <c r="G13" s="65">
        <f>_xlfn.XLOOKUP($B13,'GP2'!$C$6:$C$101,'GP2'!$B$6:$B$101,"")</f>
        <v>5</v>
      </c>
      <c r="H13" s="133">
        <f>_xlfn.XLOOKUP(G13,'GP2'!$B$6:$B$75,'GP2'!$A$6:$A$75,0)</f>
        <v>27.111800667909257</v>
      </c>
      <c r="I13" s="66">
        <f>_xlfn.XLOOKUP($B13,'GP3'!$C$6:$C$101,'GP3'!$B$6:$B$101,"")</f>
        <v>5</v>
      </c>
      <c r="J13" s="134">
        <f>_xlfn.XLOOKUP(I13,'GP3'!$B$6:$B$75,'GP3'!$A$6:$A$75,0)</f>
        <v>24.108148742410783</v>
      </c>
      <c r="K13" s="66" t="str">
        <f>_xlfn.XLOOKUP($B13,'GP4'!$C$6:$C$101,'GP4'!$B$6:$B$101,"")</f>
        <v/>
      </c>
      <c r="L13" s="134">
        <f>_xlfn.XLOOKUP(K13,'GP4'!$B$6:$B$75,'GP4'!$A$6:$A$75,0)</f>
        <v>0</v>
      </c>
      <c r="M13" s="66" t="str">
        <f>_xlfn.XLOOKUP($B13,'GP5'!$C$6:$C$101,'GP5'!$B$6:$B$101,"")</f>
        <v/>
      </c>
      <c r="N13" s="136">
        <f>_xlfn.XLOOKUP(M13,'GP5'!$B$6:$B$75,'GP5'!$A$6:$A$75,0)</f>
        <v>0</v>
      </c>
      <c r="O13" s="127">
        <f>_xlfn.XLOOKUP($B13,'GP6'!$C$6:$C$101,'GP6'!$B$6:$B$101,"")</f>
        <v>7</v>
      </c>
      <c r="P13" s="136">
        <f>_xlfn.XLOOKUP(O13,'GP6'!$B$6:$B$75,'GP6'!$A$6:$A$75,0)</f>
        <v>21.628499279099643</v>
      </c>
      <c r="Q13" s="127">
        <f>_xlfn.XLOOKUP($B13,'GP7'!$C$6:$C$101,'GP7'!$B$6:$B$101,"")</f>
        <v>9</v>
      </c>
      <c r="R13" s="136">
        <f>_xlfn.XLOOKUP(Q13,'GP7'!$B$6:$B$75,'GP7'!$A$6:$A$75,0)</f>
        <v>6.6728173476214536</v>
      </c>
      <c r="S13" s="127" t="str">
        <f>_xlfn.XLOOKUP($B13,'GP8'!$C$6:$C$101,'GP8'!$B$6:$B$101,"")</f>
        <v/>
      </c>
      <c r="T13" s="136">
        <f>_xlfn.XLOOKUP(S13,'GP8'!$B$6:$B$75,'GP8'!$A$6:$A$75,0)</f>
        <v>0</v>
      </c>
      <c r="U13" s="66" t="str">
        <f>_xlfn.XLOOKUP(B13,MPW!C$6:C$101,MPW!B$6:B$101,"")</f>
        <v/>
      </c>
      <c r="V13" s="136" t="str">
        <f>_xlfn.XLOOKUP(U13,MPW!B$6:B$75,MPW!A$6:A$75,0)</f>
        <v/>
      </c>
      <c r="X13" s="66" t="str">
        <f>_xlfn.XLOOKUP($B13,'PEW1'!$C$6:$C$101,'PEW1'!$B$6:$B$101,"")</f>
        <v/>
      </c>
      <c r="Y13" s="79">
        <f>_xlfn.XLOOKUP(X13,'PEW1'!$B$6:$B$75,'PEW1'!$A$6:$A$75,0)</f>
        <v>0</v>
      </c>
      <c r="Z13" s="65" t="str">
        <f>_xlfn.XLOOKUP($B13,'PEW2'!$C$6:$C$101,'PEW2'!$B$6:$B$101,"")</f>
        <v/>
      </c>
      <c r="AA13" s="76">
        <f>_xlfn.XLOOKUP(Z13,'PEW2'!$B$6:$B$75,'PEW2'!$A$6:$A$75,0)</f>
        <v>0</v>
      </c>
      <c r="AB13" s="65">
        <f>_xlfn.XLOOKUP($B13,'PEW3'!$C$6:$C$101,'PEW3'!$B$6:$B$101,"")</f>
        <v>8</v>
      </c>
      <c r="AC13" s="76">
        <f>_xlfn.XLOOKUP(AB13,'PEW3'!$B$6:$B$75,'PEW3'!$A$6:$A$75,0)</f>
        <v>36.532473441547907</v>
      </c>
      <c r="AD13" s="65" t="str">
        <f>_xlfn.XLOOKUP($B13,VFC!$C$6:$C$101,VFC!$B$6:$B$101,"")</f>
        <v/>
      </c>
      <c r="AE13" s="76">
        <f>_xlfn.XLOOKUP(AD13,VFC!$B$6:$B$75,VFC!$A$6:$A$75,0)</f>
        <v>0</v>
      </c>
      <c r="AF13" s="65" t="str">
        <f>_xlfn.XLOOKUP($B13,'PEW4'!$C$6:$C$101,'PEW4'!$B$6:$B$101,"")</f>
        <v/>
      </c>
      <c r="AG13" s="76">
        <f>_xlfn.XLOOKUP(AF13,'PEW4'!$B$6:$B$75,'PEW4'!$A$6:$A$75,0)</f>
        <v>0</v>
      </c>
      <c r="AH13" s="65" t="str">
        <f>_xlfn.XLOOKUP($B13,'PEW5'!$C$6:$C$101,'PEW5'!$B$6:$B$101,"")</f>
        <v/>
      </c>
      <c r="AI13" s="76">
        <f>_xlfn.XLOOKUP(AH13,'PEW5'!$B$6:$B$75,'PEW5'!$A$6:$A$75,0)</f>
        <v>0</v>
      </c>
      <c r="AJ13" s="65" t="str">
        <f>_xlfn.XLOOKUP($B13,'PEW6'!$C$6:$C$101,'PEW6'!$B$6:$B$101,"")</f>
        <v/>
      </c>
      <c r="AK13" s="76">
        <f>_xlfn.XLOOKUP(AJ13,'PEW6'!$B$6:$B$75,'PEW6'!$A$6:$A$75,0)</f>
        <v>0</v>
      </c>
      <c r="AL13" s="65" t="str">
        <f>_xlfn.XLOOKUP($B13,'PEW7'!$C$6:$C$101,'PEW7'!$B$6:$B$101,"")</f>
        <v/>
      </c>
      <c r="AM13" s="76">
        <f>_xlfn.XLOOKUP(AL13,'PEW7'!$B$6:$B$75,'PEW7'!$A$6:$A$75,0)</f>
        <v>0</v>
      </c>
      <c r="AN13" s="65" t="str">
        <f>_xlfn.XLOOKUP($B13,'PEW8'!$C$6:$C$101,'PEW8'!$B$6:$B$101,"")</f>
        <v/>
      </c>
      <c r="AO13" s="76">
        <f>_xlfn.XLOOKUP(AN13,'PEW8'!$B$6:$B$75,'PEW8'!$A$6:$A$75,0)</f>
        <v>0</v>
      </c>
      <c r="AP13" s="65" t="str">
        <f>_xlfn.XLOOKUP($B13,'PEW9'!$C$6:$C$101,'PEW9'!$B$6:$B$101,"")</f>
        <v/>
      </c>
      <c r="AQ13" s="76">
        <f>_xlfn.XLOOKUP(AP13,'PEW9'!$B$6:$B$75,'PEW9'!$A$6:$A$75,0)</f>
        <v>0</v>
      </c>
      <c r="AR13" s="65" t="str">
        <f>_xlfn.XLOOKUP($B13,'PEW10'!$C$6:$C$101,'PEW10'!$B$6:$B$101,"")</f>
        <v/>
      </c>
      <c r="AS13" s="76">
        <f>_xlfn.XLOOKUP(AR13,'PEW10'!$B$6:$B$75,'PEW10'!$A$6:$A$75,0)</f>
        <v>0</v>
      </c>
      <c r="AT13" s="65" t="str">
        <f>_xlfn.XLOOKUP($B13,'PEW11'!$C$6:$C$101,'PEW11'!$B$6:$B$101,"")</f>
        <v/>
      </c>
      <c r="AU13" s="76">
        <f>_xlfn.XLOOKUP(AT13,'PEW11'!$B$6:$B$75,'PEW11'!$A$6:$A$75,0)</f>
        <v>0</v>
      </c>
      <c r="AV13" s="65" t="str">
        <f>_xlfn.XLOOKUP($B13,'PEW12'!$C$6:$C$101,'PEW12'!$B$6:$B$101,"")</f>
        <v/>
      </c>
      <c r="AW13" s="76">
        <f>_xlfn.XLOOKUP(AV13,'PEW12'!$B$6:$B$75,'PEW12'!$A$6:$A$75,0)</f>
        <v>0</v>
      </c>
      <c r="AX13" s="65" t="str" cm="1">
        <f t="array" ref="AX13">_xlfn.XLOOKUP($B13,IMEW!C$6:C$201,IMEW!$B$6:B$201,"")</f>
        <v/>
      </c>
      <c r="AY13" s="77">
        <f>_xlfn.XLOOKUP(AX13,IMEW!$B$6:$B$201,IMEW!$A$6:$A$201,0)</f>
        <v>0</v>
      </c>
      <c r="BA13" s="78">
        <f t="shared" si="0"/>
        <v>0</v>
      </c>
      <c r="BB13" s="78">
        <f t="shared" si="1"/>
        <v>0</v>
      </c>
      <c r="BC13" s="78">
        <f t="shared" si="2"/>
        <v>36.532473441547907</v>
      </c>
      <c r="BD13" s="78">
        <f t="shared" si="3"/>
        <v>0</v>
      </c>
      <c r="BE13" s="78">
        <f t="shared" si="4"/>
        <v>0</v>
      </c>
      <c r="BF13" s="78">
        <f t="shared" si="5"/>
        <v>0</v>
      </c>
      <c r="BG13" s="78">
        <f t="shared" si="6"/>
        <v>0</v>
      </c>
    </row>
    <row r="14" spans="1:59" ht="14.8" customHeight="1" x14ac:dyDescent="0.25">
      <c r="A14" s="56">
        <f>ROW()-5</f>
        <v>9</v>
      </c>
      <c r="B14" s="53" t="s">
        <v>24</v>
      </c>
      <c r="C14" s="54"/>
      <c r="D14" s="75">
        <f>SUM(F14,H14,J14,L14,N14,P14,R14,T14,V14)-SUM(SMALL((F14,H14,J14,L14,N14,P14,R14,T14),1),SMALL((F14,H14,J14,L14,N14,P14,R14,T14),2))+SUM(LARGE((Y14,AA14,AC14,AE14,AG14,AI14,AK14,AM14,AO14,AQ14,AS14,AU14,AW14),1),LARGE((Y14,AA14,AC14,AE14,AG14,AI14,AK14,AM14,AO14,AQ14,AS14,AU14,AW14),2),LARGE((Y14,AA14,AC14,AE14,AG14,AI14,AK14,AM14,AO14,AQ14,AS14,AU14,AW14),3),AY14)</f>
        <v>135.06885312443558</v>
      </c>
      <c r="E14" s="65">
        <f>_xlfn.XLOOKUP($B14,'GP1'!$C$6:$C$101,'GP1'!$B$6:$B$101,"")</f>
        <v>8</v>
      </c>
      <c r="F14" s="133">
        <f>_xlfn.XLOOKUP(E14,'GP1'!$B$6:$B$75,'GP1'!$A$6:$A$75,0)</f>
        <v>17.507470531270492</v>
      </c>
      <c r="G14" s="65" t="str">
        <f>_xlfn.XLOOKUP($B14,'GP2'!$C$6:$C$101,'GP2'!$B$6:$B$101,"")</f>
        <v/>
      </c>
      <c r="H14" s="133">
        <f>_xlfn.XLOOKUP(G14,'GP2'!$B$6:$B$75,'GP2'!$A$6:$A$75,0)</f>
        <v>0</v>
      </c>
      <c r="I14" s="66">
        <f>_xlfn.XLOOKUP($B14,'GP3'!$C$6:$C$101,'GP3'!$B$6:$B$101,"")</f>
        <v>6</v>
      </c>
      <c r="J14" s="134">
        <f>_xlfn.XLOOKUP(I14,'GP3'!$B$6:$B$75,'GP3'!$A$6:$A$75,0)</f>
        <v>20.042221037499289</v>
      </c>
      <c r="K14" s="66">
        <f>_xlfn.XLOOKUP($B14,'GP4'!$C$6:$C$101,'GP4'!$B$6:$B$101,"")</f>
        <v>7</v>
      </c>
      <c r="L14" s="134">
        <f>_xlfn.XLOOKUP(K14,'GP4'!$B$6:$B$75,'GP4'!$A$6:$A$75,0)</f>
        <v>20.236129415094808</v>
      </c>
      <c r="M14" s="66" t="str">
        <f>_xlfn.XLOOKUP($B14,'GP5'!$C$6:$C$101,'GP5'!$B$6:$B$101,"")</f>
        <v/>
      </c>
      <c r="N14" s="136">
        <f>_xlfn.XLOOKUP(M14,'GP5'!$B$6:$B$75,'GP5'!$A$6:$A$75,0)</f>
        <v>0</v>
      </c>
      <c r="O14" s="127">
        <f>_xlfn.XLOOKUP($B14,'GP6'!$C$6:$C$101,'GP6'!$B$6:$B$101,"")</f>
        <v>5</v>
      </c>
      <c r="P14" s="136">
        <f>_xlfn.XLOOKUP(O14,'GP6'!$B$6:$B$75,'GP6'!$A$6:$A$75,0)</f>
        <v>28.263412343478148</v>
      </c>
      <c r="Q14" s="127">
        <f>_xlfn.XLOOKUP($B14,'GP7'!$C$6:$C$101,'GP7'!$B$6:$B$101,"")</f>
        <v>7</v>
      </c>
      <c r="R14" s="136">
        <f>_xlfn.XLOOKUP(Q14,'GP7'!$B$6:$B$75,'GP7'!$A$6:$A$75,0)</f>
        <v>21.628499279099643</v>
      </c>
      <c r="S14" s="127" t="str">
        <f>_xlfn.XLOOKUP($B14,'GP8'!$C$6:$C$101,'GP8'!$B$6:$B$101,"")</f>
        <v/>
      </c>
      <c r="T14" s="136">
        <f>_xlfn.XLOOKUP(S14,'GP8'!$B$6:$B$75,'GP8'!$A$6:$A$75,0)</f>
        <v>0</v>
      </c>
      <c r="U14" s="66">
        <f>_xlfn.XLOOKUP(B14,MPW!C$6:C$101,MPW!B$6:B$101,"")</f>
        <v>7</v>
      </c>
      <c r="V14" s="136">
        <f>_xlfn.XLOOKUP(U14,MPW!B$6:B$75,MPW!A$6:A$75,0)</f>
        <v>27.391120517993215</v>
      </c>
      <c r="X14" s="66" t="str">
        <f>_xlfn.XLOOKUP($B14,'PEW1'!$C$6:$C$101,'PEW1'!$B$6:$B$101,"")</f>
        <v/>
      </c>
      <c r="Y14" s="79">
        <f>_xlfn.XLOOKUP(X14,'PEW1'!$B$6:$B$75,'PEW1'!$A$6:$A$75,0)</f>
        <v>0</v>
      </c>
      <c r="Z14" s="65" t="str">
        <f>_xlfn.XLOOKUP($B14,'PEW2'!$C$6:$C$101,'PEW2'!$B$6:$B$101,"")</f>
        <v/>
      </c>
      <c r="AA14" s="76">
        <f>_xlfn.XLOOKUP(Z14,'PEW2'!$B$6:$B$75,'PEW2'!$A$6:$A$75,0)</f>
        <v>0</v>
      </c>
      <c r="AB14" s="65" t="str">
        <f>_xlfn.XLOOKUP($B14,'PEW3'!$C$6:$C$101,'PEW3'!$B$6:$B$101,"")</f>
        <v/>
      </c>
      <c r="AC14" s="76">
        <f>_xlfn.XLOOKUP(AB14,'PEW3'!$B$6:$B$75,'PEW3'!$A$6:$A$75,0)</f>
        <v>0</v>
      </c>
      <c r="AD14" s="65" t="str">
        <f>_xlfn.XLOOKUP($B14,VFC!$C$6:$C$101,VFC!$B$6:$B$101,"")</f>
        <v/>
      </c>
      <c r="AE14" s="76">
        <f>_xlfn.XLOOKUP(AD14,VFC!$B$6:$B$75,VFC!$A$6:$A$75,0)</f>
        <v>0</v>
      </c>
      <c r="AF14" s="65" t="str">
        <f>_xlfn.XLOOKUP($B14,'PEW4'!$C$6:$C$101,'PEW4'!$B$6:$B$101,"")</f>
        <v/>
      </c>
      <c r="AG14" s="76">
        <f>_xlfn.XLOOKUP(AF14,'PEW4'!$B$6:$B$75,'PEW4'!$A$6:$A$75,0)</f>
        <v>0</v>
      </c>
      <c r="AH14" s="65" t="str">
        <f>_xlfn.XLOOKUP($B14,'PEW5'!$C$6:$C$101,'PEW5'!$B$6:$B$101,"")</f>
        <v/>
      </c>
      <c r="AI14" s="76">
        <f>_xlfn.XLOOKUP(AH14,'PEW5'!$B$6:$B$75,'PEW5'!$A$6:$A$75,0)</f>
        <v>0</v>
      </c>
      <c r="AJ14" s="65" t="str">
        <f>_xlfn.XLOOKUP($B14,'PEW6'!$C$6:$C$101,'PEW6'!$B$6:$B$101,"")</f>
        <v/>
      </c>
      <c r="AK14" s="76">
        <f>_xlfn.XLOOKUP(AJ14,'PEW6'!$B$6:$B$75,'PEW6'!$A$6:$A$75,0)</f>
        <v>0</v>
      </c>
      <c r="AL14" s="65" t="str">
        <f>_xlfn.XLOOKUP($B14,'PEW7'!$C$6:$C$101,'PEW7'!$B$6:$B$101,"")</f>
        <v/>
      </c>
      <c r="AM14" s="76">
        <f>_xlfn.XLOOKUP(AL14,'PEW7'!$B$6:$B$75,'PEW7'!$A$6:$A$75,0)</f>
        <v>0</v>
      </c>
      <c r="AN14" s="65" t="str">
        <f>_xlfn.XLOOKUP($B14,'PEW8'!$C$6:$C$101,'PEW8'!$B$6:$B$101,"")</f>
        <v/>
      </c>
      <c r="AO14" s="76">
        <f>_xlfn.XLOOKUP(AN14,'PEW8'!$B$6:$B$75,'PEW8'!$A$6:$A$75,0)</f>
        <v>0</v>
      </c>
      <c r="AP14" s="65" t="str">
        <f>_xlfn.XLOOKUP($B14,'PEW9'!$C$6:$C$101,'PEW9'!$B$6:$B$101,"")</f>
        <v/>
      </c>
      <c r="AQ14" s="76">
        <f>_xlfn.XLOOKUP(AP14,'PEW9'!$B$6:$B$75,'PEW9'!$A$6:$A$75,0)</f>
        <v>0</v>
      </c>
      <c r="AR14" s="65" t="str">
        <f>_xlfn.XLOOKUP($B14,'PEW10'!$C$6:$C$101,'PEW10'!$B$6:$B$101,"")</f>
        <v/>
      </c>
      <c r="AS14" s="76">
        <f>_xlfn.XLOOKUP(AR14,'PEW10'!$B$6:$B$75,'PEW10'!$A$6:$A$75,0)</f>
        <v>0</v>
      </c>
      <c r="AT14" s="65" t="str">
        <f>_xlfn.XLOOKUP($B14,'PEW11'!$C$6:$C$101,'PEW11'!$B$6:$B$101,"")</f>
        <v/>
      </c>
      <c r="AU14" s="76">
        <f>_xlfn.XLOOKUP(AT14,'PEW11'!$B$6:$B$75,'PEW11'!$A$6:$A$75,0)</f>
        <v>0</v>
      </c>
      <c r="AV14" s="65" t="str">
        <f>_xlfn.XLOOKUP($B14,'PEW12'!$C$6:$C$101,'PEW12'!$B$6:$B$101,"")</f>
        <v/>
      </c>
      <c r="AW14" s="76">
        <f>_xlfn.XLOOKUP(AV14,'PEW12'!$B$6:$B$75,'PEW12'!$A$6:$A$75,0)</f>
        <v>0</v>
      </c>
      <c r="AX14" s="65" t="str" cm="1">
        <f t="array" ref="AX14">_xlfn.XLOOKUP($B14,IMEW!C$6:C$201,IMEW!$B$6:B$201,"")</f>
        <v/>
      </c>
      <c r="AY14" s="77">
        <f>_xlfn.XLOOKUP(AX14,IMEW!$B$6:$B$201,IMEW!$A$6:$A$201,0)</f>
        <v>0</v>
      </c>
      <c r="BA14" s="78">
        <f t="shared" si="0"/>
        <v>0</v>
      </c>
      <c r="BB14" s="78">
        <f t="shared" si="1"/>
        <v>0</v>
      </c>
      <c r="BC14" s="78">
        <f t="shared" si="2"/>
        <v>0</v>
      </c>
      <c r="BD14" s="78">
        <f t="shared" si="3"/>
        <v>0</v>
      </c>
      <c r="BE14" s="78">
        <f t="shared" si="4"/>
        <v>0</v>
      </c>
      <c r="BF14" s="78">
        <f t="shared" si="5"/>
        <v>0</v>
      </c>
      <c r="BG14" s="78">
        <f t="shared" si="6"/>
        <v>0</v>
      </c>
    </row>
    <row r="15" spans="1:59" ht="14.8" customHeight="1" x14ac:dyDescent="0.25">
      <c r="A15" s="56">
        <f>ROW()-5</f>
        <v>10</v>
      </c>
      <c r="B15" s="53" t="s">
        <v>26</v>
      </c>
      <c r="C15" s="54"/>
      <c r="D15" s="75">
        <f>SUM(F15,H15,J15,L15,N15,P15,R15,T15,V15)-SUM(SMALL((F15,H15,J15,L15,N15,P15,R15,T15),1),SMALL((F15,H15,J15,L15,N15,P15,R15,T15),2))+SUM(LARGE((Y15,AA15,AC15,AE15,AG15,AI15,AK15,AM15,AO15,AQ15,AS15,AU15,AW15),1),LARGE((Y15,AA15,AC15,AE15,AG15,AI15,AK15,AM15,AO15,AQ15,AS15,AU15,AW15),2),LARGE((Y15,AA15,AC15,AE15,AG15,AI15,AK15,AM15,AO15,AQ15,AS15,AU15,AW15),3),AY15)</f>
        <v>121.56107758273342</v>
      </c>
      <c r="E15" s="65">
        <f>_xlfn.XLOOKUP($B15,'GP1'!$C$6:$C$101,'GP1'!$B$6:$B$101,"")</f>
        <v>4</v>
      </c>
      <c r="F15" s="133">
        <f>_xlfn.XLOOKUP(E15,'GP1'!$B$6:$B$75,'GP1'!$A$6:$A$75,0)</f>
        <v>41.67164702084699</v>
      </c>
      <c r="G15" s="65" t="str">
        <f>_xlfn.XLOOKUP($B15,'GP2'!$C$6:$C$101,'GP2'!$B$6:$B$101,"")</f>
        <v/>
      </c>
      <c r="H15" s="133">
        <f>_xlfn.XLOOKUP(G15,'GP2'!$B$6:$B$75,'GP2'!$A$6:$A$75,0)</f>
        <v>0</v>
      </c>
      <c r="I15" s="66" t="str">
        <f>_xlfn.XLOOKUP($B15,'GP3'!$C$6:$C$101,'GP3'!$B$6:$B$101,"")</f>
        <v/>
      </c>
      <c r="J15" s="134">
        <f>_xlfn.XLOOKUP(I15,'GP3'!$B$6:$B$75,'GP3'!$A$6:$A$75,0)</f>
        <v>0</v>
      </c>
      <c r="K15" s="66" t="str">
        <f>_xlfn.XLOOKUP($B15,'GP4'!$C$6:$C$101,'GP4'!$B$6:$B$101,"")</f>
        <v/>
      </c>
      <c r="L15" s="134">
        <f>_xlfn.XLOOKUP(K15,'GP4'!$B$6:$B$75,'GP4'!$A$6:$A$75,0)</f>
        <v>0</v>
      </c>
      <c r="M15" s="66">
        <f>_xlfn.XLOOKUP($B15,'GP5'!$C$6:$C$101,'GP5'!$B$6:$B$101,"")</f>
        <v>3</v>
      </c>
      <c r="N15" s="136">
        <f>_xlfn.XLOOKUP(M15,'GP5'!$B$6:$B$75,'GP5'!$A$6:$A$75,0)</f>
        <v>51.740251469155709</v>
      </c>
      <c r="O15" s="127">
        <f>_xlfn.XLOOKUP($B15,'GP6'!$C$6:$C$101,'GP6'!$B$6:$B$101,"")</f>
        <v>6</v>
      </c>
      <c r="P15" s="136">
        <f>_xlfn.XLOOKUP(O15,'GP6'!$B$6:$B$75,'GP6'!$A$6:$A$75,0)</f>
        <v>24.668204336905362</v>
      </c>
      <c r="Q15" s="127" t="str">
        <f>_xlfn.XLOOKUP($B15,'GP7'!$C$6:$C$101,'GP7'!$B$6:$B$101,"")</f>
        <v/>
      </c>
      <c r="R15" s="136">
        <f>_xlfn.XLOOKUP(Q15,'GP7'!$B$6:$B$75,'GP7'!$A$6:$A$75,0)</f>
        <v>0</v>
      </c>
      <c r="S15" s="127" t="str">
        <f>_xlfn.XLOOKUP($B15,'GP8'!$C$6:$C$101,'GP8'!$B$6:$B$101,"")</f>
        <v/>
      </c>
      <c r="T15" s="136">
        <f>_xlfn.XLOOKUP(S15,'GP8'!$B$6:$B$75,'GP8'!$A$6:$A$75,0)</f>
        <v>0</v>
      </c>
      <c r="U15" s="66" t="str">
        <f>_xlfn.XLOOKUP(B15,MPW!C$6:C$101,MPW!B$6:B$101,"")</f>
        <v/>
      </c>
      <c r="V15" s="136" t="str">
        <f>_xlfn.XLOOKUP(U15,MPW!B$6:B$75,MPW!A$6:A$75,0)</f>
        <v/>
      </c>
      <c r="X15" s="66" t="str">
        <f>_xlfn.XLOOKUP($B15,'PEW1'!$C$6:$C$101,'PEW1'!$B$6:$B$101,"")</f>
        <v/>
      </c>
      <c r="Y15" s="79">
        <f>_xlfn.XLOOKUP(X15,'PEW1'!$B$6:$B$75,'PEW1'!$A$6:$A$75,0)</f>
        <v>0</v>
      </c>
      <c r="Z15" s="65" t="str">
        <f>_xlfn.XLOOKUP($B15,'PEW2'!$C$6:$C$101,'PEW2'!$B$6:$B$101,"")</f>
        <v/>
      </c>
      <c r="AA15" s="76">
        <f>_xlfn.XLOOKUP(Z15,'PEW2'!$B$6:$B$75,'PEW2'!$A$6:$A$75,0)</f>
        <v>0</v>
      </c>
      <c r="AB15" s="65">
        <f>_xlfn.XLOOKUP($B15,'PEW3'!$C$6:$C$101,'PEW3'!$B$6:$B$101,"")</f>
        <v>18</v>
      </c>
      <c r="AC15" s="76">
        <f>_xlfn.XLOOKUP(AB15,'PEW3'!$B$6:$B$75,'PEW3'!$A$6:$A$75,0)</f>
        <v>3.4809747558253505</v>
      </c>
      <c r="AD15" s="65" t="str">
        <f>_xlfn.XLOOKUP($B15,VFC!$C$6:$C$101,VFC!$B$6:$B$101,"")</f>
        <v/>
      </c>
      <c r="AE15" s="76">
        <f>_xlfn.XLOOKUP(AD15,VFC!$B$6:$B$75,VFC!$A$6:$A$75,0)</f>
        <v>0</v>
      </c>
      <c r="AF15" s="65" t="str">
        <f>_xlfn.XLOOKUP($B15,'PEW4'!$C$6:$C$101,'PEW4'!$B$6:$B$101,"")</f>
        <v/>
      </c>
      <c r="AG15" s="76">
        <f>_xlfn.XLOOKUP(AF15,'PEW4'!$B$6:$B$75,'PEW4'!$A$6:$A$75,0)</f>
        <v>0</v>
      </c>
      <c r="AH15" s="65" t="str">
        <f>_xlfn.XLOOKUP($B15,'PEW5'!$C$6:$C$101,'PEW5'!$B$6:$B$101,"")</f>
        <v/>
      </c>
      <c r="AI15" s="76">
        <f>_xlfn.XLOOKUP(AH15,'PEW5'!$B$6:$B$75,'PEW5'!$A$6:$A$75,0)</f>
        <v>0</v>
      </c>
      <c r="AJ15" s="65" t="str">
        <f>_xlfn.XLOOKUP($B15,'PEW6'!$C$6:$C$101,'PEW6'!$B$6:$B$101,"")</f>
        <v/>
      </c>
      <c r="AK15" s="76">
        <f>_xlfn.XLOOKUP(AJ15,'PEW6'!$B$6:$B$75,'PEW6'!$A$6:$A$75,0)</f>
        <v>0</v>
      </c>
      <c r="AL15" s="65" t="str">
        <f>_xlfn.XLOOKUP($B15,'PEW7'!$C$6:$C$101,'PEW7'!$B$6:$B$101,"")</f>
        <v/>
      </c>
      <c r="AM15" s="76">
        <f>_xlfn.XLOOKUP(AL15,'PEW7'!$B$6:$B$75,'PEW7'!$A$6:$A$75,0)</f>
        <v>0</v>
      </c>
      <c r="AN15" s="65" t="str">
        <f>_xlfn.XLOOKUP($B15,'PEW8'!$C$6:$C$101,'PEW8'!$B$6:$B$101,"")</f>
        <v/>
      </c>
      <c r="AO15" s="76">
        <f>_xlfn.XLOOKUP(AN15,'PEW8'!$B$6:$B$75,'PEW8'!$A$6:$A$75,0)</f>
        <v>0</v>
      </c>
      <c r="AP15" s="65" t="str">
        <f>_xlfn.XLOOKUP($B15,'PEW9'!$C$6:$C$101,'PEW9'!$B$6:$B$101,"")</f>
        <v/>
      </c>
      <c r="AQ15" s="76">
        <f>_xlfn.XLOOKUP(AP15,'PEW9'!$B$6:$B$75,'PEW9'!$A$6:$A$75,0)</f>
        <v>0</v>
      </c>
      <c r="AR15" s="65" t="str">
        <f>_xlfn.XLOOKUP($B15,'PEW10'!$C$6:$C$101,'PEW10'!$B$6:$B$101,"")</f>
        <v/>
      </c>
      <c r="AS15" s="76">
        <f>_xlfn.XLOOKUP(AR15,'PEW10'!$B$6:$B$75,'PEW10'!$A$6:$A$75,0)</f>
        <v>0</v>
      </c>
      <c r="AT15" s="65" t="str">
        <f>_xlfn.XLOOKUP($B15,'PEW11'!$C$6:$C$101,'PEW11'!$B$6:$B$101,"")</f>
        <v/>
      </c>
      <c r="AU15" s="76">
        <f>_xlfn.XLOOKUP(AT15,'PEW11'!$B$6:$B$75,'PEW11'!$A$6:$A$75,0)</f>
        <v>0</v>
      </c>
      <c r="AV15" s="65" t="str">
        <f>_xlfn.XLOOKUP($B15,'PEW12'!$C$6:$C$101,'PEW12'!$B$6:$B$101,"")</f>
        <v/>
      </c>
      <c r="AW15" s="76">
        <f>_xlfn.XLOOKUP(AV15,'PEW12'!$B$6:$B$75,'PEW12'!$A$6:$A$75,0)</f>
        <v>0</v>
      </c>
      <c r="AX15" s="65" t="str" cm="1">
        <f t="array" ref="AX15">_xlfn.XLOOKUP($B15,IMEW!C$6:C$201,IMEW!$B$6:B$201,"")</f>
        <v/>
      </c>
      <c r="AY15" s="77">
        <f>_xlfn.XLOOKUP(AX15,IMEW!$B$6:$B$201,IMEW!$A$6:$A$201,0)</f>
        <v>0</v>
      </c>
      <c r="BA15" s="78">
        <f t="shared" si="0"/>
        <v>0</v>
      </c>
      <c r="BB15" s="78">
        <f t="shared" si="1"/>
        <v>0</v>
      </c>
      <c r="BC15" s="78">
        <f t="shared" si="2"/>
        <v>3.4809747558253505</v>
      </c>
      <c r="BD15" s="78">
        <f t="shared" si="3"/>
        <v>0</v>
      </c>
      <c r="BE15" s="78">
        <f t="shared" si="4"/>
        <v>0</v>
      </c>
      <c r="BF15" s="78">
        <f t="shared" si="5"/>
        <v>0</v>
      </c>
      <c r="BG15" s="78">
        <f t="shared" si="6"/>
        <v>0</v>
      </c>
    </row>
    <row r="16" spans="1:59" ht="14.8" customHeight="1" x14ac:dyDescent="0.25">
      <c r="A16" s="56">
        <f>ROW()-5</f>
        <v>11</v>
      </c>
      <c r="B16" s="53" t="s">
        <v>28</v>
      </c>
      <c r="C16" s="54"/>
      <c r="D16" s="75">
        <f>SUM(F16,H16,J16,L16,N16,P16,R16,T16,V16)-SUM(SMALL((F16,H16,J16,L16,N16,P16,R16,T16),1),SMALL((F16,H16,J16,L16,N16,P16,R16,T16),2))+SUM(LARGE((Y16,AA16,AC16,AE16,AG16,AI16,AK16,AM16,AO16,AQ16,AS16,AU16,AW16),1),LARGE((Y16,AA16,AC16,AE16,AG16,AI16,AK16,AM16,AO16,AQ16,AS16,AU16,AW16),2),LARGE((Y16,AA16,AC16,AE16,AG16,AI16,AK16,AM16,AO16,AQ16,AS16,AU16,AW16),3),AY16)</f>
        <v>117.85016848136101</v>
      </c>
      <c r="E16" s="65">
        <f>_xlfn.XLOOKUP($B16,'GP1'!$C$6:$C$101,'GP1'!$B$6:$B$101,"")</f>
        <v>10</v>
      </c>
      <c r="F16" s="133">
        <f>_xlfn.XLOOKUP(E16,'GP1'!$B$6:$B$75,'GP1'!$A$6:$A$75,0)</f>
        <v>2.9476241783327595</v>
      </c>
      <c r="G16" s="65">
        <f>_xlfn.XLOOKUP($B16,'GP2'!$C$6:$C$101,'GP2'!$B$6:$B$101,"")</f>
        <v>9</v>
      </c>
      <c r="H16" s="133">
        <f>_xlfn.XLOOKUP(G16,'GP2'!$B$6:$B$75,'GP2'!$A$6:$A$75,0)</f>
        <v>5.1006228208500346</v>
      </c>
      <c r="I16" s="66">
        <f>_xlfn.XLOOKUP($B16,'GP3'!$C$6:$C$101,'GP3'!$B$6:$B$101,"")</f>
        <v>8</v>
      </c>
      <c r="J16" s="134">
        <f>_xlfn.XLOOKUP(I16,'GP3'!$B$6:$B$75,'GP3'!$A$6:$A$75,0)</f>
        <v>13.62666311249788</v>
      </c>
      <c r="K16" s="66">
        <f>_xlfn.XLOOKUP($B16,'GP4'!$C$6:$C$101,'GP4'!$B$6:$B$101,"")</f>
        <v>8</v>
      </c>
      <c r="L16" s="134">
        <f>_xlfn.XLOOKUP(K16,'GP4'!$B$6:$B$75,'GP4'!$A$6:$A$75,0)</f>
        <v>17.507470531270492</v>
      </c>
      <c r="M16" s="66">
        <f>_xlfn.XLOOKUP($B16,'GP5'!$C$6:$C$101,'GP5'!$B$6:$B$101,"")</f>
        <v>7</v>
      </c>
      <c r="N16" s="136">
        <f>_xlfn.XLOOKUP(M16,'GP5'!$B$6:$B$75,'GP5'!$A$6:$A$75,0)</f>
        <v>16.60452814554516</v>
      </c>
      <c r="O16" s="127">
        <f>_xlfn.XLOOKUP($B16,'GP6'!$C$6:$C$101,'GP6'!$B$6:$B$101,"")</f>
        <v>9</v>
      </c>
      <c r="P16" s="136">
        <f>_xlfn.XLOOKUP(O16,'GP6'!$B$6:$B$75,'GP6'!$A$6:$A$75,0)</f>
        <v>6.6728173476214536</v>
      </c>
      <c r="Q16" s="127">
        <f>_xlfn.XLOOKUP($B16,'GP7'!$C$6:$C$101,'GP7'!$B$6:$B$101,"")</f>
        <v>6</v>
      </c>
      <c r="R16" s="136">
        <f>_xlfn.XLOOKUP(Q16,'GP7'!$B$6:$B$75,'GP7'!$A$6:$A$75,0)</f>
        <v>24.668204336905362</v>
      </c>
      <c r="S16" s="127">
        <f>_xlfn.XLOOKUP($B16,'GP8'!$C$6:$C$101,'GP8'!$B$6:$B$101,"")</f>
        <v>9</v>
      </c>
      <c r="T16" s="136">
        <f>_xlfn.XLOOKUP(S16,'GP8'!$B$6:$B$75,'GP8'!$A$6:$A$75,0)</f>
        <v>1</v>
      </c>
      <c r="U16" s="66">
        <f>_xlfn.XLOOKUP(B16,MPW!C$6:C$101,MPW!B$6:B$101,"")</f>
        <v>10</v>
      </c>
      <c r="V16" s="136">
        <f>_xlfn.XLOOKUP(U16,MPW!B$6:B$75,MPW!A$6:A$75,0)</f>
        <v>7.2145510108457609</v>
      </c>
      <c r="X16" s="66" t="str">
        <f>_xlfn.XLOOKUP($B16,'PEW1'!$C$6:$C$101,'PEW1'!$B$6:$B$101,"")</f>
        <v/>
      </c>
      <c r="Y16" s="79">
        <f>_xlfn.XLOOKUP(X16,'PEW1'!$B$6:$B$75,'PEW1'!$A$6:$A$75,0)</f>
        <v>0</v>
      </c>
      <c r="Z16" s="65" t="str">
        <f>_xlfn.XLOOKUP($B16,'PEW2'!$C$6:$C$101,'PEW2'!$B$6:$B$101,"")</f>
        <v/>
      </c>
      <c r="AA16" s="76">
        <f>_xlfn.XLOOKUP(Z16,'PEW2'!$B$6:$B$75,'PEW2'!$A$6:$A$75,0)</f>
        <v>0</v>
      </c>
      <c r="AB16" s="65">
        <f>_xlfn.XLOOKUP($B16,'PEW3'!$C$6:$C$101,'PEW3'!$B$6:$B$101,"")</f>
        <v>20</v>
      </c>
      <c r="AC16" s="76">
        <f>_xlfn.XLOOKUP(AB16,'PEW3'!$B$6:$B$75,'PEW3'!$A$6:$A$75,0)</f>
        <v>1.7852522335456484</v>
      </c>
      <c r="AD16" s="65" t="str">
        <f>_xlfn.XLOOKUP($B16,VFC!$C$6:$C$101,VFC!$B$6:$B$101,"")</f>
        <v/>
      </c>
      <c r="AE16" s="76">
        <f>_xlfn.XLOOKUP(AD16,VFC!$B$6:$B$75,VFC!$A$6:$A$75,0)</f>
        <v>0</v>
      </c>
      <c r="AF16" s="65">
        <f>_xlfn.XLOOKUP($B16,'PEW4'!$C$6:$C$101,'PEW4'!$B$6:$B$101,"")</f>
        <v>35</v>
      </c>
      <c r="AG16" s="76">
        <f>_xlfn.XLOOKUP(AF16,'PEW4'!$B$6:$B$75,'PEW4'!$A$6:$A$75,0)</f>
        <v>2.1077859428392856</v>
      </c>
      <c r="AH16" s="65" t="str">
        <f>_xlfn.XLOOKUP($B16,'PEW5'!$C$6:$C$101,'PEW5'!$B$6:$B$101,"")</f>
        <v/>
      </c>
      <c r="AI16" s="76">
        <f>_xlfn.XLOOKUP(AH16,'PEW5'!$B$6:$B$75,'PEW5'!$A$6:$A$75,0)</f>
        <v>0</v>
      </c>
      <c r="AJ16" s="65" t="str">
        <f>_xlfn.XLOOKUP($B16,'PEW6'!$C$6:$C$101,'PEW6'!$B$6:$B$101,"")</f>
        <v/>
      </c>
      <c r="AK16" s="76">
        <f>_xlfn.XLOOKUP(AJ16,'PEW6'!$B$6:$B$75,'PEW6'!$A$6:$A$75,0)</f>
        <v>0</v>
      </c>
      <c r="AL16" s="65">
        <f>_xlfn.XLOOKUP($B16,'PEW7'!$C$6:$C$101,'PEW7'!$B$6:$B$101,"")</f>
        <v>51</v>
      </c>
      <c r="AM16" s="76">
        <f>_xlfn.XLOOKUP(AL16,'PEW7'!$B$6:$B$75,'PEW7'!$A$6:$A$75,0)</f>
        <v>2.9449822613534593</v>
      </c>
      <c r="AN16" s="65" t="str">
        <f>_xlfn.XLOOKUP($B16,'PEW8'!$C$6:$C$101,'PEW8'!$B$6:$B$101,"")</f>
        <v/>
      </c>
      <c r="AO16" s="76">
        <f>_xlfn.XLOOKUP(AN16,'PEW8'!$B$6:$B$75,'PEW8'!$A$6:$A$75,0)</f>
        <v>0</v>
      </c>
      <c r="AP16" s="65">
        <f>_xlfn.XLOOKUP($B16,'PEW9'!$C$6:$C$101,'PEW9'!$B$6:$B$101,"")</f>
        <v>16</v>
      </c>
      <c r="AQ16" s="76">
        <f>_xlfn.XLOOKUP(AP16,'PEW9'!$B$6:$B$75,'PEW9'!$A$6:$A$75,0)</f>
        <v>17.251558770835814</v>
      </c>
      <c r="AR16" s="65" t="str">
        <f>_xlfn.XLOOKUP($B16,'PEW10'!$C$6:$C$101,'PEW10'!$B$6:$B$101,"")</f>
        <v/>
      </c>
      <c r="AS16" s="76">
        <f>_xlfn.XLOOKUP(AR16,'PEW10'!$B$6:$B$75,'PEW10'!$A$6:$A$75,0)</f>
        <v>0</v>
      </c>
      <c r="AT16" s="65">
        <f>_xlfn.XLOOKUP($B16,'PEW11'!$C$6:$C$101,'PEW11'!$B$6:$B$101,"")</f>
        <v>24</v>
      </c>
      <c r="AU16" s="76">
        <f>_xlfn.XLOOKUP(AT16,'PEW11'!$B$6:$B$75,'PEW11'!$A$6:$A$75,0)</f>
        <v>1.6214212166989768</v>
      </c>
      <c r="AV16" s="65">
        <f>_xlfn.XLOOKUP($B16,'PEW12'!$C$6:$C$101,'PEW12'!$B$6:$B$101,"")</f>
        <v>23</v>
      </c>
      <c r="AW16" s="76">
        <f>_xlfn.XLOOKUP(AV16,'PEW12'!$B$6:$B$75,'PEW12'!$A$6:$A$75,0)</f>
        <v>3.3838527733955743</v>
      </c>
      <c r="AX16" s="65" cm="1">
        <f t="array" ref="AX16">_xlfn.XLOOKUP($B16,IMEW!C$6:C$201,IMEW!$B$6:B$201,"")</f>
        <v>192</v>
      </c>
      <c r="AY16" s="77">
        <f>_xlfn.XLOOKUP(AX16,IMEW!$B$6:$B$201,IMEW!$A$6:$A$201,0)</f>
        <v>2.8749173702400044</v>
      </c>
      <c r="BA16" s="78">
        <f t="shared" si="0"/>
        <v>0</v>
      </c>
      <c r="BB16" s="78">
        <f t="shared" si="1"/>
        <v>0</v>
      </c>
      <c r="BC16" s="78">
        <f t="shared" si="2"/>
        <v>1.7852522335456484</v>
      </c>
      <c r="BD16" s="78">
        <f t="shared" si="3"/>
        <v>2.1077859428392856</v>
      </c>
      <c r="BE16" s="78">
        <f t="shared" si="4"/>
        <v>0</v>
      </c>
      <c r="BF16" s="78">
        <f t="shared" si="5"/>
        <v>0</v>
      </c>
      <c r="BG16" s="78">
        <f t="shared" si="6"/>
        <v>2.9449822613534593</v>
      </c>
    </row>
    <row r="17" spans="1:59" ht="14.8" customHeight="1" x14ac:dyDescent="0.25">
      <c r="A17" s="56">
        <f>ROW()-5</f>
        <v>12</v>
      </c>
      <c r="B17" s="137" t="s">
        <v>30</v>
      </c>
      <c r="C17" s="54"/>
      <c r="D17" s="75">
        <f>SUM(F17,H17,J17,L17,N17,P17,R17,T17,V17)-SUM(SMALL((F17,H17,J17,L17,N17,P17,R17,T17),1),SMALL((F17,H17,J17,L17,N17,P17,R17,T17),2))+SUM(LARGE((Y17,AA17,AC17,AE17,AG17,AI17,AK17,AM17,AO17,AQ17,AS17,AU17,AW17),1),LARGE((Y17,AA17,AC17,AE17,AG17,AI17,AK17,AM17,AO17,AQ17,AS17,AU17,AW17),2),LARGE((Y17,AA17,AC17,AE17,AG17,AI17,AK17,AM17,AO17,AQ17,AS17,AU17,AW17),3),AY17)</f>
        <v>95.802827983178261</v>
      </c>
      <c r="E17" s="65" t="str">
        <f>_xlfn.XLOOKUP($B17,'GP1'!$C$6:$C$101,'GP1'!$B$6:$B$101,"")</f>
        <v/>
      </c>
      <c r="F17" s="133">
        <f>_xlfn.XLOOKUP(E17,'GP1'!$B$6:$B$75,'GP1'!$A$6:$A$75,0)</f>
        <v>0</v>
      </c>
      <c r="G17" s="65">
        <f>_xlfn.XLOOKUP($B17,'GP2'!$C$6:$C$101,'GP2'!$B$6:$B$101,"")</f>
        <v>8</v>
      </c>
      <c r="H17" s="133">
        <f>_xlfn.XLOOKUP(G17,'GP2'!$B$6:$B$75,'GP2'!$A$6:$A$75,0)</f>
        <v>17.507470531270492</v>
      </c>
      <c r="I17" s="66" t="str">
        <f>_xlfn.XLOOKUP($B17,'GP3'!$C$6:$C$101,'GP3'!$B$6:$B$101,"")</f>
        <v/>
      </c>
      <c r="J17" s="134">
        <f>_xlfn.XLOOKUP(I17,'GP3'!$B$6:$B$75,'GP3'!$A$6:$A$75,0)</f>
        <v>0</v>
      </c>
      <c r="K17" s="66">
        <f>_xlfn.XLOOKUP($B17,'GP4'!$C$6:$C$101,'GP4'!$B$6:$B$101,"")</f>
        <v>9</v>
      </c>
      <c r="L17" s="134">
        <f>_xlfn.XLOOKUP(K17,'GP4'!$B$6:$B$75,'GP4'!$A$6:$A$75,0)</f>
        <v>5.1006228208500346</v>
      </c>
      <c r="M17" s="66">
        <f>_xlfn.XLOOKUP($B17,'GP5'!$C$6:$C$101,'GP5'!$B$6:$B$101,"")</f>
        <v>6</v>
      </c>
      <c r="N17" s="136">
        <f>_xlfn.XLOOKUP(M17,'GP5'!$B$6:$B$75,'GP5'!$A$6:$A$75,0)</f>
        <v>20.042221037499289</v>
      </c>
      <c r="O17" s="127">
        <f>_xlfn.XLOOKUP($B17,'GP6'!$C$6:$C$101,'GP6'!$B$6:$B$101,"")</f>
        <v>10</v>
      </c>
      <c r="P17" s="136">
        <f>_xlfn.XLOOKUP(O17,'GP6'!$B$6:$B$75,'GP6'!$A$6:$A$75,0)</f>
        <v>4.5952080065727898</v>
      </c>
      <c r="Q17" s="127" t="str">
        <f>_xlfn.XLOOKUP($B17,'GP7'!$C$6:$C$101,'GP7'!$B$6:$B$101,"")</f>
        <v/>
      </c>
      <c r="R17" s="136">
        <f>_xlfn.XLOOKUP(Q17,'GP7'!$B$6:$B$75,'GP7'!$A$6:$A$75,0)</f>
        <v>0</v>
      </c>
      <c r="S17" s="127" t="str">
        <f>_xlfn.XLOOKUP($B17,'GP8'!$C$6:$C$101,'GP8'!$B$6:$B$101,"")</f>
        <v/>
      </c>
      <c r="T17" s="136">
        <f>_xlfn.XLOOKUP(S17,'GP8'!$B$6:$B$75,'GP8'!$A$6:$A$75,0)</f>
        <v>0</v>
      </c>
      <c r="U17" s="66">
        <f>_xlfn.XLOOKUP(B17,MPW!C$6:C$101,MPW!B$6:B$101,"")</f>
        <v>8</v>
      </c>
      <c r="V17" s="136">
        <f>_xlfn.XLOOKUP(U17,MPW!B$6:B$75,MPW!A$6:A$75,0)</f>
        <v>24.329989559020802</v>
      </c>
      <c r="X17" s="66" t="str">
        <f>_xlfn.XLOOKUP($B17,'PEW1'!$C$6:$C$101,'PEW1'!$B$6:$B$101,"")</f>
        <v/>
      </c>
      <c r="Y17" s="79">
        <f>_xlfn.XLOOKUP(X17,'PEW1'!$B$6:$B$75,'PEW1'!$A$6:$A$75,0)</f>
        <v>0</v>
      </c>
      <c r="Z17" s="65" t="str">
        <f>_xlfn.XLOOKUP($B17,'PEW2'!$C$6:$C$101,'PEW2'!$B$6:$B$101,"")</f>
        <v/>
      </c>
      <c r="AA17" s="76">
        <f>_xlfn.XLOOKUP(Z17,'PEW2'!$B$6:$B$75,'PEW2'!$A$6:$A$75,0)</f>
        <v>0</v>
      </c>
      <c r="AB17" s="65">
        <f>_xlfn.XLOOKUP($B17,'PEW3'!$C$6:$C$101,'PEW3'!$B$6:$B$101,"")</f>
        <v>17</v>
      </c>
      <c r="AC17" s="76">
        <f>_xlfn.XLOOKUP(AB17,'PEW3'!$B$6:$B$75,'PEW3'!$A$6:$A$75,0)</f>
        <v>4.4009096012560747</v>
      </c>
      <c r="AD17" s="65" t="str">
        <f>_xlfn.XLOOKUP($B17,VFC!$C$6:$C$101,VFC!$B$6:$B$101,"")</f>
        <v/>
      </c>
      <c r="AE17" s="76">
        <f>_xlfn.XLOOKUP(AD17,VFC!$B$6:$B$75,VFC!$A$6:$A$75,0)</f>
        <v>0</v>
      </c>
      <c r="AF17" s="65" t="str">
        <f>_xlfn.XLOOKUP($B17,'PEW4'!$C$6:$C$101,'PEW4'!$B$6:$B$101,"")</f>
        <v/>
      </c>
      <c r="AG17" s="76">
        <f>_xlfn.XLOOKUP(AF17,'PEW4'!$B$6:$B$75,'PEW4'!$A$6:$A$75,0)</f>
        <v>0</v>
      </c>
      <c r="AH17" s="65" t="str">
        <f>_xlfn.XLOOKUP($B17,'PEW5'!$C$6:$C$101,'PEW5'!$B$6:$B$101,"")</f>
        <v/>
      </c>
      <c r="AI17" s="76">
        <f>_xlfn.XLOOKUP(AH17,'PEW5'!$B$6:$B$75,'PEW5'!$A$6:$A$75,0)</f>
        <v>0</v>
      </c>
      <c r="AJ17" s="65" t="str">
        <f>_xlfn.XLOOKUP($B17,'PEW6'!$C$6:$C$101,'PEW6'!$B$6:$B$101,"")</f>
        <v/>
      </c>
      <c r="AK17" s="76">
        <f>_xlfn.XLOOKUP(AJ17,'PEW6'!$B$6:$B$75,'PEW6'!$A$6:$A$75,0)</f>
        <v>0</v>
      </c>
      <c r="AL17" s="65" t="str">
        <f>_xlfn.XLOOKUP($B17,'PEW7'!$C$6:$C$101,'PEW7'!$B$6:$B$101,"")</f>
        <v/>
      </c>
      <c r="AM17" s="76">
        <f>_xlfn.XLOOKUP(AL17,'PEW7'!$B$6:$B$75,'PEW7'!$A$6:$A$75,0)</f>
        <v>0</v>
      </c>
      <c r="AN17" s="65" t="str">
        <f>_xlfn.XLOOKUP($B17,'PEW8'!$C$6:$C$101,'PEW8'!$B$6:$B$101,"")</f>
        <v/>
      </c>
      <c r="AO17" s="76">
        <f>_xlfn.XLOOKUP(AN17,'PEW8'!$B$6:$B$75,'PEW8'!$A$6:$A$75,0)</f>
        <v>0</v>
      </c>
      <c r="AP17" s="65" t="str">
        <f>_xlfn.XLOOKUP($B17,'PEW9'!$C$6:$C$101,'PEW9'!$B$6:$B$101,"")</f>
        <v/>
      </c>
      <c r="AQ17" s="76">
        <f>_xlfn.XLOOKUP(AP17,'PEW9'!$B$6:$B$75,'PEW9'!$A$6:$A$75,0)</f>
        <v>0</v>
      </c>
      <c r="AR17" s="65" t="str">
        <f>_xlfn.XLOOKUP($B17,'PEW10'!$C$6:$C$101,'PEW10'!$B$6:$B$101,"")</f>
        <v/>
      </c>
      <c r="AS17" s="76">
        <f>_xlfn.XLOOKUP(AR17,'PEW10'!$B$6:$B$75,'PEW10'!$A$6:$A$75,0)</f>
        <v>0</v>
      </c>
      <c r="AT17" s="65">
        <f>_xlfn.XLOOKUP($B17,'PEW11'!$C$6:$C$101,'PEW11'!$B$6:$B$101,"")</f>
        <v>14</v>
      </c>
      <c r="AU17" s="76">
        <f>_xlfn.XLOOKUP(AT17,'PEW11'!$B$6:$B$75,'PEW11'!$A$6:$A$75,0)</f>
        <v>19.826406426708772</v>
      </c>
      <c r="AV17" s="65" t="str">
        <f>_xlfn.XLOOKUP($B17,'PEW12'!$C$6:$C$101,'PEW12'!$B$6:$B$101,"")</f>
        <v/>
      </c>
      <c r="AW17" s="76">
        <f>_xlfn.XLOOKUP(AV17,'PEW12'!$B$6:$B$75,'PEW12'!$A$6:$A$75,0)</f>
        <v>0</v>
      </c>
      <c r="AX17" s="65" t="str" cm="1">
        <f t="array" ref="AX17">_xlfn.XLOOKUP($B17,IMEW!C$6:C$201,IMEW!$B$6:B$201,"")</f>
        <v/>
      </c>
      <c r="AY17" s="77">
        <f>_xlfn.XLOOKUP(AX17,IMEW!$B$6:$B$201,IMEW!$A$6:$A$201,0)</f>
        <v>0</v>
      </c>
      <c r="BA17" s="78">
        <f t="shared" si="0"/>
        <v>0</v>
      </c>
      <c r="BB17" s="78">
        <f t="shared" si="1"/>
        <v>0</v>
      </c>
      <c r="BC17" s="78">
        <f t="shared" si="2"/>
        <v>4.4009096012560747</v>
      </c>
      <c r="BD17" s="78">
        <f t="shared" si="3"/>
        <v>0</v>
      </c>
      <c r="BE17" s="78">
        <f t="shared" si="4"/>
        <v>0</v>
      </c>
      <c r="BF17" s="78">
        <f t="shared" si="5"/>
        <v>0</v>
      </c>
      <c r="BG17" s="78">
        <f t="shared" si="6"/>
        <v>0</v>
      </c>
    </row>
    <row r="18" spans="1:59" ht="14.8" customHeight="1" x14ac:dyDescent="0.25">
      <c r="A18" s="56">
        <f>ROW()-5</f>
        <v>13</v>
      </c>
      <c r="B18" s="53" t="s">
        <v>33</v>
      </c>
      <c r="C18" s="54"/>
      <c r="D18" s="75">
        <f>SUM(F18,H18,J18,L18,N18,P18,R18,T18,V18)-SUM(SMALL((F18,H18,J18,L18,N18,P18,R18,T18),1),SMALL((F18,H18,J18,L18,N18,P18,R18,T18),2))+SUM(LARGE((Y18,AA18,AC18,AE18,AG18,AI18,AK18,AM18,AO18,AQ18,AS18,AU18,AW18),1),LARGE((Y18,AA18,AC18,AE18,AG18,AI18,AK18,AM18,AO18,AQ18,AS18,AU18,AW18),2),LARGE((Y18,AA18,AC18,AE18,AG18,AI18,AK18,AM18,AO18,AQ18,AS18,AU18,AW18),3),AY18)</f>
        <v>77.805481972153274</v>
      </c>
      <c r="E18" s="65">
        <f>_xlfn.XLOOKUP($B18,'GP1'!$C$6:$C$101,'GP1'!$B$6:$B$101,"")</f>
        <v>11</v>
      </c>
      <c r="F18" s="133">
        <f>_xlfn.XLOOKUP(E18,'GP1'!$B$6:$B$75,'GP1'!$A$6:$A$75,0)</f>
        <v>1</v>
      </c>
      <c r="G18" s="65">
        <f>_xlfn.XLOOKUP($B18,'GP2'!$C$6:$C$101,'GP2'!$B$6:$B$101,"")</f>
        <v>10</v>
      </c>
      <c r="H18" s="133">
        <f>_xlfn.XLOOKUP(G18,'GP2'!$B$6:$B$75,'GP2'!$A$6:$A$75,0)</f>
        <v>2.9476241783327595</v>
      </c>
      <c r="I18" s="66">
        <f>_xlfn.XLOOKUP($B18,'GP3'!$C$6:$C$101,'GP3'!$B$6:$B$101,"")</f>
        <v>9</v>
      </c>
      <c r="J18" s="134">
        <f>_xlfn.XLOOKUP(I18,'GP3'!$B$6:$B$75,'GP3'!$A$6:$A$75,0)</f>
        <v>1</v>
      </c>
      <c r="K18" s="66">
        <f>_xlfn.XLOOKUP($B18,'GP4'!$C$6:$C$101,'GP4'!$B$6:$B$101,"")</f>
        <v>11</v>
      </c>
      <c r="L18" s="134">
        <f>_xlfn.XLOOKUP(K18,'GP4'!$B$6:$B$75,'GP4'!$A$6:$A$75,0)</f>
        <v>1</v>
      </c>
      <c r="M18" s="66">
        <f>_xlfn.XLOOKUP($B18,'GP5'!$C$6:$C$101,'GP5'!$B$6:$B$101,"")</f>
        <v>8</v>
      </c>
      <c r="N18" s="136">
        <f>_xlfn.XLOOKUP(M18,'GP5'!$B$6:$B$75,'GP5'!$A$6:$A$75,0)</f>
        <v>13.62666311249788</v>
      </c>
      <c r="O18" s="127">
        <f>_xlfn.XLOOKUP($B18,'GP6'!$C$6:$C$101,'GP6'!$B$6:$B$101,"")</f>
        <v>11</v>
      </c>
      <c r="P18" s="136">
        <f>_xlfn.XLOOKUP(O18,'GP6'!$B$6:$B$75,'GP6'!$A$6:$A$75,0)</f>
        <v>2.7157817469141534</v>
      </c>
      <c r="Q18" s="127">
        <f>_xlfn.XLOOKUP($B18,'GP7'!$C$6:$C$101,'GP7'!$B$6:$B$101,"")</f>
        <v>10</v>
      </c>
      <c r="R18" s="136">
        <f>_xlfn.XLOOKUP(Q18,'GP7'!$B$6:$B$75,'GP7'!$A$6:$A$75,0)</f>
        <v>4.5952080065727898</v>
      </c>
      <c r="S18" s="127" t="str">
        <f>_xlfn.XLOOKUP($B18,'GP8'!$C$6:$C$101,'GP8'!$B$6:$B$101,"")</f>
        <v/>
      </c>
      <c r="T18" s="136">
        <f>_xlfn.XLOOKUP(S18,'GP8'!$B$6:$B$75,'GP8'!$A$6:$A$75,0)</f>
        <v>0</v>
      </c>
      <c r="U18" s="66">
        <f>_xlfn.XLOOKUP(B18,MPW!C$6:C$101,MPW!B$6:B$101,"")</f>
        <v>13</v>
      </c>
      <c r="V18" s="136">
        <f>_xlfn.XLOOKUP(U18,MPW!B$6:B$75,MPW!A$6:A$75,0)</f>
        <v>1.2</v>
      </c>
      <c r="X18" s="66">
        <f>_xlfn.XLOOKUP($B18,'PEW1'!$C$6:$C$101,'PEW1'!$B$6:$B$101,"")</f>
        <v>50</v>
      </c>
      <c r="Y18" s="79">
        <f>_xlfn.XLOOKUP(X18,'PEW1'!$B$6:$B$75,'PEW1'!$A$6:$A$75,0)</f>
        <v>1.2467883441821073</v>
      </c>
      <c r="Z18" s="65" t="str">
        <f>_xlfn.XLOOKUP($B18,'PEW2'!$C$6:$C$101,'PEW2'!$B$6:$B$101,"")</f>
        <v/>
      </c>
      <c r="AA18" s="76">
        <f>_xlfn.XLOOKUP(Z18,'PEW2'!$B$6:$B$75,'PEW2'!$A$6:$A$75,0)</f>
        <v>0</v>
      </c>
      <c r="AB18" s="65">
        <f>_xlfn.XLOOKUP($B18,'PEW3'!$C$6:$C$101,'PEW3'!$B$6:$B$101,"")</f>
        <v>19</v>
      </c>
      <c r="AC18" s="76">
        <f>_xlfn.XLOOKUP(AB18,'PEW3'!$B$6:$B$75,'PEW3'!$A$6:$A$75,0)</f>
        <v>2.6107910418158227</v>
      </c>
      <c r="AD18" s="65">
        <f>_xlfn.XLOOKUP($B18,VFC!$C$6:$C$101,VFC!$B$6:$B$101,"")</f>
        <v>54</v>
      </c>
      <c r="AE18" s="76">
        <f>_xlfn.XLOOKUP(AD18,VFC!$B$6:$B$75,VFC!$A$6:$A$75,0)</f>
        <v>2.2609259403491819</v>
      </c>
      <c r="AF18" s="65">
        <f>_xlfn.XLOOKUP($B18,'PEW4'!$C$6:$C$101,'PEW4'!$B$6:$B$101,"")</f>
        <v>37</v>
      </c>
      <c r="AG18" s="76">
        <f>_xlfn.XLOOKUP(AF18,'PEW4'!$B$6:$B$75,'PEW4'!$A$6:$A$75,0)</f>
        <v>1.3592338571917679</v>
      </c>
      <c r="AH18" s="65" t="str">
        <f>_xlfn.XLOOKUP($B18,'PEW5'!$C$6:$C$101,'PEW5'!$B$6:$B$101,"")</f>
        <v/>
      </c>
      <c r="AI18" s="76">
        <f>_xlfn.XLOOKUP(AH18,'PEW5'!$B$6:$B$75,'PEW5'!$A$6:$A$75,0)</f>
        <v>0</v>
      </c>
      <c r="AJ18" s="65">
        <f>_xlfn.XLOOKUP($B18,'PEW6'!$C$6:$C$101,'PEW6'!$B$6:$B$101,"")</f>
        <v>32</v>
      </c>
      <c r="AK18" s="76">
        <f>_xlfn.XLOOKUP(AJ18,'PEW6'!$B$6:$B$75,'PEW6'!$A$6:$A$75,0)</f>
        <v>14.849235878566979</v>
      </c>
      <c r="AL18" s="65" t="str">
        <f>_xlfn.XLOOKUP($B18,'PEW7'!$C$6:$C$101,'PEW7'!$B$6:$B$101,"")</f>
        <v/>
      </c>
      <c r="AM18" s="76">
        <f>_xlfn.XLOOKUP(AL18,'PEW7'!$B$6:$B$75,'PEW7'!$A$6:$A$75,0)</f>
        <v>0</v>
      </c>
      <c r="AN18" s="65">
        <f>_xlfn.XLOOKUP($B18,'PEW8'!$C$6:$C$101,'PEW8'!$B$6:$B$101,"")</f>
        <v>32</v>
      </c>
      <c r="AO18" s="76">
        <f>_xlfn.XLOOKUP(AN18,'PEW8'!$B$6:$B$75,'PEW8'!$A$6:$A$75,0)</f>
        <v>16.13220322099486</v>
      </c>
      <c r="AP18" s="65">
        <f>_xlfn.XLOOKUP($B18,'PEW9'!$C$6:$C$101,'PEW9'!$B$6:$B$101,"")</f>
        <v>19</v>
      </c>
      <c r="AQ18" s="76">
        <f>_xlfn.XLOOKUP(AP18,'PEW9'!$B$6:$B$75,'PEW9'!$A$6:$A$75,0)</f>
        <v>4.60193008645183</v>
      </c>
      <c r="AR18" s="65" t="str">
        <f>_xlfn.XLOOKUP($B18,'PEW10'!$C$6:$C$101,'PEW10'!$B$6:$B$101,"")</f>
        <v/>
      </c>
      <c r="AS18" s="76">
        <f>_xlfn.XLOOKUP(AR18,'PEW10'!$B$6:$B$75,'PEW10'!$A$6:$A$75,0)</f>
        <v>0</v>
      </c>
      <c r="AT18" s="65">
        <f>_xlfn.XLOOKUP($B18,'PEW11'!$C$6:$C$101,'PEW11'!$B$6:$B$101,"")</f>
        <v>21</v>
      </c>
      <c r="AU18" s="76">
        <f>_xlfn.XLOOKUP(AT18,'PEW11'!$B$6:$B$75,'PEW11'!$A$6:$A$75,0)</f>
        <v>3.6541303346002607</v>
      </c>
      <c r="AV18" s="65">
        <f>_xlfn.XLOOKUP($B18,'PEW12'!$C$6:$C$101,'PEW12'!$B$6:$B$101,"")</f>
        <v>15</v>
      </c>
      <c r="AW18" s="76">
        <f>_xlfn.XLOOKUP(AV18,'PEW12'!$B$6:$B$75,'PEW12'!$A$6:$A$75,0)</f>
        <v>19.738765828273856</v>
      </c>
      <c r="AX18" s="65" t="str" cm="1">
        <f t="array" ref="AX18">_xlfn.XLOOKUP($B18,IMEW!C$6:C$201,IMEW!$B$6:B$201,"")</f>
        <v/>
      </c>
      <c r="AY18" s="77">
        <f>_xlfn.XLOOKUP(AX18,IMEW!$B$6:$B$201,IMEW!$A$6:$A$201,0)</f>
        <v>0</v>
      </c>
      <c r="BA18" s="78">
        <f t="shared" si="0"/>
        <v>1.2467883441821073</v>
      </c>
      <c r="BB18" s="78">
        <f t="shared" si="1"/>
        <v>0</v>
      </c>
      <c r="BC18" s="78">
        <f t="shared" si="2"/>
        <v>2.6107910418158227</v>
      </c>
      <c r="BD18" s="78">
        <f t="shared" si="3"/>
        <v>1.3592338571917679</v>
      </c>
      <c r="BE18" s="78">
        <f t="shared" si="4"/>
        <v>0</v>
      </c>
      <c r="BF18" s="78">
        <f t="shared" si="5"/>
        <v>14.849235878566979</v>
      </c>
      <c r="BG18" s="78">
        <f t="shared" si="6"/>
        <v>0</v>
      </c>
    </row>
    <row r="19" spans="1:59" ht="14.8" customHeight="1" x14ac:dyDescent="0.25">
      <c r="A19" s="56">
        <f>ROW()-5</f>
        <v>14</v>
      </c>
      <c r="B19" s="53" t="s">
        <v>134</v>
      </c>
      <c r="C19" s="54"/>
      <c r="D19" s="75">
        <f>SUM(F19,H19,J19,L19,N19,P19,R19,T19,V19)-SUM(SMALL((F19,H19,J19,L19,N19,P19,R19,T19),1),SMALL((F19,H19,J19,L19,N19,P19,R19,T19),2))+SUM(LARGE((Y19,AA19,AC19,AE19,AG19,AI19,AK19,AM19,AO19,AQ19,AS19,AU19,AW19),1),LARGE((Y19,AA19,AC19,AE19,AG19,AI19,AK19,AM19,AO19,AQ19,AS19,AU19,AW19),2),LARGE((Y19,AA19,AC19,AE19,AG19,AI19,AK19,AM19,AO19,AQ19,AS19,AU19,AW19),3),AY19)</f>
        <v>64.660111775915368</v>
      </c>
      <c r="E19" s="65" t="str">
        <f>_xlfn.XLOOKUP($B19,'GP1'!$C$6:$C$101,'GP1'!$B$6:$B$101,"")</f>
        <v/>
      </c>
      <c r="F19" s="133">
        <f>_xlfn.XLOOKUP(E19,'GP1'!$B$6:$B$75,'GP1'!$A$6:$A$75,0)</f>
        <v>0</v>
      </c>
      <c r="G19" s="65" t="str">
        <f>_xlfn.XLOOKUP($B19,'GP2'!$C$6:$C$101,'GP2'!$B$6:$B$101,"")</f>
        <v/>
      </c>
      <c r="H19" s="133">
        <f>_xlfn.XLOOKUP(G19,'GP2'!$B$6:$B$75,'GP2'!$A$6:$A$75,0)</f>
        <v>0</v>
      </c>
      <c r="I19" s="66" t="str">
        <f>_xlfn.XLOOKUP($B19,'GP3'!$C$6:$C$101,'GP3'!$B$6:$B$101,"")</f>
        <v/>
      </c>
      <c r="J19" s="134">
        <f>_xlfn.XLOOKUP(I19,'GP3'!$B$6:$B$75,'GP3'!$A$6:$A$75,0)</f>
        <v>0</v>
      </c>
      <c r="K19" s="66" t="str">
        <f>_xlfn.XLOOKUP($B19,'GP4'!$C$6:$C$101,'GP4'!$B$6:$B$101,"")</f>
        <v/>
      </c>
      <c r="L19" s="134">
        <f>_xlfn.XLOOKUP(K19,'GP4'!$B$6:$B$75,'GP4'!$A$6:$A$75,0)</f>
        <v>0</v>
      </c>
      <c r="M19" s="66" t="str">
        <f>_xlfn.XLOOKUP($B19,'GP5'!$C$6:$C$101,'GP5'!$B$6:$B$101,"")</f>
        <v/>
      </c>
      <c r="N19" s="136">
        <f>_xlfn.XLOOKUP(M19,'GP5'!$B$6:$B$75,'GP5'!$A$6:$A$75,0)</f>
        <v>0</v>
      </c>
      <c r="O19" s="127" t="str">
        <f>_xlfn.XLOOKUP($B19,'GP6'!$C$6:$C$101,'GP6'!$B$6:$B$101,"")</f>
        <v/>
      </c>
      <c r="P19" s="136">
        <f>_xlfn.XLOOKUP(O19,'GP6'!$B$6:$B$75,'GP6'!$A$6:$A$75,0)</f>
        <v>0</v>
      </c>
      <c r="Q19" s="127" t="str">
        <f>_xlfn.XLOOKUP($B19,'GP7'!$C$6:$C$101,'GP7'!$B$6:$B$101,"")</f>
        <v/>
      </c>
      <c r="R19" s="136">
        <f>_xlfn.XLOOKUP(Q19,'GP7'!$B$6:$B$75,'GP7'!$A$6:$A$75,0)</f>
        <v>0</v>
      </c>
      <c r="S19" s="127" t="str">
        <f>_xlfn.XLOOKUP($B19,'GP8'!$C$6:$C$101,'GP8'!$B$6:$B$101,"")</f>
        <v/>
      </c>
      <c r="T19" s="136">
        <f>_xlfn.XLOOKUP(S19,'GP8'!$B$6:$B$75,'GP8'!$A$6:$A$75,0)</f>
        <v>0</v>
      </c>
      <c r="U19" s="66" t="str">
        <f>_xlfn.XLOOKUP(B19,MPW!C$6:C$101,MPW!B$6:B$101,"")</f>
        <v/>
      </c>
      <c r="V19" s="136" t="str">
        <f>_xlfn.XLOOKUP(U19,MPW!B$6:B$75,MPW!A$6:A$75,0)</f>
        <v/>
      </c>
      <c r="X19" s="66" t="str">
        <f>_xlfn.XLOOKUP($B19,'PEW1'!$C$6:$C$101,'PEW1'!$B$6:$B$101,"")</f>
        <v/>
      </c>
      <c r="Y19" s="79">
        <f>_xlfn.XLOOKUP(X19,'PEW1'!$B$6:$B$75,'PEW1'!$A$6:$A$75,0)</f>
        <v>0</v>
      </c>
      <c r="Z19" s="65" t="str">
        <f>_xlfn.XLOOKUP($B19,'PEW2'!$C$6:$C$101,'PEW2'!$B$6:$B$101,"")</f>
        <v/>
      </c>
      <c r="AA19" s="76">
        <f>_xlfn.XLOOKUP(Z19,'PEW2'!$B$6:$B$75,'PEW2'!$A$6:$A$75,0)</f>
        <v>0</v>
      </c>
      <c r="AB19" s="65">
        <f>_xlfn.XLOOKUP($B19,'PEW3'!$C$6:$C$101,'PEW3'!$B$6:$B$101,"")</f>
        <v>6</v>
      </c>
      <c r="AC19" s="76">
        <f>_xlfn.XLOOKUP(AB19,'PEW3'!$B$6:$B$75,'PEW3'!$A$6:$A$75,0)</f>
        <v>41.162566284837325</v>
      </c>
      <c r="AD19" s="65" t="str">
        <f>_xlfn.XLOOKUP($B19,VFC!$C$6:$C$101,VFC!$B$6:$B$101,"")</f>
        <v/>
      </c>
      <c r="AE19" s="76">
        <f>_xlfn.XLOOKUP(AD19,VFC!$B$6:$B$75,VFC!$A$6:$A$75,0)</f>
        <v>0</v>
      </c>
      <c r="AF19" s="65" t="str">
        <f>_xlfn.XLOOKUP($B19,'PEW4'!$C$6:$C$101,'PEW4'!$B$6:$B$101,"")</f>
        <v/>
      </c>
      <c r="AG19" s="76">
        <f>_xlfn.XLOOKUP(AF19,'PEW4'!$B$6:$B$75,'PEW4'!$A$6:$A$75,0)</f>
        <v>0</v>
      </c>
      <c r="AH19" s="65" t="str">
        <f>_xlfn.XLOOKUP($B19,'PEW5'!$C$6:$C$101,'PEW5'!$B$6:$B$101,"")</f>
        <v/>
      </c>
      <c r="AI19" s="76">
        <f>_xlfn.XLOOKUP(AH19,'PEW5'!$B$6:$B$75,'PEW5'!$A$6:$A$75,0)</f>
        <v>0</v>
      </c>
      <c r="AJ19" s="65" t="str">
        <f>_xlfn.XLOOKUP($B19,'PEW6'!$C$6:$C$101,'PEW6'!$B$6:$B$101,"")</f>
        <v/>
      </c>
      <c r="AK19" s="76">
        <f>_xlfn.XLOOKUP(AJ19,'PEW6'!$B$6:$B$75,'PEW6'!$A$6:$A$75,0)</f>
        <v>0</v>
      </c>
      <c r="AL19" s="65" t="str">
        <f>_xlfn.XLOOKUP($B19,'PEW7'!$C$6:$C$101,'PEW7'!$B$6:$B$101,"")</f>
        <v/>
      </c>
      <c r="AM19" s="76">
        <f>_xlfn.XLOOKUP(AL19,'PEW7'!$B$6:$B$75,'PEW7'!$A$6:$A$75,0)</f>
        <v>0</v>
      </c>
      <c r="AN19" s="65" t="str">
        <f>_xlfn.XLOOKUP($B19,'PEW8'!$C$6:$C$101,'PEW8'!$B$6:$B$101,"")</f>
        <v/>
      </c>
      <c r="AO19" s="76">
        <f>_xlfn.XLOOKUP(AN19,'PEW8'!$B$6:$B$75,'PEW8'!$A$6:$A$75,0)</f>
        <v>0</v>
      </c>
      <c r="AP19" s="65" t="str">
        <f>_xlfn.XLOOKUP($B19,'PEW9'!$C$6:$C$101,'PEW9'!$B$6:$B$101,"")</f>
        <v/>
      </c>
      <c r="AQ19" s="76">
        <f>_xlfn.XLOOKUP(AP19,'PEW9'!$B$6:$B$75,'PEW9'!$A$6:$A$75,0)</f>
        <v>0</v>
      </c>
      <c r="AR19" s="65" t="str">
        <f>_xlfn.XLOOKUP($B19,'PEW10'!$C$6:$C$101,'PEW10'!$B$6:$B$101,"")</f>
        <v/>
      </c>
      <c r="AS19" s="76">
        <f>_xlfn.XLOOKUP(AR19,'PEW10'!$B$6:$B$75,'PEW10'!$A$6:$A$75,0)</f>
        <v>0</v>
      </c>
      <c r="AT19" s="65">
        <f>_xlfn.XLOOKUP($B19,'PEW11'!$C$6:$C$101,'PEW11'!$B$6:$B$101,"")</f>
        <v>11</v>
      </c>
      <c r="AU19" s="76">
        <f>_xlfn.XLOOKUP(AT19,'PEW11'!$B$6:$B$75,'PEW11'!$A$6:$A$75,0)</f>
        <v>23.497545491078036</v>
      </c>
      <c r="AV19" s="65" t="str">
        <f>_xlfn.XLOOKUP($B19,'PEW12'!$C$6:$C$101,'PEW12'!$B$6:$B$101,"")</f>
        <v/>
      </c>
      <c r="AW19" s="76">
        <f>_xlfn.XLOOKUP(AV19,'PEW12'!$B$6:$B$75,'PEW12'!$A$6:$A$75,0)</f>
        <v>0</v>
      </c>
      <c r="AX19" s="65" t="str" cm="1">
        <f t="array" ref="AX19">_xlfn.XLOOKUP($B19,IMEW!C$6:C$201,IMEW!$B$6:B$201,"")</f>
        <v/>
      </c>
      <c r="AY19" s="77">
        <f>_xlfn.XLOOKUP(AX19,IMEW!$B$6:$B$201,IMEW!$A$6:$A$201,0)</f>
        <v>0</v>
      </c>
      <c r="BA19" s="78">
        <f t="shared" si="0"/>
        <v>0</v>
      </c>
      <c r="BB19" s="78">
        <f t="shared" si="1"/>
        <v>0</v>
      </c>
      <c r="BC19" s="78">
        <f t="shared" si="2"/>
        <v>41.162566284837325</v>
      </c>
      <c r="BD19" s="78">
        <f t="shared" si="3"/>
        <v>0</v>
      </c>
      <c r="BE19" s="78">
        <f t="shared" si="4"/>
        <v>0</v>
      </c>
      <c r="BF19" s="78">
        <f t="shared" si="5"/>
        <v>0</v>
      </c>
      <c r="BG19" s="78">
        <f t="shared" si="6"/>
        <v>0</v>
      </c>
    </row>
    <row r="20" spans="1:59" ht="14.8" customHeight="1" x14ac:dyDescent="0.25">
      <c r="A20" s="56">
        <f>ROW()-5</f>
        <v>15</v>
      </c>
      <c r="B20" s="53" t="s">
        <v>31</v>
      </c>
      <c r="C20" s="54"/>
      <c r="D20" s="75">
        <f>SUM(F20,H20,J20,L20,N20,P20,R20,T20,V20)-SUM(SMALL((F20,H20,J20,L20,N20,P20,R20,T20),1),SMALL((F20,H20,J20,L20,N20,P20,R20,T20),2))+SUM(LARGE((Y20,AA20,AC20,AE20,AG20,AI20,AK20,AM20,AO20,AQ20,AS20,AU20,AW20),1),LARGE((Y20,AA20,AC20,AE20,AG20,AI20,AK20,AM20,AO20,AQ20,AS20,AU20,AW20),2),LARGE((Y20,AA20,AC20,AE20,AG20,AI20,AK20,AM20,AO20,AQ20,AS20,AU20,AW20),3),AY20)</f>
        <v>59.197396363708279</v>
      </c>
      <c r="E20" s="65" t="str">
        <f>_xlfn.XLOOKUP($B20,'GP1'!$C$6:$C$101,'GP1'!$B$6:$B$101,"")</f>
        <v/>
      </c>
      <c r="F20" s="133">
        <f>_xlfn.XLOOKUP(E20,'GP1'!$B$6:$B$75,'GP1'!$A$6:$A$75,0)</f>
        <v>0</v>
      </c>
      <c r="G20" s="65">
        <f>_xlfn.XLOOKUP($B20,'GP2'!$C$6:$C$101,'GP2'!$B$6:$B$101,"")</f>
        <v>4</v>
      </c>
      <c r="H20" s="133">
        <f>_xlfn.XLOOKUP(G20,'GP2'!$B$6:$B$75,'GP2'!$A$6:$A$75,0)</f>
        <v>41.67164702084699</v>
      </c>
      <c r="I20" s="66" t="str">
        <f>_xlfn.XLOOKUP($B20,'GP3'!$C$6:$C$101,'GP3'!$B$6:$B$101,"")</f>
        <v/>
      </c>
      <c r="J20" s="134">
        <f>_xlfn.XLOOKUP(I20,'GP3'!$B$6:$B$75,'GP3'!$A$6:$A$75,0)</f>
        <v>0</v>
      </c>
      <c r="K20" s="66" t="str">
        <f>_xlfn.XLOOKUP($B20,'GP4'!$C$6:$C$101,'GP4'!$B$6:$B$101,"")</f>
        <v/>
      </c>
      <c r="L20" s="134">
        <f>_xlfn.XLOOKUP(K20,'GP4'!$B$6:$B$75,'GP4'!$A$6:$A$75,0)</f>
        <v>0</v>
      </c>
      <c r="M20" s="66" t="str">
        <f>_xlfn.XLOOKUP($B20,'GP5'!$C$6:$C$101,'GP5'!$B$6:$B$101,"")</f>
        <v/>
      </c>
      <c r="N20" s="136">
        <f>_xlfn.XLOOKUP(M20,'GP5'!$B$6:$B$75,'GP5'!$A$6:$A$75,0)</f>
        <v>0</v>
      </c>
      <c r="O20" s="127" t="str">
        <f>_xlfn.XLOOKUP($B20,'GP6'!$C$6:$C$101,'GP6'!$B$6:$B$101,"")</f>
        <v/>
      </c>
      <c r="P20" s="136">
        <f>_xlfn.XLOOKUP(O20,'GP6'!$B$6:$B$75,'GP6'!$A$6:$A$75,0)</f>
        <v>0</v>
      </c>
      <c r="Q20" s="127" t="str">
        <f>_xlfn.XLOOKUP($B20,'GP7'!$C$6:$C$101,'GP7'!$B$6:$B$101,"")</f>
        <v/>
      </c>
      <c r="R20" s="136">
        <f>_xlfn.XLOOKUP(Q20,'GP7'!$B$6:$B$75,'GP7'!$A$6:$A$75,0)</f>
        <v>0</v>
      </c>
      <c r="S20" s="127" t="str">
        <f>_xlfn.XLOOKUP($B20,'GP8'!$C$6:$C$101,'GP8'!$B$6:$B$101,"")</f>
        <v/>
      </c>
      <c r="T20" s="136">
        <f>_xlfn.XLOOKUP(S20,'GP8'!$B$6:$B$75,'GP8'!$A$6:$A$75,0)</f>
        <v>0</v>
      </c>
      <c r="U20" s="66" t="str">
        <f>_xlfn.XLOOKUP(B20,MPW!C$6:C$101,MPW!B$6:B$101,"")</f>
        <v/>
      </c>
      <c r="V20" s="136" t="str">
        <f>_xlfn.XLOOKUP(U20,MPW!B$6:B$75,MPW!A$6:A$75,0)</f>
        <v/>
      </c>
      <c r="X20" s="66" t="str">
        <f>_xlfn.XLOOKUP($B20,'PEW1'!$C$6:$C$101,'PEW1'!$B$6:$B$101,"")</f>
        <v/>
      </c>
      <c r="Y20" s="79">
        <f>_xlfn.XLOOKUP(X20,'PEW1'!$B$6:$B$75,'PEW1'!$A$6:$A$75,0)</f>
        <v>0</v>
      </c>
      <c r="Z20" s="65" t="str">
        <f>_xlfn.XLOOKUP($B20,'PEW2'!$C$6:$C$101,'PEW2'!$B$6:$B$101,"")</f>
        <v/>
      </c>
      <c r="AA20" s="76">
        <f>_xlfn.XLOOKUP(Z20,'PEW2'!$B$6:$B$75,'PEW2'!$A$6:$A$75,0)</f>
        <v>0</v>
      </c>
      <c r="AB20" s="65">
        <f>_xlfn.XLOOKUP($B20,'PEW3'!$C$6:$C$101,'PEW3'!$B$6:$B$101,"")</f>
        <v>14</v>
      </c>
      <c r="AC20" s="76">
        <f>_xlfn.XLOOKUP(AB20,'PEW3'!$B$6:$B$75,'PEW3'!$A$6:$A$75,0)</f>
        <v>17.525749342861289</v>
      </c>
      <c r="AD20" s="65" t="str">
        <f>_xlfn.XLOOKUP($B20,VFC!$C$6:$C$101,VFC!$B$6:$B$101,"")</f>
        <v/>
      </c>
      <c r="AE20" s="76">
        <f>_xlfn.XLOOKUP(AD20,VFC!$B$6:$B$75,VFC!$A$6:$A$75,0)</f>
        <v>0</v>
      </c>
      <c r="AF20" s="65" t="str">
        <f>_xlfn.XLOOKUP($B20,'PEW4'!$C$6:$C$101,'PEW4'!$B$6:$B$101,"")</f>
        <v/>
      </c>
      <c r="AG20" s="76">
        <f>_xlfn.XLOOKUP(AF20,'PEW4'!$B$6:$B$75,'PEW4'!$A$6:$A$75,0)</f>
        <v>0</v>
      </c>
      <c r="AH20" s="65" t="str">
        <f>_xlfn.XLOOKUP($B20,'PEW5'!$C$6:$C$101,'PEW5'!$B$6:$B$101,"")</f>
        <v/>
      </c>
      <c r="AI20" s="76">
        <f>_xlfn.XLOOKUP(AH20,'PEW5'!$B$6:$B$75,'PEW5'!$A$6:$A$75,0)</f>
        <v>0</v>
      </c>
      <c r="AJ20" s="65" t="str">
        <f>_xlfn.XLOOKUP($B20,'PEW6'!$C$6:$C$101,'PEW6'!$B$6:$B$101,"")</f>
        <v/>
      </c>
      <c r="AK20" s="76">
        <f>_xlfn.XLOOKUP(AJ20,'PEW6'!$B$6:$B$75,'PEW6'!$A$6:$A$75,0)</f>
        <v>0</v>
      </c>
      <c r="AL20" s="65" t="str">
        <f>_xlfn.XLOOKUP($B20,'PEW7'!$C$6:$C$101,'PEW7'!$B$6:$B$101,"")</f>
        <v/>
      </c>
      <c r="AM20" s="76">
        <f>_xlfn.XLOOKUP(AL20,'PEW7'!$B$6:$B$75,'PEW7'!$A$6:$A$75,0)</f>
        <v>0</v>
      </c>
      <c r="AN20" s="65" t="str">
        <f>_xlfn.XLOOKUP($B20,'PEW8'!$C$6:$C$101,'PEW8'!$B$6:$B$101,"")</f>
        <v/>
      </c>
      <c r="AO20" s="76">
        <f>_xlfn.XLOOKUP(AN20,'PEW8'!$B$6:$B$75,'PEW8'!$A$6:$A$75,0)</f>
        <v>0</v>
      </c>
      <c r="AP20" s="65" t="str">
        <f>_xlfn.XLOOKUP($B20,'PEW9'!$C$6:$C$101,'PEW9'!$B$6:$B$101,"")</f>
        <v/>
      </c>
      <c r="AQ20" s="76">
        <f>_xlfn.XLOOKUP(AP20,'PEW9'!$B$6:$B$75,'PEW9'!$A$6:$A$75,0)</f>
        <v>0</v>
      </c>
      <c r="AR20" s="65" t="str">
        <f>_xlfn.XLOOKUP($B20,'PEW10'!$C$6:$C$101,'PEW10'!$B$6:$B$101,"")</f>
        <v/>
      </c>
      <c r="AS20" s="76">
        <f>_xlfn.XLOOKUP(AR20,'PEW10'!$B$6:$B$75,'PEW10'!$A$6:$A$75,0)</f>
        <v>0</v>
      </c>
      <c r="AT20" s="65" t="str">
        <f>_xlfn.XLOOKUP($B20,'PEW11'!$C$6:$C$101,'PEW11'!$B$6:$B$101,"")</f>
        <v/>
      </c>
      <c r="AU20" s="76">
        <f>_xlfn.XLOOKUP(AT20,'PEW11'!$B$6:$B$75,'PEW11'!$A$6:$A$75,0)</f>
        <v>0</v>
      </c>
      <c r="AV20" s="65" t="str">
        <f>_xlfn.XLOOKUP($B20,'PEW12'!$C$6:$C$101,'PEW12'!$B$6:$B$101,"")</f>
        <v/>
      </c>
      <c r="AW20" s="76">
        <f>_xlfn.XLOOKUP(AV20,'PEW12'!$B$6:$B$75,'PEW12'!$A$6:$A$75,0)</f>
        <v>0</v>
      </c>
      <c r="AX20" s="65" t="str" cm="1">
        <f t="array" ref="AX20">_xlfn.XLOOKUP($B20,IMEW!C$6:C$201,IMEW!$B$6:B$201,"")</f>
        <v/>
      </c>
      <c r="AY20" s="77">
        <f>_xlfn.XLOOKUP(AX20,IMEW!$B$6:$B$201,IMEW!$A$6:$A$201,0)</f>
        <v>0</v>
      </c>
      <c r="BA20" s="78">
        <f t="shared" si="0"/>
        <v>0</v>
      </c>
      <c r="BB20" s="78">
        <f t="shared" si="1"/>
        <v>0</v>
      </c>
      <c r="BC20" s="78">
        <f t="shared" si="2"/>
        <v>17.525749342861289</v>
      </c>
      <c r="BD20" s="78">
        <f t="shared" si="3"/>
        <v>0</v>
      </c>
      <c r="BE20" s="78">
        <f t="shared" si="4"/>
        <v>0</v>
      </c>
      <c r="BF20" s="78">
        <f t="shared" si="5"/>
        <v>0</v>
      </c>
      <c r="BG20" s="78">
        <f t="shared" si="6"/>
        <v>0</v>
      </c>
    </row>
    <row r="21" spans="1:59" ht="14.8" customHeight="1" x14ac:dyDescent="0.25">
      <c r="A21" s="56">
        <f>ROW()-5</f>
        <v>16</v>
      </c>
      <c r="B21" s="53" t="s">
        <v>572</v>
      </c>
      <c r="C21" s="54"/>
      <c r="D21" s="75">
        <f>SUM(F21,H21,J21,L21,N21,P21,R21,T21,V21)-SUM(SMALL((F21,H21,J21,L21,N21,P21,R21,T21),1),SMALL((F21,H21,J21,L21,N21,P21,R21,T21),2))+SUM(LARGE((Y21,AA21,AC21,AE21,AG21,AI21,AK21,AM21,AO21,AQ21,AS21,AU21,AW21),1),LARGE((Y21,AA21,AC21,AE21,AG21,AI21,AK21,AM21,AO21,AQ21,AS21,AU21,AW21),2),LARGE((Y21,AA21,AC21,AE21,AG21,AI21,AK21,AM21,AO21,AQ21,AS21,AU21,AW21),3),AY21)</f>
        <v>35.104554491172159</v>
      </c>
      <c r="E21" s="65" t="str">
        <f>_xlfn.XLOOKUP($B21,'GP1'!$C$6:$C$101,'GP1'!$B$6:$B$101,"")</f>
        <v/>
      </c>
      <c r="F21" s="133">
        <f>_xlfn.XLOOKUP(E21,'GP1'!$B$6:$B$75,'GP1'!$A$6:$A$75,0)</f>
        <v>0</v>
      </c>
      <c r="G21" s="65" t="str">
        <f>_xlfn.XLOOKUP($B21,'GP2'!$C$6:$C$101,'GP2'!$B$6:$B$101,"")</f>
        <v/>
      </c>
      <c r="H21" s="133">
        <f>_xlfn.XLOOKUP(G21,'GP2'!$B$6:$B$75,'GP2'!$A$6:$A$75,0)</f>
        <v>0</v>
      </c>
      <c r="I21" s="66" t="str">
        <f>_xlfn.XLOOKUP($B21,'GP3'!$C$6:$C$101,'GP3'!$B$6:$B$101,"")</f>
        <v/>
      </c>
      <c r="J21" s="134">
        <f>_xlfn.XLOOKUP(I21,'GP3'!$B$6:$B$75,'GP3'!$A$6:$A$75,0)</f>
        <v>0</v>
      </c>
      <c r="K21" s="66" t="str">
        <f>_xlfn.XLOOKUP($B21,'GP4'!$C$6:$C$101,'GP4'!$B$6:$B$101,"")</f>
        <v/>
      </c>
      <c r="L21" s="134">
        <f>_xlfn.XLOOKUP(K21,'GP4'!$B$6:$B$75,'GP4'!$A$6:$A$75,0)</f>
        <v>0</v>
      </c>
      <c r="M21" s="66" t="str">
        <f>_xlfn.XLOOKUP($B21,'GP5'!$C$6:$C$101,'GP5'!$B$6:$B$101,"")</f>
        <v/>
      </c>
      <c r="N21" s="136">
        <f>_xlfn.XLOOKUP(M21,'GP5'!$B$6:$B$75,'GP5'!$A$6:$A$75,0)</f>
        <v>0</v>
      </c>
      <c r="O21" s="127" t="str">
        <f>_xlfn.XLOOKUP($B21,'GP6'!$C$6:$C$101,'GP6'!$B$6:$B$101,"")</f>
        <v/>
      </c>
      <c r="P21" s="136">
        <f>_xlfn.XLOOKUP(O21,'GP6'!$B$6:$B$75,'GP6'!$A$6:$A$75,0)</f>
        <v>0</v>
      </c>
      <c r="Q21" s="127" t="str">
        <f>_xlfn.XLOOKUP($B21,'GP7'!$C$6:$C$101,'GP7'!$B$6:$B$101,"")</f>
        <v/>
      </c>
      <c r="R21" s="136">
        <f>_xlfn.XLOOKUP(Q21,'GP7'!$B$6:$B$75,'GP7'!$A$6:$A$75,0)</f>
        <v>0</v>
      </c>
      <c r="S21" s="127" t="str">
        <f>_xlfn.XLOOKUP($B21,'GP8'!$C$6:$C$101,'GP8'!$B$6:$B$101,"")</f>
        <v/>
      </c>
      <c r="T21" s="136">
        <f>_xlfn.XLOOKUP(S21,'GP8'!$B$6:$B$75,'GP8'!$A$6:$A$75,0)</f>
        <v>0</v>
      </c>
      <c r="U21" s="66">
        <f>_xlfn.XLOOKUP(B21,MPW!C$6:C$101,MPW!B$6:B$101,"")</f>
        <v>5</v>
      </c>
      <c r="V21" s="136">
        <f>_xlfn.XLOOKUP(U21,MPW!B$6:B$75,MPW!A$6:A$75,0)</f>
        <v>35.104554491172159</v>
      </c>
      <c r="X21" s="66" t="str">
        <f>_xlfn.XLOOKUP($B21,'PEW1'!$C$6:$C$101,'PEW1'!$B$6:$B$101,"")</f>
        <v/>
      </c>
      <c r="Y21" s="79">
        <f>_xlfn.XLOOKUP(X21,'PEW1'!$B$6:$B$75,'PEW1'!$A$6:$A$75,0)</f>
        <v>0</v>
      </c>
      <c r="Z21" s="65" t="str">
        <f>_xlfn.XLOOKUP($B21,'PEW2'!$C$6:$C$101,'PEW2'!$B$6:$B$101,"")</f>
        <v/>
      </c>
      <c r="AA21" s="76">
        <f>_xlfn.XLOOKUP(Z21,'PEW2'!$B$6:$B$75,'PEW2'!$A$6:$A$75,0)</f>
        <v>0</v>
      </c>
      <c r="AB21" s="65" t="str">
        <f>_xlfn.XLOOKUP($B21,'PEW3'!$C$6:$C$101,'PEW3'!$B$6:$B$101,"")</f>
        <v/>
      </c>
      <c r="AC21" s="76">
        <f>_xlfn.XLOOKUP(AB21,'PEW3'!$B$6:$B$75,'PEW3'!$A$6:$A$75,0)</f>
        <v>0</v>
      </c>
      <c r="AD21" s="65" t="str">
        <f>_xlfn.XLOOKUP($B21,VFC!$C$6:$C$101,VFC!$B$6:$B$101,"")</f>
        <v/>
      </c>
      <c r="AE21" s="76">
        <f>_xlfn.XLOOKUP(AD21,VFC!$B$6:$B$75,VFC!$A$6:$A$75,0)</f>
        <v>0</v>
      </c>
      <c r="AF21" s="65" t="str">
        <f>_xlfn.XLOOKUP($B21,'PEW4'!$C$6:$C$101,'PEW4'!$B$6:$B$101,"")</f>
        <v/>
      </c>
      <c r="AG21" s="76">
        <f>_xlfn.XLOOKUP(AF21,'PEW4'!$B$6:$B$75,'PEW4'!$A$6:$A$75,0)</f>
        <v>0</v>
      </c>
      <c r="AH21" s="65" t="str">
        <f>_xlfn.XLOOKUP($B21,'PEW5'!$C$6:$C$101,'PEW5'!$B$6:$B$101,"")</f>
        <v/>
      </c>
      <c r="AI21" s="76">
        <f>_xlfn.XLOOKUP(AH21,'PEW5'!$B$6:$B$75,'PEW5'!$A$6:$A$75,0)</f>
        <v>0</v>
      </c>
      <c r="AJ21" s="65" t="str">
        <f>_xlfn.XLOOKUP($B21,'PEW6'!$C$6:$C$101,'PEW6'!$B$6:$B$101,"")</f>
        <v/>
      </c>
      <c r="AK21" s="76">
        <f>_xlfn.XLOOKUP(AJ21,'PEW6'!$B$6:$B$75,'PEW6'!$A$6:$A$75,0)</f>
        <v>0</v>
      </c>
      <c r="AL21" s="65" t="str">
        <f>_xlfn.XLOOKUP($B21,'PEW7'!$C$6:$C$101,'PEW7'!$B$6:$B$101,"")</f>
        <v/>
      </c>
      <c r="AM21" s="76">
        <f>_xlfn.XLOOKUP(AL21,'PEW7'!$B$6:$B$75,'PEW7'!$A$6:$A$75,0)</f>
        <v>0</v>
      </c>
      <c r="AN21" s="65" t="str">
        <f>_xlfn.XLOOKUP($B21,'PEW8'!$C$6:$C$101,'PEW8'!$B$6:$B$101,"")</f>
        <v/>
      </c>
      <c r="AO21" s="76">
        <f>_xlfn.XLOOKUP(AN21,'PEW8'!$B$6:$B$75,'PEW8'!$A$6:$A$75,0)</f>
        <v>0</v>
      </c>
      <c r="AP21" s="65" t="str">
        <f>_xlfn.XLOOKUP($B21,'PEW9'!$C$6:$C$101,'PEW9'!$B$6:$B$101,"")</f>
        <v/>
      </c>
      <c r="AQ21" s="76">
        <f>_xlfn.XLOOKUP(AP21,'PEW9'!$B$6:$B$75,'PEW9'!$A$6:$A$75,0)</f>
        <v>0</v>
      </c>
      <c r="AR21" s="65" t="str">
        <f>_xlfn.XLOOKUP($B21,'PEW10'!$C$6:$C$101,'PEW10'!$B$6:$B$101,"")</f>
        <v/>
      </c>
      <c r="AS21" s="76">
        <f>_xlfn.XLOOKUP(AR21,'PEW10'!$B$6:$B$75,'PEW10'!$A$6:$A$75,0)</f>
        <v>0</v>
      </c>
      <c r="AT21" s="65" t="str">
        <f>_xlfn.XLOOKUP($B21,'PEW11'!$C$6:$C$101,'PEW11'!$B$6:$B$101,"")</f>
        <v/>
      </c>
      <c r="AU21" s="76">
        <f>_xlfn.XLOOKUP(AT21,'PEW11'!$B$6:$B$75,'PEW11'!$A$6:$A$75,0)</f>
        <v>0</v>
      </c>
      <c r="AV21" s="65" t="str">
        <f>_xlfn.XLOOKUP($B21,'PEW12'!$C$6:$C$101,'PEW12'!$B$6:$B$101,"")</f>
        <v/>
      </c>
      <c r="AW21" s="76">
        <f>_xlfn.XLOOKUP(AV21,'PEW12'!$B$6:$B$75,'PEW12'!$A$6:$A$75,0)</f>
        <v>0</v>
      </c>
      <c r="AX21" s="65" t="str" cm="1">
        <f t="array" ref="AX21">_xlfn.XLOOKUP($B21,IMEW!C$6:C$201,IMEW!$B$6:B$201,"")</f>
        <v/>
      </c>
      <c r="AY21" s="77">
        <f>_xlfn.XLOOKUP(AX21,IMEW!$B$6:$B$201,IMEW!$A$6:$A$201,0)</f>
        <v>0</v>
      </c>
      <c r="BA21" s="78">
        <f t="shared" si="0"/>
        <v>0</v>
      </c>
      <c r="BB21" s="78">
        <f t="shared" si="1"/>
        <v>0</v>
      </c>
      <c r="BC21" s="78">
        <f t="shared" si="2"/>
        <v>0</v>
      </c>
      <c r="BD21" s="78">
        <f t="shared" si="3"/>
        <v>0</v>
      </c>
      <c r="BE21" s="78">
        <f t="shared" si="4"/>
        <v>0</v>
      </c>
      <c r="BF21" s="78">
        <f t="shared" si="5"/>
        <v>0</v>
      </c>
      <c r="BG21" s="78">
        <f t="shared" si="6"/>
        <v>0</v>
      </c>
    </row>
    <row r="22" spans="1:59" ht="14.8" customHeight="1" x14ac:dyDescent="0.25">
      <c r="A22" s="56">
        <f>ROW()-5</f>
        <v>17</v>
      </c>
      <c r="B22" s="53" t="s">
        <v>34</v>
      </c>
      <c r="C22" s="54"/>
      <c r="D22" s="75">
        <f>SUM(F22,H22,J22,L22,N22,P22,R22,T22,V22)-SUM(SMALL((F22,H22,J22,L22,N22,P22,R22,T22),1),SMALL((F22,H22,J22,L22,N22,P22,R22,T22),2))+SUM(LARGE((Y22,AA22,AC22,AE22,AG22,AI22,AK22,AM22,AO22,AQ22,AS22,AU22,AW22),1),LARGE((Y22,AA22,AC22,AE22,AG22,AI22,AK22,AM22,AO22,AQ22,AS22,AU22,AW22),2),LARGE((Y22,AA22,AC22,AE22,AG22,AI22,AK22,AM22,AO22,AQ22,AS22,AU22,AW22),3),AY22)</f>
        <v>18.995386989283922</v>
      </c>
      <c r="E22" s="65" t="str">
        <f>_xlfn.XLOOKUP($B22,'GP1'!$C$6:$C$101,'GP1'!$B$6:$B$101,"")</f>
        <v/>
      </c>
      <c r="F22" s="133">
        <f>_xlfn.XLOOKUP(E22,'GP1'!$B$6:$B$75,'GP1'!$A$6:$A$75,0)</f>
        <v>0</v>
      </c>
      <c r="G22" s="65" t="str">
        <f>_xlfn.XLOOKUP($B22,'GP2'!$C$6:$C$101,'GP2'!$B$6:$B$101,"")</f>
        <v/>
      </c>
      <c r="H22" s="133">
        <f>_xlfn.XLOOKUP(G22,'GP2'!$B$6:$B$75,'GP2'!$A$6:$A$75,0)</f>
        <v>0</v>
      </c>
      <c r="I22" s="66" t="str">
        <f>_xlfn.XLOOKUP($B22,'GP3'!$C$6:$C$101,'GP3'!$B$6:$B$101,"")</f>
        <v/>
      </c>
      <c r="J22" s="134">
        <f>_xlfn.XLOOKUP(I22,'GP3'!$B$6:$B$75,'GP3'!$A$6:$A$75,0)</f>
        <v>0</v>
      </c>
      <c r="K22" s="66" t="str">
        <f>_xlfn.XLOOKUP($B22,'GP4'!$C$6:$C$101,'GP4'!$B$6:$B$101,"")</f>
        <v/>
      </c>
      <c r="L22" s="134">
        <f>_xlfn.XLOOKUP(K22,'GP4'!$B$6:$B$75,'GP4'!$A$6:$A$75,0)</f>
        <v>0</v>
      </c>
      <c r="M22" s="66" t="str">
        <f>_xlfn.XLOOKUP($B22,'GP5'!$C$6:$C$101,'GP5'!$B$6:$B$101,"")</f>
        <v/>
      </c>
      <c r="N22" s="136">
        <f>_xlfn.XLOOKUP(M22,'GP5'!$B$6:$B$75,'GP5'!$A$6:$A$75,0)</f>
        <v>0</v>
      </c>
      <c r="O22" s="127">
        <f>_xlfn.XLOOKUP($B22,'GP6'!$C$6:$C$101,'GP6'!$B$6:$B$101,"")</f>
        <v>8</v>
      </c>
      <c r="P22" s="136">
        <f>_xlfn.XLOOKUP(O22,'GP6'!$B$6:$B$75,'GP6'!$A$6:$A$75,0)</f>
        <v>18.995386989283922</v>
      </c>
      <c r="Q22" s="127" t="str">
        <f>_xlfn.XLOOKUP($B22,'GP7'!$C$6:$C$101,'GP7'!$B$6:$B$101,"")</f>
        <v/>
      </c>
      <c r="R22" s="136">
        <f>_xlfn.XLOOKUP(Q22,'GP7'!$B$6:$B$75,'GP7'!$A$6:$A$75,0)</f>
        <v>0</v>
      </c>
      <c r="S22" s="127" t="str">
        <f>_xlfn.XLOOKUP($B22,'GP8'!$C$6:$C$101,'GP8'!$B$6:$B$101,"")</f>
        <v/>
      </c>
      <c r="T22" s="136">
        <f>_xlfn.XLOOKUP(S22,'GP8'!$B$6:$B$75,'GP8'!$A$6:$A$75,0)</f>
        <v>0</v>
      </c>
      <c r="U22" s="66" t="str">
        <f>_xlfn.XLOOKUP(B22,MPW!C$6:C$101,MPW!B$6:B$101,"")</f>
        <v/>
      </c>
      <c r="V22" s="136" t="str">
        <f>_xlfn.XLOOKUP(U22,MPW!B$6:B$75,MPW!A$6:A$75,0)</f>
        <v/>
      </c>
      <c r="X22" s="66" t="str">
        <f>_xlfn.XLOOKUP($B22,'PEW1'!$C$6:$C$101,'PEW1'!$B$6:$B$101,"")</f>
        <v/>
      </c>
      <c r="Y22" s="79">
        <f>_xlfn.XLOOKUP(X22,'PEW1'!$B$6:$B$75,'PEW1'!$A$6:$A$75,0)</f>
        <v>0</v>
      </c>
      <c r="Z22" s="65" t="str">
        <f>_xlfn.XLOOKUP($B22,'PEW2'!$C$6:$C$101,'PEW2'!$B$6:$B$101,"")</f>
        <v/>
      </c>
      <c r="AA22" s="76">
        <f>_xlfn.XLOOKUP(Z22,'PEW2'!$B$6:$B$75,'PEW2'!$A$6:$A$75,0)</f>
        <v>0</v>
      </c>
      <c r="AB22" s="65" t="str">
        <f>_xlfn.XLOOKUP($B22,'PEW3'!$C$6:$C$101,'PEW3'!$B$6:$B$101,"")</f>
        <v/>
      </c>
      <c r="AC22" s="76">
        <f>_xlfn.XLOOKUP(AB22,'PEW3'!$B$6:$B$75,'PEW3'!$A$6:$A$75,0)</f>
        <v>0</v>
      </c>
      <c r="AD22" s="65" t="str">
        <f>_xlfn.XLOOKUP($B22,VFC!$C$6:$C$101,VFC!$B$6:$B$101,"")</f>
        <v/>
      </c>
      <c r="AE22" s="76">
        <f>_xlfn.XLOOKUP(AD22,VFC!$B$6:$B$75,VFC!$A$6:$A$75,0)</f>
        <v>0</v>
      </c>
      <c r="AF22" s="65" t="str">
        <f>_xlfn.XLOOKUP($B22,'PEW4'!$C$6:$C$101,'PEW4'!$B$6:$B$101,"")</f>
        <v/>
      </c>
      <c r="AG22" s="76">
        <f>_xlfn.XLOOKUP(AF22,'PEW4'!$B$6:$B$75,'PEW4'!$A$6:$A$75,0)</f>
        <v>0</v>
      </c>
      <c r="AH22" s="65" t="str">
        <f>_xlfn.XLOOKUP($B22,'PEW5'!$C$6:$C$101,'PEW5'!$B$6:$B$101,"")</f>
        <v/>
      </c>
      <c r="AI22" s="76">
        <f>_xlfn.XLOOKUP(AH22,'PEW5'!$B$6:$B$75,'PEW5'!$A$6:$A$75,0)</f>
        <v>0</v>
      </c>
      <c r="AJ22" s="65" t="str">
        <f>_xlfn.XLOOKUP($B22,'PEW6'!$C$6:$C$101,'PEW6'!$B$6:$B$101,"")</f>
        <v/>
      </c>
      <c r="AK22" s="76">
        <f>_xlfn.XLOOKUP(AJ22,'PEW6'!$B$6:$B$75,'PEW6'!$A$6:$A$75,0)</f>
        <v>0</v>
      </c>
      <c r="AL22" s="65" t="str">
        <f>_xlfn.XLOOKUP($B22,'PEW7'!$C$6:$C$101,'PEW7'!$B$6:$B$101,"")</f>
        <v/>
      </c>
      <c r="AM22" s="76">
        <f>_xlfn.XLOOKUP(AL22,'PEW7'!$B$6:$B$75,'PEW7'!$A$6:$A$75,0)</f>
        <v>0</v>
      </c>
      <c r="AN22" s="65" t="str">
        <f>_xlfn.XLOOKUP($B22,'PEW8'!$C$6:$C$101,'PEW8'!$B$6:$B$101,"")</f>
        <v/>
      </c>
      <c r="AO22" s="76">
        <f>_xlfn.XLOOKUP(AN22,'PEW8'!$B$6:$B$75,'PEW8'!$A$6:$A$75,0)</f>
        <v>0</v>
      </c>
      <c r="AP22" s="65" t="str">
        <f>_xlfn.XLOOKUP($B22,'PEW9'!$C$6:$C$101,'PEW9'!$B$6:$B$101,"")</f>
        <v/>
      </c>
      <c r="AQ22" s="76">
        <f>_xlfn.XLOOKUP(AP22,'PEW9'!$B$6:$B$75,'PEW9'!$A$6:$A$75,0)</f>
        <v>0</v>
      </c>
      <c r="AR22" s="65" t="str">
        <f>_xlfn.XLOOKUP($B22,'PEW10'!$C$6:$C$101,'PEW10'!$B$6:$B$101,"")</f>
        <v/>
      </c>
      <c r="AS22" s="76">
        <f>_xlfn.XLOOKUP(AR22,'PEW10'!$B$6:$B$75,'PEW10'!$A$6:$A$75,0)</f>
        <v>0</v>
      </c>
      <c r="AT22" s="65" t="str">
        <f>_xlfn.XLOOKUP($B22,'PEW11'!$C$6:$C$101,'PEW11'!$B$6:$B$101,"")</f>
        <v/>
      </c>
      <c r="AU22" s="76">
        <f>_xlfn.XLOOKUP(AT22,'PEW11'!$B$6:$B$75,'PEW11'!$A$6:$A$75,0)</f>
        <v>0</v>
      </c>
      <c r="AV22" s="65" t="str">
        <f>_xlfn.XLOOKUP($B22,'PEW12'!$C$6:$C$101,'PEW12'!$B$6:$B$101,"")</f>
        <v/>
      </c>
      <c r="AW22" s="76">
        <f>_xlfn.XLOOKUP(AV22,'PEW12'!$B$6:$B$75,'PEW12'!$A$6:$A$75,0)</f>
        <v>0</v>
      </c>
      <c r="AX22" s="65" t="str" cm="1">
        <f t="array" ref="AX22">_xlfn.XLOOKUP($B22,IMEW!C$6:C$201,IMEW!$B$6:B$201,"")</f>
        <v/>
      </c>
      <c r="AY22" s="77">
        <f>_xlfn.XLOOKUP(AX22,IMEW!$B$6:$B$201,IMEW!$A$6:$A$201,0)</f>
        <v>0</v>
      </c>
      <c r="BA22" s="78">
        <f t="shared" si="0"/>
        <v>0</v>
      </c>
      <c r="BB22" s="78">
        <f t="shared" si="1"/>
        <v>0</v>
      </c>
      <c r="BC22" s="78">
        <f t="shared" si="2"/>
        <v>0</v>
      </c>
      <c r="BD22" s="78">
        <f t="shared" si="3"/>
        <v>0</v>
      </c>
      <c r="BE22" s="78">
        <f t="shared" si="4"/>
        <v>0</v>
      </c>
      <c r="BF22" s="78">
        <f t="shared" si="5"/>
        <v>0</v>
      </c>
      <c r="BG22" s="78">
        <f t="shared" si="6"/>
        <v>0</v>
      </c>
    </row>
    <row r="23" spans="1:59" ht="14.8" customHeight="1" x14ac:dyDescent="0.25">
      <c r="A23" s="56">
        <f>ROW()-5</f>
        <v>18</v>
      </c>
      <c r="B23" s="53" t="s">
        <v>573</v>
      </c>
      <c r="C23" s="54"/>
      <c r="D23" s="75">
        <f>SUM(F23,H23,J23,L23,N23,P23,R23,T23,V23)-SUM(SMALL((F23,H23,J23,L23,N23,P23,R23,T23),1),SMALL((F23,H23,J23,L23,N23,P23,R23,T23),2))+SUM(LARGE((Y23,AA23,AC23,AE23,AG23,AI23,AK23,AM23,AO23,AQ23,AS23,AU23,AW23),1),LARGE((Y23,AA23,AC23,AE23,AG23,AI23,AK23,AM23,AO23,AQ23,AS23,AU23,AW23),2),LARGE((Y23,AA23,AC23,AE23,AG23,AI23,AK23,AM23,AO23,AQ23,AS23,AU23,AW23),3),AY23)</f>
        <v>14.807552084046806</v>
      </c>
      <c r="E23" s="65" t="str">
        <f>_xlfn.XLOOKUP($B23,'GP1'!$C$6:$C$101,'GP1'!$B$6:$B$101,"")</f>
        <v/>
      </c>
      <c r="F23" s="133">
        <f>_xlfn.XLOOKUP(E23,'GP1'!$B$6:$B$75,'GP1'!$A$6:$A$75,0)</f>
        <v>0</v>
      </c>
      <c r="G23" s="65" t="str">
        <f>_xlfn.XLOOKUP($B23,'GP2'!$C$6:$C$101,'GP2'!$B$6:$B$101,"")</f>
        <v/>
      </c>
      <c r="H23" s="133">
        <f>_xlfn.XLOOKUP(G23,'GP2'!$B$6:$B$75,'GP2'!$A$6:$A$75,0)</f>
        <v>0</v>
      </c>
      <c r="I23" s="66" t="str">
        <f>_xlfn.XLOOKUP($B23,'GP3'!$C$6:$C$101,'GP3'!$B$6:$B$101,"")</f>
        <v/>
      </c>
      <c r="J23" s="134">
        <f>_xlfn.XLOOKUP(I23,'GP3'!$B$6:$B$75,'GP3'!$A$6:$A$75,0)</f>
        <v>0</v>
      </c>
      <c r="K23" s="66" t="str">
        <f>_xlfn.XLOOKUP($B23,'GP4'!$C$6:$C$101,'GP4'!$B$6:$B$101,"")</f>
        <v/>
      </c>
      <c r="L23" s="134">
        <f>_xlfn.XLOOKUP(K23,'GP4'!$B$6:$B$75,'GP4'!$A$6:$A$75,0)</f>
        <v>0</v>
      </c>
      <c r="M23" s="66" t="str">
        <f>_xlfn.XLOOKUP($B23,'GP5'!$C$6:$C$101,'GP5'!$B$6:$B$101,"")</f>
        <v/>
      </c>
      <c r="N23" s="136">
        <f>_xlfn.XLOOKUP(M23,'GP5'!$B$6:$B$75,'GP5'!$A$6:$A$75,0)</f>
        <v>0</v>
      </c>
      <c r="O23" s="127" t="str">
        <f>_xlfn.XLOOKUP($B23,'GP6'!$C$6:$C$101,'GP6'!$B$6:$B$101,"")</f>
        <v/>
      </c>
      <c r="P23" s="136">
        <f>_xlfn.XLOOKUP(O23,'GP6'!$B$6:$B$75,'GP6'!$A$6:$A$75,0)</f>
        <v>0</v>
      </c>
      <c r="Q23" s="127" t="str">
        <f>_xlfn.XLOOKUP($B23,'GP7'!$C$6:$C$101,'GP7'!$B$6:$B$101,"")</f>
        <v/>
      </c>
      <c r="R23" s="136">
        <f>_xlfn.XLOOKUP(Q23,'GP7'!$B$6:$B$75,'GP7'!$A$6:$A$75,0)</f>
        <v>0</v>
      </c>
      <c r="S23" s="127" t="str">
        <f>_xlfn.XLOOKUP($B23,'GP8'!$C$6:$C$101,'GP8'!$B$6:$B$101,"")</f>
        <v/>
      </c>
      <c r="T23" s="136">
        <f>_xlfn.XLOOKUP(S23,'GP8'!$B$6:$B$75,'GP8'!$A$6:$A$75,0)</f>
        <v>0</v>
      </c>
      <c r="U23" s="66">
        <f>_xlfn.XLOOKUP(B23,MPW!C$6:C$101,MPW!B$6:B$101,"")</f>
        <v>9</v>
      </c>
      <c r="V23" s="136">
        <f>_xlfn.XLOOKUP(U23,MPW!B$6:B$75,MPW!A$6:A$75,0)</f>
        <v>9.6298806947079871</v>
      </c>
      <c r="X23" s="66" t="str">
        <f>_xlfn.XLOOKUP($B23,'PEW1'!$C$6:$C$101,'PEW1'!$B$6:$B$101,"")</f>
        <v/>
      </c>
      <c r="Y23" s="79">
        <f>_xlfn.XLOOKUP(X23,'PEW1'!$B$6:$B$75,'PEW1'!$A$6:$A$75,0)</f>
        <v>0</v>
      </c>
      <c r="Z23" s="65" t="str">
        <f>_xlfn.XLOOKUP($B23,'PEW2'!$C$6:$C$101,'PEW2'!$B$6:$B$101,"")</f>
        <v/>
      </c>
      <c r="AA23" s="76">
        <f>_xlfn.XLOOKUP(Z23,'PEW2'!$B$6:$B$75,'PEW2'!$A$6:$A$75,0)</f>
        <v>0</v>
      </c>
      <c r="AB23" s="65" t="str">
        <f>_xlfn.XLOOKUP($B23,'PEW3'!$C$6:$C$101,'PEW3'!$B$6:$B$101,"")</f>
        <v/>
      </c>
      <c r="AC23" s="76">
        <f>_xlfn.XLOOKUP(AB23,'PEW3'!$B$6:$B$75,'PEW3'!$A$6:$A$75,0)</f>
        <v>0</v>
      </c>
      <c r="AD23" s="65" t="str">
        <f>_xlfn.XLOOKUP($B23,VFC!$C$6:$C$101,VFC!$B$6:$B$101,"")</f>
        <v/>
      </c>
      <c r="AE23" s="76">
        <f>_xlfn.XLOOKUP(AD23,VFC!$B$6:$B$75,VFC!$A$6:$A$75,0)</f>
        <v>0</v>
      </c>
      <c r="AF23" s="65" t="str">
        <f>_xlfn.XLOOKUP($B23,'PEW4'!$C$6:$C$101,'PEW4'!$B$6:$B$101,"")</f>
        <v/>
      </c>
      <c r="AG23" s="76">
        <f>_xlfn.XLOOKUP(AF23,'PEW4'!$B$6:$B$75,'PEW4'!$A$6:$A$75,0)</f>
        <v>0</v>
      </c>
      <c r="AH23" s="65" t="str">
        <f>_xlfn.XLOOKUP($B23,'PEW5'!$C$6:$C$101,'PEW5'!$B$6:$B$101,"")</f>
        <v/>
      </c>
      <c r="AI23" s="76">
        <f>_xlfn.XLOOKUP(AH23,'PEW5'!$B$6:$B$75,'PEW5'!$A$6:$A$75,0)</f>
        <v>0</v>
      </c>
      <c r="AJ23" s="65" t="str">
        <f>_xlfn.XLOOKUP($B23,'PEW6'!$C$6:$C$101,'PEW6'!$B$6:$B$101,"")</f>
        <v/>
      </c>
      <c r="AK23" s="76">
        <f>_xlfn.XLOOKUP(AJ23,'PEW6'!$B$6:$B$75,'PEW6'!$A$6:$A$75,0)</f>
        <v>0</v>
      </c>
      <c r="AL23" s="65" t="str">
        <f>_xlfn.XLOOKUP($B23,'PEW7'!$C$6:$C$101,'PEW7'!$B$6:$B$101,"")</f>
        <v/>
      </c>
      <c r="AM23" s="76">
        <f>_xlfn.XLOOKUP(AL23,'PEW7'!$B$6:$B$75,'PEW7'!$A$6:$A$75,0)</f>
        <v>0</v>
      </c>
      <c r="AN23" s="65" t="str">
        <f>_xlfn.XLOOKUP($B23,'PEW8'!$C$6:$C$101,'PEW8'!$B$6:$B$101,"")</f>
        <v/>
      </c>
      <c r="AO23" s="76">
        <f>_xlfn.XLOOKUP(AN23,'PEW8'!$B$6:$B$75,'PEW8'!$A$6:$A$75,0)</f>
        <v>0</v>
      </c>
      <c r="AP23" s="65" t="str">
        <f>_xlfn.XLOOKUP($B23,'PEW9'!$C$6:$C$101,'PEW9'!$B$6:$B$101,"")</f>
        <v/>
      </c>
      <c r="AQ23" s="76">
        <f>_xlfn.XLOOKUP(AP23,'PEW9'!$B$6:$B$75,'PEW9'!$A$6:$A$75,0)</f>
        <v>0</v>
      </c>
      <c r="AR23" s="65" t="str">
        <f>_xlfn.XLOOKUP($B23,'PEW10'!$C$6:$C$101,'PEW10'!$B$6:$B$101,"")</f>
        <v/>
      </c>
      <c r="AS23" s="76">
        <f>_xlfn.XLOOKUP(AR23,'PEW10'!$B$6:$B$75,'PEW10'!$A$6:$A$75,0)</f>
        <v>0</v>
      </c>
      <c r="AT23" s="65">
        <f>_xlfn.XLOOKUP($B23,'PEW11'!$C$6:$C$101,'PEW11'!$B$6:$B$101,"")</f>
        <v>19</v>
      </c>
      <c r="AU23" s="76">
        <f>_xlfn.XLOOKUP(AT23,'PEW11'!$B$6:$B$75,'PEW11'!$A$6:$A$75,0)</f>
        <v>5.1776713893388191</v>
      </c>
      <c r="AV23" s="65" t="str">
        <f>_xlfn.XLOOKUP($B23,'PEW12'!$C$6:$C$101,'PEW12'!$B$6:$B$101,"")</f>
        <v/>
      </c>
      <c r="AW23" s="76">
        <f>_xlfn.XLOOKUP(AV23,'PEW12'!$B$6:$B$75,'PEW12'!$A$6:$A$75,0)</f>
        <v>0</v>
      </c>
      <c r="AX23" s="65" t="str" cm="1">
        <f t="array" ref="AX23">_xlfn.XLOOKUP($B23,IMEW!C$6:C$201,IMEW!$B$6:B$201,"")</f>
        <v/>
      </c>
      <c r="AY23" s="77">
        <f>_xlfn.XLOOKUP(AX23,IMEW!$B$6:$B$201,IMEW!$A$6:$A$201,0)</f>
        <v>0</v>
      </c>
      <c r="BA23" s="78">
        <f t="shared" si="0"/>
        <v>0</v>
      </c>
      <c r="BB23" s="78">
        <f t="shared" si="1"/>
        <v>0</v>
      </c>
      <c r="BC23" s="78">
        <f t="shared" si="2"/>
        <v>0</v>
      </c>
      <c r="BD23" s="78">
        <f t="shared" si="3"/>
        <v>0</v>
      </c>
      <c r="BE23" s="78">
        <f t="shared" si="4"/>
        <v>0</v>
      </c>
      <c r="BF23" s="78">
        <f t="shared" si="5"/>
        <v>0</v>
      </c>
      <c r="BG23" s="78">
        <f t="shared" si="6"/>
        <v>0</v>
      </c>
    </row>
    <row r="24" spans="1:59" ht="14.8" customHeight="1" x14ac:dyDescent="0.25">
      <c r="A24" s="56">
        <f>ROW()-5</f>
        <v>19</v>
      </c>
      <c r="B24" s="53" t="s">
        <v>569</v>
      </c>
      <c r="C24" s="54"/>
      <c r="D24" s="75">
        <f>SUM(F24,H24,J24,L24,N24,P24,R24,T24,V24)-SUM(SMALL((F24,H24,J24,L24,N24,P24,R24,T24),1),SMALL((F24,H24,J24,L24,N24,P24,R24,T24),2))+SUM(LARGE((Y24,AA24,AC24,AE24,AG24,AI24,AK24,AM24,AO24,AQ24,AS24,AU24,AW24),1),LARGE((Y24,AA24,AC24,AE24,AG24,AI24,AK24,AM24,AO24,AQ24,AS24,AU24,AW24),2),LARGE((Y24,AA24,AC24,AE24,AG24,AI24,AK24,AM24,AO24,AQ24,AS24,AU24,AW24),3),AY24)</f>
        <v>14.62666311249788</v>
      </c>
      <c r="E24" s="65" t="str">
        <f>_xlfn.XLOOKUP($B24,'GP1'!$C$6:$C$101,'GP1'!$B$6:$B$101,"")</f>
        <v/>
      </c>
      <c r="F24" s="133">
        <f>_xlfn.XLOOKUP(E24,'GP1'!$B$6:$B$75,'GP1'!$A$6:$A$75,0)</f>
        <v>0</v>
      </c>
      <c r="G24" s="65" t="str">
        <f>_xlfn.XLOOKUP($B24,'GP2'!$C$6:$C$101,'GP2'!$B$6:$B$101,"")</f>
        <v/>
      </c>
      <c r="H24" s="133">
        <f>_xlfn.XLOOKUP(G24,'GP2'!$B$6:$B$75,'GP2'!$A$6:$A$75,0)</f>
        <v>0</v>
      </c>
      <c r="I24" s="66" t="str">
        <f>_xlfn.XLOOKUP($B24,'GP3'!$C$6:$C$101,'GP3'!$B$6:$B$101,"")</f>
        <v/>
      </c>
      <c r="J24" s="134">
        <f>_xlfn.XLOOKUP(I24,'GP3'!$B$6:$B$75,'GP3'!$A$6:$A$75,0)</f>
        <v>0</v>
      </c>
      <c r="K24" s="66" t="str">
        <f>_xlfn.XLOOKUP($B24,'GP4'!$C$6:$C$101,'GP4'!$B$6:$B$101,"")</f>
        <v/>
      </c>
      <c r="L24" s="134">
        <f>_xlfn.XLOOKUP(K24,'GP4'!$B$6:$B$75,'GP4'!$A$6:$A$75,0)</f>
        <v>0</v>
      </c>
      <c r="M24" s="66" t="str">
        <f>_xlfn.XLOOKUP($B24,'GP5'!$C$6:$C$101,'GP5'!$B$6:$B$101,"")</f>
        <v/>
      </c>
      <c r="N24" s="136">
        <f>_xlfn.XLOOKUP(M24,'GP5'!$B$6:$B$75,'GP5'!$A$6:$A$75,0)</f>
        <v>0</v>
      </c>
      <c r="O24" s="127" t="str">
        <f>_xlfn.XLOOKUP($B24,'GP6'!$C$6:$C$101,'GP6'!$B$6:$B$101,"")</f>
        <v/>
      </c>
      <c r="P24" s="136">
        <f>_xlfn.XLOOKUP(O24,'GP6'!$B$6:$B$75,'GP6'!$A$6:$A$75,0)</f>
        <v>0</v>
      </c>
      <c r="Q24" s="127">
        <f>_xlfn.XLOOKUP($B24,'GP7'!$C$6:$C$101,'GP7'!$B$6:$B$101,"")</f>
        <v>12</v>
      </c>
      <c r="R24" s="136">
        <f>_xlfn.XLOOKUP(Q24,'GP7'!$B$6:$B$75,'GP7'!$A$6:$A$75,0)</f>
        <v>1</v>
      </c>
      <c r="S24" s="127">
        <f>_xlfn.XLOOKUP($B24,'GP8'!$C$6:$C$101,'GP8'!$B$6:$B$101,"")</f>
        <v>8</v>
      </c>
      <c r="T24" s="136">
        <f>_xlfn.XLOOKUP(S24,'GP8'!$B$6:$B$75,'GP8'!$A$6:$A$75,0)</f>
        <v>13.62666311249788</v>
      </c>
      <c r="U24" s="66" t="str">
        <f>_xlfn.XLOOKUP(B24,MPW!C$6:C$101,MPW!B$6:B$101,"")</f>
        <v/>
      </c>
      <c r="V24" s="136" t="str">
        <f>_xlfn.XLOOKUP(U24,MPW!B$6:B$75,MPW!A$6:A$75,0)</f>
        <v/>
      </c>
      <c r="X24" s="66" t="str">
        <f>_xlfn.XLOOKUP($B24,'PEW1'!$C$6:$C$101,'PEW1'!$B$6:$B$101,"")</f>
        <v/>
      </c>
      <c r="Y24" s="79">
        <f>_xlfn.XLOOKUP(X24,'PEW1'!$B$6:$B$75,'PEW1'!$A$6:$A$75,0)</f>
        <v>0</v>
      </c>
      <c r="Z24" s="65" t="str">
        <f>_xlfn.XLOOKUP($B24,'PEW2'!$C$6:$C$101,'PEW2'!$B$6:$B$101,"")</f>
        <v/>
      </c>
      <c r="AA24" s="76">
        <f>_xlfn.XLOOKUP(Z24,'PEW2'!$B$6:$B$75,'PEW2'!$A$6:$A$75,0)</f>
        <v>0</v>
      </c>
      <c r="AB24" s="65" t="str">
        <f>_xlfn.XLOOKUP($B24,'PEW3'!$C$6:$C$101,'PEW3'!$B$6:$B$101,"")</f>
        <v/>
      </c>
      <c r="AC24" s="76">
        <f>_xlfn.XLOOKUP(AB24,'PEW3'!$B$6:$B$75,'PEW3'!$A$6:$A$75,0)</f>
        <v>0</v>
      </c>
      <c r="AD24" s="65" t="str">
        <f>_xlfn.XLOOKUP($B24,VFC!$C$6:$C$101,VFC!$B$6:$B$101,"")</f>
        <v/>
      </c>
      <c r="AE24" s="76">
        <f>_xlfn.XLOOKUP(AD24,VFC!$B$6:$B$75,VFC!$A$6:$A$75,0)</f>
        <v>0</v>
      </c>
      <c r="AF24" s="65" t="str">
        <f>_xlfn.XLOOKUP($B24,'PEW4'!$C$6:$C$101,'PEW4'!$B$6:$B$101,"")</f>
        <v/>
      </c>
      <c r="AG24" s="76">
        <f>_xlfn.XLOOKUP(AF24,'PEW4'!$B$6:$B$75,'PEW4'!$A$6:$A$75,0)</f>
        <v>0</v>
      </c>
      <c r="AH24" s="65" t="str">
        <f>_xlfn.XLOOKUP($B24,'PEW5'!$C$6:$C$101,'PEW5'!$B$6:$B$101,"")</f>
        <v/>
      </c>
      <c r="AI24" s="76">
        <f>_xlfn.XLOOKUP(AH24,'PEW5'!$B$6:$B$75,'PEW5'!$A$6:$A$75,0)</f>
        <v>0</v>
      </c>
      <c r="AJ24" s="65" t="str">
        <f>_xlfn.XLOOKUP($B24,'PEW6'!$C$6:$C$101,'PEW6'!$B$6:$B$101,"")</f>
        <v/>
      </c>
      <c r="AK24" s="76">
        <f>_xlfn.XLOOKUP(AJ24,'PEW6'!$B$6:$B$75,'PEW6'!$A$6:$A$75,0)</f>
        <v>0</v>
      </c>
      <c r="AL24" s="65" t="str">
        <f>_xlfn.XLOOKUP($B24,'PEW7'!$C$6:$C$101,'PEW7'!$B$6:$B$101,"")</f>
        <v/>
      </c>
      <c r="AM24" s="76">
        <f>_xlfn.XLOOKUP(AL24,'PEW7'!$B$6:$B$75,'PEW7'!$A$6:$A$75,0)</f>
        <v>0</v>
      </c>
      <c r="AN24" s="65" t="str">
        <f>_xlfn.XLOOKUP($B24,'PEW8'!$C$6:$C$101,'PEW8'!$B$6:$B$101,"")</f>
        <v/>
      </c>
      <c r="AO24" s="76">
        <f>_xlfn.XLOOKUP(AN24,'PEW8'!$B$6:$B$75,'PEW8'!$A$6:$A$75,0)</f>
        <v>0</v>
      </c>
      <c r="AP24" s="65" t="str">
        <f>_xlfn.XLOOKUP($B24,'PEW9'!$C$6:$C$101,'PEW9'!$B$6:$B$101,"")</f>
        <v/>
      </c>
      <c r="AQ24" s="76">
        <f>_xlfn.XLOOKUP(AP24,'PEW9'!$B$6:$B$75,'PEW9'!$A$6:$A$75,0)</f>
        <v>0</v>
      </c>
      <c r="AR24" s="65" t="str">
        <f>_xlfn.XLOOKUP($B24,'PEW10'!$C$6:$C$101,'PEW10'!$B$6:$B$101,"")</f>
        <v/>
      </c>
      <c r="AS24" s="76">
        <f>_xlfn.XLOOKUP(AR24,'PEW10'!$B$6:$B$75,'PEW10'!$A$6:$A$75,0)</f>
        <v>0</v>
      </c>
      <c r="AT24" s="65" t="str">
        <f>_xlfn.XLOOKUP($B24,'PEW11'!$C$6:$C$101,'PEW11'!$B$6:$B$101,"")</f>
        <v/>
      </c>
      <c r="AU24" s="76">
        <f>_xlfn.XLOOKUP(AT24,'PEW11'!$B$6:$B$75,'PEW11'!$A$6:$A$75,0)</f>
        <v>0</v>
      </c>
      <c r="AV24" s="65" t="str">
        <f>_xlfn.XLOOKUP($B24,'PEW12'!$C$6:$C$101,'PEW12'!$B$6:$B$101,"")</f>
        <v/>
      </c>
      <c r="AW24" s="76">
        <f>_xlfn.XLOOKUP(AV24,'PEW12'!$B$6:$B$75,'PEW12'!$A$6:$A$75,0)</f>
        <v>0</v>
      </c>
      <c r="AX24" s="65" t="str" cm="1">
        <f t="array" ref="AX24">_xlfn.XLOOKUP($B24,IMEW!C$6:C$201,IMEW!$B$6:B$201,"")</f>
        <v/>
      </c>
      <c r="AY24" s="77">
        <f>_xlfn.XLOOKUP(AX24,IMEW!$B$6:$B$201,IMEW!$A$6:$A$201,0)</f>
        <v>0</v>
      </c>
      <c r="BA24" s="78">
        <f t="shared" ref="BA24:BA34" si="7">Y24</f>
        <v>0</v>
      </c>
      <c r="BB24" s="78">
        <f t="shared" ref="BB24:BB34" si="8">AA24</f>
        <v>0</v>
      </c>
      <c r="BC24" s="78">
        <f t="shared" ref="BC24:BC34" si="9">AC24</f>
        <v>0</v>
      </c>
      <c r="BD24" s="78">
        <f t="shared" ref="BD24:BD34" si="10">AG24</f>
        <v>0</v>
      </c>
      <c r="BE24" s="78">
        <f t="shared" ref="BE24:BE34" si="11">AI24</f>
        <v>0</v>
      </c>
      <c r="BF24" s="78">
        <f t="shared" ref="BF24:BF34" si="12">AK24</f>
        <v>0</v>
      </c>
      <c r="BG24" s="78">
        <f t="shared" ref="BG24:BG34" si="13">AM24</f>
        <v>0</v>
      </c>
    </row>
    <row r="25" spans="1:59" ht="14.8" customHeight="1" x14ac:dyDescent="0.25">
      <c r="A25" s="56">
        <f>ROW()-5</f>
        <v>20</v>
      </c>
      <c r="B25" s="53" t="s">
        <v>35</v>
      </c>
      <c r="C25" s="54"/>
      <c r="D25" s="75">
        <f>SUM(F25,H25,J25,L25,N25,P25,R25,T25,V25)-SUM(SMALL((F25,H25,J25,L25,N25,P25,R25,T25),1),SMALL((F25,H25,J25,L25,N25,P25,R25,T25),2))+SUM(LARGE((Y25,AA25,AC25,AE25,AG25,AI25,AK25,AM25,AO25,AQ25,AS25,AU25,AW25),1),LARGE((Y25,AA25,AC25,AE25,AG25,AI25,AK25,AM25,AO25,AQ25,AS25,AU25,AW25),2),LARGE((Y25,AA25,AC25,AE25,AG25,AI25,AK25,AM25,AO25,AQ25,AS25,AU25,AW25),3),AY25)</f>
        <v>11.693025465149059</v>
      </c>
      <c r="E25" s="65" t="str">
        <f>_xlfn.XLOOKUP($B25,'GP1'!$C$6:$C$101,'GP1'!$B$6:$B$101,"")</f>
        <v/>
      </c>
      <c r="F25" s="133">
        <f>_xlfn.XLOOKUP(E25,'GP1'!$B$6:$B$75,'GP1'!$A$6:$A$75,0)</f>
        <v>0</v>
      </c>
      <c r="G25" s="65" t="str">
        <f>_xlfn.XLOOKUP($B25,'GP2'!$C$6:$C$101,'GP2'!$B$6:$B$101,"")</f>
        <v/>
      </c>
      <c r="H25" s="133">
        <f>_xlfn.XLOOKUP(G25,'GP2'!$B$6:$B$75,'GP2'!$A$6:$A$75,0)</f>
        <v>0</v>
      </c>
      <c r="I25" s="66" t="str">
        <f>_xlfn.XLOOKUP($B25,'GP3'!$C$6:$C$101,'GP3'!$B$6:$B$101,"")</f>
        <v/>
      </c>
      <c r="J25" s="134">
        <f>_xlfn.XLOOKUP(I25,'GP3'!$B$6:$B$75,'GP3'!$A$6:$A$75,0)</f>
        <v>0</v>
      </c>
      <c r="K25" s="66">
        <f>_xlfn.XLOOKUP($B25,'GP4'!$C$6:$C$101,'GP4'!$B$6:$B$101,"")</f>
        <v>10</v>
      </c>
      <c r="L25" s="134">
        <f>_xlfn.XLOOKUP(K25,'GP4'!$B$6:$B$75,'GP4'!$A$6:$A$75,0)</f>
        <v>2.9476241783327595</v>
      </c>
      <c r="M25" s="66">
        <f>_xlfn.XLOOKUP($B25,'GP5'!$C$6:$C$101,'GP5'!$B$6:$B$101,"")</f>
        <v>9</v>
      </c>
      <c r="N25" s="136">
        <f>_xlfn.XLOOKUP(M25,'GP5'!$B$6:$B$75,'GP5'!$A$6:$A$75,0)</f>
        <v>1</v>
      </c>
      <c r="O25" s="127" t="str">
        <f>_xlfn.XLOOKUP($B25,'GP6'!$C$6:$C$101,'GP6'!$B$6:$B$101,"")</f>
        <v/>
      </c>
      <c r="P25" s="136">
        <f>_xlfn.XLOOKUP(O25,'GP6'!$B$6:$B$75,'GP6'!$A$6:$A$75,0)</f>
        <v>0</v>
      </c>
      <c r="Q25" s="127">
        <f>_xlfn.XLOOKUP($B25,'GP7'!$C$6:$C$101,'GP7'!$B$6:$B$101,"")</f>
        <v>11</v>
      </c>
      <c r="R25" s="136">
        <f>_xlfn.XLOOKUP(Q25,'GP7'!$B$6:$B$75,'GP7'!$A$6:$A$75,0)</f>
        <v>2.7157817469141534</v>
      </c>
      <c r="S25" s="127" t="str">
        <f>_xlfn.XLOOKUP($B25,'GP8'!$C$6:$C$101,'GP8'!$B$6:$B$101,"")</f>
        <v/>
      </c>
      <c r="T25" s="136">
        <f>_xlfn.XLOOKUP(S25,'GP8'!$B$6:$B$75,'GP8'!$A$6:$A$75,0)</f>
        <v>0</v>
      </c>
      <c r="U25" s="66">
        <f>_xlfn.XLOOKUP(B25,MPW!C$6:C$101,MPW!B$6:B$101,"")</f>
        <v>11</v>
      </c>
      <c r="V25" s="136">
        <f>_xlfn.XLOOKUP(U25,MPW!B$6:B$75,MPW!A$6:A$75,0)</f>
        <v>5.0296195399021455</v>
      </c>
      <c r="X25" s="66" t="str">
        <f>_xlfn.XLOOKUP($B25,'PEW1'!$C$6:$C$101,'PEW1'!$B$6:$B$101,"")</f>
        <v/>
      </c>
      <c r="Y25" s="79">
        <f>_xlfn.XLOOKUP(X25,'PEW1'!$B$6:$B$75,'PEW1'!$A$6:$A$75,0)</f>
        <v>0</v>
      </c>
      <c r="Z25" s="65" t="str">
        <f>_xlfn.XLOOKUP($B25,'PEW2'!$C$6:$C$101,'PEW2'!$B$6:$B$101,"")</f>
        <v/>
      </c>
      <c r="AA25" s="76">
        <f>_xlfn.XLOOKUP(Z25,'PEW2'!$B$6:$B$75,'PEW2'!$A$6:$A$75,0)</f>
        <v>0</v>
      </c>
      <c r="AB25" s="65" t="str">
        <f>_xlfn.XLOOKUP($B25,'PEW3'!$C$6:$C$101,'PEW3'!$B$6:$B$101,"")</f>
        <v/>
      </c>
      <c r="AC25" s="76">
        <f>_xlfn.XLOOKUP(AB25,'PEW3'!$B$6:$B$75,'PEW3'!$A$6:$A$75,0)</f>
        <v>0</v>
      </c>
      <c r="AD25" s="65" t="str">
        <f>_xlfn.XLOOKUP($B25,VFC!$C$6:$C$101,VFC!$B$6:$B$101,"")</f>
        <v/>
      </c>
      <c r="AE25" s="76">
        <f>_xlfn.XLOOKUP(AD25,VFC!$B$6:$B$75,VFC!$A$6:$A$75,0)</f>
        <v>0</v>
      </c>
      <c r="AF25" s="65" t="str">
        <f>_xlfn.XLOOKUP($B25,'PEW4'!$C$6:$C$101,'PEW4'!$B$6:$B$101,"")</f>
        <v/>
      </c>
      <c r="AG25" s="76">
        <f>_xlfn.XLOOKUP(AF25,'PEW4'!$B$6:$B$75,'PEW4'!$A$6:$A$75,0)</f>
        <v>0</v>
      </c>
      <c r="AH25" s="65" t="str">
        <f>_xlfn.XLOOKUP($B25,'PEW5'!$C$6:$C$101,'PEW5'!$B$6:$B$101,"")</f>
        <v/>
      </c>
      <c r="AI25" s="76">
        <f>_xlfn.XLOOKUP(AH25,'PEW5'!$B$6:$B$75,'PEW5'!$A$6:$A$75,0)</f>
        <v>0</v>
      </c>
      <c r="AJ25" s="65" t="str">
        <f>_xlfn.XLOOKUP($B25,'PEW6'!$C$6:$C$101,'PEW6'!$B$6:$B$101,"")</f>
        <v/>
      </c>
      <c r="AK25" s="76">
        <f>_xlfn.XLOOKUP(AJ25,'PEW6'!$B$6:$B$75,'PEW6'!$A$6:$A$75,0)</f>
        <v>0</v>
      </c>
      <c r="AL25" s="65" t="str">
        <f>_xlfn.XLOOKUP($B25,'PEW7'!$C$6:$C$101,'PEW7'!$B$6:$B$101,"")</f>
        <v/>
      </c>
      <c r="AM25" s="76">
        <f>_xlfn.XLOOKUP(AL25,'PEW7'!$B$6:$B$75,'PEW7'!$A$6:$A$75,0)</f>
        <v>0</v>
      </c>
      <c r="AN25" s="65" t="str">
        <f>_xlfn.XLOOKUP($B25,'PEW8'!$C$6:$C$101,'PEW8'!$B$6:$B$101,"")</f>
        <v/>
      </c>
      <c r="AO25" s="76">
        <f>_xlfn.XLOOKUP(AN25,'PEW8'!$B$6:$B$75,'PEW8'!$A$6:$A$75,0)</f>
        <v>0</v>
      </c>
      <c r="AP25" s="65" t="str">
        <f>_xlfn.XLOOKUP($B25,'PEW9'!$C$6:$C$101,'PEW9'!$B$6:$B$101,"")</f>
        <v/>
      </c>
      <c r="AQ25" s="76">
        <f>_xlfn.XLOOKUP(AP25,'PEW9'!$B$6:$B$75,'PEW9'!$A$6:$A$75,0)</f>
        <v>0</v>
      </c>
      <c r="AR25" s="65" t="str">
        <f>_xlfn.XLOOKUP($B25,'PEW10'!$C$6:$C$101,'PEW10'!$B$6:$B$101,"")</f>
        <v/>
      </c>
      <c r="AS25" s="76">
        <f>_xlfn.XLOOKUP(AR25,'PEW10'!$B$6:$B$75,'PEW10'!$A$6:$A$75,0)</f>
        <v>0</v>
      </c>
      <c r="AT25" s="65" t="str">
        <f>_xlfn.XLOOKUP($B25,'PEW11'!$C$6:$C$101,'PEW11'!$B$6:$B$101,"")</f>
        <v/>
      </c>
      <c r="AU25" s="76">
        <f>_xlfn.XLOOKUP(AT25,'PEW11'!$B$6:$B$75,'PEW11'!$A$6:$A$75,0)</f>
        <v>0</v>
      </c>
      <c r="AV25" s="65" t="str">
        <f>_xlfn.XLOOKUP($B25,'PEW12'!$C$6:$C$101,'PEW12'!$B$6:$B$101,"")</f>
        <v/>
      </c>
      <c r="AW25" s="76">
        <f>_xlfn.XLOOKUP(AV25,'PEW12'!$B$6:$B$75,'PEW12'!$A$6:$A$75,0)</f>
        <v>0</v>
      </c>
      <c r="AX25" s="65" t="str" cm="1">
        <f t="array" ref="AX25">_xlfn.XLOOKUP($B25,IMEW!C$6:C$201,IMEW!$B$6:B$201,"")</f>
        <v/>
      </c>
      <c r="AY25" s="77">
        <f>_xlfn.XLOOKUP(AX25,IMEW!$B$6:$B$201,IMEW!$A$6:$A$201,0)</f>
        <v>0</v>
      </c>
      <c r="BA25" s="78">
        <f t="shared" si="7"/>
        <v>0</v>
      </c>
      <c r="BB25" s="78">
        <f t="shared" si="8"/>
        <v>0</v>
      </c>
      <c r="BC25" s="78">
        <f t="shared" si="9"/>
        <v>0</v>
      </c>
      <c r="BD25" s="78">
        <f t="shared" si="10"/>
        <v>0</v>
      </c>
      <c r="BE25" s="78">
        <f t="shared" si="11"/>
        <v>0</v>
      </c>
      <c r="BF25" s="78">
        <f t="shared" si="12"/>
        <v>0</v>
      </c>
      <c r="BG25" s="78">
        <f t="shared" si="13"/>
        <v>0</v>
      </c>
    </row>
    <row r="26" spans="1:59" ht="14.8" customHeight="1" x14ac:dyDescent="0.25">
      <c r="A26" s="56">
        <f>ROW()-5</f>
        <v>21</v>
      </c>
      <c r="B26" s="53" t="s">
        <v>127</v>
      </c>
      <c r="C26" s="54"/>
      <c r="D26" s="75">
        <f>SUM(F26,H26,J26,L26,N26,P26,R26,T26,V26)-SUM(SMALL((F26,H26,J26,L26,N26,P26,R26,T26),1),SMALL((F26,H26,J26,L26,N26,P26,R26,T26),2))+SUM(LARGE((Y26,AA26,AC26,AE26,AG26,AI26,AK26,AM26,AO26,AQ26,AS26,AU26,AW26),1),LARGE((Y26,AA26,AC26,AE26,AG26,AI26,AK26,AM26,AO26,AQ26,AS26,AU26,AW26),2),LARGE((Y26,AA26,AC26,AE26,AG26,AI26,AK26,AM26,AO26,AQ26,AS26,AU26,AW26),3),AY26)</f>
        <v>5.8508434312696149</v>
      </c>
      <c r="E26" s="65" t="str">
        <f>_xlfn.XLOOKUP($B26,'GP1'!$C$6:$C$101,'GP1'!$B$6:$B$101,"")</f>
        <v/>
      </c>
      <c r="F26" s="133">
        <f>_xlfn.XLOOKUP(E26,'GP1'!$B$6:$B$75,'GP1'!$A$6:$A$75,0)</f>
        <v>0</v>
      </c>
      <c r="G26" s="65" t="str">
        <f>_xlfn.XLOOKUP($B26,'GP2'!$C$6:$C$101,'GP2'!$B$6:$B$101,"")</f>
        <v/>
      </c>
      <c r="H26" s="133">
        <f>_xlfn.XLOOKUP(G26,'GP2'!$B$6:$B$75,'GP2'!$A$6:$A$75,0)</f>
        <v>0</v>
      </c>
      <c r="I26" s="66" t="str">
        <f>_xlfn.XLOOKUP($B26,'GP3'!$C$6:$C$101,'GP3'!$B$6:$B$101,"")</f>
        <v/>
      </c>
      <c r="J26" s="134">
        <f>_xlfn.XLOOKUP(I26,'GP3'!$B$6:$B$75,'GP3'!$A$6:$A$75,0)</f>
        <v>0</v>
      </c>
      <c r="K26" s="66" t="str">
        <f>_xlfn.XLOOKUP($B26,'GP4'!$C$6:$C$101,'GP4'!$B$6:$B$101,"")</f>
        <v/>
      </c>
      <c r="L26" s="134">
        <f>_xlfn.XLOOKUP(K26,'GP4'!$B$6:$B$75,'GP4'!$A$6:$A$75,0)</f>
        <v>0</v>
      </c>
      <c r="M26" s="66" t="str">
        <f>_xlfn.XLOOKUP($B26,'GP5'!$C$6:$C$101,'GP5'!$B$6:$B$101,"")</f>
        <v/>
      </c>
      <c r="N26" s="136">
        <f>_xlfn.XLOOKUP(M26,'GP5'!$B$6:$B$75,'GP5'!$A$6:$A$75,0)</f>
        <v>0</v>
      </c>
      <c r="O26" s="127" t="str">
        <f>_xlfn.XLOOKUP($B26,'GP6'!$C$6:$C$101,'GP6'!$B$6:$B$101,"")</f>
        <v/>
      </c>
      <c r="P26" s="136">
        <f>_xlfn.XLOOKUP(O26,'GP6'!$B$6:$B$75,'GP6'!$A$6:$A$75,0)</f>
        <v>0</v>
      </c>
      <c r="Q26" s="127" t="str">
        <f>_xlfn.XLOOKUP($B26,'GP7'!$C$6:$C$101,'GP7'!$B$6:$B$101,"")</f>
        <v/>
      </c>
      <c r="R26" s="136">
        <f>_xlfn.XLOOKUP(Q26,'GP7'!$B$6:$B$75,'GP7'!$A$6:$A$75,0)</f>
        <v>0</v>
      </c>
      <c r="S26" s="127" t="str">
        <f>_xlfn.XLOOKUP($B26,'GP8'!$C$6:$C$101,'GP8'!$B$6:$B$101,"")</f>
        <v/>
      </c>
      <c r="T26" s="136">
        <f>_xlfn.XLOOKUP(S26,'GP8'!$B$6:$B$75,'GP8'!$A$6:$A$75,0)</f>
        <v>0</v>
      </c>
      <c r="U26" s="66" t="str">
        <f>_xlfn.XLOOKUP(B26,MPW!C$6:C$101,MPW!B$6:B$101,"")</f>
        <v/>
      </c>
      <c r="V26" s="136" t="str">
        <f>_xlfn.XLOOKUP(U26,MPW!B$6:B$75,MPW!A$6:A$75,0)</f>
        <v/>
      </c>
      <c r="X26" s="66" t="str">
        <f>_xlfn.XLOOKUP($B26,'PEW1'!$C$6:$C$101,'PEW1'!$B$6:$B$101,"")</f>
        <v/>
      </c>
      <c r="Y26" s="79">
        <f>_xlfn.XLOOKUP(X26,'PEW1'!$B$6:$B$75,'PEW1'!$A$6:$A$75,0)</f>
        <v>0</v>
      </c>
      <c r="Z26" s="65" t="str">
        <f>_xlfn.XLOOKUP($B26,'PEW2'!$C$6:$C$101,'PEW2'!$B$6:$B$101,"")</f>
        <v/>
      </c>
      <c r="AA26" s="76">
        <f>_xlfn.XLOOKUP(Z26,'PEW2'!$B$6:$B$75,'PEW2'!$A$6:$A$75,0)</f>
        <v>0</v>
      </c>
      <c r="AB26" s="65" t="str">
        <f>_xlfn.XLOOKUP($B26,'PEW3'!$C$6:$C$101,'PEW3'!$B$6:$B$101,"")</f>
        <v/>
      </c>
      <c r="AC26" s="76">
        <f>_xlfn.XLOOKUP(AB26,'PEW3'!$B$6:$B$75,'PEW3'!$A$6:$A$75,0)</f>
        <v>0</v>
      </c>
      <c r="AD26" s="65" t="str">
        <f>_xlfn.XLOOKUP($B26,VFC!$C$6:$C$101,VFC!$B$6:$B$101,"")</f>
        <v/>
      </c>
      <c r="AE26" s="76">
        <f>_xlfn.XLOOKUP(AD26,VFC!$B$6:$B$75,VFC!$A$6:$A$75,0)</f>
        <v>0</v>
      </c>
      <c r="AF26" s="65" t="str">
        <f>_xlfn.XLOOKUP($B26,'PEW4'!$C$6:$C$101,'PEW4'!$B$6:$B$101,"")</f>
        <v/>
      </c>
      <c r="AG26" s="76">
        <f>_xlfn.XLOOKUP(AF26,'PEW4'!$B$6:$B$75,'PEW4'!$A$6:$A$75,0)</f>
        <v>0</v>
      </c>
      <c r="AH26" s="65" t="str">
        <f>_xlfn.XLOOKUP($B26,'PEW5'!$C$6:$C$101,'PEW5'!$B$6:$B$101,"")</f>
        <v/>
      </c>
      <c r="AI26" s="76">
        <f>_xlfn.XLOOKUP(AH26,'PEW5'!$B$6:$B$75,'PEW5'!$A$6:$A$75,0)</f>
        <v>0</v>
      </c>
      <c r="AJ26" s="65" t="str">
        <f>_xlfn.XLOOKUP($B26,'PEW6'!$C$6:$C$101,'PEW6'!$B$6:$B$101,"")</f>
        <v/>
      </c>
      <c r="AK26" s="76">
        <f>_xlfn.XLOOKUP(AJ26,'PEW6'!$B$6:$B$75,'PEW6'!$A$6:$A$75,0)</f>
        <v>0</v>
      </c>
      <c r="AL26" s="65" t="str">
        <f>_xlfn.XLOOKUP($B26,'PEW7'!$C$6:$C$101,'PEW7'!$B$6:$B$101,"")</f>
        <v/>
      </c>
      <c r="AM26" s="76">
        <f>_xlfn.XLOOKUP(AL26,'PEW7'!$B$6:$B$75,'PEW7'!$A$6:$A$75,0)</f>
        <v>0</v>
      </c>
      <c r="AN26" s="65" t="str">
        <f>_xlfn.XLOOKUP($B26,'PEW8'!$C$6:$C$101,'PEW8'!$B$6:$B$101,"")</f>
        <v/>
      </c>
      <c r="AO26" s="76">
        <f>_xlfn.XLOOKUP(AN26,'PEW8'!$B$6:$B$75,'PEW8'!$A$6:$A$75,0)</f>
        <v>0</v>
      </c>
      <c r="AP26" s="65" t="str">
        <f>_xlfn.XLOOKUP($B26,'PEW9'!$C$6:$C$101,'PEW9'!$B$6:$B$101,"")</f>
        <v/>
      </c>
      <c r="AQ26" s="76">
        <f>_xlfn.XLOOKUP(AP26,'PEW9'!$B$6:$B$75,'PEW9'!$A$6:$A$75,0)</f>
        <v>0</v>
      </c>
      <c r="AR26" s="65" t="str">
        <f>_xlfn.XLOOKUP($B26,'PEW10'!$C$6:$C$101,'PEW10'!$B$6:$B$101,"")</f>
        <v/>
      </c>
      <c r="AS26" s="76">
        <f>_xlfn.XLOOKUP(AR26,'PEW10'!$B$6:$B$75,'PEW10'!$A$6:$A$75,0)</f>
        <v>0</v>
      </c>
      <c r="AT26" s="65" t="str">
        <f>_xlfn.XLOOKUP($B26,'PEW11'!$C$6:$C$101,'PEW11'!$B$6:$B$101,"")</f>
        <v/>
      </c>
      <c r="AU26" s="76">
        <f>_xlfn.XLOOKUP(AT26,'PEW11'!$B$6:$B$75,'PEW11'!$A$6:$A$75,0)</f>
        <v>0</v>
      </c>
      <c r="AV26" s="65" t="str">
        <f>_xlfn.XLOOKUP($B26,'PEW12'!$C$6:$C$101,'PEW12'!$B$6:$B$101,"")</f>
        <v/>
      </c>
      <c r="AW26" s="76">
        <f>_xlfn.XLOOKUP(AV26,'PEW12'!$B$6:$B$75,'PEW12'!$A$6:$A$75,0)</f>
        <v>0</v>
      </c>
      <c r="AX26" s="65" cm="1">
        <f t="array" ref="AX26">_xlfn.XLOOKUP($B26,IMEW!C$6:C$201,IMEW!$B$6:B$201,"")</f>
        <v>146</v>
      </c>
      <c r="AY26" s="77">
        <f>_xlfn.XLOOKUP(AX26,IMEW!$B$6:$B$201,IMEW!$A$6:$A$201,0)</f>
        <v>5.8508434312696149</v>
      </c>
      <c r="BA26" s="78">
        <f t="shared" si="7"/>
        <v>0</v>
      </c>
      <c r="BB26" s="78">
        <f t="shared" si="8"/>
        <v>0</v>
      </c>
      <c r="BC26" s="78">
        <f t="shared" si="9"/>
        <v>0</v>
      </c>
      <c r="BD26" s="78">
        <f t="shared" si="10"/>
        <v>0</v>
      </c>
      <c r="BE26" s="78">
        <f t="shared" si="11"/>
        <v>0</v>
      </c>
      <c r="BF26" s="78">
        <f t="shared" si="12"/>
        <v>0</v>
      </c>
      <c r="BG26" s="78">
        <f t="shared" si="13"/>
        <v>0</v>
      </c>
    </row>
    <row r="27" spans="1:59" ht="14.8" customHeight="1" x14ac:dyDescent="0.25">
      <c r="A27" s="56">
        <f>ROW()-5</f>
        <v>22</v>
      </c>
      <c r="B27" s="53" t="s">
        <v>32</v>
      </c>
      <c r="C27" s="54"/>
      <c r="D27" s="75">
        <f>SUM(F27,H27,J27,L27,N27,P27,R27,T27,V27)-SUM(SMALL((F27,H27,J27,L27,N27,P27,R27,T27),1),SMALL((F27,H27,J27,L27,N27,P27,R27,T27),2))+SUM(LARGE((Y27,AA27,AC27,AE27,AG27,AI27,AK27,AM27,AO27,AQ27,AS27,AU27,AW27),1),LARGE((Y27,AA27,AC27,AE27,AG27,AI27,AK27,AM27,AO27,AQ27,AS27,AU27,AW27),2),LARGE((Y27,AA27,AC27,AE27,AG27,AI27,AK27,AM27,AO27,AQ27,AS27,AU27,AW27),3),AY27)</f>
        <v>5.1006228208500346</v>
      </c>
      <c r="E27" s="65">
        <f>_xlfn.XLOOKUP($B27,'GP1'!$C$6:$C$101,'GP1'!$B$6:$B$101,"")</f>
        <v>9</v>
      </c>
      <c r="F27" s="133">
        <f>_xlfn.XLOOKUP(E27,'GP1'!$B$6:$B$75,'GP1'!$A$6:$A$75,0)</f>
        <v>5.1006228208500346</v>
      </c>
      <c r="G27" s="65" t="str">
        <f>_xlfn.XLOOKUP($B27,'GP2'!$C$6:$C$101,'GP2'!$B$6:$B$101,"")</f>
        <v/>
      </c>
      <c r="H27" s="133">
        <f>_xlfn.XLOOKUP(G27,'GP2'!$B$6:$B$75,'GP2'!$A$6:$A$75,0)</f>
        <v>0</v>
      </c>
      <c r="I27" s="66" t="str">
        <f>_xlfn.XLOOKUP($B27,'GP3'!$C$6:$C$101,'GP3'!$B$6:$B$101,"")</f>
        <v/>
      </c>
      <c r="J27" s="134">
        <f>_xlfn.XLOOKUP(I27,'GP3'!$B$6:$B$75,'GP3'!$A$6:$A$75,0)</f>
        <v>0</v>
      </c>
      <c r="K27" s="66" t="str">
        <f>_xlfn.XLOOKUP($B27,'GP4'!$C$6:$C$101,'GP4'!$B$6:$B$101,"")</f>
        <v/>
      </c>
      <c r="L27" s="134">
        <f>_xlfn.XLOOKUP(K27,'GP4'!$B$6:$B$75,'GP4'!$A$6:$A$75,0)</f>
        <v>0</v>
      </c>
      <c r="M27" s="66" t="str">
        <f>_xlfn.XLOOKUP($B27,'GP5'!$C$6:$C$101,'GP5'!$B$6:$B$101,"")</f>
        <v/>
      </c>
      <c r="N27" s="136">
        <f>_xlfn.XLOOKUP(M27,'GP5'!$B$6:$B$75,'GP5'!$A$6:$A$75,0)</f>
        <v>0</v>
      </c>
      <c r="O27" s="127" t="str">
        <f>_xlfn.XLOOKUP($B27,'GP6'!$C$6:$C$101,'GP6'!$B$6:$B$101,"")</f>
        <v/>
      </c>
      <c r="P27" s="136">
        <f>_xlfn.XLOOKUP(O27,'GP6'!$B$6:$B$75,'GP6'!$A$6:$A$75,0)</f>
        <v>0</v>
      </c>
      <c r="Q27" s="127" t="str">
        <f>_xlfn.XLOOKUP($B27,'GP7'!$C$6:$C$101,'GP7'!$B$6:$B$101,"")</f>
        <v/>
      </c>
      <c r="R27" s="136">
        <f>_xlfn.XLOOKUP(Q27,'GP7'!$B$6:$B$75,'GP7'!$A$6:$A$75,0)</f>
        <v>0</v>
      </c>
      <c r="S27" s="127" t="str">
        <f>_xlfn.XLOOKUP($B27,'GP8'!$C$6:$C$101,'GP8'!$B$6:$B$101,"")</f>
        <v/>
      </c>
      <c r="T27" s="136">
        <f>_xlfn.XLOOKUP(S27,'GP8'!$B$6:$B$75,'GP8'!$A$6:$A$75,0)</f>
        <v>0</v>
      </c>
      <c r="U27" s="66" t="str">
        <f>_xlfn.XLOOKUP(B27,MPW!C$6:C$101,MPW!B$6:B$101,"")</f>
        <v/>
      </c>
      <c r="V27" s="136" t="str">
        <f>_xlfn.XLOOKUP(U27,MPW!B$6:B$75,MPW!A$6:A$75,0)</f>
        <v/>
      </c>
      <c r="X27" s="66" t="str">
        <f>_xlfn.XLOOKUP($B27,'PEW1'!$C$6:$C$101,'PEW1'!$B$6:$B$101,"")</f>
        <v/>
      </c>
      <c r="Y27" s="79">
        <f>_xlfn.XLOOKUP(X27,'PEW1'!$B$6:$B$75,'PEW1'!$A$6:$A$75,0)</f>
        <v>0</v>
      </c>
      <c r="Z27" s="65" t="str">
        <f>_xlfn.XLOOKUP($B27,'PEW2'!$C$6:$C$101,'PEW2'!$B$6:$B$101,"")</f>
        <v/>
      </c>
      <c r="AA27" s="76">
        <f>_xlfn.XLOOKUP(Z27,'PEW2'!$B$6:$B$75,'PEW2'!$A$6:$A$75,0)</f>
        <v>0</v>
      </c>
      <c r="AB27" s="65" t="str">
        <f>_xlfn.XLOOKUP($B27,'PEW3'!$C$6:$C$101,'PEW3'!$B$6:$B$101,"")</f>
        <v/>
      </c>
      <c r="AC27" s="76">
        <f>_xlfn.XLOOKUP(AB27,'PEW3'!$B$6:$B$75,'PEW3'!$A$6:$A$75,0)</f>
        <v>0</v>
      </c>
      <c r="AD27" s="65" t="str">
        <f>_xlfn.XLOOKUP($B27,VFC!$C$6:$C$101,VFC!$B$6:$B$101,"")</f>
        <v/>
      </c>
      <c r="AE27" s="76">
        <f>_xlfn.XLOOKUP(AD27,VFC!$B$6:$B$75,VFC!$A$6:$A$75,0)</f>
        <v>0</v>
      </c>
      <c r="AF27" s="65" t="str">
        <f>_xlfn.XLOOKUP($B27,'PEW4'!$C$6:$C$101,'PEW4'!$B$6:$B$101,"")</f>
        <v/>
      </c>
      <c r="AG27" s="76">
        <f>_xlfn.XLOOKUP(AF27,'PEW4'!$B$6:$B$75,'PEW4'!$A$6:$A$75,0)</f>
        <v>0</v>
      </c>
      <c r="AH27" s="65" t="str">
        <f>_xlfn.XLOOKUP($B27,'PEW5'!$C$6:$C$101,'PEW5'!$B$6:$B$101,"")</f>
        <v/>
      </c>
      <c r="AI27" s="76">
        <f>_xlfn.XLOOKUP(AH27,'PEW5'!$B$6:$B$75,'PEW5'!$A$6:$A$75,0)</f>
        <v>0</v>
      </c>
      <c r="AJ27" s="65" t="str">
        <f>_xlfn.XLOOKUP($B27,'PEW6'!$C$6:$C$101,'PEW6'!$B$6:$B$101,"")</f>
        <v/>
      </c>
      <c r="AK27" s="76">
        <f>_xlfn.XLOOKUP(AJ27,'PEW6'!$B$6:$B$75,'PEW6'!$A$6:$A$75,0)</f>
        <v>0</v>
      </c>
      <c r="AL27" s="65" t="str">
        <f>_xlfn.XLOOKUP($B27,'PEW7'!$C$6:$C$101,'PEW7'!$B$6:$B$101,"")</f>
        <v/>
      </c>
      <c r="AM27" s="76">
        <f>_xlfn.XLOOKUP(AL27,'PEW7'!$B$6:$B$75,'PEW7'!$A$6:$A$75,0)</f>
        <v>0</v>
      </c>
      <c r="AN27" s="65" t="str">
        <f>_xlfn.XLOOKUP($B27,'PEW8'!$C$6:$C$101,'PEW8'!$B$6:$B$101,"")</f>
        <v/>
      </c>
      <c r="AO27" s="76">
        <f>_xlfn.XLOOKUP(AN27,'PEW8'!$B$6:$B$75,'PEW8'!$A$6:$A$75,0)</f>
        <v>0</v>
      </c>
      <c r="AP27" s="65" t="str">
        <f>_xlfn.XLOOKUP($B27,'PEW9'!$C$6:$C$101,'PEW9'!$B$6:$B$101,"")</f>
        <v/>
      </c>
      <c r="AQ27" s="76">
        <f>_xlfn.XLOOKUP(AP27,'PEW9'!$B$6:$B$75,'PEW9'!$A$6:$A$75,0)</f>
        <v>0</v>
      </c>
      <c r="AR27" s="65" t="str">
        <f>_xlfn.XLOOKUP($B27,'PEW10'!$C$6:$C$101,'PEW10'!$B$6:$B$101,"")</f>
        <v/>
      </c>
      <c r="AS27" s="76">
        <f>_xlfn.XLOOKUP(AR27,'PEW10'!$B$6:$B$75,'PEW10'!$A$6:$A$75,0)</f>
        <v>0</v>
      </c>
      <c r="AT27" s="65" t="str">
        <f>_xlfn.XLOOKUP($B27,'PEW11'!$C$6:$C$101,'PEW11'!$B$6:$B$101,"")</f>
        <v/>
      </c>
      <c r="AU27" s="76">
        <f>_xlfn.XLOOKUP(AT27,'PEW11'!$B$6:$B$75,'PEW11'!$A$6:$A$75,0)</f>
        <v>0</v>
      </c>
      <c r="AV27" s="65" t="str">
        <f>_xlfn.XLOOKUP($B27,'PEW12'!$C$6:$C$101,'PEW12'!$B$6:$B$101,"")</f>
        <v/>
      </c>
      <c r="AW27" s="76">
        <f>_xlfn.XLOOKUP(AV27,'PEW12'!$B$6:$B$75,'PEW12'!$A$6:$A$75,0)</f>
        <v>0</v>
      </c>
      <c r="AX27" s="65" t="str" cm="1">
        <f t="array" ref="AX27">_xlfn.XLOOKUP($B27,IMEW!C$6:C$201,IMEW!$B$6:B$201,"")</f>
        <v/>
      </c>
      <c r="AY27" s="77">
        <f>_xlfn.XLOOKUP(AX27,IMEW!$B$6:$B$201,IMEW!$A$6:$A$201,0)</f>
        <v>0</v>
      </c>
      <c r="BA27" s="78">
        <f t="shared" si="7"/>
        <v>0</v>
      </c>
      <c r="BB27" s="78">
        <f t="shared" si="8"/>
        <v>0</v>
      </c>
      <c r="BC27" s="78">
        <f t="shared" si="9"/>
        <v>0</v>
      </c>
      <c r="BD27" s="78">
        <f t="shared" si="10"/>
        <v>0</v>
      </c>
      <c r="BE27" s="78">
        <f t="shared" si="11"/>
        <v>0</v>
      </c>
      <c r="BF27" s="78">
        <f t="shared" si="12"/>
        <v>0</v>
      </c>
      <c r="BG27" s="78">
        <f t="shared" si="13"/>
        <v>0</v>
      </c>
    </row>
    <row r="28" spans="1:59" ht="14.8" customHeight="1" x14ac:dyDescent="0.25">
      <c r="A28" s="56">
        <f>ROW()-5</f>
        <v>23</v>
      </c>
      <c r="B28" s="53" t="s">
        <v>36</v>
      </c>
      <c r="C28" s="54"/>
      <c r="D28" s="75">
        <f>SUM(F28,H28,J28,L28,N28,P28,R28,T28,V28)-SUM(SMALL((F28,H28,J28,L28,N28,P28,R28,T28),1),SMALL((F28,H28,J28,L28,N28,P28,R28,T28),2))+SUM(LARGE((Y28,AA28,AC28,AE28,AG28,AI28,AK28,AM28,AO28,AQ28,AS28,AU28,AW28),1),LARGE((Y28,AA28,AC28,AE28,AG28,AI28,AK28,AM28,AO28,AQ28,AS28,AU28,AW28),2),LARGE((Y28,AA28,AC28,AE28,AG28,AI28,AK28,AM28,AO28,AQ28,AS28,AU28,AW28),3),AY28)</f>
        <v>1</v>
      </c>
      <c r="E28" s="65" t="str">
        <f>_xlfn.XLOOKUP($B28,'GP1'!$C$6:$C$101,'GP1'!$B$6:$B$101,"")</f>
        <v/>
      </c>
      <c r="F28" s="133">
        <f>_xlfn.XLOOKUP(E28,'GP1'!$B$6:$B$75,'GP1'!$A$6:$A$75,0)</f>
        <v>0</v>
      </c>
      <c r="G28" s="65">
        <f>_xlfn.XLOOKUP($B28,'GP2'!$C$6:$C$101,'GP2'!$B$6:$B$101,"")</f>
        <v>11</v>
      </c>
      <c r="H28" s="133">
        <f>_xlfn.XLOOKUP(G28,'GP2'!$B$6:$B$75,'GP2'!$A$6:$A$75,0)</f>
        <v>1</v>
      </c>
      <c r="I28" s="66" t="str">
        <f>_xlfn.XLOOKUP($B28,'GP3'!$C$6:$C$101,'GP3'!$B$6:$B$101,"")</f>
        <v/>
      </c>
      <c r="J28" s="134">
        <f>_xlfn.XLOOKUP(I28,'GP3'!$B$6:$B$75,'GP3'!$A$6:$A$75,0)</f>
        <v>0</v>
      </c>
      <c r="K28" s="66" t="str">
        <f>_xlfn.XLOOKUP($B28,'GP4'!$C$6:$C$101,'GP4'!$B$6:$B$101,"")</f>
        <v/>
      </c>
      <c r="L28" s="134">
        <f>_xlfn.XLOOKUP(K28,'GP4'!$B$6:$B$75,'GP4'!$A$6:$A$75,0)</f>
        <v>0</v>
      </c>
      <c r="M28" s="66" t="str">
        <f>_xlfn.XLOOKUP($B28,'GP5'!$C$6:$C$101,'GP5'!$B$6:$B$101,"")</f>
        <v/>
      </c>
      <c r="N28" s="136">
        <f>_xlfn.XLOOKUP(M28,'GP5'!$B$6:$B$75,'GP5'!$A$6:$A$75,0)</f>
        <v>0</v>
      </c>
      <c r="O28" s="127" t="str">
        <f>_xlfn.XLOOKUP($B28,'GP6'!$C$6:$C$101,'GP6'!$B$6:$B$101,"")</f>
        <v/>
      </c>
      <c r="P28" s="136">
        <f>_xlfn.XLOOKUP(O28,'GP6'!$B$6:$B$75,'GP6'!$A$6:$A$75,0)</f>
        <v>0</v>
      </c>
      <c r="Q28" s="127" t="str">
        <f>_xlfn.XLOOKUP($B28,'GP7'!$C$6:$C$101,'GP7'!$B$6:$B$101,"")</f>
        <v/>
      </c>
      <c r="R28" s="136">
        <f>_xlfn.XLOOKUP(Q28,'GP7'!$B$6:$B$75,'GP7'!$A$6:$A$75,0)</f>
        <v>0</v>
      </c>
      <c r="S28" s="127" t="str">
        <f>_xlfn.XLOOKUP($B28,'GP8'!$C$6:$C$101,'GP8'!$B$6:$B$101,"")</f>
        <v/>
      </c>
      <c r="T28" s="136">
        <f>_xlfn.XLOOKUP(S28,'GP8'!$B$6:$B$75,'GP8'!$A$6:$A$75,0)</f>
        <v>0</v>
      </c>
      <c r="U28" s="66" t="str">
        <f>_xlfn.XLOOKUP(B28,MPW!C$6:C$101,MPW!B$6:B$101,"")</f>
        <v/>
      </c>
      <c r="V28" s="136" t="str">
        <f>_xlfn.XLOOKUP(U28,MPW!B$6:B$75,MPW!A$6:A$75,0)</f>
        <v/>
      </c>
      <c r="X28" s="66" t="str">
        <f>_xlfn.XLOOKUP($B28,'PEW1'!$C$6:$C$101,'PEW1'!$B$6:$B$101,"")</f>
        <v/>
      </c>
      <c r="Y28" s="79">
        <f>_xlfn.XLOOKUP(X28,'PEW1'!$B$6:$B$75,'PEW1'!$A$6:$A$75,0)</f>
        <v>0</v>
      </c>
      <c r="Z28" s="65" t="str">
        <f>_xlfn.XLOOKUP($B28,'PEW2'!$C$6:$C$101,'PEW2'!$B$6:$B$101,"")</f>
        <v/>
      </c>
      <c r="AA28" s="76">
        <f>_xlfn.XLOOKUP(Z28,'PEW2'!$B$6:$B$75,'PEW2'!$A$6:$A$75,0)</f>
        <v>0</v>
      </c>
      <c r="AB28" s="65" t="str">
        <f>_xlfn.XLOOKUP($B28,'PEW3'!$C$6:$C$101,'PEW3'!$B$6:$B$101,"")</f>
        <v/>
      </c>
      <c r="AC28" s="76">
        <f>_xlfn.XLOOKUP(AB28,'PEW3'!$B$6:$B$75,'PEW3'!$A$6:$A$75,0)</f>
        <v>0</v>
      </c>
      <c r="AD28" s="65" t="str">
        <f>_xlfn.XLOOKUP($B28,VFC!$C$6:$C$101,VFC!$B$6:$B$101,"")</f>
        <v/>
      </c>
      <c r="AE28" s="76">
        <f>_xlfn.XLOOKUP(AD28,VFC!$B$6:$B$75,VFC!$A$6:$A$75,0)</f>
        <v>0</v>
      </c>
      <c r="AF28" s="65" t="str">
        <f>_xlfn.XLOOKUP($B28,'PEW4'!$C$6:$C$101,'PEW4'!$B$6:$B$101,"")</f>
        <v/>
      </c>
      <c r="AG28" s="76">
        <f>_xlfn.XLOOKUP(AF28,'PEW4'!$B$6:$B$75,'PEW4'!$A$6:$A$75,0)</f>
        <v>0</v>
      </c>
      <c r="AH28" s="65" t="str">
        <f>_xlfn.XLOOKUP($B28,'PEW5'!$C$6:$C$101,'PEW5'!$B$6:$B$101,"")</f>
        <v/>
      </c>
      <c r="AI28" s="76">
        <f>_xlfn.XLOOKUP(AH28,'PEW5'!$B$6:$B$75,'PEW5'!$A$6:$A$75,0)</f>
        <v>0</v>
      </c>
      <c r="AJ28" s="65" t="str">
        <f>_xlfn.XLOOKUP($B28,'PEW6'!$C$6:$C$101,'PEW6'!$B$6:$B$101,"")</f>
        <v/>
      </c>
      <c r="AK28" s="76">
        <f>_xlfn.XLOOKUP(AJ28,'PEW6'!$B$6:$B$75,'PEW6'!$A$6:$A$75,0)</f>
        <v>0</v>
      </c>
      <c r="AL28" s="65" t="str">
        <f>_xlfn.XLOOKUP($B28,'PEW7'!$C$6:$C$101,'PEW7'!$B$6:$B$101,"")</f>
        <v/>
      </c>
      <c r="AM28" s="76">
        <f>_xlfn.XLOOKUP(AL28,'PEW7'!$B$6:$B$75,'PEW7'!$A$6:$A$75,0)</f>
        <v>0</v>
      </c>
      <c r="AN28" s="65" t="str">
        <f>_xlfn.XLOOKUP($B28,'PEW8'!$C$6:$C$101,'PEW8'!$B$6:$B$101,"")</f>
        <v/>
      </c>
      <c r="AO28" s="76">
        <f>_xlfn.XLOOKUP(AN28,'PEW8'!$B$6:$B$75,'PEW8'!$A$6:$A$75,0)</f>
        <v>0</v>
      </c>
      <c r="AP28" s="65" t="str">
        <f>_xlfn.XLOOKUP($B28,'PEW9'!$C$6:$C$101,'PEW9'!$B$6:$B$101,"")</f>
        <v/>
      </c>
      <c r="AQ28" s="76">
        <f>_xlfn.XLOOKUP(AP28,'PEW9'!$B$6:$B$75,'PEW9'!$A$6:$A$75,0)</f>
        <v>0</v>
      </c>
      <c r="AR28" s="65" t="str">
        <f>_xlfn.XLOOKUP($B28,'PEW10'!$C$6:$C$101,'PEW10'!$B$6:$B$101,"")</f>
        <v/>
      </c>
      <c r="AS28" s="76">
        <f>_xlfn.XLOOKUP(AR28,'PEW10'!$B$6:$B$75,'PEW10'!$A$6:$A$75,0)</f>
        <v>0</v>
      </c>
      <c r="AT28" s="65" t="str">
        <f>_xlfn.XLOOKUP($B28,'PEW11'!$C$6:$C$101,'PEW11'!$B$6:$B$101,"")</f>
        <v/>
      </c>
      <c r="AU28" s="76">
        <f>_xlfn.XLOOKUP(AT28,'PEW11'!$B$6:$B$75,'PEW11'!$A$6:$A$75,0)</f>
        <v>0</v>
      </c>
      <c r="AV28" s="65" t="str">
        <f>_xlfn.XLOOKUP($B28,'PEW12'!$C$6:$C$101,'PEW12'!$B$6:$B$101,"")</f>
        <v/>
      </c>
      <c r="AW28" s="76">
        <f>_xlfn.XLOOKUP(AV28,'PEW12'!$B$6:$B$75,'PEW12'!$A$6:$A$75,0)</f>
        <v>0</v>
      </c>
      <c r="AX28" s="65" t="str" cm="1">
        <f t="array" ref="AX28">_xlfn.XLOOKUP($B28,IMEW!C$6:C$201,IMEW!$B$6:B$201,"")</f>
        <v/>
      </c>
      <c r="AY28" s="77">
        <f>_xlfn.XLOOKUP(AX28,IMEW!$B$6:$B$201,IMEW!$A$6:$A$201,0)</f>
        <v>0</v>
      </c>
      <c r="BA28" s="78">
        <f t="shared" si="7"/>
        <v>0</v>
      </c>
      <c r="BB28" s="78">
        <f t="shared" si="8"/>
        <v>0</v>
      </c>
      <c r="BC28" s="78">
        <f t="shared" si="9"/>
        <v>0</v>
      </c>
      <c r="BD28" s="78">
        <f t="shared" si="10"/>
        <v>0</v>
      </c>
      <c r="BE28" s="78">
        <f t="shared" si="11"/>
        <v>0</v>
      </c>
      <c r="BF28" s="78">
        <f t="shared" si="12"/>
        <v>0</v>
      </c>
      <c r="BG28" s="78">
        <f t="shared" si="13"/>
        <v>0</v>
      </c>
    </row>
    <row r="29" spans="1:59" ht="14.8" customHeight="1" x14ac:dyDescent="0.25">
      <c r="A29" s="56">
        <f>ROW()-5</f>
        <v>24</v>
      </c>
      <c r="B29" s="53" t="s">
        <v>37</v>
      </c>
      <c r="C29" s="54"/>
      <c r="D29" s="75">
        <f>SUM(F29,H29,J29,L29,N29,P29,R29,T29,V29)-SUM(SMALL((F29,H29,J29,L29,N29,P29,R29,T29),1),SMALL((F29,H29,J29,L29,N29,P29,R29,T29),2))+SUM(LARGE((Y29,AA29,AC29,AE29,AG29,AI29,AK29,AM29,AO29,AQ29,AS29,AU29,AW29),1),LARGE((Y29,AA29,AC29,AE29,AG29,AI29,AK29,AM29,AO29,AQ29,AS29,AU29,AW29),2),LARGE((Y29,AA29,AC29,AE29,AG29,AI29,AK29,AM29,AO29,AQ29,AS29,AU29,AW29),3),AY29)</f>
        <v>1</v>
      </c>
      <c r="E29" s="65" t="str">
        <f>_xlfn.XLOOKUP($B29,'GP1'!$C$6:$C$101,'GP1'!$B$6:$B$101,"")</f>
        <v/>
      </c>
      <c r="F29" s="133">
        <f>_xlfn.XLOOKUP(E29,'GP1'!$B$6:$B$75,'GP1'!$A$6:$A$75,0)</f>
        <v>0</v>
      </c>
      <c r="G29" s="65" t="str">
        <f>_xlfn.XLOOKUP($B29,'GP2'!$C$6:$C$101,'GP2'!$B$6:$B$101,"")</f>
        <v/>
      </c>
      <c r="H29" s="133">
        <f>_xlfn.XLOOKUP(G29,'GP2'!$B$6:$B$75,'GP2'!$A$6:$A$75,0)</f>
        <v>0</v>
      </c>
      <c r="I29" s="66" t="str">
        <f>_xlfn.XLOOKUP($B29,'GP3'!$C$6:$C$101,'GP3'!$B$6:$B$101,"")</f>
        <v/>
      </c>
      <c r="J29" s="134">
        <f>_xlfn.XLOOKUP(I29,'GP3'!$B$6:$B$75,'GP3'!$A$6:$A$75,0)</f>
        <v>0</v>
      </c>
      <c r="K29" s="66" t="str">
        <f>_xlfn.XLOOKUP($B29,'GP4'!$C$6:$C$101,'GP4'!$B$6:$B$101,"")</f>
        <v/>
      </c>
      <c r="L29" s="134">
        <f>_xlfn.XLOOKUP(K29,'GP4'!$B$6:$B$75,'GP4'!$A$6:$A$75,0)</f>
        <v>0</v>
      </c>
      <c r="M29" s="66" t="str">
        <f>_xlfn.XLOOKUP($B29,'GP5'!$C$6:$C$101,'GP5'!$B$6:$B$101,"")</f>
        <v/>
      </c>
      <c r="N29" s="136">
        <f>_xlfn.XLOOKUP(M29,'GP5'!$B$6:$B$75,'GP5'!$A$6:$A$75,0)</f>
        <v>0</v>
      </c>
      <c r="O29" s="127">
        <f>_xlfn.XLOOKUP($B29,'GP6'!$C$6:$C$101,'GP6'!$B$6:$B$101,"")</f>
        <v>12</v>
      </c>
      <c r="P29" s="136">
        <f>_xlfn.XLOOKUP(O29,'GP6'!$B$6:$B$75,'GP6'!$A$6:$A$75,0)</f>
        <v>1</v>
      </c>
      <c r="Q29" s="127" t="str">
        <f>_xlfn.XLOOKUP($B29,'GP7'!$C$6:$C$101,'GP7'!$B$6:$B$101,"")</f>
        <v/>
      </c>
      <c r="R29" s="136">
        <f>_xlfn.XLOOKUP(Q29,'GP7'!$B$6:$B$75,'GP7'!$A$6:$A$75,0)</f>
        <v>0</v>
      </c>
      <c r="S29" s="127" t="str">
        <f>_xlfn.XLOOKUP($B29,'GP8'!$C$6:$C$101,'GP8'!$B$6:$B$101,"")</f>
        <v/>
      </c>
      <c r="T29" s="136">
        <f>_xlfn.XLOOKUP(S29,'GP8'!$B$6:$B$75,'GP8'!$A$6:$A$75,0)</f>
        <v>0</v>
      </c>
      <c r="U29" s="66" t="str">
        <f>_xlfn.XLOOKUP(B29,MPW!C$6:C$101,MPW!B$6:B$101,"")</f>
        <v/>
      </c>
      <c r="V29" s="136" t="str">
        <f>_xlfn.XLOOKUP(U29,MPW!B$6:B$75,MPW!A$6:A$75,0)</f>
        <v/>
      </c>
      <c r="X29" s="66" t="str">
        <f>_xlfn.XLOOKUP($B29,'PEW1'!$C$6:$C$101,'PEW1'!$B$6:$B$101,"")</f>
        <v/>
      </c>
      <c r="Y29" s="79">
        <f>_xlfn.XLOOKUP(X29,'PEW1'!$B$6:$B$75,'PEW1'!$A$6:$A$75,0)</f>
        <v>0</v>
      </c>
      <c r="Z29" s="65" t="str">
        <f>_xlfn.XLOOKUP($B29,'PEW2'!$C$6:$C$101,'PEW2'!$B$6:$B$101,"")</f>
        <v/>
      </c>
      <c r="AA29" s="76">
        <f>_xlfn.XLOOKUP(Z29,'PEW2'!$B$6:$B$75,'PEW2'!$A$6:$A$75,0)</f>
        <v>0</v>
      </c>
      <c r="AB29" s="65" t="str">
        <f>_xlfn.XLOOKUP($B29,'PEW3'!$C$6:$C$101,'PEW3'!$B$6:$B$101,"")</f>
        <v/>
      </c>
      <c r="AC29" s="76">
        <f>_xlfn.XLOOKUP(AB29,'PEW3'!$B$6:$B$75,'PEW3'!$A$6:$A$75,0)</f>
        <v>0</v>
      </c>
      <c r="AD29" s="65" t="str">
        <f>_xlfn.XLOOKUP($B29,VFC!$C$6:$C$101,VFC!$B$6:$B$101,"")</f>
        <v/>
      </c>
      <c r="AE29" s="76">
        <f>_xlfn.XLOOKUP(AD29,VFC!$B$6:$B$75,VFC!$A$6:$A$75,0)</f>
        <v>0</v>
      </c>
      <c r="AF29" s="65" t="str">
        <f>_xlfn.XLOOKUP($B29,'PEW4'!$C$6:$C$101,'PEW4'!$B$6:$B$101,"")</f>
        <v/>
      </c>
      <c r="AG29" s="76">
        <f>_xlfn.XLOOKUP(AF29,'PEW4'!$B$6:$B$75,'PEW4'!$A$6:$A$75,0)</f>
        <v>0</v>
      </c>
      <c r="AH29" s="65" t="str">
        <f>_xlfn.XLOOKUP($B29,'PEW5'!$C$6:$C$101,'PEW5'!$B$6:$B$101,"")</f>
        <v/>
      </c>
      <c r="AI29" s="76">
        <f>_xlfn.XLOOKUP(AH29,'PEW5'!$B$6:$B$75,'PEW5'!$A$6:$A$75,0)</f>
        <v>0</v>
      </c>
      <c r="AJ29" s="65" t="str">
        <f>_xlfn.XLOOKUP($B29,'PEW6'!$C$6:$C$101,'PEW6'!$B$6:$B$101,"")</f>
        <v/>
      </c>
      <c r="AK29" s="76">
        <f>_xlfn.XLOOKUP(AJ29,'PEW6'!$B$6:$B$75,'PEW6'!$A$6:$A$75,0)</f>
        <v>0</v>
      </c>
      <c r="AL29" s="65" t="str">
        <f>_xlfn.XLOOKUP($B29,'PEW7'!$C$6:$C$101,'PEW7'!$B$6:$B$101,"")</f>
        <v/>
      </c>
      <c r="AM29" s="76">
        <f>_xlfn.XLOOKUP(AL29,'PEW7'!$B$6:$B$75,'PEW7'!$A$6:$A$75,0)</f>
        <v>0</v>
      </c>
      <c r="AN29" s="65" t="str">
        <f>_xlfn.XLOOKUP($B29,'PEW8'!$C$6:$C$101,'PEW8'!$B$6:$B$101,"")</f>
        <v/>
      </c>
      <c r="AO29" s="76">
        <f>_xlfn.XLOOKUP(AN29,'PEW8'!$B$6:$B$75,'PEW8'!$A$6:$A$75,0)</f>
        <v>0</v>
      </c>
      <c r="AP29" s="65" t="str">
        <f>_xlfn.XLOOKUP($B29,'PEW9'!$C$6:$C$101,'PEW9'!$B$6:$B$101,"")</f>
        <v/>
      </c>
      <c r="AQ29" s="76">
        <f>_xlfn.XLOOKUP(AP29,'PEW9'!$B$6:$B$75,'PEW9'!$A$6:$A$75,0)</f>
        <v>0</v>
      </c>
      <c r="AR29" s="65" t="str">
        <f>_xlfn.XLOOKUP($B29,'PEW10'!$C$6:$C$101,'PEW10'!$B$6:$B$101,"")</f>
        <v/>
      </c>
      <c r="AS29" s="76">
        <f>_xlfn.XLOOKUP(AR29,'PEW10'!$B$6:$B$75,'PEW10'!$A$6:$A$75,0)</f>
        <v>0</v>
      </c>
      <c r="AT29" s="65" t="str">
        <f>_xlfn.XLOOKUP($B29,'PEW11'!$C$6:$C$101,'PEW11'!$B$6:$B$101,"")</f>
        <v/>
      </c>
      <c r="AU29" s="76">
        <f>_xlfn.XLOOKUP(AT29,'PEW11'!$B$6:$B$75,'PEW11'!$A$6:$A$75,0)</f>
        <v>0</v>
      </c>
      <c r="AV29" s="65" t="str">
        <f>_xlfn.XLOOKUP($B29,'PEW12'!$C$6:$C$101,'PEW12'!$B$6:$B$101,"")</f>
        <v/>
      </c>
      <c r="AW29" s="76">
        <f>_xlfn.XLOOKUP(AV29,'PEW12'!$B$6:$B$75,'PEW12'!$A$6:$A$75,0)</f>
        <v>0</v>
      </c>
      <c r="AX29" s="65" t="str" cm="1">
        <f t="array" ref="AX29">_xlfn.XLOOKUP($B29,IMEW!C$6:C$201,IMEW!$B$6:B$201,"")</f>
        <v/>
      </c>
      <c r="AY29" s="77">
        <f>_xlfn.XLOOKUP(AX29,IMEW!$B$6:$B$201,IMEW!$A$6:$A$201,0)</f>
        <v>0</v>
      </c>
      <c r="BA29" s="78">
        <f t="shared" si="7"/>
        <v>0</v>
      </c>
      <c r="BB29" s="78">
        <f t="shared" si="8"/>
        <v>0</v>
      </c>
      <c r="BC29" s="78">
        <f t="shared" si="9"/>
        <v>0</v>
      </c>
      <c r="BD29" s="78">
        <f t="shared" si="10"/>
        <v>0</v>
      </c>
      <c r="BE29" s="78">
        <f t="shared" si="11"/>
        <v>0</v>
      </c>
      <c r="BF29" s="78">
        <f t="shared" si="12"/>
        <v>0</v>
      </c>
      <c r="BG29" s="78">
        <f t="shared" si="13"/>
        <v>0</v>
      </c>
    </row>
    <row r="30" spans="1:59" ht="14.8" customHeight="1" x14ac:dyDescent="0.25">
      <c r="A30" s="56">
        <f>ROW()-5</f>
        <v>25</v>
      </c>
      <c r="B30" s="53"/>
      <c r="C30" s="54"/>
      <c r="D30" s="75">
        <f>SUM(F30,H30,J30,L30,N30,P30,R30,T30,V30)-SUM(SMALL((F30,H30,J30,L30,N30,P30,R30,T30),1),SMALL((F30,H30,J30,L30,N30,P30,R30,T30),2))+SUM(LARGE((Y30,AA30,AC30,AE30,AG30,AI30,AK30,AM30,AO30,AQ30,AS30,AU30,AW30),1),LARGE((Y30,AA30,AC30,AE30,AG30,AI30,AK30,AM30,AO30,AQ30,AS30,AU30,AW30),2),LARGE((Y30,AA30,AC30,AE30,AG30,AI30,AK30,AM30,AO30,AQ30,AS30,AU30,AW30),3),AY30)</f>
        <v>0</v>
      </c>
      <c r="E30" s="65" t="str">
        <f>_xlfn.XLOOKUP($B30,'GP1'!$C$6:$C$101,'GP1'!$B$6:$B$101,"")</f>
        <v/>
      </c>
      <c r="F30" s="133">
        <f>_xlfn.XLOOKUP(E30,'GP1'!$B$6:$B$75,'GP1'!$A$6:$A$75,0)</f>
        <v>0</v>
      </c>
      <c r="G30" s="65" t="str">
        <f>_xlfn.XLOOKUP($B30,'GP2'!$C$6:$C$101,'GP2'!$B$6:$B$101,"")</f>
        <v/>
      </c>
      <c r="H30" s="133">
        <f>_xlfn.XLOOKUP(G30,'GP2'!$B$6:$B$75,'GP2'!$A$6:$A$75,0)</f>
        <v>0</v>
      </c>
      <c r="I30" s="66" t="str">
        <f>_xlfn.XLOOKUP($B30,'GP3'!$C$6:$C$101,'GP3'!$B$6:$B$101,"")</f>
        <v/>
      </c>
      <c r="J30" s="134">
        <f>_xlfn.XLOOKUP(I30,'GP3'!$B$6:$B$75,'GP3'!$A$6:$A$75,0)</f>
        <v>0</v>
      </c>
      <c r="K30" s="66" t="str">
        <f>_xlfn.XLOOKUP($B30,'GP4'!$C$6:$C$101,'GP4'!$B$6:$B$101,"")</f>
        <v/>
      </c>
      <c r="L30" s="134">
        <f>_xlfn.XLOOKUP(K30,'GP4'!$B$6:$B$75,'GP4'!$A$6:$A$75,0)</f>
        <v>0</v>
      </c>
      <c r="M30" s="66" t="str">
        <f>_xlfn.XLOOKUP($B30,'GP5'!$C$6:$C$101,'GP5'!$B$6:$B$101,"")</f>
        <v/>
      </c>
      <c r="N30" s="136">
        <f>_xlfn.XLOOKUP(M30,'GP5'!$B$6:$B$75,'GP5'!$A$6:$A$75,0)</f>
        <v>0</v>
      </c>
      <c r="O30" s="127" t="str">
        <f>_xlfn.XLOOKUP($B30,'GP6'!$C$6:$C$101,'GP6'!$B$6:$B$101,"")</f>
        <v/>
      </c>
      <c r="P30" s="136">
        <f>_xlfn.XLOOKUP(O30,'GP6'!$B$6:$B$75,'GP6'!$A$6:$A$75,0)</f>
        <v>0</v>
      </c>
      <c r="Q30" s="127" t="str">
        <f>_xlfn.XLOOKUP($B30,'GP7'!$C$6:$C$101,'GP7'!$B$6:$B$101,"")</f>
        <v/>
      </c>
      <c r="R30" s="136">
        <f>_xlfn.XLOOKUP(Q30,'GP7'!$B$6:$B$75,'GP7'!$A$6:$A$75,0)</f>
        <v>0</v>
      </c>
      <c r="S30" s="127" t="str">
        <f>_xlfn.XLOOKUP($B30,'GP8'!$C$6:$C$101,'GP8'!$B$6:$B$101,"")</f>
        <v/>
      </c>
      <c r="T30" s="136">
        <f>_xlfn.XLOOKUP(S30,'GP8'!$B$6:$B$75,'GP8'!$A$6:$A$75,0)</f>
        <v>0</v>
      </c>
      <c r="U30" s="66" t="str">
        <f>_xlfn.XLOOKUP(B30,MPW!C$6:C$101,MPW!B$6:B$101,"")</f>
        <v/>
      </c>
      <c r="V30" s="136" t="str">
        <f>_xlfn.XLOOKUP(U30,MPW!B$6:B$75,MPW!A$6:A$75,0)</f>
        <v/>
      </c>
      <c r="X30" s="66" t="str">
        <f>_xlfn.XLOOKUP($B30,'PEW1'!$C$6:$C$101,'PEW1'!$B$6:$B$101,"")</f>
        <v/>
      </c>
      <c r="Y30" s="79">
        <f>_xlfn.XLOOKUP(X30,'PEW1'!$B$6:$B$75,'PEW1'!$A$6:$A$75,0)</f>
        <v>0</v>
      </c>
      <c r="Z30" s="65" t="str">
        <f>_xlfn.XLOOKUP($B30,'PEW2'!$C$6:$C$101,'PEW2'!$B$6:$B$101,"")</f>
        <v/>
      </c>
      <c r="AA30" s="76">
        <f>_xlfn.XLOOKUP(Z30,'PEW2'!$B$6:$B$75,'PEW2'!$A$6:$A$75,0)</f>
        <v>0</v>
      </c>
      <c r="AB30" s="65" t="str">
        <f>_xlfn.XLOOKUP($B30,'PEW3'!$C$6:$C$101,'PEW3'!$B$6:$B$101,"")</f>
        <v/>
      </c>
      <c r="AC30" s="76">
        <f>_xlfn.XLOOKUP(AB30,'PEW3'!$B$6:$B$75,'PEW3'!$A$6:$A$75,0)</f>
        <v>0</v>
      </c>
      <c r="AD30" s="65" t="str">
        <f>_xlfn.XLOOKUP($B30,VFC!$C$6:$C$101,VFC!$B$6:$B$101,"")</f>
        <v/>
      </c>
      <c r="AE30" s="76">
        <f>_xlfn.XLOOKUP(AD30,VFC!$B$6:$B$75,VFC!$A$6:$A$75,0)</f>
        <v>0</v>
      </c>
      <c r="AF30" s="65" t="str">
        <f>_xlfn.XLOOKUP($B30,'PEW4'!$C$6:$C$101,'PEW4'!$B$6:$B$101,"")</f>
        <v/>
      </c>
      <c r="AG30" s="76">
        <f>_xlfn.XLOOKUP(AF30,'PEW4'!$B$6:$B$75,'PEW4'!$A$6:$A$75,0)</f>
        <v>0</v>
      </c>
      <c r="AH30" s="65" t="str">
        <f>_xlfn.XLOOKUP($B30,'PEW5'!$C$6:$C$101,'PEW5'!$B$6:$B$101,"")</f>
        <v/>
      </c>
      <c r="AI30" s="76">
        <f>_xlfn.XLOOKUP(AH30,'PEW5'!$B$6:$B$75,'PEW5'!$A$6:$A$75,0)</f>
        <v>0</v>
      </c>
      <c r="AJ30" s="65" t="str">
        <f>_xlfn.XLOOKUP($B30,'PEW6'!$C$6:$C$101,'PEW6'!$B$6:$B$101,"")</f>
        <v/>
      </c>
      <c r="AK30" s="76">
        <f>_xlfn.XLOOKUP(AJ30,'PEW6'!$B$6:$B$75,'PEW6'!$A$6:$A$75,0)</f>
        <v>0</v>
      </c>
      <c r="AL30" s="65">
        <f>_xlfn.XLOOKUP($B30,'PEW7'!$C$6:$C$101,'PEW7'!$B$6:$B$101,"")</f>
        <v>0</v>
      </c>
      <c r="AM30" s="76">
        <f>_xlfn.XLOOKUP(AL30,'PEW7'!$B$6:$B$75,'PEW7'!$A$6:$A$75,0)</f>
        <v>0</v>
      </c>
      <c r="AN30" s="65" t="str">
        <f>_xlfn.XLOOKUP($B30,'PEW8'!$C$6:$C$101,'PEW8'!$B$6:$B$101,"")</f>
        <v/>
      </c>
      <c r="AO30" s="76">
        <f>_xlfn.XLOOKUP(AN30,'PEW8'!$B$6:$B$75,'PEW8'!$A$6:$A$75,0)</f>
        <v>0</v>
      </c>
      <c r="AP30" s="65" t="str">
        <f>_xlfn.XLOOKUP($B30,'PEW9'!$C$6:$C$101,'PEW9'!$B$6:$B$101,"")</f>
        <v/>
      </c>
      <c r="AQ30" s="76">
        <f>_xlfn.XLOOKUP(AP30,'PEW9'!$B$6:$B$75,'PEW9'!$A$6:$A$75,0)</f>
        <v>0</v>
      </c>
      <c r="AR30" s="65" t="str">
        <f>_xlfn.XLOOKUP($B30,'PEW10'!$C$6:$C$101,'PEW10'!$B$6:$B$101,"")</f>
        <v/>
      </c>
      <c r="AS30" s="76">
        <f>_xlfn.XLOOKUP(AR30,'PEW10'!$B$6:$B$75,'PEW10'!$A$6:$A$75,0)</f>
        <v>0</v>
      </c>
      <c r="AT30" s="65" t="str">
        <f>_xlfn.XLOOKUP($B30,'PEW11'!$C$6:$C$101,'PEW11'!$B$6:$B$101,"")</f>
        <v/>
      </c>
      <c r="AU30" s="76">
        <f>_xlfn.XLOOKUP(AT30,'PEW11'!$B$6:$B$75,'PEW11'!$A$6:$A$75,0)</f>
        <v>0</v>
      </c>
      <c r="AV30" s="65" t="str">
        <f>_xlfn.XLOOKUP($B30,'PEW12'!$C$6:$C$101,'PEW12'!$B$6:$B$101,"")</f>
        <v/>
      </c>
      <c r="AW30" s="76">
        <f>_xlfn.XLOOKUP(AV30,'PEW12'!$B$6:$B$75,'PEW12'!$A$6:$A$75,0)</f>
        <v>0</v>
      </c>
      <c r="AX30" s="65" t="str" cm="1">
        <f t="array" ref="AX30">_xlfn.XLOOKUP($B30,IMEW!C$6:C$201,IMEW!$B$6:B$201,"")</f>
        <v/>
      </c>
      <c r="AY30" s="77">
        <f>_xlfn.XLOOKUP(AX30,IMEW!$B$6:$B$201,IMEW!$A$6:$A$201,0)</f>
        <v>0</v>
      </c>
      <c r="BA30" s="78">
        <f t="shared" si="7"/>
        <v>0</v>
      </c>
      <c r="BB30" s="78">
        <f t="shared" si="8"/>
        <v>0</v>
      </c>
      <c r="BC30" s="78">
        <f t="shared" si="9"/>
        <v>0</v>
      </c>
      <c r="BD30" s="78">
        <f t="shared" si="10"/>
        <v>0</v>
      </c>
      <c r="BE30" s="78">
        <f t="shared" si="11"/>
        <v>0</v>
      </c>
      <c r="BF30" s="78">
        <f t="shared" si="12"/>
        <v>0</v>
      </c>
      <c r="BG30" s="78">
        <f t="shared" si="13"/>
        <v>0</v>
      </c>
    </row>
    <row r="31" spans="1:59" ht="14.8" customHeight="1" x14ac:dyDescent="0.25">
      <c r="A31" s="56">
        <f>ROW()-5</f>
        <v>26</v>
      </c>
      <c r="B31" s="53"/>
      <c r="C31" s="54"/>
      <c r="D31" s="75">
        <f>SUM(F31,H31,J31,L31,N31,P31,R31,T31,V31)-SUM(SMALL((F31,H31,J31,L31,N31,P31,R31,T31),1),SMALL((F31,H31,J31,L31,N31,P31,R31,T31),2))+SUM(LARGE((Y31,AA31,AC31,AE31,AG31,AI31,AK31,AM31,AO31,AQ31,AS31,AU31,AW31),1),LARGE((Y31,AA31,AC31,AE31,AG31,AI31,AK31,AM31,AO31,AQ31,AS31,AU31,AW31),2),LARGE((Y31,AA31,AC31,AE31,AG31,AI31,AK31,AM31,AO31,AQ31,AS31,AU31,AW31),3),AY31)</f>
        <v>0</v>
      </c>
      <c r="E31" s="65" t="str">
        <f>_xlfn.XLOOKUP($B31,'GP1'!$C$6:$C$101,'GP1'!$B$6:$B$101,"")</f>
        <v/>
      </c>
      <c r="F31" s="133">
        <f>_xlfn.XLOOKUP(E31,'GP1'!$B$6:$B$75,'GP1'!$A$6:$A$75,0)</f>
        <v>0</v>
      </c>
      <c r="G31" s="65" t="str">
        <f>_xlfn.XLOOKUP($B31,'GP2'!$C$6:$C$101,'GP2'!$B$6:$B$101,"")</f>
        <v/>
      </c>
      <c r="H31" s="133">
        <f>_xlfn.XLOOKUP(G31,'GP2'!$B$6:$B$75,'GP2'!$A$6:$A$75,0)</f>
        <v>0</v>
      </c>
      <c r="I31" s="66" t="str">
        <f>_xlfn.XLOOKUP($B31,'GP3'!$C$6:$C$101,'GP3'!$B$6:$B$101,"")</f>
        <v/>
      </c>
      <c r="J31" s="134">
        <f>_xlfn.XLOOKUP(I31,'GP3'!$B$6:$B$75,'GP3'!$A$6:$A$75,0)</f>
        <v>0</v>
      </c>
      <c r="K31" s="66" t="str">
        <f>_xlfn.XLOOKUP($B31,'GP4'!$C$6:$C$101,'GP4'!$B$6:$B$101,"")</f>
        <v/>
      </c>
      <c r="L31" s="134">
        <f>_xlfn.XLOOKUP(K31,'GP4'!$B$6:$B$75,'GP4'!$A$6:$A$75,0)</f>
        <v>0</v>
      </c>
      <c r="M31" s="66" t="str">
        <f>_xlfn.XLOOKUP($B31,'GP5'!$C$6:$C$101,'GP5'!$B$6:$B$101,"")</f>
        <v/>
      </c>
      <c r="N31" s="136">
        <f>_xlfn.XLOOKUP(M31,'GP5'!$B$6:$B$75,'GP5'!$A$6:$A$75,0)</f>
        <v>0</v>
      </c>
      <c r="O31" s="127" t="str">
        <f>_xlfn.XLOOKUP($B31,'GP6'!$C$6:$C$101,'GP6'!$B$6:$B$101,"")</f>
        <v/>
      </c>
      <c r="P31" s="136">
        <f>_xlfn.XLOOKUP(O31,'GP6'!$B$6:$B$75,'GP6'!$A$6:$A$75,0)</f>
        <v>0</v>
      </c>
      <c r="Q31" s="127" t="str">
        <f>_xlfn.XLOOKUP($B31,'GP7'!$C$6:$C$101,'GP7'!$B$6:$B$101,"")</f>
        <v/>
      </c>
      <c r="R31" s="136">
        <f>_xlfn.XLOOKUP(Q31,'GP7'!$B$6:$B$75,'GP7'!$A$6:$A$75,0)</f>
        <v>0</v>
      </c>
      <c r="S31" s="127" t="str">
        <f>_xlfn.XLOOKUP($B31,'GP8'!$C$6:$C$101,'GP8'!$B$6:$B$101,"")</f>
        <v/>
      </c>
      <c r="T31" s="136">
        <f>_xlfn.XLOOKUP(S31,'GP8'!$B$6:$B$75,'GP8'!$A$6:$A$75,0)</f>
        <v>0</v>
      </c>
      <c r="U31" s="66" t="str">
        <f>_xlfn.XLOOKUP(B31,MPW!C$6:C$101,MPW!B$6:B$101,"")</f>
        <v/>
      </c>
      <c r="V31" s="136" t="str">
        <f>_xlfn.XLOOKUP(U31,MPW!B$6:B$75,MPW!A$6:A$75,0)</f>
        <v/>
      </c>
      <c r="X31" s="66" t="str">
        <f>_xlfn.XLOOKUP($B31,'PEW1'!$C$6:$C$101,'PEW1'!$B$6:$B$101,"")</f>
        <v/>
      </c>
      <c r="Y31" s="79">
        <f>_xlfn.XLOOKUP(X31,'PEW1'!$B$6:$B$75,'PEW1'!$A$6:$A$75,0)</f>
        <v>0</v>
      </c>
      <c r="Z31" s="65" t="str">
        <f>_xlfn.XLOOKUP($B31,'PEW2'!$C$6:$C$101,'PEW2'!$B$6:$B$101,"")</f>
        <v/>
      </c>
      <c r="AA31" s="76">
        <f>_xlfn.XLOOKUP(Z31,'PEW2'!$B$6:$B$75,'PEW2'!$A$6:$A$75,0)</f>
        <v>0</v>
      </c>
      <c r="AB31" s="65" t="str">
        <f>_xlfn.XLOOKUP($B31,'PEW3'!$C$6:$C$101,'PEW3'!$B$6:$B$101,"")</f>
        <v/>
      </c>
      <c r="AC31" s="76">
        <f>_xlfn.XLOOKUP(AB31,'PEW3'!$B$6:$B$75,'PEW3'!$A$6:$A$75,0)</f>
        <v>0</v>
      </c>
      <c r="AD31" s="65" t="str">
        <f>_xlfn.XLOOKUP($B31,VFC!$C$6:$C$101,VFC!$B$6:$B$101,"")</f>
        <v/>
      </c>
      <c r="AE31" s="76">
        <f>_xlfn.XLOOKUP(AD31,VFC!$B$6:$B$75,VFC!$A$6:$A$75,0)</f>
        <v>0</v>
      </c>
      <c r="AF31" s="65" t="str">
        <f>_xlfn.XLOOKUP($B31,'PEW4'!$C$6:$C$101,'PEW4'!$B$6:$B$101,"")</f>
        <v/>
      </c>
      <c r="AG31" s="76">
        <f>_xlfn.XLOOKUP(AF31,'PEW4'!$B$6:$B$75,'PEW4'!$A$6:$A$75,0)</f>
        <v>0</v>
      </c>
      <c r="AH31" s="65" t="str">
        <f>_xlfn.XLOOKUP($B31,'PEW5'!$C$6:$C$101,'PEW5'!$B$6:$B$101,"")</f>
        <v/>
      </c>
      <c r="AI31" s="76">
        <f>_xlfn.XLOOKUP(AH31,'PEW5'!$B$6:$B$75,'PEW5'!$A$6:$A$75,0)</f>
        <v>0</v>
      </c>
      <c r="AJ31" s="65" t="str">
        <f>_xlfn.XLOOKUP($B31,'PEW6'!$C$6:$C$101,'PEW6'!$B$6:$B$101,"")</f>
        <v/>
      </c>
      <c r="AK31" s="76">
        <f>_xlfn.XLOOKUP(AJ31,'PEW6'!$B$6:$B$75,'PEW6'!$A$6:$A$75,0)</f>
        <v>0</v>
      </c>
      <c r="AL31" s="65">
        <f>_xlfn.XLOOKUP($B31,'PEW7'!$C$6:$C$101,'PEW7'!$B$6:$B$101,"")</f>
        <v>0</v>
      </c>
      <c r="AM31" s="76">
        <f>_xlfn.XLOOKUP(AL31,'PEW7'!$B$6:$B$75,'PEW7'!$A$6:$A$75,0)</f>
        <v>0</v>
      </c>
      <c r="AN31" s="65" t="str">
        <f>_xlfn.XLOOKUP($B31,'PEW8'!$C$6:$C$101,'PEW8'!$B$6:$B$101,"")</f>
        <v/>
      </c>
      <c r="AO31" s="76">
        <f>_xlfn.XLOOKUP(AN31,'PEW8'!$B$6:$B$75,'PEW8'!$A$6:$A$75,0)</f>
        <v>0</v>
      </c>
      <c r="AP31" s="65" t="str">
        <f>_xlfn.XLOOKUP($B31,'PEW9'!$C$6:$C$101,'PEW9'!$B$6:$B$101,"")</f>
        <v/>
      </c>
      <c r="AQ31" s="76">
        <f>_xlfn.XLOOKUP(AP31,'PEW9'!$B$6:$B$75,'PEW9'!$A$6:$A$75,0)</f>
        <v>0</v>
      </c>
      <c r="AR31" s="65" t="str">
        <f>_xlfn.XLOOKUP($B31,'PEW10'!$C$6:$C$101,'PEW10'!$B$6:$B$101,"")</f>
        <v/>
      </c>
      <c r="AS31" s="76">
        <f>_xlfn.XLOOKUP(AR31,'PEW10'!$B$6:$B$75,'PEW10'!$A$6:$A$75,0)</f>
        <v>0</v>
      </c>
      <c r="AT31" s="65" t="str">
        <f>_xlfn.XLOOKUP($B31,'PEW11'!$C$6:$C$101,'PEW11'!$B$6:$B$101,"")</f>
        <v/>
      </c>
      <c r="AU31" s="76">
        <f>_xlfn.XLOOKUP(AT31,'PEW11'!$B$6:$B$75,'PEW11'!$A$6:$A$75,0)</f>
        <v>0</v>
      </c>
      <c r="AV31" s="65" t="str">
        <f>_xlfn.XLOOKUP($B31,'PEW12'!$C$6:$C$101,'PEW12'!$B$6:$B$101,"")</f>
        <v/>
      </c>
      <c r="AW31" s="76">
        <f>_xlfn.XLOOKUP(AV31,'PEW12'!$B$6:$B$75,'PEW12'!$A$6:$A$75,0)</f>
        <v>0</v>
      </c>
      <c r="AX31" s="65" t="str" cm="1">
        <f t="array" ref="AX31">_xlfn.XLOOKUP($B31,IMEW!C$6:C$201,IMEW!$B$6:B$201,"")</f>
        <v/>
      </c>
      <c r="AY31" s="77">
        <f>_xlfn.XLOOKUP(AX31,IMEW!$B$6:$B$201,IMEW!$A$6:$A$201,0)</f>
        <v>0</v>
      </c>
      <c r="BA31" s="78">
        <f t="shared" si="7"/>
        <v>0</v>
      </c>
      <c r="BB31" s="78">
        <f t="shared" si="8"/>
        <v>0</v>
      </c>
      <c r="BC31" s="78">
        <f t="shared" si="9"/>
        <v>0</v>
      </c>
      <c r="BD31" s="78">
        <f t="shared" si="10"/>
        <v>0</v>
      </c>
      <c r="BE31" s="78">
        <f t="shared" si="11"/>
        <v>0</v>
      </c>
      <c r="BF31" s="78">
        <f t="shared" si="12"/>
        <v>0</v>
      </c>
      <c r="BG31" s="78">
        <f t="shared" si="13"/>
        <v>0</v>
      </c>
    </row>
    <row r="32" spans="1:59" ht="14.8" customHeight="1" x14ac:dyDescent="0.25">
      <c r="A32" s="56">
        <f>ROW()-5</f>
        <v>27</v>
      </c>
      <c r="B32" s="53"/>
      <c r="C32" s="54"/>
      <c r="D32" s="75">
        <f>SUM(F32,H32,J32,L32,N32,P32,R32,T32,V32)-SUM(SMALL((F32,H32,J32,L32,N32,P32,R32,T32),1),SMALL((F32,H32,J32,L32,N32,P32,R32,T32),2))+SUM(LARGE((Y32,AA32,AC32,AE32,AG32,AI32,AK32,AM32,AO32,AQ32,AS32,AU32,AW32),1),LARGE((Y32,AA32,AC32,AE32,AG32,AI32,AK32,AM32,AO32,AQ32,AS32,AU32,AW32),2),LARGE((Y32,AA32,AC32,AE32,AG32,AI32,AK32,AM32,AO32,AQ32,AS32,AU32,AW32),3),AY32)</f>
        <v>0</v>
      </c>
      <c r="E32" s="65" t="str">
        <f>_xlfn.XLOOKUP($B32,'GP1'!$C$6:$C$101,'GP1'!$B$6:$B$101,"")</f>
        <v/>
      </c>
      <c r="F32" s="133">
        <f>_xlfn.XLOOKUP(E32,'GP1'!$B$6:$B$75,'GP1'!$A$6:$A$75,0)</f>
        <v>0</v>
      </c>
      <c r="G32" s="65" t="str">
        <f>_xlfn.XLOOKUP($B32,'GP2'!$C$6:$C$101,'GP2'!$B$6:$B$101,"")</f>
        <v/>
      </c>
      <c r="H32" s="133">
        <f>_xlfn.XLOOKUP(G32,'GP2'!$B$6:$B$75,'GP2'!$A$6:$A$75,0)</f>
        <v>0</v>
      </c>
      <c r="I32" s="66" t="str">
        <f>_xlfn.XLOOKUP($B32,'GP3'!$C$6:$C$101,'GP3'!$B$6:$B$101,"")</f>
        <v/>
      </c>
      <c r="J32" s="134">
        <f>_xlfn.XLOOKUP(I32,'GP3'!$B$6:$B$75,'GP3'!$A$6:$A$75,0)</f>
        <v>0</v>
      </c>
      <c r="K32" s="66" t="str">
        <f>_xlfn.XLOOKUP($B32,'GP4'!$C$6:$C$101,'GP4'!$B$6:$B$101,"")</f>
        <v/>
      </c>
      <c r="L32" s="134">
        <f>_xlfn.XLOOKUP(K32,'GP4'!$B$6:$B$75,'GP4'!$A$6:$A$75,0)</f>
        <v>0</v>
      </c>
      <c r="M32" s="66" t="str">
        <f>_xlfn.XLOOKUP($B32,'GP5'!$C$6:$C$101,'GP5'!$B$6:$B$101,"")</f>
        <v/>
      </c>
      <c r="N32" s="136">
        <f>_xlfn.XLOOKUP(M32,'GP5'!$B$6:$B$75,'GP5'!$A$6:$A$75,0)</f>
        <v>0</v>
      </c>
      <c r="O32" s="127" t="str">
        <f>_xlfn.XLOOKUP($B32,'GP6'!$C$6:$C$101,'GP6'!$B$6:$B$101,"")</f>
        <v/>
      </c>
      <c r="P32" s="136">
        <f>_xlfn.XLOOKUP(O32,'GP6'!$B$6:$B$75,'GP6'!$A$6:$A$75,0)</f>
        <v>0</v>
      </c>
      <c r="Q32" s="127" t="str">
        <f>_xlfn.XLOOKUP($B32,'GP7'!$C$6:$C$101,'GP7'!$B$6:$B$101,"")</f>
        <v/>
      </c>
      <c r="R32" s="136">
        <f>_xlfn.XLOOKUP(Q32,'GP7'!$B$6:$B$75,'GP7'!$A$6:$A$75,0)</f>
        <v>0</v>
      </c>
      <c r="S32" s="127" t="str">
        <f>_xlfn.XLOOKUP($B32,'GP8'!$C$6:$C$101,'GP8'!$B$6:$B$101,"")</f>
        <v/>
      </c>
      <c r="T32" s="136">
        <f>_xlfn.XLOOKUP(S32,'GP8'!$B$6:$B$75,'GP8'!$A$6:$A$75,0)</f>
        <v>0</v>
      </c>
      <c r="U32" s="66" t="str">
        <f>_xlfn.XLOOKUP(B32,MPW!C$6:C$101,MPW!B$6:B$101,"")</f>
        <v/>
      </c>
      <c r="V32" s="136" t="str">
        <f>_xlfn.XLOOKUP(U32,MPW!B$6:B$75,MPW!A$6:A$75,0)</f>
        <v/>
      </c>
      <c r="X32" s="66" t="str">
        <f>_xlfn.XLOOKUP($B32,'PEW1'!$C$6:$C$101,'PEW1'!$B$6:$B$101,"")</f>
        <v/>
      </c>
      <c r="Y32" s="79">
        <f>_xlfn.XLOOKUP(X32,'PEW1'!$B$6:$B$75,'PEW1'!$A$6:$A$75,0)</f>
        <v>0</v>
      </c>
      <c r="Z32" s="65" t="str">
        <f>_xlfn.XLOOKUP($B32,'PEW2'!$C$6:$C$101,'PEW2'!$B$6:$B$101,"")</f>
        <v/>
      </c>
      <c r="AA32" s="76">
        <f>_xlfn.XLOOKUP(Z32,'PEW2'!$B$6:$B$75,'PEW2'!$A$6:$A$75,0)</f>
        <v>0</v>
      </c>
      <c r="AB32" s="65" t="str">
        <f>_xlfn.XLOOKUP($B32,'PEW3'!$C$6:$C$101,'PEW3'!$B$6:$B$101,"")</f>
        <v/>
      </c>
      <c r="AC32" s="76">
        <f>_xlfn.XLOOKUP(AB32,'PEW3'!$B$6:$B$75,'PEW3'!$A$6:$A$75,0)</f>
        <v>0</v>
      </c>
      <c r="AD32" s="65" t="str">
        <f>_xlfn.XLOOKUP($B32,VFC!$C$6:$C$101,VFC!$B$6:$B$101,"")</f>
        <v/>
      </c>
      <c r="AE32" s="76">
        <f>_xlfn.XLOOKUP(AD32,VFC!$B$6:$B$75,VFC!$A$6:$A$75,0)</f>
        <v>0</v>
      </c>
      <c r="AF32" s="65" t="str">
        <f>_xlfn.XLOOKUP($B32,'PEW4'!$C$6:$C$101,'PEW4'!$B$6:$B$101,"")</f>
        <v/>
      </c>
      <c r="AG32" s="76">
        <f>_xlfn.XLOOKUP(AF32,'PEW4'!$B$6:$B$75,'PEW4'!$A$6:$A$75,0)</f>
        <v>0</v>
      </c>
      <c r="AH32" s="65" t="str">
        <f>_xlfn.XLOOKUP($B32,'PEW5'!$C$6:$C$101,'PEW5'!$B$6:$B$101,"")</f>
        <v/>
      </c>
      <c r="AI32" s="76">
        <f>_xlfn.XLOOKUP(AH32,'PEW5'!$B$6:$B$75,'PEW5'!$A$6:$A$75,0)</f>
        <v>0</v>
      </c>
      <c r="AJ32" s="65" t="str">
        <f>_xlfn.XLOOKUP($B32,'PEW6'!$C$6:$C$101,'PEW6'!$B$6:$B$101,"")</f>
        <v/>
      </c>
      <c r="AK32" s="76">
        <f>_xlfn.XLOOKUP(AJ32,'PEW6'!$B$6:$B$75,'PEW6'!$A$6:$A$75,0)</f>
        <v>0</v>
      </c>
      <c r="AL32" s="65">
        <f>_xlfn.XLOOKUP($B32,'PEW7'!$C$6:$C$101,'PEW7'!$B$6:$B$101,"")</f>
        <v>0</v>
      </c>
      <c r="AM32" s="76">
        <f>_xlfn.XLOOKUP(AL32,'PEW7'!$B$6:$B$75,'PEW7'!$A$6:$A$75,0)</f>
        <v>0</v>
      </c>
      <c r="AN32" s="65" t="str">
        <f>_xlfn.XLOOKUP($B32,'PEW8'!$C$6:$C$101,'PEW8'!$B$6:$B$101,"")</f>
        <v/>
      </c>
      <c r="AO32" s="76">
        <f>_xlfn.XLOOKUP(AN32,'PEW8'!$B$6:$B$75,'PEW8'!$A$6:$A$75,0)</f>
        <v>0</v>
      </c>
      <c r="AP32" s="65" t="str">
        <f>_xlfn.XLOOKUP($B32,'PEW9'!$C$6:$C$101,'PEW9'!$B$6:$B$101,"")</f>
        <v/>
      </c>
      <c r="AQ32" s="76">
        <f>_xlfn.XLOOKUP(AP32,'PEW9'!$B$6:$B$75,'PEW9'!$A$6:$A$75,0)</f>
        <v>0</v>
      </c>
      <c r="AR32" s="65" t="str">
        <f>_xlfn.XLOOKUP($B32,'PEW10'!$C$6:$C$101,'PEW10'!$B$6:$B$101,"")</f>
        <v/>
      </c>
      <c r="AS32" s="76">
        <f>_xlfn.XLOOKUP(AR32,'PEW10'!$B$6:$B$75,'PEW10'!$A$6:$A$75,0)</f>
        <v>0</v>
      </c>
      <c r="AT32" s="65" t="str">
        <f>_xlfn.XLOOKUP($B32,'PEW11'!$C$6:$C$101,'PEW11'!$B$6:$B$101,"")</f>
        <v/>
      </c>
      <c r="AU32" s="76">
        <f>_xlfn.XLOOKUP(AT32,'PEW11'!$B$6:$B$75,'PEW11'!$A$6:$A$75,0)</f>
        <v>0</v>
      </c>
      <c r="AV32" s="65" t="str">
        <f>_xlfn.XLOOKUP($B32,'PEW12'!$C$6:$C$101,'PEW12'!$B$6:$B$101,"")</f>
        <v/>
      </c>
      <c r="AW32" s="76">
        <f>_xlfn.XLOOKUP(AV32,'PEW12'!$B$6:$B$75,'PEW12'!$A$6:$A$75,0)</f>
        <v>0</v>
      </c>
      <c r="AX32" s="65" t="str" cm="1">
        <f t="array" ref="AX32">_xlfn.XLOOKUP($B32,IMEW!C$6:C$201,IMEW!$B$6:B$201,"")</f>
        <v/>
      </c>
      <c r="AY32" s="77">
        <f>_xlfn.XLOOKUP(AX32,IMEW!$B$6:$B$201,IMEW!$A$6:$A$201,0)</f>
        <v>0</v>
      </c>
      <c r="BA32" s="78">
        <f t="shared" si="7"/>
        <v>0</v>
      </c>
      <c r="BB32" s="78">
        <f t="shared" si="8"/>
        <v>0</v>
      </c>
      <c r="BC32" s="78">
        <f t="shared" si="9"/>
        <v>0</v>
      </c>
      <c r="BD32" s="78">
        <f t="shared" si="10"/>
        <v>0</v>
      </c>
      <c r="BE32" s="78">
        <f t="shared" si="11"/>
        <v>0</v>
      </c>
      <c r="BF32" s="78">
        <f t="shared" si="12"/>
        <v>0</v>
      </c>
      <c r="BG32" s="78">
        <f t="shared" si="13"/>
        <v>0</v>
      </c>
    </row>
    <row r="33" spans="1:59" ht="14.8" customHeight="1" x14ac:dyDescent="0.25">
      <c r="A33" s="56">
        <f>ROW()-5</f>
        <v>28</v>
      </c>
      <c r="B33" s="53"/>
      <c r="C33" s="54"/>
      <c r="D33" s="75">
        <f>SUM(F33,H33,J33,L33,N33,P33,R33,T33,V33)-SUM(SMALL((F33,H33,J33,L33,N33,P33,R33,T33),1),SMALL((F33,H33,J33,L33,N33,P33,R33,T33),2))+SUM(LARGE((Y33,AA33,AC33,AE33,AG33,AI33,AK33,AM33,AO33,AQ33,AS33,AU33,AW33),1),LARGE((Y33,AA33,AC33,AE33,AG33,AI33,AK33,AM33,AO33,AQ33,AS33,AU33,AW33),2),LARGE((Y33,AA33,AC33,AE33,AG33,AI33,AK33,AM33,AO33,AQ33,AS33,AU33,AW33),3),AY33)</f>
        <v>0</v>
      </c>
      <c r="E33" s="65" t="str">
        <f>_xlfn.XLOOKUP($B33,'GP1'!$C$6:$C$101,'GP1'!$B$6:$B$101,"")</f>
        <v/>
      </c>
      <c r="F33" s="133">
        <f>_xlfn.XLOOKUP(E33,'GP1'!$B$6:$B$75,'GP1'!$A$6:$A$75,0)</f>
        <v>0</v>
      </c>
      <c r="G33" s="65" t="str">
        <f>_xlfn.XLOOKUP($B33,'GP2'!$C$6:$C$101,'GP2'!$B$6:$B$101,"")</f>
        <v/>
      </c>
      <c r="H33" s="133">
        <f>_xlfn.XLOOKUP(G33,'GP2'!$B$6:$B$75,'GP2'!$A$6:$A$75,0)</f>
        <v>0</v>
      </c>
      <c r="I33" s="66" t="str">
        <f>_xlfn.XLOOKUP($B33,'GP3'!$C$6:$C$101,'GP3'!$B$6:$B$101,"")</f>
        <v/>
      </c>
      <c r="J33" s="134">
        <f>_xlfn.XLOOKUP(I33,'GP3'!$B$6:$B$75,'GP3'!$A$6:$A$75,0)</f>
        <v>0</v>
      </c>
      <c r="K33" s="66" t="str">
        <f>_xlfn.XLOOKUP($B33,'GP4'!$C$6:$C$101,'GP4'!$B$6:$B$101,"")</f>
        <v/>
      </c>
      <c r="L33" s="134">
        <f>_xlfn.XLOOKUP(K33,'GP4'!$B$6:$B$75,'GP4'!$A$6:$A$75,0)</f>
        <v>0</v>
      </c>
      <c r="M33" s="66" t="str">
        <f>_xlfn.XLOOKUP($B33,'GP5'!$C$6:$C$101,'GP5'!$B$6:$B$101,"")</f>
        <v/>
      </c>
      <c r="N33" s="136">
        <f>_xlfn.XLOOKUP(M33,'GP5'!$B$6:$B$75,'GP5'!$A$6:$A$75,0)</f>
        <v>0</v>
      </c>
      <c r="O33" s="127" t="str">
        <f>_xlfn.XLOOKUP($B33,'GP6'!$C$6:$C$101,'GP6'!$B$6:$B$101,"")</f>
        <v/>
      </c>
      <c r="P33" s="136">
        <f>_xlfn.XLOOKUP(O33,'GP6'!$B$6:$B$75,'GP6'!$A$6:$A$75,0)</f>
        <v>0</v>
      </c>
      <c r="Q33" s="127" t="str">
        <f>_xlfn.XLOOKUP($B33,'GP7'!$C$6:$C$101,'GP7'!$B$6:$B$101,"")</f>
        <v/>
      </c>
      <c r="R33" s="136">
        <f>_xlfn.XLOOKUP(Q33,'GP7'!$B$6:$B$75,'GP7'!$A$6:$A$75,0)</f>
        <v>0</v>
      </c>
      <c r="S33" s="127" t="str">
        <f>_xlfn.XLOOKUP($B33,'GP8'!$C$6:$C$101,'GP8'!$B$6:$B$101,"")</f>
        <v/>
      </c>
      <c r="T33" s="136">
        <f>_xlfn.XLOOKUP(S33,'GP8'!$B$6:$B$75,'GP8'!$A$6:$A$75,0)</f>
        <v>0</v>
      </c>
      <c r="U33" s="66" t="str">
        <f>_xlfn.XLOOKUP(B33,MPW!C$6:C$101,MPW!B$6:B$101,"")</f>
        <v/>
      </c>
      <c r="V33" s="136" t="str">
        <f>_xlfn.XLOOKUP(U33,MPW!B$6:B$75,MPW!A$6:A$75,0)</f>
        <v/>
      </c>
      <c r="X33" s="66" t="str">
        <f>_xlfn.XLOOKUP($B33,'PEW1'!$C$6:$C$101,'PEW1'!$B$6:$B$101,"")</f>
        <v/>
      </c>
      <c r="Y33" s="79">
        <f>_xlfn.XLOOKUP(X33,'PEW1'!$B$6:$B$75,'PEW1'!$A$6:$A$75,0)</f>
        <v>0</v>
      </c>
      <c r="Z33" s="65" t="str">
        <f>_xlfn.XLOOKUP($B33,'PEW2'!$C$6:$C$101,'PEW2'!$B$6:$B$101,"")</f>
        <v/>
      </c>
      <c r="AA33" s="76">
        <f>_xlfn.XLOOKUP(Z33,'PEW2'!$B$6:$B$75,'PEW2'!$A$6:$A$75,0)</f>
        <v>0</v>
      </c>
      <c r="AB33" s="65" t="str">
        <f>_xlfn.XLOOKUP($B33,'PEW3'!$C$6:$C$101,'PEW3'!$B$6:$B$101,"")</f>
        <v/>
      </c>
      <c r="AC33" s="76">
        <f>_xlfn.XLOOKUP(AB33,'PEW3'!$B$6:$B$75,'PEW3'!$A$6:$A$75,0)</f>
        <v>0</v>
      </c>
      <c r="AD33" s="65" t="str">
        <f>_xlfn.XLOOKUP($B33,VFC!$C$6:$C$101,VFC!$B$6:$B$101,"")</f>
        <v/>
      </c>
      <c r="AE33" s="76">
        <f>_xlfn.XLOOKUP(AD33,VFC!$B$6:$B$75,VFC!$A$6:$A$75,0)</f>
        <v>0</v>
      </c>
      <c r="AF33" s="65" t="str">
        <f>_xlfn.XLOOKUP($B33,'PEW4'!$C$6:$C$101,'PEW4'!$B$6:$B$101,"")</f>
        <v/>
      </c>
      <c r="AG33" s="76">
        <f>_xlfn.XLOOKUP(AF33,'PEW4'!$B$6:$B$75,'PEW4'!$A$6:$A$75,0)</f>
        <v>0</v>
      </c>
      <c r="AH33" s="65" t="str">
        <f>_xlfn.XLOOKUP($B33,'PEW5'!$C$6:$C$101,'PEW5'!$B$6:$B$101,"")</f>
        <v/>
      </c>
      <c r="AI33" s="76">
        <f>_xlfn.XLOOKUP(AH33,'PEW5'!$B$6:$B$75,'PEW5'!$A$6:$A$75,0)</f>
        <v>0</v>
      </c>
      <c r="AJ33" s="65" t="str">
        <f>_xlfn.XLOOKUP($B33,'PEW6'!$C$6:$C$101,'PEW6'!$B$6:$B$101,"")</f>
        <v/>
      </c>
      <c r="AK33" s="76">
        <f>_xlfn.XLOOKUP(AJ33,'PEW6'!$B$6:$B$75,'PEW6'!$A$6:$A$75,0)</f>
        <v>0</v>
      </c>
      <c r="AL33" s="65">
        <f>_xlfn.XLOOKUP($B33,'PEW7'!$C$6:$C$101,'PEW7'!$B$6:$B$101,"")</f>
        <v>0</v>
      </c>
      <c r="AM33" s="76">
        <f>_xlfn.XLOOKUP(AL33,'PEW7'!$B$6:$B$75,'PEW7'!$A$6:$A$75,0)</f>
        <v>0</v>
      </c>
      <c r="AN33" s="65" t="str">
        <f>_xlfn.XLOOKUP($B33,'PEW8'!$C$6:$C$101,'PEW8'!$B$6:$B$101,"")</f>
        <v/>
      </c>
      <c r="AO33" s="76">
        <f>_xlfn.XLOOKUP(AN33,'PEW8'!$B$6:$B$75,'PEW8'!$A$6:$A$75,0)</f>
        <v>0</v>
      </c>
      <c r="AP33" s="65" t="str">
        <f>_xlfn.XLOOKUP($B33,'PEW9'!$C$6:$C$101,'PEW9'!$B$6:$B$101,"")</f>
        <v/>
      </c>
      <c r="AQ33" s="76">
        <f>_xlfn.XLOOKUP(AP33,'PEW9'!$B$6:$B$75,'PEW9'!$A$6:$A$75,0)</f>
        <v>0</v>
      </c>
      <c r="AR33" s="65" t="str">
        <f>_xlfn.XLOOKUP($B33,'PEW10'!$C$6:$C$101,'PEW10'!$B$6:$B$101,"")</f>
        <v/>
      </c>
      <c r="AS33" s="76">
        <f>_xlfn.XLOOKUP(AR33,'PEW10'!$B$6:$B$75,'PEW10'!$A$6:$A$75,0)</f>
        <v>0</v>
      </c>
      <c r="AT33" s="65" t="str">
        <f>_xlfn.XLOOKUP($B33,'PEW11'!$C$6:$C$101,'PEW11'!$B$6:$B$101,"")</f>
        <v/>
      </c>
      <c r="AU33" s="76">
        <f>_xlfn.XLOOKUP(AT33,'PEW11'!$B$6:$B$75,'PEW11'!$A$6:$A$75,0)</f>
        <v>0</v>
      </c>
      <c r="AV33" s="65" t="str">
        <f>_xlfn.XLOOKUP($B33,'PEW12'!$C$6:$C$101,'PEW12'!$B$6:$B$101,"")</f>
        <v/>
      </c>
      <c r="AW33" s="76">
        <f>_xlfn.XLOOKUP(AV33,'PEW12'!$B$6:$B$75,'PEW12'!$A$6:$A$75,0)</f>
        <v>0</v>
      </c>
      <c r="AX33" s="65" t="str" cm="1">
        <f t="array" ref="AX33">_xlfn.XLOOKUP($B33,IMEW!C$6:C$201,IMEW!$B$6:B$201,"")</f>
        <v/>
      </c>
      <c r="AY33" s="77">
        <f>_xlfn.XLOOKUP(AX33,IMEW!$B$6:$B$201,IMEW!$A$6:$A$201,0)</f>
        <v>0</v>
      </c>
      <c r="BA33" s="78">
        <f t="shared" si="7"/>
        <v>0</v>
      </c>
      <c r="BB33" s="78">
        <f t="shared" si="8"/>
        <v>0</v>
      </c>
      <c r="BC33" s="78">
        <f t="shared" si="9"/>
        <v>0</v>
      </c>
      <c r="BD33" s="78">
        <f t="shared" si="10"/>
        <v>0</v>
      </c>
      <c r="BE33" s="78">
        <f t="shared" si="11"/>
        <v>0</v>
      </c>
      <c r="BF33" s="78">
        <f t="shared" si="12"/>
        <v>0</v>
      </c>
      <c r="BG33" s="78">
        <f t="shared" si="13"/>
        <v>0</v>
      </c>
    </row>
    <row r="34" spans="1:59" ht="14.8" customHeight="1" x14ac:dyDescent="0.25">
      <c r="A34" s="56">
        <f>ROW()-5</f>
        <v>29</v>
      </c>
      <c r="B34" s="53"/>
      <c r="C34" s="54"/>
      <c r="D34" s="75">
        <f>SUM(F34,H34,J34,L34,N34,P34,R34,T34,V34)-SUM(SMALL((F34,H34,J34,L34,N34,P34,R34,T34),1),SMALL((F34,H34,J34,L34,N34,P34,R34,T34),2))+SUM(LARGE((Y34,AA34,AC34,AE34,AG34,AI34,AK34,AM34,AO34,AQ34,AS34,AU34,AW34),1),LARGE((Y34,AA34,AC34,AE34,AG34,AI34,AK34,AM34,AO34,AQ34,AS34,AU34,AW34),2),LARGE((Y34,AA34,AC34,AE34,AG34,AI34,AK34,AM34,AO34,AQ34,AS34,AU34,AW34),3),AY34)</f>
        <v>0</v>
      </c>
      <c r="E34" s="65" t="str">
        <f>_xlfn.XLOOKUP($B34,'GP1'!$C$6:$C$101,'GP1'!$B$6:$B$101,"")</f>
        <v/>
      </c>
      <c r="F34" s="133">
        <f>_xlfn.XLOOKUP(E34,'GP1'!$B$6:$B$75,'GP1'!$A$6:$A$75,0)</f>
        <v>0</v>
      </c>
      <c r="G34" s="65" t="str">
        <f>_xlfn.XLOOKUP($B34,'GP2'!$C$6:$C$101,'GP2'!$B$6:$B$101,"")</f>
        <v/>
      </c>
      <c r="H34" s="133">
        <f>_xlfn.XLOOKUP(G34,'GP2'!$B$6:$B$75,'GP2'!$A$6:$A$75,0)</f>
        <v>0</v>
      </c>
      <c r="I34" s="66" t="str">
        <f>_xlfn.XLOOKUP($B34,'GP3'!$C$6:$C$101,'GP3'!$B$6:$B$101,"")</f>
        <v/>
      </c>
      <c r="J34" s="134">
        <f>_xlfn.XLOOKUP(I34,'GP3'!$B$6:$B$75,'GP3'!$A$6:$A$75,0)</f>
        <v>0</v>
      </c>
      <c r="K34" s="66" t="str">
        <f>_xlfn.XLOOKUP($B34,'GP4'!$C$6:$C$101,'GP4'!$B$6:$B$101,"")</f>
        <v/>
      </c>
      <c r="L34" s="134">
        <f>_xlfn.XLOOKUP(K34,'GP4'!$B$6:$B$75,'GP4'!$A$6:$A$75,0)</f>
        <v>0</v>
      </c>
      <c r="M34" s="66" t="str">
        <f>_xlfn.XLOOKUP($B34,'GP5'!$C$6:$C$101,'GP5'!$B$6:$B$101,"")</f>
        <v/>
      </c>
      <c r="N34" s="136">
        <f>_xlfn.XLOOKUP(M34,'GP5'!$B$6:$B$75,'GP5'!$A$6:$A$75,0)</f>
        <v>0</v>
      </c>
      <c r="O34" s="127" t="str">
        <f>_xlfn.XLOOKUP($B34,'GP6'!$C$6:$C$101,'GP6'!$B$6:$B$101,"")</f>
        <v/>
      </c>
      <c r="P34" s="136">
        <f>_xlfn.XLOOKUP(O34,'GP6'!$B$6:$B$75,'GP6'!$A$6:$A$75,0)</f>
        <v>0</v>
      </c>
      <c r="Q34" s="127" t="str">
        <f>_xlfn.XLOOKUP($B34,'GP7'!$C$6:$C$101,'GP7'!$B$6:$B$101,"")</f>
        <v/>
      </c>
      <c r="R34" s="136">
        <f>_xlfn.XLOOKUP(Q34,'GP7'!$B$6:$B$75,'GP7'!$A$6:$A$75,0)</f>
        <v>0</v>
      </c>
      <c r="S34" s="127" t="str">
        <f>_xlfn.XLOOKUP($B34,'GP8'!$C$6:$C$101,'GP8'!$B$6:$B$101,"")</f>
        <v/>
      </c>
      <c r="T34" s="136">
        <f>_xlfn.XLOOKUP(S34,'GP8'!$B$6:$B$75,'GP8'!$A$6:$A$75,0)</f>
        <v>0</v>
      </c>
      <c r="U34" s="66" t="str">
        <f>_xlfn.XLOOKUP(B34,MPW!C$6:C$101,MPW!B$6:B$101,"")</f>
        <v/>
      </c>
      <c r="V34" s="136" t="str">
        <f>_xlfn.XLOOKUP(U34,MPW!B$6:B$75,MPW!A$6:A$75,0)</f>
        <v/>
      </c>
      <c r="X34" s="66" t="str">
        <f>_xlfn.XLOOKUP($B34,'PEW1'!$C$6:$C$101,'PEW1'!$B$6:$B$101,"")</f>
        <v/>
      </c>
      <c r="Y34" s="79">
        <f>_xlfn.XLOOKUP(X34,'PEW1'!$B$6:$B$75,'PEW1'!$A$6:$A$75,0)</f>
        <v>0</v>
      </c>
      <c r="Z34" s="65" t="str">
        <f>_xlfn.XLOOKUP($B34,'PEW2'!$C$6:$C$101,'PEW2'!$B$6:$B$101,"")</f>
        <v/>
      </c>
      <c r="AA34" s="76">
        <f>_xlfn.XLOOKUP(Z34,'PEW2'!$B$6:$B$75,'PEW2'!$A$6:$A$75,0)</f>
        <v>0</v>
      </c>
      <c r="AB34" s="65" t="str">
        <f>_xlfn.XLOOKUP($B34,'PEW3'!$C$6:$C$101,'PEW3'!$B$6:$B$101,"")</f>
        <v/>
      </c>
      <c r="AC34" s="76">
        <f>_xlfn.XLOOKUP(AB34,'PEW3'!$B$6:$B$75,'PEW3'!$A$6:$A$75,0)</f>
        <v>0</v>
      </c>
      <c r="AD34" s="65" t="str">
        <f>_xlfn.XLOOKUP($B34,VFC!$C$6:$C$101,VFC!$B$6:$B$101,"")</f>
        <v/>
      </c>
      <c r="AE34" s="76">
        <f>_xlfn.XLOOKUP(AD34,VFC!$B$6:$B$75,VFC!$A$6:$A$75,0)</f>
        <v>0</v>
      </c>
      <c r="AF34" s="65" t="str">
        <f>_xlfn.XLOOKUP($B34,'PEW4'!$C$6:$C$101,'PEW4'!$B$6:$B$101,"")</f>
        <v/>
      </c>
      <c r="AG34" s="76">
        <f>_xlfn.XLOOKUP(AF34,'PEW4'!$B$6:$B$75,'PEW4'!$A$6:$A$75,0)</f>
        <v>0</v>
      </c>
      <c r="AH34" s="65" t="str">
        <f>_xlfn.XLOOKUP($B34,'PEW5'!$C$6:$C$101,'PEW5'!$B$6:$B$101,"")</f>
        <v/>
      </c>
      <c r="AI34" s="76">
        <f>_xlfn.XLOOKUP(AH34,'PEW5'!$B$6:$B$75,'PEW5'!$A$6:$A$75,0)</f>
        <v>0</v>
      </c>
      <c r="AJ34" s="65" t="str">
        <f>_xlfn.XLOOKUP($B34,'PEW6'!$C$6:$C$101,'PEW6'!$B$6:$B$101,"")</f>
        <v/>
      </c>
      <c r="AK34" s="76">
        <f>_xlfn.XLOOKUP(AJ34,'PEW6'!$B$6:$B$75,'PEW6'!$A$6:$A$75,0)</f>
        <v>0</v>
      </c>
      <c r="AL34" s="65">
        <f>_xlfn.XLOOKUP($B34,'PEW7'!$C$6:$C$101,'PEW7'!$B$6:$B$101,"")</f>
        <v>0</v>
      </c>
      <c r="AM34" s="76">
        <f>_xlfn.XLOOKUP(AL34,'PEW7'!$B$6:$B$75,'PEW7'!$A$6:$A$75,0)</f>
        <v>0</v>
      </c>
      <c r="AN34" s="65" t="str">
        <f>_xlfn.XLOOKUP($B34,'PEW8'!$C$6:$C$101,'PEW8'!$B$6:$B$101,"")</f>
        <v/>
      </c>
      <c r="AO34" s="76">
        <f>_xlfn.XLOOKUP(AN34,'PEW8'!$B$6:$B$75,'PEW8'!$A$6:$A$75,0)</f>
        <v>0</v>
      </c>
      <c r="AP34" s="65" t="str">
        <f>_xlfn.XLOOKUP($B34,'PEW9'!$C$6:$C$101,'PEW9'!$B$6:$B$101,"")</f>
        <v/>
      </c>
      <c r="AQ34" s="76">
        <f>_xlfn.XLOOKUP(AP34,'PEW9'!$B$6:$B$75,'PEW9'!$A$6:$A$75,0)</f>
        <v>0</v>
      </c>
      <c r="AR34" s="65" t="str">
        <f>_xlfn.XLOOKUP($B34,'PEW10'!$C$6:$C$101,'PEW10'!$B$6:$B$101,"")</f>
        <v/>
      </c>
      <c r="AS34" s="76">
        <f>_xlfn.XLOOKUP(AR34,'PEW10'!$B$6:$B$75,'PEW10'!$A$6:$A$75,0)</f>
        <v>0</v>
      </c>
      <c r="AT34" s="65" t="str">
        <f>_xlfn.XLOOKUP($B34,'PEW11'!$C$6:$C$101,'PEW11'!$B$6:$B$101,"")</f>
        <v/>
      </c>
      <c r="AU34" s="76">
        <f>_xlfn.XLOOKUP(AT34,'PEW11'!$B$6:$B$75,'PEW11'!$A$6:$A$75,0)</f>
        <v>0</v>
      </c>
      <c r="AV34" s="65" t="str">
        <f>_xlfn.XLOOKUP($B34,'PEW12'!$C$6:$C$101,'PEW12'!$B$6:$B$101,"")</f>
        <v/>
      </c>
      <c r="AW34" s="76">
        <f>_xlfn.XLOOKUP(AV34,'PEW12'!$B$6:$B$75,'PEW12'!$A$6:$A$75,0)</f>
        <v>0</v>
      </c>
      <c r="AX34" s="65" t="str" cm="1">
        <f t="array" ref="AX34">_xlfn.XLOOKUP($B34,IMEW!C$6:C$201,IMEW!$B$6:B$201,"")</f>
        <v/>
      </c>
      <c r="AY34" s="77">
        <f>_xlfn.XLOOKUP(AX34,IMEW!$B$6:$B$201,IMEW!$A$6:$A$201,0)</f>
        <v>0</v>
      </c>
      <c r="BA34" s="78">
        <f t="shared" si="7"/>
        <v>0</v>
      </c>
      <c r="BB34" s="78">
        <f t="shared" si="8"/>
        <v>0</v>
      </c>
      <c r="BC34" s="78">
        <f t="shared" si="9"/>
        <v>0</v>
      </c>
      <c r="BD34" s="78">
        <f t="shared" si="10"/>
        <v>0</v>
      </c>
      <c r="BE34" s="78">
        <f t="shared" si="11"/>
        <v>0</v>
      </c>
      <c r="BF34" s="78">
        <f t="shared" si="12"/>
        <v>0</v>
      </c>
      <c r="BG34" s="78">
        <f t="shared" si="13"/>
        <v>0</v>
      </c>
    </row>
    <row r="35" spans="1:59" x14ac:dyDescent="0.2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</row>
    <row r="36" spans="1:59" x14ac:dyDescent="0.2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</row>
    <row r="37" spans="1:59" x14ac:dyDescent="0.2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</row>
    <row r="38" spans="1:59" x14ac:dyDescent="0.2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</row>
  </sheetData>
  <autoFilter ref="A5:AY5" xr:uid="{3A0A20B3-5AAD-4C6E-AC99-1ABF64677A16}">
    <sortState xmlns:xlrd2="http://schemas.microsoft.com/office/spreadsheetml/2017/richdata2" ref="A7:AY34">
      <sortCondition descending="1" ref="D5"/>
    </sortState>
  </autoFilter>
  <mergeCells count="29">
    <mergeCell ref="AX4:AY4"/>
    <mergeCell ref="AT4:AU4"/>
    <mergeCell ref="AV4:AW4"/>
    <mergeCell ref="AB4:AC4"/>
    <mergeCell ref="AF4:AG4"/>
    <mergeCell ref="AD4:AE4"/>
    <mergeCell ref="AJ4:AK4"/>
    <mergeCell ref="AL4:AM4"/>
    <mergeCell ref="A4:A5"/>
    <mergeCell ref="B4:B5"/>
    <mergeCell ref="C4:C5"/>
    <mergeCell ref="D4:D5"/>
    <mergeCell ref="E4:F4"/>
    <mergeCell ref="D1:V2"/>
    <mergeCell ref="G4:H4"/>
    <mergeCell ref="I4:J4"/>
    <mergeCell ref="K4:L4"/>
    <mergeCell ref="AH4:AI4"/>
    <mergeCell ref="M4:N4"/>
    <mergeCell ref="U4:V4"/>
    <mergeCell ref="O4:P4"/>
    <mergeCell ref="Q4:R4"/>
    <mergeCell ref="S4:T4"/>
    <mergeCell ref="X1:AY3"/>
    <mergeCell ref="AN4:AO4"/>
    <mergeCell ref="AP4:AQ4"/>
    <mergeCell ref="AR4:AS4"/>
    <mergeCell ref="X4:Y4"/>
    <mergeCell ref="Z4:AA4"/>
  </mergeCells>
  <conditionalFormatting sqref="A6:A34">
    <cfRule type="cellIs" dxfId="22" priority="12" operator="equal">
      <formula>3</formula>
    </cfRule>
    <cfRule type="cellIs" dxfId="21" priority="13" operator="equal">
      <formula>2</formula>
    </cfRule>
    <cfRule type="cellIs" dxfId="20" priority="14" operator="equal">
      <formula>1</formula>
    </cfRule>
  </conditionalFormatting>
  <conditionalFormatting sqref="D6:V34 X6:AY34">
    <cfRule type="cellIs" dxfId="19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5457F-8E53-49D4-AD04-25D076F66D93}">
  <sheetPr>
    <tabColor rgb="FF92D050"/>
  </sheetPr>
  <dimension ref="A1:AL374"/>
  <sheetViews>
    <sheetView workbookViewId="0">
      <selection activeCell="C27" sqref="C27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2.2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x14ac:dyDescent="0.25">
      <c r="A1" s="80"/>
      <c r="B1" s="80"/>
      <c r="C1" s="80"/>
      <c r="D1" s="80"/>
      <c r="E1" s="80"/>
      <c r="F1" s="80"/>
      <c r="G1" s="80"/>
      <c r="H1" s="81" t="s">
        <v>38</v>
      </c>
      <c r="I1" s="82" t="s">
        <v>39</v>
      </c>
      <c r="J1" s="82" t="s">
        <v>40</v>
      </c>
      <c r="K1" s="83" t="s">
        <v>128</v>
      </c>
      <c r="L1" s="84"/>
      <c r="M1" s="84"/>
    </row>
    <row r="2" spans="1:36" x14ac:dyDescent="0.25">
      <c r="A2" s="80"/>
      <c r="B2" s="47" t="s">
        <v>42</v>
      </c>
      <c r="C2" s="125" t="s">
        <v>129</v>
      </c>
      <c r="D2" s="68"/>
      <c r="E2" s="6"/>
      <c r="F2" s="6"/>
      <c r="G2" s="6"/>
      <c r="H2" s="86">
        <v>51</v>
      </c>
      <c r="I2" s="87">
        <v>50</v>
      </c>
      <c r="J2" s="87">
        <v>10</v>
      </c>
      <c r="K2" s="88">
        <f>3*H2^(1/3)</f>
        <v>11.125289307798569</v>
      </c>
      <c r="L2" s="84"/>
      <c r="M2" s="84"/>
    </row>
    <row r="3" spans="1:36" x14ac:dyDescent="0.25">
      <c r="A3" s="80"/>
      <c r="B3" s="89" t="s">
        <v>44</v>
      </c>
      <c r="C3" s="69">
        <v>44933</v>
      </c>
      <c r="D3" s="69"/>
      <c r="E3" s="7"/>
      <c r="F3" s="7"/>
      <c r="G3" s="7"/>
      <c r="H3" s="84"/>
      <c r="I3" s="84"/>
      <c r="J3" s="90"/>
      <c r="K3" s="84"/>
      <c r="L3" s="84"/>
      <c r="M3" s="84"/>
    </row>
    <row r="4" spans="1:36" ht="10.199999999999999" customHeight="1" x14ac:dyDescent="0.25">
      <c r="A4" s="8"/>
      <c r="B4" s="7"/>
      <c r="C4" s="8"/>
      <c r="D4" s="8"/>
      <c r="E4" s="8"/>
      <c r="F4" s="8"/>
      <c r="G4" s="8"/>
      <c r="H4" s="84"/>
      <c r="I4" s="84"/>
      <c r="J4" s="90"/>
      <c r="K4" s="84"/>
      <c r="L4" s="84"/>
      <c r="M4" s="84"/>
    </row>
    <row r="5" spans="1:36" ht="34.65" x14ac:dyDescent="0.25">
      <c r="A5" s="1" t="s">
        <v>45</v>
      </c>
      <c r="B5" s="37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8"/>
      <c r="H5" s="91" t="s">
        <v>51</v>
      </c>
      <c r="I5" s="92" t="s">
        <v>52</v>
      </c>
      <c r="J5" s="93" t="s">
        <v>93</v>
      </c>
      <c r="K5" s="92" t="s">
        <v>94</v>
      </c>
      <c r="L5" s="92" t="s">
        <v>55</v>
      </c>
      <c r="M5" s="91" t="s">
        <v>56</v>
      </c>
    </row>
    <row r="6" spans="1:36" ht="14.45" customHeight="1" x14ac:dyDescent="0.25">
      <c r="A6" s="94">
        <f>M6</f>
        <v>143.3758679233957</v>
      </c>
      <c r="B6" s="36">
        <f>IF(H6&gt;$H$2,"",(ROW()-5))</f>
        <v>1</v>
      </c>
      <c r="C6" s="24" t="s">
        <v>95</v>
      </c>
      <c r="D6" s="24"/>
      <c r="E6" s="24"/>
      <c r="F6" s="24" t="s">
        <v>58</v>
      </c>
      <c r="G6" s="8"/>
      <c r="H6" s="95">
        <v>1</v>
      </c>
      <c r="I6" s="96">
        <f t="shared" ref="I6:I69" si="0">IF(H6&lt;$H$2+1,($I$2-($I$2-1)*(LOG(H6)/LOG($H$2))),"")</f>
        <v>50</v>
      </c>
      <c r="J6" s="95">
        <f>INT(LOG($H$2,2))-ROUNDUP(LOG(H6,2),0)+IF(OR($H$2=1,$H$2=2,$H$2=4,$H$2=8,$H$2=16,$H$2=32,$H$2=64,$H$2=128,$H$2=256),0,1)</f>
        <v>6</v>
      </c>
      <c r="K6" s="95">
        <f t="shared" ref="K6:K69" si="1">J6*$J$2</f>
        <v>60</v>
      </c>
      <c r="L6" s="97">
        <f>3*K2</f>
        <v>33.37586792339571</v>
      </c>
      <c r="M6" s="97">
        <f t="shared" ref="M6:M69" si="2">IF(I6&lt;&gt;"",K6+I6+L6,0)</f>
        <v>143.3758679233957</v>
      </c>
    </row>
    <row r="7" spans="1:36" ht="14.45" customHeight="1" x14ac:dyDescent="0.25">
      <c r="A7" s="98">
        <f t="shared" ref="A7:A37" si="3">M7</f>
        <v>113.6122983305419</v>
      </c>
      <c r="B7" s="35">
        <f t="shared" ref="B7:B65" si="4">IF(H7&gt;$H$2,"",(ROW()-5))</f>
        <v>2</v>
      </c>
      <c r="C7" s="25" t="s">
        <v>95</v>
      </c>
      <c r="D7" s="25"/>
      <c r="E7" s="25"/>
      <c r="F7" s="25" t="s">
        <v>58</v>
      </c>
      <c r="G7" s="8"/>
      <c r="H7" s="99">
        <v>2</v>
      </c>
      <c r="I7" s="100">
        <f t="shared" si="0"/>
        <v>41.361719714944776</v>
      </c>
      <c r="J7" s="99">
        <f t="shared" ref="J7:J70" si="5">INT(LOG($H$2,2))-ROUNDUP(LOG(H7,2),0)+IF(OR($H$2=1,$H$2=2,$H$2=4,$H$2=8,$H$2=16,$H$2=32,$H$2=64,$H$2=128,$H$2=256),0,1)</f>
        <v>5</v>
      </c>
      <c r="K7" s="99">
        <f t="shared" si="1"/>
        <v>50</v>
      </c>
      <c r="L7" s="101">
        <f>2*K2</f>
        <v>22.250578615597139</v>
      </c>
      <c r="M7" s="101">
        <f t="shared" si="2"/>
        <v>113.6122983305419</v>
      </c>
    </row>
    <row r="8" spans="1:36" ht="14.45" customHeight="1" x14ac:dyDescent="0.25">
      <c r="A8" s="94">
        <f t="shared" si="3"/>
        <v>87.433938985267176</v>
      </c>
      <c r="B8" s="36">
        <f t="shared" si="4"/>
        <v>3</v>
      </c>
      <c r="C8" s="24" t="s">
        <v>95</v>
      </c>
      <c r="D8" s="24"/>
      <c r="E8" s="24"/>
      <c r="F8" s="24" t="s">
        <v>58</v>
      </c>
      <c r="G8" s="8"/>
      <c r="H8" s="95">
        <v>3</v>
      </c>
      <c r="I8" s="96">
        <f t="shared" si="0"/>
        <v>36.308649677468608</v>
      </c>
      <c r="J8" s="95">
        <f t="shared" si="5"/>
        <v>4</v>
      </c>
      <c r="K8" s="95">
        <f t="shared" si="1"/>
        <v>40</v>
      </c>
      <c r="L8" s="97">
        <f>K2</f>
        <v>11.125289307798569</v>
      </c>
      <c r="M8" s="97">
        <f t="shared" si="2"/>
        <v>87.433938985267176</v>
      </c>
    </row>
    <row r="9" spans="1:36" s="85" customFormat="1" ht="14.45" customHeight="1" x14ac:dyDescent="0.25">
      <c r="A9" s="98">
        <f t="shared" si="3"/>
        <v>87.433938985267176</v>
      </c>
      <c r="B9" s="35">
        <f>IF(H9&gt;$H$2,"",3)</f>
        <v>3</v>
      </c>
      <c r="C9" s="25" t="s">
        <v>95</v>
      </c>
      <c r="D9" s="25"/>
      <c r="E9" s="25"/>
      <c r="F9" s="25"/>
      <c r="G9" s="8"/>
      <c r="H9" s="99">
        <v>3</v>
      </c>
      <c r="I9" s="100">
        <f t="shared" si="0"/>
        <v>36.308649677468608</v>
      </c>
      <c r="J9" s="99">
        <f t="shared" si="5"/>
        <v>4</v>
      </c>
      <c r="K9" s="99">
        <f t="shared" si="1"/>
        <v>40</v>
      </c>
      <c r="L9" s="101">
        <f>K2</f>
        <v>11.125289307798569</v>
      </c>
      <c r="M9" s="101">
        <f t="shared" si="2"/>
        <v>87.433938985267176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95</v>
      </c>
      <c r="AI9" s="85">
        <v>23</v>
      </c>
    </row>
    <row r="10" spans="1:36" ht="14.45" customHeight="1" x14ac:dyDescent="0.25">
      <c r="A10" s="94">
        <f t="shared" si="3"/>
        <v>59.942534314618662</v>
      </c>
      <c r="B10" s="36">
        <f t="shared" si="4"/>
        <v>5</v>
      </c>
      <c r="C10" s="24" t="s">
        <v>95</v>
      </c>
      <c r="D10" s="24"/>
      <c r="E10" s="24"/>
      <c r="F10" s="24"/>
      <c r="G10" s="8"/>
      <c r="H10" s="95">
        <v>5</v>
      </c>
      <c r="I10" s="96">
        <f t="shared" si="0"/>
        <v>29.942534314618662</v>
      </c>
      <c r="J10" s="95">
        <f t="shared" si="5"/>
        <v>3</v>
      </c>
      <c r="K10" s="95">
        <f t="shared" si="1"/>
        <v>30</v>
      </c>
      <c r="L10" s="95"/>
      <c r="M10" s="97">
        <f t="shared" si="2"/>
        <v>59.942534314618662</v>
      </c>
      <c r="V10" s="102"/>
      <c r="Z10" s="103"/>
      <c r="AA10" s="103"/>
      <c r="AG10" s="104"/>
      <c r="AH10" s="85" t="s">
        <v>96</v>
      </c>
      <c r="AI10" s="85">
        <v>45</v>
      </c>
    </row>
    <row r="11" spans="1:36" ht="14.45" customHeight="1" x14ac:dyDescent="0.25">
      <c r="A11" s="98">
        <f t="shared" si="3"/>
        <v>57.670369392413392</v>
      </c>
      <c r="B11" s="35">
        <f t="shared" si="4"/>
        <v>6</v>
      </c>
      <c r="C11" s="25" t="s">
        <v>95</v>
      </c>
      <c r="D11" s="25"/>
      <c r="E11" s="25"/>
      <c r="F11" s="25"/>
      <c r="G11" s="8"/>
      <c r="H11" s="99">
        <v>6</v>
      </c>
      <c r="I11" s="100">
        <f t="shared" si="0"/>
        <v>27.670369392413388</v>
      </c>
      <c r="J11" s="99">
        <f t="shared" si="5"/>
        <v>3</v>
      </c>
      <c r="K11" s="99">
        <f t="shared" si="1"/>
        <v>30</v>
      </c>
      <c r="L11" s="99"/>
      <c r="M11" s="101">
        <f t="shared" si="2"/>
        <v>57.670369392413392</v>
      </c>
      <c r="V11" s="105"/>
      <c r="Z11" s="103"/>
      <c r="AA11" s="103"/>
      <c r="AG11" s="104"/>
      <c r="AH11" s="85" t="s">
        <v>97</v>
      </c>
      <c r="AI11" s="85">
        <v>50</v>
      </c>
    </row>
    <row r="12" spans="1:36" ht="14.45" customHeight="1" x14ac:dyDescent="0.25">
      <c r="A12" s="94">
        <f t="shared" si="3"/>
        <v>55.749281323637057</v>
      </c>
      <c r="B12" s="36">
        <f t="shared" si="4"/>
        <v>7</v>
      </c>
      <c r="C12" s="24" t="s">
        <v>95</v>
      </c>
      <c r="D12" s="24"/>
      <c r="E12" s="24"/>
      <c r="F12" s="24"/>
      <c r="G12" s="8"/>
      <c r="H12" s="95">
        <v>7</v>
      </c>
      <c r="I12" s="96">
        <f t="shared" si="0"/>
        <v>25.749281323637057</v>
      </c>
      <c r="J12" s="95">
        <f t="shared" si="5"/>
        <v>3</v>
      </c>
      <c r="K12" s="95">
        <f t="shared" si="1"/>
        <v>30</v>
      </c>
      <c r="L12" s="95"/>
      <c r="M12" s="97">
        <f t="shared" si="2"/>
        <v>55.749281323637057</v>
      </c>
      <c r="Z12" s="103"/>
      <c r="AA12" s="103"/>
      <c r="AG12" s="104"/>
      <c r="AH12" s="85" t="s">
        <v>98</v>
      </c>
      <c r="AI12" s="85">
        <f>AI11-1</f>
        <v>49</v>
      </c>
    </row>
    <row r="13" spans="1:36" ht="14.45" customHeight="1" x14ac:dyDescent="0.25">
      <c r="A13" s="98">
        <f t="shared" si="3"/>
        <v>54.085159144834336</v>
      </c>
      <c r="B13" s="35">
        <f t="shared" si="4"/>
        <v>8</v>
      </c>
      <c r="C13" s="25" t="s">
        <v>95</v>
      </c>
      <c r="D13" s="25"/>
      <c r="E13" s="25"/>
      <c r="F13" s="25"/>
      <c r="G13" s="8"/>
      <c r="H13" s="99">
        <v>8</v>
      </c>
      <c r="I13" s="100">
        <f t="shared" si="0"/>
        <v>24.085159144834332</v>
      </c>
      <c r="J13" s="99">
        <f t="shared" si="5"/>
        <v>3</v>
      </c>
      <c r="K13" s="99">
        <f t="shared" si="1"/>
        <v>30</v>
      </c>
      <c r="L13" s="99"/>
      <c r="M13" s="101">
        <f t="shared" si="2"/>
        <v>54.085159144834336</v>
      </c>
      <c r="X13" s="102"/>
      <c r="AG13" s="104"/>
      <c r="AH13" s="85" t="s">
        <v>101</v>
      </c>
      <c r="AI13" s="85">
        <f>LOG(AI9)</f>
        <v>1.3617278360175928</v>
      </c>
    </row>
    <row r="14" spans="1:36" x14ac:dyDescent="0.25">
      <c r="A14" s="94">
        <f t="shared" si="3"/>
        <v>42.617299354937224</v>
      </c>
      <c r="B14" s="36">
        <f t="shared" si="4"/>
        <v>9</v>
      </c>
      <c r="C14" s="24" t="s">
        <v>95</v>
      </c>
      <c r="D14" s="24"/>
      <c r="E14" s="24"/>
      <c r="F14" s="24"/>
      <c r="G14" s="8"/>
      <c r="H14" s="95">
        <v>9</v>
      </c>
      <c r="I14" s="96">
        <f t="shared" si="0"/>
        <v>22.617299354937224</v>
      </c>
      <c r="J14" s="95">
        <f t="shared" si="5"/>
        <v>2</v>
      </c>
      <c r="K14" s="95">
        <f t="shared" si="1"/>
        <v>20</v>
      </c>
      <c r="L14" s="95"/>
      <c r="M14" s="97">
        <f t="shared" si="2"/>
        <v>42.617299354937224</v>
      </c>
      <c r="X14" s="106"/>
      <c r="Z14" s="103"/>
      <c r="AA14" s="103"/>
      <c r="AG14" s="104"/>
      <c r="AH14" s="85" t="s">
        <v>102</v>
      </c>
      <c r="AI14" s="85">
        <f>LOG(AI10)</f>
        <v>1.6532125137753437</v>
      </c>
    </row>
    <row r="15" spans="1:36" x14ac:dyDescent="0.25">
      <c r="A15" s="98">
        <f t="shared" si="3"/>
        <v>41.304254029563438</v>
      </c>
      <c r="B15" s="35">
        <f t="shared" si="4"/>
        <v>10</v>
      </c>
      <c r="C15" s="25" t="s">
        <v>95</v>
      </c>
      <c r="D15" s="25"/>
      <c r="E15" s="25"/>
      <c r="F15" s="25"/>
      <c r="G15" s="8"/>
      <c r="H15" s="99">
        <v>10</v>
      </c>
      <c r="I15" s="100">
        <f t="shared" si="0"/>
        <v>21.304254029563438</v>
      </c>
      <c r="J15" s="99">
        <f t="shared" si="5"/>
        <v>2</v>
      </c>
      <c r="K15" s="99">
        <f t="shared" si="1"/>
        <v>20</v>
      </c>
      <c r="L15" s="99"/>
      <c r="M15" s="101">
        <f t="shared" si="2"/>
        <v>41.304254029563438</v>
      </c>
      <c r="X15" s="102"/>
      <c r="Z15" s="103"/>
      <c r="AA15" s="103"/>
    </row>
    <row r="16" spans="1:36" x14ac:dyDescent="0.25">
      <c r="A16" s="94">
        <f t="shared" si="3"/>
        <v>40.116460051228756</v>
      </c>
      <c r="B16" s="36">
        <f t="shared" si="4"/>
        <v>11</v>
      </c>
      <c r="C16" s="24" t="s">
        <v>95</v>
      </c>
      <c r="D16" s="24"/>
      <c r="E16" s="24"/>
      <c r="F16" s="24"/>
      <c r="G16" s="8"/>
      <c r="H16" s="95">
        <v>11</v>
      </c>
      <c r="I16" s="96">
        <f t="shared" si="0"/>
        <v>20.116460051228756</v>
      </c>
      <c r="J16" s="95">
        <f t="shared" si="5"/>
        <v>2</v>
      </c>
      <c r="K16" s="95">
        <f t="shared" si="1"/>
        <v>20</v>
      </c>
      <c r="L16" s="95"/>
      <c r="M16" s="97">
        <f t="shared" si="2"/>
        <v>40.116460051228756</v>
      </c>
      <c r="R16" s="107"/>
      <c r="Z16" s="103"/>
      <c r="AA16" s="103"/>
      <c r="AH16" s="108" t="s">
        <v>104</v>
      </c>
      <c r="AI16" s="85">
        <f>AI11-AI12*AI13/AI14</f>
        <v>9.6393909380186855</v>
      </c>
      <c r="AJ16" s="85" t="s">
        <v>105</v>
      </c>
    </row>
    <row r="17" spans="1:19" x14ac:dyDescent="0.25">
      <c r="A17" s="98">
        <f t="shared" si="3"/>
        <v>39.032089107358161</v>
      </c>
      <c r="B17" s="35">
        <f t="shared" si="4"/>
        <v>12</v>
      </c>
      <c r="C17" s="25" t="s">
        <v>95</v>
      </c>
      <c r="D17" s="25"/>
      <c r="E17" s="25"/>
      <c r="F17" s="25"/>
      <c r="G17" s="8"/>
      <c r="H17" s="99">
        <v>12</v>
      </c>
      <c r="I17" s="100">
        <f t="shared" si="0"/>
        <v>19.032089107358164</v>
      </c>
      <c r="J17" s="99">
        <f t="shared" si="5"/>
        <v>2</v>
      </c>
      <c r="K17" s="99">
        <f t="shared" si="1"/>
        <v>20</v>
      </c>
      <c r="L17" s="99"/>
      <c r="M17" s="101">
        <f t="shared" si="2"/>
        <v>39.032089107358161</v>
      </c>
    </row>
    <row r="18" spans="1:19" x14ac:dyDescent="0.25">
      <c r="A18" s="94">
        <f t="shared" si="3"/>
        <v>38.034564536746501</v>
      </c>
      <c r="B18" s="36">
        <f t="shared" si="4"/>
        <v>13</v>
      </c>
      <c r="C18" s="24" t="s">
        <v>95</v>
      </c>
      <c r="D18" s="24"/>
      <c r="E18" s="24"/>
      <c r="F18" s="24"/>
      <c r="G18" s="8"/>
      <c r="H18" s="95">
        <v>13</v>
      </c>
      <c r="I18" s="96">
        <f t="shared" si="0"/>
        <v>18.034564536746498</v>
      </c>
      <c r="J18" s="95">
        <f t="shared" si="5"/>
        <v>2</v>
      </c>
      <c r="K18" s="95">
        <f t="shared" si="1"/>
        <v>20</v>
      </c>
      <c r="L18" s="95"/>
      <c r="M18" s="97">
        <f t="shared" si="2"/>
        <v>38.034564536746501</v>
      </c>
    </row>
    <row r="19" spans="1:19" x14ac:dyDescent="0.25">
      <c r="A19" s="98">
        <f t="shared" si="3"/>
        <v>37.111001038581833</v>
      </c>
      <c r="B19" s="35">
        <f t="shared" si="4"/>
        <v>14</v>
      </c>
      <c r="C19" s="25" t="s">
        <v>95</v>
      </c>
      <c r="D19" s="25"/>
      <c r="E19" s="25"/>
      <c r="F19" s="25"/>
      <c r="G19" s="8"/>
      <c r="H19" s="99">
        <v>14</v>
      </c>
      <c r="I19" s="100">
        <f t="shared" si="0"/>
        <v>17.111001038581833</v>
      </c>
      <c r="J19" s="99">
        <f t="shared" si="5"/>
        <v>2</v>
      </c>
      <c r="K19" s="99">
        <f t="shared" si="1"/>
        <v>20</v>
      </c>
      <c r="L19" s="99"/>
      <c r="M19" s="101">
        <f t="shared" si="2"/>
        <v>37.111001038581833</v>
      </c>
    </row>
    <row r="20" spans="1:19" x14ac:dyDescent="0.25">
      <c r="A20" s="94">
        <f t="shared" si="3"/>
        <v>36.25118399208727</v>
      </c>
      <c r="B20" s="36">
        <f t="shared" si="4"/>
        <v>15</v>
      </c>
      <c r="C20" s="24" t="s">
        <v>95</v>
      </c>
      <c r="D20" s="24"/>
      <c r="E20" s="24"/>
      <c r="F20" s="24"/>
      <c r="G20" s="8"/>
      <c r="H20" s="95">
        <v>15</v>
      </c>
      <c r="I20" s="96">
        <f t="shared" si="0"/>
        <v>16.25118399208727</v>
      </c>
      <c r="J20" s="95">
        <f t="shared" si="5"/>
        <v>2</v>
      </c>
      <c r="K20" s="95">
        <f t="shared" si="1"/>
        <v>20</v>
      </c>
      <c r="L20" s="95"/>
      <c r="M20" s="97">
        <f t="shared" si="2"/>
        <v>36.25118399208727</v>
      </c>
      <c r="R20" s="109"/>
      <c r="S20" s="110"/>
    </row>
    <row r="21" spans="1:19" x14ac:dyDescent="0.25">
      <c r="A21" s="98">
        <f t="shared" si="3"/>
        <v>35.446878859779105</v>
      </c>
      <c r="B21" s="35">
        <f t="shared" si="4"/>
        <v>16</v>
      </c>
      <c r="C21" s="25" t="s">
        <v>95</v>
      </c>
      <c r="D21" s="25"/>
      <c r="E21" s="25"/>
      <c r="F21" s="25"/>
      <c r="G21" s="8"/>
      <c r="H21" s="99">
        <v>16</v>
      </c>
      <c r="I21" s="100">
        <f t="shared" si="0"/>
        <v>15.446878859779105</v>
      </c>
      <c r="J21" s="99">
        <f t="shared" si="5"/>
        <v>2</v>
      </c>
      <c r="K21" s="99">
        <f t="shared" si="1"/>
        <v>20</v>
      </c>
      <c r="L21" s="99"/>
      <c r="M21" s="101">
        <f t="shared" si="2"/>
        <v>35.446878859779105</v>
      </c>
    </row>
    <row r="22" spans="1:19" x14ac:dyDescent="0.25">
      <c r="A22" s="94">
        <f t="shared" si="3"/>
        <v>24.691350322531385</v>
      </c>
      <c r="B22" s="36">
        <f t="shared" si="4"/>
        <v>17</v>
      </c>
      <c r="C22" s="24" t="s">
        <v>95</v>
      </c>
      <c r="D22" s="24"/>
      <c r="E22" s="24"/>
      <c r="F22" s="24"/>
      <c r="G22" s="8"/>
      <c r="H22" s="95">
        <v>17</v>
      </c>
      <c r="I22" s="96">
        <f t="shared" si="0"/>
        <v>14.691350322531385</v>
      </c>
      <c r="J22" s="95">
        <f t="shared" si="5"/>
        <v>1</v>
      </c>
      <c r="K22" s="95">
        <f t="shared" si="1"/>
        <v>10</v>
      </c>
      <c r="L22" s="95"/>
      <c r="M22" s="97">
        <f t="shared" si="2"/>
        <v>24.691350322531385</v>
      </c>
    </row>
    <row r="23" spans="1:19" x14ac:dyDescent="0.25">
      <c r="A23" s="98">
        <f t="shared" si="3"/>
        <v>23.979019069882007</v>
      </c>
      <c r="B23" s="35">
        <f t="shared" si="4"/>
        <v>18</v>
      </c>
      <c r="C23" s="25" t="s">
        <v>95</v>
      </c>
      <c r="D23" s="25"/>
      <c r="E23" s="25"/>
      <c r="F23" s="25"/>
      <c r="G23" s="8"/>
      <c r="H23" s="99">
        <v>18</v>
      </c>
      <c r="I23" s="100">
        <f t="shared" si="0"/>
        <v>13.979019069882007</v>
      </c>
      <c r="J23" s="99">
        <f t="shared" si="5"/>
        <v>1</v>
      </c>
      <c r="K23" s="99">
        <f t="shared" si="1"/>
        <v>10</v>
      </c>
      <c r="L23" s="99"/>
      <c r="M23" s="101">
        <f t="shared" si="2"/>
        <v>23.979019069882007</v>
      </c>
    </row>
    <row r="24" spans="1:19" x14ac:dyDescent="0.25">
      <c r="A24" s="94">
        <f t="shared" si="3"/>
        <v>23.305211508276621</v>
      </c>
      <c r="B24" s="36">
        <f t="shared" si="4"/>
        <v>19</v>
      </c>
      <c r="C24" s="24" t="s">
        <v>95</v>
      </c>
      <c r="D24" s="24"/>
      <c r="E24" s="24"/>
      <c r="F24" s="24"/>
      <c r="G24" s="8"/>
      <c r="H24" s="95">
        <v>19</v>
      </c>
      <c r="I24" s="96">
        <f t="shared" si="0"/>
        <v>13.305211508276621</v>
      </c>
      <c r="J24" s="95">
        <f t="shared" si="5"/>
        <v>1</v>
      </c>
      <c r="K24" s="95">
        <f t="shared" si="1"/>
        <v>10</v>
      </c>
      <c r="L24" s="95"/>
      <c r="M24" s="97">
        <f t="shared" si="2"/>
        <v>23.305211508276621</v>
      </c>
      <c r="R24" s="109"/>
      <c r="S24" s="110"/>
    </row>
    <row r="25" spans="1:19" x14ac:dyDescent="0.25">
      <c r="A25" s="98">
        <f t="shared" si="3"/>
        <v>22.665973744508214</v>
      </c>
      <c r="B25" s="35">
        <f t="shared" si="4"/>
        <v>20</v>
      </c>
      <c r="C25" s="25" t="s">
        <v>21</v>
      </c>
      <c r="D25" s="25"/>
      <c r="E25" s="25"/>
      <c r="F25" s="25"/>
      <c r="G25" s="8"/>
      <c r="H25" s="99">
        <v>20</v>
      </c>
      <c r="I25" s="100">
        <f t="shared" si="0"/>
        <v>12.665973744508214</v>
      </c>
      <c r="J25" s="99">
        <f t="shared" si="5"/>
        <v>1</v>
      </c>
      <c r="K25" s="99">
        <f t="shared" si="1"/>
        <v>10</v>
      </c>
      <c r="L25" s="99"/>
      <c r="M25" s="101">
        <f t="shared" si="2"/>
        <v>22.665973744508214</v>
      </c>
    </row>
    <row r="26" spans="1:19" x14ac:dyDescent="0.25">
      <c r="A26" s="94">
        <f t="shared" si="3"/>
        <v>22.057931001105665</v>
      </c>
      <c r="B26" s="36">
        <f t="shared" si="4"/>
        <v>21</v>
      </c>
      <c r="C26" s="24" t="s">
        <v>95</v>
      </c>
      <c r="D26" s="24"/>
      <c r="E26" s="24"/>
      <c r="F26" s="24"/>
      <c r="G26" s="8"/>
      <c r="H26" s="95">
        <v>21</v>
      </c>
      <c r="I26" s="96">
        <f t="shared" si="0"/>
        <v>12.057931001105665</v>
      </c>
      <c r="J26" s="95">
        <f t="shared" si="5"/>
        <v>1</v>
      </c>
      <c r="K26" s="95">
        <f t="shared" si="1"/>
        <v>10</v>
      </c>
      <c r="L26" s="95"/>
      <c r="M26" s="97">
        <f t="shared" si="2"/>
        <v>22.057931001105665</v>
      </c>
    </row>
    <row r="27" spans="1:19" x14ac:dyDescent="0.25">
      <c r="A27" s="98">
        <f t="shared" si="3"/>
        <v>21.478179766173533</v>
      </c>
      <c r="B27" s="35">
        <f t="shared" si="4"/>
        <v>22</v>
      </c>
      <c r="C27" s="25" t="s">
        <v>95</v>
      </c>
      <c r="D27" s="25"/>
      <c r="E27" s="25"/>
      <c r="F27" s="25"/>
      <c r="G27" s="8"/>
      <c r="H27" s="99">
        <v>22</v>
      </c>
      <c r="I27" s="100">
        <f t="shared" si="0"/>
        <v>11.478179766173533</v>
      </c>
      <c r="J27" s="99">
        <f t="shared" si="5"/>
        <v>1</v>
      </c>
      <c r="K27" s="99">
        <f t="shared" si="1"/>
        <v>10</v>
      </c>
      <c r="L27" s="99"/>
      <c r="M27" s="101">
        <f t="shared" si="2"/>
        <v>21.478179766173533</v>
      </c>
    </row>
    <row r="28" spans="1:19" x14ac:dyDescent="0.25">
      <c r="A28" s="94">
        <f t="shared" si="3"/>
        <v>20.924203936766865</v>
      </c>
      <c r="B28" s="36">
        <f t="shared" si="4"/>
        <v>23</v>
      </c>
      <c r="C28" s="24" t="s">
        <v>95</v>
      </c>
      <c r="D28" s="24"/>
      <c r="E28" s="24"/>
      <c r="F28" s="24"/>
      <c r="G28" s="8"/>
      <c r="H28" s="95">
        <v>23</v>
      </c>
      <c r="I28" s="96">
        <f t="shared" si="0"/>
        <v>10.924203936766865</v>
      </c>
      <c r="J28" s="95">
        <f t="shared" si="5"/>
        <v>1</v>
      </c>
      <c r="K28" s="95">
        <f t="shared" si="1"/>
        <v>10</v>
      </c>
      <c r="L28" s="95"/>
      <c r="M28" s="97">
        <f t="shared" si="2"/>
        <v>20.924203936766865</v>
      </c>
      <c r="R28" s="109"/>
      <c r="S28" s="110"/>
    </row>
    <row r="29" spans="1:19" x14ac:dyDescent="0.25">
      <c r="A29" s="98">
        <f t="shared" si="3"/>
        <v>20.393808822302944</v>
      </c>
      <c r="B29" s="35">
        <f t="shared" si="4"/>
        <v>24</v>
      </c>
      <c r="C29" s="25" t="s">
        <v>95</v>
      </c>
      <c r="D29" s="25"/>
      <c r="E29" s="25"/>
      <c r="F29" s="25"/>
      <c r="G29" s="80"/>
      <c r="H29" s="99">
        <v>24</v>
      </c>
      <c r="I29" s="100">
        <f t="shared" si="0"/>
        <v>10.393808822302944</v>
      </c>
      <c r="J29" s="99">
        <f t="shared" si="5"/>
        <v>1</v>
      </c>
      <c r="K29" s="99">
        <f t="shared" si="1"/>
        <v>10</v>
      </c>
      <c r="L29" s="99"/>
      <c r="M29" s="101">
        <f t="shared" si="2"/>
        <v>20.393808822302944</v>
      </c>
    </row>
    <row r="30" spans="1:19" x14ac:dyDescent="0.25">
      <c r="A30" s="94">
        <f t="shared" si="3"/>
        <v>19.885068629237324</v>
      </c>
      <c r="B30" s="36">
        <f t="shared" si="4"/>
        <v>25</v>
      </c>
      <c r="C30" s="24" t="s">
        <v>95</v>
      </c>
      <c r="D30" s="24"/>
      <c r="E30" s="24"/>
      <c r="F30" s="24"/>
      <c r="G30" s="80"/>
      <c r="H30" s="95">
        <v>25</v>
      </c>
      <c r="I30" s="96">
        <f t="shared" si="0"/>
        <v>9.885068629237324</v>
      </c>
      <c r="J30" s="95">
        <f t="shared" si="5"/>
        <v>1</v>
      </c>
      <c r="K30" s="95">
        <f t="shared" si="1"/>
        <v>10</v>
      </c>
      <c r="L30" s="95"/>
      <c r="M30" s="97">
        <f t="shared" si="2"/>
        <v>19.885068629237324</v>
      </c>
    </row>
    <row r="31" spans="1:19" x14ac:dyDescent="0.25">
      <c r="A31" s="98">
        <f t="shared" si="3"/>
        <v>19.396284251691277</v>
      </c>
      <c r="B31" s="35">
        <f t="shared" si="4"/>
        <v>26</v>
      </c>
      <c r="C31" s="25" t="s">
        <v>95</v>
      </c>
      <c r="D31" s="25"/>
      <c r="E31" s="25"/>
      <c r="F31" s="25"/>
      <c r="G31" s="80"/>
      <c r="H31" s="99">
        <v>26</v>
      </c>
      <c r="I31" s="100">
        <f t="shared" si="0"/>
        <v>9.3962842516912772</v>
      </c>
      <c r="J31" s="99">
        <f t="shared" si="5"/>
        <v>1</v>
      </c>
      <c r="K31" s="99">
        <f t="shared" si="1"/>
        <v>10</v>
      </c>
      <c r="L31" s="99"/>
      <c r="M31" s="101">
        <f t="shared" si="2"/>
        <v>19.396284251691277</v>
      </c>
    </row>
    <row r="32" spans="1:19" x14ac:dyDescent="0.25">
      <c r="A32" s="94">
        <f t="shared" si="3"/>
        <v>18.925949032405832</v>
      </c>
      <c r="B32" s="36">
        <f t="shared" si="4"/>
        <v>27</v>
      </c>
      <c r="C32" s="24" t="s">
        <v>95</v>
      </c>
      <c r="D32" s="24"/>
      <c r="E32" s="24"/>
      <c r="F32" s="24"/>
      <c r="G32" s="80"/>
      <c r="H32" s="95">
        <v>27</v>
      </c>
      <c r="I32" s="96">
        <f t="shared" si="0"/>
        <v>8.9259490324058319</v>
      </c>
      <c r="J32" s="95">
        <f t="shared" si="5"/>
        <v>1</v>
      </c>
      <c r="K32" s="95">
        <f t="shared" si="1"/>
        <v>10</v>
      </c>
      <c r="L32" s="95"/>
      <c r="M32" s="97">
        <f t="shared" si="2"/>
        <v>18.925949032405832</v>
      </c>
      <c r="R32" s="109"/>
      <c r="S32" s="110"/>
    </row>
    <row r="33" spans="1:19" x14ac:dyDescent="0.25">
      <c r="A33" s="98">
        <f t="shared" si="3"/>
        <v>18.472720753526609</v>
      </c>
      <c r="B33" s="35">
        <f t="shared" si="4"/>
        <v>28</v>
      </c>
      <c r="C33" s="25" t="s">
        <v>95</v>
      </c>
      <c r="D33" s="25"/>
      <c r="E33" s="25"/>
      <c r="F33" s="25"/>
      <c r="G33" s="80"/>
      <c r="H33" s="99">
        <v>28</v>
      </c>
      <c r="I33" s="100">
        <f t="shared" si="0"/>
        <v>8.4727207535266089</v>
      </c>
      <c r="J33" s="99">
        <f t="shared" si="5"/>
        <v>1</v>
      </c>
      <c r="K33" s="99">
        <f t="shared" si="1"/>
        <v>10</v>
      </c>
      <c r="L33" s="99"/>
      <c r="M33" s="101">
        <f t="shared" si="2"/>
        <v>18.472720753526609</v>
      </c>
    </row>
    <row r="34" spans="1:19" x14ac:dyDescent="0.25">
      <c r="A34" s="94">
        <f t="shared" si="3"/>
        <v>18.035398544616541</v>
      </c>
      <c r="B34" s="36">
        <f t="shared" si="4"/>
        <v>29</v>
      </c>
      <c r="C34" s="24" t="s">
        <v>95</v>
      </c>
      <c r="D34" s="24"/>
      <c r="E34" s="24"/>
      <c r="F34" s="24"/>
      <c r="G34" s="80"/>
      <c r="H34" s="95">
        <v>29</v>
      </c>
      <c r="I34" s="96">
        <f t="shared" si="0"/>
        <v>8.035398544616541</v>
      </c>
      <c r="J34" s="95">
        <f t="shared" si="5"/>
        <v>1</v>
      </c>
      <c r="K34" s="95">
        <f t="shared" si="1"/>
        <v>10</v>
      </c>
      <c r="L34" s="95"/>
      <c r="M34" s="97">
        <f t="shared" si="2"/>
        <v>18.035398544616541</v>
      </c>
    </row>
    <row r="35" spans="1:19" x14ac:dyDescent="0.25">
      <c r="A35" s="98">
        <f t="shared" si="3"/>
        <v>17.612903707032054</v>
      </c>
      <c r="B35" s="35">
        <f t="shared" si="4"/>
        <v>30</v>
      </c>
      <c r="C35" s="25" t="s">
        <v>95</v>
      </c>
      <c r="D35" s="25"/>
      <c r="E35" s="25"/>
      <c r="F35" s="25"/>
      <c r="G35" s="80"/>
      <c r="H35" s="99">
        <v>30</v>
      </c>
      <c r="I35" s="100">
        <f t="shared" si="0"/>
        <v>7.6129037070320535</v>
      </c>
      <c r="J35" s="99">
        <f t="shared" si="5"/>
        <v>1</v>
      </c>
      <c r="K35" s="99">
        <f t="shared" si="1"/>
        <v>10</v>
      </c>
      <c r="L35" s="99"/>
      <c r="M35" s="101">
        <f t="shared" si="2"/>
        <v>17.612903707032054</v>
      </c>
    </row>
    <row r="36" spans="1:19" x14ac:dyDescent="0.25">
      <c r="A36" s="94">
        <f t="shared" si="3"/>
        <v>17.204263683691728</v>
      </c>
      <c r="B36" s="36">
        <f t="shared" si="4"/>
        <v>31</v>
      </c>
      <c r="C36" s="24" t="s">
        <v>95</v>
      </c>
      <c r="D36" s="24"/>
      <c r="E36" s="24"/>
      <c r="F36" s="24"/>
      <c r="G36" s="80"/>
      <c r="H36" s="95">
        <v>31</v>
      </c>
      <c r="I36" s="96">
        <f t="shared" si="0"/>
        <v>7.2042636836917282</v>
      </c>
      <c r="J36" s="95">
        <f t="shared" si="5"/>
        <v>1</v>
      </c>
      <c r="K36" s="95">
        <f t="shared" si="1"/>
        <v>10</v>
      </c>
      <c r="L36" s="95"/>
      <c r="M36" s="97">
        <f t="shared" si="2"/>
        <v>17.204263683691728</v>
      </c>
      <c r="R36" s="109"/>
      <c r="S36" s="110"/>
    </row>
    <row r="37" spans="1:19" x14ac:dyDescent="0.25">
      <c r="A37" s="98">
        <f t="shared" si="3"/>
        <v>16.808598574723881</v>
      </c>
      <c r="B37" s="35">
        <f t="shared" si="4"/>
        <v>32</v>
      </c>
      <c r="C37" s="25" t="s">
        <v>95</v>
      </c>
      <c r="D37" s="25"/>
      <c r="E37" s="25"/>
      <c r="F37" s="25"/>
      <c r="G37" s="80"/>
      <c r="H37" s="99">
        <v>32</v>
      </c>
      <c r="I37" s="100">
        <f t="shared" si="0"/>
        <v>6.8085985747238809</v>
      </c>
      <c r="J37" s="99">
        <f t="shared" si="5"/>
        <v>1</v>
      </c>
      <c r="K37" s="99">
        <f t="shared" si="1"/>
        <v>10</v>
      </c>
      <c r="L37" s="99"/>
      <c r="M37" s="101">
        <f t="shared" si="2"/>
        <v>16.808598574723881</v>
      </c>
    </row>
    <row r="38" spans="1:19" x14ac:dyDescent="0.25">
      <c r="A38" s="94">
        <f t="shared" ref="A38:A56" si="6">M38</f>
        <v>6.4251097286973646</v>
      </c>
      <c r="B38" s="36">
        <f t="shared" si="4"/>
        <v>33</v>
      </c>
      <c r="C38" s="24" t="s">
        <v>95</v>
      </c>
      <c r="D38" s="24"/>
      <c r="E38" s="24"/>
      <c r="F38" s="24"/>
      <c r="G38" s="80"/>
      <c r="H38" s="95">
        <v>33</v>
      </c>
      <c r="I38" s="96">
        <f t="shared" si="0"/>
        <v>6.4251097286973646</v>
      </c>
      <c r="J38" s="95">
        <f t="shared" si="5"/>
        <v>0</v>
      </c>
      <c r="K38" s="95">
        <f t="shared" si="1"/>
        <v>0</v>
      </c>
      <c r="L38" s="95"/>
      <c r="M38" s="97">
        <f t="shared" si="2"/>
        <v>6.4251097286973646</v>
      </c>
    </row>
    <row r="39" spans="1:19" x14ac:dyDescent="0.25">
      <c r="A39" s="98">
        <f t="shared" si="6"/>
        <v>6.0530700374761608</v>
      </c>
      <c r="B39" s="35">
        <f t="shared" si="4"/>
        <v>34</v>
      </c>
      <c r="C39" s="25" t="s">
        <v>95</v>
      </c>
      <c r="D39" s="25"/>
      <c r="E39" s="25"/>
      <c r="F39" s="25"/>
      <c r="G39" s="80"/>
      <c r="H39" s="99">
        <v>34</v>
      </c>
      <c r="I39" s="100">
        <f t="shared" si="0"/>
        <v>6.0530700374761608</v>
      </c>
      <c r="J39" s="99">
        <f t="shared" si="5"/>
        <v>0</v>
      </c>
      <c r="K39" s="99">
        <f t="shared" si="1"/>
        <v>0</v>
      </c>
      <c r="L39" s="99"/>
      <c r="M39" s="101">
        <f t="shared" si="2"/>
        <v>6.0530700374761608</v>
      </c>
    </row>
    <row r="40" spans="1:19" x14ac:dyDescent="0.25">
      <c r="A40" s="94">
        <f t="shared" si="6"/>
        <v>5.6918156382557186</v>
      </c>
      <c r="B40" s="36">
        <f t="shared" si="4"/>
        <v>35</v>
      </c>
      <c r="C40" s="24" t="s">
        <v>95</v>
      </c>
      <c r="D40" s="24"/>
      <c r="E40" s="24"/>
      <c r="F40" s="24"/>
      <c r="G40" s="80"/>
      <c r="H40" s="95">
        <v>35</v>
      </c>
      <c r="I40" s="96">
        <f t="shared" si="0"/>
        <v>5.6918156382557186</v>
      </c>
      <c r="J40" s="95">
        <f t="shared" si="5"/>
        <v>0</v>
      </c>
      <c r="K40" s="95">
        <f t="shared" si="1"/>
        <v>0</v>
      </c>
      <c r="L40" s="95"/>
      <c r="M40" s="97">
        <f t="shared" si="2"/>
        <v>5.6918156382557186</v>
      </c>
    </row>
    <row r="41" spans="1:19" x14ac:dyDescent="0.25">
      <c r="A41" s="98">
        <f t="shared" si="6"/>
        <v>5.340738784826776</v>
      </c>
      <c r="B41" s="35">
        <f t="shared" si="4"/>
        <v>36</v>
      </c>
      <c r="C41" s="25" t="s">
        <v>95</v>
      </c>
      <c r="D41" s="25"/>
      <c r="E41" s="25"/>
      <c r="F41" s="25"/>
      <c r="G41" s="80"/>
      <c r="H41" s="99">
        <v>36</v>
      </c>
      <c r="I41" s="100">
        <f t="shared" si="0"/>
        <v>5.340738784826776</v>
      </c>
      <c r="J41" s="99">
        <f t="shared" si="5"/>
        <v>0</v>
      </c>
      <c r="K41" s="99">
        <f t="shared" si="1"/>
        <v>0</v>
      </c>
      <c r="L41" s="99"/>
      <c r="M41" s="101">
        <f t="shared" si="2"/>
        <v>5.340738784826776</v>
      </c>
      <c r="S41" s="111"/>
    </row>
    <row r="42" spans="1:19" x14ac:dyDescent="0.25">
      <c r="A42" s="94">
        <f t="shared" si="6"/>
        <v>4.999281695772865</v>
      </c>
      <c r="B42" s="36">
        <f t="shared" si="4"/>
        <v>37</v>
      </c>
      <c r="C42" s="24" t="s">
        <v>95</v>
      </c>
      <c r="D42" s="24"/>
      <c r="E42" s="24"/>
      <c r="F42" s="24"/>
      <c r="G42" s="80"/>
      <c r="H42" s="95">
        <v>37</v>
      </c>
      <c r="I42" s="96">
        <f t="shared" si="0"/>
        <v>4.999281695772865</v>
      </c>
      <c r="J42" s="95">
        <f t="shared" si="5"/>
        <v>0</v>
      </c>
      <c r="K42" s="95">
        <f t="shared" si="1"/>
        <v>0</v>
      </c>
      <c r="L42" s="95"/>
      <c r="M42" s="97">
        <f t="shared" si="2"/>
        <v>4.999281695772865</v>
      </c>
    </row>
    <row r="43" spans="1:19" x14ac:dyDescent="0.25">
      <c r="A43" s="98">
        <f t="shared" si="6"/>
        <v>4.6669312232213969</v>
      </c>
      <c r="B43" s="35">
        <f t="shared" si="4"/>
        <v>38</v>
      </c>
      <c r="C43" s="25" t="s">
        <v>95</v>
      </c>
      <c r="D43" s="25"/>
      <c r="E43" s="25"/>
      <c r="F43" s="25"/>
      <c r="G43" s="80"/>
      <c r="H43" s="99">
        <v>38</v>
      </c>
      <c r="I43" s="100">
        <f t="shared" si="0"/>
        <v>4.6669312232213969</v>
      </c>
      <c r="J43" s="99">
        <f t="shared" si="5"/>
        <v>0</v>
      </c>
      <c r="K43" s="99">
        <f t="shared" si="1"/>
        <v>0</v>
      </c>
      <c r="L43" s="99"/>
      <c r="M43" s="101">
        <f t="shared" si="2"/>
        <v>4.6669312232213969</v>
      </c>
    </row>
    <row r="44" spans="1:19" x14ac:dyDescent="0.25">
      <c r="A44" s="94">
        <f t="shared" si="6"/>
        <v>4.3432142142151093</v>
      </c>
      <c r="B44" s="36">
        <f t="shared" si="4"/>
        <v>39</v>
      </c>
      <c r="C44" s="24" t="s">
        <v>95</v>
      </c>
      <c r="D44" s="24"/>
      <c r="E44" s="24"/>
      <c r="F44" s="24"/>
      <c r="G44" s="80"/>
      <c r="H44" s="95">
        <v>39</v>
      </c>
      <c r="I44" s="96">
        <f t="shared" si="0"/>
        <v>4.3432142142151093</v>
      </c>
      <c r="J44" s="95">
        <f t="shared" si="5"/>
        <v>0</v>
      </c>
      <c r="K44" s="95">
        <f t="shared" si="1"/>
        <v>0</v>
      </c>
      <c r="L44" s="95"/>
      <c r="M44" s="97">
        <f t="shared" si="2"/>
        <v>4.3432142142151093</v>
      </c>
    </row>
    <row r="45" spans="1:19" x14ac:dyDescent="0.25">
      <c r="A45" s="98">
        <f t="shared" si="6"/>
        <v>4.0276934594529976</v>
      </c>
      <c r="B45" s="35">
        <f t="shared" si="4"/>
        <v>40</v>
      </c>
      <c r="C45" s="25" t="s">
        <v>95</v>
      </c>
      <c r="D45" s="25"/>
      <c r="E45" s="25"/>
      <c r="F45" s="25"/>
      <c r="G45" s="80"/>
      <c r="H45" s="99">
        <v>40</v>
      </c>
      <c r="I45" s="100">
        <f t="shared" si="0"/>
        <v>4.0276934594529976</v>
      </c>
      <c r="J45" s="99">
        <f t="shared" si="5"/>
        <v>0</v>
      </c>
      <c r="K45" s="99">
        <f t="shared" si="1"/>
        <v>0</v>
      </c>
      <c r="L45" s="99"/>
      <c r="M45" s="101">
        <f t="shared" si="2"/>
        <v>4.0276934594529976</v>
      </c>
    </row>
    <row r="46" spans="1:19" x14ac:dyDescent="0.25">
      <c r="A46" s="94">
        <f t="shared" si="6"/>
        <v>3.719964142349518</v>
      </c>
      <c r="B46" s="36">
        <f t="shared" si="4"/>
        <v>41</v>
      </c>
      <c r="C46" s="24" t="s">
        <v>95</v>
      </c>
      <c r="D46" s="24"/>
      <c r="E46" s="24"/>
      <c r="F46" s="24"/>
      <c r="G46" s="80"/>
      <c r="H46" s="95">
        <v>41</v>
      </c>
      <c r="I46" s="96">
        <f t="shared" si="0"/>
        <v>3.719964142349518</v>
      </c>
      <c r="J46" s="95">
        <f t="shared" si="5"/>
        <v>0</v>
      </c>
      <c r="K46" s="95">
        <f t="shared" si="1"/>
        <v>0</v>
      </c>
      <c r="L46" s="95"/>
      <c r="M46" s="97">
        <f t="shared" si="2"/>
        <v>3.719964142349518</v>
      </c>
    </row>
    <row r="47" spans="1:19" x14ac:dyDescent="0.25">
      <c r="A47" s="98">
        <f t="shared" si="6"/>
        <v>3.419650716050441</v>
      </c>
      <c r="B47" s="35">
        <f t="shared" si="4"/>
        <v>42</v>
      </c>
      <c r="C47" s="25" t="s">
        <v>95</v>
      </c>
      <c r="D47" s="25"/>
      <c r="E47" s="25"/>
      <c r="F47" s="25"/>
      <c r="G47" s="80"/>
      <c r="H47" s="99">
        <v>42</v>
      </c>
      <c r="I47" s="100">
        <f t="shared" si="0"/>
        <v>3.419650716050441</v>
      </c>
      <c r="J47" s="99">
        <f t="shared" si="5"/>
        <v>0</v>
      </c>
      <c r="K47" s="99">
        <f t="shared" si="1"/>
        <v>0</v>
      </c>
      <c r="L47" s="99"/>
      <c r="M47" s="101">
        <f t="shared" si="2"/>
        <v>3.419650716050441</v>
      </c>
    </row>
    <row r="48" spans="1:19" x14ac:dyDescent="0.25">
      <c r="A48" s="94">
        <f t="shared" si="6"/>
        <v>3.1264041479668521</v>
      </c>
      <c r="B48" s="36">
        <f t="shared" si="4"/>
        <v>43</v>
      </c>
      <c r="C48" s="24" t="s">
        <v>95</v>
      </c>
      <c r="D48" s="24"/>
      <c r="E48" s="24"/>
      <c r="F48" s="24"/>
      <c r="G48" s="80"/>
      <c r="H48" s="95">
        <v>43</v>
      </c>
      <c r="I48" s="96">
        <f t="shared" si="0"/>
        <v>3.1264041479668521</v>
      </c>
      <c r="J48" s="95">
        <f t="shared" si="5"/>
        <v>0</v>
      </c>
      <c r="K48" s="95">
        <f t="shared" si="1"/>
        <v>0</v>
      </c>
      <c r="L48" s="95"/>
      <c r="M48" s="97">
        <f t="shared" si="2"/>
        <v>3.1264041479668521</v>
      </c>
    </row>
    <row r="49" spans="1:13" x14ac:dyDescent="0.25">
      <c r="A49" s="98">
        <f t="shared" si="6"/>
        <v>2.8398994811183087</v>
      </c>
      <c r="B49" s="35">
        <f t="shared" si="4"/>
        <v>44</v>
      </c>
      <c r="C49" s="25" t="s">
        <v>95</v>
      </c>
      <c r="D49" s="25"/>
      <c r="E49" s="25"/>
      <c r="F49" s="25"/>
      <c r="G49" s="80"/>
      <c r="H49" s="99">
        <v>44</v>
      </c>
      <c r="I49" s="100">
        <f t="shared" si="0"/>
        <v>2.8398994811183087</v>
      </c>
      <c r="J49" s="99">
        <f t="shared" si="5"/>
        <v>0</v>
      </c>
      <c r="K49" s="99">
        <f t="shared" si="1"/>
        <v>0</v>
      </c>
      <c r="L49" s="99"/>
      <c r="M49" s="101">
        <f t="shared" si="2"/>
        <v>2.8398994811183087</v>
      </c>
    </row>
    <row r="50" spans="1:13" x14ac:dyDescent="0.25">
      <c r="A50" s="94">
        <f t="shared" si="6"/>
        <v>2.5598336695558856</v>
      </c>
      <c r="B50" s="36">
        <f t="shared" si="4"/>
        <v>45</v>
      </c>
      <c r="C50" s="24" t="s">
        <v>95</v>
      </c>
      <c r="D50" s="24"/>
      <c r="E50" s="24"/>
      <c r="F50" s="24"/>
      <c r="G50" s="80"/>
      <c r="H50" s="95">
        <v>45</v>
      </c>
      <c r="I50" s="96">
        <f t="shared" si="0"/>
        <v>2.5598336695558856</v>
      </c>
      <c r="J50" s="95">
        <f t="shared" si="5"/>
        <v>0</v>
      </c>
      <c r="K50" s="95">
        <f t="shared" si="1"/>
        <v>0</v>
      </c>
      <c r="L50" s="95"/>
      <c r="M50" s="97">
        <f t="shared" si="2"/>
        <v>2.5598336695558856</v>
      </c>
    </row>
    <row r="51" spans="1:13" x14ac:dyDescent="0.25">
      <c r="A51" s="98">
        <f t="shared" si="6"/>
        <v>2.2859236517116415</v>
      </c>
      <c r="B51" s="35">
        <f t="shared" si="4"/>
        <v>46</v>
      </c>
      <c r="C51" s="25" t="s">
        <v>95</v>
      </c>
      <c r="D51" s="25"/>
      <c r="E51" s="25"/>
      <c r="F51" s="25"/>
      <c r="G51" s="80"/>
      <c r="H51" s="99">
        <v>46</v>
      </c>
      <c r="I51" s="100">
        <f t="shared" si="0"/>
        <v>2.2859236517116415</v>
      </c>
      <c r="J51" s="99">
        <f t="shared" si="5"/>
        <v>0</v>
      </c>
      <c r="K51" s="99">
        <f t="shared" si="1"/>
        <v>0</v>
      </c>
      <c r="L51" s="99"/>
      <c r="M51" s="101">
        <f t="shared" si="2"/>
        <v>2.2859236517116415</v>
      </c>
    </row>
    <row r="52" spans="1:13" x14ac:dyDescent="0.25">
      <c r="A52" s="112">
        <f t="shared" si="6"/>
        <v>2.017904630965532</v>
      </c>
      <c r="B52" s="36">
        <f t="shared" si="4"/>
        <v>47</v>
      </c>
      <c r="C52" s="24" t="s">
        <v>95</v>
      </c>
      <c r="D52" s="24"/>
      <c r="E52" s="24"/>
      <c r="F52" s="24"/>
      <c r="G52" s="80"/>
      <c r="H52" s="95">
        <v>47</v>
      </c>
      <c r="I52" s="96">
        <f t="shared" si="0"/>
        <v>2.017904630965532</v>
      </c>
      <c r="J52" s="95">
        <f t="shared" si="5"/>
        <v>0</v>
      </c>
      <c r="K52" s="95">
        <f t="shared" si="1"/>
        <v>0</v>
      </c>
      <c r="L52" s="95"/>
      <c r="M52" s="97">
        <f t="shared" si="2"/>
        <v>2.017904630965532</v>
      </c>
    </row>
    <row r="53" spans="1:13" x14ac:dyDescent="0.25">
      <c r="A53" s="113">
        <f t="shared" si="6"/>
        <v>1.7555285372477201</v>
      </c>
      <c r="B53" s="35">
        <f t="shared" si="4"/>
        <v>48</v>
      </c>
      <c r="C53" s="25" t="s">
        <v>95</v>
      </c>
      <c r="D53" s="25"/>
      <c r="E53" s="25"/>
      <c r="F53" s="25"/>
      <c r="G53" s="80"/>
      <c r="H53" s="99">
        <v>48</v>
      </c>
      <c r="I53" s="100">
        <f t="shared" si="0"/>
        <v>1.7555285372477201</v>
      </c>
      <c r="J53" s="99">
        <f t="shared" si="5"/>
        <v>0</v>
      </c>
      <c r="K53" s="99">
        <f t="shared" si="1"/>
        <v>0</v>
      </c>
      <c r="L53" s="99"/>
      <c r="M53" s="101">
        <f t="shared" si="2"/>
        <v>1.7555285372477201</v>
      </c>
    </row>
    <row r="54" spans="1:13" x14ac:dyDescent="0.25">
      <c r="A54" s="112">
        <f t="shared" si="6"/>
        <v>1.4985626472741131</v>
      </c>
      <c r="B54" s="36">
        <f t="shared" si="4"/>
        <v>49</v>
      </c>
      <c r="C54" s="24" t="s">
        <v>95</v>
      </c>
      <c r="D54" s="24"/>
      <c r="E54" s="24"/>
      <c r="F54" s="24"/>
      <c r="G54" s="80"/>
      <c r="H54" s="95">
        <v>49</v>
      </c>
      <c r="I54" s="96">
        <f t="shared" si="0"/>
        <v>1.4985626472741131</v>
      </c>
      <c r="J54" s="95">
        <f t="shared" si="5"/>
        <v>0</v>
      </c>
      <c r="K54" s="95">
        <f t="shared" si="1"/>
        <v>0</v>
      </c>
      <c r="L54" s="95"/>
      <c r="M54" s="97">
        <f t="shared" si="2"/>
        <v>1.4985626472741131</v>
      </c>
    </row>
    <row r="55" spans="1:13" x14ac:dyDescent="0.25">
      <c r="A55" s="113">
        <f t="shared" si="6"/>
        <v>1.2467883441821073</v>
      </c>
      <c r="B55" s="35">
        <f t="shared" si="4"/>
        <v>50</v>
      </c>
      <c r="C55" s="25" t="s">
        <v>33</v>
      </c>
      <c r="D55" s="25"/>
      <c r="E55" s="25"/>
      <c r="F55" s="25"/>
      <c r="G55" s="80"/>
      <c r="H55" s="99">
        <v>50</v>
      </c>
      <c r="I55" s="100">
        <f t="shared" si="0"/>
        <v>1.2467883441821073</v>
      </c>
      <c r="J55" s="99">
        <f t="shared" si="5"/>
        <v>0</v>
      </c>
      <c r="K55" s="99">
        <f t="shared" si="1"/>
        <v>0</v>
      </c>
      <c r="L55" s="99"/>
      <c r="M55" s="101">
        <f t="shared" si="2"/>
        <v>1.2467883441821073</v>
      </c>
    </row>
    <row r="56" spans="1:13" x14ac:dyDescent="0.25">
      <c r="A56" s="112">
        <f t="shared" si="6"/>
        <v>1</v>
      </c>
      <c r="B56" s="36">
        <f t="shared" si="4"/>
        <v>51</v>
      </c>
      <c r="C56" s="24" t="s">
        <v>95</v>
      </c>
      <c r="D56" s="24"/>
      <c r="E56" s="24"/>
      <c r="F56" s="24"/>
      <c r="G56" s="80"/>
      <c r="H56" s="95">
        <v>51</v>
      </c>
      <c r="I56" s="96">
        <f t="shared" si="0"/>
        <v>1</v>
      </c>
      <c r="J56" s="95">
        <f t="shared" si="5"/>
        <v>0</v>
      </c>
      <c r="K56" s="95">
        <f t="shared" si="1"/>
        <v>0</v>
      </c>
      <c r="L56" s="95"/>
      <c r="M56" s="97">
        <f t="shared" si="2"/>
        <v>1</v>
      </c>
    </row>
    <row r="57" spans="1:13" x14ac:dyDescent="0.25">
      <c r="A57" s="113"/>
      <c r="B57" s="35" t="str">
        <f t="shared" si="4"/>
        <v/>
      </c>
      <c r="C57" s="25"/>
      <c r="D57" s="25"/>
      <c r="E57" s="25"/>
      <c r="F57" s="25"/>
      <c r="G57" s="80"/>
      <c r="H57" s="99">
        <v>52</v>
      </c>
      <c r="I57" s="100" t="str">
        <f t="shared" si="0"/>
        <v/>
      </c>
      <c r="J57" s="99">
        <f t="shared" si="5"/>
        <v>0</v>
      </c>
      <c r="K57" s="99">
        <f t="shared" si="1"/>
        <v>0</v>
      </c>
      <c r="L57" s="99"/>
      <c r="M57" s="101">
        <f t="shared" si="2"/>
        <v>0</v>
      </c>
    </row>
    <row r="58" spans="1:13" x14ac:dyDescent="0.25">
      <c r="A58" s="112"/>
      <c r="B58" s="36" t="str">
        <f t="shared" si="4"/>
        <v/>
      </c>
      <c r="C58" s="24"/>
      <c r="D58" s="24"/>
      <c r="E58" s="24"/>
      <c r="F58" s="24"/>
      <c r="G58" s="80"/>
      <c r="H58" s="95">
        <v>53</v>
      </c>
      <c r="I58" s="96" t="str">
        <f t="shared" si="0"/>
        <v/>
      </c>
      <c r="J58" s="95">
        <f t="shared" si="5"/>
        <v>0</v>
      </c>
      <c r="K58" s="95">
        <f t="shared" si="1"/>
        <v>0</v>
      </c>
      <c r="L58" s="95"/>
      <c r="M58" s="97">
        <f t="shared" si="2"/>
        <v>0</v>
      </c>
    </row>
    <row r="59" spans="1:13" x14ac:dyDescent="0.25">
      <c r="A59" s="113"/>
      <c r="B59" s="35" t="str">
        <f t="shared" si="4"/>
        <v/>
      </c>
      <c r="C59" s="25"/>
      <c r="D59" s="25"/>
      <c r="E59" s="25"/>
      <c r="F59" s="25"/>
      <c r="G59" s="80"/>
      <c r="H59" s="99">
        <v>54</v>
      </c>
      <c r="I59" s="100" t="str">
        <f t="shared" si="0"/>
        <v/>
      </c>
      <c r="J59" s="99">
        <f t="shared" si="5"/>
        <v>0</v>
      </c>
      <c r="K59" s="99">
        <f t="shared" si="1"/>
        <v>0</v>
      </c>
      <c r="L59" s="99"/>
      <c r="M59" s="101">
        <f t="shared" si="2"/>
        <v>0</v>
      </c>
    </row>
    <row r="60" spans="1:13" x14ac:dyDescent="0.25">
      <c r="A60" s="112"/>
      <c r="B60" s="36" t="str">
        <f t="shared" si="4"/>
        <v/>
      </c>
      <c r="C60" s="24"/>
      <c r="D60" s="24"/>
      <c r="E60" s="24"/>
      <c r="F60" s="24"/>
      <c r="G60" s="80"/>
      <c r="H60" s="95">
        <v>55</v>
      </c>
      <c r="I60" s="96" t="str">
        <f t="shared" si="0"/>
        <v/>
      </c>
      <c r="J60" s="95">
        <f t="shared" si="5"/>
        <v>0</v>
      </c>
      <c r="K60" s="95">
        <f t="shared" si="1"/>
        <v>0</v>
      </c>
      <c r="L60" s="95"/>
      <c r="M60" s="97">
        <f t="shared" si="2"/>
        <v>0</v>
      </c>
    </row>
    <row r="61" spans="1:13" x14ac:dyDescent="0.25">
      <c r="A61" s="113"/>
      <c r="B61" s="35" t="str">
        <f t="shared" si="4"/>
        <v/>
      </c>
      <c r="C61" s="25"/>
      <c r="D61" s="25"/>
      <c r="E61" s="25"/>
      <c r="F61" s="25"/>
      <c r="G61" s="80"/>
      <c r="H61" s="99">
        <v>56</v>
      </c>
      <c r="I61" s="100" t="str">
        <f t="shared" si="0"/>
        <v/>
      </c>
      <c r="J61" s="99">
        <f t="shared" si="5"/>
        <v>0</v>
      </c>
      <c r="K61" s="99">
        <f t="shared" si="1"/>
        <v>0</v>
      </c>
      <c r="L61" s="99"/>
      <c r="M61" s="101">
        <f t="shared" si="2"/>
        <v>0</v>
      </c>
    </row>
    <row r="62" spans="1:13" x14ac:dyDescent="0.25">
      <c r="A62" s="112"/>
      <c r="B62" s="36" t="str">
        <f t="shared" si="4"/>
        <v/>
      </c>
      <c r="C62" s="24"/>
      <c r="D62" s="24"/>
      <c r="E62" s="24"/>
      <c r="F62" s="24"/>
      <c r="G62" s="80"/>
      <c r="H62" s="95">
        <v>57</v>
      </c>
      <c r="I62" s="96" t="str">
        <f t="shared" si="0"/>
        <v/>
      </c>
      <c r="J62" s="95">
        <f t="shared" si="5"/>
        <v>0</v>
      </c>
      <c r="K62" s="95">
        <f t="shared" si="1"/>
        <v>0</v>
      </c>
      <c r="L62" s="95"/>
      <c r="M62" s="97">
        <f t="shared" si="2"/>
        <v>0</v>
      </c>
    </row>
    <row r="63" spans="1:13" x14ac:dyDescent="0.25">
      <c r="A63" s="113"/>
      <c r="B63" s="35" t="str">
        <f t="shared" si="4"/>
        <v/>
      </c>
      <c r="C63" s="25"/>
      <c r="D63" s="25"/>
      <c r="E63" s="25"/>
      <c r="F63" s="25"/>
      <c r="G63" s="80"/>
      <c r="H63" s="99">
        <v>58</v>
      </c>
      <c r="I63" s="100" t="str">
        <f t="shared" si="0"/>
        <v/>
      </c>
      <c r="J63" s="99">
        <f t="shared" si="5"/>
        <v>0</v>
      </c>
      <c r="K63" s="99">
        <f t="shared" si="1"/>
        <v>0</v>
      </c>
      <c r="L63" s="99"/>
      <c r="M63" s="101">
        <f t="shared" si="2"/>
        <v>0</v>
      </c>
    </row>
    <row r="64" spans="1:13" x14ac:dyDescent="0.25">
      <c r="A64" s="112"/>
      <c r="B64" s="36" t="str">
        <f t="shared" si="4"/>
        <v/>
      </c>
      <c r="C64" s="24"/>
      <c r="D64" s="24"/>
      <c r="E64" s="24"/>
      <c r="F64" s="24"/>
      <c r="G64" s="80"/>
      <c r="H64" s="95">
        <v>59</v>
      </c>
      <c r="I64" s="96" t="str">
        <f t="shared" si="0"/>
        <v/>
      </c>
      <c r="J64" s="95">
        <f t="shared" si="5"/>
        <v>0</v>
      </c>
      <c r="K64" s="95">
        <f t="shared" si="1"/>
        <v>0</v>
      </c>
      <c r="L64" s="95"/>
      <c r="M64" s="97">
        <f t="shared" si="2"/>
        <v>0</v>
      </c>
    </row>
    <row r="65" spans="1:13" x14ac:dyDescent="0.25">
      <c r="A65" s="113"/>
      <c r="B65" s="35" t="str">
        <f t="shared" si="4"/>
        <v/>
      </c>
      <c r="C65" s="25"/>
      <c r="D65" s="25"/>
      <c r="E65" s="25"/>
      <c r="F65" s="25"/>
      <c r="G65" s="80"/>
      <c r="H65" s="99">
        <v>60</v>
      </c>
      <c r="I65" s="100" t="str">
        <f t="shared" si="0"/>
        <v/>
      </c>
      <c r="J65" s="99">
        <f t="shared" si="5"/>
        <v>0</v>
      </c>
      <c r="K65" s="99">
        <f t="shared" si="1"/>
        <v>0</v>
      </c>
      <c r="L65" s="99"/>
      <c r="M65" s="101">
        <f t="shared" si="2"/>
        <v>0</v>
      </c>
    </row>
    <row r="66" spans="1:13" x14ac:dyDescent="0.25">
      <c r="A66" s="114"/>
      <c r="B66" s="36"/>
      <c r="G66" s="80"/>
      <c r="H66" s="95">
        <v>61</v>
      </c>
      <c r="I66" s="96" t="str">
        <f t="shared" si="0"/>
        <v/>
      </c>
      <c r="J66" s="95">
        <f t="shared" si="5"/>
        <v>0</v>
      </c>
      <c r="K66" s="95">
        <f t="shared" si="1"/>
        <v>0</v>
      </c>
      <c r="L66" s="95"/>
      <c r="M66" s="97">
        <f t="shared" si="2"/>
        <v>0</v>
      </c>
    </row>
    <row r="67" spans="1:13" x14ac:dyDescent="0.25">
      <c r="A67" s="114"/>
      <c r="B67" s="35"/>
      <c r="G67" s="80"/>
      <c r="H67" s="95">
        <v>62</v>
      </c>
      <c r="I67" s="96" t="str">
        <f t="shared" si="0"/>
        <v/>
      </c>
      <c r="J67" s="95">
        <f t="shared" si="5"/>
        <v>0</v>
      </c>
      <c r="K67" s="95">
        <f t="shared" si="1"/>
        <v>0</v>
      </c>
      <c r="L67" s="95"/>
      <c r="M67" s="97">
        <f t="shared" si="2"/>
        <v>0</v>
      </c>
    </row>
    <row r="68" spans="1:13" x14ac:dyDescent="0.25">
      <c r="A68" s="114"/>
      <c r="B68" s="36"/>
      <c r="G68" s="80"/>
      <c r="H68" s="95">
        <v>63</v>
      </c>
      <c r="I68" s="96" t="str">
        <f t="shared" si="0"/>
        <v/>
      </c>
      <c r="J68" s="95">
        <f t="shared" si="5"/>
        <v>0</v>
      </c>
      <c r="K68" s="95">
        <f t="shared" si="1"/>
        <v>0</v>
      </c>
      <c r="L68" s="95"/>
      <c r="M68" s="97">
        <f t="shared" si="2"/>
        <v>0</v>
      </c>
    </row>
    <row r="69" spans="1:13" x14ac:dyDescent="0.25">
      <c r="A69" s="114"/>
      <c r="B69" s="35"/>
      <c r="G69" s="80"/>
      <c r="H69" s="95">
        <v>64</v>
      </c>
      <c r="I69" s="96" t="str">
        <f t="shared" si="0"/>
        <v/>
      </c>
      <c r="J69" s="95">
        <f t="shared" si="5"/>
        <v>0</v>
      </c>
      <c r="K69" s="95">
        <f t="shared" si="1"/>
        <v>0</v>
      </c>
      <c r="L69" s="95"/>
      <c r="M69" s="97">
        <f t="shared" si="2"/>
        <v>0</v>
      </c>
    </row>
    <row r="70" spans="1:13" x14ac:dyDescent="0.25">
      <c r="A70" s="114"/>
      <c r="G70" s="80"/>
      <c r="H70" s="95">
        <v>65</v>
      </c>
      <c r="I70" s="96" t="str">
        <f t="shared" ref="I70:I133" si="7">IF(H70&lt;$H$2+1,($I$2-($I$2-1)*(LOG(H70)/LOG($H$2))),"")</f>
        <v/>
      </c>
      <c r="J70" s="95">
        <f t="shared" si="5"/>
        <v>-1</v>
      </c>
      <c r="K70" s="95">
        <f t="shared" ref="K70:K133" si="8">J70*$J$2</f>
        <v>-10</v>
      </c>
      <c r="L70" s="95"/>
      <c r="M70" s="97">
        <f t="shared" ref="M70:M133" si="9">IF(I70&lt;&gt;"",K70+I70+L70,0)</f>
        <v>0</v>
      </c>
    </row>
    <row r="71" spans="1:13" x14ac:dyDescent="0.25">
      <c r="A71" s="114"/>
      <c r="G71" s="80"/>
      <c r="H71" s="95">
        <v>66</v>
      </c>
      <c r="I71" s="96" t="str">
        <f t="shared" si="7"/>
        <v/>
      </c>
      <c r="J71" s="95">
        <f t="shared" ref="J71:J134" si="10">INT(LOG($H$2,2))-ROUNDUP(LOG(H71,2),0)+IF(OR($H$2=1,$H$2=2,$H$2=4,$H$2=8,$H$2=16,$H$2=32,$H$2=64,$H$2=128,$H$2=256),0,1)</f>
        <v>-1</v>
      </c>
      <c r="K71" s="95">
        <f t="shared" si="8"/>
        <v>-10</v>
      </c>
      <c r="L71" s="95"/>
      <c r="M71" s="97">
        <f t="shared" si="9"/>
        <v>0</v>
      </c>
    </row>
    <row r="72" spans="1:13" x14ac:dyDescent="0.25">
      <c r="A72" s="114"/>
      <c r="G72" s="80"/>
      <c r="H72" s="95">
        <v>67</v>
      </c>
      <c r="I72" s="96" t="str">
        <f t="shared" si="7"/>
        <v/>
      </c>
      <c r="J72" s="95">
        <f t="shared" si="10"/>
        <v>-1</v>
      </c>
      <c r="K72" s="95">
        <f t="shared" si="8"/>
        <v>-10</v>
      </c>
      <c r="L72" s="95"/>
      <c r="M72" s="97">
        <f t="shared" si="9"/>
        <v>0</v>
      </c>
    </row>
    <row r="73" spans="1:13" x14ac:dyDescent="0.25">
      <c r="A73" s="114"/>
      <c r="G73" s="80"/>
      <c r="H73" s="95">
        <v>68</v>
      </c>
      <c r="I73" s="96" t="str">
        <f t="shared" si="7"/>
        <v/>
      </c>
      <c r="J73" s="95">
        <f t="shared" si="10"/>
        <v>-1</v>
      </c>
      <c r="K73" s="95">
        <f t="shared" si="8"/>
        <v>-10</v>
      </c>
      <c r="L73" s="95"/>
      <c r="M73" s="97">
        <f t="shared" si="9"/>
        <v>0</v>
      </c>
    </row>
    <row r="74" spans="1:13" x14ac:dyDescent="0.25">
      <c r="A74" s="114"/>
      <c r="G74" s="80"/>
      <c r="H74" s="95">
        <v>69</v>
      </c>
      <c r="I74" s="96" t="str">
        <f t="shared" si="7"/>
        <v/>
      </c>
      <c r="J74" s="95">
        <f t="shared" si="10"/>
        <v>-1</v>
      </c>
      <c r="K74" s="95">
        <f t="shared" si="8"/>
        <v>-10</v>
      </c>
      <c r="L74" s="95"/>
      <c r="M74" s="97">
        <f t="shared" si="9"/>
        <v>0</v>
      </c>
    </row>
    <row r="75" spans="1:13" x14ac:dyDescent="0.25">
      <c r="A75" s="114"/>
      <c r="G75" s="80"/>
      <c r="H75" s="95">
        <v>70</v>
      </c>
      <c r="I75" s="96" t="str">
        <f t="shared" si="7"/>
        <v/>
      </c>
      <c r="J75" s="95">
        <f t="shared" si="10"/>
        <v>-1</v>
      </c>
      <c r="K75" s="95">
        <f t="shared" si="8"/>
        <v>-10</v>
      </c>
      <c r="L75" s="95"/>
      <c r="M75" s="97">
        <f t="shared" si="9"/>
        <v>0</v>
      </c>
    </row>
    <row r="76" spans="1:13" x14ac:dyDescent="0.25">
      <c r="A76" s="114"/>
      <c r="G76" s="80"/>
      <c r="H76" s="95">
        <v>71</v>
      </c>
      <c r="I76" s="96" t="str">
        <f t="shared" si="7"/>
        <v/>
      </c>
      <c r="J76" s="95">
        <f t="shared" si="10"/>
        <v>-1</v>
      </c>
      <c r="K76" s="95">
        <f t="shared" si="8"/>
        <v>-10</v>
      </c>
      <c r="L76" s="95"/>
      <c r="M76" s="97">
        <f t="shared" si="9"/>
        <v>0</v>
      </c>
    </row>
    <row r="77" spans="1:13" x14ac:dyDescent="0.25">
      <c r="A77" s="114"/>
      <c r="G77" s="80"/>
      <c r="H77" s="95">
        <v>72</v>
      </c>
      <c r="I77" s="96" t="str">
        <f t="shared" si="7"/>
        <v/>
      </c>
      <c r="J77" s="95">
        <f t="shared" si="10"/>
        <v>-1</v>
      </c>
      <c r="K77" s="95">
        <f t="shared" si="8"/>
        <v>-10</v>
      </c>
      <c r="L77" s="95"/>
      <c r="M77" s="97">
        <f t="shared" si="9"/>
        <v>0</v>
      </c>
    </row>
    <row r="78" spans="1:13" x14ac:dyDescent="0.25">
      <c r="A78" s="114"/>
      <c r="G78" s="80"/>
      <c r="H78" s="95">
        <v>73</v>
      </c>
      <c r="I78" s="96" t="str">
        <f t="shared" si="7"/>
        <v/>
      </c>
      <c r="J78" s="95">
        <f t="shared" si="10"/>
        <v>-1</v>
      </c>
      <c r="K78" s="95">
        <f t="shared" si="8"/>
        <v>-10</v>
      </c>
      <c r="L78" s="95"/>
      <c r="M78" s="97">
        <f t="shared" si="9"/>
        <v>0</v>
      </c>
    </row>
    <row r="79" spans="1:13" x14ac:dyDescent="0.25">
      <c r="A79" s="114"/>
      <c r="G79" s="80"/>
      <c r="H79" s="95">
        <v>74</v>
      </c>
      <c r="I79" s="96" t="str">
        <f t="shared" si="7"/>
        <v/>
      </c>
      <c r="J79" s="95">
        <f t="shared" si="10"/>
        <v>-1</v>
      </c>
      <c r="K79" s="95">
        <f t="shared" si="8"/>
        <v>-10</v>
      </c>
      <c r="L79" s="95"/>
      <c r="M79" s="97">
        <f t="shared" si="9"/>
        <v>0</v>
      </c>
    </row>
    <row r="80" spans="1:13" x14ac:dyDescent="0.25">
      <c r="A80" s="114"/>
      <c r="G80" s="80"/>
      <c r="H80" s="95">
        <v>75</v>
      </c>
      <c r="I80" s="96" t="str">
        <f t="shared" si="7"/>
        <v/>
      </c>
      <c r="J80" s="95">
        <f t="shared" si="10"/>
        <v>-1</v>
      </c>
      <c r="K80" s="95">
        <f t="shared" si="8"/>
        <v>-10</v>
      </c>
      <c r="L80" s="95"/>
      <c r="M80" s="97">
        <f t="shared" si="9"/>
        <v>0</v>
      </c>
    </row>
    <row r="81" spans="1:13" x14ac:dyDescent="0.25">
      <c r="A81" s="114"/>
      <c r="G81" s="80"/>
      <c r="H81" s="95">
        <v>76</v>
      </c>
      <c r="I81" s="96" t="str">
        <f t="shared" si="7"/>
        <v/>
      </c>
      <c r="J81" s="95">
        <f t="shared" si="10"/>
        <v>-1</v>
      </c>
      <c r="K81" s="95">
        <f t="shared" si="8"/>
        <v>-10</v>
      </c>
      <c r="L81" s="95"/>
      <c r="M81" s="97">
        <f t="shared" si="9"/>
        <v>0</v>
      </c>
    </row>
    <row r="82" spans="1:13" x14ac:dyDescent="0.25">
      <c r="A82" s="114"/>
      <c r="G82" s="80"/>
      <c r="H82" s="95">
        <v>77</v>
      </c>
      <c r="I82" s="96" t="str">
        <f t="shared" si="7"/>
        <v/>
      </c>
      <c r="J82" s="95">
        <f t="shared" si="10"/>
        <v>-1</v>
      </c>
      <c r="K82" s="95">
        <f t="shared" si="8"/>
        <v>-10</v>
      </c>
      <c r="L82" s="95"/>
      <c r="M82" s="97">
        <f t="shared" si="9"/>
        <v>0</v>
      </c>
    </row>
    <row r="83" spans="1:13" x14ac:dyDescent="0.25">
      <c r="A83" s="114"/>
      <c r="G83" s="80"/>
      <c r="H83" s="95">
        <v>78</v>
      </c>
      <c r="I83" s="96" t="str">
        <f t="shared" si="7"/>
        <v/>
      </c>
      <c r="J83" s="95">
        <f t="shared" si="10"/>
        <v>-1</v>
      </c>
      <c r="K83" s="95">
        <f t="shared" si="8"/>
        <v>-10</v>
      </c>
      <c r="L83" s="95"/>
      <c r="M83" s="97">
        <f t="shared" si="9"/>
        <v>0</v>
      </c>
    </row>
    <row r="84" spans="1:13" x14ac:dyDescent="0.25">
      <c r="A84" s="114"/>
      <c r="G84" s="80"/>
      <c r="H84" s="95">
        <v>79</v>
      </c>
      <c r="I84" s="96" t="str">
        <f t="shared" si="7"/>
        <v/>
      </c>
      <c r="J84" s="95">
        <f t="shared" si="10"/>
        <v>-1</v>
      </c>
      <c r="K84" s="95">
        <f t="shared" si="8"/>
        <v>-10</v>
      </c>
      <c r="L84" s="95"/>
      <c r="M84" s="97">
        <f t="shared" si="9"/>
        <v>0</v>
      </c>
    </row>
    <row r="85" spans="1:13" x14ac:dyDescent="0.25">
      <c r="A85" s="114"/>
      <c r="G85" s="80"/>
      <c r="H85" s="95">
        <v>80</v>
      </c>
      <c r="I85" s="96" t="str">
        <f t="shared" si="7"/>
        <v/>
      </c>
      <c r="J85" s="95">
        <f t="shared" si="10"/>
        <v>-1</v>
      </c>
      <c r="K85" s="95">
        <f t="shared" si="8"/>
        <v>-10</v>
      </c>
      <c r="L85" s="95"/>
      <c r="M85" s="97">
        <f t="shared" si="9"/>
        <v>0</v>
      </c>
    </row>
    <row r="86" spans="1:13" x14ac:dyDescent="0.25">
      <c r="A86" s="114"/>
      <c r="G86" s="80"/>
      <c r="H86" s="95">
        <v>81</v>
      </c>
      <c r="I86" s="96" t="str">
        <f t="shared" si="7"/>
        <v/>
      </c>
      <c r="J86" s="95">
        <f t="shared" si="10"/>
        <v>-1</v>
      </c>
      <c r="K86" s="95">
        <f t="shared" si="8"/>
        <v>-10</v>
      </c>
      <c r="L86" s="95"/>
      <c r="M86" s="97">
        <f t="shared" si="9"/>
        <v>0</v>
      </c>
    </row>
    <row r="87" spans="1:13" x14ac:dyDescent="0.25">
      <c r="A87" s="114"/>
      <c r="G87" s="80"/>
      <c r="H87" s="95">
        <v>82</v>
      </c>
      <c r="I87" s="96" t="str">
        <f t="shared" si="7"/>
        <v/>
      </c>
      <c r="J87" s="95">
        <f t="shared" si="10"/>
        <v>-1</v>
      </c>
      <c r="K87" s="95">
        <f t="shared" si="8"/>
        <v>-10</v>
      </c>
      <c r="L87" s="95"/>
      <c r="M87" s="97">
        <f t="shared" si="9"/>
        <v>0</v>
      </c>
    </row>
    <row r="88" spans="1:13" x14ac:dyDescent="0.25">
      <c r="A88" s="114"/>
      <c r="G88" s="80"/>
      <c r="H88" s="95">
        <v>83</v>
      </c>
      <c r="I88" s="96" t="str">
        <f t="shared" si="7"/>
        <v/>
      </c>
      <c r="J88" s="95">
        <f t="shared" si="10"/>
        <v>-1</v>
      </c>
      <c r="K88" s="95">
        <f t="shared" si="8"/>
        <v>-10</v>
      </c>
      <c r="L88" s="95"/>
      <c r="M88" s="97">
        <f t="shared" si="9"/>
        <v>0</v>
      </c>
    </row>
    <row r="89" spans="1:13" x14ac:dyDescent="0.25">
      <c r="A89" s="114"/>
      <c r="G89" s="80"/>
      <c r="H89" s="95">
        <v>84</v>
      </c>
      <c r="I89" s="96" t="str">
        <f t="shared" si="7"/>
        <v/>
      </c>
      <c r="J89" s="95">
        <f t="shared" si="10"/>
        <v>-1</v>
      </c>
      <c r="K89" s="95">
        <f t="shared" si="8"/>
        <v>-10</v>
      </c>
      <c r="L89" s="95"/>
      <c r="M89" s="97">
        <f t="shared" si="9"/>
        <v>0</v>
      </c>
    </row>
    <row r="90" spans="1:13" x14ac:dyDescent="0.25">
      <c r="A90" s="114"/>
      <c r="G90" s="80"/>
      <c r="H90" s="95">
        <v>85</v>
      </c>
      <c r="I90" s="96" t="str">
        <f t="shared" si="7"/>
        <v/>
      </c>
      <c r="J90" s="95">
        <f t="shared" si="10"/>
        <v>-1</v>
      </c>
      <c r="K90" s="95">
        <f t="shared" si="8"/>
        <v>-10</v>
      </c>
      <c r="L90" s="95"/>
      <c r="M90" s="97">
        <f t="shared" si="9"/>
        <v>0</v>
      </c>
    </row>
    <row r="91" spans="1:13" x14ac:dyDescent="0.25">
      <c r="A91" s="114"/>
      <c r="G91" s="80"/>
      <c r="H91" s="95">
        <v>86</v>
      </c>
      <c r="I91" s="96" t="str">
        <f t="shared" si="7"/>
        <v/>
      </c>
      <c r="J91" s="95">
        <f t="shared" si="10"/>
        <v>-1</v>
      </c>
      <c r="K91" s="95">
        <f t="shared" si="8"/>
        <v>-10</v>
      </c>
      <c r="L91" s="95"/>
      <c r="M91" s="97">
        <f t="shared" si="9"/>
        <v>0</v>
      </c>
    </row>
    <row r="92" spans="1:13" x14ac:dyDescent="0.25">
      <c r="A92" s="114"/>
      <c r="G92" s="80"/>
      <c r="H92" s="95">
        <v>87</v>
      </c>
      <c r="I92" s="96" t="str">
        <f t="shared" si="7"/>
        <v/>
      </c>
      <c r="J92" s="95">
        <f t="shared" si="10"/>
        <v>-1</v>
      </c>
      <c r="K92" s="95">
        <f t="shared" si="8"/>
        <v>-10</v>
      </c>
      <c r="L92" s="95"/>
      <c r="M92" s="97">
        <f t="shared" si="9"/>
        <v>0</v>
      </c>
    </row>
    <row r="93" spans="1:13" x14ac:dyDescent="0.25">
      <c r="A93" s="114"/>
      <c r="G93" s="80"/>
      <c r="H93" s="95">
        <v>88</v>
      </c>
      <c r="I93" s="96" t="str">
        <f t="shared" si="7"/>
        <v/>
      </c>
      <c r="J93" s="95">
        <f t="shared" si="10"/>
        <v>-1</v>
      </c>
      <c r="K93" s="95">
        <f t="shared" si="8"/>
        <v>-10</v>
      </c>
      <c r="L93" s="95"/>
      <c r="M93" s="97">
        <f t="shared" si="9"/>
        <v>0</v>
      </c>
    </row>
    <row r="94" spans="1:13" x14ac:dyDescent="0.25">
      <c r="A94" s="114"/>
      <c r="G94" s="80"/>
      <c r="H94" s="95">
        <v>89</v>
      </c>
      <c r="I94" s="96" t="str">
        <f t="shared" si="7"/>
        <v/>
      </c>
      <c r="J94" s="95">
        <f t="shared" si="10"/>
        <v>-1</v>
      </c>
      <c r="K94" s="95">
        <f t="shared" si="8"/>
        <v>-10</v>
      </c>
      <c r="L94" s="95"/>
      <c r="M94" s="97">
        <f t="shared" si="9"/>
        <v>0</v>
      </c>
    </row>
    <row r="95" spans="1:13" x14ac:dyDescent="0.25">
      <c r="A95" s="114"/>
      <c r="G95" s="80"/>
      <c r="H95" s="95">
        <v>90</v>
      </c>
      <c r="I95" s="96" t="str">
        <f t="shared" si="7"/>
        <v/>
      </c>
      <c r="J95" s="95">
        <f t="shared" si="10"/>
        <v>-1</v>
      </c>
      <c r="K95" s="95">
        <f t="shared" si="8"/>
        <v>-10</v>
      </c>
      <c r="L95" s="95"/>
      <c r="M95" s="97">
        <f t="shared" si="9"/>
        <v>0</v>
      </c>
    </row>
    <row r="96" spans="1:13" x14ac:dyDescent="0.25">
      <c r="A96" s="114"/>
      <c r="G96" s="80"/>
      <c r="H96" s="95">
        <v>91</v>
      </c>
      <c r="I96" s="96" t="str">
        <f t="shared" si="7"/>
        <v/>
      </c>
      <c r="J96" s="95">
        <f t="shared" si="10"/>
        <v>-1</v>
      </c>
      <c r="K96" s="95">
        <f t="shared" si="8"/>
        <v>-10</v>
      </c>
      <c r="L96" s="95"/>
      <c r="M96" s="97">
        <f t="shared" si="9"/>
        <v>0</v>
      </c>
    </row>
    <row r="97" spans="1:13" x14ac:dyDescent="0.25">
      <c r="A97" s="114"/>
      <c r="G97" s="80"/>
      <c r="H97" s="95">
        <v>92</v>
      </c>
      <c r="I97" s="96" t="str">
        <f t="shared" si="7"/>
        <v/>
      </c>
      <c r="J97" s="95">
        <f t="shared" si="10"/>
        <v>-1</v>
      </c>
      <c r="K97" s="95">
        <f t="shared" si="8"/>
        <v>-10</v>
      </c>
      <c r="L97" s="95"/>
      <c r="M97" s="97">
        <f t="shared" si="9"/>
        <v>0</v>
      </c>
    </row>
    <row r="98" spans="1:13" x14ac:dyDescent="0.25">
      <c r="A98" s="114"/>
      <c r="G98" s="80"/>
      <c r="H98" s="95">
        <v>93</v>
      </c>
      <c r="I98" s="96" t="str">
        <f t="shared" si="7"/>
        <v/>
      </c>
      <c r="J98" s="95">
        <f t="shared" si="10"/>
        <v>-1</v>
      </c>
      <c r="K98" s="95">
        <f t="shared" si="8"/>
        <v>-10</v>
      </c>
      <c r="L98" s="95"/>
      <c r="M98" s="97">
        <f t="shared" si="9"/>
        <v>0</v>
      </c>
    </row>
    <row r="99" spans="1:13" x14ac:dyDescent="0.25">
      <c r="A99" s="114"/>
      <c r="G99" s="80"/>
      <c r="H99" s="95">
        <v>94</v>
      </c>
      <c r="I99" s="96" t="str">
        <f t="shared" si="7"/>
        <v/>
      </c>
      <c r="J99" s="95">
        <f t="shared" si="10"/>
        <v>-1</v>
      </c>
      <c r="K99" s="95">
        <f t="shared" si="8"/>
        <v>-10</v>
      </c>
      <c r="L99" s="95"/>
      <c r="M99" s="97">
        <f t="shared" si="9"/>
        <v>0</v>
      </c>
    </row>
    <row r="100" spans="1:13" x14ac:dyDescent="0.25">
      <c r="A100" s="114"/>
      <c r="G100" s="80"/>
      <c r="H100" s="95">
        <v>95</v>
      </c>
      <c r="I100" s="96" t="str">
        <f t="shared" si="7"/>
        <v/>
      </c>
      <c r="J100" s="95">
        <f t="shared" si="10"/>
        <v>-1</v>
      </c>
      <c r="K100" s="95">
        <f t="shared" si="8"/>
        <v>-10</v>
      </c>
      <c r="L100" s="95"/>
      <c r="M100" s="97">
        <f t="shared" si="9"/>
        <v>0</v>
      </c>
    </row>
    <row r="101" spans="1:13" x14ac:dyDescent="0.25">
      <c r="A101" s="114"/>
      <c r="G101" s="80"/>
      <c r="H101" s="95">
        <v>96</v>
      </c>
      <c r="I101" s="96" t="str">
        <f t="shared" si="7"/>
        <v/>
      </c>
      <c r="J101" s="95">
        <f t="shared" si="10"/>
        <v>-1</v>
      </c>
      <c r="K101" s="95">
        <f t="shared" si="8"/>
        <v>-10</v>
      </c>
      <c r="L101" s="95"/>
      <c r="M101" s="97">
        <f t="shared" si="9"/>
        <v>0</v>
      </c>
    </row>
    <row r="102" spans="1:13" x14ac:dyDescent="0.25">
      <c r="A102" s="114"/>
      <c r="G102" s="80"/>
      <c r="H102" s="95">
        <v>97</v>
      </c>
      <c r="I102" s="96" t="str">
        <f t="shared" si="7"/>
        <v/>
      </c>
      <c r="J102" s="95">
        <f t="shared" si="10"/>
        <v>-1</v>
      </c>
      <c r="K102" s="95">
        <f t="shared" si="8"/>
        <v>-10</v>
      </c>
      <c r="L102" s="95"/>
      <c r="M102" s="97">
        <f t="shared" si="9"/>
        <v>0</v>
      </c>
    </row>
    <row r="103" spans="1:13" x14ac:dyDescent="0.25">
      <c r="A103" s="114"/>
      <c r="G103" s="80"/>
      <c r="H103" s="95">
        <v>98</v>
      </c>
      <c r="I103" s="96" t="str">
        <f t="shared" si="7"/>
        <v/>
      </c>
      <c r="J103" s="95">
        <f t="shared" si="10"/>
        <v>-1</v>
      </c>
      <c r="K103" s="95">
        <f t="shared" si="8"/>
        <v>-10</v>
      </c>
      <c r="L103" s="95"/>
      <c r="M103" s="97">
        <f t="shared" si="9"/>
        <v>0</v>
      </c>
    </row>
    <row r="104" spans="1:13" x14ac:dyDescent="0.25">
      <c r="A104" s="114"/>
      <c r="G104" s="80"/>
      <c r="H104" s="95">
        <v>99</v>
      </c>
      <c r="I104" s="96" t="str">
        <f t="shared" si="7"/>
        <v/>
      </c>
      <c r="J104" s="95">
        <f t="shared" si="10"/>
        <v>-1</v>
      </c>
      <c r="K104" s="95">
        <f t="shared" si="8"/>
        <v>-10</v>
      </c>
      <c r="L104" s="95"/>
      <c r="M104" s="97">
        <f t="shared" si="9"/>
        <v>0</v>
      </c>
    </row>
    <row r="105" spans="1:13" x14ac:dyDescent="0.25">
      <c r="A105" s="114"/>
      <c r="G105" s="80"/>
      <c r="H105" s="95">
        <v>100</v>
      </c>
      <c r="I105" s="96" t="str">
        <f t="shared" si="7"/>
        <v/>
      </c>
      <c r="J105" s="95">
        <f t="shared" si="10"/>
        <v>-1</v>
      </c>
      <c r="K105" s="95">
        <f t="shared" si="8"/>
        <v>-10</v>
      </c>
      <c r="L105" s="95"/>
      <c r="M105" s="97">
        <f t="shared" si="9"/>
        <v>0</v>
      </c>
    </row>
    <row r="106" spans="1:13" x14ac:dyDescent="0.25">
      <c r="A106" s="114"/>
      <c r="G106" s="80"/>
      <c r="H106" s="95">
        <v>101</v>
      </c>
      <c r="I106" s="96" t="str">
        <f t="shared" si="7"/>
        <v/>
      </c>
      <c r="J106" s="95">
        <f t="shared" si="10"/>
        <v>-1</v>
      </c>
      <c r="K106" s="95">
        <f t="shared" si="8"/>
        <v>-10</v>
      </c>
      <c r="L106" s="95"/>
      <c r="M106" s="97">
        <f t="shared" si="9"/>
        <v>0</v>
      </c>
    </row>
    <row r="107" spans="1:13" x14ac:dyDescent="0.25">
      <c r="A107" s="114"/>
      <c r="G107" s="80"/>
      <c r="H107" s="95">
        <v>102</v>
      </c>
      <c r="I107" s="96" t="str">
        <f t="shared" si="7"/>
        <v/>
      </c>
      <c r="J107" s="95">
        <f t="shared" si="10"/>
        <v>-1</v>
      </c>
      <c r="K107" s="95">
        <f t="shared" si="8"/>
        <v>-10</v>
      </c>
      <c r="L107" s="95"/>
      <c r="M107" s="97">
        <f t="shared" si="9"/>
        <v>0</v>
      </c>
    </row>
    <row r="108" spans="1:13" x14ac:dyDescent="0.25">
      <c r="A108" s="114"/>
      <c r="G108" s="80"/>
      <c r="H108" s="95">
        <v>103</v>
      </c>
      <c r="I108" s="96" t="str">
        <f t="shared" si="7"/>
        <v/>
      </c>
      <c r="J108" s="95">
        <f t="shared" si="10"/>
        <v>-1</v>
      </c>
      <c r="K108" s="95">
        <f t="shared" si="8"/>
        <v>-10</v>
      </c>
      <c r="L108" s="95"/>
      <c r="M108" s="97">
        <f t="shared" si="9"/>
        <v>0</v>
      </c>
    </row>
    <row r="109" spans="1:13" x14ac:dyDescent="0.25">
      <c r="A109" s="114"/>
      <c r="G109" s="80"/>
      <c r="H109" s="95">
        <v>104</v>
      </c>
      <c r="I109" s="96" t="str">
        <f t="shared" si="7"/>
        <v/>
      </c>
      <c r="J109" s="95">
        <f t="shared" si="10"/>
        <v>-1</v>
      </c>
      <c r="K109" s="95">
        <f t="shared" si="8"/>
        <v>-10</v>
      </c>
      <c r="L109" s="95"/>
      <c r="M109" s="97">
        <f t="shared" si="9"/>
        <v>0</v>
      </c>
    </row>
    <row r="110" spans="1:13" x14ac:dyDescent="0.25">
      <c r="A110" s="114"/>
      <c r="G110" s="80"/>
      <c r="H110" s="95">
        <v>105</v>
      </c>
      <c r="I110" s="96" t="str">
        <f t="shared" si="7"/>
        <v/>
      </c>
      <c r="J110" s="95">
        <f t="shared" si="10"/>
        <v>-1</v>
      </c>
      <c r="K110" s="95">
        <f t="shared" si="8"/>
        <v>-10</v>
      </c>
      <c r="L110" s="95"/>
      <c r="M110" s="97">
        <f t="shared" si="9"/>
        <v>0</v>
      </c>
    </row>
    <row r="111" spans="1:13" x14ac:dyDescent="0.25">
      <c r="A111" s="114"/>
      <c r="G111" s="80"/>
      <c r="H111" s="95">
        <v>106</v>
      </c>
      <c r="I111" s="96" t="str">
        <f t="shared" si="7"/>
        <v/>
      </c>
      <c r="J111" s="95">
        <f t="shared" si="10"/>
        <v>-1</v>
      </c>
      <c r="K111" s="95">
        <f t="shared" si="8"/>
        <v>-10</v>
      </c>
      <c r="L111" s="95"/>
      <c r="M111" s="97">
        <f t="shared" si="9"/>
        <v>0</v>
      </c>
    </row>
    <row r="112" spans="1:13" x14ac:dyDescent="0.25">
      <c r="A112" s="114"/>
      <c r="G112" s="80"/>
      <c r="H112" s="95">
        <v>107</v>
      </c>
      <c r="I112" s="96" t="str">
        <f t="shared" si="7"/>
        <v/>
      </c>
      <c r="J112" s="95">
        <f t="shared" si="10"/>
        <v>-1</v>
      </c>
      <c r="K112" s="95">
        <f t="shared" si="8"/>
        <v>-10</v>
      </c>
      <c r="L112" s="95"/>
      <c r="M112" s="97">
        <f t="shared" si="9"/>
        <v>0</v>
      </c>
    </row>
    <row r="113" spans="1:13" x14ac:dyDescent="0.25">
      <c r="A113" s="114"/>
      <c r="G113" s="80"/>
      <c r="H113" s="95">
        <v>108</v>
      </c>
      <c r="I113" s="96" t="str">
        <f t="shared" si="7"/>
        <v/>
      </c>
      <c r="J113" s="95">
        <f t="shared" si="10"/>
        <v>-1</v>
      </c>
      <c r="K113" s="95">
        <f t="shared" si="8"/>
        <v>-10</v>
      </c>
      <c r="L113" s="95"/>
      <c r="M113" s="97">
        <f t="shared" si="9"/>
        <v>0</v>
      </c>
    </row>
    <row r="114" spans="1:13" x14ac:dyDescent="0.25">
      <c r="A114" s="114"/>
      <c r="G114" s="80"/>
      <c r="H114" s="95">
        <v>109</v>
      </c>
      <c r="I114" s="96" t="str">
        <f t="shared" si="7"/>
        <v/>
      </c>
      <c r="J114" s="95">
        <f t="shared" si="10"/>
        <v>-1</v>
      </c>
      <c r="K114" s="95">
        <f t="shared" si="8"/>
        <v>-10</v>
      </c>
      <c r="L114" s="95"/>
      <c r="M114" s="97">
        <f t="shared" si="9"/>
        <v>0</v>
      </c>
    </row>
    <row r="115" spans="1:13" x14ac:dyDescent="0.25">
      <c r="A115" s="114"/>
      <c r="G115" s="80"/>
      <c r="H115" s="95">
        <v>110</v>
      </c>
      <c r="I115" s="96" t="str">
        <f t="shared" si="7"/>
        <v/>
      </c>
      <c r="J115" s="95">
        <f t="shared" si="10"/>
        <v>-1</v>
      </c>
      <c r="K115" s="95">
        <f t="shared" si="8"/>
        <v>-10</v>
      </c>
      <c r="L115" s="95"/>
      <c r="M115" s="97">
        <f t="shared" si="9"/>
        <v>0</v>
      </c>
    </row>
    <row r="116" spans="1:13" x14ac:dyDescent="0.25">
      <c r="A116" s="114"/>
      <c r="G116" s="80"/>
      <c r="H116" s="95">
        <v>111</v>
      </c>
      <c r="I116" s="96" t="str">
        <f t="shared" si="7"/>
        <v/>
      </c>
      <c r="J116" s="95">
        <f t="shared" si="10"/>
        <v>-1</v>
      </c>
      <c r="K116" s="95">
        <f t="shared" si="8"/>
        <v>-10</v>
      </c>
      <c r="L116" s="95"/>
      <c r="M116" s="97">
        <f t="shared" si="9"/>
        <v>0</v>
      </c>
    </row>
    <row r="117" spans="1:13" x14ac:dyDescent="0.25">
      <c r="A117" s="114"/>
      <c r="G117" s="80"/>
      <c r="H117" s="95">
        <v>112</v>
      </c>
      <c r="I117" s="96" t="str">
        <f t="shared" si="7"/>
        <v/>
      </c>
      <c r="J117" s="95">
        <f t="shared" si="10"/>
        <v>-1</v>
      </c>
      <c r="K117" s="95">
        <f t="shared" si="8"/>
        <v>-10</v>
      </c>
      <c r="L117" s="95"/>
      <c r="M117" s="97">
        <f t="shared" si="9"/>
        <v>0</v>
      </c>
    </row>
    <row r="118" spans="1:13" x14ac:dyDescent="0.25">
      <c r="A118" s="114"/>
      <c r="G118" s="80"/>
      <c r="H118" s="95">
        <v>113</v>
      </c>
      <c r="I118" s="96" t="str">
        <f t="shared" si="7"/>
        <v/>
      </c>
      <c r="J118" s="95">
        <f t="shared" si="10"/>
        <v>-1</v>
      </c>
      <c r="K118" s="95">
        <f t="shared" si="8"/>
        <v>-10</v>
      </c>
      <c r="L118" s="95"/>
      <c r="M118" s="97">
        <f t="shared" si="9"/>
        <v>0</v>
      </c>
    </row>
    <row r="119" spans="1:13" x14ac:dyDescent="0.25">
      <c r="A119" s="114"/>
      <c r="G119" s="80"/>
      <c r="H119" s="95">
        <v>114</v>
      </c>
      <c r="I119" s="96" t="str">
        <f t="shared" si="7"/>
        <v/>
      </c>
      <c r="J119" s="95">
        <f t="shared" si="10"/>
        <v>-1</v>
      </c>
      <c r="K119" s="95">
        <f t="shared" si="8"/>
        <v>-10</v>
      </c>
      <c r="L119" s="95"/>
      <c r="M119" s="97">
        <f t="shared" si="9"/>
        <v>0</v>
      </c>
    </row>
    <row r="120" spans="1:13" x14ac:dyDescent="0.25">
      <c r="A120" s="114"/>
      <c r="G120" s="80"/>
      <c r="H120" s="95">
        <v>115</v>
      </c>
      <c r="I120" s="96" t="str">
        <f t="shared" si="7"/>
        <v/>
      </c>
      <c r="J120" s="95">
        <f t="shared" si="10"/>
        <v>-1</v>
      </c>
      <c r="K120" s="95">
        <f t="shared" si="8"/>
        <v>-10</v>
      </c>
      <c r="L120" s="95"/>
      <c r="M120" s="97">
        <f t="shared" si="9"/>
        <v>0</v>
      </c>
    </row>
    <row r="121" spans="1:13" x14ac:dyDescent="0.25">
      <c r="A121" s="114"/>
      <c r="G121" s="80"/>
      <c r="H121" s="95">
        <v>116</v>
      </c>
      <c r="I121" s="96" t="str">
        <f t="shared" si="7"/>
        <v/>
      </c>
      <c r="J121" s="95">
        <f t="shared" si="10"/>
        <v>-1</v>
      </c>
      <c r="K121" s="95">
        <f t="shared" si="8"/>
        <v>-10</v>
      </c>
      <c r="L121" s="95"/>
      <c r="M121" s="97">
        <f t="shared" si="9"/>
        <v>0</v>
      </c>
    </row>
    <row r="122" spans="1:13" x14ac:dyDescent="0.25">
      <c r="A122" s="114"/>
      <c r="G122" s="80"/>
      <c r="H122" s="95">
        <v>117</v>
      </c>
      <c r="I122" s="96" t="str">
        <f t="shared" si="7"/>
        <v/>
      </c>
      <c r="J122" s="95">
        <f t="shared" si="10"/>
        <v>-1</v>
      </c>
      <c r="K122" s="95">
        <f t="shared" si="8"/>
        <v>-10</v>
      </c>
      <c r="L122" s="95"/>
      <c r="M122" s="97">
        <f t="shared" si="9"/>
        <v>0</v>
      </c>
    </row>
    <row r="123" spans="1:13" x14ac:dyDescent="0.25">
      <c r="A123" s="114"/>
      <c r="G123" s="80"/>
      <c r="H123" s="95">
        <v>118</v>
      </c>
      <c r="I123" s="96" t="str">
        <f t="shared" si="7"/>
        <v/>
      </c>
      <c r="J123" s="95">
        <f t="shared" si="10"/>
        <v>-1</v>
      </c>
      <c r="K123" s="95">
        <f t="shared" si="8"/>
        <v>-10</v>
      </c>
      <c r="L123" s="95"/>
      <c r="M123" s="97">
        <f t="shared" si="9"/>
        <v>0</v>
      </c>
    </row>
    <row r="124" spans="1:13" x14ac:dyDescent="0.25">
      <c r="A124" s="114"/>
      <c r="G124" s="80"/>
      <c r="H124" s="95">
        <v>119</v>
      </c>
      <c r="I124" s="96" t="str">
        <f t="shared" si="7"/>
        <v/>
      </c>
      <c r="J124" s="95">
        <f t="shared" si="10"/>
        <v>-1</v>
      </c>
      <c r="K124" s="95">
        <f t="shared" si="8"/>
        <v>-10</v>
      </c>
      <c r="L124" s="95"/>
      <c r="M124" s="97">
        <f t="shared" si="9"/>
        <v>0</v>
      </c>
    </row>
    <row r="125" spans="1:13" x14ac:dyDescent="0.25">
      <c r="A125" s="114"/>
      <c r="G125" s="80"/>
      <c r="H125" s="95">
        <v>120</v>
      </c>
      <c r="I125" s="96" t="str">
        <f t="shared" si="7"/>
        <v/>
      </c>
      <c r="J125" s="95">
        <f t="shared" si="10"/>
        <v>-1</v>
      </c>
      <c r="K125" s="95">
        <f t="shared" si="8"/>
        <v>-10</v>
      </c>
      <c r="L125" s="95"/>
      <c r="M125" s="97">
        <f t="shared" si="9"/>
        <v>0</v>
      </c>
    </row>
    <row r="126" spans="1:13" x14ac:dyDescent="0.25">
      <c r="A126" s="114"/>
      <c r="G126" s="80"/>
      <c r="H126" s="95">
        <v>121</v>
      </c>
      <c r="I126" s="96" t="str">
        <f t="shared" si="7"/>
        <v/>
      </c>
      <c r="J126" s="95">
        <f t="shared" si="10"/>
        <v>-1</v>
      </c>
      <c r="K126" s="95">
        <f t="shared" si="8"/>
        <v>-10</v>
      </c>
      <c r="L126" s="95"/>
      <c r="M126" s="97">
        <f t="shared" si="9"/>
        <v>0</v>
      </c>
    </row>
    <row r="127" spans="1:13" x14ac:dyDescent="0.25">
      <c r="A127" s="114"/>
      <c r="G127" s="80"/>
      <c r="H127" s="95">
        <v>122</v>
      </c>
      <c r="I127" s="96" t="str">
        <f t="shared" si="7"/>
        <v/>
      </c>
      <c r="J127" s="95">
        <f t="shared" si="10"/>
        <v>-1</v>
      </c>
      <c r="K127" s="95">
        <f t="shared" si="8"/>
        <v>-10</v>
      </c>
      <c r="L127" s="95"/>
      <c r="M127" s="97">
        <f t="shared" si="9"/>
        <v>0</v>
      </c>
    </row>
    <row r="128" spans="1:13" x14ac:dyDescent="0.25">
      <c r="A128" s="114"/>
      <c r="G128" s="80"/>
      <c r="H128" s="95">
        <v>123</v>
      </c>
      <c r="I128" s="96" t="str">
        <f t="shared" si="7"/>
        <v/>
      </c>
      <c r="J128" s="95">
        <f t="shared" si="10"/>
        <v>-1</v>
      </c>
      <c r="K128" s="95">
        <f t="shared" si="8"/>
        <v>-10</v>
      </c>
      <c r="L128" s="95"/>
      <c r="M128" s="97">
        <f t="shared" si="9"/>
        <v>0</v>
      </c>
    </row>
    <row r="129" spans="1:13" x14ac:dyDescent="0.25">
      <c r="A129" s="114"/>
      <c r="G129" s="80"/>
      <c r="H129" s="95">
        <v>124</v>
      </c>
      <c r="I129" s="96" t="str">
        <f t="shared" si="7"/>
        <v/>
      </c>
      <c r="J129" s="95">
        <f t="shared" si="10"/>
        <v>-1</v>
      </c>
      <c r="K129" s="95">
        <f t="shared" si="8"/>
        <v>-10</v>
      </c>
      <c r="L129" s="95"/>
      <c r="M129" s="97">
        <f t="shared" si="9"/>
        <v>0</v>
      </c>
    </row>
    <row r="130" spans="1:13" x14ac:dyDescent="0.25">
      <c r="A130" s="114"/>
      <c r="G130" s="80"/>
      <c r="H130" s="95">
        <v>125</v>
      </c>
      <c r="I130" s="96" t="str">
        <f t="shared" si="7"/>
        <v/>
      </c>
      <c r="J130" s="95">
        <f t="shared" si="10"/>
        <v>-1</v>
      </c>
      <c r="K130" s="95">
        <f t="shared" si="8"/>
        <v>-10</v>
      </c>
      <c r="L130" s="95"/>
      <c r="M130" s="97">
        <f t="shared" si="9"/>
        <v>0</v>
      </c>
    </row>
    <row r="131" spans="1:13" x14ac:dyDescent="0.25">
      <c r="A131" s="114"/>
      <c r="G131" s="80"/>
      <c r="H131" s="95">
        <v>126</v>
      </c>
      <c r="I131" s="96" t="str">
        <f t="shared" si="7"/>
        <v/>
      </c>
      <c r="J131" s="95">
        <f t="shared" si="10"/>
        <v>-1</v>
      </c>
      <c r="K131" s="95">
        <f t="shared" si="8"/>
        <v>-10</v>
      </c>
      <c r="L131" s="95"/>
      <c r="M131" s="97">
        <f t="shared" si="9"/>
        <v>0</v>
      </c>
    </row>
    <row r="132" spans="1:13" x14ac:dyDescent="0.25">
      <c r="A132" s="114"/>
      <c r="G132" s="80"/>
      <c r="H132" s="95">
        <v>127</v>
      </c>
      <c r="I132" s="96" t="str">
        <f t="shared" si="7"/>
        <v/>
      </c>
      <c r="J132" s="95">
        <f t="shared" si="10"/>
        <v>-1</v>
      </c>
      <c r="K132" s="95">
        <f t="shared" si="8"/>
        <v>-10</v>
      </c>
      <c r="L132" s="95"/>
      <c r="M132" s="97">
        <f t="shared" si="9"/>
        <v>0</v>
      </c>
    </row>
    <row r="133" spans="1:13" x14ac:dyDescent="0.25">
      <c r="A133" s="114"/>
      <c r="G133" s="80"/>
      <c r="H133" s="95">
        <v>128</v>
      </c>
      <c r="I133" s="96" t="str">
        <f t="shared" si="7"/>
        <v/>
      </c>
      <c r="J133" s="95">
        <f t="shared" si="10"/>
        <v>-1</v>
      </c>
      <c r="K133" s="95">
        <f t="shared" si="8"/>
        <v>-10</v>
      </c>
      <c r="L133" s="95"/>
      <c r="M133" s="97">
        <f t="shared" si="9"/>
        <v>0</v>
      </c>
    </row>
    <row r="134" spans="1:13" x14ac:dyDescent="0.25">
      <c r="A134" s="114"/>
      <c r="G134" s="80"/>
      <c r="H134" s="95">
        <v>129</v>
      </c>
      <c r="I134" s="96" t="str">
        <f t="shared" ref="I134:I197" si="11">IF(H134&lt;$H$2+1,($I$2-($I$2-1)*(LOG(H134)/LOG($H$2))),"")</f>
        <v/>
      </c>
      <c r="J134" s="95">
        <f t="shared" si="10"/>
        <v>-2</v>
      </c>
      <c r="K134" s="95">
        <f t="shared" ref="K134:K197" si="12">J134*$J$2</f>
        <v>-20</v>
      </c>
      <c r="L134" s="95"/>
      <c r="M134" s="97">
        <f t="shared" ref="M134:M197" si="13">IF(I134&lt;&gt;"",K134+I134+L134,0)</f>
        <v>0</v>
      </c>
    </row>
    <row r="135" spans="1:13" x14ac:dyDescent="0.25">
      <c r="A135" s="114"/>
      <c r="G135" s="80"/>
      <c r="H135" s="95">
        <v>130</v>
      </c>
      <c r="I135" s="96" t="str">
        <f t="shared" si="11"/>
        <v/>
      </c>
      <c r="J135" s="95">
        <f t="shared" ref="J135:J198" si="14">INT(LOG($H$2,2))-ROUNDUP(LOG(H135,2),0)+IF(OR($H$2=1,$H$2=2,$H$2=4,$H$2=8,$H$2=16,$H$2=32,$H$2=64,$H$2=128,$H$2=256),0,1)</f>
        <v>-2</v>
      </c>
      <c r="K135" s="95">
        <f t="shared" si="12"/>
        <v>-20</v>
      </c>
      <c r="L135" s="95"/>
      <c r="M135" s="97">
        <f t="shared" si="13"/>
        <v>0</v>
      </c>
    </row>
    <row r="136" spans="1:13" x14ac:dyDescent="0.25">
      <c r="A136" s="114"/>
      <c r="G136" s="80"/>
      <c r="H136" s="95">
        <v>131</v>
      </c>
      <c r="I136" s="96" t="str">
        <f t="shared" si="11"/>
        <v/>
      </c>
      <c r="J136" s="95">
        <f t="shared" si="14"/>
        <v>-2</v>
      </c>
      <c r="K136" s="95">
        <f t="shared" si="12"/>
        <v>-20</v>
      </c>
      <c r="L136" s="95"/>
      <c r="M136" s="97">
        <f t="shared" si="13"/>
        <v>0</v>
      </c>
    </row>
    <row r="137" spans="1:13" x14ac:dyDescent="0.25">
      <c r="A137" s="114"/>
      <c r="G137" s="80"/>
      <c r="H137" s="95">
        <v>132</v>
      </c>
      <c r="I137" s="96" t="str">
        <f t="shared" si="11"/>
        <v/>
      </c>
      <c r="J137" s="95">
        <f t="shared" si="14"/>
        <v>-2</v>
      </c>
      <c r="K137" s="95">
        <f t="shared" si="12"/>
        <v>-20</v>
      </c>
      <c r="L137" s="95"/>
      <c r="M137" s="97">
        <f t="shared" si="13"/>
        <v>0</v>
      </c>
    </row>
    <row r="138" spans="1:13" x14ac:dyDescent="0.25">
      <c r="A138" s="114"/>
      <c r="G138" s="80"/>
      <c r="H138" s="95">
        <v>133</v>
      </c>
      <c r="I138" s="96" t="str">
        <f t="shared" si="11"/>
        <v/>
      </c>
      <c r="J138" s="95">
        <f t="shared" si="14"/>
        <v>-2</v>
      </c>
      <c r="K138" s="95">
        <f t="shared" si="12"/>
        <v>-20</v>
      </c>
      <c r="L138" s="95"/>
      <c r="M138" s="97">
        <f t="shared" si="13"/>
        <v>0</v>
      </c>
    </row>
    <row r="139" spans="1:13" x14ac:dyDescent="0.25">
      <c r="A139" s="114"/>
      <c r="G139" s="80"/>
      <c r="H139" s="95">
        <v>134</v>
      </c>
      <c r="I139" s="96" t="str">
        <f t="shared" si="11"/>
        <v/>
      </c>
      <c r="J139" s="95">
        <f t="shared" si="14"/>
        <v>-2</v>
      </c>
      <c r="K139" s="95">
        <f t="shared" si="12"/>
        <v>-20</v>
      </c>
      <c r="L139" s="95"/>
      <c r="M139" s="97">
        <f t="shared" si="13"/>
        <v>0</v>
      </c>
    </row>
    <row r="140" spans="1:13" x14ac:dyDescent="0.25">
      <c r="A140" s="114"/>
      <c r="G140" s="80"/>
      <c r="H140" s="95">
        <v>135</v>
      </c>
      <c r="I140" s="96" t="str">
        <f t="shared" si="11"/>
        <v/>
      </c>
      <c r="J140" s="95">
        <f t="shared" si="14"/>
        <v>-2</v>
      </c>
      <c r="K140" s="95">
        <f t="shared" si="12"/>
        <v>-20</v>
      </c>
      <c r="L140" s="95"/>
      <c r="M140" s="97">
        <f t="shared" si="13"/>
        <v>0</v>
      </c>
    </row>
    <row r="141" spans="1:13" x14ac:dyDescent="0.25">
      <c r="A141" s="114"/>
      <c r="G141" s="80"/>
      <c r="H141" s="95">
        <v>136</v>
      </c>
      <c r="I141" s="96" t="str">
        <f t="shared" si="11"/>
        <v/>
      </c>
      <c r="J141" s="95">
        <f t="shared" si="14"/>
        <v>-2</v>
      </c>
      <c r="K141" s="95">
        <f t="shared" si="12"/>
        <v>-20</v>
      </c>
      <c r="L141" s="95"/>
      <c r="M141" s="97">
        <f t="shared" si="13"/>
        <v>0</v>
      </c>
    </row>
    <row r="142" spans="1:13" x14ac:dyDescent="0.25">
      <c r="A142" s="114"/>
      <c r="G142" s="80"/>
      <c r="H142" s="95">
        <v>137</v>
      </c>
      <c r="I142" s="96" t="str">
        <f t="shared" si="11"/>
        <v/>
      </c>
      <c r="J142" s="95">
        <f t="shared" si="14"/>
        <v>-2</v>
      </c>
      <c r="K142" s="95">
        <f t="shared" si="12"/>
        <v>-20</v>
      </c>
      <c r="L142" s="95"/>
      <c r="M142" s="97">
        <f t="shared" si="13"/>
        <v>0</v>
      </c>
    </row>
    <row r="143" spans="1:13" x14ac:dyDescent="0.25">
      <c r="A143" s="114"/>
      <c r="G143" s="80"/>
      <c r="H143" s="95">
        <v>138</v>
      </c>
      <c r="I143" s="96" t="str">
        <f t="shared" si="11"/>
        <v/>
      </c>
      <c r="J143" s="95">
        <f t="shared" si="14"/>
        <v>-2</v>
      </c>
      <c r="K143" s="95">
        <f t="shared" si="12"/>
        <v>-20</v>
      </c>
      <c r="L143" s="95"/>
      <c r="M143" s="97">
        <f t="shared" si="13"/>
        <v>0</v>
      </c>
    </row>
    <row r="144" spans="1:13" x14ac:dyDescent="0.25">
      <c r="A144" s="114"/>
      <c r="G144" s="80"/>
      <c r="H144" s="95">
        <v>139</v>
      </c>
      <c r="I144" s="96" t="str">
        <f t="shared" si="11"/>
        <v/>
      </c>
      <c r="J144" s="95">
        <f t="shared" si="14"/>
        <v>-2</v>
      </c>
      <c r="K144" s="95">
        <f t="shared" si="12"/>
        <v>-20</v>
      </c>
      <c r="L144" s="95"/>
      <c r="M144" s="97">
        <f t="shared" si="13"/>
        <v>0</v>
      </c>
    </row>
    <row r="145" spans="1:13" x14ac:dyDescent="0.25">
      <c r="A145" s="114"/>
      <c r="G145" s="80"/>
      <c r="H145" s="95">
        <v>140</v>
      </c>
      <c r="I145" s="96" t="str">
        <f t="shared" si="11"/>
        <v/>
      </c>
      <c r="J145" s="95">
        <f t="shared" si="14"/>
        <v>-2</v>
      </c>
      <c r="K145" s="95">
        <f t="shared" si="12"/>
        <v>-20</v>
      </c>
      <c r="L145" s="95"/>
      <c r="M145" s="97">
        <f t="shared" si="13"/>
        <v>0</v>
      </c>
    </row>
    <row r="146" spans="1:13" x14ac:dyDescent="0.25">
      <c r="A146" s="114"/>
      <c r="G146" s="80"/>
      <c r="H146" s="95">
        <v>141</v>
      </c>
      <c r="I146" s="96" t="str">
        <f t="shared" si="11"/>
        <v/>
      </c>
      <c r="J146" s="95">
        <f t="shared" si="14"/>
        <v>-2</v>
      </c>
      <c r="K146" s="95">
        <f t="shared" si="12"/>
        <v>-20</v>
      </c>
      <c r="L146" s="95"/>
      <c r="M146" s="97">
        <f t="shared" si="13"/>
        <v>0</v>
      </c>
    </row>
    <row r="147" spans="1:13" x14ac:dyDescent="0.25">
      <c r="A147" s="114"/>
      <c r="G147" s="80"/>
      <c r="H147" s="95">
        <v>142</v>
      </c>
      <c r="I147" s="96" t="str">
        <f t="shared" si="11"/>
        <v/>
      </c>
      <c r="J147" s="95">
        <f t="shared" si="14"/>
        <v>-2</v>
      </c>
      <c r="K147" s="95">
        <f t="shared" si="12"/>
        <v>-20</v>
      </c>
      <c r="L147" s="95"/>
      <c r="M147" s="97">
        <f t="shared" si="13"/>
        <v>0</v>
      </c>
    </row>
    <row r="148" spans="1:13" x14ac:dyDescent="0.25">
      <c r="A148" s="114"/>
      <c r="G148" s="80"/>
      <c r="H148" s="95">
        <v>143</v>
      </c>
      <c r="I148" s="96" t="str">
        <f t="shared" si="11"/>
        <v/>
      </c>
      <c r="J148" s="95">
        <f t="shared" si="14"/>
        <v>-2</v>
      </c>
      <c r="K148" s="95">
        <f t="shared" si="12"/>
        <v>-20</v>
      </c>
      <c r="L148" s="95"/>
      <c r="M148" s="97">
        <f t="shared" si="13"/>
        <v>0</v>
      </c>
    </row>
    <row r="149" spans="1:13" x14ac:dyDescent="0.25">
      <c r="A149" s="114"/>
      <c r="G149" s="80"/>
      <c r="H149" s="95">
        <v>144</v>
      </c>
      <c r="I149" s="96" t="str">
        <f t="shared" si="11"/>
        <v/>
      </c>
      <c r="J149" s="95">
        <f t="shared" si="14"/>
        <v>-2</v>
      </c>
      <c r="K149" s="95">
        <f t="shared" si="12"/>
        <v>-20</v>
      </c>
      <c r="L149" s="95"/>
      <c r="M149" s="97">
        <f t="shared" si="13"/>
        <v>0</v>
      </c>
    </row>
    <row r="150" spans="1:13" x14ac:dyDescent="0.25">
      <c r="A150" s="114"/>
      <c r="G150" s="80"/>
      <c r="H150" s="95">
        <v>145</v>
      </c>
      <c r="I150" s="96" t="str">
        <f t="shared" si="11"/>
        <v/>
      </c>
      <c r="J150" s="95">
        <f t="shared" si="14"/>
        <v>-2</v>
      </c>
      <c r="K150" s="95">
        <f t="shared" si="12"/>
        <v>-20</v>
      </c>
      <c r="L150" s="95"/>
      <c r="M150" s="97">
        <f t="shared" si="13"/>
        <v>0</v>
      </c>
    </row>
    <row r="151" spans="1:13" x14ac:dyDescent="0.25">
      <c r="A151" s="114"/>
      <c r="G151" s="80"/>
      <c r="H151" s="95">
        <v>146</v>
      </c>
      <c r="I151" s="96" t="str">
        <f t="shared" si="11"/>
        <v/>
      </c>
      <c r="J151" s="95">
        <f t="shared" si="14"/>
        <v>-2</v>
      </c>
      <c r="K151" s="95">
        <f t="shared" si="12"/>
        <v>-20</v>
      </c>
      <c r="L151" s="95"/>
      <c r="M151" s="97">
        <f t="shared" si="13"/>
        <v>0</v>
      </c>
    </row>
    <row r="152" spans="1:13" x14ac:dyDescent="0.25">
      <c r="A152" s="114"/>
      <c r="G152" s="80"/>
      <c r="H152" s="95">
        <v>147</v>
      </c>
      <c r="I152" s="96" t="str">
        <f t="shared" si="11"/>
        <v/>
      </c>
      <c r="J152" s="95">
        <f t="shared" si="14"/>
        <v>-2</v>
      </c>
      <c r="K152" s="95">
        <f t="shared" si="12"/>
        <v>-20</v>
      </c>
      <c r="L152" s="95"/>
      <c r="M152" s="97">
        <f t="shared" si="13"/>
        <v>0</v>
      </c>
    </row>
    <row r="153" spans="1:13" x14ac:dyDescent="0.25">
      <c r="A153" s="114"/>
      <c r="G153" s="80"/>
      <c r="H153" s="95">
        <v>148</v>
      </c>
      <c r="I153" s="96" t="str">
        <f t="shared" si="11"/>
        <v/>
      </c>
      <c r="J153" s="95">
        <f t="shared" si="14"/>
        <v>-2</v>
      </c>
      <c r="K153" s="95">
        <f t="shared" si="12"/>
        <v>-20</v>
      </c>
      <c r="L153" s="95"/>
      <c r="M153" s="97">
        <f t="shared" si="13"/>
        <v>0</v>
      </c>
    </row>
    <row r="154" spans="1:13" x14ac:dyDescent="0.25">
      <c r="A154" s="114"/>
      <c r="G154" s="80"/>
      <c r="H154" s="95">
        <v>149</v>
      </c>
      <c r="I154" s="96" t="str">
        <f t="shared" si="11"/>
        <v/>
      </c>
      <c r="J154" s="95">
        <f t="shared" si="14"/>
        <v>-2</v>
      </c>
      <c r="K154" s="95">
        <f t="shared" si="12"/>
        <v>-20</v>
      </c>
      <c r="L154" s="95"/>
      <c r="M154" s="97">
        <f t="shared" si="13"/>
        <v>0</v>
      </c>
    </row>
    <row r="155" spans="1:13" x14ac:dyDescent="0.25">
      <c r="A155" s="116"/>
      <c r="G155" s="80"/>
      <c r="H155" s="95">
        <v>150</v>
      </c>
      <c r="I155" s="96" t="str">
        <f t="shared" si="11"/>
        <v/>
      </c>
      <c r="J155" s="95">
        <f t="shared" si="14"/>
        <v>-2</v>
      </c>
      <c r="K155" s="95">
        <f t="shared" si="12"/>
        <v>-20</v>
      </c>
      <c r="L155" s="95"/>
      <c r="M155" s="97">
        <f t="shared" si="13"/>
        <v>0</v>
      </c>
    </row>
    <row r="156" spans="1:13" x14ac:dyDescent="0.25">
      <c r="A156" s="116"/>
      <c r="G156" s="80"/>
      <c r="H156" s="95">
        <v>151</v>
      </c>
      <c r="I156" s="96" t="str">
        <f t="shared" si="11"/>
        <v/>
      </c>
      <c r="J156" s="95">
        <f t="shared" si="14"/>
        <v>-2</v>
      </c>
      <c r="K156" s="95">
        <f t="shared" si="12"/>
        <v>-20</v>
      </c>
      <c r="L156" s="95"/>
      <c r="M156" s="97">
        <f t="shared" si="13"/>
        <v>0</v>
      </c>
    </row>
    <row r="157" spans="1:13" x14ac:dyDescent="0.25">
      <c r="A157" s="116"/>
      <c r="G157" s="80"/>
      <c r="H157" s="95">
        <v>152</v>
      </c>
      <c r="I157" s="96" t="str">
        <f t="shared" si="11"/>
        <v/>
      </c>
      <c r="J157" s="95">
        <f t="shared" si="14"/>
        <v>-2</v>
      </c>
      <c r="K157" s="95">
        <f t="shared" si="12"/>
        <v>-20</v>
      </c>
      <c r="L157" s="95"/>
      <c r="M157" s="97">
        <f t="shared" si="13"/>
        <v>0</v>
      </c>
    </row>
    <row r="158" spans="1:13" x14ac:dyDescent="0.25">
      <c r="A158" s="116"/>
      <c r="G158" s="80"/>
      <c r="H158" s="95">
        <v>153</v>
      </c>
      <c r="I158" s="96" t="str">
        <f t="shared" si="11"/>
        <v/>
      </c>
      <c r="J158" s="95">
        <f t="shared" si="14"/>
        <v>-2</v>
      </c>
      <c r="K158" s="95">
        <f t="shared" si="12"/>
        <v>-20</v>
      </c>
      <c r="L158" s="95"/>
      <c r="M158" s="97">
        <f t="shared" si="13"/>
        <v>0</v>
      </c>
    </row>
    <row r="159" spans="1:13" x14ac:dyDescent="0.25">
      <c r="A159" s="116"/>
      <c r="G159" s="80"/>
      <c r="H159" s="95">
        <v>154</v>
      </c>
      <c r="I159" s="96" t="str">
        <f t="shared" si="11"/>
        <v/>
      </c>
      <c r="J159" s="95">
        <f t="shared" si="14"/>
        <v>-2</v>
      </c>
      <c r="K159" s="95">
        <f t="shared" si="12"/>
        <v>-20</v>
      </c>
      <c r="L159" s="95"/>
      <c r="M159" s="97">
        <f t="shared" si="13"/>
        <v>0</v>
      </c>
    </row>
    <row r="160" spans="1:13" x14ac:dyDescent="0.25">
      <c r="A160" s="116"/>
      <c r="G160" s="80"/>
      <c r="H160" s="95">
        <v>155</v>
      </c>
      <c r="I160" s="96" t="str">
        <f t="shared" si="11"/>
        <v/>
      </c>
      <c r="J160" s="95">
        <f t="shared" si="14"/>
        <v>-2</v>
      </c>
      <c r="K160" s="95">
        <f t="shared" si="12"/>
        <v>-20</v>
      </c>
      <c r="L160" s="95"/>
      <c r="M160" s="97">
        <f t="shared" si="13"/>
        <v>0</v>
      </c>
    </row>
    <row r="161" spans="1:13" x14ac:dyDescent="0.25">
      <c r="A161" s="116"/>
      <c r="G161" s="80"/>
      <c r="H161" s="95">
        <v>156</v>
      </c>
      <c r="I161" s="96" t="str">
        <f t="shared" si="11"/>
        <v/>
      </c>
      <c r="J161" s="95">
        <f t="shared" si="14"/>
        <v>-2</v>
      </c>
      <c r="K161" s="95">
        <f t="shared" si="12"/>
        <v>-20</v>
      </c>
      <c r="L161" s="95"/>
      <c r="M161" s="97">
        <f t="shared" si="13"/>
        <v>0</v>
      </c>
    </row>
    <row r="162" spans="1:13" x14ac:dyDescent="0.25">
      <c r="A162" s="116"/>
      <c r="G162" s="80"/>
      <c r="H162" s="95">
        <v>157</v>
      </c>
      <c r="I162" s="96" t="str">
        <f t="shared" si="11"/>
        <v/>
      </c>
      <c r="J162" s="95">
        <f t="shared" si="14"/>
        <v>-2</v>
      </c>
      <c r="K162" s="95">
        <f t="shared" si="12"/>
        <v>-20</v>
      </c>
      <c r="L162" s="95"/>
      <c r="M162" s="97">
        <f t="shared" si="13"/>
        <v>0</v>
      </c>
    </row>
    <row r="163" spans="1:13" x14ac:dyDescent="0.25">
      <c r="A163" s="116"/>
      <c r="G163" s="80"/>
      <c r="H163" s="95">
        <v>158</v>
      </c>
      <c r="I163" s="96" t="str">
        <f t="shared" si="11"/>
        <v/>
      </c>
      <c r="J163" s="95">
        <f t="shared" si="14"/>
        <v>-2</v>
      </c>
      <c r="K163" s="95">
        <f t="shared" si="12"/>
        <v>-20</v>
      </c>
      <c r="L163" s="95"/>
      <c r="M163" s="97">
        <f t="shared" si="13"/>
        <v>0</v>
      </c>
    </row>
    <row r="164" spans="1:13" x14ac:dyDescent="0.25">
      <c r="A164" s="116"/>
      <c r="G164" s="80"/>
      <c r="H164" s="95">
        <v>159</v>
      </c>
      <c r="I164" s="96" t="str">
        <f t="shared" si="11"/>
        <v/>
      </c>
      <c r="J164" s="95">
        <f t="shared" si="14"/>
        <v>-2</v>
      </c>
      <c r="K164" s="95">
        <f t="shared" si="12"/>
        <v>-20</v>
      </c>
      <c r="L164" s="95"/>
      <c r="M164" s="97">
        <f t="shared" si="13"/>
        <v>0</v>
      </c>
    </row>
    <row r="165" spans="1:13" x14ac:dyDescent="0.25">
      <c r="A165" s="116"/>
      <c r="G165" s="80"/>
      <c r="H165" s="95">
        <v>160</v>
      </c>
      <c r="I165" s="96" t="str">
        <f t="shared" si="11"/>
        <v/>
      </c>
      <c r="J165" s="95">
        <f t="shared" si="14"/>
        <v>-2</v>
      </c>
      <c r="K165" s="95">
        <f t="shared" si="12"/>
        <v>-20</v>
      </c>
      <c r="L165" s="95"/>
      <c r="M165" s="97">
        <f t="shared" si="13"/>
        <v>0</v>
      </c>
    </row>
    <row r="166" spans="1:13" x14ac:dyDescent="0.25">
      <c r="A166" s="116"/>
      <c r="G166" s="80"/>
      <c r="H166" s="95">
        <v>161</v>
      </c>
      <c r="I166" s="96" t="str">
        <f t="shared" si="11"/>
        <v/>
      </c>
      <c r="J166" s="95">
        <f t="shared" si="14"/>
        <v>-2</v>
      </c>
      <c r="K166" s="95">
        <f t="shared" si="12"/>
        <v>-20</v>
      </c>
      <c r="L166" s="95"/>
      <c r="M166" s="97">
        <f t="shared" si="13"/>
        <v>0</v>
      </c>
    </row>
    <row r="167" spans="1:13" x14ac:dyDescent="0.25">
      <c r="A167" s="116"/>
      <c r="G167" s="80"/>
      <c r="H167" s="95">
        <v>162</v>
      </c>
      <c r="I167" s="96" t="str">
        <f t="shared" si="11"/>
        <v/>
      </c>
      <c r="J167" s="95">
        <f t="shared" si="14"/>
        <v>-2</v>
      </c>
      <c r="K167" s="95">
        <f t="shared" si="12"/>
        <v>-20</v>
      </c>
      <c r="L167" s="95"/>
      <c r="M167" s="97">
        <f t="shared" si="13"/>
        <v>0</v>
      </c>
    </row>
    <row r="168" spans="1:13" x14ac:dyDescent="0.25">
      <c r="A168" s="116"/>
      <c r="G168" s="80"/>
      <c r="H168" s="95">
        <v>163</v>
      </c>
      <c r="I168" s="96" t="str">
        <f t="shared" si="11"/>
        <v/>
      </c>
      <c r="J168" s="95">
        <f t="shared" si="14"/>
        <v>-2</v>
      </c>
      <c r="K168" s="95">
        <f t="shared" si="12"/>
        <v>-20</v>
      </c>
      <c r="L168" s="95"/>
      <c r="M168" s="97">
        <f t="shared" si="13"/>
        <v>0</v>
      </c>
    </row>
    <row r="169" spans="1:13" x14ac:dyDescent="0.25">
      <c r="A169" s="116"/>
      <c r="G169" s="80"/>
      <c r="H169" s="95">
        <v>164</v>
      </c>
      <c r="I169" s="96" t="str">
        <f t="shared" si="11"/>
        <v/>
      </c>
      <c r="J169" s="95">
        <f t="shared" si="14"/>
        <v>-2</v>
      </c>
      <c r="K169" s="95">
        <f t="shared" si="12"/>
        <v>-20</v>
      </c>
      <c r="L169" s="95"/>
      <c r="M169" s="97">
        <f t="shared" si="13"/>
        <v>0</v>
      </c>
    </row>
    <row r="170" spans="1:13" x14ac:dyDescent="0.25">
      <c r="A170" s="116"/>
      <c r="G170" s="80"/>
      <c r="H170" s="95">
        <v>165</v>
      </c>
      <c r="I170" s="96" t="str">
        <f t="shared" si="11"/>
        <v/>
      </c>
      <c r="J170" s="95">
        <f t="shared" si="14"/>
        <v>-2</v>
      </c>
      <c r="K170" s="95">
        <f t="shared" si="12"/>
        <v>-20</v>
      </c>
      <c r="L170" s="95"/>
      <c r="M170" s="97">
        <f t="shared" si="13"/>
        <v>0</v>
      </c>
    </row>
    <row r="171" spans="1:13" x14ac:dyDescent="0.25">
      <c r="A171" s="116"/>
      <c r="G171" s="80"/>
      <c r="H171" s="95">
        <v>166</v>
      </c>
      <c r="I171" s="96" t="str">
        <f t="shared" si="11"/>
        <v/>
      </c>
      <c r="J171" s="95">
        <f t="shared" si="14"/>
        <v>-2</v>
      </c>
      <c r="K171" s="95">
        <f t="shared" si="12"/>
        <v>-20</v>
      </c>
      <c r="L171" s="95"/>
      <c r="M171" s="97">
        <f t="shared" si="13"/>
        <v>0</v>
      </c>
    </row>
    <row r="172" spans="1:13" x14ac:dyDescent="0.25">
      <c r="A172" s="116"/>
      <c r="G172" s="80"/>
      <c r="H172" s="95">
        <v>167</v>
      </c>
      <c r="I172" s="96" t="str">
        <f t="shared" si="11"/>
        <v/>
      </c>
      <c r="J172" s="95">
        <f t="shared" si="14"/>
        <v>-2</v>
      </c>
      <c r="K172" s="95">
        <f t="shared" si="12"/>
        <v>-20</v>
      </c>
      <c r="L172" s="95"/>
      <c r="M172" s="97">
        <f t="shared" si="13"/>
        <v>0</v>
      </c>
    </row>
    <row r="173" spans="1:13" x14ac:dyDescent="0.25">
      <c r="A173" s="116"/>
      <c r="G173" s="80"/>
      <c r="H173" s="95">
        <v>168</v>
      </c>
      <c r="I173" s="96" t="str">
        <f t="shared" si="11"/>
        <v/>
      </c>
      <c r="J173" s="95">
        <f t="shared" si="14"/>
        <v>-2</v>
      </c>
      <c r="K173" s="95">
        <f t="shared" si="12"/>
        <v>-20</v>
      </c>
      <c r="L173" s="95"/>
      <c r="M173" s="97">
        <f t="shared" si="13"/>
        <v>0</v>
      </c>
    </row>
    <row r="174" spans="1:13" x14ac:dyDescent="0.25">
      <c r="A174" s="116"/>
      <c r="G174" s="80"/>
      <c r="H174" s="95">
        <v>169</v>
      </c>
      <c r="I174" s="96" t="str">
        <f t="shared" si="11"/>
        <v/>
      </c>
      <c r="J174" s="95">
        <f t="shared" si="14"/>
        <v>-2</v>
      </c>
      <c r="K174" s="95">
        <f t="shared" si="12"/>
        <v>-20</v>
      </c>
      <c r="L174" s="95"/>
      <c r="M174" s="97">
        <f t="shared" si="13"/>
        <v>0</v>
      </c>
    </row>
    <row r="175" spans="1:13" x14ac:dyDescent="0.25">
      <c r="A175" s="116"/>
      <c r="G175" s="80"/>
      <c r="H175" s="95">
        <v>170</v>
      </c>
      <c r="I175" s="96" t="str">
        <f t="shared" si="11"/>
        <v/>
      </c>
      <c r="J175" s="95">
        <f t="shared" si="14"/>
        <v>-2</v>
      </c>
      <c r="K175" s="95">
        <f t="shared" si="12"/>
        <v>-20</v>
      </c>
      <c r="L175" s="95"/>
      <c r="M175" s="97">
        <f t="shared" si="13"/>
        <v>0</v>
      </c>
    </row>
    <row r="176" spans="1:13" x14ac:dyDescent="0.25">
      <c r="A176" s="116"/>
      <c r="G176" s="80"/>
      <c r="H176" s="95">
        <v>171</v>
      </c>
      <c r="I176" s="96" t="str">
        <f t="shared" si="11"/>
        <v/>
      </c>
      <c r="J176" s="95">
        <f t="shared" si="14"/>
        <v>-2</v>
      </c>
      <c r="K176" s="95">
        <f t="shared" si="12"/>
        <v>-20</v>
      </c>
      <c r="L176" s="95"/>
      <c r="M176" s="97">
        <f t="shared" si="13"/>
        <v>0</v>
      </c>
    </row>
    <row r="177" spans="1:13" x14ac:dyDescent="0.25">
      <c r="A177" s="116"/>
      <c r="G177" s="80"/>
      <c r="H177" s="95">
        <v>172</v>
      </c>
      <c r="I177" s="96" t="str">
        <f t="shared" si="11"/>
        <v/>
      </c>
      <c r="J177" s="95">
        <f t="shared" si="14"/>
        <v>-2</v>
      </c>
      <c r="K177" s="95">
        <f t="shared" si="12"/>
        <v>-20</v>
      </c>
      <c r="L177" s="95"/>
      <c r="M177" s="97">
        <f t="shared" si="13"/>
        <v>0</v>
      </c>
    </row>
    <row r="178" spans="1:13" x14ac:dyDescent="0.25">
      <c r="A178" s="116"/>
      <c r="G178" s="80"/>
      <c r="H178" s="95">
        <v>173</v>
      </c>
      <c r="I178" s="96" t="str">
        <f t="shared" si="11"/>
        <v/>
      </c>
      <c r="J178" s="95">
        <f t="shared" si="14"/>
        <v>-2</v>
      </c>
      <c r="K178" s="95">
        <f t="shared" si="12"/>
        <v>-20</v>
      </c>
      <c r="L178" s="95"/>
      <c r="M178" s="97">
        <f t="shared" si="13"/>
        <v>0</v>
      </c>
    </row>
    <row r="179" spans="1:13" x14ac:dyDescent="0.25">
      <c r="A179" s="116"/>
      <c r="G179" s="80"/>
      <c r="H179" s="95">
        <v>174</v>
      </c>
      <c r="I179" s="96" t="str">
        <f t="shared" si="11"/>
        <v/>
      </c>
      <c r="J179" s="95">
        <f t="shared" si="14"/>
        <v>-2</v>
      </c>
      <c r="K179" s="95">
        <f t="shared" si="12"/>
        <v>-20</v>
      </c>
      <c r="L179" s="95"/>
      <c r="M179" s="97">
        <f t="shared" si="13"/>
        <v>0</v>
      </c>
    </row>
    <row r="180" spans="1:13" x14ac:dyDescent="0.25">
      <c r="A180" s="116"/>
      <c r="G180" s="80"/>
      <c r="H180" s="95">
        <v>175</v>
      </c>
      <c r="I180" s="96" t="str">
        <f t="shared" si="11"/>
        <v/>
      </c>
      <c r="J180" s="95">
        <f t="shared" si="14"/>
        <v>-2</v>
      </c>
      <c r="K180" s="95">
        <f t="shared" si="12"/>
        <v>-20</v>
      </c>
      <c r="L180" s="95"/>
      <c r="M180" s="97">
        <f t="shared" si="13"/>
        <v>0</v>
      </c>
    </row>
    <row r="181" spans="1:13" x14ac:dyDescent="0.25">
      <c r="A181" s="116"/>
      <c r="G181" s="80"/>
      <c r="H181" s="95">
        <v>176</v>
      </c>
      <c r="I181" s="96" t="str">
        <f t="shared" si="11"/>
        <v/>
      </c>
      <c r="J181" s="95">
        <f t="shared" si="14"/>
        <v>-2</v>
      </c>
      <c r="K181" s="95">
        <f t="shared" si="12"/>
        <v>-20</v>
      </c>
      <c r="L181" s="95"/>
      <c r="M181" s="97">
        <f t="shared" si="13"/>
        <v>0</v>
      </c>
    </row>
    <row r="182" spans="1:13" x14ac:dyDescent="0.25">
      <c r="A182" s="116"/>
      <c r="G182" s="80"/>
      <c r="H182" s="95">
        <v>177</v>
      </c>
      <c r="I182" s="96" t="str">
        <f t="shared" si="11"/>
        <v/>
      </c>
      <c r="J182" s="95">
        <f t="shared" si="14"/>
        <v>-2</v>
      </c>
      <c r="K182" s="95">
        <f t="shared" si="12"/>
        <v>-20</v>
      </c>
      <c r="L182" s="95"/>
      <c r="M182" s="97">
        <f t="shared" si="13"/>
        <v>0</v>
      </c>
    </row>
    <row r="183" spans="1:13" x14ac:dyDescent="0.25">
      <c r="A183" s="116"/>
      <c r="G183" s="80"/>
      <c r="H183" s="95">
        <v>178</v>
      </c>
      <c r="I183" s="96" t="str">
        <f t="shared" si="11"/>
        <v/>
      </c>
      <c r="J183" s="95">
        <f t="shared" si="14"/>
        <v>-2</v>
      </c>
      <c r="K183" s="95">
        <f t="shared" si="12"/>
        <v>-20</v>
      </c>
      <c r="L183" s="95"/>
      <c r="M183" s="97">
        <f t="shared" si="13"/>
        <v>0</v>
      </c>
    </row>
    <row r="184" spans="1:13" x14ac:dyDescent="0.25">
      <c r="A184" s="116"/>
      <c r="G184" s="80"/>
      <c r="H184" s="95">
        <v>179</v>
      </c>
      <c r="I184" s="96" t="str">
        <f t="shared" si="11"/>
        <v/>
      </c>
      <c r="J184" s="95">
        <f t="shared" si="14"/>
        <v>-2</v>
      </c>
      <c r="K184" s="95">
        <f t="shared" si="12"/>
        <v>-20</v>
      </c>
      <c r="L184" s="95"/>
      <c r="M184" s="97">
        <f t="shared" si="13"/>
        <v>0</v>
      </c>
    </row>
    <row r="185" spans="1:13" x14ac:dyDescent="0.25">
      <c r="A185" s="116"/>
      <c r="G185" s="80"/>
      <c r="H185" s="95">
        <v>180</v>
      </c>
      <c r="I185" s="96" t="str">
        <f t="shared" si="11"/>
        <v/>
      </c>
      <c r="J185" s="95">
        <f t="shared" si="14"/>
        <v>-2</v>
      </c>
      <c r="K185" s="95">
        <f t="shared" si="12"/>
        <v>-20</v>
      </c>
      <c r="L185" s="95"/>
      <c r="M185" s="97">
        <f t="shared" si="13"/>
        <v>0</v>
      </c>
    </row>
    <row r="186" spans="1:13" x14ac:dyDescent="0.25">
      <c r="A186" s="116"/>
      <c r="G186" s="80"/>
      <c r="H186" s="95">
        <v>181</v>
      </c>
      <c r="I186" s="96" t="str">
        <f t="shared" si="11"/>
        <v/>
      </c>
      <c r="J186" s="95">
        <f t="shared" si="14"/>
        <v>-2</v>
      </c>
      <c r="K186" s="95">
        <f t="shared" si="12"/>
        <v>-20</v>
      </c>
      <c r="L186" s="95"/>
      <c r="M186" s="97">
        <f t="shared" si="13"/>
        <v>0</v>
      </c>
    </row>
    <row r="187" spans="1:13" x14ac:dyDescent="0.25">
      <c r="A187" s="116"/>
      <c r="G187" s="80"/>
      <c r="H187" s="95">
        <v>182</v>
      </c>
      <c r="I187" s="96" t="str">
        <f t="shared" si="11"/>
        <v/>
      </c>
      <c r="J187" s="95">
        <f t="shared" si="14"/>
        <v>-2</v>
      </c>
      <c r="K187" s="95">
        <f t="shared" si="12"/>
        <v>-20</v>
      </c>
      <c r="L187" s="95"/>
      <c r="M187" s="97">
        <f t="shared" si="13"/>
        <v>0</v>
      </c>
    </row>
    <row r="188" spans="1:13" x14ac:dyDescent="0.25">
      <c r="A188" s="116"/>
      <c r="G188" s="80"/>
      <c r="H188" s="95">
        <v>183</v>
      </c>
      <c r="I188" s="96" t="str">
        <f t="shared" si="11"/>
        <v/>
      </c>
      <c r="J188" s="95">
        <f t="shared" si="14"/>
        <v>-2</v>
      </c>
      <c r="K188" s="95">
        <f t="shared" si="12"/>
        <v>-20</v>
      </c>
      <c r="L188" s="95"/>
      <c r="M188" s="97">
        <f t="shared" si="13"/>
        <v>0</v>
      </c>
    </row>
    <row r="189" spans="1:13" x14ac:dyDescent="0.25">
      <c r="A189" s="116"/>
      <c r="G189" s="80"/>
      <c r="H189" s="95">
        <v>184</v>
      </c>
      <c r="I189" s="96" t="str">
        <f t="shared" si="11"/>
        <v/>
      </c>
      <c r="J189" s="95">
        <f t="shared" si="14"/>
        <v>-2</v>
      </c>
      <c r="K189" s="95">
        <f t="shared" si="12"/>
        <v>-20</v>
      </c>
      <c r="L189" s="95"/>
      <c r="M189" s="97">
        <f t="shared" si="13"/>
        <v>0</v>
      </c>
    </row>
    <row r="190" spans="1:13" x14ac:dyDescent="0.25">
      <c r="A190" s="116"/>
      <c r="G190" s="80"/>
      <c r="H190" s="95">
        <v>185</v>
      </c>
      <c r="I190" s="96" t="str">
        <f t="shared" si="11"/>
        <v/>
      </c>
      <c r="J190" s="95">
        <f t="shared" si="14"/>
        <v>-2</v>
      </c>
      <c r="K190" s="95">
        <f t="shared" si="12"/>
        <v>-20</v>
      </c>
      <c r="L190" s="95"/>
      <c r="M190" s="97">
        <f t="shared" si="13"/>
        <v>0</v>
      </c>
    </row>
    <row r="191" spans="1:13" x14ac:dyDescent="0.25">
      <c r="A191" s="116"/>
      <c r="G191" s="80"/>
      <c r="H191" s="95">
        <v>186</v>
      </c>
      <c r="I191" s="96" t="str">
        <f t="shared" si="11"/>
        <v/>
      </c>
      <c r="J191" s="95">
        <f t="shared" si="14"/>
        <v>-2</v>
      </c>
      <c r="K191" s="95">
        <f t="shared" si="12"/>
        <v>-20</v>
      </c>
      <c r="L191" s="95"/>
      <c r="M191" s="97">
        <f t="shared" si="13"/>
        <v>0</v>
      </c>
    </row>
    <row r="192" spans="1:13" x14ac:dyDescent="0.25">
      <c r="A192" s="116"/>
      <c r="G192" s="80"/>
      <c r="H192" s="95">
        <v>187</v>
      </c>
      <c r="I192" s="96" t="str">
        <f t="shared" si="11"/>
        <v/>
      </c>
      <c r="J192" s="95">
        <f t="shared" si="14"/>
        <v>-2</v>
      </c>
      <c r="K192" s="95">
        <f t="shared" si="12"/>
        <v>-20</v>
      </c>
      <c r="L192" s="95"/>
      <c r="M192" s="97">
        <f t="shared" si="13"/>
        <v>0</v>
      </c>
    </row>
    <row r="193" spans="1:13" x14ac:dyDescent="0.25">
      <c r="A193" s="116"/>
      <c r="G193" s="80"/>
      <c r="H193" s="95">
        <v>188</v>
      </c>
      <c r="I193" s="96" t="str">
        <f t="shared" si="11"/>
        <v/>
      </c>
      <c r="J193" s="95">
        <f t="shared" si="14"/>
        <v>-2</v>
      </c>
      <c r="K193" s="95">
        <f t="shared" si="12"/>
        <v>-20</v>
      </c>
      <c r="L193" s="95"/>
      <c r="M193" s="97">
        <f t="shared" si="13"/>
        <v>0</v>
      </c>
    </row>
    <row r="194" spans="1:13" x14ac:dyDescent="0.25">
      <c r="A194" s="116"/>
      <c r="G194" s="80"/>
      <c r="H194" s="95">
        <v>189</v>
      </c>
      <c r="I194" s="96" t="str">
        <f t="shared" si="11"/>
        <v/>
      </c>
      <c r="J194" s="95">
        <f t="shared" si="14"/>
        <v>-2</v>
      </c>
      <c r="K194" s="95">
        <f t="shared" si="12"/>
        <v>-20</v>
      </c>
      <c r="L194" s="95"/>
      <c r="M194" s="97">
        <f t="shared" si="13"/>
        <v>0</v>
      </c>
    </row>
    <row r="195" spans="1:13" x14ac:dyDescent="0.25">
      <c r="A195" s="116"/>
      <c r="G195" s="80"/>
      <c r="H195" s="95">
        <v>190</v>
      </c>
      <c r="I195" s="96" t="str">
        <f t="shared" si="11"/>
        <v/>
      </c>
      <c r="J195" s="95">
        <f t="shared" si="14"/>
        <v>-2</v>
      </c>
      <c r="K195" s="95">
        <f t="shared" si="12"/>
        <v>-20</v>
      </c>
      <c r="L195" s="95"/>
      <c r="M195" s="97">
        <f t="shared" si="13"/>
        <v>0</v>
      </c>
    </row>
    <row r="196" spans="1:13" x14ac:dyDescent="0.25">
      <c r="A196" s="116"/>
      <c r="G196" s="80"/>
      <c r="H196" s="95">
        <v>191</v>
      </c>
      <c r="I196" s="96" t="str">
        <f t="shared" si="11"/>
        <v/>
      </c>
      <c r="J196" s="95">
        <f t="shared" si="14"/>
        <v>-2</v>
      </c>
      <c r="K196" s="95">
        <f t="shared" si="12"/>
        <v>-20</v>
      </c>
      <c r="L196" s="95"/>
      <c r="M196" s="97">
        <f t="shared" si="13"/>
        <v>0</v>
      </c>
    </row>
    <row r="197" spans="1:13" x14ac:dyDescent="0.25">
      <c r="A197" s="116"/>
      <c r="G197" s="80"/>
      <c r="H197" s="95">
        <v>192</v>
      </c>
      <c r="I197" s="96" t="str">
        <f t="shared" si="11"/>
        <v/>
      </c>
      <c r="J197" s="95">
        <f t="shared" si="14"/>
        <v>-2</v>
      </c>
      <c r="K197" s="95">
        <f t="shared" si="12"/>
        <v>-20</v>
      </c>
      <c r="L197" s="95"/>
      <c r="M197" s="97">
        <f t="shared" si="13"/>
        <v>0</v>
      </c>
    </row>
    <row r="198" spans="1:13" x14ac:dyDescent="0.25">
      <c r="A198" s="116"/>
      <c r="G198" s="80"/>
      <c r="H198" s="95">
        <v>193</v>
      </c>
      <c r="I198" s="96" t="str">
        <f t="shared" ref="I198:I261" si="15">IF(H198&lt;$H$2+1,($I$2-($I$2-1)*(LOG(H198)/LOG($H$2))),"")</f>
        <v/>
      </c>
      <c r="J198" s="95">
        <f t="shared" si="14"/>
        <v>-2</v>
      </c>
      <c r="K198" s="95">
        <f t="shared" ref="K198:K261" si="16">J198*$J$2</f>
        <v>-20</v>
      </c>
      <c r="L198" s="95"/>
      <c r="M198" s="97">
        <f t="shared" ref="M198:M261" si="17">IF(I198&lt;&gt;"",K198+I198+L198,0)</f>
        <v>0</v>
      </c>
    </row>
    <row r="199" spans="1:13" x14ac:dyDescent="0.25">
      <c r="A199" s="116"/>
      <c r="G199" s="80"/>
      <c r="H199" s="95">
        <v>194</v>
      </c>
      <c r="I199" s="96" t="str">
        <f t="shared" si="15"/>
        <v/>
      </c>
      <c r="J199" s="95">
        <f t="shared" ref="J199:J262" si="18">INT(LOG($H$2,2))-ROUNDUP(LOG(H199,2),0)+IF(OR($H$2=1,$H$2=2,$H$2=4,$H$2=8,$H$2=16,$H$2=32,$H$2=64,$H$2=128,$H$2=256),0,1)</f>
        <v>-2</v>
      </c>
      <c r="K199" s="95">
        <f t="shared" si="16"/>
        <v>-20</v>
      </c>
      <c r="L199" s="95"/>
      <c r="M199" s="97">
        <f t="shared" si="17"/>
        <v>0</v>
      </c>
    </row>
    <row r="200" spans="1:13" x14ac:dyDescent="0.25">
      <c r="A200" s="116"/>
      <c r="G200" s="80"/>
      <c r="H200" s="95">
        <v>195</v>
      </c>
      <c r="I200" s="96" t="str">
        <f t="shared" si="15"/>
        <v/>
      </c>
      <c r="J200" s="95">
        <f t="shared" si="18"/>
        <v>-2</v>
      </c>
      <c r="K200" s="95">
        <f t="shared" si="16"/>
        <v>-20</v>
      </c>
      <c r="L200" s="95"/>
      <c r="M200" s="97">
        <f t="shared" si="17"/>
        <v>0</v>
      </c>
    </row>
    <row r="201" spans="1:13" x14ac:dyDescent="0.25">
      <c r="A201" s="116"/>
      <c r="G201" s="80"/>
      <c r="H201" s="95">
        <v>196</v>
      </c>
      <c r="I201" s="96" t="str">
        <f t="shared" si="15"/>
        <v/>
      </c>
      <c r="J201" s="95">
        <f t="shared" si="18"/>
        <v>-2</v>
      </c>
      <c r="K201" s="95">
        <f t="shared" si="16"/>
        <v>-20</v>
      </c>
      <c r="L201" s="95"/>
      <c r="M201" s="97">
        <f t="shared" si="17"/>
        <v>0</v>
      </c>
    </row>
    <row r="202" spans="1:13" x14ac:dyDescent="0.25">
      <c r="A202" s="116"/>
      <c r="G202" s="80"/>
      <c r="H202" s="95">
        <v>197</v>
      </c>
      <c r="I202" s="96" t="str">
        <f t="shared" si="15"/>
        <v/>
      </c>
      <c r="J202" s="95">
        <f t="shared" si="18"/>
        <v>-2</v>
      </c>
      <c r="K202" s="95">
        <f t="shared" si="16"/>
        <v>-20</v>
      </c>
      <c r="L202" s="95"/>
      <c r="M202" s="97">
        <f t="shared" si="17"/>
        <v>0</v>
      </c>
    </row>
    <row r="203" spans="1:13" x14ac:dyDescent="0.25">
      <c r="A203" s="116"/>
      <c r="G203" s="80"/>
      <c r="H203" s="95">
        <v>198</v>
      </c>
      <c r="I203" s="96" t="str">
        <f t="shared" si="15"/>
        <v/>
      </c>
      <c r="J203" s="95">
        <f t="shared" si="18"/>
        <v>-2</v>
      </c>
      <c r="K203" s="95">
        <f t="shared" si="16"/>
        <v>-20</v>
      </c>
      <c r="L203" s="95"/>
      <c r="M203" s="97">
        <f t="shared" si="17"/>
        <v>0</v>
      </c>
    </row>
    <row r="204" spans="1:13" x14ac:dyDescent="0.25">
      <c r="A204" s="116"/>
      <c r="G204" s="80"/>
      <c r="H204" s="95">
        <v>199</v>
      </c>
      <c r="I204" s="96" t="str">
        <f t="shared" si="15"/>
        <v/>
      </c>
      <c r="J204" s="95">
        <f t="shared" si="18"/>
        <v>-2</v>
      </c>
      <c r="K204" s="95">
        <f t="shared" si="16"/>
        <v>-20</v>
      </c>
      <c r="L204" s="95"/>
      <c r="M204" s="97">
        <f t="shared" si="17"/>
        <v>0</v>
      </c>
    </row>
    <row r="205" spans="1:13" x14ac:dyDescent="0.25">
      <c r="A205" s="116"/>
      <c r="G205" s="80"/>
      <c r="H205" s="95">
        <v>200</v>
      </c>
      <c r="I205" s="96" t="str">
        <f t="shared" si="15"/>
        <v/>
      </c>
      <c r="J205" s="95">
        <f t="shared" si="18"/>
        <v>-2</v>
      </c>
      <c r="K205" s="95">
        <f t="shared" si="16"/>
        <v>-20</v>
      </c>
      <c r="L205" s="95"/>
      <c r="M205" s="97">
        <f t="shared" si="17"/>
        <v>0</v>
      </c>
    </row>
    <row r="206" spans="1:13" x14ac:dyDescent="0.25">
      <c r="A206" s="116"/>
      <c r="G206" s="80"/>
      <c r="H206" s="95">
        <v>201</v>
      </c>
      <c r="I206" s="96" t="str">
        <f t="shared" si="15"/>
        <v/>
      </c>
      <c r="J206" s="95">
        <f t="shared" si="18"/>
        <v>-2</v>
      </c>
      <c r="K206" s="95">
        <f t="shared" si="16"/>
        <v>-20</v>
      </c>
      <c r="L206" s="95"/>
      <c r="M206" s="97">
        <f t="shared" si="17"/>
        <v>0</v>
      </c>
    </row>
    <row r="207" spans="1:13" x14ac:dyDescent="0.25">
      <c r="A207" s="116"/>
      <c r="G207" s="80"/>
      <c r="H207" s="95">
        <v>202</v>
      </c>
      <c r="I207" s="96" t="str">
        <f t="shared" si="15"/>
        <v/>
      </c>
      <c r="J207" s="95">
        <f t="shared" si="18"/>
        <v>-2</v>
      </c>
      <c r="K207" s="95">
        <f t="shared" si="16"/>
        <v>-20</v>
      </c>
      <c r="L207" s="95"/>
      <c r="M207" s="97">
        <f t="shared" si="17"/>
        <v>0</v>
      </c>
    </row>
    <row r="208" spans="1:13" x14ac:dyDescent="0.25">
      <c r="A208" s="116"/>
      <c r="G208" s="80"/>
      <c r="H208" s="95">
        <v>203</v>
      </c>
      <c r="I208" s="96" t="str">
        <f t="shared" si="15"/>
        <v/>
      </c>
      <c r="J208" s="95">
        <f t="shared" si="18"/>
        <v>-2</v>
      </c>
      <c r="K208" s="95">
        <f t="shared" si="16"/>
        <v>-20</v>
      </c>
      <c r="L208" s="95"/>
      <c r="M208" s="97">
        <f t="shared" si="17"/>
        <v>0</v>
      </c>
    </row>
    <row r="209" spans="1:13" x14ac:dyDescent="0.25">
      <c r="A209" s="116"/>
      <c r="G209" s="80"/>
      <c r="H209" s="95">
        <v>204</v>
      </c>
      <c r="I209" s="96" t="str">
        <f t="shared" si="15"/>
        <v/>
      </c>
      <c r="J209" s="95">
        <f t="shared" si="18"/>
        <v>-2</v>
      </c>
      <c r="K209" s="95">
        <f t="shared" si="16"/>
        <v>-20</v>
      </c>
      <c r="L209" s="95"/>
      <c r="M209" s="97">
        <f t="shared" si="17"/>
        <v>0</v>
      </c>
    </row>
    <row r="210" spans="1:13" x14ac:dyDescent="0.25">
      <c r="A210" s="116"/>
      <c r="G210" s="80"/>
      <c r="H210" s="95">
        <v>205</v>
      </c>
      <c r="I210" s="96" t="str">
        <f t="shared" si="15"/>
        <v/>
      </c>
      <c r="J210" s="95">
        <f t="shared" si="18"/>
        <v>-2</v>
      </c>
      <c r="K210" s="95">
        <f t="shared" si="16"/>
        <v>-20</v>
      </c>
      <c r="L210" s="95"/>
      <c r="M210" s="97">
        <f t="shared" si="17"/>
        <v>0</v>
      </c>
    </row>
    <row r="211" spans="1:13" x14ac:dyDescent="0.25">
      <c r="A211" s="116"/>
      <c r="G211" s="80"/>
      <c r="H211" s="95">
        <v>206</v>
      </c>
      <c r="I211" s="96" t="str">
        <f t="shared" si="15"/>
        <v/>
      </c>
      <c r="J211" s="95">
        <f t="shared" si="18"/>
        <v>-2</v>
      </c>
      <c r="K211" s="95">
        <f t="shared" si="16"/>
        <v>-20</v>
      </c>
      <c r="L211" s="95"/>
      <c r="M211" s="97">
        <f t="shared" si="17"/>
        <v>0</v>
      </c>
    </row>
    <row r="212" spans="1:13" x14ac:dyDescent="0.25">
      <c r="A212" s="116"/>
      <c r="G212" s="80"/>
      <c r="H212" s="95">
        <v>207</v>
      </c>
      <c r="I212" s="96" t="str">
        <f t="shared" si="15"/>
        <v/>
      </c>
      <c r="J212" s="95">
        <f t="shared" si="18"/>
        <v>-2</v>
      </c>
      <c r="K212" s="95">
        <f t="shared" si="16"/>
        <v>-20</v>
      </c>
      <c r="L212" s="95"/>
      <c r="M212" s="97">
        <f t="shared" si="17"/>
        <v>0</v>
      </c>
    </row>
    <row r="213" spans="1:13" x14ac:dyDescent="0.25">
      <c r="A213" s="116"/>
      <c r="G213" s="80"/>
      <c r="H213" s="95">
        <v>208</v>
      </c>
      <c r="I213" s="96" t="str">
        <f t="shared" si="15"/>
        <v/>
      </c>
      <c r="J213" s="95">
        <f t="shared" si="18"/>
        <v>-2</v>
      </c>
      <c r="K213" s="95">
        <f t="shared" si="16"/>
        <v>-20</v>
      </c>
      <c r="L213" s="95"/>
      <c r="M213" s="97">
        <f t="shared" si="17"/>
        <v>0</v>
      </c>
    </row>
    <row r="214" spans="1:13" x14ac:dyDescent="0.25">
      <c r="A214" s="116"/>
      <c r="G214" s="80"/>
      <c r="H214" s="95">
        <v>209</v>
      </c>
      <c r="I214" s="96" t="str">
        <f t="shared" si="15"/>
        <v/>
      </c>
      <c r="J214" s="95">
        <f t="shared" si="18"/>
        <v>-2</v>
      </c>
      <c r="K214" s="95">
        <f t="shared" si="16"/>
        <v>-20</v>
      </c>
      <c r="L214" s="95"/>
      <c r="M214" s="97">
        <f t="shared" si="17"/>
        <v>0</v>
      </c>
    </row>
    <row r="215" spans="1:13" x14ac:dyDescent="0.25">
      <c r="A215" s="116"/>
      <c r="G215" s="80"/>
      <c r="H215" s="95">
        <v>210</v>
      </c>
      <c r="I215" s="96" t="str">
        <f t="shared" si="15"/>
        <v/>
      </c>
      <c r="J215" s="95">
        <f t="shared" si="18"/>
        <v>-2</v>
      </c>
      <c r="K215" s="95">
        <f t="shared" si="16"/>
        <v>-20</v>
      </c>
      <c r="L215" s="95"/>
      <c r="M215" s="97">
        <f t="shared" si="17"/>
        <v>0</v>
      </c>
    </row>
    <row r="216" spans="1:13" x14ac:dyDescent="0.25">
      <c r="A216" s="116"/>
      <c r="G216" s="80"/>
      <c r="H216" s="95">
        <v>211</v>
      </c>
      <c r="I216" s="96" t="str">
        <f t="shared" si="15"/>
        <v/>
      </c>
      <c r="J216" s="95">
        <f t="shared" si="18"/>
        <v>-2</v>
      </c>
      <c r="K216" s="95">
        <f t="shared" si="16"/>
        <v>-20</v>
      </c>
      <c r="L216" s="95"/>
      <c r="M216" s="97">
        <f t="shared" si="17"/>
        <v>0</v>
      </c>
    </row>
    <row r="217" spans="1:13" x14ac:dyDescent="0.25">
      <c r="A217" s="116"/>
      <c r="G217" s="80"/>
      <c r="H217" s="95">
        <v>212</v>
      </c>
      <c r="I217" s="96" t="str">
        <f t="shared" si="15"/>
        <v/>
      </c>
      <c r="J217" s="95">
        <f t="shared" si="18"/>
        <v>-2</v>
      </c>
      <c r="K217" s="95">
        <f t="shared" si="16"/>
        <v>-20</v>
      </c>
      <c r="L217" s="95"/>
      <c r="M217" s="97">
        <f t="shared" si="17"/>
        <v>0</v>
      </c>
    </row>
    <row r="218" spans="1:13" x14ac:dyDescent="0.25">
      <c r="A218" s="116"/>
      <c r="G218" s="80"/>
      <c r="H218" s="95">
        <v>213</v>
      </c>
      <c r="I218" s="96" t="str">
        <f t="shared" si="15"/>
        <v/>
      </c>
      <c r="J218" s="95">
        <f t="shared" si="18"/>
        <v>-2</v>
      </c>
      <c r="K218" s="95">
        <f t="shared" si="16"/>
        <v>-20</v>
      </c>
      <c r="L218" s="95"/>
      <c r="M218" s="97">
        <f t="shared" si="17"/>
        <v>0</v>
      </c>
    </row>
    <row r="219" spans="1:13" x14ac:dyDescent="0.25">
      <c r="A219" s="116"/>
      <c r="G219" s="80"/>
      <c r="H219" s="95">
        <v>214</v>
      </c>
      <c r="I219" s="96" t="str">
        <f t="shared" si="15"/>
        <v/>
      </c>
      <c r="J219" s="95">
        <f t="shared" si="18"/>
        <v>-2</v>
      </c>
      <c r="K219" s="95">
        <f t="shared" si="16"/>
        <v>-20</v>
      </c>
      <c r="L219" s="95"/>
      <c r="M219" s="97">
        <f t="shared" si="17"/>
        <v>0</v>
      </c>
    </row>
    <row r="220" spans="1:13" x14ac:dyDescent="0.25">
      <c r="A220" s="116"/>
      <c r="G220" s="80"/>
      <c r="H220" s="95">
        <v>215</v>
      </c>
      <c r="I220" s="96" t="str">
        <f t="shared" si="15"/>
        <v/>
      </c>
      <c r="J220" s="95">
        <f t="shared" si="18"/>
        <v>-2</v>
      </c>
      <c r="K220" s="95">
        <f t="shared" si="16"/>
        <v>-20</v>
      </c>
      <c r="L220" s="95"/>
      <c r="M220" s="97">
        <f t="shared" si="17"/>
        <v>0</v>
      </c>
    </row>
    <row r="221" spans="1:13" x14ac:dyDescent="0.25">
      <c r="A221" s="116"/>
      <c r="G221" s="80"/>
      <c r="H221" s="95">
        <v>216</v>
      </c>
      <c r="I221" s="96" t="str">
        <f t="shared" si="15"/>
        <v/>
      </c>
      <c r="J221" s="95">
        <f t="shared" si="18"/>
        <v>-2</v>
      </c>
      <c r="K221" s="95">
        <f t="shared" si="16"/>
        <v>-20</v>
      </c>
      <c r="L221" s="95"/>
      <c r="M221" s="97">
        <f t="shared" si="17"/>
        <v>0</v>
      </c>
    </row>
    <row r="222" spans="1:13" x14ac:dyDescent="0.25">
      <c r="A222" s="116"/>
      <c r="G222" s="80"/>
      <c r="H222" s="95">
        <v>217</v>
      </c>
      <c r="I222" s="96" t="str">
        <f t="shared" si="15"/>
        <v/>
      </c>
      <c r="J222" s="95">
        <f t="shared" si="18"/>
        <v>-2</v>
      </c>
      <c r="K222" s="95">
        <f t="shared" si="16"/>
        <v>-20</v>
      </c>
      <c r="L222" s="95"/>
      <c r="M222" s="97">
        <f t="shared" si="17"/>
        <v>0</v>
      </c>
    </row>
    <row r="223" spans="1:13" x14ac:dyDescent="0.25">
      <c r="A223" s="116"/>
      <c r="G223" s="80"/>
      <c r="H223" s="95">
        <v>218</v>
      </c>
      <c r="I223" s="96" t="str">
        <f t="shared" si="15"/>
        <v/>
      </c>
      <c r="J223" s="95">
        <f t="shared" si="18"/>
        <v>-2</v>
      </c>
      <c r="K223" s="95">
        <f t="shared" si="16"/>
        <v>-20</v>
      </c>
      <c r="L223" s="95"/>
      <c r="M223" s="97">
        <f t="shared" si="17"/>
        <v>0</v>
      </c>
    </row>
    <row r="224" spans="1:13" x14ac:dyDescent="0.25">
      <c r="A224" s="116"/>
      <c r="G224" s="80"/>
      <c r="H224" s="95">
        <v>219</v>
      </c>
      <c r="I224" s="96" t="str">
        <f t="shared" si="15"/>
        <v/>
      </c>
      <c r="J224" s="95">
        <f t="shared" si="18"/>
        <v>-2</v>
      </c>
      <c r="K224" s="95">
        <f t="shared" si="16"/>
        <v>-20</v>
      </c>
      <c r="L224" s="95"/>
      <c r="M224" s="97">
        <f t="shared" si="17"/>
        <v>0</v>
      </c>
    </row>
    <row r="225" spans="1:13" x14ac:dyDescent="0.25">
      <c r="A225" s="116"/>
      <c r="G225" s="80"/>
      <c r="H225" s="95">
        <v>220</v>
      </c>
      <c r="I225" s="96" t="str">
        <f t="shared" si="15"/>
        <v/>
      </c>
      <c r="J225" s="95">
        <f t="shared" si="18"/>
        <v>-2</v>
      </c>
      <c r="K225" s="95">
        <f t="shared" si="16"/>
        <v>-20</v>
      </c>
      <c r="L225" s="95"/>
      <c r="M225" s="97">
        <f t="shared" si="17"/>
        <v>0</v>
      </c>
    </row>
    <row r="226" spans="1:13" x14ac:dyDescent="0.25">
      <c r="A226" s="116"/>
      <c r="G226" s="80"/>
      <c r="H226" s="95">
        <v>221</v>
      </c>
      <c r="I226" s="96" t="str">
        <f t="shared" si="15"/>
        <v/>
      </c>
      <c r="J226" s="95">
        <f t="shared" si="18"/>
        <v>-2</v>
      </c>
      <c r="K226" s="95">
        <f t="shared" si="16"/>
        <v>-20</v>
      </c>
      <c r="L226" s="95"/>
      <c r="M226" s="97">
        <f t="shared" si="17"/>
        <v>0</v>
      </c>
    </row>
    <row r="227" spans="1:13" x14ac:dyDescent="0.25">
      <c r="A227" s="116"/>
      <c r="G227" s="80"/>
      <c r="H227" s="95">
        <v>222</v>
      </c>
      <c r="I227" s="96" t="str">
        <f t="shared" si="15"/>
        <v/>
      </c>
      <c r="J227" s="95">
        <f t="shared" si="18"/>
        <v>-2</v>
      </c>
      <c r="K227" s="95">
        <f t="shared" si="16"/>
        <v>-20</v>
      </c>
      <c r="L227" s="95"/>
      <c r="M227" s="97">
        <f t="shared" si="17"/>
        <v>0</v>
      </c>
    </row>
    <row r="228" spans="1:13" x14ac:dyDescent="0.25">
      <c r="A228" s="116"/>
      <c r="G228" s="80"/>
      <c r="H228" s="95">
        <v>223</v>
      </c>
      <c r="I228" s="96" t="str">
        <f t="shared" si="15"/>
        <v/>
      </c>
      <c r="J228" s="95">
        <f t="shared" si="18"/>
        <v>-2</v>
      </c>
      <c r="K228" s="95">
        <f t="shared" si="16"/>
        <v>-20</v>
      </c>
      <c r="L228" s="95"/>
      <c r="M228" s="97">
        <f t="shared" si="17"/>
        <v>0</v>
      </c>
    </row>
    <row r="229" spans="1:13" x14ac:dyDescent="0.25">
      <c r="A229" s="116"/>
      <c r="G229" s="80"/>
      <c r="H229" s="95">
        <v>224</v>
      </c>
      <c r="I229" s="96" t="str">
        <f t="shared" si="15"/>
        <v/>
      </c>
      <c r="J229" s="95">
        <f t="shared" si="18"/>
        <v>-2</v>
      </c>
      <c r="K229" s="95">
        <f t="shared" si="16"/>
        <v>-20</v>
      </c>
      <c r="L229" s="95"/>
      <c r="M229" s="97">
        <f t="shared" si="17"/>
        <v>0</v>
      </c>
    </row>
    <row r="230" spans="1:13" x14ac:dyDescent="0.25">
      <c r="A230" s="116"/>
      <c r="G230" s="80"/>
      <c r="H230" s="95">
        <v>225</v>
      </c>
      <c r="I230" s="96" t="str">
        <f t="shared" si="15"/>
        <v/>
      </c>
      <c r="J230" s="95">
        <f t="shared" si="18"/>
        <v>-2</v>
      </c>
      <c r="K230" s="95">
        <f t="shared" si="16"/>
        <v>-20</v>
      </c>
      <c r="L230" s="95"/>
      <c r="M230" s="97">
        <f t="shared" si="17"/>
        <v>0</v>
      </c>
    </row>
    <row r="231" spans="1:13" x14ac:dyDescent="0.25">
      <c r="A231" s="116"/>
      <c r="G231" s="80"/>
      <c r="H231" s="95">
        <v>226</v>
      </c>
      <c r="I231" s="96" t="str">
        <f t="shared" si="15"/>
        <v/>
      </c>
      <c r="J231" s="95">
        <f t="shared" si="18"/>
        <v>-2</v>
      </c>
      <c r="K231" s="95">
        <f t="shared" si="16"/>
        <v>-20</v>
      </c>
      <c r="L231" s="95"/>
      <c r="M231" s="97">
        <f t="shared" si="17"/>
        <v>0</v>
      </c>
    </row>
    <row r="232" spans="1:13" x14ac:dyDescent="0.25">
      <c r="A232" s="116"/>
      <c r="G232" s="80"/>
      <c r="H232" s="95">
        <v>227</v>
      </c>
      <c r="I232" s="96" t="str">
        <f t="shared" si="15"/>
        <v/>
      </c>
      <c r="J232" s="95">
        <f t="shared" si="18"/>
        <v>-2</v>
      </c>
      <c r="K232" s="95">
        <f t="shared" si="16"/>
        <v>-20</v>
      </c>
      <c r="L232" s="95"/>
      <c r="M232" s="97">
        <f t="shared" si="17"/>
        <v>0</v>
      </c>
    </row>
    <row r="233" spans="1:13" x14ac:dyDescent="0.25">
      <c r="A233" s="116"/>
      <c r="G233" s="80"/>
      <c r="H233" s="95">
        <v>228</v>
      </c>
      <c r="I233" s="96" t="str">
        <f t="shared" si="15"/>
        <v/>
      </c>
      <c r="J233" s="95">
        <f t="shared" si="18"/>
        <v>-2</v>
      </c>
      <c r="K233" s="95">
        <f t="shared" si="16"/>
        <v>-20</v>
      </c>
      <c r="L233" s="95"/>
      <c r="M233" s="97">
        <f t="shared" si="17"/>
        <v>0</v>
      </c>
    </row>
    <row r="234" spans="1:13" x14ac:dyDescent="0.25">
      <c r="A234" s="116"/>
      <c r="G234" s="80"/>
      <c r="H234" s="95">
        <v>229</v>
      </c>
      <c r="I234" s="96" t="str">
        <f t="shared" si="15"/>
        <v/>
      </c>
      <c r="J234" s="95">
        <f t="shared" si="18"/>
        <v>-2</v>
      </c>
      <c r="K234" s="95">
        <f t="shared" si="16"/>
        <v>-20</v>
      </c>
      <c r="L234" s="95"/>
      <c r="M234" s="97">
        <f t="shared" si="17"/>
        <v>0</v>
      </c>
    </row>
    <row r="235" spans="1:13" x14ac:dyDescent="0.25">
      <c r="A235" s="116"/>
      <c r="G235" s="80"/>
      <c r="H235" s="95">
        <v>230</v>
      </c>
      <c r="I235" s="96" t="str">
        <f t="shared" si="15"/>
        <v/>
      </c>
      <c r="J235" s="95">
        <f t="shared" si="18"/>
        <v>-2</v>
      </c>
      <c r="K235" s="95">
        <f t="shared" si="16"/>
        <v>-20</v>
      </c>
      <c r="L235" s="95"/>
      <c r="M235" s="97">
        <f t="shared" si="17"/>
        <v>0</v>
      </c>
    </row>
    <row r="236" spans="1:13" x14ac:dyDescent="0.25">
      <c r="A236" s="116"/>
      <c r="G236" s="80"/>
      <c r="H236" s="95">
        <v>231</v>
      </c>
      <c r="I236" s="96" t="str">
        <f t="shared" si="15"/>
        <v/>
      </c>
      <c r="J236" s="95">
        <f t="shared" si="18"/>
        <v>-2</v>
      </c>
      <c r="K236" s="95">
        <f t="shared" si="16"/>
        <v>-20</v>
      </c>
      <c r="L236" s="95"/>
      <c r="M236" s="97">
        <f t="shared" si="17"/>
        <v>0</v>
      </c>
    </row>
    <row r="237" spans="1:13" x14ac:dyDescent="0.25">
      <c r="A237" s="116"/>
      <c r="G237" s="80"/>
      <c r="H237" s="95">
        <v>232</v>
      </c>
      <c r="I237" s="96" t="str">
        <f t="shared" si="15"/>
        <v/>
      </c>
      <c r="J237" s="95">
        <f t="shared" si="18"/>
        <v>-2</v>
      </c>
      <c r="K237" s="95">
        <f t="shared" si="16"/>
        <v>-20</v>
      </c>
      <c r="L237" s="95"/>
      <c r="M237" s="97">
        <f t="shared" si="17"/>
        <v>0</v>
      </c>
    </row>
    <row r="238" spans="1:13" x14ac:dyDescent="0.25">
      <c r="A238" s="116"/>
      <c r="G238" s="80"/>
      <c r="H238" s="95">
        <v>233</v>
      </c>
      <c r="I238" s="96" t="str">
        <f t="shared" si="15"/>
        <v/>
      </c>
      <c r="J238" s="95">
        <f t="shared" si="18"/>
        <v>-2</v>
      </c>
      <c r="K238" s="95">
        <f t="shared" si="16"/>
        <v>-20</v>
      </c>
      <c r="L238" s="95"/>
      <c r="M238" s="97">
        <f t="shared" si="17"/>
        <v>0</v>
      </c>
    </row>
    <row r="239" spans="1:13" x14ac:dyDescent="0.25">
      <c r="A239" s="116"/>
      <c r="G239" s="80"/>
      <c r="H239" s="95">
        <v>234</v>
      </c>
      <c r="I239" s="96" t="str">
        <f t="shared" si="15"/>
        <v/>
      </c>
      <c r="J239" s="95">
        <f t="shared" si="18"/>
        <v>-2</v>
      </c>
      <c r="K239" s="95">
        <f t="shared" si="16"/>
        <v>-20</v>
      </c>
      <c r="L239" s="95"/>
      <c r="M239" s="97">
        <f t="shared" si="17"/>
        <v>0</v>
      </c>
    </row>
    <row r="240" spans="1:13" x14ac:dyDescent="0.25">
      <c r="A240" s="116"/>
      <c r="G240" s="80"/>
      <c r="H240" s="95">
        <v>235</v>
      </c>
      <c r="I240" s="96" t="str">
        <f t="shared" si="15"/>
        <v/>
      </c>
      <c r="J240" s="95">
        <f t="shared" si="18"/>
        <v>-2</v>
      </c>
      <c r="K240" s="95">
        <f t="shared" si="16"/>
        <v>-20</v>
      </c>
      <c r="L240" s="95"/>
      <c r="M240" s="97">
        <f t="shared" si="17"/>
        <v>0</v>
      </c>
    </row>
    <row r="241" spans="1:13" x14ac:dyDescent="0.25">
      <c r="A241" s="116"/>
      <c r="G241" s="80"/>
      <c r="H241" s="95">
        <v>236</v>
      </c>
      <c r="I241" s="96" t="str">
        <f t="shared" si="15"/>
        <v/>
      </c>
      <c r="J241" s="95">
        <f t="shared" si="18"/>
        <v>-2</v>
      </c>
      <c r="K241" s="95">
        <f t="shared" si="16"/>
        <v>-20</v>
      </c>
      <c r="L241" s="95"/>
      <c r="M241" s="97">
        <f t="shared" si="17"/>
        <v>0</v>
      </c>
    </row>
    <row r="242" spans="1:13" x14ac:dyDescent="0.25">
      <c r="A242" s="116"/>
      <c r="G242" s="80"/>
      <c r="H242" s="95">
        <v>237</v>
      </c>
      <c r="I242" s="96" t="str">
        <f t="shared" si="15"/>
        <v/>
      </c>
      <c r="J242" s="95">
        <f t="shared" si="18"/>
        <v>-2</v>
      </c>
      <c r="K242" s="95">
        <f t="shared" si="16"/>
        <v>-20</v>
      </c>
      <c r="L242" s="95"/>
      <c r="M242" s="97">
        <f t="shared" si="17"/>
        <v>0</v>
      </c>
    </row>
    <row r="243" spans="1:13" x14ac:dyDescent="0.25">
      <c r="A243" s="116"/>
      <c r="G243" s="80"/>
      <c r="H243" s="95">
        <v>238</v>
      </c>
      <c r="I243" s="96" t="str">
        <f t="shared" si="15"/>
        <v/>
      </c>
      <c r="J243" s="95">
        <f t="shared" si="18"/>
        <v>-2</v>
      </c>
      <c r="K243" s="95">
        <f t="shared" si="16"/>
        <v>-20</v>
      </c>
      <c r="L243" s="95"/>
      <c r="M243" s="97">
        <f t="shared" si="17"/>
        <v>0</v>
      </c>
    </row>
    <row r="244" spans="1:13" x14ac:dyDescent="0.25">
      <c r="A244" s="116"/>
      <c r="G244" s="80"/>
      <c r="H244" s="95">
        <v>239</v>
      </c>
      <c r="I244" s="96" t="str">
        <f t="shared" si="15"/>
        <v/>
      </c>
      <c r="J244" s="95">
        <f t="shared" si="18"/>
        <v>-2</v>
      </c>
      <c r="K244" s="95">
        <f t="shared" si="16"/>
        <v>-20</v>
      </c>
      <c r="L244" s="95"/>
      <c r="M244" s="97">
        <f t="shared" si="17"/>
        <v>0</v>
      </c>
    </row>
    <row r="245" spans="1:13" x14ac:dyDescent="0.25">
      <c r="A245" s="116"/>
      <c r="G245" s="80"/>
      <c r="H245" s="95">
        <v>240</v>
      </c>
      <c r="I245" s="96" t="str">
        <f t="shared" si="15"/>
        <v/>
      </c>
      <c r="J245" s="95">
        <f t="shared" si="18"/>
        <v>-2</v>
      </c>
      <c r="K245" s="95">
        <f t="shared" si="16"/>
        <v>-20</v>
      </c>
      <c r="L245" s="95"/>
      <c r="M245" s="97">
        <f t="shared" si="17"/>
        <v>0</v>
      </c>
    </row>
    <row r="246" spans="1:13" x14ac:dyDescent="0.25">
      <c r="A246" s="116"/>
      <c r="G246" s="80"/>
      <c r="H246" s="95">
        <v>241</v>
      </c>
      <c r="I246" s="96" t="str">
        <f t="shared" si="15"/>
        <v/>
      </c>
      <c r="J246" s="95">
        <f t="shared" si="18"/>
        <v>-2</v>
      </c>
      <c r="K246" s="95">
        <f t="shared" si="16"/>
        <v>-20</v>
      </c>
      <c r="L246" s="95"/>
      <c r="M246" s="97">
        <f t="shared" si="17"/>
        <v>0</v>
      </c>
    </row>
    <row r="247" spans="1:13" x14ac:dyDescent="0.25">
      <c r="A247" s="116"/>
      <c r="G247" s="80"/>
      <c r="H247" s="95">
        <v>242</v>
      </c>
      <c r="I247" s="96" t="str">
        <f t="shared" si="15"/>
        <v/>
      </c>
      <c r="J247" s="95">
        <f t="shared" si="18"/>
        <v>-2</v>
      </c>
      <c r="K247" s="95">
        <f t="shared" si="16"/>
        <v>-20</v>
      </c>
      <c r="L247" s="95"/>
      <c r="M247" s="97">
        <f t="shared" si="17"/>
        <v>0</v>
      </c>
    </row>
    <row r="248" spans="1:13" x14ac:dyDescent="0.25">
      <c r="A248" s="116"/>
      <c r="G248" s="80"/>
      <c r="H248" s="95">
        <v>243</v>
      </c>
      <c r="I248" s="96" t="str">
        <f t="shared" si="15"/>
        <v/>
      </c>
      <c r="J248" s="95">
        <f t="shared" si="18"/>
        <v>-2</v>
      </c>
      <c r="K248" s="95">
        <f t="shared" si="16"/>
        <v>-20</v>
      </c>
      <c r="L248" s="95"/>
      <c r="M248" s="97">
        <f t="shared" si="17"/>
        <v>0</v>
      </c>
    </row>
    <row r="249" spans="1:13" x14ac:dyDescent="0.25">
      <c r="A249" s="116"/>
      <c r="G249" s="80"/>
      <c r="H249" s="95">
        <v>244</v>
      </c>
      <c r="I249" s="96" t="str">
        <f t="shared" si="15"/>
        <v/>
      </c>
      <c r="J249" s="95">
        <f t="shared" si="18"/>
        <v>-2</v>
      </c>
      <c r="K249" s="95">
        <f t="shared" si="16"/>
        <v>-20</v>
      </c>
      <c r="L249" s="95"/>
      <c r="M249" s="97">
        <f t="shared" si="17"/>
        <v>0</v>
      </c>
    </row>
    <row r="250" spans="1:13" x14ac:dyDescent="0.25">
      <c r="A250" s="116"/>
      <c r="G250" s="80"/>
      <c r="H250" s="95">
        <v>245</v>
      </c>
      <c r="I250" s="96" t="str">
        <f t="shared" si="15"/>
        <v/>
      </c>
      <c r="J250" s="95">
        <f t="shared" si="18"/>
        <v>-2</v>
      </c>
      <c r="K250" s="95">
        <f t="shared" si="16"/>
        <v>-20</v>
      </c>
      <c r="L250" s="95"/>
      <c r="M250" s="97">
        <f t="shared" si="17"/>
        <v>0</v>
      </c>
    </row>
    <row r="251" spans="1:13" x14ac:dyDescent="0.25">
      <c r="A251" s="116"/>
      <c r="G251" s="80"/>
      <c r="H251" s="95">
        <v>246</v>
      </c>
      <c r="I251" s="96" t="str">
        <f t="shared" si="15"/>
        <v/>
      </c>
      <c r="J251" s="95">
        <f t="shared" si="18"/>
        <v>-2</v>
      </c>
      <c r="K251" s="95">
        <f t="shared" si="16"/>
        <v>-20</v>
      </c>
      <c r="L251" s="95"/>
      <c r="M251" s="97">
        <f t="shared" si="17"/>
        <v>0</v>
      </c>
    </row>
    <row r="252" spans="1:13" x14ac:dyDescent="0.25">
      <c r="A252" s="116"/>
      <c r="G252" s="80"/>
      <c r="H252" s="95">
        <v>247</v>
      </c>
      <c r="I252" s="96" t="str">
        <f t="shared" si="15"/>
        <v/>
      </c>
      <c r="J252" s="95">
        <f t="shared" si="18"/>
        <v>-2</v>
      </c>
      <c r="K252" s="95">
        <f t="shared" si="16"/>
        <v>-20</v>
      </c>
      <c r="L252" s="95"/>
      <c r="M252" s="97">
        <f t="shared" si="17"/>
        <v>0</v>
      </c>
    </row>
    <row r="253" spans="1:13" x14ac:dyDescent="0.25">
      <c r="A253" s="116"/>
      <c r="G253" s="80"/>
      <c r="H253" s="95">
        <v>248</v>
      </c>
      <c r="I253" s="96" t="str">
        <f t="shared" si="15"/>
        <v/>
      </c>
      <c r="J253" s="95">
        <f t="shared" si="18"/>
        <v>-2</v>
      </c>
      <c r="K253" s="95">
        <f t="shared" si="16"/>
        <v>-20</v>
      </c>
      <c r="L253" s="95"/>
      <c r="M253" s="97">
        <f t="shared" si="17"/>
        <v>0</v>
      </c>
    </row>
    <row r="254" spans="1:13" x14ac:dyDescent="0.25">
      <c r="A254" s="116"/>
      <c r="G254" s="80"/>
      <c r="H254" s="95">
        <v>249</v>
      </c>
      <c r="I254" s="96" t="str">
        <f t="shared" si="15"/>
        <v/>
      </c>
      <c r="J254" s="95">
        <f t="shared" si="18"/>
        <v>-2</v>
      </c>
      <c r="K254" s="95">
        <f t="shared" si="16"/>
        <v>-20</v>
      </c>
      <c r="L254" s="95"/>
      <c r="M254" s="97">
        <f t="shared" si="17"/>
        <v>0</v>
      </c>
    </row>
    <row r="255" spans="1:13" x14ac:dyDescent="0.25">
      <c r="A255" s="116"/>
      <c r="G255" s="80"/>
      <c r="H255" s="95">
        <v>250</v>
      </c>
      <c r="I255" s="96" t="str">
        <f t="shared" si="15"/>
        <v/>
      </c>
      <c r="J255" s="95">
        <f t="shared" si="18"/>
        <v>-2</v>
      </c>
      <c r="K255" s="95">
        <f t="shared" si="16"/>
        <v>-20</v>
      </c>
      <c r="L255" s="95"/>
      <c r="M255" s="97">
        <f t="shared" si="17"/>
        <v>0</v>
      </c>
    </row>
    <row r="256" spans="1:13" x14ac:dyDescent="0.25">
      <c r="A256" s="116"/>
      <c r="G256" s="80"/>
      <c r="H256" s="95">
        <v>251</v>
      </c>
      <c r="I256" s="96" t="str">
        <f t="shared" si="15"/>
        <v/>
      </c>
      <c r="J256" s="95">
        <f t="shared" si="18"/>
        <v>-2</v>
      </c>
      <c r="K256" s="95">
        <f t="shared" si="16"/>
        <v>-20</v>
      </c>
      <c r="L256" s="95"/>
      <c r="M256" s="97">
        <f t="shared" si="17"/>
        <v>0</v>
      </c>
    </row>
    <row r="257" spans="1:13" x14ac:dyDescent="0.25">
      <c r="A257" s="116"/>
      <c r="G257" s="80"/>
      <c r="H257" s="95">
        <v>252</v>
      </c>
      <c r="I257" s="96" t="str">
        <f t="shared" si="15"/>
        <v/>
      </c>
      <c r="J257" s="95">
        <f t="shared" si="18"/>
        <v>-2</v>
      </c>
      <c r="K257" s="95">
        <f t="shared" si="16"/>
        <v>-20</v>
      </c>
      <c r="L257" s="95"/>
      <c r="M257" s="97">
        <f t="shared" si="17"/>
        <v>0</v>
      </c>
    </row>
    <row r="258" spans="1:13" x14ac:dyDescent="0.25">
      <c r="A258" s="116"/>
      <c r="G258" s="80"/>
      <c r="H258" s="95">
        <v>253</v>
      </c>
      <c r="I258" s="96" t="str">
        <f t="shared" si="15"/>
        <v/>
      </c>
      <c r="J258" s="95">
        <f t="shared" si="18"/>
        <v>-2</v>
      </c>
      <c r="K258" s="95">
        <f t="shared" si="16"/>
        <v>-20</v>
      </c>
      <c r="L258" s="95"/>
      <c r="M258" s="97">
        <f t="shared" si="17"/>
        <v>0</v>
      </c>
    </row>
    <row r="259" spans="1:13" x14ac:dyDescent="0.25">
      <c r="A259" s="116"/>
      <c r="G259" s="80"/>
      <c r="H259" s="95">
        <v>254</v>
      </c>
      <c r="I259" s="96" t="str">
        <f t="shared" si="15"/>
        <v/>
      </c>
      <c r="J259" s="95">
        <f t="shared" si="18"/>
        <v>-2</v>
      </c>
      <c r="K259" s="95">
        <f t="shared" si="16"/>
        <v>-20</v>
      </c>
      <c r="L259" s="95"/>
      <c r="M259" s="97">
        <f t="shared" si="17"/>
        <v>0</v>
      </c>
    </row>
    <row r="260" spans="1:13" x14ac:dyDescent="0.25">
      <c r="A260" s="116"/>
      <c r="G260" s="80"/>
      <c r="H260" s="95">
        <v>255</v>
      </c>
      <c r="I260" s="96" t="str">
        <f t="shared" si="15"/>
        <v/>
      </c>
      <c r="J260" s="95">
        <f t="shared" si="18"/>
        <v>-2</v>
      </c>
      <c r="K260" s="95">
        <f t="shared" si="16"/>
        <v>-20</v>
      </c>
      <c r="L260" s="95"/>
      <c r="M260" s="97">
        <f t="shared" si="17"/>
        <v>0</v>
      </c>
    </row>
    <row r="261" spans="1:13" x14ac:dyDescent="0.25">
      <c r="A261" s="116"/>
      <c r="G261" s="80"/>
      <c r="H261" s="95">
        <v>256</v>
      </c>
      <c r="I261" s="96" t="str">
        <f t="shared" si="15"/>
        <v/>
      </c>
      <c r="J261" s="95">
        <f t="shared" si="18"/>
        <v>-2</v>
      </c>
      <c r="K261" s="95">
        <f t="shared" si="16"/>
        <v>-20</v>
      </c>
      <c r="L261" s="95"/>
      <c r="M261" s="97">
        <f t="shared" si="17"/>
        <v>0</v>
      </c>
    </row>
    <row r="262" spans="1:13" x14ac:dyDescent="0.25">
      <c r="A262" s="116"/>
      <c r="G262" s="80"/>
      <c r="H262" s="95">
        <v>257</v>
      </c>
      <c r="I262" s="96" t="str">
        <f t="shared" ref="I262:I305" si="19">IF(H262&lt;$H$2+1,($I$2-($I$2-1)*(LOG(H262)/LOG($H$2))),"")</f>
        <v/>
      </c>
      <c r="J262" s="95">
        <f t="shared" si="18"/>
        <v>-3</v>
      </c>
      <c r="K262" s="95">
        <f t="shared" ref="K262:K305" si="20">J262*$J$2</f>
        <v>-30</v>
      </c>
      <c r="L262" s="95"/>
      <c r="M262" s="97">
        <f t="shared" ref="M262:M305" si="21">IF(I262&lt;&gt;"",K262+I262+L262,0)</f>
        <v>0</v>
      </c>
    </row>
    <row r="263" spans="1:13" x14ac:dyDescent="0.25">
      <c r="A263" s="116"/>
      <c r="G263" s="80"/>
      <c r="H263" s="95">
        <v>258</v>
      </c>
      <c r="I263" s="96" t="str">
        <f t="shared" si="19"/>
        <v/>
      </c>
      <c r="J263" s="95">
        <f t="shared" ref="J263:J326" si="22">INT(LOG($H$2,2))-ROUNDUP(LOG(H263,2),0)+IF(OR($H$2=1,$H$2=2,$H$2=4,$H$2=8,$H$2=16,$H$2=32,$H$2=64,$H$2=128,$H$2=256),0,1)</f>
        <v>-3</v>
      </c>
      <c r="K263" s="95">
        <f t="shared" si="20"/>
        <v>-30</v>
      </c>
      <c r="L263" s="95"/>
      <c r="M263" s="97">
        <f t="shared" si="21"/>
        <v>0</v>
      </c>
    </row>
    <row r="264" spans="1:13" x14ac:dyDescent="0.25">
      <c r="A264" s="116"/>
      <c r="G264" s="80"/>
      <c r="H264" s="95">
        <v>259</v>
      </c>
      <c r="I264" s="96" t="str">
        <f t="shared" si="19"/>
        <v/>
      </c>
      <c r="J264" s="95">
        <f t="shared" si="22"/>
        <v>-3</v>
      </c>
      <c r="K264" s="95">
        <f t="shared" si="20"/>
        <v>-30</v>
      </c>
      <c r="L264" s="95"/>
      <c r="M264" s="97">
        <f t="shared" si="21"/>
        <v>0</v>
      </c>
    </row>
    <row r="265" spans="1:13" x14ac:dyDescent="0.25">
      <c r="A265" s="116"/>
      <c r="G265" s="80"/>
      <c r="H265" s="95">
        <v>260</v>
      </c>
      <c r="I265" s="96" t="str">
        <f t="shared" si="19"/>
        <v/>
      </c>
      <c r="J265" s="95">
        <f t="shared" si="22"/>
        <v>-3</v>
      </c>
      <c r="K265" s="95">
        <f t="shared" si="20"/>
        <v>-30</v>
      </c>
      <c r="L265" s="95"/>
      <c r="M265" s="97">
        <f t="shared" si="21"/>
        <v>0</v>
      </c>
    </row>
    <row r="266" spans="1:13" x14ac:dyDescent="0.25">
      <c r="A266" s="116"/>
      <c r="G266" s="80"/>
      <c r="H266" s="95">
        <v>261</v>
      </c>
      <c r="I266" s="96" t="str">
        <f t="shared" si="19"/>
        <v/>
      </c>
      <c r="J266" s="95">
        <f t="shared" si="22"/>
        <v>-3</v>
      </c>
      <c r="K266" s="95">
        <f t="shared" si="20"/>
        <v>-30</v>
      </c>
      <c r="L266" s="95"/>
      <c r="M266" s="97">
        <f t="shared" si="21"/>
        <v>0</v>
      </c>
    </row>
    <row r="267" spans="1:13" x14ac:dyDescent="0.25">
      <c r="A267" s="116"/>
      <c r="G267" s="80"/>
      <c r="H267" s="95">
        <v>262</v>
      </c>
      <c r="I267" s="96" t="str">
        <f t="shared" si="19"/>
        <v/>
      </c>
      <c r="J267" s="95">
        <f t="shared" si="22"/>
        <v>-3</v>
      </c>
      <c r="K267" s="95">
        <f t="shared" si="20"/>
        <v>-30</v>
      </c>
      <c r="L267" s="95"/>
      <c r="M267" s="97">
        <f t="shared" si="21"/>
        <v>0</v>
      </c>
    </row>
    <row r="268" spans="1:13" x14ac:dyDescent="0.25">
      <c r="A268" s="116"/>
      <c r="G268" s="80"/>
      <c r="H268" s="95">
        <v>263</v>
      </c>
      <c r="I268" s="96" t="str">
        <f t="shared" si="19"/>
        <v/>
      </c>
      <c r="J268" s="95">
        <f t="shared" si="22"/>
        <v>-3</v>
      </c>
      <c r="K268" s="95">
        <f t="shared" si="20"/>
        <v>-30</v>
      </c>
      <c r="L268" s="95"/>
      <c r="M268" s="97">
        <f t="shared" si="21"/>
        <v>0</v>
      </c>
    </row>
    <row r="269" spans="1:13" x14ac:dyDescent="0.25">
      <c r="A269" s="116"/>
      <c r="G269" s="80"/>
      <c r="H269" s="95">
        <v>264</v>
      </c>
      <c r="I269" s="96" t="str">
        <f t="shared" si="19"/>
        <v/>
      </c>
      <c r="J269" s="95">
        <f t="shared" si="22"/>
        <v>-3</v>
      </c>
      <c r="K269" s="95">
        <f t="shared" si="20"/>
        <v>-30</v>
      </c>
      <c r="L269" s="95"/>
      <c r="M269" s="97">
        <f t="shared" si="21"/>
        <v>0</v>
      </c>
    </row>
    <row r="270" spans="1:13" x14ac:dyDescent="0.25">
      <c r="A270" s="116"/>
      <c r="G270" s="80"/>
      <c r="H270" s="95">
        <v>265</v>
      </c>
      <c r="I270" s="96" t="str">
        <f t="shared" si="19"/>
        <v/>
      </c>
      <c r="J270" s="95">
        <f t="shared" si="22"/>
        <v>-3</v>
      </c>
      <c r="K270" s="95">
        <f t="shared" si="20"/>
        <v>-30</v>
      </c>
      <c r="L270" s="95"/>
      <c r="M270" s="97">
        <f t="shared" si="21"/>
        <v>0</v>
      </c>
    </row>
    <row r="271" spans="1:13" x14ac:dyDescent="0.25">
      <c r="A271" s="116"/>
      <c r="G271" s="80"/>
      <c r="H271" s="95">
        <v>266</v>
      </c>
      <c r="I271" s="96" t="str">
        <f t="shared" si="19"/>
        <v/>
      </c>
      <c r="J271" s="95">
        <f t="shared" si="22"/>
        <v>-3</v>
      </c>
      <c r="K271" s="95">
        <f t="shared" si="20"/>
        <v>-30</v>
      </c>
      <c r="L271" s="95"/>
      <c r="M271" s="97">
        <f t="shared" si="21"/>
        <v>0</v>
      </c>
    </row>
    <row r="272" spans="1:13" x14ac:dyDescent="0.25">
      <c r="A272" s="116"/>
      <c r="G272" s="80"/>
      <c r="H272" s="95">
        <v>267</v>
      </c>
      <c r="I272" s="96" t="str">
        <f t="shared" si="19"/>
        <v/>
      </c>
      <c r="J272" s="95">
        <f t="shared" si="22"/>
        <v>-3</v>
      </c>
      <c r="K272" s="95">
        <f t="shared" si="20"/>
        <v>-30</v>
      </c>
      <c r="L272" s="95"/>
      <c r="M272" s="97">
        <f t="shared" si="21"/>
        <v>0</v>
      </c>
    </row>
    <row r="273" spans="1:13" x14ac:dyDescent="0.25">
      <c r="A273" s="116"/>
      <c r="G273" s="80"/>
      <c r="H273" s="95">
        <v>268</v>
      </c>
      <c r="I273" s="96" t="str">
        <f t="shared" si="19"/>
        <v/>
      </c>
      <c r="J273" s="95">
        <f t="shared" si="22"/>
        <v>-3</v>
      </c>
      <c r="K273" s="95">
        <f t="shared" si="20"/>
        <v>-30</v>
      </c>
      <c r="L273" s="95"/>
      <c r="M273" s="97">
        <f t="shared" si="21"/>
        <v>0</v>
      </c>
    </row>
    <row r="274" spans="1:13" x14ac:dyDescent="0.25">
      <c r="A274" s="116"/>
      <c r="G274" s="80"/>
      <c r="H274" s="95">
        <v>269</v>
      </c>
      <c r="I274" s="96" t="str">
        <f t="shared" si="19"/>
        <v/>
      </c>
      <c r="J274" s="95">
        <f t="shared" si="22"/>
        <v>-3</v>
      </c>
      <c r="K274" s="95">
        <f t="shared" si="20"/>
        <v>-30</v>
      </c>
      <c r="L274" s="95"/>
      <c r="M274" s="97">
        <f t="shared" si="21"/>
        <v>0</v>
      </c>
    </row>
    <row r="275" spans="1:13" x14ac:dyDescent="0.25">
      <c r="A275" s="116"/>
      <c r="G275" s="80"/>
      <c r="H275" s="95">
        <v>270</v>
      </c>
      <c r="I275" s="96" t="str">
        <f t="shared" si="19"/>
        <v/>
      </c>
      <c r="J275" s="95">
        <f t="shared" si="22"/>
        <v>-3</v>
      </c>
      <c r="K275" s="95">
        <f t="shared" si="20"/>
        <v>-30</v>
      </c>
      <c r="L275" s="95"/>
      <c r="M275" s="97">
        <f t="shared" si="21"/>
        <v>0</v>
      </c>
    </row>
    <row r="276" spans="1:13" x14ac:dyDescent="0.25">
      <c r="A276" s="116"/>
      <c r="G276" s="80"/>
      <c r="H276" s="95">
        <v>271</v>
      </c>
      <c r="I276" s="96" t="str">
        <f t="shared" si="19"/>
        <v/>
      </c>
      <c r="J276" s="95">
        <f t="shared" si="22"/>
        <v>-3</v>
      </c>
      <c r="K276" s="95">
        <f t="shared" si="20"/>
        <v>-30</v>
      </c>
      <c r="L276" s="95"/>
      <c r="M276" s="97">
        <f t="shared" si="21"/>
        <v>0</v>
      </c>
    </row>
    <row r="277" spans="1:13" x14ac:dyDescent="0.25">
      <c r="A277" s="116"/>
      <c r="G277" s="80"/>
      <c r="H277" s="95">
        <v>272</v>
      </c>
      <c r="I277" s="96" t="str">
        <f t="shared" si="19"/>
        <v/>
      </c>
      <c r="J277" s="95">
        <f t="shared" si="22"/>
        <v>-3</v>
      </c>
      <c r="K277" s="95">
        <f t="shared" si="20"/>
        <v>-30</v>
      </c>
      <c r="L277" s="95"/>
      <c r="M277" s="97">
        <f t="shared" si="21"/>
        <v>0</v>
      </c>
    </row>
    <row r="278" spans="1:13" x14ac:dyDescent="0.25">
      <c r="A278" s="116"/>
      <c r="G278" s="80"/>
      <c r="H278" s="95">
        <v>273</v>
      </c>
      <c r="I278" s="96" t="str">
        <f t="shared" si="19"/>
        <v/>
      </c>
      <c r="J278" s="95">
        <f t="shared" si="22"/>
        <v>-3</v>
      </c>
      <c r="K278" s="95">
        <f t="shared" si="20"/>
        <v>-30</v>
      </c>
      <c r="L278" s="95"/>
      <c r="M278" s="97">
        <f t="shared" si="21"/>
        <v>0</v>
      </c>
    </row>
    <row r="279" spans="1:13" x14ac:dyDescent="0.25">
      <c r="A279" s="116"/>
      <c r="G279" s="80"/>
      <c r="H279" s="95">
        <v>274</v>
      </c>
      <c r="I279" s="96" t="str">
        <f t="shared" si="19"/>
        <v/>
      </c>
      <c r="J279" s="95">
        <f t="shared" si="22"/>
        <v>-3</v>
      </c>
      <c r="K279" s="95">
        <f t="shared" si="20"/>
        <v>-30</v>
      </c>
      <c r="L279" s="95"/>
      <c r="M279" s="97">
        <f t="shared" si="21"/>
        <v>0</v>
      </c>
    </row>
    <row r="280" spans="1:13" x14ac:dyDescent="0.25">
      <c r="A280" s="116"/>
      <c r="G280" s="80"/>
      <c r="H280" s="95">
        <v>275</v>
      </c>
      <c r="I280" s="96" t="str">
        <f t="shared" si="19"/>
        <v/>
      </c>
      <c r="J280" s="95">
        <f t="shared" si="22"/>
        <v>-3</v>
      </c>
      <c r="K280" s="95">
        <f t="shared" si="20"/>
        <v>-30</v>
      </c>
      <c r="L280" s="95"/>
      <c r="M280" s="97">
        <f t="shared" si="21"/>
        <v>0</v>
      </c>
    </row>
    <row r="281" spans="1:13" x14ac:dyDescent="0.25">
      <c r="A281" s="116"/>
      <c r="G281" s="80"/>
      <c r="H281" s="95">
        <v>276</v>
      </c>
      <c r="I281" s="96" t="str">
        <f t="shared" si="19"/>
        <v/>
      </c>
      <c r="J281" s="95">
        <f t="shared" si="22"/>
        <v>-3</v>
      </c>
      <c r="K281" s="95">
        <f t="shared" si="20"/>
        <v>-30</v>
      </c>
      <c r="L281" s="95"/>
      <c r="M281" s="97">
        <f t="shared" si="21"/>
        <v>0</v>
      </c>
    </row>
    <row r="282" spans="1:13" x14ac:dyDescent="0.25">
      <c r="A282" s="116"/>
      <c r="G282" s="80"/>
      <c r="H282" s="95">
        <v>277</v>
      </c>
      <c r="I282" s="96" t="str">
        <f t="shared" si="19"/>
        <v/>
      </c>
      <c r="J282" s="95">
        <f t="shared" si="22"/>
        <v>-3</v>
      </c>
      <c r="K282" s="95">
        <f t="shared" si="20"/>
        <v>-30</v>
      </c>
      <c r="L282" s="95"/>
      <c r="M282" s="97">
        <f t="shared" si="21"/>
        <v>0</v>
      </c>
    </row>
    <row r="283" spans="1:13" x14ac:dyDescent="0.25">
      <c r="A283" s="116"/>
      <c r="G283" s="80"/>
      <c r="H283" s="95">
        <v>278</v>
      </c>
      <c r="I283" s="96" t="str">
        <f t="shared" si="19"/>
        <v/>
      </c>
      <c r="J283" s="95">
        <f t="shared" si="22"/>
        <v>-3</v>
      </c>
      <c r="K283" s="95">
        <f t="shared" si="20"/>
        <v>-30</v>
      </c>
      <c r="L283" s="95"/>
      <c r="M283" s="97">
        <f t="shared" si="21"/>
        <v>0</v>
      </c>
    </row>
    <row r="284" spans="1:13" x14ac:dyDescent="0.25">
      <c r="A284" s="116"/>
      <c r="G284" s="80"/>
      <c r="H284" s="95">
        <v>279</v>
      </c>
      <c r="I284" s="96" t="str">
        <f t="shared" si="19"/>
        <v/>
      </c>
      <c r="J284" s="95">
        <f t="shared" si="22"/>
        <v>-3</v>
      </c>
      <c r="K284" s="95">
        <f t="shared" si="20"/>
        <v>-30</v>
      </c>
      <c r="L284" s="95"/>
      <c r="M284" s="97">
        <f t="shared" si="21"/>
        <v>0</v>
      </c>
    </row>
    <row r="285" spans="1:13" x14ac:dyDescent="0.25">
      <c r="A285" s="116"/>
      <c r="G285" s="80"/>
      <c r="H285" s="95">
        <v>280</v>
      </c>
      <c r="I285" s="96" t="str">
        <f t="shared" si="19"/>
        <v/>
      </c>
      <c r="J285" s="95">
        <f t="shared" si="22"/>
        <v>-3</v>
      </c>
      <c r="K285" s="95">
        <f t="shared" si="20"/>
        <v>-30</v>
      </c>
      <c r="L285" s="95"/>
      <c r="M285" s="97">
        <f t="shared" si="21"/>
        <v>0</v>
      </c>
    </row>
    <row r="286" spans="1:13" x14ac:dyDescent="0.25">
      <c r="A286" s="116"/>
      <c r="G286" s="80"/>
      <c r="H286" s="95">
        <v>281</v>
      </c>
      <c r="I286" s="96" t="str">
        <f t="shared" si="19"/>
        <v/>
      </c>
      <c r="J286" s="95">
        <f t="shared" si="22"/>
        <v>-3</v>
      </c>
      <c r="K286" s="95">
        <f t="shared" si="20"/>
        <v>-30</v>
      </c>
      <c r="L286" s="95"/>
      <c r="M286" s="97">
        <f t="shared" si="21"/>
        <v>0</v>
      </c>
    </row>
    <row r="287" spans="1:13" x14ac:dyDescent="0.25">
      <c r="A287" s="116"/>
      <c r="G287" s="80"/>
      <c r="H287" s="95">
        <v>282</v>
      </c>
      <c r="I287" s="96" t="str">
        <f t="shared" si="19"/>
        <v/>
      </c>
      <c r="J287" s="95">
        <f t="shared" si="22"/>
        <v>-3</v>
      </c>
      <c r="K287" s="95">
        <f t="shared" si="20"/>
        <v>-30</v>
      </c>
      <c r="L287" s="95"/>
      <c r="M287" s="97">
        <f t="shared" si="21"/>
        <v>0</v>
      </c>
    </row>
    <row r="288" spans="1:13" x14ac:dyDescent="0.25">
      <c r="A288" s="116"/>
      <c r="G288" s="80"/>
      <c r="H288" s="95">
        <v>283</v>
      </c>
      <c r="I288" s="96" t="str">
        <f t="shared" si="19"/>
        <v/>
      </c>
      <c r="J288" s="95">
        <f t="shared" si="22"/>
        <v>-3</v>
      </c>
      <c r="K288" s="95">
        <f t="shared" si="20"/>
        <v>-30</v>
      </c>
      <c r="L288" s="95"/>
      <c r="M288" s="97">
        <f t="shared" si="21"/>
        <v>0</v>
      </c>
    </row>
    <row r="289" spans="1:13" x14ac:dyDescent="0.25">
      <c r="A289" s="116"/>
      <c r="G289" s="80"/>
      <c r="H289" s="95">
        <v>284</v>
      </c>
      <c r="I289" s="96" t="str">
        <f t="shared" si="19"/>
        <v/>
      </c>
      <c r="J289" s="95">
        <f t="shared" si="22"/>
        <v>-3</v>
      </c>
      <c r="K289" s="95">
        <f t="shared" si="20"/>
        <v>-30</v>
      </c>
      <c r="L289" s="95"/>
      <c r="M289" s="97">
        <f t="shared" si="21"/>
        <v>0</v>
      </c>
    </row>
    <row r="290" spans="1:13" x14ac:dyDescent="0.25">
      <c r="A290" s="116"/>
      <c r="G290" s="80"/>
      <c r="H290" s="95">
        <v>285</v>
      </c>
      <c r="I290" s="96" t="str">
        <f t="shared" si="19"/>
        <v/>
      </c>
      <c r="J290" s="95">
        <f t="shared" si="22"/>
        <v>-3</v>
      </c>
      <c r="K290" s="95">
        <f t="shared" si="20"/>
        <v>-30</v>
      </c>
      <c r="L290" s="95"/>
      <c r="M290" s="97">
        <f t="shared" si="21"/>
        <v>0</v>
      </c>
    </row>
    <row r="291" spans="1:13" x14ac:dyDescent="0.25">
      <c r="A291" s="116"/>
      <c r="G291" s="80"/>
      <c r="H291" s="95">
        <v>286</v>
      </c>
      <c r="I291" s="96" t="str">
        <f t="shared" si="19"/>
        <v/>
      </c>
      <c r="J291" s="95">
        <f t="shared" si="22"/>
        <v>-3</v>
      </c>
      <c r="K291" s="95">
        <f t="shared" si="20"/>
        <v>-30</v>
      </c>
      <c r="L291" s="95"/>
      <c r="M291" s="97">
        <f t="shared" si="21"/>
        <v>0</v>
      </c>
    </row>
    <row r="292" spans="1:13" x14ac:dyDescent="0.25">
      <c r="A292" s="116"/>
      <c r="G292" s="80"/>
      <c r="H292" s="95">
        <v>287</v>
      </c>
      <c r="I292" s="96" t="str">
        <f t="shared" si="19"/>
        <v/>
      </c>
      <c r="J292" s="95">
        <f t="shared" si="22"/>
        <v>-3</v>
      </c>
      <c r="K292" s="95">
        <f t="shared" si="20"/>
        <v>-30</v>
      </c>
      <c r="L292" s="95"/>
      <c r="M292" s="97">
        <f t="shared" si="21"/>
        <v>0</v>
      </c>
    </row>
    <row r="293" spans="1:13" x14ac:dyDescent="0.25">
      <c r="A293" s="116"/>
      <c r="G293" s="80"/>
      <c r="H293" s="95">
        <v>288</v>
      </c>
      <c r="I293" s="96" t="str">
        <f t="shared" si="19"/>
        <v/>
      </c>
      <c r="J293" s="95">
        <f t="shared" si="22"/>
        <v>-3</v>
      </c>
      <c r="K293" s="95">
        <f t="shared" si="20"/>
        <v>-30</v>
      </c>
      <c r="L293" s="95"/>
      <c r="M293" s="97">
        <f t="shared" si="21"/>
        <v>0</v>
      </c>
    </row>
    <row r="294" spans="1:13" x14ac:dyDescent="0.25">
      <c r="A294" s="116"/>
      <c r="G294" s="80"/>
      <c r="H294" s="95">
        <v>289</v>
      </c>
      <c r="I294" s="96" t="str">
        <f t="shared" si="19"/>
        <v/>
      </c>
      <c r="J294" s="95">
        <f t="shared" si="22"/>
        <v>-3</v>
      </c>
      <c r="K294" s="95">
        <f t="shared" si="20"/>
        <v>-30</v>
      </c>
      <c r="L294" s="95"/>
      <c r="M294" s="97">
        <f t="shared" si="21"/>
        <v>0</v>
      </c>
    </row>
    <row r="295" spans="1:13" x14ac:dyDescent="0.25">
      <c r="A295" s="116"/>
      <c r="G295" s="80"/>
      <c r="H295" s="95">
        <v>290</v>
      </c>
      <c r="I295" s="96" t="str">
        <f t="shared" si="19"/>
        <v/>
      </c>
      <c r="J295" s="95">
        <f t="shared" si="22"/>
        <v>-3</v>
      </c>
      <c r="K295" s="95">
        <f t="shared" si="20"/>
        <v>-30</v>
      </c>
      <c r="L295" s="95"/>
      <c r="M295" s="97">
        <f t="shared" si="21"/>
        <v>0</v>
      </c>
    </row>
    <row r="296" spans="1:13" x14ac:dyDescent="0.25">
      <c r="A296" s="116"/>
      <c r="G296" s="80"/>
      <c r="H296" s="95">
        <v>291</v>
      </c>
      <c r="I296" s="96" t="str">
        <f t="shared" si="19"/>
        <v/>
      </c>
      <c r="J296" s="95">
        <f t="shared" si="22"/>
        <v>-3</v>
      </c>
      <c r="K296" s="95">
        <f t="shared" si="20"/>
        <v>-30</v>
      </c>
      <c r="L296" s="95"/>
      <c r="M296" s="97">
        <f t="shared" si="21"/>
        <v>0</v>
      </c>
    </row>
    <row r="297" spans="1:13" x14ac:dyDescent="0.25">
      <c r="A297" s="116"/>
      <c r="G297" s="80"/>
      <c r="H297" s="95">
        <v>292</v>
      </c>
      <c r="I297" s="96" t="str">
        <f t="shared" si="19"/>
        <v/>
      </c>
      <c r="J297" s="95">
        <f t="shared" si="22"/>
        <v>-3</v>
      </c>
      <c r="K297" s="95">
        <f t="shared" si="20"/>
        <v>-30</v>
      </c>
      <c r="L297" s="95"/>
      <c r="M297" s="97">
        <f t="shared" si="21"/>
        <v>0</v>
      </c>
    </row>
    <row r="298" spans="1:13" x14ac:dyDescent="0.25">
      <c r="A298" s="116"/>
      <c r="G298" s="80"/>
      <c r="H298" s="95">
        <v>293</v>
      </c>
      <c r="I298" s="96" t="str">
        <f t="shared" si="19"/>
        <v/>
      </c>
      <c r="J298" s="95">
        <f t="shared" si="22"/>
        <v>-3</v>
      </c>
      <c r="K298" s="95">
        <f t="shared" si="20"/>
        <v>-30</v>
      </c>
      <c r="L298" s="95"/>
      <c r="M298" s="97">
        <f t="shared" si="21"/>
        <v>0</v>
      </c>
    </row>
    <row r="299" spans="1:13" x14ac:dyDescent="0.25">
      <c r="A299" s="116"/>
      <c r="G299" s="80"/>
      <c r="H299" s="95">
        <v>294</v>
      </c>
      <c r="I299" s="96" t="str">
        <f t="shared" si="19"/>
        <v/>
      </c>
      <c r="J299" s="95">
        <f t="shared" si="22"/>
        <v>-3</v>
      </c>
      <c r="K299" s="95">
        <f t="shared" si="20"/>
        <v>-30</v>
      </c>
      <c r="L299" s="95"/>
      <c r="M299" s="97">
        <f t="shared" si="21"/>
        <v>0</v>
      </c>
    </row>
    <row r="300" spans="1:13" x14ac:dyDescent="0.25">
      <c r="A300" s="116"/>
      <c r="G300" s="80"/>
      <c r="H300" s="95">
        <v>295</v>
      </c>
      <c r="I300" s="96" t="str">
        <f t="shared" si="19"/>
        <v/>
      </c>
      <c r="J300" s="95">
        <f t="shared" si="22"/>
        <v>-3</v>
      </c>
      <c r="K300" s="95">
        <f t="shared" si="20"/>
        <v>-30</v>
      </c>
      <c r="L300" s="95"/>
      <c r="M300" s="97">
        <f t="shared" si="21"/>
        <v>0</v>
      </c>
    </row>
    <row r="301" spans="1:13" x14ac:dyDescent="0.25">
      <c r="A301" s="116"/>
      <c r="G301" s="80"/>
      <c r="H301" s="95">
        <v>296</v>
      </c>
      <c r="I301" s="96" t="str">
        <f t="shared" si="19"/>
        <v/>
      </c>
      <c r="J301" s="95">
        <f t="shared" si="22"/>
        <v>-3</v>
      </c>
      <c r="K301" s="95">
        <f t="shared" si="20"/>
        <v>-30</v>
      </c>
      <c r="L301" s="95"/>
      <c r="M301" s="97">
        <f t="shared" si="21"/>
        <v>0</v>
      </c>
    </row>
    <row r="302" spans="1:13" x14ac:dyDescent="0.25">
      <c r="A302" s="116"/>
      <c r="G302" s="80"/>
      <c r="H302" s="95">
        <v>297</v>
      </c>
      <c r="I302" s="96" t="str">
        <f t="shared" si="19"/>
        <v/>
      </c>
      <c r="J302" s="95">
        <f t="shared" si="22"/>
        <v>-3</v>
      </c>
      <c r="K302" s="95">
        <f t="shared" si="20"/>
        <v>-30</v>
      </c>
      <c r="L302" s="95"/>
      <c r="M302" s="97">
        <f t="shared" si="21"/>
        <v>0</v>
      </c>
    </row>
    <row r="303" spans="1:13" x14ac:dyDescent="0.25">
      <c r="A303" s="116"/>
      <c r="G303" s="80"/>
      <c r="H303" s="95">
        <v>298</v>
      </c>
      <c r="I303" s="96" t="str">
        <f t="shared" si="19"/>
        <v/>
      </c>
      <c r="J303" s="95">
        <f t="shared" si="22"/>
        <v>-3</v>
      </c>
      <c r="K303" s="95">
        <f t="shared" si="20"/>
        <v>-30</v>
      </c>
      <c r="L303" s="95"/>
      <c r="M303" s="97">
        <f t="shared" si="21"/>
        <v>0</v>
      </c>
    </row>
    <row r="304" spans="1:13" x14ac:dyDescent="0.25">
      <c r="A304" s="116"/>
      <c r="G304" s="80"/>
      <c r="H304" s="95">
        <v>299</v>
      </c>
      <c r="I304" s="96" t="str">
        <f t="shared" si="19"/>
        <v/>
      </c>
      <c r="J304" s="95">
        <f t="shared" si="22"/>
        <v>-3</v>
      </c>
      <c r="K304" s="95">
        <f t="shared" si="20"/>
        <v>-30</v>
      </c>
      <c r="L304" s="95"/>
      <c r="M304" s="97">
        <f t="shared" si="21"/>
        <v>0</v>
      </c>
    </row>
    <row r="305" spans="1:16" x14ac:dyDescent="0.25">
      <c r="A305" s="116"/>
      <c r="G305" s="80"/>
      <c r="H305" s="95">
        <v>300</v>
      </c>
      <c r="I305" s="96" t="str">
        <f t="shared" si="19"/>
        <v/>
      </c>
      <c r="J305" s="95">
        <f t="shared" si="22"/>
        <v>-3</v>
      </c>
      <c r="K305" s="95">
        <f t="shared" si="20"/>
        <v>-30</v>
      </c>
      <c r="L305" s="95"/>
      <c r="M305" s="97">
        <f t="shared" si="21"/>
        <v>0</v>
      </c>
    </row>
    <row r="306" spans="1:16" x14ac:dyDescent="0.25">
      <c r="A306" s="117"/>
      <c r="J306" s="118" t="e">
        <f t="shared" si="22"/>
        <v>#NUM!</v>
      </c>
    </row>
    <row r="307" spans="1:16" x14ac:dyDescent="0.25">
      <c r="J307" s="118" t="e">
        <f t="shared" si="22"/>
        <v>#NUM!</v>
      </c>
    </row>
    <row r="308" spans="1:16" x14ac:dyDescent="0.25">
      <c r="J308" s="118" t="e">
        <f t="shared" si="22"/>
        <v>#NUM!</v>
      </c>
    </row>
    <row r="309" spans="1:16" x14ac:dyDescent="0.25">
      <c r="J309" s="118" t="e">
        <f t="shared" si="22"/>
        <v>#NUM!</v>
      </c>
    </row>
    <row r="310" spans="1:16" x14ac:dyDescent="0.25">
      <c r="J310" s="118" t="e">
        <f t="shared" si="22"/>
        <v>#NUM!</v>
      </c>
    </row>
    <row r="311" spans="1:16" x14ac:dyDescent="0.25">
      <c r="J311" s="118" t="e">
        <f t="shared" si="22"/>
        <v>#NUM!</v>
      </c>
    </row>
    <row r="312" spans="1:16" x14ac:dyDescent="0.25">
      <c r="J312" s="118" t="e">
        <f t="shared" si="22"/>
        <v>#NUM!</v>
      </c>
    </row>
    <row r="313" spans="1:16" x14ac:dyDescent="0.25">
      <c r="J313" s="118" t="e">
        <f t="shared" si="22"/>
        <v>#NUM!</v>
      </c>
    </row>
    <row r="314" spans="1:16" x14ac:dyDescent="0.25">
      <c r="J314" s="118" t="e">
        <f t="shared" si="22"/>
        <v>#NUM!</v>
      </c>
      <c r="L314" s="120"/>
      <c r="P314" s="107"/>
    </row>
    <row r="315" spans="1:16" x14ac:dyDescent="0.25">
      <c r="J315" s="118" t="e">
        <f t="shared" si="22"/>
        <v>#NUM!</v>
      </c>
      <c r="L315" s="120"/>
      <c r="P315" s="107"/>
    </row>
    <row r="316" spans="1:16" x14ac:dyDescent="0.25">
      <c r="J316" s="118" t="e">
        <f t="shared" si="22"/>
        <v>#NUM!</v>
      </c>
      <c r="L316" s="120"/>
      <c r="P316" s="107"/>
    </row>
    <row r="317" spans="1:16" x14ac:dyDescent="0.25">
      <c r="J317" s="118" t="e">
        <f t="shared" si="22"/>
        <v>#NUM!</v>
      </c>
      <c r="L317" s="120"/>
      <c r="P317" s="107"/>
    </row>
    <row r="318" spans="1:16" x14ac:dyDescent="0.25">
      <c r="J318" s="118" t="e">
        <f t="shared" si="22"/>
        <v>#NUM!</v>
      </c>
    </row>
    <row r="319" spans="1:16" x14ac:dyDescent="0.25">
      <c r="J319" s="118" t="e">
        <f t="shared" si="22"/>
        <v>#NUM!</v>
      </c>
    </row>
    <row r="320" spans="1:16" x14ac:dyDescent="0.25">
      <c r="J320" s="118" t="e">
        <f t="shared" si="22"/>
        <v>#NUM!</v>
      </c>
    </row>
    <row r="321" spans="10:10" x14ac:dyDescent="0.25">
      <c r="J321" s="118" t="e">
        <f t="shared" si="22"/>
        <v>#NUM!</v>
      </c>
    </row>
    <row r="322" spans="10:10" x14ac:dyDescent="0.25">
      <c r="J322" s="118" t="e">
        <f t="shared" si="22"/>
        <v>#NUM!</v>
      </c>
    </row>
    <row r="323" spans="10:10" x14ac:dyDescent="0.25">
      <c r="J323" s="118" t="e">
        <f t="shared" si="22"/>
        <v>#NUM!</v>
      </c>
    </row>
    <row r="324" spans="10:10" x14ac:dyDescent="0.25">
      <c r="J324" s="118" t="e">
        <f t="shared" si="22"/>
        <v>#NUM!</v>
      </c>
    </row>
    <row r="325" spans="10:10" x14ac:dyDescent="0.25">
      <c r="J325" s="118" t="e">
        <f t="shared" si="22"/>
        <v>#NUM!</v>
      </c>
    </row>
    <row r="326" spans="10:10" x14ac:dyDescent="0.25">
      <c r="J326" s="118" t="e">
        <f t="shared" si="22"/>
        <v>#NUM!</v>
      </c>
    </row>
    <row r="327" spans="10:10" x14ac:dyDescent="0.25">
      <c r="J327" s="118" t="e">
        <f t="shared" ref="J327:J374" si="23">INT(LOG($H$2,2))-ROUNDUP(LOG(H327,2),0)+IF(OR($H$2=1,$H$2=2,$H$2=4,$H$2=8,$H$2=16,$H$2=32,$H$2=64,$H$2=128,$H$2=256),0,1)</f>
        <v>#NUM!</v>
      </c>
    </row>
    <row r="328" spans="10:10" x14ac:dyDescent="0.25">
      <c r="J328" s="118" t="e">
        <f t="shared" si="23"/>
        <v>#NUM!</v>
      </c>
    </row>
    <row r="329" spans="10:10" x14ac:dyDescent="0.25">
      <c r="J329" s="118" t="e">
        <f t="shared" si="23"/>
        <v>#NUM!</v>
      </c>
    </row>
    <row r="330" spans="10:10" x14ac:dyDescent="0.25">
      <c r="J330" s="118" t="e">
        <f t="shared" si="23"/>
        <v>#NUM!</v>
      </c>
    </row>
    <row r="331" spans="10:10" x14ac:dyDescent="0.25">
      <c r="J331" s="118" t="e">
        <f t="shared" si="23"/>
        <v>#NUM!</v>
      </c>
    </row>
    <row r="332" spans="10:10" x14ac:dyDescent="0.25">
      <c r="J332" s="118" t="e">
        <f t="shared" si="23"/>
        <v>#NUM!</v>
      </c>
    </row>
    <row r="333" spans="10:10" x14ac:dyDescent="0.25">
      <c r="J333" s="118" t="e">
        <f t="shared" si="23"/>
        <v>#NUM!</v>
      </c>
    </row>
    <row r="334" spans="10:10" x14ac:dyDescent="0.25">
      <c r="J334" s="118" t="e">
        <f t="shared" si="23"/>
        <v>#NUM!</v>
      </c>
    </row>
    <row r="335" spans="10:10" x14ac:dyDescent="0.25">
      <c r="J335" s="118" t="e">
        <f t="shared" si="23"/>
        <v>#NUM!</v>
      </c>
    </row>
    <row r="336" spans="10:10" x14ac:dyDescent="0.25">
      <c r="J336" s="118" t="e">
        <f t="shared" si="23"/>
        <v>#NUM!</v>
      </c>
    </row>
    <row r="337" spans="10:10" x14ac:dyDescent="0.25">
      <c r="J337" s="118" t="e">
        <f t="shared" si="23"/>
        <v>#NUM!</v>
      </c>
    </row>
    <row r="338" spans="10:10" x14ac:dyDescent="0.25">
      <c r="J338" s="118" t="e">
        <f t="shared" si="23"/>
        <v>#NUM!</v>
      </c>
    </row>
    <row r="339" spans="10:10" x14ac:dyDescent="0.25">
      <c r="J339" s="118" t="e">
        <f t="shared" si="23"/>
        <v>#NUM!</v>
      </c>
    </row>
    <row r="340" spans="10:10" x14ac:dyDescent="0.25">
      <c r="J340" s="118" t="e">
        <f t="shared" si="23"/>
        <v>#NUM!</v>
      </c>
    </row>
    <row r="341" spans="10:10" x14ac:dyDescent="0.25">
      <c r="J341" s="118" t="e">
        <f t="shared" si="23"/>
        <v>#NUM!</v>
      </c>
    </row>
    <row r="342" spans="10:10" x14ac:dyDescent="0.25">
      <c r="J342" s="118" t="e">
        <f t="shared" si="23"/>
        <v>#NUM!</v>
      </c>
    </row>
    <row r="343" spans="10:10" x14ac:dyDescent="0.25">
      <c r="J343" s="118" t="e">
        <f t="shared" si="23"/>
        <v>#NUM!</v>
      </c>
    </row>
    <row r="344" spans="10:10" x14ac:dyDescent="0.25">
      <c r="J344" s="118" t="e">
        <f t="shared" si="23"/>
        <v>#NUM!</v>
      </c>
    </row>
    <row r="345" spans="10:10" x14ac:dyDescent="0.25">
      <c r="J345" s="118" t="e">
        <f t="shared" si="23"/>
        <v>#NUM!</v>
      </c>
    </row>
    <row r="346" spans="10:10" x14ac:dyDescent="0.25">
      <c r="J346" s="118" t="e">
        <f t="shared" si="23"/>
        <v>#NUM!</v>
      </c>
    </row>
    <row r="347" spans="10:10" x14ac:dyDescent="0.25">
      <c r="J347" s="118" t="e">
        <f t="shared" si="23"/>
        <v>#NUM!</v>
      </c>
    </row>
    <row r="348" spans="10:10" x14ac:dyDescent="0.25">
      <c r="J348" s="118" t="e">
        <f t="shared" si="23"/>
        <v>#NUM!</v>
      </c>
    </row>
    <row r="349" spans="10:10" x14ac:dyDescent="0.25">
      <c r="J349" s="118" t="e">
        <f t="shared" si="23"/>
        <v>#NUM!</v>
      </c>
    </row>
    <row r="350" spans="10:10" x14ac:dyDescent="0.25">
      <c r="J350" s="118" t="e">
        <f t="shared" si="23"/>
        <v>#NUM!</v>
      </c>
    </row>
    <row r="351" spans="10:10" x14ac:dyDescent="0.25">
      <c r="J351" s="118" t="e">
        <f t="shared" si="23"/>
        <v>#NUM!</v>
      </c>
    </row>
    <row r="352" spans="10:10" x14ac:dyDescent="0.25">
      <c r="J352" s="118" t="e">
        <f t="shared" si="23"/>
        <v>#NUM!</v>
      </c>
    </row>
    <row r="353" spans="10:10" x14ac:dyDescent="0.25">
      <c r="J353" s="118" t="e">
        <f t="shared" si="23"/>
        <v>#NUM!</v>
      </c>
    </row>
    <row r="354" spans="10:10" x14ac:dyDescent="0.25">
      <c r="J354" s="118" t="e">
        <f t="shared" si="23"/>
        <v>#NUM!</v>
      </c>
    </row>
    <row r="355" spans="10:10" x14ac:dyDescent="0.25">
      <c r="J355" s="118" t="e">
        <f t="shared" si="23"/>
        <v>#NUM!</v>
      </c>
    </row>
    <row r="356" spans="10:10" x14ac:dyDescent="0.25">
      <c r="J356" s="118" t="e">
        <f t="shared" si="23"/>
        <v>#NUM!</v>
      </c>
    </row>
    <row r="357" spans="10:10" x14ac:dyDescent="0.25">
      <c r="J357" s="118" t="e">
        <f t="shared" si="23"/>
        <v>#NUM!</v>
      </c>
    </row>
    <row r="358" spans="10:10" x14ac:dyDescent="0.25">
      <c r="J358" s="118" t="e">
        <f t="shared" si="23"/>
        <v>#NUM!</v>
      </c>
    </row>
    <row r="359" spans="10:10" x14ac:dyDescent="0.25">
      <c r="J359" s="118" t="e">
        <f t="shared" si="23"/>
        <v>#NUM!</v>
      </c>
    </row>
    <row r="360" spans="10:10" x14ac:dyDescent="0.25">
      <c r="J360" s="118" t="e">
        <f t="shared" si="23"/>
        <v>#NUM!</v>
      </c>
    </row>
    <row r="361" spans="10:10" x14ac:dyDescent="0.25">
      <c r="J361" s="118" t="e">
        <f t="shared" si="23"/>
        <v>#NUM!</v>
      </c>
    </row>
    <row r="362" spans="10:10" x14ac:dyDescent="0.25">
      <c r="J362" s="118" t="e">
        <f t="shared" si="23"/>
        <v>#NUM!</v>
      </c>
    </row>
    <row r="363" spans="10:10" x14ac:dyDescent="0.25">
      <c r="J363" s="118" t="e">
        <f t="shared" si="23"/>
        <v>#NUM!</v>
      </c>
    </row>
    <row r="364" spans="10:10" x14ac:dyDescent="0.25">
      <c r="J364" s="118" t="e">
        <f t="shared" si="23"/>
        <v>#NUM!</v>
      </c>
    </row>
    <row r="365" spans="10:10" x14ac:dyDescent="0.25">
      <c r="J365" s="118" t="e">
        <f t="shared" si="23"/>
        <v>#NUM!</v>
      </c>
    </row>
    <row r="366" spans="10:10" x14ac:dyDescent="0.25">
      <c r="J366" s="118" t="e">
        <f t="shared" si="23"/>
        <v>#NUM!</v>
      </c>
    </row>
    <row r="367" spans="10:10" x14ac:dyDescent="0.25">
      <c r="J367" s="118" t="e">
        <f t="shared" si="23"/>
        <v>#NUM!</v>
      </c>
    </row>
    <row r="368" spans="10:10" x14ac:dyDescent="0.25">
      <c r="J368" s="118" t="e">
        <f t="shared" si="23"/>
        <v>#NUM!</v>
      </c>
    </row>
    <row r="369" spans="10:10" x14ac:dyDescent="0.25">
      <c r="J369" s="118" t="e">
        <f t="shared" si="23"/>
        <v>#NUM!</v>
      </c>
    </row>
    <row r="370" spans="10:10" x14ac:dyDescent="0.25">
      <c r="J370" s="118" t="e">
        <f t="shared" si="23"/>
        <v>#NUM!</v>
      </c>
    </row>
    <row r="371" spans="10:10" x14ac:dyDescent="0.25">
      <c r="J371" s="118" t="e">
        <f t="shared" si="23"/>
        <v>#NUM!</v>
      </c>
    </row>
    <row r="372" spans="10:10" x14ac:dyDescent="0.25">
      <c r="J372" s="118" t="e">
        <f t="shared" si="23"/>
        <v>#NUM!</v>
      </c>
    </row>
    <row r="373" spans="10:10" x14ac:dyDescent="0.25">
      <c r="J373" s="118" t="e">
        <f t="shared" si="23"/>
        <v>#NUM!</v>
      </c>
    </row>
    <row r="374" spans="10:10" x14ac:dyDescent="0.25">
      <c r="J374" s="118" t="e">
        <f t="shared" si="23"/>
        <v>#NUM!</v>
      </c>
    </row>
  </sheetData>
  <conditionalFormatting sqref="J9:K305">
    <cfRule type="cellIs" dxfId="18" priority="1" operator="lessThanOrEqual">
      <formula>0</formula>
    </cfRule>
  </conditionalFormatting>
  <hyperlinks>
    <hyperlink ref="C2" r:id="rId1" xr:uid="{4915DDAF-90FB-4872-914B-CC6EB7804EE8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5BCF-DC41-414E-87EE-C02225272FC1}">
  <sheetPr>
    <tabColor rgb="FF92D050"/>
  </sheetPr>
  <dimension ref="A1:AL374"/>
  <sheetViews>
    <sheetView zoomScaleNormal="100" workbookViewId="0">
      <selection activeCell="C19" sqref="C19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2.2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x14ac:dyDescent="0.25">
      <c r="A1" s="80"/>
      <c r="B1" s="80"/>
      <c r="C1" s="80"/>
      <c r="D1" s="80"/>
      <c r="E1" s="80"/>
      <c r="F1" s="80"/>
      <c r="G1" s="80"/>
      <c r="H1" s="81" t="s">
        <v>38</v>
      </c>
      <c r="I1" s="82" t="s">
        <v>39</v>
      </c>
      <c r="J1" s="82" t="s">
        <v>40</v>
      </c>
      <c r="K1" s="83" t="s">
        <v>128</v>
      </c>
      <c r="L1" s="84"/>
      <c r="M1" s="84"/>
    </row>
    <row r="2" spans="1:36" x14ac:dyDescent="0.25">
      <c r="A2" s="80"/>
      <c r="B2" s="47" t="s">
        <v>42</v>
      </c>
      <c r="C2" s="125" t="s">
        <v>130</v>
      </c>
      <c r="D2" s="68"/>
      <c r="E2" s="6"/>
      <c r="F2" s="6"/>
      <c r="G2" s="6"/>
      <c r="H2" s="86">
        <v>24</v>
      </c>
      <c r="I2" s="87">
        <v>50</v>
      </c>
      <c r="J2" s="87">
        <v>10</v>
      </c>
      <c r="K2" s="88">
        <f>3*H2^(1/3)</f>
        <v>8.6534974218444489</v>
      </c>
      <c r="L2" s="84"/>
      <c r="M2" s="84"/>
    </row>
    <row r="3" spans="1:36" x14ac:dyDescent="0.25">
      <c r="A3" s="80"/>
      <c r="B3" s="89" t="s">
        <v>44</v>
      </c>
      <c r="C3" s="69" t="s">
        <v>131</v>
      </c>
      <c r="D3" s="69"/>
      <c r="E3" s="7"/>
      <c r="F3" s="7"/>
      <c r="G3" s="7"/>
      <c r="H3" s="84"/>
      <c r="I3" s="84"/>
      <c r="J3" s="90"/>
      <c r="K3" s="84"/>
      <c r="L3" s="84"/>
      <c r="M3" s="84"/>
    </row>
    <row r="4" spans="1:36" ht="10.199999999999999" customHeight="1" x14ac:dyDescent="0.25">
      <c r="A4" s="8"/>
      <c r="B4" s="7"/>
      <c r="C4" s="8"/>
      <c r="D4" s="8"/>
      <c r="E4" s="8"/>
      <c r="F4" s="8"/>
      <c r="G4" s="8"/>
      <c r="H4" s="84"/>
      <c r="I4" s="84"/>
      <c r="J4" s="90"/>
      <c r="K4" s="84"/>
      <c r="L4" s="84"/>
      <c r="M4" s="84"/>
    </row>
    <row r="5" spans="1:36" ht="34.65" x14ac:dyDescent="0.25">
      <c r="A5" s="1" t="s">
        <v>45</v>
      </c>
      <c r="B5" s="37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8"/>
      <c r="H5" s="91" t="s">
        <v>51</v>
      </c>
      <c r="I5" s="92" t="s">
        <v>52</v>
      </c>
      <c r="J5" s="93" t="s">
        <v>93</v>
      </c>
      <c r="K5" s="92" t="s">
        <v>94</v>
      </c>
      <c r="L5" s="92" t="s">
        <v>55</v>
      </c>
      <c r="M5" s="91" t="s">
        <v>56</v>
      </c>
    </row>
    <row r="6" spans="1:36" ht="14.45" customHeight="1" x14ac:dyDescent="0.25">
      <c r="A6" s="94">
        <f>M6</f>
        <v>125.96049226553335</v>
      </c>
      <c r="B6" s="36">
        <f>IF(H6&gt;$H$2,"",(ROW()-5))</f>
        <v>1</v>
      </c>
      <c r="C6" s="24" t="s">
        <v>95</v>
      </c>
      <c r="D6" s="24"/>
      <c r="E6" s="24"/>
      <c r="F6" s="24" t="s">
        <v>58</v>
      </c>
      <c r="G6" s="8"/>
      <c r="H6" s="95">
        <v>1</v>
      </c>
      <c r="I6" s="96">
        <f t="shared" ref="I6:I69" si="0">IF(H6&lt;$H$2+1,($I$2-($I$2-1)*(LOG(H6)/LOG($H$2))),"")</f>
        <v>50</v>
      </c>
      <c r="J6" s="95">
        <f>INT(LOG($H$2,2))-ROUNDUP(LOG(H6,2),0)+IF(OR($H$2=1,$H$2=2,$H$2=4,$H$2=8,$H$2=16,$H$2=32,$H$2=64,$H$2=128,$H$2=256),0,1)</f>
        <v>5</v>
      </c>
      <c r="K6" s="95">
        <f t="shared" ref="K6:K69" si="1">J6*$J$2</f>
        <v>50</v>
      </c>
      <c r="L6" s="97">
        <f>3*K2</f>
        <v>25.960492265533347</v>
      </c>
      <c r="M6" s="97">
        <f t="shared" ref="M6:M69" si="2">IF(I6&lt;&gt;"",K6+I6+L6,0)</f>
        <v>125.96049226553335</v>
      </c>
    </row>
    <row r="7" spans="1:36" ht="14.45" customHeight="1" x14ac:dyDescent="0.25">
      <c r="A7" s="98">
        <f t="shared" ref="A7:A37" si="3">M7</f>
        <v>96.619884536397848</v>
      </c>
      <c r="B7" s="35">
        <f t="shared" ref="B7:B65" si="4">IF(H7&gt;$H$2,"",(ROW()-5))</f>
        <v>2</v>
      </c>
      <c r="C7" s="25" t="s">
        <v>95</v>
      </c>
      <c r="D7" s="25"/>
      <c r="E7" s="25"/>
      <c r="F7" s="25" t="s">
        <v>58</v>
      </c>
      <c r="G7" s="8"/>
      <c r="H7" s="99">
        <v>2</v>
      </c>
      <c r="I7" s="100">
        <f t="shared" si="0"/>
        <v>39.31288969270895</v>
      </c>
      <c r="J7" s="99">
        <f t="shared" ref="J7:J70" si="5">INT(LOG($H$2,2))-ROUNDUP(LOG(H7,2),0)+IF(OR($H$2=1,$H$2=2,$H$2=4,$H$2=8,$H$2=16,$H$2=32,$H$2=64,$H$2=128,$H$2=256),0,1)</f>
        <v>4</v>
      </c>
      <c r="K7" s="99">
        <f t="shared" si="1"/>
        <v>40</v>
      </c>
      <c r="L7" s="101">
        <f>2*K2</f>
        <v>17.306994843688898</v>
      </c>
      <c r="M7" s="101">
        <f t="shared" si="2"/>
        <v>96.619884536397848</v>
      </c>
    </row>
    <row r="8" spans="1:36" ht="14.45" customHeight="1" x14ac:dyDescent="0.25">
      <c r="A8" s="94">
        <f t="shared" si="3"/>
        <v>71.714828343717585</v>
      </c>
      <c r="B8" s="36">
        <f t="shared" si="4"/>
        <v>3</v>
      </c>
      <c r="C8" s="24" t="s">
        <v>95</v>
      </c>
      <c r="D8" s="24"/>
      <c r="E8" s="24"/>
      <c r="F8" s="24" t="s">
        <v>58</v>
      </c>
      <c r="G8" s="8"/>
      <c r="H8" s="95">
        <v>3</v>
      </c>
      <c r="I8" s="96">
        <f t="shared" si="0"/>
        <v>33.061330921873136</v>
      </c>
      <c r="J8" s="95">
        <f t="shared" si="5"/>
        <v>3</v>
      </c>
      <c r="K8" s="95">
        <f t="shared" si="1"/>
        <v>30</v>
      </c>
      <c r="L8" s="97">
        <f>K2</f>
        <v>8.6534974218444489</v>
      </c>
      <c r="M8" s="97">
        <f t="shared" si="2"/>
        <v>71.714828343717585</v>
      </c>
    </row>
    <row r="9" spans="1:36" s="85" customFormat="1" ht="14.45" customHeight="1" x14ac:dyDescent="0.25">
      <c r="A9" s="98">
        <f t="shared" si="3"/>
        <v>71.714828343717585</v>
      </c>
      <c r="B9" s="35">
        <f>IF(H9&gt;$H$2,"",3)</f>
        <v>3</v>
      </c>
      <c r="C9" s="25" t="s">
        <v>95</v>
      </c>
      <c r="D9" s="25"/>
      <c r="E9" s="25"/>
      <c r="F9" s="25"/>
      <c r="G9" s="8"/>
      <c r="H9" s="99">
        <v>3</v>
      </c>
      <c r="I9" s="100">
        <f t="shared" si="0"/>
        <v>33.061330921873136</v>
      </c>
      <c r="J9" s="99">
        <f t="shared" si="5"/>
        <v>3</v>
      </c>
      <c r="K9" s="99">
        <f t="shared" si="1"/>
        <v>30</v>
      </c>
      <c r="L9" s="101">
        <f>K2</f>
        <v>8.6534974218444489</v>
      </c>
      <c r="M9" s="101">
        <f t="shared" si="2"/>
        <v>71.714828343717585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95</v>
      </c>
      <c r="AI9" s="85">
        <v>23</v>
      </c>
    </row>
    <row r="10" spans="1:36" ht="14.45" customHeight="1" x14ac:dyDescent="0.25">
      <c r="A10" s="94">
        <f t="shared" si="3"/>
        <v>45.185298324340607</v>
      </c>
      <c r="B10" s="36">
        <f t="shared" si="4"/>
        <v>5</v>
      </c>
      <c r="C10" s="24" t="s">
        <v>19</v>
      </c>
      <c r="D10" s="24"/>
      <c r="E10" s="24"/>
      <c r="F10" s="24"/>
      <c r="G10" s="8"/>
      <c r="H10" s="95">
        <v>5</v>
      </c>
      <c r="I10" s="96">
        <f t="shared" si="0"/>
        <v>25.185298324340607</v>
      </c>
      <c r="J10" s="95">
        <f t="shared" si="5"/>
        <v>2</v>
      </c>
      <c r="K10" s="95">
        <f t="shared" si="1"/>
        <v>20</v>
      </c>
      <c r="L10" s="95"/>
      <c r="M10" s="97">
        <f t="shared" si="2"/>
        <v>45.185298324340607</v>
      </c>
      <c r="V10" s="102"/>
      <c r="Z10" s="103"/>
      <c r="AA10" s="103"/>
      <c r="AG10" s="104"/>
      <c r="AH10" s="85" t="s">
        <v>96</v>
      </c>
      <c r="AI10" s="85">
        <v>45</v>
      </c>
    </row>
    <row r="11" spans="1:36" ht="14.45" customHeight="1" x14ac:dyDescent="0.25">
      <c r="A11" s="98">
        <f t="shared" si="3"/>
        <v>42.374220614582093</v>
      </c>
      <c r="B11" s="35">
        <f t="shared" si="4"/>
        <v>6</v>
      </c>
      <c r="C11" s="25" t="s">
        <v>95</v>
      </c>
      <c r="D11" s="25"/>
      <c r="E11" s="25"/>
      <c r="F11" s="25"/>
      <c r="G11" s="8"/>
      <c r="H11" s="99">
        <v>6</v>
      </c>
      <c r="I11" s="100">
        <f t="shared" si="0"/>
        <v>22.374220614582093</v>
      </c>
      <c r="J11" s="99">
        <f t="shared" si="5"/>
        <v>2</v>
      </c>
      <c r="K11" s="99">
        <f t="shared" si="1"/>
        <v>20</v>
      </c>
      <c r="L11" s="99"/>
      <c r="M11" s="101">
        <f t="shared" si="2"/>
        <v>42.374220614582093</v>
      </c>
      <c r="V11" s="105"/>
      <c r="Z11" s="103"/>
      <c r="AA11" s="103"/>
      <c r="AG11" s="104"/>
      <c r="AH11" s="85" t="s">
        <v>97</v>
      </c>
      <c r="AI11" s="85">
        <v>50</v>
      </c>
    </row>
    <row r="12" spans="1:36" ht="14.45" customHeight="1" x14ac:dyDescent="0.25">
      <c r="A12" s="94">
        <f t="shared" si="3"/>
        <v>39.997488276253925</v>
      </c>
      <c r="B12" s="36">
        <f t="shared" si="4"/>
        <v>7</v>
      </c>
      <c r="C12" s="24" t="s">
        <v>95</v>
      </c>
      <c r="D12" s="24"/>
      <c r="E12" s="24"/>
      <c r="F12" s="24"/>
      <c r="G12" s="8"/>
      <c r="H12" s="95">
        <v>7</v>
      </c>
      <c r="I12" s="96">
        <f t="shared" si="0"/>
        <v>19.997488276253925</v>
      </c>
      <c r="J12" s="95">
        <f t="shared" si="5"/>
        <v>2</v>
      </c>
      <c r="K12" s="95">
        <f t="shared" si="1"/>
        <v>20</v>
      </c>
      <c r="L12" s="95"/>
      <c r="M12" s="97">
        <f t="shared" si="2"/>
        <v>39.997488276253925</v>
      </c>
      <c r="Z12" s="103"/>
      <c r="AA12" s="103"/>
      <c r="AG12" s="104"/>
      <c r="AH12" s="85" t="s">
        <v>98</v>
      </c>
      <c r="AI12" s="85">
        <f>AI11-1</f>
        <v>49</v>
      </c>
    </row>
    <row r="13" spans="1:36" ht="14.45" customHeight="1" x14ac:dyDescent="0.25">
      <c r="A13" s="98">
        <f t="shared" si="3"/>
        <v>37.938669078126857</v>
      </c>
      <c r="B13" s="35">
        <f t="shared" si="4"/>
        <v>8</v>
      </c>
      <c r="C13" s="25" t="s">
        <v>95</v>
      </c>
      <c r="D13" s="25"/>
      <c r="E13" s="25"/>
      <c r="F13" s="25"/>
      <c r="G13" s="8"/>
      <c r="H13" s="99">
        <v>8</v>
      </c>
      <c r="I13" s="100">
        <f t="shared" si="0"/>
        <v>17.938669078126857</v>
      </c>
      <c r="J13" s="99">
        <f t="shared" si="5"/>
        <v>2</v>
      </c>
      <c r="K13" s="99">
        <f t="shared" si="1"/>
        <v>20</v>
      </c>
      <c r="L13" s="99"/>
      <c r="M13" s="101">
        <f t="shared" si="2"/>
        <v>37.938669078126857</v>
      </c>
      <c r="X13" s="102"/>
      <c r="AG13" s="104"/>
      <c r="AH13" s="85" t="s">
        <v>101</v>
      </c>
      <c r="AI13" s="85">
        <f>LOG(AI9)</f>
        <v>1.3617278360175928</v>
      </c>
    </row>
    <row r="14" spans="1:36" x14ac:dyDescent="0.25">
      <c r="A14" s="94">
        <f t="shared" si="3"/>
        <v>26.122661843746279</v>
      </c>
      <c r="B14" s="36">
        <f t="shared" si="4"/>
        <v>9</v>
      </c>
      <c r="C14" s="24" t="s">
        <v>95</v>
      </c>
      <c r="D14" s="24"/>
      <c r="E14" s="24"/>
      <c r="F14" s="24"/>
      <c r="G14" s="8"/>
      <c r="H14" s="95">
        <v>9</v>
      </c>
      <c r="I14" s="96">
        <f t="shared" si="0"/>
        <v>16.122661843746279</v>
      </c>
      <c r="J14" s="95">
        <f t="shared" si="5"/>
        <v>1</v>
      </c>
      <c r="K14" s="95">
        <f t="shared" si="1"/>
        <v>10</v>
      </c>
      <c r="L14" s="95"/>
      <c r="M14" s="97">
        <f t="shared" si="2"/>
        <v>26.122661843746279</v>
      </c>
      <c r="X14" s="106"/>
      <c r="Z14" s="103"/>
      <c r="AA14" s="103"/>
      <c r="AG14" s="104"/>
      <c r="AH14" s="85" t="s">
        <v>102</v>
      </c>
      <c r="AI14" s="85">
        <f>LOG(AI10)</f>
        <v>1.6532125137753437</v>
      </c>
    </row>
    <row r="15" spans="1:36" x14ac:dyDescent="0.25">
      <c r="A15" s="98">
        <f t="shared" si="3"/>
        <v>24.498188017049557</v>
      </c>
      <c r="B15" s="35">
        <f t="shared" si="4"/>
        <v>10</v>
      </c>
      <c r="C15" s="25" t="s">
        <v>95</v>
      </c>
      <c r="D15" s="25"/>
      <c r="E15" s="25"/>
      <c r="F15" s="25"/>
      <c r="G15" s="8"/>
      <c r="H15" s="99">
        <v>10</v>
      </c>
      <c r="I15" s="100">
        <f t="shared" si="0"/>
        <v>14.498188017049557</v>
      </c>
      <c r="J15" s="99">
        <f t="shared" si="5"/>
        <v>1</v>
      </c>
      <c r="K15" s="99">
        <f t="shared" si="1"/>
        <v>10</v>
      </c>
      <c r="L15" s="99"/>
      <c r="M15" s="101">
        <f t="shared" si="2"/>
        <v>24.498188017049557</v>
      </c>
      <c r="X15" s="102"/>
      <c r="Z15" s="103"/>
      <c r="AA15" s="103"/>
    </row>
    <row r="16" spans="1:36" x14ac:dyDescent="0.25">
      <c r="A16" s="94">
        <f t="shared" si="3"/>
        <v>23.028672691092787</v>
      </c>
      <c r="B16" s="36">
        <f t="shared" si="4"/>
        <v>11</v>
      </c>
      <c r="C16" s="24" t="s">
        <v>95</v>
      </c>
      <c r="D16" s="24"/>
      <c r="E16" s="24"/>
      <c r="F16" s="24"/>
      <c r="G16" s="8"/>
      <c r="H16" s="95">
        <v>11</v>
      </c>
      <c r="I16" s="96">
        <f t="shared" si="0"/>
        <v>13.028672691092787</v>
      </c>
      <c r="J16" s="95">
        <f t="shared" si="5"/>
        <v>1</v>
      </c>
      <c r="K16" s="95">
        <f t="shared" si="1"/>
        <v>10</v>
      </c>
      <c r="L16" s="95"/>
      <c r="M16" s="97">
        <f t="shared" si="2"/>
        <v>23.028672691092787</v>
      </c>
      <c r="R16" s="107"/>
      <c r="Z16" s="103"/>
      <c r="AA16" s="103"/>
      <c r="AH16" s="108" t="s">
        <v>104</v>
      </c>
      <c r="AI16" s="85">
        <f>AI11-AI12*AI13/AI14</f>
        <v>9.6393909380186855</v>
      </c>
      <c r="AJ16" s="85" t="s">
        <v>105</v>
      </c>
    </row>
    <row r="17" spans="1:19" x14ac:dyDescent="0.25">
      <c r="A17" s="98">
        <f t="shared" si="3"/>
        <v>21.687110307291043</v>
      </c>
      <c r="B17" s="35">
        <f t="shared" si="4"/>
        <v>12</v>
      </c>
      <c r="C17" s="25" t="s">
        <v>95</v>
      </c>
      <c r="D17" s="25"/>
      <c r="E17" s="25"/>
      <c r="F17" s="25"/>
      <c r="G17" s="8"/>
      <c r="H17" s="99">
        <v>12</v>
      </c>
      <c r="I17" s="100">
        <f t="shared" si="0"/>
        <v>11.687110307291043</v>
      </c>
      <c r="J17" s="99">
        <f t="shared" si="5"/>
        <v>1</v>
      </c>
      <c r="K17" s="99">
        <f t="shared" si="1"/>
        <v>10</v>
      </c>
      <c r="L17" s="99"/>
      <c r="M17" s="101">
        <f t="shared" si="2"/>
        <v>21.687110307291043</v>
      </c>
    </row>
    <row r="18" spans="1:19" x14ac:dyDescent="0.25">
      <c r="A18" s="94">
        <f t="shared" si="3"/>
        <v>20.452992546745158</v>
      </c>
      <c r="B18" s="36">
        <f t="shared" si="4"/>
        <v>13</v>
      </c>
      <c r="C18" s="24" t="s">
        <v>95</v>
      </c>
      <c r="D18" s="24"/>
      <c r="E18" s="24"/>
      <c r="F18" s="24"/>
      <c r="G18" s="8"/>
      <c r="H18" s="95">
        <v>13</v>
      </c>
      <c r="I18" s="96">
        <f t="shared" si="0"/>
        <v>10.452992546745158</v>
      </c>
      <c r="J18" s="95">
        <f t="shared" si="5"/>
        <v>1</v>
      </c>
      <c r="K18" s="95">
        <f t="shared" si="1"/>
        <v>10</v>
      </c>
      <c r="L18" s="95"/>
      <c r="M18" s="97">
        <f t="shared" si="2"/>
        <v>20.452992546745158</v>
      </c>
    </row>
    <row r="19" spans="1:19" x14ac:dyDescent="0.25">
      <c r="A19" s="98">
        <f t="shared" si="3"/>
        <v>19.310377968962882</v>
      </c>
      <c r="B19" s="35">
        <f t="shared" si="4"/>
        <v>14</v>
      </c>
      <c r="C19" s="25" t="s">
        <v>95</v>
      </c>
      <c r="D19" s="25"/>
      <c r="E19" s="25"/>
      <c r="F19" s="25"/>
      <c r="G19" s="8"/>
      <c r="H19" s="99">
        <v>14</v>
      </c>
      <c r="I19" s="100">
        <f t="shared" si="0"/>
        <v>9.3103779689628823</v>
      </c>
      <c r="J19" s="99">
        <f t="shared" si="5"/>
        <v>1</v>
      </c>
      <c r="K19" s="99">
        <f t="shared" si="1"/>
        <v>10</v>
      </c>
      <c r="L19" s="99"/>
      <c r="M19" s="101">
        <f t="shared" si="2"/>
        <v>19.310377968962882</v>
      </c>
    </row>
    <row r="20" spans="1:19" x14ac:dyDescent="0.25">
      <c r="A20" s="94">
        <f t="shared" si="3"/>
        <v>18.246629246213743</v>
      </c>
      <c r="B20" s="36">
        <f t="shared" si="4"/>
        <v>15</v>
      </c>
      <c r="C20" s="24" t="s">
        <v>95</v>
      </c>
      <c r="D20" s="24"/>
      <c r="E20" s="24"/>
      <c r="F20" s="24"/>
      <c r="G20" s="8"/>
      <c r="H20" s="95">
        <v>15</v>
      </c>
      <c r="I20" s="96">
        <f t="shared" si="0"/>
        <v>8.2466292462137432</v>
      </c>
      <c r="J20" s="95">
        <f t="shared" si="5"/>
        <v>1</v>
      </c>
      <c r="K20" s="95">
        <f t="shared" si="1"/>
        <v>10</v>
      </c>
      <c r="L20" s="95"/>
      <c r="M20" s="97">
        <f t="shared" si="2"/>
        <v>18.246629246213743</v>
      </c>
      <c r="R20" s="109"/>
      <c r="S20" s="110"/>
    </row>
    <row r="21" spans="1:19" x14ac:dyDescent="0.25">
      <c r="A21" s="98">
        <f t="shared" si="3"/>
        <v>17.251558770835814</v>
      </c>
      <c r="B21" s="35">
        <f t="shared" si="4"/>
        <v>16</v>
      </c>
      <c r="C21" s="25" t="s">
        <v>95</v>
      </c>
      <c r="D21" s="25"/>
      <c r="E21" s="25"/>
      <c r="F21" s="25"/>
      <c r="G21" s="8"/>
      <c r="H21" s="99">
        <v>16</v>
      </c>
      <c r="I21" s="100">
        <f t="shared" si="0"/>
        <v>7.251558770835814</v>
      </c>
      <c r="J21" s="99">
        <f t="shared" si="5"/>
        <v>1</v>
      </c>
      <c r="K21" s="99">
        <f t="shared" si="1"/>
        <v>10</v>
      </c>
      <c r="L21" s="99"/>
      <c r="M21" s="101">
        <f t="shared" si="2"/>
        <v>17.251558770835814</v>
      </c>
    </row>
    <row r="22" spans="1:19" x14ac:dyDescent="0.25">
      <c r="A22" s="94">
        <f t="shared" si="3"/>
        <v>6.3168337386043518</v>
      </c>
      <c r="B22" s="36">
        <f t="shared" si="4"/>
        <v>17</v>
      </c>
      <c r="C22" s="24" t="s">
        <v>95</v>
      </c>
      <c r="D22" s="24"/>
      <c r="E22" s="24"/>
      <c r="F22" s="24"/>
      <c r="G22" s="8"/>
      <c r="H22" s="95">
        <v>17</v>
      </c>
      <c r="I22" s="96">
        <f t="shared" si="0"/>
        <v>6.3168337386043518</v>
      </c>
      <c r="J22" s="95">
        <f t="shared" si="5"/>
        <v>0</v>
      </c>
      <c r="K22" s="95">
        <f t="shared" si="1"/>
        <v>0</v>
      </c>
      <c r="L22" s="95"/>
      <c r="M22" s="97">
        <f t="shared" si="2"/>
        <v>6.3168337386043518</v>
      </c>
    </row>
    <row r="23" spans="1:19" x14ac:dyDescent="0.25">
      <c r="A23" s="98">
        <f t="shared" si="3"/>
        <v>5.435551536455236</v>
      </c>
      <c r="B23" s="35">
        <f t="shared" si="4"/>
        <v>18</v>
      </c>
      <c r="C23" s="25" t="s">
        <v>95</v>
      </c>
      <c r="D23" s="25"/>
      <c r="E23" s="25"/>
      <c r="F23" s="25"/>
      <c r="G23" s="8"/>
      <c r="H23" s="99">
        <v>18</v>
      </c>
      <c r="I23" s="100">
        <f t="shared" si="0"/>
        <v>5.435551536455236</v>
      </c>
      <c r="J23" s="99">
        <f t="shared" si="5"/>
        <v>0</v>
      </c>
      <c r="K23" s="99">
        <f t="shared" si="1"/>
        <v>0</v>
      </c>
      <c r="L23" s="99"/>
      <c r="M23" s="101">
        <f t="shared" si="2"/>
        <v>5.435551536455236</v>
      </c>
    </row>
    <row r="24" spans="1:19" x14ac:dyDescent="0.25">
      <c r="A24" s="94">
        <f t="shared" si="3"/>
        <v>4.60193008645183</v>
      </c>
      <c r="B24" s="36">
        <f t="shared" si="4"/>
        <v>19</v>
      </c>
      <c r="C24" s="24" t="s">
        <v>95</v>
      </c>
      <c r="D24" s="24"/>
      <c r="E24" s="24"/>
      <c r="F24" s="24"/>
      <c r="G24" s="8"/>
      <c r="H24" s="95">
        <v>19</v>
      </c>
      <c r="I24" s="96">
        <f t="shared" si="0"/>
        <v>4.60193008645183</v>
      </c>
      <c r="J24" s="95">
        <f t="shared" si="5"/>
        <v>0</v>
      </c>
      <c r="K24" s="95">
        <f t="shared" si="1"/>
        <v>0</v>
      </c>
      <c r="L24" s="95"/>
      <c r="M24" s="97">
        <f t="shared" si="2"/>
        <v>4.60193008645183</v>
      </c>
      <c r="R24" s="109"/>
      <c r="S24" s="110"/>
    </row>
    <row r="25" spans="1:19" x14ac:dyDescent="0.25">
      <c r="A25" s="98">
        <f t="shared" si="3"/>
        <v>3.8110777097585071</v>
      </c>
      <c r="B25" s="35">
        <f t="shared" si="4"/>
        <v>20</v>
      </c>
      <c r="C25" s="25" t="s">
        <v>95</v>
      </c>
      <c r="D25" s="25"/>
      <c r="E25" s="25"/>
      <c r="F25" s="25"/>
      <c r="G25" s="8"/>
      <c r="H25" s="99">
        <v>20</v>
      </c>
      <c r="I25" s="100">
        <f t="shared" si="0"/>
        <v>3.8110777097585071</v>
      </c>
      <c r="J25" s="99">
        <f t="shared" si="5"/>
        <v>0</v>
      </c>
      <c r="K25" s="99">
        <f t="shared" si="1"/>
        <v>0</v>
      </c>
      <c r="L25" s="99"/>
      <c r="M25" s="101">
        <f t="shared" si="2"/>
        <v>3.8110777097585071</v>
      </c>
    </row>
    <row r="26" spans="1:19" x14ac:dyDescent="0.25">
      <c r="A26" s="94">
        <f t="shared" si="3"/>
        <v>3.0588191981270612</v>
      </c>
      <c r="B26" s="36">
        <f t="shared" si="4"/>
        <v>21</v>
      </c>
      <c r="C26" s="24" t="s">
        <v>95</v>
      </c>
      <c r="D26" s="24"/>
      <c r="E26" s="24"/>
      <c r="F26" s="24"/>
      <c r="G26" s="8"/>
      <c r="H26" s="95">
        <v>21</v>
      </c>
      <c r="I26" s="96">
        <f t="shared" si="0"/>
        <v>3.0588191981270612</v>
      </c>
      <c r="J26" s="95">
        <f t="shared" si="5"/>
        <v>0</v>
      </c>
      <c r="K26" s="95">
        <f t="shared" si="1"/>
        <v>0</v>
      </c>
      <c r="L26" s="95"/>
      <c r="M26" s="97">
        <f t="shared" si="2"/>
        <v>3.0588191981270612</v>
      </c>
    </row>
    <row r="27" spans="1:19" x14ac:dyDescent="0.25">
      <c r="A27" s="98">
        <f t="shared" si="3"/>
        <v>2.3415623838017439</v>
      </c>
      <c r="B27" s="35">
        <f t="shared" si="4"/>
        <v>22</v>
      </c>
      <c r="C27" s="25" t="s">
        <v>95</v>
      </c>
      <c r="D27" s="25"/>
      <c r="E27" s="25"/>
      <c r="F27" s="25"/>
      <c r="G27" s="8"/>
      <c r="H27" s="99">
        <v>22</v>
      </c>
      <c r="I27" s="100">
        <f t="shared" si="0"/>
        <v>2.3415623838017439</v>
      </c>
      <c r="J27" s="99">
        <f t="shared" si="5"/>
        <v>0</v>
      </c>
      <c r="K27" s="99">
        <f t="shared" si="1"/>
        <v>0</v>
      </c>
      <c r="L27" s="99"/>
      <c r="M27" s="101">
        <f t="shared" si="2"/>
        <v>2.3415623838017439</v>
      </c>
    </row>
    <row r="28" spans="1:19" x14ac:dyDescent="0.25">
      <c r="A28" s="94">
        <f t="shared" si="3"/>
        <v>1.6561943937534522</v>
      </c>
      <c r="B28" s="36">
        <f t="shared" si="4"/>
        <v>23</v>
      </c>
      <c r="C28" s="24" t="s">
        <v>95</v>
      </c>
      <c r="D28" s="24"/>
      <c r="E28" s="24"/>
      <c r="F28" s="24"/>
      <c r="G28" s="8"/>
      <c r="H28" s="95">
        <v>23</v>
      </c>
      <c r="I28" s="96">
        <f t="shared" si="0"/>
        <v>1.6561943937534522</v>
      </c>
      <c r="J28" s="95">
        <f t="shared" si="5"/>
        <v>0</v>
      </c>
      <c r="K28" s="95">
        <f t="shared" si="1"/>
        <v>0</v>
      </c>
      <c r="L28" s="95"/>
      <c r="M28" s="97">
        <f t="shared" si="2"/>
        <v>1.6561943937534522</v>
      </c>
      <c r="R28" s="109"/>
      <c r="S28" s="110"/>
    </row>
    <row r="29" spans="1:19" x14ac:dyDescent="0.25">
      <c r="A29" s="98">
        <f t="shared" si="3"/>
        <v>1</v>
      </c>
      <c r="B29" s="35">
        <f t="shared" si="4"/>
        <v>24</v>
      </c>
      <c r="C29" s="25" t="s">
        <v>95</v>
      </c>
      <c r="D29" s="25"/>
      <c r="E29" s="25"/>
      <c r="F29" s="25"/>
      <c r="G29" s="80"/>
      <c r="H29" s="99">
        <v>24</v>
      </c>
      <c r="I29" s="100">
        <f t="shared" si="0"/>
        <v>1</v>
      </c>
      <c r="J29" s="99">
        <f t="shared" si="5"/>
        <v>0</v>
      </c>
      <c r="K29" s="99">
        <f t="shared" si="1"/>
        <v>0</v>
      </c>
      <c r="L29" s="99"/>
      <c r="M29" s="101">
        <f t="shared" si="2"/>
        <v>1</v>
      </c>
    </row>
    <row r="30" spans="1:19" x14ac:dyDescent="0.25">
      <c r="A30" s="94">
        <f t="shared" si="3"/>
        <v>0</v>
      </c>
      <c r="B30" s="36" t="str">
        <f t="shared" si="4"/>
        <v/>
      </c>
      <c r="C30" s="24"/>
      <c r="D30" s="24"/>
      <c r="E30" s="24"/>
      <c r="F30" s="24"/>
      <c r="G30" s="80"/>
      <c r="H30" s="95">
        <v>25</v>
      </c>
      <c r="I30" s="96" t="str">
        <f t="shared" si="0"/>
        <v/>
      </c>
      <c r="J30" s="95">
        <f t="shared" si="5"/>
        <v>0</v>
      </c>
      <c r="K30" s="95">
        <f t="shared" si="1"/>
        <v>0</v>
      </c>
      <c r="L30" s="95"/>
      <c r="M30" s="97">
        <f t="shared" si="2"/>
        <v>0</v>
      </c>
    </row>
    <row r="31" spans="1:19" x14ac:dyDescent="0.25">
      <c r="A31" s="98">
        <f t="shared" si="3"/>
        <v>0</v>
      </c>
      <c r="B31" s="35" t="str">
        <f t="shared" si="4"/>
        <v/>
      </c>
      <c r="C31" s="25"/>
      <c r="D31" s="25"/>
      <c r="E31" s="25"/>
      <c r="F31" s="25"/>
      <c r="G31" s="80"/>
      <c r="H31" s="99">
        <v>26</v>
      </c>
      <c r="I31" s="100" t="str">
        <f t="shared" si="0"/>
        <v/>
      </c>
      <c r="J31" s="99">
        <f t="shared" si="5"/>
        <v>0</v>
      </c>
      <c r="K31" s="99">
        <f t="shared" si="1"/>
        <v>0</v>
      </c>
      <c r="L31" s="99"/>
      <c r="M31" s="101">
        <f t="shared" si="2"/>
        <v>0</v>
      </c>
    </row>
    <row r="32" spans="1:19" x14ac:dyDescent="0.25">
      <c r="A32" s="94">
        <f t="shared" si="3"/>
        <v>0</v>
      </c>
      <c r="B32" s="36" t="str">
        <f t="shared" si="4"/>
        <v/>
      </c>
      <c r="C32" s="24"/>
      <c r="D32" s="24"/>
      <c r="E32" s="24"/>
      <c r="F32" s="24"/>
      <c r="G32" s="80"/>
      <c r="H32" s="95">
        <v>27</v>
      </c>
      <c r="I32" s="96" t="str">
        <f t="shared" si="0"/>
        <v/>
      </c>
      <c r="J32" s="95">
        <f t="shared" si="5"/>
        <v>0</v>
      </c>
      <c r="K32" s="95">
        <f t="shared" si="1"/>
        <v>0</v>
      </c>
      <c r="L32" s="95"/>
      <c r="M32" s="97">
        <f t="shared" si="2"/>
        <v>0</v>
      </c>
      <c r="R32" s="109"/>
      <c r="S32" s="110"/>
    </row>
    <row r="33" spans="1:21" x14ac:dyDescent="0.25">
      <c r="A33" s="98">
        <f t="shared" si="3"/>
        <v>0</v>
      </c>
      <c r="B33" s="35" t="str">
        <f t="shared" si="4"/>
        <v/>
      </c>
      <c r="C33" s="25"/>
      <c r="D33" s="25"/>
      <c r="E33" s="25"/>
      <c r="F33" s="25"/>
      <c r="G33" s="80"/>
      <c r="H33" s="99">
        <v>28</v>
      </c>
      <c r="I33" s="100" t="str">
        <f t="shared" si="0"/>
        <v/>
      </c>
      <c r="J33" s="99">
        <f t="shared" si="5"/>
        <v>0</v>
      </c>
      <c r="K33" s="99">
        <f t="shared" si="1"/>
        <v>0</v>
      </c>
      <c r="L33" s="99"/>
      <c r="M33" s="101">
        <f t="shared" si="2"/>
        <v>0</v>
      </c>
    </row>
    <row r="34" spans="1:21" x14ac:dyDescent="0.25">
      <c r="A34" s="94">
        <f t="shared" si="3"/>
        <v>0</v>
      </c>
      <c r="B34" s="36" t="str">
        <f t="shared" si="4"/>
        <v/>
      </c>
      <c r="C34" s="24"/>
      <c r="D34" s="24"/>
      <c r="E34" s="24"/>
      <c r="F34" s="24"/>
      <c r="G34" s="80"/>
      <c r="H34" s="95">
        <v>29</v>
      </c>
      <c r="I34" s="96" t="str">
        <f t="shared" si="0"/>
        <v/>
      </c>
      <c r="J34" s="95">
        <f t="shared" si="5"/>
        <v>0</v>
      </c>
      <c r="K34" s="95">
        <f t="shared" si="1"/>
        <v>0</v>
      </c>
      <c r="L34" s="95"/>
      <c r="M34" s="97">
        <f t="shared" si="2"/>
        <v>0</v>
      </c>
    </row>
    <row r="35" spans="1:21" x14ac:dyDescent="0.25">
      <c r="A35" s="98">
        <f t="shared" si="3"/>
        <v>0</v>
      </c>
      <c r="B35" s="35" t="str">
        <f t="shared" si="4"/>
        <v/>
      </c>
      <c r="C35" s="25"/>
      <c r="D35" s="25"/>
      <c r="E35" s="25"/>
      <c r="F35" s="25"/>
      <c r="G35" s="80"/>
      <c r="H35" s="99">
        <v>30</v>
      </c>
      <c r="I35" s="100" t="str">
        <f t="shared" si="0"/>
        <v/>
      </c>
      <c r="J35" s="99">
        <f t="shared" si="5"/>
        <v>0</v>
      </c>
      <c r="K35" s="99">
        <f t="shared" si="1"/>
        <v>0</v>
      </c>
      <c r="L35" s="99"/>
      <c r="M35" s="101">
        <f t="shared" si="2"/>
        <v>0</v>
      </c>
    </row>
    <row r="36" spans="1:21" x14ac:dyDescent="0.25">
      <c r="A36" s="94">
        <f t="shared" si="3"/>
        <v>0</v>
      </c>
      <c r="B36" s="36" t="str">
        <f t="shared" si="4"/>
        <v/>
      </c>
      <c r="C36" s="24"/>
      <c r="D36" s="24"/>
      <c r="E36" s="24"/>
      <c r="F36" s="24"/>
      <c r="G36" s="80"/>
      <c r="H36" s="95">
        <v>31</v>
      </c>
      <c r="I36" s="96" t="str">
        <f t="shared" si="0"/>
        <v/>
      </c>
      <c r="J36" s="95">
        <f t="shared" si="5"/>
        <v>0</v>
      </c>
      <c r="K36" s="95">
        <f t="shared" si="1"/>
        <v>0</v>
      </c>
      <c r="L36" s="95"/>
      <c r="M36" s="97">
        <f t="shared" si="2"/>
        <v>0</v>
      </c>
      <c r="R36" s="109"/>
      <c r="S36" s="110"/>
    </row>
    <row r="37" spans="1:21" x14ac:dyDescent="0.25">
      <c r="A37" s="98">
        <f t="shared" si="3"/>
        <v>0</v>
      </c>
      <c r="B37" s="35" t="str">
        <f t="shared" si="4"/>
        <v/>
      </c>
      <c r="C37" s="25"/>
      <c r="D37" s="25"/>
      <c r="E37" s="25"/>
      <c r="F37" s="25"/>
      <c r="G37" s="80"/>
      <c r="H37" s="99">
        <v>32</v>
      </c>
      <c r="I37" s="100" t="str">
        <f t="shared" si="0"/>
        <v/>
      </c>
      <c r="J37" s="99">
        <f t="shared" si="5"/>
        <v>0</v>
      </c>
      <c r="K37" s="99">
        <f t="shared" si="1"/>
        <v>0</v>
      </c>
      <c r="L37" s="99"/>
      <c r="M37" s="101">
        <f t="shared" si="2"/>
        <v>0</v>
      </c>
    </row>
    <row r="38" spans="1:21" x14ac:dyDescent="0.25">
      <c r="A38" s="94"/>
      <c r="B38" s="36" t="str">
        <f t="shared" si="4"/>
        <v/>
      </c>
      <c r="C38" s="24"/>
      <c r="D38" s="24"/>
      <c r="E38" s="24"/>
      <c r="F38" s="24"/>
      <c r="G38" s="80"/>
      <c r="H38" s="95">
        <v>33</v>
      </c>
      <c r="I38" s="96" t="str">
        <f t="shared" si="0"/>
        <v/>
      </c>
      <c r="J38" s="95">
        <f t="shared" si="5"/>
        <v>-1</v>
      </c>
      <c r="K38" s="95">
        <f t="shared" si="1"/>
        <v>-10</v>
      </c>
      <c r="L38" s="95"/>
      <c r="M38" s="97">
        <f t="shared" si="2"/>
        <v>0</v>
      </c>
    </row>
    <row r="39" spans="1:21" x14ac:dyDescent="0.25">
      <c r="A39" s="98"/>
      <c r="B39" s="35" t="str">
        <f t="shared" si="4"/>
        <v/>
      </c>
      <c r="C39" s="25"/>
      <c r="D39" s="25"/>
      <c r="E39" s="25"/>
      <c r="F39" s="25"/>
      <c r="G39" s="80"/>
      <c r="H39" s="99">
        <v>34</v>
      </c>
      <c r="I39" s="100" t="str">
        <f t="shared" si="0"/>
        <v/>
      </c>
      <c r="J39" s="99">
        <f t="shared" si="5"/>
        <v>-1</v>
      </c>
      <c r="K39" s="99">
        <f t="shared" si="1"/>
        <v>-10</v>
      </c>
      <c r="L39" s="99"/>
      <c r="M39" s="101">
        <f t="shared" si="2"/>
        <v>0</v>
      </c>
    </row>
    <row r="40" spans="1:21" x14ac:dyDescent="0.25">
      <c r="A40" s="94"/>
      <c r="B40" s="36" t="str">
        <f t="shared" si="4"/>
        <v/>
      </c>
      <c r="C40" s="24"/>
      <c r="D40" s="24"/>
      <c r="E40" s="24"/>
      <c r="F40" s="24"/>
      <c r="G40" s="80"/>
      <c r="H40" s="95">
        <v>35</v>
      </c>
      <c r="I40" s="96" t="str">
        <f t="shared" si="0"/>
        <v/>
      </c>
      <c r="J40" s="95">
        <f t="shared" si="5"/>
        <v>-1</v>
      </c>
      <c r="K40" s="95">
        <f t="shared" si="1"/>
        <v>-10</v>
      </c>
      <c r="L40" s="95"/>
      <c r="M40" s="97">
        <f t="shared" si="2"/>
        <v>0</v>
      </c>
    </row>
    <row r="41" spans="1:21" x14ac:dyDescent="0.25">
      <c r="A41" s="98"/>
      <c r="B41" s="35" t="str">
        <f t="shared" si="4"/>
        <v/>
      </c>
      <c r="C41" s="25"/>
      <c r="D41" s="25"/>
      <c r="E41" s="25"/>
      <c r="F41" s="25"/>
      <c r="G41" s="80"/>
      <c r="H41" s="99">
        <v>36</v>
      </c>
      <c r="I41" s="100" t="str">
        <f t="shared" si="0"/>
        <v/>
      </c>
      <c r="J41" s="99">
        <f t="shared" si="5"/>
        <v>-1</v>
      </c>
      <c r="K41" s="99">
        <f t="shared" si="1"/>
        <v>-10</v>
      </c>
      <c r="L41" s="99"/>
      <c r="M41" s="101">
        <f t="shared" si="2"/>
        <v>0</v>
      </c>
      <c r="S41" s="111"/>
    </row>
    <row r="42" spans="1:21" x14ac:dyDescent="0.25">
      <c r="A42" s="94"/>
      <c r="B42" s="36" t="str">
        <f t="shared" si="4"/>
        <v/>
      </c>
      <c r="C42" s="24"/>
      <c r="D42" s="24"/>
      <c r="E42" s="24"/>
      <c r="F42" s="24"/>
      <c r="G42" s="80"/>
      <c r="H42" s="95">
        <v>37</v>
      </c>
      <c r="I42" s="96" t="str">
        <f t="shared" si="0"/>
        <v/>
      </c>
      <c r="J42" s="95">
        <f t="shared" si="5"/>
        <v>-1</v>
      </c>
      <c r="K42" s="95">
        <f t="shared" si="1"/>
        <v>-10</v>
      </c>
      <c r="L42" s="95"/>
      <c r="M42" s="97">
        <f t="shared" si="2"/>
        <v>0</v>
      </c>
    </row>
    <row r="43" spans="1:21" x14ac:dyDescent="0.25">
      <c r="A43" s="98"/>
      <c r="B43" s="35" t="str">
        <f t="shared" si="4"/>
        <v/>
      </c>
      <c r="C43" s="25"/>
      <c r="D43" s="25"/>
      <c r="E43" s="25"/>
      <c r="F43" s="25"/>
      <c r="G43" s="80"/>
      <c r="H43" s="99">
        <v>38</v>
      </c>
      <c r="I43" s="100" t="str">
        <f t="shared" si="0"/>
        <v/>
      </c>
      <c r="J43" s="99">
        <f t="shared" si="5"/>
        <v>-1</v>
      </c>
      <c r="K43" s="99">
        <f t="shared" si="1"/>
        <v>-10</v>
      </c>
      <c r="L43" s="99"/>
      <c r="M43" s="101">
        <f t="shared" si="2"/>
        <v>0</v>
      </c>
    </row>
    <row r="44" spans="1:21" x14ac:dyDescent="0.25">
      <c r="A44" s="94"/>
      <c r="B44" s="36" t="str">
        <f t="shared" si="4"/>
        <v/>
      </c>
      <c r="C44" s="24"/>
      <c r="D44" s="24"/>
      <c r="E44" s="24"/>
      <c r="F44" s="24"/>
      <c r="G44" s="80"/>
      <c r="H44" s="95">
        <v>39</v>
      </c>
      <c r="I44" s="96" t="str">
        <f t="shared" si="0"/>
        <v/>
      </c>
      <c r="J44" s="95">
        <f t="shared" si="5"/>
        <v>-1</v>
      </c>
      <c r="K44" s="95">
        <f t="shared" si="1"/>
        <v>-10</v>
      </c>
      <c r="L44" s="95"/>
      <c r="M44" s="97">
        <f t="shared" si="2"/>
        <v>0</v>
      </c>
    </row>
    <row r="45" spans="1:21" x14ac:dyDescent="0.25">
      <c r="A45" s="98"/>
      <c r="B45" s="35" t="str">
        <f t="shared" si="4"/>
        <v/>
      </c>
      <c r="C45" s="25"/>
      <c r="D45" s="25"/>
      <c r="E45" s="25"/>
      <c r="F45" s="25"/>
      <c r="G45" s="80"/>
      <c r="H45" s="99">
        <v>40</v>
      </c>
      <c r="I45" s="100" t="str">
        <f t="shared" si="0"/>
        <v/>
      </c>
      <c r="J45" s="99">
        <f t="shared" si="5"/>
        <v>-1</v>
      </c>
      <c r="K45" s="99">
        <f t="shared" si="1"/>
        <v>-10</v>
      </c>
      <c r="L45" s="99"/>
      <c r="M45" s="101">
        <f t="shared" si="2"/>
        <v>0</v>
      </c>
    </row>
    <row r="46" spans="1:21" x14ac:dyDescent="0.25">
      <c r="A46" s="94"/>
      <c r="B46" s="36" t="str">
        <f t="shared" si="4"/>
        <v/>
      </c>
      <c r="C46" s="24"/>
      <c r="D46" s="24"/>
      <c r="E46" s="24"/>
      <c r="F46" s="24"/>
      <c r="G46" s="80"/>
      <c r="H46" s="95">
        <v>41</v>
      </c>
      <c r="I46" s="96" t="str">
        <f t="shared" si="0"/>
        <v/>
      </c>
      <c r="J46" s="95">
        <f t="shared" si="5"/>
        <v>-1</v>
      </c>
      <c r="K46" s="95">
        <f t="shared" si="1"/>
        <v>-10</v>
      </c>
      <c r="L46" s="95"/>
      <c r="M46" s="97">
        <f t="shared" si="2"/>
        <v>0</v>
      </c>
      <c r="R46" s="80">
        <f>LOG($H$2,2)</f>
        <v>4.584962500721157</v>
      </c>
      <c r="T46" s="85">
        <f>LOG(H38,2)</f>
        <v>5.0443941193584534</v>
      </c>
      <c r="U46" s="85">
        <f>R46-T46</f>
        <v>-0.45943161863729642</v>
      </c>
    </row>
    <row r="47" spans="1:21" x14ac:dyDescent="0.25">
      <c r="A47" s="98"/>
      <c r="B47" s="35" t="str">
        <f t="shared" si="4"/>
        <v/>
      </c>
      <c r="C47" s="25"/>
      <c r="D47" s="25"/>
      <c r="E47" s="25"/>
      <c r="F47" s="25"/>
      <c r="G47" s="80"/>
      <c r="H47" s="99">
        <v>42</v>
      </c>
      <c r="I47" s="100" t="str">
        <f t="shared" si="0"/>
        <v/>
      </c>
      <c r="J47" s="99">
        <f t="shared" si="5"/>
        <v>-1</v>
      </c>
      <c r="K47" s="99">
        <f t="shared" si="1"/>
        <v>-10</v>
      </c>
      <c r="L47" s="99"/>
      <c r="M47" s="101">
        <f t="shared" si="2"/>
        <v>0</v>
      </c>
    </row>
    <row r="48" spans="1:21" x14ac:dyDescent="0.25">
      <c r="A48" s="94"/>
      <c r="B48" s="36" t="str">
        <f t="shared" si="4"/>
        <v/>
      </c>
      <c r="C48" s="24"/>
      <c r="D48" s="24"/>
      <c r="E48" s="24"/>
      <c r="F48" s="24"/>
      <c r="G48" s="80"/>
      <c r="H48" s="95">
        <v>43</v>
      </c>
      <c r="I48" s="96" t="str">
        <f t="shared" si="0"/>
        <v/>
      </c>
      <c r="J48" s="95">
        <f t="shared" si="5"/>
        <v>-1</v>
      </c>
      <c r="K48" s="95">
        <f t="shared" si="1"/>
        <v>-10</v>
      </c>
      <c r="L48" s="95"/>
      <c r="M48" s="97">
        <f t="shared" si="2"/>
        <v>0</v>
      </c>
    </row>
    <row r="49" spans="1:13" x14ac:dyDescent="0.25">
      <c r="A49" s="98"/>
      <c r="B49" s="35" t="str">
        <f t="shared" si="4"/>
        <v/>
      </c>
      <c r="C49" s="25"/>
      <c r="D49" s="25"/>
      <c r="E49" s="25"/>
      <c r="F49" s="25"/>
      <c r="G49" s="80"/>
      <c r="H49" s="99">
        <v>44</v>
      </c>
      <c r="I49" s="100" t="str">
        <f t="shared" si="0"/>
        <v/>
      </c>
      <c r="J49" s="99">
        <f t="shared" si="5"/>
        <v>-1</v>
      </c>
      <c r="K49" s="99">
        <f t="shared" si="1"/>
        <v>-10</v>
      </c>
      <c r="L49" s="99"/>
      <c r="M49" s="101">
        <f t="shared" si="2"/>
        <v>0</v>
      </c>
    </row>
    <row r="50" spans="1:13" x14ac:dyDescent="0.25">
      <c r="A50" s="94"/>
      <c r="B50" s="36" t="str">
        <f t="shared" si="4"/>
        <v/>
      </c>
      <c r="C50" s="24"/>
      <c r="D50" s="24"/>
      <c r="E50" s="24"/>
      <c r="F50" s="24"/>
      <c r="G50" s="80"/>
      <c r="H50" s="95">
        <v>45</v>
      </c>
      <c r="I50" s="96" t="str">
        <f t="shared" si="0"/>
        <v/>
      </c>
      <c r="J50" s="95">
        <f t="shared" si="5"/>
        <v>-1</v>
      </c>
      <c r="K50" s="95">
        <f t="shared" si="1"/>
        <v>-10</v>
      </c>
      <c r="L50" s="95"/>
      <c r="M50" s="97">
        <f t="shared" si="2"/>
        <v>0</v>
      </c>
    </row>
    <row r="51" spans="1:13" x14ac:dyDescent="0.25">
      <c r="A51" s="98"/>
      <c r="B51" s="35" t="str">
        <f t="shared" si="4"/>
        <v/>
      </c>
      <c r="C51" s="25"/>
      <c r="D51" s="25"/>
      <c r="E51" s="25"/>
      <c r="F51" s="25"/>
      <c r="G51" s="80"/>
      <c r="H51" s="99">
        <v>46</v>
      </c>
      <c r="I51" s="100" t="str">
        <f t="shared" si="0"/>
        <v/>
      </c>
      <c r="J51" s="99">
        <f t="shared" si="5"/>
        <v>-1</v>
      </c>
      <c r="K51" s="99">
        <f t="shared" si="1"/>
        <v>-10</v>
      </c>
      <c r="L51" s="99"/>
      <c r="M51" s="101">
        <f t="shared" si="2"/>
        <v>0</v>
      </c>
    </row>
    <row r="52" spans="1:13" x14ac:dyDescent="0.25">
      <c r="A52" s="94"/>
      <c r="B52" s="36" t="str">
        <f t="shared" si="4"/>
        <v/>
      </c>
      <c r="C52" s="24"/>
      <c r="D52" s="24"/>
      <c r="E52" s="24"/>
      <c r="F52" s="24"/>
      <c r="G52" s="80"/>
      <c r="H52" s="95">
        <v>47</v>
      </c>
      <c r="I52" s="96" t="str">
        <f t="shared" si="0"/>
        <v/>
      </c>
      <c r="J52" s="95">
        <f t="shared" si="5"/>
        <v>-1</v>
      </c>
      <c r="K52" s="95">
        <f t="shared" si="1"/>
        <v>-10</v>
      </c>
      <c r="L52" s="95"/>
      <c r="M52" s="97">
        <f t="shared" si="2"/>
        <v>0</v>
      </c>
    </row>
    <row r="53" spans="1:13" x14ac:dyDescent="0.25">
      <c r="A53" s="98"/>
      <c r="B53" s="35" t="str">
        <f t="shared" si="4"/>
        <v/>
      </c>
      <c r="C53" s="25"/>
      <c r="D53" s="25"/>
      <c r="E53" s="25"/>
      <c r="F53" s="25"/>
      <c r="G53" s="80"/>
      <c r="H53" s="99">
        <v>48</v>
      </c>
      <c r="I53" s="100" t="str">
        <f t="shared" si="0"/>
        <v/>
      </c>
      <c r="J53" s="99">
        <f t="shared" si="5"/>
        <v>-1</v>
      </c>
      <c r="K53" s="99">
        <f t="shared" si="1"/>
        <v>-10</v>
      </c>
      <c r="L53" s="99"/>
      <c r="M53" s="101">
        <f t="shared" si="2"/>
        <v>0</v>
      </c>
    </row>
    <row r="54" spans="1:13" x14ac:dyDescent="0.25">
      <c r="A54" s="94"/>
      <c r="B54" s="36" t="str">
        <f t="shared" si="4"/>
        <v/>
      </c>
      <c r="C54" s="24"/>
      <c r="D54" s="24"/>
      <c r="E54" s="24"/>
      <c r="F54" s="24"/>
      <c r="G54" s="80"/>
      <c r="H54" s="95">
        <v>49</v>
      </c>
      <c r="I54" s="96" t="str">
        <f t="shared" si="0"/>
        <v/>
      </c>
      <c r="J54" s="95">
        <f t="shared" si="5"/>
        <v>-1</v>
      </c>
      <c r="K54" s="95">
        <f t="shared" si="1"/>
        <v>-10</v>
      </c>
      <c r="L54" s="95"/>
      <c r="M54" s="97">
        <f t="shared" si="2"/>
        <v>0</v>
      </c>
    </row>
    <row r="55" spans="1:13" x14ac:dyDescent="0.25">
      <c r="A55" s="98"/>
      <c r="B55" s="35" t="str">
        <f t="shared" si="4"/>
        <v/>
      </c>
      <c r="C55" s="25"/>
      <c r="D55" s="25"/>
      <c r="E55" s="25"/>
      <c r="F55" s="25"/>
      <c r="G55" s="80"/>
      <c r="H55" s="99">
        <v>50</v>
      </c>
      <c r="I55" s="100" t="str">
        <f t="shared" si="0"/>
        <v/>
      </c>
      <c r="J55" s="99">
        <f t="shared" si="5"/>
        <v>-1</v>
      </c>
      <c r="K55" s="99">
        <f t="shared" si="1"/>
        <v>-10</v>
      </c>
      <c r="L55" s="99"/>
      <c r="M55" s="101">
        <f t="shared" si="2"/>
        <v>0</v>
      </c>
    </row>
    <row r="56" spans="1:13" x14ac:dyDescent="0.25">
      <c r="A56" s="94"/>
      <c r="B56" s="36" t="str">
        <f t="shared" si="4"/>
        <v/>
      </c>
      <c r="C56" s="24"/>
      <c r="D56" s="24"/>
      <c r="E56" s="24"/>
      <c r="F56" s="24"/>
      <c r="G56" s="80"/>
      <c r="H56" s="95">
        <v>51</v>
      </c>
      <c r="I56" s="96" t="str">
        <f t="shared" si="0"/>
        <v/>
      </c>
      <c r="J56" s="95">
        <f t="shared" si="5"/>
        <v>-1</v>
      </c>
      <c r="K56" s="95">
        <f t="shared" si="1"/>
        <v>-10</v>
      </c>
      <c r="L56" s="95"/>
      <c r="M56" s="97">
        <f t="shared" si="2"/>
        <v>0</v>
      </c>
    </row>
    <row r="57" spans="1:13" x14ac:dyDescent="0.25">
      <c r="A57" s="98"/>
      <c r="B57" s="35" t="str">
        <f t="shared" si="4"/>
        <v/>
      </c>
      <c r="C57" s="25"/>
      <c r="D57" s="25"/>
      <c r="E57" s="25"/>
      <c r="F57" s="25"/>
      <c r="G57" s="80"/>
      <c r="H57" s="99">
        <v>52</v>
      </c>
      <c r="I57" s="100" t="str">
        <f t="shared" si="0"/>
        <v/>
      </c>
      <c r="J57" s="99">
        <f t="shared" si="5"/>
        <v>-1</v>
      </c>
      <c r="K57" s="99">
        <f t="shared" si="1"/>
        <v>-10</v>
      </c>
      <c r="L57" s="99"/>
      <c r="M57" s="101">
        <f t="shared" si="2"/>
        <v>0</v>
      </c>
    </row>
    <row r="58" spans="1:13" x14ac:dyDescent="0.25">
      <c r="A58" s="94"/>
      <c r="B58" s="36" t="str">
        <f t="shared" si="4"/>
        <v/>
      </c>
      <c r="C58" s="24"/>
      <c r="D58" s="24"/>
      <c r="E58" s="24"/>
      <c r="F58" s="24"/>
      <c r="G58" s="80"/>
      <c r="H58" s="95">
        <v>53</v>
      </c>
      <c r="I58" s="96" t="str">
        <f t="shared" si="0"/>
        <v/>
      </c>
      <c r="J58" s="95">
        <f t="shared" si="5"/>
        <v>-1</v>
      </c>
      <c r="K58" s="95">
        <f t="shared" si="1"/>
        <v>-10</v>
      </c>
      <c r="L58" s="95"/>
      <c r="M58" s="97">
        <f t="shared" si="2"/>
        <v>0</v>
      </c>
    </row>
    <row r="59" spans="1:13" x14ac:dyDescent="0.25">
      <c r="A59" s="98"/>
      <c r="B59" s="35" t="str">
        <f t="shared" si="4"/>
        <v/>
      </c>
      <c r="C59" s="25"/>
      <c r="D59" s="25"/>
      <c r="E59" s="25"/>
      <c r="F59" s="25"/>
      <c r="G59" s="80"/>
      <c r="H59" s="99">
        <v>54</v>
      </c>
      <c r="I59" s="100" t="str">
        <f t="shared" si="0"/>
        <v/>
      </c>
      <c r="J59" s="99">
        <f t="shared" si="5"/>
        <v>-1</v>
      </c>
      <c r="K59" s="99">
        <f t="shared" si="1"/>
        <v>-10</v>
      </c>
      <c r="L59" s="99"/>
      <c r="M59" s="101">
        <f t="shared" si="2"/>
        <v>0</v>
      </c>
    </row>
    <row r="60" spans="1:13" x14ac:dyDescent="0.25">
      <c r="A60" s="94"/>
      <c r="B60" s="36" t="str">
        <f t="shared" si="4"/>
        <v/>
      </c>
      <c r="C60" s="24"/>
      <c r="D60" s="24"/>
      <c r="E60" s="24"/>
      <c r="F60" s="24"/>
      <c r="G60" s="80"/>
      <c r="H60" s="95">
        <v>55</v>
      </c>
      <c r="I60" s="96" t="str">
        <f t="shared" si="0"/>
        <v/>
      </c>
      <c r="J60" s="95">
        <f t="shared" si="5"/>
        <v>-1</v>
      </c>
      <c r="K60" s="95">
        <f t="shared" si="1"/>
        <v>-10</v>
      </c>
      <c r="L60" s="95"/>
      <c r="M60" s="97">
        <f t="shared" si="2"/>
        <v>0</v>
      </c>
    </row>
    <row r="61" spans="1:13" x14ac:dyDescent="0.25">
      <c r="A61" s="98"/>
      <c r="B61" s="35" t="str">
        <f t="shared" si="4"/>
        <v/>
      </c>
      <c r="C61" s="25"/>
      <c r="D61" s="25"/>
      <c r="E61" s="25"/>
      <c r="F61" s="25"/>
      <c r="G61" s="80"/>
      <c r="H61" s="99">
        <v>56</v>
      </c>
      <c r="I61" s="100" t="str">
        <f t="shared" si="0"/>
        <v/>
      </c>
      <c r="J61" s="99">
        <f t="shared" si="5"/>
        <v>-1</v>
      </c>
      <c r="K61" s="99">
        <f t="shared" si="1"/>
        <v>-10</v>
      </c>
      <c r="L61" s="99"/>
      <c r="M61" s="101">
        <f t="shared" si="2"/>
        <v>0</v>
      </c>
    </row>
    <row r="62" spans="1:13" x14ac:dyDescent="0.25">
      <c r="A62" s="94"/>
      <c r="B62" s="36" t="str">
        <f t="shared" si="4"/>
        <v/>
      </c>
      <c r="C62" s="24"/>
      <c r="D62" s="24"/>
      <c r="E62" s="24"/>
      <c r="F62" s="24"/>
      <c r="G62" s="80"/>
      <c r="H62" s="95">
        <v>57</v>
      </c>
      <c r="I62" s="96" t="str">
        <f t="shared" si="0"/>
        <v/>
      </c>
      <c r="J62" s="95">
        <f t="shared" si="5"/>
        <v>-1</v>
      </c>
      <c r="K62" s="95">
        <f t="shared" si="1"/>
        <v>-10</v>
      </c>
      <c r="L62" s="95"/>
      <c r="M62" s="97">
        <f t="shared" si="2"/>
        <v>0</v>
      </c>
    </row>
    <row r="63" spans="1:13" x14ac:dyDescent="0.25">
      <c r="A63" s="98"/>
      <c r="B63" s="35" t="str">
        <f t="shared" si="4"/>
        <v/>
      </c>
      <c r="C63" s="25"/>
      <c r="D63" s="25"/>
      <c r="E63" s="25"/>
      <c r="F63" s="25"/>
      <c r="G63" s="80"/>
      <c r="H63" s="99">
        <v>58</v>
      </c>
      <c r="I63" s="100" t="str">
        <f t="shared" si="0"/>
        <v/>
      </c>
      <c r="J63" s="99">
        <f t="shared" si="5"/>
        <v>-1</v>
      </c>
      <c r="K63" s="99">
        <f t="shared" si="1"/>
        <v>-10</v>
      </c>
      <c r="L63" s="99"/>
      <c r="M63" s="101">
        <f t="shared" si="2"/>
        <v>0</v>
      </c>
    </row>
    <row r="64" spans="1:13" x14ac:dyDescent="0.25">
      <c r="A64" s="94"/>
      <c r="B64" s="36" t="str">
        <f t="shared" si="4"/>
        <v/>
      </c>
      <c r="C64" s="24"/>
      <c r="D64" s="24"/>
      <c r="E64" s="24"/>
      <c r="F64" s="24"/>
      <c r="G64" s="80"/>
      <c r="H64" s="95">
        <v>59</v>
      </c>
      <c r="I64" s="96" t="str">
        <f t="shared" si="0"/>
        <v/>
      </c>
      <c r="J64" s="95">
        <f t="shared" si="5"/>
        <v>-1</v>
      </c>
      <c r="K64" s="95">
        <f t="shared" si="1"/>
        <v>-10</v>
      </c>
      <c r="L64" s="95"/>
      <c r="M64" s="97">
        <f t="shared" si="2"/>
        <v>0</v>
      </c>
    </row>
    <row r="65" spans="1:13" x14ac:dyDescent="0.25">
      <c r="A65" s="98"/>
      <c r="B65" s="35" t="str">
        <f t="shared" si="4"/>
        <v/>
      </c>
      <c r="C65" s="25"/>
      <c r="D65" s="25"/>
      <c r="E65" s="25"/>
      <c r="F65" s="25"/>
      <c r="G65" s="80"/>
      <c r="H65" s="99">
        <v>60</v>
      </c>
      <c r="I65" s="100" t="str">
        <f t="shared" si="0"/>
        <v/>
      </c>
      <c r="J65" s="99">
        <f t="shared" si="5"/>
        <v>-1</v>
      </c>
      <c r="K65" s="99">
        <f t="shared" si="1"/>
        <v>-10</v>
      </c>
      <c r="L65" s="99"/>
      <c r="M65" s="101">
        <f t="shared" si="2"/>
        <v>0</v>
      </c>
    </row>
    <row r="66" spans="1:13" x14ac:dyDescent="0.25">
      <c r="A66" s="114"/>
      <c r="B66" s="36"/>
      <c r="G66" s="80"/>
      <c r="H66" s="95">
        <v>61</v>
      </c>
      <c r="I66" s="96" t="str">
        <f t="shared" si="0"/>
        <v/>
      </c>
      <c r="J66" s="95">
        <f t="shared" si="5"/>
        <v>-1</v>
      </c>
      <c r="K66" s="95">
        <f t="shared" si="1"/>
        <v>-10</v>
      </c>
      <c r="L66" s="95"/>
      <c r="M66" s="97">
        <f t="shared" si="2"/>
        <v>0</v>
      </c>
    </row>
    <row r="67" spans="1:13" x14ac:dyDescent="0.25">
      <c r="A67" s="114"/>
      <c r="B67" s="35"/>
      <c r="G67" s="80"/>
      <c r="H67" s="95">
        <v>62</v>
      </c>
      <c r="I67" s="96" t="str">
        <f t="shared" si="0"/>
        <v/>
      </c>
      <c r="J67" s="95">
        <f t="shared" si="5"/>
        <v>-1</v>
      </c>
      <c r="K67" s="95">
        <f t="shared" si="1"/>
        <v>-10</v>
      </c>
      <c r="L67" s="95"/>
      <c r="M67" s="97">
        <f t="shared" si="2"/>
        <v>0</v>
      </c>
    </row>
    <row r="68" spans="1:13" x14ac:dyDescent="0.25">
      <c r="A68" s="114"/>
      <c r="B68" s="36"/>
      <c r="G68" s="80"/>
      <c r="H68" s="95">
        <v>63</v>
      </c>
      <c r="I68" s="96" t="str">
        <f t="shared" si="0"/>
        <v/>
      </c>
      <c r="J68" s="95">
        <f t="shared" si="5"/>
        <v>-1</v>
      </c>
      <c r="K68" s="95">
        <f t="shared" si="1"/>
        <v>-10</v>
      </c>
      <c r="L68" s="95"/>
      <c r="M68" s="97">
        <f t="shared" si="2"/>
        <v>0</v>
      </c>
    </row>
    <row r="69" spans="1:13" x14ac:dyDescent="0.25">
      <c r="A69" s="114"/>
      <c r="B69" s="35"/>
      <c r="G69" s="80"/>
      <c r="H69" s="95">
        <v>64</v>
      </c>
      <c r="I69" s="96" t="str">
        <f t="shared" si="0"/>
        <v/>
      </c>
      <c r="J69" s="95">
        <f t="shared" si="5"/>
        <v>-1</v>
      </c>
      <c r="K69" s="95">
        <f t="shared" si="1"/>
        <v>-10</v>
      </c>
      <c r="L69" s="95"/>
      <c r="M69" s="97">
        <f t="shared" si="2"/>
        <v>0</v>
      </c>
    </row>
    <row r="70" spans="1:13" x14ac:dyDescent="0.25">
      <c r="A70" s="114"/>
      <c r="G70" s="80"/>
      <c r="H70" s="95">
        <v>65</v>
      </c>
      <c r="I70" s="96" t="str">
        <f t="shared" ref="I70:I133" si="6">IF(H70&lt;$H$2+1,($I$2-($I$2-1)*(LOG(H70)/LOG($H$2))),"")</f>
        <v/>
      </c>
      <c r="J70" s="95">
        <f t="shared" si="5"/>
        <v>-2</v>
      </c>
      <c r="K70" s="95">
        <f t="shared" ref="K70:K133" si="7">J70*$J$2</f>
        <v>-20</v>
      </c>
      <c r="L70" s="95"/>
      <c r="M70" s="97">
        <f t="shared" ref="M70:M133" si="8">IF(I70&lt;&gt;"",K70+I70+L70,0)</f>
        <v>0</v>
      </c>
    </row>
    <row r="71" spans="1:13" x14ac:dyDescent="0.25">
      <c r="A71" s="114"/>
      <c r="G71" s="80"/>
      <c r="H71" s="95">
        <v>66</v>
      </c>
      <c r="I71" s="96" t="str">
        <f t="shared" si="6"/>
        <v/>
      </c>
      <c r="J71" s="95">
        <f t="shared" ref="J71:J134" si="9">INT(LOG($H$2,2))-ROUNDUP(LOG(H71,2),0)+IF(OR($H$2=1,$H$2=2,$H$2=4,$H$2=8,$H$2=16,$H$2=32,$H$2=64,$H$2=128,$H$2=256),0,1)</f>
        <v>-2</v>
      </c>
      <c r="K71" s="95">
        <f t="shared" si="7"/>
        <v>-20</v>
      </c>
      <c r="L71" s="95"/>
      <c r="M71" s="97">
        <f t="shared" si="8"/>
        <v>0</v>
      </c>
    </row>
    <row r="72" spans="1:13" x14ac:dyDescent="0.25">
      <c r="A72" s="114"/>
      <c r="G72" s="80"/>
      <c r="H72" s="95">
        <v>67</v>
      </c>
      <c r="I72" s="96" t="str">
        <f t="shared" si="6"/>
        <v/>
      </c>
      <c r="J72" s="95">
        <f t="shared" si="9"/>
        <v>-2</v>
      </c>
      <c r="K72" s="95">
        <f t="shared" si="7"/>
        <v>-20</v>
      </c>
      <c r="L72" s="95"/>
      <c r="M72" s="97">
        <f t="shared" si="8"/>
        <v>0</v>
      </c>
    </row>
    <row r="73" spans="1:13" x14ac:dyDescent="0.25">
      <c r="A73" s="114"/>
      <c r="G73" s="80"/>
      <c r="H73" s="95">
        <v>68</v>
      </c>
      <c r="I73" s="96" t="str">
        <f t="shared" si="6"/>
        <v/>
      </c>
      <c r="J73" s="95">
        <f t="shared" si="9"/>
        <v>-2</v>
      </c>
      <c r="K73" s="95">
        <f t="shared" si="7"/>
        <v>-20</v>
      </c>
      <c r="L73" s="95"/>
      <c r="M73" s="97">
        <f t="shared" si="8"/>
        <v>0</v>
      </c>
    </row>
    <row r="74" spans="1:13" x14ac:dyDescent="0.25">
      <c r="A74" s="114"/>
      <c r="G74" s="80"/>
      <c r="H74" s="95">
        <v>69</v>
      </c>
      <c r="I74" s="96" t="str">
        <f t="shared" si="6"/>
        <v/>
      </c>
      <c r="J74" s="95">
        <f t="shared" si="9"/>
        <v>-2</v>
      </c>
      <c r="K74" s="95">
        <f t="shared" si="7"/>
        <v>-20</v>
      </c>
      <c r="L74" s="95"/>
      <c r="M74" s="97">
        <f t="shared" si="8"/>
        <v>0</v>
      </c>
    </row>
    <row r="75" spans="1:13" x14ac:dyDescent="0.25">
      <c r="A75" s="114"/>
      <c r="G75" s="80"/>
      <c r="H75" s="95">
        <v>70</v>
      </c>
      <c r="I75" s="96" t="str">
        <f t="shared" si="6"/>
        <v/>
      </c>
      <c r="J75" s="95">
        <f t="shared" si="9"/>
        <v>-2</v>
      </c>
      <c r="K75" s="95">
        <f t="shared" si="7"/>
        <v>-20</v>
      </c>
      <c r="L75" s="95"/>
      <c r="M75" s="97">
        <f t="shared" si="8"/>
        <v>0</v>
      </c>
    </row>
    <row r="76" spans="1:13" x14ac:dyDescent="0.25">
      <c r="A76" s="114"/>
      <c r="G76" s="80"/>
      <c r="H76" s="95">
        <v>71</v>
      </c>
      <c r="I76" s="96" t="str">
        <f t="shared" si="6"/>
        <v/>
      </c>
      <c r="J76" s="95">
        <f t="shared" si="9"/>
        <v>-2</v>
      </c>
      <c r="K76" s="95">
        <f t="shared" si="7"/>
        <v>-20</v>
      </c>
      <c r="L76" s="95"/>
      <c r="M76" s="97">
        <f t="shared" si="8"/>
        <v>0</v>
      </c>
    </row>
    <row r="77" spans="1:13" x14ac:dyDescent="0.25">
      <c r="A77" s="114"/>
      <c r="G77" s="80"/>
      <c r="H77" s="95">
        <v>72</v>
      </c>
      <c r="I77" s="96" t="str">
        <f t="shared" si="6"/>
        <v/>
      </c>
      <c r="J77" s="95">
        <f t="shared" si="9"/>
        <v>-2</v>
      </c>
      <c r="K77" s="95">
        <f t="shared" si="7"/>
        <v>-20</v>
      </c>
      <c r="L77" s="95"/>
      <c r="M77" s="97">
        <f t="shared" si="8"/>
        <v>0</v>
      </c>
    </row>
    <row r="78" spans="1:13" x14ac:dyDescent="0.25">
      <c r="A78" s="114"/>
      <c r="G78" s="80"/>
      <c r="H78" s="95">
        <v>73</v>
      </c>
      <c r="I78" s="96" t="str">
        <f t="shared" si="6"/>
        <v/>
      </c>
      <c r="J78" s="95">
        <f t="shared" si="9"/>
        <v>-2</v>
      </c>
      <c r="K78" s="95">
        <f t="shared" si="7"/>
        <v>-20</v>
      </c>
      <c r="L78" s="95"/>
      <c r="M78" s="97">
        <f t="shared" si="8"/>
        <v>0</v>
      </c>
    </row>
    <row r="79" spans="1:13" x14ac:dyDescent="0.25">
      <c r="A79" s="114"/>
      <c r="G79" s="80"/>
      <c r="H79" s="95">
        <v>74</v>
      </c>
      <c r="I79" s="96" t="str">
        <f t="shared" si="6"/>
        <v/>
      </c>
      <c r="J79" s="95">
        <f t="shared" si="9"/>
        <v>-2</v>
      </c>
      <c r="K79" s="95">
        <f t="shared" si="7"/>
        <v>-20</v>
      </c>
      <c r="L79" s="95"/>
      <c r="M79" s="97">
        <f t="shared" si="8"/>
        <v>0</v>
      </c>
    </row>
    <row r="80" spans="1:13" x14ac:dyDescent="0.25">
      <c r="A80" s="114"/>
      <c r="G80" s="80"/>
      <c r="H80" s="95">
        <v>75</v>
      </c>
      <c r="I80" s="96" t="str">
        <f t="shared" si="6"/>
        <v/>
      </c>
      <c r="J80" s="95">
        <f t="shared" si="9"/>
        <v>-2</v>
      </c>
      <c r="K80" s="95">
        <f t="shared" si="7"/>
        <v>-20</v>
      </c>
      <c r="L80" s="95"/>
      <c r="M80" s="97">
        <f t="shared" si="8"/>
        <v>0</v>
      </c>
    </row>
    <row r="81" spans="1:13" x14ac:dyDescent="0.25">
      <c r="A81" s="114"/>
      <c r="G81" s="80"/>
      <c r="H81" s="95">
        <v>76</v>
      </c>
      <c r="I81" s="96" t="str">
        <f t="shared" si="6"/>
        <v/>
      </c>
      <c r="J81" s="95">
        <f t="shared" si="9"/>
        <v>-2</v>
      </c>
      <c r="K81" s="95">
        <f t="shared" si="7"/>
        <v>-20</v>
      </c>
      <c r="L81" s="95"/>
      <c r="M81" s="97">
        <f t="shared" si="8"/>
        <v>0</v>
      </c>
    </row>
    <row r="82" spans="1:13" x14ac:dyDescent="0.25">
      <c r="A82" s="114"/>
      <c r="G82" s="80"/>
      <c r="H82" s="95">
        <v>77</v>
      </c>
      <c r="I82" s="96" t="str">
        <f t="shared" si="6"/>
        <v/>
      </c>
      <c r="J82" s="95">
        <f t="shared" si="9"/>
        <v>-2</v>
      </c>
      <c r="K82" s="95">
        <f t="shared" si="7"/>
        <v>-20</v>
      </c>
      <c r="L82" s="95"/>
      <c r="M82" s="97">
        <f t="shared" si="8"/>
        <v>0</v>
      </c>
    </row>
    <row r="83" spans="1:13" x14ac:dyDescent="0.25">
      <c r="A83" s="114"/>
      <c r="G83" s="80"/>
      <c r="H83" s="95">
        <v>78</v>
      </c>
      <c r="I83" s="96" t="str">
        <f t="shared" si="6"/>
        <v/>
      </c>
      <c r="J83" s="95">
        <f t="shared" si="9"/>
        <v>-2</v>
      </c>
      <c r="K83" s="95">
        <f t="shared" si="7"/>
        <v>-20</v>
      </c>
      <c r="L83" s="95"/>
      <c r="M83" s="97">
        <f t="shared" si="8"/>
        <v>0</v>
      </c>
    </row>
    <row r="84" spans="1:13" x14ac:dyDescent="0.25">
      <c r="A84" s="114"/>
      <c r="G84" s="80"/>
      <c r="H84" s="95">
        <v>79</v>
      </c>
      <c r="I84" s="96" t="str">
        <f t="shared" si="6"/>
        <v/>
      </c>
      <c r="J84" s="95">
        <f t="shared" si="9"/>
        <v>-2</v>
      </c>
      <c r="K84" s="95">
        <f t="shared" si="7"/>
        <v>-20</v>
      </c>
      <c r="L84" s="95"/>
      <c r="M84" s="97">
        <f t="shared" si="8"/>
        <v>0</v>
      </c>
    </row>
    <row r="85" spans="1:13" x14ac:dyDescent="0.25">
      <c r="A85" s="114"/>
      <c r="G85" s="80"/>
      <c r="H85" s="95">
        <v>80</v>
      </c>
      <c r="I85" s="96" t="str">
        <f t="shared" si="6"/>
        <v/>
      </c>
      <c r="J85" s="95">
        <f t="shared" si="9"/>
        <v>-2</v>
      </c>
      <c r="K85" s="95">
        <f t="shared" si="7"/>
        <v>-20</v>
      </c>
      <c r="L85" s="95"/>
      <c r="M85" s="97">
        <f t="shared" si="8"/>
        <v>0</v>
      </c>
    </row>
    <row r="86" spans="1:13" x14ac:dyDescent="0.25">
      <c r="A86" s="114"/>
      <c r="G86" s="80"/>
      <c r="H86" s="95">
        <v>81</v>
      </c>
      <c r="I86" s="96" t="str">
        <f t="shared" si="6"/>
        <v/>
      </c>
      <c r="J86" s="95">
        <f t="shared" si="9"/>
        <v>-2</v>
      </c>
      <c r="K86" s="95">
        <f t="shared" si="7"/>
        <v>-20</v>
      </c>
      <c r="L86" s="95"/>
      <c r="M86" s="97">
        <f t="shared" si="8"/>
        <v>0</v>
      </c>
    </row>
    <row r="87" spans="1:13" x14ac:dyDescent="0.25">
      <c r="A87" s="114"/>
      <c r="G87" s="80"/>
      <c r="H87" s="95">
        <v>82</v>
      </c>
      <c r="I87" s="96" t="str">
        <f t="shared" si="6"/>
        <v/>
      </c>
      <c r="J87" s="95">
        <f t="shared" si="9"/>
        <v>-2</v>
      </c>
      <c r="K87" s="95">
        <f t="shared" si="7"/>
        <v>-20</v>
      </c>
      <c r="L87" s="95"/>
      <c r="M87" s="97">
        <f t="shared" si="8"/>
        <v>0</v>
      </c>
    </row>
    <row r="88" spans="1:13" x14ac:dyDescent="0.25">
      <c r="A88" s="114"/>
      <c r="G88" s="80"/>
      <c r="H88" s="95">
        <v>83</v>
      </c>
      <c r="I88" s="96" t="str">
        <f t="shared" si="6"/>
        <v/>
      </c>
      <c r="J88" s="95">
        <f t="shared" si="9"/>
        <v>-2</v>
      </c>
      <c r="K88" s="95">
        <f t="shared" si="7"/>
        <v>-20</v>
      </c>
      <c r="L88" s="95"/>
      <c r="M88" s="97">
        <f t="shared" si="8"/>
        <v>0</v>
      </c>
    </row>
    <row r="89" spans="1:13" x14ac:dyDescent="0.25">
      <c r="A89" s="114"/>
      <c r="G89" s="80"/>
      <c r="H89" s="95">
        <v>84</v>
      </c>
      <c r="I89" s="96" t="str">
        <f t="shared" si="6"/>
        <v/>
      </c>
      <c r="J89" s="95">
        <f t="shared" si="9"/>
        <v>-2</v>
      </c>
      <c r="K89" s="95">
        <f t="shared" si="7"/>
        <v>-20</v>
      </c>
      <c r="L89" s="95"/>
      <c r="M89" s="97">
        <f t="shared" si="8"/>
        <v>0</v>
      </c>
    </row>
    <row r="90" spans="1:13" x14ac:dyDescent="0.25">
      <c r="A90" s="114"/>
      <c r="G90" s="80"/>
      <c r="H90" s="95">
        <v>85</v>
      </c>
      <c r="I90" s="96" t="str">
        <f t="shared" si="6"/>
        <v/>
      </c>
      <c r="J90" s="95">
        <f t="shared" si="9"/>
        <v>-2</v>
      </c>
      <c r="K90" s="95">
        <f t="shared" si="7"/>
        <v>-20</v>
      </c>
      <c r="L90" s="95"/>
      <c r="M90" s="97">
        <f t="shared" si="8"/>
        <v>0</v>
      </c>
    </row>
    <row r="91" spans="1:13" x14ac:dyDescent="0.25">
      <c r="A91" s="114"/>
      <c r="G91" s="80"/>
      <c r="H91" s="95">
        <v>86</v>
      </c>
      <c r="I91" s="96" t="str">
        <f t="shared" si="6"/>
        <v/>
      </c>
      <c r="J91" s="95">
        <f t="shared" si="9"/>
        <v>-2</v>
      </c>
      <c r="K91" s="95">
        <f t="shared" si="7"/>
        <v>-20</v>
      </c>
      <c r="L91" s="95"/>
      <c r="M91" s="97">
        <f t="shared" si="8"/>
        <v>0</v>
      </c>
    </row>
    <row r="92" spans="1:13" x14ac:dyDescent="0.25">
      <c r="A92" s="114"/>
      <c r="G92" s="80"/>
      <c r="H92" s="95">
        <v>87</v>
      </c>
      <c r="I92" s="96" t="str">
        <f t="shared" si="6"/>
        <v/>
      </c>
      <c r="J92" s="95">
        <f t="shared" si="9"/>
        <v>-2</v>
      </c>
      <c r="K92" s="95">
        <f t="shared" si="7"/>
        <v>-20</v>
      </c>
      <c r="L92" s="95"/>
      <c r="M92" s="97">
        <f t="shared" si="8"/>
        <v>0</v>
      </c>
    </row>
    <row r="93" spans="1:13" x14ac:dyDescent="0.25">
      <c r="A93" s="114"/>
      <c r="G93" s="80"/>
      <c r="H93" s="95">
        <v>88</v>
      </c>
      <c r="I93" s="96" t="str">
        <f t="shared" si="6"/>
        <v/>
      </c>
      <c r="J93" s="95">
        <f t="shared" si="9"/>
        <v>-2</v>
      </c>
      <c r="K93" s="95">
        <f t="shared" si="7"/>
        <v>-20</v>
      </c>
      <c r="L93" s="95"/>
      <c r="M93" s="97">
        <f t="shared" si="8"/>
        <v>0</v>
      </c>
    </row>
    <row r="94" spans="1:13" x14ac:dyDescent="0.25">
      <c r="A94" s="114"/>
      <c r="G94" s="80"/>
      <c r="H94" s="95">
        <v>89</v>
      </c>
      <c r="I94" s="96" t="str">
        <f t="shared" si="6"/>
        <v/>
      </c>
      <c r="J94" s="95">
        <f t="shared" si="9"/>
        <v>-2</v>
      </c>
      <c r="K94" s="95">
        <f t="shared" si="7"/>
        <v>-20</v>
      </c>
      <c r="L94" s="95"/>
      <c r="M94" s="97">
        <f t="shared" si="8"/>
        <v>0</v>
      </c>
    </row>
    <row r="95" spans="1:13" x14ac:dyDescent="0.25">
      <c r="A95" s="114"/>
      <c r="G95" s="80"/>
      <c r="H95" s="95">
        <v>90</v>
      </c>
      <c r="I95" s="96" t="str">
        <f t="shared" si="6"/>
        <v/>
      </c>
      <c r="J95" s="95">
        <f t="shared" si="9"/>
        <v>-2</v>
      </c>
      <c r="K95" s="95">
        <f t="shared" si="7"/>
        <v>-20</v>
      </c>
      <c r="L95" s="95"/>
      <c r="M95" s="97">
        <f t="shared" si="8"/>
        <v>0</v>
      </c>
    </row>
    <row r="96" spans="1:13" x14ac:dyDescent="0.25">
      <c r="A96" s="114"/>
      <c r="G96" s="80"/>
      <c r="H96" s="95">
        <v>91</v>
      </c>
      <c r="I96" s="96" t="str">
        <f t="shared" si="6"/>
        <v/>
      </c>
      <c r="J96" s="95">
        <f t="shared" si="9"/>
        <v>-2</v>
      </c>
      <c r="K96" s="95">
        <f t="shared" si="7"/>
        <v>-20</v>
      </c>
      <c r="L96" s="95"/>
      <c r="M96" s="97">
        <f t="shared" si="8"/>
        <v>0</v>
      </c>
    </row>
    <row r="97" spans="1:13" x14ac:dyDescent="0.25">
      <c r="A97" s="114"/>
      <c r="G97" s="80"/>
      <c r="H97" s="95">
        <v>92</v>
      </c>
      <c r="I97" s="96" t="str">
        <f t="shared" si="6"/>
        <v/>
      </c>
      <c r="J97" s="95">
        <f t="shared" si="9"/>
        <v>-2</v>
      </c>
      <c r="K97" s="95">
        <f t="shared" si="7"/>
        <v>-20</v>
      </c>
      <c r="L97" s="95"/>
      <c r="M97" s="97">
        <f t="shared" si="8"/>
        <v>0</v>
      </c>
    </row>
    <row r="98" spans="1:13" x14ac:dyDescent="0.25">
      <c r="A98" s="114"/>
      <c r="G98" s="80"/>
      <c r="H98" s="95">
        <v>93</v>
      </c>
      <c r="I98" s="96" t="str">
        <f t="shared" si="6"/>
        <v/>
      </c>
      <c r="J98" s="95">
        <f t="shared" si="9"/>
        <v>-2</v>
      </c>
      <c r="K98" s="95">
        <f t="shared" si="7"/>
        <v>-20</v>
      </c>
      <c r="L98" s="95"/>
      <c r="M98" s="97">
        <f t="shared" si="8"/>
        <v>0</v>
      </c>
    </row>
    <row r="99" spans="1:13" x14ac:dyDescent="0.25">
      <c r="A99" s="114"/>
      <c r="G99" s="80"/>
      <c r="H99" s="95">
        <v>94</v>
      </c>
      <c r="I99" s="96" t="str">
        <f t="shared" si="6"/>
        <v/>
      </c>
      <c r="J99" s="95">
        <f t="shared" si="9"/>
        <v>-2</v>
      </c>
      <c r="K99" s="95">
        <f t="shared" si="7"/>
        <v>-20</v>
      </c>
      <c r="L99" s="95"/>
      <c r="M99" s="97">
        <f t="shared" si="8"/>
        <v>0</v>
      </c>
    </row>
    <row r="100" spans="1:13" x14ac:dyDescent="0.25">
      <c r="A100" s="114"/>
      <c r="G100" s="80"/>
      <c r="H100" s="95">
        <v>95</v>
      </c>
      <c r="I100" s="96" t="str">
        <f t="shared" si="6"/>
        <v/>
      </c>
      <c r="J100" s="95">
        <f t="shared" si="9"/>
        <v>-2</v>
      </c>
      <c r="K100" s="95">
        <f t="shared" si="7"/>
        <v>-20</v>
      </c>
      <c r="L100" s="95"/>
      <c r="M100" s="97">
        <f t="shared" si="8"/>
        <v>0</v>
      </c>
    </row>
    <row r="101" spans="1:13" x14ac:dyDescent="0.25">
      <c r="A101" s="116"/>
      <c r="G101" s="80"/>
      <c r="H101" s="95">
        <v>96</v>
      </c>
      <c r="I101" s="96" t="str">
        <f t="shared" si="6"/>
        <v/>
      </c>
      <c r="J101" s="95">
        <f t="shared" si="9"/>
        <v>-2</v>
      </c>
      <c r="K101" s="95">
        <f t="shared" si="7"/>
        <v>-20</v>
      </c>
      <c r="L101" s="95"/>
      <c r="M101" s="97">
        <f t="shared" si="8"/>
        <v>0</v>
      </c>
    </row>
    <row r="102" spans="1:13" x14ac:dyDescent="0.25">
      <c r="A102" s="116"/>
      <c r="G102" s="80"/>
      <c r="H102" s="95">
        <v>97</v>
      </c>
      <c r="I102" s="96" t="str">
        <f t="shared" si="6"/>
        <v/>
      </c>
      <c r="J102" s="95">
        <f t="shared" si="9"/>
        <v>-2</v>
      </c>
      <c r="K102" s="95">
        <f t="shared" si="7"/>
        <v>-20</v>
      </c>
      <c r="L102" s="95"/>
      <c r="M102" s="97">
        <f t="shared" si="8"/>
        <v>0</v>
      </c>
    </row>
    <row r="103" spans="1:13" x14ac:dyDescent="0.25">
      <c r="A103" s="116"/>
      <c r="G103" s="80"/>
      <c r="H103" s="95">
        <v>98</v>
      </c>
      <c r="I103" s="96" t="str">
        <f t="shared" si="6"/>
        <v/>
      </c>
      <c r="J103" s="95">
        <f t="shared" si="9"/>
        <v>-2</v>
      </c>
      <c r="K103" s="95">
        <f t="shared" si="7"/>
        <v>-20</v>
      </c>
      <c r="L103" s="95"/>
      <c r="M103" s="97">
        <f t="shared" si="8"/>
        <v>0</v>
      </c>
    </row>
    <row r="104" spans="1:13" x14ac:dyDescent="0.25">
      <c r="A104" s="116"/>
      <c r="G104" s="80"/>
      <c r="H104" s="95">
        <v>99</v>
      </c>
      <c r="I104" s="96" t="str">
        <f t="shared" si="6"/>
        <v/>
      </c>
      <c r="J104" s="95">
        <f t="shared" si="9"/>
        <v>-2</v>
      </c>
      <c r="K104" s="95">
        <f t="shared" si="7"/>
        <v>-20</v>
      </c>
      <c r="L104" s="95"/>
      <c r="M104" s="97">
        <f t="shared" si="8"/>
        <v>0</v>
      </c>
    </row>
    <row r="105" spans="1:13" x14ac:dyDescent="0.25">
      <c r="A105" s="116"/>
      <c r="G105" s="80"/>
      <c r="H105" s="95">
        <v>100</v>
      </c>
      <c r="I105" s="96" t="str">
        <f t="shared" si="6"/>
        <v/>
      </c>
      <c r="J105" s="95">
        <f t="shared" si="9"/>
        <v>-2</v>
      </c>
      <c r="K105" s="95">
        <f t="shared" si="7"/>
        <v>-20</v>
      </c>
      <c r="L105" s="95"/>
      <c r="M105" s="97">
        <f t="shared" si="8"/>
        <v>0</v>
      </c>
    </row>
    <row r="106" spans="1:13" x14ac:dyDescent="0.25">
      <c r="A106" s="116"/>
      <c r="G106" s="80"/>
      <c r="H106" s="95">
        <v>101</v>
      </c>
      <c r="I106" s="96" t="str">
        <f t="shared" si="6"/>
        <v/>
      </c>
      <c r="J106" s="95">
        <f t="shared" si="9"/>
        <v>-2</v>
      </c>
      <c r="K106" s="95">
        <f t="shared" si="7"/>
        <v>-20</v>
      </c>
      <c r="L106" s="95"/>
      <c r="M106" s="97">
        <f t="shared" si="8"/>
        <v>0</v>
      </c>
    </row>
    <row r="107" spans="1:13" x14ac:dyDescent="0.25">
      <c r="A107" s="116"/>
      <c r="G107" s="80"/>
      <c r="H107" s="95">
        <v>102</v>
      </c>
      <c r="I107" s="96" t="str">
        <f t="shared" si="6"/>
        <v/>
      </c>
      <c r="J107" s="95">
        <f t="shared" si="9"/>
        <v>-2</v>
      </c>
      <c r="K107" s="95">
        <f t="shared" si="7"/>
        <v>-20</v>
      </c>
      <c r="L107" s="95"/>
      <c r="M107" s="97">
        <f t="shared" si="8"/>
        <v>0</v>
      </c>
    </row>
    <row r="108" spans="1:13" x14ac:dyDescent="0.25">
      <c r="A108" s="116"/>
      <c r="G108" s="80"/>
      <c r="H108" s="95">
        <v>103</v>
      </c>
      <c r="I108" s="96" t="str">
        <f t="shared" si="6"/>
        <v/>
      </c>
      <c r="J108" s="95">
        <f t="shared" si="9"/>
        <v>-2</v>
      </c>
      <c r="K108" s="95">
        <f t="shared" si="7"/>
        <v>-20</v>
      </c>
      <c r="L108" s="95"/>
      <c r="M108" s="97">
        <f t="shared" si="8"/>
        <v>0</v>
      </c>
    </row>
    <row r="109" spans="1:13" x14ac:dyDescent="0.25">
      <c r="A109" s="116"/>
      <c r="G109" s="80"/>
      <c r="H109" s="95">
        <v>104</v>
      </c>
      <c r="I109" s="96" t="str">
        <f t="shared" si="6"/>
        <v/>
      </c>
      <c r="J109" s="95">
        <f t="shared" si="9"/>
        <v>-2</v>
      </c>
      <c r="K109" s="95">
        <f t="shared" si="7"/>
        <v>-20</v>
      </c>
      <c r="L109" s="95"/>
      <c r="M109" s="97">
        <f t="shared" si="8"/>
        <v>0</v>
      </c>
    </row>
    <row r="110" spans="1:13" x14ac:dyDescent="0.25">
      <c r="A110" s="116"/>
      <c r="G110" s="80"/>
      <c r="H110" s="95">
        <v>105</v>
      </c>
      <c r="I110" s="96" t="str">
        <f t="shared" si="6"/>
        <v/>
      </c>
      <c r="J110" s="95">
        <f t="shared" si="9"/>
        <v>-2</v>
      </c>
      <c r="K110" s="95">
        <f t="shared" si="7"/>
        <v>-20</v>
      </c>
      <c r="L110" s="95"/>
      <c r="M110" s="97">
        <f t="shared" si="8"/>
        <v>0</v>
      </c>
    </row>
    <row r="111" spans="1:13" x14ac:dyDescent="0.25">
      <c r="A111" s="116"/>
      <c r="G111" s="80"/>
      <c r="H111" s="95">
        <v>106</v>
      </c>
      <c r="I111" s="96" t="str">
        <f t="shared" si="6"/>
        <v/>
      </c>
      <c r="J111" s="95">
        <f t="shared" si="9"/>
        <v>-2</v>
      </c>
      <c r="K111" s="95">
        <f t="shared" si="7"/>
        <v>-20</v>
      </c>
      <c r="L111" s="95"/>
      <c r="M111" s="97">
        <f t="shared" si="8"/>
        <v>0</v>
      </c>
    </row>
    <row r="112" spans="1:13" x14ac:dyDescent="0.25">
      <c r="A112" s="116"/>
      <c r="G112" s="80"/>
      <c r="H112" s="95">
        <v>107</v>
      </c>
      <c r="I112" s="96" t="str">
        <f t="shared" si="6"/>
        <v/>
      </c>
      <c r="J112" s="95">
        <f t="shared" si="9"/>
        <v>-2</v>
      </c>
      <c r="K112" s="95">
        <f t="shared" si="7"/>
        <v>-20</v>
      </c>
      <c r="L112" s="95"/>
      <c r="M112" s="97">
        <f t="shared" si="8"/>
        <v>0</v>
      </c>
    </row>
    <row r="113" spans="1:13" x14ac:dyDescent="0.25">
      <c r="A113" s="116"/>
      <c r="G113" s="80"/>
      <c r="H113" s="95">
        <v>108</v>
      </c>
      <c r="I113" s="96" t="str">
        <f t="shared" si="6"/>
        <v/>
      </c>
      <c r="J113" s="95">
        <f t="shared" si="9"/>
        <v>-2</v>
      </c>
      <c r="K113" s="95">
        <f t="shared" si="7"/>
        <v>-20</v>
      </c>
      <c r="L113" s="95"/>
      <c r="M113" s="97">
        <f t="shared" si="8"/>
        <v>0</v>
      </c>
    </row>
    <row r="114" spans="1:13" x14ac:dyDescent="0.25">
      <c r="A114" s="116"/>
      <c r="G114" s="80"/>
      <c r="H114" s="95">
        <v>109</v>
      </c>
      <c r="I114" s="96" t="str">
        <f t="shared" si="6"/>
        <v/>
      </c>
      <c r="J114" s="95">
        <f t="shared" si="9"/>
        <v>-2</v>
      </c>
      <c r="K114" s="95">
        <f t="shared" si="7"/>
        <v>-20</v>
      </c>
      <c r="L114" s="95"/>
      <c r="M114" s="97">
        <f t="shared" si="8"/>
        <v>0</v>
      </c>
    </row>
    <row r="115" spans="1:13" x14ac:dyDescent="0.25">
      <c r="A115" s="116"/>
      <c r="G115" s="80"/>
      <c r="H115" s="95">
        <v>110</v>
      </c>
      <c r="I115" s="96" t="str">
        <f t="shared" si="6"/>
        <v/>
      </c>
      <c r="J115" s="95">
        <f t="shared" si="9"/>
        <v>-2</v>
      </c>
      <c r="K115" s="95">
        <f t="shared" si="7"/>
        <v>-20</v>
      </c>
      <c r="L115" s="95"/>
      <c r="M115" s="97">
        <f t="shared" si="8"/>
        <v>0</v>
      </c>
    </row>
    <row r="116" spans="1:13" x14ac:dyDescent="0.25">
      <c r="A116" s="116"/>
      <c r="G116" s="80"/>
      <c r="H116" s="95">
        <v>111</v>
      </c>
      <c r="I116" s="96" t="str">
        <f t="shared" si="6"/>
        <v/>
      </c>
      <c r="J116" s="95">
        <f t="shared" si="9"/>
        <v>-2</v>
      </c>
      <c r="K116" s="95">
        <f t="shared" si="7"/>
        <v>-20</v>
      </c>
      <c r="L116" s="95"/>
      <c r="M116" s="97">
        <f t="shared" si="8"/>
        <v>0</v>
      </c>
    </row>
    <row r="117" spans="1:13" x14ac:dyDescent="0.25">
      <c r="A117" s="116"/>
      <c r="G117" s="80"/>
      <c r="H117" s="95">
        <v>112</v>
      </c>
      <c r="I117" s="96" t="str">
        <f t="shared" si="6"/>
        <v/>
      </c>
      <c r="J117" s="95">
        <f t="shared" si="9"/>
        <v>-2</v>
      </c>
      <c r="K117" s="95">
        <f t="shared" si="7"/>
        <v>-20</v>
      </c>
      <c r="L117" s="95"/>
      <c r="M117" s="97">
        <f t="shared" si="8"/>
        <v>0</v>
      </c>
    </row>
    <row r="118" spans="1:13" x14ac:dyDescent="0.25">
      <c r="A118" s="116"/>
      <c r="G118" s="80"/>
      <c r="H118" s="95">
        <v>113</v>
      </c>
      <c r="I118" s="96" t="str">
        <f t="shared" si="6"/>
        <v/>
      </c>
      <c r="J118" s="95">
        <f t="shared" si="9"/>
        <v>-2</v>
      </c>
      <c r="K118" s="95">
        <f t="shared" si="7"/>
        <v>-20</v>
      </c>
      <c r="L118" s="95"/>
      <c r="M118" s="97">
        <f t="shared" si="8"/>
        <v>0</v>
      </c>
    </row>
    <row r="119" spans="1:13" x14ac:dyDescent="0.25">
      <c r="A119" s="116"/>
      <c r="G119" s="80"/>
      <c r="H119" s="95">
        <v>114</v>
      </c>
      <c r="I119" s="96" t="str">
        <f t="shared" si="6"/>
        <v/>
      </c>
      <c r="J119" s="95">
        <f t="shared" si="9"/>
        <v>-2</v>
      </c>
      <c r="K119" s="95">
        <f t="shared" si="7"/>
        <v>-20</v>
      </c>
      <c r="L119" s="95"/>
      <c r="M119" s="97">
        <f t="shared" si="8"/>
        <v>0</v>
      </c>
    </row>
    <row r="120" spans="1:13" x14ac:dyDescent="0.25">
      <c r="A120" s="116"/>
      <c r="G120" s="80"/>
      <c r="H120" s="95">
        <v>115</v>
      </c>
      <c r="I120" s="96" t="str">
        <f t="shared" si="6"/>
        <v/>
      </c>
      <c r="J120" s="95">
        <f t="shared" si="9"/>
        <v>-2</v>
      </c>
      <c r="K120" s="95">
        <f t="shared" si="7"/>
        <v>-20</v>
      </c>
      <c r="L120" s="95"/>
      <c r="M120" s="97">
        <f t="shared" si="8"/>
        <v>0</v>
      </c>
    </row>
    <row r="121" spans="1:13" x14ac:dyDescent="0.25">
      <c r="A121" s="116"/>
      <c r="G121" s="80"/>
      <c r="H121" s="95">
        <v>116</v>
      </c>
      <c r="I121" s="96" t="str">
        <f t="shared" si="6"/>
        <v/>
      </c>
      <c r="J121" s="95">
        <f t="shared" si="9"/>
        <v>-2</v>
      </c>
      <c r="K121" s="95">
        <f t="shared" si="7"/>
        <v>-20</v>
      </c>
      <c r="L121" s="95"/>
      <c r="M121" s="97">
        <f t="shared" si="8"/>
        <v>0</v>
      </c>
    </row>
    <row r="122" spans="1:13" x14ac:dyDescent="0.25">
      <c r="A122" s="116"/>
      <c r="G122" s="80"/>
      <c r="H122" s="95">
        <v>117</v>
      </c>
      <c r="I122" s="96" t="str">
        <f t="shared" si="6"/>
        <v/>
      </c>
      <c r="J122" s="95">
        <f t="shared" si="9"/>
        <v>-2</v>
      </c>
      <c r="K122" s="95">
        <f t="shared" si="7"/>
        <v>-20</v>
      </c>
      <c r="L122" s="95"/>
      <c r="M122" s="97">
        <f t="shared" si="8"/>
        <v>0</v>
      </c>
    </row>
    <row r="123" spans="1:13" x14ac:dyDescent="0.25">
      <c r="A123" s="116"/>
      <c r="G123" s="80"/>
      <c r="H123" s="95">
        <v>118</v>
      </c>
      <c r="I123" s="96" t="str">
        <f t="shared" si="6"/>
        <v/>
      </c>
      <c r="J123" s="95">
        <f t="shared" si="9"/>
        <v>-2</v>
      </c>
      <c r="K123" s="95">
        <f t="shared" si="7"/>
        <v>-20</v>
      </c>
      <c r="L123" s="95"/>
      <c r="M123" s="97">
        <f t="shared" si="8"/>
        <v>0</v>
      </c>
    </row>
    <row r="124" spans="1:13" x14ac:dyDescent="0.25">
      <c r="A124" s="116"/>
      <c r="G124" s="80"/>
      <c r="H124" s="95">
        <v>119</v>
      </c>
      <c r="I124" s="96" t="str">
        <f t="shared" si="6"/>
        <v/>
      </c>
      <c r="J124" s="95">
        <f t="shared" si="9"/>
        <v>-2</v>
      </c>
      <c r="K124" s="95">
        <f t="shared" si="7"/>
        <v>-20</v>
      </c>
      <c r="L124" s="95"/>
      <c r="M124" s="97">
        <f t="shared" si="8"/>
        <v>0</v>
      </c>
    </row>
    <row r="125" spans="1:13" x14ac:dyDescent="0.25">
      <c r="A125" s="116"/>
      <c r="G125" s="80"/>
      <c r="H125" s="95">
        <v>120</v>
      </c>
      <c r="I125" s="96" t="str">
        <f t="shared" si="6"/>
        <v/>
      </c>
      <c r="J125" s="95">
        <f t="shared" si="9"/>
        <v>-2</v>
      </c>
      <c r="K125" s="95">
        <f t="shared" si="7"/>
        <v>-20</v>
      </c>
      <c r="L125" s="95"/>
      <c r="M125" s="97">
        <f t="shared" si="8"/>
        <v>0</v>
      </c>
    </row>
    <row r="126" spans="1:13" x14ac:dyDescent="0.25">
      <c r="A126" s="116"/>
      <c r="G126" s="80"/>
      <c r="H126" s="95">
        <v>121</v>
      </c>
      <c r="I126" s="96" t="str">
        <f t="shared" si="6"/>
        <v/>
      </c>
      <c r="J126" s="95">
        <f t="shared" si="9"/>
        <v>-2</v>
      </c>
      <c r="K126" s="95">
        <f t="shared" si="7"/>
        <v>-20</v>
      </c>
      <c r="L126" s="95"/>
      <c r="M126" s="97">
        <f t="shared" si="8"/>
        <v>0</v>
      </c>
    </row>
    <row r="127" spans="1:13" x14ac:dyDescent="0.25">
      <c r="A127" s="116"/>
      <c r="G127" s="80"/>
      <c r="H127" s="95">
        <v>122</v>
      </c>
      <c r="I127" s="96" t="str">
        <f t="shared" si="6"/>
        <v/>
      </c>
      <c r="J127" s="95">
        <f t="shared" si="9"/>
        <v>-2</v>
      </c>
      <c r="K127" s="95">
        <f t="shared" si="7"/>
        <v>-20</v>
      </c>
      <c r="L127" s="95"/>
      <c r="M127" s="97">
        <f t="shared" si="8"/>
        <v>0</v>
      </c>
    </row>
    <row r="128" spans="1:13" x14ac:dyDescent="0.25">
      <c r="A128" s="116"/>
      <c r="G128" s="80"/>
      <c r="H128" s="95">
        <v>123</v>
      </c>
      <c r="I128" s="96" t="str">
        <f t="shared" si="6"/>
        <v/>
      </c>
      <c r="J128" s="95">
        <f t="shared" si="9"/>
        <v>-2</v>
      </c>
      <c r="K128" s="95">
        <f t="shared" si="7"/>
        <v>-20</v>
      </c>
      <c r="L128" s="95"/>
      <c r="M128" s="97">
        <f t="shared" si="8"/>
        <v>0</v>
      </c>
    </row>
    <row r="129" spans="1:13" x14ac:dyDescent="0.25">
      <c r="A129" s="116"/>
      <c r="G129" s="80"/>
      <c r="H129" s="95">
        <v>124</v>
      </c>
      <c r="I129" s="96" t="str">
        <f t="shared" si="6"/>
        <v/>
      </c>
      <c r="J129" s="95">
        <f t="shared" si="9"/>
        <v>-2</v>
      </c>
      <c r="K129" s="95">
        <f t="shared" si="7"/>
        <v>-20</v>
      </c>
      <c r="L129" s="95"/>
      <c r="M129" s="97">
        <f t="shared" si="8"/>
        <v>0</v>
      </c>
    </row>
    <row r="130" spans="1:13" x14ac:dyDescent="0.25">
      <c r="A130" s="116"/>
      <c r="G130" s="80"/>
      <c r="H130" s="95">
        <v>125</v>
      </c>
      <c r="I130" s="96" t="str">
        <f t="shared" si="6"/>
        <v/>
      </c>
      <c r="J130" s="95">
        <f t="shared" si="9"/>
        <v>-2</v>
      </c>
      <c r="K130" s="95">
        <f t="shared" si="7"/>
        <v>-20</v>
      </c>
      <c r="L130" s="95"/>
      <c r="M130" s="97">
        <f t="shared" si="8"/>
        <v>0</v>
      </c>
    </row>
    <row r="131" spans="1:13" x14ac:dyDescent="0.25">
      <c r="A131" s="116"/>
      <c r="G131" s="80"/>
      <c r="H131" s="95">
        <v>126</v>
      </c>
      <c r="I131" s="96" t="str">
        <f t="shared" si="6"/>
        <v/>
      </c>
      <c r="J131" s="95">
        <f t="shared" si="9"/>
        <v>-2</v>
      </c>
      <c r="K131" s="95">
        <f t="shared" si="7"/>
        <v>-20</v>
      </c>
      <c r="L131" s="95"/>
      <c r="M131" s="97">
        <f t="shared" si="8"/>
        <v>0</v>
      </c>
    </row>
    <row r="132" spans="1:13" x14ac:dyDescent="0.25">
      <c r="A132" s="116"/>
      <c r="G132" s="80"/>
      <c r="H132" s="95">
        <v>127</v>
      </c>
      <c r="I132" s="96" t="str">
        <f t="shared" si="6"/>
        <v/>
      </c>
      <c r="J132" s="95">
        <f t="shared" si="9"/>
        <v>-2</v>
      </c>
      <c r="K132" s="95">
        <f t="shared" si="7"/>
        <v>-20</v>
      </c>
      <c r="L132" s="95"/>
      <c r="M132" s="97">
        <f t="shared" si="8"/>
        <v>0</v>
      </c>
    </row>
    <row r="133" spans="1:13" x14ac:dyDescent="0.25">
      <c r="A133" s="116"/>
      <c r="G133" s="80"/>
      <c r="H133" s="95">
        <v>128</v>
      </c>
      <c r="I133" s="96" t="str">
        <f t="shared" si="6"/>
        <v/>
      </c>
      <c r="J133" s="95">
        <f t="shared" si="9"/>
        <v>-2</v>
      </c>
      <c r="K133" s="95">
        <f t="shared" si="7"/>
        <v>-20</v>
      </c>
      <c r="L133" s="95"/>
      <c r="M133" s="97">
        <f t="shared" si="8"/>
        <v>0</v>
      </c>
    </row>
    <row r="134" spans="1:13" x14ac:dyDescent="0.25">
      <c r="A134" s="116"/>
      <c r="G134" s="80"/>
      <c r="H134" s="95">
        <v>129</v>
      </c>
      <c r="I134" s="96" t="str">
        <f t="shared" ref="I134:I197" si="10">IF(H134&lt;$H$2+1,($I$2-($I$2-1)*(LOG(H134)/LOG($H$2))),"")</f>
        <v/>
      </c>
      <c r="J134" s="95">
        <f t="shared" si="9"/>
        <v>-3</v>
      </c>
      <c r="K134" s="95">
        <f t="shared" ref="K134:K197" si="11">J134*$J$2</f>
        <v>-30</v>
      </c>
      <c r="L134" s="95"/>
      <c r="M134" s="97">
        <f t="shared" ref="M134:M197" si="12">IF(I134&lt;&gt;"",K134+I134+L134,0)</f>
        <v>0</v>
      </c>
    </row>
    <row r="135" spans="1:13" x14ac:dyDescent="0.25">
      <c r="A135" s="116"/>
      <c r="G135" s="80"/>
      <c r="H135" s="95">
        <v>130</v>
      </c>
      <c r="I135" s="96" t="str">
        <f t="shared" si="10"/>
        <v/>
      </c>
      <c r="J135" s="95">
        <f t="shared" ref="J135:J198" si="13">INT(LOG($H$2,2))-ROUNDUP(LOG(H135,2),0)+IF(OR($H$2=1,$H$2=2,$H$2=4,$H$2=8,$H$2=16,$H$2=32,$H$2=64,$H$2=128,$H$2=256),0,1)</f>
        <v>-3</v>
      </c>
      <c r="K135" s="95">
        <f t="shared" si="11"/>
        <v>-30</v>
      </c>
      <c r="L135" s="95"/>
      <c r="M135" s="97">
        <f t="shared" si="12"/>
        <v>0</v>
      </c>
    </row>
    <row r="136" spans="1:13" x14ac:dyDescent="0.25">
      <c r="A136" s="116"/>
      <c r="G136" s="80"/>
      <c r="H136" s="95">
        <v>131</v>
      </c>
      <c r="I136" s="96" t="str">
        <f t="shared" si="10"/>
        <v/>
      </c>
      <c r="J136" s="95">
        <f t="shared" si="13"/>
        <v>-3</v>
      </c>
      <c r="K136" s="95">
        <f t="shared" si="11"/>
        <v>-30</v>
      </c>
      <c r="L136" s="95"/>
      <c r="M136" s="97">
        <f t="shared" si="12"/>
        <v>0</v>
      </c>
    </row>
    <row r="137" spans="1:13" x14ac:dyDescent="0.25">
      <c r="A137" s="116"/>
      <c r="G137" s="80"/>
      <c r="H137" s="95">
        <v>132</v>
      </c>
      <c r="I137" s="96" t="str">
        <f t="shared" si="10"/>
        <v/>
      </c>
      <c r="J137" s="95">
        <f t="shared" si="13"/>
        <v>-3</v>
      </c>
      <c r="K137" s="95">
        <f t="shared" si="11"/>
        <v>-30</v>
      </c>
      <c r="L137" s="95"/>
      <c r="M137" s="97">
        <f t="shared" si="12"/>
        <v>0</v>
      </c>
    </row>
    <row r="138" spans="1:13" x14ac:dyDescent="0.25">
      <c r="A138" s="116"/>
      <c r="G138" s="80"/>
      <c r="H138" s="95">
        <v>133</v>
      </c>
      <c r="I138" s="96" t="str">
        <f t="shared" si="10"/>
        <v/>
      </c>
      <c r="J138" s="95">
        <f t="shared" si="13"/>
        <v>-3</v>
      </c>
      <c r="K138" s="95">
        <f t="shared" si="11"/>
        <v>-30</v>
      </c>
      <c r="L138" s="95"/>
      <c r="M138" s="97">
        <f t="shared" si="12"/>
        <v>0</v>
      </c>
    </row>
    <row r="139" spans="1:13" x14ac:dyDescent="0.25">
      <c r="A139" s="116"/>
      <c r="G139" s="80"/>
      <c r="H139" s="95">
        <v>134</v>
      </c>
      <c r="I139" s="96" t="str">
        <f t="shared" si="10"/>
        <v/>
      </c>
      <c r="J139" s="95">
        <f t="shared" si="13"/>
        <v>-3</v>
      </c>
      <c r="K139" s="95">
        <f t="shared" si="11"/>
        <v>-30</v>
      </c>
      <c r="L139" s="95"/>
      <c r="M139" s="97">
        <f t="shared" si="12"/>
        <v>0</v>
      </c>
    </row>
    <row r="140" spans="1:13" x14ac:dyDescent="0.25">
      <c r="A140" s="116"/>
      <c r="G140" s="80"/>
      <c r="H140" s="95">
        <v>135</v>
      </c>
      <c r="I140" s="96" t="str">
        <f t="shared" si="10"/>
        <v/>
      </c>
      <c r="J140" s="95">
        <f t="shared" si="13"/>
        <v>-3</v>
      </c>
      <c r="K140" s="95">
        <f t="shared" si="11"/>
        <v>-30</v>
      </c>
      <c r="L140" s="95"/>
      <c r="M140" s="97">
        <f t="shared" si="12"/>
        <v>0</v>
      </c>
    </row>
    <row r="141" spans="1:13" x14ac:dyDescent="0.25">
      <c r="A141" s="116"/>
      <c r="G141" s="80"/>
      <c r="H141" s="95">
        <v>136</v>
      </c>
      <c r="I141" s="96" t="str">
        <f t="shared" si="10"/>
        <v/>
      </c>
      <c r="J141" s="95">
        <f t="shared" si="13"/>
        <v>-3</v>
      </c>
      <c r="K141" s="95">
        <f t="shared" si="11"/>
        <v>-30</v>
      </c>
      <c r="L141" s="95"/>
      <c r="M141" s="97">
        <f t="shared" si="12"/>
        <v>0</v>
      </c>
    </row>
    <row r="142" spans="1:13" x14ac:dyDescent="0.25">
      <c r="A142" s="116"/>
      <c r="G142" s="80"/>
      <c r="H142" s="95">
        <v>137</v>
      </c>
      <c r="I142" s="96" t="str">
        <f t="shared" si="10"/>
        <v/>
      </c>
      <c r="J142" s="95">
        <f t="shared" si="13"/>
        <v>-3</v>
      </c>
      <c r="K142" s="95">
        <f t="shared" si="11"/>
        <v>-30</v>
      </c>
      <c r="L142" s="95"/>
      <c r="M142" s="97">
        <f t="shared" si="12"/>
        <v>0</v>
      </c>
    </row>
    <row r="143" spans="1:13" x14ac:dyDescent="0.25">
      <c r="A143" s="116"/>
      <c r="G143" s="80"/>
      <c r="H143" s="95">
        <v>138</v>
      </c>
      <c r="I143" s="96" t="str">
        <f t="shared" si="10"/>
        <v/>
      </c>
      <c r="J143" s="95">
        <f t="shared" si="13"/>
        <v>-3</v>
      </c>
      <c r="K143" s="95">
        <f t="shared" si="11"/>
        <v>-30</v>
      </c>
      <c r="L143" s="95"/>
      <c r="M143" s="97">
        <f t="shared" si="12"/>
        <v>0</v>
      </c>
    </row>
    <row r="144" spans="1:13" x14ac:dyDescent="0.25">
      <c r="A144" s="116"/>
      <c r="G144" s="80"/>
      <c r="H144" s="95">
        <v>139</v>
      </c>
      <c r="I144" s="96" t="str">
        <f t="shared" si="10"/>
        <v/>
      </c>
      <c r="J144" s="95">
        <f t="shared" si="13"/>
        <v>-3</v>
      </c>
      <c r="K144" s="95">
        <f t="shared" si="11"/>
        <v>-30</v>
      </c>
      <c r="L144" s="95"/>
      <c r="M144" s="97">
        <f t="shared" si="12"/>
        <v>0</v>
      </c>
    </row>
    <row r="145" spans="1:13" x14ac:dyDescent="0.25">
      <c r="A145" s="116"/>
      <c r="G145" s="80"/>
      <c r="H145" s="95">
        <v>140</v>
      </c>
      <c r="I145" s="96" t="str">
        <f t="shared" si="10"/>
        <v/>
      </c>
      <c r="J145" s="95">
        <f t="shared" si="13"/>
        <v>-3</v>
      </c>
      <c r="K145" s="95">
        <f t="shared" si="11"/>
        <v>-30</v>
      </c>
      <c r="L145" s="95"/>
      <c r="M145" s="97">
        <f t="shared" si="12"/>
        <v>0</v>
      </c>
    </row>
    <row r="146" spans="1:13" x14ac:dyDescent="0.25">
      <c r="A146" s="116"/>
      <c r="G146" s="80"/>
      <c r="H146" s="95">
        <v>141</v>
      </c>
      <c r="I146" s="96" t="str">
        <f t="shared" si="10"/>
        <v/>
      </c>
      <c r="J146" s="95">
        <f t="shared" si="13"/>
        <v>-3</v>
      </c>
      <c r="K146" s="95">
        <f t="shared" si="11"/>
        <v>-30</v>
      </c>
      <c r="L146" s="95"/>
      <c r="M146" s="97">
        <f t="shared" si="12"/>
        <v>0</v>
      </c>
    </row>
    <row r="147" spans="1:13" x14ac:dyDescent="0.25">
      <c r="A147" s="116"/>
      <c r="G147" s="80"/>
      <c r="H147" s="95">
        <v>142</v>
      </c>
      <c r="I147" s="96" t="str">
        <f t="shared" si="10"/>
        <v/>
      </c>
      <c r="J147" s="95">
        <f t="shared" si="13"/>
        <v>-3</v>
      </c>
      <c r="K147" s="95">
        <f t="shared" si="11"/>
        <v>-30</v>
      </c>
      <c r="L147" s="95"/>
      <c r="M147" s="97">
        <f t="shared" si="12"/>
        <v>0</v>
      </c>
    </row>
    <row r="148" spans="1:13" x14ac:dyDescent="0.25">
      <c r="A148" s="116"/>
      <c r="G148" s="80"/>
      <c r="H148" s="95">
        <v>143</v>
      </c>
      <c r="I148" s="96" t="str">
        <f t="shared" si="10"/>
        <v/>
      </c>
      <c r="J148" s="95">
        <f t="shared" si="13"/>
        <v>-3</v>
      </c>
      <c r="K148" s="95">
        <f t="shared" si="11"/>
        <v>-30</v>
      </c>
      <c r="L148" s="95"/>
      <c r="M148" s="97">
        <f t="shared" si="12"/>
        <v>0</v>
      </c>
    </row>
    <row r="149" spans="1:13" x14ac:dyDescent="0.25">
      <c r="A149" s="116"/>
      <c r="G149" s="80"/>
      <c r="H149" s="95">
        <v>144</v>
      </c>
      <c r="I149" s="96" t="str">
        <f t="shared" si="10"/>
        <v/>
      </c>
      <c r="J149" s="95">
        <f t="shared" si="13"/>
        <v>-3</v>
      </c>
      <c r="K149" s="95">
        <f t="shared" si="11"/>
        <v>-30</v>
      </c>
      <c r="L149" s="95"/>
      <c r="M149" s="97">
        <f t="shared" si="12"/>
        <v>0</v>
      </c>
    </row>
    <row r="150" spans="1:13" x14ac:dyDescent="0.25">
      <c r="A150" s="116"/>
      <c r="G150" s="80"/>
      <c r="H150" s="95">
        <v>145</v>
      </c>
      <c r="I150" s="96" t="str">
        <f t="shared" si="10"/>
        <v/>
      </c>
      <c r="J150" s="95">
        <f t="shared" si="13"/>
        <v>-3</v>
      </c>
      <c r="K150" s="95">
        <f t="shared" si="11"/>
        <v>-30</v>
      </c>
      <c r="L150" s="95"/>
      <c r="M150" s="97">
        <f t="shared" si="12"/>
        <v>0</v>
      </c>
    </row>
    <row r="151" spans="1:13" x14ac:dyDescent="0.25">
      <c r="A151" s="116"/>
      <c r="G151" s="80"/>
      <c r="H151" s="95">
        <v>146</v>
      </c>
      <c r="I151" s="96" t="str">
        <f t="shared" si="10"/>
        <v/>
      </c>
      <c r="J151" s="95">
        <f t="shared" si="13"/>
        <v>-3</v>
      </c>
      <c r="K151" s="95">
        <f t="shared" si="11"/>
        <v>-30</v>
      </c>
      <c r="L151" s="95"/>
      <c r="M151" s="97">
        <f t="shared" si="12"/>
        <v>0</v>
      </c>
    </row>
    <row r="152" spans="1:13" x14ac:dyDescent="0.25">
      <c r="A152" s="116"/>
      <c r="G152" s="80"/>
      <c r="H152" s="95">
        <v>147</v>
      </c>
      <c r="I152" s="96" t="str">
        <f t="shared" si="10"/>
        <v/>
      </c>
      <c r="J152" s="95">
        <f t="shared" si="13"/>
        <v>-3</v>
      </c>
      <c r="K152" s="95">
        <f t="shared" si="11"/>
        <v>-30</v>
      </c>
      <c r="L152" s="95"/>
      <c r="M152" s="97">
        <f t="shared" si="12"/>
        <v>0</v>
      </c>
    </row>
    <row r="153" spans="1:13" x14ac:dyDescent="0.25">
      <c r="A153" s="116"/>
      <c r="G153" s="80"/>
      <c r="H153" s="95">
        <v>148</v>
      </c>
      <c r="I153" s="96" t="str">
        <f t="shared" si="10"/>
        <v/>
      </c>
      <c r="J153" s="95">
        <f t="shared" si="13"/>
        <v>-3</v>
      </c>
      <c r="K153" s="95">
        <f t="shared" si="11"/>
        <v>-30</v>
      </c>
      <c r="L153" s="95"/>
      <c r="M153" s="97">
        <f t="shared" si="12"/>
        <v>0</v>
      </c>
    </row>
    <row r="154" spans="1:13" x14ac:dyDescent="0.25">
      <c r="A154" s="116"/>
      <c r="G154" s="80"/>
      <c r="H154" s="95">
        <v>149</v>
      </c>
      <c r="I154" s="96" t="str">
        <f t="shared" si="10"/>
        <v/>
      </c>
      <c r="J154" s="95">
        <f t="shared" si="13"/>
        <v>-3</v>
      </c>
      <c r="K154" s="95">
        <f t="shared" si="11"/>
        <v>-30</v>
      </c>
      <c r="L154" s="95"/>
      <c r="M154" s="97">
        <f t="shared" si="12"/>
        <v>0</v>
      </c>
    </row>
    <row r="155" spans="1:13" x14ac:dyDescent="0.25">
      <c r="A155" s="116"/>
      <c r="G155" s="80"/>
      <c r="H155" s="95">
        <v>150</v>
      </c>
      <c r="I155" s="96" t="str">
        <f t="shared" si="10"/>
        <v/>
      </c>
      <c r="J155" s="95">
        <f t="shared" si="13"/>
        <v>-3</v>
      </c>
      <c r="K155" s="95">
        <f t="shared" si="11"/>
        <v>-30</v>
      </c>
      <c r="L155" s="95"/>
      <c r="M155" s="97">
        <f t="shared" si="12"/>
        <v>0</v>
      </c>
    </row>
    <row r="156" spans="1:13" x14ac:dyDescent="0.25">
      <c r="A156" s="116"/>
      <c r="G156" s="80"/>
      <c r="H156" s="95">
        <v>151</v>
      </c>
      <c r="I156" s="96" t="str">
        <f t="shared" si="10"/>
        <v/>
      </c>
      <c r="J156" s="95">
        <f t="shared" si="13"/>
        <v>-3</v>
      </c>
      <c r="K156" s="95">
        <f t="shared" si="11"/>
        <v>-30</v>
      </c>
      <c r="L156" s="95"/>
      <c r="M156" s="97">
        <f t="shared" si="12"/>
        <v>0</v>
      </c>
    </row>
    <row r="157" spans="1:13" x14ac:dyDescent="0.25">
      <c r="A157" s="116"/>
      <c r="G157" s="80"/>
      <c r="H157" s="95">
        <v>152</v>
      </c>
      <c r="I157" s="96" t="str">
        <f t="shared" si="10"/>
        <v/>
      </c>
      <c r="J157" s="95">
        <f t="shared" si="13"/>
        <v>-3</v>
      </c>
      <c r="K157" s="95">
        <f t="shared" si="11"/>
        <v>-30</v>
      </c>
      <c r="L157" s="95"/>
      <c r="M157" s="97">
        <f t="shared" si="12"/>
        <v>0</v>
      </c>
    </row>
    <row r="158" spans="1:13" x14ac:dyDescent="0.25">
      <c r="A158" s="116"/>
      <c r="G158" s="80"/>
      <c r="H158" s="95">
        <v>153</v>
      </c>
      <c r="I158" s="96" t="str">
        <f t="shared" si="10"/>
        <v/>
      </c>
      <c r="J158" s="95">
        <f t="shared" si="13"/>
        <v>-3</v>
      </c>
      <c r="K158" s="95">
        <f t="shared" si="11"/>
        <v>-30</v>
      </c>
      <c r="L158" s="95"/>
      <c r="M158" s="97">
        <f t="shared" si="12"/>
        <v>0</v>
      </c>
    </row>
    <row r="159" spans="1:13" x14ac:dyDescent="0.25">
      <c r="A159" s="116"/>
      <c r="G159" s="80"/>
      <c r="H159" s="95">
        <v>154</v>
      </c>
      <c r="I159" s="96" t="str">
        <f t="shared" si="10"/>
        <v/>
      </c>
      <c r="J159" s="95">
        <f t="shared" si="13"/>
        <v>-3</v>
      </c>
      <c r="K159" s="95">
        <f t="shared" si="11"/>
        <v>-30</v>
      </c>
      <c r="L159" s="95"/>
      <c r="M159" s="97">
        <f t="shared" si="12"/>
        <v>0</v>
      </c>
    </row>
    <row r="160" spans="1:13" x14ac:dyDescent="0.25">
      <c r="A160" s="116"/>
      <c r="G160" s="80"/>
      <c r="H160" s="95">
        <v>155</v>
      </c>
      <c r="I160" s="96" t="str">
        <f t="shared" si="10"/>
        <v/>
      </c>
      <c r="J160" s="95">
        <f t="shared" si="13"/>
        <v>-3</v>
      </c>
      <c r="K160" s="95">
        <f t="shared" si="11"/>
        <v>-30</v>
      </c>
      <c r="L160" s="95"/>
      <c r="M160" s="97">
        <f t="shared" si="12"/>
        <v>0</v>
      </c>
    </row>
    <row r="161" spans="1:13" x14ac:dyDescent="0.25">
      <c r="A161" s="116"/>
      <c r="G161" s="80"/>
      <c r="H161" s="95">
        <v>156</v>
      </c>
      <c r="I161" s="96" t="str">
        <f t="shared" si="10"/>
        <v/>
      </c>
      <c r="J161" s="95">
        <f t="shared" si="13"/>
        <v>-3</v>
      </c>
      <c r="K161" s="95">
        <f t="shared" si="11"/>
        <v>-30</v>
      </c>
      <c r="L161" s="95"/>
      <c r="M161" s="97">
        <f t="shared" si="12"/>
        <v>0</v>
      </c>
    </row>
    <row r="162" spans="1:13" x14ac:dyDescent="0.25">
      <c r="A162" s="116"/>
      <c r="G162" s="80"/>
      <c r="H162" s="95">
        <v>157</v>
      </c>
      <c r="I162" s="96" t="str">
        <f t="shared" si="10"/>
        <v/>
      </c>
      <c r="J162" s="95">
        <f t="shared" si="13"/>
        <v>-3</v>
      </c>
      <c r="K162" s="95">
        <f t="shared" si="11"/>
        <v>-30</v>
      </c>
      <c r="L162" s="95"/>
      <c r="M162" s="97">
        <f t="shared" si="12"/>
        <v>0</v>
      </c>
    </row>
    <row r="163" spans="1:13" x14ac:dyDescent="0.25">
      <c r="A163" s="116"/>
      <c r="G163" s="80"/>
      <c r="H163" s="95">
        <v>158</v>
      </c>
      <c r="I163" s="96" t="str">
        <f t="shared" si="10"/>
        <v/>
      </c>
      <c r="J163" s="95">
        <f t="shared" si="13"/>
        <v>-3</v>
      </c>
      <c r="K163" s="95">
        <f t="shared" si="11"/>
        <v>-30</v>
      </c>
      <c r="L163" s="95"/>
      <c r="M163" s="97">
        <f t="shared" si="12"/>
        <v>0</v>
      </c>
    </row>
    <row r="164" spans="1:13" x14ac:dyDescent="0.25">
      <c r="A164" s="116"/>
      <c r="G164" s="80"/>
      <c r="H164" s="95">
        <v>159</v>
      </c>
      <c r="I164" s="96" t="str">
        <f t="shared" si="10"/>
        <v/>
      </c>
      <c r="J164" s="95">
        <f t="shared" si="13"/>
        <v>-3</v>
      </c>
      <c r="K164" s="95">
        <f t="shared" si="11"/>
        <v>-30</v>
      </c>
      <c r="L164" s="95"/>
      <c r="M164" s="97">
        <f t="shared" si="12"/>
        <v>0</v>
      </c>
    </row>
    <row r="165" spans="1:13" x14ac:dyDescent="0.25">
      <c r="A165" s="116"/>
      <c r="G165" s="80"/>
      <c r="H165" s="95">
        <v>160</v>
      </c>
      <c r="I165" s="96" t="str">
        <f t="shared" si="10"/>
        <v/>
      </c>
      <c r="J165" s="95">
        <f t="shared" si="13"/>
        <v>-3</v>
      </c>
      <c r="K165" s="95">
        <f t="shared" si="11"/>
        <v>-30</v>
      </c>
      <c r="L165" s="95"/>
      <c r="M165" s="97">
        <f t="shared" si="12"/>
        <v>0</v>
      </c>
    </row>
    <row r="166" spans="1:13" x14ac:dyDescent="0.25">
      <c r="A166" s="116"/>
      <c r="G166" s="80"/>
      <c r="H166" s="95">
        <v>161</v>
      </c>
      <c r="I166" s="96" t="str">
        <f t="shared" si="10"/>
        <v/>
      </c>
      <c r="J166" s="95">
        <f t="shared" si="13"/>
        <v>-3</v>
      </c>
      <c r="K166" s="95">
        <f t="shared" si="11"/>
        <v>-30</v>
      </c>
      <c r="L166" s="95"/>
      <c r="M166" s="97">
        <f t="shared" si="12"/>
        <v>0</v>
      </c>
    </row>
    <row r="167" spans="1:13" x14ac:dyDescent="0.25">
      <c r="A167" s="116"/>
      <c r="G167" s="80"/>
      <c r="H167" s="95">
        <v>162</v>
      </c>
      <c r="I167" s="96" t="str">
        <f t="shared" si="10"/>
        <v/>
      </c>
      <c r="J167" s="95">
        <f t="shared" si="13"/>
        <v>-3</v>
      </c>
      <c r="K167" s="95">
        <f t="shared" si="11"/>
        <v>-30</v>
      </c>
      <c r="L167" s="95"/>
      <c r="M167" s="97">
        <f t="shared" si="12"/>
        <v>0</v>
      </c>
    </row>
    <row r="168" spans="1:13" x14ac:dyDescent="0.25">
      <c r="A168" s="116"/>
      <c r="G168" s="80"/>
      <c r="H168" s="95">
        <v>163</v>
      </c>
      <c r="I168" s="96" t="str">
        <f t="shared" si="10"/>
        <v/>
      </c>
      <c r="J168" s="95">
        <f t="shared" si="13"/>
        <v>-3</v>
      </c>
      <c r="K168" s="95">
        <f t="shared" si="11"/>
        <v>-30</v>
      </c>
      <c r="L168" s="95"/>
      <c r="M168" s="97">
        <f t="shared" si="12"/>
        <v>0</v>
      </c>
    </row>
    <row r="169" spans="1:13" x14ac:dyDescent="0.25">
      <c r="A169" s="116"/>
      <c r="G169" s="80"/>
      <c r="H169" s="95">
        <v>164</v>
      </c>
      <c r="I169" s="96" t="str">
        <f t="shared" si="10"/>
        <v/>
      </c>
      <c r="J169" s="95">
        <f t="shared" si="13"/>
        <v>-3</v>
      </c>
      <c r="K169" s="95">
        <f t="shared" si="11"/>
        <v>-30</v>
      </c>
      <c r="L169" s="95"/>
      <c r="M169" s="97">
        <f t="shared" si="12"/>
        <v>0</v>
      </c>
    </row>
    <row r="170" spans="1:13" x14ac:dyDescent="0.25">
      <c r="A170" s="116"/>
      <c r="G170" s="80"/>
      <c r="H170" s="95">
        <v>165</v>
      </c>
      <c r="I170" s="96" t="str">
        <f t="shared" si="10"/>
        <v/>
      </c>
      <c r="J170" s="95">
        <f t="shared" si="13"/>
        <v>-3</v>
      </c>
      <c r="K170" s="95">
        <f t="shared" si="11"/>
        <v>-30</v>
      </c>
      <c r="L170" s="95"/>
      <c r="M170" s="97">
        <f t="shared" si="12"/>
        <v>0</v>
      </c>
    </row>
    <row r="171" spans="1:13" x14ac:dyDescent="0.25">
      <c r="A171" s="116"/>
      <c r="G171" s="80"/>
      <c r="H171" s="95">
        <v>166</v>
      </c>
      <c r="I171" s="96" t="str">
        <f t="shared" si="10"/>
        <v/>
      </c>
      <c r="J171" s="95">
        <f t="shared" si="13"/>
        <v>-3</v>
      </c>
      <c r="K171" s="95">
        <f t="shared" si="11"/>
        <v>-30</v>
      </c>
      <c r="L171" s="95"/>
      <c r="M171" s="97">
        <f t="shared" si="12"/>
        <v>0</v>
      </c>
    </row>
    <row r="172" spans="1:13" x14ac:dyDescent="0.25">
      <c r="A172" s="116"/>
      <c r="G172" s="80"/>
      <c r="H172" s="95">
        <v>167</v>
      </c>
      <c r="I172" s="96" t="str">
        <f t="shared" si="10"/>
        <v/>
      </c>
      <c r="J172" s="95">
        <f t="shared" si="13"/>
        <v>-3</v>
      </c>
      <c r="K172" s="95">
        <f t="shared" si="11"/>
        <v>-30</v>
      </c>
      <c r="L172" s="95"/>
      <c r="M172" s="97">
        <f t="shared" si="12"/>
        <v>0</v>
      </c>
    </row>
    <row r="173" spans="1:13" x14ac:dyDescent="0.25">
      <c r="A173" s="116"/>
      <c r="G173" s="80"/>
      <c r="H173" s="95">
        <v>168</v>
      </c>
      <c r="I173" s="96" t="str">
        <f t="shared" si="10"/>
        <v/>
      </c>
      <c r="J173" s="95">
        <f t="shared" si="13"/>
        <v>-3</v>
      </c>
      <c r="K173" s="95">
        <f t="shared" si="11"/>
        <v>-30</v>
      </c>
      <c r="L173" s="95"/>
      <c r="M173" s="97">
        <f t="shared" si="12"/>
        <v>0</v>
      </c>
    </row>
    <row r="174" spans="1:13" x14ac:dyDescent="0.25">
      <c r="A174" s="116"/>
      <c r="G174" s="80"/>
      <c r="H174" s="95">
        <v>169</v>
      </c>
      <c r="I174" s="96" t="str">
        <f t="shared" si="10"/>
        <v/>
      </c>
      <c r="J174" s="95">
        <f t="shared" si="13"/>
        <v>-3</v>
      </c>
      <c r="K174" s="95">
        <f t="shared" si="11"/>
        <v>-30</v>
      </c>
      <c r="L174" s="95"/>
      <c r="M174" s="97">
        <f t="shared" si="12"/>
        <v>0</v>
      </c>
    </row>
    <row r="175" spans="1:13" x14ac:dyDescent="0.25">
      <c r="A175" s="116"/>
      <c r="G175" s="80"/>
      <c r="H175" s="95">
        <v>170</v>
      </c>
      <c r="I175" s="96" t="str">
        <f t="shared" si="10"/>
        <v/>
      </c>
      <c r="J175" s="95">
        <f t="shared" si="13"/>
        <v>-3</v>
      </c>
      <c r="K175" s="95">
        <f t="shared" si="11"/>
        <v>-30</v>
      </c>
      <c r="L175" s="95"/>
      <c r="M175" s="97">
        <f t="shared" si="12"/>
        <v>0</v>
      </c>
    </row>
    <row r="176" spans="1:13" x14ac:dyDescent="0.25">
      <c r="A176" s="116"/>
      <c r="G176" s="80"/>
      <c r="H176" s="95">
        <v>171</v>
      </c>
      <c r="I176" s="96" t="str">
        <f t="shared" si="10"/>
        <v/>
      </c>
      <c r="J176" s="95">
        <f t="shared" si="13"/>
        <v>-3</v>
      </c>
      <c r="K176" s="95">
        <f t="shared" si="11"/>
        <v>-30</v>
      </c>
      <c r="L176" s="95"/>
      <c r="M176" s="97">
        <f t="shared" si="12"/>
        <v>0</v>
      </c>
    </row>
    <row r="177" spans="1:13" x14ac:dyDescent="0.25">
      <c r="A177" s="116"/>
      <c r="G177" s="80"/>
      <c r="H177" s="95">
        <v>172</v>
      </c>
      <c r="I177" s="96" t="str">
        <f t="shared" si="10"/>
        <v/>
      </c>
      <c r="J177" s="95">
        <f t="shared" si="13"/>
        <v>-3</v>
      </c>
      <c r="K177" s="95">
        <f t="shared" si="11"/>
        <v>-30</v>
      </c>
      <c r="L177" s="95"/>
      <c r="M177" s="97">
        <f t="shared" si="12"/>
        <v>0</v>
      </c>
    </row>
    <row r="178" spans="1:13" x14ac:dyDescent="0.25">
      <c r="A178" s="116"/>
      <c r="G178" s="80"/>
      <c r="H178" s="95">
        <v>173</v>
      </c>
      <c r="I178" s="96" t="str">
        <f t="shared" si="10"/>
        <v/>
      </c>
      <c r="J178" s="95">
        <f t="shared" si="13"/>
        <v>-3</v>
      </c>
      <c r="K178" s="95">
        <f t="shared" si="11"/>
        <v>-30</v>
      </c>
      <c r="L178" s="95"/>
      <c r="M178" s="97">
        <f t="shared" si="12"/>
        <v>0</v>
      </c>
    </row>
    <row r="179" spans="1:13" x14ac:dyDescent="0.25">
      <c r="A179" s="116"/>
      <c r="G179" s="80"/>
      <c r="H179" s="95">
        <v>174</v>
      </c>
      <c r="I179" s="96" t="str">
        <f t="shared" si="10"/>
        <v/>
      </c>
      <c r="J179" s="95">
        <f t="shared" si="13"/>
        <v>-3</v>
      </c>
      <c r="K179" s="95">
        <f t="shared" si="11"/>
        <v>-30</v>
      </c>
      <c r="L179" s="95"/>
      <c r="M179" s="97">
        <f t="shared" si="12"/>
        <v>0</v>
      </c>
    </row>
    <row r="180" spans="1:13" x14ac:dyDescent="0.25">
      <c r="A180" s="116"/>
      <c r="G180" s="80"/>
      <c r="H180" s="95">
        <v>175</v>
      </c>
      <c r="I180" s="96" t="str">
        <f t="shared" si="10"/>
        <v/>
      </c>
      <c r="J180" s="95">
        <f t="shared" si="13"/>
        <v>-3</v>
      </c>
      <c r="K180" s="95">
        <f t="shared" si="11"/>
        <v>-30</v>
      </c>
      <c r="L180" s="95"/>
      <c r="M180" s="97">
        <f t="shared" si="12"/>
        <v>0</v>
      </c>
    </row>
    <row r="181" spans="1:13" x14ac:dyDescent="0.25">
      <c r="A181" s="116"/>
      <c r="G181" s="80"/>
      <c r="H181" s="95">
        <v>176</v>
      </c>
      <c r="I181" s="96" t="str">
        <f t="shared" si="10"/>
        <v/>
      </c>
      <c r="J181" s="95">
        <f t="shared" si="13"/>
        <v>-3</v>
      </c>
      <c r="K181" s="95">
        <f t="shared" si="11"/>
        <v>-30</v>
      </c>
      <c r="L181" s="95"/>
      <c r="M181" s="97">
        <f t="shared" si="12"/>
        <v>0</v>
      </c>
    </row>
    <row r="182" spans="1:13" x14ac:dyDescent="0.25">
      <c r="A182" s="116"/>
      <c r="G182" s="80"/>
      <c r="H182" s="95">
        <v>177</v>
      </c>
      <c r="I182" s="96" t="str">
        <f t="shared" si="10"/>
        <v/>
      </c>
      <c r="J182" s="95">
        <f t="shared" si="13"/>
        <v>-3</v>
      </c>
      <c r="K182" s="95">
        <f t="shared" si="11"/>
        <v>-30</v>
      </c>
      <c r="L182" s="95"/>
      <c r="M182" s="97">
        <f t="shared" si="12"/>
        <v>0</v>
      </c>
    </row>
    <row r="183" spans="1:13" x14ac:dyDescent="0.25">
      <c r="A183" s="116"/>
      <c r="G183" s="80"/>
      <c r="H183" s="95">
        <v>178</v>
      </c>
      <c r="I183" s="96" t="str">
        <f t="shared" si="10"/>
        <v/>
      </c>
      <c r="J183" s="95">
        <f t="shared" si="13"/>
        <v>-3</v>
      </c>
      <c r="K183" s="95">
        <f t="shared" si="11"/>
        <v>-30</v>
      </c>
      <c r="L183" s="95"/>
      <c r="M183" s="97">
        <f t="shared" si="12"/>
        <v>0</v>
      </c>
    </row>
    <row r="184" spans="1:13" x14ac:dyDescent="0.25">
      <c r="A184" s="116"/>
      <c r="G184" s="80"/>
      <c r="H184" s="95">
        <v>179</v>
      </c>
      <c r="I184" s="96" t="str">
        <f t="shared" si="10"/>
        <v/>
      </c>
      <c r="J184" s="95">
        <f t="shared" si="13"/>
        <v>-3</v>
      </c>
      <c r="K184" s="95">
        <f t="shared" si="11"/>
        <v>-30</v>
      </c>
      <c r="L184" s="95"/>
      <c r="M184" s="97">
        <f t="shared" si="12"/>
        <v>0</v>
      </c>
    </row>
    <row r="185" spans="1:13" x14ac:dyDescent="0.25">
      <c r="A185" s="116"/>
      <c r="G185" s="80"/>
      <c r="H185" s="95">
        <v>180</v>
      </c>
      <c r="I185" s="96" t="str">
        <f t="shared" si="10"/>
        <v/>
      </c>
      <c r="J185" s="95">
        <f t="shared" si="13"/>
        <v>-3</v>
      </c>
      <c r="K185" s="95">
        <f t="shared" si="11"/>
        <v>-30</v>
      </c>
      <c r="L185" s="95"/>
      <c r="M185" s="97">
        <f t="shared" si="12"/>
        <v>0</v>
      </c>
    </row>
    <row r="186" spans="1:13" x14ac:dyDescent="0.25">
      <c r="A186" s="116"/>
      <c r="G186" s="80"/>
      <c r="H186" s="95">
        <v>181</v>
      </c>
      <c r="I186" s="96" t="str">
        <f t="shared" si="10"/>
        <v/>
      </c>
      <c r="J186" s="95">
        <f t="shared" si="13"/>
        <v>-3</v>
      </c>
      <c r="K186" s="95">
        <f t="shared" si="11"/>
        <v>-30</v>
      </c>
      <c r="L186" s="95"/>
      <c r="M186" s="97">
        <f t="shared" si="12"/>
        <v>0</v>
      </c>
    </row>
    <row r="187" spans="1:13" x14ac:dyDescent="0.25">
      <c r="A187" s="116"/>
      <c r="G187" s="80"/>
      <c r="H187" s="95">
        <v>182</v>
      </c>
      <c r="I187" s="96" t="str">
        <f t="shared" si="10"/>
        <v/>
      </c>
      <c r="J187" s="95">
        <f t="shared" si="13"/>
        <v>-3</v>
      </c>
      <c r="K187" s="95">
        <f t="shared" si="11"/>
        <v>-30</v>
      </c>
      <c r="L187" s="95"/>
      <c r="M187" s="97">
        <f t="shared" si="12"/>
        <v>0</v>
      </c>
    </row>
    <row r="188" spans="1:13" x14ac:dyDescent="0.25">
      <c r="A188" s="116"/>
      <c r="G188" s="80"/>
      <c r="H188" s="95">
        <v>183</v>
      </c>
      <c r="I188" s="96" t="str">
        <f t="shared" si="10"/>
        <v/>
      </c>
      <c r="J188" s="95">
        <f t="shared" si="13"/>
        <v>-3</v>
      </c>
      <c r="K188" s="95">
        <f t="shared" si="11"/>
        <v>-30</v>
      </c>
      <c r="L188" s="95"/>
      <c r="M188" s="97">
        <f t="shared" si="12"/>
        <v>0</v>
      </c>
    </row>
    <row r="189" spans="1:13" x14ac:dyDescent="0.25">
      <c r="A189" s="116"/>
      <c r="G189" s="80"/>
      <c r="H189" s="95">
        <v>184</v>
      </c>
      <c r="I189" s="96" t="str">
        <f t="shared" si="10"/>
        <v/>
      </c>
      <c r="J189" s="95">
        <f t="shared" si="13"/>
        <v>-3</v>
      </c>
      <c r="K189" s="95">
        <f t="shared" si="11"/>
        <v>-30</v>
      </c>
      <c r="L189" s="95"/>
      <c r="M189" s="97">
        <f t="shared" si="12"/>
        <v>0</v>
      </c>
    </row>
    <row r="190" spans="1:13" x14ac:dyDescent="0.25">
      <c r="A190" s="116"/>
      <c r="G190" s="80"/>
      <c r="H190" s="95">
        <v>185</v>
      </c>
      <c r="I190" s="96" t="str">
        <f t="shared" si="10"/>
        <v/>
      </c>
      <c r="J190" s="95">
        <f t="shared" si="13"/>
        <v>-3</v>
      </c>
      <c r="K190" s="95">
        <f t="shared" si="11"/>
        <v>-30</v>
      </c>
      <c r="L190" s="95"/>
      <c r="M190" s="97">
        <f t="shared" si="12"/>
        <v>0</v>
      </c>
    </row>
    <row r="191" spans="1:13" x14ac:dyDescent="0.25">
      <c r="A191" s="116"/>
      <c r="G191" s="80"/>
      <c r="H191" s="95">
        <v>186</v>
      </c>
      <c r="I191" s="96" t="str">
        <f t="shared" si="10"/>
        <v/>
      </c>
      <c r="J191" s="95">
        <f t="shared" si="13"/>
        <v>-3</v>
      </c>
      <c r="K191" s="95">
        <f t="shared" si="11"/>
        <v>-30</v>
      </c>
      <c r="L191" s="95"/>
      <c r="M191" s="97">
        <f t="shared" si="12"/>
        <v>0</v>
      </c>
    </row>
    <row r="192" spans="1:13" x14ac:dyDescent="0.25">
      <c r="A192" s="116"/>
      <c r="G192" s="80"/>
      <c r="H192" s="95">
        <v>187</v>
      </c>
      <c r="I192" s="96" t="str">
        <f t="shared" si="10"/>
        <v/>
      </c>
      <c r="J192" s="95">
        <f t="shared" si="13"/>
        <v>-3</v>
      </c>
      <c r="K192" s="95">
        <f t="shared" si="11"/>
        <v>-30</v>
      </c>
      <c r="L192" s="95"/>
      <c r="M192" s="97">
        <f t="shared" si="12"/>
        <v>0</v>
      </c>
    </row>
    <row r="193" spans="1:13" x14ac:dyDescent="0.25">
      <c r="A193" s="116"/>
      <c r="G193" s="80"/>
      <c r="H193" s="95">
        <v>188</v>
      </c>
      <c r="I193" s="96" t="str">
        <f t="shared" si="10"/>
        <v/>
      </c>
      <c r="J193" s="95">
        <f t="shared" si="13"/>
        <v>-3</v>
      </c>
      <c r="K193" s="95">
        <f t="shared" si="11"/>
        <v>-30</v>
      </c>
      <c r="L193" s="95"/>
      <c r="M193" s="97">
        <f t="shared" si="12"/>
        <v>0</v>
      </c>
    </row>
    <row r="194" spans="1:13" x14ac:dyDescent="0.25">
      <c r="A194" s="116"/>
      <c r="G194" s="80"/>
      <c r="H194" s="95">
        <v>189</v>
      </c>
      <c r="I194" s="96" t="str">
        <f t="shared" si="10"/>
        <v/>
      </c>
      <c r="J194" s="95">
        <f t="shared" si="13"/>
        <v>-3</v>
      </c>
      <c r="K194" s="95">
        <f t="shared" si="11"/>
        <v>-30</v>
      </c>
      <c r="L194" s="95"/>
      <c r="M194" s="97">
        <f t="shared" si="12"/>
        <v>0</v>
      </c>
    </row>
    <row r="195" spans="1:13" x14ac:dyDescent="0.25">
      <c r="A195" s="116"/>
      <c r="G195" s="80"/>
      <c r="H195" s="95">
        <v>190</v>
      </c>
      <c r="I195" s="96" t="str">
        <f t="shared" si="10"/>
        <v/>
      </c>
      <c r="J195" s="95">
        <f t="shared" si="13"/>
        <v>-3</v>
      </c>
      <c r="K195" s="95">
        <f t="shared" si="11"/>
        <v>-30</v>
      </c>
      <c r="L195" s="95"/>
      <c r="M195" s="97">
        <f t="shared" si="12"/>
        <v>0</v>
      </c>
    </row>
    <row r="196" spans="1:13" x14ac:dyDescent="0.25">
      <c r="A196" s="116"/>
      <c r="G196" s="80"/>
      <c r="H196" s="95">
        <v>191</v>
      </c>
      <c r="I196" s="96" t="str">
        <f t="shared" si="10"/>
        <v/>
      </c>
      <c r="J196" s="95">
        <f t="shared" si="13"/>
        <v>-3</v>
      </c>
      <c r="K196" s="95">
        <f t="shared" si="11"/>
        <v>-30</v>
      </c>
      <c r="L196" s="95"/>
      <c r="M196" s="97">
        <f t="shared" si="12"/>
        <v>0</v>
      </c>
    </row>
    <row r="197" spans="1:13" x14ac:dyDescent="0.25">
      <c r="A197" s="116"/>
      <c r="G197" s="80"/>
      <c r="H197" s="95">
        <v>192</v>
      </c>
      <c r="I197" s="96" t="str">
        <f t="shared" si="10"/>
        <v/>
      </c>
      <c r="J197" s="95">
        <f t="shared" si="13"/>
        <v>-3</v>
      </c>
      <c r="K197" s="95">
        <f t="shared" si="11"/>
        <v>-30</v>
      </c>
      <c r="L197" s="95"/>
      <c r="M197" s="97">
        <f t="shared" si="12"/>
        <v>0</v>
      </c>
    </row>
    <row r="198" spans="1:13" x14ac:dyDescent="0.25">
      <c r="A198" s="116"/>
      <c r="G198" s="80"/>
      <c r="H198" s="95">
        <v>193</v>
      </c>
      <c r="I198" s="96" t="str">
        <f t="shared" ref="I198:I261" si="14">IF(H198&lt;$H$2+1,($I$2-($I$2-1)*(LOG(H198)/LOG($H$2))),"")</f>
        <v/>
      </c>
      <c r="J198" s="95">
        <f t="shared" si="13"/>
        <v>-3</v>
      </c>
      <c r="K198" s="95">
        <f t="shared" ref="K198:K261" si="15">J198*$J$2</f>
        <v>-30</v>
      </c>
      <c r="L198" s="95"/>
      <c r="M198" s="97">
        <f t="shared" ref="M198:M261" si="16">IF(I198&lt;&gt;"",K198+I198+L198,0)</f>
        <v>0</v>
      </c>
    </row>
    <row r="199" spans="1:13" x14ac:dyDescent="0.25">
      <c r="A199" s="116"/>
      <c r="G199" s="80"/>
      <c r="H199" s="95">
        <v>194</v>
      </c>
      <c r="I199" s="96" t="str">
        <f t="shared" si="14"/>
        <v/>
      </c>
      <c r="J199" s="95">
        <f t="shared" ref="J199:J262" si="17">INT(LOG($H$2,2))-ROUNDUP(LOG(H199,2),0)+IF(OR($H$2=1,$H$2=2,$H$2=4,$H$2=8,$H$2=16,$H$2=32,$H$2=64,$H$2=128,$H$2=256),0,1)</f>
        <v>-3</v>
      </c>
      <c r="K199" s="95">
        <f t="shared" si="15"/>
        <v>-30</v>
      </c>
      <c r="L199" s="95"/>
      <c r="M199" s="97">
        <f t="shared" si="16"/>
        <v>0</v>
      </c>
    </row>
    <row r="200" spans="1:13" x14ac:dyDescent="0.25">
      <c r="A200" s="116"/>
      <c r="G200" s="80"/>
      <c r="H200" s="95">
        <v>195</v>
      </c>
      <c r="I200" s="96" t="str">
        <f t="shared" si="14"/>
        <v/>
      </c>
      <c r="J200" s="95">
        <f t="shared" si="17"/>
        <v>-3</v>
      </c>
      <c r="K200" s="95">
        <f t="shared" si="15"/>
        <v>-30</v>
      </c>
      <c r="L200" s="95"/>
      <c r="M200" s="97">
        <f t="shared" si="16"/>
        <v>0</v>
      </c>
    </row>
    <row r="201" spans="1:13" x14ac:dyDescent="0.25">
      <c r="A201" s="116"/>
      <c r="G201" s="80"/>
      <c r="H201" s="95">
        <v>196</v>
      </c>
      <c r="I201" s="96" t="str">
        <f t="shared" si="14"/>
        <v/>
      </c>
      <c r="J201" s="95">
        <f t="shared" si="17"/>
        <v>-3</v>
      </c>
      <c r="K201" s="95">
        <f t="shared" si="15"/>
        <v>-30</v>
      </c>
      <c r="L201" s="95"/>
      <c r="M201" s="97">
        <f t="shared" si="16"/>
        <v>0</v>
      </c>
    </row>
    <row r="202" spans="1:13" x14ac:dyDescent="0.25">
      <c r="A202" s="116"/>
      <c r="G202" s="80"/>
      <c r="H202" s="95">
        <v>197</v>
      </c>
      <c r="I202" s="96" t="str">
        <f t="shared" si="14"/>
        <v/>
      </c>
      <c r="J202" s="95">
        <f t="shared" si="17"/>
        <v>-3</v>
      </c>
      <c r="K202" s="95">
        <f t="shared" si="15"/>
        <v>-30</v>
      </c>
      <c r="L202" s="95"/>
      <c r="M202" s="97">
        <f t="shared" si="16"/>
        <v>0</v>
      </c>
    </row>
    <row r="203" spans="1:13" x14ac:dyDescent="0.25">
      <c r="A203" s="116"/>
      <c r="G203" s="80"/>
      <c r="H203" s="95">
        <v>198</v>
      </c>
      <c r="I203" s="96" t="str">
        <f t="shared" si="14"/>
        <v/>
      </c>
      <c r="J203" s="95">
        <f t="shared" si="17"/>
        <v>-3</v>
      </c>
      <c r="K203" s="95">
        <f t="shared" si="15"/>
        <v>-30</v>
      </c>
      <c r="L203" s="95"/>
      <c r="M203" s="97">
        <f t="shared" si="16"/>
        <v>0</v>
      </c>
    </row>
    <row r="204" spans="1:13" x14ac:dyDescent="0.25">
      <c r="A204" s="116"/>
      <c r="G204" s="80"/>
      <c r="H204" s="95">
        <v>199</v>
      </c>
      <c r="I204" s="96" t="str">
        <f t="shared" si="14"/>
        <v/>
      </c>
      <c r="J204" s="95">
        <f t="shared" si="17"/>
        <v>-3</v>
      </c>
      <c r="K204" s="95">
        <f t="shared" si="15"/>
        <v>-30</v>
      </c>
      <c r="L204" s="95"/>
      <c r="M204" s="97">
        <f t="shared" si="16"/>
        <v>0</v>
      </c>
    </row>
    <row r="205" spans="1:13" x14ac:dyDescent="0.25">
      <c r="A205" s="116"/>
      <c r="G205" s="80"/>
      <c r="H205" s="95">
        <v>200</v>
      </c>
      <c r="I205" s="96" t="str">
        <f t="shared" si="14"/>
        <v/>
      </c>
      <c r="J205" s="95">
        <f t="shared" si="17"/>
        <v>-3</v>
      </c>
      <c r="K205" s="95">
        <f t="shared" si="15"/>
        <v>-30</v>
      </c>
      <c r="L205" s="95"/>
      <c r="M205" s="97">
        <f t="shared" si="16"/>
        <v>0</v>
      </c>
    </row>
    <row r="206" spans="1:13" x14ac:dyDescent="0.25">
      <c r="A206" s="116"/>
      <c r="G206" s="80"/>
      <c r="H206" s="95">
        <v>201</v>
      </c>
      <c r="I206" s="96" t="str">
        <f t="shared" si="14"/>
        <v/>
      </c>
      <c r="J206" s="95">
        <f t="shared" si="17"/>
        <v>-3</v>
      </c>
      <c r="K206" s="95">
        <f t="shared" si="15"/>
        <v>-30</v>
      </c>
      <c r="L206" s="95"/>
      <c r="M206" s="97">
        <f t="shared" si="16"/>
        <v>0</v>
      </c>
    </row>
    <row r="207" spans="1:13" x14ac:dyDescent="0.25">
      <c r="A207" s="116"/>
      <c r="G207" s="80"/>
      <c r="H207" s="95">
        <v>202</v>
      </c>
      <c r="I207" s="96" t="str">
        <f t="shared" si="14"/>
        <v/>
      </c>
      <c r="J207" s="95">
        <f t="shared" si="17"/>
        <v>-3</v>
      </c>
      <c r="K207" s="95">
        <f t="shared" si="15"/>
        <v>-30</v>
      </c>
      <c r="L207" s="95"/>
      <c r="M207" s="97">
        <f t="shared" si="16"/>
        <v>0</v>
      </c>
    </row>
    <row r="208" spans="1:13" x14ac:dyDescent="0.25">
      <c r="A208" s="116"/>
      <c r="G208" s="80"/>
      <c r="H208" s="95">
        <v>203</v>
      </c>
      <c r="I208" s="96" t="str">
        <f t="shared" si="14"/>
        <v/>
      </c>
      <c r="J208" s="95">
        <f t="shared" si="17"/>
        <v>-3</v>
      </c>
      <c r="K208" s="95">
        <f t="shared" si="15"/>
        <v>-30</v>
      </c>
      <c r="L208" s="95"/>
      <c r="M208" s="97">
        <f t="shared" si="16"/>
        <v>0</v>
      </c>
    </row>
    <row r="209" spans="1:13" x14ac:dyDescent="0.25">
      <c r="A209" s="116"/>
      <c r="G209" s="80"/>
      <c r="H209" s="95">
        <v>204</v>
      </c>
      <c r="I209" s="96" t="str">
        <f t="shared" si="14"/>
        <v/>
      </c>
      <c r="J209" s="95">
        <f t="shared" si="17"/>
        <v>-3</v>
      </c>
      <c r="K209" s="95">
        <f t="shared" si="15"/>
        <v>-30</v>
      </c>
      <c r="L209" s="95"/>
      <c r="M209" s="97">
        <f t="shared" si="16"/>
        <v>0</v>
      </c>
    </row>
    <row r="210" spans="1:13" x14ac:dyDescent="0.25">
      <c r="A210" s="116"/>
      <c r="G210" s="80"/>
      <c r="H210" s="95">
        <v>205</v>
      </c>
      <c r="I210" s="96" t="str">
        <f t="shared" si="14"/>
        <v/>
      </c>
      <c r="J210" s="95">
        <f t="shared" si="17"/>
        <v>-3</v>
      </c>
      <c r="K210" s="95">
        <f t="shared" si="15"/>
        <v>-30</v>
      </c>
      <c r="L210" s="95"/>
      <c r="M210" s="97">
        <f t="shared" si="16"/>
        <v>0</v>
      </c>
    </row>
    <row r="211" spans="1:13" x14ac:dyDescent="0.25">
      <c r="A211" s="116"/>
      <c r="G211" s="80"/>
      <c r="H211" s="95">
        <v>206</v>
      </c>
      <c r="I211" s="96" t="str">
        <f t="shared" si="14"/>
        <v/>
      </c>
      <c r="J211" s="95">
        <f t="shared" si="17"/>
        <v>-3</v>
      </c>
      <c r="K211" s="95">
        <f t="shared" si="15"/>
        <v>-30</v>
      </c>
      <c r="L211" s="95"/>
      <c r="M211" s="97">
        <f t="shared" si="16"/>
        <v>0</v>
      </c>
    </row>
    <row r="212" spans="1:13" x14ac:dyDescent="0.25">
      <c r="A212" s="116"/>
      <c r="G212" s="80"/>
      <c r="H212" s="95">
        <v>207</v>
      </c>
      <c r="I212" s="96" t="str">
        <f t="shared" si="14"/>
        <v/>
      </c>
      <c r="J212" s="95">
        <f t="shared" si="17"/>
        <v>-3</v>
      </c>
      <c r="K212" s="95">
        <f t="shared" si="15"/>
        <v>-30</v>
      </c>
      <c r="L212" s="95"/>
      <c r="M212" s="97">
        <f t="shared" si="16"/>
        <v>0</v>
      </c>
    </row>
    <row r="213" spans="1:13" x14ac:dyDescent="0.25">
      <c r="A213" s="116"/>
      <c r="G213" s="80"/>
      <c r="H213" s="95">
        <v>208</v>
      </c>
      <c r="I213" s="96" t="str">
        <f t="shared" si="14"/>
        <v/>
      </c>
      <c r="J213" s="95">
        <f t="shared" si="17"/>
        <v>-3</v>
      </c>
      <c r="K213" s="95">
        <f t="shared" si="15"/>
        <v>-30</v>
      </c>
      <c r="L213" s="95"/>
      <c r="M213" s="97">
        <f t="shared" si="16"/>
        <v>0</v>
      </c>
    </row>
    <row r="214" spans="1:13" x14ac:dyDescent="0.25">
      <c r="A214" s="116"/>
      <c r="G214" s="80"/>
      <c r="H214" s="95">
        <v>209</v>
      </c>
      <c r="I214" s="96" t="str">
        <f t="shared" si="14"/>
        <v/>
      </c>
      <c r="J214" s="95">
        <f t="shared" si="17"/>
        <v>-3</v>
      </c>
      <c r="K214" s="95">
        <f t="shared" si="15"/>
        <v>-30</v>
      </c>
      <c r="L214" s="95"/>
      <c r="M214" s="97">
        <f t="shared" si="16"/>
        <v>0</v>
      </c>
    </row>
    <row r="215" spans="1:13" x14ac:dyDescent="0.25">
      <c r="A215" s="116"/>
      <c r="G215" s="80"/>
      <c r="H215" s="95">
        <v>210</v>
      </c>
      <c r="I215" s="96" t="str">
        <f t="shared" si="14"/>
        <v/>
      </c>
      <c r="J215" s="95">
        <f t="shared" si="17"/>
        <v>-3</v>
      </c>
      <c r="K215" s="95">
        <f t="shared" si="15"/>
        <v>-30</v>
      </c>
      <c r="L215" s="95"/>
      <c r="M215" s="97">
        <f t="shared" si="16"/>
        <v>0</v>
      </c>
    </row>
    <row r="216" spans="1:13" x14ac:dyDescent="0.25">
      <c r="A216" s="116"/>
      <c r="G216" s="80"/>
      <c r="H216" s="95">
        <v>211</v>
      </c>
      <c r="I216" s="96" t="str">
        <f t="shared" si="14"/>
        <v/>
      </c>
      <c r="J216" s="95">
        <f t="shared" si="17"/>
        <v>-3</v>
      </c>
      <c r="K216" s="95">
        <f t="shared" si="15"/>
        <v>-30</v>
      </c>
      <c r="L216" s="95"/>
      <c r="M216" s="97">
        <f t="shared" si="16"/>
        <v>0</v>
      </c>
    </row>
    <row r="217" spans="1:13" x14ac:dyDescent="0.25">
      <c r="A217" s="116"/>
      <c r="G217" s="80"/>
      <c r="H217" s="95">
        <v>212</v>
      </c>
      <c r="I217" s="96" t="str">
        <f t="shared" si="14"/>
        <v/>
      </c>
      <c r="J217" s="95">
        <f t="shared" si="17"/>
        <v>-3</v>
      </c>
      <c r="K217" s="95">
        <f t="shared" si="15"/>
        <v>-30</v>
      </c>
      <c r="L217" s="95"/>
      <c r="M217" s="97">
        <f t="shared" si="16"/>
        <v>0</v>
      </c>
    </row>
    <row r="218" spans="1:13" x14ac:dyDescent="0.25">
      <c r="A218" s="116"/>
      <c r="G218" s="80"/>
      <c r="H218" s="95">
        <v>213</v>
      </c>
      <c r="I218" s="96" t="str">
        <f t="shared" si="14"/>
        <v/>
      </c>
      <c r="J218" s="95">
        <f t="shared" si="17"/>
        <v>-3</v>
      </c>
      <c r="K218" s="95">
        <f t="shared" si="15"/>
        <v>-30</v>
      </c>
      <c r="L218" s="95"/>
      <c r="M218" s="97">
        <f t="shared" si="16"/>
        <v>0</v>
      </c>
    </row>
    <row r="219" spans="1:13" x14ac:dyDescent="0.25">
      <c r="A219" s="116"/>
      <c r="G219" s="80"/>
      <c r="H219" s="95">
        <v>214</v>
      </c>
      <c r="I219" s="96" t="str">
        <f t="shared" si="14"/>
        <v/>
      </c>
      <c r="J219" s="95">
        <f t="shared" si="17"/>
        <v>-3</v>
      </c>
      <c r="K219" s="95">
        <f t="shared" si="15"/>
        <v>-30</v>
      </c>
      <c r="L219" s="95"/>
      <c r="M219" s="97">
        <f t="shared" si="16"/>
        <v>0</v>
      </c>
    </row>
    <row r="220" spans="1:13" x14ac:dyDescent="0.25">
      <c r="A220" s="116"/>
      <c r="G220" s="80"/>
      <c r="H220" s="95">
        <v>215</v>
      </c>
      <c r="I220" s="96" t="str">
        <f t="shared" si="14"/>
        <v/>
      </c>
      <c r="J220" s="95">
        <f t="shared" si="17"/>
        <v>-3</v>
      </c>
      <c r="K220" s="95">
        <f t="shared" si="15"/>
        <v>-30</v>
      </c>
      <c r="L220" s="95"/>
      <c r="M220" s="97">
        <f t="shared" si="16"/>
        <v>0</v>
      </c>
    </row>
    <row r="221" spans="1:13" x14ac:dyDescent="0.25">
      <c r="A221" s="116"/>
      <c r="G221" s="80"/>
      <c r="H221" s="95">
        <v>216</v>
      </c>
      <c r="I221" s="96" t="str">
        <f t="shared" si="14"/>
        <v/>
      </c>
      <c r="J221" s="95">
        <f t="shared" si="17"/>
        <v>-3</v>
      </c>
      <c r="K221" s="95">
        <f t="shared" si="15"/>
        <v>-30</v>
      </c>
      <c r="L221" s="95"/>
      <c r="M221" s="97">
        <f t="shared" si="16"/>
        <v>0</v>
      </c>
    </row>
    <row r="222" spans="1:13" x14ac:dyDescent="0.25">
      <c r="A222" s="116"/>
      <c r="G222" s="80"/>
      <c r="H222" s="95">
        <v>217</v>
      </c>
      <c r="I222" s="96" t="str">
        <f t="shared" si="14"/>
        <v/>
      </c>
      <c r="J222" s="95">
        <f t="shared" si="17"/>
        <v>-3</v>
      </c>
      <c r="K222" s="95">
        <f t="shared" si="15"/>
        <v>-30</v>
      </c>
      <c r="L222" s="95"/>
      <c r="M222" s="97">
        <f t="shared" si="16"/>
        <v>0</v>
      </c>
    </row>
    <row r="223" spans="1:13" x14ac:dyDescent="0.25">
      <c r="A223" s="116"/>
      <c r="G223" s="80"/>
      <c r="H223" s="95">
        <v>218</v>
      </c>
      <c r="I223" s="96" t="str">
        <f t="shared" si="14"/>
        <v/>
      </c>
      <c r="J223" s="95">
        <f t="shared" si="17"/>
        <v>-3</v>
      </c>
      <c r="K223" s="95">
        <f t="shared" si="15"/>
        <v>-30</v>
      </c>
      <c r="L223" s="95"/>
      <c r="M223" s="97">
        <f t="shared" si="16"/>
        <v>0</v>
      </c>
    </row>
    <row r="224" spans="1:13" x14ac:dyDescent="0.25">
      <c r="A224" s="116"/>
      <c r="G224" s="80"/>
      <c r="H224" s="95">
        <v>219</v>
      </c>
      <c r="I224" s="96" t="str">
        <f t="shared" si="14"/>
        <v/>
      </c>
      <c r="J224" s="95">
        <f t="shared" si="17"/>
        <v>-3</v>
      </c>
      <c r="K224" s="95">
        <f t="shared" si="15"/>
        <v>-30</v>
      </c>
      <c r="L224" s="95"/>
      <c r="M224" s="97">
        <f t="shared" si="16"/>
        <v>0</v>
      </c>
    </row>
    <row r="225" spans="1:13" x14ac:dyDescent="0.25">
      <c r="A225" s="116"/>
      <c r="G225" s="80"/>
      <c r="H225" s="95">
        <v>220</v>
      </c>
      <c r="I225" s="96" t="str">
        <f t="shared" si="14"/>
        <v/>
      </c>
      <c r="J225" s="95">
        <f t="shared" si="17"/>
        <v>-3</v>
      </c>
      <c r="K225" s="95">
        <f t="shared" si="15"/>
        <v>-30</v>
      </c>
      <c r="L225" s="95"/>
      <c r="M225" s="97">
        <f t="shared" si="16"/>
        <v>0</v>
      </c>
    </row>
    <row r="226" spans="1:13" x14ac:dyDescent="0.25">
      <c r="A226" s="116"/>
      <c r="G226" s="80"/>
      <c r="H226" s="95">
        <v>221</v>
      </c>
      <c r="I226" s="96" t="str">
        <f t="shared" si="14"/>
        <v/>
      </c>
      <c r="J226" s="95">
        <f t="shared" si="17"/>
        <v>-3</v>
      </c>
      <c r="K226" s="95">
        <f t="shared" si="15"/>
        <v>-30</v>
      </c>
      <c r="L226" s="95"/>
      <c r="M226" s="97">
        <f t="shared" si="16"/>
        <v>0</v>
      </c>
    </row>
    <row r="227" spans="1:13" x14ac:dyDescent="0.25">
      <c r="A227" s="116"/>
      <c r="G227" s="80"/>
      <c r="H227" s="95">
        <v>222</v>
      </c>
      <c r="I227" s="96" t="str">
        <f t="shared" si="14"/>
        <v/>
      </c>
      <c r="J227" s="95">
        <f t="shared" si="17"/>
        <v>-3</v>
      </c>
      <c r="K227" s="95">
        <f t="shared" si="15"/>
        <v>-30</v>
      </c>
      <c r="L227" s="95"/>
      <c r="M227" s="97">
        <f t="shared" si="16"/>
        <v>0</v>
      </c>
    </row>
    <row r="228" spans="1:13" x14ac:dyDescent="0.25">
      <c r="A228" s="116"/>
      <c r="G228" s="80"/>
      <c r="H228" s="95">
        <v>223</v>
      </c>
      <c r="I228" s="96" t="str">
        <f t="shared" si="14"/>
        <v/>
      </c>
      <c r="J228" s="95">
        <f t="shared" si="17"/>
        <v>-3</v>
      </c>
      <c r="K228" s="95">
        <f t="shared" si="15"/>
        <v>-30</v>
      </c>
      <c r="L228" s="95"/>
      <c r="M228" s="97">
        <f t="shared" si="16"/>
        <v>0</v>
      </c>
    </row>
    <row r="229" spans="1:13" x14ac:dyDescent="0.25">
      <c r="A229" s="116"/>
      <c r="G229" s="80"/>
      <c r="H229" s="95">
        <v>224</v>
      </c>
      <c r="I229" s="96" t="str">
        <f t="shared" si="14"/>
        <v/>
      </c>
      <c r="J229" s="95">
        <f t="shared" si="17"/>
        <v>-3</v>
      </c>
      <c r="K229" s="95">
        <f t="shared" si="15"/>
        <v>-30</v>
      </c>
      <c r="L229" s="95"/>
      <c r="M229" s="97">
        <f t="shared" si="16"/>
        <v>0</v>
      </c>
    </row>
    <row r="230" spans="1:13" x14ac:dyDescent="0.25">
      <c r="A230" s="116"/>
      <c r="G230" s="80"/>
      <c r="H230" s="95">
        <v>225</v>
      </c>
      <c r="I230" s="96" t="str">
        <f t="shared" si="14"/>
        <v/>
      </c>
      <c r="J230" s="95">
        <f t="shared" si="17"/>
        <v>-3</v>
      </c>
      <c r="K230" s="95">
        <f t="shared" si="15"/>
        <v>-30</v>
      </c>
      <c r="L230" s="95"/>
      <c r="M230" s="97">
        <f t="shared" si="16"/>
        <v>0</v>
      </c>
    </row>
    <row r="231" spans="1:13" x14ac:dyDescent="0.25">
      <c r="A231" s="116"/>
      <c r="G231" s="80"/>
      <c r="H231" s="95">
        <v>226</v>
      </c>
      <c r="I231" s="96" t="str">
        <f t="shared" si="14"/>
        <v/>
      </c>
      <c r="J231" s="95">
        <f t="shared" si="17"/>
        <v>-3</v>
      </c>
      <c r="K231" s="95">
        <f t="shared" si="15"/>
        <v>-30</v>
      </c>
      <c r="L231" s="95"/>
      <c r="M231" s="97">
        <f t="shared" si="16"/>
        <v>0</v>
      </c>
    </row>
    <row r="232" spans="1:13" x14ac:dyDescent="0.25">
      <c r="A232" s="116"/>
      <c r="G232" s="80"/>
      <c r="H232" s="95">
        <v>227</v>
      </c>
      <c r="I232" s="96" t="str">
        <f t="shared" si="14"/>
        <v/>
      </c>
      <c r="J232" s="95">
        <f t="shared" si="17"/>
        <v>-3</v>
      </c>
      <c r="K232" s="95">
        <f t="shared" si="15"/>
        <v>-30</v>
      </c>
      <c r="L232" s="95"/>
      <c r="M232" s="97">
        <f t="shared" si="16"/>
        <v>0</v>
      </c>
    </row>
    <row r="233" spans="1:13" x14ac:dyDescent="0.25">
      <c r="A233" s="116"/>
      <c r="G233" s="80"/>
      <c r="H233" s="95">
        <v>228</v>
      </c>
      <c r="I233" s="96" t="str">
        <f t="shared" si="14"/>
        <v/>
      </c>
      <c r="J233" s="95">
        <f t="shared" si="17"/>
        <v>-3</v>
      </c>
      <c r="K233" s="95">
        <f t="shared" si="15"/>
        <v>-30</v>
      </c>
      <c r="L233" s="95"/>
      <c r="M233" s="97">
        <f t="shared" si="16"/>
        <v>0</v>
      </c>
    </row>
    <row r="234" spans="1:13" x14ac:dyDescent="0.25">
      <c r="A234" s="116"/>
      <c r="G234" s="80"/>
      <c r="H234" s="95">
        <v>229</v>
      </c>
      <c r="I234" s="96" t="str">
        <f t="shared" si="14"/>
        <v/>
      </c>
      <c r="J234" s="95">
        <f t="shared" si="17"/>
        <v>-3</v>
      </c>
      <c r="K234" s="95">
        <f t="shared" si="15"/>
        <v>-30</v>
      </c>
      <c r="L234" s="95"/>
      <c r="M234" s="97">
        <f t="shared" si="16"/>
        <v>0</v>
      </c>
    </row>
    <row r="235" spans="1:13" x14ac:dyDescent="0.25">
      <c r="A235" s="116"/>
      <c r="G235" s="80"/>
      <c r="H235" s="95">
        <v>230</v>
      </c>
      <c r="I235" s="96" t="str">
        <f t="shared" si="14"/>
        <v/>
      </c>
      <c r="J235" s="95">
        <f t="shared" si="17"/>
        <v>-3</v>
      </c>
      <c r="K235" s="95">
        <f t="shared" si="15"/>
        <v>-30</v>
      </c>
      <c r="L235" s="95"/>
      <c r="M235" s="97">
        <f t="shared" si="16"/>
        <v>0</v>
      </c>
    </row>
    <row r="236" spans="1:13" x14ac:dyDescent="0.25">
      <c r="A236" s="116"/>
      <c r="G236" s="80"/>
      <c r="H236" s="95">
        <v>231</v>
      </c>
      <c r="I236" s="96" t="str">
        <f t="shared" si="14"/>
        <v/>
      </c>
      <c r="J236" s="95">
        <f t="shared" si="17"/>
        <v>-3</v>
      </c>
      <c r="K236" s="95">
        <f t="shared" si="15"/>
        <v>-30</v>
      </c>
      <c r="L236" s="95"/>
      <c r="M236" s="97">
        <f t="shared" si="16"/>
        <v>0</v>
      </c>
    </row>
    <row r="237" spans="1:13" x14ac:dyDescent="0.25">
      <c r="A237" s="116"/>
      <c r="G237" s="80"/>
      <c r="H237" s="95">
        <v>232</v>
      </c>
      <c r="I237" s="96" t="str">
        <f t="shared" si="14"/>
        <v/>
      </c>
      <c r="J237" s="95">
        <f t="shared" si="17"/>
        <v>-3</v>
      </c>
      <c r="K237" s="95">
        <f t="shared" si="15"/>
        <v>-30</v>
      </c>
      <c r="L237" s="95"/>
      <c r="M237" s="97">
        <f t="shared" si="16"/>
        <v>0</v>
      </c>
    </row>
    <row r="238" spans="1:13" x14ac:dyDescent="0.25">
      <c r="A238" s="116"/>
      <c r="G238" s="80"/>
      <c r="H238" s="95">
        <v>233</v>
      </c>
      <c r="I238" s="96" t="str">
        <f t="shared" si="14"/>
        <v/>
      </c>
      <c r="J238" s="95">
        <f t="shared" si="17"/>
        <v>-3</v>
      </c>
      <c r="K238" s="95">
        <f t="shared" si="15"/>
        <v>-30</v>
      </c>
      <c r="L238" s="95"/>
      <c r="M238" s="97">
        <f t="shared" si="16"/>
        <v>0</v>
      </c>
    </row>
    <row r="239" spans="1:13" x14ac:dyDescent="0.25">
      <c r="A239" s="116"/>
      <c r="G239" s="80"/>
      <c r="H239" s="95">
        <v>234</v>
      </c>
      <c r="I239" s="96" t="str">
        <f t="shared" si="14"/>
        <v/>
      </c>
      <c r="J239" s="95">
        <f t="shared" si="17"/>
        <v>-3</v>
      </c>
      <c r="K239" s="95">
        <f t="shared" si="15"/>
        <v>-30</v>
      </c>
      <c r="L239" s="95"/>
      <c r="M239" s="97">
        <f t="shared" si="16"/>
        <v>0</v>
      </c>
    </row>
    <row r="240" spans="1:13" x14ac:dyDescent="0.25">
      <c r="A240" s="116"/>
      <c r="G240" s="80"/>
      <c r="H240" s="95">
        <v>235</v>
      </c>
      <c r="I240" s="96" t="str">
        <f t="shared" si="14"/>
        <v/>
      </c>
      <c r="J240" s="95">
        <f t="shared" si="17"/>
        <v>-3</v>
      </c>
      <c r="K240" s="95">
        <f t="shared" si="15"/>
        <v>-30</v>
      </c>
      <c r="L240" s="95"/>
      <c r="M240" s="97">
        <f t="shared" si="16"/>
        <v>0</v>
      </c>
    </row>
    <row r="241" spans="1:13" x14ac:dyDescent="0.25">
      <c r="A241" s="116"/>
      <c r="G241" s="80"/>
      <c r="H241" s="95">
        <v>236</v>
      </c>
      <c r="I241" s="96" t="str">
        <f t="shared" si="14"/>
        <v/>
      </c>
      <c r="J241" s="95">
        <f t="shared" si="17"/>
        <v>-3</v>
      </c>
      <c r="K241" s="95">
        <f t="shared" si="15"/>
        <v>-30</v>
      </c>
      <c r="L241" s="95"/>
      <c r="M241" s="97">
        <f t="shared" si="16"/>
        <v>0</v>
      </c>
    </row>
    <row r="242" spans="1:13" x14ac:dyDescent="0.25">
      <c r="A242" s="116"/>
      <c r="G242" s="80"/>
      <c r="H242" s="95">
        <v>237</v>
      </c>
      <c r="I242" s="96" t="str">
        <f t="shared" si="14"/>
        <v/>
      </c>
      <c r="J242" s="95">
        <f t="shared" si="17"/>
        <v>-3</v>
      </c>
      <c r="K242" s="95">
        <f t="shared" si="15"/>
        <v>-30</v>
      </c>
      <c r="L242" s="95"/>
      <c r="M242" s="97">
        <f t="shared" si="16"/>
        <v>0</v>
      </c>
    </row>
    <row r="243" spans="1:13" x14ac:dyDescent="0.25">
      <c r="A243" s="116"/>
      <c r="G243" s="80"/>
      <c r="H243" s="95">
        <v>238</v>
      </c>
      <c r="I243" s="96" t="str">
        <f t="shared" si="14"/>
        <v/>
      </c>
      <c r="J243" s="95">
        <f t="shared" si="17"/>
        <v>-3</v>
      </c>
      <c r="K243" s="95">
        <f t="shared" si="15"/>
        <v>-30</v>
      </c>
      <c r="L243" s="95"/>
      <c r="M243" s="97">
        <f t="shared" si="16"/>
        <v>0</v>
      </c>
    </row>
    <row r="244" spans="1:13" x14ac:dyDescent="0.25">
      <c r="A244" s="116"/>
      <c r="G244" s="80"/>
      <c r="H244" s="95">
        <v>239</v>
      </c>
      <c r="I244" s="96" t="str">
        <f t="shared" si="14"/>
        <v/>
      </c>
      <c r="J244" s="95">
        <f t="shared" si="17"/>
        <v>-3</v>
      </c>
      <c r="K244" s="95">
        <f t="shared" si="15"/>
        <v>-30</v>
      </c>
      <c r="L244" s="95"/>
      <c r="M244" s="97">
        <f t="shared" si="16"/>
        <v>0</v>
      </c>
    </row>
    <row r="245" spans="1:13" x14ac:dyDescent="0.25">
      <c r="A245" s="116"/>
      <c r="G245" s="80"/>
      <c r="H245" s="95">
        <v>240</v>
      </c>
      <c r="I245" s="96" t="str">
        <f t="shared" si="14"/>
        <v/>
      </c>
      <c r="J245" s="95">
        <f t="shared" si="17"/>
        <v>-3</v>
      </c>
      <c r="K245" s="95">
        <f t="shared" si="15"/>
        <v>-30</v>
      </c>
      <c r="L245" s="95"/>
      <c r="M245" s="97">
        <f t="shared" si="16"/>
        <v>0</v>
      </c>
    </row>
    <row r="246" spans="1:13" x14ac:dyDescent="0.25">
      <c r="A246" s="116"/>
      <c r="G246" s="80"/>
      <c r="H246" s="95">
        <v>241</v>
      </c>
      <c r="I246" s="96" t="str">
        <f t="shared" si="14"/>
        <v/>
      </c>
      <c r="J246" s="95">
        <f t="shared" si="17"/>
        <v>-3</v>
      </c>
      <c r="K246" s="95">
        <f t="shared" si="15"/>
        <v>-30</v>
      </c>
      <c r="L246" s="95"/>
      <c r="M246" s="97">
        <f t="shared" si="16"/>
        <v>0</v>
      </c>
    </row>
    <row r="247" spans="1:13" x14ac:dyDescent="0.25">
      <c r="A247" s="116"/>
      <c r="G247" s="80"/>
      <c r="H247" s="95">
        <v>242</v>
      </c>
      <c r="I247" s="96" t="str">
        <f t="shared" si="14"/>
        <v/>
      </c>
      <c r="J247" s="95">
        <f t="shared" si="17"/>
        <v>-3</v>
      </c>
      <c r="K247" s="95">
        <f t="shared" si="15"/>
        <v>-30</v>
      </c>
      <c r="L247" s="95"/>
      <c r="M247" s="97">
        <f t="shared" si="16"/>
        <v>0</v>
      </c>
    </row>
    <row r="248" spans="1:13" x14ac:dyDescent="0.25">
      <c r="A248" s="116"/>
      <c r="G248" s="80"/>
      <c r="H248" s="95">
        <v>243</v>
      </c>
      <c r="I248" s="96" t="str">
        <f t="shared" si="14"/>
        <v/>
      </c>
      <c r="J248" s="95">
        <f t="shared" si="17"/>
        <v>-3</v>
      </c>
      <c r="K248" s="95">
        <f t="shared" si="15"/>
        <v>-30</v>
      </c>
      <c r="L248" s="95"/>
      <c r="M248" s="97">
        <f t="shared" si="16"/>
        <v>0</v>
      </c>
    </row>
    <row r="249" spans="1:13" x14ac:dyDescent="0.25">
      <c r="A249" s="116"/>
      <c r="G249" s="80"/>
      <c r="H249" s="95">
        <v>244</v>
      </c>
      <c r="I249" s="96" t="str">
        <f t="shared" si="14"/>
        <v/>
      </c>
      <c r="J249" s="95">
        <f t="shared" si="17"/>
        <v>-3</v>
      </c>
      <c r="K249" s="95">
        <f t="shared" si="15"/>
        <v>-30</v>
      </c>
      <c r="L249" s="95"/>
      <c r="M249" s="97">
        <f t="shared" si="16"/>
        <v>0</v>
      </c>
    </row>
    <row r="250" spans="1:13" x14ac:dyDescent="0.25">
      <c r="A250" s="116"/>
      <c r="G250" s="80"/>
      <c r="H250" s="95">
        <v>245</v>
      </c>
      <c r="I250" s="96" t="str">
        <f t="shared" si="14"/>
        <v/>
      </c>
      <c r="J250" s="95">
        <f t="shared" si="17"/>
        <v>-3</v>
      </c>
      <c r="K250" s="95">
        <f t="shared" si="15"/>
        <v>-30</v>
      </c>
      <c r="L250" s="95"/>
      <c r="M250" s="97">
        <f t="shared" si="16"/>
        <v>0</v>
      </c>
    </row>
    <row r="251" spans="1:13" x14ac:dyDescent="0.25">
      <c r="A251" s="116"/>
      <c r="G251" s="80"/>
      <c r="H251" s="95">
        <v>246</v>
      </c>
      <c r="I251" s="96" t="str">
        <f t="shared" si="14"/>
        <v/>
      </c>
      <c r="J251" s="95">
        <f t="shared" si="17"/>
        <v>-3</v>
      </c>
      <c r="K251" s="95">
        <f t="shared" si="15"/>
        <v>-30</v>
      </c>
      <c r="L251" s="95"/>
      <c r="M251" s="97">
        <f t="shared" si="16"/>
        <v>0</v>
      </c>
    </row>
    <row r="252" spans="1:13" x14ac:dyDescent="0.25">
      <c r="A252" s="116"/>
      <c r="G252" s="80"/>
      <c r="H252" s="95">
        <v>247</v>
      </c>
      <c r="I252" s="96" t="str">
        <f t="shared" si="14"/>
        <v/>
      </c>
      <c r="J252" s="95">
        <f t="shared" si="17"/>
        <v>-3</v>
      </c>
      <c r="K252" s="95">
        <f t="shared" si="15"/>
        <v>-30</v>
      </c>
      <c r="L252" s="95"/>
      <c r="M252" s="97">
        <f t="shared" si="16"/>
        <v>0</v>
      </c>
    </row>
    <row r="253" spans="1:13" x14ac:dyDescent="0.25">
      <c r="A253" s="116"/>
      <c r="G253" s="80"/>
      <c r="H253" s="95">
        <v>248</v>
      </c>
      <c r="I253" s="96" t="str">
        <f t="shared" si="14"/>
        <v/>
      </c>
      <c r="J253" s="95">
        <f t="shared" si="17"/>
        <v>-3</v>
      </c>
      <c r="K253" s="95">
        <f t="shared" si="15"/>
        <v>-30</v>
      </c>
      <c r="L253" s="95"/>
      <c r="M253" s="97">
        <f t="shared" si="16"/>
        <v>0</v>
      </c>
    </row>
    <row r="254" spans="1:13" x14ac:dyDescent="0.25">
      <c r="A254" s="116"/>
      <c r="G254" s="80"/>
      <c r="H254" s="95">
        <v>249</v>
      </c>
      <c r="I254" s="96" t="str">
        <f t="shared" si="14"/>
        <v/>
      </c>
      <c r="J254" s="95">
        <f t="shared" si="17"/>
        <v>-3</v>
      </c>
      <c r="K254" s="95">
        <f t="shared" si="15"/>
        <v>-30</v>
      </c>
      <c r="L254" s="95"/>
      <c r="M254" s="97">
        <f t="shared" si="16"/>
        <v>0</v>
      </c>
    </row>
    <row r="255" spans="1:13" x14ac:dyDescent="0.25">
      <c r="A255" s="116"/>
      <c r="G255" s="80"/>
      <c r="H255" s="95">
        <v>250</v>
      </c>
      <c r="I255" s="96" t="str">
        <f t="shared" si="14"/>
        <v/>
      </c>
      <c r="J255" s="95">
        <f t="shared" si="17"/>
        <v>-3</v>
      </c>
      <c r="K255" s="95">
        <f t="shared" si="15"/>
        <v>-30</v>
      </c>
      <c r="L255" s="95"/>
      <c r="M255" s="97">
        <f t="shared" si="16"/>
        <v>0</v>
      </c>
    </row>
    <row r="256" spans="1:13" x14ac:dyDescent="0.25">
      <c r="A256" s="116"/>
      <c r="G256" s="80"/>
      <c r="H256" s="95">
        <v>251</v>
      </c>
      <c r="I256" s="96" t="str">
        <f t="shared" si="14"/>
        <v/>
      </c>
      <c r="J256" s="95">
        <f t="shared" si="17"/>
        <v>-3</v>
      </c>
      <c r="K256" s="95">
        <f t="shared" si="15"/>
        <v>-30</v>
      </c>
      <c r="L256" s="95"/>
      <c r="M256" s="97">
        <f t="shared" si="16"/>
        <v>0</v>
      </c>
    </row>
    <row r="257" spans="1:13" x14ac:dyDescent="0.25">
      <c r="A257" s="116"/>
      <c r="G257" s="80"/>
      <c r="H257" s="95">
        <v>252</v>
      </c>
      <c r="I257" s="96" t="str">
        <f t="shared" si="14"/>
        <v/>
      </c>
      <c r="J257" s="95">
        <f t="shared" si="17"/>
        <v>-3</v>
      </c>
      <c r="K257" s="95">
        <f t="shared" si="15"/>
        <v>-30</v>
      </c>
      <c r="L257" s="95"/>
      <c r="M257" s="97">
        <f t="shared" si="16"/>
        <v>0</v>
      </c>
    </row>
    <row r="258" spans="1:13" x14ac:dyDescent="0.25">
      <c r="A258" s="116"/>
      <c r="G258" s="80"/>
      <c r="H258" s="95">
        <v>253</v>
      </c>
      <c r="I258" s="96" t="str">
        <f t="shared" si="14"/>
        <v/>
      </c>
      <c r="J258" s="95">
        <f t="shared" si="17"/>
        <v>-3</v>
      </c>
      <c r="K258" s="95">
        <f t="shared" si="15"/>
        <v>-30</v>
      </c>
      <c r="L258" s="95"/>
      <c r="M258" s="97">
        <f t="shared" si="16"/>
        <v>0</v>
      </c>
    </row>
    <row r="259" spans="1:13" x14ac:dyDescent="0.25">
      <c r="A259" s="116"/>
      <c r="G259" s="80"/>
      <c r="H259" s="95">
        <v>254</v>
      </c>
      <c r="I259" s="96" t="str">
        <f t="shared" si="14"/>
        <v/>
      </c>
      <c r="J259" s="95">
        <f t="shared" si="17"/>
        <v>-3</v>
      </c>
      <c r="K259" s="95">
        <f t="shared" si="15"/>
        <v>-30</v>
      </c>
      <c r="L259" s="95"/>
      <c r="M259" s="97">
        <f t="shared" si="16"/>
        <v>0</v>
      </c>
    </row>
    <row r="260" spans="1:13" x14ac:dyDescent="0.25">
      <c r="A260" s="116"/>
      <c r="G260" s="80"/>
      <c r="H260" s="95">
        <v>255</v>
      </c>
      <c r="I260" s="96" t="str">
        <f t="shared" si="14"/>
        <v/>
      </c>
      <c r="J260" s="95">
        <f t="shared" si="17"/>
        <v>-3</v>
      </c>
      <c r="K260" s="95">
        <f t="shared" si="15"/>
        <v>-30</v>
      </c>
      <c r="L260" s="95"/>
      <c r="M260" s="97">
        <f t="shared" si="16"/>
        <v>0</v>
      </c>
    </row>
    <row r="261" spans="1:13" x14ac:dyDescent="0.25">
      <c r="A261" s="116"/>
      <c r="G261" s="80"/>
      <c r="H261" s="95">
        <v>256</v>
      </c>
      <c r="I261" s="96" t="str">
        <f t="shared" si="14"/>
        <v/>
      </c>
      <c r="J261" s="95">
        <f t="shared" si="17"/>
        <v>-3</v>
      </c>
      <c r="K261" s="95">
        <f t="shared" si="15"/>
        <v>-30</v>
      </c>
      <c r="L261" s="95"/>
      <c r="M261" s="97">
        <f t="shared" si="16"/>
        <v>0</v>
      </c>
    </row>
    <row r="262" spans="1:13" x14ac:dyDescent="0.25">
      <c r="A262" s="116"/>
      <c r="G262" s="80"/>
      <c r="H262" s="95">
        <v>257</v>
      </c>
      <c r="I262" s="96" t="str">
        <f t="shared" ref="I262:I305" si="18">IF(H262&lt;$H$2+1,($I$2-($I$2-1)*(LOG(H262)/LOG($H$2))),"")</f>
        <v/>
      </c>
      <c r="J262" s="95">
        <f t="shared" si="17"/>
        <v>-4</v>
      </c>
      <c r="K262" s="95">
        <f t="shared" ref="K262:K305" si="19">J262*$J$2</f>
        <v>-40</v>
      </c>
      <c r="L262" s="95"/>
      <c r="M262" s="97">
        <f t="shared" ref="M262:M305" si="20">IF(I262&lt;&gt;"",K262+I262+L262,0)</f>
        <v>0</v>
      </c>
    </row>
    <row r="263" spans="1:13" x14ac:dyDescent="0.25">
      <c r="A263" s="116"/>
      <c r="G263" s="80"/>
      <c r="H263" s="95">
        <v>258</v>
      </c>
      <c r="I263" s="96" t="str">
        <f t="shared" si="18"/>
        <v/>
      </c>
      <c r="J263" s="95">
        <f t="shared" ref="J263:J326" si="21">INT(LOG($H$2,2))-ROUNDUP(LOG(H263,2),0)+IF(OR($H$2=1,$H$2=2,$H$2=4,$H$2=8,$H$2=16,$H$2=32,$H$2=64,$H$2=128,$H$2=256),0,1)</f>
        <v>-4</v>
      </c>
      <c r="K263" s="95">
        <f t="shared" si="19"/>
        <v>-40</v>
      </c>
      <c r="L263" s="95"/>
      <c r="M263" s="97">
        <f t="shared" si="20"/>
        <v>0</v>
      </c>
    </row>
    <row r="264" spans="1:13" x14ac:dyDescent="0.25">
      <c r="A264" s="116"/>
      <c r="G264" s="80"/>
      <c r="H264" s="95">
        <v>259</v>
      </c>
      <c r="I264" s="96" t="str">
        <f t="shared" si="18"/>
        <v/>
      </c>
      <c r="J264" s="95">
        <f t="shared" si="21"/>
        <v>-4</v>
      </c>
      <c r="K264" s="95">
        <f t="shared" si="19"/>
        <v>-40</v>
      </c>
      <c r="L264" s="95"/>
      <c r="M264" s="97">
        <f t="shared" si="20"/>
        <v>0</v>
      </c>
    </row>
    <row r="265" spans="1:13" x14ac:dyDescent="0.25">
      <c r="A265" s="116"/>
      <c r="G265" s="80"/>
      <c r="H265" s="95">
        <v>260</v>
      </c>
      <c r="I265" s="96" t="str">
        <f t="shared" si="18"/>
        <v/>
      </c>
      <c r="J265" s="95">
        <f t="shared" si="21"/>
        <v>-4</v>
      </c>
      <c r="K265" s="95">
        <f t="shared" si="19"/>
        <v>-40</v>
      </c>
      <c r="L265" s="95"/>
      <c r="M265" s="97">
        <f t="shared" si="20"/>
        <v>0</v>
      </c>
    </row>
    <row r="266" spans="1:13" x14ac:dyDescent="0.25">
      <c r="A266" s="116"/>
      <c r="G266" s="80"/>
      <c r="H266" s="95">
        <v>261</v>
      </c>
      <c r="I266" s="96" t="str">
        <f t="shared" si="18"/>
        <v/>
      </c>
      <c r="J266" s="95">
        <f t="shared" si="21"/>
        <v>-4</v>
      </c>
      <c r="K266" s="95">
        <f t="shared" si="19"/>
        <v>-40</v>
      </c>
      <c r="L266" s="95"/>
      <c r="M266" s="97">
        <f t="shared" si="20"/>
        <v>0</v>
      </c>
    </row>
    <row r="267" spans="1:13" x14ac:dyDescent="0.25">
      <c r="A267" s="116"/>
      <c r="G267" s="80"/>
      <c r="H267" s="95">
        <v>262</v>
      </c>
      <c r="I267" s="96" t="str">
        <f t="shared" si="18"/>
        <v/>
      </c>
      <c r="J267" s="95">
        <f t="shared" si="21"/>
        <v>-4</v>
      </c>
      <c r="K267" s="95">
        <f t="shared" si="19"/>
        <v>-40</v>
      </c>
      <c r="L267" s="95"/>
      <c r="M267" s="97">
        <f t="shared" si="20"/>
        <v>0</v>
      </c>
    </row>
    <row r="268" spans="1:13" x14ac:dyDescent="0.25">
      <c r="A268" s="116"/>
      <c r="G268" s="80"/>
      <c r="H268" s="95">
        <v>263</v>
      </c>
      <c r="I268" s="96" t="str">
        <f t="shared" si="18"/>
        <v/>
      </c>
      <c r="J268" s="95">
        <f t="shared" si="21"/>
        <v>-4</v>
      </c>
      <c r="K268" s="95">
        <f t="shared" si="19"/>
        <v>-40</v>
      </c>
      <c r="L268" s="95"/>
      <c r="M268" s="97">
        <f t="shared" si="20"/>
        <v>0</v>
      </c>
    </row>
    <row r="269" spans="1:13" x14ac:dyDescent="0.25">
      <c r="A269" s="116"/>
      <c r="G269" s="80"/>
      <c r="H269" s="95">
        <v>264</v>
      </c>
      <c r="I269" s="96" t="str">
        <f t="shared" si="18"/>
        <v/>
      </c>
      <c r="J269" s="95">
        <f t="shared" si="21"/>
        <v>-4</v>
      </c>
      <c r="K269" s="95">
        <f t="shared" si="19"/>
        <v>-40</v>
      </c>
      <c r="L269" s="95"/>
      <c r="M269" s="97">
        <f t="shared" si="20"/>
        <v>0</v>
      </c>
    </row>
    <row r="270" spans="1:13" x14ac:dyDescent="0.25">
      <c r="A270" s="116"/>
      <c r="G270" s="80"/>
      <c r="H270" s="95">
        <v>265</v>
      </c>
      <c r="I270" s="96" t="str">
        <f t="shared" si="18"/>
        <v/>
      </c>
      <c r="J270" s="95">
        <f t="shared" si="21"/>
        <v>-4</v>
      </c>
      <c r="K270" s="95">
        <f t="shared" si="19"/>
        <v>-40</v>
      </c>
      <c r="L270" s="95"/>
      <c r="M270" s="97">
        <f t="shared" si="20"/>
        <v>0</v>
      </c>
    </row>
    <row r="271" spans="1:13" x14ac:dyDescent="0.25">
      <c r="A271" s="116"/>
      <c r="G271" s="80"/>
      <c r="H271" s="95">
        <v>266</v>
      </c>
      <c r="I271" s="96" t="str">
        <f t="shared" si="18"/>
        <v/>
      </c>
      <c r="J271" s="95">
        <f t="shared" si="21"/>
        <v>-4</v>
      </c>
      <c r="K271" s="95">
        <f t="shared" si="19"/>
        <v>-40</v>
      </c>
      <c r="L271" s="95"/>
      <c r="M271" s="97">
        <f t="shared" si="20"/>
        <v>0</v>
      </c>
    </row>
    <row r="272" spans="1:13" x14ac:dyDescent="0.25">
      <c r="A272" s="116"/>
      <c r="G272" s="80"/>
      <c r="H272" s="95">
        <v>267</v>
      </c>
      <c r="I272" s="96" t="str">
        <f t="shared" si="18"/>
        <v/>
      </c>
      <c r="J272" s="95">
        <f t="shared" si="21"/>
        <v>-4</v>
      </c>
      <c r="K272" s="95">
        <f t="shared" si="19"/>
        <v>-40</v>
      </c>
      <c r="L272" s="95"/>
      <c r="M272" s="97">
        <f t="shared" si="20"/>
        <v>0</v>
      </c>
    </row>
    <row r="273" spans="1:13" x14ac:dyDescent="0.25">
      <c r="A273" s="116"/>
      <c r="G273" s="80"/>
      <c r="H273" s="95">
        <v>268</v>
      </c>
      <c r="I273" s="96" t="str">
        <f t="shared" si="18"/>
        <v/>
      </c>
      <c r="J273" s="95">
        <f t="shared" si="21"/>
        <v>-4</v>
      </c>
      <c r="K273" s="95">
        <f t="shared" si="19"/>
        <v>-40</v>
      </c>
      <c r="L273" s="95"/>
      <c r="M273" s="97">
        <f t="shared" si="20"/>
        <v>0</v>
      </c>
    </row>
    <row r="274" spans="1:13" x14ac:dyDescent="0.25">
      <c r="A274" s="116"/>
      <c r="G274" s="80"/>
      <c r="H274" s="95">
        <v>269</v>
      </c>
      <c r="I274" s="96" t="str">
        <f t="shared" si="18"/>
        <v/>
      </c>
      <c r="J274" s="95">
        <f t="shared" si="21"/>
        <v>-4</v>
      </c>
      <c r="K274" s="95">
        <f t="shared" si="19"/>
        <v>-40</v>
      </c>
      <c r="L274" s="95"/>
      <c r="M274" s="97">
        <f t="shared" si="20"/>
        <v>0</v>
      </c>
    </row>
    <row r="275" spans="1:13" x14ac:dyDescent="0.25">
      <c r="A275" s="116"/>
      <c r="G275" s="80"/>
      <c r="H275" s="95">
        <v>270</v>
      </c>
      <c r="I275" s="96" t="str">
        <f t="shared" si="18"/>
        <v/>
      </c>
      <c r="J275" s="95">
        <f t="shared" si="21"/>
        <v>-4</v>
      </c>
      <c r="K275" s="95">
        <f t="shared" si="19"/>
        <v>-40</v>
      </c>
      <c r="L275" s="95"/>
      <c r="M275" s="97">
        <f t="shared" si="20"/>
        <v>0</v>
      </c>
    </row>
    <row r="276" spans="1:13" x14ac:dyDescent="0.25">
      <c r="A276" s="116"/>
      <c r="G276" s="80"/>
      <c r="H276" s="95">
        <v>271</v>
      </c>
      <c r="I276" s="96" t="str">
        <f t="shared" si="18"/>
        <v/>
      </c>
      <c r="J276" s="95">
        <f t="shared" si="21"/>
        <v>-4</v>
      </c>
      <c r="K276" s="95">
        <f t="shared" si="19"/>
        <v>-40</v>
      </c>
      <c r="L276" s="95"/>
      <c r="M276" s="97">
        <f t="shared" si="20"/>
        <v>0</v>
      </c>
    </row>
    <row r="277" spans="1:13" x14ac:dyDescent="0.25">
      <c r="A277" s="116"/>
      <c r="G277" s="80"/>
      <c r="H277" s="95">
        <v>272</v>
      </c>
      <c r="I277" s="96" t="str">
        <f t="shared" si="18"/>
        <v/>
      </c>
      <c r="J277" s="95">
        <f t="shared" si="21"/>
        <v>-4</v>
      </c>
      <c r="K277" s="95">
        <f t="shared" si="19"/>
        <v>-40</v>
      </c>
      <c r="L277" s="95"/>
      <c r="M277" s="97">
        <f t="shared" si="20"/>
        <v>0</v>
      </c>
    </row>
    <row r="278" spans="1:13" x14ac:dyDescent="0.25">
      <c r="A278" s="116"/>
      <c r="G278" s="80"/>
      <c r="H278" s="95">
        <v>273</v>
      </c>
      <c r="I278" s="96" t="str">
        <f t="shared" si="18"/>
        <v/>
      </c>
      <c r="J278" s="95">
        <f t="shared" si="21"/>
        <v>-4</v>
      </c>
      <c r="K278" s="95">
        <f t="shared" si="19"/>
        <v>-40</v>
      </c>
      <c r="L278" s="95"/>
      <c r="M278" s="97">
        <f t="shared" si="20"/>
        <v>0</v>
      </c>
    </row>
    <row r="279" spans="1:13" x14ac:dyDescent="0.25">
      <c r="A279" s="116"/>
      <c r="G279" s="80"/>
      <c r="H279" s="95">
        <v>274</v>
      </c>
      <c r="I279" s="96" t="str">
        <f t="shared" si="18"/>
        <v/>
      </c>
      <c r="J279" s="95">
        <f t="shared" si="21"/>
        <v>-4</v>
      </c>
      <c r="K279" s="95">
        <f t="shared" si="19"/>
        <v>-40</v>
      </c>
      <c r="L279" s="95"/>
      <c r="M279" s="97">
        <f t="shared" si="20"/>
        <v>0</v>
      </c>
    </row>
    <row r="280" spans="1:13" x14ac:dyDescent="0.25">
      <c r="A280" s="116"/>
      <c r="G280" s="80"/>
      <c r="H280" s="95">
        <v>275</v>
      </c>
      <c r="I280" s="96" t="str">
        <f t="shared" si="18"/>
        <v/>
      </c>
      <c r="J280" s="95">
        <f t="shared" si="21"/>
        <v>-4</v>
      </c>
      <c r="K280" s="95">
        <f t="shared" si="19"/>
        <v>-40</v>
      </c>
      <c r="L280" s="95"/>
      <c r="M280" s="97">
        <f t="shared" si="20"/>
        <v>0</v>
      </c>
    </row>
    <row r="281" spans="1:13" x14ac:dyDescent="0.25">
      <c r="A281" s="116"/>
      <c r="G281" s="80"/>
      <c r="H281" s="95">
        <v>276</v>
      </c>
      <c r="I281" s="96" t="str">
        <f t="shared" si="18"/>
        <v/>
      </c>
      <c r="J281" s="95">
        <f t="shared" si="21"/>
        <v>-4</v>
      </c>
      <c r="K281" s="95">
        <f t="shared" si="19"/>
        <v>-40</v>
      </c>
      <c r="L281" s="95"/>
      <c r="M281" s="97">
        <f t="shared" si="20"/>
        <v>0</v>
      </c>
    </row>
    <row r="282" spans="1:13" x14ac:dyDescent="0.25">
      <c r="A282" s="116"/>
      <c r="G282" s="80"/>
      <c r="H282" s="95">
        <v>277</v>
      </c>
      <c r="I282" s="96" t="str">
        <f t="shared" si="18"/>
        <v/>
      </c>
      <c r="J282" s="95">
        <f t="shared" si="21"/>
        <v>-4</v>
      </c>
      <c r="K282" s="95">
        <f t="shared" si="19"/>
        <v>-40</v>
      </c>
      <c r="L282" s="95"/>
      <c r="M282" s="97">
        <f t="shared" si="20"/>
        <v>0</v>
      </c>
    </row>
    <row r="283" spans="1:13" x14ac:dyDescent="0.25">
      <c r="A283" s="116"/>
      <c r="G283" s="80"/>
      <c r="H283" s="95">
        <v>278</v>
      </c>
      <c r="I283" s="96" t="str">
        <f t="shared" si="18"/>
        <v/>
      </c>
      <c r="J283" s="95">
        <f t="shared" si="21"/>
        <v>-4</v>
      </c>
      <c r="K283" s="95">
        <f t="shared" si="19"/>
        <v>-40</v>
      </c>
      <c r="L283" s="95"/>
      <c r="M283" s="97">
        <f t="shared" si="20"/>
        <v>0</v>
      </c>
    </row>
    <row r="284" spans="1:13" x14ac:dyDescent="0.25">
      <c r="A284" s="116"/>
      <c r="G284" s="80"/>
      <c r="H284" s="95">
        <v>279</v>
      </c>
      <c r="I284" s="96" t="str">
        <f t="shared" si="18"/>
        <v/>
      </c>
      <c r="J284" s="95">
        <f t="shared" si="21"/>
        <v>-4</v>
      </c>
      <c r="K284" s="95">
        <f t="shared" si="19"/>
        <v>-40</v>
      </c>
      <c r="L284" s="95"/>
      <c r="M284" s="97">
        <f t="shared" si="20"/>
        <v>0</v>
      </c>
    </row>
    <row r="285" spans="1:13" x14ac:dyDescent="0.25">
      <c r="A285" s="116"/>
      <c r="G285" s="80"/>
      <c r="H285" s="95">
        <v>280</v>
      </c>
      <c r="I285" s="96" t="str">
        <f t="shared" si="18"/>
        <v/>
      </c>
      <c r="J285" s="95">
        <f t="shared" si="21"/>
        <v>-4</v>
      </c>
      <c r="K285" s="95">
        <f t="shared" si="19"/>
        <v>-40</v>
      </c>
      <c r="L285" s="95"/>
      <c r="M285" s="97">
        <f t="shared" si="20"/>
        <v>0</v>
      </c>
    </row>
    <row r="286" spans="1:13" x14ac:dyDescent="0.25">
      <c r="A286" s="116"/>
      <c r="G286" s="80"/>
      <c r="H286" s="95">
        <v>281</v>
      </c>
      <c r="I286" s="96" t="str">
        <f t="shared" si="18"/>
        <v/>
      </c>
      <c r="J286" s="95">
        <f t="shared" si="21"/>
        <v>-4</v>
      </c>
      <c r="K286" s="95">
        <f t="shared" si="19"/>
        <v>-40</v>
      </c>
      <c r="L286" s="95"/>
      <c r="M286" s="97">
        <f t="shared" si="20"/>
        <v>0</v>
      </c>
    </row>
    <row r="287" spans="1:13" x14ac:dyDescent="0.25">
      <c r="A287" s="116"/>
      <c r="G287" s="80"/>
      <c r="H287" s="95">
        <v>282</v>
      </c>
      <c r="I287" s="96" t="str">
        <f t="shared" si="18"/>
        <v/>
      </c>
      <c r="J287" s="95">
        <f t="shared" si="21"/>
        <v>-4</v>
      </c>
      <c r="K287" s="95">
        <f t="shared" si="19"/>
        <v>-40</v>
      </c>
      <c r="L287" s="95"/>
      <c r="M287" s="97">
        <f t="shared" si="20"/>
        <v>0</v>
      </c>
    </row>
    <row r="288" spans="1:13" x14ac:dyDescent="0.25">
      <c r="A288" s="116"/>
      <c r="G288" s="80"/>
      <c r="H288" s="95">
        <v>283</v>
      </c>
      <c r="I288" s="96" t="str">
        <f t="shared" si="18"/>
        <v/>
      </c>
      <c r="J288" s="95">
        <f t="shared" si="21"/>
        <v>-4</v>
      </c>
      <c r="K288" s="95">
        <f t="shared" si="19"/>
        <v>-40</v>
      </c>
      <c r="L288" s="95"/>
      <c r="M288" s="97">
        <f t="shared" si="20"/>
        <v>0</v>
      </c>
    </row>
    <row r="289" spans="1:13" x14ac:dyDescent="0.25">
      <c r="A289" s="116"/>
      <c r="G289" s="80"/>
      <c r="H289" s="95">
        <v>284</v>
      </c>
      <c r="I289" s="96" t="str">
        <f t="shared" si="18"/>
        <v/>
      </c>
      <c r="J289" s="95">
        <f t="shared" si="21"/>
        <v>-4</v>
      </c>
      <c r="K289" s="95">
        <f t="shared" si="19"/>
        <v>-40</v>
      </c>
      <c r="L289" s="95"/>
      <c r="M289" s="97">
        <f t="shared" si="20"/>
        <v>0</v>
      </c>
    </row>
    <row r="290" spans="1:13" x14ac:dyDescent="0.25">
      <c r="A290" s="116"/>
      <c r="G290" s="80"/>
      <c r="H290" s="95">
        <v>285</v>
      </c>
      <c r="I290" s="96" t="str">
        <f t="shared" si="18"/>
        <v/>
      </c>
      <c r="J290" s="95">
        <f t="shared" si="21"/>
        <v>-4</v>
      </c>
      <c r="K290" s="95">
        <f t="shared" si="19"/>
        <v>-40</v>
      </c>
      <c r="L290" s="95"/>
      <c r="M290" s="97">
        <f t="shared" si="20"/>
        <v>0</v>
      </c>
    </row>
    <row r="291" spans="1:13" x14ac:dyDescent="0.25">
      <c r="A291" s="116"/>
      <c r="G291" s="80"/>
      <c r="H291" s="95">
        <v>286</v>
      </c>
      <c r="I291" s="96" t="str">
        <f t="shared" si="18"/>
        <v/>
      </c>
      <c r="J291" s="95">
        <f t="shared" si="21"/>
        <v>-4</v>
      </c>
      <c r="K291" s="95">
        <f t="shared" si="19"/>
        <v>-40</v>
      </c>
      <c r="L291" s="95"/>
      <c r="M291" s="97">
        <f t="shared" si="20"/>
        <v>0</v>
      </c>
    </row>
    <row r="292" spans="1:13" x14ac:dyDescent="0.25">
      <c r="A292" s="116"/>
      <c r="G292" s="80"/>
      <c r="H292" s="95">
        <v>287</v>
      </c>
      <c r="I292" s="96" t="str">
        <f t="shared" si="18"/>
        <v/>
      </c>
      <c r="J292" s="95">
        <f t="shared" si="21"/>
        <v>-4</v>
      </c>
      <c r="K292" s="95">
        <f t="shared" si="19"/>
        <v>-40</v>
      </c>
      <c r="L292" s="95"/>
      <c r="M292" s="97">
        <f t="shared" si="20"/>
        <v>0</v>
      </c>
    </row>
    <row r="293" spans="1:13" x14ac:dyDescent="0.25">
      <c r="A293" s="116"/>
      <c r="G293" s="80"/>
      <c r="H293" s="95">
        <v>288</v>
      </c>
      <c r="I293" s="96" t="str">
        <f t="shared" si="18"/>
        <v/>
      </c>
      <c r="J293" s="95">
        <f t="shared" si="21"/>
        <v>-4</v>
      </c>
      <c r="K293" s="95">
        <f t="shared" si="19"/>
        <v>-40</v>
      </c>
      <c r="L293" s="95"/>
      <c r="M293" s="97">
        <f t="shared" si="20"/>
        <v>0</v>
      </c>
    </row>
    <row r="294" spans="1:13" x14ac:dyDescent="0.25">
      <c r="A294" s="116"/>
      <c r="G294" s="80"/>
      <c r="H294" s="95">
        <v>289</v>
      </c>
      <c r="I294" s="96" t="str">
        <f t="shared" si="18"/>
        <v/>
      </c>
      <c r="J294" s="95">
        <f t="shared" si="21"/>
        <v>-4</v>
      </c>
      <c r="K294" s="95">
        <f t="shared" si="19"/>
        <v>-40</v>
      </c>
      <c r="L294" s="95"/>
      <c r="M294" s="97">
        <f t="shared" si="20"/>
        <v>0</v>
      </c>
    </row>
    <row r="295" spans="1:13" x14ac:dyDescent="0.25">
      <c r="A295" s="116"/>
      <c r="G295" s="80"/>
      <c r="H295" s="95">
        <v>290</v>
      </c>
      <c r="I295" s="96" t="str">
        <f t="shared" si="18"/>
        <v/>
      </c>
      <c r="J295" s="95">
        <f t="shared" si="21"/>
        <v>-4</v>
      </c>
      <c r="K295" s="95">
        <f t="shared" si="19"/>
        <v>-40</v>
      </c>
      <c r="L295" s="95"/>
      <c r="M295" s="97">
        <f t="shared" si="20"/>
        <v>0</v>
      </c>
    </row>
    <row r="296" spans="1:13" x14ac:dyDescent="0.25">
      <c r="A296" s="116"/>
      <c r="G296" s="80"/>
      <c r="H296" s="95">
        <v>291</v>
      </c>
      <c r="I296" s="96" t="str">
        <f t="shared" si="18"/>
        <v/>
      </c>
      <c r="J296" s="95">
        <f t="shared" si="21"/>
        <v>-4</v>
      </c>
      <c r="K296" s="95">
        <f t="shared" si="19"/>
        <v>-40</v>
      </c>
      <c r="L296" s="95"/>
      <c r="M296" s="97">
        <f t="shared" si="20"/>
        <v>0</v>
      </c>
    </row>
    <row r="297" spans="1:13" x14ac:dyDescent="0.25">
      <c r="A297" s="116"/>
      <c r="G297" s="80"/>
      <c r="H297" s="95">
        <v>292</v>
      </c>
      <c r="I297" s="96" t="str">
        <f t="shared" si="18"/>
        <v/>
      </c>
      <c r="J297" s="95">
        <f t="shared" si="21"/>
        <v>-4</v>
      </c>
      <c r="K297" s="95">
        <f t="shared" si="19"/>
        <v>-40</v>
      </c>
      <c r="L297" s="95"/>
      <c r="M297" s="97">
        <f t="shared" si="20"/>
        <v>0</v>
      </c>
    </row>
    <row r="298" spans="1:13" x14ac:dyDescent="0.25">
      <c r="A298" s="116"/>
      <c r="G298" s="80"/>
      <c r="H298" s="95">
        <v>293</v>
      </c>
      <c r="I298" s="96" t="str">
        <f t="shared" si="18"/>
        <v/>
      </c>
      <c r="J298" s="95">
        <f t="shared" si="21"/>
        <v>-4</v>
      </c>
      <c r="K298" s="95">
        <f t="shared" si="19"/>
        <v>-40</v>
      </c>
      <c r="L298" s="95"/>
      <c r="M298" s="97">
        <f t="shared" si="20"/>
        <v>0</v>
      </c>
    </row>
    <row r="299" spans="1:13" x14ac:dyDescent="0.25">
      <c r="A299" s="116"/>
      <c r="G299" s="80"/>
      <c r="H299" s="95">
        <v>294</v>
      </c>
      <c r="I299" s="96" t="str">
        <f t="shared" si="18"/>
        <v/>
      </c>
      <c r="J299" s="95">
        <f t="shared" si="21"/>
        <v>-4</v>
      </c>
      <c r="K299" s="95">
        <f t="shared" si="19"/>
        <v>-40</v>
      </c>
      <c r="L299" s="95"/>
      <c r="M299" s="97">
        <f t="shared" si="20"/>
        <v>0</v>
      </c>
    </row>
    <row r="300" spans="1:13" x14ac:dyDescent="0.25">
      <c r="A300" s="116"/>
      <c r="G300" s="80"/>
      <c r="H300" s="95">
        <v>295</v>
      </c>
      <c r="I300" s="96" t="str">
        <f t="shared" si="18"/>
        <v/>
      </c>
      <c r="J300" s="95">
        <f t="shared" si="21"/>
        <v>-4</v>
      </c>
      <c r="K300" s="95">
        <f t="shared" si="19"/>
        <v>-40</v>
      </c>
      <c r="L300" s="95"/>
      <c r="M300" s="97">
        <f t="shared" si="20"/>
        <v>0</v>
      </c>
    </row>
    <row r="301" spans="1:13" x14ac:dyDescent="0.25">
      <c r="A301" s="116"/>
      <c r="G301" s="80"/>
      <c r="H301" s="95">
        <v>296</v>
      </c>
      <c r="I301" s="96" t="str">
        <f t="shared" si="18"/>
        <v/>
      </c>
      <c r="J301" s="95">
        <f t="shared" si="21"/>
        <v>-4</v>
      </c>
      <c r="K301" s="95">
        <f t="shared" si="19"/>
        <v>-40</v>
      </c>
      <c r="L301" s="95"/>
      <c r="M301" s="97">
        <f t="shared" si="20"/>
        <v>0</v>
      </c>
    </row>
    <row r="302" spans="1:13" x14ac:dyDescent="0.25">
      <c r="A302" s="116"/>
      <c r="G302" s="80"/>
      <c r="H302" s="95">
        <v>297</v>
      </c>
      <c r="I302" s="96" t="str">
        <f t="shared" si="18"/>
        <v/>
      </c>
      <c r="J302" s="95">
        <f t="shared" si="21"/>
        <v>-4</v>
      </c>
      <c r="K302" s="95">
        <f t="shared" si="19"/>
        <v>-40</v>
      </c>
      <c r="L302" s="95"/>
      <c r="M302" s="97">
        <f t="shared" si="20"/>
        <v>0</v>
      </c>
    </row>
    <row r="303" spans="1:13" x14ac:dyDescent="0.25">
      <c r="A303" s="116"/>
      <c r="G303" s="80"/>
      <c r="H303" s="95">
        <v>298</v>
      </c>
      <c r="I303" s="96" t="str">
        <f t="shared" si="18"/>
        <v/>
      </c>
      <c r="J303" s="95">
        <f t="shared" si="21"/>
        <v>-4</v>
      </c>
      <c r="K303" s="95">
        <f t="shared" si="19"/>
        <v>-40</v>
      </c>
      <c r="L303" s="95"/>
      <c r="M303" s="97">
        <f t="shared" si="20"/>
        <v>0</v>
      </c>
    </row>
    <row r="304" spans="1:13" x14ac:dyDescent="0.25">
      <c r="A304" s="116"/>
      <c r="G304" s="80"/>
      <c r="H304" s="95">
        <v>299</v>
      </c>
      <c r="I304" s="96" t="str">
        <f t="shared" si="18"/>
        <v/>
      </c>
      <c r="J304" s="95">
        <f t="shared" si="21"/>
        <v>-4</v>
      </c>
      <c r="K304" s="95">
        <f t="shared" si="19"/>
        <v>-40</v>
      </c>
      <c r="L304" s="95"/>
      <c r="M304" s="97">
        <f t="shared" si="20"/>
        <v>0</v>
      </c>
    </row>
    <row r="305" spans="1:16" x14ac:dyDescent="0.25">
      <c r="A305" s="116"/>
      <c r="G305" s="80"/>
      <c r="H305" s="95">
        <v>300</v>
      </c>
      <c r="I305" s="96" t="str">
        <f t="shared" si="18"/>
        <v/>
      </c>
      <c r="J305" s="95">
        <f t="shared" si="21"/>
        <v>-4</v>
      </c>
      <c r="K305" s="95">
        <f t="shared" si="19"/>
        <v>-40</v>
      </c>
      <c r="L305" s="95"/>
      <c r="M305" s="97">
        <f t="shared" si="20"/>
        <v>0</v>
      </c>
    </row>
    <row r="306" spans="1:16" x14ac:dyDescent="0.25">
      <c r="A306" s="117"/>
      <c r="J306" s="118" t="e">
        <f t="shared" si="21"/>
        <v>#NUM!</v>
      </c>
    </row>
    <row r="307" spans="1:16" x14ac:dyDescent="0.25">
      <c r="J307" s="118" t="e">
        <f t="shared" si="21"/>
        <v>#NUM!</v>
      </c>
    </row>
    <row r="308" spans="1:16" x14ac:dyDescent="0.25">
      <c r="J308" s="118" t="e">
        <f t="shared" si="21"/>
        <v>#NUM!</v>
      </c>
    </row>
    <row r="309" spans="1:16" x14ac:dyDescent="0.25">
      <c r="J309" s="118" t="e">
        <f t="shared" si="21"/>
        <v>#NUM!</v>
      </c>
    </row>
    <row r="310" spans="1:16" x14ac:dyDescent="0.25">
      <c r="J310" s="118" t="e">
        <f t="shared" si="21"/>
        <v>#NUM!</v>
      </c>
    </row>
    <row r="311" spans="1:16" x14ac:dyDescent="0.25">
      <c r="J311" s="118" t="e">
        <f t="shared" si="21"/>
        <v>#NUM!</v>
      </c>
    </row>
    <row r="312" spans="1:16" x14ac:dyDescent="0.25">
      <c r="J312" s="118" t="e">
        <f t="shared" si="21"/>
        <v>#NUM!</v>
      </c>
    </row>
    <row r="313" spans="1:16" x14ac:dyDescent="0.25">
      <c r="J313" s="118" t="e">
        <f t="shared" si="21"/>
        <v>#NUM!</v>
      </c>
    </row>
    <row r="314" spans="1:16" x14ac:dyDescent="0.25">
      <c r="J314" s="118" t="e">
        <f t="shared" si="21"/>
        <v>#NUM!</v>
      </c>
      <c r="L314" s="120"/>
      <c r="P314" s="107"/>
    </row>
    <row r="315" spans="1:16" x14ac:dyDescent="0.25">
      <c r="J315" s="118" t="e">
        <f t="shared" si="21"/>
        <v>#NUM!</v>
      </c>
      <c r="L315" s="120"/>
      <c r="P315" s="107"/>
    </row>
    <row r="316" spans="1:16" x14ac:dyDescent="0.25">
      <c r="J316" s="118" t="e">
        <f t="shared" si="21"/>
        <v>#NUM!</v>
      </c>
      <c r="L316" s="120"/>
      <c r="P316" s="107"/>
    </row>
    <row r="317" spans="1:16" x14ac:dyDescent="0.25">
      <c r="J317" s="118" t="e">
        <f t="shared" si="21"/>
        <v>#NUM!</v>
      </c>
      <c r="L317" s="120"/>
      <c r="P317" s="107"/>
    </row>
    <row r="318" spans="1:16" x14ac:dyDescent="0.25">
      <c r="J318" s="118" t="e">
        <f t="shared" si="21"/>
        <v>#NUM!</v>
      </c>
    </row>
    <row r="319" spans="1:16" x14ac:dyDescent="0.25">
      <c r="J319" s="118" t="e">
        <f t="shared" si="21"/>
        <v>#NUM!</v>
      </c>
    </row>
    <row r="320" spans="1:16" x14ac:dyDescent="0.25">
      <c r="J320" s="118" t="e">
        <f t="shared" si="21"/>
        <v>#NUM!</v>
      </c>
    </row>
    <row r="321" spans="10:10" x14ac:dyDescent="0.25">
      <c r="J321" s="118" t="e">
        <f t="shared" si="21"/>
        <v>#NUM!</v>
      </c>
    </row>
    <row r="322" spans="10:10" x14ac:dyDescent="0.25">
      <c r="J322" s="118" t="e">
        <f t="shared" si="21"/>
        <v>#NUM!</v>
      </c>
    </row>
    <row r="323" spans="10:10" x14ac:dyDescent="0.25">
      <c r="J323" s="118" t="e">
        <f t="shared" si="21"/>
        <v>#NUM!</v>
      </c>
    </row>
    <row r="324" spans="10:10" x14ac:dyDescent="0.25">
      <c r="J324" s="118" t="e">
        <f t="shared" si="21"/>
        <v>#NUM!</v>
      </c>
    </row>
    <row r="325" spans="10:10" x14ac:dyDescent="0.25">
      <c r="J325" s="118" t="e">
        <f t="shared" si="21"/>
        <v>#NUM!</v>
      </c>
    </row>
    <row r="326" spans="10:10" x14ac:dyDescent="0.25">
      <c r="J326" s="118" t="e">
        <f t="shared" si="21"/>
        <v>#NUM!</v>
      </c>
    </row>
    <row r="327" spans="10:10" x14ac:dyDescent="0.25">
      <c r="J327" s="118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18" t="e">
        <f t="shared" si="22"/>
        <v>#NUM!</v>
      </c>
    </row>
    <row r="329" spans="10:10" x14ac:dyDescent="0.25">
      <c r="J329" s="118" t="e">
        <f t="shared" si="22"/>
        <v>#NUM!</v>
      </c>
    </row>
    <row r="330" spans="10:10" x14ac:dyDescent="0.25">
      <c r="J330" s="118" t="e">
        <f t="shared" si="22"/>
        <v>#NUM!</v>
      </c>
    </row>
    <row r="331" spans="10:10" x14ac:dyDescent="0.25">
      <c r="J331" s="118" t="e">
        <f t="shared" si="22"/>
        <v>#NUM!</v>
      </c>
    </row>
    <row r="332" spans="10:10" x14ac:dyDescent="0.25">
      <c r="J332" s="118" t="e">
        <f t="shared" si="22"/>
        <v>#NUM!</v>
      </c>
    </row>
    <row r="333" spans="10:10" x14ac:dyDescent="0.25">
      <c r="J333" s="118" t="e">
        <f t="shared" si="22"/>
        <v>#NUM!</v>
      </c>
    </row>
    <row r="334" spans="10:10" x14ac:dyDescent="0.25">
      <c r="J334" s="118" t="e">
        <f t="shared" si="22"/>
        <v>#NUM!</v>
      </c>
    </row>
    <row r="335" spans="10:10" x14ac:dyDescent="0.25">
      <c r="J335" s="118" t="e">
        <f t="shared" si="22"/>
        <v>#NUM!</v>
      </c>
    </row>
    <row r="336" spans="10:10" x14ac:dyDescent="0.25">
      <c r="J336" s="118" t="e">
        <f t="shared" si="22"/>
        <v>#NUM!</v>
      </c>
    </row>
    <row r="337" spans="10:10" x14ac:dyDescent="0.25">
      <c r="J337" s="118" t="e">
        <f t="shared" si="22"/>
        <v>#NUM!</v>
      </c>
    </row>
    <row r="338" spans="10:10" x14ac:dyDescent="0.25">
      <c r="J338" s="118" t="e">
        <f t="shared" si="22"/>
        <v>#NUM!</v>
      </c>
    </row>
    <row r="339" spans="10:10" x14ac:dyDescent="0.25">
      <c r="J339" s="118" t="e">
        <f t="shared" si="22"/>
        <v>#NUM!</v>
      </c>
    </row>
    <row r="340" spans="10:10" x14ac:dyDescent="0.25">
      <c r="J340" s="118" t="e">
        <f t="shared" si="22"/>
        <v>#NUM!</v>
      </c>
    </row>
    <row r="341" spans="10:10" x14ac:dyDescent="0.25">
      <c r="J341" s="118" t="e">
        <f t="shared" si="22"/>
        <v>#NUM!</v>
      </c>
    </row>
    <row r="342" spans="10:10" x14ac:dyDescent="0.25">
      <c r="J342" s="118" t="e">
        <f t="shared" si="22"/>
        <v>#NUM!</v>
      </c>
    </row>
    <row r="343" spans="10:10" x14ac:dyDescent="0.25">
      <c r="J343" s="118" t="e">
        <f t="shared" si="22"/>
        <v>#NUM!</v>
      </c>
    </row>
    <row r="344" spans="10:10" x14ac:dyDescent="0.25">
      <c r="J344" s="118" t="e">
        <f t="shared" si="22"/>
        <v>#NUM!</v>
      </c>
    </row>
    <row r="345" spans="10:10" x14ac:dyDescent="0.25">
      <c r="J345" s="118" t="e">
        <f t="shared" si="22"/>
        <v>#NUM!</v>
      </c>
    </row>
    <row r="346" spans="10:10" x14ac:dyDescent="0.25">
      <c r="J346" s="118" t="e">
        <f t="shared" si="22"/>
        <v>#NUM!</v>
      </c>
    </row>
    <row r="347" spans="10:10" x14ac:dyDescent="0.25">
      <c r="J347" s="118" t="e">
        <f t="shared" si="22"/>
        <v>#NUM!</v>
      </c>
    </row>
    <row r="348" spans="10:10" x14ac:dyDescent="0.25">
      <c r="J348" s="118" t="e">
        <f t="shared" si="22"/>
        <v>#NUM!</v>
      </c>
    </row>
    <row r="349" spans="10:10" x14ac:dyDescent="0.25">
      <c r="J349" s="118" t="e">
        <f t="shared" si="22"/>
        <v>#NUM!</v>
      </c>
    </row>
    <row r="350" spans="10:10" x14ac:dyDescent="0.25">
      <c r="J350" s="118" t="e">
        <f t="shared" si="22"/>
        <v>#NUM!</v>
      </c>
    </row>
    <row r="351" spans="10:10" x14ac:dyDescent="0.25">
      <c r="J351" s="118" t="e">
        <f t="shared" si="22"/>
        <v>#NUM!</v>
      </c>
    </row>
    <row r="352" spans="10:10" x14ac:dyDescent="0.25">
      <c r="J352" s="118" t="e">
        <f t="shared" si="22"/>
        <v>#NUM!</v>
      </c>
    </row>
    <row r="353" spans="10:10" x14ac:dyDescent="0.25">
      <c r="J353" s="118" t="e">
        <f t="shared" si="22"/>
        <v>#NUM!</v>
      </c>
    </row>
    <row r="354" spans="10:10" x14ac:dyDescent="0.25">
      <c r="J354" s="118" t="e">
        <f t="shared" si="22"/>
        <v>#NUM!</v>
      </c>
    </row>
    <row r="355" spans="10:10" x14ac:dyDescent="0.25">
      <c r="J355" s="118" t="e">
        <f t="shared" si="22"/>
        <v>#NUM!</v>
      </c>
    </row>
    <row r="356" spans="10:10" x14ac:dyDescent="0.25">
      <c r="J356" s="118" t="e">
        <f t="shared" si="22"/>
        <v>#NUM!</v>
      </c>
    </row>
    <row r="357" spans="10:10" x14ac:dyDescent="0.25">
      <c r="J357" s="118" t="e">
        <f t="shared" si="22"/>
        <v>#NUM!</v>
      </c>
    </row>
    <row r="358" spans="10:10" x14ac:dyDescent="0.25">
      <c r="J358" s="118" t="e">
        <f t="shared" si="22"/>
        <v>#NUM!</v>
      </c>
    </row>
    <row r="359" spans="10:10" x14ac:dyDescent="0.25">
      <c r="J359" s="118" t="e">
        <f t="shared" si="22"/>
        <v>#NUM!</v>
      </c>
    </row>
    <row r="360" spans="10:10" x14ac:dyDescent="0.25">
      <c r="J360" s="118" t="e">
        <f t="shared" si="22"/>
        <v>#NUM!</v>
      </c>
    </row>
    <row r="361" spans="10:10" x14ac:dyDescent="0.25">
      <c r="J361" s="118" t="e">
        <f t="shared" si="22"/>
        <v>#NUM!</v>
      </c>
    </row>
    <row r="362" spans="10:10" x14ac:dyDescent="0.25">
      <c r="J362" s="118" t="e">
        <f t="shared" si="22"/>
        <v>#NUM!</v>
      </c>
    </row>
    <row r="363" spans="10:10" x14ac:dyDescent="0.25">
      <c r="J363" s="118" t="e">
        <f t="shared" si="22"/>
        <v>#NUM!</v>
      </c>
    </row>
    <row r="364" spans="10:10" x14ac:dyDescent="0.25">
      <c r="J364" s="118" t="e">
        <f t="shared" si="22"/>
        <v>#NUM!</v>
      </c>
    </row>
    <row r="365" spans="10:10" x14ac:dyDescent="0.25">
      <c r="J365" s="118" t="e">
        <f t="shared" si="22"/>
        <v>#NUM!</v>
      </c>
    </row>
    <row r="366" spans="10:10" x14ac:dyDescent="0.25">
      <c r="J366" s="118" t="e">
        <f t="shared" si="22"/>
        <v>#NUM!</v>
      </c>
    </row>
    <row r="367" spans="10:10" x14ac:dyDescent="0.25">
      <c r="J367" s="118" t="e">
        <f t="shared" si="22"/>
        <v>#NUM!</v>
      </c>
    </row>
    <row r="368" spans="10:10" x14ac:dyDescent="0.25">
      <c r="J368" s="118" t="e">
        <f t="shared" si="22"/>
        <v>#NUM!</v>
      </c>
    </row>
    <row r="369" spans="10:10" x14ac:dyDescent="0.25">
      <c r="J369" s="118" t="e">
        <f t="shared" si="22"/>
        <v>#NUM!</v>
      </c>
    </row>
    <row r="370" spans="10:10" x14ac:dyDescent="0.25">
      <c r="J370" s="118" t="e">
        <f t="shared" si="22"/>
        <v>#NUM!</v>
      </c>
    </row>
    <row r="371" spans="10:10" x14ac:dyDescent="0.25">
      <c r="J371" s="118" t="e">
        <f t="shared" si="22"/>
        <v>#NUM!</v>
      </c>
    </row>
    <row r="372" spans="10:10" x14ac:dyDescent="0.25">
      <c r="J372" s="118" t="e">
        <f t="shared" si="22"/>
        <v>#NUM!</v>
      </c>
    </row>
    <row r="373" spans="10:10" x14ac:dyDescent="0.25">
      <c r="J373" s="118" t="e">
        <f t="shared" si="22"/>
        <v>#NUM!</v>
      </c>
    </row>
    <row r="374" spans="10:10" x14ac:dyDescent="0.25">
      <c r="J374" s="118" t="e">
        <f t="shared" si="22"/>
        <v>#NUM!</v>
      </c>
    </row>
  </sheetData>
  <conditionalFormatting sqref="J9:K305">
    <cfRule type="cellIs" dxfId="17" priority="1" operator="lessThanOrEqual">
      <formula>0</formula>
    </cfRule>
  </conditionalFormatting>
  <hyperlinks>
    <hyperlink ref="C2" r:id="rId1" xr:uid="{D9C29B37-D812-48B7-A741-DB318333F4E0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EEE55-E786-452C-96EE-8F5616D01F7A}">
  <sheetPr>
    <tabColor rgb="FF92D050"/>
  </sheetPr>
  <dimension ref="A1:AL317"/>
  <sheetViews>
    <sheetView workbookViewId="0">
      <selection activeCell="C24" sqref="C24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43.7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2.2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x14ac:dyDescent="0.25">
      <c r="A1" s="80"/>
      <c r="B1" s="80"/>
      <c r="C1" s="80"/>
      <c r="D1" s="80"/>
      <c r="E1" s="80"/>
      <c r="F1" s="80"/>
      <c r="G1" s="80"/>
      <c r="H1" s="81" t="s">
        <v>38</v>
      </c>
      <c r="I1" s="82" t="s">
        <v>39</v>
      </c>
      <c r="J1" s="82" t="s">
        <v>40</v>
      </c>
      <c r="K1" s="83" t="s">
        <v>128</v>
      </c>
      <c r="L1" s="84"/>
      <c r="M1" s="84"/>
    </row>
    <row r="2" spans="1:36" x14ac:dyDescent="0.25">
      <c r="A2" s="80"/>
      <c r="B2" s="47" t="s">
        <v>42</v>
      </c>
      <c r="C2" s="69" t="s">
        <v>132</v>
      </c>
      <c r="D2" s="68"/>
      <c r="E2" s="6"/>
      <c r="F2" s="6"/>
      <c r="G2" s="6"/>
      <c r="H2" s="86">
        <v>21</v>
      </c>
      <c r="I2" s="87">
        <v>50</v>
      </c>
      <c r="J2" s="87">
        <v>10</v>
      </c>
      <c r="K2" s="121">
        <f>3*H2^(1/3)</f>
        <v>8.2767725291433614</v>
      </c>
      <c r="L2" s="84"/>
      <c r="M2" s="84"/>
    </row>
    <row r="3" spans="1:36" x14ac:dyDescent="0.25">
      <c r="A3" s="80"/>
      <c r="B3" s="89" t="s">
        <v>44</v>
      </c>
      <c r="C3" s="69" t="s">
        <v>133</v>
      </c>
      <c r="D3" s="69"/>
      <c r="E3" s="7"/>
      <c r="F3" s="7"/>
      <c r="G3" s="7"/>
      <c r="H3" s="84"/>
      <c r="I3" s="84"/>
      <c r="J3" s="90"/>
      <c r="K3" s="84"/>
      <c r="L3" s="84"/>
      <c r="M3" s="84"/>
    </row>
    <row r="4" spans="1:36" ht="10.199999999999999" customHeight="1" x14ac:dyDescent="0.25">
      <c r="A4" s="8"/>
      <c r="B4" s="7"/>
      <c r="C4" s="8"/>
      <c r="D4" s="8"/>
      <c r="E4" s="8"/>
      <c r="F4" s="8"/>
      <c r="G4" s="8"/>
      <c r="H4" s="84"/>
      <c r="I4" s="84"/>
      <c r="J4" s="90"/>
      <c r="K4" s="84"/>
      <c r="L4" s="84"/>
      <c r="M4" s="84"/>
    </row>
    <row r="5" spans="1:36" ht="34.65" x14ac:dyDescent="0.25">
      <c r="A5" s="1" t="s">
        <v>45</v>
      </c>
      <c r="B5" s="37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8"/>
      <c r="H5" s="91" t="s">
        <v>51</v>
      </c>
      <c r="I5" s="92" t="s">
        <v>52</v>
      </c>
      <c r="J5" s="93" t="s">
        <v>93</v>
      </c>
      <c r="K5" s="92" t="s">
        <v>94</v>
      </c>
      <c r="L5" s="92" t="s">
        <v>55</v>
      </c>
      <c r="M5" s="91" t="s">
        <v>56</v>
      </c>
    </row>
    <row r="6" spans="1:36" ht="14.45" customHeight="1" x14ac:dyDescent="0.25">
      <c r="A6" s="94">
        <f>M6</f>
        <v>114.83031758743009</v>
      </c>
      <c r="B6" s="36">
        <f t="shared" ref="B6:B65" si="0">IF(H6&gt;$H$2,"",(ROW()-5))</f>
        <v>1</v>
      </c>
      <c r="C6" s="24" t="s">
        <v>20</v>
      </c>
      <c r="D6" s="24"/>
      <c r="E6" s="24"/>
      <c r="F6" s="24"/>
      <c r="G6" s="8"/>
      <c r="H6" s="95">
        <v>1</v>
      </c>
      <c r="I6" s="96">
        <f t="shared" ref="I6:I69" si="1">IF(H6&lt;$H$2+1,($I$2-($I$2-1)*(LOG(H6)/LOG($H$2))),"")</f>
        <v>50</v>
      </c>
      <c r="J6" s="95">
        <v>4</v>
      </c>
      <c r="K6" s="95">
        <f t="shared" ref="K6:K69" si="2">J6*$J$2</f>
        <v>40</v>
      </c>
      <c r="L6" s="97">
        <f>3*K2</f>
        <v>24.830317587430084</v>
      </c>
      <c r="M6" s="97">
        <f t="shared" ref="M6:M69" si="3">IF(I6&lt;&gt;"",K6+I6+L6,0)</f>
        <v>114.83031758743009</v>
      </c>
    </row>
    <row r="7" spans="1:36" ht="14.45" customHeight="1" x14ac:dyDescent="0.25">
      <c r="A7" s="98">
        <f t="shared" ref="A7:A37" si="4">M7</f>
        <v>85.397702872136023</v>
      </c>
      <c r="B7" s="35">
        <f t="shared" si="0"/>
        <v>2</v>
      </c>
      <c r="C7" s="25" t="s">
        <v>95</v>
      </c>
      <c r="D7" s="25"/>
      <c r="E7" s="25"/>
      <c r="F7" s="25"/>
      <c r="G7" s="8"/>
      <c r="H7" s="99">
        <v>2</v>
      </c>
      <c r="I7" s="100">
        <f t="shared" si="1"/>
        <v>38.844157813849307</v>
      </c>
      <c r="J7" s="99">
        <v>3</v>
      </c>
      <c r="K7" s="99">
        <f t="shared" si="2"/>
        <v>30</v>
      </c>
      <c r="L7" s="101">
        <f>2*K2</f>
        <v>16.553545058286723</v>
      </c>
      <c r="M7" s="101">
        <f t="shared" si="3"/>
        <v>85.397702872136023</v>
      </c>
    </row>
    <row r="8" spans="1:36" ht="14.45" customHeight="1" x14ac:dyDescent="0.25">
      <c r="A8" s="94">
        <f t="shared" si="4"/>
        <v>60.595181000131376</v>
      </c>
      <c r="B8" s="36">
        <f t="shared" si="0"/>
        <v>3</v>
      </c>
      <c r="C8" s="128" t="s">
        <v>21</v>
      </c>
      <c r="D8" s="24"/>
      <c r="E8" s="24"/>
      <c r="F8" s="24"/>
      <c r="G8" s="8"/>
      <c r="H8" s="95">
        <v>3</v>
      </c>
      <c r="I8" s="96">
        <f t="shared" si="1"/>
        <v>32.318408470988018</v>
      </c>
      <c r="J8" s="95">
        <v>2</v>
      </c>
      <c r="K8" s="95">
        <f t="shared" si="2"/>
        <v>20</v>
      </c>
      <c r="L8" s="97">
        <f>K2</f>
        <v>8.2767725291433614</v>
      </c>
      <c r="M8" s="97">
        <f t="shared" si="3"/>
        <v>60.595181000131376</v>
      </c>
    </row>
    <row r="9" spans="1:36" s="85" customFormat="1" ht="14.45" customHeight="1" x14ac:dyDescent="0.25">
      <c r="A9" s="98">
        <f t="shared" si="4"/>
        <v>60.595181000131376</v>
      </c>
      <c r="B9" s="35">
        <f>IF(H9&gt;$H$2,"",3)</f>
        <v>3</v>
      </c>
      <c r="C9" s="25" t="s">
        <v>95</v>
      </c>
      <c r="D9" s="25"/>
      <c r="E9" s="25"/>
      <c r="F9" s="25"/>
      <c r="G9" s="8"/>
      <c r="H9" s="99">
        <v>3</v>
      </c>
      <c r="I9" s="100">
        <f t="shared" si="1"/>
        <v>32.318408470988018</v>
      </c>
      <c r="J9" s="99">
        <v>2</v>
      </c>
      <c r="K9" s="99">
        <f t="shared" si="2"/>
        <v>20</v>
      </c>
      <c r="L9" s="101">
        <f>K2</f>
        <v>8.2767725291433614</v>
      </c>
      <c r="M9" s="101">
        <f t="shared" si="3"/>
        <v>60.595181000131376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95</v>
      </c>
      <c r="AI9" s="85">
        <v>23</v>
      </c>
    </row>
    <row r="10" spans="1:36" ht="14.45" customHeight="1" x14ac:dyDescent="0.25">
      <c r="A10" s="94">
        <f t="shared" si="4"/>
        <v>44.096936605847048</v>
      </c>
      <c r="B10" s="36">
        <f t="shared" si="0"/>
        <v>5</v>
      </c>
      <c r="C10" s="24" t="s">
        <v>95</v>
      </c>
      <c r="D10" s="24"/>
      <c r="E10" s="24"/>
      <c r="F10" s="24"/>
      <c r="G10" s="8"/>
      <c r="H10" s="95">
        <v>5</v>
      </c>
      <c r="I10" s="96">
        <f t="shared" si="1"/>
        <v>24.096936605847045</v>
      </c>
      <c r="J10" s="95">
        <f t="shared" ref="J10:J73" si="5">INT(LOG($H$2,2))-ROUNDUP(LOG(H10,2),0)+IF(OR($H$2=1,$H$2=2,$H$2=4,$H$2=8,$H$2=16,$H$2=32,$H$2=64,$H$2=128,$H$2=256),0,1)</f>
        <v>2</v>
      </c>
      <c r="K10" s="95">
        <f t="shared" si="2"/>
        <v>20</v>
      </c>
      <c r="L10" s="95"/>
      <c r="M10" s="97">
        <f t="shared" si="3"/>
        <v>44.096936605847048</v>
      </c>
      <c r="V10" s="102"/>
      <c r="Z10" s="103"/>
      <c r="AA10" s="103"/>
      <c r="AG10" s="104"/>
      <c r="AH10" s="85" t="s">
        <v>96</v>
      </c>
      <c r="AI10" s="85">
        <v>45</v>
      </c>
    </row>
    <row r="11" spans="1:36" ht="14.45" customHeight="1" x14ac:dyDescent="0.25">
      <c r="A11" s="98">
        <f t="shared" si="4"/>
        <v>41.162566284837325</v>
      </c>
      <c r="B11" s="35">
        <f t="shared" si="0"/>
        <v>6</v>
      </c>
      <c r="C11" s="25" t="s">
        <v>134</v>
      </c>
      <c r="D11" s="25"/>
      <c r="E11" s="25"/>
      <c r="F11" s="25"/>
      <c r="G11" s="8"/>
      <c r="H11" s="99">
        <v>6</v>
      </c>
      <c r="I11" s="100">
        <f t="shared" si="1"/>
        <v>21.162566284837325</v>
      </c>
      <c r="J11" s="99">
        <f t="shared" si="5"/>
        <v>2</v>
      </c>
      <c r="K11" s="99">
        <f t="shared" si="2"/>
        <v>20</v>
      </c>
      <c r="L11" s="99"/>
      <c r="M11" s="101">
        <f t="shared" si="3"/>
        <v>41.162566284837325</v>
      </c>
      <c r="V11" s="105"/>
      <c r="Z11" s="103"/>
      <c r="AA11" s="103"/>
      <c r="AG11" s="104"/>
      <c r="AH11" s="85" t="s">
        <v>97</v>
      </c>
      <c r="AI11" s="85">
        <v>50</v>
      </c>
    </row>
    <row r="12" spans="1:36" ht="14.45" customHeight="1" x14ac:dyDescent="0.25">
      <c r="A12" s="94">
        <f t="shared" si="4"/>
        <v>38.681591529011982</v>
      </c>
      <c r="B12" s="36">
        <f t="shared" si="0"/>
        <v>7</v>
      </c>
      <c r="C12" s="24" t="s">
        <v>95</v>
      </c>
      <c r="D12" s="24"/>
      <c r="E12" s="24"/>
      <c r="F12" s="24"/>
      <c r="G12" s="8"/>
      <c r="H12" s="95">
        <v>7</v>
      </c>
      <c r="I12" s="96">
        <f t="shared" si="1"/>
        <v>18.681591529011982</v>
      </c>
      <c r="J12" s="95">
        <f t="shared" si="5"/>
        <v>2</v>
      </c>
      <c r="K12" s="95">
        <f t="shared" si="2"/>
        <v>20</v>
      </c>
      <c r="L12" s="95"/>
      <c r="M12" s="97">
        <f t="shared" si="3"/>
        <v>38.681591529011982</v>
      </c>
      <c r="Z12" s="103"/>
      <c r="AA12" s="103"/>
      <c r="AG12" s="104"/>
      <c r="AH12" s="85" t="s">
        <v>98</v>
      </c>
      <c r="AI12" s="85">
        <f>AI11-1</f>
        <v>49</v>
      </c>
    </row>
    <row r="13" spans="1:36" ht="14.45" customHeight="1" x14ac:dyDescent="0.25">
      <c r="A13" s="98">
        <f t="shared" si="4"/>
        <v>36.532473441547907</v>
      </c>
      <c r="B13" s="35">
        <f t="shared" si="0"/>
        <v>8</v>
      </c>
      <c r="C13" s="25" t="s">
        <v>25</v>
      </c>
      <c r="D13" s="25"/>
      <c r="E13" s="25"/>
      <c r="F13" s="25"/>
      <c r="G13" s="8"/>
      <c r="H13" s="99">
        <v>8</v>
      </c>
      <c r="I13" s="100">
        <f t="shared" si="1"/>
        <v>16.532473441547907</v>
      </c>
      <c r="J13" s="99">
        <f t="shared" si="5"/>
        <v>2</v>
      </c>
      <c r="K13" s="99">
        <f t="shared" si="2"/>
        <v>20</v>
      </c>
      <c r="L13" s="99"/>
      <c r="M13" s="101">
        <f t="shared" si="3"/>
        <v>36.532473441547907</v>
      </c>
      <c r="X13" s="102"/>
      <c r="AG13" s="104"/>
      <c r="AH13" s="85" t="s">
        <v>101</v>
      </c>
      <c r="AI13" s="85">
        <f>LOG(AI9)</f>
        <v>1.3617278360175928</v>
      </c>
    </row>
    <row r="14" spans="1:36" x14ac:dyDescent="0.25">
      <c r="A14" s="94">
        <f t="shared" si="4"/>
        <v>24.636816941976043</v>
      </c>
      <c r="B14" s="36">
        <f t="shared" si="0"/>
        <v>9</v>
      </c>
      <c r="C14" s="24" t="s">
        <v>19</v>
      </c>
      <c r="D14" s="24"/>
      <c r="E14" s="24"/>
      <c r="F14" s="24"/>
      <c r="G14" s="8"/>
      <c r="H14" s="95">
        <v>9</v>
      </c>
      <c r="I14" s="96">
        <f t="shared" si="1"/>
        <v>14.636816941976043</v>
      </c>
      <c r="J14" s="95">
        <f t="shared" si="5"/>
        <v>1</v>
      </c>
      <c r="K14" s="95">
        <f t="shared" si="2"/>
        <v>10</v>
      </c>
      <c r="L14" s="95"/>
      <c r="M14" s="97">
        <f t="shared" si="3"/>
        <v>24.636816941976043</v>
      </c>
      <c r="X14" s="106"/>
      <c r="Z14" s="103"/>
      <c r="AA14" s="103"/>
      <c r="AG14" s="104"/>
      <c r="AH14" s="85" t="s">
        <v>102</v>
      </c>
      <c r="AI14" s="85">
        <f>LOG(AI10)</f>
        <v>1.6532125137753437</v>
      </c>
    </row>
    <row r="15" spans="1:36" x14ac:dyDescent="0.25">
      <c r="A15" s="98">
        <f t="shared" si="4"/>
        <v>22.941094419696348</v>
      </c>
      <c r="B15" s="35">
        <f t="shared" si="0"/>
        <v>10</v>
      </c>
      <c r="C15" s="25" t="s">
        <v>95</v>
      </c>
      <c r="D15" s="25"/>
      <c r="E15" s="25"/>
      <c r="F15" s="25"/>
      <c r="G15" s="8"/>
      <c r="H15" s="99">
        <v>10</v>
      </c>
      <c r="I15" s="100">
        <f t="shared" si="1"/>
        <v>12.941094419696348</v>
      </c>
      <c r="J15" s="99">
        <f t="shared" si="5"/>
        <v>1</v>
      </c>
      <c r="K15" s="99">
        <f t="shared" si="2"/>
        <v>10</v>
      </c>
      <c r="L15" s="99"/>
      <c r="M15" s="101">
        <f t="shared" si="3"/>
        <v>22.941094419696348</v>
      </c>
      <c r="X15" s="102"/>
      <c r="Z15" s="103"/>
      <c r="AA15" s="103"/>
    </row>
    <row r="16" spans="1:36" x14ac:dyDescent="0.25">
      <c r="A16" s="94">
        <f t="shared" si="4"/>
        <v>21.407126808702444</v>
      </c>
      <c r="B16" s="36">
        <f t="shared" si="0"/>
        <v>11</v>
      </c>
      <c r="C16" s="24" t="s">
        <v>27</v>
      </c>
      <c r="D16" s="24"/>
      <c r="E16" s="24"/>
      <c r="F16" s="24"/>
      <c r="G16" s="8"/>
      <c r="H16" s="95">
        <v>11</v>
      </c>
      <c r="I16" s="96">
        <f t="shared" si="1"/>
        <v>11.407126808702444</v>
      </c>
      <c r="J16" s="95">
        <f t="shared" si="5"/>
        <v>1</v>
      </c>
      <c r="K16" s="95">
        <f t="shared" si="2"/>
        <v>10</v>
      </c>
      <c r="L16" s="95"/>
      <c r="M16" s="97">
        <f t="shared" si="3"/>
        <v>21.407126808702444</v>
      </c>
      <c r="R16" s="107"/>
      <c r="Z16" s="103"/>
      <c r="AA16" s="103"/>
      <c r="AH16" s="108" t="s">
        <v>104</v>
      </c>
      <c r="AI16" s="85">
        <f>AI11-AI12*AI13/AI14</f>
        <v>9.6393909380186855</v>
      </c>
      <c r="AJ16" s="85" t="s">
        <v>105</v>
      </c>
    </row>
    <row r="17" spans="1:19" x14ac:dyDescent="0.25">
      <c r="A17" s="98">
        <f t="shared" si="4"/>
        <v>20.006724098686625</v>
      </c>
      <c r="B17" s="35">
        <f t="shared" si="0"/>
        <v>12</v>
      </c>
      <c r="C17" s="25" t="s">
        <v>69</v>
      </c>
      <c r="D17" s="25"/>
      <c r="E17" s="25"/>
      <c r="F17" s="25"/>
      <c r="G17" s="8"/>
      <c r="H17" s="99">
        <v>12</v>
      </c>
      <c r="I17" s="100">
        <f t="shared" si="1"/>
        <v>10.006724098686625</v>
      </c>
      <c r="J17" s="99">
        <f t="shared" si="5"/>
        <v>1</v>
      </c>
      <c r="K17" s="99">
        <f t="shared" si="2"/>
        <v>10</v>
      </c>
      <c r="L17" s="99"/>
      <c r="M17" s="101">
        <f t="shared" si="3"/>
        <v>20.006724098686625</v>
      </c>
    </row>
    <row r="18" spans="1:19" x14ac:dyDescent="0.25">
      <c r="A18" s="94">
        <f t="shared" si="4"/>
        <v>18.718478485054014</v>
      </c>
      <c r="B18" s="36">
        <f t="shared" si="0"/>
        <v>13</v>
      </c>
      <c r="C18" s="24" t="s">
        <v>95</v>
      </c>
      <c r="D18" s="24"/>
      <c r="E18" s="24"/>
      <c r="F18" s="24"/>
      <c r="G18" s="8"/>
      <c r="H18" s="95">
        <v>13</v>
      </c>
      <c r="I18" s="96">
        <f t="shared" si="1"/>
        <v>8.718478485054014</v>
      </c>
      <c r="J18" s="95">
        <f t="shared" si="5"/>
        <v>1</v>
      </c>
      <c r="K18" s="95">
        <f t="shared" si="2"/>
        <v>10</v>
      </c>
      <c r="L18" s="95"/>
      <c r="M18" s="97">
        <f t="shared" si="3"/>
        <v>18.718478485054014</v>
      </c>
    </row>
    <row r="19" spans="1:19" x14ac:dyDescent="0.25">
      <c r="A19" s="98">
        <f t="shared" si="4"/>
        <v>17.525749342861289</v>
      </c>
      <c r="B19" s="35">
        <f t="shared" si="0"/>
        <v>14</v>
      </c>
      <c r="C19" s="25" t="s">
        <v>31</v>
      </c>
      <c r="D19" s="25"/>
      <c r="E19" s="25"/>
      <c r="F19" s="25"/>
      <c r="G19" s="8"/>
      <c r="H19" s="99">
        <v>14</v>
      </c>
      <c r="I19" s="100">
        <f t="shared" si="1"/>
        <v>7.5257493428612889</v>
      </c>
      <c r="J19" s="99">
        <f t="shared" si="5"/>
        <v>1</v>
      </c>
      <c r="K19" s="99">
        <f t="shared" si="2"/>
        <v>10</v>
      </c>
      <c r="L19" s="99"/>
      <c r="M19" s="101">
        <f t="shared" si="3"/>
        <v>17.525749342861289</v>
      </c>
    </row>
    <row r="20" spans="1:19" x14ac:dyDescent="0.25">
      <c r="A20" s="94">
        <f t="shared" si="4"/>
        <v>16.41534507683506</v>
      </c>
      <c r="B20" s="36">
        <f t="shared" si="0"/>
        <v>15</v>
      </c>
      <c r="C20" s="24" t="s">
        <v>29</v>
      </c>
      <c r="D20" s="24"/>
      <c r="E20" s="24"/>
      <c r="F20" s="24"/>
      <c r="G20" s="8"/>
      <c r="H20" s="95">
        <v>15</v>
      </c>
      <c r="I20" s="96">
        <f t="shared" si="1"/>
        <v>6.4153450768350595</v>
      </c>
      <c r="J20" s="95">
        <f t="shared" si="5"/>
        <v>1</v>
      </c>
      <c r="K20" s="95">
        <f t="shared" si="2"/>
        <v>10</v>
      </c>
      <c r="L20" s="95"/>
      <c r="M20" s="97">
        <f t="shared" si="3"/>
        <v>16.41534507683506</v>
      </c>
      <c r="R20" s="109"/>
      <c r="S20" s="110"/>
    </row>
    <row r="21" spans="1:19" x14ac:dyDescent="0.25">
      <c r="A21" s="98">
        <f t="shared" si="4"/>
        <v>15.376631255397214</v>
      </c>
      <c r="B21" s="35">
        <f t="shared" si="0"/>
        <v>16</v>
      </c>
      <c r="C21" s="25" t="s">
        <v>95</v>
      </c>
      <c r="D21" s="25"/>
      <c r="E21" s="25"/>
      <c r="F21" s="25"/>
      <c r="G21" s="8"/>
      <c r="H21" s="99">
        <v>16</v>
      </c>
      <c r="I21" s="100">
        <f t="shared" si="1"/>
        <v>5.3766312553972142</v>
      </c>
      <c r="J21" s="99">
        <f t="shared" si="5"/>
        <v>1</v>
      </c>
      <c r="K21" s="99">
        <f t="shared" si="2"/>
        <v>10</v>
      </c>
      <c r="L21" s="99"/>
      <c r="M21" s="101">
        <f t="shared" si="3"/>
        <v>15.376631255397214</v>
      </c>
    </row>
    <row r="22" spans="1:19" x14ac:dyDescent="0.25">
      <c r="A22" s="94">
        <f t="shared" si="4"/>
        <v>4.4009096012560747</v>
      </c>
      <c r="B22" s="36">
        <f t="shared" si="0"/>
        <v>17</v>
      </c>
      <c r="C22" s="24" t="s">
        <v>30</v>
      </c>
      <c r="D22" s="24"/>
      <c r="E22" s="24"/>
      <c r="F22" s="24"/>
      <c r="G22" s="8"/>
      <c r="H22" s="95">
        <v>17</v>
      </c>
      <c r="I22" s="96">
        <f t="shared" si="1"/>
        <v>4.4009096012560747</v>
      </c>
      <c r="J22" s="95">
        <f t="shared" si="5"/>
        <v>0</v>
      </c>
      <c r="K22" s="95">
        <f t="shared" si="2"/>
        <v>0</v>
      </c>
      <c r="L22" s="95"/>
      <c r="M22" s="97">
        <f t="shared" si="3"/>
        <v>4.4009096012560747</v>
      </c>
    </row>
    <row r="23" spans="1:19" x14ac:dyDescent="0.25">
      <c r="A23" s="98">
        <f t="shared" si="4"/>
        <v>3.4809747558253505</v>
      </c>
      <c r="B23" s="35">
        <f t="shared" si="0"/>
        <v>18</v>
      </c>
      <c r="C23" s="25" t="s">
        <v>26</v>
      </c>
      <c r="D23" s="25"/>
      <c r="E23" s="25"/>
      <c r="F23" s="25"/>
      <c r="G23" s="8"/>
      <c r="H23" s="99">
        <v>18</v>
      </c>
      <c r="I23" s="100">
        <f t="shared" si="1"/>
        <v>3.4809747558253505</v>
      </c>
      <c r="J23" s="99">
        <f t="shared" si="5"/>
        <v>0</v>
      </c>
      <c r="K23" s="99">
        <f t="shared" si="2"/>
        <v>0</v>
      </c>
      <c r="L23" s="99"/>
      <c r="M23" s="101">
        <f t="shared" si="3"/>
        <v>3.4809747558253505</v>
      </c>
    </row>
    <row r="24" spans="1:19" x14ac:dyDescent="0.25">
      <c r="A24" s="94">
        <f t="shared" si="4"/>
        <v>2.6107910418158227</v>
      </c>
      <c r="B24" s="36">
        <f t="shared" si="0"/>
        <v>19</v>
      </c>
      <c r="C24" s="24" t="s">
        <v>33</v>
      </c>
      <c r="D24" s="24"/>
      <c r="E24" s="24"/>
      <c r="F24" s="24"/>
      <c r="G24" s="8"/>
      <c r="H24" s="95">
        <v>19</v>
      </c>
      <c r="I24" s="96">
        <f t="shared" si="1"/>
        <v>2.6107910418158227</v>
      </c>
      <c r="J24" s="95">
        <f t="shared" si="5"/>
        <v>0</v>
      </c>
      <c r="K24" s="95">
        <f t="shared" si="2"/>
        <v>0</v>
      </c>
      <c r="L24" s="95"/>
      <c r="M24" s="97">
        <f t="shared" si="3"/>
        <v>2.6107910418158227</v>
      </c>
      <c r="R24" s="109"/>
      <c r="S24" s="110"/>
    </row>
    <row r="25" spans="1:19" x14ac:dyDescent="0.25">
      <c r="A25" s="98">
        <f t="shared" si="4"/>
        <v>1.7852522335456484</v>
      </c>
      <c r="B25" s="35">
        <f t="shared" si="0"/>
        <v>20</v>
      </c>
      <c r="C25" s="25" t="s">
        <v>28</v>
      </c>
      <c r="D25" s="25"/>
      <c r="E25" s="25"/>
      <c r="F25" s="25"/>
      <c r="G25" s="8"/>
      <c r="H25" s="99">
        <v>20</v>
      </c>
      <c r="I25" s="100">
        <f t="shared" si="1"/>
        <v>1.7852522335456484</v>
      </c>
      <c r="J25" s="99">
        <f t="shared" si="5"/>
        <v>0</v>
      </c>
      <c r="K25" s="99">
        <f t="shared" si="2"/>
        <v>0</v>
      </c>
      <c r="L25" s="99"/>
      <c r="M25" s="101">
        <f t="shared" si="3"/>
        <v>1.7852522335456484</v>
      </c>
    </row>
    <row r="26" spans="1:19" x14ac:dyDescent="0.25">
      <c r="A26" s="94">
        <f t="shared" si="4"/>
        <v>1</v>
      </c>
      <c r="B26" s="36">
        <f t="shared" si="0"/>
        <v>21</v>
      </c>
      <c r="C26" s="24" t="s">
        <v>95</v>
      </c>
      <c r="D26" s="24"/>
      <c r="E26" s="24"/>
      <c r="F26" s="24"/>
      <c r="G26" s="8"/>
      <c r="H26" s="95">
        <v>21</v>
      </c>
      <c r="I26" s="96">
        <f t="shared" si="1"/>
        <v>1</v>
      </c>
      <c r="J26" s="95">
        <f t="shared" si="5"/>
        <v>0</v>
      </c>
      <c r="K26" s="95">
        <f t="shared" si="2"/>
        <v>0</v>
      </c>
      <c r="L26" s="95"/>
      <c r="M26" s="97">
        <f t="shared" si="3"/>
        <v>1</v>
      </c>
    </row>
    <row r="27" spans="1:19" x14ac:dyDescent="0.25">
      <c r="A27" s="98">
        <f t="shared" si="4"/>
        <v>0</v>
      </c>
      <c r="B27" s="35" t="str">
        <f t="shared" si="0"/>
        <v/>
      </c>
      <c r="C27" s="25"/>
      <c r="D27" s="25"/>
      <c r="E27" s="25"/>
      <c r="F27" s="25"/>
      <c r="G27" s="8"/>
      <c r="H27" s="99">
        <v>22</v>
      </c>
      <c r="I27" s="100" t="str">
        <f t="shared" si="1"/>
        <v/>
      </c>
      <c r="J27" s="99">
        <f t="shared" si="5"/>
        <v>0</v>
      </c>
      <c r="K27" s="99">
        <f t="shared" si="2"/>
        <v>0</v>
      </c>
      <c r="L27" s="99"/>
      <c r="M27" s="101">
        <f t="shared" si="3"/>
        <v>0</v>
      </c>
    </row>
    <row r="28" spans="1:19" x14ac:dyDescent="0.25">
      <c r="A28" s="94">
        <f t="shared" si="4"/>
        <v>0</v>
      </c>
      <c r="B28" s="36" t="str">
        <f t="shared" si="0"/>
        <v/>
      </c>
      <c r="C28" s="24"/>
      <c r="D28" s="24"/>
      <c r="E28" s="24"/>
      <c r="F28" s="24"/>
      <c r="G28" s="8"/>
      <c r="H28" s="95">
        <v>23</v>
      </c>
      <c r="I28" s="96" t="str">
        <f t="shared" si="1"/>
        <v/>
      </c>
      <c r="J28" s="95">
        <f t="shared" si="5"/>
        <v>0</v>
      </c>
      <c r="K28" s="95">
        <f t="shared" si="2"/>
        <v>0</v>
      </c>
      <c r="L28" s="95"/>
      <c r="M28" s="97">
        <f t="shared" si="3"/>
        <v>0</v>
      </c>
      <c r="R28" s="109"/>
      <c r="S28" s="110"/>
    </row>
    <row r="29" spans="1:19" x14ac:dyDescent="0.25">
      <c r="A29" s="216">
        <v>18.647325789009237</v>
      </c>
      <c r="B29" s="214" t="s">
        <v>135</v>
      </c>
      <c r="C29" s="215" t="s">
        <v>23</v>
      </c>
      <c r="D29" s="215"/>
      <c r="E29" s="25"/>
      <c r="F29" s="25"/>
      <c r="G29" s="80"/>
      <c r="H29" s="99">
        <v>24</v>
      </c>
      <c r="I29" s="100" t="str">
        <f t="shared" si="1"/>
        <v/>
      </c>
      <c r="J29" s="99">
        <f t="shared" si="5"/>
        <v>0</v>
      </c>
      <c r="K29" s="99">
        <f t="shared" si="2"/>
        <v>0</v>
      </c>
      <c r="L29" s="99"/>
      <c r="M29" s="101">
        <f t="shared" si="3"/>
        <v>0</v>
      </c>
    </row>
    <row r="30" spans="1:19" x14ac:dyDescent="0.25">
      <c r="A30" s="94">
        <f t="shared" si="4"/>
        <v>0</v>
      </c>
      <c r="B30" s="36" t="str">
        <f t="shared" si="0"/>
        <v/>
      </c>
      <c r="C30" s="24"/>
      <c r="D30" s="24"/>
      <c r="E30" s="24"/>
      <c r="F30" s="24"/>
      <c r="G30" s="80"/>
      <c r="H30" s="95">
        <v>25</v>
      </c>
      <c r="I30" s="96" t="str">
        <f t="shared" si="1"/>
        <v/>
      </c>
      <c r="J30" s="95">
        <f t="shared" si="5"/>
        <v>0</v>
      </c>
      <c r="K30" s="95">
        <f t="shared" si="2"/>
        <v>0</v>
      </c>
      <c r="L30" s="95"/>
      <c r="M30" s="97">
        <f t="shared" si="3"/>
        <v>0</v>
      </c>
    </row>
    <row r="31" spans="1:19" x14ac:dyDescent="0.25">
      <c r="A31" s="98">
        <f t="shared" si="4"/>
        <v>0</v>
      </c>
      <c r="B31" s="35" t="str">
        <f t="shared" si="0"/>
        <v/>
      </c>
      <c r="C31" s="25"/>
      <c r="D31" s="25"/>
      <c r="E31" s="25"/>
      <c r="F31" s="25"/>
      <c r="G31" s="80"/>
      <c r="H31" s="99">
        <v>26</v>
      </c>
      <c r="I31" s="100" t="str">
        <f t="shared" si="1"/>
        <v/>
      </c>
      <c r="J31" s="99">
        <f t="shared" si="5"/>
        <v>0</v>
      </c>
      <c r="K31" s="99">
        <f t="shared" si="2"/>
        <v>0</v>
      </c>
      <c r="L31" s="99"/>
      <c r="M31" s="101">
        <f t="shared" si="3"/>
        <v>0</v>
      </c>
    </row>
    <row r="32" spans="1:19" x14ac:dyDescent="0.25">
      <c r="A32" s="94">
        <f t="shared" si="4"/>
        <v>0</v>
      </c>
      <c r="B32" s="36" t="str">
        <f t="shared" si="0"/>
        <v/>
      </c>
      <c r="C32" s="24"/>
      <c r="D32" s="24"/>
      <c r="E32" s="24"/>
      <c r="F32" s="24"/>
      <c r="G32" s="80"/>
      <c r="H32" s="95">
        <v>27</v>
      </c>
      <c r="I32" s="96" t="str">
        <f t="shared" si="1"/>
        <v/>
      </c>
      <c r="J32" s="95">
        <f t="shared" si="5"/>
        <v>0</v>
      </c>
      <c r="K32" s="95">
        <f t="shared" si="2"/>
        <v>0</v>
      </c>
      <c r="L32" s="95"/>
      <c r="M32" s="97">
        <f t="shared" si="3"/>
        <v>0</v>
      </c>
      <c r="R32" s="109"/>
      <c r="S32" s="110"/>
    </row>
    <row r="33" spans="1:21" x14ac:dyDescent="0.25">
      <c r="A33" s="98">
        <f t="shared" si="4"/>
        <v>0</v>
      </c>
      <c r="B33" s="35" t="str">
        <f t="shared" si="0"/>
        <v/>
      </c>
      <c r="C33" s="25"/>
      <c r="D33" s="25"/>
      <c r="E33" s="25"/>
      <c r="F33" s="25"/>
      <c r="G33" s="80"/>
      <c r="H33" s="99">
        <v>28</v>
      </c>
      <c r="I33" s="100" t="str">
        <f t="shared" si="1"/>
        <v/>
      </c>
      <c r="J33" s="99">
        <f t="shared" si="5"/>
        <v>0</v>
      </c>
      <c r="K33" s="99">
        <f t="shared" si="2"/>
        <v>0</v>
      </c>
      <c r="L33" s="99"/>
      <c r="M33" s="101">
        <f t="shared" si="3"/>
        <v>0</v>
      </c>
    </row>
    <row r="34" spans="1:21" x14ac:dyDescent="0.25">
      <c r="A34" s="94">
        <f t="shared" si="4"/>
        <v>0</v>
      </c>
      <c r="B34" s="36" t="str">
        <f t="shared" si="0"/>
        <v/>
      </c>
      <c r="C34" s="24"/>
      <c r="D34" s="24"/>
      <c r="E34" s="24"/>
      <c r="F34" s="24"/>
      <c r="G34" s="80"/>
      <c r="H34" s="95">
        <v>29</v>
      </c>
      <c r="I34" s="96" t="str">
        <f t="shared" si="1"/>
        <v/>
      </c>
      <c r="J34" s="95">
        <f t="shared" si="5"/>
        <v>0</v>
      </c>
      <c r="K34" s="95">
        <f t="shared" si="2"/>
        <v>0</v>
      </c>
      <c r="L34" s="95"/>
      <c r="M34" s="97">
        <f t="shared" si="3"/>
        <v>0</v>
      </c>
    </row>
    <row r="35" spans="1:21" x14ac:dyDescent="0.25">
      <c r="A35" s="98">
        <f t="shared" si="4"/>
        <v>0</v>
      </c>
      <c r="B35" s="35" t="str">
        <f t="shared" si="0"/>
        <v/>
      </c>
      <c r="C35" s="25"/>
      <c r="D35" s="25"/>
      <c r="E35" s="25"/>
      <c r="F35" s="25"/>
      <c r="G35" s="80"/>
      <c r="H35" s="99">
        <v>30</v>
      </c>
      <c r="I35" s="100" t="str">
        <f t="shared" si="1"/>
        <v/>
      </c>
      <c r="J35" s="99">
        <f t="shared" si="5"/>
        <v>0</v>
      </c>
      <c r="K35" s="99">
        <f t="shared" si="2"/>
        <v>0</v>
      </c>
      <c r="L35" s="99"/>
      <c r="M35" s="101">
        <f t="shared" si="3"/>
        <v>0</v>
      </c>
    </row>
    <row r="36" spans="1:21" x14ac:dyDescent="0.25">
      <c r="A36" s="94">
        <f t="shared" si="4"/>
        <v>0</v>
      </c>
      <c r="B36" s="36" t="str">
        <f t="shared" si="0"/>
        <v/>
      </c>
      <c r="C36" s="24"/>
      <c r="D36" s="24"/>
      <c r="E36" s="24"/>
      <c r="F36" s="24"/>
      <c r="G36" s="80"/>
      <c r="H36" s="95">
        <v>31</v>
      </c>
      <c r="I36" s="96" t="str">
        <f t="shared" si="1"/>
        <v/>
      </c>
      <c r="J36" s="95">
        <f t="shared" si="5"/>
        <v>0</v>
      </c>
      <c r="K36" s="95">
        <f t="shared" si="2"/>
        <v>0</v>
      </c>
      <c r="L36" s="95"/>
      <c r="M36" s="97">
        <f t="shared" si="3"/>
        <v>0</v>
      </c>
      <c r="R36" s="109"/>
      <c r="S36" s="110"/>
    </row>
    <row r="37" spans="1:21" x14ac:dyDescent="0.25">
      <c r="A37" s="98">
        <f t="shared" si="4"/>
        <v>0</v>
      </c>
      <c r="B37" s="35" t="str">
        <f t="shared" si="0"/>
        <v/>
      </c>
      <c r="C37" s="25"/>
      <c r="D37" s="25"/>
      <c r="E37" s="25"/>
      <c r="F37" s="25"/>
      <c r="G37" s="80"/>
      <c r="H37" s="99">
        <v>32</v>
      </c>
      <c r="I37" s="100" t="str">
        <f t="shared" si="1"/>
        <v/>
      </c>
      <c r="J37" s="99">
        <f t="shared" si="5"/>
        <v>0</v>
      </c>
      <c r="K37" s="99">
        <f t="shared" si="2"/>
        <v>0</v>
      </c>
      <c r="L37" s="99"/>
      <c r="M37" s="101">
        <f t="shared" si="3"/>
        <v>0</v>
      </c>
    </row>
    <row r="38" spans="1:21" x14ac:dyDescent="0.25">
      <c r="A38" s="94"/>
      <c r="B38" s="36" t="str">
        <f t="shared" si="0"/>
        <v/>
      </c>
      <c r="C38" s="24"/>
      <c r="D38" s="24"/>
      <c r="E38" s="24"/>
      <c r="F38" s="24"/>
      <c r="G38" s="80"/>
      <c r="H38" s="95">
        <v>33</v>
      </c>
      <c r="I38" s="96" t="str">
        <f t="shared" si="1"/>
        <v/>
      </c>
      <c r="J38" s="95">
        <f t="shared" si="5"/>
        <v>-1</v>
      </c>
      <c r="K38" s="95">
        <f t="shared" si="2"/>
        <v>-10</v>
      </c>
      <c r="L38" s="95"/>
      <c r="M38" s="97">
        <f t="shared" si="3"/>
        <v>0</v>
      </c>
    </row>
    <row r="39" spans="1:21" x14ac:dyDescent="0.25">
      <c r="A39" s="98"/>
      <c r="B39" s="35" t="str">
        <f t="shared" si="0"/>
        <v/>
      </c>
      <c r="C39" s="25"/>
      <c r="D39" s="25"/>
      <c r="E39" s="25"/>
      <c r="F39" s="25"/>
      <c r="G39" s="80"/>
      <c r="H39" s="99">
        <v>34</v>
      </c>
      <c r="I39" s="100" t="str">
        <f t="shared" si="1"/>
        <v/>
      </c>
      <c r="J39" s="99">
        <f t="shared" si="5"/>
        <v>-1</v>
      </c>
      <c r="K39" s="99">
        <f t="shared" si="2"/>
        <v>-10</v>
      </c>
      <c r="L39" s="99"/>
      <c r="M39" s="101">
        <f t="shared" si="3"/>
        <v>0</v>
      </c>
    </row>
    <row r="40" spans="1:21" x14ac:dyDescent="0.25">
      <c r="A40" s="94"/>
      <c r="B40" s="36" t="str">
        <f t="shared" si="0"/>
        <v/>
      </c>
      <c r="C40" s="24"/>
      <c r="D40" s="24"/>
      <c r="E40" s="24"/>
      <c r="F40" s="24"/>
      <c r="G40" s="80"/>
      <c r="H40" s="95">
        <v>35</v>
      </c>
      <c r="I40" s="96" t="str">
        <f t="shared" si="1"/>
        <v/>
      </c>
      <c r="J40" s="95">
        <f t="shared" si="5"/>
        <v>-1</v>
      </c>
      <c r="K40" s="95">
        <f t="shared" si="2"/>
        <v>-10</v>
      </c>
      <c r="L40" s="95"/>
      <c r="M40" s="97">
        <f t="shared" si="3"/>
        <v>0</v>
      </c>
    </row>
    <row r="41" spans="1:21" x14ac:dyDescent="0.25">
      <c r="A41" s="98"/>
      <c r="B41" s="35" t="str">
        <f t="shared" si="0"/>
        <v/>
      </c>
      <c r="C41" s="25"/>
      <c r="D41" s="25"/>
      <c r="E41" s="25"/>
      <c r="F41" s="25"/>
      <c r="G41" s="80"/>
      <c r="H41" s="99">
        <v>36</v>
      </c>
      <c r="I41" s="100" t="str">
        <f t="shared" si="1"/>
        <v/>
      </c>
      <c r="J41" s="99">
        <f t="shared" si="5"/>
        <v>-1</v>
      </c>
      <c r="K41" s="99">
        <f t="shared" si="2"/>
        <v>-10</v>
      </c>
      <c r="L41" s="99"/>
      <c r="M41" s="101">
        <f t="shared" si="3"/>
        <v>0</v>
      </c>
      <c r="S41" s="111"/>
    </row>
    <row r="42" spans="1:21" x14ac:dyDescent="0.25">
      <c r="A42" s="94"/>
      <c r="B42" s="36" t="str">
        <f t="shared" si="0"/>
        <v/>
      </c>
      <c r="C42" s="24"/>
      <c r="D42" s="24"/>
      <c r="E42" s="24"/>
      <c r="F42" s="24"/>
      <c r="G42" s="80"/>
      <c r="H42" s="95">
        <v>37</v>
      </c>
      <c r="I42" s="96" t="str">
        <f t="shared" si="1"/>
        <v/>
      </c>
      <c r="J42" s="95">
        <f t="shared" si="5"/>
        <v>-1</v>
      </c>
      <c r="K42" s="95">
        <f t="shared" si="2"/>
        <v>-10</v>
      </c>
      <c r="L42" s="95"/>
      <c r="M42" s="97">
        <f t="shared" si="3"/>
        <v>0</v>
      </c>
    </row>
    <row r="43" spans="1:21" x14ac:dyDescent="0.25">
      <c r="A43" s="98"/>
      <c r="B43" s="35" t="str">
        <f t="shared" si="0"/>
        <v/>
      </c>
      <c r="C43" s="25"/>
      <c r="D43" s="25"/>
      <c r="E43" s="25"/>
      <c r="F43" s="25"/>
      <c r="G43" s="80"/>
      <c r="H43" s="99">
        <v>38</v>
      </c>
      <c r="I43" s="100" t="str">
        <f t="shared" si="1"/>
        <v/>
      </c>
      <c r="J43" s="99">
        <f t="shared" si="5"/>
        <v>-1</v>
      </c>
      <c r="K43" s="99">
        <f t="shared" si="2"/>
        <v>-10</v>
      </c>
      <c r="L43" s="99"/>
      <c r="M43" s="101">
        <f t="shared" si="3"/>
        <v>0</v>
      </c>
    </row>
    <row r="44" spans="1:21" x14ac:dyDescent="0.25">
      <c r="A44" s="94"/>
      <c r="B44" s="36" t="str">
        <f t="shared" si="0"/>
        <v/>
      </c>
      <c r="C44" s="24"/>
      <c r="D44" s="24"/>
      <c r="E44" s="24"/>
      <c r="F44" s="24"/>
      <c r="G44" s="80"/>
      <c r="H44" s="95">
        <v>39</v>
      </c>
      <c r="I44" s="96" t="str">
        <f t="shared" si="1"/>
        <v/>
      </c>
      <c r="J44" s="95">
        <f t="shared" si="5"/>
        <v>-1</v>
      </c>
      <c r="K44" s="95">
        <f t="shared" si="2"/>
        <v>-10</v>
      </c>
      <c r="L44" s="95"/>
      <c r="M44" s="97">
        <f t="shared" si="3"/>
        <v>0</v>
      </c>
    </row>
    <row r="45" spans="1:21" x14ac:dyDescent="0.25">
      <c r="A45" s="98"/>
      <c r="B45" s="35" t="str">
        <f t="shared" si="0"/>
        <v/>
      </c>
      <c r="C45" s="25"/>
      <c r="D45" s="25"/>
      <c r="E45" s="25"/>
      <c r="F45" s="25"/>
      <c r="G45" s="80"/>
      <c r="H45" s="99">
        <v>40</v>
      </c>
      <c r="I45" s="100" t="str">
        <f t="shared" si="1"/>
        <v/>
      </c>
      <c r="J45" s="99">
        <f t="shared" si="5"/>
        <v>-1</v>
      </c>
      <c r="K45" s="99">
        <f t="shared" si="2"/>
        <v>-10</v>
      </c>
      <c r="L45" s="99"/>
      <c r="M45" s="101">
        <f t="shared" si="3"/>
        <v>0</v>
      </c>
    </row>
    <row r="46" spans="1:21" x14ac:dyDescent="0.25">
      <c r="A46" s="94"/>
      <c r="B46" s="36" t="str">
        <f t="shared" si="0"/>
        <v/>
      </c>
      <c r="C46" s="24"/>
      <c r="D46" s="24"/>
      <c r="E46" s="24"/>
      <c r="F46" s="24"/>
      <c r="G46" s="80"/>
      <c r="H46" s="95">
        <v>41</v>
      </c>
      <c r="I46" s="96" t="str">
        <f t="shared" si="1"/>
        <v/>
      </c>
      <c r="J46" s="95">
        <f t="shared" si="5"/>
        <v>-1</v>
      </c>
      <c r="K46" s="95">
        <f t="shared" si="2"/>
        <v>-10</v>
      </c>
      <c r="L46" s="95"/>
      <c r="M46" s="97">
        <f t="shared" si="3"/>
        <v>0</v>
      </c>
      <c r="R46" s="80">
        <f>LOG($H$2,2)</f>
        <v>4.3923174227787607</v>
      </c>
      <c r="T46" s="85">
        <f>LOG(H38,2)</f>
        <v>5.0443941193584534</v>
      </c>
      <c r="U46" s="85">
        <f>R46-T46</f>
        <v>-0.65207669657969269</v>
      </c>
    </row>
    <row r="47" spans="1:21" x14ac:dyDescent="0.25">
      <c r="A47" s="98"/>
      <c r="B47" s="35" t="str">
        <f t="shared" si="0"/>
        <v/>
      </c>
      <c r="C47" s="25"/>
      <c r="D47" s="25"/>
      <c r="E47" s="25"/>
      <c r="F47" s="25"/>
      <c r="G47" s="80"/>
      <c r="H47" s="99">
        <v>42</v>
      </c>
      <c r="I47" s="100" t="str">
        <f t="shared" si="1"/>
        <v/>
      </c>
      <c r="J47" s="99">
        <f t="shared" si="5"/>
        <v>-1</v>
      </c>
      <c r="K47" s="99">
        <f t="shared" si="2"/>
        <v>-10</v>
      </c>
      <c r="L47" s="99"/>
      <c r="M47" s="101">
        <f t="shared" si="3"/>
        <v>0</v>
      </c>
    </row>
    <row r="48" spans="1:21" x14ac:dyDescent="0.25">
      <c r="A48" s="94"/>
      <c r="B48" s="36" t="str">
        <f t="shared" si="0"/>
        <v/>
      </c>
      <c r="C48" s="24"/>
      <c r="D48" s="24"/>
      <c r="E48" s="24"/>
      <c r="F48" s="24"/>
      <c r="G48" s="80"/>
      <c r="H48" s="95">
        <v>43</v>
      </c>
      <c r="I48" s="96" t="str">
        <f t="shared" si="1"/>
        <v/>
      </c>
      <c r="J48" s="95">
        <f t="shared" si="5"/>
        <v>-1</v>
      </c>
      <c r="K48" s="95">
        <f t="shared" si="2"/>
        <v>-10</v>
      </c>
      <c r="L48" s="95"/>
      <c r="M48" s="97">
        <f t="shared" si="3"/>
        <v>0</v>
      </c>
    </row>
    <row r="49" spans="1:13" x14ac:dyDescent="0.25">
      <c r="A49" s="98"/>
      <c r="B49" s="35" t="str">
        <f t="shared" si="0"/>
        <v/>
      </c>
      <c r="C49" s="25"/>
      <c r="D49" s="25"/>
      <c r="E49" s="25"/>
      <c r="F49" s="25"/>
      <c r="G49" s="80"/>
      <c r="H49" s="99">
        <v>44</v>
      </c>
      <c r="I49" s="100" t="str">
        <f t="shared" si="1"/>
        <v/>
      </c>
      <c r="J49" s="99">
        <f t="shared" si="5"/>
        <v>-1</v>
      </c>
      <c r="K49" s="99">
        <f t="shared" si="2"/>
        <v>-10</v>
      </c>
      <c r="L49" s="99"/>
      <c r="M49" s="101">
        <f t="shared" si="3"/>
        <v>0</v>
      </c>
    </row>
    <row r="50" spans="1:13" x14ac:dyDescent="0.25">
      <c r="A50" s="94"/>
      <c r="B50" s="36" t="str">
        <f t="shared" si="0"/>
        <v/>
      </c>
      <c r="C50" s="24"/>
      <c r="D50" s="24"/>
      <c r="E50" s="24"/>
      <c r="F50" s="24"/>
      <c r="G50" s="80"/>
      <c r="H50" s="95">
        <v>45</v>
      </c>
      <c r="I50" s="96" t="str">
        <f t="shared" si="1"/>
        <v/>
      </c>
      <c r="J50" s="95">
        <f t="shared" si="5"/>
        <v>-1</v>
      </c>
      <c r="K50" s="95">
        <f t="shared" si="2"/>
        <v>-10</v>
      </c>
      <c r="L50" s="95"/>
      <c r="M50" s="97">
        <f t="shared" si="3"/>
        <v>0</v>
      </c>
    </row>
    <row r="51" spans="1:13" x14ac:dyDescent="0.25">
      <c r="A51" s="98"/>
      <c r="B51" s="35" t="str">
        <f t="shared" si="0"/>
        <v/>
      </c>
      <c r="C51" s="25"/>
      <c r="D51" s="25"/>
      <c r="E51" s="25"/>
      <c r="F51" s="25"/>
      <c r="G51" s="80"/>
      <c r="H51" s="99">
        <v>46</v>
      </c>
      <c r="I51" s="100" t="str">
        <f t="shared" si="1"/>
        <v/>
      </c>
      <c r="J51" s="99">
        <f t="shared" si="5"/>
        <v>-1</v>
      </c>
      <c r="K51" s="99">
        <f t="shared" si="2"/>
        <v>-10</v>
      </c>
      <c r="L51" s="99"/>
      <c r="M51" s="101">
        <f t="shared" si="3"/>
        <v>0</v>
      </c>
    </row>
    <row r="52" spans="1:13" x14ac:dyDescent="0.25">
      <c r="A52" s="94"/>
      <c r="B52" s="36" t="str">
        <f t="shared" si="0"/>
        <v/>
      </c>
      <c r="C52" s="24"/>
      <c r="D52" s="24"/>
      <c r="E52" s="24"/>
      <c r="F52" s="24"/>
      <c r="G52" s="80"/>
      <c r="H52" s="95">
        <v>47</v>
      </c>
      <c r="I52" s="96" t="str">
        <f t="shared" si="1"/>
        <v/>
      </c>
      <c r="J52" s="95">
        <f t="shared" si="5"/>
        <v>-1</v>
      </c>
      <c r="K52" s="95">
        <f t="shared" si="2"/>
        <v>-10</v>
      </c>
      <c r="L52" s="95"/>
      <c r="M52" s="97">
        <f t="shared" si="3"/>
        <v>0</v>
      </c>
    </row>
    <row r="53" spans="1:13" x14ac:dyDescent="0.25">
      <c r="A53" s="98"/>
      <c r="B53" s="35" t="str">
        <f t="shared" si="0"/>
        <v/>
      </c>
      <c r="C53" s="25"/>
      <c r="D53" s="25"/>
      <c r="E53" s="25"/>
      <c r="F53" s="25"/>
      <c r="G53" s="80"/>
      <c r="H53" s="99">
        <v>48</v>
      </c>
      <c r="I53" s="100" t="str">
        <f t="shared" si="1"/>
        <v/>
      </c>
      <c r="J53" s="99">
        <f t="shared" si="5"/>
        <v>-1</v>
      </c>
      <c r="K53" s="99">
        <f t="shared" si="2"/>
        <v>-10</v>
      </c>
      <c r="L53" s="99"/>
      <c r="M53" s="101">
        <f t="shared" si="3"/>
        <v>0</v>
      </c>
    </row>
    <row r="54" spans="1:13" x14ac:dyDescent="0.25">
      <c r="A54" s="94"/>
      <c r="B54" s="36" t="str">
        <f t="shared" si="0"/>
        <v/>
      </c>
      <c r="C54" s="24"/>
      <c r="D54" s="24"/>
      <c r="E54" s="24"/>
      <c r="F54" s="24"/>
      <c r="G54" s="80"/>
      <c r="H54" s="95">
        <v>49</v>
      </c>
      <c r="I54" s="96" t="str">
        <f t="shared" si="1"/>
        <v/>
      </c>
      <c r="J54" s="95">
        <f t="shared" si="5"/>
        <v>-1</v>
      </c>
      <c r="K54" s="95">
        <f t="shared" si="2"/>
        <v>-10</v>
      </c>
      <c r="L54" s="95"/>
      <c r="M54" s="97">
        <f t="shared" si="3"/>
        <v>0</v>
      </c>
    </row>
    <row r="55" spans="1:13" x14ac:dyDescent="0.25">
      <c r="A55" s="98"/>
      <c r="B55" s="35" t="str">
        <f t="shared" si="0"/>
        <v/>
      </c>
      <c r="C55" s="25"/>
      <c r="D55" s="25"/>
      <c r="E55" s="25"/>
      <c r="F55" s="25"/>
      <c r="G55" s="80"/>
      <c r="H55" s="99">
        <v>50</v>
      </c>
      <c r="I55" s="100" t="str">
        <f t="shared" si="1"/>
        <v/>
      </c>
      <c r="J55" s="99">
        <f t="shared" si="5"/>
        <v>-1</v>
      </c>
      <c r="K55" s="99">
        <f t="shared" si="2"/>
        <v>-10</v>
      </c>
      <c r="L55" s="99"/>
      <c r="M55" s="101">
        <f t="shared" si="3"/>
        <v>0</v>
      </c>
    </row>
    <row r="56" spans="1:13" x14ac:dyDescent="0.25">
      <c r="A56" s="94"/>
      <c r="B56" s="36" t="str">
        <f t="shared" si="0"/>
        <v/>
      </c>
      <c r="C56" s="24"/>
      <c r="D56" s="24"/>
      <c r="E56" s="24"/>
      <c r="F56" s="24"/>
      <c r="G56" s="80"/>
      <c r="H56" s="95">
        <v>51</v>
      </c>
      <c r="I56" s="96" t="str">
        <f t="shared" si="1"/>
        <v/>
      </c>
      <c r="J56" s="95">
        <f t="shared" si="5"/>
        <v>-1</v>
      </c>
      <c r="K56" s="95">
        <f t="shared" si="2"/>
        <v>-10</v>
      </c>
      <c r="L56" s="95"/>
      <c r="M56" s="97">
        <f t="shared" si="3"/>
        <v>0</v>
      </c>
    </row>
    <row r="57" spans="1:13" x14ac:dyDescent="0.25">
      <c r="A57" s="98"/>
      <c r="B57" s="35" t="str">
        <f t="shared" si="0"/>
        <v/>
      </c>
      <c r="C57" s="25"/>
      <c r="D57" s="25"/>
      <c r="E57" s="25"/>
      <c r="F57" s="25"/>
      <c r="G57" s="80"/>
      <c r="H57" s="99">
        <v>52</v>
      </c>
      <c r="I57" s="100" t="str">
        <f t="shared" si="1"/>
        <v/>
      </c>
      <c r="J57" s="99">
        <f t="shared" si="5"/>
        <v>-1</v>
      </c>
      <c r="K57" s="99">
        <f t="shared" si="2"/>
        <v>-10</v>
      </c>
      <c r="L57" s="99"/>
      <c r="M57" s="101">
        <f t="shared" si="3"/>
        <v>0</v>
      </c>
    </row>
    <row r="58" spans="1:13" x14ac:dyDescent="0.25">
      <c r="A58" s="94"/>
      <c r="B58" s="36" t="str">
        <f t="shared" si="0"/>
        <v/>
      </c>
      <c r="C58" s="24"/>
      <c r="D58" s="24"/>
      <c r="E58" s="24"/>
      <c r="F58" s="24"/>
      <c r="G58" s="80"/>
      <c r="H58" s="95">
        <v>53</v>
      </c>
      <c r="I58" s="96" t="str">
        <f t="shared" si="1"/>
        <v/>
      </c>
      <c r="J58" s="95">
        <f t="shared" si="5"/>
        <v>-1</v>
      </c>
      <c r="K58" s="95">
        <f t="shared" si="2"/>
        <v>-10</v>
      </c>
      <c r="L58" s="95"/>
      <c r="M58" s="97">
        <f t="shared" si="3"/>
        <v>0</v>
      </c>
    </row>
    <row r="59" spans="1:13" x14ac:dyDescent="0.25">
      <c r="A59" s="98"/>
      <c r="B59" s="35" t="str">
        <f t="shared" si="0"/>
        <v/>
      </c>
      <c r="C59" s="25"/>
      <c r="D59" s="25"/>
      <c r="E59" s="25"/>
      <c r="F59" s="25"/>
      <c r="G59" s="80"/>
      <c r="H59" s="99">
        <v>54</v>
      </c>
      <c r="I59" s="100" t="str">
        <f t="shared" si="1"/>
        <v/>
      </c>
      <c r="J59" s="99">
        <f t="shared" si="5"/>
        <v>-1</v>
      </c>
      <c r="K59" s="99">
        <f t="shared" si="2"/>
        <v>-10</v>
      </c>
      <c r="L59" s="99"/>
      <c r="M59" s="101">
        <f t="shared" si="3"/>
        <v>0</v>
      </c>
    </row>
    <row r="60" spans="1:13" x14ac:dyDescent="0.25">
      <c r="A60" s="94"/>
      <c r="B60" s="36" t="str">
        <f t="shared" si="0"/>
        <v/>
      </c>
      <c r="C60" s="24"/>
      <c r="D60" s="24"/>
      <c r="E60" s="24"/>
      <c r="F60" s="24"/>
      <c r="G60" s="80"/>
      <c r="H60" s="95">
        <v>55</v>
      </c>
      <c r="I60" s="96" t="str">
        <f t="shared" si="1"/>
        <v/>
      </c>
      <c r="J60" s="95">
        <f t="shared" si="5"/>
        <v>-1</v>
      </c>
      <c r="K60" s="95">
        <f t="shared" si="2"/>
        <v>-10</v>
      </c>
      <c r="L60" s="95"/>
      <c r="M60" s="97">
        <f t="shared" si="3"/>
        <v>0</v>
      </c>
    </row>
    <row r="61" spans="1:13" x14ac:dyDescent="0.25">
      <c r="A61" s="98"/>
      <c r="B61" s="35" t="str">
        <f t="shared" si="0"/>
        <v/>
      </c>
      <c r="C61" s="25"/>
      <c r="D61" s="25"/>
      <c r="E61" s="25"/>
      <c r="F61" s="25"/>
      <c r="G61" s="80"/>
      <c r="H61" s="99">
        <v>56</v>
      </c>
      <c r="I61" s="100" t="str">
        <f t="shared" si="1"/>
        <v/>
      </c>
      <c r="J61" s="99">
        <f t="shared" si="5"/>
        <v>-1</v>
      </c>
      <c r="K61" s="99">
        <f t="shared" si="2"/>
        <v>-10</v>
      </c>
      <c r="L61" s="99"/>
      <c r="M61" s="101">
        <f t="shared" si="3"/>
        <v>0</v>
      </c>
    </row>
    <row r="62" spans="1:13" x14ac:dyDescent="0.25">
      <c r="A62" s="94"/>
      <c r="B62" s="36" t="str">
        <f t="shared" si="0"/>
        <v/>
      </c>
      <c r="C62" s="24"/>
      <c r="D62" s="24"/>
      <c r="E62" s="24"/>
      <c r="F62" s="24"/>
      <c r="G62" s="80"/>
      <c r="H62" s="95">
        <v>57</v>
      </c>
      <c r="I62" s="96" t="str">
        <f t="shared" si="1"/>
        <v/>
      </c>
      <c r="J62" s="95">
        <f t="shared" si="5"/>
        <v>-1</v>
      </c>
      <c r="K62" s="95">
        <f t="shared" si="2"/>
        <v>-10</v>
      </c>
      <c r="L62" s="95"/>
      <c r="M62" s="97">
        <f t="shared" si="3"/>
        <v>0</v>
      </c>
    </row>
    <row r="63" spans="1:13" x14ac:dyDescent="0.25">
      <c r="A63" s="98"/>
      <c r="B63" s="35" t="str">
        <f t="shared" si="0"/>
        <v/>
      </c>
      <c r="C63" s="25"/>
      <c r="D63" s="25"/>
      <c r="E63" s="25"/>
      <c r="F63" s="25"/>
      <c r="G63" s="80"/>
      <c r="H63" s="99">
        <v>58</v>
      </c>
      <c r="I63" s="100" t="str">
        <f t="shared" si="1"/>
        <v/>
      </c>
      <c r="J63" s="99">
        <f t="shared" si="5"/>
        <v>-1</v>
      </c>
      <c r="K63" s="99">
        <f t="shared" si="2"/>
        <v>-10</v>
      </c>
      <c r="L63" s="99"/>
      <c r="M63" s="101">
        <f t="shared" si="3"/>
        <v>0</v>
      </c>
    </row>
    <row r="64" spans="1:13" x14ac:dyDescent="0.25">
      <c r="A64" s="94"/>
      <c r="B64" s="36" t="str">
        <f t="shared" si="0"/>
        <v/>
      </c>
      <c r="C64" s="24"/>
      <c r="D64" s="24"/>
      <c r="E64" s="24"/>
      <c r="F64" s="24"/>
      <c r="G64" s="80"/>
      <c r="H64" s="95">
        <v>59</v>
      </c>
      <c r="I64" s="96" t="str">
        <f t="shared" si="1"/>
        <v/>
      </c>
      <c r="J64" s="95">
        <f t="shared" si="5"/>
        <v>-1</v>
      </c>
      <c r="K64" s="95">
        <f t="shared" si="2"/>
        <v>-10</v>
      </c>
      <c r="L64" s="95"/>
      <c r="M64" s="97">
        <f t="shared" si="3"/>
        <v>0</v>
      </c>
    </row>
    <row r="65" spans="1:13" x14ac:dyDescent="0.25">
      <c r="A65" s="98"/>
      <c r="B65" s="35" t="str">
        <f t="shared" si="0"/>
        <v/>
      </c>
      <c r="C65" s="25"/>
      <c r="D65" s="25"/>
      <c r="E65" s="25"/>
      <c r="F65" s="25"/>
      <c r="G65" s="80"/>
      <c r="H65" s="99">
        <v>60</v>
      </c>
      <c r="I65" s="100" t="str">
        <f t="shared" si="1"/>
        <v/>
      </c>
      <c r="J65" s="99">
        <f t="shared" si="5"/>
        <v>-1</v>
      </c>
      <c r="K65" s="99">
        <f t="shared" si="2"/>
        <v>-10</v>
      </c>
      <c r="L65" s="99"/>
      <c r="M65" s="101">
        <f t="shared" si="3"/>
        <v>0</v>
      </c>
    </row>
    <row r="66" spans="1:13" x14ac:dyDescent="0.25">
      <c r="A66" s="94"/>
      <c r="B66" s="36"/>
      <c r="G66" s="80"/>
      <c r="H66" s="95">
        <v>61</v>
      </c>
      <c r="I66" s="96" t="str">
        <f t="shared" si="1"/>
        <v/>
      </c>
      <c r="J66" s="95">
        <f t="shared" si="5"/>
        <v>-1</v>
      </c>
      <c r="K66" s="95">
        <f t="shared" si="2"/>
        <v>-10</v>
      </c>
      <c r="L66" s="95"/>
      <c r="M66" s="97">
        <f t="shared" si="3"/>
        <v>0</v>
      </c>
    </row>
    <row r="67" spans="1:13" x14ac:dyDescent="0.25">
      <c r="A67" s="98"/>
      <c r="B67" s="35"/>
      <c r="G67" s="80"/>
      <c r="H67" s="95">
        <v>62</v>
      </c>
      <c r="I67" s="96" t="str">
        <f t="shared" si="1"/>
        <v/>
      </c>
      <c r="J67" s="95">
        <f t="shared" si="5"/>
        <v>-1</v>
      </c>
      <c r="K67" s="95">
        <f t="shared" si="2"/>
        <v>-10</v>
      </c>
      <c r="L67" s="95"/>
      <c r="M67" s="97">
        <f t="shared" si="3"/>
        <v>0</v>
      </c>
    </row>
    <row r="68" spans="1:13" x14ac:dyDescent="0.25">
      <c r="A68" s="116"/>
      <c r="B68" s="36"/>
      <c r="G68" s="80"/>
      <c r="H68" s="95">
        <v>63</v>
      </c>
      <c r="I68" s="96" t="str">
        <f t="shared" si="1"/>
        <v/>
      </c>
      <c r="J68" s="95">
        <f t="shared" si="5"/>
        <v>-1</v>
      </c>
      <c r="K68" s="95">
        <f t="shared" si="2"/>
        <v>-10</v>
      </c>
      <c r="L68" s="95"/>
      <c r="M68" s="97">
        <f t="shared" si="3"/>
        <v>0</v>
      </c>
    </row>
    <row r="69" spans="1:13" x14ac:dyDescent="0.25">
      <c r="A69" s="116"/>
      <c r="B69" s="35"/>
      <c r="G69" s="80"/>
      <c r="H69" s="95">
        <v>64</v>
      </c>
      <c r="I69" s="96" t="str">
        <f t="shared" si="1"/>
        <v/>
      </c>
      <c r="J69" s="95">
        <f t="shared" si="5"/>
        <v>-1</v>
      </c>
      <c r="K69" s="95">
        <f t="shared" si="2"/>
        <v>-10</v>
      </c>
      <c r="L69" s="95"/>
      <c r="M69" s="97">
        <f t="shared" si="3"/>
        <v>0</v>
      </c>
    </row>
    <row r="70" spans="1:13" x14ac:dyDescent="0.25">
      <c r="A70" s="116"/>
      <c r="G70" s="80"/>
      <c r="H70" s="95">
        <v>65</v>
      </c>
      <c r="I70" s="96" t="str">
        <f t="shared" ref="I70:I133" si="6">IF(H70&lt;$H$2+1,($I$2-($I$2-1)*(LOG(H70)/LOG($H$2))),"")</f>
        <v/>
      </c>
      <c r="J70" s="95">
        <f t="shared" si="5"/>
        <v>-2</v>
      </c>
      <c r="K70" s="95">
        <f t="shared" ref="K70:K133" si="7">J70*$J$2</f>
        <v>-20</v>
      </c>
      <c r="L70" s="95"/>
      <c r="M70" s="97">
        <f t="shared" ref="M70:M133" si="8">IF(I70&lt;&gt;"",K70+I70+L70,0)</f>
        <v>0</v>
      </c>
    </row>
    <row r="71" spans="1:13" x14ac:dyDescent="0.25">
      <c r="A71" s="116"/>
      <c r="G71" s="80"/>
      <c r="H71" s="95">
        <v>66</v>
      </c>
      <c r="I71" s="96" t="str">
        <f t="shared" si="6"/>
        <v/>
      </c>
      <c r="J71" s="95">
        <f t="shared" si="5"/>
        <v>-2</v>
      </c>
      <c r="K71" s="95">
        <f t="shared" si="7"/>
        <v>-20</v>
      </c>
      <c r="L71" s="95"/>
      <c r="M71" s="97">
        <f t="shared" si="8"/>
        <v>0</v>
      </c>
    </row>
    <row r="72" spans="1:13" x14ac:dyDescent="0.25">
      <c r="A72" s="116"/>
      <c r="G72" s="80"/>
      <c r="H72" s="95">
        <v>67</v>
      </c>
      <c r="I72" s="96" t="str">
        <f t="shared" si="6"/>
        <v/>
      </c>
      <c r="J72" s="95">
        <f t="shared" si="5"/>
        <v>-2</v>
      </c>
      <c r="K72" s="95">
        <f t="shared" si="7"/>
        <v>-20</v>
      </c>
      <c r="L72" s="95"/>
      <c r="M72" s="97">
        <f t="shared" si="8"/>
        <v>0</v>
      </c>
    </row>
    <row r="73" spans="1:13" x14ac:dyDescent="0.25">
      <c r="A73" s="116"/>
      <c r="G73" s="80"/>
      <c r="H73" s="95">
        <v>68</v>
      </c>
      <c r="I73" s="96" t="str">
        <f t="shared" si="6"/>
        <v/>
      </c>
      <c r="J73" s="95">
        <f t="shared" si="5"/>
        <v>-2</v>
      </c>
      <c r="K73" s="95">
        <f t="shared" si="7"/>
        <v>-20</v>
      </c>
      <c r="L73" s="95"/>
      <c r="M73" s="97">
        <f t="shared" si="8"/>
        <v>0</v>
      </c>
    </row>
    <row r="74" spans="1:13" x14ac:dyDescent="0.25">
      <c r="A74" s="116"/>
      <c r="G74" s="80"/>
      <c r="H74" s="95">
        <v>69</v>
      </c>
      <c r="I74" s="96" t="str">
        <f t="shared" si="6"/>
        <v/>
      </c>
      <c r="J74" s="95">
        <f t="shared" ref="J74:J137" si="9">INT(LOG($H$2,2))-ROUNDUP(LOG(H74,2),0)+IF(OR($H$2=1,$H$2=2,$H$2=4,$H$2=8,$H$2=16,$H$2=32,$H$2=64,$H$2=128,$H$2=256),0,1)</f>
        <v>-2</v>
      </c>
      <c r="K74" s="95">
        <f t="shared" si="7"/>
        <v>-20</v>
      </c>
      <c r="L74" s="95"/>
      <c r="M74" s="97">
        <f t="shared" si="8"/>
        <v>0</v>
      </c>
    </row>
    <row r="75" spans="1:13" x14ac:dyDescent="0.25">
      <c r="A75" s="116"/>
      <c r="G75" s="80"/>
      <c r="H75" s="95">
        <v>70</v>
      </c>
      <c r="I75" s="96" t="str">
        <f t="shared" si="6"/>
        <v/>
      </c>
      <c r="J75" s="95">
        <f t="shared" si="9"/>
        <v>-2</v>
      </c>
      <c r="K75" s="95">
        <f t="shared" si="7"/>
        <v>-20</v>
      </c>
      <c r="L75" s="95"/>
      <c r="M75" s="97">
        <f t="shared" si="8"/>
        <v>0</v>
      </c>
    </row>
    <row r="76" spans="1:13" x14ac:dyDescent="0.25">
      <c r="A76" s="116"/>
      <c r="G76" s="80"/>
      <c r="H76" s="95">
        <v>71</v>
      </c>
      <c r="I76" s="96" t="str">
        <f t="shared" si="6"/>
        <v/>
      </c>
      <c r="J76" s="95">
        <f t="shared" si="9"/>
        <v>-2</v>
      </c>
      <c r="K76" s="95">
        <f t="shared" si="7"/>
        <v>-20</v>
      </c>
      <c r="L76" s="95"/>
      <c r="M76" s="97">
        <f t="shared" si="8"/>
        <v>0</v>
      </c>
    </row>
    <row r="77" spans="1:13" x14ac:dyDescent="0.25">
      <c r="A77" s="116"/>
      <c r="G77" s="80"/>
      <c r="H77" s="95">
        <v>72</v>
      </c>
      <c r="I77" s="96" t="str">
        <f t="shared" si="6"/>
        <v/>
      </c>
      <c r="J77" s="95">
        <f t="shared" si="9"/>
        <v>-2</v>
      </c>
      <c r="K77" s="95">
        <f t="shared" si="7"/>
        <v>-20</v>
      </c>
      <c r="L77" s="95"/>
      <c r="M77" s="97">
        <f t="shared" si="8"/>
        <v>0</v>
      </c>
    </row>
    <row r="78" spans="1:13" x14ac:dyDescent="0.25">
      <c r="A78" s="116"/>
      <c r="G78" s="80"/>
      <c r="H78" s="95">
        <v>73</v>
      </c>
      <c r="I78" s="96" t="str">
        <f t="shared" si="6"/>
        <v/>
      </c>
      <c r="J78" s="95">
        <f t="shared" si="9"/>
        <v>-2</v>
      </c>
      <c r="K78" s="95">
        <f t="shared" si="7"/>
        <v>-20</v>
      </c>
      <c r="L78" s="95"/>
      <c r="M78" s="97">
        <f t="shared" si="8"/>
        <v>0</v>
      </c>
    </row>
    <row r="79" spans="1:13" x14ac:dyDescent="0.25">
      <c r="A79" s="116"/>
      <c r="G79" s="80"/>
      <c r="H79" s="95">
        <v>74</v>
      </c>
      <c r="I79" s="96" t="str">
        <f t="shared" si="6"/>
        <v/>
      </c>
      <c r="J79" s="95">
        <f t="shared" si="9"/>
        <v>-2</v>
      </c>
      <c r="K79" s="95">
        <f t="shared" si="7"/>
        <v>-20</v>
      </c>
      <c r="L79" s="95"/>
      <c r="M79" s="97">
        <f t="shared" si="8"/>
        <v>0</v>
      </c>
    </row>
    <row r="80" spans="1:13" x14ac:dyDescent="0.25">
      <c r="A80" s="116"/>
      <c r="G80" s="80"/>
      <c r="H80" s="95">
        <v>75</v>
      </c>
      <c r="I80" s="96" t="str">
        <f t="shared" si="6"/>
        <v/>
      </c>
      <c r="J80" s="95">
        <f t="shared" si="9"/>
        <v>-2</v>
      </c>
      <c r="K80" s="95">
        <f t="shared" si="7"/>
        <v>-20</v>
      </c>
      <c r="L80" s="95"/>
      <c r="M80" s="97">
        <f t="shared" si="8"/>
        <v>0</v>
      </c>
    </row>
    <row r="81" spans="1:13" x14ac:dyDescent="0.25">
      <c r="A81" s="116"/>
      <c r="G81" s="80"/>
      <c r="H81" s="95">
        <v>76</v>
      </c>
      <c r="I81" s="96" t="str">
        <f t="shared" si="6"/>
        <v/>
      </c>
      <c r="J81" s="95">
        <f t="shared" si="9"/>
        <v>-2</v>
      </c>
      <c r="K81" s="95">
        <f t="shared" si="7"/>
        <v>-20</v>
      </c>
      <c r="L81" s="95"/>
      <c r="M81" s="97">
        <f t="shared" si="8"/>
        <v>0</v>
      </c>
    </row>
    <row r="82" spans="1:13" x14ac:dyDescent="0.25">
      <c r="A82" s="116"/>
      <c r="G82" s="80"/>
      <c r="H82" s="95">
        <v>77</v>
      </c>
      <c r="I82" s="96" t="str">
        <f t="shared" si="6"/>
        <v/>
      </c>
      <c r="J82" s="95">
        <f t="shared" si="9"/>
        <v>-2</v>
      </c>
      <c r="K82" s="95">
        <f t="shared" si="7"/>
        <v>-20</v>
      </c>
      <c r="L82" s="95"/>
      <c r="M82" s="97">
        <f t="shared" si="8"/>
        <v>0</v>
      </c>
    </row>
    <row r="83" spans="1:13" x14ac:dyDescent="0.25">
      <c r="A83" s="116"/>
      <c r="G83" s="80"/>
      <c r="H83" s="95">
        <v>78</v>
      </c>
      <c r="I83" s="96" t="str">
        <f t="shared" si="6"/>
        <v/>
      </c>
      <c r="J83" s="95">
        <f t="shared" si="9"/>
        <v>-2</v>
      </c>
      <c r="K83" s="95">
        <f t="shared" si="7"/>
        <v>-20</v>
      </c>
      <c r="L83" s="95"/>
      <c r="M83" s="97">
        <f t="shared" si="8"/>
        <v>0</v>
      </c>
    </row>
    <row r="84" spans="1:13" x14ac:dyDescent="0.25">
      <c r="A84" s="116"/>
      <c r="G84" s="80"/>
      <c r="H84" s="95">
        <v>79</v>
      </c>
      <c r="I84" s="96" t="str">
        <f t="shared" si="6"/>
        <v/>
      </c>
      <c r="J84" s="95">
        <f t="shared" si="9"/>
        <v>-2</v>
      </c>
      <c r="K84" s="95">
        <f t="shared" si="7"/>
        <v>-20</v>
      </c>
      <c r="L84" s="95"/>
      <c r="M84" s="97">
        <f t="shared" si="8"/>
        <v>0</v>
      </c>
    </row>
    <row r="85" spans="1:13" x14ac:dyDescent="0.25">
      <c r="A85" s="116"/>
      <c r="G85" s="80"/>
      <c r="H85" s="95">
        <v>80</v>
      </c>
      <c r="I85" s="96" t="str">
        <f t="shared" si="6"/>
        <v/>
      </c>
      <c r="J85" s="95">
        <f t="shared" si="9"/>
        <v>-2</v>
      </c>
      <c r="K85" s="95">
        <f t="shared" si="7"/>
        <v>-20</v>
      </c>
      <c r="L85" s="95"/>
      <c r="M85" s="97">
        <f t="shared" si="8"/>
        <v>0</v>
      </c>
    </row>
    <row r="86" spans="1:13" x14ac:dyDescent="0.25">
      <c r="A86" s="116"/>
      <c r="G86" s="80"/>
      <c r="H86" s="95">
        <v>81</v>
      </c>
      <c r="I86" s="96" t="str">
        <f t="shared" si="6"/>
        <v/>
      </c>
      <c r="J86" s="95">
        <f t="shared" si="9"/>
        <v>-2</v>
      </c>
      <c r="K86" s="95">
        <f t="shared" si="7"/>
        <v>-20</v>
      </c>
      <c r="L86" s="95"/>
      <c r="M86" s="97">
        <f t="shared" si="8"/>
        <v>0</v>
      </c>
    </row>
    <row r="87" spans="1:13" x14ac:dyDescent="0.25">
      <c r="A87" s="116"/>
      <c r="G87" s="80"/>
      <c r="H87" s="95">
        <v>82</v>
      </c>
      <c r="I87" s="96" t="str">
        <f t="shared" si="6"/>
        <v/>
      </c>
      <c r="J87" s="95">
        <f t="shared" si="9"/>
        <v>-2</v>
      </c>
      <c r="K87" s="95">
        <f t="shared" si="7"/>
        <v>-20</v>
      </c>
      <c r="L87" s="95"/>
      <c r="M87" s="97">
        <f t="shared" si="8"/>
        <v>0</v>
      </c>
    </row>
    <row r="88" spans="1:13" x14ac:dyDescent="0.25">
      <c r="A88" s="116"/>
      <c r="G88" s="80"/>
      <c r="H88" s="95">
        <v>83</v>
      </c>
      <c r="I88" s="96" t="str">
        <f t="shared" si="6"/>
        <v/>
      </c>
      <c r="J88" s="95">
        <f t="shared" si="9"/>
        <v>-2</v>
      </c>
      <c r="K88" s="95">
        <f t="shared" si="7"/>
        <v>-20</v>
      </c>
      <c r="L88" s="95"/>
      <c r="M88" s="97">
        <f t="shared" si="8"/>
        <v>0</v>
      </c>
    </row>
    <row r="89" spans="1:13" x14ac:dyDescent="0.25">
      <c r="A89" s="116"/>
      <c r="G89" s="80"/>
      <c r="H89" s="95">
        <v>84</v>
      </c>
      <c r="I89" s="96" t="str">
        <f t="shared" si="6"/>
        <v/>
      </c>
      <c r="J89" s="95">
        <f t="shared" si="9"/>
        <v>-2</v>
      </c>
      <c r="K89" s="95">
        <f t="shared" si="7"/>
        <v>-20</v>
      </c>
      <c r="L89" s="95"/>
      <c r="M89" s="97">
        <f t="shared" si="8"/>
        <v>0</v>
      </c>
    </row>
    <row r="90" spans="1:13" x14ac:dyDescent="0.25">
      <c r="A90" s="116"/>
      <c r="G90" s="80"/>
      <c r="H90" s="95">
        <v>85</v>
      </c>
      <c r="I90" s="96" t="str">
        <f t="shared" si="6"/>
        <v/>
      </c>
      <c r="J90" s="95">
        <f t="shared" si="9"/>
        <v>-2</v>
      </c>
      <c r="K90" s="95">
        <f t="shared" si="7"/>
        <v>-20</v>
      </c>
      <c r="L90" s="95"/>
      <c r="M90" s="97">
        <f t="shared" si="8"/>
        <v>0</v>
      </c>
    </row>
    <row r="91" spans="1:13" x14ac:dyDescent="0.25">
      <c r="A91" s="116"/>
      <c r="G91" s="80"/>
      <c r="H91" s="95">
        <v>86</v>
      </c>
      <c r="I91" s="96" t="str">
        <f t="shared" si="6"/>
        <v/>
      </c>
      <c r="J91" s="95">
        <f t="shared" si="9"/>
        <v>-2</v>
      </c>
      <c r="K91" s="95">
        <f t="shared" si="7"/>
        <v>-20</v>
      </c>
      <c r="L91" s="95"/>
      <c r="M91" s="97">
        <f t="shared" si="8"/>
        <v>0</v>
      </c>
    </row>
    <row r="92" spans="1:13" x14ac:dyDescent="0.25">
      <c r="A92" s="116"/>
      <c r="G92" s="80"/>
      <c r="H92" s="95">
        <v>87</v>
      </c>
      <c r="I92" s="96" t="str">
        <f t="shared" si="6"/>
        <v/>
      </c>
      <c r="J92" s="95">
        <f t="shared" si="9"/>
        <v>-2</v>
      </c>
      <c r="K92" s="95">
        <f t="shared" si="7"/>
        <v>-20</v>
      </c>
      <c r="L92" s="95"/>
      <c r="M92" s="97">
        <f t="shared" si="8"/>
        <v>0</v>
      </c>
    </row>
    <row r="93" spans="1:13" x14ac:dyDescent="0.25">
      <c r="A93" s="116"/>
      <c r="G93" s="80"/>
      <c r="H93" s="95">
        <v>88</v>
      </c>
      <c r="I93" s="96" t="str">
        <f t="shared" si="6"/>
        <v/>
      </c>
      <c r="J93" s="95">
        <f t="shared" si="9"/>
        <v>-2</v>
      </c>
      <c r="K93" s="95">
        <f t="shared" si="7"/>
        <v>-20</v>
      </c>
      <c r="L93" s="95"/>
      <c r="M93" s="97">
        <f t="shared" si="8"/>
        <v>0</v>
      </c>
    </row>
    <row r="94" spans="1:13" x14ac:dyDescent="0.25">
      <c r="A94" s="116"/>
      <c r="G94" s="80"/>
      <c r="H94" s="95">
        <v>89</v>
      </c>
      <c r="I94" s="96" t="str">
        <f t="shared" si="6"/>
        <v/>
      </c>
      <c r="J94" s="95">
        <f t="shared" si="9"/>
        <v>-2</v>
      </c>
      <c r="K94" s="95">
        <f t="shared" si="7"/>
        <v>-20</v>
      </c>
      <c r="L94" s="95"/>
      <c r="M94" s="97">
        <f t="shared" si="8"/>
        <v>0</v>
      </c>
    </row>
    <row r="95" spans="1:13" x14ac:dyDescent="0.25">
      <c r="A95" s="116"/>
      <c r="G95" s="80"/>
      <c r="H95" s="95">
        <v>90</v>
      </c>
      <c r="I95" s="96" t="str">
        <f t="shared" si="6"/>
        <v/>
      </c>
      <c r="J95" s="95">
        <f t="shared" si="9"/>
        <v>-2</v>
      </c>
      <c r="K95" s="95">
        <f t="shared" si="7"/>
        <v>-20</v>
      </c>
      <c r="L95" s="95"/>
      <c r="M95" s="97">
        <f t="shared" si="8"/>
        <v>0</v>
      </c>
    </row>
    <row r="96" spans="1:13" x14ac:dyDescent="0.25">
      <c r="A96" s="116"/>
      <c r="G96" s="80"/>
      <c r="H96" s="95">
        <v>91</v>
      </c>
      <c r="I96" s="96" t="str">
        <f t="shared" si="6"/>
        <v/>
      </c>
      <c r="J96" s="95">
        <f t="shared" si="9"/>
        <v>-2</v>
      </c>
      <c r="K96" s="95">
        <f t="shared" si="7"/>
        <v>-20</v>
      </c>
      <c r="L96" s="95"/>
      <c r="M96" s="97">
        <f t="shared" si="8"/>
        <v>0</v>
      </c>
    </row>
    <row r="97" spans="1:13" x14ac:dyDescent="0.25">
      <c r="A97" s="116"/>
      <c r="G97" s="80"/>
      <c r="H97" s="95">
        <v>92</v>
      </c>
      <c r="I97" s="96" t="str">
        <f t="shared" si="6"/>
        <v/>
      </c>
      <c r="J97" s="95">
        <f t="shared" si="9"/>
        <v>-2</v>
      </c>
      <c r="K97" s="95">
        <f t="shared" si="7"/>
        <v>-20</v>
      </c>
      <c r="L97" s="95"/>
      <c r="M97" s="97">
        <f t="shared" si="8"/>
        <v>0</v>
      </c>
    </row>
    <row r="98" spans="1:13" x14ac:dyDescent="0.25">
      <c r="A98" s="116"/>
      <c r="G98" s="80"/>
      <c r="H98" s="95">
        <v>93</v>
      </c>
      <c r="I98" s="96" t="str">
        <f t="shared" si="6"/>
        <v/>
      </c>
      <c r="J98" s="95">
        <f t="shared" si="9"/>
        <v>-2</v>
      </c>
      <c r="K98" s="95">
        <f t="shared" si="7"/>
        <v>-20</v>
      </c>
      <c r="L98" s="95"/>
      <c r="M98" s="97">
        <f t="shared" si="8"/>
        <v>0</v>
      </c>
    </row>
    <row r="99" spans="1:13" x14ac:dyDescent="0.25">
      <c r="A99" s="116"/>
      <c r="G99" s="80"/>
      <c r="H99" s="95">
        <v>94</v>
      </c>
      <c r="I99" s="96" t="str">
        <f t="shared" si="6"/>
        <v/>
      </c>
      <c r="J99" s="95">
        <f t="shared" si="9"/>
        <v>-2</v>
      </c>
      <c r="K99" s="95">
        <f t="shared" si="7"/>
        <v>-20</v>
      </c>
      <c r="L99" s="95"/>
      <c r="M99" s="97">
        <f t="shared" si="8"/>
        <v>0</v>
      </c>
    </row>
    <row r="100" spans="1:13" x14ac:dyDescent="0.25">
      <c r="A100" s="116"/>
      <c r="G100" s="80"/>
      <c r="H100" s="95">
        <v>95</v>
      </c>
      <c r="I100" s="96" t="str">
        <f t="shared" si="6"/>
        <v/>
      </c>
      <c r="J100" s="95">
        <f t="shared" si="9"/>
        <v>-2</v>
      </c>
      <c r="K100" s="95">
        <f t="shared" si="7"/>
        <v>-20</v>
      </c>
      <c r="L100" s="95"/>
      <c r="M100" s="97">
        <f t="shared" si="8"/>
        <v>0</v>
      </c>
    </row>
    <row r="101" spans="1:13" x14ac:dyDescent="0.25">
      <c r="A101" s="116"/>
      <c r="G101" s="80"/>
      <c r="H101" s="95">
        <v>96</v>
      </c>
      <c r="I101" s="96" t="str">
        <f t="shared" si="6"/>
        <v/>
      </c>
      <c r="J101" s="95">
        <f t="shared" si="9"/>
        <v>-2</v>
      </c>
      <c r="K101" s="95">
        <f t="shared" si="7"/>
        <v>-20</v>
      </c>
      <c r="L101" s="95"/>
      <c r="M101" s="97">
        <f t="shared" si="8"/>
        <v>0</v>
      </c>
    </row>
    <row r="102" spans="1:13" x14ac:dyDescent="0.25">
      <c r="A102" s="116"/>
      <c r="G102" s="80"/>
      <c r="H102" s="95">
        <v>97</v>
      </c>
      <c r="I102" s="96" t="str">
        <f t="shared" si="6"/>
        <v/>
      </c>
      <c r="J102" s="95">
        <f t="shared" si="9"/>
        <v>-2</v>
      </c>
      <c r="K102" s="95">
        <f t="shared" si="7"/>
        <v>-20</v>
      </c>
      <c r="L102" s="95"/>
      <c r="M102" s="97">
        <f t="shared" si="8"/>
        <v>0</v>
      </c>
    </row>
    <row r="103" spans="1:13" x14ac:dyDescent="0.25">
      <c r="A103" s="116"/>
      <c r="G103" s="80"/>
      <c r="H103" s="95">
        <v>98</v>
      </c>
      <c r="I103" s="96" t="str">
        <f t="shared" si="6"/>
        <v/>
      </c>
      <c r="J103" s="95">
        <f t="shared" si="9"/>
        <v>-2</v>
      </c>
      <c r="K103" s="95">
        <f t="shared" si="7"/>
        <v>-20</v>
      </c>
      <c r="L103" s="95"/>
      <c r="M103" s="97">
        <f t="shared" si="8"/>
        <v>0</v>
      </c>
    </row>
    <row r="104" spans="1:13" x14ac:dyDescent="0.25">
      <c r="A104" s="116"/>
      <c r="G104" s="80"/>
      <c r="H104" s="95">
        <v>99</v>
      </c>
      <c r="I104" s="96" t="str">
        <f t="shared" si="6"/>
        <v/>
      </c>
      <c r="J104" s="95">
        <f t="shared" si="9"/>
        <v>-2</v>
      </c>
      <c r="K104" s="95">
        <f t="shared" si="7"/>
        <v>-20</v>
      </c>
      <c r="L104" s="95"/>
      <c r="M104" s="97">
        <f t="shared" si="8"/>
        <v>0</v>
      </c>
    </row>
    <row r="105" spans="1:13" x14ac:dyDescent="0.25">
      <c r="A105" s="116"/>
      <c r="G105" s="80"/>
      <c r="H105" s="95">
        <v>100</v>
      </c>
      <c r="I105" s="96" t="str">
        <f t="shared" si="6"/>
        <v/>
      </c>
      <c r="J105" s="95">
        <f t="shared" si="9"/>
        <v>-2</v>
      </c>
      <c r="K105" s="95">
        <f t="shared" si="7"/>
        <v>-20</v>
      </c>
      <c r="L105" s="95"/>
      <c r="M105" s="97">
        <f t="shared" si="8"/>
        <v>0</v>
      </c>
    </row>
    <row r="106" spans="1:13" x14ac:dyDescent="0.25">
      <c r="A106" s="116"/>
      <c r="G106" s="80"/>
      <c r="H106" s="95">
        <v>101</v>
      </c>
      <c r="I106" s="96" t="str">
        <f t="shared" si="6"/>
        <v/>
      </c>
      <c r="J106" s="95">
        <f t="shared" si="9"/>
        <v>-2</v>
      </c>
      <c r="K106" s="95">
        <f t="shared" si="7"/>
        <v>-20</v>
      </c>
      <c r="L106" s="95"/>
      <c r="M106" s="97">
        <f t="shared" si="8"/>
        <v>0</v>
      </c>
    </row>
    <row r="107" spans="1:13" x14ac:dyDescent="0.25">
      <c r="A107" s="116"/>
      <c r="G107" s="80"/>
      <c r="H107" s="95">
        <v>102</v>
      </c>
      <c r="I107" s="96" t="str">
        <f t="shared" si="6"/>
        <v/>
      </c>
      <c r="J107" s="95">
        <f t="shared" si="9"/>
        <v>-2</v>
      </c>
      <c r="K107" s="95">
        <f t="shared" si="7"/>
        <v>-20</v>
      </c>
      <c r="L107" s="95"/>
      <c r="M107" s="97">
        <f t="shared" si="8"/>
        <v>0</v>
      </c>
    </row>
    <row r="108" spans="1:13" x14ac:dyDescent="0.25">
      <c r="A108" s="116"/>
      <c r="G108" s="80"/>
      <c r="H108" s="95">
        <v>103</v>
      </c>
      <c r="I108" s="96" t="str">
        <f t="shared" si="6"/>
        <v/>
      </c>
      <c r="J108" s="95">
        <f t="shared" si="9"/>
        <v>-2</v>
      </c>
      <c r="K108" s="95">
        <f t="shared" si="7"/>
        <v>-20</v>
      </c>
      <c r="L108" s="95"/>
      <c r="M108" s="97">
        <f t="shared" si="8"/>
        <v>0</v>
      </c>
    </row>
    <row r="109" spans="1:13" x14ac:dyDescent="0.25">
      <c r="A109" s="116"/>
      <c r="G109" s="80"/>
      <c r="H109" s="95">
        <v>104</v>
      </c>
      <c r="I109" s="96" t="str">
        <f t="shared" si="6"/>
        <v/>
      </c>
      <c r="J109" s="95">
        <f t="shared" si="9"/>
        <v>-2</v>
      </c>
      <c r="K109" s="95">
        <f t="shared" si="7"/>
        <v>-20</v>
      </c>
      <c r="L109" s="95"/>
      <c r="M109" s="97">
        <f t="shared" si="8"/>
        <v>0</v>
      </c>
    </row>
    <row r="110" spans="1:13" x14ac:dyDescent="0.25">
      <c r="A110" s="116"/>
      <c r="G110" s="80"/>
      <c r="H110" s="95">
        <v>105</v>
      </c>
      <c r="I110" s="96" t="str">
        <f t="shared" si="6"/>
        <v/>
      </c>
      <c r="J110" s="95">
        <f t="shared" si="9"/>
        <v>-2</v>
      </c>
      <c r="K110" s="95">
        <f t="shared" si="7"/>
        <v>-20</v>
      </c>
      <c r="L110" s="95"/>
      <c r="M110" s="97">
        <f t="shared" si="8"/>
        <v>0</v>
      </c>
    </row>
    <row r="111" spans="1:13" x14ac:dyDescent="0.25">
      <c r="A111" s="116"/>
      <c r="G111" s="80"/>
      <c r="H111" s="95">
        <v>106</v>
      </c>
      <c r="I111" s="96" t="str">
        <f t="shared" si="6"/>
        <v/>
      </c>
      <c r="J111" s="95">
        <f t="shared" si="9"/>
        <v>-2</v>
      </c>
      <c r="K111" s="95">
        <f t="shared" si="7"/>
        <v>-20</v>
      </c>
      <c r="L111" s="95"/>
      <c r="M111" s="97">
        <f t="shared" si="8"/>
        <v>0</v>
      </c>
    </row>
    <row r="112" spans="1:13" x14ac:dyDescent="0.25">
      <c r="A112" s="116"/>
      <c r="G112" s="80"/>
      <c r="H112" s="95">
        <v>107</v>
      </c>
      <c r="I112" s="96" t="str">
        <f t="shared" si="6"/>
        <v/>
      </c>
      <c r="J112" s="95">
        <f t="shared" si="9"/>
        <v>-2</v>
      </c>
      <c r="K112" s="95">
        <f t="shared" si="7"/>
        <v>-20</v>
      </c>
      <c r="L112" s="95"/>
      <c r="M112" s="97">
        <f t="shared" si="8"/>
        <v>0</v>
      </c>
    </row>
    <row r="113" spans="1:13" x14ac:dyDescent="0.25">
      <c r="A113" s="116"/>
      <c r="G113" s="80"/>
      <c r="H113" s="95">
        <v>108</v>
      </c>
      <c r="I113" s="96" t="str">
        <f t="shared" si="6"/>
        <v/>
      </c>
      <c r="J113" s="95">
        <f t="shared" si="9"/>
        <v>-2</v>
      </c>
      <c r="K113" s="95">
        <f t="shared" si="7"/>
        <v>-20</v>
      </c>
      <c r="L113" s="95"/>
      <c r="M113" s="97">
        <f t="shared" si="8"/>
        <v>0</v>
      </c>
    </row>
    <row r="114" spans="1:13" x14ac:dyDescent="0.25">
      <c r="A114" s="116"/>
      <c r="G114" s="80"/>
      <c r="H114" s="95">
        <v>109</v>
      </c>
      <c r="I114" s="96" t="str">
        <f t="shared" si="6"/>
        <v/>
      </c>
      <c r="J114" s="95">
        <f t="shared" si="9"/>
        <v>-2</v>
      </c>
      <c r="K114" s="95">
        <f t="shared" si="7"/>
        <v>-20</v>
      </c>
      <c r="L114" s="95"/>
      <c r="M114" s="97">
        <f t="shared" si="8"/>
        <v>0</v>
      </c>
    </row>
    <row r="115" spans="1:13" x14ac:dyDescent="0.25">
      <c r="A115" s="116"/>
      <c r="G115" s="80"/>
      <c r="H115" s="95">
        <v>110</v>
      </c>
      <c r="I115" s="96" t="str">
        <f t="shared" si="6"/>
        <v/>
      </c>
      <c r="J115" s="95">
        <f t="shared" si="9"/>
        <v>-2</v>
      </c>
      <c r="K115" s="95">
        <f t="shared" si="7"/>
        <v>-20</v>
      </c>
      <c r="L115" s="95"/>
      <c r="M115" s="97">
        <f t="shared" si="8"/>
        <v>0</v>
      </c>
    </row>
    <row r="116" spans="1:13" x14ac:dyDescent="0.25">
      <c r="A116" s="116"/>
      <c r="G116" s="80"/>
      <c r="H116" s="95">
        <v>111</v>
      </c>
      <c r="I116" s="96" t="str">
        <f t="shared" si="6"/>
        <v/>
      </c>
      <c r="J116" s="95">
        <f t="shared" si="9"/>
        <v>-2</v>
      </c>
      <c r="K116" s="95">
        <f t="shared" si="7"/>
        <v>-20</v>
      </c>
      <c r="L116" s="95"/>
      <c r="M116" s="97">
        <f t="shared" si="8"/>
        <v>0</v>
      </c>
    </row>
    <row r="117" spans="1:13" x14ac:dyDescent="0.25">
      <c r="A117" s="116"/>
      <c r="G117" s="80"/>
      <c r="H117" s="95">
        <v>112</v>
      </c>
      <c r="I117" s="96" t="str">
        <f t="shared" si="6"/>
        <v/>
      </c>
      <c r="J117" s="95">
        <f t="shared" si="9"/>
        <v>-2</v>
      </c>
      <c r="K117" s="95">
        <f t="shared" si="7"/>
        <v>-20</v>
      </c>
      <c r="L117" s="95"/>
      <c r="M117" s="97">
        <f t="shared" si="8"/>
        <v>0</v>
      </c>
    </row>
    <row r="118" spans="1:13" x14ac:dyDescent="0.25">
      <c r="A118" s="116"/>
      <c r="G118" s="80"/>
      <c r="H118" s="95">
        <v>113</v>
      </c>
      <c r="I118" s="96" t="str">
        <f t="shared" si="6"/>
        <v/>
      </c>
      <c r="J118" s="95">
        <f t="shared" si="9"/>
        <v>-2</v>
      </c>
      <c r="K118" s="95">
        <f t="shared" si="7"/>
        <v>-20</v>
      </c>
      <c r="L118" s="95"/>
      <c r="M118" s="97">
        <f t="shared" si="8"/>
        <v>0</v>
      </c>
    </row>
    <row r="119" spans="1:13" x14ac:dyDescent="0.25">
      <c r="A119" s="116"/>
      <c r="G119" s="80"/>
      <c r="H119" s="95">
        <v>114</v>
      </c>
      <c r="I119" s="96" t="str">
        <f t="shared" si="6"/>
        <v/>
      </c>
      <c r="J119" s="95">
        <f t="shared" si="9"/>
        <v>-2</v>
      </c>
      <c r="K119" s="95">
        <f t="shared" si="7"/>
        <v>-20</v>
      </c>
      <c r="L119" s="95"/>
      <c r="M119" s="97">
        <f t="shared" si="8"/>
        <v>0</v>
      </c>
    </row>
    <row r="120" spans="1:13" x14ac:dyDescent="0.25">
      <c r="A120" s="116"/>
      <c r="G120" s="80"/>
      <c r="H120" s="95">
        <v>115</v>
      </c>
      <c r="I120" s="96" t="str">
        <f t="shared" si="6"/>
        <v/>
      </c>
      <c r="J120" s="95">
        <f t="shared" si="9"/>
        <v>-2</v>
      </c>
      <c r="K120" s="95">
        <f t="shared" si="7"/>
        <v>-20</v>
      </c>
      <c r="L120" s="95"/>
      <c r="M120" s="97">
        <f t="shared" si="8"/>
        <v>0</v>
      </c>
    </row>
    <row r="121" spans="1:13" x14ac:dyDescent="0.25">
      <c r="A121" s="116"/>
      <c r="G121" s="80"/>
      <c r="H121" s="95">
        <v>116</v>
      </c>
      <c r="I121" s="96" t="str">
        <f t="shared" si="6"/>
        <v/>
      </c>
      <c r="J121" s="95">
        <f t="shared" si="9"/>
        <v>-2</v>
      </c>
      <c r="K121" s="95">
        <f t="shared" si="7"/>
        <v>-20</v>
      </c>
      <c r="L121" s="95"/>
      <c r="M121" s="97">
        <f t="shared" si="8"/>
        <v>0</v>
      </c>
    </row>
    <row r="122" spans="1:13" x14ac:dyDescent="0.25">
      <c r="A122" s="116"/>
      <c r="G122" s="80"/>
      <c r="H122" s="95">
        <v>117</v>
      </c>
      <c r="I122" s="96" t="str">
        <f t="shared" si="6"/>
        <v/>
      </c>
      <c r="J122" s="95">
        <f t="shared" si="9"/>
        <v>-2</v>
      </c>
      <c r="K122" s="95">
        <f t="shared" si="7"/>
        <v>-20</v>
      </c>
      <c r="L122" s="95"/>
      <c r="M122" s="97">
        <f t="shared" si="8"/>
        <v>0</v>
      </c>
    </row>
    <row r="123" spans="1:13" x14ac:dyDescent="0.25">
      <c r="A123" s="116"/>
      <c r="G123" s="80"/>
      <c r="H123" s="95">
        <v>118</v>
      </c>
      <c r="I123" s="96" t="str">
        <f t="shared" si="6"/>
        <v/>
      </c>
      <c r="J123" s="95">
        <f t="shared" si="9"/>
        <v>-2</v>
      </c>
      <c r="K123" s="95">
        <f t="shared" si="7"/>
        <v>-20</v>
      </c>
      <c r="L123" s="95"/>
      <c r="M123" s="97">
        <f t="shared" si="8"/>
        <v>0</v>
      </c>
    </row>
    <row r="124" spans="1:13" x14ac:dyDescent="0.25">
      <c r="A124" s="116"/>
      <c r="G124" s="80"/>
      <c r="H124" s="95">
        <v>119</v>
      </c>
      <c r="I124" s="96" t="str">
        <f t="shared" si="6"/>
        <v/>
      </c>
      <c r="J124" s="95">
        <f t="shared" si="9"/>
        <v>-2</v>
      </c>
      <c r="K124" s="95">
        <f t="shared" si="7"/>
        <v>-20</v>
      </c>
      <c r="L124" s="95"/>
      <c r="M124" s="97">
        <f t="shared" si="8"/>
        <v>0</v>
      </c>
    </row>
    <row r="125" spans="1:13" x14ac:dyDescent="0.25">
      <c r="A125" s="116"/>
      <c r="G125" s="80"/>
      <c r="H125" s="95">
        <v>120</v>
      </c>
      <c r="I125" s="96" t="str">
        <f t="shared" si="6"/>
        <v/>
      </c>
      <c r="J125" s="95">
        <f t="shared" si="9"/>
        <v>-2</v>
      </c>
      <c r="K125" s="95">
        <f t="shared" si="7"/>
        <v>-20</v>
      </c>
      <c r="L125" s="95"/>
      <c r="M125" s="97">
        <f t="shared" si="8"/>
        <v>0</v>
      </c>
    </row>
    <row r="126" spans="1:13" x14ac:dyDescent="0.25">
      <c r="A126" s="116"/>
      <c r="G126" s="80"/>
      <c r="H126" s="95">
        <v>121</v>
      </c>
      <c r="I126" s="96" t="str">
        <f t="shared" si="6"/>
        <v/>
      </c>
      <c r="J126" s="95">
        <f t="shared" si="9"/>
        <v>-2</v>
      </c>
      <c r="K126" s="95">
        <f t="shared" si="7"/>
        <v>-20</v>
      </c>
      <c r="L126" s="95"/>
      <c r="M126" s="97">
        <f t="shared" si="8"/>
        <v>0</v>
      </c>
    </row>
    <row r="127" spans="1:13" x14ac:dyDescent="0.25">
      <c r="A127" s="116"/>
      <c r="G127" s="80"/>
      <c r="H127" s="95">
        <v>122</v>
      </c>
      <c r="I127" s="96" t="str">
        <f t="shared" si="6"/>
        <v/>
      </c>
      <c r="J127" s="95">
        <f t="shared" si="9"/>
        <v>-2</v>
      </c>
      <c r="K127" s="95">
        <f t="shared" si="7"/>
        <v>-20</v>
      </c>
      <c r="L127" s="95"/>
      <c r="M127" s="97">
        <f t="shared" si="8"/>
        <v>0</v>
      </c>
    </row>
    <row r="128" spans="1:13" x14ac:dyDescent="0.25">
      <c r="A128" s="116"/>
      <c r="G128" s="80"/>
      <c r="H128" s="95">
        <v>123</v>
      </c>
      <c r="I128" s="96" t="str">
        <f t="shared" si="6"/>
        <v/>
      </c>
      <c r="J128" s="95">
        <f t="shared" si="9"/>
        <v>-2</v>
      </c>
      <c r="K128" s="95">
        <f t="shared" si="7"/>
        <v>-20</v>
      </c>
      <c r="L128" s="95"/>
      <c r="M128" s="97">
        <f t="shared" si="8"/>
        <v>0</v>
      </c>
    </row>
    <row r="129" spans="1:13" x14ac:dyDescent="0.25">
      <c r="A129" s="116"/>
      <c r="G129" s="80"/>
      <c r="H129" s="95">
        <v>124</v>
      </c>
      <c r="I129" s="96" t="str">
        <f t="shared" si="6"/>
        <v/>
      </c>
      <c r="J129" s="95">
        <f t="shared" si="9"/>
        <v>-2</v>
      </c>
      <c r="K129" s="95">
        <f t="shared" si="7"/>
        <v>-20</v>
      </c>
      <c r="L129" s="95"/>
      <c r="M129" s="97">
        <f t="shared" si="8"/>
        <v>0</v>
      </c>
    </row>
    <row r="130" spans="1:13" x14ac:dyDescent="0.25">
      <c r="A130" s="116"/>
      <c r="G130" s="80"/>
      <c r="H130" s="95">
        <v>125</v>
      </c>
      <c r="I130" s="96" t="str">
        <f t="shared" si="6"/>
        <v/>
      </c>
      <c r="J130" s="95">
        <f t="shared" si="9"/>
        <v>-2</v>
      </c>
      <c r="K130" s="95">
        <f t="shared" si="7"/>
        <v>-20</v>
      </c>
      <c r="L130" s="95"/>
      <c r="M130" s="97">
        <f t="shared" si="8"/>
        <v>0</v>
      </c>
    </row>
    <row r="131" spans="1:13" x14ac:dyDescent="0.25">
      <c r="A131" s="116"/>
      <c r="G131" s="80"/>
      <c r="H131" s="95">
        <v>126</v>
      </c>
      <c r="I131" s="96" t="str">
        <f t="shared" si="6"/>
        <v/>
      </c>
      <c r="J131" s="95">
        <f t="shared" si="9"/>
        <v>-2</v>
      </c>
      <c r="K131" s="95">
        <f t="shared" si="7"/>
        <v>-20</v>
      </c>
      <c r="L131" s="95"/>
      <c r="M131" s="97">
        <f t="shared" si="8"/>
        <v>0</v>
      </c>
    </row>
    <row r="132" spans="1:13" x14ac:dyDescent="0.25">
      <c r="A132" s="116"/>
      <c r="G132" s="80"/>
      <c r="H132" s="95">
        <v>127</v>
      </c>
      <c r="I132" s="96" t="str">
        <f t="shared" si="6"/>
        <v/>
      </c>
      <c r="J132" s="95">
        <f t="shared" si="9"/>
        <v>-2</v>
      </c>
      <c r="K132" s="95">
        <f t="shared" si="7"/>
        <v>-20</v>
      </c>
      <c r="L132" s="95"/>
      <c r="M132" s="97">
        <f t="shared" si="8"/>
        <v>0</v>
      </c>
    </row>
    <row r="133" spans="1:13" x14ac:dyDescent="0.25">
      <c r="A133" s="116"/>
      <c r="G133" s="80"/>
      <c r="H133" s="95">
        <v>128</v>
      </c>
      <c r="I133" s="96" t="str">
        <f t="shared" si="6"/>
        <v/>
      </c>
      <c r="J133" s="95">
        <f t="shared" si="9"/>
        <v>-2</v>
      </c>
      <c r="K133" s="95">
        <f t="shared" si="7"/>
        <v>-20</v>
      </c>
      <c r="L133" s="95"/>
      <c r="M133" s="97">
        <f t="shared" si="8"/>
        <v>0</v>
      </c>
    </row>
    <row r="134" spans="1:13" x14ac:dyDescent="0.25">
      <c r="A134" s="116"/>
      <c r="G134" s="80"/>
      <c r="H134" s="95">
        <v>129</v>
      </c>
      <c r="I134" s="96" t="str">
        <f t="shared" ref="I134:I197" si="10">IF(H134&lt;$H$2+1,($I$2-($I$2-1)*(LOG(H134)/LOG($H$2))),"")</f>
        <v/>
      </c>
      <c r="J134" s="95">
        <f t="shared" si="9"/>
        <v>-3</v>
      </c>
      <c r="K134" s="95">
        <f t="shared" ref="K134:K197" si="11">J134*$J$2</f>
        <v>-30</v>
      </c>
      <c r="L134" s="95"/>
      <c r="M134" s="97">
        <f t="shared" ref="M134:M197" si="12">IF(I134&lt;&gt;"",K134+I134+L134,0)</f>
        <v>0</v>
      </c>
    </row>
    <row r="135" spans="1:13" x14ac:dyDescent="0.25">
      <c r="A135" s="116"/>
      <c r="G135" s="80"/>
      <c r="H135" s="95">
        <v>130</v>
      </c>
      <c r="I135" s="96" t="str">
        <f t="shared" si="10"/>
        <v/>
      </c>
      <c r="J135" s="95">
        <f t="shared" si="9"/>
        <v>-3</v>
      </c>
      <c r="K135" s="95">
        <f t="shared" si="11"/>
        <v>-30</v>
      </c>
      <c r="L135" s="95"/>
      <c r="M135" s="97">
        <f t="shared" si="12"/>
        <v>0</v>
      </c>
    </row>
    <row r="136" spans="1:13" x14ac:dyDescent="0.25">
      <c r="A136" s="116"/>
      <c r="G136" s="80"/>
      <c r="H136" s="95">
        <v>131</v>
      </c>
      <c r="I136" s="96" t="str">
        <f t="shared" si="10"/>
        <v/>
      </c>
      <c r="J136" s="95">
        <f t="shared" si="9"/>
        <v>-3</v>
      </c>
      <c r="K136" s="95">
        <f t="shared" si="11"/>
        <v>-30</v>
      </c>
      <c r="L136" s="95"/>
      <c r="M136" s="97">
        <f t="shared" si="12"/>
        <v>0</v>
      </c>
    </row>
    <row r="137" spans="1:13" x14ac:dyDescent="0.25">
      <c r="A137" s="116"/>
      <c r="G137" s="80"/>
      <c r="H137" s="95">
        <v>132</v>
      </c>
      <c r="I137" s="96" t="str">
        <f t="shared" si="10"/>
        <v/>
      </c>
      <c r="J137" s="95">
        <f t="shared" si="9"/>
        <v>-3</v>
      </c>
      <c r="K137" s="95">
        <f t="shared" si="11"/>
        <v>-30</v>
      </c>
      <c r="L137" s="95"/>
      <c r="M137" s="97">
        <f t="shared" si="12"/>
        <v>0</v>
      </c>
    </row>
    <row r="138" spans="1:13" x14ac:dyDescent="0.25">
      <c r="A138" s="116"/>
      <c r="G138" s="80"/>
      <c r="H138" s="95">
        <v>133</v>
      </c>
      <c r="I138" s="96" t="str">
        <f t="shared" si="10"/>
        <v/>
      </c>
      <c r="J138" s="95">
        <f t="shared" ref="J138:J201" si="13">INT(LOG($H$2,2))-ROUNDUP(LOG(H138,2),0)+IF(OR($H$2=1,$H$2=2,$H$2=4,$H$2=8,$H$2=16,$H$2=32,$H$2=64,$H$2=128,$H$2=256),0,1)</f>
        <v>-3</v>
      </c>
      <c r="K138" s="95">
        <f t="shared" si="11"/>
        <v>-30</v>
      </c>
      <c r="L138" s="95"/>
      <c r="M138" s="97">
        <f t="shared" si="12"/>
        <v>0</v>
      </c>
    </row>
    <row r="139" spans="1:13" x14ac:dyDescent="0.25">
      <c r="A139" s="116"/>
      <c r="G139" s="80"/>
      <c r="H139" s="95">
        <v>134</v>
      </c>
      <c r="I139" s="96" t="str">
        <f t="shared" si="10"/>
        <v/>
      </c>
      <c r="J139" s="95">
        <f t="shared" si="13"/>
        <v>-3</v>
      </c>
      <c r="K139" s="95">
        <f t="shared" si="11"/>
        <v>-30</v>
      </c>
      <c r="L139" s="95"/>
      <c r="M139" s="97">
        <f t="shared" si="12"/>
        <v>0</v>
      </c>
    </row>
    <row r="140" spans="1:13" x14ac:dyDescent="0.25">
      <c r="A140" s="116"/>
      <c r="G140" s="80"/>
      <c r="H140" s="95">
        <v>135</v>
      </c>
      <c r="I140" s="96" t="str">
        <f t="shared" si="10"/>
        <v/>
      </c>
      <c r="J140" s="95">
        <f t="shared" si="13"/>
        <v>-3</v>
      </c>
      <c r="K140" s="95">
        <f t="shared" si="11"/>
        <v>-30</v>
      </c>
      <c r="L140" s="95"/>
      <c r="M140" s="97">
        <f t="shared" si="12"/>
        <v>0</v>
      </c>
    </row>
    <row r="141" spans="1:13" x14ac:dyDescent="0.25">
      <c r="A141" s="116"/>
      <c r="G141" s="80"/>
      <c r="H141" s="95">
        <v>136</v>
      </c>
      <c r="I141" s="96" t="str">
        <f t="shared" si="10"/>
        <v/>
      </c>
      <c r="J141" s="95">
        <f t="shared" si="13"/>
        <v>-3</v>
      </c>
      <c r="K141" s="95">
        <f t="shared" si="11"/>
        <v>-30</v>
      </c>
      <c r="L141" s="95"/>
      <c r="M141" s="97">
        <f t="shared" si="12"/>
        <v>0</v>
      </c>
    </row>
    <row r="142" spans="1:13" x14ac:dyDescent="0.25">
      <c r="A142" s="116"/>
      <c r="G142" s="80"/>
      <c r="H142" s="95">
        <v>137</v>
      </c>
      <c r="I142" s="96" t="str">
        <f t="shared" si="10"/>
        <v/>
      </c>
      <c r="J142" s="95">
        <f t="shared" si="13"/>
        <v>-3</v>
      </c>
      <c r="K142" s="95">
        <f t="shared" si="11"/>
        <v>-30</v>
      </c>
      <c r="L142" s="95"/>
      <c r="M142" s="97">
        <f t="shared" si="12"/>
        <v>0</v>
      </c>
    </row>
    <row r="143" spans="1:13" x14ac:dyDescent="0.25">
      <c r="A143" s="116"/>
      <c r="G143" s="80"/>
      <c r="H143" s="95">
        <v>138</v>
      </c>
      <c r="I143" s="96" t="str">
        <f t="shared" si="10"/>
        <v/>
      </c>
      <c r="J143" s="95">
        <f t="shared" si="13"/>
        <v>-3</v>
      </c>
      <c r="K143" s="95">
        <f t="shared" si="11"/>
        <v>-30</v>
      </c>
      <c r="L143" s="95"/>
      <c r="M143" s="97">
        <f t="shared" si="12"/>
        <v>0</v>
      </c>
    </row>
    <row r="144" spans="1:13" x14ac:dyDescent="0.25">
      <c r="A144" s="116"/>
      <c r="G144" s="80"/>
      <c r="H144" s="95">
        <v>139</v>
      </c>
      <c r="I144" s="96" t="str">
        <f t="shared" si="10"/>
        <v/>
      </c>
      <c r="J144" s="95">
        <f t="shared" si="13"/>
        <v>-3</v>
      </c>
      <c r="K144" s="95">
        <f t="shared" si="11"/>
        <v>-30</v>
      </c>
      <c r="L144" s="95"/>
      <c r="M144" s="97">
        <f t="shared" si="12"/>
        <v>0</v>
      </c>
    </row>
    <row r="145" spans="1:13" x14ac:dyDescent="0.25">
      <c r="A145" s="116"/>
      <c r="G145" s="80"/>
      <c r="H145" s="95">
        <v>140</v>
      </c>
      <c r="I145" s="96" t="str">
        <f t="shared" si="10"/>
        <v/>
      </c>
      <c r="J145" s="95">
        <f t="shared" si="13"/>
        <v>-3</v>
      </c>
      <c r="K145" s="95">
        <f t="shared" si="11"/>
        <v>-30</v>
      </c>
      <c r="L145" s="95"/>
      <c r="M145" s="97">
        <f t="shared" si="12"/>
        <v>0</v>
      </c>
    </row>
    <row r="146" spans="1:13" x14ac:dyDescent="0.25">
      <c r="A146" s="116"/>
      <c r="G146" s="80"/>
      <c r="H146" s="95">
        <v>141</v>
      </c>
      <c r="I146" s="96" t="str">
        <f t="shared" si="10"/>
        <v/>
      </c>
      <c r="J146" s="95">
        <f t="shared" si="13"/>
        <v>-3</v>
      </c>
      <c r="K146" s="95">
        <f t="shared" si="11"/>
        <v>-30</v>
      </c>
      <c r="L146" s="95"/>
      <c r="M146" s="97">
        <f t="shared" si="12"/>
        <v>0</v>
      </c>
    </row>
    <row r="147" spans="1:13" x14ac:dyDescent="0.25">
      <c r="A147" s="116"/>
      <c r="G147" s="80"/>
      <c r="H147" s="95">
        <v>142</v>
      </c>
      <c r="I147" s="96" t="str">
        <f t="shared" si="10"/>
        <v/>
      </c>
      <c r="J147" s="95">
        <f t="shared" si="13"/>
        <v>-3</v>
      </c>
      <c r="K147" s="95">
        <f t="shared" si="11"/>
        <v>-30</v>
      </c>
      <c r="L147" s="95"/>
      <c r="M147" s="97">
        <f t="shared" si="12"/>
        <v>0</v>
      </c>
    </row>
    <row r="148" spans="1:13" x14ac:dyDescent="0.25">
      <c r="A148" s="116"/>
      <c r="G148" s="80"/>
      <c r="H148" s="95">
        <v>143</v>
      </c>
      <c r="I148" s="96" t="str">
        <f t="shared" si="10"/>
        <v/>
      </c>
      <c r="J148" s="95">
        <f t="shared" si="13"/>
        <v>-3</v>
      </c>
      <c r="K148" s="95">
        <f t="shared" si="11"/>
        <v>-30</v>
      </c>
      <c r="L148" s="95"/>
      <c r="M148" s="97">
        <f t="shared" si="12"/>
        <v>0</v>
      </c>
    </row>
    <row r="149" spans="1:13" x14ac:dyDescent="0.25">
      <c r="A149" s="116"/>
      <c r="G149" s="80"/>
      <c r="H149" s="95">
        <v>144</v>
      </c>
      <c r="I149" s="96" t="str">
        <f t="shared" si="10"/>
        <v/>
      </c>
      <c r="J149" s="95">
        <f t="shared" si="13"/>
        <v>-3</v>
      </c>
      <c r="K149" s="95">
        <f t="shared" si="11"/>
        <v>-30</v>
      </c>
      <c r="L149" s="95"/>
      <c r="M149" s="97">
        <f t="shared" si="12"/>
        <v>0</v>
      </c>
    </row>
    <row r="150" spans="1:13" x14ac:dyDescent="0.25">
      <c r="A150" s="116"/>
      <c r="G150" s="80"/>
      <c r="H150" s="95">
        <v>145</v>
      </c>
      <c r="I150" s="96" t="str">
        <f t="shared" si="10"/>
        <v/>
      </c>
      <c r="J150" s="95">
        <f t="shared" si="13"/>
        <v>-3</v>
      </c>
      <c r="K150" s="95">
        <f t="shared" si="11"/>
        <v>-30</v>
      </c>
      <c r="L150" s="95"/>
      <c r="M150" s="97">
        <f t="shared" si="12"/>
        <v>0</v>
      </c>
    </row>
    <row r="151" spans="1:13" x14ac:dyDescent="0.25">
      <c r="A151" s="116"/>
      <c r="G151" s="80"/>
      <c r="H151" s="95">
        <v>146</v>
      </c>
      <c r="I151" s="96" t="str">
        <f t="shared" si="10"/>
        <v/>
      </c>
      <c r="J151" s="95">
        <f t="shared" si="13"/>
        <v>-3</v>
      </c>
      <c r="K151" s="95">
        <f t="shared" si="11"/>
        <v>-30</v>
      </c>
      <c r="L151" s="95"/>
      <c r="M151" s="97">
        <f t="shared" si="12"/>
        <v>0</v>
      </c>
    </row>
    <row r="152" spans="1:13" x14ac:dyDescent="0.25">
      <c r="A152" s="116"/>
      <c r="G152" s="80"/>
      <c r="H152" s="95">
        <v>147</v>
      </c>
      <c r="I152" s="96" t="str">
        <f t="shared" si="10"/>
        <v/>
      </c>
      <c r="J152" s="95">
        <f t="shared" si="13"/>
        <v>-3</v>
      </c>
      <c r="K152" s="95">
        <f t="shared" si="11"/>
        <v>-30</v>
      </c>
      <c r="L152" s="95"/>
      <c r="M152" s="97">
        <f t="shared" si="12"/>
        <v>0</v>
      </c>
    </row>
    <row r="153" spans="1:13" x14ac:dyDescent="0.25">
      <c r="A153" s="116"/>
      <c r="G153" s="80"/>
      <c r="H153" s="95">
        <v>148</v>
      </c>
      <c r="I153" s="96" t="str">
        <f t="shared" si="10"/>
        <v/>
      </c>
      <c r="J153" s="95">
        <f t="shared" si="13"/>
        <v>-3</v>
      </c>
      <c r="K153" s="95">
        <f t="shared" si="11"/>
        <v>-30</v>
      </c>
      <c r="L153" s="95"/>
      <c r="M153" s="97">
        <f t="shared" si="12"/>
        <v>0</v>
      </c>
    </row>
    <row r="154" spans="1:13" x14ac:dyDescent="0.25">
      <c r="A154" s="116"/>
      <c r="G154" s="80"/>
      <c r="H154" s="95">
        <v>149</v>
      </c>
      <c r="I154" s="96" t="str">
        <f t="shared" si="10"/>
        <v/>
      </c>
      <c r="J154" s="95">
        <f t="shared" si="13"/>
        <v>-3</v>
      </c>
      <c r="K154" s="95">
        <f t="shared" si="11"/>
        <v>-30</v>
      </c>
      <c r="L154" s="95"/>
      <c r="M154" s="97">
        <f t="shared" si="12"/>
        <v>0</v>
      </c>
    </row>
    <row r="155" spans="1:13" x14ac:dyDescent="0.25">
      <c r="A155" s="116"/>
      <c r="G155" s="80"/>
      <c r="H155" s="95">
        <v>150</v>
      </c>
      <c r="I155" s="96" t="str">
        <f t="shared" si="10"/>
        <v/>
      </c>
      <c r="J155" s="95">
        <f t="shared" si="13"/>
        <v>-3</v>
      </c>
      <c r="K155" s="95">
        <f t="shared" si="11"/>
        <v>-30</v>
      </c>
      <c r="L155" s="95"/>
      <c r="M155" s="97">
        <f t="shared" si="12"/>
        <v>0</v>
      </c>
    </row>
    <row r="156" spans="1:13" x14ac:dyDescent="0.25">
      <c r="A156" s="116"/>
      <c r="G156" s="80"/>
      <c r="H156" s="95">
        <v>151</v>
      </c>
      <c r="I156" s="96" t="str">
        <f t="shared" si="10"/>
        <v/>
      </c>
      <c r="J156" s="95">
        <f t="shared" si="13"/>
        <v>-3</v>
      </c>
      <c r="K156" s="95">
        <f t="shared" si="11"/>
        <v>-30</v>
      </c>
      <c r="L156" s="95"/>
      <c r="M156" s="97">
        <f t="shared" si="12"/>
        <v>0</v>
      </c>
    </row>
    <row r="157" spans="1:13" x14ac:dyDescent="0.25">
      <c r="A157" s="116"/>
      <c r="G157" s="80"/>
      <c r="H157" s="95">
        <v>152</v>
      </c>
      <c r="I157" s="96" t="str">
        <f t="shared" si="10"/>
        <v/>
      </c>
      <c r="J157" s="95">
        <f t="shared" si="13"/>
        <v>-3</v>
      </c>
      <c r="K157" s="95">
        <f t="shared" si="11"/>
        <v>-30</v>
      </c>
      <c r="L157" s="95"/>
      <c r="M157" s="97">
        <f t="shared" si="12"/>
        <v>0</v>
      </c>
    </row>
    <row r="158" spans="1:13" x14ac:dyDescent="0.25">
      <c r="A158" s="116"/>
      <c r="G158" s="80"/>
      <c r="H158" s="95">
        <v>153</v>
      </c>
      <c r="I158" s="96" t="str">
        <f t="shared" si="10"/>
        <v/>
      </c>
      <c r="J158" s="95">
        <f t="shared" si="13"/>
        <v>-3</v>
      </c>
      <c r="K158" s="95">
        <f t="shared" si="11"/>
        <v>-30</v>
      </c>
      <c r="L158" s="95"/>
      <c r="M158" s="97">
        <f t="shared" si="12"/>
        <v>0</v>
      </c>
    </row>
    <row r="159" spans="1:13" x14ac:dyDescent="0.25">
      <c r="A159" s="116"/>
      <c r="G159" s="80"/>
      <c r="H159" s="95">
        <v>154</v>
      </c>
      <c r="I159" s="96" t="str">
        <f t="shared" si="10"/>
        <v/>
      </c>
      <c r="J159" s="95">
        <f t="shared" si="13"/>
        <v>-3</v>
      </c>
      <c r="K159" s="95">
        <f t="shared" si="11"/>
        <v>-30</v>
      </c>
      <c r="L159" s="95"/>
      <c r="M159" s="97">
        <f t="shared" si="12"/>
        <v>0</v>
      </c>
    </row>
    <row r="160" spans="1:13" x14ac:dyDescent="0.25">
      <c r="A160" s="116"/>
      <c r="G160" s="80"/>
      <c r="H160" s="95">
        <v>155</v>
      </c>
      <c r="I160" s="96" t="str">
        <f t="shared" si="10"/>
        <v/>
      </c>
      <c r="J160" s="95">
        <f t="shared" si="13"/>
        <v>-3</v>
      </c>
      <c r="K160" s="95">
        <f t="shared" si="11"/>
        <v>-30</v>
      </c>
      <c r="L160" s="95"/>
      <c r="M160" s="97">
        <f t="shared" si="12"/>
        <v>0</v>
      </c>
    </row>
    <row r="161" spans="1:13" x14ac:dyDescent="0.25">
      <c r="A161" s="116"/>
      <c r="G161" s="80"/>
      <c r="H161" s="95">
        <v>156</v>
      </c>
      <c r="I161" s="96" t="str">
        <f t="shared" si="10"/>
        <v/>
      </c>
      <c r="J161" s="95">
        <f t="shared" si="13"/>
        <v>-3</v>
      </c>
      <c r="K161" s="95">
        <f t="shared" si="11"/>
        <v>-30</v>
      </c>
      <c r="L161" s="95"/>
      <c r="M161" s="97">
        <f t="shared" si="12"/>
        <v>0</v>
      </c>
    </row>
    <row r="162" spans="1:13" x14ac:dyDescent="0.25">
      <c r="A162" s="116"/>
      <c r="G162" s="80"/>
      <c r="H162" s="95">
        <v>157</v>
      </c>
      <c r="I162" s="96" t="str">
        <f t="shared" si="10"/>
        <v/>
      </c>
      <c r="J162" s="95">
        <f t="shared" si="13"/>
        <v>-3</v>
      </c>
      <c r="K162" s="95">
        <f t="shared" si="11"/>
        <v>-30</v>
      </c>
      <c r="L162" s="95"/>
      <c r="M162" s="97">
        <f t="shared" si="12"/>
        <v>0</v>
      </c>
    </row>
    <row r="163" spans="1:13" x14ac:dyDescent="0.25">
      <c r="A163" s="116"/>
      <c r="G163" s="80"/>
      <c r="H163" s="95">
        <v>158</v>
      </c>
      <c r="I163" s="96" t="str">
        <f t="shared" si="10"/>
        <v/>
      </c>
      <c r="J163" s="95">
        <f t="shared" si="13"/>
        <v>-3</v>
      </c>
      <c r="K163" s="95">
        <f t="shared" si="11"/>
        <v>-30</v>
      </c>
      <c r="L163" s="95"/>
      <c r="M163" s="97">
        <f t="shared" si="12"/>
        <v>0</v>
      </c>
    </row>
    <row r="164" spans="1:13" x14ac:dyDescent="0.25">
      <c r="A164" s="116"/>
      <c r="G164" s="80"/>
      <c r="H164" s="95">
        <v>159</v>
      </c>
      <c r="I164" s="96" t="str">
        <f t="shared" si="10"/>
        <v/>
      </c>
      <c r="J164" s="95">
        <f t="shared" si="13"/>
        <v>-3</v>
      </c>
      <c r="K164" s="95">
        <f t="shared" si="11"/>
        <v>-30</v>
      </c>
      <c r="L164" s="95"/>
      <c r="M164" s="97">
        <f t="shared" si="12"/>
        <v>0</v>
      </c>
    </row>
    <row r="165" spans="1:13" x14ac:dyDescent="0.25">
      <c r="A165" s="116"/>
      <c r="G165" s="80"/>
      <c r="H165" s="95">
        <v>160</v>
      </c>
      <c r="I165" s="96" t="str">
        <f t="shared" si="10"/>
        <v/>
      </c>
      <c r="J165" s="95">
        <f t="shared" si="13"/>
        <v>-3</v>
      </c>
      <c r="K165" s="95">
        <f t="shared" si="11"/>
        <v>-30</v>
      </c>
      <c r="L165" s="95"/>
      <c r="M165" s="97">
        <f t="shared" si="12"/>
        <v>0</v>
      </c>
    </row>
    <row r="166" spans="1:13" x14ac:dyDescent="0.25">
      <c r="A166" s="116"/>
      <c r="G166" s="80"/>
      <c r="H166" s="95">
        <v>161</v>
      </c>
      <c r="I166" s="96" t="str">
        <f t="shared" si="10"/>
        <v/>
      </c>
      <c r="J166" s="95">
        <f t="shared" si="13"/>
        <v>-3</v>
      </c>
      <c r="K166" s="95">
        <f t="shared" si="11"/>
        <v>-30</v>
      </c>
      <c r="L166" s="95"/>
      <c r="M166" s="97">
        <f t="shared" si="12"/>
        <v>0</v>
      </c>
    </row>
    <row r="167" spans="1:13" x14ac:dyDescent="0.25">
      <c r="A167" s="116"/>
      <c r="G167" s="80"/>
      <c r="H167" s="95">
        <v>162</v>
      </c>
      <c r="I167" s="96" t="str">
        <f t="shared" si="10"/>
        <v/>
      </c>
      <c r="J167" s="95">
        <f t="shared" si="13"/>
        <v>-3</v>
      </c>
      <c r="K167" s="95">
        <f t="shared" si="11"/>
        <v>-30</v>
      </c>
      <c r="L167" s="95"/>
      <c r="M167" s="97">
        <f t="shared" si="12"/>
        <v>0</v>
      </c>
    </row>
    <row r="168" spans="1:13" x14ac:dyDescent="0.25">
      <c r="A168" s="116"/>
      <c r="G168" s="80"/>
      <c r="H168" s="95">
        <v>163</v>
      </c>
      <c r="I168" s="96" t="str">
        <f t="shared" si="10"/>
        <v/>
      </c>
      <c r="J168" s="95">
        <f t="shared" si="13"/>
        <v>-3</v>
      </c>
      <c r="K168" s="95">
        <f t="shared" si="11"/>
        <v>-30</v>
      </c>
      <c r="L168" s="95"/>
      <c r="M168" s="97">
        <f t="shared" si="12"/>
        <v>0</v>
      </c>
    </row>
    <row r="169" spans="1:13" x14ac:dyDescent="0.25">
      <c r="A169" s="116"/>
      <c r="G169" s="80"/>
      <c r="H169" s="95">
        <v>164</v>
      </c>
      <c r="I169" s="96" t="str">
        <f t="shared" si="10"/>
        <v/>
      </c>
      <c r="J169" s="95">
        <f t="shared" si="13"/>
        <v>-3</v>
      </c>
      <c r="K169" s="95">
        <f t="shared" si="11"/>
        <v>-30</v>
      </c>
      <c r="L169" s="95"/>
      <c r="M169" s="97">
        <f t="shared" si="12"/>
        <v>0</v>
      </c>
    </row>
    <row r="170" spans="1:13" x14ac:dyDescent="0.25">
      <c r="A170" s="116"/>
      <c r="G170" s="80"/>
      <c r="H170" s="95">
        <v>165</v>
      </c>
      <c r="I170" s="96" t="str">
        <f t="shared" si="10"/>
        <v/>
      </c>
      <c r="J170" s="95">
        <f t="shared" si="13"/>
        <v>-3</v>
      </c>
      <c r="K170" s="95">
        <f t="shared" si="11"/>
        <v>-30</v>
      </c>
      <c r="L170" s="95"/>
      <c r="M170" s="97">
        <f t="shared" si="12"/>
        <v>0</v>
      </c>
    </row>
    <row r="171" spans="1:13" x14ac:dyDescent="0.25">
      <c r="A171" s="116"/>
      <c r="G171" s="80"/>
      <c r="H171" s="95">
        <v>166</v>
      </c>
      <c r="I171" s="96" t="str">
        <f t="shared" si="10"/>
        <v/>
      </c>
      <c r="J171" s="95">
        <f t="shared" si="13"/>
        <v>-3</v>
      </c>
      <c r="K171" s="95">
        <f t="shared" si="11"/>
        <v>-30</v>
      </c>
      <c r="L171" s="95"/>
      <c r="M171" s="97">
        <f t="shared" si="12"/>
        <v>0</v>
      </c>
    </row>
    <row r="172" spans="1:13" x14ac:dyDescent="0.25">
      <c r="A172" s="116"/>
      <c r="G172" s="80"/>
      <c r="H172" s="95">
        <v>167</v>
      </c>
      <c r="I172" s="96" t="str">
        <f t="shared" si="10"/>
        <v/>
      </c>
      <c r="J172" s="95">
        <f t="shared" si="13"/>
        <v>-3</v>
      </c>
      <c r="K172" s="95">
        <f t="shared" si="11"/>
        <v>-30</v>
      </c>
      <c r="L172" s="95"/>
      <c r="M172" s="97">
        <f t="shared" si="12"/>
        <v>0</v>
      </c>
    </row>
    <row r="173" spans="1:13" x14ac:dyDescent="0.25">
      <c r="A173" s="116"/>
      <c r="G173" s="80"/>
      <c r="H173" s="95">
        <v>168</v>
      </c>
      <c r="I173" s="96" t="str">
        <f t="shared" si="10"/>
        <v/>
      </c>
      <c r="J173" s="95">
        <f t="shared" si="13"/>
        <v>-3</v>
      </c>
      <c r="K173" s="95">
        <f t="shared" si="11"/>
        <v>-30</v>
      </c>
      <c r="L173" s="95"/>
      <c r="M173" s="97">
        <f t="shared" si="12"/>
        <v>0</v>
      </c>
    </row>
    <row r="174" spans="1:13" x14ac:dyDescent="0.25">
      <c r="A174" s="116"/>
      <c r="G174" s="80"/>
      <c r="H174" s="95">
        <v>169</v>
      </c>
      <c r="I174" s="96" t="str">
        <f t="shared" si="10"/>
        <v/>
      </c>
      <c r="J174" s="95">
        <f t="shared" si="13"/>
        <v>-3</v>
      </c>
      <c r="K174" s="95">
        <f t="shared" si="11"/>
        <v>-30</v>
      </c>
      <c r="L174" s="95"/>
      <c r="M174" s="97">
        <f t="shared" si="12"/>
        <v>0</v>
      </c>
    </row>
    <row r="175" spans="1:13" x14ac:dyDescent="0.25">
      <c r="A175" s="116"/>
      <c r="G175" s="80"/>
      <c r="H175" s="95">
        <v>170</v>
      </c>
      <c r="I175" s="96" t="str">
        <f t="shared" si="10"/>
        <v/>
      </c>
      <c r="J175" s="95">
        <f t="shared" si="13"/>
        <v>-3</v>
      </c>
      <c r="K175" s="95">
        <f t="shared" si="11"/>
        <v>-30</v>
      </c>
      <c r="L175" s="95"/>
      <c r="M175" s="97">
        <f t="shared" si="12"/>
        <v>0</v>
      </c>
    </row>
    <row r="176" spans="1:13" x14ac:dyDescent="0.25">
      <c r="A176" s="116"/>
      <c r="G176" s="80"/>
      <c r="H176" s="95">
        <v>171</v>
      </c>
      <c r="I176" s="96" t="str">
        <f t="shared" si="10"/>
        <v/>
      </c>
      <c r="J176" s="95">
        <f t="shared" si="13"/>
        <v>-3</v>
      </c>
      <c r="K176" s="95">
        <f t="shared" si="11"/>
        <v>-30</v>
      </c>
      <c r="L176" s="95"/>
      <c r="M176" s="97">
        <f t="shared" si="12"/>
        <v>0</v>
      </c>
    </row>
    <row r="177" spans="1:13" x14ac:dyDescent="0.25">
      <c r="A177" s="116"/>
      <c r="G177" s="80"/>
      <c r="H177" s="95">
        <v>172</v>
      </c>
      <c r="I177" s="96" t="str">
        <f t="shared" si="10"/>
        <v/>
      </c>
      <c r="J177" s="95">
        <f t="shared" si="13"/>
        <v>-3</v>
      </c>
      <c r="K177" s="95">
        <f t="shared" si="11"/>
        <v>-30</v>
      </c>
      <c r="L177" s="95"/>
      <c r="M177" s="97">
        <f t="shared" si="12"/>
        <v>0</v>
      </c>
    </row>
    <row r="178" spans="1:13" x14ac:dyDescent="0.25">
      <c r="A178" s="116"/>
      <c r="G178" s="80"/>
      <c r="H178" s="95">
        <v>173</v>
      </c>
      <c r="I178" s="96" t="str">
        <f t="shared" si="10"/>
        <v/>
      </c>
      <c r="J178" s="95">
        <f t="shared" si="13"/>
        <v>-3</v>
      </c>
      <c r="K178" s="95">
        <f t="shared" si="11"/>
        <v>-30</v>
      </c>
      <c r="L178" s="95"/>
      <c r="M178" s="97">
        <f t="shared" si="12"/>
        <v>0</v>
      </c>
    </row>
    <row r="179" spans="1:13" x14ac:dyDescent="0.25">
      <c r="A179" s="116"/>
      <c r="G179" s="80"/>
      <c r="H179" s="95">
        <v>174</v>
      </c>
      <c r="I179" s="96" t="str">
        <f t="shared" si="10"/>
        <v/>
      </c>
      <c r="J179" s="95">
        <f t="shared" si="13"/>
        <v>-3</v>
      </c>
      <c r="K179" s="95">
        <f t="shared" si="11"/>
        <v>-30</v>
      </c>
      <c r="L179" s="95"/>
      <c r="M179" s="97">
        <f t="shared" si="12"/>
        <v>0</v>
      </c>
    </row>
    <row r="180" spans="1:13" x14ac:dyDescent="0.25">
      <c r="A180" s="116"/>
      <c r="G180" s="80"/>
      <c r="H180" s="95">
        <v>175</v>
      </c>
      <c r="I180" s="96" t="str">
        <f t="shared" si="10"/>
        <v/>
      </c>
      <c r="J180" s="95">
        <f t="shared" si="13"/>
        <v>-3</v>
      </c>
      <c r="K180" s="95">
        <f t="shared" si="11"/>
        <v>-30</v>
      </c>
      <c r="L180" s="95"/>
      <c r="M180" s="97">
        <f t="shared" si="12"/>
        <v>0</v>
      </c>
    </row>
    <row r="181" spans="1:13" x14ac:dyDescent="0.25">
      <c r="A181" s="116"/>
      <c r="G181" s="80"/>
      <c r="H181" s="95">
        <v>176</v>
      </c>
      <c r="I181" s="96" t="str">
        <f t="shared" si="10"/>
        <v/>
      </c>
      <c r="J181" s="95">
        <f t="shared" si="13"/>
        <v>-3</v>
      </c>
      <c r="K181" s="95">
        <f t="shared" si="11"/>
        <v>-30</v>
      </c>
      <c r="L181" s="95"/>
      <c r="M181" s="97">
        <f t="shared" si="12"/>
        <v>0</v>
      </c>
    </row>
    <row r="182" spans="1:13" x14ac:dyDescent="0.25">
      <c r="A182" s="116"/>
      <c r="G182" s="80"/>
      <c r="H182" s="95">
        <v>177</v>
      </c>
      <c r="I182" s="96" t="str">
        <f t="shared" si="10"/>
        <v/>
      </c>
      <c r="J182" s="95">
        <f t="shared" si="13"/>
        <v>-3</v>
      </c>
      <c r="K182" s="95">
        <f t="shared" si="11"/>
        <v>-30</v>
      </c>
      <c r="L182" s="95"/>
      <c r="M182" s="97">
        <f t="shared" si="12"/>
        <v>0</v>
      </c>
    </row>
    <row r="183" spans="1:13" x14ac:dyDescent="0.25">
      <c r="A183" s="116"/>
      <c r="G183" s="80"/>
      <c r="H183" s="95">
        <v>178</v>
      </c>
      <c r="I183" s="96" t="str">
        <f t="shared" si="10"/>
        <v/>
      </c>
      <c r="J183" s="95">
        <f t="shared" si="13"/>
        <v>-3</v>
      </c>
      <c r="K183" s="95">
        <f t="shared" si="11"/>
        <v>-30</v>
      </c>
      <c r="L183" s="95"/>
      <c r="M183" s="97">
        <f t="shared" si="12"/>
        <v>0</v>
      </c>
    </row>
    <row r="184" spans="1:13" x14ac:dyDescent="0.25">
      <c r="A184" s="116"/>
      <c r="G184" s="80"/>
      <c r="H184" s="95">
        <v>179</v>
      </c>
      <c r="I184" s="96" t="str">
        <f t="shared" si="10"/>
        <v/>
      </c>
      <c r="J184" s="95">
        <f t="shared" si="13"/>
        <v>-3</v>
      </c>
      <c r="K184" s="95">
        <f t="shared" si="11"/>
        <v>-30</v>
      </c>
      <c r="L184" s="95"/>
      <c r="M184" s="97">
        <f t="shared" si="12"/>
        <v>0</v>
      </c>
    </row>
    <row r="185" spans="1:13" x14ac:dyDescent="0.25">
      <c r="A185" s="116"/>
      <c r="G185" s="80"/>
      <c r="H185" s="95">
        <v>180</v>
      </c>
      <c r="I185" s="96" t="str">
        <f t="shared" si="10"/>
        <v/>
      </c>
      <c r="J185" s="95">
        <f t="shared" si="13"/>
        <v>-3</v>
      </c>
      <c r="K185" s="95">
        <f t="shared" si="11"/>
        <v>-30</v>
      </c>
      <c r="L185" s="95"/>
      <c r="M185" s="97">
        <f t="shared" si="12"/>
        <v>0</v>
      </c>
    </row>
    <row r="186" spans="1:13" x14ac:dyDescent="0.25">
      <c r="A186" s="116"/>
      <c r="G186" s="80"/>
      <c r="H186" s="95">
        <v>181</v>
      </c>
      <c r="I186" s="96" t="str">
        <f t="shared" si="10"/>
        <v/>
      </c>
      <c r="J186" s="95">
        <f t="shared" si="13"/>
        <v>-3</v>
      </c>
      <c r="K186" s="95">
        <f t="shared" si="11"/>
        <v>-30</v>
      </c>
      <c r="L186" s="95"/>
      <c r="M186" s="97">
        <f t="shared" si="12"/>
        <v>0</v>
      </c>
    </row>
    <row r="187" spans="1:13" x14ac:dyDescent="0.25">
      <c r="A187" s="116"/>
      <c r="G187" s="80"/>
      <c r="H187" s="95">
        <v>182</v>
      </c>
      <c r="I187" s="96" t="str">
        <f t="shared" si="10"/>
        <v/>
      </c>
      <c r="J187" s="95">
        <f t="shared" si="13"/>
        <v>-3</v>
      </c>
      <c r="K187" s="95">
        <f t="shared" si="11"/>
        <v>-30</v>
      </c>
      <c r="L187" s="95"/>
      <c r="M187" s="97">
        <f t="shared" si="12"/>
        <v>0</v>
      </c>
    </row>
    <row r="188" spans="1:13" x14ac:dyDescent="0.25">
      <c r="A188" s="116"/>
      <c r="G188" s="80"/>
      <c r="H188" s="95">
        <v>183</v>
      </c>
      <c r="I188" s="96" t="str">
        <f t="shared" si="10"/>
        <v/>
      </c>
      <c r="J188" s="95">
        <f t="shared" si="13"/>
        <v>-3</v>
      </c>
      <c r="K188" s="95">
        <f t="shared" si="11"/>
        <v>-30</v>
      </c>
      <c r="L188" s="95"/>
      <c r="M188" s="97">
        <f t="shared" si="12"/>
        <v>0</v>
      </c>
    </row>
    <row r="189" spans="1:13" x14ac:dyDescent="0.25">
      <c r="A189" s="116"/>
      <c r="G189" s="80"/>
      <c r="H189" s="95">
        <v>184</v>
      </c>
      <c r="I189" s="96" t="str">
        <f t="shared" si="10"/>
        <v/>
      </c>
      <c r="J189" s="95">
        <f t="shared" si="13"/>
        <v>-3</v>
      </c>
      <c r="K189" s="95">
        <f t="shared" si="11"/>
        <v>-30</v>
      </c>
      <c r="L189" s="95"/>
      <c r="M189" s="97">
        <f t="shared" si="12"/>
        <v>0</v>
      </c>
    </row>
    <row r="190" spans="1:13" x14ac:dyDescent="0.25">
      <c r="A190" s="116"/>
      <c r="G190" s="80"/>
      <c r="H190" s="95">
        <v>185</v>
      </c>
      <c r="I190" s="96" t="str">
        <f t="shared" si="10"/>
        <v/>
      </c>
      <c r="J190" s="95">
        <f t="shared" si="13"/>
        <v>-3</v>
      </c>
      <c r="K190" s="95">
        <f t="shared" si="11"/>
        <v>-30</v>
      </c>
      <c r="L190" s="95"/>
      <c r="M190" s="97">
        <f t="shared" si="12"/>
        <v>0</v>
      </c>
    </row>
    <row r="191" spans="1:13" x14ac:dyDescent="0.25">
      <c r="A191" s="116"/>
      <c r="G191" s="80"/>
      <c r="H191" s="95">
        <v>186</v>
      </c>
      <c r="I191" s="96" t="str">
        <f t="shared" si="10"/>
        <v/>
      </c>
      <c r="J191" s="95">
        <f t="shared" si="13"/>
        <v>-3</v>
      </c>
      <c r="K191" s="95">
        <f t="shared" si="11"/>
        <v>-30</v>
      </c>
      <c r="L191" s="95"/>
      <c r="M191" s="97">
        <f t="shared" si="12"/>
        <v>0</v>
      </c>
    </row>
    <row r="192" spans="1:13" x14ac:dyDescent="0.25">
      <c r="A192" s="116"/>
      <c r="G192" s="80"/>
      <c r="H192" s="95">
        <v>187</v>
      </c>
      <c r="I192" s="96" t="str">
        <f t="shared" si="10"/>
        <v/>
      </c>
      <c r="J192" s="95">
        <f t="shared" si="13"/>
        <v>-3</v>
      </c>
      <c r="K192" s="95">
        <f t="shared" si="11"/>
        <v>-30</v>
      </c>
      <c r="L192" s="95"/>
      <c r="M192" s="97">
        <f t="shared" si="12"/>
        <v>0</v>
      </c>
    </row>
    <row r="193" spans="1:13" x14ac:dyDescent="0.25">
      <c r="A193" s="116"/>
      <c r="G193" s="80"/>
      <c r="H193" s="95">
        <v>188</v>
      </c>
      <c r="I193" s="96" t="str">
        <f t="shared" si="10"/>
        <v/>
      </c>
      <c r="J193" s="95">
        <f t="shared" si="13"/>
        <v>-3</v>
      </c>
      <c r="K193" s="95">
        <f t="shared" si="11"/>
        <v>-30</v>
      </c>
      <c r="L193" s="95"/>
      <c r="M193" s="97">
        <f t="shared" si="12"/>
        <v>0</v>
      </c>
    </row>
    <row r="194" spans="1:13" x14ac:dyDescent="0.25">
      <c r="A194" s="116"/>
      <c r="G194" s="80"/>
      <c r="H194" s="95">
        <v>189</v>
      </c>
      <c r="I194" s="96" t="str">
        <f t="shared" si="10"/>
        <v/>
      </c>
      <c r="J194" s="95">
        <f t="shared" si="13"/>
        <v>-3</v>
      </c>
      <c r="K194" s="95">
        <f t="shared" si="11"/>
        <v>-30</v>
      </c>
      <c r="L194" s="95"/>
      <c r="M194" s="97">
        <f t="shared" si="12"/>
        <v>0</v>
      </c>
    </row>
    <row r="195" spans="1:13" x14ac:dyDescent="0.25">
      <c r="A195" s="116"/>
      <c r="G195" s="80"/>
      <c r="H195" s="95">
        <v>190</v>
      </c>
      <c r="I195" s="96" t="str">
        <f t="shared" si="10"/>
        <v/>
      </c>
      <c r="J195" s="95">
        <f t="shared" si="13"/>
        <v>-3</v>
      </c>
      <c r="K195" s="95">
        <f t="shared" si="11"/>
        <v>-30</v>
      </c>
      <c r="L195" s="95"/>
      <c r="M195" s="97">
        <f t="shared" si="12"/>
        <v>0</v>
      </c>
    </row>
    <row r="196" spans="1:13" x14ac:dyDescent="0.25">
      <c r="A196" s="116"/>
      <c r="G196" s="80"/>
      <c r="H196" s="95">
        <v>191</v>
      </c>
      <c r="I196" s="96" t="str">
        <f t="shared" si="10"/>
        <v/>
      </c>
      <c r="J196" s="95">
        <f t="shared" si="13"/>
        <v>-3</v>
      </c>
      <c r="K196" s="95">
        <f t="shared" si="11"/>
        <v>-30</v>
      </c>
      <c r="L196" s="95"/>
      <c r="M196" s="97">
        <f t="shared" si="12"/>
        <v>0</v>
      </c>
    </row>
    <row r="197" spans="1:13" x14ac:dyDescent="0.25">
      <c r="A197" s="116"/>
      <c r="G197" s="80"/>
      <c r="H197" s="95">
        <v>192</v>
      </c>
      <c r="I197" s="96" t="str">
        <f t="shared" si="10"/>
        <v/>
      </c>
      <c r="J197" s="95">
        <f t="shared" si="13"/>
        <v>-3</v>
      </c>
      <c r="K197" s="95">
        <f t="shared" si="11"/>
        <v>-30</v>
      </c>
      <c r="L197" s="95"/>
      <c r="M197" s="97">
        <f t="shared" si="12"/>
        <v>0</v>
      </c>
    </row>
    <row r="198" spans="1:13" x14ac:dyDescent="0.25">
      <c r="A198" s="116"/>
      <c r="G198" s="80"/>
      <c r="H198" s="95">
        <v>193</v>
      </c>
      <c r="I198" s="96" t="str">
        <f t="shared" ref="I198:I261" si="14">IF(H198&lt;$H$2+1,($I$2-($I$2-1)*(LOG(H198)/LOG($H$2))),"")</f>
        <v/>
      </c>
      <c r="J198" s="95">
        <f t="shared" si="13"/>
        <v>-3</v>
      </c>
      <c r="K198" s="95">
        <f t="shared" ref="K198:K261" si="15">J198*$J$2</f>
        <v>-30</v>
      </c>
      <c r="L198" s="95"/>
      <c r="M198" s="97">
        <f t="shared" ref="M198:M261" si="16">IF(I198&lt;&gt;"",K198+I198+L198,0)</f>
        <v>0</v>
      </c>
    </row>
    <row r="199" spans="1:13" x14ac:dyDescent="0.25">
      <c r="A199" s="116"/>
      <c r="G199" s="80"/>
      <c r="H199" s="95">
        <v>194</v>
      </c>
      <c r="I199" s="96" t="str">
        <f t="shared" si="14"/>
        <v/>
      </c>
      <c r="J199" s="95">
        <f t="shared" si="13"/>
        <v>-3</v>
      </c>
      <c r="K199" s="95">
        <f t="shared" si="15"/>
        <v>-30</v>
      </c>
      <c r="L199" s="95"/>
      <c r="M199" s="97">
        <f t="shared" si="16"/>
        <v>0</v>
      </c>
    </row>
    <row r="200" spans="1:13" x14ac:dyDescent="0.25">
      <c r="A200" s="116"/>
      <c r="G200" s="80"/>
      <c r="H200" s="95">
        <v>195</v>
      </c>
      <c r="I200" s="96" t="str">
        <f t="shared" si="14"/>
        <v/>
      </c>
      <c r="J200" s="95">
        <f t="shared" si="13"/>
        <v>-3</v>
      </c>
      <c r="K200" s="95">
        <f t="shared" si="15"/>
        <v>-30</v>
      </c>
      <c r="L200" s="95"/>
      <c r="M200" s="97">
        <f t="shared" si="16"/>
        <v>0</v>
      </c>
    </row>
    <row r="201" spans="1:13" x14ac:dyDescent="0.25">
      <c r="A201" s="116"/>
      <c r="G201" s="80"/>
      <c r="H201" s="95">
        <v>196</v>
      </c>
      <c r="I201" s="96" t="str">
        <f t="shared" si="14"/>
        <v/>
      </c>
      <c r="J201" s="95">
        <f t="shared" si="13"/>
        <v>-3</v>
      </c>
      <c r="K201" s="95">
        <f t="shared" si="15"/>
        <v>-30</v>
      </c>
      <c r="L201" s="95"/>
      <c r="M201" s="97">
        <f t="shared" si="16"/>
        <v>0</v>
      </c>
    </row>
    <row r="202" spans="1:13" x14ac:dyDescent="0.25">
      <c r="A202" s="116"/>
      <c r="G202" s="80"/>
      <c r="H202" s="95">
        <v>197</v>
      </c>
      <c r="I202" s="96" t="str">
        <f t="shared" si="14"/>
        <v/>
      </c>
      <c r="J202" s="95">
        <f t="shared" ref="J202:J265" si="17">INT(LOG($H$2,2))-ROUNDUP(LOG(H202,2),0)+IF(OR($H$2=1,$H$2=2,$H$2=4,$H$2=8,$H$2=16,$H$2=32,$H$2=64,$H$2=128,$H$2=256),0,1)</f>
        <v>-3</v>
      </c>
      <c r="K202" s="95">
        <f t="shared" si="15"/>
        <v>-30</v>
      </c>
      <c r="L202" s="95"/>
      <c r="M202" s="97">
        <f t="shared" si="16"/>
        <v>0</v>
      </c>
    </row>
    <row r="203" spans="1:13" x14ac:dyDescent="0.25">
      <c r="A203" s="116"/>
      <c r="G203" s="80"/>
      <c r="H203" s="95">
        <v>198</v>
      </c>
      <c r="I203" s="96" t="str">
        <f t="shared" si="14"/>
        <v/>
      </c>
      <c r="J203" s="95">
        <f t="shared" si="17"/>
        <v>-3</v>
      </c>
      <c r="K203" s="95">
        <f t="shared" si="15"/>
        <v>-30</v>
      </c>
      <c r="L203" s="95"/>
      <c r="M203" s="97">
        <f t="shared" si="16"/>
        <v>0</v>
      </c>
    </row>
    <row r="204" spans="1:13" x14ac:dyDescent="0.25">
      <c r="A204" s="116"/>
      <c r="G204" s="80"/>
      <c r="H204" s="95">
        <v>199</v>
      </c>
      <c r="I204" s="96" t="str">
        <f t="shared" si="14"/>
        <v/>
      </c>
      <c r="J204" s="95">
        <f t="shared" si="17"/>
        <v>-3</v>
      </c>
      <c r="K204" s="95">
        <f t="shared" si="15"/>
        <v>-30</v>
      </c>
      <c r="L204" s="95"/>
      <c r="M204" s="97">
        <f t="shared" si="16"/>
        <v>0</v>
      </c>
    </row>
    <row r="205" spans="1:13" x14ac:dyDescent="0.25">
      <c r="A205" s="116"/>
      <c r="G205" s="80"/>
      <c r="H205" s="95">
        <v>200</v>
      </c>
      <c r="I205" s="96" t="str">
        <f t="shared" si="14"/>
        <v/>
      </c>
      <c r="J205" s="95">
        <f t="shared" si="17"/>
        <v>-3</v>
      </c>
      <c r="K205" s="95">
        <f t="shared" si="15"/>
        <v>-30</v>
      </c>
      <c r="L205" s="95"/>
      <c r="M205" s="97">
        <f t="shared" si="16"/>
        <v>0</v>
      </c>
    </row>
    <row r="206" spans="1:13" x14ac:dyDescent="0.25">
      <c r="A206" s="116"/>
      <c r="G206" s="80"/>
      <c r="H206" s="95">
        <v>201</v>
      </c>
      <c r="I206" s="96" t="str">
        <f t="shared" si="14"/>
        <v/>
      </c>
      <c r="J206" s="95">
        <f t="shared" si="17"/>
        <v>-3</v>
      </c>
      <c r="K206" s="95">
        <f t="shared" si="15"/>
        <v>-30</v>
      </c>
      <c r="L206" s="95"/>
      <c r="M206" s="97">
        <f t="shared" si="16"/>
        <v>0</v>
      </c>
    </row>
    <row r="207" spans="1:13" x14ac:dyDescent="0.25">
      <c r="A207" s="116"/>
      <c r="G207" s="80"/>
      <c r="H207" s="95">
        <v>202</v>
      </c>
      <c r="I207" s="96" t="str">
        <f t="shared" si="14"/>
        <v/>
      </c>
      <c r="J207" s="95">
        <f t="shared" si="17"/>
        <v>-3</v>
      </c>
      <c r="K207" s="95">
        <f t="shared" si="15"/>
        <v>-30</v>
      </c>
      <c r="L207" s="95"/>
      <c r="M207" s="97">
        <f t="shared" si="16"/>
        <v>0</v>
      </c>
    </row>
    <row r="208" spans="1:13" x14ac:dyDescent="0.25">
      <c r="A208" s="116"/>
      <c r="G208" s="80"/>
      <c r="H208" s="95">
        <v>203</v>
      </c>
      <c r="I208" s="96" t="str">
        <f t="shared" si="14"/>
        <v/>
      </c>
      <c r="J208" s="95">
        <f t="shared" si="17"/>
        <v>-3</v>
      </c>
      <c r="K208" s="95">
        <f t="shared" si="15"/>
        <v>-30</v>
      </c>
      <c r="L208" s="95"/>
      <c r="M208" s="97">
        <f t="shared" si="16"/>
        <v>0</v>
      </c>
    </row>
    <row r="209" spans="1:13" x14ac:dyDescent="0.25">
      <c r="A209" s="116"/>
      <c r="G209" s="80"/>
      <c r="H209" s="95">
        <v>204</v>
      </c>
      <c r="I209" s="96" t="str">
        <f t="shared" si="14"/>
        <v/>
      </c>
      <c r="J209" s="95">
        <f t="shared" si="17"/>
        <v>-3</v>
      </c>
      <c r="K209" s="95">
        <f t="shared" si="15"/>
        <v>-30</v>
      </c>
      <c r="L209" s="95"/>
      <c r="M209" s="97">
        <f t="shared" si="16"/>
        <v>0</v>
      </c>
    </row>
    <row r="210" spans="1:13" x14ac:dyDescent="0.25">
      <c r="A210" s="116"/>
      <c r="G210" s="80"/>
      <c r="H210" s="95">
        <v>205</v>
      </c>
      <c r="I210" s="96" t="str">
        <f t="shared" si="14"/>
        <v/>
      </c>
      <c r="J210" s="95">
        <f t="shared" si="17"/>
        <v>-3</v>
      </c>
      <c r="K210" s="95">
        <f t="shared" si="15"/>
        <v>-30</v>
      </c>
      <c r="L210" s="95"/>
      <c r="M210" s="97">
        <f t="shared" si="16"/>
        <v>0</v>
      </c>
    </row>
    <row r="211" spans="1:13" x14ac:dyDescent="0.25">
      <c r="A211" s="116"/>
      <c r="G211" s="80"/>
      <c r="H211" s="95">
        <v>206</v>
      </c>
      <c r="I211" s="96" t="str">
        <f t="shared" si="14"/>
        <v/>
      </c>
      <c r="J211" s="95">
        <f t="shared" si="17"/>
        <v>-3</v>
      </c>
      <c r="K211" s="95">
        <f t="shared" si="15"/>
        <v>-30</v>
      </c>
      <c r="L211" s="95"/>
      <c r="M211" s="97">
        <f t="shared" si="16"/>
        <v>0</v>
      </c>
    </row>
    <row r="212" spans="1:13" x14ac:dyDescent="0.25">
      <c r="A212" s="116"/>
      <c r="G212" s="80"/>
      <c r="H212" s="95">
        <v>207</v>
      </c>
      <c r="I212" s="96" t="str">
        <f t="shared" si="14"/>
        <v/>
      </c>
      <c r="J212" s="95">
        <f t="shared" si="17"/>
        <v>-3</v>
      </c>
      <c r="K212" s="95">
        <f t="shared" si="15"/>
        <v>-30</v>
      </c>
      <c r="L212" s="95"/>
      <c r="M212" s="97">
        <f t="shared" si="16"/>
        <v>0</v>
      </c>
    </row>
    <row r="213" spans="1:13" x14ac:dyDescent="0.25">
      <c r="A213" s="116"/>
      <c r="G213" s="80"/>
      <c r="H213" s="95">
        <v>208</v>
      </c>
      <c r="I213" s="96" t="str">
        <f t="shared" si="14"/>
        <v/>
      </c>
      <c r="J213" s="95">
        <f t="shared" si="17"/>
        <v>-3</v>
      </c>
      <c r="K213" s="95">
        <f t="shared" si="15"/>
        <v>-30</v>
      </c>
      <c r="L213" s="95"/>
      <c r="M213" s="97">
        <f t="shared" si="16"/>
        <v>0</v>
      </c>
    </row>
    <row r="214" spans="1:13" x14ac:dyDescent="0.25">
      <c r="A214" s="116"/>
      <c r="G214" s="80"/>
      <c r="H214" s="95">
        <v>209</v>
      </c>
      <c r="I214" s="96" t="str">
        <f t="shared" si="14"/>
        <v/>
      </c>
      <c r="J214" s="95">
        <f t="shared" si="17"/>
        <v>-3</v>
      </c>
      <c r="K214" s="95">
        <f t="shared" si="15"/>
        <v>-30</v>
      </c>
      <c r="L214" s="95"/>
      <c r="M214" s="97">
        <f t="shared" si="16"/>
        <v>0</v>
      </c>
    </row>
    <row r="215" spans="1:13" x14ac:dyDescent="0.25">
      <c r="A215" s="116"/>
      <c r="G215" s="80"/>
      <c r="H215" s="95">
        <v>210</v>
      </c>
      <c r="I215" s="96" t="str">
        <f t="shared" si="14"/>
        <v/>
      </c>
      <c r="J215" s="95">
        <f t="shared" si="17"/>
        <v>-3</v>
      </c>
      <c r="K215" s="95">
        <f t="shared" si="15"/>
        <v>-30</v>
      </c>
      <c r="L215" s="95"/>
      <c r="M215" s="97">
        <f t="shared" si="16"/>
        <v>0</v>
      </c>
    </row>
    <row r="216" spans="1:13" x14ac:dyDescent="0.25">
      <c r="A216" s="116"/>
      <c r="G216" s="80"/>
      <c r="H216" s="95">
        <v>211</v>
      </c>
      <c r="I216" s="96" t="str">
        <f t="shared" si="14"/>
        <v/>
      </c>
      <c r="J216" s="95">
        <f t="shared" si="17"/>
        <v>-3</v>
      </c>
      <c r="K216" s="95">
        <f t="shared" si="15"/>
        <v>-30</v>
      </c>
      <c r="L216" s="95"/>
      <c r="M216" s="97">
        <f t="shared" si="16"/>
        <v>0</v>
      </c>
    </row>
    <row r="217" spans="1:13" x14ac:dyDescent="0.25">
      <c r="A217" s="116"/>
      <c r="G217" s="80"/>
      <c r="H217" s="95">
        <v>212</v>
      </c>
      <c r="I217" s="96" t="str">
        <f t="shared" si="14"/>
        <v/>
      </c>
      <c r="J217" s="95">
        <f t="shared" si="17"/>
        <v>-3</v>
      </c>
      <c r="K217" s="95">
        <f t="shared" si="15"/>
        <v>-30</v>
      </c>
      <c r="L217" s="95"/>
      <c r="M217" s="97">
        <f t="shared" si="16"/>
        <v>0</v>
      </c>
    </row>
    <row r="218" spans="1:13" x14ac:dyDescent="0.25">
      <c r="A218" s="116"/>
      <c r="G218" s="80"/>
      <c r="H218" s="95">
        <v>213</v>
      </c>
      <c r="I218" s="96" t="str">
        <f t="shared" si="14"/>
        <v/>
      </c>
      <c r="J218" s="95">
        <f t="shared" si="17"/>
        <v>-3</v>
      </c>
      <c r="K218" s="95">
        <f t="shared" si="15"/>
        <v>-30</v>
      </c>
      <c r="L218" s="95"/>
      <c r="M218" s="97">
        <f t="shared" si="16"/>
        <v>0</v>
      </c>
    </row>
    <row r="219" spans="1:13" x14ac:dyDescent="0.25">
      <c r="A219" s="116"/>
      <c r="G219" s="80"/>
      <c r="H219" s="95">
        <v>214</v>
      </c>
      <c r="I219" s="96" t="str">
        <f t="shared" si="14"/>
        <v/>
      </c>
      <c r="J219" s="95">
        <f t="shared" si="17"/>
        <v>-3</v>
      </c>
      <c r="K219" s="95">
        <f t="shared" si="15"/>
        <v>-30</v>
      </c>
      <c r="L219" s="95"/>
      <c r="M219" s="97">
        <f t="shared" si="16"/>
        <v>0</v>
      </c>
    </row>
    <row r="220" spans="1:13" x14ac:dyDescent="0.25">
      <c r="A220" s="116"/>
      <c r="G220" s="80"/>
      <c r="H220" s="95">
        <v>215</v>
      </c>
      <c r="I220" s="96" t="str">
        <f t="shared" si="14"/>
        <v/>
      </c>
      <c r="J220" s="95">
        <f t="shared" si="17"/>
        <v>-3</v>
      </c>
      <c r="K220" s="95">
        <f t="shared" si="15"/>
        <v>-30</v>
      </c>
      <c r="L220" s="95"/>
      <c r="M220" s="97">
        <f t="shared" si="16"/>
        <v>0</v>
      </c>
    </row>
    <row r="221" spans="1:13" x14ac:dyDescent="0.25">
      <c r="A221" s="116"/>
      <c r="G221" s="80"/>
      <c r="H221" s="95">
        <v>216</v>
      </c>
      <c r="I221" s="96" t="str">
        <f t="shared" si="14"/>
        <v/>
      </c>
      <c r="J221" s="95">
        <f t="shared" si="17"/>
        <v>-3</v>
      </c>
      <c r="K221" s="95">
        <f t="shared" si="15"/>
        <v>-30</v>
      </c>
      <c r="L221" s="95"/>
      <c r="M221" s="97">
        <f t="shared" si="16"/>
        <v>0</v>
      </c>
    </row>
    <row r="222" spans="1:13" x14ac:dyDescent="0.25">
      <c r="A222" s="116"/>
      <c r="G222" s="80"/>
      <c r="H222" s="95">
        <v>217</v>
      </c>
      <c r="I222" s="96" t="str">
        <f t="shared" si="14"/>
        <v/>
      </c>
      <c r="J222" s="95">
        <f t="shared" si="17"/>
        <v>-3</v>
      </c>
      <c r="K222" s="95">
        <f t="shared" si="15"/>
        <v>-30</v>
      </c>
      <c r="L222" s="95"/>
      <c r="M222" s="97">
        <f t="shared" si="16"/>
        <v>0</v>
      </c>
    </row>
    <row r="223" spans="1:13" x14ac:dyDescent="0.25">
      <c r="A223" s="116"/>
      <c r="G223" s="80"/>
      <c r="H223" s="95">
        <v>218</v>
      </c>
      <c r="I223" s="96" t="str">
        <f t="shared" si="14"/>
        <v/>
      </c>
      <c r="J223" s="95">
        <f t="shared" si="17"/>
        <v>-3</v>
      </c>
      <c r="K223" s="95">
        <f t="shared" si="15"/>
        <v>-30</v>
      </c>
      <c r="L223" s="95"/>
      <c r="M223" s="97">
        <f t="shared" si="16"/>
        <v>0</v>
      </c>
    </row>
    <row r="224" spans="1:13" x14ac:dyDescent="0.25">
      <c r="A224" s="116"/>
      <c r="G224" s="80"/>
      <c r="H224" s="95">
        <v>219</v>
      </c>
      <c r="I224" s="96" t="str">
        <f t="shared" si="14"/>
        <v/>
      </c>
      <c r="J224" s="95">
        <f t="shared" si="17"/>
        <v>-3</v>
      </c>
      <c r="K224" s="95">
        <f t="shared" si="15"/>
        <v>-30</v>
      </c>
      <c r="L224" s="95"/>
      <c r="M224" s="97">
        <f t="shared" si="16"/>
        <v>0</v>
      </c>
    </row>
    <row r="225" spans="1:13" x14ac:dyDescent="0.25">
      <c r="A225" s="116"/>
      <c r="G225" s="80"/>
      <c r="H225" s="95">
        <v>220</v>
      </c>
      <c r="I225" s="96" t="str">
        <f t="shared" si="14"/>
        <v/>
      </c>
      <c r="J225" s="95">
        <f t="shared" si="17"/>
        <v>-3</v>
      </c>
      <c r="K225" s="95">
        <f t="shared" si="15"/>
        <v>-30</v>
      </c>
      <c r="L225" s="95"/>
      <c r="M225" s="97">
        <f t="shared" si="16"/>
        <v>0</v>
      </c>
    </row>
    <row r="226" spans="1:13" x14ac:dyDescent="0.25">
      <c r="A226" s="116"/>
      <c r="G226" s="80"/>
      <c r="H226" s="95">
        <v>221</v>
      </c>
      <c r="I226" s="96" t="str">
        <f t="shared" si="14"/>
        <v/>
      </c>
      <c r="J226" s="95">
        <f t="shared" si="17"/>
        <v>-3</v>
      </c>
      <c r="K226" s="95">
        <f t="shared" si="15"/>
        <v>-30</v>
      </c>
      <c r="L226" s="95"/>
      <c r="M226" s="97">
        <f t="shared" si="16"/>
        <v>0</v>
      </c>
    </row>
    <row r="227" spans="1:13" x14ac:dyDescent="0.25">
      <c r="A227" s="116"/>
      <c r="G227" s="80"/>
      <c r="H227" s="95">
        <v>222</v>
      </c>
      <c r="I227" s="96" t="str">
        <f t="shared" si="14"/>
        <v/>
      </c>
      <c r="J227" s="95">
        <f t="shared" si="17"/>
        <v>-3</v>
      </c>
      <c r="K227" s="95">
        <f t="shared" si="15"/>
        <v>-30</v>
      </c>
      <c r="L227" s="95"/>
      <c r="M227" s="97">
        <f t="shared" si="16"/>
        <v>0</v>
      </c>
    </row>
    <row r="228" spans="1:13" x14ac:dyDescent="0.25">
      <c r="A228" s="116"/>
      <c r="G228" s="80"/>
      <c r="H228" s="95">
        <v>223</v>
      </c>
      <c r="I228" s="96" t="str">
        <f t="shared" si="14"/>
        <v/>
      </c>
      <c r="J228" s="95">
        <f t="shared" si="17"/>
        <v>-3</v>
      </c>
      <c r="K228" s="95">
        <f t="shared" si="15"/>
        <v>-30</v>
      </c>
      <c r="L228" s="95"/>
      <c r="M228" s="97">
        <f t="shared" si="16"/>
        <v>0</v>
      </c>
    </row>
    <row r="229" spans="1:13" x14ac:dyDescent="0.25">
      <c r="A229" s="116"/>
      <c r="G229" s="80"/>
      <c r="H229" s="95">
        <v>224</v>
      </c>
      <c r="I229" s="96" t="str">
        <f t="shared" si="14"/>
        <v/>
      </c>
      <c r="J229" s="95">
        <f t="shared" si="17"/>
        <v>-3</v>
      </c>
      <c r="K229" s="95">
        <f t="shared" si="15"/>
        <v>-30</v>
      </c>
      <c r="L229" s="95"/>
      <c r="M229" s="97">
        <f t="shared" si="16"/>
        <v>0</v>
      </c>
    </row>
    <row r="230" spans="1:13" x14ac:dyDescent="0.25">
      <c r="A230" s="116"/>
      <c r="G230" s="80"/>
      <c r="H230" s="95">
        <v>225</v>
      </c>
      <c r="I230" s="96" t="str">
        <f t="shared" si="14"/>
        <v/>
      </c>
      <c r="J230" s="95">
        <f t="shared" si="17"/>
        <v>-3</v>
      </c>
      <c r="K230" s="95">
        <f t="shared" si="15"/>
        <v>-30</v>
      </c>
      <c r="L230" s="95"/>
      <c r="M230" s="97">
        <f t="shared" si="16"/>
        <v>0</v>
      </c>
    </row>
    <row r="231" spans="1:13" x14ac:dyDescent="0.25">
      <c r="A231" s="116"/>
      <c r="G231" s="80"/>
      <c r="H231" s="95">
        <v>226</v>
      </c>
      <c r="I231" s="96" t="str">
        <f t="shared" si="14"/>
        <v/>
      </c>
      <c r="J231" s="95">
        <f t="shared" si="17"/>
        <v>-3</v>
      </c>
      <c r="K231" s="95">
        <f t="shared" si="15"/>
        <v>-30</v>
      </c>
      <c r="L231" s="95"/>
      <c r="M231" s="97">
        <f t="shared" si="16"/>
        <v>0</v>
      </c>
    </row>
    <row r="232" spans="1:13" x14ac:dyDescent="0.25">
      <c r="A232" s="116"/>
      <c r="G232" s="80"/>
      <c r="H232" s="95">
        <v>227</v>
      </c>
      <c r="I232" s="96" t="str">
        <f t="shared" si="14"/>
        <v/>
      </c>
      <c r="J232" s="95">
        <f t="shared" si="17"/>
        <v>-3</v>
      </c>
      <c r="K232" s="95">
        <f t="shared" si="15"/>
        <v>-30</v>
      </c>
      <c r="L232" s="95"/>
      <c r="M232" s="97">
        <f t="shared" si="16"/>
        <v>0</v>
      </c>
    </row>
    <row r="233" spans="1:13" x14ac:dyDescent="0.25">
      <c r="A233" s="116"/>
      <c r="G233" s="80"/>
      <c r="H233" s="95">
        <v>228</v>
      </c>
      <c r="I233" s="96" t="str">
        <f t="shared" si="14"/>
        <v/>
      </c>
      <c r="J233" s="95">
        <f t="shared" si="17"/>
        <v>-3</v>
      </c>
      <c r="K233" s="95">
        <f t="shared" si="15"/>
        <v>-30</v>
      </c>
      <c r="L233" s="95"/>
      <c r="M233" s="97">
        <f t="shared" si="16"/>
        <v>0</v>
      </c>
    </row>
    <row r="234" spans="1:13" x14ac:dyDescent="0.25">
      <c r="A234" s="116"/>
      <c r="G234" s="80"/>
      <c r="H234" s="95">
        <v>229</v>
      </c>
      <c r="I234" s="96" t="str">
        <f t="shared" si="14"/>
        <v/>
      </c>
      <c r="J234" s="95">
        <f t="shared" si="17"/>
        <v>-3</v>
      </c>
      <c r="K234" s="95">
        <f t="shared" si="15"/>
        <v>-30</v>
      </c>
      <c r="L234" s="95"/>
      <c r="M234" s="97">
        <f t="shared" si="16"/>
        <v>0</v>
      </c>
    </row>
    <row r="235" spans="1:13" x14ac:dyDescent="0.25">
      <c r="A235" s="116"/>
      <c r="G235" s="80"/>
      <c r="H235" s="95">
        <v>230</v>
      </c>
      <c r="I235" s="96" t="str">
        <f t="shared" si="14"/>
        <v/>
      </c>
      <c r="J235" s="95">
        <f t="shared" si="17"/>
        <v>-3</v>
      </c>
      <c r="K235" s="95">
        <f t="shared" si="15"/>
        <v>-30</v>
      </c>
      <c r="L235" s="95"/>
      <c r="M235" s="97">
        <f t="shared" si="16"/>
        <v>0</v>
      </c>
    </row>
    <row r="236" spans="1:13" x14ac:dyDescent="0.25">
      <c r="A236" s="116"/>
      <c r="G236" s="80"/>
      <c r="H236" s="95">
        <v>231</v>
      </c>
      <c r="I236" s="96" t="str">
        <f t="shared" si="14"/>
        <v/>
      </c>
      <c r="J236" s="95">
        <f t="shared" si="17"/>
        <v>-3</v>
      </c>
      <c r="K236" s="95">
        <f t="shared" si="15"/>
        <v>-30</v>
      </c>
      <c r="L236" s="95"/>
      <c r="M236" s="97">
        <f t="shared" si="16"/>
        <v>0</v>
      </c>
    </row>
    <row r="237" spans="1:13" x14ac:dyDescent="0.25">
      <c r="A237" s="116"/>
      <c r="G237" s="80"/>
      <c r="H237" s="95">
        <v>232</v>
      </c>
      <c r="I237" s="96" t="str">
        <f t="shared" si="14"/>
        <v/>
      </c>
      <c r="J237" s="95">
        <f t="shared" si="17"/>
        <v>-3</v>
      </c>
      <c r="K237" s="95">
        <f t="shared" si="15"/>
        <v>-30</v>
      </c>
      <c r="L237" s="95"/>
      <c r="M237" s="97">
        <f t="shared" si="16"/>
        <v>0</v>
      </c>
    </row>
    <row r="238" spans="1:13" x14ac:dyDescent="0.25">
      <c r="A238" s="116"/>
      <c r="G238" s="80"/>
      <c r="H238" s="95">
        <v>233</v>
      </c>
      <c r="I238" s="96" t="str">
        <f t="shared" si="14"/>
        <v/>
      </c>
      <c r="J238" s="95">
        <f t="shared" si="17"/>
        <v>-3</v>
      </c>
      <c r="K238" s="95">
        <f t="shared" si="15"/>
        <v>-30</v>
      </c>
      <c r="L238" s="95"/>
      <c r="M238" s="97">
        <f t="shared" si="16"/>
        <v>0</v>
      </c>
    </row>
    <row r="239" spans="1:13" x14ac:dyDescent="0.25">
      <c r="A239" s="116"/>
      <c r="G239" s="80"/>
      <c r="H239" s="95">
        <v>234</v>
      </c>
      <c r="I239" s="96" t="str">
        <f t="shared" si="14"/>
        <v/>
      </c>
      <c r="J239" s="95">
        <f t="shared" si="17"/>
        <v>-3</v>
      </c>
      <c r="K239" s="95">
        <f t="shared" si="15"/>
        <v>-30</v>
      </c>
      <c r="L239" s="95"/>
      <c r="M239" s="97">
        <f t="shared" si="16"/>
        <v>0</v>
      </c>
    </row>
    <row r="240" spans="1:13" x14ac:dyDescent="0.25">
      <c r="A240" s="116"/>
      <c r="G240" s="80"/>
      <c r="H240" s="95">
        <v>235</v>
      </c>
      <c r="I240" s="96" t="str">
        <f t="shared" si="14"/>
        <v/>
      </c>
      <c r="J240" s="95">
        <f t="shared" si="17"/>
        <v>-3</v>
      </c>
      <c r="K240" s="95">
        <f t="shared" si="15"/>
        <v>-30</v>
      </c>
      <c r="L240" s="95"/>
      <c r="M240" s="97">
        <f t="shared" si="16"/>
        <v>0</v>
      </c>
    </row>
    <row r="241" spans="1:13" x14ac:dyDescent="0.25">
      <c r="A241" s="116"/>
      <c r="G241" s="80"/>
      <c r="H241" s="95">
        <v>236</v>
      </c>
      <c r="I241" s="96" t="str">
        <f t="shared" si="14"/>
        <v/>
      </c>
      <c r="J241" s="95">
        <f t="shared" si="17"/>
        <v>-3</v>
      </c>
      <c r="K241" s="95">
        <f t="shared" si="15"/>
        <v>-30</v>
      </c>
      <c r="L241" s="95"/>
      <c r="M241" s="97">
        <f t="shared" si="16"/>
        <v>0</v>
      </c>
    </row>
    <row r="242" spans="1:13" x14ac:dyDescent="0.25">
      <c r="A242" s="116"/>
      <c r="G242" s="80"/>
      <c r="H242" s="95">
        <v>237</v>
      </c>
      <c r="I242" s="96" t="str">
        <f t="shared" si="14"/>
        <v/>
      </c>
      <c r="J242" s="95">
        <f t="shared" si="17"/>
        <v>-3</v>
      </c>
      <c r="K242" s="95">
        <f t="shared" si="15"/>
        <v>-30</v>
      </c>
      <c r="L242" s="95"/>
      <c r="M242" s="97">
        <f t="shared" si="16"/>
        <v>0</v>
      </c>
    </row>
    <row r="243" spans="1:13" x14ac:dyDescent="0.25">
      <c r="A243" s="116"/>
      <c r="G243" s="80"/>
      <c r="H243" s="95">
        <v>238</v>
      </c>
      <c r="I243" s="96" t="str">
        <f t="shared" si="14"/>
        <v/>
      </c>
      <c r="J243" s="95">
        <f t="shared" si="17"/>
        <v>-3</v>
      </c>
      <c r="K243" s="95">
        <f t="shared" si="15"/>
        <v>-30</v>
      </c>
      <c r="L243" s="95"/>
      <c r="M243" s="97">
        <f t="shared" si="16"/>
        <v>0</v>
      </c>
    </row>
    <row r="244" spans="1:13" x14ac:dyDescent="0.25">
      <c r="A244" s="116"/>
      <c r="G244" s="80"/>
      <c r="H244" s="95">
        <v>239</v>
      </c>
      <c r="I244" s="96" t="str">
        <f t="shared" si="14"/>
        <v/>
      </c>
      <c r="J244" s="95">
        <f t="shared" si="17"/>
        <v>-3</v>
      </c>
      <c r="K244" s="95">
        <f t="shared" si="15"/>
        <v>-30</v>
      </c>
      <c r="L244" s="95"/>
      <c r="M244" s="97">
        <f t="shared" si="16"/>
        <v>0</v>
      </c>
    </row>
    <row r="245" spans="1:13" x14ac:dyDescent="0.25">
      <c r="A245" s="116"/>
      <c r="G245" s="80"/>
      <c r="H245" s="95">
        <v>240</v>
      </c>
      <c r="I245" s="96" t="str">
        <f t="shared" si="14"/>
        <v/>
      </c>
      <c r="J245" s="95">
        <f t="shared" si="17"/>
        <v>-3</v>
      </c>
      <c r="K245" s="95">
        <f t="shared" si="15"/>
        <v>-30</v>
      </c>
      <c r="L245" s="95"/>
      <c r="M245" s="97">
        <f t="shared" si="16"/>
        <v>0</v>
      </c>
    </row>
    <row r="246" spans="1:13" x14ac:dyDescent="0.25">
      <c r="A246" s="116"/>
      <c r="G246" s="80"/>
      <c r="H246" s="95">
        <v>241</v>
      </c>
      <c r="I246" s="96" t="str">
        <f t="shared" si="14"/>
        <v/>
      </c>
      <c r="J246" s="95">
        <f t="shared" si="17"/>
        <v>-3</v>
      </c>
      <c r="K246" s="95">
        <f t="shared" si="15"/>
        <v>-30</v>
      </c>
      <c r="L246" s="95"/>
      <c r="M246" s="97">
        <f t="shared" si="16"/>
        <v>0</v>
      </c>
    </row>
    <row r="247" spans="1:13" x14ac:dyDescent="0.25">
      <c r="A247" s="116"/>
      <c r="G247" s="80"/>
      <c r="H247" s="95">
        <v>242</v>
      </c>
      <c r="I247" s="96" t="str">
        <f t="shared" si="14"/>
        <v/>
      </c>
      <c r="J247" s="95">
        <f t="shared" si="17"/>
        <v>-3</v>
      </c>
      <c r="K247" s="95">
        <f t="shared" si="15"/>
        <v>-30</v>
      </c>
      <c r="L247" s="95"/>
      <c r="M247" s="97">
        <f t="shared" si="16"/>
        <v>0</v>
      </c>
    </row>
    <row r="248" spans="1:13" x14ac:dyDescent="0.25">
      <c r="A248" s="116"/>
      <c r="G248" s="80"/>
      <c r="H248" s="95">
        <v>243</v>
      </c>
      <c r="I248" s="96" t="str">
        <f t="shared" si="14"/>
        <v/>
      </c>
      <c r="J248" s="95">
        <f t="shared" si="17"/>
        <v>-3</v>
      </c>
      <c r="K248" s="95">
        <f t="shared" si="15"/>
        <v>-30</v>
      </c>
      <c r="L248" s="95"/>
      <c r="M248" s="97">
        <f t="shared" si="16"/>
        <v>0</v>
      </c>
    </row>
    <row r="249" spans="1:13" x14ac:dyDescent="0.25">
      <c r="A249" s="116"/>
      <c r="G249" s="80"/>
      <c r="H249" s="95">
        <v>244</v>
      </c>
      <c r="I249" s="96" t="str">
        <f t="shared" si="14"/>
        <v/>
      </c>
      <c r="J249" s="95">
        <f t="shared" si="17"/>
        <v>-3</v>
      </c>
      <c r="K249" s="95">
        <f t="shared" si="15"/>
        <v>-30</v>
      </c>
      <c r="L249" s="95"/>
      <c r="M249" s="97">
        <f t="shared" si="16"/>
        <v>0</v>
      </c>
    </row>
    <row r="250" spans="1:13" x14ac:dyDescent="0.25">
      <c r="A250" s="116"/>
      <c r="G250" s="80"/>
      <c r="H250" s="95">
        <v>245</v>
      </c>
      <c r="I250" s="96" t="str">
        <f t="shared" si="14"/>
        <v/>
      </c>
      <c r="J250" s="95">
        <f t="shared" si="17"/>
        <v>-3</v>
      </c>
      <c r="K250" s="95">
        <f t="shared" si="15"/>
        <v>-30</v>
      </c>
      <c r="L250" s="95"/>
      <c r="M250" s="97">
        <f t="shared" si="16"/>
        <v>0</v>
      </c>
    </row>
    <row r="251" spans="1:13" x14ac:dyDescent="0.25">
      <c r="A251" s="116"/>
      <c r="G251" s="80"/>
      <c r="H251" s="95">
        <v>246</v>
      </c>
      <c r="I251" s="96" t="str">
        <f t="shared" si="14"/>
        <v/>
      </c>
      <c r="J251" s="95">
        <f t="shared" si="17"/>
        <v>-3</v>
      </c>
      <c r="K251" s="95">
        <f t="shared" si="15"/>
        <v>-30</v>
      </c>
      <c r="L251" s="95"/>
      <c r="M251" s="97">
        <f t="shared" si="16"/>
        <v>0</v>
      </c>
    </row>
    <row r="252" spans="1:13" x14ac:dyDescent="0.25">
      <c r="A252" s="116"/>
      <c r="G252" s="80"/>
      <c r="H252" s="95">
        <v>247</v>
      </c>
      <c r="I252" s="96" t="str">
        <f t="shared" si="14"/>
        <v/>
      </c>
      <c r="J252" s="95">
        <f t="shared" si="17"/>
        <v>-3</v>
      </c>
      <c r="K252" s="95">
        <f t="shared" si="15"/>
        <v>-30</v>
      </c>
      <c r="L252" s="95"/>
      <c r="M252" s="97">
        <f t="shared" si="16"/>
        <v>0</v>
      </c>
    </row>
    <row r="253" spans="1:13" x14ac:dyDescent="0.25">
      <c r="A253" s="116"/>
      <c r="G253" s="80"/>
      <c r="H253" s="95">
        <v>248</v>
      </c>
      <c r="I253" s="96" t="str">
        <f t="shared" si="14"/>
        <v/>
      </c>
      <c r="J253" s="95">
        <f t="shared" si="17"/>
        <v>-3</v>
      </c>
      <c r="K253" s="95">
        <f t="shared" si="15"/>
        <v>-30</v>
      </c>
      <c r="L253" s="95"/>
      <c r="M253" s="97">
        <f t="shared" si="16"/>
        <v>0</v>
      </c>
    </row>
    <row r="254" spans="1:13" x14ac:dyDescent="0.25">
      <c r="A254" s="116"/>
      <c r="G254" s="80"/>
      <c r="H254" s="95">
        <v>249</v>
      </c>
      <c r="I254" s="96" t="str">
        <f t="shared" si="14"/>
        <v/>
      </c>
      <c r="J254" s="95">
        <f t="shared" si="17"/>
        <v>-3</v>
      </c>
      <c r="K254" s="95">
        <f t="shared" si="15"/>
        <v>-30</v>
      </c>
      <c r="L254" s="95"/>
      <c r="M254" s="97">
        <f t="shared" si="16"/>
        <v>0</v>
      </c>
    </row>
    <row r="255" spans="1:13" x14ac:dyDescent="0.25">
      <c r="A255" s="116"/>
      <c r="G255" s="80"/>
      <c r="H255" s="95">
        <v>250</v>
      </c>
      <c r="I255" s="96" t="str">
        <f t="shared" si="14"/>
        <v/>
      </c>
      <c r="J255" s="95">
        <f t="shared" si="17"/>
        <v>-3</v>
      </c>
      <c r="K255" s="95">
        <f t="shared" si="15"/>
        <v>-30</v>
      </c>
      <c r="L255" s="95"/>
      <c r="M255" s="97">
        <f t="shared" si="16"/>
        <v>0</v>
      </c>
    </row>
    <row r="256" spans="1:13" x14ac:dyDescent="0.25">
      <c r="A256" s="116"/>
      <c r="G256" s="80"/>
      <c r="H256" s="95">
        <v>251</v>
      </c>
      <c r="I256" s="96" t="str">
        <f t="shared" si="14"/>
        <v/>
      </c>
      <c r="J256" s="95">
        <f t="shared" si="17"/>
        <v>-3</v>
      </c>
      <c r="K256" s="95">
        <f t="shared" si="15"/>
        <v>-30</v>
      </c>
      <c r="L256" s="95"/>
      <c r="M256" s="97">
        <f t="shared" si="16"/>
        <v>0</v>
      </c>
    </row>
    <row r="257" spans="1:13" x14ac:dyDescent="0.25">
      <c r="A257" s="116"/>
      <c r="G257" s="80"/>
      <c r="H257" s="95">
        <v>252</v>
      </c>
      <c r="I257" s="96" t="str">
        <f t="shared" si="14"/>
        <v/>
      </c>
      <c r="J257" s="95">
        <f t="shared" si="17"/>
        <v>-3</v>
      </c>
      <c r="K257" s="95">
        <f t="shared" si="15"/>
        <v>-30</v>
      </c>
      <c r="L257" s="95"/>
      <c r="M257" s="97">
        <f t="shared" si="16"/>
        <v>0</v>
      </c>
    </row>
    <row r="258" spans="1:13" x14ac:dyDescent="0.25">
      <c r="A258" s="116"/>
      <c r="G258" s="80"/>
      <c r="H258" s="95">
        <v>253</v>
      </c>
      <c r="I258" s="96" t="str">
        <f t="shared" si="14"/>
        <v/>
      </c>
      <c r="J258" s="95">
        <f t="shared" si="17"/>
        <v>-3</v>
      </c>
      <c r="K258" s="95">
        <f t="shared" si="15"/>
        <v>-30</v>
      </c>
      <c r="L258" s="95"/>
      <c r="M258" s="97">
        <f t="shared" si="16"/>
        <v>0</v>
      </c>
    </row>
    <row r="259" spans="1:13" x14ac:dyDescent="0.25">
      <c r="A259" s="116"/>
      <c r="G259" s="80"/>
      <c r="H259" s="95">
        <v>254</v>
      </c>
      <c r="I259" s="96" t="str">
        <f t="shared" si="14"/>
        <v/>
      </c>
      <c r="J259" s="95">
        <f t="shared" si="17"/>
        <v>-3</v>
      </c>
      <c r="K259" s="95">
        <f t="shared" si="15"/>
        <v>-30</v>
      </c>
      <c r="L259" s="95"/>
      <c r="M259" s="97">
        <f t="shared" si="16"/>
        <v>0</v>
      </c>
    </row>
    <row r="260" spans="1:13" x14ac:dyDescent="0.25">
      <c r="A260" s="116"/>
      <c r="G260" s="80"/>
      <c r="H260" s="95">
        <v>255</v>
      </c>
      <c r="I260" s="96" t="str">
        <f t="shared" si="14"/>
        <v/>
      </c>
      <c r="J260" s="95">
        <f t="shared" si="17"/>
        <v>-3</v>
      </c>
      <c r="K260" s="95">
        <f t="shared" si="15"/>
        <v>-30</v>
      </c>
      <c r="L260" s="95"/>
      <c r="M260" s="97">
        <f t="shared" si="16"/>
        <v>0</v>
      </c>
    </row>
    <row r="261" spans="1:13" x14ac:dyDescent="0.25">
      <c r="A261" s="116"/>
      <c r="G261" s="80"/>
      <c r="H261" s="95">
        <v>256</v>
      </c>
      <c r="I261" s="96" t="str">
        <f t="shared" si="14"/>
        <v/>
      </c>
      <c r="J261" s="95">
        <f t="shared" si="17"/>
        <v>-3</v>
      </c>
      <c r="K261" s="95">
        <f t="shared" si="15"/>
        <v>-30</v>
      </c>
      <c r="L261" s="95"/>
      <c r="M261" s="97">
        <f t="shared" si="16"/>
        <v>0</v>
      </c>
    </row>
    <row r="262" spans="1:13" x14ac:dyDescent="0.25">
      <c r="A262" s="116"/>
      <c r="G262" s="80"/>
      <c r="H262" s="95">
        <v>257</v>
      </c>
      <c r="I262" s="96" t="str">
        <f t="shared" ref="I262:I305" si="18">IF(H262&lt;$H$2+1,($I$2-($I$2-1)*(LOG(H262)/LOG($H$2))),"")</f>
        <v/>
      </c>
      <c r="J262" s="95">
        <f t="shared" si="17"/>
        <v>-4</v>
      </c>
      <c r="K262" s="95">
        <f t="shared" ref="K262:K305" si="19">J262*$J$2</f>
        <v>-40</v>
      </c>
      <c r="L262" s="95"/>
      <c r="M262" s="97">
        <f t="shared" ref="M262:M305" si="20">IF(I262&lt;&gt;"",K262+I262+L262,0)</f>
        <v>0</v>
      </c>
    </row>
    <row r="263" spans="1:13" x14ac:dyDescent="0.25">
      <c r="A263" s="116"/>
      <c r="G263" s="80"/>
      <c r="H263" s="95">
        <v>258</v>
      </c>
      <c r="I263" s="96" t="str">
        <f t="shared" si="18"/>
        <v/>
      </c>
      <c r="J263" s="95">
        <f t="shared" si="17"/>
        <v>-4</v>
      </c>
      <c r="K263" s="95">
        <f t="shared" si="19"/>
        <v>-40</v>
      </c>
      <c r="L263" s="95"/>
      <c r="M263" s="97">
        <f t="shared" si="20"/>
        <v>0</v>
      </c>
    </row>
    <row r="264" spans="1:13" x14ac:dyDescent="0.25">
      <c r="A264" s="116"/>
      <c r="G264" s="80"/>
      <c r="H264" s="95">
        <v>259</v>
      </c>
      <c r="I264" s="96" t="str">
        <f t="shared" si="18"/>
        <v/>
      </c>
      <c r="J264" s="95">
        <f t="shared" si="17"/>
        <v>-4</v>
      </c>
      <c r="K264" s="95">
        <f t="shared" si="19"/>
        <v>-40</v>
      </c>
      <c r="L264" s="95"/>
      <c r="M264" s="97">
        <f t="shared" si="20"/>
        <v>0</v>
      </c>
    </row>
    <row r="265" spans="1:13" x14ac:dyDescent="0.25">
      <c r="A265" s="116"/>
      <c r="G265" s="80"/>
      <c r="H265" s="95">
        <v>260</v>
      </c>
      <c r="I265" s="96" t="str">
        <f t="shared" si="18"/>
        <v/>
      </c>
      <c r="J265" s="95">
        <f t="shared" si="17"/>
        <v>-4</v>
      </c>
      <c r="K265" s="95">
        <f t="shared" si="19"/>
        <v>-40</v>
      </c>
      <c r="L265" s="95"/>
      <c r="M265" s="97">
        <f t="shared" si="20"/>
        <v>0</v>
      </c>
    </row>
    <row r="266" spans="1:13" x14ac:dyDescent="0.25">
      <c r="A266" s="116"/>
      <c r="G266" s="80"/>
      <c r="H266" s="95">
        <v>261</v>
      </c>
      <c r="I266" s="96" t="str">
        <f t="shared" si="18"/>
        <v/>
      </c>
      <c r="J266" s="95">
        <f t="shared" ref="J266:J305" si="21">INT(LOG($H$2,2))-ROUNDUP(LOG(H266,2),0)+IF(OR($H$2=1,$H$2=2,$H$2=4,$H$2=8,$H$2=16,$H$2=32,$H$2=64,$H$2=128,$H$2=256),0,1)</f>
        <v>-4</v>
      </c>
      <c r="K266" s="95">
        <f t="shared" si="19"/>
        <v>-40</v>
      </c>
      <c r="L266" s="95"/>
      <c r="M266" s="97">
        <f t="shared" si="20"/>
        <v>0</v>
      </c>
    </row>
    <row r="267" spans="1:13" x14ac:dyDescent="0.25">
      <c r="A267" s="116"/>
      <c r="G267" s="80"/>
      <c r="H267" s="95">
        <v>262</v>
      </c>
      <c r="I267" s="96" t="str">
        <f t="shared" si="18"/>
        <v/>
      </c>
      <c r="J267" s="95">
        <f t="shared" si="21"/>
        <v>-4</v>
      </c>
      <c r="K267" s="95">
        <f t="shared" si="19"/>
        <v>-40</v>
      </c>
      <c r="L267" s="95"/>
      <c r="M267" s="97">
        <f t="shared" si="20"/>
        <v>0</v>
      </c>
    </row>
    <row r="268" spans="1:13" x14ac:dyDescent="0.25">
      <c r="A268" s="116"/>
      <c r="G268" s="80"/>
      <c r="H268" s="95">
        <v>263</v>
      </c>
      <c r="I268" s="96" t="str">
        <f t="shared" si="18"/>
        <v/>
      </c>
      <c r="J268" s="95">
        <f t="shared" si="21"/>
        <v>-4</v>
      </c>
      <c r="K268" s="95">
        <f t="shared" si="19"/>
        <v>-40</v>
      </c>
      <c r="L268" s="95"/>
      <c r="M268" s="97">
        <f t="shared" si="20"/>
        <v>0</v>
      </c>
    </row>
    <row r="269" spans="1:13" x14ac:dyDescent="0.25">
      <c r="A269" s="116"/>
      <c r="G269" s="80"/>
      <c r="H269" s="95">
        <v>264</v>
      </c>
      <c r="I269" s="96" t="str">
        <f t="shared" si="18"/>
        <v/>
      </c>
      <c r="J269" s="95">
        <f t="shared" si="21"/>
        <v>-4</v>
      </c>
      <c r="K269" s="95">
        <f t="shared" si="19"/>
        <v>-40</v>
      </c>
      <c r="L269" s="95"/>
      <c r="M269" s="97">
        <f t="shared" si="20"/>
        <v>0</v>
      </c>
    </row>
    <row r="270" spans="1:13" x14ac:dyDescent="0.25">
      <c r="A270" s="116"/>
      <c r="G270" s="80"/>
      <c r="H270" s="95">
        <v>265</v>
      </c>
      <c r="I270" s="96" t="str">
        <f t="shared" si="18"/>
        <v/>
      </c>
      <c r="J270" s="95">
        <f t="shared" si="21"/>
        <v>-4</v>
      </c>
      <c r="K270" s="95">
        <f t="shared" si="19"/>
        <v>-40</v>
      </c>
      <c r="L270" s="95"/>
      <c r="M270" s="97">
        <f t="shared" si="20"/>
        <v>0</v>
      </c>
    </row>
    <row r="271" spans="1:13" x14ac:dyDescent="0.25">
      <c r="A271" s="116"/>
      <c r="G271" s="80"/>
      <c r="H271" s="95">
        <v>266</v>
      </c>
      <c r="I271" s="96" t="str">
        <f t="shared" si="18"/>
        <v/>
      </c>
      <c r="J271" s="95">
        <f t="shared" si="21"/>
        <v>-4</v>
      </c>
      <c r="K271" s="95">
        <f t="shared" si="19"/>
        <v>-40</v>
      </c>
      <c r="L271" s="95"/>
      <c r="M271" s="97">
        <f t="shared" si="20"/>
        <v>0</v>
      </c>
    </row>
    <row r="272" spans="1:13" x14ac:dyDescent="0.25">
      <c r="A272" s="116"/>
      <c r="G272" s="80"/>
      <c r="H272" s="95">
        <v>267</v>
      </c>
      <c r="I272" s="96" t="str">
        <f t="shared" si="18"/>
        <v/>
      </c>
      <c r="J272" s="95">
        <f t="shared" si="21"/>
        <v>-4</v>
      </c>
      <c r="K272" s="95">
        <f t="shared" si="19"/>
        <v>-40</v>
      </c>
      <c r="L272" s="95"/>
      <c r="M272" s="97">
        <f t="shared" si="20"/>
        <v>0</v>
      </c>
    </row>
    <row r="273" spans="1:13" x14ac:dyDescent="0.25">
      <c r="A273" s="116"/>
      <c r="G273" s="80"/>
      <c r="H273" s="95">
        <v>268</v>
      </c>
      <c r="I273" s="96" t="str">
        <f t="shared" si="18"/>
        <v/>
      </c>
      <c r="J273" s="95">
        <f t="shared" si="21"/>
        <v>-4</v>
      </c>
      <c r="K273" s="95">
        <f t="shared" si="19"/>
        <v>-40</v>
      </c>
      <c r="L273" s="95"/>
      <c r="M273" s="97">
        <f t="shared" si="20"/>
        <v>0</v>
      </c>
    </row>
    <row r="274" spans="1:13" x14ac:dyDescent="0.25">
      <c r="A274" s="116"/>
      <c r="G274" s="80"/>
      <c r="H274" s="95">
        <v>269</v>
      </c>
      <c r="I274" s="96" t="str">
        <f t="shared" si="18"/>
        <v/>
      </c>
      <c r="J274" s="95">
        <f t="shared" si="21"/>
        <v>-4</v>
      </c>
      <c r="K274" s="95">
        <f t="shared" si="19"/>
        <v>-40</v>
      </c>
      <c r="L274" s="95"/>
      <c r="M274" s="97">
        <f t="shared" si="20"/>
        <v>0</v>
      </c>
    </row>
    <row r="275" spans="1:13" x14ac:dyDescent="0.25">
      <c r="A275" s="116"/>
      <c r="G275" s="80"/>
      <c r="H275" s="95">
        <v>270</v>
      </c>
      <c r="I275" s="96" t="str">
        <f t="shared" si="18"/>
        <v/>
      </c>
      <c r="J275" s="95">
        <f t="shared" si="21"/>
        <v>-4</v>
      </c>
      <c r="K275" s="95">
        <f t="shared" si="19"/>
        <v>-40</v>
      </c>
      <c r="L275" s="95"/>
      <c r="M275" s="97">
        <f t="shared" si="20"/>
        <v>0</v>
      </c>
    </row>
    <row r="276" spans="1:13" x14ac:dyDescent="0.25">
      <c r="A276" s="116"/>
      <c r="G276" s="80"/>
      <c r="H276" s="95">
        <v>271</v>
      </c>
      <c r="I276" s="96" t="str">
        <f t="shared" si="18"/>
        <v/>
      </c>
      <c r="J276" s="95">
        <f t="shared" si="21"/>
        <v>-4</v>
      </c>
      <c r="K276" s="95">
        <f t="shared" si="19"/>
        <v>-40</v>
      </c>
      <c r="L276" s="95"/>
      <c r="M276" s="97">
        <f t="shared" si="20"/>
        <v>0</v>
      </c>
    </row>
    <row r="277" spans="1:13" x14ac:dyDescent="0.25">
      <c r="A277" s="116"/>
      <c r="G277" s="80"/>
      <c r="H277" s="95">
        <v>272</v>
      </c>
      <c r="I277" s="96" t="str">
        <f t="shared" si="18"/>
        <v/>
      </c>
      <c r="J277" s="95">
        <f t="shared" si="21"/>
        <v>-4</v>
      </c>
      <c r="K277" s="95">
        <f t="shared" si="19"/>
        <v>-40</v>
      </c>
      <c r="L277" s="95"/>
      <c r="M277" s="97">
        <f t="shared" si="20"/>
        <v>0</v>
      </c>
    </row>
    <row r="278" spans="1:13" x14ac:dyDescent="0.25">
      <c r="A278" s="116"/>
      <c r="G278" s="80"/>
      <c r="H278" s="95">
        <v>273</v>
      </c>
      <c r="I278" s="96" t="str">
        <f t="shared" si="18"/>
        <v/>
      </c>
      <c r="J278" s="95">
        <f t="shared" si="21"/>
        <v>-4</v>
      </c>
      <c r="K278" s="95">
        <f t="shared" si="19"/>
        <v>-40</v>
      </c>
      <c r="L278" s="95"/>
      <c r="M278" s="97">
        <f t="shared" si="20"/>
        <v>0</v>
      </c>
    </row>
    <row r="279" spans="1:13" x14ac:dyDescent="0.25">
      <c r="A279" s="116"/>
      <c r="G279" s="80"/>
      <c r="H279" s="95">
        <v>274</v>
      </c>
      <c r="I279" s="96" t="str">
        <f t="shared" si="18"/>
        <v/>
      </c>
      <c r="J279" s="95">
        <f t="shared" si="21"/>
        <v>-4</v>
      </c>
      <c r="K279" s="95">
        <f t="shared" si="19"/>
        <v>-40</v>
      </c>
      <c r="L279" s="95"/>
      <c r="M279" s="97">
        <f t="shared" si="20"/>
        <v>0</v>
      </c>
    </row>
    <row r="280" spans="1:13" x14ac:dyDescent="0.25">
      <c r="A280" s="116"/>
      <c r="G280" s="80"/>
      <c r="H280" s="95">
        <v>275</v>
      </c>
      <c r="I280" s="96" t="str">
        <f t="shared" si="18"/>
        <v/>
      </c>
      <c r="J280" s="95">
        <f t="shared" si="21"/>
        <v>-4</v>
      </c>
      <c r="K280" s="95">
        <f t="shared" si="19"/>
        <v>-40</v>
      </c>
      <c r="L280" s="95"/>
      <c r="M280" s="97">
        <f t="shared" si="20"/>
        <v>0</v>
      </c>
    </row>
    <row r="281" spans="1:13" x14ac:dyDescent="0.25">
      <c r="A281" s="116"/>
      <c r="G281" s="80"/>
      <c r="H281" s="95">
        <v>276</v>
      </c>
      <c r="I281" s="96" t="str">
        <f t="shared" si="18"/>
        <v/>
      </c>
      <c r="J281" s="95">
        <f t="shared" si="21"/>
        <v>-4</v>
      </c>
      <c r="K281" s="95">
        <f t="shared" si="19"/>
        <v>-40</v>
      </c>
      <c r="L281" s="95"/>
      <c r="M281" s="97">
        <f t="shared" si="20"/>
        <v>0</v>
      </c>
    </row>
    <row r="282" spans="1:13" x14ac:dyDescent="0.25">
      <c r="A282" s="116"/>
      <c r="G282" s="80"/>
      <c r="H282" s="95">
        <v>277</v>
      </c>
      <c r="I282" s="96" t="str">
        <f t="shared" si="18"/>
        <v/>
      </c>
      <c r="J282" s="95">
        <f t="shared" si="21"/>
        <v>-4</v>
      </c>
      <c r="K282" s="95">
        <f t="shared" si="19"/>
        <v>-40</v>
      </c>
      <c r="L282" s="95"/>
      <c r="M282" s="97">
        <f t="shared" si="20"/>
        <v>0</v>
      </c>
    </row>
    <row r="283" spans="1:13" x14ac:dyDescent="0.25">
      <c r="A283" s="116"/>
      <c r="G283" s="80"/>
      <c r="H283" s="95">
        <v>278</v>
      </c>
      <c r="I283" s="96" t="str">
        <f t="shared" si="18"/>
        <v/>
      </c>
      <c r="J283" s="95">
        <f t="shared" si="21"/>
        <v>-4</v>
      </c>
      <c r="K283" s="95">
        <f t="shared" si="19"/>
        <v>-40</v>
      </c>
      <c r="L283" s="95"/>
      <c r="M283" s="97">
        <f t="shared" si="20"/>
        <v>0</v>
      </c>
    </row>
    <row r="284" spans="1:13" x14ac:dyDescent="0.25">
      <c r="A284" s="116"/>
      <c r="G284" s="80"/>
      <c r="H284" s="95">
        <v>279</v>
      </c>
      <c r="I284" s="96" t="str">
        <f t="shared" si="18"/>
        <v/>
      </c>
      <c r="J284" s="95">
        <f t="shared" si="21"/>
        <v>-4</v>
      </c>
      <c r="K284" s="95">
        <f t="shared" si="19"/>
        <v>-40</v>
      </c>
      <c r="L284" s="95"/>
      <c r="M284" s="97">
        <f t="shared" si="20"/>
        <v>0</v>
      </c>
    </row>
    <row r="285" spans="1:13" x14ac:dyDescent="0.25">
      <c r="A285" s="116"/>
      <c r="G285" s="80"/>
      <c r="H285" s="95">
        <v>280</v>
      </c>
      <c r="I285" s="96" t="str">
        <f t="shared" si="18"/>
        <v/>
      </c>
      <c r="J285" s="95">
        <f t="shared" si="21"/>
        <v>-4</v>
      </c>
      <c r="K285" s="95">
        <f t="shared" si="19"/>
        <v>-40</v>
      </c>
      <c r="L285" s="95"/>
      <c r="M285" s="97">
        <f t="shared" si="20"/>
        <v>0</v>
      </c>
    </row>
    <row r="286" spans="1:13" x14ac:dyDescent="0.25">
      <c r="A286" s="116"/>
      <c r="G286" s="80"/>
      <c r="H286" s="95">
        <v>281</v>
      </c>
      <c r="I286" s="96" t="str">
        <f t="shared" si="18"/>
        <v/>
      </c>
      <c r="J286" s="95">
        <f t="shared" si="21"/>
        <v>-4</v>
      </c>
      <c r="K286" s="95">
        <f t="shared" si="19"/>
        <v>-40</v>
      </c>
      <c r="L286" s="95"/>
      <c r="M286" s="97">
        <f t="shared" si="20"/>
        <v>0</v>
      </c>
    </row>
    <row r="287" spans="1:13" x14ac:dyDescent="0.25">
      <c r="A287" s="116"/>
      <c r="G287" s="80"/>
      <c r="H287" s="95">
        <v>282</v>
      </c>
      <c r="I287" s="96" t="str">
        <f t="shared" si="18"/>
        <v/>
      </c>
      <c r="J287" s="95">
        <f t="shared" si="21"/>
        <v>-4</v>
      </c>
      <c r="K287" s="95">
        <f t="shared" si="19"/>
        <v>-40</v>
      </c>
      <c r="L287" s="95"/>
      <c r="M287" s="97">
        <f t="shared" si="20"/>
        <v>0</v>
      </c>
    </row>
    <row r="288" spans="1:13" x14ac:dyDescent="0.25">
      <c r="A288" s="116"/>
      <c r="G288" s="80"/>
      <c r="H288" s="95">
        <v>283</v>
      </c>
      <c r="I288" s="96" t="str">
        <f t="shared" si="18"/>
        <v/>
      </c>
      <c r="J288" s="95">
        <f t="shared" si="21"/>
        <v>-4</v>
      </c>
      <c r="K288" s="95">
        <f t="shared" si="19"/>
        <v>-40</v>
      </c>
      <c r="L288" s="95"/>
      <c r="M288" s="97">
        <f t="shared" si="20"/>
        <v>0</v>
      </c>
    </row>
    <row r="289" spans="1:13" x14ac:dyDescent="0.25">
      <c r="A289" s="116"/>
      <c r="G289" s="80"/>
      <c r="H289" s="95">
        <v>284</v>
      </c>
      <c r="I289" s="96" t="str">
        <f t="shared" si="18"/>
        <v/>
      </c>
      <c r="J289" s="95">
        <f t="shared" si="21"/>
        <v>-4</v>
      </c>
      <c r="K289" s="95">
        <f t="shared" si="19"/>
        <v>-40</v>
      </c>
      <c r="L289" s="95"/>
      <c r="M289" s="97">
        <f t="shared" si="20"/>
        <v>0</v>
      </c>
    </row>
    <row r="290" spans="1:13" x14ac:dyDescent="0.25">
      <c r="A290" s="116"/>
      <c r="G290" s="80"/>
      <c r="H290" s="95">
        <v>285</v>
      </c>
      <c r="I290" s="96" t="str">
        <f t="shared" si="18"/>
        <v/>
      </c>
      <c r="J290" s="95">
        <f t="shared" si="21"/>
        <v>-4</v>
      </c>
      <c r="K290" s="95">
        <f t="shared" si="19"/>
        <v>-40</v>
      </c>
      <c r="L290" s="95"/>
      <c r="M290" s="97">
        <f t="shared" si="20"/>
        <v>0</v>
      </c>
    </row>
    <row r="291" spans="1:13" x14ac:dyDescent="0.25">
      <c r="A291" s="116"/>
      <c r="G291" s="80"/>
      <c r="H291" s="95">
        <v>286</v>
      </c>
      <c r="I291" s="96" t="str">
        <f t="shared" si="18"/>
        <v/>
      </c>
      <c r="J291" s="95">
        <f t="shared" si="21"/>
        <v>-4</v>
      </c>
      <c r="K291" s="95">
        <f t="shared" si="19"/>
        <v>-40</v>
      </c>
      <c r="L291" s="95"/>
      <c r="M291" s="97">
        <f t="shared" si="20"/>
        <v>0</v>
      </c>
    </row>
    <row r="292" spans="1:13" x14ac:dyDescent="0.25">
      <c r="A292" s="116"/>
      <c r="G292" s="80"/>
      <c r="H292" s="95">
        <v>287</v>
      </c>
      <c r="I292" s="96" t="str">
        <f t="shared" si="18"/>
        <v/>
      </c>
      <c r="J292" s="95">
        <f t="shared" si="21"/>
        <v>-4</v>
      </c>
      <c r="K292" s="95">
        <f t="shared" si="19"/>
        <v>-40</v>
      </c>
      <c r="L292" s="95"/>
      <c r="M292" s="97">
        <f t="shared" si="20"/>
        <v>0</v>
      </c>
    </row>
    <row r="293" spans="1:13" x14ac:dyDescent="0.25">
      <c r="A293" s="116"/>
      <c r="G293" s="80"/>
      <c r="H293" s="95">
        <v>288</v>
      </c>
      <c r="I293" s="96" t="str">
        <f t="shared" si="18"/>
        <v/>
      </c>
      <c r="J293" s="95">
        <f t="shared" si="21"/>
        <v>-4</v>
      </c>
      <c r="K293" s="95">
        <f t="shared" si="19"/>
        <v>-40</v>
      </c>
      <c r="L293" s="95"/>
      <c r="M293" s="97">
        <f t="shared" si="20"/>
        <v>0</v>
      </c>
    </row>
    <row r="294" spans="1:13" x14ac:dyDescent="0.25">
      <c r="A294" s="116"/>
      <c r="G294" s="80"/>
      <c r="H294" s="95">
        <v>289</v>
      </c>
      <c r="I294" s="96" t="str">
        <f t="shared" si="18"/>
        <v/>
      </c>
      <c r="J294" s="95">
        <f t="shared" si="21"/>
        <v>-4</v>
      </c>
      <c r="K294" s="95">
        <f t="shared" si="19"/>
        <v>-40</v>
      </c>
      <c r="L294" s="95"/>
      <c r="M294" s="97">
        <f t="shared" si="20"/>
        <v>0</v>
      </c>
    </row>
    <row r="295" spans="1:13" x14ac:dyDescent="0.25">
      <c r="A295" s="116"/>
      <c r="G295" s="80"/>
      <c r="H295" s="95">
        <v>290</v>
      </c>
      <c r="I295" s="96" t="str">
        <f t="shared" si="18"/>
        <v/>
      </c>
      <c r="J295" s="95">
        <f t="shared" si="21"/>
        <v>-4</v>
      </c>
      <c r="K295" s="95">
        <f t="shared" si="19"/>
        <v>-40</v>
      </c>
      <c r="L295" s="95"/>
      <c r="M295" s="97">
        <f t="shared" si="20"/>
        <v>0</v>
      </c>
    </row>
    <row r="296" spans="1:13" x14ac:dyDescent="0.25">
      <c r="A296" s="116"/>
      <c r="G296" s="80"/>
      <c r="H296" s="95">
        <v>291</v>
      </c>
      <c r="I296" s="96" t="str">
        <f t="shared" si="18"/>
        <v/>
      </c>
      <c r="J296" s="95">
        <f t="shared" si="21"/>
        <v>-4</v>
      </c>
      <c r="K296" s="95">
        <f t="shared" si="19"/>
        <v>-40</v>
      </c>
      <c r="L296" s="95"/>
      <c r="M296" s="97">
        <f t="shared" si="20"/>
        <v>0</v>
      </c>
    </row>
    <row r="297" spans="1:13" x14ac:dyDescent="0.25">
      <c r="A297" s="116"/>
      <c r="G297" s="80"/>
      <c r="H297" s="95">
        <v>292</v>
      </c>
      <c r="I297" s="96" t="str">
        <f t="shared" si="18"/>
        <v/>
      </c>
      <c r="J297" s="95">
        <f t="shared" si="21"/>
        <v>-4</v>
      </c>
      <c r="K297" s="95">
        <f t="shared" si="19"/>
        <v>-40</v>
      </c>
      <c r="L297" s="95"/>
      <c r="M297" s="97">
        <f t="shared" si="20"/>
        <v>0</v>
      </c>
    </row>
    <row r="298" spans="1:13" x14ac:dyDescent="0.25">
      <c r="A298" s="116"/>
      <c r="G298" s="80"/>
      <c r="H298" s="95">
        <v>293</v>
      </c>
      <c r="I298" s="96" t="str">
        <f t="shared" si="18"/>
        <v/>
      </c>
      <c r="J298" s="95">
        <f t="shared" si="21"/>
        <v>-4</v>
      </c>
      <c r="K298" s="95">
        <f t="shared" si="19"/>
        <v>-40</v>
      </c>
      <c r="L298" s="95"/>
      <c r="M298" s="97">
        <f t="shared" si="20"/>
        <v>0</v>
      </c>
    </row>
    <row r="299" spans="1:13" x14ac:dyDescent="0.25">
      <c r="A299" s="116"/>
      <c r="G299" s="80"/>
      <c r="H299" s="95">
        <v>294</v>
      </c>
      <c r="I299" s="96" t="str">
        <f t="shared" si="18"/>
        <v/>
      </c>
      <c r="J299" s="95">
        <f t="shared" si="21"/>
        <v>-4</v>
      </c>
      <c r="K299" s="95">
        <f t="shared" si="19"/>
        <v>-40</v>
      </c>
      <c r="L299" s="95"/>
      <c r="M299" s="97">
        <f t="shared" si="20"/>
        <v>0</v>
      </c>
    </row>
    <row r="300" spans="1:13" x14ac:dyDescent="0.25">
      <c r="A300" s="116"/>
      <c r="G300" s="80"/>
      <c r="H300" s="95">
        <v>295</v>
      </c>
      <c r="I300" s="96" t="str">
        <f t="shared" si="18"/>
        <v/>
      </c>
      <c r="J300" s="95">
        <f t="shared" si="21"/>
        <v>-4</v>
      </c>
      <c r="K300" s="95">
        <f t="shared" si="19"/>
        <v>-40</v>
      </c>
      <c r="L300" s="95"/>
      <c r="M300" s="97">
        <f t="shared" si="20"/>
        <v>0</v>
      </c>
    </row>
    <row r="301" spans="1:13" x14ac:dyDescent="0.25">
      <c r="A301" s="116"/>
      <c r="G301" s="80"/>
      <c r="H301" s="95">
        <v>296</v>
      </c>
      <c r="I301" s="96" t="str">
        <f t="shared" si="18"/>
        <v/>
      </c>
      <c r="J301" s="95">
        <f t="shared" si="21"/>
        <v>-4</v>
      </c>
      <c r="K301" s="95">
        <f t="shared" si="19"/>
        <v>-40</v>
      </c>
      <c r="L301" s="95"/>
      <c r="M301" s="97">
        <f t="shared" si="20"/>
        <v>0</v>
      </c>
    </row>
    <row r="302" spans="1:13" x14ac:dyDescent="0.25">
      <c r="A302" s="116"/>
      <c r="G302" s="80"/>
      <c r="H302" s="95">
        <v>297</v>
      </c>
      <c r="I302" s="96" t="str">
        <f t="shared" si="18"/>
        <v/>
      </c>
      <c r="J302" s="95">
        <f t="shared" si="21"/>
        <v>-4</v>
      </c>
      <c r="K302" s="95">
        <f t="shared" si="19"/>
        <v>-40</v>
      </c>
      <c r="L302" s="95"/>
      <c r="M302" s="97">
        <f t="shared" si="20"/>
        <v>0</v>
      </c>
    </row>
    <row r="303" spans="1:13" x14ac:dyDescent="0.25">
      <c r="A303" s="116"/>
      <c r="G303" s="80"/>
      <c r="H303" s="95">
        <v>298</v>
      </c>
      <c r="I303" s="96" t="str">
        <f t="shared" si="18"/>
        <v/>
      </c>
      <c r="J303" s="95">
        <f t="shared" si="21"/>
        <v>-4</v>
      </c>
      <c r="K303" s="95">
        <f t="shared" si="19"/>
        <v>-40</v>
      </c>
      <c r="L303" s="95"/>
      <c r="M303" s="97">
        <f t="shared" si="20"/>
        <v>0</v>
      </c>
    </row>
    <row r="304" spans="1:13" x14ac:dyDescent="0.25">
      <c r="A304" s="116"/>
      <c r="G304" s="80"/>
      <c r="H304" s="95">
        <v>299</v>
      </c>
      <c r="I304" s="96" t="str">
        <f t="shared" si="18"/>
        <v/>
      </c>
      <c r="J304" s="95">
        <f t="shared" si="21"/>
        <v>-4</v>
      </c>
      <c r="K304" s="95">
        <f t="shared" si="19"/>
        <v>-40</v>
      </c>
      <c r="L304" s="95"/>
      <c r="M304" s="97">
        <f t="shared" si="20"/>
        <v>0</v>
      </c>
    </row>
    <row r="305" spans="1:16" x14ac:dyDescent="0.25">
      <c r="A305" s="116"/>
      <c r="G305" s="80"/>
      <c r="H305" s="95">
        <v>300</v>
      </c>
      <c r="I305" s="96" t="str">
        <f t="shared" si="18"/>
        <v/>
      </c>
      <c r="J305" s="95">
        <f t="shared" si="21"/>
        <v>-4</v>
      </c>
      <c r="K305" s="95">
        <f t="shared" si="19"/>
        <v>-40</v>
      </c>
      <c r="L305" s="95"/>
      <c r="M305" s="97">
        <f t="shared" si="20"/>
        <v>0</v>
      </c>
    </row>
    <row r="306" spans="1:16" x14ac:dyDescent="0.25">
      <c r="A306" s="117"/>
    </row>
    <row r="314" spans="1:16" x14ac:dyDescent="0.25">
      <c r="L314" s="120"/>
      <c r="P314" s="107"/>
    </row>
    <row r="315" spans="1:16" x14ac:dyDescent="0.25">
      <c r="L315" s="120"/>
      <c r="P315" s="107"/>
    </row>
    <row r="316" spans="1:16" x14ac:dyDescent="0.25">
      <c r="L316" s="120"/>
      <c r="P316" s="107"/>
    </row>
    <row r="317" spans="1:16" x14ac:dyDescent="0.25">
      <c r="L317" s="120"/>
      <c r="P317" s="107"/>
    </row>
  </sheetData>
  <conditionalFormatting sqref="J6:K305">
    <cfRule type="cellIs" dxfId="16" priority="1" operator="lessThanOrEqual">
      <formula>0</formula>
    </cfRule>
  </conditionalFormatting>
  <dataValidations count="1">
    <dataValidation type="list" allowBlank="1" showInputMessage="1" showErrorMessage="1" sqref="C38:C69" xr:uid="{D928726A-CDCE-4DBD-8128-46A73901CB16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CB397-4D6C-43AB-B595-B73B9B60F5FC}">
  <sheetPr>
    <tabColor rgb="FF92D050"/>
  </sheetPr>
  <dimension ref="A1:AL317"/>
  <sheetViews>
    <sheetView topLeftCell="A23" workbookViewId="0">
      <selection activeCell="A59" sqref="A59"/>
    </sheetView>
  </sheetViews>
  <sheetFormatPr defaultColWidth="8.875" defaultRowHeight="14.3" x14ac:dyDescent="0.25"/>
  <cols>
    <col min="1" max="1" width="8" style="248" customWidth="1"/>
    <col min="2" max="2" width="8.25" style="248" customWidth="1"/>
    <col min="3" max="3" width="34.75" style="248" customWidth="1"/>
    <col min="4" max="4" width="11.25" style="248" customWidth="1"/>
    <col min="5" max="6" width="8.875" style="248"/>
    <col min="7" max="7" width="0.875" style="248" customWidth="1"/>
    <col min="8" max="8" width="8.875" style="251"/>
    <col min="9" max="9" width="11" style="251" customWidth="1"/>
    <col min="10" max="10" width="15.25" style="251" customWidth="1"/>
    <col min="11" max="11" width="8.75" style="251" customWidth="1"/>
    <col min="12" max="12" width="11" style="251" customWidth="1"/>
    <col min="13" max="13" width="12.25" style="252" customWidth="1"/>
    <col min="14" max="15" width="13.875" style="218" customWidth="1"/>
    <col min="16" max="18" width="8.875" style="218"/>
    <col min="19" max="20" width="8.875" style="223"/>
    <col min="21" max="21" width="12.125" style="223" customWidth="1"/>
    <col min="22" max="22" width="27.375" style="223" customWidth="1"/>
    <col min="23" max="38" width="8.875" style="223"/>
    <col min="39" max="16384" width="8.875" style="248"/>
  </cols>
  <sheetData>
    <row r="1" spans="1:36" x14ac:dyDescent="0.25">
      <c r="A1" s="218"/>
      <c r="B1" s="218"/>
      <c r="C1" s="218"/>
      <c r="D1" s="218"/>
      <c r="E1" s="218"/>
      <c r="F1" s="218"/>
      <c r="G1" s="218"/>
      <c r="H1" s="219" t="s">
        <v>38</v>
      </c>
      <c r="I1" s="220" t="s">
        <v>39</v>
      </c>
      <c r="J1" s="220" t="s">
        <v>40</v>
      </c>
      <c r="K1" s="221" t="s">
        <v>128</v>
      </c>
      <c r="L1" s="222"/>
      <c r="M1" s="222"/>
    </row>
    <row r="2" spans="1:36" x14ac:dyDescent="0.25">
      <c r="A2" s="218"/>
      <c r="B2" s="47" t="s">
        <v>42</v>
      </c>
      <c r="C2" s="125" t="s">
        <v>136</v>
      </c>
      <c r="D2" s="68"/>
      <c r="E2" s="6"/>
      <c r="F2" s="6"/>
      <c r="G2" s="6"/>
      <c r="H2" s="224">
        <v>60</v>
      </c>
      <c r="I2" s="225">
        <v>50</v>
      </c>
      <c r="J2" s="225">
        <v>10</v>
      </c>
      <c r="K2" s="226">
        <f>3*H2^(1/3)</f>
        <v>11.744602923506591</v>
      </c>
      <c r="L2" s="222"/>
      <c r="M2" s="222"/>
    </row>
    <row r="3" spans="1:36" x14ac:dyDescent="0.25">
      <c r="A3" s="218"/>
      <c r="B3" s="227" t="s">
        <v>44</v>
      </c>
      <c r="C3" s="69">
        <v>45114</v>
      </c>
      <c r="D3" s="69"/>
      <c r="E3" s="7"/>
      <c r="F3" s="7"/>
      <c r="G3" s="7"/>
      <c r="H3" s="222"/>
      <c r="I3" s="222"/>
      <c r="J3" s="228"/>
      <c r="K3" s="222"/>
      <c r="L3" s="222"/>
      <c r="M3" s="222"/>
    </row>
    <row r="4" spans="1:36" ht="10.199999999999999" customHeight="1" x14ac:dyDescent="0.25">
      <c r="A4" s="8"/>
      <c r="B4" s="7"/>
      <c r="C4" s="8"/>
      <c r="D4" s="8"/>
      <c r="E4" s="8"/>
      <c r="F4" s="8"/>
      <c r="G4" s="8"/>
      <c r="H4" s="222"/>
      <c r="I4" s="222"/>
      <c r="J4" s="228"/>
      <c r="K4" s="222"/>
      <c r="L4" s="222"/>
      <c r="M4" s="222"/>
    </row>
    <row r="5" spans="1:36" ht="34.65" x14ac:dyDescent="0.25">
      <c r="A5" s="1" t="s">
        <v>45</v>
      </c>
      <c r="B5" s="37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8"/>
      <c r="H5" s="229" t="s">
        <v>51</v>
      </c>
      <c r="I5" s="230" t="s">
        <v>52</v>
      </c>
      <c r="J5" s="231" t="s">
        <v>93</v>
      </c>
      <c r="K5" s="230" t="s">
        <v>94</v>
      </c>
      <c r="L5" s="230" t="s">
        <v>55</v>
      </c>
      <c r="M5" s="229" t="s">
        <v>56</v>
      </c>
    </row>
    <row r="6" spans="1:36" ht="14.45" customHeight="1" x14ac:dyDescent="0.25">
      <c r="A6" s="94">
        <f>M6</f>
        <v>145.23380877051977</v>
      </c>
      <c r="B6" s="36">
        <f t="shared" ref="B6:B69" si="0">IF(H6&gt;$H$2,"",(ROW()-5))</f>
        <v>1</v>
      </c>
      <c r="C6" s="24" t="s">
        <v>95</v>
      </c>
      <c r="D6" s="24"/>
      <c r="E6" s="24"/>
      <c r="F6" s="24"/>
      <c r="G6" s="8"/>
      <c r="H6" s="232">
        <v>1</v>
      </c>
      <c r="I6" s="233">
        <f t="shared" ref="I6:I69" si="1">IF(H6&lt;$H$2+1,($I$2-($I$2-1)*(LOG(H6)/LOG($H$2))),"")</f>
        <v>50</v>
      </c>
      <c r="J6" s="232">
        <f>INT(LOG($H$2,2))-ROUNDUP(LOG(H6,2),0)+IF(OR($H$2=1,$H$2=2,$H$2=4,$H$2=8,$H$2=16,$H$2=32,$H$2=64,$H$2=128,$H$2=256),0,1)</f>
        <v>6</v>
      </c>
      <c r="K6" s="232">
        <f t="shared" ref="K6:K69" si="2">J6*$J$2</f>
        <v>60</v>
      </c>
      <c r="L6" s="234">
        <f>3*K2</f>
        <v>35.233808770519772</v>
      </c>
      <c r="M6" s="234">
        <f t="shared" ref="M6:M69" si="3">IF(I6&lt;&gt;"",K6+I6+L6,0)</f>
        <v>145.23380877051977</v>
      </c>
    </row>
    <row r="7" spans="1:36" ht="14.45" customHeight="1" x14ac:dyDescent="0.25">
      <c r="A7" s="98">
        <f t="shared" ref="A7:A70" si="4">M7</f>
        <v>115.19380927467289</v>
      </c>
      <c r="B7" s="35">
        <f t="shared" si="0"/>
        <v>2</v>
      </c>
      <c r="C7" s="25" t="s">
        <v>95</v>
      </c>
      <c r="D7" s="25"/>
      <c r="E7" s="25"/>
      <c r="F7" s="25"/>
      <c r="G7" s="8"/>
      <c r="H7" s="235">
        <v>2</v>
      </c>
      <c r="I7" s="236">
        <f t="shared" si="1"/>
        <v>41.704603427659706</v>
      </c>
      <c r="J7" s="235">
        <f t="shared" ref="J7:J70" si="5">INT(LOG($H$2,2))-ROUNDUP(LOG(H7,2),0)+IF(OR($H$2=1,$H$2=2,$H$2=4,$H$2=8,$H$2=16,$H$2=32,$H$2=64,$H$2=128,$H$2=256),0,1)</f>
        <v>5</v>
      </c>
      <c r="K7" s="235">
        <f t="shared" si="2"/>
        <v>50</v>
      </c>
      <c r="L7" s="237">
        <f>2*K2</f>
        <v>23.489205847013181</v>
      </c>
      <c r="M7" s="237">
        <f t="shared" si="3"/>
        <v>115.19380927467289</v>
      </c>
    </row>
    <row r="8" spans="1:36" ht="14.45" customHeight="1" x14ac:dyDescent="0.25">
      <c r="A8" s="94">
        <f t="shared" si="4"/>
        <v>88.596710427736411</v>
      </c>
      <c r="B8" s="36">
        <f t="shared" si="0"/>
        <v>3</v>
      </c>
      <c r="C8" s="24" t="s">
        <v>95</v>
      </c>
      <c r="D8" s="24"/>
      <c r="E8" s="24"/>
      <c r="F8" s="24"/>
      <c r="G8" s="8"/>
      <c r="H8" s="232">
        <v>3</v>
      </c>
      <c r="I8" s="233">
        <f t="shared" si="1"/>
        <v>36.852107504229828</v>
      </c>
      <c r="J8" s="232">
        <f t="shared" si="5"/>
        <v>4</v>
      </c>
      <c r="K8" s="232">
        <f t="shared" si="2"/>
        <v>40</v>
      </c>
      <c r="L8" s="234">
        <f>K2</f>
        <v>11.744602923506591</v>
      </c>
      <c r="M8" s="234">
        <f t="shared" si="3"/>
        <v>88.596710427736411</v>
      </c>
    </row>
    <row r="9" spans="1:36" s="223" customFormat="1" ht="14.45" customHeight="1" x14ac:dyDescent="0.25">
      <c r="A9" s="98">
        <f t="shared" si="4"/>
        <v>88.596710427736411</v>
      </c>
      <c r="B9" s="35">
        <f>IF(H9&gt;$H$2,"",3)</f>
        <v>3</v>
      </c>
      <c r="C9" s="25" t="s">
        <v>95</v>
      </c>
      <c r="D9" s="25"/>
      <c r="E9" s="25"/>
      <c r="F9" s="25"/>
      <c r="G9" s="8"/>
      <c r="H9" s="235">
        <v>3</v>
      </c>
      <c r="I9" s="236">
        <f t="shared" si="1"/>
        <v>36.852107504229828</v>
      </c>
      <c r="J9" s="235">
        <f t="shared" si="5"/>
        <v>4</v>
      </c>
      <c r="K9" s="235">
        <f t="shared" si="2"/>
        <v>40</v>
      </c>
      <c r="L9" s="237">
        <f>K2</f>
        <v>11.744602923506591</v>
      </c>
      <c r="M9" s="237">
        <f t="shared" si="3"/>
        <v>88.596710427736411</v>
      </c>
      <c r="N9" s="218"/>
      <c r="O9" s="218"/>
      <c r="P9" s="218"/>
      <c r="Q9" s="218"/>
      <c r="R9" s="218"/>
      <c r="V9" s="238"/>
      <c r="Z9" s="239"/>
      <c r="AA9" s="239"/>
      <c r="AG9" s="240"/>
      <c r="AH9" s="223" t="s">
        <v>95</v>
      </c>
      <c r="AI9" s="223">
        <v>23</v>
      </c>
    </row>
    <row r="10" spans="1:36" ht="14.45" customHeight="1" x14ac:dyDescent="0.25">
      <c r="A10" s="94">
        <f t="shared" si="4"/>
        <v>60.738685640450754</v>
      </c>
      <c r="B10" s="36">
        <f t="shared" si="0"/>
        <v>5</v>
      </c>
      <c r="C10" s="24" t="s">
        <v>95</v>
      </c>
      <c r="D10" s="24"/>
      <c r="E10" s="24"/>
      <c r="F10" s="24"/>
      <c r="G10" s="8"/>
      <c r="H10" s="232">
        <v>5</v>
      </c>
      <c r="I10" s="233">
        <f t="shared" si="1"/>
        <v>30.73868564045075</v>
      </c>
      <c r="J10" s="232">
        <f t="shared" si="5"/>
        <v>3</v>
      </c>
      <c r="K10" s="232">
        <f t="shared" si="2"/>
        <v>30</v>
      </c>
      <c r="L10" s="232"/>
      <c r="M10" s="234">
        <f t="shared" si="3"/>
        <v>60.738685640450754</v>
      </c>
      <c r="V10" s="238"/>
      <c r="Z10" s="239"/>
      <c r="AA10" s="239"/>
      <c r="AG10" s="240"/>
      <c r="AH10" s="223" t="s">
        <v>96</v>
      </c>
      <c r="AI10" s="223">
        <v>45</v>
      </c>
    </row>
    <row r="11" spans="1:36" ht="14.45" customHeight="1" x14ac:dyDescent="0.25">
      <c r="A11" s="98">
        <f t="shared" si="4"/>
        <v>58.55671093188954</v>
      </c>
      <c r="B11" s="35">
        <f t="shared" si="0"/>
        <v>6</v>
      </c>
      <c r="C11" s="25" t="s">
        <v>95</v>
      </c>
      <c r="D11" s="25"/>
      <c r="E11" s="25"/>
      <c r="F11" s="25"/>
      <c r="G11" s="8"/>
      <c r="H11" s="235">
        <v>6</v>
      </c>
      <c r="I11" s="236">
        <f t="shared" si="1"/>
        <v>28.556710931889537</v>
      </c>
      <c r="J11" s="235">
        <f t="shared" si="5"/>
        <v>3</v>
      </c>
      <c r="K11" s="235">
        <f t="shared" si="2"/>
        <v>30</v>
      </c>
      <c r="L11" s="235"/>
      <c r="M11" s="237">
        <f t="shared" si="3"/>
        <v>58.55671093188954</v>
      </c>
      <c r="V11" s="241"/>
      <c r="Z11" s="239"/>
      <c r="AA11" s="239"/>
      <c r="AG11" s="240"/>
      <c r="AH11" s="223" t="s">
        <v>97</v>
      </c>
      <c r="AI11" s="223">
        <v>50</v>
      </c>
    </row>
    <row r="12" spans="1:36" ht="14.45" customHeight="1" x14ac:dyDescent="0.25">
      <c r="A12" s="94">
        <f t="shared" si="4"/>
        <v>56.71187760222071</v>
      </c>
      <c r="B12" s="36">
        <f t="shared" si="0"/>
        <v>7</v>
      </c>
      <c r="C12" s="24" t="s">
        <v>95</v>
      </c>
      <c r="D12" s="24"/>
      <c r="E12" s="24"/>
      <c r="F12" s="24"/>
      <c r="G12" s="8"/>
      <c r="H12" s="232">
        <v>7</v>
      </c>
      <c r="I12" s="233">
        <f t="shared" si="1"/>
        <v>26.711877602220707</v>
      </c>
      <c r="J12" s="232">
        <f t="shared" si="5"/>
        <v>3</v>
      </c>
      <c r="K12" s="232">
        <f t="shared" si="2"/>
        <v>30</v>
      </c>
      <c r="L12" s="232"/>
      <c r="M12" s="234">
        <f t="shared" si="3"/>
        <v>56.71187760222071</v>
      </c>
      <c r="Z12" s="239"/>
      <c r="AA12" s="239"/>
      <c r="AG12" s="240"/>
      <c r="AH12" s="223" t="s">
        <v>98</v>
      </c>
      <c r="AI12" s="223">
        <f>AI11-1</f>
        <v>49</v>
      </c>
    </row>
    <row r="13" spans="1:36" ht="14.45" customHeight="1" x14ac:dyDescent="0.25">
      <c r="A13" s="98">
        <f t="shared" si="4"/>
        <v>55.113810282979131</v>
      </c>
      <c r="B13" s="35">
        <f t="shared" si="0"/>
        <v>8</v>
      </c>
      <c r="C13" s="25" t="s">
        <v>95</v>
      </c>
      <c r="D13" s="25"/>
      <c r="E13" s="25"/>
      <c r="F13" s="25"/>
      <c r="G13" s="8"/>
      <c r="H13" s="235">
        <v>8</v>
      </c>
      <c r="I13" s="236">
        <f t="shared" si="1"/>
        <v>25.113810282979131</v>
      </c>
      <c r="J13" s="235">
        <f t="shared" si="5"/>
        <v>3</v>
      </c>
      <c r="K13" s="235">
        <f t="shared" si="2"/>
        <v>30</v>
      </c>
      <c r="L13" s="235"/>
      <c r="M13" s="237">
        <f t="shared" si="3"/>
        <v>55.113810282979131</v>
      </c>
      <c r="X13" s="238"/>
      <c r="AG13" s="240"/>
      <c r="AH13" s="223" t="s">
        <v>101</v>
      </c>
      <c r="AI13" s="223">
        <f>LOG(AI9)</f>
        <v>1.3617278360175928</v>
      </c>
    </row>
    <row r="14" spans="1:36" x14ac:dyDescent="0.25">
      <c r="A14" s="94">
        <f t="shared" si="4"/>
        <v>43.704215008459656</v>
      </c>
      <c r="B14" s="36">
        <f t="shared" si="0"/>
        <v>9</v>
      </c>
      <c r="C14" s="24" t="s">
        <v>95</v>
      </c>
      <c r="D14" s="24"/>
      <c r="E14" s="24"/>
      <c r="F14" s="24"/>
      <c r="G14" s="8"/>
      <c r="H14" s="232">
        <v>9</v>
      </c>
      <c r="I14" s="233">
        <f t="shared" si="1"/>
        <v>23.704215008459652</v>
      </c>
      <c r="J14" s="232">
        <f t="shared" si="5"/>
        <v>2</v>
      </c>
      <c r="K14" s="232">
        <f t="shared" si="2"/>
        <v>20</v>
      </c>
      <c r="L14" s="232"/>
      <c r="M14" s="234">
        <f t="shared" si="3"/>
        <v>43.704215008459656</v>
      </c>
      <c r="X14" s="242"/>
      <c r="Z14" s="239"/>
      <c r="AA14" s="239"/>
      <c r="AG14" s="240"/>
      <c r="AH14" s="223" t="s">
        <v>102</v>
      </c>
      <c r="AI14" s="223">
        <f>LOG(AI10)</f>
        <v>1.6532125137753437</v>
      </c>
    </row>
    <row r="15" spans="1:36" x14ac:dyDescent="0.25">
      <c r="A15" s="98">
        <f t="shared" si="4"/>
        <v>42.44328906811046</v>
      </c>
      <c r="B15" s="35">
        <f t="shared" si="0"/>
        <v>10</v>
      </c>
      <c r="C15" s="25" t="s">
        <v>95</v>
      </c>
      <c r="D15" s="25"/>
      <c r="E15" s="25"/>
      <c r="F15" s="25"/>
      <c r="G15" s="8"/>
      <c r="H15" s="235">
        <v>10</v>
      </c>
      <c r="I15" s="236">
        <f t="shared" si="1"/>
        <v>22.443289068110463</v>
      </c>
      <c r="J15" s="235">
        <f t="shared" si="5"/>
        <v>2</v>
      </c>
      <c r="K15" s="235">
        <f t="shared" si="2"/>
        <v>20</v>
      </c>
      <c r="L15" s="235"/>
      <c r="M15" s="237">
        <f t="shared" si="3"/>
        <v>42.44328906811046</v>
      </c>
      <c r="X15" s="238"/>
      <c r="Z15" s="239"/>
      <c r="AA15" s="239"/>
    </row>
    <row r="16" spans="1:36" x14ac:dyDescent="0.25">
      <c r="A16" s="94">
        <f t="shared" si="4"/>
        <v>41.302642808510541</v>
      </c>
      <c r="B16" s="36">
        <f t="shared" si="0"/>
        <v>11</v>
      </c>
      <c r="C16" s="24" t="s">
        <v>95</v>
      </c>
      <c r="D16" s="24"/>
      <c r="E16" s="24"/>
      <c r="F16" s="24"/>
      <c r="G16" s="8"/>
      <c r="H16" s="232">
        <v>11</v>
      </c>
      <c r="I16" s="233">
        <f t="shared" si="1"/>
        <v>21.302642808510541</v>
      </c>
      <c r="J16" s="232">
        <f t="shared" si="5"/>
        <v>2</v>
      </c>
      <c r="K16" s="232">
        <f t="shared" si="2"/>
        <v>20</v>
      </c>
      <c r="L16" s="232"/>
      <c r="M16" s="234">
        <f t="shared" si="3"/>
        <v>41.302642808510541</v>
      </c>
      <c r="R16" s="243"/>
      <c r="Z16" s="239"/>
      <c r="AA16" s="239"/>
      <c r="AH16" s="244" t="s">
        <v>104</v>
      </c>
      <c r="AI16" s="223">
        <f>AI11-AI12*AI13/AI14</f>
        <v>9.6393909380186855</v>
      </c>
      <c r="AJ16" s="223" t="s">
        <v>105</v>
      </c>
    </row>
    <row r="17" spans="1:19" x14ac:dyDescent="0.25">
      <c r="A17" s="98">
        <f t="shared" si="4"/>
        <v>40.261314359549246</v>
      </c>
      <c r="B17" s="35">
        <f t="shared" si="0"/>
        <v>12</v>
      </c>
      <c r="C17" s="25" t="s">
        <v>95</v>
      </c>
      <c r="D17" s="25"/>
      <c r="E17" s="25"/>
      <c r="F17" s="25"/>
      <c r="G17" s="8"/>
      <c r="H17" s="235">
        <v>12</v>
      </c>
      <c r="I17" s="236">
        <f t="shared" si="1"/>
        <v>20.261314359549242</v>
      </c>
      <c r="J17" s="235">
        <f t="shared" si="5"/>
        <v>2</v>
      </c>
      <c r="K17" s="235">
        <f t="shared" si="2"/>
        <v>20</v>
      </c>
      <c r="L17" s="235"/>
      <c r="M17" s="237">
        <f t="shared" si="3"/>
        <v>40.261314359549246</v>
      </c>
    </row>
    <row r="18" spans="1:19" x14ac:dyDescent="0.25">
      <c r="A18" s="94">
        <f t="shared" si="4"/>
        <v>39.303385045980519</v>
      </c>
      <c r="B18" s="36">
        <f t="shared" si="0"/>
        <v>13</v>
      </c>
      <c r="C18" s="24" t="s">
        <v>95</v>
      </c>
      <c r="D18" s="24"/>
      <c r="E18" s="24"/>
      <c r="F18" s="24"/>
      <c r="G18" s="8"/>
      <c r="H18" s="232">
        <v>13</v>
      </c>
      <c r="I18" s="233">
        <f t="shared" si="1"/>
        <v>19.303385045980516</v>
      </c>
      <c r="J18" s="232">
        <f t="shared" si="5"/>
        <v>2</v>
      </c>
      <c r="K18" s="232">
        <f t="shared" si="2"/>
        <v>20</v>
      </c>
      <c r="L18" s="232"/>
      <c r="M18" s="234">
        <f t="shared" si="3"/>
        <v>39.303385045980519</v>
      </c>
    </row>
    <row r="19" spans="1:19" x14ac:dyDescent="0.25">
      <c r="A19" s="98">
        <f t="shared" si="4"/>
        <v>38.416481029880416</v>
      </c>
      <c r="B19" s="35">
        <f t="shared" si="0"/>
        <v>14</v>
      </c>
      <c r="C19" s="25" t="s">
        <v>95</v>
      </c>
      <c r="D19" s="25"/>
      <c r="E19" s="25"/>
      <c r="F19" s="25"/>
      <c r="G19" s="8"/>
      <c r="H19" s="235">
        <v>14</v>
      </c>
      <c r="I19" s="236">
        <f t="shared" si="1"/>
        <v>18.416481029880419</v>
      </c>
      <c r="J19" s="235">
        <f t="shared" si="5"/>
        <v>2</v>
      </c>
      <c r="K19" s="235">
        <f t="shared" si="2"/>
        <v>20</v>
      </c>
      <c r="L19" s="235"/>
      <c r="M19" s="237">
        <f t="shared" si="3"/>
        <v>38.416481029880416</v>
      </c>
    </row>
    <row r="20" spans="1:19" x14ac:dyDescent="0.25">
      <c r="A20" s="94">
        <f t="shared" si="4"/>
        <v>37.590793144680575</v>
      </c>
      <c r="B20" s="36">
        <f t="shared" si="0"/>
        <v>15</v>
      </c>
      <c r="C20" s="24" t="s">
        <v>95</v>
      </c>
      <c r="D20" s="24"/>
      <c r="E20" s="24"/>
      <c r="F20" s="24"/>
      <c r="G20" s="8"/>
      <c r="H20" s="232">
        <v>15</v>
      </c>
      <c r="I20" s="233">
        <f t="shared" si="1"/>
        <v>17.590793144680575</v>
      </c>
      <c r="J20" s="232">
        <f t="shared" si="5"/>
        <v>2</v>
      </c>
      <c r="K20" s="232">
        <f t="shared" si="2"/>
        <v>20</v>
      </c>
      <c r="L20" s="232"/>
      <c r="M20" s="234">
        <f t="shared" si="3"/>
        <v>37.590793144680575</v>
      </c>
      <c r="R20" s="245"/>
      <c r="S20" s="246"/>
    </row>
    <row r="21" spans="1:19" x14ac:dyDescent="0.25">
      <c r="A21" s="98">
        <f t="shared" si="4"/>
        <v>36.818413710638836</v>
      </c>
      <c r="B21" s="35">
        <f t="shared" si="0"/>
        <v>16</v>
      </c>
      <c r="C21" s="25" t="s">
        <v>95</v>
      </c>
      <c r="D21" s="25"/>
      <c r="E21" s="25"/>
      <c r="F21" s="25"/>
      <c r="G21" s="8"/>
      <c r="H21" s="235">
        <v>16</v>
      </c>
      <c r="I21" s="236">
        <f t="shared" si="1"/>
        <v>16.818413710638836</v>
      </c>
      <c r="J21" s="235">
        <f t="shared" si="5"/>
        <v>2</v>
      </c>
      <c r="K21" s="235">
        <f t="shared" si="2"/>
        <v>20</v>
      </c>
      <c r="L21" s="235"/>
      <c r="M21" s="237">
        <f t="shared" si="3"/>
        <v>36.818413710638836</v>
      </c>
    </row>
    <row r="22" spans="1:19" x14ac:dyDescent="0.25">
      <c r="A22" s="94">
        <f t="shared" si="4"/>
        <v>26.092874757123631</v>
      </c>
      <c r="B22" s="36">
        <f t="shared" si="0"/>
        <v>17</v>
      </c>
      <c r="C22" s="24" t="s">
        <v>95</v>
      </c>
      <c r="D22" s="24"/>
      <c r="E22" s="24"/>
      <c r="F22" s="24"/>
      <c r="G22" s="8"/>
      <c r="H22" s="232">
        <v>17</v>
      </c>
      <c r="I22" s="233">
        <f t="shared" si="1"/>
        <v>16.092874757123631</v>
      </c>
      <c r="J22" s="232">
        <f t="shared" si="5"/>
        <v>1</v>
      </c>
      <c r="K22" s="232">
        <f t="shared" si="2"/>
        <v>10</v>
      </c>
      <c r="L22" s="232"/>
      <c r="M22" s="234">
        <f t="shared" si="3"/>
        <v>26.092874757123631</v>
      </c>
    </row>
    <row r="23" spans="1:19" x14ac:dyDescent="0.25">
      <c r="A23" s="98">
        <f t="shared" si="4"/>
        <v>25.408818436119368</v>
      </c>
      <c r="B23" s="35">
        <f t="shared" si="0"/>
        <v>18</v>
      </c>
      <c r="C23" s="25" t="s">
        <v>95</v>
      </c>
      <c r="D23" s="25"/>
      <c r="E23" s="25"/>
      <c r="F23" s="25"/>
      <c r="G23" s="8"/>
      <c r="H23" s="235">
        <v>18</v>
      </c>
      <c r="I23" s="236">
        <f t="shared" si="1"/>
        <v>15.408818436119368</v>
      </c>
      <c r="J23" s="235">
        <f t="shared" si="5"/>
        <v>1</v>
      </c>
      <c r="K23" s="235">
        <f t="shared" si="2"/>
        <v>10</v>
      </c>
      <c r="L23" s="235"/>
      <c r="M23" s="237">
        <f t="shared" si="3"/>
        <v>25.408818436119368</v>
      </c>
    </row>
    <row r="24" spans="1:19" x14ac:dyDescent="0.25">
      <c r="A24" s="94">
        <f t="shared" si="4"/>
        <v>24.76175666543007</v>
      </c>
      <c r="B24" s="36">
        <f t="shared" si="0"/>
        <v>19</v>
      </c>
      <c r="C24" s="24" t="s">
        <v>95</v>
      </c>
      <c r="D24" s="24"/>
      <c r="E24" s="24"/>
      <c r="F24" s="24"/>
      <c r="G24" s="8"/>
      <c r="H24" s="232">
        <v>19</v>
      </c>
      <c r="I24" s="233">
        <f t="shared" si="1"/>
        <v>14.76175666543007</v>
      </c>
      <c r="J24" s="232">
        <f t="shared" si="5"/>
        <v>1</v>
      </c>
      <c r="K24" s="232">
        <f t="shared" si="2"/>
        <v>10</v>
      </c>
      <c r="L24" s="232"/>
      <c r="M24" s="234">
        <f t="shared" si="3"/>
        <v>24.76175666543007</v>
      </c>
      <c r="R24" s="245"/>
      <c r="S24" s="246"/>
    </row>
    <row r="25" spans="1:19" x14ac:dyDescent="0.25">
      <c r="A25" s="98">
        <f t="shared" si="4"/>
        <v>24.147892495770172</v>
      </c>
      <c r="B25" s="35">
        <f t="shared" si="0"/>
        <v>20</v>
      </c>
      <c r="C25" s="25" t="s">
        <v>95</v>
      </c>
      <c r="D25" s="25"/>
      <c r="E25" s="25"/>
      <c r="F25" s="25"/>
      <c r="G25" s="8"/>
      <c r="H25" s="235">
        <v>20</v>
      </c>
      <c r="I25" s="236">
        <f t="shared" si="1"/>
        <v>14.147892495770172</v>
      </c>
      <c r="J25" s="235">
        <f t="shared" si="5"/>
        <v>1</v>
      </c>
      <c r="K25" s="235">
        <f t="shared" si="2"/>
        <v>10</v>
      </c>
      <c r="L25" s="235"/>
      <c r="M25" s="237">
        <f t="shared" si="3"/>
        <v>24.147892495770172</v>
      </c>
    </row>
    <row r="26" spans="1:19" x14ac:dyDescent="0.25">
      <c r="A26" s="94">
        <f t="shared" si="4"/>
        <v>23.563985106450538</v>
      </c>
      <c r="B26" s="36">
        <f t="shared" si="0"/>
        <v>21</v>
      </c>
      <c r="C26" s="24" t="s">
        <v>95</v>
      </c>
      <c r="D26" s="24"/>
      <c r="E26" s="24"/>
      <c r="F26" s="24"/>
      <c r="G26" s="8"/>
      <c r="H26" s="232">
        <v>21</v>
      </c>
      <c r="I26" s="233">
        <f t="shared" si="1"/>
        <v>13.563985106450538</v>
      </c>
      <c r="J26" s="232">
        <f t="shared" si="5"/>
        <v>1</v>
      </c>
      <c r="K26" s="232">
        <f t="shared" si="2"/>
        <v>10</v>
      </c>
      <c r="L26" s="232"/>
      <c r="M26" s="234">
        <f t="shared" si="3"/>
        <v>23.563985106450538</v>
      </c>
    </row>
    <row r="27" spans="1:19" x14ac:dyDescent="0.25">
      <c r="A27" s="98">
        <f t="shared" si="4"/>
        <v>23.007246236170253</v>
      </c>
      <c r="B27" s="35">
        <f t="shared" si="0"/>
        <v>22</v>
      </c>
      <c r="C27" s="25" t="s">
        <v>95</v>
      </c>
      <c r="D27" s="25"/>
      <c r="E27" s="25"/>
      <c r="F27" s="25"/>
      <c r="G27" s="8"/>
      <c r="H27" s="235">
        <v>22</v>
      </c>
      <c r="I27" s="236">
        <f t="shared" si="1"/>
        <v>13.007246236170253</v>
      </c>
      <c r="J27" s="235">
        <f t="shared" si="5"/>
        <v>1</v>
      </c>
      <c r="K27" s="235">
        <f t="shared" si="2"/>
        <v>10</v>
      </c>
      <c r="L27" s="235"/>
      <c r="M27" s="237">
        <f t="shared" si="3"/>
        <v>23.007246236170253</v>
      </c>
    </row>
    <row r="28" spans="1:19" x14ac:dyDescent="0.25">
      <c r="A28" s="94">
        <f t="shared" si="4"/>
        <v>22.475259654955721</v>
      </c>
      <c r="B28" s="36">
        <f t="shared" si="0"/>
        <v>23</v>
      </c>
      <c r="C28" s="24" t="s">
        <v>95</v>
      </c>
      <c r="D28" s="24"/>
      <c r="E28" s="24"/>
      <c r="F28" s="24"/>
      <c r="G28" s="8"/>
      <c r="H28" s="232">
        <v>23</v>
      </c>
      <c r="I28" s="233">
        <f t="shared" si="1"/>
        <v>12.475259654955721</v>
      </c>
      <c r="J28" s="232">
        <f t="shared" si="5"/>
        <v>1</v>
      </c>
      <c r="K28" s="232">
        <f t="shared" si="2"/>
        <v>10</v>
      </c>
      <c r="L28" s="232"/>
      <c r="M28" s="234">
        <f t="shared" si="3"/>
        <v>22.475259654955721</v>
      </c>
      <c r="R28" s="245"/>
      <c r="S28" s="246"/>
    </row>
    <row r="29" spans="1:19" x14ac:dyDescent="0.25">
      <c r="A29" s="98">
        <f t="shared" si="4"/>
        <v>21.965917787208959</v>
      </c>
      <c r="B29" s="35">
        <f t="shared" si="0"/>
        <v>24</v>
      </c>
      <c r="C29" s="25" t="s">
        <v>95</v>
      </c>
      <c r="D29" s="25"/>
      <c r="E29" s="25"/>
      <c r="F29" s="25"/>
      <c r="G29" s="218"/>
      <c r="H29" s="235">
        <v>24</v>
      </c>
      <c r="I29" s="236">
        <f t="shared" si="1"/>
        <v>11.965917787208959</v>
      </c>
      <c r="J29" s="235">
        <f t="shared" si="5"/>
        <v>1</v>
      </c>
      <c r="K29" s="235">
        <f t="shared" si="2"/>
        <v>10</v>
      </c>
      <c r="L29" s="235"/>
      <c r="M29" s="237">
        <f t="shared" si="3"/>
        <v>21.965917787208959</v>
      </c>
    </row>
    <row r="30" spans="1:19" x14ac:dyDescent="0.25">
      <c r="A30" s="94">
        <f t="shared" si="4"/>
        <v>21.477371280901501</v>
      </c>
      <c r="B30" s="36">
        <f t="shared" si="0"/>
        <v>25</v>
      </c>
      <c r="C30" s="24" t="s">
        <v>95</v>
      </c>
      <c r="D30" s="24"/>
      <c r="E30" s="24"/>
      <c r="F30" s="24"/>
      <c r="G30" s="218"/>
      <c r="H30" s="232">
        <v>25</v>
      </c>
      <c r="I30" s="233">
        <f t="shared" si="1"/>
        <v>11.477371280901501</v>
      </c>
      <c r="J30" s="232">
        <f t="shared" si="5"/>
        <v>1</v>
      </c>
      <c r="K30" s="232">
        <f t="shared" si="2"/>
        <v>10</v>
      </c>
      <c r="L30" s="232"/>
      <c r="M30" s="234">
        <f t="shared" si="3"/>
        <v>21.477371280901501</v>
      </c>
    </row>
    <row r="31" spans="1:19" x14ac:dyDescent="0.25">
      <c r="A31" s="98">
        <f t="shared" si="4"/>
        <v>21.007988473640225</v>
      </c>
      <c r="B31" s="35">
        <f t="shared" si="0"/>
        <v>26</v>
      </c>
      <c r="C31" s="25" t="s">
        <v>95</v>
      </c>
      <c r="D31" s="25"/>
      <c r="E31" s="25"/>
      <c r="F31" s="25"/>
      <c r="G31" s="218"/>
      <c r="H31" s="235">
        <v>26</v>
      </c>
      <c r="I31" s="236">
        <f t="shared" si="1"/>
        <v>11.007988473640225</v>
      </c>
      <c r="J31" s="235">
        <f t="shared" si="5"/>
        <v>1</v>
      </c>
      <c r="K31" s="235">
        <f t="shared" si="2"/>
        <v>10</v>
      </c>
      <c r="L31" s="235"/>
      <c r="M31" s="237">
        <f t="shared" si="3"/>
        <v>21.007988473640225</v>
      </c>
    </row>
    <row r="32" spans="1:19" x14ac:dyDescent="0.25">
      <c r="A32" s="94">
        <f t="shared" si="4"/>
        <v>20.556322512689476</v>
      </c>
      <c r="B32" s="36">
        <f t="shared" si="0"/>
        <v>27</v>
      </c>
      <c r="C32" s="24" t="s">
        <v>95</v>
      </c>
      <c r="D32" s="24"/>
      <c r="E32" s="24"/>
      <c r="F32" s="24"/>
      <c r="G32" s="218"/>
      <c r="H32" s="232">
        <v>27</v>
      </c>
      <c r="I32" s="233">
        <f t="shared" si="1"/>
        <v>10.556322512689476</v>
      </c>
      <c r="J32" s="232">
        <f t="shared" si="5"/>
        <v>1</v>
      </c>
      <c r="K32" s="232">
        <f t="shared" si="2"/>
        <v>10</v>
      </c>
      <c r="L32" s="232"/>
      <c r="M32" s="234">
        <f t="shared" si="3"/>
        <v>20.556322512689476</v>
      </c>
      <c r="R32" s="245"/>
      <c r="S32" s="246"/>
    </row>
    <row r="33" spans="1:19" x14ac:dyDescent="0.25">
      <c r="A33" s="98">
        <f t="shared" si="4"/>
        <v>20.121084457540128</v>
      </c>
      <c r="B33" s="35">
        <f t="shared" si="0"/>
        <v>28</v>
      </c>
      <c r="C33" s="25" t="s">
        <v>95</v>
      </c>
      <c r="D33" s="25"/>
      <c r="E33" s="25"/>
      <c r="F33" s="25"/>
      <c r="G33" s="218"/>
      <c r="H33" s="235">
        <v>28</v>
      </c>
      <c r="I33" s="236">
        <f t="shared" si="1"/>
        <v>10.121084457540128</v>
      </c>
      <c r="J33" s="235">
        <f t="shared" si="5"/>
        <v>1</v>
      </c>
      <c r="K33" s="235">
        <f t="shared" si="2"/>
        <v>10</v>
      </c>
      <c r="L33" s="235"/>
      <c r="M33" s="237">
        <f t="shared" si="3"/>
        <v>20.121084457540128</v>
      </c>
    </row>
    <row r="34" spans="1:19" x14ac:dyDescent="0.25">
      <c r="A34" s="94">
        <f t="shared" si="4"/>
        <v>19.701121104524468</v>
      </c>
      <c r="B34" s="36">
        <f t="shared" si="0"/>
        <v>29</v>
      </c>
      <c r="C34" s="24" t="s">
        <v>95</v>
      </c>
      <c r="D34" s="24"/>
      <c r="E34" s="24"/>
      <c r="F34" s="24"/>
      <c r="G34" s="218"/>
      <c r="H34" s="232">
        <v>29</v>
      </c>
      <c r="I34" s="233">
        <f t="shared" si="1"/>
        <v>9.7011211045244679</v>
      </c>
      <c r="J34" s="232">
        <f t="shared" si="5"/>
        <v>1</v>
      </c>
      <c r="K34" s="232">
        <f t="shared" si="2"/>
        <v>10</v>
      </c>
      <c r="L34" s="232"/>
      <c r="M34" s="234">
        <f t="shared" si="3"/>
        <v>19.701121104524468</v>
      </c>
    </row>
    <row r="35" spans="1:19" x14ac:dyDescent="0.25">
      <c r="A35" s="98">
        <f t="shared" si="4"/>
        <v>19.295396572340287</v>
      </c>
      <c r="B35" s="35">
        <f t="shared" si="0"/>
        <v>30</v>
      </c>
      <c r="C35" s="25" t="s">
        <v>95</v>
      </c>
      <c r="D35" s="25"/>
      <c r="E35" s="25"/>
      <c r="F35" s="25"/>
      <c r="G35" s="218"/>
      <c r="H35" s="235">
        <v>30</v>
      </c>
      <c r="I35" s="236">
        <f t="shared" si="1"/>
        <v>9.2953965723402874</v>
      </c>
      <c r="J35" s="235">
        <f t="shared" si="5"/>
        <v>1</v>
      </c>
      <c r="K35" s="235">
        <f t="shared" si="2"/>
        <v>10</v>
      </c>
      <c r="L35" s="235"/>
      <c r="M35" s="237">
        <f t="shared" si="3"/>
        <v>19.295396572340287</v>
      </c>
    </row>
    <row r="36" spans="1:19" x14ac:dyDescent="0.25">
      <c r="A36" s="94">
        <f t="shared" si="4"/>
        <v>18.902976908115804</v>
      </c>
      <c r="B36" s="36">
        <f t="shared" si="0"/>
        <v>31</v>
      </c>
      <c r="C36" s="24" t="s">
        <v>95</v>
      </c>
      <c r="D36" s="24"/>
      <c r="E36" s="24"/>
      <c r="F36" s="24"/>
      <c r="G36" s="218"/>
      <c r="H36" s="232">
        <v>31</v>
      </c>
      <c r="I36" s="233">
        <f t="shared" si="1"/>
        <v>8.9029769081158037</v>
      </c>
      <c r="J36" s="232">
        <f t="shared" si="5"/>
        <v>1</v>
      </c>
      <c r="K36" s="232">
        <f t="shared" si="2"/>
        <v>10</v>
      </c>
      <c r="L36" s="232"/>
      <c r="M36" s="234">
        <f t="shared" si="3"/>
        <v>18.902976908115804</v>
      </c>
      <c r="R36" s="245"/>
      <c r="S36" s="246"/>
    </row>
    <row r="37" spans="1:19" x14ac:dyDescent="0.25">
      <c r="A37" s="98">
        <f t="shared" si="4"/>
        <v>18.523017138298549</v>
      </c>
      <c r="B37" s="35">
        <f t="shared" si="0"/>
        <v>32</v>
      </c>
      <c r="C37" s="25" t="s">
        <v>95</v>
      </c>
      <c r="D37" s="25"/>
      <c r="E37" s="25"/>
      <c r="F37" s="25"/>
      <c r="G37" s="218"/>
      <c r="H37" s="235">
        <v>32</v>
      </c>
      <c r="I37" s="236">
        <f t="shared" si="1"/>
        <v>8.5230171382985489</v>
      </c>
      <c r="J37" s="235">
        <f t="shared" si="5"/>
        <v>1</v>
      </c>
      <c r="K37" s="235">
        <f t="shared" si="2"/>
        <v>10</v>
      </c>
      <c r="L37" s="235"/>
      <c r="M37" s="237">
        <f t="shared" si="3"/>
        <v>18.523017138298549</v>
      </c>
    </row>
    <row r="38" spans="1:19" x14ac:dyDescent="0.25">
      <c r="A38" s="94">
        <f t="shared" si="4"/>
        <v>8.1547503127403616</v>
      </c>
      <c r="B38" s="36">
        <f t="shared" si="0"/>
        <v>33</v>
      </c>
      <c r="C38" s="24" t="s">
        <v>95</v>
      </c>
      <c r="D38" s="24"/>
      <c r="E38" s="24"/>
      <c r="F38" s="24"/>
      <c r="G38" s="218"/>
      <c r="H38" s="232">
        <v>33</v>
      </c>
      <c r="I38" s="233">
        <f t="shared" si="1"/>
        <v>8.1547503127403616</v>
      </c>
      <c r="J38" s="232">
        <f t="shared" si="5"/>
        <v>0</v>
      </c>
      <c r="K38" s="232">
        <f t="shared" si="2"/>
        <v>0</v>
      </c>
      <c r="L38" s="232"/>
      <c r="M38" s="234">
        <f t="shared" si="3"/>
        <v>8.1547503127403616</v>
      </c>
    </row>
    <row r="39" spans="1:19" x14ac:dyDescent="0.25">
      <c r="A39" s="98">
        <f t="shared" si="4"/>
        <v>7.797478184783337</v>
      </c>
      <c r="B39" s="35">
        <f t="shared" si="0"/>
        <v>34</v>
      </c>
      <c r="C39" s="25" t="s">
        <v>95</v>
      </c>
      <c r="D39" s="25"/>
      <c r="E39" s="25"/>
      <c r="F39" s="25"/>
      <c r="G39" s="218"/>
      <c r="H39" s="235">
        <v>34</v>
      </c>
      <c r="I39" s="236">
        <f t="shared" si="1"/>
        <v>7.797478184783337</v>
      </c>
      <c r="J39" s="235">
        <f t="shared" si="5"/>
        <v>0</v>
      </c>
      <c r="K39" s="235">
        <f t="shared" si="2"/>
        <v>0</v>
      </c>
      <c r="L39" s="235"/>
      <c r="M39" s="237">
        <f t="shared" si="3"/>
        <v>7.797478184783337</v>
      </c>
    </row>
    <row r="40" spans="1:19" x14ac:dyDescent="0.25">
      <c r="A40" s="94">
        <f t="shared" si="4"/>
        <v>7.450563242671457</v>
      </c>
      <c r="B40" s="36">
        <f t="shared" si="0"/>
        <v>35</v>
      </c>
      <c r="C40" s="24" t="s">
        <v>95</v>
      </c>
      <c r="D40" s="24"/>
      <c r="E40" s="24"/>
      <c r="F40" s="24"/>
      <c r="G40" s="218"/>
      <c r="H40" s="232">
        <v>35</v>
      </c>
      <c r="I40" s="233">
        <f t="shared" si="1"/>
        <v>7.450563242671457</v>
      </c>
      <c r="J40" s="232">
        <f t="shared" si="5"/>
        <v>0</v>
      </c>
      <c r="K40" s="232">
        <f t="shared" si="2"/>
        <v>0</v>
      </c>
      <c r="L40" s="232"/>
      <c r="M40" s="234">
        <f t="shared" si="3"/>
        <v>7.450563242671457</v>
      </c>
    </row>
    <row r="41" spans="1:19" x14ac:dyDescent="0.25">
      <c r="A41" s="98">
        <f t="shared" si="4"/>
        <v>7.1134218637790738</v>
      </c>
      <c r="B41" s="35">
        <f t="shared" si="0"/>
        <v>36</v>
      </c>
      <c r="C41" s="25" t="s">
        <v>95</v>
      </c>
      <c r="D41" s="25"/>
      <c r="E41" s="25"/>
      <c r="F41" s="25"/>
      <c r="G41" s="218"/>
      <c r="H41" s="235">
        <v>36</v>
      </c>
      <c r="I41" s="236">
        <f t="shared" si="1"/>
        <v>7.1134218637790738</v>
      </c>
      <c r="J41" s="235">
        <f t="shared" si="5"/>
        <v>0</v>
      </c>
      <c r="K41" s="235">
        <f t="shared" si="2"/>
        <v>0</v>
      </c>
      <c r="L41" s="235"/>
      <c r="M41" s="237">
        <f t="shared" si="3"/>
        <v>7.1134218637790738</v>
      </c>
      <c r="S41" s="247"/>
    </row>
    <row r="42" spans="1:19" x14ac:dyDescent="0.25">
      <c r="A42" s="94">
        <f t="shared" si="4"/>
        <v>6.7855184069950241</v>
      </c>
      <c r="B42" s="36">
        <f t="shared" si="0"/>
        <v>37</v>
      </c>
      <c r="C42" s="24" t="s">
        <v>95</v>
      </c>
      <c r="D42" s="24"/>
      <c r="E42" s="24"/>
      <c r="F42" s="24"/>
      <c r="G42" s="218"/>
      <c r="H42" s="232">
        <v>37</v>
      </c>
      <c r="I42" s="233">
        <f t="shared" si="1"/>
        <v>6.7855184069950241</v>
      </c>
      <c r="J42" s="232">
        <f t="shared" si="5"/>
        <v>0</v>
      </c>
      <c r="K42" s="232">
        <f t="shared" si="2"/>
        <v>0</v>
      </c>
      <c r="L42" s="232"/>
      <c r="M42" s="234">
        <f t="shared" si="3"/>
        <v>6.7855184069950241</v>
      </c>
    </row>
    <row r="43" spans="1:19" x14ac:dyDescent="0.25">
      <c r="A43" s="98">
        <f t="shared" si="4"/>
        <v>6.4663600930897829</v>
      </c>
      <c r="B43" s="35">
        <f t="shared" si="0"/>
        <v>38</v>
      </c>
      <c r="C43" s="25" t="s">
        <v>95</v>
      </c>
      <c r="D43" s="25"/>
      <c r="E43" s="25"/>
      <c r="F43" s="25"/>
      <c r="G43" s="218"/>
      <c r="H43" s="235">
        <v>38</v>
      </c>
      <c r="I43" s="236">
        <f t="shared" si="1"/>
        <v>6.4663600930897829</v>
      </c>
      <c r="J43" s="235">
        <f t="shared" si="5"/>
        <v>0</v>
      </c>
      <c r="K43" s="235">
        <f t="shared" si="2"/>
        <v>0</v>
      </c>
      <c r="L43" s="235"/>
      <c r="M43" s="237">
        <f t="shared" si="3"/>
        <v>6.4663600930897829</v>
      </c>
    </row>
    <row r="44" spans="1:19" x14ac:dyDescent="0.25">
      <c r="A44" s="94">
        <f t="shared" si="4"/>
        <v>6.1554925502103401</v>
      </c>
      <c r="B44" s="36">
        <f t="shared" si="0"/>
        <v>39</v>
      </c>
      <c r="C44" s="24" t="s">
        <v>95</v>
      </c>
      <c r="D44" s="24"/>
      <c r="E44" s="24"/>
      <c r="F44" s="24"/>
      <c r="G44" s="218"/>
      <c r="H44" s="232">
        <v>39</v>
      </c>
      <c r="I44" s="233">
        <f t="shared" si="1"/>
        <v>6.1554925502103401</v>
      </c>
      <c r="J44" s="232">
        <f t="shared" si="5"/>
        <v>0</v>
      </c>
      <c r="K44" s="232">
        <f t="shared" si="2"/>
        <v>0</v>
      </c>
      <c r="L44" s="232"/>
      <c r="M44" s="234">
        <f t="shared" si="3"/>
        <v>6.1554925502103401</v>
      </c>
    </row>
    <row r="45" spans="1:19" x14ac:dyDescent="0.25">
      <c r="A45" s="98">
        <f t="shared" si="4"/>
        <v>5.8524959234298848</v>
      </c>
      <c r="B45" s="35">
        <f t="shared" si="0"/>
        <v>40</v>
      </c>
      <c r="C45" s="25" t="s">
        <v>95</v>
      </c>
      <c r="D45" s="25"/>
      <c r="E45" s="25"/>
      <c r="F45" s="25"/>
      <c r="G45" s="218"/>
      <c r="H45" s="235">
        <v>40</v>
      </c>
      <c r="I45" s="236">
        <f t="shared" si="1"/>
        <v>5.8524959234298848</v>
      </c>
      <c r="J45" s="235">
        <f t="shared" si="5"/>
        <v>0</v>
      </c>
      <c r="K45" s="235">
        <f t="shared" si="2"/>
        <v>0</v>
      </c>
      <c r="L45" s="235"/>
      <c r="M45" s="237">
        <f t="shared" si="3"/>
        <v>5.8524959234298848</v>
      </c>
    </row>
    <row r="46" spans="1:19" x14ac:dyDescent="0.25">
      <c r="A46" s="94">
        <f t="shared" si="4"/>
        <v>5.5569814647562978</v>
      </c>
      <c r="B46" s="36">
        <f t="shared" si="0"/>
        <v>41</v>
      </c>
      <c r="C46" s="24" t="s">
        <v>95</v>
      </c>
      <c r="D46" s="24"/>
      <c r="E46" s="24"/>
      <c r="F46" s="24"/>
      <c r="G46" s="218"/>
      <c r="H46" s="232">
        <v>41</v>
      </c>
      <c r="I46" s="233">
        <f t="shared" si="1"/>
        <v>5.5569814647562978</v>
      </c>
      <c r="J46" s="232">
        <f t="shared" si="5"/>
        <v>0</v>
      </c>
      <c r="K46" s="232">
        <f t="shared" si="2"/>
        <v>0</v>
      </c>
      <c r="L46" s="232"/>
      <c r="M46" s="234">
        <f t="shared" si="3"/>
        <v>5.5569814647562978</v>
      </c>
    </row>
    <row r="47" spans="1:19" x14ac:dyDescent="0.25">
      <c r="A47" s="98">
        <f t="shared" si="4"/>
        <v>5.2685885341102434</v>
      </c>
      <c r="B47" s="35">
        <f t="shared" si="0"/>
        <v>42</v>
      </c>
      <c r="C47" s="25" t="s">
        <v>95</v>
      </c>
      <c r="D47" s="25"/>
      <c r="E47" s="25"/>
      <c r="F47" s="25"/>
      <c r="G47" s="218"/>
      <c r="H47" s="235">
        <v>42</v>
      </c>
      <c r="I47" s="236">
        <f t="shared" si="1"/>
        <v>5.2685885341102434</v>
      </c>
      <c r="J47" s="235">
        <f t="shared" si="5"/>
        <v>0</v>
      </c>
      <c r="K47" s="235">
        <f t="shared" si="2"/>
        <v>0</v>
      </c>
      <c r="L47" s="235"/>
      <c r="M47" s="237">
        <f t="shared" si="3"/>
        <v>5.2685885341102434</v>
      </c>
    </row>
    <row r="48" spans="1:19" x14ac:dyDescent="0.25">
      <c r="A48" s="94">
        <f t="shared" si="4"/>
        <v>4.9869819532332968</v>
      </c>
      <c r="B48" s="36">
        <f t="shared" si="0"/>
        <v>43</v>
      </c>
      <c r="C48" s="24" t="s">
        <v>95</v>
      </c>
      <c r="D48" s="24"/>
      <c r="E48" s="24"/>
      <c r="F48" s="24"/>
      <c r="G48" s="218"/>
      <c r="H48" s="232">
        <v>43</v>
      </c>
      <c r="I48" s="233">
        <f t="shared" si="1"/>
        <v>4.9869819532332968</v>
      </c>
      <c r="J48" s="232">
        <f t="shared" si="5"/>
        <v>0</v>
      </c>
      <c r="K48" s="232">
        <f t="shared" si="2"/>
        <v>0</v>
      </c>
      <c r="L48" s="232"/>
      <c r="M48" s="234">
        <f t="shared" si="3"/>
        <v>4.9869819532332968</v>
      </c>
    </row>
    <row r="49" spans="1:38" x14ac:dyDescent="0.25">
      <c r="A49" s="98">
        <f t="shared" si="4"/>
        <v>4.711849663829959</v>
      </c>
      <c r="B49" s="35">
        <f t="shared" si="0"/>
        <v>44</v>
      </c>
      <c r="C49" s="25" t="s">
        <v>95</v>
      </c>
      <c r="D49" s="25"/>
      <c r="E49" s="25"/>
      <c r="F49" s="25"/>
      <c r="G49" s="218"/>
      <c r="H49" s="235">
        <v>44</v>
      </c>
      <c r="I49" s="236">
        <f t="shared" si="1"/>
        <v>4.711849663829959</v>
      </c>
      <c r="J49" s="235">
        <f t="shared" si="5"/>
        <v>0</v>
      </c>
      <c r="K49" s="235">
        <f t="shared" si="2"/>
        <v>0</v>
      </c>
      <c r="L49" s="235"/>
      <c r="M49" s="237">
        <f t="shared" si="3"/>
        <v>4.711849663829959</v>
      </c>
    </row>
    <row r="50" spans="1:38" x14ac:dyDescent="0.25">
      <c r="A50" s="94">
        <f t="shared" si="4"/>
        <v>4.4429006489104026</v>
      </c>
      <c r="B50" s="36">
        <f t="shared" si="0"/>
        <v>45</v>
      </c>
      <c r="C50" s="24" t="s">
        <v>95</v>
      </c>
      <c r="D50" s="24"/>
      <c r="E50" s="24"/>
      <c r="F50" s="24"/>
      <c r="G50" s="218"/>
      <c r="H50" s="232">
        <v>45</v>
      </c>
      <c r="I50" s="233">
        <f t="shared" si="1"/>
        <v>4.4429006489104026</v>
      </c>
      <c r="J50" s="232">
        <f t="shared" si="5"/>
        <v>0</v>
      </c>
      <c r="K50" s="232">
        <f t="shared" si="2"/>
        <v>0</v>
      </c>
      <c r="L50" s="232"/>
      <c r="M50" s="234">
        <f t="shared" si="3"/>
        <v>4.4429006489104026</v>
      </c>
    </row>
    <row r="51" spans="1:38" x14ac:dyDescent="0.25">
      <c r="A51" s="98">
        <f t="shared" si="4"/>
        <v>4.1798630826154266</v>
      </c>
      <c r="B51" s="35">
        <f t="shared" si="0"/>
        <v>46</v>
      </c>
      <c r="C51" s="25" t="s">
        <v>95</v>
      </c>
      <c r="D51" s="25"/>
      <c r="E51" s="25"/>
      <c r="F51" s="25"/>
      <c r="G51" s="218"/>
      <c r="H51" s="235">
        <v>46</v>
      </c>
      <c r="I51" s="236">
        <f t="shared" si="1"/>
        <v>4.1798630826154266</v>
      </c>
      <c r="J51" s="235">
        <f t="shared" si="5"/>
        <v>0</v>
      </c>
      <c r="K51" s="235">
        <f t="shared" si="2"/>
        <v>0</v>
      </c>
      <c r="L51" s="235"/>
      <c r="M51" s="237">
        <f t="shared" si="3"/>
        <v>4.1798630826154266</v>
      </c>
    </row>
    <row r="52" spans="1:38" x14ac:dyDescent="0.25">
      <c r="A52" s="94">
        <f t="shared" si="4"/>
        <v>3.9224826790337346</v>
      </c>
      <c r="B52" s="36">
        <f t="shared" si="0"/>
        <v>47</v>
      </c>
      <c r="C52" s="24" t="s">
        <v>95</v>
      </c>
      <c r="D52" s="24"/>
      <c r="E52" s="24"/>
      <c r="F52" s="24"/>
      <c r="G52" s="218"/>
      <c r="H52" s="232">
        <v>47</v>
      </c>
      <c r="I52" s="233">
        <f t="shared" si="1"/>
        <v>3.9224826790337346</v>
      </c>
      <c r="J52" s="232">
        <f t="shared" si="5"/>
        <v>0</v>
      </c>
      <c r="K52" s="232">
        <f t="shared" si="2"/>
        <v>0</v>
      </c>
      <c r="L52" s="232"/>
      <c r="M52" s="234">
        <f t="shared" si="3"/>
        <v>3.9224826790337346</v>
      </c>
    </row>
    <row r="53" spans="1:38" x14ac:dyDescent="0.25">
      <c r="A53" s="98">
        <f t="shared" si="4"/>
        <v>3.6705212148686641</v>
      </c>
      <c r="B53" s="35">
        <f t="shared" si="0"/>
        <v>48</v>
      </c>
      <c r="C53" s="25" t="s">
        <v>95</v>
      </c>
      <c r="D53" s="25"/>
      <c r="E53" s="25"/>
      <c r="F53" s="25"/>
      <c r="G53" s="218"/>
      <c r="H53" s="235">
        <v>48</v>
      </c>
      <c r="I53" s="236">
        <f t="shared" si="1"/>
        <v>3.6705212148686641</v>
      </c>
      <c r="J53" s="235">
        <f t="shared" si="5"/>
        <v>0</v>
      </c>
      <c r="K53" s="235">
        <f t="shared" si="2"/>
        <v>0</v>
      </c>
      <c r="L53" s="235"/>
      <c r="M53" s="237">
        <f t="shared" si="3"/>
        <v>3.6705212148686641</v>
      </c>
    </row>
    <row r="54" spans="1:38" x14ac:dyDescent="0.25">
      <c r="A54" s="94">
        <f t="shared" si="4"/>
        <v>3.423755204441413</v>
      </c>
      <c r="B54" s="36">
        <f t="shared" si="0"/>
        <v>49</v>
      </c>
      <c r="C54" s="24" t="s">
        <v>95</v>
      </c>
      <c r="D54" s="24"/>
      <c r="E54" s="24"/>
      <c r="F54" s="24"/>
      <c r="G54" s="218"/>
      <c r="H54" s="232">
        <v>49</v>
      </c>
      <c r="I54" s="233">
        <f t="shared" si="1"/>
        <v>3.423755204441413</v>
      </c>
      <c r="J54" s="232">
        <f t="shared" si="5"/>
        <v>0</v>
      </c>
      <c r="K54" s="232">
        <f t="shared" si="2"/>
        <v>0</v>
      </c>
      <c r="L54" s="232"/>
      <c r="M54" s="234">
        <f t="shared" si="3"/>
        <v>3.423755204441413</v>
      </c>
    </row>
    <row r="55" spans="1:38" x14ac:dyDescent="0.25">
      <c r="A55" s="98">
        <f t="shared" si="4"/>
        <v>3.1819747085612207</v>
      </c>
      <c r="B55" s="35">
        <f t="shared" si="0"/>
        <v>50</v>
      </c>
      <c r="C55" s="25" t="s">
        <v>95</v>
      </c>
      <c r="D55" s="25"/>
      <c r="E55" s="25"/>
      <c r="F55" s="25"/>
      <c r="G55" s="218"/>
      <c r="H55" s="235">
        <v>50</v>
      </c>
      <c r="I55" s="236">
        <f t="shared" si="1"/>
        <v>3.1819747085612207</v>
      </c>
      <c r="J55" s="235">
        <f t="shared" si="5"/>
        <v>0</v>
      </c>
      <c r="K55" s="235">
        <f t="shared" si="2"/>
        <v>0</v>
      </c>
      <c r="L55" s="235"/>
      <c r="M55" s="237">
        <f t="shared" si="3"/>
        <v>3.1819747085612207</v>
      </c>
    </row>
    <row r="56" spans="1:38" x14ac:dyDescent="0.25">
      <c r="A56" s="94">
        <f t="shared" si="4"/>
        <v>2.9449822613534593</v>
      </c>
      <c r="B56" s="36">
        <f t="shared" si="0"/>
        <v>51</v>
      </c>
      <c r="C56" s="24" t="s">
        <v>95</v>
      </c>
      <c r="D56" s="24"/>
      <c r="E56" s="24"/>
      <c r="F56" s="24"/>
      <c r="G56" s="218"/>
      <c r="H56" s="232">
        <v>51</v>
      </c>
      <c r="I56" s="233">
        <f t="shared" si="1"/>
        <v>2.9449822613534593</v>
      </c>
      <c r="J56" s="232">
        <f t="shared" si="5"/>
        <v>0</v>
      </c>
      <c r="K56" s="232">
        <f t="shared" si="2"/>
        <v>0</v>
      </c>
      <c r="L56" s="232"/>
      <c r="M56" s="234">
        <f t="shared" si="3"/>
        <v>2.9449822613534593</v>
      </c>
    </row>
    <row r="57" spans="1:38" s="218" customFormat="1" x14ac:dyDescent="0.25">
      <c r="A57" s="98">
        <f t="shared" si="4"/>
        <v>2.7125919012999304</v>
      </c>
      <c r="B57" s="35">
        <f t="shared" si="0"/>
        <v>52</v>
      </c>
      <c r="C57" s="25" t="s">
        <v>95</v>
      </c>
      <c r="D57" s="25"/>
      <c r="E57" s="25"/>
      <c r="F57" s="25"/>
      <c r="H57" s="235">
        <v>52</v>
      </c>
      <c r="I57" s="236">
        <f t="shared" si="1"/>
        <v>2.7125919012999304</v>
      </c>
      <c r="J57" s="235">
        <f t="shared" si="5"/>
        <v>0</v>
      </c>
      <c r="K57" s="235">
        <f t="shared" si="2"/>
        <v>0</v>
      </c>
      <c r="L57" s="235"/>
      <c r="M57" s="237">
        <f t="shared" si="3"/>
        <v>2.7125919012999304</v>
      </c>
      <c r="S57" s="223"/>
      <c r="T57" s="223"/>
      <c r="U57" s="223"/>
      <c r="V57" s="223"/>
      <c r="W57" s="223"/>
      <c r="X57" s="223"/>
      <c r="Y57" s="223"/>
      <c r="Z57" s="223"/>
      <c r="AA57" s="223"/>
      <c r="AB57" s="223"/>
      <c r="AC57" s="223"/>
      <c r="AD57" s="223"/>
      <c r="AE57" s="223"/>
      <c r="AF57" s="223"/>
      <c r="AG57" s="223"/>
      <c r="AH57" s="223"/>
      <c r="AI57" s="223"/>
      <c r="AJ57" s="223"/>
      <c r="AK57" s="223"/>
      <c r="AL57" s="223"/>
    </row>
    <row r="58" spans="1:38" s="218" customFormat="1" x14ac:dyDescent="0.25">
      <c r="A58" s="94">
        <f t="shared" si="4"/>
        <v>2.4846282945786058</v>
      </c>
      <c r="B58" s="36">
        <f t="shared" si="0"/>
        <v>53</v>
      </c>
      <c r="C58" s="24" t="s">
        <v>95</v>
      </c>
      <c r="D58" s="24"/>
      <c r="E58" s="24"/>
      <c r="F58" s="24"/>
      <c r="H58" s="232">
        <v>53</v>
      </c>
      <c r="I58" s="233">
        <f t="shared" si="1"/>
        <v>2.4846282945786058</v>
      </c>
      <c r="J58" s="232">
        <f t="shared" si="5"/>
        <v>0</v>
      </c>
      <c r="K58" s="232">
        <f t="shared" si="2"/>
        <v>0</v>
      </c>
      <c r="L58" s="232"/>
      <c r="M58" s="234">
        <f t="shared" si="3"/>
        <v>2.4846282945786058</v>
      </c>
      <c r="S58" s="223"/>
      <c r="T58" s="223"/>
      <c r="U58" s="223"/>
      <c r="V58" s="223"/>
      <c r="W58" s="223"/>
      <c r="X58" s="223"/>
      <c r="Y58" s="223"/>
      <c r="Z58" s="223"/>
      <c r="AA58" s="223"/>
      <c r="AB58" s="223"/>
      <c r="AC58" s="223"/>
      <c r="AD58" s="223"/>
      <c r="AE58" s="223"/>
      <c r="AF58" s="223"/>
      <c r="AG58" s="223"/>
      <c r="AH58" s="223"/>
      <c r="AI58" s="223"/>
      <c r="AJ58" s="223"/>
      <c r="AK58" s="223"/>
      <c r="AL58" s="223"/>
    </row>
    <row r="59" spans="1:38" s="218" customFormat="1" x14ac:dyDescent="0.25">
      <c r="A59" s="98">
        <f t="shared" si="4"/>
        <v>2.2609259403491819</v>
      </c>
      <c r="B59" s="35">
        <f t="shared" si="0"/>
        <v>54</v>
      </c>
      <c r="C59" s="25" t="s">
        <v>33</v>
      </c>
      <c r="D59" s="25"/>
      <c r="E59" s="25"/>
      <c r="F59" s="25"/>
      <c r="H59" s="235">
        <v>54</v>
      </c>
      <c r="I59" s="236">
        <f t="shared" si="1"/>
        <v>2.2609259403491819</v>
      </c>
      <c r="J59" s="235">
        <f t="shared" si="5"/>
        <v>0</v>
      </c>
      <c r="K59" s="235">
        <f t="shared" si="2"/>
        <v>0</v>
      </c>
      <c r="L59" s="235"/>
      <c r="M59" s="237">
        <f t="shared" si="3"/>
        <v>2.2609259403491819</v>
      </c>
      <c r="S59" s="223"/>
      <c r="T59" s="223"/>
      <c r="U59" s="223"/>
      <c r="V59" s="223"/>
      <c r="W59" s="223"/>
      <c r="X59" s="223"/>
      <c r="Y59" s="223"/>
      <c r="Z59" s="223"/>
      <c r="AA59" s="223"/>
      <c r="AB59" s="223"/>
      <c r="AC59" s="223"/>
      <c r="AD59" s="223"/>
      <c r="AE59" s="223"/>
      <c r="AF59" s="223"/>
      <c r="AG59" s="223"/>
      <c r="AH59" s="223"/>
      <c r="AI59" s="223"/>
      <c r="AJ59" s="223"/>
      <c r="AK59" s="223"/>
      <c r="AL59" s="223"/>
    </row>
    <row r="60" spans="1:38" s="218" customFormat="1" x14ac:dyDescent="0.25">
      <c r="A60" s="94">
        <f t="shared" si="4"/>
        <v>2.0413284489612948</v>
      </c>
      <c r="B60" s="36">
        <f t="shared" si="0"/>
        <v>55</v>
      </c>
      <c r="C60" s="24" t="s">
        <v>95</v>
      </c>
      <c r="D60" s="24"/>
      <c r="E60" s="24"/>
      <c r="F60" s="24"/>
      <c r="H60" s="232">
        <v>55</v>
      </c>
      <c r="I60" s="233">
        <f t="shared" si="1"/>
        <v>2.0413284489612948</v>
      </c>
      <c r="J60" s="232">
        <f t="shared" si="5"/>
        <v>0</v>
      </c>
      <c r="K60" s="232">
        <f t="shared" si="2"/>
        <v>0</v>
      </c>
      <c r="L60" s="232"/>
      <c r="M60" s="234">
        <f t="shared" si="3"/>
        <v>2.0413284489612948</v>
      </c>
      <c r="S60" s="223"/>
      <c r="T60" s="223"/>
      <c r="U60" s="223"/>
      <c r="V60" s="223"/>
      <c r="W60" s="223"/>
      <c r="X60" s="223"/>
      <c r="Y60" s="223"/>
      <c r="Z60" s="223"/>
      <c r="AA60" s="223"/>
      <c r="AB60" s="223"/>
      <c r="AC60" s="223"/>
      <c r="AD60" s="223"/>
      <c r="AE60" s="223"/>
      <c r="AF60" s="223"/>
      <c r="AG60" s="223"/>
      <c r="AH60" s="223"/>
      <c r="AI60" s="223"/>
      <c r="AJ60" s="223"/>
      <c r="AK60" s="223"/>
      <c r="AL60" s="223"/>
    </row>
    <row r="61" spans="1:38" s="218" customFormat="1" x14ac:dyDescent="0.25">
      <c r="A61" s="98">
        <f t="shared" si="4"/>
        <v>1.8256878851998408</v>
      </c>
      <c r="B61" s="35">
        <f t="shared" si="0"/>
        <v>56</v>
      </c>
      <c r="C61" s="25" t="s">
        <v>95</v>
      </c>
      <c r="D61" s="25"/>
      <c r="E61" s="25"/>
      <c r="F61" s="25"/>
      <c r="H61" s="235">
        <v>56</v>
      </c>
      <c r="I61" s="236">
        <f t="shared" si="1"/>
        <v>1.8256878851998408</v>
      </c>
      <c r="J61" s="235">
        <f t="shared" si="5"/>
        <v>0</v>
      </c>
      <c r="K61" s="235">
        <f t="shared" si="2"/>
        <v>0</v>
      </c>
      <c r="L61" s="235"/>
      <c r="M61" s="237">
        <f t="shared" si="3"/>
        <v>1.8256878851998408</v>
      </c>
      <c r="S61" s="223"/>
      <c r="T61" s="223"/>
      <c r="U61" s="223"/>
      <c r="V61" s="223"/>
      <c r="W61" s="223"/>
      <c r="X61" s="223"/>
      <c r="Y61" s="223"/>
      <c r="Z61" s="223"/>
      <c r="AA61" s="223"/>
      <c r="AB61" s="223"/>
      <c r="AC61" s="223"/>
      <c r="AD61" s="223"/>
      <c r="AE61" s="223"/>
      <c r="AF61" s="223"/>
      <c r="AG61" s="223"/>
      <c r="AH61" s="223"/>
      <c r="AI61" s="223"/>
      <c r="AJ61" s="223"/>
      <c r="AK61" s="223"/>
      <c r="AL61" s="223"/>
    </row>
    <row r="62" spans="1:38" s="218" customFormat="1" x14ac:dyDescent="0.25">
      <c r="A62" s="94">
        <f t="shared" si="4"/>
        <v>1.613864169659891</v>
      </c>
      <c r="B62" s="36">
        <f t="shared" si="0"/>
        <v>57</v>
      </c>
      <c r="C62" s="24" t="s">
        <v>95</v>
      </c>
      <c r="D62" s="24"/>
      <c r="E62" s="24"/>
      <c r="F62" s="24"/>
      <c r="H62" s="232">
        <v>57</v>
      </c>
      <c r="I62" s="233">
        <f t="shared" si="1"/>
        <v>1.613864169659891</v>
      </c>
      <c r="J62" s="232">
        <f t="shared" si="5"/>
        <v>0</v>
      </c>
      <c r="K62" s="232">
        <f t="shared" si="2"/>
        <v>0</v>
      </c>
      <c r="L62" s="232"/>
      <c r="M62" s="234">
        <f t="shared" si="3"/>
        <v>1.613864169659891</v>
      </c>
      <c r="S62" s="223"/>
      <c r="T62" s="223"/>
      <c r="U62" s="223"/>
      <c r="V62" s="223"/>
      <c r="W62" s="223"/>
      <c r="X62" s="223"/>
      <c r="Y62" s="223"/>
      <c r="Z62" s="223"/>
      <c r="AA62" s="223"/>
      <c r="AB62" s="223"/>
      <c r="AC62" s="223"/>
      <c r="AD62" s="223"/>
      <c r="AE62" s="223"/>
      <c r="AF62" s="223"/>
      <c r="AG62" s="223"/>
      <c r="AH62" s="223"/>
      <c r="AI62" s="223"/>
      <c r="AJ62" s="223"/>
      <c r="AK62" s="223"/>
      <c r="AL62" s="223"/>
    </row>
    <row r="63" spans="1:38" s="218" customFormat="1" x14ac:dyDescent="0.25">
      <c r="A63" s="98">
        <f t="shared" si="4"/>
        <v>1.4057245321841734</v>
      </c>
      <c r="B63" s="35">
        <f t="shared" si="0"/>
        <v>58</v>
      </c>
      <c r="C63" s="25" t="s">
        <v>95</v>
      </c>
      <c r="D63" s="25"/>
      <c r="E63" s="25"/>
      <c r="F63" s="25"/>
      <c r="H63" s="235">
        <v>58</v>
      </c>
      <c r="I63" s="236">
        <f t="shared" si="1"/>
        <v>1.4057245321841734</v>
      </c>
      <c r="J63" s="235">
        <f t="shared" si="5"/>
        <v>0</v>
      </c>
      <c r="K63" s="235">
        <f t="shared" si="2"/>
        <v>0</v>
      </c>
      <c r="L63" s="235"/>
      <c r="M63" s="237">
        <f t="shared" si="3"/>
        <v>1.4057245321841734</v>
      </c>
      <c r="S63" s="223"/>
      <c r="T63" s="223"/>
      <c r="U63" s="223"/>
      <c r="V63" s="223"/>
      <c r="W63" s="223"/>
      <c r="X63" s="223"/>
      <c r="Y63" s="223"/>
      <c r="Z63" s="223"/>
      <c r="AA63" s="223"/>
      <c r="AB63" s="223"/>
      <c r="AC63" s="223"/>
      <c r="AD63" s="223"/>
      <c r="AE63" s="223"/>
      <c r="AF63" s="223"/>
      <c r="AG63" s="223"/>
      <c r="AH63" s="223"/>
      <c r="AI63" s="223"/>
      <c r="AJ63" s="223"/>
      <c r="AK63" s="223"/>
      <c r="AL63" s="223"/>
    </row>
    <row r="64" spans="1:38" s="218" customFormat="1" x14ac:dyDescent="0.25">
      <c r="A64" s="94">
        <f t="shared" si="4"/>
        <v>1.2011430120223494</v>
      </c>
      <c r="B64" s="36">
        <f t="shared" si="0"/>
        <v>59</v>
      </c>
      <c r="C64" s="24" t="s">
        <v>95</v>
      </c>
      <c r="D64" s="24"/>
      <c r="E64" s="24"/>
      <c r="F64" s="24"/>
      <c r="H64" s="232">
        <v>59</v>
      </c>
      <c r="I64" s="233">
        <f t="shared" si="1"/>
        <v>1.2011430120223494</v>
      </c>
      <c r="J64" s="232">
        <f t="shared" si="5"/>
        <v>0</v>
      </c>
      <c r="K64" s="232">
        <f t="shared" si="2"/>
        <v>0</v>
      </c>
      <c r="L64" s="232"/>
      <c r="M64" s="234">
        <f t="shared" si="3"/>
        <v>1.2011430120223494</v>
      </c>
      <c r="S64" s="223"/>
      <c r="T64" s="223"/>
      <c r="U64" s="223"/>
      <c r="V64" s="223"/>
      <c r="W64" s="223"/>
      <c r="X64" s="223"/>
      <c r="Y64" s="223"/>
      <c r="Z64" s="223"/>
      <c r="AA64" s="223"/>
      <c r="AB64" s="223"/>
      <c r="AC64" s="223"/>
      <c r="AD64" s="223"/>
      <c r="AE64" s="223"/>
      <c r="AF64" s="223"/>
      <c r="AG64" s="223"/>
      <c r="AH64" s="223"/>
      <c r="AI64" s="223"/>
      <c r="AJ64" s="223"/>
      <c r="AK64" s="223"/>
      <c r="AL64" s="223"/>
    </row>
    <row r="65" spans="1:38" s="218" customFormat="1" x14ac:dyDescent="0.25">
      <c r="A65" s="98">
        <f t="shared" si="4"/>
        <v>1</v>
      </c>
      <c r="B65" s="35">
        <f t="shared" si="0"/>
        <v>60</v>
      </c>
      <c r="C65" s="25" t="s">
        <v>95</v>
      </c>
      <c r="D65" s="25"/>
      <c r="E65" s="25"/>
      <c r="F65" s="25"/>
      <c r="H65" s="235">
        <v>60</v>
      </c>
      <c r="I65" s="236">
        <f t="shared" si="1"/>
        <v>1</v>
      </c>
      <c r="J65" s="235">
        <f t="shared" si="5"/>
        <v>0</v>
      </c>
      <c r="K65" s="235">
        <f t="shared" si="2"/>
        <v>0</v>
      </c>
      <c r="L65" s="235"/>
      <c r="M65" s="237">
        <f t="shared" si="3"/>
        <v>1</v>
      </c>
      <c r="S65" s="223"/>
      <c r="T65" s="223"/>
      <c r="U65" s="223"/>
      <c r="V65" s="223"/>
      <c r="W65" s="223"/>
      <c r="X65" s="223"/>
      <c r="Y65" s="223"/>
      <c r="Z65" s="223"/>
      <c r="AA65" s="223"/>
      <c r="AB65" s="223"/>
      <c r="AC65" s="223"/>
      <c r="AD65" s="223"/>
      <c r="AE65" s="223"/>
      <c r="AF65" s="223"/>
      <c r="AG65" s="223"/>
      <c r="AH65" s="223"/>
      <c r="AI65" s="223"/>
      <c r="AJ65" s="223"/>
      <c r="AK65" s="223"/>
      <c r="AL65" s="223"/>
    </row>
    <row r="66" spans="1:38" s="218" customFormat="1" x14ac:dyDescent="0.25">
      <c r="A66" s="94">
        <f t="shared" si="4"/>
        <v>0</v>
      </c>
      <c r="B66" s="36" t="str">
        <f t="shared" si="0"/>
        <v/>
      </c>
      <c r="C66" s="24"/>
      <c r="D66" s="24"/>
      <c r="E66" s="24"/>
      <c r="F66" s="24"/>
      <c r="H66" s="232">
        <v>61</v>
      </c>
      <c r="I66" s="233" t="str">
        <f t="shared" si="1"/>
        <v/>
      </c>
      <c r="J66" s="232">
        <f t="shared" si="5"/>
        <v>0</v>
      </c>
      <c r="K66" s="232">
        <f t="shared" si="2"/>
        <v>0</v>
      </c>
      <c r="L66" s="232"/>
      <c r="M66" s="234">
        <f t="shared" si="3"/>
        <v>0</v>
      </c>
      <c r="S66" s="223"/>
      <c r="T66" s="223"/>
      <c r="U66" s="223"/>
      <c r="V66" s="223"/>
      <c r="W66" s="223"/>
      <c r="X66" s="223"/>
      <c r="Y66" s="223"/>
      <c r="Z66" s="223"/>
      <c r="AA66" s="223"/>
      <c r="AB66" s="223"/>
      <c r="AC66" s="223"/>
      <c r="AD66" s="223"/>
      <c r="AE66" s="223"/>
      <c r="AF66" s="223"/>
      <c r="AG66" s="223"/>
      <c r="AH66" s="223"/>
      <c r="AI66" s="223"/>
      <c r="AJ66" s="223"/>
      <c r="AK66" s="223"/>
      <c r="AL66" s="223"/>
    </row>
    <row r="67" spans="1:38" s="218" customFormat="1" x14ac:dyDescent="0.25">
      <c r="A67" s="98">
        <f t="shared" si="4"/>
        <v>0</v>
      </c>
      <c r="B67" s="35" t="str">
        <f t="shared" si="0"/>
        <v/>
      </c>
      <c r="C67" s="25"/>
      <c r="D67" s="25"/>
      <c r="E67" s="25"/>
      <c r="F67" s="25"/>
      <c r="H67" s="235">
        <v>62</v>
      </c>
      <c r="I67" s="236" t="str">
        <f t="shared" si="1"/>
        <v/>
      </c>
      <c r="J67" s="235">
        <f t="shared" si="5"/>
        <v>0</v>
      </c>
      <c r="K67" s="235">
        <f t="shared" si="2"/>
        <v>0</v>
      </c>
      <c r="L67" s="235"/>
      <c r="M67" s="237">
        <f t="shared" si="3"/>
        <v>0</v>
      </c>
      <c r="S67" s="223"/>
      <c r="T67" s="223"/>
      <c r="U67" s="223"/>
      <c r="V67" s="223"/>
      <c r="W67" s="223"/>
      <c r="X67" s="223"/>
      <c r="Y67" s="223"/>
      <c r="Z67" s="223"/>
      <c r="AA67" s="223"/>
      <c r="AB67" s="223"/>
      <c r="AC67" s="223"/>
      <c r="AD67" s="223"/>
      <c r="AE67" s="223"/>
      <c r="AF67" s="223"/>
      <c r="AG67" s="223"/>
      <c r="AH67" s="223"/>
      <c r="AI67" s="223"/>
      <c r="AJ67" s="223"/>
      <c r="AK67" s="223"/>
      <c r="AL67" s="223"/>
    </row>
    <row r="68" spans="1:38" s="218" customFormat="1" x14ac:dyDescent="0.25">
      <c r="A68" s="94">
        <f t="shared" si="4"/>
        <v>0</v>
      </c>
      <c r="B68" s="36" t="str">
        <f t="shared" si="0"/>
        <v/>
      </c>
      <c r="C68" s="24"/>
      <c r="D68" s="24"/>
      <c r="E68" s="24"/>
      <c r="F68" s="24"/>
      <c r="H68" s="232">
        <v>63</v>
      </c>
      <c r="I68" s="233" t="str">
        <f t="shared" si="1"/>
        <v/>
      </c>
      <c r="J68" s="232">
        <f t="shared" si="5"/>
        <v>0</v>
      </c>
      <c r="K68" s="232">
        <f t="shared" si="2"/>
        <v>0</v>
      </c>
      <c r="L68" s="232"/>
      <c r="M68" s="234">
        <f t="shared" si="3"/>
        <v>0</v>
      </c>
      <c r="S68" s="223"/>
      <c r="T68" s="223"/>
      <c r="U68" s="223"/>
      <c r="V68" s="223"/>
      <c r="W68" s="223"/>
      <c r="X68" s="223"/>
      <c r="Y68" s="223"/>
      <c r="Z68" s="223"/>
      <c r="AA68" s="223"/>
      <c r="AB68" s="223"/>
      <c r="AC68" s="223"/>
      <c r="AD68" s="223"/>
      <c r="AE68" s="223"/>
      <c r="AF68" s="223"/>
      <c r="AG68" s="223"/>
      <c r="AH68" s="223"/>
      <c r="AI68" s="223"/>
      <c r="AJ68" s="223"/>
      <c r="AK68" s="223"/>
      <c r="AL68" s="223"/>
    </row>
    <row r="69" spans="1:38" s="218" customFormat="1" x14ac:dyDescent="0.25">
      <c r="A69" s="98">
        <f t="shared" si="4"/>
        <v>0</v>
      </c>
      <c r="B69" s="35" t="str">
        <f t="shared" si="0"/>
        <v/>
      </c>
      <c r="C69" s="25"/>
      <c r="D69" s="25"/>
      <c r="E69" s="25"/>
      <c r="F69" s="25"/>
      <c r="H69" s="235">
        <v>64</v>
      </c>
      <c r="I69" s="236" t="str">
        <f t="shared" si="1"/>
        <v/>
      </c>
      <c r="J69" s="235">
        <f t="shared" si="5"/>
        <v>0</v>
      </c>
      <c r="K69" s="235">
        <f t="shared" si="2"/>
        <v>0</v>
      </c>
      <c r="L69" s="235"/>
      <c r="M69" s="237">
        <f t="shared" si="3"/>
        <v>0</v>
      </c>
      <c r="S69" s="223"/>
      <c r="T69" s="223"/>
      <c r="U69" s="223"/>
      <c r="V69" s="223"/>
      <c r="W69" s="223"/>
      <c r="X69" s="223"/>
      <c r="Y69" s="223"/>
      <c r="Z69" s="223"/>
      <c r="AA69" s="223"/>
      <c r="AB69" s="223"/>
      <c r="AC69" s="223"/>
      <c r="AD69" s="223"/>
      <c r="AE69" s="223"/>
      <c r="AF69" s="223"/>
      <c r="AG69" s="223"/>
      <c r="AH69" s="223"/>
      <c r="AI69" s="223"/>
      <c r="AJ69" s="223"/>
      <c r="AK69" s="223"/>
      <c r="AL69" s="223"/>
    </row>
    <row r="70" spans="1:38" s="218" customFormat="1" x14ac:dyDescent="0.25">
      <c r="A70" s="94">
        <f t="shared" si="4"/>
        <v>0</v>
      </c>
      <c r="B70" s="36" t="str">
        <f t="shared" ref="B70:B133" si="6">IF(H70&gt;$H$2,"",(ROW()-5))</f>
        <v/>
      </c>
      <c r="C70" s="24"/>
      <c r="D70" s="24"/>
      <c r="E70" s="24"/>
      <c r="F70" s="24"/>
      <c r="H70" s="232">
        <v>65</v>
      </c>
      <c r="I70" s="233" t="str">
        <f t="shared" ref="I70:I133" si="7">IF(H70&lt;$H$2+1,($I$2-($I$2-1)*(LOG(H70)/LOG($H$2))),"")</f>
        <v/>
      </c>
      <c r="J70" s="232">
        <f t="shared" si="5"/>
        <v>-1</v>
      </c>
      <c r="K70" s="232">
        <f t="shared" ref="K70:K133" si="8">J70*$J$2</f>
        <v>-10</v>
      </c>
      <c r="L70" s="232"/>
      <c r="M70" s="234">
        <f t="shared" ref="M70:M133" si="9">IF(I70&lt;&gt;"",K70+I70+L70,0)</f>
        <v>0</v>
      </c>
      <c r="S70" s="223"/>
      <c r="T70" s="223"/>
      <c r="U70" s="223"/>
      <c r="V70" s="223"/>
      <c r="W70" s="223"/>
      <c r="X70" s="223"/>
      <c r="Y70" s="223"/>
      <c r="Z70" s="223"/>
      <c r="AA70" s="223"/>
      <c r="AB70" s="223"/>
      <c r="AC70" s="223"/>
      <c r="AD70" s="223"/>
      <c r="AE70" s="223"/>
      <c r="AF70" s="223"/>
      <c r="AG70" s="223"/>
      <c r="AH70" s="223"/>
      <c r="AI70" s="223"/>
      <c r="AJ70" s="223"/>
      <c r="AK70" s="223"/>
      <c r="AL70" s="223"/>
    </row>
    <row r="71" spans="1:38" s="218" customFormat="1" x14ac:dyDescent="0.25">
      <c r="A71" s="98">
        <f t="shared" ref="A71:A134" si="10">M71</f>
        <v>0</v>
      </c>
      <c r="B71" s="35" t="str">
        <f t="shared" si="6"/>
        <v/>
      </c>
      <c r="C71" s="25"/>
      <c r="D71" s="25"/>
      <c r="E71" s="25"/>
      <c r="F71" s="25"/>
      <c r="H71" s="235">
        <v>66</v>
      </c>
      <c r="I71" s="236" t="str">
        <f t="shared" si="7"/>
        <v/>
      </c>
      <c r="J71" s="235">
        <f t="shared" ref="J71:J134" si="11">INT(LOG($H$2,2))-ROUNDUP(LOG(H71,2),0)+IF(OR($H$2=1,$H$2=2,$H$2=4,$H$2=8,$H$2=16,$H$2=32,$H$2=64,$H$2=128,$H$2=256),0,1)</f>
        <v>-1</v>
      </c>
      <c r="K71" s="235">
        <f t="shared" si="8"/>
        <v>-10</v>
      </c>
      <c r="L71" s="235"/>
      <c r="M71" s="237">
        <f t="shared" si="9"/>
        <v>0</v>
      </c>
      <c r="S71" s="223"/>
      <c r="T71" s="223"/>
      <c r="U71" s="223"/>
      <c r="V71" s="223"/>
      <c r="W71" s="223"/>
      <c r="X71" s="223"/>
      <c r="Y71" s="223"/>
      <c r="Z71" s="223"/>
      <c r="AA71" s="223"/>
      <c r="AB71" s="223"/>
      <c r="AC71" s="223"/>
      <c r="AD71" s="223"/>
      <c r="AE71" s="223"/>
      <c r="AF71" s="223"/>
      <c r="AG71" s="223"/>
      <c r="AH71" s="223"/>
      <c r="AI71" s="223"/>
      <c r="AJ71" s="223"/>
      <c r="AK71" s="223"/>
      <c r="AL71" s="223"/>
    </row>
    <row r="72" spans="1:38" s="218" customFormat="1" x14ac:dyDescent="0.25">
      <c r="A72" s="94">
        <f t="shared" si="10"/>
        <v>0</v>
      </c>
      <c r="B72" s="36" t="str">
        <f t="shared" si="6"/>
        <v/>
      </c>
      <c r="C72" s="24"/>
      <c r="D72" s="24"/>
      <c r="E72" s="24"/>
      <c r="F72" s="24"/>
      <c r="H72" s="232">
        <v>67</v>
      </c>
      <c r="I72" s="233" t="str">
        <f t="shared" si="7"/>
        <v/>
      </c>
      <c r="J72" s="232">
        <f t="shared" si="11"/>
        <v>-1</v>
      </c>
      <c r="K72" s="232">
        <f t="shared" si="8"/>
        <v>-10</v>
      </c>
      <c r="L72" s="232"/>
      <c r="M72" s="234">
        <f t="shared" si="9"/>
        <v>0</v>
      </c>
      <c r="S72" s="223"/>
      <c r="T72" s="223"/>
      <c r="U72" s="223"/>
      <c r="V72" s="223"/>
      <c r="W72" s="223"/>
      <c r="X72" s="223"/>
      <c r="Y72" s="223"/>
      <c r="Z72" s="223"/>
      <c r="AA72" s="223"/>
      <c r="AB72" s="223"/>
      <c r="AC72" s="223"/>
      <c r="AD72" s="223"/>
      <c r="AE72" s="223"/>
      <c r="AF72" s="223"/>
      <c r="AG72" s="223"/>
      <c r="AH72" s="223"/>
      <c r="AI72" s="223"/>
      <c r="AJ72" s="223"/>
      <c r="AK72" s="223"/>
      <c r="AL72" s="223"/>
    </row>
    <row r="73" spans="1:38" s="218" customFormat="1" x14ac:dyDescent="0.25">
      <c r="A73" s="98">
        <f t="shared" si="10"/>
        <v>0</v>
      </c>
      <c r="B73" s="35" t="str">
        <f t="shared" si="6"/>
        <v/>
      </c>
      <c r="C73" s="25"/>
      <c r="D73" s="25"/>
      <c r="E73" s="25"/>
      <c r="F73" s="25"/>
      <c r="H73" s="235">
        <v>68</v>
      </c>
      <c r="I73" s="236" t="str">
        <f t="shared" si="7"/>
        <v/>
      </c>
      <c r="J73" s="235">
        <f t="shared" si="11"/>
        <v>-1</v>
      </c>
      <c r="K73" s="235">
        <f t="shared" si="8"/>
        <v>-10</v>
      </c>
      <c r="L73" s="235"/>
      <c r="M73" s="237">
        <f t="shared" si="9"/>
        <v>0</v>
      </c>
      <c r="S73" s="223"/>
      <c r="T73" s="223"/>
      <c r="U73" s="223"/>
      <c r="V73" s="223"/>
      <c r="W73" s="223"/>
      <c r="X73" s="223"/>
      <c r="Y73" s="223"/>
      <c r="Z73" s="223"/>
      <c r="AA73" s="223"/>
      <c r="AB73" s="223"/>
      <c r="AC73" s="223"/>
      <c r="AD73" s="223"/>
      <c r="AE73" s="223"/>
      <c r="AF73" s="223"/>
      <c r="AG73" s="223"/>
      <c r="AH73" s="223"/>
      <c r="AI73" s="223"/>
      <c r="AJ73" s="223"/>
      <c r="AK73" s="223"/>
      <c r="AL73" s="223"/>
    </row>
    <row r="74" spans="1:38" s="218" customFormat="1" x14ac:dyDescent="0.25">
      <c r="A74" s="94">
        <f t="shared" si="10"/>
        <v>0</v>
      </c>
      <c r="B74" s="36" t="str">
        <f t="shared" si="6"/>
        <v/>
      </c>
      <c r="C74" s="24"/>
      <c r="D74" s="24"/>
      <c r="E74" s="24"/>
      <c r="F74" s="24"/>
      <c r="H74" s="232">
        <v>69</v>
      </c>
      <c r="I74" s="233" t="str">
        <f t="shared" si="7"/>
        <v/>
      </c>
      <c r="J74" s="232">
        <f t="shared" si="11"/>
        <v>-1</v>
      </c>
      <c r="K74" s="232">
        <f t="shared" si="8"/>
        <v>-10</v>
      </c>
      <c r="L74" s="232"/>
      <c r="M74" s="234">
        <f t="shared" si="9"/>
        <v>0</v>
      </c>
      <c r="S74" s="223"/>
      <c r="T74" s="223"/>
      <c r="U74" s="223"/>
      <c r="V74" s="223"/>
      <c r="W74" s="223"/>
      <c r="X74" s="223"/>
      <c r="Y74" s="223"/>
      <c r="Z74" s="223"/>
      <c r="AA74" s="223"/>
      <c r="AB74" s="223"/>
      <c r="AC74" s="223"/>
      <c r="AD74" s="223"/>
      <c r="AE74" s="223"/>
      <c r="AF74" s="223"/>
      <c r="AG74" s="223"/>
      <c r="AH74" s="223"/>
      <c r="AI74" s="223"/>
      <c r="AJ74" s="223"/>
      <c r="AK74" s="223"/>
      <c r="AL74" s="223"/>
    </row>
    <row r="75" spans="1:38" s="218" customFormat="1" x14ac:dyDescent="0.25">
      <c r="A75" s="98">
        <f t="shared" si="10"/>
        <v>0</v>
      </c>
      <c r="B75" s="35" t="str">
        <f t="shared" si="6"/>
        <v/>
      </c>
      <c r="C75" s="25"/>
      <c r="D75" s="25"/>
      <c r="E75" s="25"/>
      <c r="F75" s="25"/>
      <c r="H75" s="235">
        <v>70</v>
      </c>
      <c r="I75" s="236" t="str">
        <f t="shared" si="7"/>
        <v/>
      </c>
      <c r="J75" s="235">
        <f t="shared" si="11"/>
        <v>-1</v>
      </c>
      <c r="K75" s="235">
        <f t="shared" si="8"/>
        <v>-10</v>
      </c>
      <c r="L75" s="235"/>
      <c r="M75" s="237">
        <f t="shared" si="9"/>
        <v>0</v>
      </c>
      <c r="S75" s="223"/>
      <c r="T75" s="223"/>
      <c r="U75" s="223"/>
      <c r="V75" s="223"/>
      <c r="W75" s="223"/>
      <c r="X75" s="223"/>
      <c r="Y75" s="223"/>
      <c r="Z75" s="223"/>
      <c r="AA75" s="223"/>
      <c r="AB75" s="223"/>
      <c r="AC75" s="223"/>
      <c r="AD75" s="223"/>
      <c r="AE75" s="223"/>
      <c r="AF75" s="223"/>
      <c r="AG75" s="223"/>
      <c r="AH75" s="223"/>
      <c r="AI75" s="223"/>
      <c r="AJ75" s="223"/>
      <c r="AK75" s="223"/>
      <c r="AL75" s="223"/>
    </row>
    <row r="76" spans="1:38" s="218" customFormat="1" x14ac:dyDescent="0.25">
      <c r="A76" s="94">
        <f t="shared" si="10"/>
        <v>0</v>
      </c>
      <c r="B76" s="36" t="str">
        <f t="shared" si="6"/>
        <v/>
      </c>
      <c r="C76" s="24"/>
      <c r="D76" s="24"/>
      <c r="E76" s="24"/>
      <c r="F76" s="24"/>
      <c r="H76" s="232">
        <v>71</v>
      </c>
      <c r="I76" s="233" t="str">
        <f t="shared" si="7"/>
        <v/>
      </c>
      <c r="J76" s="232">
        <f t="shared" si="11"/>
        <v>-1</v>
      </c>
      <c r="K76" s="232">
        <f t="shared" si="8"/>
        <v>-10</v>
      </c>
      <c r="L76" s="232"/>
      <c r="M76" s="234">
        <f t="shared" si="9"/>
        <v>0</v>
      </c>
      <c r="S76" s="223"/>
      <c r="T76" s="223"/>
      <c r="U76" s="223"/>
      <c r="V76" s="223"/>
      <c r="W76" s="223"/>
      <c r="X76" s="223"/>
      <c r="Y76" s="223"/>
      <c r="Z76" s="223"/>
      <c r="AA76" s="223"/>
      <c r="AB76" s="223"/>
      <c r="AC76" s="223"/>
      <c r="AD76" s="223"/>
      <c r="AE76" s="223"/>
      <c r="AF76" s="223"/>
      <c r="AG76" s="223"/>
      <c r="AH76" s="223"/>
      <c r="AI76" s="223"/>
      <c r="AJ76" s="223"/>
      <c r="AK76" s="223"/>
      <c r="AL76" s="223"/>
    </row>
    <row r="77" spans="1:38" s="218" customFormat="1" x14ac:dyDescent="0.25">
      <c r="A77" s="98">
        <f t="shared" si="10"/>
        <v>0</v>
      </c>
      <c r="B77" s="35" t="str">
        <f t="shared" si="6"/>
        <v/>
      </c>
      <c r="C77" s="25"/>
      <c r="D77" s="25"/>
      <c r="E77" s="25"/>
      <c r="F77" s="25"/>
      <c r="H77" s="235">
        <v>72</v>
      </c>
      <c r="I77" s="236" t="str">
        <f t="shared" si="7"/>
        <v/>
      </c>
      <c r="J77" s="235">
        <f t="shared" si="11"/>
        <v>-1</v>
      </c>
      <c r="K77" s="235">
        <f t="shared" si="8"/>
        <v>-10</v>
      </c>
      <c r="L77" s="235"/>
      <c r="M77" s="237">
        <f t="shared" si="9"/>
        <v>0</v>
      </c>
      <c r="S77" s="223"/>
      <c r="T77" s="223"/>
      <c r="U77" s="223"/>
      <c r="V77" s="223"/>
      <c r="W77" s="223"/>
      <c r="X77" s="223"/>
      <c r="Y77" s="223"/>
      <c r="Z77" s="223"/>
      <c r="AA77" s="223"/>
      <c r="AB77" s="223"/>
      <c r="AC77" s="223"/>
      <c r="AD77" s="223"/>
      <c r="AE77" s="223"/>
      <c r="AF77" s="223"/>
      <c r="AG77" s="223"/>
      <c r="AH77" s="223"/>
      <c r="AI77" s="223"/>
      <c r="AJ77" s="223"/>
      <c r="AK77" s="223"/>
      <c r="AL77" s="223"/>
    </row>
    <row r="78" spans="1:38" s="218" customFormat="1" x14ac:dyDescent="0.25">
      <c r="A78" s="94">
        <f t="shared" si="10"/>
        <v>0</v>
      </c>
      <c r="B78" s="36" t="str">
        <f t="shared" si="6"/>
        <v/>
      </c>
      <c r="C78" s="24"/>
      <c r="D78" s="24"/>
      <c r="E78" s="24"/>
      <c r="F78" s="24"/>
      <c r="H78" s="232">
        <v>73</v>
      </c>
      <c r="I78" s="233" t="str">
        <f t="shared" si="7"/>
        <v/>
      </c>
      <c r="J78" s="232">
        <f t="shared" si="11"/>
        <v>-1</v>
      </c>
      <c r="K78" s="232">
        <f t="shared" si="8"/>
        <v>-10</v>
      </c>
      <c r="L78" s="232"/>
      <c r="M78" s="234">
        <f t="shared" si="9"/>
        <v>0</v>
      </c>
      <c r="S78" s="223"/>
      <c r="T78" s="223"/>
      <c r="U78" s="223"/>
      <c r="V78" s="223"/>
      <c r="W78" s="223"/>
      <c r="X78" s="223"/>
      <c r="Y78" s="223"/>
      <c r="Z78" s="223"/>
      <c r="AA78" s="223"/>
      <c r="AB78" s="223"/>
      <c r="AC78" s="223"/>
      <c r="AD78" s="223"/>
      <c r="AE78" s="223"/>
      <c r="AF78" s="223"/>
      <c r="AG78" s="223"/>
      <c r="AH78" s="223"/>
      <c r="AI78" s="223"/>
      <c r="AJ78" s="223"/>
      <c r="AK78" s="223"/>
      <c r="AL78" s="223"/>
    </row>
    <row r="79" spans="1:38" s="218" customFormat="1" x14ac:dyDescent="0.25">
      <c r="A79" s="98">
        <f t="shared" si="10"/>
        <v>0</v>
      </c>
      <c r="B79" s="35" t="str">
        <f t="shared" si="6"/>
        <v/>
      </c>
      <c r="C79" s="25"/>
      <c r="D79" s="25"/>
      <c r="E79" s="25"/>
      <c r="F79" s="25"/>
      <c r="H79" s="235">
        <v>74</v>
      </c>
      <c r="I79" s="236" t="str">
        <f t="shared" si="7"/>
        <v/>
      </c>
      <c r="J79" s="235">
        <f t="shared" si="11"/>
        <v>-1</v>
      </c>
      <c r="K79" s="235">
        <f t="shared" si="8"/>
        <v>-10</v>
      </c>
      <c r="L79" s="235"/>
      <c r="M79" s="237">
        <f t="shared" si="9"/>
        <v>0</v>
      </c>
      <c r="S79" s="223"/>
      <c r="T79" s="223"/>
      <c r="U79" s="223"/>
      <c r="V79" s="223"/>
      <c r="W79" s="223"/>
      <c r="X79" s="223"/>
      <c r="Y79" s="223"/>
      <c r="Z79" s="223"/>
      <c r="AA79" s="223"/>
      <c r="AB79" s="223"/>
      <c r="AC79" s="223"/>
      <c r="AD79" s="223"/>
      <c r="AE79" s="223"/>
      <c r="AF79" s="223"/>
      <c r="AG79" s="223"/>
      <c r="AH79" s="223"/>
      <c r="AI79" s="223"/>
      <c r="AJ79" s="223"/>
      <c r="AK79" s="223"/>
      <c r="AL79" s="223"/>
    </row>
    <row r="80" spans="1:38" s="218" customFormat="1" x14ac:dyDescent="0.25">
      <c r="A80" s="94">
        <f t="shared" si="10"/>
        <v>0</v>
      </c>
      <c r="B80" s="36" t="str">
        <f t="shared" si="6"/>
        <v/>
      </c>
      <c r="C80" s="24"/>
      <c r="D80" s="24"/>
      <c r="E80" s="24"/>
      <c r="F80" s="24"/>
      <c r="H80" s="232">
        <v>75</v>
      </c>
      <c r="I80" s="233" t="str">
        <f t="shared" si="7"/>
        <v/>
      </c>
      <c r="J80" s="232">
        <f t="shared" si="11"/>
        <v>-1</v>
      </c>
      <c r="K80" s="232">
        <f t="shared" si="8"/>
        <v>-10</v>
      </c>
      <c r="L80" s="232"/>
      <c r="M80" s="234">
        <f t="shared" si="9"/>
        <v>0</v>
      </c>
      <c r="S80" s="223"/>
      <c r="T80" s="223"/>
      <c r="U80" s="223"/>
      <c r="V80" s="223"/>
      <c r="W80" s="223"/>
      <c r="X80" s="223"/>
      <c r="Y80" s="223"/>
      <c r="Z80" s="223"/>
      <c r="AA80" s="223"/>
      <c r="AB80" s="223"/>
      <c r="AC80" s="223"/>
      <c r="AD80" s="223"/>
      <c r="AE80" s="223"/>
      <c r="AF80" s="223"/>
      <c r="AG80" s="223"/>
      <c r="AH80" s="223"/>
      <c r="AI80" s="223"/>
      <c r="AJ80" s="223"/>
      <c r="AK80" s="223"/>
      <c r="AL80" s="223"/>
    </row>
    <row r="81" spans="1:38" s="218" customFormat="1" x14ac:dyDescent="0.25">
      <c r="A81" s="98">
        <f t="shared" si="10"/>
        <v>0</v>
      </c>
      <c r="B81" s="35" t="str">
        <f t="shared" si="6"/>
        <v/>
      </c>
      <c r="C81" s="25"/>
      <c r="D81" s="25"/>
      <c r="E81" s="25"/>
      <c r="F81" s="25"/>
      <c r="H81" s="235">
        <v>76</v>
      </c>
      <c r="I81" s="236" t="str">
        <f t="shared" si="7"/>
        <v/>
      </c>
      <c r="J81" s="235">
        <f t="shared" si="11"/>
        <v>-1</v>
      </c>
      <c r="K81" s="235">
        <f t="shared" si="8"/>
        <v>-10</v>
      </c>
      <c r="L81" s="235"/>
      <c r="M81" s="237">
        <f t="shared" si="9"/>
        <v>0</v>
      </c>
      <c r="S81" s="223"/>
      <c r="T81" s="223"/>
      <c r="U81" s="223"/>
      <c r="V81" s="223"/>
      <c r="W81" s="223"/>
      <c r="X81" s="223"/>
      <c r="Y81" s="223"/>
      <c r="Z81" s="223"/>
      <c r="AA81" s="223"/>
      <c r="AB81" s="223"/>
      <c r="AC81" s="223"/>
      <c r="AD81" s="223"/>
      <c r="AE81" s="223"/>
      <c r="AF81" s="223"/>
      <c r="AG81" s="223"/>
      <c r="AH81" s="223"/>
      <c r="AI81" s="223"/>
      <c r="AJ81" s="223"/>
      <c r="AK81" s="223"/>
      <c r="AL81" s="223"/>
    </row>
    <row r="82" spans="1:38" s="218" customFormat="1" x14ac:dyDescent="0.25">
      <c r="A82" s="94">
        <f t="shared" si="10"/>
        <v>0</v>
      </c>
      <c r="B82" s="36" t="str">
        <f t="shared" si="6"/>
        <v/>
      </c>
      <c r="C82" s="24"/>
      <c r="D82" s="24"/>
      <c r="E82" s="24"/>
      <c r="F82" s="24"/>
      <c r="H82" s="232">
        <v>77</v>
      </c>
      <c r="I82" s="233" t="str">
        <f t="shared" si="7"/>
        <v/>
      </c>
      <c r="J82" s="232">
        <f t="shared" si="11"/>
        <v>-1</v>
      </c>
      <c r="K82" s="232">
        <f t="shared" si="8"/>
        <v>-10</v>
      </c>
      <c r="L82" s="232"/>
      <c r="M82" s="234">
        <f t="shared" si="9"/>
        <v>0</v>
      </c>
      <c r="S82" s="223"/>
      <c r="T82" s="223"/>
      <c r="U82" s="223"/>
      <c r="V82" s="223"/>
      <c r="W82" s="223"/>
      <c r="X82" s="223"/>
      <c r="Y82" s="223"/>
      <c r="Z82" s="223"/>
      <c r="AA82" s="223"/>
      <c r="AB82" s="223"/>
      <c r="AC82" s="223"/>
      <c r="AD82" s="223"/>
      <c r="AE82" s="223"/>
      <c r="AF82" s="223"/>
      <c r="AG82" s="223"/>
      <c r="AH82" s="223"/>
      <c r="AI82" s="223"/>
      <c r="AJ82" s="223"/>
      <c r="AK82" s="223"/>
      <c r="AL82" s="223"/>
    </row>
    <row r="83" spans="1:38" s="218" customFormat="1" x14ac:dyDescent="0.25">
      <c r="A83" s="98">
        <f t="shared" si="10"/>
        <v>0</v>
      </c>
      <c r="B83" s="35" t="str">
        <f t="shared" si="6"/>
        <v/>
      </c>
      <c r="C83" s="25"/>
      <c r="D83" s="25"/>
      <c r="E83" s="25"/>
      <c r="F83" s="25"/>
      <c r="H83" s="235">
        <v>78</v>
      </c>
      <c r="I83" s="236" t="str">
        <f t="shared" si="7"/>
        <v/>
      </c>
      <c r="J83" s="235">
        <f t="shared" si="11"/>
        <v>-1</v>
      </c>
      <c r="K83" s="235">
        <f t="shared" si="8"/>
        <v>-10</v>
      </c>
      <c r="L83" s="235"/>
      <c r="M83" s="237">
        <f t="shared" si="9"/>
        <v>0</v>
      </c>
      <c r="S83" s="223"/>
      <c r="T83" s="223"/>
      <c r="U83" s="223"/>
      <c r="V83" s="223"/>
      <c r="W83" s="223"/>
      <c r="X83" s="223"/>
      <c r="Y83" s="223"/>
      <c r="Z83" s="223"/>
      <c r="AA83" s="223"/>
      <c r="AB83" s="223"/>
      <c r="AC83" s="223"/>
      <c r="AD83" s="223"/>
      <c r="AE83" s="223"/>
      <c r="AF83" s="223"/>
      <c r="AG83" s="223"/>
      <c r="AH83" s="223"/>
      <c r="AI83" s="223"/>
      <c r="AJ83" s="223"/>
      <c r="AK83" s="223"/>
      <c r="AL83" s="223"/>
    </row>
    <row r="84" spans="1:38" s="218" customFormat="1" x14ac:dyDescent="0.25">
      <c r="A84" s="94">
        <f t="shared" si="10"/>
        <v>0</v>
      </c>
      <c r="B84" s="36" t="str">
        <f t="shared" si="6"/>
        <v/>
      </c>
      <c r="C84" s="24"/>
      <c r="D84" s="24"/>
      <c r="E84" s="24"/>
      <c r="F84" s="24"/>
      <c r="H84" s="232">
        <v>79</v>
      </c>
      <c r="I84" s="233" t="str">
        <f t="shared" si="7"/>
        <v/>
      </c>
      <c r="J84" s="232">
        <f t="shared" si="11"/>
        <v>-1</v>
      </c>
      <c r="K84" s="232">
        <f t="shared" si="8"/>
        <v>-10</v>
      </c>
      <c r="L84" s="232"/>
      <c r="M84" s="234">
        <f t="shared" si="9"/>
        <v>0</v>
      </c>
      <c r="S84" s="223"/>
      <c r="T84" s="223"/>
      <c r="U84" s="223"/>
      <c r="V84" s="223"/>
      <c r="W84" s="223"/>
      <c r="X84" s="223"/>
      <c r="Y84" s="223"/>
      <c r="Z84" s="223"/>
      <c r="AA84" s="223"/>
      <c r="AB84" s="223"/>
      <c r="AC84" s="223"/>
      <c r="AD84" s="223"/>
      <c r="AE84" s="223"/>
      <c r="AF84" s="223"/>
      <c r="AG84" s="223"/>
      <c r="AH84" s="223"/>
      <c r="AI84" s="223"/>
      <c r="AJ84" s="223"/>
      <c r="AK84" s="223"/>
      <c r="AL84" s="223"/>
    </row>
    <row r="85" spans="1:38" s="218" customFormat="1" x14ac:dyDescent="0.25">
      <c r="A85" s="98">
        <f t="shared" si="10"/>
        <v>0</v>
      </c>
      <c r="B85" s="35" t="str">
        <f t="shared" si="6"/>
        <v/>
      </c>
      <c r="C85" s="25"/>
      <c r="D85" s="25"/>
      <c r="E85" s="25"/>
      <c r="F85" s="25"/>
      <c r="H85" s="235">
        <v>80</v>
      </c>
      <c r="I85" s="236" t="str">
        <f t="shared" si="7"/>
        <v/>
      </c>
      <c r="J85" s="235">
        <f t="shared" si="11"/>
        <v>-1</v>
      </c>
      <c r="K85" s="235">
        <f t="shared" si="8"/>
        <v>-10</v>
      </c>
      <c r="L85" s="235"/>
      <c r="M85" s="237">
        <f t="shared" si="9"/>
        <v>0</v>
      </c>
      <c r="S85" s="223"/>
      <c r="T85" s="223"/>
      <c r="U85" s="223"/>
      <c r="V85" s="223"/>
      <c r="W85" s="223"/>
      <c r="X85" s="223"/>
      <c r="Y85" s="223"/>
      <c r="Z85" s="223"/>
      <c r="AA85" s="223"/>
      <c r="AB85" s="223"/>
      <c r="AC85" s="223"/>
      <c r="AD85" s="223"/>
      <c r="AE85" s="223"/>
      <c r="AF85" s="223"/>
      <c r="AG85" s="223"/>
      <c r="AH85" s="223"/>
      <c r="AI85" s="223"/>
      <c r="AJ85" s="223"/>
      <c r="AK85" s="223"/>
      <c r="AL85" s="223"/>
    </row>
    <row r="86" spans="1:38" s="218" customFormat="1" x14ac:dyDescent="0.25">
      <c r="A86" s="94">
        <f t="shared" si="10"/>
        <v>0</v>
      </c>
      <c r="B86" s="36" t="str">
        <f t="shared" si="6"/>
        <v/>
      </c>
      <c r="C86" s="24"/>
      <c r="D86" s="24"/>
      <c r="E86" s="24"/>
      <c r="F86" s="24"/>
      <c r="H86" s="232">
        <v>81</v>
      </c>
      <c r="I86" s="233" t="str">
        <f t="shared" si="7"/>
        <v/>
      </c>
      <c r="J86" s="232">
        <f t="shared" si="11"/>
        <v>-1</v>
      </c>
      <c r="K86" s="232">
        <f t="shared" si="8"/>
        <v>-10</v>
      </c>
      <c r="L86" s="232"/>
      <c r="M86" s="234">
        <f t="shared" si="9"/>
        <v>0</v>
      </c>
      <c r="S86" s="223"/>
      <c r="T86" s="223"/>
      <c r="U86" s="223"/>
      <c r="V86" s="223"/>
      <c r="W86" s="223"/>
      <c r="X86" s="223"/>
      <c r="Y86" s="223"/>
      <c r="Z86" s="223"/>
      <c r="AA86" s="223"/>
      <c r="AB86" s="223"/>
      <c r="AC86" s="223"/>
      <c r="AD86" s="223"/>
      <c r="AE86" s="223"/>
      <c r="AF86" s="223"/>
      <c r="AG86" s="223"/>
      <c r="AH86" s="223"/>
      <c r="AI86" s="223"/>
      <c r="AJ86" s="223"/>
      <c r="AK86" s="223"/>
      <c r="AL86" s="223"/>
    </row>
    <row r="87" spans="1:38" s="218" customFormat="1" x14ac:dyDescent="0.25">
      <c r="A87" s="98">
        <f t="shared" si="10"/>
        <v>0</v>
      </c>
      <c r="B87" s="35" t="str">
        <f t="shared" si="6"/>
        <v/>
      </c>
      <c r="C87" s="25"/>
      <c r="D87" s="25"/>
      <c r="E87" s="25"/>
      <c r="F87" s="25"/>
      <c r="H87" s="235">
        <v>82</v>
      </c>
      <c r="I87" s="236" t="str">
        <f t="shared" si="7"/>
        <v/>
      </c>
      <c r="J87" s="235">
        <f t="shared" si="11"/>
        <v>-1</v>
      </c>
      <c r="K87" s="235">
        <f t="shared" si="8"/>
        <v>-10</v>
      </c>
      <c r="L87" s="235"/>
      <c r="M87" s="237">
        <f t="shared" si="9"/>
        <v>0</v>
      </c>
      <c r="S87" s="223"/>
      <c r="T87" s="223"/>
      <c r="U87" s="223"/>
      <c r="V87" s="223"/>
      <c r="W87" s="223"/>
      <c r="X87" s="223"/>
      <c r="Y87" s="223"/>
      <c r="Z87" s="223"/>
      <c r="AA87" s="223"/>
      <c r="AB87" s="223"/>
      <c r="AC87" s="223"/>
      <c r="AD87" s="223"/>
      <c r="AE87" s="223"/>
      <c r="AF87" s="223"/>
      <c r="AG87" s="223"/>
      <c r="AH87" s="223"/>
      <c r="AI87" s="223"/>
      <c r="AJ87" s="223"/>
      <c r="AK87" s="223"/>
      <c r="AL87" s="223"/>
    </row>
    <row r="88" spans="1:38" s="218" customFormat="1" x14ac:dyDescent="0.25">
      <c r="A88" s="94">
        <f t="shared" si="10"/>
        <v>0</v>
      </c>
      <c r="B88" s="36" t="str">
        <f t="shared" si="6"/>
        <v/>
      </c>
      <c r="C88" s="24"/>
      <c r="D88" s="24"/>
      <c r="E88" s="24"/>
      <c r="F88" s="24"/>
      <c r="H88" s="232">
        <v>83</v>
      </c>
      <c r="I88" s="233" t="str">
        <f t="shared" si="7"/>
        <v/>
      </c>
      <c r="J88" s="232">
        <f t="shared" si="11"/>
        <v>-1</v>
      </c>
      <c r="K88" s="232">
        <f t="shared" si="8"/>
        <v>-10</v>
      </c>
      <c r="L88" s="232"/>
      <c r="M88" s="234">
        <f t="shared" si="9"/>
        <v>0</v>
      </c>
      <c r="S88" s="223"/>
      <c r="T88" s="223"/>
      <c r="U88" s="223"/>
      <c r="V88" s="223"/>
      <c r="W88" s="223"/>
      <c r="X88" s="223"/>
      <c r="Y88" s="223"/>
      <c r="Z88" s="223"/>
      <c r="AA88" s="223"/>
      <c r="AB88" s="223"/>
      <c r="AC88" s="223"/>
      <c r="AD88" s="223"/>
      <c r="AE88" s="223"/>
      <c r="AF88" s="223"/>
      <c r="AG88" s="223"/>
      <c r="AH88" s="223"/>
      <c r="AI88" s="223"/>
      <c r="AJ88" s="223"/>
      <c r="AK88" s="223"/>
      <c r="AL88" s="223"/>
    </row>
    <row r="89" spans="1:38" s="218" customFormat="1" x14ac:dyDescent="0.25">
      <c r="A89" s="98">
        <f t="shared" si="10"/>
        <v>0</v>
      </c>
      <c r="B89" s="35" t="str">
        <f t="shared" si="6"/>
        <v/>
      </c>
      <c r="C89" s="25"/>
      <c r="D89" s="25"/>
      <c r="E89" s="25"/>
      <c r="F89" s="25"/>
      <c r="H89" s="235">
        <v>84</v>
      </c>
      <c r="I89" s="236" t="str">
        <f t="shared" si="7"/>
        <v/>
      </c>
      <c r="J89" s="235">
        <f t="shared" si="11"/>
        <v>-1</v>
      </c>
      <c r="K89" s="235">
        <f t="shared" si="8"/>
        <v>-10</v>
      </c>
      <c r="L89" s="235"/>
      <c r="M89" s="237">
        <f t="shared" si="9"/>
        <v>0</v>
      </c>
      <c r="S89" s="223"/>
      <c r="T89" s="223"/>
      <c r="U89" s="223"/>
      <c r="V89" s="223"/>
      <c r="W89" s="223"/>
      <c r="X89" s="223"/>
      <c r="Y89" s="223"/>
      <c r="Z89" s="223"/>
      <c r="AA89" s="223"/>
      <c r="AB89" s="223"/>
      <c r="AC89" s="223"/>
      <c r="AD89" s="223"/>
      <c r="AE89" s="223"/>
      <c r="AF89" s="223"/>
      <c r="AG89" s="223"/>
      <c r="AH89" s="223"/>
      <c r="AI89" s="223"/>
      <c r="AJ89" s="223"/>
      <c r="AK89" s="223"/>
      <c r="AL89" s="223"/>
    </row>
    <row r="90" spans="1:38" s="218" customFormat="1" x14ac:dyDescent="0.25">
      <c r="A90" s="94">
        <f t="shared" si="10"/>
        <v>0</v>
      </c>
      <c r="B90" s="36" t="str">
        <f t="shared" si="6"/>
        <v/>
      </c>
      <c r="C90" s="24"/>
      <c r="D90" s="24"/>
      <c r="E90" s="24"/>
      <c r="F90" s="24"/>
      <c r="H90" s="232">
        <v>85</v>
      </c>
      <c r="I90" s="233" t="str">
        <f t="shared" si="7"/>
        <v/>
      </c>
      <c r="J90" s="232">
        <f t="shared" si="11"/>
        <v>-1</v>
      </c>
      <c r="K90" s="232">
        <f t="shared" si="8"/>
        <v>-10</v>
      </c>
      <c r="L90" s="232"/>
      <c r="M90" s="234">
        <f t="shared" si="9"/>
        <v>0</v>
      </c>
      <c r="S90" s="223"/>
      <c r="T90" s="223"/>
      <c r="U90" s="223"/>
      <c r="V90" s="223"/>
      <c r="W90" s="223"/>
      <c r="X90" s="223"/>
      <c r="Y90" s="223"/>
      <c r="Z90" s="223"/>
      <c r="AA90" s="223"/>
      <c r="AB90" s="223"/>
      <c r="AC90" s="223"/>
      <c r="AD90" s="223"/>
      <c r="AE90" s="223"/>
      <c r="AF90" s="223"/>
      <c r="AG90" s="223"/>
      <c r="AH90" s="223"/>
      <c r="AI90" s="223"/>
      <c r="AJ90" s="223"/>
      <c r="AK90" s="223"/>
      <c r="AL90" s="223"/>
    </row>
    <row r="91" spans="1:38" s="218" customFormat="1" x14ac:dyDescent="0.25">
      <c r="A91" s="98">
        <f t="shared" si="10"/>
        <v>0</v>
      </c>
      <c r="B91" s="35" t="str">
        <f t="shared" si="6"/>
        <v/>
      </c>
      <c r="C91" s="25"/>
      <c r="D91" s="25"/>
      <c r="E91" s="25"/>
      <c r="F91" s="25"/>
      <c r="H91" s="235">
        <v>86</v>
      </c>
      <c r="I91" s="236" t="str">
        <f t="shared" si="7"/>
        <v/>
      </c>
      <c r="J91" s="235">
        <f t="shared" si="11"/>
        <v>-1</v>
      </c>
      <c r="K91" s="235">
        <f t="shared" si="8"/>
        <v>-10</v>
      </c>
      <c r="L91" s="235"/>
      <c r="M91" s="237">
        <f t="shared" si="9"/>
        <v>0</v>
      </c>
      <c r="S91" s="223"/>
      <c r="T91" s="223"/>
      <c r="U91" s="223"/>
      <c r="V91" s="223"/>
      <c r="W91" s="223"/>
      <c r="X91" s="223"/>
      <c r="Y91" s="223"/>
      <c r="Z91" s="223"/>
      <c r="AA91" s="223"/>
      <c r="AB91" s="223"/>
      <c r="AC91" s="223"/>
      <c r="AD91" s="223"/>
      <c r="AE91" s="223"/>
      <c r="AF91" s="223"/>
      <c r="AG91" s="223"/>
      <c r="AH91" s="223"/>
      <c r="AI91" s="223"/>
      <c r="AJ91" s="223"/>
      <c r="AK91" s="223"/>
      <c r="AL91" s="223"/>
    </row>
    <row r="92" spans="1:38" s="218" customFormat="1" x14ac:dyDescent="0.25">
      <c r="A92" s="94">
        <f t="shared" si="10"/>
        <v>0</v>
      </c>
      <c r="B92" s="36" t="str">
        <f t="shared" si="6"/>
        <v/>
      </c>
      <c r="C92" s="24"/>
      <c r="D92" s="24"/>
      <c r="E92" s="24"/>
      <c r="F92" s="24"/>
      <c r="H92" s="232">
        <v>87</v>
      </c>
      <c r="I92" s="233" t="str">
        <f t="shared" si="7"/>
        <v/>
      </c>
      <c r="J92" s="232">
        <f t="shared" si="11"/>
        <v>-1</v>
      </c>
      <c r="K92" s="232">
        <f t="shared" si="8"/>
        <v>-10</v>
      </c>
      <c r="L92" s="232"/>
      <c r="M92" s="234">
        <f t="shared" si="9"/>
        <v>0</v>
      </c>
      <c r="S92" s="223"/>
      <c r="T92" s="223"/>
      <c r="U92" s="223"/>
      <c r="V92" s="223"/>
      <c r="W92" s="223"/>
      <c r="X92" s="223"/>
      <c r="Y92" s="223"/>
      <c r="Z92" s="223"/>
      <c r="AA92" s="223"/>
      <c r="AB92" s="223"/>
      <c r="AC92" s="223"/>
      <c r="AD92" s="223"/>
      <c r="AE92" s="223"/>
      <c r="AF92" s="223"/>
      <c r="AG92" s="223"/>
      <c r="AH92" s="223"/>
      <c r="AI92" s="223"/>
      <c r="AJ92" s="223"/>
      <c r="AK92" s="223"/>
      <c r="AL92" s="223"/>
    </row>
    <row r="93" spans="1:38" s="218" customFormat="1" x14ac:dyDescent="0.25">
      <c r="A93" s="98">
        <f t="shared" si="10"/>
        <v>0</v>
      </c>
      <c r="B93" s="35" t="str">
        <f t="shared" si="6"/>
        <v/>
      </c>
      <c r="C93" s="25"/>
      <c r="D93" s="25"/>
      <c r="E93" s="25"/>
      <c r="F93" s="25"/>
      <c r="H93" s="235">
        <v>88</v>
      </c>
      <c r="I93" s="236" t="str">
        <f t="shared" si="7"/>
        <v/>
      </c>
      <c r="J93" s="235">
        <f t="shared" si="11"/>
        <v>-1</v>
      </c>
      <c r="K93" s="235">
        <f t="shared" si="8"/>
        <v>-10</v>
      </c>
      <c r="L93" s="235"/>
      <c r="M93" s="237">
        <f t="shared" si="9"/>
        <v>0</v>
      </c>
      <c r="S93" s="223"/>
      <c r="T93" s="223"/>
      <c r="U93" s="223"/>
      <c r="V93" s="223"/>
      <c r="W93" s="223"/>
      <c r="X93" s="223"/>
      <c r="Y93" s="223"/>
      <c r="Z93" s="223"/>
      <c r="AA93" s="223"/>
      <c r="AB93" s="223"/>
      <c r="AC93" s="223"/>
      <c r="AD93" s="223"/>
      <c r="AE93" s="223"/>
      <c r="AF93" s="223"/>
      <c r="AG93" s="223"/>
      <c r="AH93" s="223"/>
      <c r="AI93" s="223"/>
      <c r="AJ93" s="223"/>
      <c r="AK93" s="223"/>
      <c r="AL93" s="223"/>
    </row>
    <row r="94" spans="1:38" s="218" customFormat="1" x14ac:dyDescent="0.25">
      <c r="A94" s="94">
        <f t="shared" si="10"/>
        <v>0</v>
      </c>
      <c r="B94" s="36" t="str">
        <f t="shared" si="6"/>
        <v/>
      </c>
      <c r="C94" s="24"/>
      <c r="D94" s="24"/>
      <c r="E94" s="24"/>
      <c r="F94" s="24"/>
      <c r="H94" s="232">
        <v>89</v>
      </c>
      <c r="I94" s="233" t="str">
        <f t="shared" si="7"/>
        <v/>
      </c>
      <c r="J94" s="232">
        <f t="shared" si="11"/>
        <v>-1</v>
      </c>
      <c r="K94" s="232">
        <f t="shared" si="8"/>
        <v>-10</v>
      </c>
      <c r="L94" s="232"/>
      <c r="M94" s="234">
        <f t="shared" si="9"/>
        <v>0</v>
      </c>
      <c r="S94" s="223"/>
      <c r="T94" s="223"/>
      <c r="U94" s="223"/>
      <c r="V94" s="223"/>
      <c r="W94" s="223"/>
      <c r="X94" s="223"/>
      <c r="Y94" s="223"/>
      <c r="Z94" s="223"/>
      <c r="AA94" s="223"/>
      <c r="AB94" s="223"/>
      <c r="AC94" s="223"/>
      <c r="AD94" s="223"/>
      <c r="AE94" s="223"/>
      <c r="AF94" s="223"/>
      <c r="AG94" s="223"/>
      <c r="AH94" s="223"/>
      <c r="AI94" s="223"/>
      <c r="AJ94" s="223"/>
      <c r="AK94" s="223"/>
      <c r="AL94" s="223"/>
    </row>
    <row r="95" spans="1:38" s="218" customFormat="1" x14ac:dyDescent="0.25">
      <c r="A95" s="98">
        <f t="shared" si="10"/>
        <v>0</v>
      </c>
      <c r="B95" s="35" t="str">
        <f t="shared" si="6"/>
        <v/>
      </c>
      <c r="C95" s="25"/>
      <c r="D95" s="25"/>
      <c r="E95" s="25"/>
      <c r="F95" s="25"/>
      <c r="H95" s="235">
        <v>90</v>
      </c>
      <c r="I95" s="236" t="str">
        <f t="shared" si="7"/>
        <v/>
      </c>
      <c r="J95" s="235">
        <f t="shared" si="11"/>
        <v>-1</v>
      </c>
      <c r="K95" s="235">
        <f t="shared" si="8"/>
        <v>-10</v>
      </c>
      <c r="L95" s="235"/>
      <c r="M95" s="237">
        <f t="shared" si="9"/>
        <v>0</v>
      </c>
      <c r="S95" s="223"/>
      <c r="T95" s="223"/>
      <c r="U95" s="223"/>
      <c r="V95" s="223"/>
      <c r="W95" s="223"/>
      <c r="X95" s="223"/>
      <c r="Y95" s="223"/>
      <c r="Z95" s="223"/>
      <c r="AA95" s="223"/>
      <c r="AB95" s="223"/>
      <c r="AC95" s="223"/>
      <c r="AD95" s="223"/>
      <c r="AE95" s="223"/>
      <c r="AF95" s="223"/>
      <c r="AG95" s="223"/>
      <c r="AH95" s="223"/>
      <c r="AI95" s="223"/>
      <c r="AJ95" s="223"/>
      <c r="AK95" s="223"/>
      <c r="AL95" s="223"/>
    </row>
    <row r="96" spans="1:38" s="218" customFormat="1" x14ac:dyDescent="0.25">
      <c r="A96" s="94">
        <f t="shared" si="10"/>
        <v>0</v>
      </c>
      <c r="B96" s="36" t="str">
        <f t="shared" si="6"/>
        <v/>
      </c>
      <c r="C96" s="24"/>
      <c r="D96" s="24"/>
      <c r="E96" s="24"/>
      <c r="F96" s="24"/>
      <c r="H96" s="232">
        <v>91</v>
      </c>
      <c r="I96" s="233" t="str">
        <f t="shared" si="7"/>
        <v/>
      </c>
      <c r="J96" s="232">
        <f t="shared" si="11"/>
        <v>-1</v>
      </c>
      <c r="K96" s="232">
        <f t="shared" si="8"/>
        <v>-10</v>
      </c>
      <c r="L96" s="232"/>
      <c r="M96" s="234">
        <f t="shared" si="9"/>
        <v>0</v>
      </c>
      <c r="S96" s="223"/>
      <c r="T96" s="223"/>
      <c r="U96" s="223"/>
      <c r="V96" s="223"/>
      <c r="W96" s="223"/>
      <c r="X96" s="223"/>
      <c r="Y96" s="223"/>
      <c r="Z96" s="223"/>
      <c r="AA96" s="223"/>
      <c r="AB96" s="223"/>
      <c r="AC96" s="223"/>
      <c r="AD96" s="223"/>
      <c r="AE96" s="223"/>
      <c r="AF96" s="223"/>
      <c r="AG96" s="223"/>
      <c r="AH96" s="223"/>
      <c r="AI96" s="223"/>
      <c r="AJ96" s="223"/>
      <c r="AK96" s="223"/>
      <c r="AL96" s="223"/>
    </row>
    <row r="97" spans="1:38" s="218" customFormat="1" x14ac:dyDescent="0.25">
      <c r="A97" s="98">
        <f t="shared" si="10"/>
        <v>0</v>
      </c>
      <c r="B97" s="35" t="str">
        <f t="shared" si="6"/>
        <v/>
      </c>
      <c r="C97" s="25"/>
      <c r="D97" s="25"/>
      <c r="E97" s="25"/>
      <c r="F97" s="25"/>
      <c r="H97" s="235">
        <v>92</v>
      </c>
      <c r="I97" s="236" t="str">
        <f t="shared" si="7"/>
        <v/>
      </c>
      <c r="J97" s="235">
        <f t="shared" si="11"/>
        <v>-1</v>
      </c>
      <c r="K97" s="235">
        <f t="shared" si="8"/>
        <v>-10</v>
      </c>
      <c r="L97" s="235"/>
      <c r="M97" s="237">
        <f t="shared" si="9"/>
        <v>0</v>
      </c>
      <c r="S97" s="223"/>
      <c r="T97" s="223"/>
      <c r="U97" s="223"/>
      <c r="V97" s="223"/>
      <c r="W97" s="223"/>
      <c r="X97" s="223"/>
      <c r="Y97" s="223"/>
      <c r="Z97" s="223"/>
      <c r="AA97" s="223"/>
      <c r="AB97" s="223"/>
      <c r="AC97" s="223"/>
      <c r="AD97" s="223"/>
      <c r="AE97" s="223"/>
      <c r="AF97" s="223"/>
      <c r="AG97" s="223"/>
      <c r="AH97" s="223"/>
      <c r="AI97" s="223"/>
      <c r="AJ97" s="223"/>
      <c r="AK97" s="223"/>
      <c r="AL97" s="223"/>
    </row>
    <row r="98" spans="1:38" s="218" customFormat="1" x14ac:dyDescent="0.25">
      <c r="A98" s="94">
        <f t="shared" si="10"/>
        <v>0</v>
      </c>
      <c r="B98" s="36" t="str">
        <f t="shared" si="6"/>
        <v/>
      </c>
      <c r="C98" s="24"/>
      <c r="D98" s="24"/>
      <c r="E98" s="24"/>
      <c r="F98" s="24"/>
      <c r="H98" s="232">
        <v>93</v>
      </c>
      <c r="I98" s="233" t="str">
        <f t="shared" si="7"/>
        <v/>
      </c>
      <c r="J98" s="232">
        <f t="shared" si="11"/>
        <v>-1</v>
      </c>
      <c r="K98" s="232">
        <f t="shared" si="8"/>
        <v>-10</v>
      </c>
      <c r="L98" s="232"/>
      <c r="M98" s="234">
        <f t="shared" si="9"/>
        <v>0</v>
      </c>
      <c r="S98" s="223"/>
      <c r="T98" s="223"/>
      <c r="U98" s="223"/>
      <c r="V98" s="223"/>
      <c r="W98" s="223"/>
      <c r="X98" s="223"/>
      <c r="Y98" s="223"/>
      <c r="Z98" s="223"/>
      <c r="AA98" s="223"/>
      <c r="AB98" s="223"/>
      <c r="AC98" s="223"/>
      <c r="AD98" s="223"/>
      <c r="AE98" s="223"/>
      <c r="AF98" s="223"/>
      <c r="AG98" s="223"/>
      <c r="AH98" s="223"/>
      <c r="AI98" s="223"/>
      <c r="AJ98" s="223"/>
      <c r="AK98" s="223"/>
      <c r="AL98" s="223"/>
    </row>
    <row r="99" spans="1:38" s="218" customFormat="1" x14ac:dyDescent="0.25">
      <c r="A99" s="98">
        <f t="shared" si="10"/>
        <v>0</v>
      </c>
      <c r="B99" s="35" t="str">
        <f t="shared" si="6"/>
        <v/>
      </c>
      <c r="C99" s="25"/>
      <c r="D99" s="25"/>
      <c r="E99" s="25"/>
      <c r="F99" s="25"/>
      <c r="H99" s="235">
        <v>94</v>
      </c>
      <c r="I99" s="236" t="str">
        <f t="shared" si="7"/>
        <v/>
      </c>
      <c r="J99" s="235">
        <f t="shared" si="11"/>
        <v>-1</v>
      </c>
      <c r="K99" s="235">
        <f t="shared" si="8"/>
        <v>-10</v>
      </c>
      <c r="L99" s="235"/>
      <c r="M99" s="237">
        <f t="shared" si="9"/>
        <v>0</v>
      </c>
      <c r="S99" s="223"/>
      <c r="T99" s="223"/>
      <c r="U99" s="223"/>
      <c r="V99" s="223"/>
      <c r="W99" s="223"/>
      <c r="X99" s="223"/>
      <c r="Y99" s="223"/>
      <c r="Z99" s="223"/>
      <c r="AA99" s="223"/>
      <c r="AB99" s="223"/>
      <c r="AC99" s="223"/>
      <c r="AD99" s="223"/>
      <c r="AE99" s="223"/>
      <c r="AF99" s="223"/>
      <c r="AG99" s="223"/>
      <c r="AH99" s="223"/>
      <c r="AI99" s="223"/>
      <c r="AJ99" s="223"/>
      <c r="AK99" s="223"/>
      <c r="AL99" s="223"/>
    </row>
    <row r="100" spans="1:38" s="218" customFormat="1" x14ac:dyDescent="0.25">
      <c r="A100" s="94">
        <f t="shared" si="10"/>
        <v>0</v>
      </c>
      <c r="B100" s="36" t="str">
        <f t="shared" si="6"/>
        <v/>
      </c>
      <c r="C100" s="24"/>
      <c r="D100" s="24"/>
      <c r="E100" s="24"/>
      <c r="F100" s="24"/>
      <c r="H100" s="232">
        <v>95</v>
      </c>
      <c r="I100" s="233" t="str">
        <f t="shared" si="7"/>
        <v/>
      </c>
      <c r="J100" s="232">
        <f t="shared" si="11"/>
        <v>-1</v>
      </c>
      <c r="K100" s="232">
        <f t="shared" si="8"/>
        <v>-10</v>
      </c>
      <c r="L100" s="232"/>
      <c r="M100" s="234">
        <f t="shared" si="9"/>
        <v>0</v>
      </c>
      <c r="S100" s="223"/>
      <c r="T100" s="223"/>
      <c r="U100" s="223"/>
      <c r="V100" s="223"/>
      <c r="W100" s="223"/>
      <c r="X100" s="223"/>
      <c r="Y100" s="223"/>
      <c r="Z100" s="223"/>
      <c r="AA100" s="223"/>
      <c r="AB100" s="223"/>
      <c r="AC100" s="223"/>
      <c r="AD100" s="223"/>
      <c r="AE100" s="223"/>
      <c r="AF100" s="223"/>
      <c r="AG100" s="223"/>
      <c r="AH100" s="223"/>
      <c r="AI100" s="223"/>
      <c r="AJ100" s="223"/>
      <c r="AK100" s="223"/>
      <c r="AL100" s="223"/>
    </row>
    <row r="101" spans="1:38" s="218" customFormat="1" x14ac:dyDescent="0.25">
      <c r="A101" s="98">
        <f t="shared" si="10"/>
        <v>0</v>
      </c>
      <c r="B101" s="35" t="str">
        <f t="shared" si="6"/>
        <v/>
      </c>
      <c r="C101" s="25"/>
      <c r="D101" s="25"/>
      <c r="E101" s="25"/>
      <c r="F101" s="25"/>
      <c r="H101" s="235">
        <v>96</v>
      </c>
      <c r="I101" s="236" t="str">
        <f t="shared" si="7"/>
        <v/>
      </c>
      <c r="J101" s="235">
        <f t="shared" si="11"/>
        <v>-1</v>
      </c>
      <c r="K101" s="235">
        <f t="shared" si="8"/>
        <v>-10</v>
      </c>
      <c r="L101" s="235"/>
      <c r="M101" s="237">
        <f t="shared" si="9"/>
        <v>0</v>
      </c>
      <c r="S101" s="223"/>
      <c r="T101" s="223"/>
      <c r="U101" s="223"/>
      <c r="V101" s="223"/>
      <c r="W101" s="223"/>
      <c r="X101" s="223"/>
      <c r="Y101" s="223"/>
      <c r="Z101" s="223"/>
      <c r="AA101" s="223"/>
      <c r="AB101" s="223"/>
      <c r="AC101" s="223"/>
      <c r="AD101" s="223"/>
      <c r="AE101" s="223"/>
      <c r="AF101" s="223"/>
      <c r="AG101" s="223"/>
      <c r="AH101" s="223"/>
      <c r="AI101" s="223"/>
      <c r="AJ101" s="223"/>
      <c r="AK101" s="223"/>
      <c r="AL101" s="223"/>
    </row>
    <row r="102" spans="1:38" s="218" customFormat="1" x14ac:dyDescent="0.25">
      <c r="A102" s="94">
        <f t="shared" si="10"/>
        <v>0</v>
      </c>
      <c r="B102" s="36" t="str">
        <f t="shared" si="6"/>
        <v/>
      </c>
      <c r="C102" s="24"/>
      <c r="D102" s="24"/>
      <c r="E102" s="24"/>
      <c r="F102" s="24"/>
      <c r="H102" s="232">
        <v>97</v>
      </c>
      <c r="I102" s="233" t="str">
        <f t="shared" si="7"/>
        <v/>
      </c>
      <c r="J102" s="232">
        <f t="shared" si="11"/>
        <v>-1</v>
      </c>
      <c r="K102" s="232">
        <f t="shared" si="8"/>
        <v>-10</v>
      </c>
      <c r="L102" s="232"/>
      <c r="M102" s="234">
        <f t="shared" si="9"/>
        <v>0</v>
      </c>
      <c r="S102" s="223"/>
      <c r="T102" s="223"/>
      <c r="U102" s="223"/>
      <c r="V102" s="223"/>
      <c r="W102" s="223"/>
      <c r="X102" s="223"/>
      <c r="Y102" s="223"/>
      <c r="Z102" s="223"/>
      <c r="AA102" s="223"/>
      <c r="AB102" s="223"/>
      <c r="AC102" s="223"/>
      <c r="AD102" s="223"/>
      <c r="AE102" s="223"/>
      <c r="AF102" s="223"/>
      <c r="AG102" s="223"/>
      <c r="AH102" s="223"/>
      <c r="AI102" s="223"/>
      <c r="AJ102" s="223"/>
      <c r="AK102" s="223"/>
      <c r="AL102" s="223"/>
    </row>
    <row r="103" spans="1:38" s="218" customFormat="1" x14ac:dyDescent="0.25">
      <c r="A103" s="98">
        <f t="shared" si="10"/>
        <v>0</v>
      </c>
      <c r="B103" s="35" t="str">
        <f t="shared" si="6"/>
        <v/>
      </c>
      <c r="C103" s="25"/>
      <c r="D103" s="25"/>
      <c r="E103" s="25"/>
      <c r="F103" s="25"/>
      <c r="H103" s="235">
        <v>98</v>
      </c>
      <c r="I103" s="236" t="str">
        <f t="shared" si="7"/>
        <v/>
      </c>
      <c r="J103" s="235">
        <f t="shared" si="11"/>
        <v>-1</v>
      </c>
      <c r="K103" s="235">
        <f t="shared" si="8"/>
        <v>-10</v>
      </c>
      <c r="L103" s="235"/>
      <c r="M103" s="237">
        <f t="shared" si="9"/>
        <v>0</v>
      </c>
      <c r="S103" s="223"/>
      <c r="T103" s="223"/>
      <c r="U103" s="223"/>
      <c r="V103" s="223"/>
      <c r="W103" s="223"/>
      <c r="X103" s="223"/>
      <c r="Y103" s="223"/>
      <c r="Z103" s="223"/>
      <c r="AA103" s="223"/>
      <c r="AB103" s="223"/>
      <c r="AC103" s="223"/>
      <c r="AD103" s="223"/>
      <c r="AE103" s="223"/>
      <c r="AF103" s="223"/>
      <c r="AG103" s="223"/>
      <c r="AH103" s="223"/>
      <c r="AI103" s="223"/>
      <c r="AJ103" s="223"/>
      <c r="AK103" s="223"/>
      <c r="AL103" s="223"/>
    </row>
    <row r="104" spans="1:38" s="218" customFormat="1" x14ac:dyDescent="0.25">
      <c r="A104" s="94">
        <f t="shared" si="10"/>
        <v>0</v>
      </c>
      <c r="B104" s="36" t="str">
        <f t="shared" si="6"/>
        <v/>
      </c>
      <c r="C104" s="24"/>
      <c r="D104" s="24"/>
      <c r="E104" s="24"/>
      <c r="F104" s="24"/>
      <c r="H104" s="232">
        <v>99</v>
      </c>
      <c r="I104" s="233" t="str">
        <f t="shared" si="7"/>
        <v/>
      </c>
      <c r="J104" s="232">
        <f t="shared" si="11"/>
        <v>-1</v>
      </c>
      <c r="K104" s="232">
        <f t="shared" si="8"/>
        <v>-10</v>
      </c>
      <c r="L104" s="232"/>
      <c r="M104" s="234">
        <f t="shared" si="9"/>
        <v>0</v>
      </c>
      <c r="S104" s="223"/>
      <c r="T104" s="223"/>
      <c r="U104" s="223"/>
      <c r="V104" s="223"/>
      <c r="W104" s="223"/>
      <c r="X104" s="223"/>
      <c r="Y104" s="223"/>
      <c r="Z104" s="223"/>
      <c r="AA104" s="223"/>
      <c r="AB104" s="223"/>
      <c r="AC104" s="223"/>
      <c r="AD104" s="223"/>
      <c r="AE104" s="223"/>
      <c r="AF104" s="223"/>
      <c r="AG104" s="223"/>
      <c r="AH104" s="223"/>
      <c r="AI104" s="223"/>
      <c r="AJ104" s="223"/>
      <c r="AK104" s="223"/>
      <c r="AL104" s="223"/>
    </row>
    <row r="105" spans="1:38" s="218" customFormat="1" x14ac:dyDescent="0.25">
      <c r="A105" s="98">
        <f t="shared" si="10"/>
        <v>0</v>
      </c>
      <c r="B105" s="35" t="str">
        <f t="shared" si="6"/>
        <v/>
      </c>
      <c r="C105" s="25"/>
      <c r="D105" s="25"/>
      <c r="E105" s="25"/>
      <c r="F105" s="25"/>
      <c r="H105" s="235">
        <v>100</v>
      </c>
      <c r="I105" s="236" t="str">
        <f t="shared" si="7"/>
        <v/>
      </c>
      <c r="J105" s="235">
        <f t="shared" si="11"/>
        <v>-1</v>
      </c>
      <c r="K105" s="235">
        <f t="shared" si="8"/>
        <v>-10</v>
      </c>
      <c r="L105" s="235"/>
      <c r="M105" s="237">
        <f t="shared" si="9"/>
        <v>0</v>
      </c>
      <c r="S105" s="223"/>
      <c r="T105" s="223"/>
      <c r="U105" s="223"/>
      <c r="V105" s="223"/>
      <c r="W105" s="223"/>
      <c r="X105" s="223"/>
      <c r="Y105" s="223"/>
      <c r="Z105" s="223"/>
      <c r="AA105" s="223"/>
      <c r="AB105" s="223"/>
      <c r="AC105" s="223"/>
      <c r="AD105" s="223"/>
      <c r="AE105" s="223"/>
      <c r="AF105" s="223"/>
      <c r="AG105" s="223"/>
      <c r="AH105" s="223"/>
      <c r="AI105" s="223"/>
      <c r="AJ105" s="223"/>
      <c r="AK105" s="223"/>
      <c r="AL105" s="223"/>
    </row>
    <row r="106" spans="1:38" s="218" customFormat="1" x14ac:dyDescent="0.25">
      <c r="A106" s="94">
        <f t="shared" si="10"/>
        <v>0</v>
      </c>
      <c r="B106" s="36" t="str">
        <f t="shared" si="6"/>
        <v/>
      </c>
      <c r="C106" s="24"/>
      <c r="D106" s="24"/>
      <c r="E106" s="24"/>
      <c r="F106" s="24"/>
      <c r="H106" s="232">
        <v>101</v>
      </c>
      <c r="I106" s="233" t="str">
        <f t="shared" si="7"/>
        <v/>
      </c>
      <c r="J106" s="232">
        <f t="shared" si="11"/>
        <v>-1</v>
      </c>
      <c r="K106" s="232">
        <f t="shared" si="8"/>
        <v>-10</v>
      </c>
      <c r="L106" s="232"/>
      <c r="M106" s="234">
        <f t="shared" si="9"/>
        <v>0</v>
      </c>
      <c r="S106" s="223"/>
      <c r="T106" s="223"/>
      <c r="U106" s="223"/>
      <c r="V106" s="223"/>
      <c r="W106" s="223"/>
      <c r="X106" s="223"/>
      <c r="Y106" s="223"/>
      <c r="Z106" s="223"/>
      <c r="AA106" s="223"/>
      <c r="AB106" s="223"/>
      <c r="AC106" s="223"/>
      <c r="AD106" s="223"/>
      <c r="AE106" s="223"/>
      <c r="AF106" s="223"/>
      <c r="AG106" s="223"/>
      <c r="AH106" s="223"/>
      <c r="AI106" s="223"/>
      <c r="AJ106" s="223"/>
      <c r="AK106" s="223"/>
      <c r="AL106" s="223"/>
    </row>
    <row r="107" spans="1:38" s="218" customFormat="1" x14ac:dyDescent="0.25">
      <c r="A107" s="98">
        <f t="shared" si="10"/>
        <v>0</v>
      </c>
      <c r="B107" s="35" t="str">
        <f t="shared" si="6"/>
        <v/>
      </c>
      <c r="C107" s="25"/>
      <c r="D107" s="25"/>
      <c r="E107" s="25"/>
      <c r="F107" s="25"/>
      <c r="H107" s="235">
        <v>102</v>
      </c>
      <c r="I107" s="236" t="str">
        <f t="shared" si="7"/>
        <v/>
      </c>
      <c r="J107" s="235">
        <f t="shared" si="11"/>
        <v>-1</v>
      </c>
      <c r="K107" s="235">
        <f t="shared" si="8"/>
        <v>-10</v>
      </c>
      <c r="L107" s="235"/>
      <c r="M107" s="237">
        <f t="shared" si="9"/>
        <v>0</v>
      </c>
      <c r="S107" s="223"/>
      <c r="T107" s="223"/>
      <c r="U107" s="223"/>
      <c r="V107" s="223"/>
      <c r="W107" s="223"/>
      <c r="X107" s="223"/>
      <c r="Y107" s="223"/>
      <c r="Z107" s="223"/>
      <c r="AA107" s="223"/>
      <c r="AB107" s="223"/>
      <c r="AC107" s="223"/>
      <c r="AD107" s="223"/>
      <c r="AE107" s="223"/>
      <c r="AF107" s="223"/>
      <c r="AG107" s="223"/>
      <c r="AH107" s="223"/>
      <c r="AI107" s="223"/>
      <c r="AJ107" s="223"/>
      <c r="AK107" s="223"/>
      <c r="AL107" s="223"/>
    </row>
    <row r="108" spans="1:38" s="218" customFormat="1" x14ac:dyDescent="0.25">
      <c r="A108" s="94">
        <f t="shared" si="10"/>
        <v>0</v>
      </c>
      <c r="B108" s="36" t="str">
        <f t="shared" si="6"/>
        <v/>
      </c>
      <c r="C108" s="24"/>
      <c r="D108" s="24"/>
      <c r="E108" s="24"/>
      <c r="F108" s="24"/>
      <c r="H108" s="232">
        <v>103</v>
      </c>
      <c r="I108" s="233" t="str">
        <f t="shared" si="7"/>
        <v/>
      </c>
      <c r="J108" s="232">
        <f t="shared" si="11"/>
        <v>-1</v>
      </c>
      <c r="K108" s="232">
        <f t="shared" si="8"/>
        <v>-10</v>
      </c>
      <c r="L108" s="232"/>
      <c r="M108" s="234">
        <f t="shared" si="9"/>
        <v>0</v>
      </c>
      <c r="S108" s="223"/>
      <c r="T108" s="223"/>
      <c r="U108" s="223"/>
      <c r="V108" s="223"/>
      <c r="W108" s="223"/>
      <c r="X108" s="223"/>
      <c r="Y108" s="223"/>
      <c r="Z108" s="223"/>
      <c r="AA108" s="223"/>
      <c r="AB108" s="223"/>
      <c r="AC108" s="223"/>
      <c r="AD108" s="223"/>
      <c r="AE108" s="223"/>
      <c r="AF108" s="223"/>
      <c r="AG108" s="223"/>
      <c r="AH108" s="223"/>
      <c r="AI108" s="223"/>
      <c r="AJ108" s="223"/>
      <c r="AK108" s="223"/>
      <c r="AL108" s="223"/>
    </row>
    <row r="109" spans="1:38" s="218" customFormat="1" x14ac:dyDescent="0.25">
      <c r="A109" s="98">
        <f t="shared" si="10"/>
        <v>0</v>
      </c>
      <c r="B109" s="35" t="str">
        <f t="shared" si="6"/>
        <v/>
      </c>
      <c r="C109" s="25"/>
      <c r="D109" s="25"/>
      <c r="E109" s="25"/>
      <c r="F109" s="25"/>
      <c r="H109" s="235">
        <v>104</v>
      </c>
      <c r="I109" s="236" t="str">
        <f t="shared" si="7"/>
        <v/>
      </c>
      <c r="J109" s="235">
        <f t="shared" si="11"/>
        <v>-1</v>
      </c>
      <c r="K109" s="235">
        <f t="shared" si="8"/>
        <v>-10</v>
      </c>
      <c r="L109" s="235"/>
      <c r="M109" s="237">
        <f t="shared" si="9"/>
        <v>0</v>
      </c>
      <c r="S109" s="223"/>
      <c r="T109" s="223"/>
      <c r="U109" s="223"/>
      <c r="V109" s="223"/>
      <c r="W109" s="223"/>
      <c r="X109" s="223"/>
      <c r="Y109" s="223"/>
      <c r="Z109" s="223"/>
      <c r="AA109" s="223"/>
      <c r="AB109" s="223"/>
      <c r="AC109" s="223"/>
      <c r="AD109" s="223"/>
      <c r="AE109" s="223"/>
      <c r="AF109" s="223"/>
      <c r="AG109" s="223"/>
      <c r="AH109" s="223"/>
      <c r="AI109" s="223"/>
      <c r="AJ109" s="223"/>
      <c r="AK109" s="223"/>
      <c r="AL109" s="223"/>
    </row>
    <row r="110" spans="1:38" s="218" customFormat="1" x14ac:dyDescent="0.25">
      <c r="A110" s="94">
        <f t="shared" si="10"/>
        <v>0</v>
      </c>
      <c r="B110" s="36" t="str">
        <f t="shared" si="6"/>
        <v/>
      </c>
      <c r="C110" s="24"/>
      <c r="D110" s="24"/>
      <c r="E110" s="24"/>
      <c r="F110" s="24"/>
      <c r="H110" s="232">
        <v>105</v>
      </c>
      <c r="I110" s="233" t="str">
        <f t="shared" si="7"/>
        <v/>
      </c>
      <c r="J110" s="232">
        <f t="shared" si="11"/>
        <v>-1</v>
      </c>
      <c r="K110" s="232">
        <f t="shared" si="8"/>
        <v>-10</v>
      </c>
      <c r="L110" s="232"/>
      <c r="M110" s="234">
        <f t="shared" si="9"/>
        <v>0</v>
      </c>
      <c r="S110" s="223"/>
      <c r="T110" s="223"/>
      <c r="U110" s="223"/>
      <c r="V110" s="223"/>
      <c r="W110" s="223"/>
      <c r="X110" s="223"/>
      <c r="Y110" s="223"/>
      <c r="Z110" s="223"/>
      <c r="AA110" s="223"/>
      <c r="AB110" s="223"/>
      <c r="AC110" s="223"/>
      <c r="AD110" s="223"/>
      <c r="AE110" s="223"/>
      <c r="AF110" s="223"/>
      <c r="AG110" s="223"/>
      <c r="AH110" s="223"/>
      <c r="AI110" s="223"/>
      <c r="AJ110" s="223"/>
      <c r="AK110" s="223"/>
      <c r="AL110" s="223"/>
    </row>
    <row r="111" spans="1:38" s="218" customFormat="1" x14ac:dyDescent="0.25">
      <c r="A111" s="98">
        <f t="shared" si="10"/>
        <v>0</v>
      </c>
      <c r="B111" s="35" t="str">
        <f t="shared" si="6"/>
        <v/>
      </c>
      <c r="C111" s="25"/>
      <c r="D111" s="25"/>
      <c r="E111" s="25"/>
      <c r="F111" s="25"/>
      <c r="H111" s="235">
        <v>106</v>
      </c>
      <c r="I111" s="236" t="str">
        <f t="shared" si="7"/>
        <v/>
      </c>
      <c r="J111" s="235">
        <f t="shared" si="11"/>
        <v>-1</v>
      </c>
      <c r="K111" s="235">
        <f t="shared" si="8"/>
        <v>-10</v>
      </c>
      <c r="L111" s="235"/>
      <c r="M111" s="237">
        <f t="shared" si="9"/>
        <v>0</v>
      </c>
      <c r="S111" s="223"/>
      <c r="T111" s="223"/>
      <c r="U111" s="223"/>
      <c r="V111" s="223"/>
      <c r="W111" s="223"/>
      <c r="X111" s="223"/>
      <c r="Y111" s="223"/>
      <c r="Z111" s="223"/>
      <c r="AA111" s="223"/>
      <c r="AB111" s="223"/>
      <c r="AC111" s="223"/>
      <c r="AD111" s="223"/>
      <c r="AE111" s="223"/>
      <c r="AF111" s="223"/>
      <c r="AG111" s="223"/>
      <c r="AH111" s="223"/>
      <c r="AI111" s="223"/>
      <c r="AJ111" s="223"/>
      <c r="AK111" s="223"/>
      <c r="AL111" s="223"/>
    </row>
    <row r="112" spans="1:38" s="218" customFormat="1" x14ac:dyDescent="0.25">
      <c r="A112" s="94">
        <f t="shared" si="10"/>
        <v>0</v>
      </c>
      <c r="B112" s="36" t="str">
        <f t="shared" si="6"/>
        <v/>
      </c>
      <c r="C112" s="24"/>
      <c r="D112" s="24"/>
      <c r="E112" s="24"/>
      <c r="F112" s="24"/>
      <c r="H112" s="232">
        <v>107</v>
      </c>
      <c r="I112" s="233" t="str">
        <f t="shared" si="7"/>
        <v/>
      </c>
      <c r="J112" s="232">
        <f t="shared" si="11"/>
        <v>-1</v>
      </c>
      <c r="K112" s="232">
        <f t="shared" si="8"/>
        <v>-10</v>
      </c>
      <c r="L112" s="232"/>
      <c r="M112" s="234">
        <f t="shared" si="9"/>
        <v>0</v>
      </c>
      <c r="S112" s="223"/>
      <c r="T112" s="223"/>
      <c r="U112" s="223"/>
      <c r="V112" s="223"/>
      <c r="W112" s="223"/>
      <c r="X112" s="223"/>
      <c r="Y112" s="223"/>
      <c r="Z112" s="223"/>
      <c r="AA112" s="223"/>
      <c r="AB112" s="223"/>
      <c r="AC112" s="223"/>
      <c r="AD112" s="223"/>
      <c r="AE112" s="223"/>
      <c r="AF112" s="223"/>
      <c r="AG112" s="223"/>
      <c r="AH112" s="223"/>
      <c r="AI112" s="223"/>
      <c r="AJ112" s="223"/>
      <c r="AK112" s="223"/>
      <c r="AL112" s="223"/>
    </row>
    <row r="113" spans="1:38" s="218" customFormat="1" x14ac:dyDescent="0.25">
      <c r="A113" s="98">
        <f t="shared" si="10"/>
        <v>0</v>
      </c>
      <c r="B113" s="35" t="str">
        <f t="shared" si="6"/>
        <v/>
      </c>
      <c r="C113" s="25"/>
      <c r="D113" s="25"/>
      <c r="E113" s="25"/>
      <c r="F113" s="25"/>
      <c r="H113" s="235">
        <v>108</v>
      </c>
      <c r="I113" s="236" t="str">
        <f t="shared" si="7"/>
        <v/>
      </c>
      <c r="J113" s="235">
        <f t="shared" si="11"/>
        <v>-1</v>
      </c>
      <c r="K113" s="235">
        <f t="shared" si="8"/>
        <v>-10</v>
      </c>
      <c r="L113" s="235"/>
      <c r="M113" s="237">
        <f t="shared" si="9"/>
        <v>0</v>
      </c>
      <c r="S113" s="223"/>
      <c r="T113" s="223"/>
      <c r="U113" s="223"/>
      <c r="V113" s="223"/>
      <c r="W113" s="223"/>
      <c r="X113" s="223"/>
      <c r="Y113" s="223"/>
      <c r="Z113" s="223"/>
      <c r="AA113" s="223"/>
      <c r="AB113" s="223"/>
      <c r="AC113" s="223"/>
      <c r="AD113" s="223"/>
      <c r="AE113" s="223"/>
      <c r="AF113" s="223"/>
      <c r="AG113" s="223"/>
      <c r="AH113" s="223"/>
      <c r="AI113" s="223"/>
      <c r="AJ113" s="223"/>
      <c r="AK113" s="223"/>
      <c r="AL113" s="223"/>
    </row>
    <row r="114" spans="1:38" s="218" customFormat="1" x14ac:dyDescent="0.25">
      <c r="A114" s="94">
        <f t="shared" si="10"/>
        <v>0</v>
      </c>
      <c r="B114" s="36" t="str">
        <f t="shared" si="6"/>
        <v/>
      </c>
      <c r="C114" s="24"/>
      <c r="D114" s="24"/>
      <c r="E114" s="24"/>
      <c r="F114" s="24"/>
      <c r="H114" s="232">
        <v>109</v>
      </c>
      <c r="I114" s="233" t="str">
        <f t="shared" si="7"/>
        <v/>
      </c>
      <c r="J114" s="232">
        <f t="shared" si="11"/>
        <v>-1</v>
      </c>
      <c r="K114" s="232">
        <f t="shared" si="8"/>
        <v>-10</v>
      </c>
      <c r="L114" s="232"/>
      <c r="M114" s="234">
        <f t="shared" si="9"/>
        <v>0</v>
      </c>
      <c r="S114" s="223"/>
      <c r="T114" s="223"/>
      <c r="U114" s="223"/>
      <c r="V114" s="223"/>
      <c r="W114" s="223"/>
      <c r="X114" s="223"/>
      <c r="Y114" s="223"/>
      <c r="Z114" s="223"/>
      <c r="AA114" s="223"/>
      <c r="AB114" s="223"/>
      <c r="AC114" s="223"/>
      <c r="AD114" s="223"/>
      <c r="AE114" s="223"/>
      <c r="AF114" s="223"/>
      <c r="AG114" s="223"/>
      <c r="AH114" s="223"/>
      <c r="AI114" s="223"/>
      <c r="AJ114" s="223"/>
      <c r="AK114" s="223"/>
      <c r="AL114" s="223"/>
    </row>
    <row r="115" spans="1:38" s="218" customFormat="1" x14ac:dyDescent="0.25">
      <c r="A115" s="98">
        <f t="shared" si="10"/>
        <v>0</v>
      </c>
      <c r="B115" s="35" t="str">
        <f t="shared" si="6"/>
        <v/>
      </c>
      <c r="C115" s="25"/>
      <c r="D115" s="25"/>
      <c r="E115" s="25"/>
      <c r="F115" s="25"/>
      <c r="H115" s="235">
        <v>110</v>
      </c>
      <c r="I115" s="236" t="str">
        <f t="shared" si="7"/>
        <v/>
      </c>
      <c r="J115" s="235">
        <f t="shared" si="11"/>
        <v>-1</v>
      </c>
      <c r="K115" s="235">
        <f t="shared" si="8"/>
        <v>-10</v>
      </c>
      <c r="L115" s="235"/>
      <c r="M115" s="237">
        <f t="shared" si="9"/>
        <v>0</v>
      </c>
      <c r="S115" s="223"/>
      <c r="T115" s="223"/>
      <c r="U115" s="223"/>
      <c r="V115" s="223"/>
      <c r="W115" s="223"/>
      <c r="X115" s="223"/>
      <c r="Y115" s="223"/>
      <c r="Z115" s="223"/>
      <c r="AA115" s="223"/>
      <c r="AB115" s="223"/>
      <c r="AC115" s="223"/>
      <c r="AD115" s="223"/>
      <c r="AE115" s="223"/>
      <c r="AF115" s="223"/>
      <c r="AG115" s="223"/>
      <c r="AH115" s="223"/>
      <c r="AI115" s="223"/>
      <c r="AJ115" s="223"/>
      <c r="AK115" s="223"/>
      <c r="AL115" s="223"/>
    </row>
    <row r="116" spans="1:38" s="218" customFormat="1" x14ac:dyDescent="0.25">
      <c r="A116" s="94">
        <f t="shared" si="10"/>
        <v>0</v>
      </c>
      <c r="B116" s="36" t="str">
        <f t="shared" si="6"/>
        <v/>
      </c>
      <c r="C116" s="24"/>
      <c r="D116" s="24"/>
      <c r="E116" s="24"/>
      <c r="F116" s="24"/>
      <c r="H116" s="232">
        <v>111</v>
      </c>
      <c r="I116" s="233" t="str">
        <f t="shared" si="7"/>
        <v/>
      </c>
      <c r="J116" s="232">
        <f t="shared" si="11"/>
        <v>-1</v>
      </c>
      <c r="K116" s="232">
        <f t="shared" si="8"/>
        <v>-10</v>
      </c>
      <c r="L116" s="232"/>
      <c r="M116" s="234">
        <f t="shared" si="9"/>
        <v>0</v>
      </c>
      <c r="S116" s="223"/>
      <c r="T116" s="223"/>
      <c r="U116" s="223"/>
      <c r="V116" s="223"/>
      <c r="W116" s="223"/>
      <c r="X116" s="223"/>
      <c r="Y116" s="223"/>
      <c r="Z116" s="223"/>
      <c r="AA116" s="223"/>
      <c r="AB116" s="223"/>
      <c r="AC116" s="223"/>
      <c r="AD116" s="223"/>
      <c r="AE116" s="223"/>
      <c r="AF116" s="223"/>
      <c r="AG116" s="223"/>
      <c r="AH116" s="223"/>
      <c r="AI116" s="223"/>
      <c r="AJ116" s="223"/>
      <c r="AK116" s="223"/>
      <c r="AL116" s="223"/>
    </row>
    <row r="117" spans="1:38" s="218" customFormat="1" x14ac:dyDescent="0.25">
      <c r="A117" s="98">
        <f t="shared" si="10"/>
        <v>0</v>
      </c>
      <c r="B117" s="35" t="str">
        <f t="shared" si="6"/>
        <v/>
      </c>
      <c r="C117" s="25"/>
      <c r="D117" s="25"/>
      <c r="E117" s="25"/>
      <c r="F117" s="25"/>
      <c r="H117" s="235">
        <v>112</v>
      </c>
      <c r="I117" s="236" t="str">
        <f t="shared" si="7"/>
        <v/>
      </c>
      <c r="J117" s="235">
        <f t="shared" si="11"/>
        <v>-1</v>
      </c>
      <c r="K117" s="235">
        <f t="shared" si="8"/>
        <v>-10</v>
      </c>
      <c r="L117" s="235"/>
      <c r="M117" s="237">
        <f t="shared" si="9"/>
        <v>0</v>
      </c>
      <c r="S117" s="223"/>
      <c r="T117" s="223"/>
      <c r="U117" s="223"/>
      <c r="V117" s="223"/>
      <c r="W117" s="223"/>
      <c r="X117" s="223"/>
      <c r="Y117" s="223"/>
      <c r="Z117" s="223"/>
      <c r="AA117" s="223"/>
      <c r="AB117" s="223"/>
      <c r="AC117" s="223"/>
      <c r="AD117" s="223"/>
      <c r="AE117" s="223"/>
      <c r="AF117" s="223"/>
      <c r="AG117" s="223"/>
      <c r="AH117" s="223"/>
      <c r="AI117" s="223"/>
      <c r="AJ117" s="223"/>
      <c r="AK117" s="223"/>
      <c r="AL117" s="223"/>
    </row>
    <row r="118" spans="1:38" s="218" customFormat="1" x14ac:dyDescent="0.25">
      <c r="A118" s="94">
        <f t="shared" si="10"/>
        <v>0</v>
      </c>
      <c r="B118" s="36" t="str">
        <f t="shared" si="6"/>
        <v/>
      </c>
      <c r="C118" s="24"/>
      <c r="D118" s="24"/>
      <c r="E118" s="24"/>
      <c r="F118" s="24"/>
      <c r="H118" s="232">
        <v>113</v>
      </c>
      <c r="I118" s="233" t="str">
        <f t="shared" si="7"/>
        <v/>
      </c>
      <c r="J118" s="232">
        <f t="shared" si="11"/>
        <v>-1</v>
      </c>
      <c r="K118" s="232">
        <f t="shared" si="8"/>
        <v>-10</v>
      </c>
      <c r="L118" s="232"/>
      <c r="M118" s="234">
        <f t="shared" si="9"/>
        <v>0</v>
      </c>
      <c r="S118" s="223"/>
      <c r="T118" s="223"/>
      <c r="U118" s="223"/>
      <c r="V118" s="223"/>
      <c r="W118" s="223"/>
      <c r="X118" s="223"/>
      <c r="Y118" s="223"/>
      <c r="Z118" s="223"/>
      <c r="AA118" s="223"/>
      <c r="AB118" s="223"/>
      <c r="AC118" s="223"/>
      <c r="AD118" s="223"/>
      <c r="AE118" s="223"/>
      <c r="AF118" s="223"/>
      <c r="AG118" s="223"/>
      <c r="AH118" s="223"/>
      <c r="AI118" s="223"/>
      <c r="AJ118" s="223"/>
      <c r="AK118" s="223"/>
      <c r="AL118" s="223"/>
    </row>
    <row r="119" spans="1:38" s="218" customFormat="1" x14ac:dyDescent="0.25">
      <c r="A119" s="98">
        <f t="shared" si="10"/>
        <v>0</v>
      </c>
      <c r="B119" s="35" t="str">
        <f t="shared" si="6"/>
        <v/>
      </c>
      <c r="C119" s="25"/>
      <c r="D119" s="25"/>
      <c r="E119" s="25"/>
      <c r="F119" s="25"/>
      <c r="H119" s="235">
        <v>114</v>
      </c>
      <c r="I119" s="236" t="str">
        <f t="shared" si="7"/>
        <v/>
      </c>
      <c r="J119" s="235">
        <f t="shared" si="11"/>
        <v>-1</v>
      </c>
      <c r="K119" s="235">
        <f t="shared" si="8"/>
        <v>-10</v>
      </c>
      <c r="L119" s="235"/>
      <c r="M119" s="237">
        <f t="shared" si="9"/>
        <v>0</v>
      </c>
      <c r="S119" s="223"/>
      <c r="T119" s="223"/>
      <c r="U119" s="223"/>
      <c r="V119" s="223"/>
      <c r="W119" s="223"/>
      <c r="X119" s="223"/>
      <c r="Y119" s="223"/>
      <c r="Z119" s="223"/>
      <c r="AA119" s="223"/>
      <c r="AB119" s="223"/>
      <c r="AC119" s="223"/>
      <c r="AD119" s="223"/>
      <c r="AE119" s="223"/>
      <c r="AF119" s="223"/>
      <c r="AG119" s="223"/>
      <c r="AH119" s="223"/>
      <c r="AI119" s="223"/>
      <c r="AJ119" s="223"/>
      <c r="AK119" s="223"/>
      <c r="AL119" s="223"/>
    </row>
    <row r="120" spans="1:38" s="218" customFormat="1" x14ac:dyDescent="0.25">
      <c r="A120" s="94">
        <f t="shared" si="10"/>
        <v>0</v>
      </c>
      <c r="B120" s="36" t="str">
        <f t="shared" si="6"/>
        <v/>
      </c>
      <c r="C120" s="24"/>
      <c r="D120" s="24"/>
      <c r="E120" s="24"/>
      <c r="F120" s="24"/>
      <c r="H120" s="232">
        <v>115</v>
      </c>
      <c r="I120" s="233" t="str">
        <f t="shared" si="7"/>
        <v/>
      </c>
      <c r="J120" s="232">
        <f t="shared" si="11"/>
        <v>-1</v>
      </c>
      <c r="K120" s="232">
        <f t="shared" si="8"/>
        <v>-10</v>
      </c>
      <c r="L120" s="232"/>
      <c r="M120" s="234">
        <f t="shared" si="9"/>
        <v>0</v>
      </c>
      <c r="S120" s="223"/>
      <c r="T120" s="223"/>
      <c r="U120" s="223"/>
      <c r="V120" s="223"/>
      <c r="W120" s="223"/>
      <c r="X120" s="223"/>
      <c r="Y120" s="223"/>
      <c r="Z120" s="223"/>
      <c r="AA120" s="223"/>
      <c r="AB120" s="223"/>
      <c r="AC120" s="223"/>
      <c r="AD120" s="223"/>
      <c r="AE120" s="223"/>
      <c r="AF120" s="223"/>
      <c r="AG120" s="223"/>
      <c r="AH120" s="223"/>
      <c r="AI120" s="223"/>
      <c r="AJ120" s="223"/>
      <c r="AK120" s="223"/>
      <c r="AL120" s="223"/>
    </row>
    <row r="121" spans="1:38" s="218" customFormat="1" x14ac:dyDescent="0.25">
      <c r="A121" s="98">
        <f t="shared" si="10"/>
        <v>0</v>
      </c>
      <c r="B121" s="35" t="str">
        <f t="shared" si="6"/>
        <v/>
      </c>
      <c r="C121" s="25"/>
      <c r="D121" s="25"/>
      <c r="E121" s="25"/>
      <c r="F121" s="25"/>
      <c r="H121" s="235">
        <v>116</v>
      </c>
      <c r="I121" s="236" t="str">
        <f t="shared" si="7"/>
        <v/>
      </c>
      <c r="J121" s="235">
        <f t="shared" si="11"/>
        <v>-1</v>
      </c>
      <c r="K121" s="235">
        <f t="shared" si="8"/>
        <v>-10</v>
      </c>
      <c r="L121" s="235"/>
      <c r="M121" s="237">
        <f t="shared" si="9"/>
        <v>0</v>
      </c>
      <c r="S121" s="223"/>
      <c r="T121" s="223"/>
      <c r="U121" s="223"/>
      <c r="V121" s="223"/>
      <c r="W121" s="223"/>
      <c r="X121" s="223"/>
      <c r="Y121" s="223"/>
      <c r="Z121" s="223"/>
      <c r="AA121" s="223"/>
      <c r="AB121" s="223"/>
      <c r="AC121" s="223"/>
      <c r="AD121" s="223"/>
      <c r="AE121" s="223"/>
      <c r="AF121" s="223"/>
      <c r="AG121" s="223"/>
      <c r="AH121" s="223"/>
      <c r="AI121" s="223"/>
      <c r="AJ121" s="223"/>
      <c r="AK121" s="223"/>
      <c r="AL121" s="223"/>
    </row>
    <row r="122" spans="1:38" s="218" customFormat="1" x14ac:dyDescent="0.25">
      <c r="A122" s="94">
        <f t="shared" si="10"/>
        <v>0</v>
      </c>
      <c r="B122" s="36" t="str">
        <f t="shared" si="6"/>
        <v/>
      </c>
      <c r="C122" s="24"/>
      <c r="D122" s="24"/>
      <c r="E122" s="24"/>
      <c r="F122" s="24"/>
      <c r="H122" s="232">
        <v>117</v>
      </c>
      <c r="I122" s="233" t="str">
        <f t="shared" si="7"/>
        <v/>
      </c>
      <c r="J122" s="232">
        <f t="shared" si="11"/>
        <v>-1</v>
      </c>
      <c r="K122" s="232">
        <f t="shared" si="8"/>
        <v>-10</v>
      </c>
      <c r="L122" s="232"/>
      <c r="M122" s="234">
        <f t="shared" si="9"/>
        <v>0</v>
      </c>
      <c r="S122" s="223"/>
      <c r="T122" s="223"/>
      <c r="U122" s="223"/>
      <c r="V122" s="223"/>
      <c r="W122" s="223"/>
      <c r="X122" s="223"/>
      <c r="Y122" s="223"/>
      <c r="Z122" s="223"/>
      <c r="AA122" s="223"/>
      <c r="AB122" s="223"/>
      <c r="AC122" s="223"/>
      <c r="AD122" s="223"/>
      <c r="AE122" s="223"/>
      <c r="AF122" s="223"/>
      <c r="AG122" s="223"/>
      <c r="AH122" s="223"/>
      <c r="AI122" s="223"/>
      <c r="AJ122" s="223"/>
      <c r="AK122" s="223"/>
      <c r="AL122" s="223"/>
    </row>
    <row r="123" spans="1:38" s="218" customFormat="1" x14ac:dyDescent="0.25">
      <c r="A123" s="98">
        <f t="shared" si="10"/>
        <v>0</v>
      </c>
      <c r="B123" s="35" t="str">
        <f t="shared" si="6"/>
        <v/>
      </c>
      <c r="C123" s="25"/>
      <c r="D123" s="25"/>
      <c r="E123" s="25"/>
      <c r="F123" s="25"/>
      <c r="H123" s="235">
        <v>118</v>
      </c>
      <c r="I123" s="236" t="str">
        <f t="shared" si="7"/>
        <v/>
      </c>
      <c r="J123" s="235">
        <f t="shared" si="11"/>
        <v>-1</v>
      </c>
      <c r="K123" s="235">
        <f t="shared" si="8"/>
        <v>-10</v>
      </c>
      <c r="L123" s="235"/>
      <c r="M123" s="237">
        <f t="shared" si="9"/>
        <v>0</v>
      </c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223"/>
      <c r="AE123" s="223"/>
      <c r="AF123" s="223"/>
      <c r="AG123" s="223"/>
      <c r="AH123" s="223"/>
      <c r="AI123" s="223"/>
      <c r="AJ123" s="223"/>
      <c r="AK123" s="223"/>
      <c r="AL123" s="223"/>
    </row>
    <row r="124" spans="1:38" s="218" customFormat="1" x14ac:dyDescent="0.25">
      <c r="A124" s="94">
        <f t="shared" si="10"/>
        <v>0</v>
      </c>
      <c r="B124" s="36" t="str">
        <f t="shared" si="6"/>
        <v/>
      </c>
      <c r="C124" s="24"/>
      <c r="D124" s="24"/>
      <c r="E124" s="24"/>
      <c r="F124" s="24"/>
      <c r="H124" s="232">
        <v>119</v>
      </c>
      <c r="I124" s="233" t="str">
        <f t="shared" si="7"/>
        <v/>
      </c>
      <c r="J124" s="232">
        <f t="shared" si="11"/>
        <v>-1</v>
      </c>
      <c r="K124" s="232">
        <f t="shared" si="8"/>
        <v>-10</v>
      </c>
      <c r="L124" s="232"/>
      <c r="M124" s="234">
        <f t="shared" si="9"/>
        <v>0</v>
      </c>
      <c r="S124" s="223"/>
      <c r="T124" s="223"/>
      <c r="U124" s="223"/>
      <c r="V124" s="223"/>
      <c r="W124" s="223"/>
      <c r="X124" s="223"/>
      <c r="Y124" s="223"/>
      <c r="Z124" s="223"/>
      <c r="AA124" s="223"/>
      <c r="AB124" s="223"/>
      <c r="AC124" s="223"/>
      <c r="AD124" s="223"/>
      <c r="AE124" s="223"/>
      <c r="AF124" s="223"/>
      <c r="AG124" s="223"/>
      <c r="AH124" s="223"/>
      <c r="AI124" s="223"/>
      <c r="AJ124" s="223"/>
      <c r="AK124" s="223"/>
      <c r="AL124" s="223"/>
    </row>
    <row r="125" spans="1:38" s="218" customFormat="1" x14ac:dyDescent="0.25">
      <c r="A125" s="98">
        <f t="shared" si="10"/>
        <v>0</v>
      </c>
      <c r="B125" s="35" t="str">
        <f t="shared" si="6"/>
        <v/>
      </c>
      <c r="C125" s="25"/>
      <c r="D125" s="25"/>
      <c r="E125" s="25"/>
      <c r="F125" s="25"/>
      <c r="H125" s="235">
        <v>120</v>
      </c>
      <c r="I125" s="236" t="str">
        <f t="shared" si="7"/>
        <v/>
      </c>
      <c r="J125" s="235">
        <f t="shared" si="11"/>
        <v>-1</v>
      </c>
      <c r="K125" s="235">
        <f t="shared" si="8"/>
        <v>-10</v>
      </c>
      <c r="L125" s="235"/>
      <c r="M125" s="237">
        <f t="shared" si="9"/>
        <v>0</v>
      </c>
      <c r="S125" s="223"/>
      <c r="T125" s="223"/>
      <c r="U125" s="223"/>
      <c r="V125" s="223"/>
      <c r="W125" s="223"/>
      <c r="X125" s="223"/>
      <c r="Y125" s="223"/>
      <c r="Z125" s="223"/>
      <c r="AA125" s="223"/>
      <c r="AB125" s="223"/>
      <c r="AC125" s="223"/>
      <c r="AD125" s="223"/>
      <c r="AE125" s="223"/>
      <c r="AF125" s="223"/>
      <c r="AG125" s="223"/>
      <c r="AH125" s="223"/>
      <c r="AI125" s="223"/>
      <c r="AJ125" s="223"/>
      <c r="AK125" s="223"/>
      <c r="AL125" s="223"/>
    </row>
    <row r="126" spans="1:38" s="218" customFormat="1" x14ac:dyDescent="0.25">
      <c r="A126" s="94">
        <f t="shared" si="10"/>
        <v>0</v>
      </c>
      <c r="B126" s="36" t="str">
        <f t="shared" si="6"/>
        <v/>
      </c>
      <c r="C126" s="24"/>
      <c r="D126" s="24"/>
      <c r="E126" s="24"/>
      <c r="F126" s="24"/>
      <c r="H126" s="232">
        <v>121</v>
      </c>
      <c r="I126" s="233" t="str">
        <f t="shared" si="7"/>
        <v/>
      </c>
      <c r="J126" s="232">
        <f t="shared" si="11"/>
        <v>-1</v>
      </c>
      <c r="K126" s="232">
        <f t="shared" si="8"/>
        <v>-10</v>
      </c>
      <c r="L126" s="232"/>
      <c r="M126" s="234">
        <f t="shared" si="9"/>
        <v>0</v>
      </c>
      <c r="S126" s="223"/>
      <c r="T126" s="223"/>
      <c r="U126" s="223"/>
      <c r="V126" s="223"/>
      <c r="W126" s="223"/>
      <c r="X126" s="223"/>
      <c r="Y126" s="223"/>
      <c r="Z126" s="223"/>
      <c r="AA126" s="223"/>
      <c r="AB126" s="223"/>
      <c r="AC126" s="223"/>
      <c r="AD126" s="223"/>
      <c r="AE126" s="223"/>
      <c r="AF126" s="223"/>
      <c r="AG126" s="223"/>
      <c r="AH126" s="223"/>
      <c r="AI126" s="223"/>
      <c r="AJ126" s="223"/>
      <c r="AK126" s="223"/>
      <c r="AL126" s="223"/>
    </row>
    <row r="127" spans="1:38" s="218" customFormat="1" x14ac:dyDescent="0.25">
      <c r="A127" s="98">
        <f t="shared" si="10"/>
        <v>0</v>
      </c>
      <c r="B127" s="35" t="str">
        <f t="shared" si="6"/>
        <v/>
      </c>
      <c r="C127" s="25"/>
      <c r="D127" s="25"/>
      <c r="E127" s="25"/>
      <c r="F127" s="25"/>
      <c r="H127" s="235">
        <v>122</v>
      </c>
      <c r="I127" s="236" t="str">
        <f t="shared" si="7"/>
        <v/>
      </c>
      <c r="J127" s="235">
        <f t="shared" si="11"/>
        <v>-1</v>
      </c>
      <c r="K127" s="235">
        <f t="shared" si="8"/>
        <v>-10</v>
      </c>
      <c r="L127" s="235"/>
      <c r="M127" s="237">
        <f t="shared" si="9"/>
        <v>0</v>
      </c>
      <c r="S127" s="223"/>
      <c r="T127" s="223"/>
      <c r="U127" s="223"/>
      <c r="V127" s="223"/>
      <c r="W127" s="223"/>
      <c r="X127" s="223"/>
      <c r="Y127" s="223"/>
      <c r="Z127" s="223"/>
      <c r="AA127" s="223"/>
      <c r="AB127" s="223"/>
      <c r="AC127" s="223"/>
      <c r="AD127" s="223"/>
      <c r="AE127" s="223"/>
      <c r="AF127" s="223"/>
      <c r="AG127" s="223"/>
      <c r="AH127" s="223"/>
      <c r="AI127" s="223"/>
      <c r="AJ127" s="223"/>
      <c r="AK127" s="223"/>
      <c r="AL127" s="223"/>
    </row>
    <row r="128" spans="1:38" s="218" customFormat="1" x14ac:dyDescent="0.25">
      <c r="A128" s="94">
        <f t="shared" si="10"/>
        <v>0</v>
      </c>
      <c r="B128" s="36" t="str">
        <f t="shared" si="6"/>
        <v/>
      </c>
      <c r="C128" s="24"/>
      <c r="D128" s="24"/>
      <c r="E128" s="24"/>
      <c r="F128" s="24"/>
      <c r="H128" s="232">
        <v>123</v>
      </c>
      <c r="I128" s="233" t="str">
        <f t="shared" si="7"/>
        <v/>
      </c>
      <c r="J128" s="232">
        <f t="shared" si="11"/>
        <v>-1</v>
      </c>
      <c r="K128" s="232">
        <f t="shared" si="8"/>
        <v>-10</v>
      </c>
      <c r="L128" s="232"/>
      <c r="M128" s="234">
        <f t="shared" si="9"/>
        <v>0</v>
      </c>
      <c r="S128" s="223"/>
      <c r="T128" s="223"/>
      <c r="U128" s="223"/>
      <c r="V128" s="223"/>
      <c r="W128" s="223"/>
      <c r="X128" s="223"/>
      <c r="Y128" s="223"/>
      <c r="Z128" s="223"/>
      <c r="AA128" s="223"/>
      <c r="AB128" s="223"/>
      <c r="AC128" s="223"/>
      <c r="AD128" s="223"/>
      <c r="AE128" s="223"/>
      <c r="AF128" s="223"/>
      <c r="AG128" s="223"/>
      <c r="AH128" s="223"/>
      <c r="AI128" s="223"/>
      <c r="AJ128" s="223"/>
      <c r="AK128" s="223"/>
      <c r="AL128" s="223"/>
    </row>
    <row r="129" spans="1:38" s="218" customFormat="1" x14ac:dyDescent="0.25">
      <c r="A129" s="98">
        <f t="shared" si="10"/>
        <v>0</v>
      </c>
      <c r="B129" s="35" t="str">
        <f t="shared" si="6"/>
        <v/>
      </c>
      <c r="C129" s="25"/>
      <c r="D129" s="25"/>
      <c r="E129" s="25"/>
      <c r="F129" s="25"/>
      <c r="H129" s="235">
        <v>124</v>
      </c>
      <c r="I129" s="236" t="str">
        <f t="shared" si="7"/>
        <v/>
      </c>
      <c r="J129" s="235">
        <f t="shared" si="11"/>
        <v>-1</v>
      </c>
      <c r="K129" s="235">
        <f t="shared" si="8"/>
        <v>-10</v>
      </c>
      <c r="L129" s="235"/>
      <c r="M129" s="237">
        <f t="shared" si="9"/>
        <v>0</v>
      </c>
      <c r="S129" s="223"/>
      <c r="T129" s="223"/>
      <c r="U129" s="223"/>
      <c r="V129" s="223"/>
      <c r="W129" s="223"/>
      <c r="X129" s="223"/>
      <c r="Y129" s="223"/>
      <c r="Z129" s="223"/>
      <c r="AA129" s="223"/>
      <c r="AB129" s="223"/>
      <c r="AC129" s="223"/>
      <c r="AD129" s="223"/>
      <c r="AE129" s="223"/>
      <c r="AF129" s="223"/>
      <c r="AG129" s="223"/>
      <c r="AH129" s="223"/>
      <c r="AI129" s="223"/>
      <c r="AJ129" s="223"/>
      <c r="AK129" s="223"/>
      <c r="AL129" s="223"/>
    </row>
    <row r="130" spans="1:38" s="218" customFormat="1" x14ac:dyDescent="0.25">
      <c r="A130" s="94">
        <f t="shared" si="10"/>
        <v>0</v>
      </c>
      <c r="B130" s="36" t="str">
        <f t="shared" si="6"/>
        <v/>
      </c>
      <c r="C130" s="24"/>
      <c r="D130" s="24"/>
      <c r="E130" s="24"/>
      <c r="F130" s="24"/>
      <c r="H130" s="232">
        <v>125</v>
      </c>
      <c r="I130" s="233" t="str">
        <f t="shared" si="7"/>
        <v/>
      </c>
      <c r="J130" s="232">
        <f t="shared" si="11"/>
        <v>-1</v>
      </c>
      <c r="K130" s="232">
        <f t="shared" si="8"/>
        <v>-10</v>
      </c>
      <c r="L130" s="232"/>
      <c r="M130" s="234">
        <f t="shared" si="9"/>
        <v>0</v>
      </c>
      <c r="S130" s="223"/>
      <c r="T130" s="223"/>
      <c r="U130" s="223"/>
      <c r="V130" s="223"/>
      <c r="W130" s="223"/>
      <c r="X130" s="223"/>
      <c r="Y130" s="223"/>
      <c r="Z130" s="223"/>
      <c r="AA130" s="223"/>
      <c r="AB130" s="223"/>
      <c r="AC130" s="223"/>
      <c r="AD130" s="223"/>
      <c r="AE130" s="223"/>
      <c r="AF130" s="223"/>
      <c r="AG130" s="223"/>
      <c r="AH130" s="223"/>
      <c r="AI130" s="223"/>
      <c r="AJ130" s="223"/>
      <c r="AK130" s="223"/>
      <c r="AL130" s="223"/>
    </row>
    <row r="131" spans="1:38" s="218" customFormat="1" x14ac:dyDescent="0.25">
      <c r="A131" s="98">
        <f t="shared" si="10"/>
        <v>0</v>
      </c>
      <c r="B131" s="35" t="str">
        <f t="shared" si="6"/>
        <v/>
      </c>
      <c r="C131" s="25"/>
      <c r="D131" s="25"/>
      <c r="E131" s="25"/>
      <c r="F131" s="25"/>
      <c r="H131" s="235">
        <v>126</v>
      </c>
      <c r="I131" s="236" t="str">
        <f t="shared" si="7"/>
        <v/>
      </c>
      <c r="J131" s="235">
        <f t="shared" si="11"/>
        <v>-1</v>
      </c>
      <c r="K131" s="235">
        <f t="shared" si="8"/>
        <v>-10</v>
      </c>
      <c r="L131" s="235"/>
      <c r="M131" s="237">
        <f t="shared" si="9"/>
        <v>0</v>
      </c>
      <c r="S131" s="223"/>
      <c r="T131" s="223"/>
      <c r="U131" s="223"/>
      <c r="V131" s="223"/>
      <c r="W131" s="223"/>
      <c r="X131" s="223"/>
      <c r="Y131" s="223"/>
      <c r="Z131" s="223"/>
      <c r="AA131" s="223"/>
      <c r="AB131" s="223"/>
      <c r="AC131" s="223"/>
      <c r="AD131" s="223"/>
      <c r="AE131" s="223"/>
      <c r="AF131" s="223"/>
      <c r="AG131" s="223"/>
      <c r="AH131" s="223"/>
      <c r="AI131" s="223"/>
      <c r="AJ131" s="223"/>
      <c r="AK131" s="223"/>
      <c r="AL131" s="223"/>
    </row>
    <row r="132" spans="1:38" s="218" customFormat="1" x14ac:dyDescent="0.25">
      <c r="A132" s="94">
        <f t="shared" si="10"/>
        <v>0</v>
      </c>
      <c r="B132" s="36" t="str">
        <f t="shared" si="6"/>
        <v/>
      </c>
      <c r="C132" s="24"/>
      <c r="D132" s="24"/>
      <c r="E132" s="24"/>
      <c r="F132" s="24"/>
      <c r="H132" s="232">
        <v>127</v>
      </c>
      <c r="I132" s="233" t="str">
        <f t="shared" si="7"/>
        <v/>
      </c>
      <c r="J132" s="232">
        <f t="shared" si="11"/>
        <v>-1</v>
      </c>
      <c r="K132" s="232">
        <f t="shared" si="8"/>
        <v>-10</v>
      </c>
      <c r="L132" s="232"/>
      <c r="M132" s="234">
        <f t="shared" si="9"/>
        <v>0</v>
      </c>
      <c r="S132" s="223"/>
      <c r="T132" s="223"/>
      <c r="U132" s="223"/>
      <c r="V132" s="223"/>
      <c r="W132" s="223"/>
      <c r="X132" s="223"/>
      <c r="Y132" s="223"/>
      <c r="Z132" s="223"/>
      <c r="AA132" s="223"/>
      <c r="AB132" s="223"/>
      <c r="AC132" s="223"/>
      <c r="AD132" s="223"/>
      <c r="AE132" s="223"/>
      <c r="AF132" s="223"/>
      <c r="AG132" s="223"/>
      <c r="AH132" s="223"/>
      <c r="AI132" s="223"/>
      <c r="AJ132" s="223"/>
      <c r="AK132" s="223"/>
      <c r="AL132" s="223"/>
    </row>
    <row r="133" spans="1:38" s="218" customFormat="1" x14ac:dyDescent="0.25">
      <c r="A133" s="98">
        <f t="shared" si="10"/>
        <v>0</v>
      </c>
      <c r="B133" s="35" t="str">
        <f t="shared" si="6"/>
        <v/>
      </c>
      <c r="C133" s="25"/>
      <c r="D133" s="25"/>
      <c r="E133" s="25"/>
      <c r="F133" s="25"/>
      <c r="H133" s="235">
        <v>128</v>
      </c>
      <c r="I133" s="236" t="str">
        <f t="shared" si="7"/>
        <v/>
      </c>
      <c r="J133" s="235">
        <f t="shared" si="11"/>
        <v>-1</v>
      </c>
      <c r="K133" s="235">
        <f t="shared" si="8"/>
        <v>-10</v>
      </c>
      <c r="L133" s="235"/>
      <c r="M133" s="237">
        <f t="shared" si="9"/>
        <v>0</v>
      </c>
      <c r="S133" s="223"/>
      <c r="T133" s="223"/>
      <c r="U133" s="223"/>
      <c r="V133" s="223"/>
      <c r="W133" s="223"/>
      <c r="X133" s="223"/>
      <c r="Y133" s="223"/>
      <c r="Z133" s="223"/>
      <c r="AA133" s="223"/>
      <c r="AB133" s="223"/>
      <c r="AC133" s="223"/>
      <c r="AD133" s="223"/>
      <c r="AE133" s="223"/>
      <c r="AF133" s="223"/>
      <c r="AG133" s="223"/>
      <c r="AH133" s="223"/>
      <c r="AI133" s="223"/>
      <c r="AJ133" s="223"/>
      <c r="AK133" s="223"/>
      <c r="AL133" s="223"/>
    </row>
    <row r="134" spans="1:38" s="218" customFormat="1" x14ac:dyDescent="0.25">
      <c r="A134" s="94">
        <f t="shared" si="10"/>
        <v>0</v>
      </c>
      <c r="B134" s="36" t="str">
        <f t="shared" ref="B134:B140" si="12">IF(H134&gt;$H$2,"",(ROW()-5))</f>
        <v/>
      </c>
      <c r="C134" s="24"/>
      <c r="D134" s="24"/>
      <c r="E134" s="24"/>
      <c r="F134" s="24"/>
      <c r="H134" s="232">
        <v>129</v>
      </c>
      <c r="I134" s="233" t="str">
        <f t="shared" ref="I134:I197" si="13">IF(H134&lt;$H$2+1,($I$2-($I$2-1)*(LOG(H134)/LOG($H$2))),"")</f>
        <v/>
      </c>
      <c r="J134" s="232">
        <f t="shared" si="11"/>
        <v>-2</v>
      </c>
      <c r="K134" s="232">
        <f t="shared" ref="K134:K197" si="14">J134*$J$2</f>
        <v>-20</v>
      </c>
      <c r="L134" s="232"/>
      <c r="M134" s="234">
        <f t="shared" ref="M134:M197" si="15">IF(I134&lt;&gt;"",K134+I134+L134,0)</f>
        <v>0</v>
      </c>
      <c r="S134" s="223"/>
      <c r="T134" s="223"/>
      <c r="U134" s="223"/>
      <c r="V134" s="223"/>
      <c r="W134" s="223"/>
      <c r="X134" s="223"/>
      <c r="Y134" s="223"/>
      <c r="Z134" s="223"/>
      <c r="AA134" s="223"/>
      <c r="AB134" s="223"/>
      <c r="AC134" s="223"/>
      <c r="AD134" s="223"/>
      <c r="AE134" s="223"/>
      <c r="AF134" s="223"/>
      <c r="AG134" s="223"/>
      <c r="AH134" s="223"/>
      <c r="AI134" s="223"/>
      <c r="AJ134" s="223"/>
      <c r="AK134" s="223"/>
      <c r="AL134" s="223"/>
    </row>
    <row r="135" spans="1:38" s="218" customFormat="1" x14ac:dyDescent="0.25">
      <c r="A135" s="98">
        <f t="shared" ref="A135:A140" si="16">M135</f>
        <v>0</v>
      </c>
      <c r="B135" s="35" t="str">
        <f t="shared" si="12"/>
        <v/>
      </c>
      <c r="C135" s="25"/>
      <c r="D135" s="25"/>
      <c r="E135" s="25"/>
      <c r="F135" s="25"/>
      <c r="H135" s="235">
        <v>130</v>
      </c>
      <c r="I135" s="236" t="str">
        <f t="shared" si="13"/>
        <v/>
      </c>
      <c r="J135" s="235">
        <f t="shared" ref="J135:J198" si="17">INT(LOG($H$2,2))-ROUNDUP(LOG(H135,2),0)+IF(OR($H$2=1,$H$2=2,$H$2=4,$H$2=8,$H$2=16,$H$2=32,$H$2=64,$H$2=128,$H$2=256),0,1)</f>
        <v>-2</v>
      </c>
      <c r="K135" s="235">
        <f t="shared" si="14"/>
        <v>-20</v>
      </c>
      <c r="L135" s="235"/>
      <c r="M135" s="237">
        <f t="shared" si="15"/>
        <v>0</v>
      </c>
      <c r="S135" s="223"/>
      <c r="T135" s="223"/>
      <c r="U135" s="223"/>
      <c r="V135" s="223"/>
      <c r="W135" s="223"/>
      <c r="X135" s="223"/>
      <c r="Y135" s="223"/>
      <c r="Z135" s="223"/>
      <c r="AA135" s="223"/>
      <c r="AB135" s="223"/>
      <c r="AC135" s="223"/>
      <c r="AD135" s="223"/>
      <c r="AE135" s="223"/>
      <c r="AF135" s="223"/>
      <c r="AG135" s="223"/>
      <c r="AH135" s="223"/>
      <c r="AI135" s="223"/>
      <c r="AJ135" s="223"/>
      <c r="AK135" s="223"/>
      <c r="AL135" s="223"/>
    </row>
    <row r="136" spans="1:38" s="218" customFormat="1" x14ac:dyDescent="0.25">
      <c r="A136" s="94">
        <f t="shared" si="16"/>
        <v>0</v>
      </c>
      <c r="B136" s="36" t="str">
        <f t="shared" si="12"/>
        <v/>
      </c>
      <c r="C136" s="24"/>
      <c r="D136" s="24"/>
      <c r="E136" s="24"/>
      <c r="F136" s="24"/>
      <c r="H136" s="232">
        <v>131</v>
      </c>
      <c r="I136" s="233" t="str">
        <f t="shared" si="13"/>
        <v/>
      </c>
      <c r="J136" s="232">
        <f t="shared" si="17"/>
        <v>-2</v>
      </c>
      <c r="K136" s="232">
        <f t="shared" si="14"/>
        <v>-20</v>
      </c>
      <c r="L136" s="232"/>
      <c r="M136" s="234">
        <f t="shared" si="15"/>
        <v>0</v>
      </c>
      <c r="S136" s="223"/>
      <c r="T136" s="223"/>
      <c r="U136" s="223"/>
      <c r="V136" s="223"/>
      <c r="W136" s="223"/>
      <c r="X136" s="223"/>
      <c r="Y136" s="223"/>
      <c r="Z136" s="223"/>
      <c r="AA136" s="223"/>
      <c r="AB136" s="223"/>
      <c r="AC136" s="223"/>
      <c r="AD136" s="223"/>
      <c r="AE136" s="223"/>
      <c r="AF136" s="223"/>
      <c r="AG136" s="223"/>
      <c r="AH136" s="223"/>
      <c r="AI136" s="223"/>
      <c r="AJ136" s="223"/>
      <c r="AK136" s="223"/>
      <c r="AL136" s="223"/>
    </row>
    <row r="137" spans="1:38" s="218" customFormat="1" x14ac:dyDescent="0.25">
      <c r="A137" s="98">
        <f t="shared" si="16"/>
        <v>0</v>
      </c>
      <c r="B137" s="35" t="str">
        <f t="shared" si="12"/>
        <v/>
      </c>
      <c r="C137" s="25"/>
      <c r="D137" s="25"/>
      <c r="E137" s="25"/>
      <c r="F137" s="25"/>
      <c r="H137" s="235">
        <v>132</v>
      </c>
      <c r="I137" s="236" t="str">
        <f t="shared" si="13"/>
        <v/>
      </c>
      <c r="J137" s="235">
        <f t="shared" si="17"/>
        <v>-2</v>
      </c>
      <c r="K137" s="235">
        <f t="shared" si="14"/>
        <v>-20</v>
      </c>
      <c r="L137" s="235"/>
      <c r="M137" s="237">
        <f t="shared" si="15"/>
        <v>0</v>
      </c>
      <c r="S137" s="223"/>
      <c r="T137" s="223"/>
      <c r="U137" s="223"/>
      <c r="V137" s="223"/>
      <c r="W137" s="223"/>
      <c r="X137" s="223"/>
      <c r="Y137" s="223"/>
      <c r="Z137" s="223"/>
      <c r="AA137" s="223"/>
      <c r="AB137" s="223"/>
      <c r="AC137" s="223"/>
      <c r="AD137" s="223"/>
      <c r="AE137" s="223"/>
      <c r="AF137" s="223"/>
      <c r="AG137" s="223"/>
      <c r="AH137" s="223"/>
      <c r="AI137" s="223"/>
      <c r="AJ137" s="223"/>
      <c r="AK137" s="223"/>
      <c r="AL137" s="223"/>
    </row>
    <row r="138" spans="1:38" s="218" customFormat="1" x14ac:dyDescent="0.25">
      <c r="A138" s="94">
        <f t="shared" si="16"/>
        <v>0</v>
      </c>
      <c r="B138" s="36" t="str">
        <f t="shared" si="12"/>
        <v/>
      </c>
      <c r="C138" s="24"/>
      <c r="D138" s="24"/>
      <c r="E138" s="24"/>
      <c r="F138" s="24"/>
      <c r="H138" s="232">
        <v>133</v>
      </c>
      <c r="I138" s="233" t="str">
        <f t="shared" si="13"/>
        <v/>
      </c>
      <c r="J138" s="232">
        <f t="shared" si="17"/>
        <v>-2</v>
      </c>
      <c r="K138" s="232">
        <f t="shared" si="14"/>
        <v>-20</v>
      </c>
      <c r="L138" s="232"/>
      <c r="M138" s="234">
        <f t="shared" si="15"/>
        <v>0</v>
      </c>
      <c r="S138" s="223"/>
      <c r="T138" s="223"/>
      <c r="U138" s="223"/>
      <c r="V138" s="223"/>
      <c r="W138" s="223"/>
      <c r="X138" s="223"/>
      <c r="Y138" s="223"/>
      <c r="Z138" s="223"/>
      <c r="AA138" s="223"/>
      <c r="AB138" s="223"/>
      <c r="AC138" s="223"/>
      <c r="AD138" s="223"/>
      <c r="AE138" s="223"/>
      <c r="AF138" s="223"/>
      <c r="AG138" s="223"/>
      <c r="AH138" s="223"/>
      <c r="AI138" s="223"/>
      <c r="AJ138" s="223"/>
      <c r="AK138" s="223"/>
      <c r="AL138" s="223"/>
    </row>
    <row r="139" spans="1:38" s="218" customFormat="1" x14ac:dyDescent="0.25">
      <c r="A139" s="98">
        <f t="shared" si="16"/>
        <v>0</v>
      </c>
      <c r="B139" s="35" t="str">
        <f t="shared" si="12"/>
        <v/>
      </c>
      <c r="C139" s="25"/>
      <c r="D139" s="25"/>
      <c r="E139" s="25"/>
      <c r="F139" s="25"/>
      <c r="H139" s="235">
        <v>134</v>
      </c>
      <c r="I139" s="236" t="str">
        <f t="shared" si="13"/>
        <v/>
      </c>
      <c r="J139" s="235">
        <f t="shared" si="17"/>
        <v>-2</v>
      </c>
      <c r="K139" s="235">
        <f t="shared" si="14"/>
        <v>-20</v>
      </c>
      <c r="L139" s="235"/>
      <c r="M139" s="237">
        <f t="shared" si="15"/>
        <v>0</v>
      </c>
      <c r="S139" s="223"/>
      <c r="T139" s="223"/>
      <c r="U139" s="223"/>
      <c r="V139" s="223"/>
      <c r="W139" s="223"/>
      <c r="X139" s="223"/>
      <c r="Y139" s="223"/>
      <c r="Z139" s="223"/>
      <c r="AA139" s="223"/>
      <c r="AB139" s="223"/>
      <c r="AC139" s="223"/>
      <c r="AD139" s="223"/>
      <c r="AE139" s="223"/>
      <c r="AF139" s="223"/>
      <c r="AG139" s="223"/>
      <c r="AH139" s="223"/>
      <c r="AI139" s="223"/>
      <c r="AJ139" s="223"/>
      <c r="AK139" s="223"/>
      <c r="AL139" s="223"/>
    </row>
    <row r="140" spans="1:38" s="218" customFormat="1" x14ac:dyDescent="0.25">
      <c r="A140" s="94">
        <f t="shared" si="16"/>
        <v>0</v>
      </c>
      <c r="B140" s="36" t="str">
        <f t="shared" si="12"/>
        <v/>
      </c>
      <c r="C140" s="24"/>
      <c r="D140" s="24"/>
      <c r="E140" s="24"/>
      <c r="F140" s="24"/>
      <c r="H140" s="232">
        <v>135</v>
      </c>
      <c r="I140" s="233" t="str">
        <f t="shared" si="13"/>
        <v/>
      </c>
      <c r="J140" s="232">
        <f t="shared" si="17"/>
        <v>-2</v>
      </c>
      <c r="K140" s="232">
        <f t="shared" si="14"/>
        <v>-20</v>
      </c>
      <c r="L140" s="232"/>
      <c r="M140" s="234">
        <f t="shared" si="15"/>
        <v>0</v>
      </c>
      <c r="S140" s="223"/>
      <c r="T140" s="223"/>
      <c r="U140" s="223"/>
      <c r="V140" s="223"/>
      <c r="W140" s="223"/>
      <c r="X140" s="223"/>
      <c r="Y140" s="223"/>
      <c r="Z140" s="223"/>
      <c r="AA140" s="223"/>
      <c r="AB140" s="223"/>
      <c r="AC140" s="223"/>
      <c r="AD140" s="223"/>
      <c r="AE140" s="223"/>
      <c r="AF140" s="223"/>
      <c r="AG140" s="223"/>
      <c r="AH140" s="223"/>
      <c r="AI140" s="223"/>
      <c r="AJ140" s="223"/>
      <c r="AK140" s="223"/>
      <c r="AL140" s="223"/>
    </row>
    <row r="141" spans="1:38" x14ac:dyDescent="0.25">
      <c r="A141" s="249"/>
      <c r="G141" s="218"/>
      <c r="H141" s="235">
        <v>136</v>
      </c>
      <c r="I141" s="233" t="str">
        <f t="shared" si="13"/>
        <v/>
      </c>
      <c r="J141" s="232">
        <f t="shared" si="17"/>
        <v>-2</v>
      </c>
      <c r="K141" s="232">
        <f t="shared" si="14"/>
        <v>-20</v>
      </c>
      <c r="L141" s="232"/>
      <c r="M141" s="234">
        <f t="shared" si="15"/>
        <v>0</v>
      </c>
    </row>
    <row r="142" spans="1:38" x14ac:dyDescent="0.25">
      <c r="A142" s="249"/>
      <c r="G142" s="218"/>
      <c r="H142" s="232">
        <v>137</v>
      </c>
      <c r="I142" s="233" t="str">
        <f t="shared" si="13"/>
        <v/>
      </c>
      <c r="J142" s="232">
        <f t="shared" si="17"/>
        <v>-2</v>
      </c>
      <c r="K142" s="232">
        <f t="shared" si="14"/>
        <v>-20</v>
      </c>
      <c r="L142" s="232"/>
      <c r="M142" s="234">
        <f t="shared" si="15"/>
        <v>0</v>
      </c>
    </row>
    <row r="143" spans="1:38" x14ac:dyDescent="0.25">
      <c r="A143" s="249"/>
      <c r="G143" s="218"/>
      <c r="H143" s="235">
        <v>138</v>
      </c>
      <c r="I143" s="233" t="str">
        <f t="shared" si="13"/>
        <v/>
      </c>
      <c r="J143" s="232">
        <f t="shared" si="17"/>
        <v>-2</v>
      </c>
      <c r="K143" s="232">
        <f t="shared" si="14"/>
        <v>-20</v>
      </c>
      <c r="L143" s="232"/>
      <c r="M143" s="234">
        <f t="shared" si="15"/>
        <v>0</v>
      </c>
    </row>
    <row r="144" spans="1:38" x14ac:dyDescent="0.25">
      <c r="A144" s="249"/>
      <c r="G144" s="218"/>
      <c r="H144" s="232">
        <v>139</v>
      </c>
      <c r="I144" s="233" t="str">
        <f t="shared" si="13"/>
        <v/>
      </c>
      <c r="J144" s="232">
        <f t="shared" si="17"/>
        <v>-2</v>
      </c>
      <c r="K144" s="232">
        <f t="shared" si="14"/>
        <v>-20</v>
      </c>
      <c r="L144" s="232"/>
      <c r="M144" s="234">
        <f t="shared" si="15"/>
        <v>0</v>
      </c>
    </row>
    <row r="145" spans="1:13" x14ac:dyDescent="0.25">
      <c r="A145" s="249"/>
      <c r="G145" s="218"/>
      <c r="H145" s="235">
        <v>140</v>
      </c>
      <c r="I145" s="233" t="str">
        <f t="shared" si="13"/>
        <v/>
      </c>
      <c r="J145" s="232">
        <f t="shared" si="17"/>
        <v>-2</v>
      </c>
      <c r="K145" s="232">
        <f t="shared" si="14"/>
        <v>-20</v>
      </c>
      <c r="L145" s="232"/>
      <c r="M145" s="234">
        <f t="shared" si="15"/>
        <v>0</v>
      </c>
    </row>
    <row r="146" spans="1:13" x14ac:dyDescent="0.25">
      <c r="A146" s="249"/>
      <c r="G146" s="218"/>
      <c r="H146" s="232">
        <v>141</v>
      </c>
      <c r="I146" s="233" t="str">
        <f t="shared" si="13"/>
        <v/>
      </c>
      <c r="J146" s="232">
        <f t="shared" si="17"/>
        <v>-2</v>
      </c>
      <c r="K146" s="232">
        <f t="shared" si="14"/>
        <v>-20</v>
      </c>
      <c r="L146" s="232"/>
      <c r="M146" s="234">
        <f t="shared" si="15"/>
        <v>0</v>
      </c>
    </row>
    <row r="147" spans="1:13" x14ac:dyDescent="0.25">
      <c r="A147" s="249"/>
      <c r="G147" s="218"/>
      <c r="H147" s="235">
        <v>142</v>
      </c>
      <c r="I147" s="233" t="str">
        <f t="shared" si="13"/>
        <v/>
      </c>
      <c r="J147" s="232">
        <f t="shared" si="17"/>
        <v>-2</v>
      </c>
      <c r="K147" s="232">
        <f t="shared" si="14"/>
        <v>-20</v>
      </c>
      <c r="L147" s="232"/>
      <c r="M147" s="234">
        <f t="shared" si="15"/>
        <v>0</v>
      </c>
    </row>
    <row r="148" spans="1:13" x14ac:dyDescent="0.25">
      <c r="A148" s="249"/>
      <c r="G148" s="218"/>
      <c r="H148" s="232">
        <v>143</v>
      </c>
      <c r="I148" s="233" t="str">
        <f t="shared" si="13"/>
        <v/>
      </c>
      <c r="J148" s="232">
        <f t="shared" si="17"/>
        <v>-2</v>
      </c>
      <c r="K148" s="232">
        <f t="shared" si="14"/>
        <v>-20</v>
      </c>
      <c r="L148" s="232"/>
      <c r="M148" s="234">
        <f t="shared" si="15"/>
        <v>0</v>
      </c>
    </row>
    <row r="149" spans="1:13" x14ac:dyDescent="0.25">
      <c r="A149" s="249"/>
      <c r="G149" s="218"/>
      <c r="H149" s="235">
        <v>144</v>
      </c>
      <c r="I149" s="233" t="str">
        <f t="shared" si="13"/>
        <v/>
      </c>
      <c r="J149" s="232">
        <f t="shared" si="17"/>
        <v>-2</v>
      </c>
      <c r="K149" s="232">
        <f t="shared" si="14"/>
        <v>-20</v>
      </c>
      <c r="L149" s="232"/>
      <c r="M149" s="234">
        <f t="shared" si="15"/>
        <v>0</v>
      </c>
    </row>
    <row r="150" spans="1:13" x14ac:dyDescent="0.25">
      <c r="A150" s="249"/>
      <c r="G150" s="218"/>
      <c r="H150" s="232">
        <v>145</v>
      </c>
      <c r="I150" s="233" t="str">
        <f t="shared" si="13"/>
        <v/>
      </c>
      <c r="J150" s="232">
        <f t="shared" si="17"/>
        <v>-2</v>
      </c>
      <c r="K150" s="232">
        <f t="shared" si="14"/>
        <v>-20</v>
      </c>
      <c r="L150" s="232"/>
      <c r="M150" s="234">
        <f t="shared" si="15"/>
        <v>0</v>
      </c>
    </row>
    <row r="151" spans="1:13" x14ac:dyDescent="0.25">
      <c r="A151" s="249"/>
      <c r="G151" s="218"/>
      <c r="H151" s="235">
        <v>146</v>
      </c>
      <c r="I151" s="233" t="str">
        <f t="shared" si="13"/>
        <v/>
      </c>
      <c r="J151" s="232">
        <f t="shared" si="17"/>
        <v>-2</v>
      </c>
      <c r="K151" s="232">
        <f t="shared" si="14"/>
        <v>-20</v>
      </c>
      <c r="L151" s="232"/>
      <c r="M151" s="234">
        <f t="shared" si="15"/>
        <v>0</v>
      </c>
    </row>
    <row r="152" spans="1:13" x14ac:dyDescent="0.25">
      <c r="A152" s="249"/>
      <c r="G152" s="218"/>
      <c r="H152" s="232">
        <v>147</v>
      </c>
      <c r="I152" s="233" t="str">
        <f t="shared" si="13"/>
        <v/>
      </c>
      <c r="J152" s="232">
        <f t="shared" si="17"/>
        <v>-2</v>
      </c>
      <c r="K152" s="232">
        <f t="shared" si="14"/>
        <v>-20</v>
      </c>
      <c r="L152" s="232"/>
      <c r="M152" s="234">
        <f t="shared" si="15"/>
        <v>0</v>
      </c>
    </row>
    <row r="153" spans="1:13" x14ac:dyDescent="0.25">
      <c r="A153" s="249"/>
      <c r="G153" s="218"/>
      <c r="H153" s="235">
        <v>148</v>
      </c>
      <c r="I153" s="233" t="str">
        <f t="shared" si="13"/>
        <v/>
      </c>
      <c r="J153" s="232">
        <f t="shared" si="17"/>
        <v>-2</v>
      </c>
      <c r="K153" s="232">
        <f t="shared" si="14"/>
        <v>-20</v>
      </c>
      <c r="L153" s="232"/>
      <c r="M153" s="234">
        <f t="shared" si="15"/>
        <v>0</v>
      </c>
    </row>
    <row r="154" spans="1:13" x14ac:dyDescent="0.25">
      <c r="A154" s="249"/>
      <c r="G154" s="218"/>
      <c r="H154" s="232">
        <v>149</v>
      </c>
      <c r="I154" s="233" t="str">
        <f t="shared" si="13"/>
        <v/>
      </c>
      <c r="J154" s="232">
        <f t="shared" si="17"/>
        <v>-2</v>
      </c>
      <c r="K154" s="232">
        <f t="shared" si="14"/>
        <v>-20</v>
      </c>
      <c r="L154" s="232"/>
      <c r="M154" s="234">
        <f t="shared" si="15"/>
        <v>0</v>
      </c>
    </row>
    <row r="155" spans="1:13" x14ac:dyDescent="0.25">
      <c r="A155" s="249"/>
      <c r="G155" s="218"/>
      <c r="H155" s="235">
        <v>150</v>
      </c>
      <c r="I155" s="233" t="str">
        <f t="shared" si="13"/>
        <v/>
      </c>
      <c r="J155" s="232">
        <f t="shared" si="17"/>
        <v>-2</v>
      </c>
      <c r="K155" s="232">
        <f t="shared" si="14"/>
        <v>-20</v>
      </c>
      <c r="L155" s="232"/>
      <c r="M155" s="234">
        <f t="shared" si="15"/>
        <v>0</v>
      </c>
    </row>
    <row r="156" spans="1:13" x14ac:dyDescent="0.25">
      <c r="A156" s="249"/>
      <c r="G156" s="218"/>
      <c r="H156" s="232">
        <v>151</v>
      </c>
      <c r="I156" s="233" t="str">
        <f t="shared" si="13"/>
        <v/>
      </c>
      <c r="J156" s="232">
        <f t="shared" si="17"/>
        <v>-2</v>
      </c>
      <c r="K156" s="232">
        <f t="shared" si="14"/>
        <v>-20</v>
      </c>
      <c r="L156" s="232"/>
      <c r="M156" s="234">
        <f t="shared" si="15"/>
        <v>0</v>
      </c>
    </row>
    <row r="157" spans="1:13" x14ac:dyDescent="0.25">
      <c r="A157" s="249"/>
      <c r="G157" s="218"/>
      <c r="H157" s="235">
        <v>152</v>
      </c>
      <c r="I157" s="233" t="str">
        <f t="shared" si="13"/>
        <v/>
      </c>
      <c r="J157" s="232">
        <f t="shared" si="17"/>
        <v>-2</v>
      </c>
      <c r="K157" s="232">
        <f t="shared" si="14"/>
        <v>-20</v>
      </c>
      <c r="L157" s="232"/>
      <c r="M157" s="234">
        <f t="shared" si="15"/>
        <v>0</v>
      </c>
    </row>
    <row r="158" spans="1:13" x14ac:dyDescent="0.25">
      <c r="A158" s="249"/>
      <c r="G158" s="218"/>
      <c r="H158" s="232">
        <v>153</v>
      </c>
      <c r="I158" s="233" t="str">
        <f t="shared" si="13"/>
        <v/>
      </c>
      <c r="J158" s="232">
        <f t="shared" si="17"/>
        <v>-2</v>
      </c>
      <c r="K158" s="232">
        <f t="shared" si="14"/>
        <v>-20</v>
      </c>
      <c r="L158" s="232"/>
      <c r="M158" s="234">
        <f t="shared" si="15"/>
        <v>0</v>
      </c>
    </row>
    <row r="159" spans="1:13" x14ac:dyDescent="0.25">
      <c r="A159" s="249"/>
      <c r="G159" s="218"/>
      <c r="H159" s="235">
        <v>154</v>
      </c>
      <c r="I159" s="233" t="str">
        <f t="shared" si="13"/>
        <v/>
      </c>
      <c r="J159" s="232">
        <f t="shared" si="17"/>
        <v>-2</v>
      </c>
      <c r="K159" s="232">
        <f t="shared" si="14"/>
        <v>-20</v>
      </c>
      <c r="L159" s="232"/>
      <c r="M159" s="234">
        <f t="shared" si="15"/>
        <v>0</v>
      </c>
    </row>
    <row r="160" spans="1:13" x14ac:dyDescent="0.25">
      <c r="A160" s="249"/>
      <c r="G160" s="218"/>
      <c r="H160" s="232">
        <v>155</v>
      </c>
      <c r="I160" s="233" t="str">
        <f t="shared" si="13"/>
        <v/>
      </c>
      <c r="J160" s="232">
        <f t="shared" si="17"/>
        <v>-2</v>
      </c>
      <c r="K160" s="232">
        <f t="shared" si="14"/>
        <v>-20</v>
      </c>
      <c r="L160" s="232"/>
      <c r="M160" s="234">
        <f t="shared" si="15"/>
        <v>0</v>
      </c>
    </row>
    <row r="161" spans="1:13" x14ac:dyDescent="0.25">
      <c r="A161" s="249"/>
      <c r="G161" s="218"/>
      <c r="H161" s="235">
        <v>156</v>
      </c>
      <c r="I161" s="233" t="str">
        <f t="shared" si="13"/>
        <v/>
      </c>
      <c r="J161" s="232">
        <f t="shared" si="17"/>
        <v>-2</v>
      </c>
      <c r="K161" s="232">
        <f t="shared" si="14"/>
        <v>-20</v>
      </c>
      <c r="L161" s="232"/>
      <c r="M161" s="234">
        <f t="shared" si="15"/>
        <v>0</v>
      </c>
    </row>
    <row r="162" spans="1:13" x14ac:dyDescent="0.25">
      <c r="A162" s="249"/>
      <c r="G162" s="218"/>
      <c r="H162" s="232">
        <v>157</v>
      </c>
      <c r="I162" s="233" t="str">
        <f t="shared" si="13"/>
        <v/>
      </c>
      <c r="J162" s="232">
        <f t="shared" si="17"/>
        <v>-2</v>
      </c>
      <c r="K162" s="232">
        <f t="shared" si="14"/>
        <v>-20</v>
      </c>
      <c r="L162" s="232"/>
      <c r="M162" s="234">
        <f t="shared" si="15"/>
        <v>0</v>
      </c>
    </row>
    <row r="163" spans="1:13" x14ac:dyDescent="0.25">
      <c r="A163" s="249"/>
      <c r="G163" s="218"/>
      <c r="H163" s="235">
        <v>158</v>
      </c>
      <c r="I163" s="233" t="str">
        <f t="shared" si="13"/>
        <v/>
      </c>
      <c r="J163" s="232">
        <f t="shared" si="17"/>
        <v>-2</v>
      </c>
      <c r="K163" s="232">
        <f t="shared" si="14"/>
        <v>-20</v>
      </c>
      <c r="L163" s="232"/>
      <c r="M163" s="234">
        <f t="shared" si="15"/>
        <v>0</v>
      </c>
    </row>
    <row r="164" spans="1:13" x14ac:dyDescent="0.25">
      <c r="A164" s="249"/>
      <c r="G164" s="218"/>
      <c r="H164" s="232">
        <v>159</v>
      </c>
      <c r="I164" s="233" t="str">
        <f t="shared" si="13"/>
        <v/>
      </c>
      <c r="J164" s="232">
        <f t="shared" si="17"/>
        <v>-2</v>
      </c>
      <c r="K164" s="232">
        <f t="shared" si="14"/>
        <v>-20</v>
      </c>
      <c r="L164" s="232"/>
      <c r="M164" s="234">
        <f t="shared" si="15"/>
        <v>0</v>
      </c>
    </row>
    <row r="165" spans="1:13" x14ac:dyDescent="0.25">
      <c r="A165" s="249"/>
      <c r="G165" s="218"/>
      <c r="H165" s="235">
        <v>160</v>
      </c>
      <c r="I165" s="233" t="str">
        <f t="shared" si="13"/>
        <v/>
      </c>
      <c r="J165" s="232">
        <f t="shared" si="17"/>
        <v>-2</v>
      </c>
      <c r="K165" s="232">
        <f t="shared" si="14"/>
        <v>-20</v>
      </c>
      <c r="L165" s="232"/>
      <c r="M165" s="234">
        <f t="shared" si="15"/>
        <v>0</v>
      </c>
    </row>
    <row r="166" spans="1:13" x14ac:dyDescent="0.25">
      <c r="A166" s="249"/>
      <c r="G166" s="218"/>
      <c r="H166" s="232">
        <v>161</v>
      </c>
      <c r="I166" s="233" t="str">
        <f t="shared" si="13"/>
        <v/>
      </c>
      <c r="J166" s="232">
        <f t="shared" si="17"/>
        <v>-2</v>
      </c>
      <c r="K166" s="232">
        <f t="shared" si="14"/>
        <v>-20</v>
      </c>
      <c r="L166" s="232"/>
      <c r="M166" s="234">
        <f t="shared" si="15"/>
        <v>0</v>
      </c>
    </row>
    <row r="167" spans="1:13" x14ac:dyDescent="0.25">
      <c r="A167" s="249"/>
      <c r="G167" s="218"/>
      <c r="H167" s="235">
        <v>162</v>
      </c>
      <c r="I167" s="233" t="str">
        <f t="shared" si="13"/>
        <v/>
      </c>
      <c r="J167" s="232">
        <f t="shared" si="17"/>
        <v>-2</v>
      </c>
      <c r="K167" s="232">
        <f t="shared" si="14"/>
        <v>-20</v>
      </c>
      <c r="L167" s="232"/>
      <c r="M167" s="234">
        <f t="shared" si="15"/>
        <v>0</v>
      </c>
    </row>
    <row r="168" spans="1:13" x14ac:dyDescent="0.25">
      <c r="A168" s="249"/>
      <c r="G168" s="218"/>
      <c r="H168" s="232">
        <v>163</v>
      </c>
      <c r="I168" s="233" t="str">
        <f t="shared" si="13"/>
        <v/>
      </c>
      <c r="J168" s="232">
        <f t="shared" si="17"/>
        <v>-2</v>
      </c>
      <c r="K168" s="232">
        <f t="shared" si="14"/>
        <v>-20</v>
      </c>
      <c r="L168" s="232"/>
      <c r="M168" s="234">
        <f t="shared" si="15"/>
        <v>0</v>
      </c>
    </row>
    <row r="169" spans="1:13" x14ac:dyDescent="0.25">
      <c r="A169" s="249"/>
      <c r="C169" s="248" t="s">
        <v>95</v>
      </c>
      <c r="G169" s="218"/>
      <c r="H169" s="235">
        <v>164</v>
      </c>
      <c r="I169" s="233" t="str">
        <f t="shared" si="13"/>
        <v/>
      </c>
      <c r="J169" s="232">
        <f t="shared" si="17"/>
        <v>-2</v>
      </c>
      <c r="K169" s="232">
        <f t="shared" si="14"/>
        <v>-20</v>
      </c>
      <c r="L169" s="232"/>
      <c r="M169" s="234">
        <f t="shared" si="15"/>
        <v>0</v>
      </c>
    </row>
    <row r="170" spans="1:13" x14ac:dyDescent="0.25">
      <c r="A170" s="249"/>
      <c r="G170" s="218"/>
      <c r="H170" s="232">
        <v>165</v>
      </c>
      <c r="I170" s="233" t="str">
        <f t="shared" si="13"/>
        <v/>
      </c>
      <c r="J170" s="232">
        <f t="shared" si="17"/>
        <v>-2</v>
      </c>
      <c r="K170" s="232">
        <f t="shared" si="14"/>
        <v>-20</v>
      </c>
      <c r="L170" s="232"/>
      <c r="M170" s="234">
        <f t="shared" si="15"/>
        <v>0</v>
      </c>
    </row>
    <row r="171" spans="1:13" x14ac:dyDescent="0.25">
      <c r="A171" s="249"/>
      <c r="G171" s="218"/>
      <c r="H171" s="235">
        <v>166</v>
      </c>
      <c r="I171" s="233" t="str">
        <f t="shared" si="13"/>
        <v/>
      </c>
      <c r="J171" s="232">
        <f t="shared" si="17"/>
        <v>-2</v>
      </c>
      <c r="K171" s="232">
        <f t="shared" si="14"/>
        <v>-20</v>
      </c>
      <c r="L171" s="232"/>
      <c r="M171" s="234">
        <f t="shared" si="15"/>
        <v>0</v>
      </c>
    </row>
    <row r="172" spans="1:13" x14ac:dyDescent="0.25">
      <c r="A172" s="249"/>
      <c r="G172" s="218"/>
      <c r="H172" s="232">
        <v>167</v>
      </c>
      <c r="I172" s="233" t="str">
        <f t="shared" si="13"/>
        <v/>
      </c>
      <c r="J172" s="232">
        <f t="shared" si="17"/>
        <v>-2</v>
      </c>
      <c r="K172" s="232">
        <f t="shared" si="14"/>
        <v>-20</v>
      </c>
      <c r="L172" s="232"/>
      <c r="M172" s="234">
        <f t="shared" si="15"/>
        <v>0</v>
      </c>
    </row>
    <row r="173" spans="1:13" x14ac:dyDescent="0.25">
      <c r="A173" s="249"/>
      <c r="G173" s="218"/>
      <c r="H173" s="235">
        <v>168</v>
      </c>
      <c r="I173" s="233" t="str">
        <f t="shared" si="13"/>
        <v/>
      </c>
      <c r="J173" s="232">
        <f t="shared" si="17"/>
        <v>-2</v>
      </c>
      <c r="K173" s="232">
        <f t="shared" si="14"/>
        <v>-20</v>
      </c>
      <c r="L173" s="232"/>
      <c r="M173" s="234">
        <f t="shared" si="15"/>
        <v>0</v>
      </c>
    </row>
    <row r="174" spans="1:13" x14ac:dyDescent="0.25">
      <c r="A174" s="249"/>
      <c r="G174" s="218"/>
      <c r="H174" s="232">
        <v>169</v>
      </c>
      <c r="I174" s="233" t="str">
        <f t="shared" si="13"/>
        <v/>
      </c>
      <c r="J174" s="232">
        <f t="shared" si="17"/>
        <v>-2</v>
      </c>
      <c r="K174" s="232">
        <f t="shared" si="14"/>
        <v>-20</v>
      </c>
      <c r="L174" s="232"/>
      <c r="M174" s="234">
        <f t="shared" si="15"/>
        <v>0</v>
      </c>
    </row>
    <row r="175" spans="1:13" x14ac:dyDescent="0.25">
      <c r="A175" s="249"/>
      <c r="G175" s="218"/>
      <c r="H175" s="235">
        <v>170</v>
      </c>
      <c r="I175" s="233" t="str">
        <f t="shared" si="13"/>
        <v/>
      </c>
      <c r="J175" s="232">
        <f t="shared" si="17"/>
        <v>-2</v>
      </c>
      <c r="K175" s="232">
        <f t="shared" si="14"/>
        <v>-20</v>
      </c>
      <c r="L175" s="232"/>
      <c r="M175" s="234">
        <f t="shared" si="15"/>
        <v>0</v>
      </c>
    </row>
    <row r="176" spans="1:13" x14ac:dyDescent="0.25">
      <c r="A176" s="249"/>
      <c r="G176" s="218"/>
      <c r="H176" s="232">
        <v>171</v>
      </c>
      <c r="I176" s="233" t="str">
        <f t="shared" si="13"/>
        <v/>
      </c>
      <c r="J176" s="232">
        <f t="shared" si="17"/>
        <v>-2</v>
      </c>
      <c r="K176" s="232">
        <f t="shared" si="14"/>
        <v>-20</v>
      </c>
      <c r="L176" s="232"/>
      <c r="M176" s="234">
        <f t="shared" si="15"/>
        <v>0</v>
      </c>
    </row>
    <row r="177" spans="1:13" x14ac:dyDescent="0.25">
      <c r="A177" s="249"/>
      <c r="G177" s="218"/>
      <c r="H177" s="235">
        <v>172</v>
      </c>
      <c r="I177" s="233" t="str">
        <f t="shared" si="13"/>
        <v/>
      </c>
      <c r="J177" s="232">
        <f t="shared" si="17"/>
        <v>-2</v>
      </c>
      <c r="K177" s="232">
        <f t="shared" si="14"/>
        <v>-20</v>
      </c>
      <c r="L177" s="232"/>
      <c r="M177" s="234">
        <f t="shared" si="15"/>
        <v>0</v>
      </c>
    </row>
    <row r="178" spans="1:13" x14ac:dyDescent="0.25">
      <c r="A178" s="249"/>
      <c r="G178" s="218"/>
      <c r="H178" s="232">
        <v>173</v>
      </c>
      <c r="I178" s="233" t="str">
        <f t="shared" si="13"/>
        <v/>
      </c>
      <c r="J178" s="232">
        <f t="shared" si="17"/>
        <v>-2</v>
      </c>
      <c r="K178" s="232">
        <f t="shared" si="14"/>
        <v>-20</v>
      </c>
      <c r="L178" s="232"/>
      <c r="M178" s="234">
        <f t="shared" si="15"/>
        <v>0</v>
      </c>
    </row>
    <row r="179" spans="1:13" x14ac:dyDescent="0.25">
      <c r="A179" s="249"/>
      <c r="G179" s="218"/>
      <c r="H179" s="235">
        <v>174</v>
      </c>
      <c r="I179" s="233" t="str">
        <f t="shared" si="13"/>
        <v/>
      </c>
      <c r="J179" s="232">
        <f t="shared" si="17"/>
        <v>-2</v>
      </c>
      <c r="K179" s="232">
        <f t="shared" si="14"/>
        <v>-20</v>
      </c>
      <c r="L179" s="232"/>
      <c r="M179" s="234">
        <f t="shared" si="15"/>
        <v>0</v>
      </c>
    </row>
    <row r="180" spans="1:13" x14ac:dyDescent="0.25">
      <c r="A180" s="249"/>
      <c r="G180" s="218"/>
      <c r="H180" s="232">
        <v>175</v>
      </c>
      <c r="I180" s="233" t="str">
        <f t="shared" si="13"/>
        <v/>
      </c>
      <c r="J180" s="232">
        <f t="shared" si="17"/>
        <v>-2</v>
      </c>
      <c r="K180" s="232">
        <f t="shared" si="14"/>
        <v>-20</v>
      </c>
      <c r="L180" s="232"/>
      <c r="M180" s="234">
        <f t="shared" si="15"/>
        <v>0</v>
      </c>
    </row>
    <row r="181" spans="1:13" x14ac:dyDescent="0.25">
      <c r="A181" s="249"/>
      <c r="G181" s="218"/>
      <c r="H181" s="235">
        <v>176</v>
      </c>
      <c r="I181" s="233" t="str">
        <f t="shared" si="13"/>
        <v/>
      </c>
      <c r="J181" s="232">
        <f t="shared" si="17"/>
        <v>-2</v>
      </c>
      <c r="K181" s="232">
        <f t="shared" si="14"/>
        <v>-20</v>
      </c>
      <c r="L181" s="232"/>
      <c r="M181" s="234">
        <f t="shared" si="15"/>
        <v>0</v>
      </c>
    </row>
    <row r="182" spans="1:13" x14ac:dyDescent="0.25">
      <c r="A182" s="249"/>
      <c r="G182" s="218"/>
      <c r="H182" s="232">
        <v>177</v>
      </c>
      <c r="I182" s="233" t="str">
        <f t="shared" si="13"/>
        <v/>
      </c>
      <c r="J182" s="232">
        <f t="shared" si="17"/>
        <v>-2</v>
      </c>
      <c r="K182" s="232">
        <f t="shared" si="14"/>
        <v>-20</v>
      </c>
      <c r="L182" s="232"/>
      <c r="M182" s="234">
        <f t="shared" si="15"/>
        <v>0</v>
      </c>
    </row>
    <row r="183" spans="1:13" x14ac:dyDescent="0.25">
      <c r="A183" s="249"/>
      <c r="G183" s="218"/>
      <c r="H183" s="235">
        <v>178</v>
      </c>
      <c r="I183" s="233" t="str">
        <f t="shared" si="13"/>
        <v/>
      </c>
      <c r="J183" s="232">
        <f t="shared" si="17"/>
        <v>-2</v>
      </c>
      <c r="K183" s="232">
        <f t="shared" si="14"/>
        <v>-20</v>
      </c>
      <c r="L183" s="232"/>
      <c r="M183" s="234">
        <f t="shared" si="15"/>
        <v>0</v>
      </c>
    </row>
    <row r="184" spans="1:13" x14ac:dyDescent="0.25">
      <c r="A184" s="249"/>
      <c r="G184" s="218"/>
      <c r="H184" s="232">
        <v>179</v>
      </c>
      <c r="I184" s="233" t="str">
        <f t="shared" si="13"/>
        <v/>
      </c>
      <c r="J184" s="232">
        <f t="shared" si="17"/>
        <v>-2</v>
      </c>
      <c r="K184" s="232">
        <f t="shared" si="14"/>
        <v>-20</v>
      </c>
      <c r="L184" s="232"/>
      <c r="M184" s="234">
        <f t="shared" si="15"/>
        <v>0</v>
      </c>
    </row>
    <row r="185" spans="1:13" x14ac:dyDescent="0.25">
      <c r="A185" s="249"/>
      <c r="G185" s="218"/>
      <c r="H185" s="235">
        <v>180</v>
      </c>
      <c r="I185" s="233" t="str">
        <f t="shared" si="13"/>
        <v/>
      </c>
      <c r="J185" s="232">
        <f t="shared" si="17"/>
        <v>-2</v>
      </c>
      <c r="K185" s="232">
        <f t="shared" si="14"/>
        <v>-20</v>
      </c>
      <c r="L185" s="232"/>
      <c r="M185" s="234">
        <f t="shared" si="15"/>
        <v>0</v>
      </c>
    </row>
    <row r="186" spans="1:13" x14ac:dyDescent="0.25">
      <c r="A186" s="249"/>
      <c r="G186" s="218"/>
      <c r="H186" s="232">
        <v>181</v>
      </c>
      <c r="I186" s="233" t="str">
        <f t="shared" si="13"/>
        <v/>
      </c>
      <c r="J186" s="232">
        <f t="shared" si="17"/>
        <v>-2</v>
      </c>
      <c r="K186" s="232">
        <f t="shared" si="14"/>
        <v>-20</v>
      </c>
      <c r="L186" s="232"/>
      <c r="M186" s="234">
        <f t="shared" si="15"/>
        <v>0</v>
      </c>
    </row>
    <row r="187" spans="1:13" x14ac:dyDescent="0.25">
      <c r="A187" s="249"/>
      <c r="G187" s="218"/>
      <c r="H187" s="235">
        <v>182</v>
      </c>
      <c r="I187" s="233" t="str">
        <f t="shared" si="13"/>
        <v/>
      </c>
      <c r="J187" s="232">
        <f t="shared" si="17"/>
        <v>-2</v>
      </c>
      <c r="K187" s="232">
        <f t="shared" si="14"/>
        <v>-20</v>
      </c>
      <c r="L187" s="232"/>
      <c r="M187" s="234">
        <f t="shared" si="15"/>
        <v>0</v>
      </c>
    </row>
    <row r="188" spans="1:13" x14ac:dyDescent="0.25">
      <c r="A188" s="249"/>
      <c r="G188" s="218"/>
      <c r="H188" s="232">
        <v>183</v>
      </c>
      <c r="I188" s="233" t="str">
        <f t="shared" si="13"/>
        <v/>
      </c>
      <c r="J188" s="232">
        <f t="shared" si="17"/>
        <v>-2</v>
      </c>
      <c r="K188" s="232">
        <f t="shared" si="14"/>
        <v>-20</v>
      </c>
      <c r="L188" s="232"/>
      <c r="M188" s="234">
        <f t="shared" si="15"/>
        <v>0</v>
      </c>
    </row>
    <row r="189" spans="1:13" x14ac:dyDescent="0.25">
      <c r="A189" s="249"/>
      <c r="G189" s="218"/>
      <c r="H189" s="235">
        <v>184</v>
      </c>
      <c r="I189" s="233" t="str">
        <f t="shared" si="13"/>
        <v/>
      </c>
      <c r="J189" s="232">
        <f t="shared" si="17"/>
        <v>-2</v>
      </c>
      <c r="K189" s="232">
        <f t="shared" si="14"/>
        <v>-20</v>
      </c>
      <c r="L189" s="232"/>
      <c r="M189" s="234">
        <f t="shared" si="15"/>
        <v>0</v>
      </c>
    </row>
    <row r="190" spans="1:13" x14ac:dyDescent="0.25">
      <c r="A190" s="249"/>
      <c r="G190" s="218"/>
      <c r="H190" s="232">
        <v>185</v>
      </c>
      <c r="I190" s="233" t="str">
        <f t="shared" si="13"/>
        <v/>
      </c>
      <c r="J190" s="232">
        <f t="shared" si="17"/>
        <v>-2</v>
      </c>
      <c r="K190" s="232">
        <f t="shared" si="14"/>
        <v>-20</v>
      </c>
      <c r="L190" s="232"/>
      <c r="M190" s="234">
        <f t="shared" si="15"/>
        <v>0</v>
      </c>
    </row>
    <row r="191" spans="1:13" x14ac:dyDescent="0.25">
      <c r="A191" s="249"/>
      <c r="G191" s="218"/>
      <c r="H191" s="235">
        <v>186</v>
      </c>
      <c r="I191" s="233" t="str">
        <f t="shared" si="13"/>
        <v/>
      </c>
      <c r="J191" s="232">
        <f t="shared" si="17"/>
        <v>-2</v>
      </c>
      <c r="K191" s="232">
        <f t="shared" si="14"/>
        <v>-20</v>
      </c>
      <c r="L191" s="232"/>
      <c r="M191" s="234">
        <f t="shared" si="15"/>
        <v>0</v>
      </c>
    </row>
    <row r="192" spans="1:13" x14ac:dyDescent="0.25">
      <c r="A192" s="249"/>
      <c r="G192" s="218"/>
      <c r="H192" s="232">
        <v>187</v>
      </c>
      <c r="I192" s="233" t="str">
        <f t="shared" si="13"/>
        <v/>
      </c>
      <c r="J192" s="232">
        <f t="shared" si="17"/>
        <v>-2</v>
      </c>
      <c r="K192" s="232">
        <f t="shared" si="14"/>
        <v>-20</v>
      </c>
      <c r="L192" s="232"/>
      <c r="M192" s="234">
        <f t="shared" si="15"/>
        <v>0</v>
      </c>
    </row>
    <row r="193" spans="1:13" x14ac:dyDescent="0.25">
      <c r="A193" s="249"/>
      <c r="G193" s="218"/>
      <c r="H193" s="235">
        <v>188</v>
      </c>
      <c r="I193" s="233" t="str">
        <f t="shared" si="13"/>
        <v/>
      </c>
      <c r="J193" s="232">
        <f t="shared" si="17"/>
        <v>-2</v>
      </c>
      <c r="K193" s="232">
        <f t="shared" si="14"/>
        <v>-20</v>
      </c>
      <c r="L193" s="232"/>
      <c r="M193" s="234">
        <f t="shared" si="15"/>
        <v>0</v>
      </c>
    </row>
    <row r="194" spans="1:13" x14ac:dyDescent="0.25">
      <c r="A194" s="249"/>
      <c r="G194" s="218"/>
      <c r="H194" s="232">
        <v>189</v>
      </c>
      <c r="I194" s="233" t="str">
        <f t="shared" si="13"/>
        <v/>
      </c>
      <c r="J194" s="232">
        <f t="shared" si="17"/>
        <v>-2</v>
      </c>
      <c r="K194" s="232">
        <f t="shared" si="14"/>
        <v>-20</v>
      </c>
      <c r="L194" s="232"/>
      <c r="M194" s="234">
        <f t="shared" si="15"/>
        <v>0</v>
      </c>
    </row>
    <row r="195" spans="1:13" x14ac:dyDescent="0.25">
      <c r="A195" s="249"/>
      <c r="G195" s="218"/>
      <c r="H195" s="235">
        <v>190</v>
      </c>
      <c r="I195" s="233" t="str">
        <f t="shared" si="13"/>
        <v/>
      </c>
      <c r="J195" s="232">
        <f t="shared" si="17"/>
        <v>-2</v>
      </c>
      <c r="K195" s="232">
        <f t="shared" si="14"/>
        <v>-20</v>
      </c>
      <c r="L195" s="232"/>
      <c r="M195" s="234">
        <f t="shared" si="15"/>
        <v>0</v>
      </c>
    </row>
    <row r="196" spans="1:13" x14ac:dyDescent="0.25">
      <c r="A196" s="249"/>
      <c r="G196" s="218"/>
      <c r="H196" s="232">
        <v>191</v>
      </c>
      <c r="I196" s="233" t="str">
        <f t="shared" si="13"/>
        <v/>
      </c>
      <c r="J196" s="232">
        <f t="shared" si="17"/>
        <v>-2</v>
      </c>
      <c r="K196" s="232">
        <f t="shared" si="14"/>
        <v>-20</v>
      </c>
      <c r="L196" s="232"/>
      <c r="M196" s="234">
        <f t="shared" si="15"/>
        <v>0</v>
      </c>
    </row>
    <row r="197" spans="1:13" x14ac:dyDescent="0.25">
      <c r="A197" s="249"/>
      <c r="G197" s="218"/>
      <c r="H197" s="235">
        <v>192</v>
      </c>
      <c r="I197" s="233" t="str">
        <f t="shared" si="13"/>
        <v/>
      </c>
      <c r="J197" s="232">
        <f t="shared" si="17"/>
        <v>-2</v>
      </c>
      <c r="K197" s="232">
        <f t="shared" si="14"/>
        <v>-20</v>
      </c>
      <c r="L197" s="232"/>
      <c r="M197" s="234">
        <f t="shared" si="15"/>
        <v>0</v>
      </c>
    </row>
    <row r="198" spans="1:13" x14ac:dyDescent="0.25">
      <c r="A198" s="249"/>
      <c r="G198" s="218"/>
      <c r="H198" s="232">
        <v>193</v>
      </c>
      <c r="I198" s="233" t="str">
        <f t="shared" ref="I198:I261" si="18">IF(H198&lt;$H$2+1,($I$2-($I$2-1)*(LOG(H198)/LOG($H$2))),"")</f>
        <v/>
      </c>
      <c r="J198" s="232">
        <f t="shared" si="17"/>
        <v>-2</v>
      </c>
      <c r="K198" s="232">
        <f t="shared" ref="K198:K261" si="19">J198*$J$2</f>
        <v>-20</v>
      </c>
      <c r="L198" s="232"/>
      <c r="M198" s="234">
        <f t="shared" ref="M198:M261" si="20">IF(I198&lt;&gt;"",K198+I198+L198,0)</f>
        <v>0</v>
      </c>
    </row>
    <row r="199" spans="1:13" x14ac:dyDescent="0.25">
      <c r="A199" s="249"/>
      <c r="G199" s="218"/>
      <c r="H199" s="235">
        <v>194</v>
      </c>
      <c r="I199" s="233" t="str">
        <f t="shared" si="18"/>
        <v/>
      </c>
      <c r="J199" s="232">
        <f t="shared" ref="J199:J262" si="21">INT(LOG($H$2,2))-ROUNDUP(LOG(H199,2),0)+IF(OR($H$2=1,$H$2=2,$H$2=4,$H$2=8,$H$2=16,$H$2=32,$H$2=64,$H$2=128,$H$2=256),0,1)</f>
        <v>-2</v>
      </c>
      <c r="K199" s="232">
        <f t="shared" si="19"/>
        <v>-20</v>
      </c>
      <c r="L199" s="232"/>
      <c r="M199" s="234">
        <f t="shared" si="20"/>
        <v>0</v>
      </c>
    </row>
    <row r="200" spans="1:13" x14ac:dyDescent="0.25">
      <c r="A200" s="249"/>
      <c r="G200" s="218"/>
      <c r="H200" s="232">
        <v>195</v>
      </c>
      <c r="I200" s="233" t="str">
        <f t="shared" si="18"/>
        <v/>
      </c>
      <c r="J200" s="232">
        <f t="shared" si="21"/>
        <v>-2</v>
      </c>
      <c r="K200" s="232">
        <f t="shared" si="19"/>
        <v>-20</v>
      </c>
      <c r="L200" s="232"/>
      <c r="M200" s="234">
        <f t="shared" si="20"/>
        <v>0</v>
      </c>
    </row>
    <row r="201" spans="1:13" x14ac:dyDescent="0.25">
      <c r="A201" s="249"/>
      <c r="G201" s="218"/>
      <c r="H201" s="235">
        <v>196</v>
      </c>
      <c r="I201" s="233" t="str">
        <f t="shared" si="18"/>
        <v/>
      </c>
      <c r="J201" s="232">
        <f t="shared" si="21"/>
        <v>-2</v>
      </c>
      <c r="K201" s="232">
        <f t="shared" si="19"/>
        <v>-20</v>
      </c>
      <c r="L201" s="232"/>
      <c r="M201" s="234">
        <f t="shared" si="20"/>
        <v>0</v>
      </c>
    </row>
    <row r="202" spans="1:13" x14ac:dyDescent="0.25">
      <c r="A202" s="249"/>
      <c r="G202" s="218"/>
      <c r="H202" s="232">
        <v>197</v>
      </c>
      <c r="I202" s="233" t="str">
        <f t="shared" si="18"/>
        <v/>
      </c>
      <c r="J202" s="232">
        <f t="shared" si="21"/>
        <v>-2</v>
      </c>
      <c r="K202" s="232">
        <f t="shared" si="19"/>
        <v>-20</v>
      </c>
      <c r="L202" s="232"/>
      <c r="M202" s="234">
        <f t="shared" si="20"/>
        <v>0</v>
      </c>
    </row>
    <row r="203" spans="1:13" x14ac:dyDescent="0.25">
      <c r="A203" s="249"/>
      <c r="G203" s="218"/>
      <c r="H203" s="235">
        <v>198</v>
      </c>
      <c r="I203" s="233" t="str">
        <f t="shared" si="18"/>
        <v/>
      </c>
      <c r="J203" s="232">
        <f t="shared" si="21"/>
        <v>-2</v>
      </c>
      <c r="K203" s="232">
        <f t="shared" si="19"/>
        <v>-20</v>
      </c>
      <c r="L203" s="232"/>
      <c r="M203" s="234">
        <f t="shared" si="20"/>
        <v>0</v>
      </c>
    </row>
    <row r="204" spans="1:13" x14ac:dyDescent="0.25">
      <c r="A204" s="249"/>
      <c r="G204" s="218"/>
      <c r="H204" s="232">
        <v>199</v>
      </c>
      <c r="I204" s="233" t="str">
        <f t="shared" si="18"/>
        <v/>
      </c>
      <c r="J204" s="232">
        <f t="shared" si="21"/>
        <v>-2</v>
      </c>
      <c r="K204" s="232">
        <f t="shared" si="19"/>
        <v>-20</v>
      </c>
      <c r="L204" s="232"/>
      <c r="M204" s="234">
        <f t="shared" si="20"/>
        <v>0</v>
      </c>
    </row>
    <row r="205" spans="1:13" x14ac:dyDescent="0.25">
      <c r="A205" s="249"/>
      <c r="G205" s="218"/>
      <c r="H205" s="235">
        <v>200</v>
      </c>
      <c r="I205" s="233" t="str">
        <f t="shared" si="18"/>
        <v/>
      </c>
      <c r="J205" s="232">
        <f t="shared" si="21"/>
        <v>-2</v>
      </c>
      <c r="K205" s="232">
        <f t="shared" si="19"/>
        <v>-20</v>
      </c>
      <c r="L205" s="232"/>
      <c r="M205" s="234">
        <f t="shared" si="20"/>
        <v>0</v>
      </c>
    </row>
    <row r="206" spans="1:13" x14ac:dyDescent="0.25">
      <c r="A206" s="249"/>
      <c r="G206" s="218"/>
      <c r="H206" s="232">
        <v>201</v>
      </c>
      <c r="I206" s="233" t="str">
        <f t="shared" si="18"/>
        <v/>
      </c>
      <c r="J206" s="232">
        <f t="shared" si="21"/>
        <v>-2</v>
      </c>
      <c r="K206" s="232">
        <f t="shared" si="19"/>
        <v>-20</v>
      </c>
      <c r="L206" s="232"/>
      <c r="M206" s="234">
        <f t="shared" si="20"/>
        <v>0</v>
      </c>
    </row>
    <row r="207" spans="1:13" x14ac:dyDescent="0.25">
      <c r="A207" s="249"/>
      <c r="G207" s="218"/>
      <c r="H207" s="235">
        <v>202</v>
      </c>
      <c r="I207" s="233" t="str">
        <f t="shared" si="18"/>
        <v/>
      </c>
      <c r="J207" s="232">
        <f t="shared" si="21"/>
        <v>-2</v>
      </c>
      <c r="K207" s="232">
        <f t="shared" si="19"/>
        <v>-20</v>
      </c>
      <c r="L207" s="232"/>
      <c r="M207" s="234">
        <f t="shared" si="20"/>
        <v>0</v>
      </c>
    </row>
    <row r="208" spans="1:13" x14ac:dyDescent="0.25">
      <c r="A208" s="249"/>
      <c r="G208" s="218"/>
      <c r="H208" s="232">
        <v>203</v>
      </c>
      <c r="I208" s="233" t="str">
        <f t="shared" si="18"/>
        <v/>
      </c>
      <c r="J208" s="232">
        <f t="shared" si="21"/>
        <v>-2</v>
      </c>
      <c r="K208" s="232">
        <f t="shared" si="19"/>
        <v>-20</v>
      </c>
      <c r="L208" s="232"/>
      <c r="M208" s="234">
        <f t="shared" si="20"/>
        <v>0</v>
      </c>
    </row>
    <row r="209" spans="1:13" x14ac:dyDescent="0.25">
      <c r="A209" s="249"/>
      <c r="G209" s="218"/>
      <c r="H209" s="235">
        <v>204</v>
      </c>
      <c r="I209" s="233" t="str">
        <f t="shared" si="18"/>
        <v/>
      </c>
      <c r="J209" s="232">
        <f t="shared" si="21"/>
        <v>-2</v>
      </c>
      <c r="K209" s="232">
        <f t="shared" si="19"/>
        <v>-20</v>
      </c>
      <c r="L209" s="232"/>
      <c r="M209" s="234">
        <f t="shared" si="20"/>
        <v>0</v>
      </c>
    </row>
    <row r="210" spans="1:13" x14ac:dyDescent="0.25">
      <c r="A210" s="249"/>
      <c r="G210" s="218"/>
      <c r="H210" s="232">
        <v>205</v>
      </c>
      <c r="I210" s="233" t="str">
        <f t="shared" si="18"/>
        <v/>
      </c>
      <c r="J210" s="232">
        <f t="shared" si="21"/>
        <v>-2</v>
      </c>
      <c r="K210" s="232">
        <f t="shared" si="19"/>
        <v>-20</v>
      </c>
      <c r="L210" s="232"/>
      <c r="M210" s="234">
        <f t="shared" si="20"/>
        <v>0</v>
      </c>
    </row>
    <row r="211" spans="1:13" x14ac:dyDescent="0.25">
      <c r="A211" s="249"/>
      <c r="G211" s="218"/>
      <c r="H211" s="235">
        <v>206</v>
      </c>
      <c r="I211" s="233" t="str">
        <f t="shared" si="18"/>
        <v/>
      </c>
      <c r="J211" s="232">
        <f t="shared" si="21"/>
        <v>-2</v>
      </c>
      <c r="K211" s="232">
        <f t="shared" si="19"/>
        <v>-20</v>
      </c>
      <c r="L211" s="232"/>
      <c r="M211" s="234">
        <f t="shared" si="20"/>
        <v>0</v>
      </c>
    </row>
    <row r="212" spans="1:13" x14ac:dyDescent="0.25">
      <c r="A212" s="249"/>
      <c r="G212" s="218"/>
      <c r="H212" s="232">
        <v>207</v>
      </c>
      <c r="I212" s="233" t="str">
        <f t="shared" si="18"/>
        <v/>
      </c>
      <c r="J212" s="232">
        <f t="shared" si="21"/>
        <v>-2</v>
      </c>
      <c r="K212" s="232">
        <f t="shared" si="19"/>
        <v>-20</v>
      </c>
      <c r="L212" s="232"/>
      <c r="M212" s="234">
        <f t="shared" si="20"/>
        <v>0</v>
      </c>
    </row>
    <row r="213" spans="1:13" x14ac:dyDescent="0.25">
      <c r="A213" s="249"/>
      <c r="G213" s="218"/>
      <c r="H213" s="235">
        <v>208</v>
      </c>
      <c r="I213" s="233" t="str">
        <f t="shared" si="18"/>
        <v/>
      </c>
      <c r="J213" s="232">
        <f t="shared" si="21"/>
        <v>-2</v>
      </c>
      <c r="K213" s="232">
        <f t="shared" si="19"/>
        <v>-20</v>
      </c>
      <c r="L213" s="232"/>
      <c r="M213" s="234">
        <f t="shared" si="20"/>
        <v>0</v>
      </c>
    </row>
    <row r="214" spans="1:13" x14ac:dyDescent="0.25">
      <c r="A214" s="249"/>
      <c r="G214" s="218"/>
      <c r="H214" s="232">
        <v>209</v>
      </c>
      <c r="I214" s="233" t="str">
        <f t="shared" si="18"/>
        <v/>
      </c>
      <c r="J214" s="232">
        <f t="shared" si="21"/>
        <v>-2</v>
      </c>
      <c r="K214" s="232">
        <f t="shared" si="19"/>
        <v>-20</v>
      </c>
      <c r="L214" s="232"/>
      <c r="M214" s="234">
        <f t="shared" si="20"/>
        <v>0</v>
      </c>
    </row>
    <row r="215" spans="1:13" x14ac:dyDescent="0.25">
      <c r="A215" s="249"/>
      <c r="G215" s="218"/>
      <c r="H215" s="235">
        <v>210</v>
      </c>
      <c r="I215" s="233" t="str">
        <f t="shared" si="18"/>
        <v/>
      </c>
      <c r="J215" s="232">
        <f t="shared" si="21"/>
        <v>-2</v>
      </c>
      <c r="K215" s="232">
        <f t="shared" si="19"/>
        <v>-20</v>
      </c>
      <c r="L215" s="232"/>
      <c r="M215" s="234">
        <f t="shared" si="20"/>
        <v>0</v>
      </c>
    </row>
    <row r="216" spans="1:13" x14ac:dyDescent="0.25">
      <c r="A216" s="249"/>
      <c r="G216" s="218"/>
      <c r="H216" s="232">
        <v>211</v>
      </c>
      <c r="I216" s="233" t="str">
        <f t="shared" si="18"/>
        <v/>
      </c>
      <c r="J216" s="232">
        <f t="shared" si="21"/>
        <v>-2</v>
      </c>
      <c r="K216" s="232">
        <f t="shared" si="19"/>
        <v>-20</v>
      </c>
      <c r="L216" s="232"/>
      <c r="M216" s="234">
        <f t="shared" si="20"/>
        <v>0</v>
      </c>
    </row>
    <row r="217" spans="1:13" x14ac:dyDescent="0.25">
      <c r="A217" s="249"/>
      <c r="G217" s="218"/>
      <c r="H217" s="235">
        <v>212</v>
      </c>
      <c r="I217" s="233" t="str">
        <f t="shared" si="18"/>
        <v/>
      </c>
      <c r="J217" s="232">
        <f t="shared" si="21"/>
        <v>-2</v>
      </c>
      <c r="K217" s="232">
        <f t="shared" si="19"/>
        <v>-20</v>
      </c>
      <c r="L217" s="232"/>
      <c r="M217" s="234">
        <f t="shared" si="20"/>
        <v>0</v>
      </c>
    </row>
    <row r="218" spans="1:13" x14ac:dyDescent="0.25">
      <c r="A218" s="249"/>
      <c r="G218" s="218"/>
      <c r="H218" s="232">
        <v>213</v>
      </c>
      <c r="I218" s="233" t="str">
        <f t="shared" si="18"/>
        <v/>
      </c>
      <c r="J218" s="232">
        <f t="shared" si="21"/>
        <v>-2</v>
      </c>
      <c r="K218" s="232">
        <f t="shared" si="19"/>
        <v>-20</v>
      </c>
      <c r="L218" s="232"/>
      <c r="M218" s="234">
        <f t="shared" si="20"/>
        <v>0</v>
      </c>
    </row>
    <row r="219" spans="1:13" x14ac:dyDescent="0.25">
      <c r="A219" s="249"/>
      <c r="G219" s="218"/>
      <c r="H219" s="235">
        <v>214</v>
      </c>
      <c r="I219" s="233" t="str">
        <f t="shared" si="18"/>
        <v/>
      </c>
      <c r="J219" s="232">
        <f t="shared" si="21"/>
        <v>-2</v>
      </c>
      <c r="K219" s="232">
        <f t="shared" si="19"/>
        <v>-20</v>
      </c>
      <c r="L219" s="232"/>
      <c r="M219" s="234">
        <f t="shared" si="20"/>
        <v>0</v>
      </c>
    </row>
    <row r="220" spans="1:13" x14ac:dyDescent="0.25">
      <c r="A220" s="249"/>
      <c r="G220" s="218"/>
      <c r="H220" s="232">
        <v>215</v>
      </c>
      <c r="I220" s="233" t="str">
        <f t="shared" si="18"/>
        <v/>
      </c>
      <c r="J220" s="232">
        <f t="shared" si="21"/>
        <v>-2</v>
      </c>
      <c r="K220" s="232">
        <f t="shared" si="19"/>
        <v>-20</v>
      </c>
      <c r="L220" s="232"/>
      <c r="M220" s="234">
        <f t="shared" si="20"/>
        <v>0</v>
      </c>
    </row>
    <row r="221" spans="1:13" x14ac:dyDescent="0.25">
      <c r="A221" s="249"/>
      <c r="G221" s="218"/>
      <c r="H221" s="235">
        <v>216</v>
      </c>
      <c r="I221" s="233" t="str">
        <f t="shared" si="18"/>
        <v/>
      </c>
      <c r="J221" s="232">
        <f t="shared" si="21"/>
        <v>-2</v>
      </c>
      <c r="K221" s="232">
        <f t="shared" si="19"/>
        <v>-20</v>
      </c>
      <c r="L221" s="232"/>
      <c r="M221" s="234">
        <f t="shared" si="20"/>
        <v>0</v>
      </c>
    </row>
    <row r="222" spans="1:13" x14ac:dyDescent="0.25">
      <c r="A222" s="249"/>
      <c r="G222" s="218"/>
      <c r="H222" s="232">
        <v>217</v>
      </c>
      <c r="I222" s="233" t="str">
        <f t="shared" si="18"/>
        <v/>
      </c>
      <c r="J222" s="232">
        <f t="shared" si="21"/>
        <v>-2</v>
      </c>
      <c r="K222" s="232">
        <f t="shared" si="19"/>
        <v>-20</v>
      </c>
      <c r="L222" s="232"/>
      <c r="M222" s="234">
        <f t="shared" si="20"/>
        <v>0</v>
      </c>
    </row>
    <row r="223" spans="1:13" x14ac:dyDescent="0.25">
      <c r="A223" s="249"/>
      <c r="G223" s="218"/>
      <c r="H223" s="235">
        <v>218</v>
      </c>
      <c r="I223" s="233" t="str">
        <f t="shared" si="18"/>
        <v/>
      </c>
      <c r="J223" s="232">
        <f t="shared" si="21"/>
        <v>-2</v>
      </c>
      <c r="K223" s="232">
        <f t="shared" si="19"/>
        <v>-20</v>
      </c>
      <c r="L223" s="232"/>
      <c r="M223" s="234">
        <f t="shared" si="20"/>
        <v>0</v>
      </c>
    </row>
    <row r="224" spans="1:13" x14ac:dyDescent="0.25">
      <c r="A224" s="249"/>
      <c r="G224" s="218"/>
      <c r="H224" s="232">
        <v>219</v>
      </c>
      <c r="I224" s="233" t="str">
        <f t="shared" si="18"/>
        <v/>
      </c>
      <c r="J224" s="232">
        <f t="shared" si="21"/>
        <v>-2</v>
      </c>
      <c r="K224" s="232">
        <f t="shared" si="19"/>
        <v>-20</v>
      </c>
      <c r="L224" s="232"/>
      <c r="M224" s="234">
        <f t="shared" si="20"/>
        <v>0</v>
      </c>
    </row>
    <row r="225" spans="1:13" x14ac:dyDescent="0.25">
      <c r="A225" s="249"/>
      <c r="G225" s="218"/>
      <c r="H225" s="235">
        <v>220</v>
      </c>
      <c r="I225" s="233" t="str">
        <f t="shared" si="18"/>
        <v/>
      </c>
      <c r="J225" s="232">
        <f t="shared" si="21"/>
        <v>-2</v>
      </c>
      <c r="K225" s="232">
        <f t="shared" si="19"/>
        <v>-20</v>
      </c>
      <c r="L225" s="232"/>
      <c r="M225" s="234">
        <f t="shared" si="20"/>
        <v>0</v>
      </c>
    </row>
    <row r="226" spans="1:13" x14ac:dyDescent="0.25">
      <c r="A226" s="249"/>
      <c r="G226" s="218"/>
      <c r="H226" s="232">
        <v>221</v>
      </c>
      <c r="I226" s="233" t="str">
        <f t="shared" si="18"/>
        <v/>
      </c>
      <c r="J226" s="232">
        <f t="shared" si="21"/>
        <v>-2</v>
      </c>
      <c r="K226" s="232">
        <f t="shared" si="19"/>
        <v>-20</v>
      </c>
      <c r="L226" s="232"/>
      <c r="M226" s="234">
        <f t="shared" si="20"/>
        <v>0</v>
      </c>
    </row>
    <row r="227" spans="1:13" x14ac:dyDescent="0.25">
      <c r="A227" s="249"/>
      <c r="G227" s="218"/>
      <c r="H227" s="235">
        <v>222</v>
      </c>
      <c r="I227" s="233" t="str">
        <f t="shared" si="18"/>
        <v/>
      </c>
      <c r="J227" s="232">
        <f t="shared" si="21"/>
        <v>-2</v>
      </c>
      <c r="K227" s="232">
        <f t="shared" si="19"/>
        <v>-20</v>
      </c>
      <c r="L227" s="232"/>
      <c r="M227" s="234">
        <f t="shared" si="20"/>
        <v>0</v>
      </c>
    </row>
    <row r="228" spans="1:13" x14ac:dyDescent="0.25">
      <c r="A228" s="249"/>
      <c r="G228" s="218"/>
      <c r="H228" s="232">
        <v>223</v>
      </c>
      <c r="I228" s="233" t="str">
        <f t="shared" si="18"/>
        <v/>
      </c>
      <c r="J228" s="232">
        <f t="shared" si="21"/>
        <v>-2</v>
      </c>
      <c r="K228" s="232">
        <f t="shared" si="19"/>
        <v>-20</v>
      </c>
      <c r="L228" s="232"/>
      <c r="M228" s="234">
        <f t="shared" si="20"/>
        <v>0</v>
      </c>
    </row>
    <row r="229" spans="1:13" x14ac:dyDescent="0.25">
      <c r="A229" s="249"/>
      <c r="G229" s="218"/>
      <c r="H229" s="235">
        <v>224</v>
      </c>
      <c r="I229" s="233" t="str">
        <f t="shared" si="18"/>
        <v/>
      </c>
      <c r="J229" s="232">
        <f t="shared" si="21"/>
        <v>-2</v>
      </c>
      <c r="K229" s="232">
        <f t="shared" si="19"/>
        <v>-20</v>
      </c>
      <c r="L229" s="232"/>
      <c r="M229" s="234">
        <f t="shared" si="20"/>
        <v>0</v>
      </c>
    </row>
    <row r="230" spans="1:13" x14ac:dyDescent="0.25">
      <c r="A230" s="249"/>
      <c r="G230" s="218"/>
      <c r="H230" s="232">
        <v>225</v>
      </c>
      <c r="I230" s="233" t="str">
        <f t="shared" si="18"/>
        <v/>
      </c>
      <c r="J230" s="232">
        <f t="shared" si="21"/>
        <v>-2</v>
      </c>
      <c r="K230" s="232">
        <f t="shared" si="19"/>
        <v>-20</v>
      </c>
      <c r="L230" s="232"/>
      <c r="M230" s="234">
        <f t="shared" si="20"/>
        <v>0</v>
      </c>
    </row>
    <row r="231" spans="1:13" x14ac:dyDescent="0.25">
      <c r="A231" s="249"/>
      <c r="G231" s="218"/>
      <c r="H231" s="235">
        <v>226</v>
      </c>
      <c r="I231" s="233" t="str">
        <f t="shared" si="18"/>
        <v/>
      </c>
      <c r="J231" s="232">
        <f t="shared" si="21"/>
        <v>-2</v>
      </c>
      <c r="K231" s="232">
        <f t="shared" si="19"/>
        <v>-20</v>
      </c>
      <c r="L231" s="232"/>
      <c r="M231" s="234">
        <f t="shared" si="20"/>
        <v>0</v>
      </c>
    </row>
    <row r="232" spans="1:13" x14ac:dyDescent="0.25">
      <c r="A232" s="249"/>
      <c r="G232" s="218"/>
      <c r="H232" s="232">
        <v>227</v>
      </c>
      <c r="I232" s="233" t="str">
        <f t="shared" si="18"/>
        <v/>
      </c>
      <c r="J232" s="232">
        <f t="shared" si="21"/>
        <v>-2</v>
      </c>
      <c r="K232" s="232">
        <f t="shared" si="19"/>
        <v>-20</v>
      </c>
      <c r="L232" s="232"/>
      <c r="M232" s="234">
        <f t="shared" si="20"/>
        <v>0</v>
      </c>
    </row>
    <row r="233" spans="1:13" x14ac:dyDescent="0.25">
      <c r="A233" s="249"/>
      <c r="G233" s="218"/>
      <c r="H233" s="235">
        <v>228</v>
      </c>
      <c r="I233" s="233" t="str">
        <f t="shared" si="18"/>
        <v/>
      </c>
      <c r="J233" s="232">
        <f t="shared" si="21"/>
        <v>-2</v>
      </c>
      <c r="K233" s="232">
        <f t="shared" si="19"/>
        <v>-20</v>
      </c>
      <c r="L233" s="232"/>
      <c r="M233" s="234">
        <f t="shared" si="20"/>
        <v>0</v>
      </c>
    </row>
    <row r="234" spans="1:13" x14ac:dyDescent="0.25">
      <c r="A234" s="249"/>
      <c r="G234" s="218"/>
      <c r="H234" s="232">
        <v>229</v>
      </c>
      <c r="I234" s="233" t="str">
        <f t="shared" si="18"/>
        <v/>
      </c>
      <c r="J234" s="232">
        <f t="shared" si="21"/>
        <v>-2</v>
      </c>
      <c r="K234" s="232">
        <f t="shared" si="19"/>
        <v>-20</v>
      </c>
      <c r="L234" s="232"/>
      <c r="M234" s="234">
        <f t="shared" si="20"/>
        <v>0</v>
      </c>
    </row>
    <row r="235" spans="1:13" x14ac:dyDescent="0.25">
      <c r="A235" s="249"/>
      <c r="G235" s="218"/>
      <c r="H235" s="235">
        <v>230</v>
      </c>
      <c r="I235" s="233" t="str">
        <f t="shared" si="18"/>
        <v/>
      </c>
      <c r="J235" s="232">
        <f t="shared" si="21"/>
        <v>-2</v>
      </c>
      <c r="K235" s="232">
        <f t="shared" si="19"/>
        <v>-20</v>
      </c>
      <c r="L235" s="232"/>
      <c r="M235" s="234">
        <f t="shared" si="20"/>
        <v>0</v>
      </c>
    </row>
    <row r="236" spans="1:13" x14ac:dyDescent="0.25">
      <c r="A236" s="249"/>
      <c r="G236" s="218"/>
      <c r="H236" s="232">
        <v>231</v>
      </c>
      <c r="I236" s="233" t="str">
        <f t="shared" si="18"/>
        <v/>
      </c>
      <c r="J236" s="232">
        <f t="shared" si="21"/>
        <v>-2</v>
      </c>
      <c r="K236" s="232">
        <f t="shared" si="19"/>
        <v>-20</v>
      </c>
      <c r="L236" s="232"/>
      <c r="M236" s="234">
        <f t="shared" si="20"/>
        <v>0</v>
      </c>
    </row>
    <row r="237" spans="1:13" x14ac:dyDescent="0.25">
      <c r="A237" s="249"/>
      <c r="G237" s="218"/>
      <c r="H237" s="235">
        <v>232</v>
      </c>
      <c r="I237" s="233" t="str">
        <f t="shared" si="18"/>
        <v/>
      </c>
      <c r="J237" s="232">
        <f t="shared" si="21"/>
        <v>-2</v>
      </c>
      <c r="K237" s="232">
        <f t="shared" si="19"/>
        <v>-20</v>
      </c>
      <c r="L237" s="232"/>
      <c r="M237" s="234">
        <f t="shared" si="20"/>
        <v>0</v>
      </c>
    </row>
    <row r="238" spans="1:13" x14ac:dyDescent="0.25">
      <c r="A238" s="249"/>
      <c r="G238" s="218"/>
      <c r="H238" s="232">
        <v>233</v>
      </c>
      <c r="I238" s="233" t="str">
        <f t="shared" si="18"/>
        <v/>
      </c>
      <c r="J238" s="232">
        <f t="shared" si="21"/>
        <v>-2</v>
      </c>
      <c r="K238" s="232">
        <f t="shared" si="19"/>
        <v>-20</v>
      </c>
      <c r="L238" s="232"/>
      <c r="M238" s="234">
        <f t="shared" si="20"/>
        <v>0</v>
      </c>
    </row>
    <row r="239" spans="1:13" x14ac:dyDescent="0.25">
      <c r="A239" s="249"/>
      <c r="G239" s="218"/>
      <c r="H239" s="235">
        <v>234</v>
      </c>
      <c r="I239" s="233" t="str">
        <f t="shared" si="18"/>
        <v/>
      </c>
      <c r="J239" s="232">
        <f t="shared" si="21"/>
        <v>-2</v>
      </c>
      <c r="K239" s="232">
        <f t="shared" si="19"/>
        <v>-20</v>
      </c>
      <c r="L239" s="232"/>
      <c r="M239" s="234">
        <f t="shared" si="20"/>
        <v>0</v>
      </c>
    </row>
    <row r="240" spans="1:13" x14ac:dyDescent="0.25">
      <c r="A240" s="249"/>
      <c r="G240" s="218"/>
      <c r="H240" s="232">
        <v>235</v>
      </c>
      <c r="I240" s="233" t="str">
        <f t="shared" si="18"/>
        <v/>
      </c>
      <c r="J240" s="232">
        <f t="shared" si="21"/>
        <v>-2</v>
      </c>
      <c r="K240" s="232">
        <f t="shared" si="19"/>
        <v>-20</v>
      </c>
      <c r="L240" s="232"/>
      <c r="M240" s="234">
        <f t="shared" si="20"/>
        <v>0</v>
      </c>
    </row>
    <row r="241" spans="1:13" x14ac:dyDescent="0.25">
      <c r="A241" s="249"/>
      <c r="G241" s="218"/>
      <c r="H241" s="235">
        <v>236</v>
      </c>
      <c r="I241" s="233" t="str">
        <f t="shared" si="18"/>
        <v/>
      </c>
      <c r="J241" s="232">
        <f t="shared" si="21"/>
        <v>-2</v>
      </c>
      <c r="K241" s="232">
        <f t="shared" si="19"/>
        <v>-20</v>
      </c>
      <c r="L241" s="232"/>
      <c r="M241" s="234">
        <f t="shared" si="20"/>
        <v>0</v>
      </c>
    </row>
    <row r="242" spans="1:13" x14ac:dyDescent="0.25">
      <c r="A242" s="249"/>
      <c r="G242" s="218"/>
      <c r="H242" s="232">
        <v>237</v>
      </c>
      <c r="I242" s="233" t="str">
        <f t="shared" si="18"/>
        <v/>
      </c>
      <c r="J242" s="232">
        <f t="shared" si="21"/>
        <v>-2</v>
      </c>
      <c r="K242" s="232">
        <f t="shared" si="19"/>
        <v>-20</v>
      </c>
      <c r="L242" s="232"/>
      <c r="M242" s="234">
        <f t="shared" si="20"/>
        <v>0</v>
      </c>
    </row>
    <row r="243" spans="1:13" x14ac:dyDescent="0.25">
      <c r="A243" s="249"/>
      <c r="G243" s="218"/>
      <c r="H243" s="235">
        <v>238</v>
      </c>
      <c r="I243" s="233" t="str">
        <f t="shared" si="18"/>
        <v/>
      </c>
      <c r="J243" s="232">
        <f t="shared" si="21"/>
        <v>-2</v>
      </c>
      <c r="K243" s="232">
        <f t="shared" si="19"/>
        <v>-20</v>
      </c>
      <c r="L243" s="232"/>
      <c r="M243" s="234">
        <f t="shared" si="20"/>
        <v>0</v>
      </c>
    </row>
    <row r="244" spans="1:13" x14ac:dyDescent="0.25">
      <c r="A244" s="249"/>
      <c r="G244" s="218"/>
      <c r="H244" s="232">
        <v>239</v>
      </c>
      <c r="I244" s="233" t="str">
        <f t="shared" si="18"/>
        <v/>
      </c>
      <c r="J244" s="232">
        <f t="shared" si="21"/>
        <v>-2</v>
      </c>
      <c r="K244" s="232">
        <f t="shared" si="19"/>
        <v>-20</v>
      </c>
      <c r="L244" s="232"/>
      <c r="M244" s="234">
        <f t="shared" si="20"/>
        <v>0</v>
      </c>
    </row>
    <row r="245" spans="1:13" x14ac:dyDescent="0.25">
      <c r="A245" s="249"/>
      <c r="G245" s="218"/>
      <c r="H245" s="235">
        <v>240</v>
      </c>
      <c r="I245" s="233" t="str">
        <f t="shared" si="18"/>
        <v/>
      </c>
      <c r="J245" s="232">
        <f t="shared" si="21"/>
        <v>-2</v>
      </c>
      <c r="K245" s="232">
        <f t="shared" si="19"/>
        <v>-20</v>
      </c>
      <c r="L245" s="232"/>
      <c r="M245" s="234">
        <f t="shared" si="20"/>
        <v>0</v>
      </c>
    </row>
    <row r="246" spans="1:13" x14ac:dyDescent="0.25">
      <c r="A246" s="249"/>
      <c r="G246" s="218"/>
      <c r="H246" s="232">
        <v>241</v>
      </c>
      <c r="I246" s="233" t="str">
        <f t="shared" si="18"/>
        <v/>
      </c>
      <c r="J246" s="232">
        <f t="shared" si="21"/>
        <v>-2</v>
      </c>
      <c r="K246" s="232">
        <f t="shared" si="19"/>
        <v>-20</v>
      </c>
      <c r="L246" s="232"/>
      <c r="M246" s="234">
        <f t="shared" si="20"/>
        <v>0</v>
      </c>
    </row>
    <row r="247" spans="1:13" x14ac:dyDescent="0.25">
      <c r="A247" s="249"/>
      <c r="G247" s="218"/>
      <c r="H247" s="235">
        <v>242</v>
      </c>
      <c r="I247" s="233" t="str">
        <f t="shared" si="18"/>
        <v/>
      </c>
      <c r="J247" s="232">
        <f t="shared" si="21"/>
        <v>-2</v>
      </c>
      <c r="K247" s="232">
        <f t="shared" si="19"/>
        <v>-20</v>
      </c>
      <c r="L247" s="232"/>
      <c r="M247" s="234">
        <f t="shared" si="20"/>
        <v>0</v>
      </c>
    </row>
    <row r="248" spans="1:13" x14ac:dyDescent="0.25">
      <c r="A248" s="249"/>
      <c r="G248" s="218"/>
      <c r="H248" s="232">
        <v>243</v>
      </c>
      <c r="I248" s="233" t="str">
        <f t="shared" si="18"/>
        <v/>
      </c>
      <c r="J248" s="232">
        <f t="shared" si="21"/>
        <v>-2</v>
      </c>
      <c r="K248" s="232">
        <f t="shared" si="19"/>
        <v>-20</v>
      </c>
      <c r="L248" s="232"/>
      <c r="M248" s="234">
        <f t="shared" si="20"/>
        <v>0</v>
      </c>
    </row>
    <row r="249" spans="1:13" x14ac:dyDescent="0.25">
      <c r="A249" s="249"/>
      <c r="G249" s="218"/>
      <c r="H249" s="235">
        <v>244</v>
      </c>
      <c r="I249" s="233" t="str">
        <f t="shared" si="18"/>
        <v/>
      </c>
      <c r="J249" s="232">
        <f t="shared" si="21"/>
        <v>-2</v>
      </c>
      <c r="K249" s="232">
        <f t="shared" si="19"/>
        <v>-20</v>
      </c>
      <c r="L249" s="232"/>
      <c r="M249" s="234">
        <f t="shared" si="20"/>
        <v>0</v>
      </c>
    </row>
    <row r="250" spans="1:13" x14ac:dyDescent="0.25">
      <c r="A250" s="249"/>
      <c r="G250" s="218"/>
      <c r="H250" s="232">
        <v>245</v>
      </c>
      <c r="I250" s="233" t="str">
        <f t="shared" si="18"/>
        <v/>
      </c>
      <c r="J250" s="232">
        <f t="shared" si="21"/>
        <v>-2</v>
      </c>
      <c r="K250" s="232">
        <f t="shared" si="19"/>
        <v>-20</v>
      </c>
      <c r="L250" s="232"/>
      <c r="M250" s="234">
        <f t="shared" si="20"/>
        <v>0</v>
      </c>
    </row>
    <row r="251" spans="1:13" x14ac:dyDescent="0.25">
      <c r="A251" s="249"/>
      <c r="G251" s="218"/>
      <c r="H251" s="235">
        <v>246</v>
      </c>
      <c r="I251" s="233" t="str">
        <f t="shared" si="18"/>
        <v/>
      </c>
      <c r="J251" s="232">
        <f t="shared" si="21"/>
        <v>-2</v>
      </c>
      <c r="K251" s="232">
        <f t="shared" si="19"/>
        <v>-20</v>
      </c>
      <c r="L251" s="232"/>
      <c r="M251" s="234">
        <f t="shared" si="20"/>
        <v>0</v>
      </c>
    </row>
    <row r="252" spans="1:13" x14ac:dyDescent="0.25">
      <c r="A252" s="249"/>
      <c r="G252" s="218"/>
      <c r="H252" s="232">
        <v>247</v>
      </c>
      <c r="I252" s="233" t="str">
        <f t="shared" si="18"/>
        <v/>
      </c>
      <c r="J252" s="232">
        <f t="shared" si="21"/>
        <v>-2</v>
      </c>
      <c r="K252" s="232">
        <f t="shared" si="19"/>
        <v>-20</v>
      </c>
      <c r="L252" s="232"/>
      <c r="M252" s="234">
        <f t="shared" si="20"/>
        <v>0</v>
      </c>
    </row>
    <row r="253" spans="1:13" x14ac:dyDescent="0.25">
      <c r="A253" s="249"/>
      <c r="G253" s="218"/>
      <c r="H253" s="235">
        <v>248</v>
      </c>
      <c r="I253" s="233" t="str">
        <f t="shared" si="18"/>
        <v/>
      </c>
      <c r="J253" s="232">
        <f t="shared" si="21"/>
        <v>-2</v>
      </c>
      <c r="K253" s="232">
        <f t="shared" si="19"/>
        <v>-20</v>
      </c>
      <c r="L253" s="232"/>
      <c r="M253" s="234">
        <f t="shared" si="20"/>
        <v>0</v>
      </c>
    </row>
    <row r="254" spans="1:13" x14ac:dyDescent="0.25">
      <c r="A254" s="249"/>
      <c r="G254" s="218"/>
      <c r="H254" s="232">
        <v>249</v>
      </c>
      <c r="I254" s="233" t="str">
        <f t="shared" si="18"/>
        <v/>
      </c>
      <c r="J254" s="232">
        <f t="shared" si="21"/>
        <v>-2</v>
      </c>
      <c r="K254" s="232">
        <f t="shared" si="19"/>
        <v>-20</v>
      </c>
      <c r="L254" s="232"/>
      <c r="M254" s="234">
        <f t="shared" si="20"/>
        <v>0</v>
      </c>
    </row>
    <row r="255" spans="1:13" x14ac:dyDescent="0.25">
      <c r="A255" s="249"/>
      <c r="G255" s="218"/>
      <c r="H255" s="235">
        <v>250</v>
      </c>
      <c r="I255" s="233" t="str">
        <f t="shared" si="18"/>
        <v/>
      </c>
      <c r="J255" s="232">
        <f t="shared" si="21"/>
        <v>-2</v>
      </c>
      <c r="K255" s="232">
        <f t="shared" si="19"/>
        <v>-20</v>
      </c>
      <c r="L255" s="232"/>
      <c r="M255" s="234">
        <f t="shared" si="20"/>
        <v>0</v>
      </c>
    </row>
    <row r="256" spans="1:13" x14ac:dyDescent="0.25">
      <c r="A256" s="249"/>
      <c r="G256" s="218"/>
      <c r="H256" s="232">
        <v>251</v>
      </c>
      <c r="I256" s="233" t="str">
        <f t="shared" si="18"/>
        <v/>
      </c>
      <c r="J256" s="232">
        <f t="shared" si="21"/>
        <v>-2</v>
      </c>
      <c r="K256" s="232">
        <f t="shared" si="19"/>
        <v>-20</v>
      </c>
      <c r="L256" s="232"/>
      <c r="M256" s="234">
        <f t="shared" si="20"/>
        <v>0</v>
      </c>
    </row>
    <row r="257" spans="1:13" x14ac:dyDescent="0.25">
      <c r="A257" s="249"/>
      <c r="G257" s="218"/>
      <c r="H257" s="235">
        <v>252</v>
      </c>
      <c r="I257" s="233" t="str">
        <f t="shared" si="18"/>
        <v/>
      </c>
      <c r="J257" s="232">
        <f t="shared" si="21"/>
        <v>-2</v>
      </c>
      <c r="K257" s="232">
        <f t="shared" si="19"/>
        <v>-20</v>
      </c>
      <c r="L257" s="232"/>
      <c r="M257" s="234">
        <f t="shared" si="20"/>
        <v>0</v>
      </c>
    </row>
    <row r="258" spans="1:13" x14ac:dyDescent="0.25">
      <c r="A258" s="249"/>
      <c r="G258" s="218"/>
      <c r="H258" s="232">
        <v>253</v>
      </c>
      <c r="I258" s="233" t="str">
        <f t="shared" si="18"/>
        <v/>
      </c>
      <c r="J258" s="232">
        <f t="shared" si="21"/>
        <v>-2</v>
      </c>
      <c r="K258" s="232">
        <f t="shared" si="19"/>
        <v>-20</v>
      </c>
      <c r="L258" s="232"/>
      <c r="M258" s="234">
        <f t="shared" si="20"/>
        <v>0</v>
      </c>
    </row>
    <row r="259" spans="1:13" x14ac:dyDescent="0.25">
      <c r="A259" s="249"/>
      <c r="G259" s="218"/>
      <c r="H259" s="235">
        <v>254</v>
      </c>
      <c r="I259" s="233" t="str">
        <f t="shared" si="18"/>
        <v/>
      </c>
      <c r="J259" s="232">
        <f t="shared" si="21"/>
        <v>-2</v>
      </c>
      <c r="K259" s="232">
        <f t="shared" si="19"/>
        <v>-20</v>
      </c>
      <c r="L259" s="232"/>
      <c r="M259" s="234">
        <f t="shared" si="20"/>
        <v>0</v>
      </c>
    </row>
    <row r="260" spans="1:13" x14ac:dyDescent="0.25">
      <c r="A260" s="249"/>
      <c r="G260" s="218"/>
      <c r="H260" s="232">
        <v>255</v>
      </c>
      <c r="I260" s="233" t="str">
        <f t="shared" si="18"/>
        <v/>
      </c>
      <c r="J260" s="232">
        <f t="shared" si="21"/>
        <v>-2</v>
      </c>
      <c r="K260" s="232">
        <f t="shared" si="19"/>
        <v>-20</v>
      </c>
      <c r="L260" s="232"/>
      <c r="M260" s="234">
        <f t="shared" si="20"/>
        <v>0</v>
      </c>
    </row>
    <row r="261" spans="1:13" x14ac:dyDescent="0.25">
      <c r="A261" s="249"/>
      <c r="G261" s="218"/>
      <c r="H261" s="235">
        <v>256</v>
      </c>
      <c r="I261" s="233" t="str">
        <f t="shared" si="18"/>
        <v/>
      </c>
      <c r="J261" s="232">
        <f t="shared" si="21"/>
        <v>-2</v>
      </c>
      <c r="K261" s="232">
        <f t="shared" si="19"/>
        <v>-20</v>
      </c>
      <c r="L261" s="232"/>
      <c r="M261" s="234">
        <f t="shared" si="20"/>
        <v>0</v>
      </c>
    </row>
    <row r="262" spans="1:13" x14ac:dyDescent="0.25">
      <c r="A262" s="249"/>
      <c r="G262" s="218"/>
      <c r="H262" s="232">
        <v>257</v>
      </c>
      <c r="I262" s="233" t="str">
        <f t="shared" ref="I262:I305" si="22">IF(H262&lt;$H$2+1,($I$2-($I$2-1)*(LOG(H262)/LOG($H$2))),"")</f>
        <v/>
      </c>
      <c r="J262" s="232">
        <f t="shared" si="21"/>
        <v>-3</v>
      </c>
      <c r="K262" s="232">
        <f t="shared" ref="K262:K305" si="23">J262*$J$2</f>
        <v>-30</v>
      </c>
      <c r="L262" s="232"/>
      <c r="M262" s="234">
        <f t="shared" ref="M262:M305" si="24">IF(I262&lt;&gt;"",K262+I262+L262,0)</f>
        <v>0</v>
      </c>
    </row>
    <row r="263" spans="1:13" x14ac:dyDescent="0.25">
      <c r="A263" s="249"/>
      <c r="G263" s="218"/>
      <c r="H263" s="235">
        <v>258</v>
      </c>
      <c r="I263" s="233" t="str">
        <f t="shared" si="22"/>
        <v/>
      </c>
      <c r="J263" s="232">
        <f t="shared" ref="J263:J305" si="25">INT(LOG($H$2,2))-ROUNDUP(LOG(H263,2),0)+IF(OR($H$2=1,$H$2=2,$H$2=4,$H$2=8,$H$2=16,$H$2=32,$H$2=64,$H$2=128,$H$2=256),0,1)</f>
        <v>-3</v>
      </c>
      <c r="K263" s="232">
        <f t="shared" si="23"/>
        <v>-30</v>
      </c>
      <c r="L263" s="232"/>
      <c r="M263" s="234">
        <f t="shared" si="24"/>
        <v>0</v>
      </c>
    </row>
    <row r="264" spans="1:13" x14ac:dyDescent="0.25">
      <c r="A264" s="249"/>
      <c r="G264" s="218"/>
      <c r="H264" s="232">
        <v>259</v>
      </c>
      <c r="I264" s="233" t="str">
        <f t="shared" si="22"/>
        <v/>
      </c>
      <c r="J264" s="232">
        <f t="shared" si="25"/>
        <v>-3</v>
      </c>
      <c r="K264" s="232">
        <f t="shared" si="23"/>
        <v>-30</v>
      </c>
      <c r="L264" s="232"/>
      <c r="M264" s="234">
        <f t="shared" si="24"/>
        <v>0</v>
      </c>
    </row>
    <row r="265" spans="1:13" x14ac:dyDescent="0.25">
      <c r="A265" s="249"/>
      <c r="G265" s="218"/>
      <c r="H265" s="235">
        <v>260</v>
      </c>
      <c r="I265" s="233" t="str">
        <f t="shared" si="22"/>
        <v/>
      </c>
      <c r="J265" s="232">
        <f t="shared" si="25"/>
        <v>-3</v>
      </c>
      <c r="K265" s="232">
        <f t="shared" si="23"/>
        <v>-30</v>
      </c>
      <c r="L265" s="232"/>
      <c r="M265" s="234">
        <f t="shared" si="24"/>
        <v>0</v>
      </c>
    </row>
    <row r="266" spans="1:13" x14ac:dyDescent="0.25">
      <c r="A266" s="249"/>
      <c r="G266" s="218"/>
      <c r="H266" s="232">
        <v>261</v>
      </c>
      <c r="I266" s="233" t="str">
        <f t="shared" si="22"/>
        <v/>
      </c>
      <c r="J266" s="232">
        <f t="shared" si="25"/>
        <v>-3</v>
      </c>
      <c r="K266" s="232">
        <f t="shared" si="23"/>
        <v>-30</v>
      </c>
      <c r="L266" s="232"/>
      <c r="M266" s="234">
        <f t="shared" si="24"/>
        <v>0</v>
      </c>
    </row>
    <row r="267" spans="1:13" x14ac:dyDescent="0.25">
      <c r="A267" s="249"/>
      <c r="G267" s="218"/>
      <c r="H267" s="235">
        <v>262</v>
      </c>
      <c r="I267" s="233" t="str">
        <f t="shared" si="22"/>
        <v/>
      </c>
      <c r="J267" s="232">
        <f t="shared" si="25"/>
        <v>-3</v>
      </c>
      <c r="K267" s="232">
        <f t="shared" si="23"/>
        <v>-30</v>
      </c>
      <c r="L267" s="232"/>
      <c r="M267" s="234">
        <f t="shared" si="24"/>
        <v>0</v>
      </c>
    </row>
    <row r="268" spans="1:13" x14ac:dyDescent="0.25">
      <c r="A268" s="249"/>
      <c r="G268" s="218"/>
      <c r="H268" s="232">
        <v>263</v>
      </c>
      <c r="I268" s="233" t="str">
        <f t="shared" si="22"/>
        <v/>
      </c>
      <c r="J268" s="232">
        <f t="shared" si="25"/>
        <v>-3</v>
      </c>
      <c r="K268" s="232">
        <f t="shared" si="23"/>
        <v>-30</v>
      </c>
      <c r="L268" s="232"/>
      <c r="M268" s="234">
        <f t="shared" si="24"/>
        <v>0</v>
      </c>
    </row>
    <row r="269" spans="1:13" x14ac:dyDescent="0.25">
      <c r="A269" s="249"/>
      <c r="G269" s="218"/>
      <c r="H269" s="235">
        <v>264</v>
      </c>
      <c r="I269" s="233" t="str">
        <f t="shared" si="22"/>
        <v/>
      </c>
      <c r="J269" s="232">
        <f t="shared" si="25"/>
        <v>-3</v>
      </c>
      <c r="K269" s="232">
        <f t="shared" si="23"/>
        <v>-30</v>
      </c>
      <c r="L269" s="232"/>
      <c r="M269" s="234">
        <f t="shared" si="24"/>
        <v>0</v>
      </c>
    </row>
    <row r="270" spans="1:13" x14ac:dyDescent="0.25">
      <c r="A270" s="249"/>
      <c r="G270" s="218"/>
      <c r="H270" s="232">
        <v>265</v>
      </c>
      <c r="I270" s="233" t="str">
        <f t="shared" si="22"/>
        <v/>
      </c>
      <c r="J270" s="232">
        <f t="shared" si="25"/>
        <v>-3</v>
      </c>
      <c r="K270" s="232">
        <f t="shared" si="23"/>
        <v>-30</v>
      </c>
      <c r="L270" s="232"/>
      <c r="M270" s="234">
        <f t="shared" si="24"/>
        <v>0</v>
      </c>
    </row>
    <row r="271" spans="1:13" x14ac:dyDescent="0.25">
      <c r="A271" s="249"/>
      <c r="G271" s="218"/>
      <c r="H271" s="235">
        <v>266</v>
      </c>
      <c r="I271" s="233" t="str">
        <f t="shared" si="22"/>
        <v/>
      </c>
      <c r="J271" s="232">
        <f t="shared" si="25"/>
        <v>-3</v>
      </c>
      <c r="K271" s="232">
        <f t="shared" si="23"/>
        <v>-30</v>
      </c>
      <c r="L271" s="232"/>
      <c r="M271" s="234">
        <f t="shared" si="24"/>
        <v>0</v>
      </c>
    </row>
    <row r="272" spans="1:13" x14ac:dyDescent="0.25">
      <c r="A272" s="249"/>
      <c r="G272" s="218"/>
      <c r="H272" s="232">
        <v>267</v>
      </c>
      <c r="I272" s="233" t="str">
        <f t="shared" si="22"/>
        <v/>
      </c>
      <c r="J272" s="232">
        <f t="shared" si="25"/>
        <v>-3</v>
      </c>
      <c r="K272" s="232">
        <f t="shared" si="23"/>
        <v>-30</v>
      </c>
      <c r="L272" s="232"/>
      <c r="M272" s="234">
        <f t="shared" si="24"/>
        <v>0</v>
      </c>
    </row>
    <row r="273" spans="1:13" x14ac:dyDescent="0.25">
      <c r="A273" s="249"/>
      <c r="G273" s="218"/>
      <c r="H273" s="235">
        <v>268</v>
      </c>
      <c r="I273" s="233" t="str">
        <f t="shared" si="22"/>
        <v/>
      </c>
      <c r="J273" s="232">
        <f t="shared" si="25"/>
        <v>-3</v>
      </c>
      <c r="K273" s="232">
        <f t="shared" si="23"/>
        <v>-30</v>
      </c>
      <c r="L273" s="232"/>
      <c r="M273" s="234">
        <f t="shared" si="24"/>
        <v>0</v>
      </c>
    </row>
    <row r="274" spans="1:13" x14ac:dyDescent="0.25">
      <c r="A274" s="249"/>
      <c r="G274" s="218"/>
      <c r="H274" s="232">
        <v>269</v>
      </c>
      <c r="I274" s="233" t="str">
        <f t="shared" si="22"/>
        <v/>
      </c>
      <c r="J274" s="232">
        <f t="shared" si="25"/>
        <v>-3</v>
      </c>
      <c r="K274" s="232">
        <f t="shared" si="23"/>
        <v>-30</v>
      </c>
      <c r="L274" s="232"/>
      <c r="M274" s="234">
        <f t="shared" si="24"/>
        <v>0</v>
      </c>
    </row>
    <row r="275" spans="1:13" x14ac:dyDescent="0.25">
      <c r="A275" s="249"/>
      <c r="G275" s="218"/>
      <c r="H275" s="235">
        <v>270</v>
      </c>
      <c r="I275" s="233" t="str">
        <f t="shared" si="22"/>
        <v/>
      </c>
      <c r="J275" s="232">
        <f t="shared" si="25"/>
        <v>-3</v>
      </c>
      <c r="K275" s="232">
        <f t="shared" si="23"/>
        <v>-30</v>
      </c>
      <c r="L275" s="232"/>
      <c r="M275" s="234">
        <f t="shared" si="24"/>
        <v>0</v>
      </c>
    </row>
    <row r="276" spans="1:13" x14ac:dyDescent="0.25">
      <c r="A276" s="249"/>
      <c r="G276" s="218"/>
      <c r="H276" s="232">
        <v>271</v>
      </c>
      <c r="I276" s="233" t="str">
        <f t="shared" si="22"/>
        <v/>
      </c>
      <c r="J276" s="232">
        <f t="shared" si="25"/>
        <v>-3</v>
      </c>
      <c r="K276" s="232">
        <f t="shared" si="23"/>
        <v>-30</v>
      </c>
      <c r="L276" s="232"/>
      <c r="M276" s="234">
        <f t="shared" si="24"/>
        <v>0</v>
      </c>
    </row>
    <row r="277" spans="1:13" x14ac:dyDescent="0.25">
      <c r="A277" s="249"/>
      <c r="G277" s="218"/>
      <c r="H277" s="235">
        <v>272</v>
      </c>
      <c r="I277" s="233" t="str">
        <f t="shared" si="22"/>
        <v/>
      </c>
      <c r="J277" s="232">
        <f t="shared" si="25"/>
        <v>-3</v>
      </c>
      <c r="K277" s="232">
        <f t="shared" si="23"/>
        <v>-30</v>
      </c>
      <c r="L277" s="232"/>
      <c r="M277" s="234">
        <f t="shared" si="24"/>
        <v>0</v>
      </c>
    </row>
    <row r="278" spans="1:13" x14ac:dyDescent="0.25">
      <c r="A278" s="249"/>
      <c r="G278" s="218"/>
      <c r="H278" s="232">
        <v>273</v>
      </c>
      <c r="I278" s="233" t="str">
        <f t="shared" si="22"/>
        <v/>
      </c>
      <c r="J278" s="232">
        <f t="shared" si="25"/>
        <v>-3</v>
      </c>
      <c r="K278" s="232">
        <f t="shared" si="23"/>
        <v>-30</v>
      </c>
      <c r="L278" s="232"/>
      <c r="M278" s="234">
        <f t="shared" si="24"/>
        <v>0</v>
      </c>
    </row>
    <row r="279" spans="1:13" x14ac:dyDescent="0.25">
      <c r="A279" s="249"/>
      <c r="G279" s="218"/>
      <c r="H279" s="235">
        <v>274</v>
      </c>
      <c r="I279" s="233" t="str">
        <f t="shared" si="22"/>
        <v/>
      </c>
      <c r="J279" s="232">
        <f t="shared" si="25"/>
        <v>-3</v>
      </c>
      <c r="K279" s="232">
        <f t="shared" si="23"/>
        <v>-30</v>
      </c>
      <c r="L279" s="232"/>
      <c r="M279" s="234">
        <f t="shared" si="24"/>
        <v>0</v>
      </c>
    </row>
    <row r="280" spans="1:13" x14ac:dyDescent="0.25">
      <c r="A280" s="249"/>
      <c r="G280" s="218"/>
      <c r="H280" s="232">
        <v>275</v>
      </c>
      <c r="I280" s="233" t="str">
        <f t="shared" si="22"/>
        <v/>
      </c>
      <c r="J280" s="232">
        <f t="shared" si="25"/>
        <v>-3</v>
      </c>
      <c r="K280" s="232">
        <f t="shared" si="23"/>
        <v>-30</v>
      </c>
      <c r="L280" s="232"/>
      <c r="M280" s="234">
        <f t="shared" si="24"/>
        <v>0</v>
      </c>
    </row>
    <row r="281" spans="1:13" x14ac:dyDescent="0.25">
      <c r="A281" s="249"/>
      <c r="G281" s="218"/>
      <c r="H281" s="235">
        <v>276</v>
      </c>
      <c r="I281" s="233" t="str">
        <f t="shared" si="22"/>
        <v/>
      </c>
      <c r="J281" s="232">
        <f t="shared" si="25"/>
        <v>-3</v>
      </c>
      <c r="K281" s="232">
        <f t="shared" si="23"/>
        <v>-30</v>
      </c>
      <c r="L281" s="232"/>
      <c r="M281" s="234">
        <f t="shared" si="24"/>
        <v>0</v>
      </c>
    </row>
    <row r="282" spans="1:13" x14ac:dyDescent="0.25">
      <c r="A282" s="249"/>
      <c r="G282" s="218"/>
      <c r="H282" s="232">
        <v>277</v>
      </c>
      <c r="I282" s="233" t="str">
        <f t="shared" si="22"/>
        <v/>
      </c>
      <c r="J282" s="232">
        <f t="shared" si="25"/>
        <v>-3</v>
      </c>
      <c r="K282" s="232">
        <f t="shared" si="23"/>
        <v>-30</v>
      </c>
      <c r="L282" s="232"/>
      <c r="M282" s="234">
        <f t="shared" si="24"/>
        <v>0</v>
      </c>
    </row>
    <row r="283" spans="1:13" x14ac:dyDescent="0.25">
      <c r="A283" s="249"/>
      <c r="G283" s="218"/>
      <c r="H283" s="235">
        <v>278</v>
      </c>
      <c r="I283" s="233" t="str">
        <f t="shared" si="22"/>
        <v/>
      </c>
      <c r="J283" s="232">
        <f t="shared" si="25"/>
        <v>-3</v>
      </c>
      <c r="K283" s="232">
        <f t="shared" si="23"/>
        <v>-30</v>
      </c>
      <c r="L283" s="232"/>
      <c r="M283" s="234">
        <f t="shared" si="24"/>
        <v>0</v>
      </c>
    </row>
    <row r="284" spans="1:13" x14ac:dyDescent="0.25">
      <c r="A284" s="249"/>
      <c r="G284" s="218"/>
      <c r="H284" s="232">
        <v>279</v>
      </c>
      <c r="I284" s="233" t="str">
        <f t="shared" si="22"/>
        <v/>
      </c>
      <c r="J284" s="232">
        <f t="shared" si="25"/>
        <v>-3</v>
      </c>
      <c r="K284" s="232">
        <f t="shared" si="23"/>
        <v>-30</v>
      </c>
      <c r="L284" s="232"/>
      <c r="M284" s="234">
        <f t="shared" si="24"/>
        <v>0</v>
      </c>
    </row>
    <row r="285" spans="1:13" x14ac:dyDescent="0.25">
      <c r="A285" s="249"/>
      <c r="G285" s="218"/>
      <c r="H285" s="235">
        <v>280</v>
      </c>
      <c r="I285" s="233" t="str">
        <f t="shared" si="22"/>
        <v/>
      </c>
      <c r="J285" s="232">
        <f t="shared" si="25"/>
        <v>-3</v>
      </c>
      <c r="K285" s="232">
        <f t="shared" si="23"/>
        <v>-30</v>
      </c>
      <c r="L285" s="232"/>
      <c r="M285" s="234">
        <f t="shared" si="24"/>
        <v>0</v>
      </c>
    </row>
    <row r="286" spans="1:13" x14ac:dyDescent="0.25">
      <c r="A286" s="249"/>
      <c r="G286" s="218"/>
      <c r="H286" s="232">
        <v>281</v>
      </c>
      <c r="I286" s="233" t="str">
        <f t="shared" si="22"/>
        <v/>
      </c>
      <c r="J286" s="232">
        <f t="shared" si="25"/>
        <v>-3</v>
      </c>
      <c r="K286" s="232">
        <f t="shared" si="23"/>
        <v>-30</v>
      </c>
      <c r="L286" s="232"/>
      <c r="M286" s="234">
        <f t="shared" si="24"/>
        <v>0</v>
      </c>
    </row>
    <row r="287" spans="1:13" x14ac:dyDescent="0.25">
      <c r="A287" s="249"/>
      <c r="G287" s="218"/>
      <c r="H287" s="235">
        <v>282</v>
      </c>
      <c r="I287" s="233" t="str">
        <f t="shared" si="22"/>
        <v/>
      </c>
      <c r="J287" s="232">
        <f t="shared" si="25"/>
        <v>-3</v>
      </c>
      <c r="K287" s="232">
        <f t="shared" si="23"/>
        <v>-30</v>
      </c>
      <c r="L287" s="232"/>
      <c r="M287" s="234">
        <f t="shared" si="24"/>
        <v>0</v>
      </c>
    </row>
    <row r="288" spans="1:13" x14ac:dyDescent="0.25">
      <c r="A288" s="249"/>
      <c r="G288" s="218"/>
      <c r="H288" s="232">
        <v>283</v>
      </c>
      <c r="I288" s="233" t="str">
        <f t="shared" si="22"/>
        <v/>
      </c>
      <c r="J288" s="232">
        <f t="shared" si="25"/>
        <v>-3</v>
      </c>
      <c r="K288" s="232">
        <f t="shared" si="23"/>
        <v>-30</v>
      </c>
      <c r="L288" s="232"/>
      <c r="M288" s="234">
        <f t="shared" si="24"/>
        <v>0</v>
      </c>
    </row>
    <row r="289" spans="1:13" x14ac:dyDescent="0.25">
      <c r="A289" s="249"/>
      <c r="G289" s="218"/>
      <c r="H289" s="235">
        <v>284</v>
      </c>
      <c r="I289" s="233" t="str">
        <f t="shared" si="22"/>
        <v/>
      </c>
      <c r="J289" s="232">
        <f t="shared" si="25"/>
        <v>-3</v>
      </c>
      <c r="K289" s="232">
        <f t="shared" si="23"/>
        <v>-30</v>
      </c>
      <c r="L289" s="232"/>
      <c r="M289" s="234">
        <f t="shared" si="24"/>
        <v>0</v>
      </c>
    </row>
    <row r="290" spans="1:13" x14ac:dyDescent="0.25">
      <c r="A290" s="249"/>
      <c r="G290" s="218"/>
      <c r="H290" s="232">
        <v>285</v>
      </c>
      <c r="I290" s="233" t="str">
        <f t="shared" si="22"/>
        <v/>
      </c>
      <c r="J290" s="232">
        <f t="shared" si="25"/>
        <v>-3</v>
      </c>
      <c r="K290" s="232">
        <f t="shared" si="23"/>
        <v>-30</v>
      </c>
      <c r="L290" s="232"/>
      <c r="M290" s="234">
        <f t="shared" si="24"/>
        <v>0</v>
      </c>
    </row>
    <row r="291" spans="1:13" x14ac:dyDescent="0.25">
      <c r="A291" s="249"/>
      <c r="G291" s="218"/>
      <c r="H291" s="235">
        <v>286</v>
      </c>
      <c r="I291" s="233" t="str">
        <f t="shared" si="22"/>
        <v/>
      </c>
      <c r="J291" s="232">
        <f t="shared" si="25"/>
        <v>-3</v>
      </c>
      <c r="K291" s="232">
        <f t="shared" si="23"/>
        <v>-30</v>
      </c>
      <c r="L291" s="232"/>
      <c r="M291" s="234">
        <f t="shared" si="24"/>
        <v>0</v>
      </c>
    </row>
    <row r="292" spans="1:13" x14ac:dyDescent="0.25">
      <c r="A292" s="249"/>
      <c r="G292" s="218"/>
      <c r="H292" s="232">
        <v>287</v>
      </c>
      <c r="I292" s="233" t="str">
        <f t="shared" si="22"/>
        <v/>
      </c>
      <c r="J292" s="232">
        <f t="shared" si="25"/>
        <v>-3</v>
      </c>
      <c r="K292" s="232">
        <f t="shared" si="23"/>
        <v>-30</v>
      </c>
      <c r="L292" s="232"/>
      <c r="M292" s="234">
        <f t="shared" si="24"/>
        <v>0</v>
      </c>
    </row>
    <row r="293" spans="1:13" x14ac:dyDescent="0.25">
      <c r="A293" s="249"/>
      <c r="G293" s="218"/>
      <c r="H293" s="232">
        <v>288</v>
      </c>
      <c r="I293" s="233" t="str">
        <f t="shared" si="22"/>
        <v/>
      </c>
      <c r="J293" s="232">
        <f t="shared" si="25"/>
        <v>-3</v>
      </c>
      <c r="K293" s="232">
        <f t="shared" si="23"/>
        <v>-30</v>
      </c>
      <c r="L293" s="232"/>
      <c r="M293" s="234">
        <f t="shared" si="24"/>
        <v>0</v>
      </c>
    </row>
    <row r="294" spans="1:13" x14ac:dyDescent="0.25">
      <c r="A294" s="249"/>
      <c r="G294" s="218"/>
      <c r="H294" s="232">
        <v>289</v>
      </c>
      <c r="I294" s="233" t="str">
        <f t="shared" si="22"/>
        <v/>
      </c>
      <c r="J294" s="232">
        <f t="shared" si="25"/>
        <v>-3</v>
      </c>
      <c r="K294" s="232">
        <f t="shared" si="23"/>
        <v>-30</v>
      </c>
      <c r="L294" s="232"/>
      <c r="M294" s="234">
        <f t="shared" si="24"/>
        <v>0</v>
      </c>
    </row>
    <row r="295" spans="1:13" x14ac:dyDescent="0.25">
      <c r="A295" s="249"/>
      <c r="G295" s="218"/>
      <c r="H295" s="232">
        <v>290</v>
      </c>
      <c r="I295" s="233" t="str">
        <f t="shared" si="22"/>
        <v/>
      </c>
      <c r="J295" s="232">
        <f t="shared" si="25"/>
        <v>-3</v>
      </c>
      <c r="K295" s="232">
        <f t="shared" si="23"/>
        <v>-30</v>
      </c>
      <c r="L295" s="232"/>
      <c r="M295" s="234">
        <f t="shared" si="24"/>
        <v>0</v>
      </c>
    </row>
    <row r="296" spans="1:13" x14ac:dyDescent="0.25">
      <c r="A296" s="249"/>
      <c r="G296" s="218"/>
      <c r="H296" s="232">
        <v>291</v>
      </c>
      <c r="I296" s="233" t="str">
        <f t="shared" si="22"/>
        <v/>
      </c>
      <c r="J296" s="232">
        <f t="shared" si="25"/>
        <v>-3</v>
      </c>
      <c r="K296" s="232">
        <f t="shared" si="23"/>
        <v>-30</v>
      </c>
      <c r="L296" s="232"/>
      <c r="M296" s="234">
        <f t="shared" si="24"/>
        <v>0</v>
      </c>
    </row>
    <row r="297" spans="1:13" x14ac:dyDescent="0.25">
      <c r="A297" s="249"/>
      <c r="G297" s="218"/>
      <c r="H297" s="232">
        <v>292</v>
      </c>
      <c r="I297" s="233" t="str">
        <f t="shared" si="22"/>
        <v/>
      </c>
      <c r="J297" s="232">
        <f t="shared" si="25"/>
        <v>-3</v>
      </c>
      <c r="K297" s="232">
        <f t="shared" si="23"/>
        <v>-30</v>
      </c>
      <c r="L297" s="232"/>
      <c r="M297" s="234">
        <f t="shared" si="24"/>
        <v>0</v>
      </c>
    </row>
    <row r="298" spans="1:13" x14ac:dyDescent="0.25">
      <c r="A298" s="249"/>
      <c r="G298" s="218"/>
      <c r="H298" s="232">
        <v>293</v>
      </c>
      <c r="I298" s="233" t="str">
        <f t="shared" si="22"/>
        <v/>
      </c>
      <c r="J298" s="232">
        <f t="shared" si="25"/>
        <v>-3</v>
      </c>
      <c r="K298" s="232">
        <f t="shared" si="23"/>
        <v>-30</v>
      </c>
      <c r="L298" s="232"/>
      <c r="M298" s="234">
        <f t="shared" si="24"/>
        <v>0</v>
      </c>
    </row>
    <row r="299" spans="1:13" x14ac:dyDescent="0.25">
      <c r="A299" s="249"/>
      <c r="G299" s="218"/>
      <c r="H299" s="232">
        <v>294</v>
      </c>
      <c r="I299" s="233" t="str">
        <f t="shared" si="22"/>
        <v/>
      </c>
      <c r="J299" s="232">
        <f t="shared" si="25"/>
        <v>-3</v>
      </c>
      <c r="K299" s="232">
        <f t="shared" si="23"/>
        <v>-30</v>
      </c>
      <c r="L299" s="232"/>
      <c r="M299" s="234">
        <f t="shared" si="24"/>
        <v>0</v>
      </c>
    </row>
    <row r="300" spans="1:13" x14ac:dyDescent="0.25">
      <c r="A300" s="249"/>
      <c r="G300" s="218"/>
      <c r="H300" s="232">
        <v>295</v>
      </c>
      <c r="I300" s="233" t="str">
        <f t="shared" si="22"/>
        <v/>
      </c>
      <c r="J300" s="232">
        <f t="shared" si="25"/>
        <v>-3</v>
      </c>
      <c r="K300" s="232">
        <f t="shared" si="23"/>
        <v>-30</v>
      </c>
      <c r="L300" s="232"/>
      <c r="M300" s="234">
        <f t="shared" si="24"/>
        <v>0</v>
      </c>
    </row>
    <row r="301" spans="1:13" x14ac:dyDescent="0.25">
      <c r="A301" s="249"/>
      <c r="G301" s="218"/>
      <c r="H301" s="232">
        <v>296</v>
      </c>
      <c r="I301" s="233" t="str">
        <f t="shared" si="22"/>
        <v/>
      </c>
      <c r="J301" s="232">
        <f t="shared" si="25"/>
        <v>-3</v>
      </c>
      <c r="K301" s="232">
        <f t="shared" si="23"/>
        <v>-30</v>
      </c>
      <c r="L301" s="232"/>
      <c r="M301" s="234">
        <f t="shared" si="24"/>
        <v>0</v>
      </c>
    </row>
    <row r="302" spans="1:13" x14ac:dyDescent="0.25">
      <c r="A302" s="249"/>
      <c r="G302" s="218"/>
      <c r="H302" s="232">
        <v>297</v>
      </c>
      <c r="I302" s="233" t="str">
        <f t="shared" si="22"/>
        <v/>
      </c>
      <c r="J302" s="232">
        <f t="shared" si="25"/>
        <v>-3</v>
      </c>
      <c r="K302" s="232">
        <f t="shared" si="23"/>
        <v>-30</v>
      </c>
      <c r="L302" s="232"/>
      <c r="M302" s="234">
        <f t="shared" si="24"/>
        <v>0</v>
      </c>
    </row>
    <row r="303" spans="1:13" x14ac:dyDescent="0.25">
      <c r="A303" s="249"/>
      <c r="G303" s="218"/>
      <c r="H303" s="232">
        <v>298</v>
      </c>
      <c r="I303" s="233" t="str">
        <f t="shared" si="22"/>
        <v/>
      </c>
      <c r="J303" s="232">
        <f t="shared" si="25"/>
        <v>-3</v>
      </c>
      <c r="K303" s="232">
        <f t="shared" si="23"/>
        <v>-30</v>
      </c>
      <c r="L303" s="232"/>
      <c r="M303" s="234">
        <f t="shared" si="24"/>
        <v>0</v>
      </c>
    </row>
    <row r="304" spans="1:13" x14ac:dyDescent="0.25">
      <c r="A304" s="249"/>
      <c r="G304" s="218"/>
      <c r="H304" s="232">
        <v>299</v>
      </c>
      <c r="I304" s="233" t="str">
        <f t="shared" si="22"/>
        <v/>
      </c>
      <c r="J304" s="232">
        <f t="shared" si="25"/>
        <v>-3</v>
      </c>
      <c r="K304" s="232">
        <f t="shared" si="23"/>
        <v>-30</v>
      </c>
      <c r="L304" s="232"/>
      <c r="M304" s="234">
        <f t="shared" si="24"/>
        <v>0</v>
      </c>
    </row>
    <row r="305" spans="1:16" x14ac:dyDescent="0.25">
      <c r="A305" s="249"/>
      <c r="G305" s="218"/>
      <c r="H305" s="232">
        <v>300</v>
      </c>
      <c r="I305" s="233" t="str">
        <f t="shared" si="22"/>
        <v/>
      </c>
      <c r="J305" s="232">
        <f t="shared" si="25"/>
        <v>-3</v>
      </c>
      <c r="K305" s="232">
        <f t="shared" si="23"/>
        <v>-30</v>
      </c>
      <c r="L305" s="232"/>
      <c r="M305" s="234">
        <f t="shared" si="24"/>
        <v>0</v>
      </c>
    </row>
    <row r="306" spans="1:16" x14ac:dyDescent="0.25">
      <c r="A306" s="250"/>
    </row>
    <row r="314" spans="1:16" x14ac:dyDescent="0.25">
      <c r="L314" s="253"/>
      <c r="P314" s="243"/>
    </row>
    <row r="315" spans="1:16" x14ac:dyDescent="0.25">
      <c r="L315" s="253"/>
      <c r="P315" s="243"/>
    </row>
    <row r="316" spans="1:16" x14ac:dyDescent="0.25">
      <c r="L316" s="253"/>
      <c r="P316" s="243"/>
    </row>
    <row r="317" spans="1:16" x14ac:dyDescent="0.25">
      <c r="L317" s="253"/>
      <c r="P317" s="243"/>
    </row>
  </sheetData>
  <conditionalFormatting sqref="J6:K305">
    <cfRule type="cellIs" dxfId="15" priority="1" operator="lessThanOrEqual">
      <formula>0</formula>
    </cfRule>
  </conditionalFormatting>
  <hyperlinks>
    <hyperlink ref="C2" r:id="rId1" xr:uid="{F9F880FD-9D68-4606-A0DD-BC182F0C012C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50C5-60E7-4124-AEFC-156541575466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2.2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x14ac:dyDescent="0.25">
      <c r="A1" s="80"/>
      <c r="B1" s="80"/>
      <c r="C1" s="80"/>
      <c r="D1" s="80"/>
      <c r="E1" s="80"/>
      <c r="F1" s="80"/>
      <c r="G1" s="80"/>
      <c r="H1" s="81" t="s">
        <v>38</v>
      </c>
      <c r="I1" s="82" t="s">
        <v>39</v>
      </c>
      <c r="J1" s="82" t="s">
        <v>40</v>
      </c>
      <c r="K1" s="83" t="s">
        <v>128</v>
      </c>
      <c r="L1" s="84"/>
      <c r="M1" s="84"/>
    </row>
    <row r="2" spans="1:36" x14ac:dyDescent="0.25">
      <c r="A2" s="80"/>
      <c r="B2" s="47" t="s">
        <v>42</v>
      </c>
      <c r="C2" s="174" t="s">
        <v>137</v>
      </c>
      <c r="D2" s="68"/>
      <c r="E2" s="6"/>
      <c r="F2" s="6"/>
      <c r="G2" s="6"/>
      <c r="H2" s="86">
        <v>38</v>
      </c>
      <c r="I2" s="87">
        <v>50</v>
      </c>
      <c r="J2" s="87">
        <v>10</v>
      </c>
      <c r="K2" s="121">
        <f>3*H2^(1/3)</f>
        <v>10.085926220396889</v>
      </c>
      <c r="L2" s="84"/>
      <c r="M2" s="84"/>
    </row>
    <row r="3" spans="1:36" x14ac:dyDescent="0.25">
      <c r="A3" s="80"/>
      <c r="B3" s="89" t="s">
        <v>44</v>
      </c>
      <c r="C3" s="131" t="s">
        <v>138</v>
      </c>
      <c r="D3" s="69"/>
      <c r="E3" s="7"/>
      <c r="F3" s="7"/>
      <c r="G3" s="7"/>
      <c r="H3" s="84"/>
      <c r="I3" s="84"/>
      <c r="J3" s="90"/>
      <c r="K3" s="84"/>
      <c r="L3" s="84"/>
      <c r="M3" s="84"/>
    </row>
    <row r="4" spans="1:36" ht="10.199999999999999" customHeight="1" x14ac:dyDescent="0.25">
      <c r="A4" s="8"/>
      <c r="B4" s="7"/>
      <c r="C4" s="8"/>
      <c r="D4" s="8"/>
      <c r="E4" s="8"/>
      <c r="F4" s="8"/>
      <c r="G4" s="8"/>
      <c r="H4" s="84"/>
      <c r="I4" s="84"/>
      <c r="J4" s="90"/>
      <c r="K4" s="84"/>
      <c r="L4" s="84"/>
      <c r="M4" s="84"/>
    </row>
    <row r="5" spans="1:36" ht="34.65" x14ac:dyDescent="0.25">
      <c r="A5" s="1" t="s">
        <v>45</v>
      </c>
      <c r="B5" s="37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8"/>
      <c r="H5" s="91" t="s">
        <v>51</v>
      </c>
      <c r="I5" s="92" t="s">
        <v>52</v>
      </c>
      <c r="J5" s="93" t="s">
        <v>93</v>
      </c>
      <c r="K5" s="92" t="s">
        <v>94</v>
      </c>
      <c r="L5" s="92" t="s">
        <v>55</v>
      </c>
      <c r="M5" s="91" t="s">
        <v>56</v>
      </c>
    </row>
    <row r="6" spans="1:36" ht="14.45" customHeight="1" x14ac:dyDescent="0.25">
      <c r="A6" s="94">
        <f>M6</f>
        <v>140.25777866119066</v>
      </c>
      <c r="B6" s="36">
        <f t="shared" ref="B6:B59" si="0">IF(H6&gt;$H$2,"",(ROW()-5))</f>
        <v>1</v>
      </c>
      <c r="C6" s="24" t="s">
        <v>95</v>
      </c>
      <c r="D6" s="24"/>
      <c r="E6" s="24"/>
      <c r="F6" s="24"/>
      <c r="G6" s="8"/>
      <c r="H6" s="95">
        <v>1</v>
      </c>
      <c r="I6" s="96">
        <f t="shared" ref="I6:I59" si="1">IF(H6&lt;$H$2+1,($I$2-($I$2-1)*(LOG(H6)/LOG($H$2))),"")</f>
        <v>50</v>
      </c>
      <c r="J6" s="95">
        <f>INT(LOG($H$2,2))-ROUNDUP(LOG(H6,2),0)+IF(OR($H$2=1,$H$2=2,$H$2=4,$H$2=8,$H$2=16,$H$2=32,$H$2=64,$H$2=128,$H$2=256),0,1)</f>
        <v>6</v>
      </c>
      <c r="K6" s="95">
        <f t="shared" ref="K6:K59" si="2">J6*$J$2</f>
        <v>60</v>
      </c>
      <c r="L6" s="97">
        <f>3*K2</f>
        <v>30.257778661190667</v>
      </c>
      <c r="M6" s="97">
        <f t="shared" ref="M6:M59" si="3">IF(I6&lt;&gt;"",K6+I6+L6,0)</f>
        <v>140.25777866119066</v>
      </c>
    </row>
    <row r="7" spans="1:36" ht="14.45" customHeight="1" x14ac:dyDescent="0.25">
      <c r="A7" s="98">
        <f t="shared" ref="A7:A59" si="4">M7</f>
        <v>110.83483323188187</v>
      </c>
      <c r="B7" s="35">
        <f t="shared" si="0"/>
        <v>2</v>
      </c>
      <c r="C7" s="25" t="s">
        <v>95</v>
      </c>
      <c r="D7" s="25"/>
      <c r="E7" s="25"/>
      <c r="F7" s="25"/>
      <c r="G7" s="8"/>
      <c r="H7" s="99">
        <v>2</v>
      </c>
      <c r="I7" s="100">
        <f t="shared" si="1"/>
        <v>40.662980791088103</v>
      </c>
      <c r="J7" s="99">
        <f t="shared" ref="J7:J59" si="5">INT(LOG($H$2,2))-ROUNDUP(LOG(H7,2),0)+IF(OR($H$2=1,$H$2=2,$H$2=4,$H$2=8,$H$2=16,$H$2=32,$H$2=64,$H$2=128,$H$2=256),0,1)</f>
        <v>5</v>
      </c>
      <c r="K7" s="99">
        <f t="shared" si="2"/>
        <v>50</v>
      </c>
      <c r="L7" s="101">
        <f>2*K2</f>
        <v>20.171852440793778</v>
      </c>
      <c r="M7" s="101">
        <f t="shared" si="3"/>
        <v>110.83483323188187</v>
      </c>
    </row>
    <row r="8" spans="1:36" ht="14.45" customHeight="1" x14ac:dyDescent="0.25">
      <c r="A8" s="94">
        <f t="shared" si="4"/>
        <v>85.287100905758422</v>
      </c>
      <c r="B8" s="36">
        <f t="shared" si="0"/>
        <v>3</v>
      </c>
      <c r="C8" s="24" t="s">
        <v>19</v>
      </c>
      <c r="D8" s="24"/>
      <c r="E8" s="24"/>
      <c r="F8" s="24"/>
      <c r="G8" s="8"/>
      <c r="H8" s="95">
        <v>3</v>
      </c>
      <c r="I8" s="96">
        <f t="shared" si="1"/>
        <v>35.201174685361529</v>
      </c>
      <c r="J8" s="95">
        <f t="shared" si="5"/>
        <v>4</v>
      </c>
      <c r="K8" s="95">
        <f t="shared" si="2"/>
        <v>40</v>
      </c>
      <c r="L8" s="97">
        <f>K2</f>
        <v>10.085926220396889</v>
      </c>
      <c r="M8" s="97">
        <f t="shared" si="3"/>
        <v>85.287100905758422</v>
      </c>
    </row>
    <row r="9" spans="1:36" s="85" customFormat="1" ht="14.45" customHeight="1" x14ac:dyDescent="0.25">
      <c r="A9" s="98">
        <f t="shared" si="4"/>
        <v>85.287100905758422</v>
      </c>
      <c r="B9" s="35">
        <f>IF(H9&gt;$H$2,"",3)</f>
        <v>3</v>
      </c>
      <c r="C9" s="25" t="s">
        <v>95</v>
      </c>
      <c r="D9" s="25"/>
      <c r="E9" s="25"/>
      <c r="F9" s="25"/>
      <c r="G9" s="8"/>
      <c r="H9" s="99">
        <v>3</v>
      </c>
      <c r="I9" s="100">
        <f t="shared" si="1"/>
        <v>35.201174685361529</v>
      </c>
      <c r="J9" s="99">
        <f t="shared" si="5"/>
        <v>4</v>
      </c>
      <c r="K9" s="99">
        <f t="shared" si="2"/>
        <v>40</v>
      </c>
      <c r="L9" s="101">
        <f>K2</f>
        <v>10.085926220396889</v>
      </c>
      <c r="M9" s="101">
        <f t="shared" si="3"/>
        <v>85.287100905758422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95</v>
      </c>
      <c r="AI9" s="85">
        <v>23</v>
      </c>
    </row>
    <row r="10" spans="1:36" ht="14.45" customHeight="1" x14ac:dyDescent="0.25">
      <c r="A10" s="94">
        <f t="shared" si="4"/>
        <v>58.320112776324493</v>
      </c>
      <c r="B10" s="36">
        <f t="shared" si="0"/>
        <v>5</v>
      </c>
      <c r="C10" s="24" t="s">
        <v>20</v>
      </c>
      <c r="D10" s="24"/>
      <c r="E10" s="24"/>
      <c r="F10" s="24"/>
      <c r="G10" s="8"/>
      <c r="H10" s="95">
        <v>5</v>
      </c>
      <c r="I10" s="96">
        <f t="shared" si="1"/>
        <v>28.320112776324493</v>
      </c>
      <c r="J10" s="95">
        <f t="shared" si="5"/>
        <v>3</v>
      </c>
      <c r="K10" s="95">
        <f t="shared" si="2"/>
        <v>30</v>
      </c>
      <c r="L10" s="95"/>
      <c r="M10" s="97">
        <f t="shared" si="3"/>
        <v>58.320112776324493</v>
      </c>
      <c r="V10" s="102"/>
      <c r="Z10" s="103"/>
      <c r="AA10" s="103"/>
      <c r="AG10" s="104"/>
      <c r="AH10" s="85" t="s">
        <v>96</v>
      </c>
      <c r="AI10" s="85">
        <v>45</v>
      </c>
    </row>
    <row r="11" spans="1:36" ht="14.45" customHeight="1" x14ac:dyDescent="0.25">
      <c r="A11" s="98">
        <f t="shared" si="4"/>
        <v>55.864155476449632</v>
      </c>
      <c r="B11" s="35">
        <f t="shared" si="0"/>
        <v>6</v>
      </c>
      <c r="C11" s="25" t="s">
        <v>95</v>
      </c>
      <c r="D11" s="25"/>
      <c r="E11" s="25"/>
      <c r="F11" s="25"/>
      <c r="G11" s="8"/>
      <c r="H11" s="99">
        <v>6</v>
      </c>
      <c r="I11" s="100">
        <f t="shared" si="1"/>
        <v>25.864155476449632</v>
      </c>
      <c r="J11" s="99">
        <f t="shared" si="5"/>
        <v>3</v>
      </c>
      <c r="K11" s="99">
        <f t="shared" si="2"/>
        <v>30</v>
      </c>
      <c r="L11" s="99"/>
      <c r="M11" s="101">
        <f t="shared" si="3"/>
        <v>55.864155476449632</v>
      </c>
      <c r="V11" s="105"/>
      <c r="Z11" s="103"/>
      <c r="AA11" s="103"/>
      <c r="AG11" s="104"/>
      <c r="AH11" s="85" t="s">
        <v>97</v>
      </c>
      <c r="AI11" s="85">
        <v>50</v>
      </c>
    </row>
    <row r="12" spans="1:36" ht="14.45" customHeight="1" x14ac:dyDescent="0.25">
      <c r="A12" s="94">
        <f t="shared" si="4"/>
        <v>53.787673166514793</v>
      </c>
      <c r="B12" s="36">
        <f t="shared" si="0"/>
        <v>7</v>
      </c>
      <c r="C12" s="24" t="s">
        <v>95</v>
      </c>
      <c r="D12" s="24"/>
      <c r="E12" s="24"/>
      <c r="F12" s="24"/>
      <c r="G12" s="8"/>
      <c r="H12" s="95">
        <v>7</v>
      </c>
      <c r="I12" s="96">
        <f t="shared" si="1"/>
        <v>23.787673166514793</v>
      </c>
      <c r="J12" s="95">
        <f t="shared" si="5"/>
        <v>3</v>
      </c>
      <c r="K12" s="95">
        <f t="shared" si="2"/>
        <v>30</v>
      </c>
      <c r="L12" s="95"/>
      <c r="M12" s="97">
        <f t="shared" si="3"/>
        <v>53.787673166514793</v>
      </c>
      <c r="Z12" s="103"/>
      <c r="AA12" s="103"/>
      <c r="AG12" s="104"/>
      <c r="AH12" s="85" t="s">
        <v>98</v>
      </c>
      <c r="AI12" s="85">
        <f>AI11-1</f>
        <v>49</v>
      </c>
    </row>
    <row r="13" spans="1:36" ht="14.45" customHeight="1" x14ac:dyDescent="0.25">
      <c r="A13" s="98">
        <f t="shared" si="4"/>
        <v>51.988942373264308</v>
      </c>
      <c r="B13" s="35">
        <f t="shared" si="0"/>
        <v>8</v>
      </c>
      <c r="C13" s="25" t="s">
        <v>95</v>
      </c>
      <c r="D13" s="25"/>
      <c r="E13" s="25"/>
      <c r="F13" s="25"/>
      <c r="G13" s="8"/>
      <c r="H13" s="99">
        <v>8</v>
      </c>
      <c r="I13" s="100">
        <f t="shared" si="1"/>
        <v>21.988942373264312</v>
      </c>
      <c r="J13" s="99">
        <f t="shared" si="5"/>
        <v>3</v>
      </c>
      <c r="K13" s="99">
        <f t="shared" si="2"/>
        <v>30</v>
      </c>
      <c r="L13" s="99"/>
      <c r="M13" s="101">
        <f t="shared" si="3"/>
        <v>51.988942373264308</v>
      </c>
      <c r="X13" s="102"/>
      <c r="AG13" s="104"/>
      <c r="AH13" s="85" t="s">
        <v>101</v>
      </c>
      <c r="AI13" s="85">
        <f>LOG(AI9)</f>
        <v>1.3617278360175928</v>
      </c>
    </row>
    <row r="14" spans="1:36" x14ac:dyDescent="0.25">
      <c r="A14" s="94">
        <f t="shared" si="4"/>
        <v>40.402349370723059</v>
      </c>
      <c r="B14" s="36">
        <f t="shared" si="0"/>
        <v>9</v>
      </c>
      <c r="C14" s="24" t="s">
        <v>95</v>
      </c>
      <c r="D14" s="24"/>
      <c r="E14" s="24"/>
      <c r="F14" s="24"/>
      <c r="G14" s="8"/>
      <c r="H14" s="95">
        <v>9</v>
      </c>
      <c r="I14" s="96">
        <f t="shared" si="1"/>
        <v>20.402349370723059</v>
      </c>
      <c r="J14" s="95">
        <f t="shared" si="5"/>
        <v>2</v>
      </c>
      <c r="K14" s="95">
        <f t="shared" si="2"/>
        <v>20</v>
      </c>
      <c r="L14" s="95"/>
      <c r="M14" s="97">
        <f t="shared" si="3"/>
        <v>40.402349370723059</v>
      </c>
      <c r="X14" s="106"/>
      <c r="Z14" s="103"/>
      <c r="AA14" s="103"/>
      <c r="AG14" s="104"/>
      <c r="AH14" s="85" t="s">
        <v>102</v>
      </c>
      <c r="AI14" s="85">
        <f>LOG(AI10)</f>
        <v>1.6532125137753437</v>
      </c>
    </row>
    <row r="15" spans="1:36" x14ac:dyDescent="0.25">
      <c r="A15" s="98">
        <f t="shared" si="4"/>
        <v>38.983093567412595</v>
      </c>
      <c r="B15" s="35">
        <f t="shared" si="0"/>
        <v>10</v>
      </c>
      <c r="C15" s="25" t="s">
        <v>95</v>
      </c>
      <c r="D15" s="25"/>
      <c r="E15" s="25"/>
      <c r="F15" s="25"/>
      <c r="G15" s="8"/>
      <c r="H15" s="99">
        <v>10</v>
      </c>
      <c r="I15" s="100">
        <f t="shared" si="1"/>
        <v>18.983093567412595</v>
      </c>
      <c r="J15" s="99">
        <f t="shared" si="5"/>
        <v>2</v>
      </c>
      <c r="K15" s="99">
        <f t="shared" si="2"/>
        <v>20</v>
      </c>
      <c r="L15" s="99"/>
      <c r="M15" s="101">
        <f t="shared" si="3"/>
        <v>38.983093567412595</v>
      </c>
      <c r="X15" s="102"/>
      <c r="Z15" s="103"/>
      <c r="AA15" s="103"/>
    </row>
    <row r="16" spans="1:36" x14ac:dyDescent="0.25">
      <c r="A16" s="94">
        <f t="shared" si="4"/>
        <v>37.699220524866377</v>
      </c>
      <c r="B16" s="36">
        <f t="shared" si="0"/>
        <v>11</v>
      </c>
      <c r="C16" s="24" t="s">
        <v>95</v>
      </c>
      <c r="D16" s="24"/>
      <c r="E16" s="24"/>
      <c r="F16" s="24"/>
      <c r="G16" s="8"/>
      <c r="H16" s="95">
        <v>11</v>
      </c>
      <c r="I16" s="96">
        <f t="shared" si="1"/>
        <v>17.699220524866377</v>
      </c>
      <c r="J16" s="95">
        <f t="shared" si="5"/>
        <v>2</v>
      </c>
      <c r="K16" s="95">
        <f t="shared" si="2"/>
        <v>20</v>
      </c>
      <c r="L16" s="95"/>
      <c r="M16" s="97">
        <f t="shared" si="3"/>
        <v>37.699220524866377</v>
      </c>
      <c r="R16" s="107"/>
      <c r="Z16" s="103"/>
      <c r="AA16" s="103"/>
      <c r="AH16" s="108" t="s">
        <v>104</v>
      </c>
      <c r="AI16" s="85">
        <f>AI11-AI12*AI13/AI14</f>
        <v>9.6393909380186855</v>
      </c>
      <c r="AJ16" s="85" t="s">
        <v>105</v>
      </c>
    </row>
    <row r="17" spans="1:19" x14ac:dyDescent="0.25">
      <c r="A17" s="98">
        <f t="shared" si="4"/>
        <v>36.527136267537735</v>
      </c>
      <c r="B17" s="35">
        <f t="shared" si="0"/>
        <v>12</v>
      </c>
      <c r="C17" s="25" t="s">
        <v>29</v>
      </c>
      <c r="D17" s="25"/>
      <c r="E17" s="25"/>
      <c r="F17" s="25"/>
      <c r="G17" s="8"/>
      <c r="H17" s="99">
        <v>12</v>
      </c>
      <c r="I17" s="100">
        <f t="shared" si="1"/>
        <v>16.527136267537735</v>
      </c>
      <c r="J17" s="99">
        <f t="shared" si="5"/>
        <v>2</v>
      </c>
      <c r="K17" s="99">
        <f t="shared" si="2"/>
        <v>20</v>
      </c>
      <c r="L17" s="99"/>
      <c r="M17" s="101">
        <f t="shared" si="3"/>
        <v>36.527136267537735</v>
      </c>
    </row>
    <row r="18" spans="1:19" x14ac:dyDescent="0.25">
      <c r="A18" s="94">
        <f t="shared" si="4"/>
        <v>35.448923270296099</v>
      </c>
      <c r="B18" s="36">
        <f t="shared" si="0"/>
        <v>13</v>
      </c>
      <c r="C18" s="24" t="s">
        <v>95</v>
      </c>
      <c r="D18" s="24"/>
      <c r="E18" s="24"/>
      <c r="F18" s="24"/>
      <c r="G18" s="8"/>
      <c r="H18" s="95">
        <v>13</v>
      </c>
      <c r="I18" s="96">
        <f t="shared" si="1"/>
        <v>15.448923270296099</v>
      </c>
      <c r="J18" s="95">
        <f t="shared" si="5"/>
        <v>2</v>
      </c>
      <c r="K18" s="95">
        <f t="shared" si="2"/>
        <v>20</v>
      </c>
      <c r="L18" s="95"/>
      <c r="M18" s="97">
        <f t="shared" si="3"/>
        <v>35.448923270296099</v>
      </c>
    </row>
    <row r="19" spans="1:19" x14ac:dyDescent="0.25">
      <c r="A19" s="98">
        <f t="shared" si="4"/>
        <v>34.450653957602896</v>
      </c>
      <c r="B19" s="35">
        <f t="shared" si="0"/>
        <v>14</v>
      </c>
      <c r="C19" s="25" t="s">
        <v>21</v>
      </c>
      <c r="D19" s="25"/>
      <c r="E19" s="25"/>
      <c r="F19" s="25"/>
      <c r="G19" s="8"/>
      <c r="H19" s="99">
        <v>14</v>
      </c>
      <c r="I19" s="100">
        <f t="shared" si="1"/>
        <v>14.450653957602896</v>
      </c>
      <c r="J19" s="99">
        <f t="shared" si="5"/>
        <v>2</v>
      </c>
      <c r="K19" s="99">
        <f t="shared" si="2"/>
        <v>20</v>
      </c>
      <c r="L19" s="99"/>
      <c r="M19" s="101">
        <f t="shared" si="3"/>
        <v>34.450653957602896</v>
      </c>
    </row>
    <row r="20" spans="1:19" x14ac:dyDescent="0.25">
      <c r="A20" s="94">
        <f t="shared" si="4"/>
        <v>33.521287461686022</v>
      </c>
      <c r="B20" s="36">
        <f t="shared" si="0"/>
        <v>15</v>
      </c>
      <c r="C20" s="24" t="s">
        <v>95</v>
      </c>
      <c r="D20" s="24"/>
      <c r="E20" s="24"/>
      <c r="F20" s="24"/>
      <c r="G20" s="8"/>
      <c r="H20" s="95">
        <v>15</v>
      </c>
      <c r="I20" s="96">
        <f t="shared" si="1"/>
        <v>13.521287461686022</v>
      </c>
      <c r="J20" s="95">
        <f t="shared" si="5"/>
        <v>2</v>
      </c>
      <c r="K20" s="95">
        <f t="shared" si="2"/>
        <v>20</v>
      </c>
      <c r="L20" s="95"/>
      <c r="M20" s="97">
        <f t="shared" si="3"/>
        <v>33.521287461686022</v>
      </c>
      <c r="R20" s="109"/>
      <c r="S20" s="110"/>
    </row>
    <row r="21" spans="1:19" x14ac:dyDescent="0.25">
      <c r="A21" s="98">
        <f t="shared" si="4"/>
        <v>32.651923164352411</v>
      </c>
      <c r="B21" s="35">
        <f t="shared" si="0"/>
        <v>16</v>
      </c>
      <c r="C21" s="25" t="s">
        <v>95</v>
      </c>
      <c r="D21" s="25"/>
      <c r="E21" s="25"/>
      <c r="F21" s="25"/>
      <c r="G21" s="8"/>
      <c r="H21" s="99">
        <v>16</v>
      </c>
      <c r="I21" s="100">
        <f t="shared" si="1"/>
        <v>12.651923164352411</v>
      </c>
      <c r="J21" s="99">
        <f t="shared" si="5"/>
        <v>2</v>
      </c>
      <c r="K21" s="99">
        <f t="shared" si="2"/>
        <v>20</v>
      </c>
      <c r="L21" s="99"/>
      <c r="M21" s="101">
        <f t="shared" si="3"/>
        <v>32.651923164352411</v>
      </c>
    </row>
    <row r="22" spans="1:19" x14ac:dyDescent="0.25">
      <c r="A22" s="94">
        <f t="shared" si="4"/>
        <v>21.835280935531983</v>
      </c>
      <c r="B22" s="36">
        <f t="shared" si="0"/>
        <v>17</v>
      </c>
      <c r="C22" s="24" t="s">
        <v>95</v>
      </c>
      <c r="D22" s="24"/>
      <c r="E22" s="24"/>
      <c r="F22" s="24"/>
      <c r="G22" s="8"/>
      <c r="H22" s="95">
        <v>17</v>
      </c>
      <c r="I22" s="96">
        <f t="shared" si="1"/>
        <v>11.835280935531983</v>
      </c>
      <c r="J22" s="95">
        <f t="shared" si="5"/>
        <v>1</v>
      </c>
      <c r="K22" s="95">
        <f t="shared" si="2"/>
        <v>10</v>
      </c>
      <c r="L22" s="95"/>
      <c r="M22" s="97">
        <f t="shared" si="3"/>
        <v>21.835280935531983</v>
      </c>
    </row>
    <row r="23" spans="1:19" x14ac:dyDescent="0.25">
      <c r="A23" s="98">
        <f t="shared" si="4"/>
        <v>21.065330161811161</v>
      </c>
      <c r="B23" s="35">
        <f t="shared" si="0"/>
        <v>18</v>
      </c>
      <c r="C23" s="25" t="s">
        <v>95</v>
      </c>
      <c r="D23" s="25"/>
      <c r="E23" s="25"/>
      <c r="F23" s="25"/>
      <c r="G23" s="8"/>
      <c r="H23" s="99">
        <v>18</v>
      </c>
      <c r="I23" s="100">
        <f t="shared" si="1"/>
        <v>11.065330161811161</v>
      </c>
      <c r="J23" s="99">
        <f t="shared" si="5"/>
        <v>1</v>
      </c>
      <c r="K23" s="99">
        <f t="shared" si="2"/>
        <v>10</v>
      </c>
      <c r="L23" s="99"/>
      <c r="M23" s="101">
        <f t="shared" si="3"/>
        <v>21.065330161811161</v>
      </c>
    </row>
    <row r="24" spans="1:19" x14ac:dyDescent="0.25">
      <c r="A24" s="94">
        <f t="shared" si="4"/>
        <v>20.337019208911897</v>
      </c>
      <c r="B24" s="36">
        <f t="shared" si="0"/>
        <v>19</v>
      </c>
      <c r="C24" s="24" t="s">
        <v>95</v>
      </c>
      <c r="D24" s="24"/>
      <c r="E24" s="24"/>
      <c r="F24" s="24"/>
      <c r="G24" s="8"/>
      <c r="H24" s="95">
        <v>19</v>
      </c>
      <c r="I24" s="96">
        <f t="shared" si="1"/>
        <v>10.337019208911897</v>
      </c>
      <c r="J24" s="95">
        <f t="shared" si="5"/>
        <v>1</v>
      </c>
      <c r="K24" s="95">
        <f t="shared" si="2"/>
        <v>10</v>
      </c>
      <c r="L24" s="95"/>
      <c r="M24" s="97">
        <f t="shared" si="3"/>
        <v>20.337019208911897</v>
      </c>
      <c r="R24" s="109"/>
      <c r="S24" s="110"/>
    </row>
    <row r="25" spans="1:19" x14ac:dyDescent="0.25">
      <c r="A25" s="98">
        <f t="shared" si="4"/>
        <v>19.646074358500698</v>
      </c>
      <c r="B25" s="35">
        <f t="shared" si="0"/>
        <v>20</v>
      </c>
      <c r="C25" s="25" t="s">
        <v>95</v>
      </c>
      <c r="D25" s="25"/>
      <c r="E25" s="25"/>
      <c r="F25" s="25"/>
      <c r="G25" s="8"/>
      <c r="H25" s="99">
        <v>20</v>
      </c>
      <c r="I25" s="100">
        <f t="shared" si="1"/>
        <v>9.6460743585006981</v>
      </c>
      <c r="J25" s="99">
        <f t="shared" si="5"/>
        <v>1</v>
      </c>
      <c r="K25" s="99">
        <f t="shared" si="2"/>
        <v>10</v>
      </c>
      <c r="L25" s="99"/>
      <c r="M25" s="101">
        <f t="shared" si="3"/>
        <v>19.646074358500698</v>
      </c>
    </row>
    <row r="26" spans="1:19" x14ac:dyDescent="0.25">
      <c r="A26" s="94">
        <f t="shared" si="4"/>
        <v>18.988847851876315</v>
      </c>
      <c r="B26" s="36">
        <f t="shared" si="0"/>
        <v>21</v>
      </c>
      <c r="C26" s="24" t="s">
        <v>95</v>
      </c>
      <c r="D26" s="24"/>
      <c r="E26" s="24"/>
      <c r="F26" s="24"/>
      <c r="G26" s="8"/>
      <c r="H26" s="95">
        <v>21</v>
      </c>
      <c r="I26" s="96">
        <f t="shared" si="1"/>
        <v>8.9888478518763151</v>
      </c>
      <c r="J26" s="95">
        <f t="shared" si="5"/>
        <v>1</v>
      </c>
      <c r="K26" s="95">
        <f t="shared" si="2"/>
        <v>10</v>
      </c>
      <c r="L26" s="95"/>
      <c r="M26" s="97">
        <f t="shared" si="3"/>
        <v>18.988847851876315</v>
      </c>
    </row>
    <row r="27" spans="1:19" x14ac:dyDescent="0.25">
      <c r="A27" s="98">
        <f t="shared" si="4"/>
        <v>18.362201315954486</v>
      </c>
      <c r="B27" s="35">
        <f t="shared" si="0"/>
        <v>22</v>
      </c>
      <c r="C27" s="25" t="s">
        <v>95</v>
      </c>
      <c r="D27" s="25"/>
      <c r="E27" s="25"/>
      <c r="F27" s="25"/>
      <c r="G27" s="8"/>
      <c r="H27" s="99">
        <v>22</v>
      </c>
      <c r="I27" s="100">
        <f t="shared" si="1"/>
        <v>8.3622013159544863</v>
      </c>
      <c r="J27" s="99">
        <f t="shared" si="5"/>
        <v>1</v>
      </c>
      <c r="K27" s="99">
        <f t="shared" si="2"/>
        <v>10</v>
      </c>
      <c r="L27" s="99"/>
      <c r="M27" s="101">
        <f t="shared" si="3"/>
        <v>18.362201315954486</v>
      </c>
    </row>
    <row r="28" spans="1:19" x14ac:dyDescent="0.25">
      <c r="A28" s="94">
        <f t="shared" si="4"/>
        <v>17.763415123592601</v>
      </c>
      <c r="B28" s="36">
        <f t="shared" si="0"/>
        <v>23</v>
      </c>
      <c r="C28" s="24" t="s">
        <v>95</v>
      </c>
      <c r="D28" s="24"/>
      <c r="E28" s="24"/>
      <c r="F28" s="24"/>
      <c r="G28" s="8"/>
      <c r="H28" s="95">
        <v>23</v>
      </c>
      <c r="I28" s="96">
        <f t="shared" si="1"/>
        <v>7.7634151235926012</v>
      </c>
      <c r="J28" s="95">
        <f t="shared" si="5"/>
        <v>1</v>
      </c>
      <c r="K28" s="95">
        <f t="shared" si="2"/>
        <v>10</v>
      </c>
      <c r="L28" s="95"/>
      <c r="M28" s="97">
        <f t="shared" si="3"/>
        <v>17.763415123592601</v>
      </c>
      <c r="R28" s="109"/>
      <c r="S28" s="110"/>
    </row>
    <row r="29" spans="1:19" x14ac:dyDescent="0.25">
      <c r="A29" s="98">
        <f t="shared" si="4"/>
        <v>17.190117058625844</v>
      </c>
      <c r="B29" s="35">
        <f t="shared" si="0"/>
        <v>24</v>
      </c>
      <c r="C29" s="25" t="s">
        <v>95</v>
      </c>
      <c r="D29" s="25"/>
      <c r="E29" s="25"/>
      <c r="F29" s="25"/>
      <c r="G29" s="80"/>
      <c r="H29" s="99">
        <v>24</v>
      </c>
      <c r="I29" s="100">
        <f t="shared" si="1"/>
        <v>7.1901170586258445</v>
      </c>
      <c r="J29" s="99">
        <f t="shared" si="5"/>
        <v>1</v>
      </c>
      <c r="K29" s="99">
        <f t="shared" si="2"/>
        <v>10</v>
      </c>
      <c r="L29" s="99"/>
      <c r="M29" s="101">
        <f t="shared" si="3"/>
        <v>17.190117058625844</v>
      </c>
    </row>
    <row r="30" spans="1:19" x14ac:dyDescent="0.25">
      <c r="A30" s="94">
        <f t="shared" si="4"/>
        <v>16.640225552648985</v>
      </c>
      <c r="B30" s="36">
        <f t="shared" si="0"/>
        <v>25</v>
      </c>
      <c r="C30" s="24" t="s">
        <v>95</v>
      </c>
      <c r="D30" s="24"/>
      <c r="E30" s="24"/>
      <c r="F30" s="24"/>
      <c r="G30" s="80"/>
      <c r="H30" s="95">
        <v>25</v>
      </c>
      <c r="I30" s="96">
        <f t="shared" si="1"/>
        <v>6.6402255526489853</v>
      </c>
      <c r="J30" s="95">
        <f t="shared" si="5"/>
        <v>1</v>
      </c>
      <c r="K30" s="95">
        <f t="shared" si="2"/>
        <v>10</v>
      </c>
      <c r="L30" s="95"/>
      <c r="M30" s="97">
        <f t="shared" si="3"/>
        <v>16.640225552648985</v>
      </c>
    </row>
    <row r="31" spans="1:19" x14ac:dyDescent="0.25">
      <c r="A31" s="98">
        <f t="shared" si="4"/>
        <v>16.111904061384202</v>
      </c>
      <c r="B31" s="35">
        <f t="shared" si="0"/>
        <v>26</v>
      </c>
      <c r="C31" s="25" t="s">
        <v>95</v>
      </c>
      <c r="D31" s="25"/>
      <c r="E31" s="25"/>
      <c r="F31" s="25"/>
      <c r="G31" s="80"/>
      <c r="H31" s="99">
        <v>26</v>
      </c>
      <c r="I31" s="100">
        <f t="shared" si="1"/>
        <v>6.1119040613842017</v>
      </c>
      <c r="J31" s="99">
        <f t="shared" si="5"/>
        <v>1</v>
      </c>
      <c r="K31" s="99">
        <f t="shared" si="2"/>
        <v>10</v>
      </c>
      <c r="L31" s="99"/>
      <c r="M31" s="101">
        <f t="shared" si="3"/>
        <v>16.111904061384202</v>
      </c>
    </row>
    <row r="32" spans="1:19" x14ac:dyDescent="0.25">
      <c r="A32" s="94">
        <f t="shared" si="4"/>
        <v>15.603524056084588</v>
      </c>
      <c r="B32" s="36">
        <f t="shared" si="0"/>
        <v>27</v>
      </c>
      <c r="C32" s="24" t="s">
        <v>95</v>
      </c>
      <c r="D32" s="24"/>
      <c r="E32" s="24"/>
      <c r="F32" s="24"/>
      <c r="G32" s="80"/>
      <c r="H32" s="95">
        <v>27</v>
      </c>
      <c r="I32" s="96">
        <f t="shared" si="1"/>
        <v>5.6035240560845878</v>
      </c>
      <c r="J32" s="95">
        <f t="shared" si="5"/>
        <v>1</v>
      </c>
      <c r="K32" s="95">
        <f t="shared" si="2"/>
        <v>10</v>
      </c>
      <c r="L32" s="95"/>
      <c r="M32" s="97">
        <f t="shared" si="3"/>
        <v>15.603524056084588</v>
      </c>
      <c r="R32" s="109"/>
      <c r="S32" s="110"/>
    </row>
    <row r="33" spans="1:19" x14ac:dyDescent="0.25">
      <c r="A33" s="98">
        <f t="shared" si="4"/>
        <v>15.113634748690998</v>
      </c>
      <c r="B33" s="35">
        <f t="shared" si="0"/>
        <v>28</v>
      </c>
      <c r="C33" s="25" t="s">
        <v>95</v>
      </c>
      <c r="D33" s="25"/>
      <c r="E33" s="25"/>
      <c r="F33" s="25"/>
      <c r="G33" s="80"/>
      <c r="H33" s="99">
        <v>28</v>
      </c>
      <c r="I33" s="100">
        <f t="shared" si="1"/>
        <v>5.1136347486909983</v>
      </c>
      <c r="J33" s="99">
        <f t="shared" si="5"/>
        <v>1</v>
      </c>
      <c r="K33" s="99">
        <f t="shared" si="2"/>
        <v>10</v>
      </c>
      <c r="L33" s="99"/>
      <c r="M33" s="101">
        <f t="shared" si="3"/>
        <v>15.113634748690998</v>
      </c>
    </row>
    <row r="34" spans="1:19" x14ac:dyDescent="0.25">
      <c r="A34" s="94">
        <f t="shared" si="4"/>
        <v>14.64093813196493</v>
      </c>
      <c r="B34" s="36">
        <f t="shared" si="0"/>
        <v>29</v>
      </c>
      <c r="C34" s="24" t="s">
        <v>95</v>
      </c>
      <c r="D34" s="24"/>
      <c r="E34" s="24"/>
      <c r="F34" s="24"/>
      <c r="G34" s="80"/>
      <c r="H34" s="95">
        <v>29</v>
      </c>
      <c r="I34" s="96">
        <f t="shared" si="1"/>
        <v>4.6409381319649299</v>
      </c>
      <c r="J34" s="95">
        <f t="shared" si="5"/>
        <v>1</v>
      </c>
      <c r="K34" s="95">
        <f t="shared" si="2"/>
        <v>10</v>
      </c>
      <c r="L34" s="95"/>
      <c r="M34" s="97">
        <f t="shared" si="3"/>
        <v>14.64093813196493</v>
      </c>
    </row>
    <row r="35" spans="1:19" x14ac:dyDescent="0.25">
      <c r="A35" s="98">
        <f t="shared" si="4"/>
        <v>14.184268252774132</v>
      </c>
      <c r="B35" s="35">
        <f t="shared" si="0"/>
        <v>30</v>
      </c>
      <c r="C35" s="25" t="s">
        <v>95</v>
      </c>
      <c r="D35" s="25"/>
      <c r="E35" s="25"/>
      <c r="F35" s="25"/>
      <c r="G35" s="80"/>
      <c r="H35" s="99">
        <v>30</v>
      </c>
      <c r="I35" s="100">
        <f t="shared" si="1"/>
        <v>4.1842682527741317</v>
      </c>
      <c r="J35" s="99">
        <f t="shared" si="5"/>
        <v>1</v>
      </c>
      <c r="K35" s="99">
        <f t="shared" si="2"/>
        <v>10</v>
      </c>
      <c r="L35" s="99"/>
      <c r="M35" s="101">
        <f t="shared" si="3"/>
        <v>14.184268252774132</v>
      </c>
    </row>
    <row r="36" spans="1:19" x14ac:dyDescent="0.25">
      <c r="A36" s="94">
        <f t="shared" si="4"/>
        <v>13.742573885197309</v>
      </c>
      <c r="B36" s="36">
        <f t="shared" si="0"/>
        <v>31</v>
      </c>
      <c r="C36" s="24" t="s">
        <v>95</v>
      </c>
      <c r="D36" s="24"/>
      <c r="E36" s="24"/>
      <c r="F36" s="24"/>
      <c r="G36" s="80"/>
      <c r="H36" s="95">
        <v>31</v>
      </c>
      <c r="I36" s="96">
        <f t="shared" si="1"/>
        <v>3.7425738851973094</v>
      </c>
      <c r="J36" s="95">
        <f t="shared" si="5"/>
        <v>1</v>
      </c>
      <c r="K36" s="95">
        <f t="shared" si="2"/>
        <v>10</v>
      </c>
      <c r="L36" s="95"/>
      <c r="M36" s="97">
        <f t="shared" si="3"/>
        <v>13.742573885197309</v>
      </c>
      <c r="R36" s="109"/>
      <c r="S36" s="110"/>
    </row>
    <row r="37" spans="1:19" x14ac:dyDescent="0.25">
      <c r="A37" s="98">
        <f t="shared" si="4"/>
        <v>13.314903955440514</v>
      </c>
      <c r="B37" s="35">
        <f t="shared" si="0"/>
        <v>32</v>
      </c>
      <c r="C37" s="25" t="s">
        <v>95</v>
      </c>
      <c r="D37" s="25"/>
      <c r="E37" s="25"/>
      <c r="F37" s="25"/>
      <c r="G37" s="80"/>
      <c r="H37" s="99">
        <v>32</v>
      </c>
      <c r="I37" s="100">
        <f t="shared" si="1"/>
        <v>3.3149039554405135</v>
      </c>
      <c r="J37" s="99">
        <f t="shared" si="5"/>
        <v>1</v>
      </c>
      <c r="K37" s="99">
        <f t="shared" si="2"/>
        <v>10</v>
      </c>
      <c r="L37" s="99"/>
      <c r="M37" s="101">
        <f t="shared" si="3"/>
        <v>13.314903955440514</v>
      </c>
    </row>
    <row r="38" spans="1:19" x14ac:dyDescent="0.25">
      <c r="A38" s="94">
        <f t="shared" si="4"/>
        <v>2.9003952102279129</v>
      </c>
      <c r="B38" s="36">
        <f t="shared" si="0"/>
        <v>33</v>
      </c>
      <c r="C38" s="24" t="s">
        <v>95</v>
      </c>
      <c r="D38" s="24"/>
      <c r="E38" s="24"/>
      <c r="F38" s="24"/>
      <c r="G38" s="80"/>
      <c r="H38" s="95">
        <v>33</v>
      </c>
      <c r="I38" s="96">
        <f t="shared" si="1"/>
        <v>2.9003952102279129</v>
      </c>
      <c r="J38" s="95">
        <f t="shared" si="5"/>
        <v>0</v>
      </c>
      <c r="K38" s="95">
        <f t="shared" si="2"/>
        <v>0</v>
      </c>
      <c r="L38" s="95"/>
      <c r="M38" s="97">
        <f t="shared" si="3"/>
        <v>2.9003952102279129</v>
      </c>
    </row>
    <row r="39" spans="1:19" x14ac:dyDescent="0.25">
      <c r="A39" s="98">
        <f t="shared" si="4"/>
        <v>2.4982617266200862</v>
      </c>
      <c r="B39" s="35">
        <f t="shared" si="0"/>
        <v>34</v>
      </c>
      <c r="C39" s="25" t="s">
        <v>95</v>
      </c>
      <c r="D39" s="25"/>
      <c r="E39" s="25"/>
      <c r="F39" s="25"/>
      <c r="G39" s="80"/>
      <c r="H39" s="99">
        <v>34</v>
      </c>
      <c r="I39" s="100">
        <f t="shared" si="1"/>
        <v>2.4982617266200862</v>
      </c>
      <c r="J39" s="99">
        <f t="shared" si="5"/>
        <v>0</v>
      </c>
      <c r="K39" s="99">
        <f t="shared" si="2"/>
        <v>0</v>
      </c>
      <c r="L39" s="99"/>
      <c r="M39" s="101">
        <f t="shared" si="3"/>
        <v>2.4982617266200862</v>
      </c>
    </row>
    <row r="40" spans="1:19" x14ac:dyDescent="0.25">
      <c r="A40" s="94">
        <f t="shared" si="4"/>
        <v>2.1077859428392856</v>
      </c>
      <c r="B40" s="36">
        <f t="shared" si="0"/>
        <v>35</v>
      </c>
      <c r="C40" s="24" t="s">
        <v>28</v>
      </c>
      <c r="D40" s="24"/>
      <c r="E40" s="24"/>
      <c r="F40" s="24"/>
      <c r="G40" s="80"/>
      <c r="H40" s="95">
        <v>35</v>
      </c>
      <c r="I40" s="96">
        <f t="shared" si="1"/>
        <v>2.1077859428392856</v>
      </c>
      <c r="J40" s="95">
        <f t="shared" si="5"/>
        <v>0</v>
      </c>
      <c r="K40" s="95">
        <f t="shared" si="2"/>
        <v>0</v>
      </c>
      <c r="L40" s="95"/>
      <c r="M40" s="97">
        <f t="shared" si="3"/>
        <v>2.1077859428392856</v>
      </c>
    </row>
    <row r="41" spans="1:19" x14ac:dyDescent="0.25">
      <c r="A41" s="98">
        <f t="shared" si="4"/>
        <v>1.728310952899264</v>
      </c>
      <c r="B41" s="35">
        <f t="shared" si="0"/>
        <v>36</v>
      </c>
      <c r="C41" s="25" t="s">
        <v>95</v>
      </c>
      <c r="D41" s="25"/>
      <c r="E41" s="25"/>
      <c r="F41" s="25"/>
      <c r="G41" s="80"/>
      <c r="H41" s="99">
        <v>36</v>
      </c>
      <c r="I41" s="100">
        <f t="shared" si="1"/>
        <v>1.728310952899264</v>
      </c>
      <c r="J41" s="99">
        <f t="shared" si="5"/>
        <v>0</v>
      </c>
      <c r="K41" s="99">
        <f t="shared" si="2"/>
        <v>0</v>
      </c>
      <c r="L41" s="99"/>
      <c r="M41" s="101">
        <f t="shared" si="3"/>
        <v>1.728310952899264</v>
      </c>
      <c r="S41" s="111"/>
    </row>
    <row r="42" spans="1:19" x14ac:dyDescent="0.25">
      <c r="A42" s="94">
        <f t="shared" si="4"/>
        <v>1.3592338571917679</v>
      </c>
      <c r="B42" s="36">
        <f t="shared" si="0"/>
        <v>37</v>
      </c>
      <c r="C42" s="24" t="s">
        <v>33</v>
      </c>
      <c r="D42" s="24"/>
      <c r="E42" s="24"/>
      <c r="F42" s="24"/>
      <c r="G42" s="80"/>
      <c r="H42" s="95">
        <v>37</v>
      </c>
      <c r="I42" s="96">
        <f t="shared" si="1"/>
        <v>1.3592338571917679</v>
      </c>
      <c r="J42" s="95">
        <f t="shared" si="5"/>
        <v>0</v>
      </c>
      <c r="K42" s="95">
        <f t="shared" si="2"/>
        <v>0</v>
      </c>
      <c r="L42" s="95"/>
      <c r="M42" s="97">
        <f t="shared" si="3"/>
        <v>1.3592338571917679</v>
      </c>
    </row>
    <row r="43" spans="1:19" x14ac:dyDescent="0.25">
      <c r="A43" s="98">
        <f t="shared" si="4"/>
        <v>1</v>
      </c>
      <c r="B43" s="35">
        <f t="shared" si="0"/>
        <v>38</v>
      </c>
      <c r="C43" s="25" t="s">
        <v>95</v>
      </c>
      <c r="D43" s="25"/>
      <c r="E43" s="25"/>
      <c r="F43" s="25"/>
      <c r="G43" s="80"/>
      <c r="H43" s="99">
        <v>38</v>
      </c>
      <c r="I43" s="100">
        <f t="shared" si="1"/>
        <v>1</v>
      </c>
      <c r="J43" s="99">
        <f t="shared" si="5"/>
        <v>0</v>
      </c>
      <c r="K43" s="99">
        <f t="shared" si="2"/>
        <v>0</v>
      </c>
      <c r="L43" s="99"/>
      <c r="M43" s="101">
        <f t="shared" si="3"/>
        <v>1</v>
      </c>
    </row>
    <row r="44" spans="1:19" x14ac:dyDescent="0.25">
      <c r="A44" s="94">
        <f t="shared" si="4"/>
        <v>0</v>
      </c>
      <c r="B44" s="36" t="str">
        <f t="shared" si="0"/>
        <v/>
      </c>
      <c r="C44" s="24"/>
      <c r="D44" s="24"/>
      <c r="E44" s="24"/>
      <c r="F44" s="24"/>
      <c r="G44" s="80"/>
      <c r="H44" s="95">
        <v>39</v>
      </c>
      <c r="I44" s="96" t="str">
        <f t="shared" si="1"/>
        <v/>
      </c>
      <c r="J44" s="95">
        <f t="shared" si="5"/>
        <v>0</v>
      </c>
      <c r="K44" s="95">
        <f t="shared" si="2"/>
        <v>0</v>
      </c>
      <c r="L44" s="95"/>
      <c r="M44" s="97">
        <f t="shared" si="3"/>
        <v>0</v>
      </c>
    </row>
    <row r="45" spans="1:19" x14ac:dyDescent="0.25">
      <c r="A45" s="98">
        <f t="shared" si="4"/>
        <v>0</v>
      </c>
      <c r="B45" s="35" t="str">
        <f t="shared" si="0"/>
        <v/>
      </c>
      <c r="C45" s="25"/>
      <c r="D45" s="25"/>
      <c r="E45" s="25"/>
      <c r="F45" s="25"/>
      <c r="G45" s="80"/>
      <c r="H45" s="99">
        <v>40</v>
      </c>
      <c r="I45" s="100" t="str">
        <f t="shared" si="1"/>
        <v/>
      </c>
      <c r="J45" s="99">
        <f t="shared" si="5"/>
        <v>0</v>
      </c>
      <c r="K45" s="99">
        <f t="shared" si="2"/>
        <v>0</v>
      </c>
      <c r="L45" s="99"/>
      <c r="M45" s="101">
        <f t="shared" si="3"/>
        <v>0</v>
      </c>
    </row>
    <row r="46" spans="1:19" x14ac:dyDescent="0.25">
      <c r="A46" s="94">
        <f t="shared" si="4"/>
        <v>0</v>
      </c>
      <c r="B46" s="36" t="str">
        <f t="shared" si="0"/>
        <v/>
      </c>
      <c r="C46" s="24"/>
      <c r="D46" s="24"/>
      <c r="E46" s="24"/>
      <c r="F46" s="24"/>
      <c r="G46" s="80"/>
      <c r="H46" s="95">
        <v>41</v>
      </c>
      <c r="I46" s="96" t="str">
        <f t="shared" si="1"/>
        <v/>
      </c>
      <c r="J46" s="95">
        <f t="shared" si="5"/>
        <v>0</v>
      </c>
      <c r="K46" s="95">
        <f t="shared" si="2"/>
        <v>0</v>
      </c>
      <c r="L46" s="95"/>
      <c r="M46" s="97">
        <f t="shared" si="3"/>
        <v>0</v>
      </c>
    </row>
    <row r="47" spans="1:19" x14ac:dyDescent="0.25">
      <c r="A47" s="98">
        <f t="shared" si="4"/>
        <v>0</v>
      </c>
      <c r="B47" s="35" t="str">
        <f t="shared" si="0"/>
        <v/>
      </c>
      <c r="C47" s="25"/>
      <c r="D47" s="25"/>
      <c r="E47" s="25"/>
      <c r="F47" s="25"/>
      <c r="G47" s="80"/>
      <c r="H47" s="99">
        <v>42</v>
      </c>
      <c r="I47" s="100" t="str">
        <f t="shared" si="1"/>
        <v/>
      </c>
      <c r="J47" s="99">
        <f t="shared" si="5"/>
        <v>0</v>
      </c>
      <c r="K47" s="99">
        <f t="shared" si="2"/>
        <v>0</v>
      </c>
      <c r="L47" s="99"/>
      <c r="M47" s="101">
        <f t="shared" si="3"/>
        <v>0</v>
      </c>
    </row>
    <row r="48" spans="1:19" x14ac:dyDescent="0.25">
      <c r="A48" s="94">
        <f t="shared" si="4"/>
        <v>0</v>
      </c>
      <c r="B48" s="36" t="str">
        <f t="shared" si="0"/>
        <v/>
      </c>
      <c r="C48" s="24"/>
      <c r="D48" s="24"/>
      <c r="E48" s="24"/>
      <c r="F48" s="24"/>
      <c r="G48" s="80"/>
      <c r="H48" s="95">
        <v>43</v>
      </c>
      <c r="I48" s="96" t="str">
        <f t="shared" si="1"/>
        <v/>
      </c>
      <c r="J48" s="95">
        <f t="shared" si="5"/>
        <v>0</v>
      </c>
      <c r="K48" s="95">
        <f t="shared" si="2"/>
        <v>0</v>
      </c>
      <c r="L48" s="95"/>
      <c r="M48" s="97">
        <f t="shared" si="3"/>
        <v>0</v>
      </c>
    </row>
    <row r="49" spans="1:38" x14ac:dyDescent="0.25">
      <c r="A49" s="98">
        <f t="shared" si="4"/>
        <v>0</v>
      </c>
      <c r="B49" s="35" t="str">
        <f t="shared" si="0"/>
        <v/>
      </c>
      <c r="C49" s="25"/>
      <c r="D49" s="25"/>
      <c r="E49" s="25"/>
      <c r="F49" s="25"/>
      <c r="G49" s="80"/>
      <c r="H49" s="99">
        <v>44</v>
      </c>
      <c r="I49" s="100" t="str">
        <f t="shared" si="1"/>
        <v/>
      </c>
      <c r="J49" s="99">
        <f t="shared" si="5"/>
        <v>0</v>
      </c>
      <c r="K49" s="99">
        <f t="shared" si="2"/>
        <v>0</v>
      </c>
      <c r="L49" s="99"/>
      <c r="M49" s="101">
        <f t="shared" si="3"/>
        <v>0</v>
      </c>
    </row>
    <row r="50" spans="1:38" x14ac:dyDescent="0.25">
      <c r="A50" s="94">
        <f t="shared" si="4"/>
        <v>0</v>
      </c>
      <c r="B50" s="36" t="str">
        <f t="shared" si="0"/>
        <v/>
      </c>
      <c r="C50" s="24"/>
      <c r="D50" s="24"/>
      <c r="E50" s="24"/>
      <c r="F50" s="24"/>
      <c r="G50" s="80"/>
      <c r="H50" s="95">
        <v>45</v>
      </c>
      <c r="I50" s="96" t="str">
        <f t="shared" si="1"/>
        <v/>
      </c>
      <c r="J50" s="95">
        <f t="shared" si="5"/>
        <v>0</v>
      </c>
      <c r="K50" s="95">
        <f t="shared" si="2"/>
        <v>0</v>
      </c>
      <c r="L50" s="95"/>
      <c r="M50" s="97">
        <f t="shared" si="3"/>
        <v>0</v>
      </c>
    </row>
    <row r="51" spans="1:38" x14ac:dyDescent="0.25">
      <c r="A51" s="98">
        <f t="shared" si="4"/>
        <v>0</v>
      </c>
      <c r="B51" s="35" t="str">
        <f t="shared" si="0"/>
        <v/>
      </c>
      <c r="C51" s="25"/>
      <c r="D51" s="25"/>
      <c r="E51" s="25"/>
      <c r="F51" s="25"/>
      <c r="G51" s="80"/>
      <c r="H51" s="99">
        <v>46</v>
      </c>
      <c r="I51" s="100" t="str">
        <f t="shared" si="1"/>
        <v/>
      </c>
      <c r="J51" s="99">
        <f t="shared" si="5"/>
        <v>0</v>
      </c>
      <c r="K51" s="99">
        <f t="shared" si="2"/>
        <v>0</v>
      </c>
      <c r="L51" s="99"/>
      <c r="M51" s="101">
        <f t="shared" si="3"/>
        <v>0</v>
      </c>
    </row>
    <row r="52" spans="1:38" x14ac:dyDescent="0.25">
      <c r="A52" s="94">
        <f t="shared" si="4"/>
        <v>0</v>
      </c>
      <c r="B52" s="36" t="str">
        <f t="shared" si="0"/>
        <v/>
      </c>
      <c r="C52" s="24"/>
      <c r="D52" s="24"/>
      <c r="E52" s="24"/>
      <c r="F52" s="24"/>
      <c r="G52" s="80"/>
      <c r="H52" s="95">
        <v>47</v>
      </c>
      <c r="I52" s="96" t="str">
        <f t="shared" si="1"/>
        <v/>
      </c>
      <c r="J52" s="95">
        <f t="shared" si="5"/>
        <v>0</v>
      </c>
      <c r="K52" s="95">
        <f t="shared" si="2"/>
        <v>0</v>
      </c>
      <c r="L52" s="95"/>
      <c r="M52" s="97">
        <f t="shared" si="3"/>
        <v>0</v>
      </c>
    </row>
    <row r="53" spans="1:38" x14ac:dyDescent="0.25">
      <c r="A53" s="98">
        <f t="shared" si="4"/>
        <v>0</v>
      </c>
      <c r="B53" s="35" t="str">
        <f t="shared" si="0"/>
        <v/>
      </c>
      <c r="C53" s="25"/>
      <c r="D53" s="25"/>
      <c r="E53" s="25"/>
      <c r="F53" s="25"/>
      <c r="G53" s="80"/>
      <c r="H53" s="99">
        <v>48</v>
      </c>
      <c r="I53" s="100" t="str">
        <f t="shared" si="1"/>
        <v/>
      </c>
      <c r="J53" s="99">
        <f t="shared" si="5"/>
        <v>0</v>
      </c>
      <c r="K53" s="99">
        <f t="shared" si="2"/>
        <v>0</v>
      </c>
      <c r="L53" s="99"/>
      <c r="M53" s="101">
        <f t="shared" si="3"/>
        <v>0</v>
      </c>
    </row>
    <row r="54" spans="1:38" x14ac:dyDescent="0.25">
      <c r="A54" s="94">
        <f t="shared" si="4"/>
        <v>0</v>
      </c>
      <c r="B54" s="36" t="str">
        <f t="shared" si="0"/>
        <v/>
      </c>
      <c r="C54" s="24"/>
      <c r="D54" s="24"/>
      <c r="E54" s="24"/>
      <c r="F54" s="24"/>
      <c r="G54" s="80"/>
      <c r="H54" s="95">
        <v>49</v>
      </c>
      <c r="I54" s="96" t="str">
        <f t="shared" si="1"/>
        <v/>
      </c>
      <c r="J54" s="95">
        <f t="shared" si="5"/>
        <v>0</v>
      </c>
      <c r="K54" s="95">
        <f t="shared" si="2"/>
        <v>0</v>
      </c>
      <c r="L54" s="95"/>
      <c r="M54" s="97">
        <f t="shared" si="3"/>
        <v>0</v>
      </c>
    </row>
    <row r="55" spans="1:38" x14ac:dyDescent="0.25">
      <c r="A55" s="98">
        <f t="shared" si="4"/>
        <v>0</v>
      </c>
      <c r="B55" s="35" t="str">
        <f t="shared" si="0"/>
        <v/>
      </c>
      <c r="C55" s="25"/>
      <c r="D55" s="25"/>
      <c r="E55" s="25"/>
      <c r="F55" s="25"/>
      <c r="G55" s="80"/>
      <c r="H55" s="99">
        <v>50</v>
      </c>
      <c r="I55" s="100" t="str">
        <f t="shared" si="1"/>
        <v/>
      </c>
      <c r="J55" s="99">
        <f t="shared" si="5"/>
        <v>0</v>
      </c>
      <c r="K55" s="99">
        <f t="shared" si="2"/>
        <v>0</v>
      </c>
      <c r="L55" s="99"/>
      <c r="M55" s="101">
        <f t="shared" si="3"/>
        <v>0</v>
      </c>
    </row>
    <row r="56" spans="1:38" x14ac:dyDescent="0.25">
      <c r="A56" s="94">
        <f t="shared" si="4"/>
        <v>0</v>
      </c>
      <c r="B56" s="36" t="str">
        <f t="shared" si="0"/>
        <v/>
      </c>
      <c r="C56" s="24"/>
      <c r="D56" s="24"/>
      <c r="E56" s="24"/>
      <c r="F56" s="24"/>
      <c r="G56" s="80"/>
      <c r="H56" s="95">
        <v>51</v>
      </c>
      <c r="I56" s="96" t="str">
        <f t="shared" si="1"/>
        <v/>
      </c>
      <c r="J56" s="95">
        <f t="shared" si="5"/>
        <v>0</v>
      </c>
      <c r="K56" s="95">
        <f t="shared" si="2"/>
        <v>0</v>
      </c>
      <c r="L56" s="95"/>
      <c r="M56" s="97">
        <f t="shared" si="3"/>
        <v>0</v>
      </c>
    </row>
    <row r="57" spans="1:38" s="80" customFormat="1" x14ac:dyDescent="0.25">
      <c r="A57" s="98">
        <f t="shared" si="4"/>
        <v>0</v>
      </c>
      <c r="B57" s="35" t="str">
        <f t="shared" si="0"/>
        <v/>
      </c>
      <c r="C57" s="25"/>
      <c r="D57" s="25"/>
      <c r="E57" s="25"/>
      <c r="F57" s="25"/>
      <c r="H57" s="99">
        <v>52</v>
      </c>
      <c r="I57" s="100" t="str">
        <f t="shared" si="1"/>
        <v/>
      </c>
      <c r="J57" s="99">
        <f t="shared" si="5"/>
        <v>0</v>
      </c>
      <c r="K57" s="99">
        <f t="shared" si="2"/>
        <v>0</v>
      </c>
      <c r="L57" s="99"/>
      <c r="M57" s="101">
        <f t="shared" si="3"/>
        <v>0</v>
      </c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</row>
    <row r="58" spans="1:38" s="80" customFormat="1" x14ac:dyDescent="0.25">
      <c r="A58" s="94">
        <f t="shared" si="4"/>
        <v>0</v>
      </c>
      <c r="B58" s="36" t="str">
        <f t="shared" si="0"/>
        <v/>
      </c>
      <c r="C58" s="24"/>
      <c r="D58" s="24"/>
      <c r="E58" s="24"/>
      <c r="F58" s="24"/>
      <c r="H58" s="95">
        <v>53</v>
      </c>
      <c r="I58" s="96" t="str">
        <f t="shared" si="1"/>
        <v/>
      </c>
      <c r="J58" s="95">
        <f t="shared" si="5"/>
        <v>0</v>
      </c>
      <c r="K58" s="95">
        <f t="shared" si="2"/>
        <v>0</v>
      </c>
      <c r="L58" s="95"/>
      <c r="M58" s="97">
        <f t="shared" si="3"/>
        <v>0</v>
      </c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</row>
    <row r="59" spans="1:38" s="80" customFormat="1" x14ac:dyDescent="0.25">
      <c r="A59" s="98">
        <f t="shared" si="4"/>
        <v>0</v>
      </c>
      <c r="B59" s="35" t="str">
        <f t="shared" si="0"/>
        <v/>
      </c>
      <c r="C59" s="25"/>
      <c r="D59" s="25"/>
      <c r="E59" s="25"/>
      <c r="F59" s="25"/>
      <c r="H59" s="99">
        <v>54</v>
      </c>
      <c r="I59" s="100" t="str">
        <f t="shared" si="1"/>
        <v/>
      </c>
      <c r="J59" s="99">
        <f t="shared" si="5"/>
        <v>0</v>
      </c>
      <c r="K59" s="99">
        <f t="shared" si="2"/>
        <v>0</v>
      </c>
      <c r="L59" s="99"/>
      <c r="M59" s="101">
        <f t="shared" si="3"/>
        <v>0</v>
      </c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</row>
    <row r="60" spans="1:38" s="80" customFormat="1" x14ac:dyDescent="0.25">
      <c r="A60" s="94">
        <f t="shared" ref="A60:A123" si="6">M60</f>
        <v>0</v>
      </c>
      <c r="B60" s="36" t="str">
        <f t="shared" ref="B60:B123" si="7">IF(H60&gt;$H$2,"",(ROW()-5))</f>
        <v/>
      </c>
      <c r="C60" s="24"/>
      <c r="D60" s="24"/>
      <c r="E60" s="24"/>
      <c r="F60" s="24"/>
      <c r="H60" s="95">
        <v>55</v>
      </c>
      <c r="I60" s="96" t="str">
        <f t="shared" ref="I60:I123" si="8">IF(H60&lt;$H$2+1,($I$2-($I$2-1)*(LOG(H60)/LOG($H$2))),"")</f>
        <v/>
      </c>
      <c r="J60" s="95">
        <f t="shared" ref="J60:J123" si="9">INT(LOG($H$2,2))-ROUNDUP(LOG(H60,2),0)+IF(OR($H$2=1,$H$2=2,$H$2=4,$H$2=8,$H$2=16,$H$2=32,$H$2=64,$H$2=128,$H$2=256),0,1)</f>
        <v>0</v>
      </c>
      <c r="K60" s="95">
        <f t="shared" ref="K60:K123" si="10">J60*$J$2</f>
        <v>0</v>
      </c>
      <c r="L60" s="95"/>
      <c r="M60" s="97">
        <f t="shared" ref="M60:M123" si="11">IF(I60&lt;&gt;"",K60+I60+L60,0)</f>
        <v>0</v>
      </c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</row>
    <row r="61" spans="1:38" s="80" customFormat="1" x14ac:dyDescent="0.25">
      <c r="A61" s="98">
        <f t="shared" si="6"/>
        <v>0</v>
      </c>
      <c r="B61" s="35" t="str">
        <f t="shared" si="7"/>
        <v/>
      </c>
      <c r="C61" s="25"/>
      <c r="D61" s="25"/>
      <c r="E61" s="25"/>
      <c r="F61" s="25"/>
      <c r="H61" s="99">
        <v>56</v>
      </c>
      <c r="I61" s="100" t="str">
        <f t="shared" si="8"/>
        <v/>
      </c>
      <c r="J61" s="99">
        <f t="shared" si="9"/>
        <v>0</v>
      </c>
      <c r="K61" s="99">
        <f t="shared" si="10"/>
        <v>0</v>
      </c>
      <c r="L61" s="99"/>
      <c r="M61" s="101">
        <f t="shared" si="11"/>
        <v>0</v>
      </c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</row>
    <row r="62" spans="1:38" s="80" customFormat="1" x14ac:dyDescent="0.25">
      <c r="A62" s="94">
        <f t="shared" si="6"/>
        <v>0</v>
      </c>
      <c r="B62" s="36" t="str">
        <f t="shared" si="7"/>
        <v/>
      </c>
      <c r="C62" s="24"/>
      <c r="D62" s="24"/>
      <c r="E62" s="24"/>
      <c r="F62" s="24"/>
      <c r="H62" s="95">
        <v>57</v>
      </c>
      <c r="I62" s="96" t="str">
        <f t="shared" si="8"/>
        <v/>
      </c>
      <c r="J62" s="95">
        <f t="shared" si="9"/>
        <v>0</v>
      </c>
      <c r="K62" s="95">
        <f t="shared" si="10"/>
        <v>0</v>
      </c>
      <c r="L62" s="95"/>
      <c r="M62" s="97">
        <f t="shared" si="11"/>
        <v>0</v>
      </c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</row>
    <row r="63" spans="1:38" s="80" customFormat="1" x14ac:dyDescent="0.25">
      <c r="A63" s="98">
        <f t="shared" si="6"/>
        <v>0</v>
      </c>
      <c r="B63" s="35" t="str">
        <f t="shared" si="7"/>
        <v/>
      </c>
      <c r="C63" s="25"/>
      <c r="D63" s="25"/>
      <c r="E63" s="25"/>
      <c r="F63" s="25"/>
      <c r="H63" s="99">
        <v>58</v>
      </c>
      <c r="I63" s="100" t="str">
        <f t="shared" si="8"/>
        <v/>
      </c>
      <c r="J63" s="99">
        <f t="shared" si="9"/>
        <v>0</v>
      </c>
      <c r="K63" s="99">
        <f t="shared" si="10"/>
        <v>0</v>
      </c>
      <c r="L63" s="99"/>
      <c r="M63" s="101">
        <f t="shared" si="11"/>
        <v>0</v>
      </c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</row>
    <row r="64" spans="1:38" s="80" customFormat="1" x14ac:dyDescent="0.25">
      <c r="A64" s="94">
        <f t="shared" si="6"/>
        <v>0</v>
      </c>
      <c r="B64" s="36" t="str">
        <f t="shared" si="7"/>
        <v/>
      </c>
      <c r="C64" s="24"/>
      <c r="D64" s="24"/>
      <c r="E64" s="24"/>
      <c r="F64" s="24"/>
      <c r="H64" s="95">
        <v>59</v>
      </c>
      <c r="I64" s="96" t="str">
        <f t="shared" si="8"/>
        <v/>
      </c>
      <c r="J64" s="95">
        <f t="shared" si="9"/>
        <v>0</v>
      </c>
      <c r="K64" s="95">
        <f t="shared" si="10"/>
        <v>0</v>
      </c>
      <c r="L64" s="95"/>
      <c r="M64" s="97">
        <f t="shared" si="11"/>
        <v>0</v>
      </c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</row>
    <row r="65" spans="1:38" s="80" customFormat="1" x14ac:dyDescent="0.25">
      <c r="A65" s="98">
        <f t="shared" si="6"/>
        <v>0</v>
      </c>
      <c r="B65" s="35" t="str">
        <f t="shared" si="7"/>
        <v/>
      </c>
      <c r="C65" s="25"/>
      <c r="D65" s="25"/>
      <c r="E65" s="25"/>
      <c r="F65" s="25"/>
      <c r="H65" s="99">
        <v>60</v>
      </c>
      <c r="I65" s="100" t="str">
        <f t="shared" si="8"/>
        <v/>
      </c>
      <c r="J65" s="99">
        <f t="shared" si="9"/>
        <v>0</v>
      </c>
      <c r="K65" s="99">
        <f t="shared" si="10"/>
        <v>0</v>
      </c>
      <c r="L65" s="99"/>
      <c r="M65" s="101">
        <f t="shared" si="11"/>
        <v>0</v>
      </c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</row>
    <row r="66" spans="1:38" s="80" customFormat="1" x14ac:dyDescent="0.25">
      <c r="A66" s="94">
        <f t="shared" si="6"/>
        <v>0</v>
      </c>
      <c r="B66" s="36" t="str">
        <f t="shared" si="7"/>
        <v/>
      </c>
      <c r="C66" s="24"/>
      <c r="D66" s="24"/>
      <c r="E66" s="24"/>
      <c r="F66" s="24"/>
      <c r="H66" s="95">
        <v>61</v>
      </c>
      <c r="I66" s="96" t="str">
        <f t="shared" si="8"/>
        <v/>
      </c>
      <c r="J66" s="95">
        <f t="shared" si="9"/>
        <v>0</v>
      </c>
      <c r="K66" s="95">
        <f t="shared" si="10"/>
        <v>0</v>
      </c>
      <c r="L66" s="95"/>
      <c r="M66" s="97">
        <f t="shared" si="11"/>
        <v>0</v>
      </c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</row>
    <row r="67" spans="1:38" s="80" customFormat="1" x14ac:dyDescent="0.25">
      <c r="A67" s="98">
        <f t="shared" si="6"/>
        <v>0</v>
      </c>
      <c r="B67" s="35" t="str">
        <f t="shared" si="7"/>
        <v/>
      </c>
      <c r="C67" s="25"/>
      <c r="D67" s="25"/>
      <c r="E67" s="25"/>
      <c r="F67" s="25"/>
      <c r="H67" s="99">
        <v>62</v>
      </c>
      <c r="I67" s="100" t="str">
        <f t="shared" si="8"/>
        <v/>
      </c>
      <c r="J67" s="99">
        <f t="shared" si="9"/>
        <v>0</v>
      </c>
      <c r="K67" s="99">
        <f t="shared" si="10"/>
        <v>0</v>
      </c>
      <c r="L67" s="99"/>
      <c r="M67" s="101">
        <f t="shared" si="11"/>
        <v>0</v>
      </c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</row>
    <row r="68" spans="1:38" s="80" customFormat="1" x14ac:dyDescent="0.25">
      <c r="A68" s="94">
        <f t="shared" si="6"/>
        <v>0</v>
      </c>
      <c r="B68" s="36" t="str">
        <f t="shared" si="7"/>
        <v/>
      </c>
      <c r="C68" s="24"/>
      <c r="D68" s="24"/>
      <c r="E68" s="24"/>
      <c r="F68" s="24"/>
      <c r="H68" s="95">
        <v>63</v>
      </c>
      <c r="I68" s="96" t="str">
        <f t="shared" si="8"/>
        <v/>
      </c>
      <c r="J68" s="95">
        <f t="shared" si="9"/>
        <v>0</v>
      </c>
      <c r="K68" s="95">
        <f t="shared" si="10"/>
        <v>0</v>
      </c>
      <c r="L68" s="95"/>
      <c r="M68" s="97">
        <f t="shared" si="11"/>
        <v>0</v>
      </c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</row>
    <row r="69" spans="1:38" s="80" customFormat="1" x14ac:dyDescent="0.25">
      <c r="A69" s="98">
        <f t="shared" si="6"/>
        <v>0</v>
      </c>
      <c r="B69" s="35" t="str">
        <f t="shared" si="7"/>
        <v/>
      </c>
      <c r="C69" s="25"/>
      <c r="D69" s="25"/>
      <c r="E69" s="25"/>
      <c r="F69" s="25"/>
      <c r="H69" s="99">
        <v>64</v>
      </c>
      <c r="I69" s="100" t="str">
        <f t="shared" si="8"/>
        <v/>
      </c>
      <c r="J69" s="99">
        <f t="shared" si="9"/>
        <v>0</v>
      </c>
      <c r="K69" s="99">
        <f t="shared" si="10"/>
        <v>0</v>
      </c>
      <c r="L69" s="99"/>
      <c r="M69" s="101">
        <f t="shared" si="11"/>
        <v>0</v>
      </c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</row>
    <row r="70" spans="1:38" s="80" customFormat="1" x14ac:dyDescent="0.25">
      <c r="A70" s="94">
        <f t="shared" si="6"/>
        <v>0</v>
      </c>
      <c r="B70" s="36" t="str">
        <f t="shared" si="7"/>
        <v/>
      </c>
      <c r="C70" s="24"/>
      <c r="D70" s="24"/>
      <c r="E70" s="24"/>
      <c r="F70" s="24"/>
      <c r="H70" s="95">
        <v>65</v>
      </c>
      <c r="I70" s="96" t="str">
        <f t="shared" si="8"/>
        <v/>
      </c>
      <c r="J70" s="95">
        <f t="shared" si="9"/>
        <v>-1</v>
      </c>
      <c r="K70" s="95">
        <f t="shared" si="10"/>
        <v>-10</v>
      </c>
      <c r="L70" s="95"/>
      <c r="M70" s="97">
        <f t="shared" si="11"/>
        <v>0</v>
      </c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</row>
    <row r="71" spans="1:38" s="80" customFormat="1" x14ac:dyDescent="0.25">
      <c r="A71" s="98">
        <f t="shared" si="6"/>
        <v>0</v>
      </c>
      <c r="B71" s="35" t="str">
        <f t="shared" si="7"/>
        <v/>
      </c>
      <c r="C71" s="25"/>
      <c r="D71" s="25"/>
      <c r="E71" s="25"/>
      <c r="F71" s="25"/>
      <c r="H71" s="99">
        <v>66</v>
      </c>
      <c r="I71" s="100" t="str">
        <f t="shared" si="8"/>
        <v/>
      </c>
      <c r="J71" s="99">
        <f t="shared" si="9"/>
        <v>-1</v>
      </c>
      <c r="K71" s="99">
        <f t="shared" si="10"/>
        <v>-10</v>
      </c>
      <c r="L71" s="99"/>
      <c r="M71" s="101">
        <f t="shared" si="11"/>
        <v>0</v>
      </c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</row>
    <row r="72" spans="1:38" s="80" customFormat="1" x14ac:dyDescent="0.25">
      <c r="A72" s="94">
        <f t="shared" si="6"/>
        <v>0</v>
      </c>
      <c r="B72" s="36" t="str">
        <f t="shared" si="7"/>
        <v/>
      </c>
      <c r="C72" s="24"/>
      <c r="D72" s="24"/>
      <c r="E72" s="24"/>
      <c r="F72" s="24"/>
      <c r="H72" s="95">
        <v>67</v>
      </c>
      <c r="I72" s="96" t="str">
        <f t="shared" si="8"/>
        <v/>
      </c>
      <c r="J72" s="95">
        <f t="shared" si="9"/>
        <v>-1</v>
      </c>
      <c r="K72" s="95">
        <f t="shared" si="10"/>
        <v>-10</v>
      </c>
      <c r="L72" s="95"/>
      <c r="M72" s="97">
        <f t="shared" si="11"/>
        <v>0</v>
      </c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</row>
    <row r="73" spans="1:38" s="80" customFormat="1" x14ac:dyDescent="0.25">
      <c r="A73" s="98">
        <f t="shared" si="6"/>
        <v>0</v>
      </c>
      <c r="B73" s="35" t="str">
        <f t="shared" si="7"/>
        <v/>
      </c>
      <c r="C73" s="25"/>
      <c r="D73" s="25"/>
      <c r="E73" s="25"/>
      <c r="F73" s="25"/>
      <c r="H73" s="99">
        <v>68</v>
      </c>
      <c r="I73" s="100" t="str">
        <f t="shared" si="8"/>
        <v/>
      </c>
      <c r="J73" s="99">
        <f t="shared" si="9"/>
        <v>-1</v>
      </c>
      <c r="K73" s="99">
        <f t="shared" si="10"/>
        <v>-10</v>
      </c>
      <c r="L73" s="99"/>
      <c r="M73" s="101">
        <f t="shared" si="11"/>
        <v>0</v>
      </c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</row>
    <row r="74" spans="1:38" s="80" customFormat="1" x14ac:dyDescent="0.25">
      <c r="A74" s="94">
        <f t="shared" si="6"/>
        <v>0</v>
      </c>
      <c r="B74" s="36" t="str">
        <f t="shared" si="7"/>
        <v/>
      </c>
      <c r="C74" s="24"/>
      <c r="D74" s="24"/>
      <c r="E74" s="24"/>
      <c r="F74" s="24"/>
      <c r="H74" s="95">
        <v>69</v>
      </c>
      <c r="I74" s="96" t="str">
        <f t="shared" si="8"/>
        <v/>
      </c>
      <c r="J74" s="95">
        <f t="shared" si="9"/>
        <v>-1</v>
      </c>
      <c r="K74" s="95">
        <f t="shared" si="10"/>
        <v>-10</v>
      </c>
      <c r="L74" s="95"/>
      <c r="M74" s="97">
        <f t="shared" si="11"/>
        <v>0</v>
      </c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</row>
    <row r="75" spans="1:38" s="80" customFormat="1" x14ac:dyDescent="0.25">
      <c r="A75" s="98">
        <f t="shared" si="6"/>
        <v>0</v>
      </c>
      <c r="B75" s="35" t="str">
        <f t="shared" si="7"/>
        <v/>
      </c>
      <c r="C75" s="25"/>
      <c r="D75" s="25"/>
      <c r="E75" s="25"/>
      <c r="F75" s="25"/>
      <c r="H75" s="99">
        <v>70</v>
      </c>
      <c r="I75" s="100" t="str">
        <f t="shared" si="8"/>
        <v/>
      </c>
      <c r="J75" s="99">
        <f t="shared" si="9"/>
        <v>-1</v>
      </c>
      <c r="K75" s="99">
        <f t="shared" si="10"/>
        <v>-10</v>
      </c>
      <c r="L75" s="99"/>
      <c r="M75" s="101">
        <f t="shared" si="11"/>
        <v>0</v>
      </c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</row>
    <row r="76" spans="1:38" s="80" customFormat="1" x14ac:dyDescent="0.25">
      <c r="A76" s="94">
        <f t="shared" si="6"/>
        <v>0</v>
      </c>
      <c r="B76" s="36" t="str">
        <f t="shared" si="7"/>
        <v/>
      </c>
      <c r="C76" s="24"/>
      <c r="D76" s="24"/>
      <c r="E76" s="24"/>
      <c r="F76" s="24"/>
      <c r="H76" s="95">
        <v>71</v>
      </c>
      <c r="I76" s="96" t="str">
        <f t="shared" si="8"/>
        <v/>
      </c>
      <c r="J76" s="95">
        <f t="shared" si="9"/>
        <v>-1</v>
      </c>
      <c r="K76" s="95">
        <f t="shared" si="10"/>
        <v>-10</v>
      </c>
      <c r="L76" s="95"/>
      <c r="M76" s="97">
        <f t="shared" si="11"/>
        <v>0</v>
      </c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</row>
    <row r="77" spans="1:38" s="80" customFormat="1" x14ac:dyDescent="0.25">
      <c r="A77" s="98">
        <f t="shared" si="6"/>
        <v>0</v>
      </c>
      <c r="B77" s="35" t="str">
        <f t="shared" si="7"/>
        <v/>
      </c>
      <c r="C77" s="25"/>
      <c r="D77" s="25"/>
      <c r="E77" s="25"/>
      <c r="F77" s="25"/>
      <c r="H77" s="99">
        <v>72</v>
      </c>
      <c r="I77" s="100" t="str">
        <f t="shared" si="8"/>
        <v/>
      </c>
      <c r="J77" s="99">
        <f t="shared" si="9"/>
        <v>-1</v>
      </c>
      <c r="K77" s="99">
        <f t="shared" si="10"/>
        <v>-10</v>
      </c>
      <c r="L77" s="99"/>
      <c r="M77" s="101">
        <f t="shared" si="11"/>
        <v>0</v>
      </c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</row>
    <row r="78" spans="1:38" s="80" customFormat="1" x14ac:dyDescent="0.25">
      <c r="A78" s="94">
        <f t="shared" si="6"/>
        <v>0</v>
      </c>
      <c r="B78" s="36" t="str">
        <f t="shared" si="7"/>
        <v/>
      </c>
      <c r="C78" s="24"/>
      <c r="D78" s="24"/>
      <c r="E78" s="24"/>
      <c r="F78" s="24"/>
      <c r="H78" s="95">
        <v>73</v>
      </c>
      <c r="I78" s="96" t="str">
        <f t="shared" si="8"/>
        <v/>
      </c>
      <c r="J78" s="95">
        <f t="shared" si="9"/>
        <v>-1</v>
      </c>
      <c r="K78" s="95">
        <f t="shared" si="10"/>
        <v>-10</v>
      </c>
      <c r="L78" s="95"/>
      <c r="M78" s="97">
        <f t="shared" si="11"/>
        <v>0</v>
      </c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</row>
    <row r="79" spans="1:38" s="80" customFormat="1" x14ac:dyDescent="0.25">
      <c r="A79" s="98">
        <f t="shared" si="6"/>
        <v>0</v>
      </c>
      <c r="B79" s="35" t="str">
        <f t="shared" si="7"/>
        <v/>
      </c>
      <c r="C79" s="25"/>
      <c r="D79" s="25"/>
      <c r="E79" s="25"/>
      <c r="F79" s="25"/>
      <c r="H79" s="99">
        <v>74</v>
      </c>
      <c r="I79" s="100" t="str">
        <f t="shared" si="8"/>
        <v/>
      </c>
      <c r="J79" s="99">
        <f t="shared" si="9"/>
        <v>-1</v>
      </c>
      <c r="K79" s="99">
        <f t="shared" si="10"/>
        <v>-10</v>
      </c>
      <c r="L79" s="99"/>
      <c r="M79" s="101">
        <f t="shared" si="11"/>
        <v>0</v>
      </c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</row>
    <row r="80" spans="1:38" s="80" customFormat="1" x14ac:dyDescent="0.25">
      <c r="A80" s="94">
        <f t="shared" si="6"/>
        <v>0</v>
      </c>
      <c r="B80" s="36" t="str">
        <f t="shared" si="7"/>
        <v/>
      </c>
      <c r="C80" s="24"/>
      <c r="D80" s="24"/>
      <c r="E80" s="24"/>
      <c r="F80" s="24"/>
      <c r="H80" s="95">
        <v>75</v>
      </c>
      <c r="I80" s="96" t="str">
        <f t="shared" si="8"/>
        <v/>
      </c>
      <c r="J80" s="95">
        <f t="shared" si="9"/>
        <v>-1</v>
      </c>
      <c r="K80" s="95">
        <f t="shared" si="10"/>
        <v>-10</v>
      </c>
      <c r="L80" s="95"/>
      <c r="M80" s="97">
        <f t="shared" si="11"/>
        <v>0</v>
      </c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</row>
    <row r="81" spans="1:38" s="80" customFormat="1" x14ac:dyDescent="0.25">
      <c r="A81" s="98">
        <f t="shared" si="6"/>
        <v>0</v>
      </c>
      <c r="B81" s="35" t="str">
        <f t="shared" si="7"/>
        <v/>
      </c>
      <c r="C81" s="25"/>
      <c r="D81" s="25"/>
      <c r="E81" s="25"/>
      <c r="F81" s="25"/>
      <c r="H81" s="99">
        <v>76</v>
      </c>
      <c r="I81" s="100" t="str">
        <f t="shared" si="8"/>
        <v/>
      </c>
      <c r="J81" s="99">
        <f t="shared" si="9"/>
        <v>-1</v>
      </c>
      <c r="K81" s="99">
        <f t="shared" si="10"/>
        <v>-10</v>
      </c>
      <c r="L81" s="99"/>
      <c r="M81" s="101">
        <f t="shared" si="11"/>
        <v>0</v>
      </c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</row>
    <row r="82" spans="1:38" s="80" customFormat="1" x14ac:dyDescent="0.25">
      <c r="A82" s="94">
        <f t="shared" si="6"/>
        <v>0</v>
      </c>
      <c r="B82" s="36" t="str">
        <f t="shared" si="7"/>
        <v/>
      </c>
      <c r="C82" s="24"/>
      <c r="D82" s="24"/>
      <c r="E82" s="24"/>
      <c r="F82" s="24"/>
      <c r="H82" s="95">
        <v>77</v>
      </c>
      <c r="I82" s="96" t="str">
        <f t="shared" si="8"/>
        <v/>
      </c>
      <c r="J82" s="95">
        <f t="shared" si="9"/>
        <v>-1</v>
      </c>
      <c r="K82" s="95">
        <f t="shared" si="10"/>
        <v>-10</v>
      </c>
      <c r="L82" s="95"/>
      <c r="M82" s="97">
        <f t="shared" si="11"/>
        <v>0</v>
      </c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</row>
    <row r="83" spans="1:38" s="80" customFormat="1" x14ac:dyDescent="0.25">
      <c r="A83" s="98">
        <f t="shared" si="6"/>
        <v>0</v>
      </c>
      <c r="B83" s="35" t="str">
        <f t="shared" si="7"/>
        <v/>
      </c>
      <c r="C83" s="25"/>
      <c r="D83" s="25"/>
      <c r="E83" s="25"/>
      <c r="F83" s="25"/>
      <c r="H83" s="99">
        <v>78</v>
      </c>
      <c r="I83" s="100" t="str">
        <f t="shared" si="8"/>
        <v/>
      </c>
      <c r="J83" s="99">
        <f t="shared" si="9"/>
        <v>-1</v>
      </c>
      <c r="K83" s="99">
        <f t="shared" si="10"/>
        <v>-10</v>
      </c>
      <c r="L83" s="99"/>
      <c r="M83" s="101">
        <f t="shared" si="11"/>
        <v>0</v>
      </c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</row>
    <row r="84" spans="1:38" s="80" customFormat="1" x14ac:dyDescent="0.25">
      <c r="A84" s="94">
        <f t="shared" si="6"/>
        <v>0</v>
      </c>
      <c r="B84" s="36" t="str">
        <f t="shared" si="7"/>
        <v/>
      </c>
      <c r="C84" s="24"/>
      <c r="D84" s="24"/>
      <c r="E84" s="24"/>
      <c r="F84" s="24"/>
      <c r="H84" s="95">
        <v>79</v>
      </c>
      <c r="I84" s="96" t="str">
        <f t="shared" si="8"/>
        <v/>
      </c>
      <c r="J84" s="95">
        <f t="shared" si="9"/>
        <v>-1</v>
      </c>
      <c r="K84" s="95">
        <f t="shared" si="10"/>
        <v>-10</v>
      </c>
      <c r="L84" s="95"/>
      <c r="M84" s="97">
        <f t="shared" si="11"/>
        <v>0</v>
      </c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</row>
    <row r="85" spans="1:38" s="80" customFormat="1" x14ac:dyDescent="0.25">
      <c r="A85" s="98">
        <f t="shared" si="6"/>
        <v>0</v>
      </c>
      <c r="B85" s="35" t="str">
        <f t="shared" si="7"/>
        <v/>
      </c>
      <c r="C85" s="25"/>
      <c r="D85" s="25"/>
      <c r="E85" s="25"/>
      <c r="F85" s="25"/>
      <c r="H85" s="99">
        <v>80</v>
      </c>
      <c r="I85" s="100" t="str">
        <f t="shared" si="8"/>
        <v/>
      </c>
      <c r="J85" s="99">
        <f t="shared" si="9"/>
        <v>-1</v>
      </c>
      <c r="K85" s="99">
        <f t="shared" si="10"/>
        <v>-10</v>
      </c>
      <c r="L85" s="99"/>
      <c r="M85" s="101">
        <f t="shared" si="11"/>
        <v>0</v>
      </c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</row>
    <row r="86" spans="1:38" s="80" customFormat="1" x14ac:dyDescent="0.25">
      <c r="A86" s="94">
        <f t="shared" si="6"/>
        <v>0</v>
      </c>
      <c r="B86" s="36" t="str">
        <f t="shared" si="7"/>
        <v/>
      </c>
      <c r="C86" s="24"/>
      <c r="D86" s="24"/>
      <c r="E86" s="24"/>
      <c r="F86" s="24"/>
      <c r="H86" s="95">
        <v>81</v>
      </c>
      <c r="I86" s="96" t="str">
        <f t="shared" si="8"/>
        <v/>
      </c>
      <c r="J86" s="95">
        <f t="shared" si="9"/>
        <v>-1</v>
      </c>
      <c r="K86" s="95">
        <f t="shared" si="10"/>
        <v>-10</v>
      </c>
      <c r="L86" s="95"/>
      <c r="M86" s="97">
        <f t="shared" si="11"/>
        <v>0</v>
      </c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</row>
    <row r="87" spans="1:38" s="80" customFormat="1" x14ac:dyDescent="0.25">
      <c r="A87" s="98">
        <f t="shared" si="6"/>
        <v>0</v>
      </c>
      <c r="B87" s="35" t="str">
        <f t="shared" si="7"/>
        <v/>
      </c>
      <c r="C87" s="25"/>
      <c r="D87" s="25"/>
      <c r="E87" s="25"/>
      <c r="F87" s="25"/>
      <c r="H87" s="99">
        <v>82</v>
      </c>
      <c r="I87" s="100" t="str">
        <f t="shared" si="8"/>
        <v/>
      </c>
      <c r="J87" s="99">
        <f t="shared" si="9"/>
        <v>-1</v>
      </c>
      <c r="K87" s="99">
        <f t="shared" si="10"/>
        <v>-10</v>
      </c>
      <c r="L87" s="99"/>
      <c r="M87" s="101">
        <f t="shared" si="11"/>
        <v>0</v>
      </c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</row>
    <row r="88" spans="1:38" s="80" customFormat="1" x14ac:dyDescent="0.25">
      <c r="A88" s="94">
        <f t="shared" si="6"/>
        <v>0</v>
      </c>
      <c r="B88" s="36" t="str">
        <f t="shared" si="7"/>
        <v/>
      </c>
      <c r="C88" s="24"/>
      <c r="D88" s="24"/>
      <c r="E88" s="24"/>
      <c r="F88" s="24"/>
      <c r="H88" s="95">
        <v>83</v>
      </c>
      <c r="I88" s="96" t="str">
        <f t="shared" si="8"/>
        <v/>
      </c>
      <c r="J88" s="95">
        <f t="shared" si="9"/>
        <v>-1</v>
      </c>
      <c r="K88" s="95">
        <f t="shared" si="10"/>
        <v>-10</v>
      </c>
      <c r="L88" s="95"/>
      <c r="M88" s="97">
        <f t="shared" si="11"/>
        <v>0</v>
      </c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</row>
    <row r="89" spans="1:38" s="80" customFormat="1" x14ac:dyDescent="0.25">
      <c r="A89" s="98">
        <f t="shared" si="6"/>
        <v>0</v>
      </c>
      <c r="B89" s="35" t="str">
        <f t="shared" si="7"/>
        <v/>
      </c>
      <c r="C89" s="25"/>
      <c r="D89" s="25"/>
      <c r="E89" s="25"/>
      <c r="F89" s="25"/>
      <c r="H89" s="99">
        <v>84</v>
      </c>
      <c r="I89" s="100" t="str">
        <f t="shared" si="8"/>
        <v/>
      </c>
      <c r="J89" s="99">
        <f t="shared" si="9"/>
        <v>-1</v>
      </c>
      <c r="K89" s="99">
        <f t="shared" si="10"/>
        <v>-10</v>
      </c>
      <c r="L89" s="99"/>
      <c r="M89" s="101">
        <f t="shared" si="11"/>
        <v>0</v>
      </c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</row>
    <row r="90" spans="1:38" s="80" customFormat="1" x14ac:dyDescent="0.25">
      <c r="A90" s="94">
        <f t="shared" si="6"/>
        <v>0</v>
      </c>
      <c r="B90" s="36" t="str">
        <f t="shared" si="7"/>
        <v/>
      </c>
      <c r="C90" s="24"/>
      <c r="D90" s="24"/>
      <c r="E90" s="24"/>
      <c r="F90" s="24"/>
      <c r="H90" s="95">
        <v>85</v>
      </c>
      <c r="I90" s="96" t="str">
        <f t="shared" si="8"/>
        <v/>
      </c>
      <c r="J90" s="95">
        <f t="shared" si="9"/>
        <v>-1</v>
      </c>
      <c r="K90" s="95">
        <f t="shared" si="10"/>
        <v>-10</v>
      </c>
      <c r="L90" s="95"/>
      <c r="M90" s="97">
        <f t="shared" si="11"/>
        <v>0</v>
      </c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</row>
    <row r="91" spans="1:38" s="80" customFormat="1" x14ac:dyDescent="0.25">
      <c r="A91" s="98">
        <f t="shared" si="6"/>
        <v>0</v>
      </c>
      <c r="B91" s="35" t="str">
        <f t="shared" si="7"/>
        <v/>
      </c>
      <c r="C91" s="25"/>
      <c r="D91" s="25"/>
      <c r="E91" s="25"/>
      <c r="F91" s="25"/>
      <c r="H91" s="99">
        <v>86</v>
      </c>
      <c r="I91" s="100" t="str">
        <f t="shared" si="8"/>
        <v/>
      </c>
      <c r="J91" s="99">
        <f t="shared" si="9"/>
        <v>-1</v>
      </c>
      <c r="K91" s="99">
        <f t="shared" si="10"/>
        <v>-10</v>
      </c>
      <c r="L91" s="99"/>
      <c r="M91" s="101">
        <f t="shared" si="11"/>
        <v>0</v>
      </c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</row>
    <row r="92" spans="1:38" s="80" customFormat="1" x14ac:dyDescent="0.25">
      <c r="A92" s="94">
        <f t="shared" si="6"/>
        <v>0</v>
      </c>
      <c r="B92" s="36" t="str">
        <f t="shared" si="7"/>
        <v/>
      </c>
      <c r="C92" s="24"/>
      <c r="D92" s="24"/>
      <c r="E92" s="24"/>
      <c r="F92" s="24"/>
      <c r="H92" s="95">
        <v>87</v>
      </c>
      <c r="I92" s="96" t="str">
        <f t="shared" si="8"/>
        <v/>
      </c>
      <c r="J92" s="95">
        <f t="shared" si="9"/>
        <v>-1</v>
      </c>
      <c r="K92" s="95">
        <f t="shared" si="10"/>
        <v>-10</v>
      </c>
      <c r="L92" s="95"/>
      <c r="M92" s="97">
        <f t="shared" si="11"/>
        <v>0</v>
      </c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</row>
    <row r="93" spans="1:38" s="80" customFormat="1" x14ac:dyDescent="0.25">
      <c r="A93" s="98">
        <f t="shared" si="6"/>
        <v>0</v>
      </c>
      <c r="B93" s="35" t="str">
        <f t="shared" si="7"/>
        <v/>
      </c>
      <c r="C93" s="25"/>
      <c r="D93" s="25"/>
      <c r="E93" s="25"/>
      <c r="F93" s="25"/>
      <c r="H93" s="99">
        <v>88</v>
      </c>
      <c r="I93" s="100" t="str">
        <f t="shared" si="8"/>
        <v/>
      </c>
      <c r="J93" s="99">
        <f t="shared" si="9"/>
        <v>-1</v>
      </c>
      <c r="K93" s="99">
        <f t="shared" si="10"/>
        <v>-10</v>
      </c>
      <c r="L93" s="99"/>
      <c r="M93" s="101">
        <f t="shared" si="11"/>
        <v>0</v>
      </c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</row>
    <row r="94" spans="1:38" s="80" customFormat="1" x14ac:dyDescent="0.25">
      <c r="A94" s="94">
        <f t="shared" si="6"/>
        <v>0</v>
      </c>
      <c r="B94" s="36" t="str">
        <f t="shared" si="7"/>
        <v/>
      </c>
      <c r="C94" s="24"/>
      <c r="D94" s="24"/>
      <c r="E94" s="24"/>
      <c r="F94" s="24"/>
      <c r="H94" s="95">
        <v>89</v>
      </c>
      <c r="I94" s="96" t="str">
        <f t="shared" si="8"/>
        <v/>
      </c>
      <c r="J94" s="95">
        <f t="shared" si="9"/>
        <v>-1</v>
      </c>
      <c r="K94" s="95">
        <f t="shared" si="10"/>
        <v>-10</v>
      </c>
      <c r="L94" s="95"/>
      <c r="M94" s="97">
        <f t="shared" si="11"/>
        <v>0</v>
      </c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</row>
    <row r="95" spans="1:38" s="80" customFormat="1" x14ac:dyDescent="0.25">
      <c r="A95" s="98">
        <f t="shared" si="6"/>
        <v>0</v>
      </c>
      <c r="B95" s="35" t="str">
        <f t="shared" si="7"/>
        <v/>
      </c>
      <c r="C95" s="25"/>
      <c r="D95" s="25"/>
      <c r="E95" s="25"/>
      <c r="F95" s="25"/>
      <c r="H95" s="99">
        <v>90</v>
      </c>
      <c r="I95" s="100" t="str">
        <f t="shared" si="8"/>
        <v/>
      </c>
      <c r="J95" s="99">
        <f t="shared" si="9"/>
        <v>-1</v>
      </c>
      <c r="K95" s="99">
        <f t="shared" si="10"/>
        <v>-10</v>
      </c>
      <c r="L95" s="99"/>
      <c r="M95" s="101">
        <f t="shared" si="11"/>
        <v>0</v>
      </c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</row>
    <row r="96" spans="1:38" s="80" customFormat="1" x14ac:dyDescent="0.25">
      <c r="A96" s="94">
        <f t="shared" si="6"/>
        <v>0</v>
      </c>
      <c r="B96" s="36" t="str">
        <f t="shared" si="7"/>
        <v/>
      </c>
      <c r="C96" s="24"/>
      <c r="D96" s="24"/>
      <c r="E96" s="24"/>
      <c r="F96" s="24"/>
      <c r="H96" s="95">
        <v>91</v>
      </c>
      <c r="I96" s="96" t="str">
        <f t="shared" si="8"/>
        <v/>
      </c>
      <c r="J96" s="95">
        <f t="shared" si="9"/>
        <v>-1</v>
      </c>
      <c r="K96" s="95">
        <f t="shared" si="10"/>
        <v>-10</v>
      </c>
      <c r="L96" s="95"/>
      <c r="M96" s="97">
        <f t="shared" si="11"/>
        <v>0</v>
      </c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</row>
    <row r="97" spans="1:38" s="80" customFormat="1" x14ac:dyDescent="0.25">
      <c r="A97" s="98">
        <f t="shared" si="6"/>
        <v>0</v>
      </c>
      <c r="B97" s="35" t="str">
        <f t="shared" si="7"/>
        <v/>
      </c>
      <c r="C97" s="25"/>
      <c r="D97" s="25"/>
      <c r="E97" s="25"/>
      <c r="F97" s="25"/>
      <c r="H97" s="99">
        <v>92</v>
      </c>
      <c r="I97" s="100" t="str">
        <f t="shared" si="8"/>
        <v/>
      </c>
      <c r="J97" s="99">
        <f t="shared" si="9"/>
        <v>-1</v>
      </c>
      <c r="K97" s="99">
        <f t="shared" si="10"/>
        <v>-10</v>
      </c>
      <c r="L97" s="99"/>
      <c r="M97" s="101">
        <f t="shared" si="11"/>
        <v>0</v>
      </c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</row>
    <row r="98" spans="1:38" s="80" customFormat="1" x14ac:dyDescent="0.25">
      <c r="A98" s="94">
        <f t="shared" si="6"/>
        <v>0</v>
      </c>
      <c r="B98" s="36" t="str">
        <f t="shared" si="7"/>
        <v/>
      </c>
      <c r="C98" s="24"/>
      <c r="D98" s="24"/>
      <c r="E98" s="24"/>
      <c r="F98" s="24"/>
      <c r="H98" s="95">
        <v>93</v>
      </c>
      <c r="I98" s="96" t="str">
        <f t="shared" si="8"/>
        <v/>
      </c>
      <c r="J98" s="95">
        <f t="shared" si="9"/>
        <v>-1</v>
      </c>
      <c r="K98" s="95">
        <f t="shared" si="10"/>
        <v>-10</v>
      </c>
      <c r="L98" s="95"/>
      <c r="M98" s="97">
        <f t="shared" si="11"/>
        <v>0</v>
      </c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</row>
    <row r="99" spans="1:38" s="80" customFormat="1" x14ac:dyDescent="0.25">
      <c r="A99" s="98">
        <f t="shared" si="6"/>
        <v>0</v>
      </c>
      <c r="B99" s="35" t="str">
        <f t="shared" si="7"/>
        <v/>
      </c>
      <c r="C99" s="25"/>
      <c r="D99" s="25"/>
      <c r="E99" s="25"/>
      <c r="F99" s="25"/>
      <c r="H99" s="99">
        <v>94</v>
      </c>
      <c r="I99" s="100" t="str">
        <f t="shared" si="8"/>
        <v/>
      </c>
      <c r="J99" s="99">
        <f t="shared" si="9"/>
        <v>-1</v>
      </c>
      <c r="K99" s="99">
        <f t="shared" si="10"/>
        <v>-10</v>
      </c>
      <c r="L99" s="99"/>
      <c r="M99" s="101">
        <f t="shared" si="11"/>
        <v>0</v>
      </c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</row>
    <row r="100" spans="1:38" s="80" customFormat="1" x14ac:dyDescent="0.25">
      <c r="A100" s="94">
        <f t="shared" si="6"/>
        <v>0</v>
      </c>
      <c r="B100" s="36" t="str">
        <f t="shared" si="7"/>
        <v/>
      </c>
      <c r="C100" s="24"/>
      <c r="D100" s="24"/>
      <c r="E100" s="24"/>
      <c r="F100" s="24"/>
      <c r="H100" s="95">
        <v>95</v>
      </c>
      <c r="I100" s="96" t="str">
        <f t="shared" si="8"/>
        <v/>
      </c>
      <c r="J100" s="95">
        <f t="shared" si="9"/>
        <v>-1</v>
      </c>
      <c r="K100" s="95">
        <f t="shared" si="10"/>
        <v>-10</v>
      </c>
      <c r="L100" s="95"/>
      <c r="M100" s="97">
        <f t="shared" si="11"/>
        <v>0</v>
      </c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</row>
    <row r="101" spans="1:38" s="80" customFormat="1" x14ac:dyDescent="0.25">
      <c r="A101" s="98">
        <f t="shared" si="6"/>
        <v>0</v>
      </c>
      <c r="B101" s="35" t="str">
        <f t="shared" si="7"/>
        <v/>
      </c>
      <c r="C101" s="25"/>
      <c r="D101" s="25"/>
      <c r="E101" s="25"/>
      <c r="F101" s="25"/>
      <c r="H101" s="99">
        <v>96</v>
      </c>
      <c r="I101" s="100" t="str">
        <f t="shared" si="8"/>
        <v/>
      </c>
      <c r="J101" s="99">
        <f t="shared" si="9"/>
        <v>-1</v>
      </c>
      <c r="K101" s="99">
        <f t="shared" si="10"/>
        <v>-10</v>
      </c>
      <c r="L101" s="99"/>
      <c r="M101" s="101">
        <f t="shared" si="11"/>
        <v>0</v>
      </c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</row>
    <row r="102" spans="1:38" s="80" customFormat="1" x14ac:dyDescent="0.25">
      <c r="A102" s="94">
        <f t="shared" si="6"/>
        <v>0</v>
      </c>
      <c r="B102" s="36" t="str">
        <f t="shared" si="7"/>
        <v/>
      </c>
      <c r="C102" s="24"/>
      <c r="D102" s="24"/>
      <c r="E102" s="24"/>
      <c r="F102" s="24"/>
      <c r="H102" s="95">
        <v>97</v>
      </c>
      <c r="I102" s="96" t="str">
        <f t="shared" si="8"/>
        <v/>
      </c>
      <c r="J102" s="95">
        <f t="shared" si="9"/>
        <v>-1</v>
      </c>
      <c r="K102" s="95">
        <f t="shared" si="10"/>
        <v>-10</v>
      </c>
      <c r="L102" s="95"/>
      <c r="M102" s="97">
        <f t="shared" si="11"/>
        <v>0</v>
      </c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</row>
    <row r="103" spans="1:38" s="80" customFormat="1" x14ac:dyDescent="0.25">
      <c r="A103" s="98">
        <f t="shared" si="6"/>
        <v>0</v>
      </c>
      <c r="B103" s="35" t="str">
        <f t="shared" si="7"/>
        <v/>
      </c>
      <c r="C103" s="25"/>
      <c r="D103" s="25"/>
      <c r="E103" s="25"/>
      <c r="F103" s="25"/>
      <c r="H103" s="99">
        <v>98</v>
      </c>
      <c r="I103" s="100" t="str">
        <f t="shared" si="8"/>
        <v/>
      </c>
      <c r="J103" s="99">
        <f t="shared" si="9"/>
        <v>-1</v>
      </c>
      <c r="K103" s="99">
        <f t="shared" si="10"/>
        <v>-10</v>
      </c>
      <c r="L103" s="99"/>
      <c r="M103" s="101">
        <f t="shared" si="11"/>
        <v>0</v>
      </c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</row>
    <row r="104" spans="1:38" s="80" customFormat="1" x14ac:dyDescent="0.25">
      <c r="A104" s="94">
        <f t="shared" si="6"/>
        <v>0</v>
      </c>
      <c r="B104" s="36" t="str">
        <f t="shared" si="7"/>
        <v/>
      </c>
      <c r="C104" s="24"/>
      <c r="D104" s="24"/>
      <c r="E104" s="24"/>
      <c r="F104" s="24"/>
      <c r="H104" s="95">
        <v>99</v>
      </c>
      <c r="I104" s="96" t="str">
        <f t="shared" si="8"/>
        <v/>
      </c>
      <c r="J104" s="95">
        <f t="shared" si="9"/>
        <v>-1</v>
      </c>
      <c r="K104" s="95">
        <f t="shared" si="10"/>
        <v>-10</v>
      </c>
      <c r="L104" s="95"/>
      <c r="M104" s="97">
        <f t="shared" si="11"/>
        <v>0</v>
      </c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</row>
    <row r="105" spans="1:38" s="80" customFormat="1" x14ac:dyDescent="0.25">
      <c r="A105" s="98">
        <f t="shared" si="6"/>
        <v>0</v>
      </c>
      <c r="B105" s="35" t="str">
        <f t="shared" si="7"/>
        <v/>
      </c>
      <c r="C105" s="25"/>
      <c r="D105" s="25"/>
      <c r="E105" s="25"/>
      <c r="F105" s="25"/>
      <c r="H105" s="99">
        <v>100</v>
      </c>
      <c r="I105" s="100" t="str">
        <f t="shared" si="8"/>
        <v/>
      </c>
      <c r="J105" s="99">
        <f t="shared" si="9"/>
        <v>-1</v>
      </c>
      <c r="K105" s="99">
        <f t="shared" si="10"/>
        <v>-10</v>
      </c>
      <c r="L105" s="99"/>
      <c r="M105" s="101">
        <f t="shared" si="11"/>
        <v>0</v>
      </c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</row>
    <row r="106" spans="1:38" s="80" customFormat="1" x14ac:dyDescent="0.25">
      <c r="A106" s="94">
        <f t="shared" si="6"/>
        <v>0</v>
      </c>
      <c r="B106" s="36" t="str">
        <f t="shared" si="7"/>
        <v/>
      </c>
      <c r="C106" s="24"/>
      <c r="D106" s="24"/>
      <c r="E106" s="24"/>
      <c r="F106" s="24"/>
      <c r="H106" s="95">
        <v>101</v>
      </c>
      <c r="I106" s="96" t="str">
        <f t="shared" si="8"/>
        <v/>
      </c>
      <c r="J106" s="95">
        <f t="shared" si="9"/>
        <v>-1</v>
      </c>
      <c r="K106" s="95">
        <f t="shared" si="10"/>
        <v>-10</v>
      </c>
      <c r="L106" s="95"/>
      <c r="M106" s="97">
        <f t="shared" si="11"/>
        <v>0</v>
      </c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</row>
    <row r="107" spans="1:38" s="80" customFormat="1" x14ac:dyDescent="0.25">
      <c r="A107" s="98">
        <f t="shared" si="6"/>
        <v>0</v>
      </c>
      <c r="B107" s="35" t="str">
        <f t="shared" si="7"/>
        <v/>
      </c>
      <c r="C107" s="25"/>
      <c r="D107" s="25"/>
      <c r="E107" s="25"/>
      <c r="F107" s="25"/>
      <c r="H107" s="99">
        <v>102</v>
      </c>
      <c r="I107" s="100" t="str">
        <f t="shared" si="8"/>
        <v/>
      </c>
      <c r="J107" s="99">
        <f t="shared" si="9"/>
        <v>-1</v>
      </c>
      <c r="K107" s="99">
        <f t="shared" si="10"/>
        <v>-10</v>
      </c>
      <c r="L107" s="99"/>
      <c r="M107" s="101">
        <f t="shared" si="11"/>
        <v>0</v>
      </c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</row>
    <row r="108" spans="1:38" s="80" customFormat="1" x14ac:dyDescent="0.25">
      <c r="A108" s="94">
        <f t="shared" si="6"/>
        <v>0</v>
      </c>
      <c r="B108" s="36" t="str">
        <f t="shared" si="7"/>
        <v/>
      </c>
      <c r="C108" s="24"/>
      <c r="D108" s="24"/>
      <c r="E108" s="24"/>
      <c r="F108" s="24"/>
      <c r="H108" s="95">
        <v>103</v>
      </c>
      <c r="I108" s="96" t="str">
        <f t="shared" si="8"/>
        <v/>
      </c>
      <c r="J108" s="95">
        <f t="shared" si="9"/>
        <v>-1</v>
      </c>
      <c r="K108" s="95">
        <f t="shared" si="10"/>
        <v>-10</v>
      </c>
      <c r="L108" s="95"/>
      <c r="M108" s="97">
        <f t="shared" si="11"/>
        <v>0</v>
      </c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</row>
    <row r="109" spans="1:38" s="80" customFormat="1" x14ac:dyDescent="0.25">
      <c r="A109" s="98">
        <f t="shared" si="6"/>
        <v>0</v>
      </c>
      <c r="B109" s="35" t="str">
        <f t="shared" si="7"/>
        <v/>
      </c>
      <c r="C109" s="25"/>
      <c r="D109" s="25"/>
      <c r="E109" s="25"/>
      <c r="F109" s="25"/>
      <c r="H109" s="99">
        <v>104</v>
      </c>
      <c r="I109" s="100" t="str">
        <f t="shared" si="8"/>
        <v/>
      </c>
      <c r="J109" s="99">
        <f t="shared" si="9"/>
        <v>-1</v>
      </c>
      <c r="K109" s="99">
        <f t="shared" si="10"/>
        <v>-10</v>
      </c>
      <c r="L109" s="99"/>
      <c r="M109" s="101">
        <f t="shared" si="11"/>
        <v>0</v>
      </c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</row>
    <row r="110" spans="1:38" s="80" customFormat="1" x14ac:dyDescent="0.25">
      <c r="A110" s="94">
        <f t="shared" si="6"/>
        <v>0</v>
      </c>
      <c r="B110" s="36" t="str">
        <f t="shared" si="7"/>
        <v/>
      </c>
      <c r="C110" s="24"/>
      <c r="D110" s="24"/>
      <c r="E110" s="24"/>
      <c r="F110" s="24"/>
      <c r="H110" s="95">
        <v>105</v>
      </c>
      <c r="I110" s="96" t="str">
        <f t="shared" si="8"/>
        <v/>
      </c>
      <c r="J110" s="95">
        <f t="shared" si="9"/>
        <v>-1</v>
      </c>
      <c r="K110" s="95">
        <f t="shared" si="10"/>
        <v>-10</v>
      </c>
      <c r="L110" s="95"/>
      <c r="M110" s="97">
        <f t="shared" si="11"/>
        <v>0</v>
      </c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</row>
    <row r="111" spans="1:38" s="80" customFormat="1" x14ac:dyDescent="0.25">
      <c r="A111" s="98">
        <f t="shared" si="6"/>
        <v>0</v>
      </c>
      <c r="B111" s="35" t="str">
        <f t="shared" si="7"/>
        <v/>
      </c>
      <c r="C111" s="25"/>
      <c r="D111" s="25"/>
      <c r="E111" s="25"/>
      <c r="F111" s="25"/>
      <c r="H111" s="99">
        <v>106</v>
      </c>
      <c r="I111" s="100" t="str">
        <f t="shared" si="8"/>
        <v/>
      </c>
      <c r="J111" s="99">
        <f t="shared" si="9"/>
        <v>-1</v>
      </c>
      <c r="K111" s="99">
        <f t="shared" si="10"/>
        <v>-10</v>
      </c>
      <c r="L111" s="99"/>
      <c r="M111" s="101">
        <f t="shared" si="11"/>
        <v>0</v>
      </c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</row>
    <row r="112" spans="1:38" s="80" customFormat="1" x14ac:dyDescent="0.25">
      <c r="A112" s="94">
        <f t="shared" si="6"/>
        <v>0</v>
      </c>
      <c r="B112" s="36" t="str">
        <f t="shared" si="7"/>
        <v/>
      </c>
      <c r="C112" s="24"/>
      <c r="D112" s="24"/>
      <c r="E112" s="24"/>
      <c r="F112" s="24"/>
      <c r="H112" s="95">
        <v>107</v>
      </c>
      <c r="I112" s="96" t="str">
        <f t="shared" si="8"/>
        <v/>
      </c>
      <c r="J112" s="95">
        <f t="shared" si="9"/>
        <v>-1</v>
      </c>
      <c r="K112" s="95">
        <f t="shared" si="10"/>
        <v>-10</v>
      </c>
      <c r="L112" s="95"/>
      <c r="M112" s="97">
        <f t="shared" si="11"/>
        <v>0</v>
      </c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</row>
    <row r="113" spans="1:38" s="80" customFormat="1" x14ac:dyDescent="0.25">
      <c r="A113" s="98">
        <f t="shared" si="6"/>
        <v>0</v>
      </c>
      <c r="B113" s="35" t="str">
        <f t="shared" si="7"/>
        <v/>
      </c>
      <c r="C113" s="25"/>
      <c r="D113" s="25"/>
      <c r="E113" s="25"/>
      <c r="F113" s="25"/>
      <c r="H113" s="99">
        <v>108</v>
      </c>
      <c r="I113" s="100" t="str">
        <f t="shared" si="8"/>
        <v/>
      </c>
      <c r="J113" s="99">
        <f t="shared" si="9"/>
        <v>-1</v>
      </c>
      <c r="K113" s="99">
        <f t="shared" si="10"/>
        <v>-10</v>
      </c>
      <c r="L113" s="99"/>
      <c r="M113" s="101">
        <f t="shared" si="11"/>
        <v>0</v>
      </c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</row>
    <row r="114" spans="1:38" s="80" customFormat="1" x14ac:dyDescent="0.25">
      <c r="A114" s="94">
        <f t="shared" si="6"/>
        <v>0</v>
      </c>
      <c r="B114" s="36" t="str">
        <f t="shared" si="7"/>
        <v/>
      </c>
      <c r="C114" s="24"/>
      <c r="D114" s="24"/>
      <c r="E114" s="24"/>
      <c r="F114" s="24"/>
      <c r="H114" s="95">
        <v>109</v>
      </c>
      <c r="I114" s="96" t="str">
        <f t="shared" si="8"/>
        <v/>
      </c>
      <c r="J114" s="95">
        <f t="shared" si="9"/>
        <v>-1</v>
      </c>
      <c r="K114" s="95">
        <f t="shared" si="10"/>
        <v>-10</v>
      </c>
      <c r="L114" s="95"/>
      <c r="M114" s="97">
        <f t="shared" si="11"/>
        <v>0</v>
      </c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</row>
    <row r="115" spans="1:38" s="80" customFormat="1" x14ac:dyDescent="0.25">
      <c r="A115" s="98">
        <f t="shared" si="6"/>
        <v>0</v>
      </c>
      <c r="B115" s="35" t="str">
        <f t="shared" si="7"/>
        <v/>
      </c>
      <c r="C115" s="25"/>
      <c r="D115" s="25"/>
      <c r="E115" s="25"/>
      <c r="F115" s="25"/>
      <c r="H115" s="99">
        <v>110</v>
      </c>
      <c r="I115" s="100" t="str">
        <f t="shared" si="8"/>
        <v/>
      </c>
      <c r="J115" s="99">
        <f t="shared" si="9"/>
        <v>-1</v>
      </c>
      <c r="K115" s="99">
        <f t="shared" si="10"/>
        <v>-10</v>
      </c>
      <c r="L115" s="99"/>
      <c r="M115" s="101">
        <f t="shared" si="11"/>
        <v>0</v>
      </c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</row>
    <row r="116" spans="1:38" s="80" customFormat="1" x14ac:dyDescent="0.25">
      <c r="A116" s="94">
        <f t="shared" si="6"/>
        <v>0</v>
      </c>
      <c r="B116" s="36" t="str">
        <f t="shared" si="7"/>
        <v/>
      </c>
      <c r="C116" s="24"/>
      <c r="D116" s="24"/>
      <c r="E116" s="24"/>
      <c r="F116" s="24"/>
      <c r="H116" s="95">
        <v>111</v>
      </c>
      <c r="I116" s="96" t="str">
        <f t="shared" si="8"/>
        <v/>
      </c>
      <c r="J116" s="95">
        <f t="shared" si="9"/>
        <v>-1</v>
      </c>
      <c r="K116" s="95">
        <f t="shared" si="10"/>
        <v>-10</v>
      </c>
      <c r="L116" s="95"/>
      <c r="M116" s="97">
        <f t="shared" si="11"/>
        <v>0</v>
      </c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</row>
    <row r="117" spans="1:38" s="80" customFormat="1" x14ac:dyDescent="0.25">
      <c r="A117" s="98">
        <f t="shared" si="6"/>
        <v>0</v>
      </c>
      <c r="B117" s="35" t="str">
        <f t="shared" si="7"/>
        <v/>
      </c>
      <c r="C117" s="25"/>
      <c r="D117" s="25"/>
      <c r="E117" s="25"/>
      <c r="F117" s="25"/>
      <c r="H117" s="99">
        <v>112</v>
      </c>
      <c r="I117" s="100" t="str">
        <f t="shared" si="8"/>
        <v/>
      </c>
      <c r="J117" s="99">
        <f t="shared" si="9"/>
        <v>-1</v>
      </c>
      <c r="K117" s="99">
        <f t="shared" si="10"/>
        <v>-10</v>
      </c>
      <c r="L117" s="99"/>
      <c r="M117" s="101">
        <f t="shared" si="11"/>
        <v>0</v>
      </c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</row>
    <row r="118" spans="1:38" s="80" customFormat="1" x14ac:dyDescent="0.25">
      <c r="A118" s="94">
        <f t="shared" si="6"/>
        <v>0</v>
      </c>
      <c r="B118" s="36" t="str">
        <f t="shared" si="7"/>
        <v/>
      </c>
      <c r="C118" s="24"/>
      <c r="D118" s="24"/>
      <c r="E118" s="24"/>
      <c r="F118" s="24"/>
      <c r="H118" s="95">
        <v>113</v>
      </c>
      <c r="I118" s="96" t="str">
        <f t="shared" si="8"/>
        <v/>
      </c>
      <c r="J118" s="95">
        <f t="shared" si="9"/>
        <v>-1</v>
      </c>
      <c r="K118" s="95">
        <f t="shared" si="10"/>
        <v>-10</v>
      </c>
      <c r="L118" s="95"/>
      <c r="M118" s="97">
        <f t="shared" si="11"/>
        <v>0</v>
      </c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</row>
    <row r="119" spans="1:38" s="80" customFormat="1" x14ac:dyDescent="0.25">
      <c r="A119" s="98">
        <f t="shared" si="6"/>
        <v>0</v>
      </c>
      <c r="B119" s="35" t="str">
        <f t="shared" si="7"/>
        <v/>
      </c>
      <c r="C119" s="25"/>
      <c r="D119" s="25"/>
      <c r="E119" s="25"/>
      <c r="F119" s="25"/>
      <c r="H119" s="99">
        <v>114</v>
      </c>
      <c r="I119" s="100" t="str">
        <f t="shared" si="8"/>
        <v/>
      </c>
      <c r="J119" s="99">
        <f t="shared" si="9"/>
        <v>-1</v>
      </c>
      <c r="K119" s="99">
        <f t="shared" si="10"/>
        <v>-10</v>
      </c>
      <c r="L119" s="99"/>
      <c r="M119" s="101">
        <f t="shared" si="11"/>
        <v>0</v>
      </c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</row>
    <row r="120" spans="1:38" s="80" customFormat="1" x14ac:dyDescent="0.25">
      <c r="A120" s="94">
        <f t="shared" si="6"/>
        <v>0</v>
      </c>
      <c r="B120" s="36" t="str">
        <f t="shared" si="7"/>
        <v/>
      </c>
      <c r="C120" s="24"/>
      <c r="D120" s="24"/>
      <c r="E120" s="24"/>
      <c r="F120" s="24"/>
      <c r="H120" s="95">
        <v>115</v>
      </c>
      <c r="I120" s="96" t="str">
        <f t="shared" si="8"/>
        <v/>
      </c>
      <c r="J120" s="95">
        <f t="shared" si="9"/>
        <v>-1</v>
      </c>
      <c r="K120" s="95">
        <f t="shared" si="10"/>
        <v>-10</v>
      </c>
      <c r="L120" s="95"/>
      <c r="M120" s="97">
        <f t="shared" si="11"/>
        <v>0</v>
      </c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</row>
    <row r="121" spans="1:38" s="80" customFormat="1" x14ac:dyDescent="0.25">
      <c r="A121" s="98">
        <f t="shared" si="6"/>
        <v>0</v>
      </c>
      <c r="B121" s="35" t="str">
        <f t="shared" si="7"/>
        <v/>
      </c>
      <c r="C121" s="25"/>
      <c r="D121" s="25"/>
      <c r="E121" s="25"/>
      <c r="F121" s="25"/>
      <c r="H121" s="99">
        <v>116</v>
      </c>
      <c r="I121" s="100" t="str">
        <f t="shared" si="8"/>
        <v/>
      </c>
      <c r="J121" s="99">
        <f t="shared" si="9"/>
        <v>-1</v>
      </c>
      <c r="K121" s="99">
        <f t="shared" si="10"/>
        <v>-10</v>
      </c>
      <c r="L121" s="99"/>
      <c r="M121" s="101">
        <f t="shared" si="11"/>
        <v>0</v>
      </c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</row>
    <row r="122" spans="1:38" s="80" customFormat="1" x14ac:dyDescent="0.25">
      <c r="A122" s="94">
        <f t="shared" si="6"/>
        <v>0</v>
      </c>
      <c r="B122" s="36" t="str">
        <f t="shared" si="7"/>
        <v/>
      </c>
      <c r="C122" s="24"/>
      <c r="D122" s="24"/>
      <c r="E122" s="24"/>
      <c r="F122" s="24"/>
      <c r="H122" s="95">
        <v>117</v>
      </c>
      <c r="I122" s="96" t="str">
        <f t="shared" si="8"/>
        <v/>
      </c>
      <c r="J122" s="95">
        <f t="shared" si="9"/>
        <v>-1</v>
      </c>
      <c r="K122" s="95">
        <f t="shared" si="10"/>
        <v>-10</v>
      </c>
      <c r="L122" s="95"/>
      <c r="M122" s="97">
        <f t="shared" si="11"/>
        <v>0</v>
      </c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</row>
    <row r="123" spans="1:38" s="80" customFormat="1" x14ac:dyDescent="0.25">
      <c r="A123" s="98">
        <f t="shared" si="6"/>
        <v>0</v>
      </c>
      <c r="B123" s="35" t="str">
        <f t="shared" si="7"/>
        <v/>
      </c>
      <c r="C123" s="25"/>
      <c r="D123" s="25"/>
      <c r="E123" s="25"/>
      <c r="F123" s="25"/>
      <c r="H123" s="99">
        <v>118</v>
      </c>
      <c r="I123" s="100" t="str">
        <f t="shared" si="8"/>
        <v/>
      </c>
      <c r="J123" s="99">
        <f t="shared" si="9"/>
        <v>-1</v>
      </c>
      <c r="K123" s="99">
        <f t="shared" si="10"/>
        <v>-10</v>
      </c>
      <c r="L123" s="99"/>
      <c r="M123" s="101">
        <f t="shared" si="11"/>
        <v>0</v>
      </c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</row>
    <row r="124" spans="1:38" s="80" customFormat="1" x14ac:dyDescent="0.25">
      <c r="A124" s="94">
        <f t="shared" ref="A124:A140" si="12">M124</f>
        <v>0</v>
      </c>
      <c r="B124" s="36" t="str">
        <f t="shared" ref="B124:B140" si="13">IF(H124&gt;$H$2,"",(ROW()-5))</f>
        <v/>
      </c>
      <c r="C124" s="24"/>
      <c r="D124" s="24"/>
      <c r="E124" s="24"/>
      <c r="F124" s="24"/>
      <c r="H124" s="95">
        <v>119</v>
      </c>
      <c r="I124" s="96" t="str">
        <f t="shared" ref="I124:I140" si="14">IF(H124&lt;$H$2+1,($I$2-($I$2-1)*(LOG(H124)/LOG($H$2))),"")</f>
        <v/>
      </c>
      <c r="J124" s="95">
        <f t="shared" ref="J124:J140" si="15">INT(LOG($H$2,2))-ROUNDUP(LOG(H124,2),0)+IF(OR($H$2=1,$H$2=2,$H$2=4,$H$2=8,$H$2=16,$H$2=32,$H$2=64,$H$2=128,$H$2=256),0,1)</f>
        <v>-1</v>
      </c>
      <c r="K124" s="95">
        <f t="shared" ref="K124:K140" si="16">J124*$J$2</f>
        <v>-10</v>
      </c>
      <c r="L124" s="95"/>
      <c r="M124" s="97">
        <f t="shared" ref="M124:M140" si="17">IF(I124&lt;&gt;"",K124+I124+L124,0)</f>
        <v>0</v>
      </c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</row>
    <row r="125" spans="1:38" s="80" customFormat="1" x14ac:dyDescent="0.25">
      <c r="A125" s="98">
        <f t="shared" si="12"/>
        <v>0</v>
      </c>
      <c r="B125" s="35" t="str">
        <f t="shared" si="13"/>
        <v/>
      </c>
      <c r="C125" s="25"/>
      <c r="D125" s="25"/>
      <c r="E125" s="25"/>
      <c r="F125" s="25"/>
      <c r="H125" s="99">
        <v>120</v>
      </c>
      <c r="I125" s="100" t="str">
        <f t="shared" si="14"/>
        <v/>
      </c>
      <c r="J125" s="99">
        <f t="shared" si="15"/>
        <v>-1</v>
      </c>
      <c r="K125" s="99">
        <f t="shared" si="16"/>
        <v>-10</v>
      </c>
      <c r="L125" s="99"/>
      <c r="M125" s="101">
        <f t="shared" si="17"/>
        <v>0</v>
      </c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</row>
    <row r="126" spans="1:38" s="80" customFormat="1" x14ac:dyDescent="0.25">
      <c r="A126" s="94">
        <f t="shared" si="12"/>
        <v>0</v>
      </c>
      <c r="B126" s="36" t="str">
        <f t="shared" si="13"/>
        <v/>
      </c>
      <c r="C126" s="24"/>
      <c r="D126" s="24"/>
      <c r="E126" s="24"/>
      <c r="F126" s="24"/>
      <c r="H126" s="95">
        <v>121</v>
      </c>
      <c r="I126" s="96" t="str">
        <f t="shared" si="14"/>
        <v/>
      </c>
      <c r="J126" s="95">
        <f t="shared" si="15"/>
        <v>-1</v>
      </c>
      <c r="K126" s="95">
        <f t="shared" si="16"/>
        <v>-10</v>
      </c>
      <c r="L126" s="95"/>
      <c r="M126" s="97">
        <f t="shared" si="17"/>
        <v>0</v>
      </c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</row>
    <row r="127" spans="1:38" s="80" customFormat="1" x14ac:dyDescent="0.25">
      <c r="A127" s="98">
        <f t="shared" si="12"/>
        <v>0</v>
      </c>
      <c r="B127" s="35" t="str">
        <f t="shared" si="13"/>
        <v/>
      </c>
      <c r="C127" s="25"/>
      <c r="D127" s="25"/>
      <c r="E127" s="25"/>
      <c r="F127" s="25"/>
      <c r="H127" s="99">
        <v>122</v>
      </c>
      <c r="I127" s="100" t="str">
        <f t="shared" si="14"/>
        <v/>
      </c>
      <c r="J127" s="99">
        <f t="shared" si="15"/>
        <v>-1</v>
      </c>
      <c r="K127" s="99">
        <f t="shared" si="16"/>
        <v>-10</v>
      </c>
      <c r="L127" s="99"/>
      <c r="M127" s="101">
        <f t="shared" si="17"/>
        <v>0</v>
      </c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</row>
    <row r="128" spans="1:38" s="80" customFormat="1" x14ac:dyDescent="0.25">
      <c r="A128" s="94">
        <f t="shared" si="12"/>
        <v>0</v>
      </c>
      <c r="B128" s="36" t="str">
        <f t="shared" si="13"/>
        <v/>
      </c>
      <c r="C128" s="24"/>
      <c r="D128" s="24"/>
      <c r="E128" s="24"/>
      <c r="F128" s="24"/>
      <c r="H128" s="95">
        <v>123</v>
      </c>
      <c r="I128" s="96" t="str">
        <f t="shared" si="14"/>
        <v/>
      </c>
      <c r="J128" s="95">
        <f t="shared" si="15"/>
        <v>-1</v>
      </c>
      <c r="K128" s="95">
        <f t="shared" si="16"/>
        <v>-10</v>
      </c>
      <c r="L128" s="95"/>
      <c r="M128" s="97">
        <f t="shared" si="17"/>
        <v>0</v>
      </c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</row>
    <row r="129" spans="1:38" s="80" customFormat="1" x14ac:dyDescent="0.25">
      <c r="A129" s="98">
        <f t="shared" si="12"/>
        <v>0</v>
      </c>
      <c r="B129" s="35" t="str">
        <f t="shared" si="13"/>
        <v/>
      </c>
      <c r="C129" s="25"/>
      <c r="D129" s="25"/>
      <c r="E129" s="25"/>
      <c r="F129" s="25"/>
      <c r="H129" s="99">
        <v>124</v>
      </c>
      <c r="I129" s="100" t="str">
        <f t="shared" si="14"/>
        <v/>
      </c>
      <c r="J129" s="99">
        <f t="shared" si="15"/>
        <v>-1</v>
      </c>
      <c r="K129" s="99">
        <f t="shared" si="16"/>
        <v>-10</v>
      </c>
      <c r="L129" s="99"/>
      <c r="M129" s="101">
        <f t="shared" si="17"/>
        <v>0</v>
      </c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</row>
    <row r="130" spans="1:38" s="80" customFormat="1" x14ac:dyDescent="0.25">
      <c r="A130" s="94">
        <f t="shared" si="12"/>
        <v>0</v>
      </c>
      <c r="B130" s="36" t="str">
        <f t="shared" si="13"/>
        <v/>
      </c>
      <c r="C130" s="24"/>
      <c r="D130" s="24"/>
      <c r="E130" s="24"/>
      <c r="F130" s="24"/>
      <c r="H130" s="95">
        <v>125</v>
      </c>
      <c r="I130" s="96" t="str">
        <f t="shared" si="14"/>
        <v/>
      </c>
      <c r="J130" s="95">
        <f t="shared" si="15"/>
        <v>-1</v>
      </c>
      <c r="K130" s="95">
        <f t="shared" si="16"/>
        <v>-10</v>
      </c>
      <c r="L130" s="95"/>
      <c r="M130" s="97">
        <f t="shared" si="17"/>
        <v>0</v>
      </c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</row>
    <row r="131" spans="1:38" s="80" customFormat="1" x14ac:dyDescent="0.25">
      <c r="A131" s="98">
        <f t="shared" si="12"/>
        <v>0</v>
      </c>
      <c r="B131" s="35" t="str">
        <f t="shared" si="13"/>
        <v/>
      </c>
      <c r="C131" s="25"/>
      <c r="D131" s="25"/>
      <c r="E131" s="25"/>
      <c r="F131" s="25"/>
      <c r="H131" s="99">
        <v>126</v>
      </c>
      <c r="I131" s="100" t="str">
        <f t="shared" si="14"/>
        <v/>
      </c>
      <c r="J131" s="99">
        <f t="shared" si="15"/>
        <v>-1</v>
      </c>
      <c r="K131" s="99">
        <f t="shared" si="16"/>
        <v>-10</v>
      </c>
      <c r="L131" s="99"/>
      <c r="M131" s="101">
        <f t="shared" si="17"/>
        <v>0</v>
      </c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</row>
    <row r="132" spans="1:38" s="80" customFormat="1" x14ac:dyDescent="0.25">
      <c r="A132" s="94">
        <f t="shared" si="12"/>
        <v>0</v>
      </c>
      <c r="B132" s="36" t="str">
        <f t="shared" si="13"/>
        <v/>
      </c>
      <c r="C132" s="24"/>
      <c r="D132" s="24"/>
      <c r="E132" s="24"/>
      <c r="F132" s="24"/>
      <c r="H132" s="95">
        <v>127</v>
      </c>
      <c r="I132" s="96" t="str">
        <f t="shared" si="14"/>
        <v/>
      </c>
      <c r="J132" s="95">
        <f t="shared" si="15"/>
        <v>-1</v>
      </c>
      <c r="K132" s="95">
        <f t="shared" si="16"/>
        <v>-10</v>
      </c>
      <c r="L132" s="95"/>
      <c r="M132" s="97">
        <f t="shared" si="17"/>
        <v>0</v>
      </c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</row>
    <row r="133" spans="1:38" s="80" customFormat="1" x14ac:dyDescent="0.25">
      <c r="A133" s="98">
        <f t="shared" si="12"/>
        <v>0</v>
      </c>
      <c r="B133" s="35" t="str">
        <f t="shared" si="13"/>
        <v/>
      </c>
      <c r="C133" s="25"/>
      <c r="D133" s="25"/>
      <c r="E133" s="25"/>
      <c r="F133" s="25"/>
      <c r="H133" s="99">
        <v>128</v>
      </c>
      <c r="I133" s="100" t="str">
        <f t="shared" si="14"/>
        <v/>
      </c>
      <c r="J133" s="99">
        <f t="shared" si="15"/>
        <v>-1</v>
      </c>
      <c r="K133" s="99">
        <f t="shared" si="16"/>
        <v>-10</v>
      </c>
      <c r="L133" s="99"/>
      <c r="M133" s="101">
        <f t="shared" si="17"/>
        <v>0</v>
      </c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</row>
    <row r="134" spans="1:38" s="80" customFormat="1" x14ac:dyDescent="0.25">
      <c r="A134" s="94">
        <f t="shared" si="12"/>
        <v>0</v>
      </c>
      <c r="B134" s="36" t="str">
        <f t="shared" si="13"/>
        <v/>
      </c>
      <c r="C134" s="24"/>
      <c r="D134" s="24"/>
      <c r="E134" s="24"/>
      <c r="F134" s="24"/>
      <c r="H134" s="95">
        <v>129</v>
      </c>
      <c r="I134" s="96" t="str">
        <f t="shared" si="14"/>
        <v/>
      </c>
      <c r="J134" s="95">
        <f t="shared" si="15"/>
        <v>-2</v>
      </c>
      <c r="K134" s="95">
        <f t="shared" si="16"/>
        <v>-20</v>
      </c>
      <c r="L134" s="95"/>
      <c r="M134" s="97">
        <f t="shared" si="17"/>
        <v>0</v>
      </c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</row>
    <row r="135" spans="1:38" s="80" customFormat="1" x14ac:dyDescent="0.25">
      <c r="A135" s="98">
        <f t="shared" si="12"/>
        <v>0</v>
      </c>
      <c r="B135" s="35" t="str">
        <f t="shared" si="13"/>
        <v/>
      </c>
      <c r="C135" s="25"/>
      <c r="D135" s="25"/>
      <c r="E135" s="25"/>
      <c r="F135" s="25"/>
      <c r="H135" s="99">
        <v>130</v>
      </c>
      <c r="I135" s="100" t="str">
        <f t="shared" si="14"/>
        <v/>
      </c>
      <c r="J135" s="99">
        <f t="shared" si="15"/>
        <v>-2</v>
      </c>
      <c r="K135" s="99">
        <f t="shared" si="16"/>
        <v>-20</v>
      </c>
      <c r="L135" s="99"/>
      <c r="M135" s="101">
        <f t="shared" si="17"/>
        <v>0</v>
      </c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</row>
    <row r="136" spans="1:38" s="80" customFormat="1" x14ac:dyDescent="0.25">
      <c r="A136" s="94">
        <f t="shared" si="12"/>
        <v>0</v>
      </c>
      <c r="B136" s="36" t="str">
        <f t="shared" si="13"/>
        <v/>
      </c>
      <c r="C136" s="24"/>
      <c r="D136" s="24"/>
      <c r="E136" s="24"/>
      <c r="F136" s="24"/>
      <c r="H136" s="95">
        <v>131</v>
      </c>
      <c r="I136" s="96" t="str">
        <f t="shared" si="14"/>
        <v/>
      </c>
      <c r="J136" s="95">
        <f t="shared" si="15"/>
        <v>-2</v>
      </c>
      <c r="K136" s="95">
        <f t="shared" si="16"/>
        <v>-20</v>
      </c>
      <c r="L136" s="95"/>
      <c r="M136" s="97">
        <f t="shared" si="17"/>
        <v>0</v>
      </c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</row>
    <row r="137" spans="1:38" s="80" customFormat="1" x14ac:dyDescent="0.25">
      <c r="A137" s="98">
        <f t="shared" si="12"/>
        <v>0</v>
      </c>
      <c r="B137" s="35" t="str">
        <f t="shared" si="13"/>
        <v/>
      </c>
      <c r="C137" s="25"/>
      <c r="D137" s="25"/>
      <c r="E137" s="25"/>
      <c r="F137" s="25"/>
      <c r="H137" s="99">
        <v>132</v>
      </c>
      <c r="I137" s="100" t="str">
        <f t="shared" si="14"/>
        <v/>
      </c>
      <c r="J137" s="99">
        <f t="shared" si="15"/>
        <v>-2</v>
      </c>
      <c r="K137" s="99">
        <f t="shared" si="16"/>
        <v>-20</v>
      </c>
      <c r="L137" s="99"/>
      <c r="M137" s="101">
        <f t="shared" si="17"/>
        <v>0</v>
      </c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</row>
    <row r="138" spans="1:38" s="80" customFormat="1" x14ac:dyDescent="0.25">
      <c r="A138" s="94">
        <f t="shared" si="12"/>
        <v>0</v>
      </c>
      <c r="B138" s="36" t="str">
        <f t="shared" si="13"/>
        <v/>
      </c>
      <c r="C138" s="24"/>
      <c r="D138" s="24"/>
      <c r="E138" s="24"/>
      <c r="F138" s="24"/>
      <c r="H138" s="95">
        <v>133</v>
      </c>
      <c r="I138" s="96" t="str">
        <f t="shared" si="14"/>
        <v/>
      </c>
      <c r="J138" s="95">
        <f t="shared" si="15"/>
        <v>-2</v>
      </c>
      <c r="K138" s="95">
        <f t="shared" si="16"/>
        <v>-20</v>
      </c>
      <c r="L138" s="95"/>
      <c r="M138" s="97">
        <f t="shared" si="17"/>
        <v>0</v>
      </c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</row>
    <row r="139" spans="1:38" s="80" customFormat="1" x14ac:dyDescent="0.25">
      <c r="A139" s="98">
        <f t="shared" si="12"/>
        <v>0</v>
      </c>
      <c r="B139" s="35" t="str">
        <f t="shared" si="13"/>
        <v/>
      </c>
      <c r="C139" s="25"/>
      <c r="D139" s="25"/>
      <c r="E139" s="25"/>
      <c r="F139" s="25"/>
      <c r="H139" s="99">
        <v>134</v>
      </c>
      <c r="I139" s="100" t="str">
        <f t="shared" si="14"/>
        <v/>
      </c>
      <c r="J139" s="99">
        <f t="shared" si="15"/>
        <v>-2</v>
      </c>
      <c r="K139" s="99">
        <f t="shared" si="16"/>
        <v>-20</v>
      </c>
      <c r="L139" s="99"/>
      <c r="M139" s="101">
        <f t="shared" si="17"/>
        <v>0</v>
      </c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</row>
    <row r="140" spans="1:38" s="80" customFormat="1" x14ac:dyDescent="0.25">
      <c r="A140" s="94">
        <f t="shared" si="12"/>
        <v>0</v>
      </c>
      <c r="B140" s="36" t="str">
        <f t="shared" si="13"/>
        <v/>
      </c>
      <c r="C140" s="24"/>
      <c r="D140" s="24"/>
      <c r="E140" s="24"/>
      <c r="F140" s="24"/>
      <c r="H140" s="95">
        <v>135</v>
      </c>
      <c r="I140" s="96" t="str">
        <f t="shared" si="14"/>
        <v/>
      </c>
      <c r="J140" s="95">
        <f t="shared" si="15"/>
        <v>-2</v>
      </c>
      <c r="K140" s="95">
        <f t="shared" si="16"/>
        <v>-20</v>
      </c>
      <c r="L140" s="95"/>
      <c r="M140" s="97">
        <f t="shared" si="17"/>
        <v>0</v>
      </c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</row>
    <row r="141" spans="1:38" x14ac:dyDescent="0.25">
      <c r="A141" s="116"/>
      <c r="G141" s="80"/>
      <c r="H141" s="99">
        <v>136</v>
      </c>
      <c r="I141" s="96" t="str">
        <f t="shared" ref="I141:I197" si="18">IF(H141&lt;$H$2+1,($I$2-($I$2-1)*(LOG(H141)/LOG($H$2))),"")</f>
        <v/>
      </c>
      <c r="J141" s="95">
        <f t="shared" ref="J141:J198" si="19">INT(LOG($H$2,2))-ROUNDUP(LOG(H141,2),0)+IF(OR($H$2=1,$H$2=2,$H$2=4,$H$2=8,$H$2=16,$H$2=32,$H$2=64,$H$2=128,$H$2=256),0,1)</f>
        <v>-2</v>
      </c>
      <c r="K141" s="95">
        <f t="shared" ref="K141:K197" si="20">J141*$J$2</f>
        <v>-20</v>
      </c>
      <c r="L141" s="95"/>
      <c r="M141" s="97">
        <f t="shared" ref="M141:M197" si="21">IF(I141&lt;&gt;"",K141+I141+L141,0)</f>
        <v>0</v>
      </c>
    </row>
    <row r="142" spans="1:38" x14ac:dyDescent="0.25">
      <c r="A142" s="116"/>
      <c r="G142" s="80"/>
      <c r="H142" s="95">
        <v>137</v>
      </c>
      <c r="I142" s="96" t="str">
        <f t="shared" si="18"/>
        <v/>
      </c>
      <c r="J142" s="95">
        <f t="shared" si="19"/>
        <v>-2</v>
      </c>
      <c r="K142" s="95">
        <f t="shared" si="20"/>
        <v>-20</v>
      </c>
      <c r="L142" s="95"/>
      <c r="M142" s="97">
        <f t="shared" si="21"/>
        <v>0</v>
      </c>
    </row>
    <row r="143" spans="1:38" x14ac:dyDescent="0.25">
      <c r="A143" s="116"/>
      <c r="G143" s="80"/>
      <c r="H143" s="99">
        <v>138</v>
      </c>
      <c r="I143" s="96" t="str">
        <f t="shared" si="18"/>
        <v/>
      </c>
      <c r="J143" s="95">
        <f t="shared" si="19"/>
        <v>-2</v>
      </c>
      <c r="K143" s="95">
        <f t="shared" si="20"/>
        <v>-20</v>
      </c>
      <c r="L143" s="95"/>
      <c r="M143" s="97">
        <f t="shared" si="21"/>
        <v>0</v>
      </c>
    </row>
    <row r="144" spans="1:38" x14ac:dyDescent="0.25">
      <c r="A144" s="116"/>
      <c r="G144" s="80"/>
      <c r="H144" s="95">
        <v>139</v>
      </c>
      <c r="I144" s="96" t="str">
        <f t="shared" si="18"/>
        <v/>
      </c>
      <c r="J144" s="95">
        <f t="shared" si="19"/>
        <v>-2</v>
      </c>
      <c r="K144" s="95">
        <f t="shared" si="20"/>
        <v>-20</v>
      </c>
      <c r="L144" s="95"/>
      <c r="M144" s="97">
        <f t="shared" si="21"/>
        <v>0</v>
      </c>
    </row>
    <row r="145" spans="1:13" x14ac:dyDescent="0.25">
      <c r="A145" s="116"/>
      <c r="G145" s="80"/>
      <c r="H145" s="99">
        <v>140</v>
      </c>
      <c r="I145" s="96" t="str">
        <f t="shared" si="18"/>
        <v/>
      </c>
      <c r="J145" s="95">
        <f t="shared" si="19"/>
        <v>-2</v>
      </c>
      <c r="K145" s="95">
        <f t="shared" si="20"/>
        <v>-20</v>
      </c>
      <c r="L145" s="95"/>
      <c r="M145" s="97">
        <f t="shared" si="21"/>
        <v>0</v>
      </c>
    </row>
    <row r="146" spans="1:13" x14ac:dyDescent="0.25">
      <c r="A146" s="116"/>
      <c r="G146" s="80"/>
      <c r="H146" s="95">
        <v>141</v>
      </c>
      <c r="I146" s="96" t="str">
        <f t="shared" si="18"/>
        <v/>
      </c>
      <c r="J146" s="95">
        <f t="shared" si="19"/>
        <v>-2</v>
      </c>
      <c r="K146" s="95">
        <f t="shared" si="20"/>
        <v>-20</v>
      </c>
      <c r="L146" s="95"/>
      <c r="M146" s="97">
        <f t="shared" si="21"/>
        <v>0</v>
      </c>
    </row>
    <row r="147" spans="1:13" x14ac:dyDescent="0.25">
      <c r="A147" s="116"/>
      <c r="G147" s="80"/>
      <c r="H147" s="99">
        <v>142</v>
      </c>
      <c r="I147" s="96" t="str">
        <f t="shared" si="18"/>
        <v/>
      </c>
      <c r="J147" s="95">
        <f t="shared" si="19"/>
        <v>-2</v>
      </c>
      <c r="K147" s="95">
        <f t="shared" si="20"/>
        <v>-20</v>
      </c>
      <c r="L147" s="95"/>
      <c r="M147" s="97">
        <f t="shared" si="21"/>
        <v>0</v>
      </c>
    </row>
    <row r="148" spans="1:13" x14ac:dyDescent="0.25">
      <c r="A148" s="116"/>
      <c r="G148" s="80"/>
      <c r="H148" s="95">
        <v>143</v>
      </c>
      <c r="I148" s="96" t="str">
        <f t="shared" si="18"/>
        <v/>
      </c>
      <c r="J148" s="95">
        <f t="shared" si="19"/>
        <v>-2</v>
      </c>
      <c r="K148" s="95">
        <f t="shared" si="20"/>
        <v>-20</v>
      </c>
      <c r="L148" s="95"/>
      <c r="M148" s="97">
        <f t="shared" si="21"/>
        <v>0</v>
      </c>
    </row>
    <row r="149" spans="1:13" x14ac:dyDescent="0.25">
      <c r="A149" s="116"/>
      <c r="G149" s="80"/>
      <c r="H149" s="99">
        <v>144</v>
      </c>
      <c r="I149" s="96" t="str">
        <f t="shared" si="18"/>
        <v/>
      </c>
      <c r="J149" s="95">
        <f t="shared" si="19"/>
        <v>-2</v>
      </c>
      <c r="K149" s="95">
        <f t="shared" si="20"/>
        <v>-20</v>
      </c>
      <c r="L149" s="95"/>
      <c r="M149" s="97">
        <f t="shared" si="21"/>
        <v>0</v>
      </c>
    </row>
    <row r="150" spans="1:13" x14ac:dyDescent="0.25">
      <c r="A150" s="116"/>
      <c r="G150" s="80"/>
      <c r="H150" s="95">
        <v>145</v>
      </c>
      <c r="I150" s="96" t="str">
        <f t="shared" si="18"/>
        <v/>
      </c>
      <c r="J150" s="95">
        <f t="shared" si="19"/>
        <v>-2</v>
      </c>
      <c r="K150" s="95">
        <f t="shared" si="20"/>
        <v>-20</v>
      </c>
      <c r="L150" s="95"/>
      <c r="M150" s="97">
        <f t="shared" si="21"/>
        <v>0</v>
      </c>
    </row>
    <row r="151" spans="1:13" x14ac:dyDescent="0.25">
      <c r="A151" s="116"/>
      <c r="G151" s="80"/>
      <c r="H151" s="99">
        <v>146</v>
      </c>
      <c r="I151" s="96" t="str">
        <f t="shared" si="18"/>
        <v/>
      </c>
      <c r="J151" s="95">
        <f t="shared" si="19"/>
        <v>-2</v>
      </c>
      <c r="K151" s="95">
        <f t="shared" si="20"/>
        <v>-20</v>
      </c>
      <c r="L151" s="95"/>
      <c r="M151" s="97">
        <f t="shared" si="21"/>
        <v>0</v>
      </c>
    </row>
    <row r="152" spans="1:13" x14ac:dyDescent="0.25">
      <c r="A152" s="116"/>
      <c r="G152" s="80"/>
      <c r="H152" s="95">
        <v>147</v>
      </c>
      <c r="I152" s="96" t="str">
        <f t="shared" si="18"/>
        <v/>
      </c>
      <c r="J152" s="95">
        <f t="shared" si="19"/>
        <v>-2</v>
      </c>
      <c r="K152" s="95">
        <f t="shared" si="20"/>
        <v>-20</v>
      </c>
      <c r="L152" s="95"/>
      <c r="M152" s="97">
        <f t="shared" si="21"/>
        <v>0</v>
      </c>
    </row>
    <row r="153" spans="1:13" x14ac:dyDescent="0.25">
      <c r="A153" s="116"/>
      <c r="G153" s="80"/>
      <c r="H153" s="99">
        <v>148</v>
      </c>
      <c r="I153" s="96" t="str">
        <f t="shared" si="18"/>
        <v/>
      </c>
      <c r="J153" s="95">
        <f t="shared" si="19"/>
        <v>-2</v>
      </c>
      <c r="K153" s="95">
        <f t="shared" si="20"/>
        <v>-20</v>
      </c>
      <c r="L153" s="95"/>
      <c r="M153" s="97">
        <f t="shared" si="21"/>
        <v>0</v>
      </c>
    </row>
    <row r="154" spans="1:13" x14ac:dyDescent="0.25">
      <c r="A154" s="116"/>
      <c r="G154" s="80"/>
      <c r="H154" s="95">
        <v>149</v>
      </c>
      <c r="I154" s="96" t="str">
        <f t="shared" si="18"/>
        <v/>
      </c>
      <c r="J154" s="95">
        <f t="shared" si="19"/>
        <v>-2</v>
      </c>
      <c r="K154" s="95">
        <f t="shared" si="20"/>
        <v>-20</v>
      </c>
      <c r="L154" s="95"/>
      <c r="M154" s="97">
        <f t="shared" si="21"/>
        <v>0</v>
      </c>
    </row>
    <row r="155" spans="1:13" x14ac:dyDescent="0.25">
      <c r="A155" s="116"/>
      <c r="G155" s="80"/>
      <c r="H155" s="99">
        <v>150</v>
      </c>
      <c r="I155" s="96" t="str">
        <f t="shared" si="18"/>
        <v/>
      </c>
      <c r="J155" s="95">
        <f t="shared" si="19"/>
        <v>-2</v>
      </c>
      <c r="K155" s="95">
        <f t="shared" si="20"/>
        <v>-20</v>
      </c>
      <c r="L155" s="95"/>
      <c r="M155" s="97">
        <f t="shared" si="21"/>
        <v>0</v>
      </c>
    </row>
    <row r="156" spans="1:13" x14ac:dyDescent="0.25">
      <c r="A156" s="116"/>
      <c r="G156" s="80"/>
      <c r="H156" s="95">
        <v>151</v>
      </c>
      <c r="I156" s="96" t="str">
        <f t="shared" si="18"/>
        <v/>
      </c>
      <c r="J156" s="95">
        <f t="shared" si="19"/>
        <v>-2</v>
      </c>
      <c r="K156" s="95">
        <f t="shared" si="20"/>
        <v>-20</v>
      </c>
      <c r="L156" s="95"/>
      <c r="M156" s="97">
        <f t="shared" si="21"/>
        <v>0</v>
      </c>
    </row>
    <row r="157" spans="1:13" x14ac:dyDescent="0.25">
      <c r="A157" s="116"/>
      <c r="G157" s="80"/>
      <c r="H157" s="99">
        <v>152</v>
      </c>
      <c r="I157" s="96" t="str">
        <f t="shared" si="18"/>
        <v/>
      </c>
      <c r="J157" s="95">
        <f t="shared" si="19"/>
        <v>-2</v>
      </c>
      <c r="K157" s="95">
        <f t="shared" si="20"/>
        <v>-20</v>
      </c>
      <c r="L157" s="95"/>
      <c r="M157" s="97">
        <f t="shared" si="21"/>
        <v>0</v>
      </c>
    </row>
    <row r="158" spans="1:13" x14ac:dyDescent="0.25">
      <c r="A158" s="116"/>
      <c r="G158" s="80"/>
      <c r="H158" s="95">
        <v>153</v>
      </c>
      <c r="I158" s="96" t="str">
        <f t="shared" si="18"/>
        <v/>
      </c>
      <c r="J158" s="95">
        <f t="shared" si="19"/>
        <v>-2</v>
      </c>
      <c r="K158" s="95">
        <f t="shared" si="20"/>
        <v>-20</v>
      </c>
      <c r="L158" s="95"/>
      <c r="M158" s="97">
        <f t="shared" si="21"/>
        <v>0</v>
      </c>
    </row>
    <row r="159" spans="1:13" x14ac:dyDescent="0.25">
      <c r="A159" s="116"/>
      <c r="G159" s="80"/>
      <c r="H159" s="99">
        <v>154</v>
      </c>
      <c r="I159" s="96" t="str">
        <f t="shared" si="18"/>
        <v/>
      </c>
      <c r="J159" s="95">
        <f t="shared" si="19"/>
        <v>-2</v>
      </c>
      <c r="K159" s="95">
        <f t="shared" si="20"/>
        <v>-20</v>
      </c>
      <c r="L159" s="95"/>
      <c r="M159" s="97">
        <f t="shared" si="21"/>
        <v>0</v>
      </c>
    </row>
    <row r="160" spans="1:13" x14ac:dyDescent="0.25">
      <c r="A160" s="116"/>
      <c r="G160" s="80"/>
      <c r="H160" s="95">
        <v>155</v>
      </c>
      <c r="I160" s="96" t="str">
        <f t="shared" si="18"/>
        <v/>
      </c>
      <c r="J160" s="95">
        <f t="shared" si="19"/>
        <v>-2</v>
      </c>
      <c r="K160" s="95">
        <f t="shared" si="20"/>
        <v>-20</v>
      </c>
      <c r="L160" s="95"/>
      <c r="M160" s="97">
        <f t="shared" si="21"/>
        <v>0</v>
      </c>
    </row>
    <row r="161" spans="1:13" x14ac:dyDescent="0.25">
      <c r="A161" s="116"/>
      <c r="G161" s="80"/>
      <c r="H161" s="99">
        <v>156</v>
      </c>
      <c r="I161" s="96" t="str">
        <f t="shared" si="18"/>
        <v/>
      </c>
      <c r="J161" s="95">
        <f t="shared" si="19"/>
        <v>-2</v>
      </c>
      <c r="K161" s="95">
        <f t="shared" si="20"/>
        <v>-20</v>
      </c>
      <c r="L161" s="95"/>
      <c r="M161" s="97">
        <f t="shared" si="21"/>
        <v>0</v>
      </c>
    </row>
    <row r="162" spans="1:13" x14ac:dyDescent="0.25">
      <c r="A162" s="116"/>
      <c r="G162" s="80"/>
      <c r="H162" s="95">
        <v>157</v>
      </c>
      <c r="I162" s="96" t="str">
        <f t="shared" si="18"/>
        <v/>
      </c>
      <c r="J162" s="95">
        <f t="shared" si="19"/>
        <v>-2</v>
      </c>
      <c r="K162" s="95">
        <f t="shared" si="20"/>
        <v>-20</v>
      </c>
      <c r="L162" s="95"/>
      <c r="M162" s="97">
        <f t="shared" si="21"/>
        <v>0</v>
      </c>
    </row>
    <row r="163" spans="1:13" x14ac:dyDescent="0.25">
      <c r="A163" s="116"/>
      <c r="G163" s="80"/>
      <c r="H163" s="99">
        <v>158</v>
      </c>
      <c r="I163" s="96" t="str">
        <f t="shared" si="18"/>
        <v/>
      </c>
      <c r="J163" s="95">
        <f t="shared" si="19"/>
        <v>-2</v>
      </c>
      <c r="K163" s="95">
        <f t="shared" si="20"/>
        <v>-20</v>
      </c>
      <c r="L163" s="95"/>
      <c r="M163" s="97">
        <f t="shared" si="21"/>
        <v>0</v>
      </c>
    </row>
    <row r="164" spans="1:13" x14ac:dyDescent="0.25">
      <c r="A164" s="116"/>
      <c r="G164" s="80"/>
      <c r="H164" s="95">
        <v>159</v>
      </c>
      <c r="I164" s="96" t="str">
        <f t="shared" si="18"/>
        <v/>
      </c>
      <c r="J164" s="95">
        <f t="shared" si="19"/>
        <v>-2</v>
      </c>
      <c r="K164" s="95">
        <f t="shared" si="20"/>
        <v>-20</v>
      </c>
      <c r="L164" s="95"/>
      <c r="M164" s="97">
        <f t="shared" si="21"/>
        <v>0</v>
      </c>
    </row>
    <row r="165" spans="1:13" x14ac:dyDescent="0.25">
      <c r="A165" s="116"/>
      <c r="G165" s="80"/>
      <c r="H165" s="99">
        <v>160</v>
      </c>
      <c r="I165" s="96" t="str">
        <f t="shared" si="18"/>
        <v/>
      </c>
      <c r="J165" s="95">
        <f t="shared" si="19"/>
        <v>-2</v>
      </c>
      <c r="K165" s="95">
        <f t="shared" si="20"/>
        <v>-20</v>
      </c>
      <c r="L165" s="95"/>
      <c r="M165" s="97">
        <f t="shared" si="21"/>
        <v>0</v>
      </c>
    </row>
    <row r="166" spans="1:13" x14ac:dyDescent="0.25">
      <c r="A166" s="116"/>
      <c r="G166" s="80"/>
      <c r="H166" s="95">
        <v>161</v>
      </c>
      <c r="I166" s="96" t="str">
        <f t="shared" si="18"/>
        <v/>
      </c>
      <c r="J166" s="95">
        <f t="shared" si="19"/>
        <v>-2</v>
      </c>
      <c r="K166" s="95">
        <f t="shared" si="20"/>
        <v>-20</v>
      </c>
      <c r="L166" s="95"/>
      <c r="M166" s="97">
        <f t="shared" si="21"/>
        <v>0</v>
      </c>
    </row>
    <row r="167" spans="1:13" x14ac:dyDescent="0.25">
      <c r="A167" s="116"/>
      <c r="G167" s="80"/>
      <c r="H167" s="99">
        <v>162</v>
      </c>
      <c r="I167" s="96" t="str">
        <f t="shared" si="18"/>
        <v/>
      </c>
      <c r="J167" s="95">
        <f t="shared" si="19"/>
        <v>-2</v>
      </c>
      <c r="K167" s="95">
        <f t="shared" si="20"/>
        <v>-20</v>
      </c>
      <c r="L167" s="95"/>
      <c r="M167" s="97">
        <f t="shared" si="21"/>
        <v>0</v>
      </c>
    </row>
    <row r="168" spans="1:13" x14ac:dyDescent="0.25">
      <c r="A168" s="116"/>
      <c r="G168" s="80"/>
      <c r="H168" s="95">
        <v>163</v>
      </c>
      <c r="I168" s="96" t="str">
        <f t="shared" si="18"/>
        <v/>
      </c>
      <c r="J168" s="95">
        <f t="shared" si="19"/>
        <v>-2</v>
      </c>
      <c r="K168" s="95">
        <f t="shared" si="20"/>
        <v>-20</v>
      </c>
      <c r="L168" s="95"/>
      <c r="M168" s="97">
        <f t="shared" si="21"/>
        <v>0</v>
      </c>
    </row>
    <row r="169" spans="1:13" x14ac:dyDescent="0.25">
      <c r="A169" s="116"/>
      <c r="G169" s="80"/>
      <c r="H169" s="99">
        <v>164</v>
      </c>
      <c r="I169" s="96" t="str">
        <f t="shared" si="18"/>
        <v/>
      </c>
      <c r="J169" s="95">
        <f t="shared" si="19"/>
        <v>-2</v>
      </c>
      <c r="K169" s="95">
        <f t="shared" si="20"/>
        <v>-20</v>
      </c>
      <c r="L169" s="95"/>
      <c r="M169" s="97">
        <f t="shared" si="21"/>
        <v>0</v>
      </c>
    </row>
    <row r="170" spans="1:13" x14ac:dyDescent="0.25">
      <c r="A170" s="116"/>
      <c r="G170" s="80"/>
      <c r="H170" s="95">
        <v>165</v>
      </c>
      <c r="I170" s="96" t="str">
        <f t="shared" si="18"/>
        <v/>
      </c>
      <c r="J170" s="95">
        <f t="shared" si="19"/>
        <v>-2</v>
      </c>
      <c r="K170" s="95">
        <f t="shared" si="20"/>
        <v>-20</v>
      </c>
      <c r="L170" s="95"/>
      <c r="M170" s="97">
        <f t="shared" si="21"/>
        <v>0</v>
      </c>
    </row>
    <row r="171" spans="1:13" x14ac:dyDescent="0.25">
      <c r="A171" s="116"/>
      <c r="G171" s="80"/>
      <c r="H171" s="99">
        <v>166</v>
      </c>
      <c r="I171" s="96" t="str">
        <f t="shared" si="18"/>
        <v/>
      </c>
      <c r="J171" s="95">
        <f t="shared" si="19"/>
        <v>-2</v>
      </c>
      <c r="K171" s="95">
        <f t="shared" si="20"/>
        <v>-20</v>
      </c>
      <c r="L171" s="95"/>
      <c r="M171" s="97">
        <f t="shared" si="21"/>
        <v>0</v>
      </c>
    </row>
    <row r="172" spans="1:13" x14ac:dyDescent="0.25">
      <c r="A172" s="116"/>
      <c r="G172" s="80"/>
      <c r="H172" s="95">
        <v>167</v>
      </c>
      <c r="I172" s="96" t="str">
        <f t="shared" si="18"/>
        <v/>
      </c>
      <c r="J172" s="95">
        <f t="shared" si="19"/>
        <v>-2</v>
      </c>
      <c r="K172" s="95">
        <f t="shared" si="20"/>
        <v>-20</v>
      </c>
      <c r="L172" s="95"/>
      <c r="M172" s="97">
        <f t="shared" si="21"/>
        <v>0</v>
      </c>
    </row>
    <row r="173" spans="1:13" x14ac:dyDescent="0.25">
      <c r="A173" s="116"/>
      <c r="G173" s="80"/>
      <c r="H173" s="99">
        <v>168</v>
      </c>
      <c r="I173" s="96" t="str">
        <f t="shared" si="18"/>
        <v/>
      </c>
      <c r="J173" s="95">
        <f t="shared" si="19"/>
        <v>-2</v>
      </c>
      <c r="K173" s="95">
        <f t="shared" si="20"/>
        <v>-20</v>
      </c>
      <c r="L173" s="95"/>
      <c r="M173" s="97">
        <f t="shared" si="21"/>
        <v>0</v>
      </c>
    </row>
    <row r="174" spans="1:13" x14ac:dyDescent="0.25">
      <c r="A174" s="116"/>
      <c r="G174" s="80"/>
      <c r="H174" s="95">
        <v>169</v>
      </c>
      <c r="I174" s="96" t="str">
        <f t="shared" si="18"/>
        <v/>
      </c>
      <c r="J174" s="95">
        <f t="shared" si="19"/>
        <v>-2</v>
      </c>
      <c r="K174" s="95">
        <f t="shared" si="20"/>
        <v>-20</v>
      </c>
      <c r="L174" s="95"/>
      <c r="M174" s="97">
        <f t="shared" si="21"/>
        <v>0</v>
      </c>
    </row>
    <row r="175" spans="1:13" x14ac:dyDescent="0.25">
      <c r="A175" s="116"/>
      <c r="G175" s="80"/>
      <c r="H175" s="99">
        <v>170</v>
      </c>
      <c r="I175" s="96" t="str">
        <f t="shared" si="18"/>
        <v/>
      </c>
      <c r="J175" s="95">
        <f t="shared" si="19"/>
        <v>-2</v>
      </c>
      <c r="K175" s="95">
        <f t="shared" si="20"/>
        <v>-20</v>
      </c>
      <c r="L175" s="95"/>
      <c r="M175" s="97">
        <f t="shared" si="21"/>
        <v>0</v>
      </c>
    </row>
    <row r="176" spans="1:13" x14ac:dyDescent="0.25">
      <c r="A176" s="116"/>
      <c r="G176" s="80"/>
      <c r="H176" s="95">
        <v>171</v>
      </c>
      <c r="I176" s="96" t="str">
        <f t="shared" si="18"/>
        <v/>
      </c>
      <c r="J176" s="95">
        <f t="shared" si="19"/>
        <v>-2</v>
      </c>
      <c r="K176" s="95">
        <f t="shared" si="20"/>
        <v>-20</v>
      </c>
      <c r="L176" s="95"/>
      <c r="M176" s="97">
        <f t="shared" si="21"/>
        <v>0</v>
      </c>
    </row>
    <row r="177" spans="1:13" x14ac:dyDescent="0.25">
      <c r="A177" s="116"/>
      <c r="G177" s="80"/>
      <c r="H177" s="99">
        <v>172</v>
      </c>
      <c r="I177" s="96" t="str">
        <f t="shared" si="18"/>
        <v/>
      </c>
      <c r="J177" s="95">
        <f t="shared" si="19"/>
        <v>-2</v>
      </c>
      <c r="K177" s="95">
        <f t="shared" si="20"/>
        <v>-20</v>
      </c>
      <c r="L177" s="95"/>
      <c r="M177" s="97">
        <f t="shared" si="21"/>
        <v>0</v>
      </c>
    </row>
    <row r="178" spans="1:13" x14ac:dyDescent="0.25">
      <c r="A178" s="116"/>
      <c r="G178" s="80"/>
      <c r="H178" s="95">
        <v>173</v>
      </c>
      <c r="I178" s="96" t="str">
        <f t="shared" si="18"/>
        <v/>
      </c>
      <c r="J178" s="95">
        <f t="shared" si="19"/>
        <v>-2</v>
      </c>
      <c r="K178" s="95">
        <f t="shared" si="20"/>
        <v>-20</v>
      </c>
      <c r="L178" s="95"/>
      <c r="M178" s="97">
        <f t="shared" si="21"/>
        <v>0</v>
      </c>
    </row>
    <row r="179" spans="1:13" x14ac:dyDescent="0.25">
      <c r="A179" s="116"/>
      <c r="G179" s="80"/>
      <c r="H179" s="99">
        <v>174</v>
      </c>
      <c r="I179" s="96" t="str">
        <f t="shared" si="18"/>
        <v/>
      </c>
      <c r="J179" s="95">
        <f t="shared" si="19"/>
        <v>-2</v>
      </c>
      <c r="K179" s="95">
        <f t="shared" si="20"/>
        <v>-20</v>
      </c>
      <c r="L179" s="95"/>
      <c r="M179" s="97">
        <f t="shared" si="21"/>
        <v>0</v>
      </c>
    </row>
    <row r="180" spans="1:13" x14ac:dyDescent="0.25">
      <c r="A180" s="116"/>
      <c r="G180" s="80"/>
      <c r="H180" s="95">
        <v>175</v>
      </c>
      <c r="I180" s="96" t="str">
        <f t="shared" si="18"/>
        <v/>
      </c>
      <c r="J180" s="95">
        <f t="shared" si="19"/>
        <v>-2</v>
      </c>
      <c r="K180" s="95">
        <f t="shared" si="20"/>
        <v>-20</v>
      </c>
      <c r="L180" s="95"/>
      <c r="M180" s="97">
        <f t="shared" si="21"/>
        <v>0</v>
      </c>
    </row>
    <row r="181" spans="1:13" x14ac:dyDescent="0.25">
      <c r="A181" s="116"/>
      <c r="G181" s="80"/>
      <c r="H181" s="99">
        <v>176</v>
      </c>
      <c r="I181" s="96" t="str">
        <f t="shared" si="18"/>
        <v/>
      </c>
      <c r="J181" s="95">
        <f t="shared" si="19"/>
        <v>-2</v>
      </c>
      <c r="K181" s="95">
        <f t="shared" si="20"/>
        <v>-20</v>
      </c>
      <c r="L181" s="95"/>
      <c r="M181" s="97">
        <f t="shared" si="21"/>
        <v>0</v>
      </c>
    </row>
    <row r="182" spans="1:13" x14ac:dyDescent="0.25">
      <c r="A182" s="116"/>
      <c r="G182" s="80"/>
      <c r="H182" s="95">
        <v>177</v>
      </c>
      <c r="I182" s="96" t="str">
        <f t="shared" si="18"/>
        <v/>
      </c>
      <c r="J182" s="95">
        <f t="shared" si="19"/>
        <v>-2</v>
      </c>
      <c r="K182" s="95">
        <f t="shared" si="20"/>
        <v>-20</v>
      </c>
      <c r="L182" s="95"/>
      <c r="M182" s="97">
        <f t="shared" si="21"/>
        <v>0</v>
      </c>
    </row>
    <row r="183" spans="1:13" x14ac:dyDescent="0.25">
      <c r="A183" s="116"/>
      <c r="G183" s="80"/>
      <c r="H183" s="99">
        <v>178</v>
      </c>
      <c r="I183" s="96" t="str">
        <f t="shared" si="18"/>
        <v/>
      </c>
      <c r="J183" s="95">
        <f t="shared" si="19"/>
        <v>-2</v>
      </c>
      <c r="K183" s="95">
        <f t="shared" si="20"/>
        <v>-20</v>
      </c>
      <c r="L183" s="95"/>
      <c r="M183" s="97">
        <f t="shared" si="21"/>
        <v>0</v>
      </c>
    </row>
    <row r="184" spans="1:13" x14ac:dyDescent="0.25">
      <c r="A184" s="116"/>
      <c r="G184" s="80"/>
      <c r="H184" s="95">
        <v>179</v>
      </c>
      <c r="I184" s="96" t="str">
        <f t="shared" si="18"/>
        <v/>
      </c>
      <c r="J184" s="95">
        <f t="shared" si="19"/>
        <v>-2</v>
      </c>
      <c r="K184" s="95">
        <f t="shared" si="20"/>
        <v>-20</v>
      </c>
      <c r="L184" s="95"/>
      <c r="M184" s="97">
        <f t="shared" si="21"/>
        <v>0</v>
      </c>
    </row>
    <row r="185" spans="1:13" x14ac:dyDescent="0.25">
      <c r="A185" s="116"/>
      <c r="G185" s="80"/>
      <c r="H185" s="99">
        <v>180</v>
      </c>
      <c r="I185" s="96" t="str">
        <f t="shared" si="18"/>
        <v/>
      </c>
      <c r="J185" s="95">
        <f t="shared" si="19"/>
        <v>-2</v>
      </c>
      <c r="K185" s="95">
        <f t="shared" si="20"/>
        <v>-20</v>
      </c>
      <c r="L185" s="95"/>
      <c r="M185" s="97">
        <f t="shared" si="21"/>
        <v>0</v>
      </c>
    </row>
    <row r="186" spans="1:13" x14ac:dyDescent="0.25">
      <c r="A186" s="116"/>
      <c r="G186" s="80"/>
      <c r="H186" s="95">
        <v>181</v>
      </c>
      <c r="I186" s="96" t="str">
        <f t="shared" si="18"/>
        <v/>
      </c>
      <c r="J186" s="95">
        <f t="shared" si="19"/>
        <v>-2</v>
      </c>
      <c r="K186" s="95">
        <f t="shared" si="20"/>
        <v>-20</v>
      </c>
      <c r="L186" s="95"/>
      <c r="M186" s="97">
        <f t="shared" si="21"/>
        <v>0</v>
      </c>
    </row>
    <row r="187" spans="1:13" x14ac:dyDescent="0.25">
      <c r="A187" s="116"/>
      <c r="G187" s="80"/>
      <c r="H187" s="99">
        <v>182</v>
      </c>
      <c r="I187" s="96" t="str">
        <f t="shared" si="18"/>
        <v/>
      </c>
      <c r="J187" s="95">
        <f t="shared" si="19"/>
        <v>-2</v>
      </c>
      <c r="K187" s="95">
        <f t="shared" si="20"/>
        <v>-20</v>
      </c>
      <c r="L187" s="95"/>
      <c r="M187" s="97">
        <f t="shared" si="21"/>
        <v>0</v>
      </c>
    </row>
    <row r="188" spans="1:13" x14ac:dyDescent="0.25">
      <c r="A188" s="116"/>
      <c r="G188" s="80"/>
      <c r="H188" s="95">
        <v>183</v>
      </c>
      <c r="I188" s="96" t="str">
        <f t="shared" si="18"/>
        <v/>
      </c>
      <c r="J188" s="95">
        <f t="shared" si="19"/>
        <v>-2</v>
      </c>
      <c r="K188" s="95">
        <f t="shared" si="20"/>
        <v>-20</v>
      </c>
      <c r="L188" s="95"/>
      <c r="M188" s="97">
        <f t="shared" si="21"/>
        <v>0</v>
      </c>
    </row>
    <row r="189" spans="1:13" x14ac:dyDescent="0.25">
      <c r="A189" s="116"/>
      <c r="G189" s="80"/>
      <c r="H189" s="99">
        <v>184</v>
      </c>
      <c r="I189" s="96" t="str">
        <f t="shared" si="18"/>
        <v/>
      </c>
      <c r="J189" s="95">
        <f t="shared" si="19"/>
        <v>-2</v>
      </c>
      <c r="K189" s="95">
        <f t="shared" si="20"/>
        <v>-20</v>
      </c>
      <c r="L189" s="95"/>
      <c r="M189" s="97">
        <f t="shared" si="21"/>
        <v>0</v>
      </c>
    </row>
    <row r="190" spans="1:13" x14ac:dyDescent="0.25">
      <c r="A190" s="116"/>
      <c r="G190" s="80"/>
      <c r="H190" s="95">
        <v>185</v>
      </c>
      <c r="I190" s="96" t="str">
        <f t="shared" si="18"/>
        <v/>
      </c>
      <c r="J190" s="95">
        <f t="shared" si="19"/>
        <v>-2</v>
      </c>
      <c r="K190" s="95">
        <f t="shared" si="20"/>
        <v>-20</v>
      </c>
      <c r="L190" s="95"/>
      <c r="M190" s="97">
        <f t="shared" si="21"/>
        <v>0</v>
      </c>
    </row>
    <row r="191" spans="1:13" x14ac:dyDescent="0.25">
      <c r="A191" s="116"/>
      <c r="G191" s="80"/>
      <c r="H191" s="99">
        <v>186</v>
      </c>
      <c r="I191" s="96" t="str">
        <f t="shared" si="18"/>
        <v/>
      </c>
      <c r="J191" s="95">
        <f t="shared" si="19"/>
        <v>-2</v>
      </c>
      <c r="K191" s="95">
        <f t="shared" si="20"/>
        <v>-20</v>
      </c>
      <c r="L191" s="95"/>
      <c r="M191" s="97">
        <f t="shared" si="21"/>
        <v>0</v>
      </c>
    </row>
    <row r="192" spans="1:13" x14ac:dyDescent="0.25">
      <c r="A192" s="116"/>
      <c r="G192" s="80"/>
      <c r="H192" s="95">
        <v>187</v>
      </c>
      <c r="I192" s="96" t="str">
        <f t="shared" si="18"/>
        <v/>
      </c>
      <c r="J192" s="95">
        <f t="shared" si="19"/>
        <v>-2</v>
      </c>
      <c r="K192" s="95">
        <f t="shared" si="20"/>
        <v>-20</v>
      </c>
      <c r="L192" s="95"/>
      <c r="M192" s="97">
        <f t="shared" si="21"/>
        <v>0</v>
      </c>
    </row>
    <row r="193" spans="1:13" x14ac:dyDescent="0.25">
      <c r="A193" s="116"/>
      <c r="G193" s="80"/>
      <c r="H193" s="99">
        <v>188</v>
      </c>
      <c r="I193" s="96" t="str">
        <f t="shared" si="18"/>
        <v/>
      </c>
      <c r="J193" s="95">
        <f t="shared" si="19"/>
        <v>-2</v>
      </c>
      <c r="K193" s="95">
        <f t="shared" si="20"/>
        <v>-20</v>
      </c>
      <c r="L193" s="95"/>
      <c r="M193" s="97">
        <f t="shared" si="21"/>
        <v>0</v>
      </c>
    </row>
    <row r="194" spans="1:13" x14ac:dyDescent="0.25">
      <c r="A194" s="116"/>
      <c r="G194" s="80"/>
      <c r="H194" s="95">
        <v>189</v>
      </c>
      <c r="I194" s="96" t="str">
        <f t="shared" si="18"/>
        <v/>
      </c>
      <c r="J194" s="95">
        <f t="shared" si="19"/>
        <v>-2</v>
      </c>
      <c r="K194" s="95">
        <f t="shared" si="20"/>
        <v>-20</v>
      </c>
      <c r="L194" s="95"/>
      <c r="M194" s="97">
        <f t="shared" si="21"/>
        <v>0</v>
      </c>
    </row>
    <row r="195" spans="1:13" x14ac:dyDescent="0.25">
      <c r="A195" s="116"/>
      <c r="G195" s="80"/>
      <c r="H195" s="99">
        <v>190</v>
      </c>
      <c r="I195" s="96" t="str">
        <f t="shared" si="18"/>
        <v/>
      </c>
      <c r="J195" s="95">
        <f t="shared" si="19"/>
        <v>-2</v>
      </c>
      <c r="K195" s="95">
        <f t="shared" si="20"/>
        <v>-20</v>
      </c>
      <c r="L195" s="95"/>
      <c r="M195" s="97">
        <f t="shared" si="21"/>
        <v>0</v>
      </c>
    </row>
    <row r="196" spans="1:13" x14ac:dyDescent="0.25">
      <c r="A196" s="116"/>
      <c r="G196" s="80"/>
      <c r="H196" s="95">
        <v>191</v>
      </c>
      <c r="I196" s="96" t="str">
        <f t="shared" si="18"/>
        <v/>
      </c>
      <c r="J196" s="95">
        <f t="shared" si="19"/>
        <v>-2</v>
      </c>
      <c r="K196" s="95">
        <f t="shared" si="20"/>
        <v>-20</v>
      </c>
      <c r="L196" s="95"/>
      <c r="M196" s="97">
        <f t="shared" si="21"/>
        <v>0</v>
      </c>
    </row>
    <row r="197" spans="1:13" x14ac:dyDescent="0.25">
      <c r="A197" s="116"/>
      <c r="G197" s="80"/>
      <c r="H197" s="99">
        <v>192</v>
      </c>
      <c r="I197" s="96" t="str">
        <f t="shared" si="18"/>
        <v/>
      </c>
      <c r="J197" s="95">
        <f t="shared" si="19"/>
        <v>-2</v>
      </c>
      <c r="K197" s="95">
        <f t="shared" si="20"/>
        <v>-20</v>
      </c>
      <c r="L197" s="95"/>
      <c r="M197" s="97">
        <f t="shared" si="21"/>
        <v>0</v>
      </c>
    </row>
    <row r="198" spans="1:13" x14ac:dyDescent="0.25">
      <c r="A198" s="116"/>
      <c r="G198" s="80"/>
      <c r="H198" s="95">
        <v>193</v>
      </c>
      <c r="I198" s="96" t="str">
        <f t="shared" ref="I198:I261" si="22">IF(H198&lt;$H$2+1,($I$2-($I$2-1)*(LOG(H198)/LOG($H$2))),"")</f>
        <v/>
      </c>
      <c r="J198" s="95">
        <f t="shared" si="19"/>
        <v>-2</v>
      </c>
      <c r="K198" s="95">
        <f t="shared" ref="K198:K261" si="23">J198*$J$2</f>
        <v>-20</v>
      </c>
      <c r="L198" s="95"/>
      <c r="M198" s="97">
        <f t="shared" ref="M198:M261" si="24">IF(I198&lt;&gt;"",K198+I198+L198,0)</f>
        <v>0</v>
      </c>
    </row>
    <row r="199" spans="1:13" x14ac:dyDescent="0.25">
      <c r="A199" s="116"/>
      <c r="G199" s="80"/>
      <c r="H199" s="99">
        <v>194</v>
      </c>
      <c r="I199" s="96" t="str">
        <f t="shared" si="22"/>
        <v/>
      </c>
      <c r="J199" s="95">
        <f t="shared" ref="J199:J262" si="25">INT(LOG($H$2,2))-ROUNDUP(LOG(H199,2),0)+IF(OR($H$2=1,$H$2=2,$H$2=4,$H$2=8,$H$2=16,$H$2=32,$H$2=64,$H$2=128,$H$2=256),0,1)</f>
        <v>-2</v>
      </c>
      <c r="K199" s="95">
        <f t="shared" si="23"/>
        <v>-20</v>
      </c>
      <c r="L199" s="95"/>
      <c r="M199" s="97">
        <f t="shared" si="24"/>
        <v>0</v>
      </c>
    </row>
    <row r="200" spans="1:13" x14ac:dyDescent="0.25">
      <c r="A200" s="116"/>
      <c r="G200" s="80"/>
      <c r="H200" s="95">
        <v>195</v>
      </c>
      <c r="I200" s="96" t="str">
        <f t="shared" si="22"/>
        <v/>
      </c>
      <c r="J200" s="95">
        <f t="shared" si="25"/>
        <v>-2</v>
      </c>
      <c r="K200" s="95">
        <f t="shared" si="23"/>
        <v>-20</v>
      </c>
      <c r="L200" s="95"/>
      <c r="M200" s="97">
        <f t="shared" si="24"/>
        <v>0</v>
      </c>
    </row>
    <row r="201" spans="1:13" x14ac:dyDescent="0.25">
      <c r="A201" s="116"/>
      <c r="G201" s="80"/>
      <c r="H201" s="99">
        <v>196</v>
      </c>
      <c r="I201" s="96" t="str">
        <f t="shared" si="22"/>
        <v/>
      </c>
      <c r="J201" s="95">
        <f t="shared" si="25"/>
        <v>-2</v>
      </c>
      <c r="K201" s="95">
        <f t="shared" si="23"/>
        <v>-20</v>
      </c>
      <c r="L201" s="95"/>
      <c r="M201" s="97">
        <f t="shared" si="24"/>
        <v>0</v>
      </c>
    </row>
    <row r="202" spans="1:13" x14ac:dyDescent="0.25">
      <c r="A202" s="116"/>
      <c r="G202" s="80"/>
      <c r="H202" s="95">
        <v>197</v>
      </c>
      <c r="I202" s="96" t="str">
        <f t="shared" si="22"/>
        <v/>
      </c>
      <c r="J202" s="95">
        <f t="shared" si="25"/>
        <v>-2</v>
      </c>
      <c r="K202" s="95">
        <f t="shared" si="23"/>
        <v>-20</v>
      </c>
      <c r="L202" s="95"/>
      <c r="M202" s="97">
        <f t="shared" si="24"/>
        <v>0</v>
      </c>
    </row>
    <row r="203" spans="1:13" x14ac:dyDescent="0.25">
      <c r="A203" s="116"/>
      <c r="G203" s="80"/>
      <c r="H203" s="99">
        <v>198</v>
      </c>
      <c r="I203" s="96" t="str">
        <f t="shared" si="22"/>
        <v/>
      </c>
      <c r="J203" s="95">
        <f t="shared" si="25"/>
        <v>-2</v>
      </c>
      <c r="K203" s="95">
        <f t="shared" si="23"/>
        <v>-20</v>
      </c>
      <c r="L203" s="95"/>
      <c r="M203" s="97">
        <f t="shared" si="24"/>
        <v>0</v>
      </c>
    </row>
    <row r="204" spans="1:13" x14ac:dyDescent="0.25">
      <c r="A204" s="116"/>
      <c r="G204" s="80"/>
      <c r="H204" s="95">
        <v>199</v>
      </c>
      <c r="I204" s="96" t="str">
        <f t="shared" si="22"/>
        <v/>
      </c>
      <c r="J204" s="95">
        <f t="shared" si="25"/>
        <v>-2</v>
      </c>
      <c r="K204" s="95">
        <f t="shared" si="23"/>
        <v>-20</v>
      </c>
      <c r="L204" s="95"/>
      <c r="M204" s="97">
        <f t="shared" si="24"/>
        <v>0</v>
      </c>
    </row>
    <row r="205" spans="1:13" x14ac:dyDescent="0.25">
      <c r="A205" s="116"/>
      <c r="G205" s="80"/>
      <c r="H205" s="99">
        <v>200</v>
      </c>
      <c r="I205" s="96" t="str">
        <f t="shared" si="22"/>
        <v/>
      </c>
      <c r="J205" s="95">
        <f t="shared" si="25"/>
        <v>-2</v>
      </c>
      <c r="K205" s="95">
        <f t="shared" si="23"/>
        <v>-20</v>
      </c>
      <c r="L205" s="95"/>
      <c r="M205" s="97">
        <f t="shared" si="24"/>
        <v>0</v>
      </c>
    </row>
    <row r="206" spans="1:13" x14ac:dyDescent="0.25">
      <c r="A206" s="116"/>
      <c r="G206" s="80"/>
      <c r="H206" s="95">
        <v>201</v>
      </c>
      <c r="I206" s="96" t="str">
        <f t="shared" si="22"/>
        <v/>
      </c>
      <c r="J206" s="95">
        <f t="shared" si="25"/>
        <v>-2</v>
      </c>
      <c r="K206" s="95">
        <f t="shared" si="23"/>
        <v>-20</v>
      </c>
      <c r="L206" s="95"/>
      <c r="M206" s="97">
        <f t="shared" si="24"/>
        <v>0</v>
      </c>
    </row>
    <row r="207" spans="1:13" x14ac:dyDescent="0.25">
      <c r="A207" s="116"/>
      <c r="G207" s="80"/>
      <c r="H207" s="99">
        <v>202</v>
      </c>
      <c r="I207" s="96" t="str">
        <f t="shared" si="22"/>
        <v/>
      </c>
      <c r="J207" s="95">
        <f t="shared" si="25"/>
        <v>-2</v>
      </c>
      <c r="K207" s="95">
        <f t="shared" si="23"/>
        <v>-20</v>
      </c>
      <c r="L207" s="95"/>
      <c r="M207" s="97">
        <f t="shared" si="24"/>
        <v>0</v>
      </c>
    </row>
    <row r="208" spans="1:13" x14ac:dyDescent="0.25">
      <c r="A208" s="116"/>
      <c r="G208" s="80"/>
      <c r="H208" s="95">
        <v>203</v>
      </c>
      <c r="I208" s="96" t="str">
        <f t="shared" si="22"/>
        <v/>
      </c>
      <c r="J208" s="95">
        <f t="shared" si="25"/>
        <v>-2</v>
      </c>
      <c r="K208" s="95">
        <f t="shared" si="23"/>
        <v>-20</v>
      </c>
      <c r="L208" s="95"/>
      <c r="M208" s="97">
        <f t="shared" si="24"/>
        <v>0</v>
      </c>
    </row>
    <row r="209" spans="1:13" x14ac:dyDescent="0.25">
      <c r="A209" s="116"/>
      <c r="G209" s="80"/>
      <c r="H209" s="99">
        <v>204</v>
      </c>
      <c r="I209" s="96" t="str">
        <f t="shared" si="22"/>
        <v/>
      </c>
      <c r="J209" s="95">
        <f t="shared" si="25"/>
        <v>-2</v>
      </c>
      <c r="K209" s="95">
        <f t="shared" si="23"/>
        <v>-20</v>
      </c>
      <c r="L209" s="95"/>
      <c r="M209" s="97">
        <f t="shared" si="24"/>
        <v>0</v>
      </c>
    </row>
    <row r="210" spans="1:13" x14ac:dyDescent="0.25">
      <c r="A210" s="116"/>
      <c r="G210" s="80"/>
      <c r="H210" s="95">
        <v>205</v>
      </c>
      <c r="I210" s="96" t="str">
        <f t="shared" si="22"/>
        <v/>
      </c>
      <c r="J210" s="95">
        <f t="shared" si="25"/>
        <v>-2</v>
      </c>
      <c r="K210" s="95">
        <f t="shared" si="23"/>
        <v>-20</v>
      </c>
      <c r="L210" s="95"/>
      <c r="M210" s="97">
        <f t="shared" si="24"/>
        <v>0</v>
      </c>
    </row>
    <row r="211" spans="1:13" x14ac:dyDescent="0.25">
      <c r="A211" s="116"/>
      <c r="G211" s="80"/>
      <c r="H211" s="99">
        <v>206</v>
      </c>
      <c r="I211" s="96" t="str">
        <f t="shared" si="22"/>
        <v/>
      </c>
      <c r="J211" s="95">
        <f t="shared" si="25"/>
        <v>-2</v>
      </c>
      <c r="K211" s="95">
        <f t="shared" si="23"/>
        <v>-20</v>
      </c>
      <c r="L211" s="95"/>
      <c r="M211" s="97">
        <f t="shared" si="24"/>
        <v>0</v>
      </c>
    </row>
    <row r="212" spans="1:13" x14ac:dyDescent="0.25">
      <c r="A212" s="116"/>
      <c r="G212" s="80"/>
      <c r="H212" s="95">
        <v>207</v>
      </c>
      <c r="I212" s="96" t="str">
        <f t="shared" si="22"/>
        <v/>
      </c>
      <c r="J212" s="95">
        <f t="shared" si="25"/>
        <v>-2</v>
      </c>
      <c r="K212" s="95">
        <f t="shared" si="23"/>
        <v>-20</v>
      </c>
      <c r="L212" s="95"/>
      <c r="M212" s="97">
        <f t="shared" si="24"/>
        <v>0</v>
      </c>
    </row>
    <row r="213" spans="1:13" x14ac:dyDescent="0.25">
      <c r="A213" s="116"/>
      <c r="G213" s="80"/>
      <c r="H213" s="99">
        <v>208</v>
      </c>
      <c r="I213" s="96" t="str">
        <f t="shared" si="22"/>
        <v/>
      </c>
      <c r="J213" s="95">
        <f t="shared" si="25"/>
        <v>-2</v>
      </c>
      <c r="K213" s="95">
        <f t="shared" si="23"/>
        <v>-20</v>
      </c>
      <c r="L213" s="95"/>
      <c r="M213" s="97">
        <f t="shared" si="24"/>
        <v>0</v>
      </c>
    </row>
    <row r="214" spans="1:13" x14ac:dyDescent="0.25">
      <c r="A214" s="116"/>
      <c r="G214" s="80"/>
      <c r="H214" s="95">
        <v>209</v>
      </c>
      <c r="I214" s="96" t="str">
        <f t="shared" si="22"/>
        <v/>
      </c>
      <c r="J214" s="95">
        <f t="shared" si="25"/>
        <v>-2</v>
      </c>
      <c r="K214" s="95">
        <f t="shared" si="23"/>
        <v>-20</v>
      </c>
      <c r="L214" s="95"/>
      <c r="M214" s="97">
        <f t="shared" si="24"/>
        <v>0</v>
      </c>
    </row>
    <row r="215" spans="1:13" x14ac:dyDescent="0.25">
      <c r="A215" s="116"/>
      <c r="G215" s="80"/>
      <c r="H215" s="99">
        <v>210</v>
      </c>
      <c r="I215" s="96" t="str">
        <f t="shared" si="22"/>
        <v/>
      </c>
      <c r="J215" s="95">
        <f t="shared" si="25"/>
        <v>-2</v>
      </c>
      <c r="K215" s="95">
        <f t="shared" si="23"/>
        <v>-20</v>
      </c>
      <c r="L215" s="95"/>
      <c r="M215" s="97">
        <f t="shared" si="24"/>
        <v>0</v>
      </c>
    </row>
    <row r="216" spans="1:13" x14ac:dyDescent="0.25">
      <c r="A216" s="116"/>
      <c r="G216" s="80"/>
      <c r="H216" s="95">
        <v>211</v>
      </c>
      <c r="I216" s="96" t="str">
        <f t="shared" si="22"/>
        <v/>
      </c>
      <c r="J216" s="95">
        <f t="shared" si="25"/>
        <v>-2</v>
      </c>
      <c r="K216" s="95">
        <f t="shared" si="23"/>
        <v>-20</v>
      </c>
      <c r="L216" s="95"/>
      <c r="M216" s="97">
        <f t="shared" si="24"/>
        <v>0</v>
      </c>
    </row>
    <row r="217" spans="1:13" x14ac:dyDescent="0.25">
      <c r="A217" s="116"/>
      <c r="G217" s="80"/>
      <c r="H217" s="99">
        <v>212</v>
      </c>
      <c r="I217" s="96" t="str">
        <f t="shared" si="22"/>
        <v/>
      </c>
      <c r="J217" s="95">
        <f t="shared" si="25"/>
        <v>-2</v>
      </c>
      <c r="K217" s="95">
        <f t="shared" si="23"/>
        <v>-20</v>
      </c>
      <c r="L217" s="95"/>
      <c r="M217" s="97">
        <f t="shared" si="24"/>
        <v>0</v>
      </c>
    </row>
    <row r="218" spans="1:13" x14ac:dyDescent="0.25">
      <c r="A218" s="116"/>
      <c r="G218" s="80"/>
      <c r="H218" s="95">
        <v>213</v>
      </c>
      <c r="I218" s="96" t="str">
        <f t="shared" si="22"/>
        <v/>
      </c>
      <c r="J218" s="95">
        <f t="shared" si="25"/>
        <v>-2</v>
      </c>
      <c r="K218" s="95">
        <f t="shared" si="23"/>
        <v>-20</v>
      </c>
      <c r="L218" s="95"/>
      <c r="M218" s="97">
        <f t="shared" si="24"/>
        <v>0</v>
      </c>
    </row>
    <row r="219" spans="1:13" x14ac:dyDescent="0.25">
      <c r="A219" s="116"/>
      <c r="G219" s="80"/>
      <c r="H219" s="99">
        <v>214</v>
      </c>
      <c r="I219" s="96" t="str">
        <f t="shared" si="22"/>
        <v/>
      </c>
      <c r="J219" s="95">
        <f t="shared" si="25"/>
        <v>-2</v>
      </c>
      <c r="K219" s="95">
        <f t="shared" si="23"/>
        <v>-20</v>
      </c>
      <c r="L219" s="95"/>
      <c r="M219" s="97">
        <f t="shared" si="24"/>
        <v>0</v>
      </c>
    </row>
    <row r="220" spans="1:13" x14ac:dyDescent="0.25">
      <c r="A220" s="116"/>
      <c r="G220" s="80"/>
      <c r="H220" s="95">
        <v>215</v>
      </c>
      <c r="I220" s="96" t="str">
        <f t="shared" si="22"/>
        <v/>
      </c>
      <c r="J220" s="95">
        <f t="shared" si="25"/>
        <v>-2</v>
      </c>
      <c r="K220" s="95">
        <f t="shared" si="23"/>
        <v>-20</v>
      </c>
      <c r="L220" s="95"/>
      <c r="M220" s="97">
        <f t="shared" si="24"/>
        <v>0</v>
      </c>
    </row>
    <row r="221" spans="1:13" x14ac:dyDescent="0.25">
      <c r="A221" s="116"/>
      <c r="G221" s="80"/>
      <c r="H221" s="99">
        <v>216</v>
      </c>
      <c r="I221" s="96" t="str">
        <f t="shared" si="22"/>
        <v/>
      </c>
      <c r="J221" s="95">
        <f t="shared" si="25"/>
        <v>-2</v>
      </c>
      <c r="K221" s="95">
        <f t="shared" si="23"/>
        <v>-20</v>
      </c>
      <c r="L221" s="95"/>
      <c r="M221" s="97">
        <f t="shared" si="24"/>
        <v>0</v>
      </c>
    </row>
    <row r="222" spans="1:13" x14ac:dyDescent="0.25">
      <c r="A222" s="116"/>
      <c r="G222" s="80"/>
      <c r="H222" s="95">
        <v>217</v>
      </c>
      <c r="I222" s="96" t="str">
        <f t="shared" si="22"/>
        <v/>
      </c>
      <c r="J222" s="95">
        <f t="shared" si="25"/>
        <v>-2</v>
      </c>
      <c r="K222" s="95">
        <f t="shared" si="23"/>
        <v>-20</v>
      </c>
      <c r="L222" s="95"/>
      <c r="M222" s="97">
        <f t="shared" si="24"/>
        <v>0</v>
      </c>
    </row>
    <row r="223" spans="1:13" x14ac:dyDescent="0.25">
      <c r="A223" s="116"/>
      <c r="G223" s="80"/>
      <c r="H223" s="99">
        <v>218</v>
      </c>
      <c r="I223" s="96" t="str">
        <f t="shared" si="22"/>
        <v/>
      </c>
      <c r="J223" s="95">
        <f t="shared" si="25"/>
        <v>-2</v>
      </c>
      <c r="K223" s="95">
        <f t="shared" si="23"/>
        <v>-20</v>
      </c>
      <c r="L223" s="95"/>
      <c r="M223" s="97">
        <f t="shared" si="24"/>
        <v>0</v>
      </c>
    </row>
    <row r="224" spans="1:13" x14ac:dyDescent="0.25">
      <c r="A224" s="116"/>
      <c r="G224" s="80"/>
      <c r="H224" s="95">
        <v>219</v>
      </c>
      <c r="I224" s="96" t="str">
        <f t="shared" si="22"/>
        <v/>
      </c>
      <c r="J224" s="95">
        <f t="shared" si="25"/>
        <v>-2</v>
      </c>
      <c r="K224" s="95">
        <f t="shared" si="23"/>
        <v>-20</v>
      </c>
      <c r="L224" s="95"/>
      <c r="M224" s="97">
        <f t="shared" si="24"/>
        <v>0</v>
      </c>
    </row>
    <row r="225" spans="1:13" x14ac:dyDescent="0.25">
      <c r="A225" s="116"/>
      <c r="G225" s="80"/>
      <c r="H225" s="99">
        <v>220</v>
      </c>
      <c r="I225" s="96" t="str">
        <f t="shared" si="22"/>
        <v/>
      </c>
      <c r="J225" s="95">
        <f t="shared" si="25"/>
        <v>-2</v>
      </c>
      <c r="K225" s="95">
        <f t="shared" si="23"/>
        <v>-20</v>
      </c>
      <c r="L225" s="95"/>
      <c r="M225" s="97">
        <f t="shared" si="24"/>
        <v>0</v>
      </c>
    </row>
    <row r="226" spans="1:13" x14ac:dyDescent="0.25">
      <c r="A226" s="116"/>
      <c r="G226" s="80"/>
      <c r="H226" s="95">
        <v>221</v>
      </c>
      <c r="I226" s="96" t="str">
        <f t="shared" si="22"/>
        <v/>
      </c>
      <c r="J226" s="95">
        <f t="shared" si="25"/>
        <v>-2</v>
      </c>
      <c r="K226" s="95">
        <f t="shared" si="23"/>
        <v>-20</v>
      </c>
      <c r="L226" s="95"/>
      <c r="M226" s="97">
        <f t="shared" si="24"/>
        <v>0</v>
      </c>
    </row>
    <row r="227" spans="1:13" x14ac:dyDescent="0.25">
      <c r="A227" s="116"/>
      <c r="G227" s="80"/>
      <c r="H227" s="99">
        <v>222</v>
      </c>
      <c r="I227" s="96" t="str">
        <f t="shared" si="22"/>
        <v/>
      </c>
      <c r="J227" s="95">
        <f t="shared" si="25"/>
        <v>-2</v>
      </c>
      <c r="K227" s="95">
        <f t="shared" si="23"/>
        <v>-20</v>
      </c>
      <c r="L227" s="95"/>
      <c r="M227" s="97">
        <f t="shared" si="24"/>
        <v>0</v>
      </c>
    </row>
    <row r="228" spans="1:13" x14ac:dyDescent="0.25">
      <c r="A228" s="116"/>
      <c r="G228" s="80"/>
      <c r="H228" s="95">
        <v>223</v>
      </c>
      <c r="I228" s="96" t="str">
        <f t="shared" si="22"/>
        <v/>
      </c>
      <c r="J228" s="95">
        <f t="shared" si="25"/>
        <v>-2</v>
      </c>
      <c r="K228" s="95">
        <f t="shared" si="23"/>
        <v>-20</v>
      </c>
      <c r="L228" s="95"/>
      <c r="M228" s="97">
        <f t="shared" si="24"/>
        <v>0</v>
      </c>
    </row>
    <row r="229" spans="1:13" x14ac:dyDescent="0.25">
      <c r="A229" s="116"/>
      <c r="G229" s="80"/>
      <c r="H229" s="99">
        <v>224</v>
      </c>
      <c r="I229" s="96" t="str">
        <f t="shared" si="22"/>
        <v/>
      </c>
      <c r="J229" s="95">
        <f t="shared" si="25"/>
        <v>-2</v>
      </c>
      <c r="K229" s="95">
        <f t="shared" si="23"/>
        <v>-20</v>
      </c>
      <c r="L229" s="95"/>
      <c r="M229" s="97">
        <f t="shared" si="24"/>
        <v>0</v>
      </c>
    </row>
    <row r="230" spans="1:13" x14ac:dyDescent="0.25">
      <c r="A230" s="116"/>
      <c r="G230" s="80"/>
      <c r="H230" s="95">
        <v>225</v>
      </c>
      <c r="I230" s="96" t="str">
        <f t="shared" si="22"/>
        <v/>
      </c>
      <c r="J230" s="95">
        <f t="shared" si="25"/>
        <v>-2</v>
      </c>
      <c r="K230" s="95">
        <f t="shared" si="23"/>
        <v>-20</v>
      </c>
      <c r="L230" s="95"/>
      <c r="M230" s="97">
        <f t="shared" si="24"/>
        <v>0</v>
      </c>
    </row>
    <row r="231" spans="1:13" x14ac:dyDescent="0.25">
      <c r="A231" s="116"/>
      <c r="G231" s="80"/>
      <c r="H231" s="99">
        <v>226</v>
      </c>
      <c r="I231" s="96" t="str">
        <f t="shared" si="22"/>
        <v/>
      </c>
      <c r="J231" s="95">
        <f t="shared" si="25"/>
        <v>-2</v>
      </c>
      <c r="K231" s="95">
        <f t="shared" si="23"/>
        <v>-20</v>
      </c>
      <c r="L231" s="95"/>
      <c r="M231" s="97">
        <f t="shared" si="24"/>
        <v>0</v>
      </c>
    </row>
    <row r="232" spans="1:13" x14ac:dyDescent="0.25">
      <c r="A232" s="116"/>
      <c r="G232" s="80"/>
      <c r="H232" s="95">
        <v>227</v>
      </c>
      <c r="I232" s="96" t="str">
        <f t="shared" si="22"/>
        <v/>
      </c>
      <c r="J232" s="95">
        <f t="shared" si="25"/>
        <v>-2</v>
      </c>
      <c r="K232" s="95">
        <f t="shared" si="23"/>
        <v>-20</v>
      </c>
      <c r="L232" s="95"/>
      <c r="M232" s="97">
        <f t="shared" si="24"/>
        <v>0</v>
      </c>
    </row>
    <row r="233" spans="1:13" x14ac:dyDescent="0.25">
      <c r="A233" s="116"/>
      <c r="G233" s="80"/>
      <c r="H233" s="99">
        <v>228</v>
      </c>
      <c r="I233" s="96" t="str">
        <f t="shared" si="22"/>
        <v/>
      </c>
      <c r="J233" s="95">
        <f t="shared" si="25"/>
        <v>-2</v>
      </c>
      <c r="K233" s="95">
        <f t="shared" si="23"/>
        <v>-20</v>
      </c>
      <c r="L233" s="95"/>
      <c r="M233" s="97">
        <f t="shared" si="24"/>
        <v>0</v>
      </c>
    </row>
    <row r="234" spans="1:13" x14ac:dyDescent="0.25">
      <c r="A234" s="116"/>
      <c r="G234" s="80"/>
      <c r="H234" s="95">
        <v>229</v>
      </c>
      <c r="I234" s="96" t="str">
        <f t="shared" si="22"/>
        <v/>
      </c>
      <c r="J234" s="95">
        <f t="shared" si="25"/>
        <v>-2</v>
      </c>
      <c r="K234" s="95">
        <f t="shared" si="23"/>
        <v>-20</v>
      </c>
      <c r="L234" s="95"/>
      <c r="M234" s="97">
        <f t="shared" si="24"/>
        <v>0</v>
      </c>
    </row>
    <row r="235" spans="1:13" x14ac:dyDescent="0.25">
      <c r="A235" s="116"/>
      <c r="G235" s="80"/>
      <c r="H235" s="99">
        <v>230</v>
      </c>
      <c r="I235" s="96" t="str">
        <f t="shared" si="22"/>
        <v/>
      </c>
      <c r="J235" s="95">
        <f t="shared" si="25"/>
        <v>-2</v>
      </c>
      <c r="K235" s="95">
        <f t="shared" si="23"/>
        <v>-20</v>
      </c>
      <c r="L235" s="95"/>
      <c r="M235" s="97">
        <f t="shared" si="24"/>
        <v>0</v>
      </c>
    </row>
    <row r="236" spans="1:13" x14ac:dyDescent="0.25">
      <c r="A236" s="116"/>
      <c r="G236" s="80"/>
      <c r="H236" s="95">
        <v>231</v>
      </c>
      <c r="I236" s="96" t="str">
        <f t="shared" si="22"/>
        <v/>
      </c>
      <c r="J236" s="95">
        <f t="shared" si="25"/>
        <v>-2</v>
      </c>
      <c r="K236" s="95">
        <f t="shared" si="23"/>
        <v>-20</v>
      </c>
      <c r="L236" s="95"/>
      <c r="M236" s="97">
        <f t="shared" si="24"/>
        <v>0</v>
      </c>
    </row>
    <row r="237" spans="1:13" x14ac:dyDescent="0.25">
      <c r="A237" s="116"/>
      <c r="G237" s="80"/>
      <c r="H237" s="99">
        <v>232</v>
      </c>
      <c r="I237" s="96" t="str">
        <f t="shared" si="22"/>
        <v/>
      </c>
      <c r="J237" s="95">
        <f t="shared" si="25"/>
        <v>-2</v>
      </c>
      <c r="K237" s="95">
        <f t="shared" si="23"/>
        <v>-20</v>
      </c>
      <c r="L237" s="95"/>
      <c r="M237" s="97">
        <f t="shared" si="24"/>
        <v>0</v>
      </c>
    </row>
    <row r="238" spans="1:13" x14ac:dyDescent="0.25">
      <c r="A238" s="116"/>
      <c r="G238" s="80"/>
      <c r="H238" s="95">
        <v>233</v>
      </c>
      <c r="I238" s="96" t="str">
        <f t="shared" si="22"/>
        <v/>
      </c>
      <c r="J238" s="95">
        <f t="shared" si="25"/>
        <v>-2</v>
      </c>
      <c r="K238" s="95">
        <f t="shared" si="23"/>
        <v>-20</v>
      </c>
      <c r="L238" s="95"/>
      <c r="M238" s="97">
        <f t="shared" si="24"/>
        <v>0</v>
      </c>
    </row>
    <row r="239" spans="1:13" x14ac:dyDescent="0.25">
      <c r="A239" s="116"/>
      <c r="G239" s="80"/>
      <c r="H239" s="99">
        <v>234</v>
      </c>
      <c r="I239" s="96" t="str">
        <f t="shared" si="22"/>
        <v/>
      </c>
      <c r="J239" s="95">
        <f t="shared" si="25"/>
        <v>-2</v>
      </c>
      <c r="K239" s="95">
        <f t="shared" si="23"/>
        <v>-20</v>
      </c>
      <c r="L239" s="95"/>
      <c r="M239" s="97">
        <f t="shared" si="24"/>
        <v>0</v>
      </c>
    </row>
    <row r="240" spans="1:13" x14ac:dyDescent="0.25">
      <c r="A240" s="116"/>
      <c r="G240" s="80"/>
      <c r="H240" s="95">
        <v>235</v>
      </c>
      <c r="I240" s="96" t="str">
        <f t="shared" si="22"/>
        <v/>
      </c>
      <c r="J240" s="95">
        <f t="shared" si="25"/>
        <v>-2</v>
      </c>
      <c r="K240" s="95">
        <f t="shared" si="23"/>
        <v>-20</v>
      </c>
      <c r="L240" s="95"/>
      <c r="M240" s="97">
        <f t="shared" si="24"/>
        <v>0</v>
      </c>
    </row>
    <row r="241" spans="1:13" x14ac:dyDescent="0.25">
      <c r="A241" s="116"/>
      <c r="G241" s="80"/>
      <c r="H241" s="99">
        <v>236</v>
      </c>
      <c r="I241" s="96" t="str">
        <f t="shared" si="22"/>
        <v/>
      </c>
      <c r="J241" s="95">
        <f t="shared" si="25"/>
        <v>-2</v>
      </c>
      <c r="K241" s="95">
        <f t="shared" si="23"/>
        <v>-20</v>
      </c>
      <c r="L241" s="95"/>
      <c r="M241" s="97">
        <f t="shared" si="24"/>
        <v>0</v>
      </c>
    </row>
    <row r="242" spans="1:13" x14ac:dyDescent="0.25">
      <c r="A242" s="116"/>
      <c r="G242" s="80"/>
      <c r="H242" s="95">
        <v>237</v>
      </c>
      <c r="I242" s="96" t="str">
        <f t="shared" si="22"/>
        <v/>
      </c>
      <c r="J242" s="95">
        <f t="shared" si="25"/>
        <v>-2</v>
      </c>
      <c r="K242" s="95">
        <f t="shared" si="23"/>
        <v>-20</v>
      </c>
      <c r="L242" s="95"/>
      <c r="M242" s="97">
        <f t="shared" si="24"/>
        <v>0</v>
      </c>
    </row>
    <row r="243" spans="1:13" x14ac:dyDescent="0.25">
      <c r="A243" s="116"/>
      <c r="G243" s="80"/>
      <c r="H243" s="99">
        <v>238</v>
      </c>
      <c r="I243" s="96" t="str">
        <f t="shared" si="22"/>
        <v/>
      </c>
      <c r="J243" s="95">
        <f t="shared" si="25"/>
        <v>-2</v>
      </c>
      <c r="K243" s="95">
        <f t="shared" si="23"/>
        <v>-20</v>
      </c>
      <c r="L243" s="95"/>
      <c r="M243" s="97">
        <f t="shared" si="24"/>
        <v>0</v>
      </c>
    </row>
    <row r="244" spans="1:13" x14ac:dyDescent="0.25">
      <c r="A244" s="116"/>
      <c r="G244" s="80"/>
      <c r="H244" s="95">
        <v>239</v>
      </c>
      <c r="I244" s="96" t="str">
        <f t="shared" si="22"/>
        <v/>
      </c>
      <c r="J244" s="95">
        <f t="shared" si="25"/>
        <v>-2</v>
      </c>
      <c r="K244" s="95">
        <f t="shared" si="23"/>
        <v>-20</v>
      </c>
      <c r="L244" s="95"/>
      <c r="M244" s="97">
        <f t="shared" si="24"/>
        <v>0</v>
      </c>
    </row>
    <row r="245" spans="1:13" x14ac:dyDescent="0.25">
      <c r="A245" s="116"/>
      <c r="G245" s="80"/>
      <c r="H245" s="99">
        <v>240</v>
      </c>
      <c r="I245" s="96" t="str">
        <f t="shared" si="22"/>
        <v/>
      </c>
      <c r="J245" s="95">
        <f t="shared" si="25"/>
        <v>-2</v>
      </c>
      <c r="K245" s="95">
        <f t="shared" si="23"/>
        <v>-20</v>
      </c>
      <c r="L245" s="95"/>
      <c r="M245" s="97">
        <f t="shared" si="24"/>
        <v>0</v>
      </c>
    </row>
    <row r="246" spans="1:13" x14ac:dyDescent="0.25">
      <c r="A246" s="116"/>
      <c r="G246" s="80"/>
      <c r="H246" s="95">
        <v>241</v>
      </c>
      <c r="I246" s="96" t="str">
        <f t="shared" si="22"/>
        <v/>
      </c>
      <c r="J246" s="95">
        <f t="shared" si="25"/>
        <v>-2</v>
      </c>
      <c r="K246" s="95">
        <f t="shared" si="23"/>
        <v>-20</v>
      </c>
      <c r="L246" s="95"/>
      <c r="M246" s="97">
        <f t="shared" si="24"/>
        <v>0</v>
      </c>
    </row>
    <row r="247" spans="1:13" x14ac:dyDescent="0.25">
      <c r="A247" s="116"/>
      <c r="G247" s="80"/>
      <c r="H247" s="99">
        <v>242</v>
      </c>
      <c r="I247" s="96" t="str">
        <f t="shared" si="22"/>
        <v/>
      </c>
      <c r="J247" s="95">
        <f t="shared" si="25"/>
        <v>-2</v>
      </c>
      <c r="K247" s="95">
        <f t="shared" si="23"/>
        <v>-20</v>
      </c>
      <c r="L247" s="95"/>
      <c r="M247" s="97">
        <f t="shared" si="24"/>
        <v>0</v>
      </c>
    </row>
    <row r="248" spans="1:13" x14ac:dyDescent="0.25">
      <c r="A248" s="116"/>
      <c r="G248" s="80"/>
      <c r="H248" s="95">
        <v>243</v>
      </c>
      <c r="I248" s="96" t="str">
        <f t="shared" si="22"/>
        <v/>
      </c>
      <c r="J248" s="95">
        <f t="shared" si="25"/>
        <v>-2</v>
      </c>
      <c r="K248" s="95">
        <f t="shared" si="23"/>
        <v>-20</v>
      </c>
      <c r="L248" s="95"/>
      <c r="M248" s="97">
        <f t="shared" si="24"/>
        <v>0</v>
      </c>
    </row>
    <row r="249" spans="1:13" x14ac:dyDescent="0.25">
      <c r="A249" s="116"/>
      <c r="G249" s="80"/>
      <c r="H249" s="99">
        <v>244</v>
      </c>
      <c r="I249" s="96" t="str">
        <f t="shared" si="22"/>
        <v/>
      </c>
      <c r="J249" s="95">
        <f t="shared" si="25"/>
        <v>-2</v>
      </c>
      <c r="K249" s="95">
        <f t="shared" si="23"/>
        <v>-20</v>
      </c>
      <c r="L249" s="95"/>
      <c r="M249" s="97">
        <f t="shared" si="24"/>
        <v>0</v>
      </c>
    </row>
    <row r="250" spans="1:13" x14ac:dyDescent="0.25">
      <c r="A250" s="116"/>
      <c r="G250" s="80"/>
      <c r="H250" s="95">
        <v>245</v>
      </c>
      <c r="I250" s="96" t="str">
        <f t="shared" si="22"/>
        <v/>
      </c>
      <c r="J250" s="95">
        <f t="shared" si="25"/>
        <v>-2</v>
      </c>
      <c r="K250" s="95">
        <f t="shared" si="23"/>
        <v>-20</v>
      </c>
      <c r="L250" s="95"/>
      <c r="M250" s="97">
        <f t="shared" si="24"/>
        <v>0</v>
      </c>
    </row>
    <row r="251" spans="1:13" x14ac:dyDescent="0.25">
      <c r="A251" s="116"/>
      <c r="G251" s="80"/>
      <c r="H251" s="99">
        <v>246</v>
      </c>
      <c r="I251" s="96" t="str">
        <f t="shared" si="22"/>
        <v/>
      </c>
      <c r="J251" s="95">
        <f t="shared" si="25"/>
        <v>-2</v>
      </c>
      <c r="K251" s="95">
        <f t="shared" si="23"/>
        <v>-20</v>
      </c>
      <c r="L251" s="95"/>
      <c r="M251" s="97">
        <f t="shared" si="24"/>
        <v>0</v>
      </c>
    </row>
    <row r="252" spans="1:13" x14ac:dyDescent="0.25">
      <c r="A252" s="116"/>
      <c r="G252" s="80"/>
      <c r="H252" s="95">
        <v>247</v>
      </c>
      <c r="I252" s="96" t="str">
        <f t="shared" si="22"/>
        <v/>
      </c>
      <c r="J252" s="95">
        <f t="shared" si="25"/>
        <v>-2</v>
      </c>
      <c r="K252" s="95">
        <f t="shared" si="23"/>
        <v>-20</v>
      </c>
      <c r="L252" s="95"/>
      <c r="M252" s="97">
        <f t="shared" si="24"/>
        <v>0</v>
      </c>
    </row>
    <row r="253" spans="1:13" x14ac:dyDescent="0.25">
      <c r="A253" s="116"/>
      <c r="G253" s="80"/>
      <c r="H253" s="99">
        <v>248</v>
      </c>
      <c r="I253" s="96" t="str">
        <f t="shared" si="22"/>
        <v/>
      </c>
      <c r="J253" s="95">
        <f t="shared" si="25"/>
        <v>-2</v>
      </c>
      <c r="K253" s="95">
        <f t="shared" si="23"/>
        <v>-20</v>
      </c>
      <c r="L253" s="95"/>
      <c r="M253" s="97">
        <f t="shared" si="24"/>
        <v>0</v>
      </c>
    </row>
    <row r="254" spans="1:13" x14ac:dyDescent="0.25">
      <c r="A254" s="116"/>
      <c r="G254" s="80"/>
      <c r="H254" s="95">
        <v>249</v>
      </c>
      <c r="I254" s="96" t="str">
        <f t="shared" si="22"/>
        <v/>
      </c>
      <c r="J254" s="95">
        <f t="shared" si="25"/>
        <v>-2</v>
      </c>
      <c r="K254" s="95">
        <f t="shared" si="23"/>
        <v>-20</v>
      </c>
      <c r="L254" s="95"/>
      <c r="M254" s="97">
        <f t="shared" si="24"/>
        <v>0</v>
      </c>
    </row>
    <row r="255" spans="1:13" x14ac:dyDescent="0.25">
      <c r="A255" s="116"/>
      <c r="G255" s="80"/>
      <c r="H255" s="99">
        <v>250</v>
      </c>
      <c r="I255" s="96" t="str">
        <f t="shared" si="22"/>
        <v/>
      </c>
      <c r="J255" s="95">
        <f t="shared" si="25"/>
        <v>-2</v>
      </c>
      <c r="K255" s="95">
        <f t="shared" si="23"/>
        <v>-20</v>
      </c>
      <c r="L255" s="95"/>
      <c r="M255" s="97">
        <f t="shared" si="24"/>
        <v>0</v>
      </c>
    </row>
    <row r="256" spans="1:13" x14ac:dyDescent="0.25">
      <c r="A256" s="116"/>
      <c r="G256" s="80"/>
      <c r="H256" s="95">
        <v>251</v>
      </c>
      <c r="I256" s="96" t="str">
        <f t="shared" si="22"/>
        <v/>
      </c>
      <c r="J256" s="95">
        <f t="shared" si="25"/>
        <v>-2</v>
      </c>
      <c r="K256" s="95">
        <f t="shared" si="23"/>
        <v>-20</v>
      </c>
      <c r="L256" s="95"/>
      <c r="M256" s="97">
        <f t="shared" si="24"/>
        <v>0</v>
      </c>
    </row>
    <row r="257" spans="1:13" x14ac:dyDescent="0.25">
      <c r="A257" s="116"/>
      <c r="G257" s="80"/>
      <c r="H257" s="99">
        <v>252</v>
      </c>
      <c r="I257" s="96" t="str">
        <f t="shared" si="22"/>
        <v/>
      </c>
      <c r="J257" s="95">
        <f t="shared" si="25"/>
        <v>-2</v>
      </c>
      <c r="K257" s="95">
        <f t="shared" si="23"/>
        <v>-20</v>
      </c>
      <c r="L257" s="95"/>
      <c r="M257" s="97">
        <f t="shared" si="24"/>
        <v>0</v>
      </c>
    </row>
    <row r="258" spans="1:13" x14ac:dyDescent="0.25">
      <c r="A258" s="116"/>
      <c r="G258" s="80"/>
      <c r="H258" s="95">
        <v>253</v>
      </c>
      <c r="I258" s="96" t="str">
        <f t="shared" si="22"/>
        <v/>
      </c>
      <c r="J258" s="95">
        <f t="shared" si="25"/>
        <v>-2</v>
      </c>
      <c r="K258" s="95">
        <f t="shared" si="23"/>
        <v>-20</v>
      </c>
      <c r="L258" s="95"/>
      <c r="M258" s="97">
        <f t="shared" si="24"/>
        <v>0</v>
      </c>
    </row>
    <row r="259" spans="1:13" x14ac:dyDescent="0.25">
      <c r="A259" s="116"/>
      <c r="G259" s="80"/>
      <c r="H259" s="99">
        <v>254</v>
      </c>
      <c r="I259" s="96" t="str">
        <f t="shared" si="22"/>
        <v/>
      </c>
      <c r="J259" s="95">
        <f t="shared" si="25"/>
        <v>-2</v>
      </c>
      <c r="K259" s="95">
        <f t="shared" si="23"/>
        <v>-20</v>
      </c>
      <c r="L259" s="95"/>
      <c r="M259" s="97">
        <f t="shared" si="24"/>
        <v>0</v>
      </c>
    </row>
    <row r="260" spans="1:13" x14ac:dyDescent="0.25">
      <c r="A260" s="116"/>
      <c r="G260" s="80"/>
      <c r="H260" s="95">
        <v>255</v>
      </c>
      <c r="I260" s="96" t="str">
        <f t="shared" si="22"/>
        <v/>
      </c>
      <c r="J260" s="95">
        <f t="shared" si="25"/>
        <v>-2</v>
      </c>
      <c r="K260" s="95">
        <f t="shared" si="23"/>
        <v>-20</v>
      </c>
      <c r="L260" s="95"/>
      <c r="M260" s="97">
        <f t="shared" si="24"/>
        <v>0</v>
      </c>
    </row>
    <row r="261" spans="1:13" x14ac:dyDescent="0.25">
      <c r="A261" s="116"/>
      <c r="G261" s="80"/>
      <c r="H261" s="99">
        <v>256</v>
      </c>
      <c r="I261" s="96" t="str">
        <f t="shared" si="22"/>
        <v/>
      </c>
      <c r="J261" s="95">
        <f t="shared" si="25"/>
        <v>-2</v>
      </c>
      <c r="K261" s="95">
        <f t="shared" si="23"/>
        <v>-20</v>
      </c>
      <c r="L261" s="95"/>
      <c r="M261" s="97">
        <f t="shared" si="24"/>
        <v>0</v>
      </c>
    </row>
    <row r="262" spans="1:13" x14ac:dyDescent="0.25">
      <c r="A262" s="116"/>
      <c r="G262" s="80"/>
      <c r="H262" s="95">
        <v>257</v>
      </c>
      <c r="I262" s="96" t="str">
        <f t="shared" ref="I262:I305" si="26">IF(H262&lt;$H$2+1,($I$2-($I$2-1)*(LOG(H262)/LOG($H$2))),"")</f>
        <v/>
      </c>
      <c r="J262" s="95">
        <f t="shared" si="25"/>
        <v>-3</v>
      </c>
      <c r="K262" s="95">
        <f t="shared" ref="K262:K305" si="27">J262*$J$2</f>
        <v>-30</v>
      </c>
      <c r="L262" s="95"/>
      <c r="M262" s="97">
        <f t="shared" ref="M262:M305" si="28">IF(I262&lt;&gt;"",K262+I262+L262,0)</f>
        <v>0</v>
      </c>
    </row>
    <row r="263" spans="1:13" x14ac:dyDescent="0.25">
      <c r="A263" s="116"/>
      <c r="G263" s="80"/>
      <c r="H263" s="99">
        <v>258</v>
      </c>
      <c r="I263" s="96" t="str">
        <f t="shared" si="26"/>
        <v/>
      </c>
      <c r="J263" s="95">
        <f t="shared" ref="J263:J305" si="29">INT(LOG($H$2,2))-ROUNDUP(LOG(H263,2),0)+IF(OR($H$2=1,$H$2=2,$H$2=4,$H$2=8,$H$2=16,$H$2=32,$H$2=64,$H$2=128,$H$2=256),0,1)</f>
        <v>-3</v>
      </c>
      <c r="K263" s="95">
        <f t="shared" si="27"/>
        <v>-30</v>
      </c>
      <c r="L263" s="95"/>
      <c r="M263" s="97">
        <f t="shared" si="28"/>
        <v>0</v>
      </c>
    </row>
    <row r="264" spans="1:13" x14ac:dyDescent="0.25">
      <c r="A264" s="116"/>
      <c r="G264" s="80"/>
      <c r="H264" s="95">
        <v>259</v>
      </c>
      <c r="I264" s="96" t="str">
        <f t="shared" si="26"/>
        <v/>
      </c>
      <c r="J264" s="95">
        <f t="shared" si="29"/>
        <v>-3</v>
      </c>
      <c r="K264" s="95">
        <f t="shared" si="27"/>
        <v>-30</v>
      </c>
      <c r="L264" s="95"/>
      <c r="M264" s="97">
        <f t="shared" si="28"/>
        <v>0</v>
      </c>
    </row>
    <row r="265" spans="1:13" x14ac:dyDescent="0.25">
      <c r="A265" s="116"/>
      <c r="G265" s="80"/>
      <c r="H265" s="99">
        <v>260</v>
      </c>
      <c r="I265" s="96" t="str">
        <f t="shared" si="26"/>
        <v/>
      </c>
      <c r="J265" s="95">
        <f t="shared" si="29"/>
        <v>-3</v>
      </c>
      <c r="K265" s="95">
        <f t="shared" si="27"/>
        <v>-30</v>
      </c>
      <c r="L265" s="95"/>
      <c r="M265" s="97">
        <f t="shared" si="28"/>
        <v>0</v>
      </c>
    </row>
    <row r="266" spans="1:13" x14ac:dyDescent="0.25">
      <c r="A266" s="116"/>
      <c r="G266" s="80"/>
      <c r="H266" s="95">
        <v>261</v>
      </c>
      <c r="I266" s="96" t="str">
        <f t="shared" si="26"/>
        <v/>
      </c>
      <c r="J266" s="95">
        <f t="shared" si="29"/>
        <v>-3</v>
      </c>
      <c r="K266" s="95">
        <f t="shared" si="27"/>
        <v>-30</v>
      </c>
      <c r="L266" s="95"/>
      <c r="M266" s="97">
        <f t="shared" si="28"/>
        <v>0</v>
      </c>
    </row>
    <row r="267" spans="1:13" x14ac:dyDescent="0.25">
      <c r="A267" s="116"/>
      <c r="G267" s="80"/>
      <c r="H267" s="99">
        <v>262</v>
      </c>
      <c r="I267" s="96" t="str">
        <f t="shared" si="26"/>
        <v/>
      </c>
      <c r="J267" s="95">
        <f t="shared" si="29"/>
        <v>-3</v>
      </c>
      <c r="K267" s="95">
        <f t="shared" si="27"/>
        <v>-30</v>
      </c>
      <c r="L267" s="95"/>
      <c r="M267" s="97">
        <f t="shared" si="28"/>
        <v>0</v>
      </c>
    </row>
    <row r="268" spans="1:13" x14ac:dyDescent="0.25">
      <c r="A268" s="116"/>
      <c r="G268" s="80"/>
      <c r="H268" s="95">
        <v>263</v>
      </c>
      <c r="I268" s="96" t="str">
        <f t="shared" si="26"/>
        <v/>
      </c>
      <c r="J268" s="95">
        <f t="shared" si="29"/>
        <v>-3</v>
      </c>
      <c r="K268" s="95">
        <f t="shared" si="27"/>
        <v>-30</v>
      </c>
      <c r="L268" s="95"/>
      <c r="M268" s="97">
        <f t="shared" si="28"/>
        <v>0</v>
      </c>
    </row>
    <row r="269" spans="1:13" x14ac:dyDescent="0.25">
      <c r="A269" s="116"/>
      <c r="G269" s="80"/>
      <c r="H269" s="99">
        <v>264</v>
      </c>
      <c r="I269" s="96" t="str">
        <f t="shared" si="26"/>
        <v/>
      </c>
      <c r="J269" s="95">
        <f t="shared" si="29"/>
        <v>-3</v>
      </c>
      <c r="K269" s="95">
        <f t="shared" si="27"/>
        <v>-30</v>
      </c>
      <c r="L269" s="95"/>
      <c r="M269" s="97">
        <f t="shared" si="28"/>
        <v>0</v>
      </c>
    </row>
    <row r="270" spans="1:13" x14ac:dyDescent="0.25">
      <c r="A270" s="116"/>
      <c r="G270" s="80"/>
      <c r="H270" s="95">
        <v>265</v>
      </c>
      <c r="I270" s="96" t="str">
        <f t="shared" si="26"/>
        <v/>
      </c>
      <c r="J270" s="95">
        <f t="shared" si="29"/>
        <v>-3</v>
      </c>
      <c r="K270" s="95">
        <f t="shared" si="27"/>
        <v>-30</v>
      </c>
      <c r="L270" s="95"/>
      <c r="M270" s="97">
        <f t="shared" si="28"/>
        <v>0</v>
      </c>
    </row>
    <row r="271" spans="1:13" x14ac:dyDescent="0.25">
      <c r="A271" s="116"/>
      <c r="G271" s="80"/>
      <c r="H271" s="99">
        <v>266</v>
      </c>
      <c r="I271" s="96" t="str">
        <f t="shared" si="26"/>
        <v/>
      </c>
      <c r="J271" s="95">
        <f t="shared" si="29"/>
        <v>-3</v>
      </c>
      <c r="K271" s="95">
        <f t="shared" si="27"/>
        <v>-30</v>
      </c>
      <c r="L271" s="95"/>
      <c r="M271" s="97">
        <f t="shared" si="28"/>
        <v>0</v>
      </c>
    </row>
    <row r="272" spans="1:13" x14ac:dyDescent="0.25">
      <c r="A272" s="116"/>
      <c r="G272" s="80"/>
      <c r="H272" s="95">
        <v>267</v>
      </c>
      <c r="I272" s="96" t="str">
        <f t="shared" si="26"/>
        <v/>
      </c>
      <c r="J272" s="95">
        <f t="shared" si="29"/>
        <v>-3</v>
      </c>
      <c r="K272" s="95">
        <f t="shared" si="27"/>
        <v>-30</v>
      </c>
      <c r="L272" s="95"/>
      <c r="M272" s="97">
        <f t="shared" si="28"/>
        <v>0</v>
      </c>
    </row>
    <row r="273" spans="1:13" x14ac:dyDescent="0.25">
      <c r="A273" s="116"/>
      <c r="G273" s="80"/>
      <c r="H273" s="99">
        <v>268</v>
      </c>
      <c r="I273" s="96" t="str">
        <f t="shared" si="26"/>
        <v/>
      </c>
      <c r="J273" s="95">
        <f t="shared" si="29"/>
        <v>-3</v>
      </c>
      <c r="K273" s="95">
        <f t="shared" si="27"/>
        <v>-30</v>
      </c>
      <c r="L273" s="95"/>
      <c r="M273" s="97">
        <f t="shared" si="28"/>
        <v>0</v>
      </c>
    </row>
    <row r="274" spans="1:13" x14ac:dyDescent="0.25">
      <c r="A274" s="116"/>
      <c r="G274" s="80"/>
      <c r="H274" s="95">
        <v>269</v>
      </c>
      <c r="I274" s="96" t="str">
        <f t="shared" si="26"/>
        <v/>
      </c>
      <c r="J274" s="95">
        <f t="shared" si="29"/>
        <v>-3</v>
      </c>
      <c r="K274" s="95">
        <f t="shared" si="27"/>
        <v>-30</v>
      </c>
      <c r="L274" s="95"/>
      <c r="M274" s="97">
        <f t="shared" si="28"/>
        <v>0</v>
      </c>
    </row>
    <row r="275" spans="1:13" x14ac:dyDescent="0.25">
      <c r="A275" s="116"/>
      <c r="G275" s="80"/>
      <c r="H275" s="99">
        <v>270</v>
      </c>
      <c r="I275" s="96" t="str">
        <f t="shared" si="26"/>
        <v/>
      </c>
      <c r="J275" s="95">
        <f t="shared" si="29"/>
        <v>-3</v>
      </c>
      <c r="K275" s="95">
        <f t="shared" si="27"/>
        <v>-30</v>
      </c>
      <c r="L275" s="95"/>
      <c r="M275" s="97">
        <f t="shared" si="28"/>
        <v>0</v>
      </c>
    </row>
    <row r="276" spans="1:13" x14ac:dyDescent="0.25">
      <c r="A276" s="116"/>
      <c r="G276" s="80"/>
      <c r="H276" s="95">
        <v>271</v>
      </c>
      <c r="I276" s="96" t="str">
        <f t="shared" si="26"/>
        <v/>
      </c>
      <c r="J276" s="95">
        <f t="shared" si="29"/>
        <v>-3</v>
      </c>
      <c r="K276" s="95">
        <f t="shared" si="27"/>
        <v>-30</v>
      </c>
      <c r="L276" s="95"/>
      <c r="M276" s="97">
        <f t="shared" si="28"/>
        <v>0</v>
      </c>
    </row>
    <row r="277" spans="1:13" x14ac:dyDescent="0.25">
      <c r="A277" s="116"/>
      <c r="G277" s="80"/>
      <c r="H277" s="99">
        <v>272</v>
      </c>
      <c r="I277" s="96" t="str">
        <f t="shared" si="26"/>
        <v/>
      </c>
      <c r="J277" s="95">
        <f t="shared" si="29"/>
        <v>-3</v>
      </c>
      <c r="K277" s="95">
        <f t="shared" si="27"/>
        <v>-30</v>
      </c>
      <c r="L277" s="95"/>
      <c r="M277" s="97">
        <f t="shared" si="28"/>
        <v>0</v>
      </c>
    </row>
    <row r="278" spans="1:13" x14ac:dyDescent="0.25">
      <c r="A278" s="116"/>
      <c r="G278" s="80"/>
      <c r="H278" s="95">
        <v>273</v>
      </c>
      <c r="I278" s="96" t="str">
        <f t="shared" si="26"/>
        <v/>
      </c>
      <c r="J278" s="95">
        <f t="shared" si="29"/>
        <v>-3</v>
      </c>
      <c r="K278" s="95">
        <f t="shared" si="27"/>
        <v>-30</v>
      </c>
      <c r="L278" s="95"/>
      <c r="M278" s="97">
        <f t="shared" si="28"/>
        <v>0</v>
      </c>
    </row>
    <row r="279" spans="1:13" x14ac:dyDescent="0.25">
      <c r="A279" s="116"/>
      <c r="G279" s="80"/>
      <c r="H279" s="99">
        <v>274</v>
      </c>
      <c r="I279" s="96" t="str">
        <f t="shared" si="26"/>
        <v/>
      </c>
      <c r="J279" s="95">
        <f t="shared" si="29"/>
        <v>-3</v>
      </c>
      <c r="K279" s="95">
        <f t="shared" si="27"/>
        <v>-30</v>
      </c>
      <c r="L279" s="95"/>
      <c r="M279" s="97">
        <f t="shared" si="28"/>
        <v>0</v>
      </c>
    </row>
    <row r="280" spans="1:13" x14ac:dyDescent="0.25">
      <c r="A280" s="116"/>
      <c r="G280" s="80"/>
      <c r="H280" s="95">
        <v>275</v>
      </c>
      <c r="I280" s="96" t="str">
        <f t="shared" si="26"/>
        <v/>
      </c>
      <c r="J280" s="95">
        <f t="shared" si="29"/>
        <v>-3</v>
      </c>
      <c r="K280" s="95">
        <f t="shared" si="27"/>
        <v>-30</v>
      </c>
      <c r="L280" s="95"/>
      <c r="M280" s="97">
        <f t="shared" si="28"/>
        <v>0</v>
      </c>
    </row>
    <row r="281" spans="1:13" x14ac:dyDescent="0.25">
      <c r="A281" s="116"/>
      <c r="G281" s="80"/>
      <c r="H281" s="99">
        <v>276</v>
      </c>
      <c r="I281" s="96" t="str">
        <f t="shared" si="26"/>
        <v/>
      </c>
      <c r="J281" s="95">
        <f t="shared" si="29"/>
        <v>-3</v>
      </c>
      <c r="K281" s="95">
        <f t="shared" si="27"/>
        <v>-30</v>
      </c>
      <c r="L281" s="95"/>
      <c r="M281" s="97">
        <f t="shared" si="28"/>
        <v>0</v>
      </c>
    </row>
    <row r="282" spans="1:13" x14ac:dyDescent="0.25">
      <c r="A282" s="116"/>
      <c r="G282" s="80"/>
      <c r="H282" s="95">
        <v>277</v>
      </c>
      <c r="I282" s="96" t="str">
        <f t="shared" si="26"/>
        <v/>
      </c>
      <c r="J282" s="95">
        <f t="shared" si="29"/>
        <v>-3</v>
      </c>
      <c r="K282" s="95">
        <f t="shared" si="27"/>
        <v>-30</v>
      </c>
      <c r="L282" s="95"/>
      <c r="M282" s="97">
        <f t="shared" si="28"/>
        <v>0</v>
      </c>
    </row>
    <row r="283" spans="1:13" x14ac:dyDescent="0.25">
      <c r="A283" s="116"/>
      <c r="G283" s="80"/>
      <c r="H283" s="99">
        <v>278</v>
      </c>
      <c r="I283" s="96" t="str">
        <f t="shared" si="26"/>
        <v/>
      </c>
      <c r="J283" s="95">
        <f t="shared" si="29"/>
        <v>-3</v>
      </c>
      <c r="K283" s="95">
        <f t="shared" si="27"/>
        <v>-30</v>
      </c>
      <c r="L283" s="95"/>
      <c r="M283" s="97">
        <f t="shared" si="28"/>
        <v>0</v>
      </c>
    </row>
    <row r="284" spans="1:13" x14ac:dyDescent="0.25">
      <c r="A284" s="116"/>
      <c r="G284" s="80"/>
      <c r="H284" s="95">
        <v>279</v>
      </c>
      <c r="I284" s="96" t="str">
        <f t="shared" si="26"/>
        <v/>
      </c>
      <c r="J284" s="95">
        <f t="shared" si="29"/>
        <v>-3</v>
      </c>
      <c r="K284" s="95">
        <f t="shared" si="27"/>
        <v>-30</v>
      </c>
      <c r="L284" s="95"/>
      <c r="M284" s="97">
        <f t="shared" si="28"/>
        <v>0</v>
      </c>
    </row>
    <row r="285" spans="1:13" x14ac:dyDescent="0.25">
      <c r="A285" s="116"/>
      <c r="G285" s="80"/>
      <c r="H285" s="99">
        <v>280</v>
      </c>
      <c r="I285" s="96" t="str">
        <f t="shared" si="26"/>
        <v/>
      </c>
      <c r="J285" s="95">
        <f t="shared" si="29"/>
        <v>-3</v>
      </c>
      <c r="K285" s="95">
        <f t="shared" si="27"/>
        <v>-30</v>
      </c>
      <c r="L285" s="95"/>
      <c r="M285" s="97">
        <f t="shared" si="28"/>
        <v>0</v>
      </c>
    </row>
    <row r="286" spans="1:13" x14ac:dyDescent="0.25">
      <c r="A286" s="116"/>
      <c r="G286" s="80"/>
      <c r="H286" s="95">
        <v>281</v>
      </c>
      <c r="I286" s="96" t="str">
        <f t="shared" si="26"/>
        <v/>
      </c>
      <c r="J286" s="95">
        <f t="shared" si="29"/>
        <v>-3</v>
      </c>
      <c r="K286" s="95">
        <f t="shared" si="27"/>
        <v>-30</v>
      </c>
      <c r="L286" s="95"/>
      <c r="M286" s="97">
        <f t="shared" si="28"/>
        <v>0</v>
      </c>
    </row>
    <row r="287" spans="1:13" x14ac:dyDescent="0.25">
      <c r="A287" s="116"/>
      <c r="G287" s="80"/>
      <c r="H287" s="99">
        <v>282</v>
      </c>
      <c r="I287" s="96" t="str">
        <f t="shared" si="26"/>
        <v/>
      </c>
      <c r="J287" s="95">
        <f t="shared" si="29"/>
        <v>-3</v>
      </c>
      <c r="K287" s="95">
        <f t="shared" si="27"/>
        <v>-30</v>
      </c>
      <c r="L287" s="95"/>
      <c r="M287" s="97">
        <f t="shared" si="28"/>
        <v>0</v>
      </c>
    </row>
    <row r="288" spans="1:13" x14ac:dyDescent="0.25">
      <c r="A288" s="116"/>
      <c r="G288" s="80"/>
      <c r="H288" s="95">
        <v>283</v>
      </c>
      <c r="I288" s="96" t="str">
        <f t="shared" si="26"/>
        <v/>
      </c>
      <c r="J288" s="95">
        <f t="shared" si="29"/>
        <v>-3</v>
      </c>
      <c r="K288" s="95">
        <f t="shared" si="27"/>
        <v>-30</v>
      </c>
      <c r="L288" s="95"/>
      <c r="M288" s="97">
        <f t="shared" si="28"/>
        <v>0</v>
      </c>
    </row>
    <row r="289" spans="1:13" x14ac:dyDescent="0.25">
      <c r="A289" s="116"/>
      <c r="G289" s="80"/>
      <c r="H289" s="99">
        <v>284</v>
      </c>
      <c r="I289" s="96" t="str">
        <f t="shared" si="26"/>
        <v/>
      </c>
      <c r="J289" s="95">
        <f t="shared" si="29"/>
        <v>-3</v>
      </c>
      <c r="K289" s="95">
        <f t="shared" si="27"/>
        <v>-30</v>
      </c>
      <c r="L289" s="95"/>
      <c r="M289" s="97">
        <f t="shared" si="28"/>
        <v>0</v>
      </c>
    </row>
    <row r="290" spans="1:13" x14ac:dyDescent="0.25">
      <c r="A290" s="116"/>
      <c r="G290" s="80"/>
      <c r="H290" s="95">
        <v>285</v>
      </c>
      <c r="I290" s="96" t="str">
        <f t="shared" si="26"/>
        <v/>
      </c>
      <c r="J290" s="95">
        <f t="shared" si="29"/>
        <v>-3</v>
      </c>
      <c r="K290" s="95">
        <f t="shared" si="27"/>
        <v>-30</v>
      </c>
      <c r="L290" s="95"/>
      <c r="M290" s="97">
        <f t="shared" si="28"/>
        <v>0</v>
      </c>
    </row>
    <row r="291" spans="1:13" x14ac:dyDescent="0.25">
      <c r="A291" s="116"/>
      <c r="G291" s="80"/>
      <c r="H291" s="99">
        <v>286</v>
      </c>
      <c r="I291" s="96" t="str">
        <f t="shared" si="26"/>
        <v/>
      </c>
      <c r="J291" s="95">
        <f t="shared" si="29"/>
        <v>-3</v>
      </c>
      <c r="K291" s="95">
        <f t="shared" si="27"/>
        <v>-30</v>
      </c>
      <c r="L291" s="95"/>
      <c r="M291" s="97">
        <f t="shared" si="28"/>
        <v>0</v>
      </c>
    </row>
    <row r="292" spans="1:13" x14ac:dyDescent="0.25">
      <c r="A292" s="116"/>
      <c r="G292" s="80"/>
      <c r="H292" s="95">
        <v>287</v>
      </c>
      <c r="I292" s="96" t="str">
        <f t="shared" si="26"/>
        <v/>
      </c>
      <c r="J292" s="95">
        <f t="shared" si="29"/>
        <v>-3</v>
      </c>
      <c r="K292" s="95">
        <f t="shared" si="27"/>
        <v>-30</v>
      </c>
      <c r="L292" s="95"/>
      <c r="M292" s="97">
        <f t="shared" si="28"/>
        <v>0</v>
      </c>
    </row>
    <row r="293" spans="1:13" x14ac:dyDescent="0.25">
      <c r="A293" s="116"/>
      <c r="G293" s="80"/>
      <c r="H293" s="95">
        <v>288</v>
      </c>
      <c r="I293" s="96" t="str">
        <f t="shared" si="26"/>
        <v/>
      </c>
      <c r="J293" s="95">
        <f t="shared" si="29"/>
        <v>-3</v>
      </c>
      <c r="K293" s="95">
        <f t="shared" si="27"/>
        <v>-30</v>
      </c>
      <c r="L293" s="95"/>
      <c r="M293" s="97">
        <f t="shared" si="28"/>
        <v>0</v>
      </c>
    </row>
    <row r="294" spans="1:13" x14ac:dyDescent="0.25">
      <c r="A294" s="116"/>
      <c r="G294" s="80"/>
      <c r="H294" s="95">
        <v>289</v>
      </c>
      <c r="I294" s="96" t="str">
        <f t="shared" si="26"/>
        <v/>
      </c>
      <c r="J294" s="95">
        <f t="shared" si="29"/>
        <v>-3</v>
      </c>
      <c r="K294" s="95">
        <f t="shared" si="27"/>
        <v>-30</v>
      </c>
      <c r="L294" s="95"/>
      <c r="M294" s="97">
        <f t="shared" si="28"/>
        <v>0</v>
      </c>
    </row>
    <row r="295" spans="1:13" x14ac:dyDescent="0.25">
      <c r="A295" s="116"/>
      <c r="G295" s="80"/>
      <c r="H295" s="95">
        <v>290</v>
      </c>
      <c r="I295" s="96" t="str">
        <f t="shared" si="26"/>
        <v/>
      </c>
      <c r="J295" s="95">
        <f t="shared" si="29"/>
        <v>-3</v>
      </c>
      <c r="K295" s="95">
        <f t="shared" si="27"/>
        <v>-30</v>
      </c>
      <c r="L295" s="95"/>
      <c r="M295" s="97">
        <f t="shared" si="28"/>
        <v>0</v>
      </c>
    </row>
    <row r="296" spans="1:13" x14ac:dyDescent="0.25">
      <c r="A296" s="116"/>
      <c r="G296" s="80"/>
      <c r="H296" s="95">
        <v>291</v>
      </c>
      <c r="I296" s="96" t="str">
        <f t="shared" si="26"/>
        <v/>
      </c>
      <c r="J296" s="95">
        <f t="shared" si="29"/>
        <v>-3</v>
      </c>
      <c r="K296" s="95">
        <f t="shared" si="27"/>
        <v>-30</v>
      </c>
      <c r="L296" s="95"/>
      <c r="M296" s="97">
        <f t="shared" si="28"/>
        <v>0</v>
      </c>
    </row>
    <row r="297" spans="1:13" x14ac:dyDescent="0.25">
      <c r="A297" s="116"/>
      <c r="G297" s="80"/>
      <c r="H297" s="95">
        <v>292</v>
      </c>
      <c r="I297" s="96" t="str">
        <f t="shared" si="26"/>
        <v/>
      </c>
      <c r="J297" s="95">
        <f t="shared" si="29"/>
        <v>-3</v>
      </c>
      <c r="K297" s="95">
        <f t="shared" si="27"/>
        <v>-30</v>
      </c>
      <c r="L297" s="95"/>
      <c r="M297" s="97">
        <f t="shared" si="28"/>
        <v>0</v>
      </c>
    </row>
    <row r="298" spans="1:13" x14ac:dyDescent="0.25">
      <c r="A298" s="116"/>
      <c r="G298" s="80"/>
      <c r="H298" s="95">
        <v>293</v>
      </c>
      <c r="I298" s="96" t="str">
        <f t="shared" si="26"/>
        <v/>
      </c>
      <c r="J298" s="95">
        <f t="shared" si="29"/>
        <v>-3</v>
      </c>
      <c r="K298" s="95">
        <f t="shared" si="27"/>
        <v>-30</v>
      </c>
      <c r="L298" s="95"/>
      <c r="M298" s="97">
        <f t="shared" si="28"/>
        <v>0</v>
      </c>
    </row>
    <row r="299" spans="1:13" x14ac:dyDescent="0.25">
      <c r="A299" s="116"/>
      <c r="G299" s="80"/>
      <c r="H299" s="95">
        <v>294</v>
      </c>
      <c r="I299" s="96" t="str">
        <f t="shared" si="26"/>
        <v/>
      </c>
      <c r="J299" s="95">
        <f t="shared" si="29"/>
        <v>-3</v>
      </c>
      <c r="K299" s="95">
        <f t="shared" si="27"/>
        <v>-30</v>
      </c>
      <c r="L299" s="95"/>
      <c r="M299" s="97">
        <f t="shared" si="28"/>
        <v>0</v>
      </c>
    </row>
    <row r="300" spans="1:13" x14ac:dyDescent="0.25">
      <c r="A300" s="116"/>
      <c r="G300" s="80"/>
      <c r="H300" s="95">
        <v>295</v>
      </c>
      <c r="I300" s="96" t="str">
        <f t="shared" si="26"/>
        <v/>
      </c>
      <c r="J300" s="95">
        <f t="shared" si="29"/>
        <v>-3</v>
      </c>
      <c r="K300" s="95">
        <f t="shared" si="27"/>
        <v>-30</v>
      </c>
      <c r="L300" s="95"/>
      <c r="M300" s="97">
        <f t="shared" si="28"/>
        <v>0</v>
      </c>
    </row>
    <row r="301" spans="1:13" x14ac:dyDescent="0.25">
      <c r="A301" s="116"/>
      <c r="G301" s="80"/>
      <c r="H301" s="95">
        <v>296</v>
      </c>
      <c r="I301" s="96" t="str">
        <f t="shared" si="26"/>
        <v/>
      </c>
      <c r="J301" s="95">
        <f t="shared" si="29"/>
        <v>-3</v>
      </c>
      <c r="K301" s="95">
        <f t="shared" si="27"/>
        <v>-30</v>
      </c>
      <c r="L301" s="95"/>
      <c r="M301" s="97">
        <f t="shared" si="28"/>
        <v>0</v>
      </c>
    </row>
    <row r="302" spans="1:13" x14ac:dyDescent="0.25">
      <c r="A302" s="116"/>
      <c r="G302" s="80"/>
      <c r="H302" s="95">
        <v>297</v>
      </c>
      <c r="I302" s="96" t="str">
        <f t="shared" si="26"/>
        <v/>
      </c>
      <c r="J302" s="95">
        <f t="shared" si="29"/>
        <v>-3</v>
      </c>
      <c r="K302" s="95">
        <f t="shared" si="27"/>
        <v>-30</v>
      </c>
      <c r="L302" s="95"/>
      <c r="M302" s="97">
        <f t="shared" si="28"/>
        <v>0</v>
      </c>
    </row>
    <row r="303" spans="1:13" x14ac:dyDescent="0.25">
      <c r="A303" s="116"/>
      <c r="G303" s="80"/>
      <c r="H303" s="95">
        <v>298</v>
      </c>
      <c r="I303" s="96" t="str">
        <f t="shared" si="26"/>
        <v/>
      </c>
      <c r="J303" s="95">
        <f t="shared" si="29"/>
        <v>-3</v>
      </c>
      <c r="K303" s="95">
        <f t="shared" si="27"/>
        <v>-30</v>
      </c>
      <c r="L303" s="95"/>
      <c r="M303" s="97">
        <f t="shared" si="28"/>
        <v>0</v>
      </c>
    </row>
    <row r="304" spans="1:13" x14ac:dyDescent="0.25">
      <c r="A304" s="116"/>
      <c r="G304" s="80"/>
      <c r="H304" s="95">
        <v>299</v>
      </c>
      <c r="I304" s="96" t="str">
        <f t="shared" si="26"/>
        <v/>
      </c>
      <c r="J304" s="95">
        <f t="shared" si="29"/>
        <v>-3</v>
      </c>
      <c r="K304" s="95">
        <f t="shared" si="27"/>
        <v>-30</v>
      </c>
      <c r="L304" s="95"/>
      <c r="M304" s="97">
        <f t="shared" si="28"/>
        <v>0</v>
      </c>
    </row>
    <row r="305" spans="1:16" x14ac:dyDescent="0.25">
      <c r="A305" s="116"/>
      <c r="G305" s="80"/>
      <c r="H305" s="95">
        <v>300</v>
      </c>
      <c r="I305" s="96" t="str">
        <f t="shared" si="26"/>
        <v/>
      </c>
      <c r="J305" s="95">
        <f t="shared" si="29"/>
        <v>-3</v>
      </c>
      <c r="K305" s="95">
        <f t="shared" si="27"/>
        <v>-30</v>
      </c>
      <c r="L305" s="95"/>
      <c r="M305" s="97">
        <f t="shared" si="28"/>
        <v>0</v>
      </c>
    </row>
    <row r="306" spans="1:16" x14ac:dyDescent="0.25">
      <c r="A306" s="117"/>
    </row>
    <row r="314" spans="1:16" x14ac:dyDescent="0.25">
      <c r="L314" s="120"/>
      <c r="P314" s="107"/>
    </row>
    <row r="315" spans="1:16" x14ac:dyDescent="0.25">
      <c r="L315" s="120"/>
      <c r="P315" s="107"/>
    </row>
    <row r="316" spans="1:16" x14ac:dyDescent="0.25">
      <c r="L316" s="120"/>
      <c r="P316" s="107"/>
    </row>
    <row r="317" spans="1:16" x14ac:dyDescent="0.25">
      <c r="L317" s="120"/>
      <c r="P317" s="107"/>
    </row>
  </sheetData>
  <conditionalFormatting sqref="J6:K305">
    <cfRule type="cellIs" dxfId="14" priority="1" operator="lessThanOrEqual">
      <formula>0</formula>
    </cfRule>
  </conditionalFormatting>
  <hyperlinks>
    <hyperlink ref="C2" r:id="rId1" display="https://engarde-service.com/?fbclid=IwAR1q8b20973WNdhLRYbl3vdP-rPK0cilvuHZi37KFNf-Dodoicffb3YOQeM" xr:uid="{17A08FE6-2528-40FC-8798-8EEDC5A7AE9A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72FA-E98D-473E-9BF8-E914C0453088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2.2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x14ac:dyDescent="0.25">
      <c r="A1" s="80"/>
      <c r="B1" s="80"/>
      <c r="C1" s="80"/>
      <c r="D1" s="80"/>
      <c r="E1" s="80"/>
      <c r="F1" s="80"/>
      <c r="G1" s="80"/>
      <c r="H1" s="81" t="s">
        <v>38</v>
      </c>
      <c r="I1" s="82" t="s">
        <v>39</v>
      </c>
      <c r="J1" s="82" t="s">
        <v>40</v>
      </c>
      <c r="K1" s="83" t="s">
        <v>128</v>
      </c>
      <c r="L1" s="84"/>
      <c r="M1" s="84"/>
    </row>
    <row r="2" spans="1:36" ht="14.45" customHeight="1" x14ac:dyDescent="0.25">
      <c r="A2" s="80"/>
      <c r="B2" s="47" t="s">
        <v>42</v>
      </c>
      <c r="C2" s="272" t="s">
        <v>139</v>
      </c>
      <c r="D2" s="272"/>
      <c r="E2" s="6"/>
      <c r="F2" s="6"/>
      <c r="G2" s="6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</row>
    <row r="3" spans="1:36" ht="14.45" customHeight="1" x14ac:dyDescent="0.25">
      <c r="A3" s="80"/>
      <c r="B3" s="89" t="s">
        <v>44</v>
      </c>
      <c r="C3" s="272" t="s">
        <v>140</v>
      </c>
      <c r="D3" s="272"/>
      <c r="E3" s="7"/>
      <c r="F3" s="7"/>
      <c r="G3" s="7"/>
      <c r="H3" s="84"/>
      <c r="I3" s="84"/>
      <c r="J3" s="90"/>
      <c r="K3" s="84"/>
      <c r="L3" s="84"/>
      <c r="M3" s="84"/>
    </row>
    <row r="4" spans="1:36" ht="10.199999999999999" customHeight="1" x14ac:dyDescent="0.25">
      <c r="A4" s="8"/>
      <c r="B4" s="7"/>
      <c r="C4" s="8"/>
      <c r="D4" s="8"/>
      <c r="E4" s="8"/>
      <c r="F4" s="8"/>
      <c r="G4" s="8"/>
      <c r="H4" s="84"/>
      <c r="I4" s="84"/>
      <c r="J4" s="90"/>
      <c r="K4" s="84"/>
      <c r="L4" s="84"/>
      <c r="M4" s="84"/>
    </row>
    <row r="5" spans="1:36" ht="34.65" x14ac:dyDescent="0.25">
      <c r="A5" s="1" t="s">
        <v>45</v>
      </c>
      <c r="B5" s="37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8"/>
      <c r="H5" s="91" t="s">
        <v>51</v>
      </c>
      <c r="I5" s="92" t="s">
        <v>52</v>
      </c>
      <c r="J5" s="93" t="s">
        <v>93</v>
      </c>
      <c r="K5" s="92" t="s">
        <v>94</v>
      </c>
      <c r="L5" s="92" t="s">
        <v>55</v>
      </c>
      <c r="M5" s="91" t="s">
        <v>56</v>
      </c>
    </row>
    <row r="6" spans="1:36" ht="14.45" customHeight="1" x14ac:dyDescent="0.25">
      <c r="A6" s="94">
        <f>M6</f>
        <v>0</v>
      </c>
      <c r="B6" s="36" t="str">
        <f t="shared" ref="B6:B65" si="0">IF(H6&gt;$H$2,"",(ROW()-5))</f>
        <v/>
      </c>
      <c r="C6" s="24"/>
      <c r="D6" s="24"/>
      <c r="E6" s="24"/>
      <c r="F6" s="24"/>
      <c r="G6" s="8"/>
      <c r="H6" s="95">
        <v>1</v>
      </c>
      <c r="I6" s="96" t="str">
        <f t="shared" ref="I6:I69" si="1">IF(H6&lt;$H$2+1,($I$2-($I$2-1)*(LOG(H6)/LOG($H$2))),"")</f>
        <v/>
      </c>
      <c r="J6" s="95" t="e">
        <f>INT(LOG($H$2,2))-ROUNDUP(LOG(H6,2),0)+IF(OR($H$2=1,$H$2=2,$H$2=4,$H$2=8,$H$2=16,$H$2=32,$H$2=64,$H$2=128,$H$2=256),0,1)</f>
        <v>#NUM!</v>
      </c>
      <c r="K6" s="95" t="e">
        <f t="shared" ref="K6:K69" si="2">J6*$J$2</f>
        <v>#NUM!</v>
      </c>
      <c r="L6" s="97">
        <f>3*K2</f>
        <v>0</v>
      </c>
      <c r="M6" s="97">
        <f t="shared" ref="M6:M69" si="3">IF(I6&lt;&gt;"",K6+I6+L6,0)</f>
        <v>0</v>
      </c>
    </row>
    <row r="7" spans="1:36" ht="14.45" customHeight="1" x14ac:dyDescent="0.25">
      <c r="A7" s="98">
        <f t="shared" ref="A7:A60" si="4">M7</f>
        <v>0</v>
      </c>
      <c r="B7" s="35" t="str">
        <f t="shared" si="0"/>
        <v/>
      </c>
      <c r="C7" s="25"/>
      <c r="D7" s="25"/>
      <c r="E7" s="25"/>
      <c r="F7" s="25"/>
      <c r="G7" s="8"/>
      <c r="H7" s="99">
        <v>2</v>
      </c>
      <c r="I7" s="100" t="str">
        <f t="shared" si="1"/>
        <v/>
      </c>
      <c r="J7" s="99" t="e">
        <f t="shared" ref="J7:J70" si="5">INT(LOG($H$2,2))-ROUNDUP(LOG(H7,2),0)+IF(OR($H$2=1,$H$2=2,$H$2=4,$H$2=8,$H$2=16,$H$2=32,$H$2=64,$H$2=128,$H$2=256),0,1)</f>
        <v>#NUM!</v>
      </c>
      <c r="K7" s="99" t="e">
        <f t="shared" si="2"/>
        <v>#NUM!</v>
      </c>
      <c r="L7" s="101">
        <f>2*K2</f>
        <v>0</v>
      </c>
      <c r="M7" s="101">
        <f t="shared" si="3"/>
        <v>0</v>
      </c>
    </row>
    <row r="8" spans="1:36" ht="14.45" customHeight="1" x14ac:dyDescent="0.25">
      <c r="A8" s="94">
        <f t="shared" si="4"/>
        <v>0</v>
      </c>
      <c r="B8" s="36" t="str">
        <f t="shared" si="0"/>
        <v/>
      </c>
      <c r="C8" s="24"/>
      <c r="D8" s="24"/>
      <c r="E8" s="24"/>
      <c r="F8" s="24"/>
      <c r="G8" s="8"/>
      <c r="H8" s="95">
        <v>3</v>
      </c>
      <c r="I8" s="96" t="str">
        <f t="shared" si="1"/>
        <v/>
      </c>
      <c r="J8" s="95" t="e">
        <f t="shared" si="5"/>
        <v>#NUM!</v>
      </c>
      <c r="K8" s="95" t="e">
        <f t="shared" si="2"/>
        <v>#NUM!</v>
      </c>
      <c r="L8" s="97">
        <f>K2</f>
        <v>0</v>
      </c>
      <c r="M8" s="97">
        <f t="shared" si="3"/>
        <v>0</v>
      </c>
    </row>
    <row r="9" spans="1:36" s="85" customFormat="1" ht="14.45" customHeight="1" x14ac:dyDescent="0.25">
      <c r="A9" s="98">
        <f t="shared" si="4"/>
        <v>0</v>
      </c>
      <c r="B9" s="35" t="str">
        <f>IF(H9&gt;$H$2,"",3)</f>
        <v/>
      </c>
      <c r="C9" s="25"/>
      <c r="D9" s="25"/>
      <c r="E9" s="25"/>
      <c r="F9" s="25"/>
      <c r="G9" s="8"/>
      <c r="H9" s="99">
        <v>3</v>
      </c>
      <c r="I9" s="100" t="str">
        <f t="shared" si="1"/>
        <v/>
      </c>
      <c r="J9" s="99" t="e">
        <f t="shared" si="5"/>
        <v>#NUM!</v>
      </c>
      <c r="K9" s="99" t="e">
        <f t="shared" si="2"/>
        <v>#NUM!</v>
      </c>
      <c r="L9" s="101">
        <f>K2</f>
        <v>0</v>
      </c>
      <c r="M9" s="101">
        <f t="shared" si="3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95</v>
      </c>
      <c r="AI9" s="85">
        <v>23</v>
      </c>
    </row>
    <row r="10" spans="1:36" ht="14.45" customHeight="1" x14ac:dyDescent="0.25">
      <c r="A10" s="94">
        <f t="shared" si="4"/>
        <v>0</v>
      </c>
      <c r="B10" s="36" t="str">
        <f t="shared" si="0"/>
        <v/>
      </c>
      <c r="C10" s="24"/>
      <c r="D10" s="24"/>
      <c r="E10" s="24"/>
      <c r="F10" s="24"/>
      <c r="G10" s="8"/>
      <c r="H10" s="95">
        <v>5</v>
      </c>
      <c r="I10" s="96" t="str">
        <f t="shared" si="1"/>
        <v/>
      </c>
      <c r="J10" s="95" t="e">
        <f t="shared" si="5"/>
        <v>#NUM!</v>
      </c>
      <c r="K10" s="95" t="e">
        <f t="shared" si="2"/>
        <v>#NUM!</v>
      </c>
      <c r="L10" s="95"/>
      <c r="M10" s="97">
        <f t="shared" si="3"/>
        <v>0</v>
      </c>
      <c r="V10" s="102"/>
      <c r="Z10" s="103"/>
      <c r="AA10" s="103"/>
      <c r="AG10" s="104"/>
      <c r="AH10" s="85" t="s">
        <v>96</v>
      </c>
      <c r="AI10" s="85">
        <v>45</v>
      </c>
    </row>
    <row r="11" spans="1:36" ht="14.45" customHeight="1" x14ac:dyDescent="0.25">
      <c r="A11" s="98">
        <f t="shared" si="4"/>
        <v>0</v>
      </c>
      <c r="B11" s="35" t="str">
        <f t="shared" si="0"/>
        <v/>
      </c>
      <c r="C11" s="25"/>
      <c r="D11" s="25"/>
      <c r="E11" s="25"/>
      <c r="F11" s="25"/>
      <c r="G11" s="8"/>
      <c r="H11" s="99">
        <v>6</v>
      </c>
      <c r="I11" s="100" t="str">
        <f t="shared" si="1"/>
        <v/>
      </c>
      <c r="J11" s="99" t="e">
        <f t="shared" si="5"/>
        <v>#NUM!</v>
      </c>
      <c r="K11" s="99" t="e">
        <f t="shared" si="2"/>
        <v>#NUM!</v>
      </c>
      <c r="L11" s="99"/>
      <c r="M11" s="101">
        <f t="shared" si="3"/>
        <v>0</v>
      </c>
      <c r="V11" s="105"/>
      <c r="Z11" s="103"/>
      <c r="AA11" s="103"/>
      <c r="AG11" s="104"/>
      <c r="AH11" s="85" t="s">
        <v>97</v>
      </c>
      <c r="AI11" s="85">
        <v>50</v>
      </c>
    </row>
    <row r="12" spans="1:36" ht="14.45" customHeight="1" x14ac:dyDescent="0.25">
      <c r="A12" s="94">
        <f t="shared" si="4"/>
        <v>0</v>
      </c>
      <c r="B12" s="36" t="str">
        <f t="shared" si="0"/>
        <v/>
      </c>
      <c r="C12" s="24"/>
      <c r="D12" s="24"/>
      <c r="E12" s="24"/>
      <c r="F12" s="24"/>
      <c r="G12" s="8"/>
      <c r="H12" s="95">
        <v>7</v>
      </c>
      <c r="I12" s="96" t="str">
        <f t="shared" si="1"/>
        <v/>
      </c>
      <c r="J12" s="95" t="e">
        <f t="shared" si="5"/>
        <v>#NUM!</v>
      </c>
      <c r="K12" s="95" t="e">
        <f t="shared" si="2"/>
        <v>#NUM!</v>
      </c>
      <c r="L12" s="95"/>
      <c r="M12" s="97">
        <f t="shared" si="3"/>
        <v>0</v>
      </c>
      <c r="Z12" s="103"/>
      <c r="AA12" s="103"/>
      <c r="AG12" s="104"/>
      <c r="AH12" s="85" t="s">
        <v>98</v>
      </c>
      <c r="AI12" s="85">
        <f>AI11-1</f>
        <v>49</v>
      </c>
    </row>
    <row r="13" spans="1:36" ht="14.45" customHeight="1" x14ac:dyDescent="0.25">
      <c r="A13" s="98">
        <f t="shared" si="4"/>
        <v>0</v>
      </c>
      <c r="B13" s="35" t="str">
        <f t="shared" si="0"/>
        <v/>
      </c>
      <c r="C13" s="25"/>
      <c r="D13" s="25"/>
      <c r="E13" s="25"/>
      <c r="F13" s="25"/>
      <c r="G13" s="8"/>
      <c r="H13" s="99">
        <v>8</v>
      </c>
      <c r="I13" s="100" t="str">
        <f t="shared" si="1"/>
        <v/>
      </c>
      <c r="J13" s="99" t="e">
        <f t="shared" si="5"/>
        <v>#NUM!</v>
      </c>
      <c r="K13" s="99" t="e">
        <f t="shared" si="2"/>
        <v>#NUM!</v>
      </c>
      <c r="L13" s="99"/>
      <c r="M13" s="101">
        <f t="shared" si="3"/>
        <v>0</v>
      </c>
      <c r="X13" s="102"/>
      <c r="AG13" s="104"/>
      <c r="AH13" s="85" t="s">
        <v>101</v>
      </c>
      <c r="AI13" s="85">
        <f>LOG(AI9)</f>
        <v>1.3617278360175928</v>
      </c>
    </row>
    <row r="14" spans="1:36" x14ac:dyDescent="0.25">
      <c r="A14" s="94">
        <f t="shared" si="4"/>
        <v>0</v>
      </c>
      <c r="B14" s="36" t="str">
        <f t="shared" si="0"/>
        <v/>
      </c>
      <c r="C14" s="24"/>
      <c r="D14" s="24"/>
      <c r="E14" s="24"/>
      <c r="F14" s="24"/>
      <c r="G14" s="8"/>
      <c r="H14" s="95">
        <v>9</v>
      </c>
      <c r="I14" s="96" t="str">
        <f t="shared" si="1"/>
        <v/>
      </c>
      <c r="J14" s="95" t="e">
        <f t="shared" si="5"/>
        <v>#NUM!</v>
      </c>
      <c r="K14" s="95" t="e">
        <f t="shared" si="2"/>
        <v>#NUM!</v>
      </c>
      <c r="L14" s="95"/>
      <c r="M14" s="97">
        <f t="shared" si="3"/>
        <v>0</v>
      </c>
      <c r="X14" s="106"/>
      <c r="Z14" s="103"/>
      <c r="AA14" s="103"/>
      <c r="AG14" s="104"/>
      <c r="AH14" s="85" t="s">
        <v>102</v>
      </c>
      <c r="AI14" s="85">
        <f>LOG(AI10)</f>
        <v>1.6532125137753437</v>
      </c>
    </row>
    <row r="15" spans="1:36" x14ac:dyDescent="0.25">
      <c r="A15" s="98">
        <f t="shared" si="4"/>
        <v>0</v>
      </c>
      <c r="B15" s="35" t="str">
        <f t="shared" si="0"/>
        <v/>
      </c>
      <c r="C15" s="25"/>
      <c r="D15" s="25"/>
      <c r="E15" s="25"/>
      <c r="F15" s="25"/>
      <c r="G15" s="8"/>
      <c r="H15" s="99">
        <v>10</v>
      </c>
      <c r="I15" s="100" t="str">
        <f t="shared" si="1"/>
        <v/>
      </c>
      <c r="J15" s="99" t="e">
        <f t="shared" si="5"/>
        <v>#NUM!</v>
      </c>
      <c r="K15" s="99" t="e">
        <f t="shared" si="2"/>
        <v>#NUM!</v>
      </c>
      <c r="L15" s="99"/>
      <c r="M15" s="101">
        <f t="shared" si="3"/>
        <v>0</v>
      </c>
      <c r="X15" s="102"/>
      <c r="Z15" s="103"/>
      <c r="AA15" s="103"/>
    </row>
    <row r="16" spans="1:36" x14ac:dyDescent="0.25">
      <c r="A16" s="94">
        <f t="shared" si="4"/>
        <v>0</v>
      </c>
      <c r="B16" s="36" t="str">
        <f t="shared" si="0"/>
        <v/>
      </c>
      <c r="C16" s="24"/>
      <c r="D16" s="24"/>
      <c r="E16" s="24"/>
      <c r="F16" s="24"/>
      <c r="G16" s="8"/>
      <c r="H16" s="95">
        <v>11</v>
      </c>
      <c r="I16" s="96" t="str">
        <f t="shared" si="1"/>
        <v/>
      </c>
      <c r="J16" s="95" t="e">
        <f t="shared" si="5"/>
        <v>#NUM!</v>
      </c>
      <c r="K16" s="95" t="e">
        <f t="shared" si="2"/>
        <v>#NUM!</v>
      </c>
      <c r="L16" s="95"/>
      <c r="M16" s="97">
        <f t="shared" si="3"/>
        <v>0</v>
      </c>
      <c r="R16" s="107"/>
      <c r="Z16" s="103"/>
      <c r="AA16" s="103"/>
      <c r="AH16" s="108" t="s">
        <v>104</v>
      </c>
      <c r="AI16" s="85">
        <f>AI11-AI12*AI13/AI14</f>
        <v>9.6393909380186855</v>
      </c>
      <c r="AJ16" s="85" t="s">
        <v>105</v>
      </c>
    </row>
    <row r="17" spans="1:19" x14ac:dyDescent="0.25">
      <c r="A17" s="98">
        <f t="shared" si="4"/>
        <v>0</v>
      </c>
      <c r="B17" s="35" t="str">
        <f t="shared" si="0"/>
        <v/>
      </c>
      <c r="C17" s="25"/>
      <c r="D17" s="25"/>
      <c r="E17" s="25"/>
      <c r="F17" s="25"/>
      <c r="G17" s="8"/>
      <c r="H17" s="99">
        <v>12</v>
      </c>
      <c r="I17" s="100" t="str">
        <f t="shared" si="1"/>
        <v/>
      </c>
      <c r="J17" s="99" t="e">
        <f t="shared" si="5"/>
        <v>#NUM!</v>
      </c>
      <c r="K17" s="99" t="e">
        <f t="shared" si="2"/>
        <v>#NUM!</v>
      </c>
      <c r="L17" s="99"/>
      <c r="M17" s="101">
        <f t="shared" si="3"/>
        <v>0</v>
      </c>
    </row>
    <row r="18" spans="1:19" x14ac:dyDescent="0.25">
      <c r="A18" s="94">
        <f t="shared" si="4"/>
        <v>0</v>
      </c>
      <c r="B18" s="36" t="str">
        <f t="shared" si="0"/>
        <v/>
      </c>
      <c r="C18" s="24"/>
      <c r="D18" s="24"/>
      <c r="E18" s="24"/>
      <c r="F18" s="24"/>
      <c r="G18" s="8"/>
      <c r="H18" s="95">
        <v>13</v>
      </c>
      <c r="I18" s="96" t="str">
        <f t="shared" si="1"/>
        <v/>
      </c>
      <c r="J18" s="95" t="e">
        <f t="shared" si="5"/>
        <v>#NUM!</v>
      </c>
      <c r="K18" s="95" t="e">
        <f t="shared" si="2"/>
        <v>#NUM!</v>
      </c>
      <c r="L18" s="95"/>
      <c r="M18" s="97">
        <f t="shared" si="3"/>
        <v>0</v>
      </c>
    </row>
    <row r="19" spans="1:19" x14ac:dyDescent="0.25">
      <c r="A19" s="98">
        <f t="shared" si="4"/>
        <v>0</v>
      </c>
      <c r="B19" s="35" t="str">
        <f t="shared" si="0"/>
        <v/>
      </c>
      <c r="C19" s="25"/>
      <c r="D19" s="25"/>
      <c r="E19" s="25"/>
      <c r="F19" s="25"/>
      <c r="G19" s="8"/>
      <c r="H19" s="99">
        <v>14</v>
      </c>
      <c r="I19" s="100" t="str">
        <f t="shared" si="1"/>
        <v/>
      </c>
      <c r="J19" s="99" t="e">
        <f t="shared" si="5"/>
        <v>#NUM!</v>
      </c>
      <c r="K19" s="99" t="e">
        <f t="shared" si="2"/>
        <v>#NUM!</v>
      </c>
      <c r="L19" s="99"/>
      <c r="M19" s="101">
        <f t="shared" si="3"/>
        <v>0</v>
      </c>
    </row>
    <row r="20" spans="1:19" x14ac:dyDescent="0.25">
      <c r="A20" s="94">
        <f t="shared" si="4"/>
        <v>0</v>
      </c>
      <c r="B20" s="36" t="str">
        <f t="shared" si="0"/>
        <v/>
      </c>
      <c r="C20" s="24"/>
      <c r="D20" s="24"/>
      <c r="E20" s="24"/>
      <c r="F20" s="24"/>
      <c r="G20" s="8"/>
      <c r="H20" s="95">
        <v>15</v>
      </c>
      <c r="I20" s="96" t="str">
        <f t="shared" si="1"/>
        <v/>
      </c>
      <c r="J20" s="95" t="e">
        <f t="shared" si="5"/>
        <v>#NUM!</v>
      </c>
      <c r="K20" s="95" t="e">
        <f t="shared" si="2"/>
        <v>#NUM!</v>
      </c>
      <c r="L20" s="95"/>
      <c r="M20" s="97">
        <f t="shared" si="3"/>
        <v>0</v>
      </c>
      <c r="R20" s="109"/>
      <c r="S20" s="110"/>
    </row>
    <row r="21" spans="1:19" x14ac:dyDescent="0.25">
      <c r="A21" s="98">
        <f t="shared" si="4"/>
        <v>0</v>
      </c>
      <c r="B21" s="35" t="str">
        <f t="shared" si="0"/>
        <v/>
      </c>
      <c r="C21" s="25"/>
      <c r="D21" s="25"/>
      <c r="E21" s="25"/>
      <c r="F21" s="25"/>
      <c r="G21" s="8"/>
      <c r="H21" s="99">
        <v>16</v>
      </c>
      <c r="I21" s="100" t="str">
        <f t="shared" si="1"/>
        <v/>
      </c>
      <c r="J21" s="99" t="e">
        <f t="shared" si="5"/>
        <v>#NUM!</v>
      </c>
      <c r="K21" s="99" t="e">
        <f t="shared" si="2"/>
        <v>#NUM!</v>
      </c>
      <c r="L21" s="99"/>
      <c r="M21" s="101">
        <f t="shared" si="3"/>
        <v>0</v>
      </c>
    </row>
    <row r="22" spans="1:19" x14ac:dyDescent="0.25">
      <c r="A22" s="94">
        <f t="shared" si="4"/>
        <v>0</v>
      </c>
      <c r="B22" s="36" t="str">
        <f t="shared" si="0"/>
        <v/>
      </c>
      <c r="C22" s="24"/>
      <c r="D22" s="24"/>
      <c r="E22" s="24"/>
      <c r="F22" s="24"/>
      <c r="G22" s="8"/>
      <c r="H22" s="95">
        <v>17</v>
      </c>
      <c r="I22" s="96" t="str">
        <f t="shared" si="1"/>
        <v/>
      </c>
      <c r="J22" s="95" t="e">
        <f t="shared" si="5"/>
        <v>#NUM!</v>
      </c>
      <c r="K22" s="95" t="e">
        <f t="shared" si="2"/>
        <v>#NUM!</v>
      </c>
      <c r="L22" s="95"/>
      <c r="M22" s="97">
        <f t="shared" si="3"/>
        <v>0</v>
      </c>
    </row>
    <row r="23" spans="1:19" x14ac:dyDescent="0.25">
      <c r="A23" s="98">
        <f t="shared" si="4"/>
        <v>0</v>
      </c>
      <c r="B23" s="35" t="str">
        <f t="shared" si="0"/>
        <v/>
      </c>
      <c r="C23" s="25"/>
      <c r="D23" s="25"/>
      <c r="E23" s="25"/>
      <c r="F23" s="25"/>
      <c r="G23" s="8"/>
      <c r="H23" s="99">
        <v>18</v>
      </c>
      <c r="I23" s="100" t="str">
        <f t="shared" si="1"/>
        <v/>
      </c>
      <c r="J23" s="99" t="e">
        <f t="shared" si="5"/>
        <v>#NUM!</v>
      </c>
      <c r="K23" s="99" t="e">
        <f t="shared" si="2"/>
        <v>#NUM!</v>
      </c>
      <c r="L23" s="99"/>
      <c r="M23" s="101">
        <f t="shared" si="3"/>
        <v>0</v>
      </c>
    </row>
    <row r="24" spans="1:19" x14ac:dyDescent="0.25">
      <c r="A24" s="94">
        <f t="shared" si="4"/>
        <v>0</v>
      </c>
      <c r="B24" s="36" t="str">
        <f t="shared" si="0"/>
        <v/>
      </c>
      <c r="C24" s="24"/>
      <c r="D24" s="24"/>
      <c r="E24" s="24"/>
      <c r="F24" s="24"/>
      <c r="G24" s="8"/>
      <c r="H24" s="95">
        <v>19</v>
      </c>
      <c r="I24" s="96" t="str">
        <f t="shared" si="1"/>
        <v/>
      </c>
      <c r="J24" s="95" t="e">
        <f t="shared" si="5"/>
        <v>#NUM!</v>
      </c>
      <c r="K24" s="95" t="e">
        <f t="shared" si="2"/>
        <v>#NUM!</v>
      </c>
      <c r="L24" s="95"/>
      <c r="M24" s="97">
        <f t="shared" si="3"/>
        <v>0</v>
      </c>
      <c r="R24" s="109"/>
      <c r="S24" s="110"/>
    </row>
    <row r="25" spans="1:19" x14ac:dyDescent="0.25">
      <c r="A25" s="98">
        <f t="shared" si="4"/>
        <v>0</v>
      </c>
      <c r="B25" s="35" t="str">
        <f t="shared" si="0"/>
        <v/>
      </c>
      <c r="C25" s="25"/>
      <c r="D25" s="25"/>
      <c r="E25" s="25"/>
      <c r="F25" s="25"/>
      <c r="G25" s="8"/>
      <c r="H25" s="99">
        <v>20</v>
      </c>
      <c r="I25" s="100" t="str">
        <f t="shared" si="1"/>
        <v/>
      </c>
      <c r="J25" s="99" t="e">
        <f t="shared" si="5"/>
        <v>#NUM!</v>
      </c>
      <c r="K25" s="99" t="e">
        <f t="shared" si="2"/>
        <v>#NUM!</v>
      </c>
      <c r="L25" s="99"/>
      <c r="M25" s="101">
        <f t="shared" si="3"/>
        <v>0</v>
      </c>
    </row>
    <row r="26" spans="1:19" x14ac:dyDescent="0.25">
      <c r="A26" s="94">
        <f t="shared" si="4"/>
        <v>0</v>
      </c>
      <c r="B26" s="36" t="str">
        <f t="shared" si="0"/>
        <v/>
      </c>
      <c r="C26" s="24"/>
      <c r="D26" s="24"/>
      <c r="E26" s="24"/>
      <c r="F26" s="24"/>
      <c r="G26" s="8"/>
      <c r="H26" s="95">
        <v>21</v>
      </c>
      <c r="I26" s="96" t="str">
        <f t="shared" si="1"/>
        <v/>
      </c>
      <c r="J26" s="95" t="e">
        <f t="shared" si="5"/>
        <v>#NUM!</v>
      </c>
      <c r="K26" s="95" t="e">
        <f t="shared" si="2"/>
        <v>#NUM!</v>
      </c>
      <c r="L26" s="95"/>
      <c r="M26" s="97">
        <f t="shared" si="3"/>
        <v>0</v>
      </c>
    </row>
    <row r="27" spans="1:19" x14ac:dyDescent="0.25">
      <c r="A27" s="98">
        <f t="shared" si="4"/>
        <v>0</v>
      </c>
      <c r="B27" s="35" t="str">
        <f t="shared" si="0"/>
        <v/>
      </c>
      <c r="C27" s="25"/>
      <c r="D27" s="25"/>
      <c r="E27" s="25"/>
      <c r="F27" s="25"/>
      <c r="G27" s="8"/>
      <c r="H27" s="99">
        <v>22</v>
      </c>
      <c r="I27" s="100" t="str">
        <f t="shared" si="1"/>
        <v/>
      </c>
      <c r="J27" s="99" t="e">
        <f t="shared" si="5"/>
        <v>#NUM!</v>
      </c>
      <c r="K27" s="99" t="e">
        <f t="shared" si="2"/>
        <v>#NUM!</v>
      </c>
      <c r="L27" s="99"/>
      <c r="M27" s="101">
        <f t="shared" si="3"/>
        <v>0</v>
      </c>
    </row>
    <row r="28" spans="1:19" x14ac:dyDescent="0.25">
      <c r="A28" s="94">
        <f t="shared" si="4"/>
        <v>0</v>
      </c>
      <c r="B28" s="36" t="str">
        <f t="shared" si="0"/>
        <v/>
      </c>
      <c r="C28" s="24"/>
      <c r="D28" s="24"/>
      <c r="E28" s="24"/>
      <c r="F28" s="24"/>
      <c r="G28" s="8"/>
      <c r="H28" s="95">
        <v>23</v>
      </c>
      <c r="I28" s="96" t="str">
        <f t="shared" si="1"/>
        <v/>
      </c>
      <c r="J28" s="95" t="e">
        <f t="shared" si="5"/>
        <v>#NUM!</v>
      </c>
      <c r="K28" s="95" t="e">
        <f t="shared" si="2"/>
        <v>#NUM!</v>
      </c>
      <c r="L28" s="95"/>
      <c r="M28" s="97">
        <f t="shared" si="3"/>
        <v>0</v>
      </c>
      <c r="R28" s="109"/>
      <c r="S28" s="110"/>
    </row>
    <row r="29" spans="1:19" x14ac:dyDescent="0.25">
      <c r="A29" s="98">
        <f t="shared" si="4"/>
        <v>0</v>
      </c>
      <c r="B29" s="35" t="str">
        <f t="shared" si="0"/>
        <v/>
      </c>
      <c r="C29" s="25"/>
      <c r="D29" s="25"/>
      <c r="E29" s="25"/>
      <c r="F29" s="25"/>
      <c r="G29" s="80"/>
      <c r="H29" s="99">
        <v>24</v>
      </c>
      <c r="I29" s="100" t="str">
        <f t="shared" si="1"/>
        <v/>
      </c>
      <c r="J29" s="99" t="e">
        <f t="shared" si="5"/>
        <v>#NUM!</v>
      </c>
      <c r="K29" s="99" t="e">
        <f t="shared" si="2"/>
        <v>#NUM!</v>
      </c>
      <c r="L29" s="99"/>
      <c r="M29" s="101">
        <f t="shared" si="3"/>
        <v>0</v>
      </c>
    </row>
    <row r="30" spans="1:19" x14ac:dyDescent="0.25">
      <c r="A30" s="94">
        <f t="shared" si="4"/>
        <v>0</v>
      </c>
      <c r="B30" s="36" t="str">
        <f t="shared" si="0"/>
        <v/>
      </c>
      <c r="C30" s="24"/>
      <c r="D30" s="24"/>
      <c r="E30" s="24"/>
      <c r="F30" s="24"/>
      <c r="G30" s="80"/>
      <c r="H30" s="95">
        <v>25</v>
      </c>
      <c r="I30" s="96" t="str">
        <f t="shared" si="1"/>
        <v/>
      </c>
      <c r="J30" s="95" t="e">
        <f t="shared" si="5"/>
        <v>#NUM!</v>
      </c>
      <c r="K30" s="95" t="e">
        <f t="shared" si="2"/>
        <v>#NUM!</v>
      </c>
      <c r="L30" s="95"/>
      <c r="M30" s="97">
        <f t="shared" si="3"/>
        <v>0</v>
      </c>
    </row>
    <row r="31" spans="1:19" x14ac:dyDescent="0.25">
      <c r="A31" s="98">
        <f t="shared" si="4"/>
        <v>0</v>
      </c>
      <c r="B31" s="35" t="str">
        <f t="shared" si="0"/>
        <v/>
      </c>
      <c r="C31" s="25"/>
      <c r="D31" s="25"/>
      <c r="E31" s="25"/>
      <c r="F31" s="25"/>
      <c r="G31" s="80"/>
      <c r="H31" s="99">
        <v>26</v>
      </c>
      <c r="I31" s="100" t="str">
        <f t="shared" si="1"/>
        <v/>
      </c>
      <c r="J31" s="99" t="e">
        <f t="shared" si="5"/>
        <v>#NUM!</v>
      </c>
      <c r="K31" s="99" t="e">
        <f t="shared" si="2"/>
        <v>#NUM!</v>
      </c>
      <c r="L31" s="99"/>
      <c r="M31" s="101">
        <f t="shared" si="3"/>
        <v>0</v>
      </c>
    </row>
    <row r="32" spans="1:19" x14ac:dyDescent="0.25">
      <c r="A32" s="94">
        <f t="shared" si="4"/>
        <v>0</v>
      </c>
      <c r="B32" s="36" t="str">
        <f t="shared" si="0"/>
        <v/>
      </c>
      <c r="C32" s="24"/>
      <c r="D32" s="24"/>
      <c r="E32" s="24"/>
      <c r="F32" s="24"/>
      <c r="G32" s="80"/>
      <c r="H32" s="95">
        <v>27</v>
      </c>
      <c r="I32" s="96" t="str">
        <f t="shared" si="1"/>
        <v/>
      </c>
      <c r="J32" s="95" t="e">
        <f t="shared" si="5"/>
        <v>#NUM!</v>
      </c>
      <c r="K32" s="95" t="e">
        <f t="shared" si="2"/>
        <v>#NUM!</v>
      </c>
      <c r="L32" s="95"/>
      <c r="M32" s="97">
        <f t="shared" si="3"/>
        <v>0</v>
      </c>
      <c r="R32" s="109"/>
      <c r="S32" s="110"/>
    </row>
    <row r="33" spans="1:21" x14ac:dyDescent="0.25">
      <c r="A33" s="98">
        <f t="shared" si="4"/>
        <v>0</v>
      </c>
      <c r="B33" s="35" t="str">
        <f t="shared" si="0"/>
        <v/>
      </c>
      <c r="C33" s="25"/>
      <c r="D33" s="25"/>
      <c r="E33" s="25"/>
      <c r="F33" s="25"/>
      <c r="G33" s="80"/>
      <c r="H33" s="99">
        <v>28</v>
      </c>
      <c r="I33" s="100" t="str">
        <f t="shared" si="1"/>
        <v/>
      </c>
      <c r="J33" s="99" t="e">
        <f t="shared" si="5"/>
        <v>#NUM!</v>
      </c>
      <c r="K33" s="99" t="e">
        <f t="shared" si="2"/>
        <v>#NUM!</v>
      </c>
      <c r="L33" s="99"/>
      <c r="M33" s="101">
        <f t="shared" si="3"/>
        <v>0</v>
      </c>
    </row>
    <row r="34" spans="1:21" x14ac:dyDescent="0.25">
      <c r="A34" s="94">
        <f t="shared" si="4"/>
        <v>0</v>
      </c>
      <c r="B34" s="36" t="str">
        <f t="shared" si="0"/>
        <v/>
      </c>
      <c r="C34" s="24"/>
      <c r="D34" s="24"/>
      <c r="E34" s="24"/>
      <c r="F34" s="24"/>
      <c r="G34" s="80"/>
      <c r="H34" s="95">
        <v>29</v>
      </c>
      <c r="I34" s="96" t="str">
        <f t="shared" si="1"/>
        <v/>
      </c>
      <c r="J34" s="95" t="e">
        <f t="shared" si="5"/>
        <v>#NUM!</v>
      </c>
      <c r="K34" s="95" t="e">
        <f t="shared" si="2"/>
        <v>#NUM!</v>
      </c>
      <c r="L34" s="95"/>
      <c r="M34" s="97">
        <f t="shared" si="3"/>
        <v>0</v>
      </c>
    </row>
    <row r="35" spans="1:21" x14ac:dyDescent="0.25">
      <c r="A35" s="98">
        <f t="shared" si="4"/>
        <v>0</v>
      </c>
      <c r="B35" s="35" t="str">
        <f t="shared" si="0"/>
        <v/>
      </c>
      <c r="C35" s="25"/>
      <c r="D35" s="25"/>
      <c r="E35" s="25"/>
      <c r="F35" s="25"/>
      <c r="G35" s="80"/>
      <c r="H35" s="99">
        <v>30</v>
      </c>
      <c r="I35" s="100" t="str">
        <f t="shared" si="1"/>
        <v/>
      </c>
      <c r="J35" s="99" t="e">
        <f t="shared" si="5"/>
        <v>#NUM!</v>
      </c>
      <c r="K35" s="99" t="e">
        <f t="shared" si="2"/>
        <v>#NUM!</v>
      </c>
      <c r="L35" s="99"/>
      <c r="M35" s="101">
        <f t="shared" si="3"/>
        <v>0</v>
      </c>
    </row>
    <row r="36" spans="1:21" x14ac:dyDescent="0.25">
      <c r="A36" s="94">
        <f t="shared" si="4"/>
        <v>0</v>
      </c>
      <c r="B36" s="36" t="str">
        <f t="shared" si="0"/>
        <v/>
      </c>
      <c r="C36" s="24"/>
      <c r="D36" s="24"/>
      <c r="E36" s="24"/>
      <c r="F36" s="24"/>
      <c r="G36" s="80"/>
      <c r="H36" s="95">
        <v>31</v>
      </c>
      <c r="I36" s="96" t="str">
        <f t="shared" si="1"/>
        <v/>
      </c>
      <c r="J36" s="95" t="e">
        <f t="shared" si="5"/>
        <v>#NUM!</v>
      </c>
      <c r="K36" s="95" t="e">
        <f t="shared" si="2"/>
        <v>#NUM!</v>
      </c>
      <c r="L36" s="95"/>
      <c r="M36" s="97">
        <f t="shared" si="3"/>
        <v>0</v>
      </c>
      <c r="R36" s="109"/>
      <c r="S36" s="110"/>
    </row>
    <row r="37" spans="1:21" x14ac:dyDescent="0.25">
      <c r="A37" s="98">
        <f t="shared" si="4"/>
        <v>0</v>
      </c>
      <c r="B37" s="35" t="str">
        <f t="shared" si="0"/>
        <v/>
      </c>
      <c r="C37" s="25"/>
      <c r="D37" s="25"/>
      <c r="E37" s="25"/>
      <c r="F37" s="25"/>
      <c r="G37" s="80"/>
      <c r="H37" s="99">
        <v>32</v>
      </c>
      <c r="I37" s="100" t="str">
        <f t="shared" si="1"/>
        <v/>
      </c>
      <c r="J37" s="99" t="e">
        <f t="shared" si="5"/>
        <v>#NUM!</v>
      </c>
      <c r="K37" s="99" t="e">
        <f t="shared" si="2"/>
        <v>#NUM!</v>
      </c>
      <c r="L37" s="99"/>
      <c r="M37" s="101">
        <f t="shared" si="3"/>
        <v>0</v>
      </c>
    </row>
    <row r="38" spans="1:21" x14ac:dyDescent="0.25">
      <c r="A38" s="98">
        <f t="shared" si="4"/>
        <v>0</v>
      </c>
      <c r="B38" s="36" t="str">
        <f t="shared" si="0"/>
        <v/>
      </c>
      <c r="C38" s="24"/>
      <c r="D38" s="24"/>
      <c r="E38" s="24"/>
      <c r="F38" s="24"/>
      <c r="G38" s="80"/>
      <c r="H38" s="95">
        <v>33</v>
      </c>
      <c r="I38" s="96" t="str">
        <f t="shared" si="1"/>
        <v/>
      </c>
      <c r="J38" s="95" t="e">
        <f t="shared" si="5"/>
        <v>#NUM!</v>
      </c>
      <c r="K38" s="95" t="e">
        <f t="shared" si="2"/>
        <v>#NUM!</v>
      </c>
      <c r="L38" s="95"/>
      <c r="M38" s="97">
        <f t="shared" si="3"/>
        <v>0</v>
      </c>
    </row>
    <row r="39" spans="1:21" x14ac:dyDescent="0.25">
      <c r="A39" s="98">
        <f t="shared" si="4"/>
        <v>0</v>
      </c>
      <c r="B39" s="35" t="str">
        <f t="shared" si="0"/>
        <v/>
      </c>
      <c r="C39" s="25"/>
      <c r="D39" s="25"/>
      <c r="E39" s="25"/>
      <c r="F39" s="25"/>
      <c r="G39" s="80"/>
      <c r="H39" s="99">
        <v>34</v>
      </c>
      <c r="I39" s="100" t="str">
        <f t="shared" si="1"/>
        <v/>
      </c>
      <c r="J39" s="99" t="e">
        <f t="shared" si="5"/>
        <v>#NUM!</v>
      </c>
      <c r="K39" s="99" t="e">
        <f t="shared" si="2"/>
        <v>#NUM!</v>
      </c>
      <c r="L39" s="99"/>
      <c r="M39" s="101">
        <f t="shared" si="3"/>
        <v>0</v>
      </c>
    </row>
    <row r="40" spans="1:21" x14ac:dyDescent="0.25">
      <c r="A40" s="98">
        <f t="shared" si="4"/>
        <v>0</v>
      </c>
      <c r="B40" s="36" t="str">
        <f t="shared" si="0"/>
        <v/>
      </c>
      <c r="C40" s="24"/>
      <c r="D40" s="24"/>
      <c r="E40" s="24"/>
      <c r="F40" s="24"/>
      <c r="G40" s="80"/>
      <c r="H40" s="95">
        <v>35</v>
      </c>
      <c r="I40" s="96" t="str">
        <f t="shared" si="1"/>
        <v/>
      </c>
      <c r="J40" s="95" t="e">
        <f t="shared" si="5"/>
        <v>#NUM!</v>
      </c>
      <c r="K40" s="95" t="e">
        <f t="shared" si="2"/>
        <v>#NUM!</v>
      </c>
      <c r="L40" s="95"/>
      <c r="M40" s="97">
        <f t="shared" si="3"/>
        <v>0</v>
      </c>
    </row>
    <row r="41" spans="1:21" x14ac:dyDescent="0.25">
      <c r="A41" s="98">
        <f t="shared" si="4"/>
        <v>0</v>
      </c>
      <c r="B41" s="35" t="str">
        <f t="shared" si="0"/>
        <v/>
      </c>
      <c r="C41" s="25"/>
      <c r="D41" s="25"/>
      <c r="E41" s="25"/>
      <c r="F41" s="25"/>
      <c r="G41" s="80"/>
      <c r="H41" s="99">
        <v>36</v>
      </c>
      <c r="I41" s="100" t="str">
        <f t="shared" si="1"/>
        <v/>
      </c>
      <c r="J41" s="99" t="e">
        <f t="shared" si="5"/>
        <v>#NUM!</v>
      </c>
      <c r="K41" s="99" t="e">
        <f t="shared" si="2"/>
        <v>#NUM!</v>
      </c>
      <c r="L41" s="99"/>
      <c r="M41" s="101">
        <f t="shared" si="3"/>
        <v>0</v>
      </c>
      <c r="S41" s="111"/>
    </row>
    <row r="42" spans="1:21" x14ac:dyDescent="0.25">
      <c r="A42" s="98">
        <f t="shared" si="4"/>
        <v>0</v>
      </c>
      <c r="B42" s="36" t="str">
        <f t="shared" si="0"/>
        <v/>
      </c>
      <c r="C42" s="24"/>
      <c r="D42" s="24"/>
      <c r="E42" s="24"/>
      <c r="F42" s="24"/>
      <c r="G42" s="80"/>
      <c r="H42" s="95">
        <v>37</v>
      </c>
      <c r="I42" s="96" t="str">
        <f t="shared" si="1"/>
        <v/>
      </c>
      <c r="J42" s="95" t="e">
        <f t="shared" si="5"/>
        <v>#NUM!</v>
      </c>
      <c r="K42" s="95" t="e">
        <f t="shared" si="2"/>
        <v>#NUM!</v>
      </c>
      <c r="L42" s="95"/>
      <c r="M42" s="97">
        <f t="shared" si="3"/>
        <v>0</v>
      </c>
    </row>
    <row r="43" spans="1:21" x14ac:dyDescent="0.25">
      <c r="A43" s="98">
        <f t="shared" si="4"/>
        <v>0</v>
      </c>
      <c r="B43" s="35" t="str">
        <f t="shared" si="0"/>
        <v/>
      </c>
      <c r="C43" s="25"/>
      <c r="D43" s="25"/>
      <c r="E43" s="25"/>
      <c r="F43" s="25"/>
      <c r="G43" s="80"/>
      <c r="H43" s="99">
        <v>38</v>
      </c>
      <c r="I43" s="100" t="str">
        <f t="shared" si="1"/>
        <v/>
      </c>
      <c r="J43" s="99" t="e">
        <f t="shared" si="5"/>
        <v>#NUM!</v>
      </c>
      <c r="K43" s="99" t="e">
        <f t="shared" si="2"/>
        <v>#NUM!</v>
      </c>
      <c r="L43" s="99"/>
      <c r="M43" s="101">
        <f t="shared" si="3"/>
        <v>0</v>
      </c>
    </row>
    <row r="44" spans="1:21" x14ac:dyDescent="0.25">
      <c r="A44" s="98">
        <f t="shared" si="4"/>
        <v>0</v>
      </c>
      <c r="B44" s="36" t="str">
        <f t="shared" si="0"/>
        <v/>
      </c>
      <c r="C44" s="24"/>
      <c r="D44" s="24"/>
      <c r="E44" s="24"/>
      <c r="F44" s="24"/>
      <c r="G44" s="80"/>
      <c r="H44" s="95">
        <v>39</v>
      </c>
      <c r="I44" s="96" t="str">
        <f t="shared" si="1"/>
        <v/>
      </c>
      <c r="J44" s="95" t="e">
        <f t="shared" si="5"/>
        <v>#NUM!</v>
      </c>
      <c r="K44" s="95" t="e">
        <f t="shared" si="2"/>
        <v>#NUM!</v>
      </c>
      <c r="L44" s="95"/>
      <c r="M44" s="97">
        <f t="shared" si="3"/>
        <v>0</v>
      </c>
    </row>
    <row r="45" spans="1:21" x14ac:dyDescent="0.25">
      <c r="A45" s="98">
        <f t="shared" si="4"/>
        <v>0</v>
      </c>
      <c r="B45" s="35" t="str">
        <f t="shared" si="0"/>
        <v/>
      </c>
      <c r="C45" s="25"/>
      <c r="D45" s="25"/>
      <c r="E45" s="25"/>
      <c r="F45" s="25"/>
      <c r="G45" s="80"/>
      <c r="H45" s="99">
        <v>40</v>
      </c>
      <c r="I45" s="100" t="str">
        <f t="shared" si="1"/>
        <v/>
      </c>
      <c r="J45" s="99" t="e">
        <f t="shared" si="5"/>
        <v>#NUM!</v>
      </c>
      <c r="K45" s="99" t="e">
        <f t="shared" si="2"/>
        <v>#NUM!</v>
      </c>
      <c r="L45" s="99"/>
      <c r="M45" s="101">
        <f t="shared" si="3"/>
        <v>0</v>
      </c>
    </row>
    <row r="46" spans="1:21" x14ac:dyDescent="0.25">
      <c r="A46" s="98">
        <f t="shared" si="4"/>
        <v>0</v>
      </c>
      <c r="B46" s="36" t="str">
        <f t="shared" si="0"/>
        <v/>
      </c>
      <c r="C46" s="24"/>
      <c r="D46" s="24"/>
      <c r="E46" s="24"/>
      <c r="F46" s="24"/>
      <c r="G46" s="80"/>
      <c r="H46" s="95">
        <v>41</v>
      </c>
      <c r="I46" s="96" t="str">
        <f t="shared" si="1"/>
        <v/>
      </c>
      <c r="J46" s="95" t="e">
        <f t="shared" si="5"/>
        <v>#NUM!</v>
      </c>
      <c r="K46" s="95" t="e">
        <f t="shared" si="2"/>
        <v>#NUM!</v>
      </c>
      <c r="L46" s="95"/>
      <c r="M46" s="97">
        <f t="shared" si="3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x14ac:dyDescent="0.25">
      <c r="A47" s="98">
        <f t="shared" si="4"/>
        <v>0</v>
      </c>
      <c r="B47" s="35" t="str">
        <f t="shared" si="0"/>
        <v/>
      </c>
      <c r="C47" s="25"/>
      <c r="D47" s="25"/>
      <c r="E47" s="25"/>
      <c r="F47" s="25"/>
      <c r="G47" s="80"/>
      <c r="H47" s="99">
        <v>42</v>
      </c>
      <c r="I47" s="100" t="str">
        <f t="shared" si="1"/>
        <v/>
      </c>
      <c r="J47" s="99" t="e">
        <f t="shared" si="5"/>
        <v>#NUM!</v>
      </c>
      <c r="K47" s="99" t="e">
        <f t="shared" si="2"/>
        <v>#NUM!</v>
      </c>
      <c r="L47" s="99"/>
      <c r="M47" s="101">
        <f t="shared" si="3"/>
        <v>0</v>
      </c>
    </row>
    <row r="48" spans="1:21" x14ac:dyDescent="0.25">
      <c r="A48" s="98">
        <f t="shared" si="4"/>
        <v>0</v>
      </c>
      <c r="B48" s="36" t="str">
        <f t="shared" si="0"/>
        <v/>
      </c>
      <c r="C48" s="24"/>
      <c r="D48" s="24"/>
      <c r="E48" s="24"/>
      <c r="F48" s="24"/>
      <c r="G48" s="80"/>
      <c r="H48" s="95">
        <v>43</v>
      </c>
      <c r="I48" s="96" t="str">
        <f t="shared" si="1"/>
        <v/>
      </c>
      <c r="J48" s="95" t="e">
        <f t="shared" si="5"/>
        <v>#NUM!</v>
      </c>
      <c r="K48" s="95" t="e">
        <f t="shared" si="2"/>
        <v>#NUM!</v>
      </c>
      <c r="L48" s="95"/>
      <c r="M48" s="97">
        <f t="shared" si="3"/>
        <v>0</v>
      </c>
    </row>
    <row r="49" spans="1:13" x14ac:dyDescent="0.25">
      <c r="A49" s="98">
        <f t="shared" si="4"/>
        <v>0</v>
      </c>
      <c r="B49" s="35" t="str">
        <f t="shared" si="0"/>
        <v/>
      </c>
      <c r="C49" s="25"/>
      <c r="D49" s="25"/>
      <c r="E49" s="25"/>
      <c r="F49" s="25"/>
      <c r="G49" s="80"/>
      <c r="H49" s="99">
        <v>44</v>
      </c>
      <c r="I49" s="100" t="str">
        <f t="shared" si="1"/>
        <v/>
      </c>
      <c r="J49" s="99" t="e">
        <f t="shared" si="5"/>
        <v>#NUM!</v>
      </c>
      <c r="K49" s="99" t="e">
        <f t="shared" si="2"/>
        <v>#NUM!</v>
      </c>
      <c r="L49" s="99"/>
      <c r="M49" s="101">
        <f t="shared" si="3"/>
        <v>0</v>
      </c>
    </row>
    <row r="50" spans="1:13" x14ac:dyDescent="0.25">
      <c r="A50" s="98">
        <f t="shared" si="4"/>
        <v>0</v>
      </c>
      <c r="B50" s="36" t="str">
        <f t="shared" si="0"/>
        <v/>
      </c>
      <c r="C50" s="24"/>
      <c r="D50" s="24"/>
      <c r="E50" s="24"/>
      <c r="F50" s="24"/>
      <c r="G50" s="80"/>
      <c r="H50" s="95">
        <v>45</v>
      </c>
      <c r="I50" s="96" t="str">
        <f t="shared" si="1"/>
        <v/>
      </c>
      <c r="J50" s="95" t="e">
        <f t="shared" si="5"/>
        <v>#NUM!</v>
      </c>
      <c r="K50" s="95" t="e">
        <f t="shared" si="2"/>
        <v>#NUM!</v>
      </c>
      <c r="L50" s="95"/>
      <c r="M50" s="97">
        <f t="shared" si="3"/>
        <v>0</v>
      </c>
    </row>
    <row r="51" spans="1:13" x14ac:dyDescent="0.25">
      <c r="A51" s="98">
        <f t="shared" si="4"/>
        <v>0</v>
      </c>
      <c r="B51" s="35" t="str">
        <f t="shared" si="0"/>
        <v/>
      </c>
      <c r="C51" s="25"/>
      <c r="D51" s="25"/>
      <c r="E51" s="25"/>
      <c r="F51" s="25"/>
      <c r="G51" s="80"/>
      <c r="H51" s="99">
        <v>46</v>
      </c>
      <c r="I51" s="100" t="str">
        <f t="shared" si="1"/>
        <v/>
      </c>
      <c r="J51" s="99" t="e">
        <f t="shared" si="5"/>
        <v>#NUM!</v>
      </c>
      <c r="K51" s="99" t="e">
        <f t="shared" si="2"/>
        <v>#NUM!</v>
      </c>
      <c r="L51" s="99"/>
      <c r="M51" s="101">
        <f t="shared" si="3"/>
        <v>0</v>
      </c>
    </row>
    <row r="52" spans="1:13" x14ac:dyDescent="0.25">
      <c r="A52" s="98">
        <f t="shared" si="4"/>
        <v>0</v>
      </c>
      <c r="B52" s="36" t="str">
        <f t="shared" si="0"/>
        <v/>
      </c>
      <c r="C52" s="24"/>
      <c r="D52" s="24"/>
      <c r="E52" s="24"/>
      <c r="F52" s="24"/>
      <c r="G52" s="80"/>
      <c r="H52" s="95">
        <v>47</v>
      </c>
      <c r="I52" s="96" t="str">
        <f t="shared" si="1"/>
        <v/>
      </c>
      <c r="J52" s="95" t="e">
        <f t="shared" si="5"/>
        <v>#NUM!</v>
      </c>
      <c r="K52" s="95" t="e">
        <f t="shared" si="2"/>
        <v>#NUM!</v>
      </c>
      <c r="L52" s="95"/>
      <c r="M52" s="97">
        <f t="shared" si="3"/>
        <v>0</v>
      </c>
    </row>
    <row r="53" spans="1:13" x14ac:dyDescent="0.25">
      <c r="A53" s="98">
        <f t="shared" si="4"/>
        <v>0</v>
      </c>
      <c r="B53" s="35" t="str">
        <f t="shared" si="0"/>
        <v/>
      </c>
      <c r="C53" s="25"/>
      <c r="D53" s="25"/>
      <c r="E53" s="25"/>
      <c r="F53" s="25"/>
      <c r="G53" s="80"/>
      <c r="H53" s="99">
        <v>48</v>
      </c>
      <c r="I53" s="100" t="str">
        <f t="shared" si="1"/>
        <v/>
      </c>
      <c r="J53" s="99" t="e">
        <f t="shared" si="5"/>
        <v>#NUM!</v>
      </c>
      <c r="K53" s="99" t="e">
        <f t="shared" si="2"/>
        <v>#NUM!</v>
      </c>
      <c r="L53" s="99"/>
      <c r="M53" s="101">
        <f t="shared" si="3"/>
        <v>0</v>
      </c>
    </row>
    <row r="54" spans="1:13" x14ac:dyDescent="0.25">
      <c r="A54" s="98">
        <f t="shared" si="4"/>
        <v>0</v>
      </c>
      <c r="B54" s="36" t="str">
        <f t="shared" si="0"/>
        <v/>
      </c>
      <c r="C54" s="24"/>
      <c r="D54" s="24"/>
      <c r="E54" s="24"/>
      <c r="F54" s="24"/>
      <c r="G54" s="80"/>
      <c r="H54" s="95">
        <v>49</v>
      </c>
      <c r="I54" s="96" t="str">
        <f t="shared" si="1"/>
        <v/>
      </c>
      <c r="J54" s="95" t="e">
        <f t="shared" si="5"/>
        <v>#NUM!</v>
      </c>
      <c r="K54" s="95" t="e">
        <f t="shared" si="2"/>
        <v>#NUM!</v>
      </c>
      <c r="L54" s="95"/>
      <c r="M54" s="97">
        <f t="shared" si="3"/>
        <v>0</v>
      </c>
    </row>
    <row r="55" spans="1:13" x14ac:dyDescent="0.25">
      <c r="A55" s="98">
        <f t="shared" si="4"/>
        <v>0</v>
      </c>
      <c r="B55" s="35" t="str">
        <f t="shared" si="0"/>
        <v/>
      </c>
      <c r="C55" s="25"/>
      <c r="D55" s="25"/>
      <c r="E55" s="25"/>
      <c r="F55" s="25"/>
      <c r="G55" s="80"/>
      <c r="H55" s="99">
        <v>50</v>
      </c>
      <c r="I55" s="100" t="str">
        <f t="shared" si="1"/>
        <v/>
      </c>
      <c r="J55" s="99" t="e">
        <f t="shared" si="5"/>
        <v>#NUM!</v>
      </c>
      <c r="K55" s="99" t="e">
        <f t="shared" si="2"/>
        <v>#NUM!</v>
      </c>
      <c r="L55" s="99"/>
      <c r="M55" s="101">
        <f t="shared" si="3"/>
        <v>0</v>
      </c>
    </row>
    <row r="56" spans="1:13" x14ac:dyDescent="0.25">
      <c r="A56" s="98">
        <f t="shared" si="4"/>
        <v>0</v>
      </c>
      <c r="B56" s="36" t="str">
        <f t="shared" si="0"/>
        <v/>
      </c>
      <c r="C56" s="24"/>
      <c r="D56" s="24"/>
      <c r="E56" s="24"/>
      <c r="F56" s="24"/>
      <c r="G56" s="80"/>
      <c r="H56" s="95">
        <v>51</v>
      </c>
      <c r="I56" s="96" t="str">
        <f t="shared" si="1"/>
        <v/>
      </c>
      <c r="J56" s="95" t="e">
        <f t="shared" si="5"/>
        <v>#NUM!</v>
      </c>
      <c r="K56" s="95" t="e">
        <f t="shared" si="2"/>
        <v>#NUM!</v>
      </c>
      <c r="L56" s="95"/>
      <c r="M56" s="97">
        <f t="shared" si="3"/>
        <v>0</v>
      </c>
    </row>
    <row r="57" spans="1:13" x14ac:dyDescent="0.25">
      <c r="A57" s="98">
        <f t="shared" si="4"/>
        <v>0</v>
      </c>
      <c r="B57" s="35" t="str">
        <f t="shared" si="0"/>
        <v/>
      </c>
      <c r="C57" s="25"/>
      <c r="D57" s="25"/>
      <c r="E57" s="25"/>
      <c r="F57" s="25"/>
      <c r="G57" s="80"/>
      <c r="H57" s="99">
        <v>52</v>
      </c>
      <c r="I57" s="100" t="str">
        <f t="shared" si="1"/>
        <v/>
      </c>
      <c r="J57" s="99" t="e">
        <f t="shared" si="5"/>
        <v>#NUM!</v>
      </c>
      <c r="K57" s="99" t="e">
        <f t="shared" si="2"/>
        <v>#NUM!</v>
      </c>
      <c r="L57" s="99"/>
      <c r="M57" s="101">
        <f t="shared" si="3"/>
        <v>0</v>
      </c>
    </row>
    <row r="58" spans="1:13" x14ac:dyDescent="0.25">
      <c r="A58" s="98">
        <f t="shared" si="4"/>
        <v>0</v>
      </c>
      <c r="B58" s="36" t="str">
        <f t="shared" si="0"/>
        <v/>
      </c>
      <c r="C58" s="24"/>
      <c r="D58" s="24"/>
      <c r="E58" s="24"/>
      <c r="F58" s="24"/>
      <c r="G58" s="80"/>
      <c r="H58" s="95">
        <v>53</v>
      </c>
      <c r="I58" s="96" t="str">
        <f t="shared" si="1"/>
        <v/>
      </c>
      <c r="J58" s="95" t="e">
        <f t="shared" si="5"/>
        <v>#NUM!</v>
      </c>
      <c r="K58" s="95" t="e">
        <f t="shared" si="2"/>
        <v>#NUM!</v>
      </c>
      <c r="L58" s="95"/>
      <c r="M58" s="97">
        <f t="shared" si="3"/>
        <v>0</v>
      </c>
    </row>
    <row r="59" spans="1:13" x14ac:dyDescent="0.25">
      <c r="A59" s="98">
        <f t="shared" si="4"/>
        <v>0</v>
      </c>
      <c r="B59" s="35" t="str">
        <f t="shared" si="0"/>
        <v/>
      </c>
      <c r="C59" s="25"/>
      <c r="D59" s="25"/>
      <c r="E59" s="25"/>
      <c r="F59" s="25"/>
      <c r="G59" s="80"/>
      <c r="H59" s="99">
        <v>54</v>
      </c>
      <c r="I59" s="100" t="str">
        <f t="shared" si="1"/>
        <v/>
      </c>
      <c r="J59" s="99" t="e">
        <f t="shared" si="5"/>
        <v>#NUM!</v>
      </c>
      <c r="K59" s="99" t="e">
        <f t="shared" si="2"/>
        <v>#NUM!</v>
      </c>
      <c r="L59" s="99"/>
      <c r="M59" s="101">
        <f t="shared" si="3"/>
        <v>0</v>
      </c>
    </row>
    <row r="60" spans="1:13" x14ac:dyDescent="0.25">
      <c r="A60" s="98">
        <f t="shared" si="4"/>
        <v>0</v>
      </c>
      <c r="B60" s="36" t="str">
        <f t="shared" si="0"/>
        <v/>
      </c>
      <c r="C60" s="24"/>
      <c r="D60" s="24"/>
      <c r="E60" s="24"/>
      <c r="F60" s="24"/>
      <c r="G60" s="80"/>
      <c r="H60" s="95">
        <v>55</v>
      </c>
      <c r="I60" s="96" t="str">
        <f t="shared" si="1"/>
        <v/>
      </c>
      <c r="J60" s="95" t="e">
        <f t="shared" si="5"/>
        <v>#NUM!</v>
      </c>
      <c r="K60" s="95" t="e">
        <f t="shared" si="2"/>
        <v>#NUM!</v>
      </c>
      <c r="L60" s="95"/>
      <c r="M60" s="97">
        <f t="shared" si="3"/>
        <v>0</v>
      </c>
    </row>
    <row r="61" spans="1:13" x14ac:dyDescent="0.25">
      <c r="A61" s="98"/>
      <c r="B61" s="35" t="str">
        <f t="shared" si="0"/>
        <v/>
      </c>
      <c r="C61" s="25"/>
      <c r="D61" s="25"/>
      <c r="E61" s="25"/>
      <c r="F61" s="25"/>
      <c r="G61" s="80"/>
      <c r="H61" s="99">
        <v>56</v>
      </c>
      <c r="I61" s="100" t="str">
        <f t="shared" si="1"/>
        <v/>
      </c>
      <c r="J61" s="99" t="e">
        <f t="shared" si="5"/>
        <v>#NUM!</v>
      </c>
      <c r="K61" s="99" t="e">
        <f t="shared" si="2"/>
        <v>#NUM!</v>
      </c>
      <c r="L61" s="99"/>
      <c r="M61" s="101">
        <f t="shared" si="3"/>
        <v>0</v>
      </c>
    </row>
    <row r="62" spans="1:13" x14ac:dyDescent="0.25">
      <c r="A62" s="94"/>
      <c r="B62" s="36" t="str">
        <f t="shared" si="0"/>
        <v/>
      </c>
      <c r="C62" s="24"/>
      <c r="D62" s="24"/>
      <c r="E62" s="24"/>
      <c r="F62" s="24"/>
      <c r="G62" s="80"/>
      <c r="H62" s="95">
        <v>57</v>
      </c>
      <c r="I62" s="96" t="str">
        <f t="shared" si="1"/>
        <v/>
      </c>
      <c r="J62" s="95" t="e">
        <f t="shared" si="5"/>
        <v>#NUM!</v>
      </c>
      <c r="K62" s="95" t="e">
        <f t="shared" si="2"/>
        <v>#NUM!</v>
      </c>
      <c r="L62" s="95"/>
      <c r="M62" s="97">
        <f t="shared" si="3"/>
        <v>0</v>
      </c>
    </row>
    <row r="63" spans="1:13" x14ac:dyDescent="0.25">
      <c r="A63" s="98"/>
      <c r="B63" s="35" t="str">
        <f t="shared" si="0"/>
        <v/>
      </c>
      <c r="C63" s="25"/>
      <c r="D63" s="25"/>
      <c r="E63" s="25"/>
      <c r="F63" s="25"/>
      <c r="G63" s="80"/>
      <c r="H63" s="99">
        <v>58</v>
      </c>
      <c r="I63" s="100" t="str">
        <f t="shared" si="1"/>
        <v/>
      </c>
      <c r="J63" s="99" t="e">
        <f t="shared" si="5"/>
        <v>#NUM!</v>
      </c>
      <c r="K63" s="99" t="e">
        <f t="shared" si="2"/>
        <v>#NUM!</v>
      </c>
      <c r="L63" s="99"/>
      <c r="M63" s="101">
        <f t="shared" si="3"/>
        <v>0</v>
      </c>
    </row>
    <row r="64" spans="1:13" x14ac:dyDescent="0.25">
      <c r="A64" s="94"/>
      <c r="B64" s="36" t="str">
        <f t="shared" si="0"/>
        <v/>
      </c>
      <c r="C64" s="24"/>
      <c r="D64" s="24"/>
      <c r="E64" s="24"/>
      <c r="F64" s="24"/>
      <c r="G64" s="80"/>
      <c r="H64" s="95">
        <v>59</v>
      </c>
      <c r="I64" s="96" t="str">
        <f t="shared" si="1"/>
        <v/>
      </c>
      <c r="J64" s="95" t="e">
        <f t="shared" si="5"/>
        <v>#NUM!</v>
      </c>
      <c r="K64" s="95" t="e">
        <f t="shared" si="2"/>
        <v>#NUM!</v>
      </c>
      <c r="L64" s="95"/>
      <c r="M64" s="97">
        <f t="shared" si="3"/>
        <v>0</v>
      </c>
    </row>
    <row r="65" spans="1:13" x14ac:dyDescent="0.25">
      <c r="A65" s="98"/>
      <c r="B65" s="35" t="str">
        <f t="shared" si="0"/>
        <v/>
      </c>
      <c r="C65" s="25"/>
      <c r="D65" s="25"/>
      <c r="E65" s="25"/>
      <c r="F65" s="25"/>
      <c r="G65" s="80"/>
      <c r="H65" s="99">
        <v>60</v>
      </c>
      <c r="I65" s="100" t="str">
        <f t="shared" si="1"/>
        <v/>
      </c>
      <c r="J65" s="99" t="e">
        <f t="shared" si="5"/>
        <v>#NUM!</v>
      </c>
      <c r="K65" s="99" t="e">
        <f t="shared" si="2"/>
        <v>#NUM!</v>
      </c>
      <c r="L65" s="99"/>
      <c r="M65" s="101">
        <f t="shared" si="3"/>
        <v>0</v>
      </c>
    </row>
    <row r="66" spans="1:13" x14ac:dyDescent="0.25">
      <c r="A66" s="94"/>
      <c r="B66" s="36"/>
      <c r="G66" s="80"/>
      <c r="H66" s="95">
        <v>61</v>
      </c>
      <c r="I66" s="96" t="str">
        <f t="shared" si="1"/>
        <v/>
      </c>
      <c r="J66" s="95" t="e">
        <f t="shared" si="5"/>
        <v>#NUM!</v>
      </c>
      <c r="K66" s="95" t="e">
        <f t="shared" si="2"/>
        <v>#NUM!</v>
      </c>
      <c r="L66" s="95"/>
      <c r="M66" s="97">
        <f t="shared" si="3"/>
        <v>0</v>
      </c>
    </row>
    <row r="67" spans="1:13" x14ac:dyDescent="0.25">
      <c r="A67" s="98"/>
      <c r="B67" s="35"/>
      <c r="G67" s="80"/>
      <c r="H67" s="95">
        <v>62</v>
      </c>
      <c r="I67" s="96" t="str">
        <f t="shared" si="1"/>
        <v/>
      </c>
      <c r="J67" s="95" t="e">
        <f t="shared" si="5"/>
        <v>#NUM!</v>
      </c>
      <c r="K67" s="95" t="e">
        <f t="shared" si="2"/>
        <v>#NUM!</v>
      </c>
      <c r="L67" s="95"/>
      <c r="M67" s="97">
        <f t="shared" si="3"/>
        <v>0</v>
      </c>
    </row>
    <row r="68" spans="1:13" x14ac:dyDescent="0.25">
      <c r="A68" s="94"/>
      <c r="B68" s="36"/>
      <c r="G68" s="80"/>
      <c r="H68" s="95">
        <v>63</v>
      </c>
      <c r="I68" s="96" t="str">
        <f t="shared" si="1"/>
        <v/>
      </c>
      <c r="J68" s="95" t="e">
        <f t="shared" si="5"/>
        <v>#NUM!</v>
      </c>
      <c r="K68" s="95" t="e">
        <f t="shared" si="2"/>
        <v>#NUM!</v>
      </c>
      <c r="L68" s="95"/>
      <c r="M68" s="97">
        <f t="shared" si="3"/>
        <v>0</v>
      </c>
    </row>
    <row r="69" spans="1:13" x14ac:dyDescent="0.25">
      <c r="A69" s="98"/>
      <c r="B69" s="35"/>
      <c r="G69" s="80"/>
      <c r="H69" s="95">
        <v>64</v>
      </c>
      <c r="I69" s="96" t="str">
        <f t="shared" si="1"/>
        <v/>
      </c>
      <c r="J69" s="95" t="e">
        <f t="shared" si="5"/>
        <v>#NUM!</v>
      </c>
      <c r="K69" s="95" t="e">
        <f t="shared" si="2"/>
        <v>#NUM!</v>
      </c>
      <c r="L69" s="95"/>
      <c r="M69" s="97">
        <f t="shared" si="3"/>
        <v>0</v>
      </c>
    </row>
    <row r="70" spans="1:13" x14ac:dyDescent="0.25">
      <c r="A70" s="116"/>
      <c r="G70" s="80"/>
      <c r="H70" s="95">
        <v>65</v>
      </c>
      <c r="I70" s="96" t="str">
        <f t="shared" ref="I70:I133" si="6">IF(H70&lt;$H$2+1,($I$2-($I$2-1)*(LOG(H70)/LOG($H$2))),"")</f>
        <v/>
      </c>
      <c r="J70" s="95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 x14ac:dyDescent="0.25">
      <c r="A71" s="116"/>
      <c r="G71" s="80"/>
      <c r="H71" s="95">
        <v>66</v>
      </c>
      <c r="I71" s="96" t="str">
        <f t="shared" si="6"/>
        <v/>
      </c>
      <c r="J71" s="95" t="e">
        <f t="shared" ref="J71:J134" si="9">INT(LOG($H$2,2))-ROUNDUP(LOG(H71,2),0)+IF(OR($H$2=1,$H$2=2,$H$2=4,$H$2=8,$H$2=16,$H$2=32,$H$2=64,$H$2=128,$H$2=256),0,1)</f>
        <v>#NUM!</v>
      </c>
      <c r="K71" s="95" t="e">
        <f t="shared" si="7"/>
        <v>#NUM!</v>
      </c>
      <c r="L71" s="95"/>
      <c r="M71" s="97">
        <f t="shared" si="8"/>
        <v>0</v>
      </c>
    </row>
    <row r="72" spans="1:13" x14ac:dyDescent="0.25">
      <c r="A72" s="116"/>
      <c r="G72" s="80"/>
      <c r="H72" s="95">
        <v>67</v>
      </c>
      <c r="I72" s="96" t="str">
        <f t="shared" si="6"/>
        <v/>
      </c>
      <c r="J72" s="95" t="e">
        <f t="shared" si="9"/>
        <v>#NUM!</v>
      </c>
      <c r="K72" s="95" t="e">
        <f t="shared" si="7"/>
        <v>#NUM!</v>
      </c>
      <c r="L72" s="95"/>
      <c r="M72" s="97">
        <f t="shared" si="8"/>
        <v>0</v>
      </c>
    </row>
    <row r="73" spans="1:13" x14ac:dyDescent="0.25">
      <c r="A73" s="116"/>
      <c r="G73" s="80"/>
      <c r="H73" s="95">
        <v>68</v>
      </c>
      <c r="I73" s="96" t="str">
        <f t="shared" si="6"/>
        <v/>
      </c>
      <c r="J73" s="95" t="e">
        <f t="shared" si="9"/>
        <v>#NUM!</v>
      </c>
      <c r="K73" s="95" t="e">
        <f t="shared" si="7"/>
        <v>#NUM!</v>
      </c>
      <c r="L73" s="95"/>
      <c r="M73" s="97">
        <f t="shared" si="8"/>
        <v>0</v>
      </c>
    </row>
    <row r="74" spans="1:13" x14ac:dyDescent="0.25">
      <c r="A74" s="116"/>
      <c r="G74" s="80"/>
      <c r="H74" s="95">
        <v>69</v>
      </c>
      <c r="I74" s="96" t="str">
        <f t="shared" si="6"/>
        <v/>
      </c>
      <c r="J74" s="95" t="e">
        <f t="shared" si="9"/>
        <v>#NUM!</v>
      </c>
      <c r="K74" s="95" t="e">
        <f t="shared" si="7"/>
        <v>#NUM!</v>
      </c>
      <c r="L74" s="95"/>
      <c r="M74" s="97">
        <f t="shared" si="8"/>
        <v>0</v>
      </c>
    </row>
    <row r="75" spans="1:13" x14ac:dyDescent="0.25">
      <c r="A75" s="116"/>
      <c r="G75" s="80"/>
      <c r="H75" s="95">
        <v>70</v>
      </c>
      <c r="I75" s="96" t="str">
        <f t="shared" si="6"/>
        <v/>
      </c>
      <c r="J75" s="95" t="e">
        <f t="shared" si="9"/>
        <v>#NUM!</v>
      </c>
      <c r="K75" s="95" t="e">
        <f t="shared" si="7"/>
        <v>#NUM!</v>
      </c>
      <c r="L75" s="95"/>
      <c r="M75" s="97">
        <f t="shared" si="8"/>
        <v>0</v>
      </c>
    </row>
    <row r="76" spans="1:13" x14ac:dyDescent="0.25">
      <c r="A76" s="116"/>
      <c r="G76" s="80"/>
      <c r="H76" s="95">
        <v>71</v>
      </c>
      <c r="I76" s="96" t="str">
        <f t="shared" si="6"/>
        <v/>
      </c>
      <c r="J76" s="95" t="e">
        <f t="shared" si="9"/>
        <v>#NUM!</v>
      </c>
      <c r="K76" s="95" t="e">
        <f t="shared" si="7"/>
        <v>#NUM!</v>
      </c>
      <c r="L76" s="95"/>
      <c r="M76" s="97">
        <f t="shared" si="8"/>
        <v>0</v>
      </c>
    </row>
    <row r="77" spans="1:13" x14ac:dyDescent="0.25">
      <c r="A77" s="116"/>
      <c r="G77" s="80"/>
      <c r="H77" s="95">
        <v>72</v>
      </c>
      <c r="I77" s="96" t="str">
        <f t="shared" si="6"/>
        <v/>
      </c>
      <c r="J77" s="95" t="e">
        <f t="shared" si="9"/>
        <v>#NUM!</v>
      </c>
      <c r="K77" s="95" t="e">
        <f t="shared" si="7"/>
        <v>#NUM!</v>
      </c>
      <c r="L77" s="95"/>
      <c r="M77" s="97">
        <f t="shared" si="8"/>
        <v>0</v>
      </c>
    </row>
    <row r="78" spans="1:13" x14ac:dyDescent="0.25">
      <c r="A78" s="116"/>
      <c r="G78" s="80"/>
      <c r="H78" s="95">
        <v>73</v>
      </c>
      <c r="I78" s="96" t="str">
        <f t="shared" si="6"/>
        <v/>
      </c>
      <c r="J78" s="95" t="e">
        <f t="shared" si="9"/>
        <v>#NUM!</v>
      </c>
      <c r="K78" s="95" t="e">
        <f t="shared" si="7"/>
        <v>#NUM!</v>
      </c>
      <c r="L78" s="95"/>
      <c r="M78" s="97">
        <f t="shared" si="8"/>
        <v>0</v>
      </c>
    </row>
    <row r="79" spans="1:13" x14ac:dyDescent="0.25">
      <c r="A79" s="116"/>
      <c r="G79" s="80"/>
      <c r="H79" s="95">
        <v>74</v>
      </c>
      <c r="I79" s="96" t="str">
        <f t="shared" si="6"/>
        <v/>
      </c>
      <c r="J79" s="95" t="e">
        <f t="shared" si="9"/>
        <v>#NUM!</v>
      </c>
      <c r="K79" s="95" t="e">
        <f t="shared" si="7"/>
        <v>#NUM!</v>
      </c>
      <c r="L79" s="95"/>
      <c r="M79" s="97">
        <f t="shared" si="8"/>
        <v>0</v>
      </c>
    </row>
    <row r="80" spans="1:13" x14ac:dyDescent="0.25">
      <c r="A80" s="116"/>
      <c r="G80" s="80"/>
      <c r="H80" s="95">
        <v>75</v>
      </c>
      <c r="I80" s="96" t="str">
        <f t="shared" si="6"/>
        <v/>
      </c>
      <c r="J80" s="95" t="e">
        <f t="shared" si="9"/>
        <v>#NUM!</v>
      </c>
      <c r="K80" s="95" t="e">
        <f t="shared" si="7"/>
        <v>#NUM!</v>
      </c>
      <c r="L80" s="95"/>
      <c r="M80" s="97">
        <f t="shared" si="8"/>
        <v>0</v>
      </c>
    </row>
    <row r="81" spans="1:13" x14ac:dyDescent="0.25">
      <c r="A81" s="116"/>
      <c r="G81" s="80"/>
      <c r="H81" s="95">
        <v>76</v>
      </c>
      <c r="I81" s="96" t="str">
        <f t="shared" si="6"/>
        <v/>
      </c>
      <c r="J81" s="95" t="e">
        <f t="shared" si="9"/>
        <v>#NUM!</v>
      </c>
      <c r="K81" s="95" t="e">
        <f t="shared" si="7"/>
        <v>#NUM!</v>
      </c>
      <c r="L81" s="95"/>
      <c r="M81" s="97">
        <f t="shared" si="8"/>
        <v>0</v>
      </c>
    </row>
    <row r="82" spans="1:13" x14ac:dyDescent="0.25">
      <c r="A82" s="116"/>
      <c r="G82" s="80"/>
      <c r="H82" s="95">
        <v>77</v>
      </c>
      <c r="I82" s="96" t="str">
        <f t="shared" si="6"/>
        <v/>
      </c>
      <c r="J82" s="95" t="e">
        <f t="shared" si="9"/>
        <v>#NUM!</v>
      </c>
      <c r="K82" s="95" t="e">
        <f t="shared" si="7"/>
        <v>#NUM!</v>
      </c>
      <c r="L82" s="95"/>
      <c r="M82" s="97">
        <f t="shared" si="8"/>
        <v>0</v>
      </c>
    </row>
    <row r="83" spans="1:13" x14ac:dyDescent="0.25">
      <c r="A83" s="116"/>
      <c r="G83" s="80"/>
      <c r="H83" s="95">
        <v>78</v>
      </c>
      <c r="I83" s="96" t="str">
        <f t="shared" si="6"/>
        <v/>
      </c>
      <c r="J83" s="95" t="e">
        <f t="shared" si="9"/>
        <v>#NUM!</v>
      </c>
      <c r="K83" s="95" t="e">
        <f t="shared" si="7"/>
        <v>#NUM!</v>
      </c>
      <c r="L83" s="95"/>
      <c r="M83" s="97">
        <f t="shared" si="8"/>
        <v>0</v>
      </c>
    </row>
    <row r="84" spans="1:13" x14ac:dyDescent="0.25">
      <c r="A84" s="116"/>
      <c r="G84" s="80"/>
      <c r="H84" s="95">
        <v>79</v>
      </c>
      <c r="I84" s="96" t="str">
        <f t="shared" si="6"/>
        <v/>
      </c>
      <c r="J84" s="95" t="e">
        <f t="shared" si="9"/>
        <v>#NUM!</v>
      </c>
      <c r="K84" s="95" t="e">
        <f t="shared" si="7"/>
        <v>#NUM!</v>
      </c>
      <c r="L84" s="95"/>
      <c r="M84" s="97">
        <f t="shared" si="8"/>
        <v>0</v>
      </c>
    </row>
    <row r="85" spans="1:13" x14ac:dyDescent="0.25">
      <c r="A85" s="116"/>
      <c r="G85" s="80"/>
      <c r="H85" s="95">
        <v>80</v>
      </c>
      <c r="I85" s="96" t="str">
        <f t="shared" si="6"/>
        <v/>
      </c>
      <c r="J85" s="95" t="e">
        <f t="shared" si="9"/>
        <v>#NUM!</v>
      </c>
      <c r="K85" s="95" t="e">
        <f t="shared" si="7"/>
        <v>#NUM!</v>
      </c>
      <c r="L85" s="95"/>
      <c r="M85" s="97">
        <f t="shared" si="8"/>
        <v>0</v>
      </c>
    </row>
    <row r="86" spans="1:13" x14ac:dyDescent="0.25">
      <c r="A86" s="116"/>
      <c r="G86" s="80"/>
      <c r="H86" s="95">
        <v>81</v>
      </c>
      <c r="I86" s="96" t="str">
        <f t="shared" si="6"/>
        <v/>
      </c>
      <c r="J86" s="95" t="e">
        <f t="shared" si="9"/>
        <v>#NUM!</v>
      </c>
      <c r="K86" s="95" t="e">
        <f t="shared" si="7"/>
        <v>#NUM!</v>
      </c>
      <c r="L86" s="95"/>
      <c r="M86" s="97">
        <f t="shared" si="8"/>
        <v>0</v>
      </c>
    </row>
    <row r="87" spans="1:13" x14ac:dyDescent="0.25">
      <c r="A87" s="116"/>
      <c r="G87" s="80"/>
      <c r="H87" s="95">
        <v>82</v>
      </c>
      <c r="I87" s="96" t="str">
        <f t="shared" si="6"/>
        <v/>
      </c>
      <c r="J87" s="95" t="e">
        <f t="shared" si="9"/>
        <v>#NUM!</v>
      </c>
      <c r="K87" s="95" t="e">
        <f t="shared" si="7"/>
        <v>#NUM!</v>
      </c>
      <c r="L87" s="95"/>
      <c r="M87" s="97">
        <f t="shared" si="8"/>
        <v>0</v>
      </c>
    </row>
    <row r="88" spans="1:13" x14ac:dyDescent="0.25">
      <c r="A88" s="116"/>
      <c r="G88" s="80"/>
      <c r="H88" s="95">
        <v>83</v>
      </c>
      <c r="I88" s="96" t="str">
        <f t="shared" si="6"/>
        <v/>
      </c>
      <c r="J88" s="95" t="e">
        <f t="shared" si="9"/>
        <v>#NUM!</v>
      </c>
      <c r="K88" s="95" t="e">
        <f t="shared" si="7"/>
        <v>#NUM!</v>
      </c>
      <c r="L88" s="95"/>
      <c r="M88" s="97">
        <f t="shared" si="8"/>
        <v>0</v>
      </c>
    </row>
    <row r="89" spans="1:13" x14ac:dyDescent="0.25">
      <c r="A89" s="116"/>
      <c r="G89" s="80"/>
      <c r="H89" s="95">
        <v>84</v>
      </c>
      <c r="I89" s="96" t="str">
        <f t="shared" si="6"/>
        <v/>
      </c>
      <c r="J89" s="95" t="e">
        <f t="shared" si="9"/>
        <v>#NUM!</v>
      </c>
      <c r="K89" s="95" t="e">
        <f t="shared" si="7"/>
        <v>#NUM!</v>
      </c>
      <c r="L89" s="95"/>
      <c r="M89" s="97">
        <f t="shared" si="8"/>
        <v>0</v>
      </c>
    </row>
    <row r="90" spans="1:13" x14ac:dyDescent="0.25">
      <c r="A90" s="116"/>
      <c r="G90" s="80"/>
      <c r="H90" s="95">
        <v>85</v>
      </c>
      <c r="I90" s="96" t="str">
        <f t="shared" si="6"/>
        <v/>
      </c>
      <c r="J90" s="95" t="e">
        <f t="shared" si="9"/>
        <v>#NUM!</v>
      </c>
      <c r="K90" s="95" t="e">
        <f t="shared" si="7"/>
        <v>#NUM!</v>
      </c>
      <c r="L90" s="95"/>
      <c r="M90" s="97">
        <f t="shared" si="8"/>
        <v>0</v>
      </c>
    </row>
    <row r="91" spans="1:13" x14ac:dyDescent="0.25">
      <c r="A91" s="116"/>
      <c r="G91" s="80"/>
      <c r="H91" s="95">
        <v>86</v>
      </c>
      <c r="I91" s="96" t="str">
        <f t="shared" si="6"/>
        <v/>
      </c>
      <c r="J91" s="95" t="e">
        <f t="shared" si="9"/>
        <v>#NUM!</v>
      </c>
      <c r="K91" s="95" t="e">
        <f t="shared" si="7"/>
        <v>#NUM!</v>
      </c>
      <c r="L91" s="95"/>
      <c r="M91" s="97">
        <f t="shared" si="8"/>
        <v>0</v>
      </c>
    </row>
    <row r="92" spans="1:13" x14ac:dyDescent="0.25">
      <c r="A92" s="116"/>
      <c r="G92" s="80"/>
      <c r="H92" s="95">
        <v>87</v>
      </c>
      <c r="I92" s="96" t="str">
        <f t="shared" si="6"/>
        <v/>
      </c>
      <c r="J92" s="95" t="e">
        <f t="shared" si="9"/>
        <v>#NUM!</v>
      </c>
      <c r="K92" s="95" t="e">
        <f t="shared" si="7"/>
        <v>#NUM!</v>
      </c>
      <c r="L92" s="95"/>
      <c r="M92" s="97">
        <f t="shared" si="8"/>
        <v>0</v>
      </c>
    </row>
    <row r="93" spans="1:13" x14ac:dyDescent="0.25">
      <c r="A93" s="116"/>
      <c r="G93" s="80"/>
      <c r="H93" s="95">
        <v>88</v>
      </c>
      <c r="I93" s="96" t="str">
        <f t="shared" si="6"/>
        <v/>
      </c>
      <c r="J93" s="95" t="e">
        <f t="shared" si="9"/>
        <v>#NUM!</v>
      </c>
      <c r="K93" s="95" t="e">
        <f t="shared" si="7"/>
        <v>#NUM!</v>
      </c>
      <c r="L93" s="95"/>
      <c r="M93" s="97">
        <f t="shared" si="8"/>
        <v>0</v>
      </c>
    </row>
    <row r="94" spans="1:13" x14ac:dyDescent="0.25">
      <c r="A94" s="116"/>
      <c r="G94" s="80"/>
      <c r="H94" s="95">
        <v>89</v>
      </c>
      <c r="I94" s="96" t="str">
        <f t="shared" si="6"/>
        <v/>
      </c>
      <c r="J94" s="95" t="e">
        <f t="shared" si="9"/>
        <v>#NUM!</v>
      </c>
      <c r="K94" s="95" t="e">
        <f t="shared" si="7"/>
        <v>#NUM!</v>
      </c>
      <c r="L94" s="95"/>
      <c r="M94" s="97">
        <f t="shared" si="8"/>
        <v>0</v>
      </c>
    </row>
    <row r="95" spans="1:13" x14ac:dyDescent="0.25">
      <c r="A95" s="116"/>
      <c r="G95" s="80"/>
      <c r="H95" s="95">
        <v>90</v>
      </c>
      <c r="I95" s="96" t="str">
        <f t="shared" si="6"/>
        <v/>
      </c>
      <c r="J95" s="95" t="e">
        <f t="shared" si="9"/>
        <v>#NUM!</v>
      </c>
      <c r="K95" s="95" t="e">
        <f t="shared" si="7"/>
        <v>#NUM!</v>
      </c>
      <c r="L95" s="95"/>
      <c r="M95" s="97">
        <f t="shared" si="8"/>
        <v>0</v>
      </c>
    </row>
    <row r="96" spans="1:13" x14ac:dyDescent="0.25">
      <c r="A96" s="116"/>
      <c r="G96" s="80"/>
      <c r="H96" s="95">
        <v>91</v>
      </c>
      <c r="I96" s="96" t="str">
        <f t="shared" si="6"/>
        <v/>
      </c>
      <c r="J96" s="95" t="e">
        <f t="shared" si="9"/>
        <v>#NUM!</v>
      </c>
      <c r="K96" s="95" t="e">
        <f t="shared" si="7"/>
        <v>#NUM!</v>
      </c>
      <c r="L96" s="95"/>
      <c r="M96" s="97">
        <f t="shared" si="8"/>
        <v>0</v>
      </c>
    </row>
    <row r="97" spans="1:13" x14ac:dyDescent="0.25">
      <c r="A97" s="116"/>
      <c r="G97" s="80"/>
      <c r="H97" s="95">
        <v>92</v>
      </c>
      <c r="I97" s="96" t="str">
        <f t="shared" si="6"/>
        <v/>
      </c>
      <c r="J97" s="95" t="e">
        <f t="shared" si="9"/>
        <v>#NUM!</v>
      </c>
      <c r="K97" s="95" t="e">
        <f t="shared" si="7"/>
        <v>#NUM!</v>
      </c>
      <c r="L97" s="95"/>
      <c r="M97" s="97">
        <f t="shared" si="8"/>
        <v>0</v>
      </c>
    </row>
    <row r="98" spans="1:13" x14ac:dyDescent="0.25">
      <c r="A98" s="116"/>
      <c r="G98" s="80"/>
      <c r="H98" s="95">
        <v>93</v>
      </c>
      <c r="I98" s="96" t="str">
        <f t="shared" si="6"/>
        <v/>
      </c>
      <c r="J98" s="95" t="e">
        <f t="shared" si="9"/>
        <v>#NUM!</v>
      </c>
      <c r="K98" s="95" t="e">
        <f t="shared" si="7"/>
        <v>#NUM!</v>
      </c>
      <c r="L98" s="95"/>
      <c r="M98" s="97">
        <f t="shared" si="8"/>
        <v>0</v>
      </c>
    </row>
    <row r="99" spans="1:13" x14ac:dyDescent="0.25">
      <c r="A99" s="116"/>
      <c r="G99" s="80"/>
      <c r="H99" s="95">
        <v>94</v>
      </c>
      <c r="I99" s="96" t="str">
        <f t="shared" si="6"/>
        <v/>
      </c>
      <c r="J99" s="95" t="e">
        <f t="shared" si="9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 x14ac:dyDescent="0.25">
      <c r="A100" s="116"/>
      <c r="G100" s="80"/>
      <c r="H100" s="95">
        <v>95</v>
      </c>
      <c r="I100" s="96" t="str">
        <f t="shared" si="6"/>
        <v/>
      </c>
      <c r="J100" s="95" t="e">
        <f t="shared" si="9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 x14ac:dyDescent="0.25">
      <c r="A101" s="116"/>
      <c r="G101" s="80"/>
      <c r="H101" s="95">
        <v>96</v>
      </c>
      <c r="I101" s="96" t="str">
        <f t="shared" si="6"/>
        <v/>
      </c>
      <c r="J101" s="95" t="e">
        <f t="shared" si="9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 x14ac:dyDescent="0.25">
      <c r="A102" s="116"/>
      <c r="G102" s="80"/>
      <c r="H102" s="95">
        <v>97</v>
      </c>
      <c r="I102" s="96" t="str">
        <f t="shared" si="6"/>
        <v/>
      </c>
      <c r="J102" s="95" t="e">
        <f t="shared" si="9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 x14ac:dyDescent="0.25">
      <c r="A103" s="116"/>
      <c r="G103" s="80"/>
      <c r="H103" s="95">
        <v>98</v>
      </c>
      <c r="I103" s="96" t="str">
        <f t="shared" si="6"/>
        <v/>
      </c>
      <c r="J103" s="95" t="e">
        <f t="shared" si="9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 x14ac:dyDescent="0.25">
      <c r="A104" s="116"/>
      <c r="G104" s="80"/>
      <c r="H104" s="95">
        <v>99</v>
      </c>
      <c r="I104" s="96" t="str">
        <f t="shared" si="6"/>
        <v/>
      </c>
      <c r="J104" s="95" t="e">
        <f t="shared" si="9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 x14ac:dyDescent="0.25">
      <c r="A105" s="116"/>
      <c r="G105" s="80"/>
      <c r="H105" s="95">
        <v>100</v>
      </c>
      <c r="I105" s="96" t="str">
        <f t="shared" si="6"/>
        <v/>
      </c>
      <c r="J105" s="95" t="e">
        <f t="shared" si="9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 x14ac:dyDescent="0.25">
      <c r="A106" s="116"/>
      <c r="G106" s="80"/>
      <c r="H106" s="95">
        <v>101</v>
      </c>
      <c r="I106" s="96" t="str">
        <f t="shared" si="6"/>
        <v/>
      </c>
      <c r="J106" s="95" t="e">
        <f t="shared" si="9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 x14ac:dyDescent="0.25">
      <c r="A107" s="116"/>
      <c r="G107" s="80"/>
      <c r="H107" s="95">
        <v>102</v>
      </c>
      <c r="I107" s="96" t="str">
        <f t="shared" si="6"/>
        <v/>
      </c>
      <c r="J107" s="95" t="e">
        <f t="shared" si="9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 x14ac:dyDescent="0.25">
      <c r="A108" s="116"/>
      <c r="G108" s="80"/>
      <c r="H108" s="95">
        <v>103</v>
      </c>
      <c r="I108" s="96" t="str">
        <f t="shared" si="6"/>
        <v/>
      </c>
      <c r="J108" s="95" t="e">
        <f t="shared" si="9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 x14ac:dyDescent="0.25">
      <c r="A109" s="116"/>
      <c r="G109" s="80"/>
      <c r="H109" s="95">
        <v>104</v>
      </c>
      <c r="I109" s="96" t="str">
        <f t="shared" si="6"/>
        <v/>
      </c>
      <c r="J109" s="95" t="e">
        <f t="shared" si="9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 x14ac:dyDescent="0.25">
      <c r="A110" s="116"/>
      <c r="G110" s="80"/>
      <c r="H110" s="95">
        <v>105</v>
      </c>
      <c r="I110" s="96" t="str">
        <f t="shared" si="6"/>
        <v/>
      </c>
      <c r="J110" s="95" t="e">
        <f t="shared" si="9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 x14ac:dyDescent="0.25">
      <c r="A111" s="116"/>
      <c r="G111" s="80"/>
      <c r="H111" s="95">
        <v>106</v>
      </c>
      <c r="I111" s="96" t="str">
        <f t="shared" si="6"/>
        <v/>
      </c>
      <c r="J111" s="95" t="e">
        <f t="shared" si="9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 x14ac:dyDescent="0.25">
      <c r="A112" s="116"/>
      <c r="G112" s="80"/>
      <c r="H112" s="95">
        <v>107</v>
      </c>
      <c r="I112" s="96" t="str">
        <f t="shared" si="6"/>
        <v/>
      </c>
      <c r="J112" s="95" t="e">
        <f t="shared" si="9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 x14ac:dyDescent="0.25">
      <c r="A113" s="116"/>
      <c r="G113" s="80"/>
      <c r="H113" s="95">
        <v>108</v>
      </c>
      <c r="I113" s="96" t="str">
        <f t="shared" si="6"/>
        <v/>
      </c>
      <c r="J113" s="95" t="e">
        <f t="shared" si="9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 x14ac:dyDescent="0.25">
      <c r="A114" s="116"/>
      <c r="G114" s="80"/>
      <c r="H114" s="95">
        <v>109</v>
      </c>
      <c r="I114" s="96" t="str">
        <f t="shared" si="6"/>
        <v/>
      </c>
      <c r="J114" s="95" t="e">
        <f t="shared" si="9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 x14ac:dyDescent="0.25">
      <c r="A115" s="116"/>
      <c r="G115" s="80"/>
      <c r="H115" s="95">
        <v>110</v>
      </c>
      <c r="I115" s="96" t="str">
        <f t="shared" si="6"/>
        <v/>
      </c>
      <c r="J115" s="95" t="e">
        <f t="shared" si="9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 x14ac:dyDescent="0.25">
      <c r="A116" s="116"/>
      <c r="G116" s="80"/>
      <c r="H116" s="95">
        <v>111</v>
      </c>
      <c r="I116" s="96" t="str">
        <f t="shared" si="6"/>
        <v/>
      </c>
      <c r="J116" s="95" t="e">
        <f t="shared" si="9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 x14ac:dyDescent="0.25">
      <c r="A117" s="116"/>
      <c r="G117" s="80"/>
      <c r="H117" s="95">
        <v>112</v>
      </c>
      <c r="I117" s="96" t="str">
        <f t="shared" si="6"/>
        <v/>
      </c>
      <c r="J117" s="95" t="e">
        <f t="shared" si="9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 x14ac:dyDescent="0.25">
      <c r="A118" s="116"/>
      <c r="G118" s="80"/>
      <c r="H118" s="95">
        <v>113</v>
      </c>
      <c r="I118" s="96" t="str">
        <f t="shared" si="6"/>
        <v/>
      </c>
      <c r="J118" s="95" t="e">
        <f t="shared" si="9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 x14ac:dyDescent="0.25">
      <c r="A119" s="116"/>
      <c r="G119" s="80"/>
      <c r="H119" s="95">
        <v>114</v>
      </c>
      <c r="I119" s="96" t="str">
        <f t="shared" si="6"/>
        <v/>
      </c>
      <c r="J119" s="95" t="e">
        <f t="shared" si="9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 x14ac:dyDescent="0.25">
      <c r="A120" s="116"/>
      <c r="G120" s="80"/>
      <c r="H120" s="95">
        <v>115</v>
      </c>
      <c r="I120" s="96" t="str">
        <f t="shared" si="6"/>
        <v/>
      </c>
      <c r="J120" s="95" t="e">
        <f t="shared" si="9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 x14ac:dyDescent="0.25">
      <c r="A121" s="116"/>
      <c r="G121" s="80"/>
      <c r="H121" s="95">
        <v>116</v>
      </c>
      <c r="I121" s="96" t="str">
        <f t="shared" si="6"/>
        <v/>
      </c>
      <c r="J121" s="95" t="e">
        <f t="shared" si="9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 x14ac:dyDescent="0.25">
      <c r="A122" s="116"/>
      <c r="G122" s="80"/>
      <c r="H122" s="95">
        <v>117</v>
      </c>
      <c r="I122" s="96" t="str">
        <f t="shared" si="6"/>
        <v/>
      </c>
      <c r="J122" s="95" t="e">
        <f t="shared" si="9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 x14ac:dyDescent="0.25">
      <c r="A123" s="116"/>
      <c r="G123" s="80"/>
      <c r="H123" s="95">
        <v>118</v>
      </c>
      <c r="I123" s="96" t="str">
        <f t="shared" si="6"/>
        <v/>
      </c>
      <c r="J123" s="95" t="e">
        <f t="shared" si="9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 x14ac:dyDescent="0.25">
      <c r="A124" s="116"/>
      <c r="G124" s="80"/>
      <c r="H124" s="95">
        <v>119</v>
      </c>
      <c r="I124" s="96" t="str">
        <f t="shared" si="6"/>
        <v/>
      </c>
      <c r="J124" s="95" t="e">
        <f t="shared" si="9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 x14ac:dyDescent="0.25">
      <c r="A125" s="116"/>
      <c r="G125" s="80"/>
      <c r="H125" s="95">
        <v>120</v>
      </c>
      <c r="I125" s="96" t="str">
        <f t="shared" si="6"/>
        <v/>
      </c>
      <c r="J125" s="95" t="e">
        <f t="shared" si="9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 x14ac:dyDescent="0.25">
      <c r="A126" s="116"/>
      <c r="G126" s="80"/>
      <c r="H126" s="95">
        <v>121</v>
      </c>
      <c r="I126" s="96" t="str">
        <f t="shared" si="6"/>
        <v/>
      </c>
      <c r="J126" s="95" t="e">
        <f t="shared" si="9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 x14ac:dyDescent="0.25">
      <c r="A127" s="116"/>
      <c r="G127" s="80"/>
      <c r="H127" s="95">
        <v>122</v>
      </c>
      <c r="I127" s="96" t="str">
        <f t="shared" si="6"/>
        <v/>
      </c>
      <c r="J127" s="95" t="e">
        <f t="shared" si="9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 x14ac:dyDescent="0.25">
      <c r="A128" s="116"/>
      <c r="G128" s="80"/>
      <c r="H128" s="95">
        <v>123</v>
      </c>
      <c r="I128" s="96" t="str">
        <f t="shared" si="6"/>
        <v/>
      </c>
      <c r="J128" s="95" t="e">
        <f t="shared" si="9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 x14ac:dyDescent="0.25">
      <c r="A129" s="116"/>
      <c r="G129" s="80"/>
      <c r="H129" s="95">
        <v>124</v>
      </c>
      <c r="I129" s="96" t="str">
        <f t="shared" si="6"/>
        <v/>
      </c>
      <c r="J129" s="95" t="e">
        <f t="shared" si="9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 x14ac:dyDescent="0.25">
      <c r="A130" s="116"/>
      <c r="G130" s="80"/>
      <c r="H130" s="95">
        <v>125</v>
      </c>
      <c r="I130" s="96" t="str">
        <f t="shared" si="6"/>
        <v/>
      </c>
      <c r="J130" s="95" t="e">
        <f t="shared" si="9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 x14ac:dyDescent="0.25">
      <c r="A131" s="116"/>
      <c r="G131" s="80"/>
      <c r="H131" s="95">
        <v>126</v>
      </c>
      <c r="I131" s="96" t="str">
        <f t="shared" si="6"/>
        <v/>
      </c>
      <c r="J131" s="95" t="e">
        <f t="shared" si="9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 x14ac:dyDescent="0.25">
      <c r="A132" s="116"/>
      <c r="G132" s="80"/>
      <c r="H132" s="95">
        <v>127</v>
      </c>
      <c r="I132" s="96" t="str">
        <f t="shared" si="6"/>
        <v/>
      </c>
      <c r="J132" s="95" t="e">
        <f t="shared" si="9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 x14ac:dyDescent="0.25">
      <c r="A133" s="116"/>
      <c r="G133" s="80"/>
      <c r="H133" s="95">
        <v>128</v>
      </c>
      <c r="I133" s="96" t="str">
        <f t="shared" si="6"/>
        <v/>
      </c>
      <c r="J133" s="95" t="e">
        <f t="shared" si="9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 x14ac:dyDescent="0.25">
      <c r="A134" s="116"/>
      <c r="G134" s="80"/>
      <c r="H134" s="95">
        <v>129</v>
      </c>
      <c r="I134" s="96" t="str">
        <f t="shared" ref="I134:I197" si="10">IF(H134&lt;$H$2+1,($I$2-($I$2-1)*(LOG(H134)/LOG($H$2))),"")</f>
        <v/>
      </c>
      <c r="J134" s="95" t="e">
        <f t="shared" si="9"/>
        <v>#NUM!</v>
      </c>
      <c r="K134" s="95" t="e">
        <f t="shared" ref="K134:K197" si="11">J134*$J$2</f>
        <v>#NUM!</v>
      </c>
      <c r="L134" s="95"/>
      <c r="M134" s="97">
        <f t="shared" ref="M134:M197" si="12">IF(I134&lt;&gt;"",K134+I134+L134,0)</f>
        <v>0</v>
      </c>
    </row>
    <row r="135" spans="1:13" x14ac:dyDescent="0.25">
      <c r="A135" s="116"/>
      <c r="G135" s="80"/>
      <c r="H135" s="95">
        <v>130</v>
      </c>
      <c r="I135" s="96" t="str">
        <f t="shared" si="10"/>
        <v/>
      </c>
      <c r="J135" s="95" t="e">
        <f t="shared" ref="J135:J198" si="13">INT(LOG($H$2,2))-ROUNDUP(LOG(H135,2),0)+IF(OR($H$2=1,$H$2=2,$H$2=4,$H$2=8,$H$2=16,$H$2=32,$H$2=64,$H$2=128,$H$2=256),0,1)</f>
        <v>#NUM!</v>
      </c>
      <c r="K135" s="95" t="e">
        <f t="shared" si="11"/>
        <v>#NUM!</v>
      </c>
      <c r="L135" s="95"/>
      <c r="M135" s="97">
        <f t="shared" si="12"/>
        <v>0</v>
      </c>
    </row>
    <row r="136" spans="1:13" x14ac:dyDescent="0.25">
      <c r="A136" s="116"/>
      <c r="G136" s="80"/>
      <c r="H136" s="95">
        <v>131</v>
      </c>
      <c r="I136" s="96" t="str">
        <f t="shared" si="10"/>
        <v/>
      </c>
      <c r="J136" s="95" t="e">
        <f t="shared" si="13"/>
        <v>#NUM!</v>
      </c>
      <c r="K136" s="95" t="e">
        <f t="shared" si="11"/>
        <v>#NUM!</v>
      </c>
      <c r="L136" s="95"/>
      <c r="M136" s="97">
        <f t="shared" si="12"/>
        <v>0</v>
      </c>
    </row>
    <row r="137" spans="1:13" x14ac:dyDescent="0.25">
      <c r="A137" s="116"/>
      <c r="G137" s="80"/>
      <c r="H137" s="95">
        <v>132</v>
      </c>
      <c r="I137" s="96" t="str">
        <f t="shared" si="10"/>
        <v/>
      </c>
      <c r="J137" s="95" t="e">
        <f t="shared" si="13"/>
        <v>#NUM!</v>
      </c>
      <c r="K137" s="95" t="e">
        <f t="shared" si="11"/>
        <v>#NUM!</v>
      </c>
      <c r="L137" s="95"/>
      <c r="M137" s="97">
        <f t="shared" si="12"/>
        <v>0</v>
      </c>
    </row>
    <row r="138" spans="1:13" x14ac:dyDescent="0.25">
      <c r="A138" s="116"/>
      <c r="G138" s="80"/>
      <c r="H138" s="95">
        <v>133</v>
      </c>
      <c r="I138" s="96" t="str">
        <f t="shared" si="10"/>
        <v/>
      </c>
      <c r="J138" s="95" t="e">
        <f t="shared" si="13"/>
        <v>#NUM!</v>
      </c>
      <c r="K138" s="95" t="e">
        <f t="shared" si="11"/>
        <v>#NUM!</v>
      </c>
      <c r="L138" s="95"/>
      <c r="M138" s="97">
        <f t="shared" si="12"/>
        <v>0</v>
      </c>
    </row>
    <row r="139" spans="1:13" x14ac:dyDescent="0.25">
      <c r="A139" s="116"/>
      <c r="G139" s="80"/>
      <c r="H139" s="95">
        <v>134</v>
      </c>
      <c r="I139" s="96" t="str">
        <f t="shared" si="10"/>
        <v/>
      </c>
      <c r="J139" s="95" t="e">
        <f t="shared" si="13"/>
        <v>#NUM!</v>
      </c>
      <c r="K139" s="95" t="e">
        <f t="shared" si="11"/>
        <v>#NUM!</v>
      </c>
      <c r="L139" s="95"/>
      <c r="M139" s="97">
        <f t="shared" si="12"/>
        <v>0</v>
      </c>
    </row>
    <row r="140" spans="1:13" x14ac:dyDescent="0.25">
      <c r="A140" s="116"/>
      <c r="G140" s="80"/>
      <c r="H140" s="95">
        <v>135</v>
      </c>
      <c r="I140" s="96" t="str">
        <f t="shared" si="10"/>
        <v/>
      </c>
      <c r="J140" s="95" t="e">
        <f t="shared" si="13"/>
        <v>#NUM!</v>
      </c>
      <c r="K140" s="95" t="e">
        <f t="shared" si="11"/>
        <v>#NUM!</v>
      </c>
      <c r="L140" s="95"/>
      <c r="M140" s="97">
        <f t="shared" si="12"/>
        <v>0</v>
      </c>
    </row>
    <row r="141" spans="1:13" x14ac:dyDescent="0.25">
      <c r="A141" s="116"/>
      <c r="G141" s="80"/>
      <c r="H141" s="95">
        <v>136</v>
      </c>
      <c r="I141" s="96" t="str">
        <f t="shared" si="10"/>
        <v/>
      </c>
      <c r="J141" s="95" t="e">
        <f t="shared" si="13"/>
        <v>#NUM!</v>
      </c>
      <c r="K141" s="95" t="e">
        <f t="shared" si="11"/>
        <v>#NUM!</v>
      </c>
      <c r="L141" s="95"/>
      <c r="M141" s="97">
        <f t="shared" si="12"/>
        <v>0</v>
      </c>
    </row>
    <row r="142" spans="1:13" x14ac:dyDescent="0.25">
      <c r="A142" s="116"/>
      <c r="G142" s="80"/>
      <c r="H142" s="95">
        <v>137</v>
      </c>
      <c r="I142" s="96" t="str">
        <f t="shared" si="10"/>
        <v/>
      </c>
      <c r="J142" s="95" t="e">
        <f t="shared" si="13"/>
        <v>#NUM!</v>
      </c>
      <c r="K142" s="95" t="e">
        <f t="shared" si="11"/>
        <v>#NUM!</v>
      </c>
      <c r="L142" s="95"/>
      <c r="M142" s="97">
        <f t="shared" si="12"/>
        <v>0</v>
      </c>
    </row>
    <row r="143" spans="1:13" x14ac:dyDescent="0.25">
      <c r="A143" s="116"/>
      <c r="G143" s="80"/>
      <c r="H143" s="95">
        <v>138</v>
      </c>
      <c r="I143" s="96" t="str">
        <f t="shared" si="10"/>
        <v/>
      </c>
      <c r="J143" s="95" t="e">
        <f t="shared" si="13"/>
        <v>#NUM!</v>
      </c>
      <c r="K143" s="95" t="e">
        <f t="shared" si="11"/>
        <v>#NUM!</v>
      </c>
      <c r="L143" s="95"/>
      <c r="M143" s="97">
        <f t="shared" si="12"/>
        <v>0</v>
      </c>
    </row>
    <row r="144" spans="1:13" x14ac:dyDescent="0.25">
      <c r="A144" s="116"/>
      <c r="G144" s="80"/>
      <c r="H144" s="95">
        <v>139</v>
      </c>
      <c r="I144" s="96" t="str">
        <f t="shared" si="10"/>
        <v/>
      </c>
      <c r="J144" s="95" t="e">
        <f t="shared" si="13"/>
        <v>#NUM!</v>
      </c>
      <c r="K144" s="95" t="e">
        <f t="shared" si="11"/>
        <v>#NUM!</v>
      </c>
      <c r="L144" s="95"/>
      <c r="M144" s="97">
        <f t="shared" si="12"/>
        <v>0</v>
      </c>
    </row>
    <row r="145" spans="1:13" x14ac:dyDescent="0.25">
      <c r="A145" s="116"/>
      <c r="G145" s="80"/>
      <c r="H145" s="95">
        <v>140</v>
      </c>
      <c r="I145" s="96" t="str">
        <f t="shared" si="10"/>
        <v/>
      </c>
      <c r="J145" s="95" t="e">
        <f t="shared" si="13"/>
        <v>#NUM!</v>
      </c>
      <c r="K145" s="95" t="e">
        <f t="shared" si="11"/>
        <v>#NUM!</v>
      </c>
      <c r="L145" s="95"/>
      <c r="M145" s="97">
        <f t="shared" si="12"/>
        <v>0</v>
      </c>
    </row>
    <row r="146" spans="1:13" x14ac:dyDescent="0.25">
      <c r="A146" s="116"/>
      <c r="G146" s="80"/>
      <c r="H146" s="95">
        <v>141</v>
      </c>
      <c r="I146" s="96" t="str">
        <f t="shared" si="10"/>
        <v/>
      </c>
      <c r="J146" s="95" t="e">
        <f t="shared" si="13"/>
        <v>#NUM!</v>
      </c>
      <c r="K146" s="95" t="e">
        <f t="shared" si="11"/>
        <v>#NUM!</v>
      </c>
      <c r="L146" s="95"/>
      <c r="M146" s="97">
        <f t="shared" si="12"/>
        <v>0</v>
      </c>
    </row>
    <row r="147" spans="1:13" x14ac:dyDescent="0.25">
      <c r="A147" s="116"/>
      <c r="G147" s="80"/>
      <c r="H147" s="95">
        <v>142</v>
      </c>
      <c r="I147" s="96" t="str">
        <f t="shared" si="10"/>
        <v/>
      </c>
      <c r="J147" s="95" t="e">
        <f t="shared" si="13"/>
        <v>#NUM!</v>
      </c>
      <c r="K147" s="95" t="e">
        <f t="shared" si="11"/>
        <v>#NUM!</v>
      </c>
      <c r="L147" s="95"/>
      <c r="M147" s="97">
        <f t="shared" si="12"/>
        <v>0</v>
      </c>
    </row>
    <row r="148" spans="1:13" x14ac:dyDescent="0.25">
      <c r="A148" s="116"/>
      <c r="G148" s="80"/>
      <c r="H148" s="95">
        <v>143</v>
      </c>
      <c r="I148" s="96" t="str">
        <f t="shared" si="10"/>
        <v/>
      </c>
      <c r="J148" s="95" t="e">
        <f t="shared" si="13"/>
        <v>#NUM!</v>
      </c>
      <c r="K148" s="95" t="e">
        <f t="shared" si="11"/>
        <v>#NUM!</v>
      </c>
      <c r="L148" s="95"/>
      <c r="M148" s="97">
        <f t="shared" si="12"/>
        <v>0</v>
      </c>
    </row>
    <row r="149" spans="1:13" x14ac:dyDescent="0.25">
      <c r="A149" s="116"/>
      <c r="G149" s="80"/>
      <c r="H149" s="95">
        <v>144</v>
      </c>
      <c r="I149" s="96" t="str">
        <f t="shared" si="10"/>
        <v/>
      </c>
      <c r="J149" s="95" t="e">
        <f t="shared" si="13"/>
        <v>#NUM!</v>
      </c>
      <c r="K149" s="95" t="e">
        <f t="shared" si="11"/>
        <v>#NUM!</v>
      </c>
      <c r="L149" s="95"/>
      <c r="M149" s="97">
        <f t="shared" si="12"/>
        <v>0</v>
      </c>
    </row>
    <row r="150" spans="1:13" x14ac:dyDescent="0.25">
      <c r="A150" s="116"/>
      <c r="G150" s="80"/>
      <c r="H150" s="95">
        <v>145</v>
      </c>
      <c r="I150" s="96" t="str">
        <f t="shared" si="10"/>
        <v/>
      </c>
      <c r="J150" s="95" t="e">
        <f t="shared" si="13"/>
        <v>#NUM!</v>
      </c>
      <c r="K150" s="95" t="e">
        <f t="shared" si="11"/>
        <v>#NUM!</v>
      </c>
      <c r="L150" s="95"/>
      <c r="M150" s="97">
        <f t="shared" si="12"/>
        <v>0</v>
      </c>
    </row>
    <row r="151" spans="1:13" x14ac:dyDescent="0.25">
      <c r="A151" s="116"/>
      <c r="G151" s="80"/>
      <c r="H151" s="95">
        <v>146</v>
      </c>
      <c r="I151" s="96" t="str">
        <f t="shared" si="10"/>
        <v/>
      </c>
      <c r="J151" s="95" t="e">
        <f t="shared" si="13"/>
        <v>#NUM!</v>
      </c>
      <c r="K151" s="95" t="e">
        <f t="shared" si="11"/>
        <v>#NUM!</v>
      </c>
      <c r="L151" s="95"/>
      <c r="M151" s="97">
        <f t="shared" si="12"/>
        <v>0</v>
      </c>
    </row>
    <row r="152" spans="1:13" x14ac:dyDescent="0.25">
      <c r="A152" s="116"/>
      <c r="G152" s="80"/>
      <c r="H152" s="95">
        <v>147</v>
      </c>
      <c r="I152" s="96" t="str">
        <f t="shared" si="10"/>
        <v/>
      </c>
      <c r="J152" s="95" t="e">
        <f t="shared" si="13"/>
        <v>#NUM!</v>
      </c>
      <c r="K152" s="95" t="e">
        <f t="shared" si="11"/>
        <v>#NUM!</v>
      </c>
      <c r="L152" s="95"/>
      <c r="M152" s="97">
        <f t="shared" si="12"/>
        <v>0</v>
      </c>
    </row>
    <row r="153" spans="1:13" x14ac:dyDescent="0.25">
      <c r="A153" s="116"/>
      <c r="G153" s="80"/>
      <c r="H153" s="95">
        <v>148</v>
      </c>
      <c r="I153" s="96" t="str">
        <f t="shared" si="10"/>
        <v/>
      </c>
      <c r="J153" s="95" t="e">
        <f t="shared" si="13"/>
        <v>#NUM!</v>
      </c>
      <c r="K153" s="95" t="e">
        <f t="shared" si="11"/>
        <v>#NUM!</v>
      </c>
      <c r="L153" s="95"/>
      <c r="M153" s="97">
        <f t="shared" si="12"/>
        <v>0</v>
      </c>
    </row>
    <row r="154" spans="1:13" x14ac:dyDescent="0.25">
      <c r="A154" s="116"/>
      <c r="G154" s="80"/>
      <c r="H154" s="95">
        <v>149</v>
      </c>
      <c r="I154" s="96" t="str">
        <f t="shared" si="10"/>
        <v/>
      </c>
      <c r="J154" s="95" t="e">
        <f t="shared" si="13"/>
        <v>#NUM!</v>
      </c>
      <c r="K154" s="95" t="e">
        <f t="shared" si="11"/>
        <v>#NUM!</v>
      </c>
      <c r="L154" s="95"/>
      <c r="M154" s="97">
        <f t="shared" si="12"/>
        <v>0</v>
      </c>
    </row>
    <row r="155" spans="1:13" x14ac:dyDescent="0.25">
      <c r="A155" s="116"/>
      <c r="G155" s="80"/>
      <c r="H155" s="95">
        <v>150</v>
      </c>
      <c r="I155" s="96" t="str">
        <f t="shared" si="10"/>
        <v/>
      </c>
      <c r="J155" s="95" t="e">
        <f t="shared" si="13"/>
        <v>#NUM!</v>
      </c>
      <c r="K155" s="95" t="e">
        <f t="shared" si="11"/>
        <v>#NUM!</v>
      </c>
      <c r="L155" s="95"/>
      <c r="M155" s="97">
        <f t="shared" si="12"/>
        <v>0</v>
      </c>
    </row>
    <row r="156" spans="1:13" x14ac:dyDescent="0.25">
      <c r="A156" s="116"/>
      <c r="G156" s="80"/>
      <c r="H156" s="95">
        <v>151</v>
      </c>
      <c r="I156" s="96" t="str">
        <f t="shared" si="10"/>
        <v/>
      </c>
      <c r="J156" s="95" t="e">
        <f t="shared" si="13"/>
        <v>#NUM!</v>
      </c>
      <c r="K156" s="95" t="e">
        <f t="shared" si="11"/>
        <v>#NUM!</v>
      </c>
      <c r="L156" s="95"/>
      <c r="M156" s="97">
        <f t="shared" si="12"/>
        <v>0</v>
      </c>
    </row>
    <row r="157" spans="1:13" x14ac:dyDescent="0.25">
      <c r="A157" s="116"/>
      <c r="G157" s="80"/>
      <c r="H157" s="95">
        <v>152</v>
      </c>
      <c r="I157" s="96" t="str">
        <f t="shared" si="10"/>
        <v/>
      </c>
      <c r="J157" s="95" t="e">
        <f t="shared" si="13"/>
        <v>#NUM!</v>
      </c>
      <c r="K157" s="95" t="e">
        <f t="shared" si="11"/>
        <v>#NUM!</v>
      </c>
      <c r="L157" s="95"/>
      <c r="M157" s="97">
        <f t="shared" si="12"/>
        <v>0</v>
      </c>
    </row>
    <row r="158" spans="1:13" x14ac:dyDescent="0.25">
      <c r="A158" s="116"/>
      <c r="G158" s="80"/>
      <c r="H158" s="95">
        <v>153</v>
      </c>
      <c r="I158" s="96" t="str">
        <f t="shared" si="10"/>
        <v/>
      </c>
      <c r="J158" s="95" t="e">
        <f t="shared" si="13"/>
        <v>#NUM!</v>
      </c>
      <c r="K158" s="95" t="e">
        <f t="shared" si="11"/>
        <v>#NUM!</v>
      </c>
      <c r="L158" s="95"/>
      <c r="M158" s="97">
        <f t="shared" si="12"/>
        <v>0</v>
      </c>
    </row>
    <row r="159" spans="1:13" x14ac:dyDescent="0.25">
      <c r="A159" s="116"/>
      <c r="G159" s="80"/>
      <c r="H159" s="95">
        <v>154</v>
      </c>
      <c r="I159" s="96" t="str">
        <f t="shared" si="10"/>
        <v/>
      </c>
      <c r="J159" s="95" t="e">
        <f t="shared" si="13"/>
        <v>#NUM!</v>
      </c>
      <c r="K159" s="95" t="e">
        <f t="shared" si="11"/>
        <v>#NUM!</v>
      </c>
      <c r="L159" s="95"/>
      <c r="M159" s="97">
        <f t="shared" si="12"/>
        <v>0</v>
      </c>
    </row>
    <row r="160" spans="1:13" x14ac:dyDescent="0.25">
      <c r="A160" s="116"/>
      <c r="G160" s="80"/>
      <c r="H160" s="95">
        <v>155</v>
      </c>
      <c r="I160" s="96" t="str">
        <f t="shared" si="10"/>
        <v/>
      </c>
      <c r="J160" s="95" t="e">
        <f t="shared" si="13"/>
        <v>#NUM!</v>
      </c>
      <c r="K160" s="95" t="e">
        <f t="shared" si="11"/>
        <v>#NUM!</v>
      </c>
      <c r="L160" s="95"/>
      <c r="M160" s="97">
        <f t="shared" si="12"/>
        <v>0</v>
      </c>
    </row>
    <row r="161" spans="1:13" x14ac:dyDescent="0.25">
      <c r="A161" s="116"/>
      <c r="G161" s="80"/>
      <c r="H161" s="95">
        <v>156</v>
      </c>
      <c r="I161" s="96" t="str">
        <f t="shared" si="10"/>
        <v/>
      </c>
      <c r="J161" s="95" t="e">
        <f t="shared" si="13"/>
        <v>#NUM!</v>
      </c>
      <c r="K161" s="95" t="e">
        <f t="shared" si="11"/>
        <v>#NUM!</v>
      </c>
      <c r="L161" s="95"/>
      <c r="M161" s="97">
        <f t="shared" si="12"/>
        <v>0</v>
      </c>
    </row>
    <row r="162" spans="1:13" x14ac:dyDescent="0.25">
      <c r="A162" s="116"/>
      <c r="G162" s="80"/>
      <c r="H162" s="95">
        <v>157</v>
      </c>
      <c r="I162" s="96" t="str">
        <f t="shared" si="10"/>
        <v/>
      </c>
      <c r="J162" s="95" t="e">
        <f t="shared" si="13"/>
        <v>#NUM!</v>
      </c>
      <c r="K162" s="95" t="e">
        <f t="shared" si="11"/>
        <v>#NUM!</v>
      </c>
      <c r="L162" s="95"/>
      <c r="M162" s="97">
        <f t="shared" si="12"/>
        <v>0</v>
      </c>
    </row>
    <row r="163" spans="1:13" x14ac:dyDescent="0.25">
      <c r="A163" s="116"/>
      <c r="G163" s="80"/>
      <c r="H163" s="95">
        <v>158</v>
      </c>
      <c r="I163" s="96" t="str">
        <f t="shared" si="10"/>
        <v/>
      </c>
      <c r="J163" s="95" t="e">
        <f t="shared" si="13"/>
        <v>#NUM!</v>
      </c>
      <c r="K163" s="95" t="e">
        <f t="shared" si="11"/>
        <v>#NUM!</v>
      </c>
      <c r="L163" s="95"/>
      <c r="M163" s="97">
        <f t="shared" si="12"/>
        <v>0</v>
      </c>
    </row>
    <row r="164" spans="1:13" x14ac:dyDescent="0.25">
      <c r="A164" s="116"/>
      <c r="G164" s="80"/>
      <c r="H164" s="95">
        <v>159</v>
      </c>
      <c r="I164" s="96" t="str">
        <f t="shared" si="10"/>
        <v/>
      </c>
      <c r="J164" s="95" t="e">
        <f t="shared" si="13"/>
        <v>#NUM!</v>
      </c>
      <c r="K164" s="95" t="e">
        <f t="shared" si="11"/>
        <v>#NUM!</v>
      </c>
      <c r="L164" s="95"/>
      <c r="M164" s="97">
        <f t="shared" si="12"/>
        <v>0</v>
      </c>
    </row>
    <row r="165" spans="1:13" x14ac:dyDescent="0.25">
      <c r="A165" s="116"/>
      <c r="G165" s="80"/>
      <c r="H165" s="95">
        <v>160</v>
      </c>
      <c r="I165" s="96" t="str">
        <f t="shared" si="10"/>
        <v/>
      </c>
      <c r="J165" s="95" t="e">
        <f t="shared" si="13"/>
        <v>#NUM!</v>
      </c>
      <c r="K165" s="95" t="e">
        <f t="shared" si="11"/>
        <v>#NUM!</v>
      </c>
      <c r="L165" s="95"/>
      <c r="M165" s="97">
        <f t="shared" si="12"/>
        <v>0</v>
      </c>
    </row>
    <row r="166" spans="1:13" x14ac:dyDescent="0.25">
      <c r="A166" s="116"/>
      <c r="G166" s="80"/>
      <c r="H166" s="95">
        <v>161</v>
      </c>
      <c r="I166" s="96" t="str">
        <f t="shared" si="10"/>
        <v/>
      </c>
      <c r="J166" s="95" t="e">
        <f t="shared" si="13"/>
        <v>#NUM!</v>
      </c>
      <c r="K166" s="95" t="e">
        <f t="shared" si="11"/>
        <v>#NUM!</v>
      </c>
      <c r="L166" s="95"/>
      <c r="M166" s="97">
        <f t="shared" si="12"/>
        <v>0</v>
      </c>
    </row>
    <row r="167" spans="1:13" x14ac:dyDescent="0.25">
      <c r="A167" s="116"/>
      <c r="G167" s="80"/>
      <c r="H167" s="95">
        <v>162</v>
      </c>
      <c r="I167" s="96" t="str">
        <f t="shared" si="10"/>
        <v/>
      </c>
      <c r="J167" s="95" t="e">
        <f t="shared" si="13"/>
        <v>#NUM!</v>
      </c>
      <c r="K167" s="95" t="e">
        <f t="shared" si="11"/>
        <v>#NUM!</v>
      </c>
      <c r="L167" s="95"/>
      <c r="M167" s="97">
        <f t="shared" si="12"/>
        <v>0</v>
      </c>
    </row>
    <row r="168" spans="1:13" x14ac:dyDescent="0.25">
      <c r="A168" s="116"/>
      <c r="G168" s="80"/>
      <c r="H168" s="95">
        <v>163</v>
      </c>
      <c r="I168" s="96" t="str">
        <f t="shared" si="10"/>
        <v/>
      </c>
      <c r="J168" s="95" t="e">
        <f t="shared" si="13"/>
        <v>#NUM!</v>
      </c>
      <c r="K168" s="95" t="e">
        <f t="shared" si="11"/>
        <v>#NUM!</v>
      </c>
      <c r="L168" s="95"/>
      <c r="M168" s="97">
        <f t="shared" si="12"/>
        <v>0</v>
      </c>
    </row>
    <row r="169" spans="1:13" x14ac:dyDescent="0.25">
      <c r="A169" s="116"/>
      <c r="G169" s="80"/>
      <c r="H169" s="95">
        <v>164</v>
      </c>
      <c r="I169" s="96" t="str">
        <f t="shared" si="10"/>
        <v/>
      </c>
      <c r="J169" s="95" t="e">
        <f t="shared" si="13"/>
        <v>#NUM!</v>
      </c>
      <c r="K169" s="95" t="e">
        <f t="shared" si="11"/>
        <v>#NUM!</v>
      </c>
      <c r="L169" s="95"/>
      <c r="M169" s="97">
        <f t="shared" si="12"/>
        <v>0</v>
      </c>
    </row>
    <row r="170" spans="1:13" x14ac:dyDescent="0.25">
      <c r="A170" s="116"/>
      <c r="G170" s="80"/>
      <c r="H170" s="95">
        <v>165</v>
      </c>
      <c r="I170" s="96" t="str">
        <f t="shared" si="10"/>
        <v/>
      </c>
      <c r="J170" s="95" t="e">
        <f t="shared" si="13"/>
        <v>#NUM!</v>
      </c>
      <c r="K170" s="95" t="e">
        <f t="shared" si="11"/>
        <v>#NUM!</v>
      </c>
      <c r="L170" s="95"/>
      <c r="M170" s="97">
        <f t="shared" si="12"/>
        <v>0</v>
      </c>
    </row>
    <row r="171" spans="1:13" x14ac:dyDescent="0.25">
      <c r="A171" s="116"/>
      <c r="G171" s="80"/>
      <c r="H171" s="95">
        <v>166</v>
      </c>
      <c r="I171" s="96" t="str">
        <f t="shared" si="10"/>
        <v/>
      </c>
      <c r="J171" s="95" t="e">
        <f t="shared" si="13"/>
        <v>#NUM!</v>
      </c>
      <c r="K171" s="95" t="e">
        <f t="shared" si="11"/>
        <v>#NUM!</v>
      </c>
      <c r="L171" s="95"/>
      <c r="M171" s="97">
        <f t="shared" si="12"/>
        <v>0</v>
      </c>
    </row>
    <row r="172" spans="1:13" x14ac:dyDescent="0.25">
      <c r="A172" s="116"/>
      <c r="G172" s="80"/>
      <c r="H172" s="95">
        <v>167</v>
      </c>
      <c r="I172" s="96" t="str">
        <f t="shared" si="10"/>
        <v/>
      </c>
      <c r="J172" s="95" t="e">
        <f t="shared" si="13"/>
        <v>#NUM!</v>
      </c>
      <c r="K172" s="95" t="e">
        <f t="shared" si="11"/>
        <v>#NUM!</v>
      </c>
      <c r="L172" s="95"/>
      <c r="M172" s="97">
        <f t="shared" si="12"/>
        <v>0</v>
      </c>
    </row>
    <row r="173" spans="1:13" x14ac:dyDescent="0.25">
      <c r="A173" s="116"/>
      <c r="G173" s="80"/>
      <c r="H173" s="95">
        <v>168</v>
      </c>
      <c r="I173" s="96" t="str">
        <f t="shared" si="10"/>
        <v/>
      </c>
      <c r="J173" s="95" t="e">
        <f t="shared" si="13"/>
        <v>#NUM!</v>
      </c>
      <c r="K173" s="95" t="e">
        <f t="shared" si="11"/>
        <v>#NUM!</v>
      </c>
      <c r="L173" s="95"/>
      <c r="M173" s="97">
        <f t="shared" si="12"/>
        <v>0</v>
      </c>
    </row>
    <row r="174" spans="1:13" x14ac:dyDescent="0.25">
      <c r="A174" s="116"/>
      <c r="G174" s="80"/>
      <c r="H174" s="95">
        <v>169</v>
      </c>
      <c r="I174" s="96" t="str">
        <f t="shared" si="10"/>
        <v/>
      </c>
      <c r="J174" s="95" t="e">
        <f t="shared" si="13"/>
        <v>#NUM!</v>
      </c>
      <c r="K174" s="95" t="e">
        <f t="shared" si="11"/>
        <v>#NUM!</v>
      </c>
      <c r="L174" s="95"/>
      <c r="M174" s="97">
        <f t="shared" si="12"/>
        <v>0</v>
      </c>
    </row>
    <row r="175" spans="1:13" x14ac:dyDescent="0.25">
      <c r="A175" s="116"/>
      <c r="G175" s="80"/>
      <c r="H175" s="95">
        <v>170</v>
      </c>
      <c r="I175" s="96" t="str">
        <f t="shared" si="10"/>
        <v/>
      </c>
      <c r="J175" s="95" t="e">
        <f t="shared" si="13"/>
        <v>#NUM!</v>
      </c>
      <c r="K175" s="95" t="e">
        <f t="shared" si="11"/>
        <v>#NUM!</v>
      </c>
      <c r="L175" s="95"/>
      <c r="M175" s="97">
        <f t="shared" si="12"/>
        <v>0</v>
      </c>
    </row>
    <row r="176" spans="1:13" x14ac:dyDescent="0.25">
      <c r="A176" s="116"/>
      <c r="G176" s="80"/>
      <c r="H176" s="95">
        <v>171</v>
      </c>
      <c r="I176" s="96" t="str">
        <f t="shared" si="10"/>
        <v/>
      </c>
      <c r="J176" s="95" t="e">
        <f t="shared" si="13"/>
        <v>#NUM!</v>
      </c>
      <c r="K176" s="95" t="e">
        <f t="shared" si="11"/>
        <v>#NUM!</v>
      </c>
      <c r="L176" s="95"/>
      <c r="M176" s="97">
        <f t="shared" si="12"/>
        <v>0</v>
      </c>
    </row>
    <row r="177" spans="1:13" x14ac:dyDescent="0.25">
      <c r="A177" s="116"/>
      <c r="G177" s="80"/>
      <c r="H177" s="95">
        <v>172</v>
      </c>
      <c r="I177" s="96" t="str">
        <f t="shared" si="10"/>
        <v/>
      </c>
      <c r="J177" s="95" t="e">
        <f t="shared" si="13"/>
        <v>#NUM!</v>
      </c>
      <c r="K177" s="95" t="e">
        <f t="shared" si="11"/>
        <v>#NUM!</v>
      </c>
      <c r="L177" s="95"/>
      <c r="M177" s="97">
        <f t="shared" si="12"/>
        <v>0</v>
      </c>
    </row>
    <row r="178" spans="1:13" x14ac:dyDescent="0.25">
      <c r="A178" s="116"/>
      <c r="G178" s="80"/>
      <c r="H178" s="95">
        <v>173</v>
      </c>
      <c r="I178" s="96" t="str">
        <f t="shared" si="10"/>
        <v/>
      </c>
      <c r="J178" s="95" t="e">
        <f t="shared" si="13"/>
        <v>#NUM!</v>
      </c>
      <c r="K178" s="95" t="e">
        <f t="shared" si="11"/>
        <v>#NUM!</v>
      </c>
      <c r="L178" s="95"/>
      <c r="M178" s="97">
        <f t="shared" si="12"/>
        <v>0</v>
      </c>
    </row>
    <row r="179" spans="1:13" x14ac:dyDescent="0.25">
      <c r="A179" s="116"/>
      <c r="G179" s="80"/>
      <c r="H179" s="95">
        <v>174</v>
      </c>
      <c r="I179" s="96" t="str">
        <f t="shared" si="10"/>
        <v/>
      </c>
      <c r="J179" s="95" t="e">
        <f t="shared" si="13"/>
        <v>#NUM!</v>
      </c>
      <c r="K179" s="95" t="e">
        <f t="shared" si="11"/>
        <v>#NUM!</v>
      </c>
      <c r="L179" s="95"/>
      <c r="M179" s="97">
        <f t="shared" si="12"/>
        <v>0</v>
      </c>
    </row>
    <row r="180" spans="1:13" x14ac:dyDescent="0.25">
      <c r="A180" s="116"/>
      <c r="G180" s="80"/>
      <c r="H180" s="95">
        <v>175</v>
      </c>
      <c r="I180" s="96" t="str">
        <f t="shared" si="10"/>
        <v/>
      </c>
      <c r="J180" s="95" t="e">
        <f t="shared" si="13"/>
        <v>#NUM!</v>
      </c>
      <c r="K180" s="95" t="e">
        <f t="shared" si="11"/>
        <v>#NUM!</v>
      </c>
      <c r="L180" s="95"/>
      <c r="M180" s="97">
        <f t="shared" si="12"/>
        <v>0</v>
      </c>
    </row>
    <row r="181" spans="1:13" x14ac:dyDescent="0.25">
      <c r="A181" s="116"/>
      <c r="G181" s="80"/>
      <c r="H181" s="95">
        <v>176</v>
      </c>
      <c r="I181" s="96" t="str">
        <f t="shared" si="10"/>
        <v/>
      </c>
      <c r="J181" s="95" t="e">
        <f t="shared" si="13"/>
        <v>#NUM!</v>
      </c>
      <c r="K181" s="95" t="e">
        <f t="shared" si="11"/>
        <v>#NUM!</v>
      </c>
      <c r="L181" s="95"/>
      <c r="M181" s="97">
        <f t="shared" si="12"/>
        <v>0</v>
      </c>
    </row>
    <row r="182" spans="1:13" x14ac:dyDescent="0.25">
      <c r="A182" s="116"/>
      <c r="G182" s="80"/>
      <c r="H182" s="95">
        <v>177</v>
      </c>
      <c r="I182" s="96" t="str">
        <f t="shared" si="10"/>
        <v/>
      </c>
      <c r="J182" s="95" t="e">
        <f t="shared" si="13"/>
        <v>#NUM!</v>
      </c>
      <c r="K182" s="95" t="e">
        <f t="shared" si="11"/>
        <v>#NUM!</v>
      </c>
      <c r="L182" s="95"/>
      <c r="M182" s="97">
        <f t="shared" si="12"/>
        <v>0</v>
      </c>
    </row>
    <row r="183" spans="1:13" x14ac:dyDescent="0.25">
      <c r="A183" s="116"/>
      <c r="G183" s="80"/>
      <c r="H183" s="95">
        <v>178</v>
      </c>
      <c r="I183" s="96" t="str">
        <f t="shared" si="10"/>
        <v/>
      </c>
      <c r="J183" s="95" t="e">
        <f t="shared" si="13"/>
        <v>#NUM!</v>
      </c>
      <c r="K183" s="95" t="e">
        <f t="shared" si="11"/>
        <v>#NUM!</v>
      </c>
      <c r="L183" s="95"/>
      <c r="M183" s="97">
        <f t="shared" si="12"/>
        <v>0</v>
      </c>
    </row>
    <row r="184" spans="1:13" x14ac:dyDescent="0.25">
      <c r="A184" s="116"/>
      <c r="G184" s="80"/>
      <c r="H184" s="95">
        <v>179</v>
      </c>
      <c r="I184" s="96" t="str">
        <f t="shared" si="10"/>
        <v/>
      </c>
      <c r="J184" s="95" t="e">
        <f t="shared" si="13"/>
        <v>#NUM!</v>
      </c>
      <c r="K184" s="95" t="e">
        <f t="shared" si="11"/>
        <v>#NUM!</v>
      </c>
      <c r="L184" s="95"/>
      <c r="M184" s="97">
        <f t="shared" si="12"/>
        <v>0</v>
      </c>
    </row>
    <row r="185" spans="1:13" x14ac:dyDescent="0.25">
      <c r="A185" s="116"/>
      <c r="G185" s="80"/>
      <c r="H185" s="95">
        <v>180</v>
      </c>
      <c r="I185" s="96" t="str">
        <f t="shared" si="10"/>
        <v/>
      </c>
      <c r="J185" s="95" t="e">
        <f t="shared" si="13"/>
        <v>#NUM!</v>
      </c>
      <c r="K185" s="95" t="e">
        <f t="shared" si="11"/>
        <v>#NUM!</v>
      </c>
      <c r="L185" s="95"/>
      <c r="M185" s="97">
        <f t="shared" si="12"/>
        <v>0</v>
      </c>
    </row>
    <row r="186" spans="1:13" x14ac:dyDescent="0.25">
      <c r="A186" s="116"/>
      <c r="G186" s="80"/>
      <c r="H186" s="95">
        <v>181</v>
      </c>
      <c r="I186" s="96" t="str">
        <f t="shared" si="10"/>
        <v/>
      </c>
      <c r="J186" s="95" t="e">
        <f t="shared" si="13"/>
        <v>#NUM!</v>
      </c>
      <c r="K186" s="95" t="e">
        <f t="shared" si="11"/>
        <v>#NUM!</v>
      </c>
      <c r="L186" s="95"/>
      <c r="M186" s="97">
        <f t="shared" si="12"/>
        <v>0</v>
      </c>
    </row>
    <row r="187" spans="1:13" x14ac:dyDescent="0.25">
      <c r="A187" s="116"/>
      <c r="G187" s="80"/>
      <c r="H187" s="95">
        <v>182</v>
      </c>
      <c r="I187" s="96" t="str">
        <f t="shared" si="10"/>
        <v/>
      </c>
      <c r="J187" s="95" t="e">
        <f t="shared" si="13"/>
        <v>#NUM!</v>
      </c>
      <c r="K187" s="95" t="e">
        <f t="shared" si="11"/>
        <v>#NUM!</v>
      </c>
      <c r="L187" s="95"/>
      <c r="M187" s="97">
        <f t="shared" si="12"/>
        <v>0</v>
      </c>
    </row>
    <row r="188" spans="1:13" x14ac:dyDescent="0.25">
      <c r="A188" s="116"/>
      <c r="G188" s="80"/>
      <c r="H188" s="95">
        <v>183</v>
      </c>
      <c r="I188" s="96" t="str">
        <f t="shared" si="10"/>
        <v/>
      </c>
      <c r="J188" s="95" t="e">
        <f t="shared" si="13"/>
        <v>#NUM!</v>
      </c>
      <c r="K188" s="95" t="e">
        <f t="shared" si="11"/>
        <v>#NUM!</v>
      </c>
      <c r="L188" s="95"/>
      <c r="M188" s="97">
        <f t="shared" si="12"/>
        <v>0</v>
      </c>
    </row>
    <row r="189" spans="1:13" x14ac:dyDescent="0.25">
      <c r="A189" s="116"/>
      <c r="G189" s="80"/>
      <c r="H189" s="95">
        <v>184</v>
      </c>
      <c r="I189" s="96" t="str">
        <f t="shared" si="10"/>
        <v/>
      </c>
      <c r="J189" s="95" t="e">
        <f t="shared" si="13"/>
        <v>#NUM!</v>
      </c>
      <c r="K189" s="95" t="e">
        <f t="shared" si="11"/>
        <v>#NUM!</v>
      </c>
      <c r="L189" s="95"/>
      <c r="M189" s="97">
        <f t="shared" si="12"/>
        <v>0</v>
      </c>
    </row>
    <row r="190" spans="1:13" x14ac:dyDescent="0.25">
      <c r="A190" s="116"/>
      <c r="G190" s="80"/>
      <c r="H190" s="95">
        <v>185</v>
      </c>
      <c r="I190" s="96" t="str">
        <f t="shared" si="10"/>
        <v/>
      </c>
      <c r="J190" s="95" t="e">
        <f t="shared" si="13"/>
        <v>#NUM!</v>
      </c>
      <c r="K190" s="95" t="e">
        <f t="shared" si="11"/>
        <v>#NUM!</v>
      </c>
      <c r="L190" s="95"/>
      <c r="M190" s="97">
        <f t="shared" si="12"/>
        <v>0</v>
      </c>
    </row>
    <row r="191" spans="1:13" x14ac:dyDescent="0.25">
      <c r="A191" s="116"/>
      <c r="G191" s="80"/>
      <c r="H191" s="95">
        <v>186</v>
      </c>
      <c r="I191" s="96" t="str">
        <f t="shared" si="10"/>
        <v/>
      </c>
      <c r="J191" s="95" t="e">
        <f t="shared" si="13"/>
        <v>#NUM!</v>
      </c>
      <c r="K191" s="95" t="e">
        <f t="shared" si="11"/>
        <v>#NUM!</v>
      </c>
      <c r="L191" s="95"/>
      <c r="M191" s="97">
        <f t="shared" si="12"/>
        <v>0</v>
      </c>
    </row>
    <row r="192" spans="1:13" x14ac:dyDescent="0.25">
      <c r="A192" s="116"/>
      <c r="G192" s="80"/>
      <c r="H192" s="95">
        <v>187</v>
      </c>
      <c r="I192" s="96" t="str">
        <f t="shared" si="10"/>
        <v/>
      </c>
      <c r="J192" s="95" t="e">
        <f t="shared" si="13"/>
        <v>#NUM!</v>
      </c>
      <c r="K192" s="95" t="e">
        <f t="shared" si="11"/>
        <v>#NUM!</v>
      </c>
      <c r="L192" s="95"/>
      <c r="M192" s="97">
        <f t="shared" si="12"/>
        <v>0</v>
      </c>
    </row>
    <row r="193" spans="1:13" x14ac:dyDescent="0.25">
      <c r="A193" s="116"/>
      <c r="G193" s="80"/>
      <c r="H193" s="95">
        <v>188</v>
      </c>
      <c r="I193" s="96" t="str">
        <f t="shared" si="10"/>
        <v/>
      </c>
      <c r="J193" s="95" t="e">
        <f t="shared" si="13"/>
        <v>#NUM!</v>
      </c>
      <c r="K193" s="95" t="e">
        <f t="shared" si="11"/>
        <v>#NUM!</v>
      </c>
      <c r="L193" s="95"/>
      <c r="M193" s="97">
        <f t="shared" si="12"/>
        <v>0</v>
      </c>
    </row>
    <row r="194" spans="1:13" x14ac:dyDescent="0.25">
      <c r="A194" s="116"/>
      <c r="G194" s="80"/>
      <c r="H194" s="95">
        <v>189</v>
      </c>
      <c r="I194" s="96" t="str">
        <f t="shared" si="10"/>
        <v/>
      </c>
      <c r="J194" s="95" t="e">
        <f t="shared" si="13"/>
        <v>#NUM!</v>
      </c>
      <c r="K194" s="95" t="e">
        <f t="shared" si="11"/>
        <v>#NUM!</v>
      </c>
      <c r="L194" s="95"/>
      <c r="M194" s="97">
        <f t="shared" si="12"/>
        <v>0</v>
      </c>
    </row>
    <row r="195" spans="1:13" x14ac:dyDescent="0.25">
      <c r="A195" s="116"/>
      <c r="G195" s="80"/>
      <c r="H195" s="95">
        <v>190</v>
      </c>
      <c r="I195" s="96" t="str">
        <f t="shared" si="10"/>
        <v/>
      </c>
      <c r="J195" s="95" t="e">
        <f t="shared" si="13"/>
        <v>#NUM!</v>
      </c>
      <c r="K195" s="95" t="e">
        <f t="shared" si="11"/>
        <v>#NUM!</v>
      </c>
      <c r="L195" s="95"/>
      <c r="M195" s="97">
        <f t="shared" si="12"/>
        <v>0</v>
      </c>
    </row>
    <row r="196" spans="1:13" x14ac:dyDescent="0.25">
      <c r="A196" s="116"/>
      <c r="G196" s="80"/>
      <c r="H196" s="95">
        <v>191</v>
      </c>
      <c r="I196" s="96" t="str">
        <f t="shared" si="10"/>
        <v/>
      </c>
      <c r="J196" s="95" t="e">
        <f t="shared" si="13"/>
        <v>#NUM!</v>
      </c>
      <c r="K196" s="95" t="e">
        <f t="shared" si="11"/>
        <v>#NUM!</v>
      </c>
      <c r="L196" s="95"/>
      <c r="M196" s="97">
        <f t="shared" si="12"/>
        <v>0</v>
      </c>
    </row>
    <row r="197" spans="1:13" x14ac:dyDescent="0.25">
      <c r="A197" s="116"/>
      <c r="G197" s="80"/>
      <c r="H197" s="95">
        <v>192</v>
      </c>
      <c r="I197" s="96" t="str">
        <f t="shared" si="10"/>
        <v/>
      </c>
      <c r="J197" s="95" t="e">
        <f t="shared" si="13"/>
        <v>#NUM!</v>
      </c>
      <c r="K197" s="95" t="e">
        <f t="shared" si="11"/>
        <v>#NUM!</v>
      </c>
      <c r="L197" s="95"/>
      <c r="M197" s="97">
        <f t="shared" si="12"/>
        <v>0</v>
      </c>
    </row>
    <row r="198" spans="1:13" x14ac:dyDescent="0.25">
      <c r="A198" s="116"/>
      <c r="G198" s="80"/>
      <c r="H198" s="95">
        <v>193</v>
      </c>
      <c r="I198" s="96" t="str">
        <f t="shared" ref="I198:I261" si="14">IF(H198&lt;$H$2+1,($I$2-($I$2-1)*(LOG(H198)/LOG($H$2))),"")</f>
        <v/>
      </c>
      <c r="J198" s="95" t="e">
        <f t="shared" si="13"/>
        <v>#NUM!</v>
      </c>
      <c r="K198" s="95" t="e">
        <f t="shared" ref="K198:K261" si="15">J198*$J$2</f>
        <v>#NUM!</v>
      </c>
      <c r="L198" s="95"/>
      <c r="M198" s="97">
        <f t="shared" ref="M198:M261" si="16">IF(I198&lt;&gt;"",K198+I198+L198,0)</f>
        <v>0</v>
      </c>
    </row>
    <row r="199" spans="1:13" x14ac:dyDescent="0.25">
      <c r="A199" s="116"/>
      <c r="G199" s="80"/>
      <c r="H199" s="95">
        <v>194</v>
      </c>
      <c r="I199" s="96" t="str">
        <f t="shared" si="14"/>
        <v/>
      </c>
      <c r="J199" s="95" t="e">
        <f t="shared" ref="J199:J262" si="17">INT(LOG($H$2,2))-ROUNDUP(LOG(H199,2),0)+IF(OR($H$2=1,$H$2=2,$H$2=4,$H$2=8,$H$2=16,$H$2=32,$H$2=64,$H$2=128,$H$2=256),0,1)</f>
        <v>#NUM!</v>
      </c>
      <c r="K199" s="95" t="e">
        <f t="shared" si="15"/>
        <v>#NUM!</v>
      </c>
      <c r="L199" s="95"/>
      <c r="M199" s="97">
        <f t="shared" si="16"/>
        <v>0</v>
      </c>
    </row>
    <row r="200" spans="1:13" x14ac:dyDescent="0.25">
      <c r="A200" s="116"/>
      <c r="G200" s="80"/>
      <c r="H200" s="95">
        <v>195</v>
      </c>
      <c r="I200" s="96" t="str">
        <f t="shared" si="14"/>
        <v/>
      </c>
      <c r="J200" s="95" t="e">
        <f t="shared" si="17"/>
        <v>#NUM!</v>
      </c>
      <c r="K200" s="95" t="e">
        <f t="shared" si="15"/>
        <v>#NUM!</v>
      </c>
      <c r="L200" s="95"/>
      <c r="M200" s="97">
        <f t="shared" si="16"/>
        <v>0</v>
      </c>
    </row>
    <row r="201" spans="1:13" x14ac:dyDescent="0.25">
      <c r="A201" s="116"/>
      <c r="G201" s="80"/>
      <c r="H201" s="95">
        <v>196</v>
      </c>
      <c r="I201" s="96" t="str">
        <f t="shared" si="14"/>
        <v/>
      </c>
      <c r="J201" s="95" t="e">
        <f t="shared" si="17"/>
        <v>#NUM!</v>
      </c>
      <c r="K201" s="95" t="e">
        <f t="shared" si="15"/>
        <v>#NUM!</v>
      </c>
      <c r="L201" s="95"/>
      <c r="M201" s="97">
        <f t="shared" si="16"/>
        <v>0</v>
      </c>
    </row>
    <row r="202" spans="1:13" x14ac:dyDescent="0.25">
      <c r="A202" s="116"/>
      <c r="G202" s="80"/>
      <c r="H202" s="95">
        <v>197</v>
      </c>
      <c r="I202" s="96" t="str">
        <f t="shared" si="14"/>
        <v/>
      </c>
      <c r="J202" s="95" t="e">
        <f t="shared" si="17"/>
        <v>#NUM!</v>
      </c>
      <c r="K202" s="95" t="e">
        <f t="shared" si="15"/>
        <v>#NUM!</v>
      </c>
      <c r="L202" s="95"/>
      <c r="M202" s="97">
        <f t="shared" si="16"/>
        <v>0</v>
      </c>
    </row>
    <row r="203" spans="1:13" x14ac:dyDescent="0.25">
      <c r="A203" s="116"/>
      <c r="G203" s="80"/>
      <c r="H203" s="95">
        <v>198</v>
      </c>
      <c r="I203" s="96" t="str">
        <f t="shared" si="14"/>
        <v/>
      </c>
      <c r="J203" s="95" t="e">
        <f t="shared" si="17"/>
        <v>#NUM!</v>
      </c>
      <c r="K203" s="95" t="e">
        <f t="shared" si="15"/>
        <v>#NUM!</v>
      </c>
      <c r="L203" s="95"/>
      <c r="M203" s="97">
        <f t="shared" si="16"/>
        <v>0</v>
      </c>
    </row>
    <row r="204" spans="1:13" x14ac:dyDescent="0.25">
      <c r="A204" s="116"/>
      <c r="G204" s="80"/>
      <c r="H204" s="95">
        <v>199</v>
      </c>
      <c r="I204" s="96" t="str">
        <f t="shared" si="14"/>
        <v/>
      </c>
      <c r="J204" s="95" t="e">
        <f t="shared" si="17"/>
        <v>#NUM!</v>
      </c>
      <c r="K204" s="95" t="e">
        <f t="shared" si="15"/>
        <v>#NUM!</v>
      </c>
      <c r="L204" s="95"/>
      <c r="M204" s="97">
        <f t="shared" si="16"/>
        <v>0</v>
      </c>
    </row>
    <row r="205" spans="1:13" x14ac:dyDescent="0.25">
      <c r="A205" s="116"/>
      <c r="G205" s="80"/>
      <c r="H205" s="95">
        <v>200</v>
      </c>
      <c r="I205" s="96" t="str">
        <f t="shared" si="14"/>
        <v/>
      </c>
      <c r="J205" s="95" t="e">
        <f t="shared" si="17"/>
        <v>#NUM!</v>
      </c>
      <c r="K205" s="95" t="e">
        <f t="shared" si="15"/>
        <v>#NUM!</v>
      </c>
      <c r="L205" s="95"/>
      <c r="M205" s="97">
        <f t="shared" si="16"/>
        <v>0</v>
      </c>
    </row>
    <row r="206" spans="1:13" x14ac:dyDescent="0.25">
      <c r="A206" s="116"/>
      <c r="G206" s="80"/>
      <c r="H206" s="95">
        <v>201</v>
      </c>
      <c r="I206" s="96" t="str">
        <f t="shared" si="14"/>
        <v/>
      </c>
      <c r="J206" s="95" t="e">
        <f t="shared" si="17"/>
        <v>#NUM!</v>
      </c>
      <c r="K206" s="95" t="e">
        <f t="shared" si="15"/>
        <v>#NUM!</v>
      </c>
      <c r="L206" s="95"/>
      <c r="M206" s="97">
        <f t="shared" si="16"/>
        <v>0</v>
      </c>
    </row>
    <row r="207" spans="1:13" x14ac:dyDescent="0.25">
      <c r="A207" s="116"/>
      <c r="G207" s="80"/>
      <c r="H207" s="95">
        <v>202</v>
      </c>
      <c r="I207" s="96" t="str">
        <f t="shared" si="14"/>
        <v/>
      </c>
      <c r="J207" s="95" t="e">
        <f t="shared" si="17"/>
        <v>#NUM!</v>
      </c>
      <c r="K207" s="95" t="e">
        <f t="shared" si="15"/>
        <v>#NUM!</v>
      </c>
      <c r="L207" s="95"/>
      <c r="M207" s="97">
        <f t="shared" si="16"/>
        <v>0</v>
      </c>
    </row>
    <row r="208" spans="1:13" x14ac:dyDescent="0.25">
      <c r="A208" s="116"/>
      <c r="G208" s="80"/>
      <c r="H208" s="95">
        <v>203</v>
      </c>
      <c r="I208" s="96" t="str">
        <f t="shared" si="14"/>
        <v/>
      </c>
      <c r="J208" s="95" t="e">
        <f t="shared" si="17"/>
        <v>#NUM!</v>
      </c>
      <c r="K208" s="95" t="e">
        <f t="shared" si="15"/>
        <v>#NUM!</v>
      </c>
      <c r="L208" s="95"/>
      <c r="M208" s="97">
        <f t="shared" si="16"/>
        <v>0</v>
      </c>
    </row>
    <row r="209" spans="1:13" x14ac:dyDescent="0.25">
      <c r="A209" s="116"/>
      <c r="G209" s="80"/>
      <c r="H209" s="95">
        <v>204</v>
      </c>
      <c r="I209" s="96" t="str">
        <f t="shared" si="14"/>
        <v/>
      </c>
      <c r="J209" s="95" t="e">
        <f t="shared" si="17"/>
        <v>#NUM!</v>
      </c>
      <c r="K209" s="95" t="e">
        <f t="shared" si="15"/>
        <v>#NUM!</v>
      </c>
      <c r="L209" s="95"/>
      <c r="M209" s="97">
        <f t="shared" si="16"/>
        <v>0</v>
      </c>
    </row>
    <row r="210" spans="1:13" x14ac:dyDescent="0.25">
      <c r="A210" s="116"/>
      <c r="G210" s="80"/>
      <c r="H210" s="95">
        <v>205</v>
      </c>
      <c r="I210" s="96" t="str">
        <f t="shared" si="14"/>
        <v/>
      </c>
      <c r="J210" s="95" t="e">
        <f t="shared" si="17"/>
        <v>#NUM!</v>
      </c>
      <c r="K210" s="95" t="e">
        <f t="shared" si="15"/>
        <v>#NUM!</v>
      </c>
      <c r="L210" s="95"/>
      <c r="M210" s="97">
        <f t="shared" si="16"/>
        <v>0</v>
      </c>
    </row>
    <row r="211" spans="1:13" x14ac:dyDescent="0.25">
      <c r="A211" s="116"/>
      <c r="G211" s="80"/>
      <c r="H211" s="95">
        <v>206</v>
      </c>
      <c r="I211" s="96" t="str">
        <f t="shared" si="14"/>
        <v/>
      </c>
      <c r="J211" s="95" t="e">
        <f t="shared" si="17"/>
        <v>#NUM!</v>
      </c>
      <c r="K211" s="95" t="e">
        <f t="shared" si="15"/>
        <v>#NUM!</v>
      </c>
      <c r="L211" s="95"/>
      <c r="M211" s="97">
        <f t="shared" si="16"/>
        <v>0</v>
      </c>
    </row>
    <row r="212" spans="1:13" x14ac:dyDescent="0.25">
      <c r="A212" s="116"/>
      <c r="G212" s="80"/>
      <c r="H212" s="95">
        <v>207</v>
      </c>
      <c r="I212" s="96" t="str">
        <f t="shared" si="14"/>
        <v/>
      </c>
      <c r="J212" s="95" t="e">
        <f t="shared" si="17"/>
        <v>#NUM!</v>
      </c>
      <c r="K212" s="95" t="e">
        <f t="shared" si="15"/>
        <v>#NUM!</v>
      </c>
      <c r="L212" s="95"/>
      <c r="M212" s="97">
        <f t="shared" si="16"/>
        <v>0</v>
      </c>
    </row>
    <row r="213" spans="1:13" x14ac:dyDescent="0.25">
      <c r="A213" s="116"/>
      <c r="G213" s="80"/>
      <c r="H213" s="95">
        <v>208</v>
      </c>
      <c r="I213" s="96" t="str">
        <f t="shared" si="14"/>
        <v/>
      </c>
      <c r="J213" s="95" t="e">
        <f t="shared" si="17"/>
        <v>#NUM!</v>
      </c>
      <c r="K213" s="95" t="e">
        <f t="shared" si="15"/>
        <v>#NUM!</v>
      </c>
      <c r="L213" s="95"/>
      <c r="M213" s="97">
        <f t="shared" si="16"/>
        <v>0</v>
      </c>
    </row>
    <row r="214" spans="1:13" x14ac:dyDescent="0.25">
      <c r="A214" s="116"/>
      <c r="G214" s="80"/>
      <c r="H214" s="95">
        <v>209</v>
      </c>
      <c r="I214" s="96" t="str">
        <f t="shared" si="14"/>
        <v/>
      </c>
      <c r="J214" s="95" t="e">
        <f t="shared" si="17"/>
        <v>#NUM!</v>
      </c>
      <c r="K214" s="95" t="e">
        <f t="shared" si="15"/>
        <v>#NUM!</v>
      </c>
      <c r="L214" s="95"/>
      <c r="M214" s="97">
        <f t="shared" si="16"/>
        <v>0</v>
      </c>
    </row>
    <row r="215" spans="1:13" x14ac:dyDescent="0.25">
      <c r="A215" s="116"/>
      <c r="G215" s="80"/>
      <c r="H215" s="95">
        <v>210</v>
      </c>
      <c r="I215" s="96" t="str">
        <f t="shared" si="14"/>
        <v/>
      </c>
      <c r="J215" s="95" t="e">
        <f t="shared" si="17"/>
        <v>#NUM!</v>
      </c>
      <c r="K215" s="95" t="e">
        <f t="shared" si="15"/>
        <v>#NUM!</v>
      </c>
      <c r="L215" s="95"/>
      <c r="M215" s="97">
        <f t="shared" si="16"/>
        <v>0</v>
      </c>
    </row>
    <row r="216" spans="1:13" x14ac:dyDescent="0.25">
      <c r="A216" s="116"/>
      <c r="G216" s="80"/>
      <c r="H216" s="95">
        <v>211</v>
      </c>
      <c r="I216" s="96" t="str">
        <f t="shared" si="14"/>
        <v/>
      </c>
      <c r="J216" s="95" t="e">
        <f t="shared" si="17"/>
        <v>#NUM!</v>
      </c>
      <c r="K216" s="95" t="e">
        <f t="shared" si="15"/>
        <v>#NUM!</v>
      </c>
      <c r="L216" s="95"/>
      <c r="M216" s="97">
        <f t="shared" si="16"/>
        <v>0</v>
      </c>
    </row>
    <row r="217" spans="1:13" x14ac:dyDescent="0.25">
      <c r="A217" s="116"/>
      <c r="G217" s="80"/>
      <c r="H217" s="95">
        <v>212</v>
      </c>
      <c r="I217" s="96" t="str">
        <f t="shared" si="14"/>
        <v/>
      </c>
      <c r="J217" s="95" t="e">
        <f t="shared" si="17"/>
        <v>#NUM!</v>
      </c>
      <c r="K217" s="95" t="e">
        <f t="shared" si="15"/>
        <v>#NUM!</v>
      </c>
      <c r="L217" s="95"/>
      <c r="M217" s="97">
        <f t="shared" si="16"/>
        <v>0</v>
      </c>
    </row>
    <row r="218" spans="1:13" x14ac:dyDescent="0.25">
      <c r="A218" s="116"/>
      <c r="G218" s="80"/>
      <c r="H218" s="95">
        <v>213</v>
      </c>
      <c r="I218" s="96" t="str">
        <f t="shared" si="14"/>
        <v/>
      </c>
      <c r="J218" s="95" t="e">
        <f t="shared" si="17"/>
        <v>#NUM!</v>
      </c>
      <c r="K218" s="95" t="e">
        <f t="shared" si="15"/>
        <v>#NUM!</v>
      </c>
      <c r="L218" s="95"/>
      <c r="M218" s="97">
        <f t="shared" si="16"/>
        <v>0</v>
      </c>
    </row>
    <row r="219" spans="1:13" x14ac:dyDescent="0.25">
      <c r="A219" s="116"/>
      <c r="G219" s="80"/>
      <c r="H219" s="95">
        <v>214</v>
      </c>
      <c r="I219" s="96" t="str">
        <f t="shared" si="14"/>
        <v/>
      </c>
      <c r="J219" s="95" t="e">
        <f t="shared" si="17"/>
        <v>#NUM!</v>
      </c>
      <c r="K219" s="95" t="e">
        <f t="shared" si="15"/>
        <v>#NUM!</v>
      </c>
      <c r="L219" s="95"/>
      <c r="M219" s="97">
        <f t="shared" si="16"/>
        <v>0</v>
      </c>
    </row>
    <row r="220" spans="1:13" x14ac:dyDescent="0.25">
      <c r="A220" s="116"/>
      <c r="G220" s="80"/>
      <c r="H220" s="95">
        <v>215</v>
      </c>
      <c r="I220" s="96" t="str">
        <f t="shared" si="14"/>
        <v/>
      </c>
      <c r="J220" s="95" t="e">
        <f t="shared" si="17"/>
        <v>#NUM!</v>
      </c>
      <c r="K220" s="95" t="e">
        <f t="shared" si="15"/>
        <v>#NUM!</v>
      </c>
      <c r="L220" s="95"/>
      <c r="M220" s="97">
        <f t="shared" si="16"/>
        <v>0</v>
      </c>
    </row>
    <row r="221" spans="1:13" x14ac:dyDescent="0.25">
      <c r="A221" s="116"/>
      <c r="G221" s="80"/>
      <c r="H221" s="95">
        <v>216</v>
      </c>
      <c r="I221" s="96" t="str">
        <f t="shared" si="14"/>
        <v/>
      </c>
      <c r="J221" s="95" t="e">
        <f t="shared" si="17"/>
        <v>#NUM!</v>
      </c>
      <c r="K221" s="95" t="e">
        <f t="shared" si="15"/>
        <v>#NUM!</v>
      </c>
      <c r="L221" s="95"/>
      <c r="M221" s="97">
        <f t="shared" si="16"/>
        <v>0</v>
      </c>
    </row>
    <row r="222" spans="1:13" x14ac:dyDescent="0.25">
      <c r="A222" s="116"/>
      <c r="G222" s="80"/>
      <c r="H222" s="95">
        <v>217</v>
      </c>
      <c r="I222" s="96" t="str">
        <f t="shared" si="14"/>
        <v/>
      </c>
      <c r="J222" s="95" t="e">
        <f t="shared" si="17"/>
        <v>#NUM!</v>
      </c>
      <c r="K222" s="95" t="e">
        <f t="shared" si="15"/>
        <v>#NUM!</v>
      </c>
      <c r="L222" s="95"/>
      <c r="M222" s="97">
        <f t="shared" si="16"/>
        <v>0</v>
      </c>
    </row>
    <row r="223" spans="1:13" x14ac:dyDescent="0.25">
      <c r="A223" s="116"/>
      <c r="G223" s="80"/>
      <c r="H223" s="95">
        <v>218</v>
      </c>
      <c r="I223" s="96" t="str">
        <f t="shared" si="14"/>
        <v/>
      </c>
      <c r="J223" s="95" t="e">
        <f t="shared" si="17"/>
        <v>#NUM!</v>
      </c>
      <c r="K223" s="95" t="e">
        <f t="shared" si="15"/>
        <v>#NUM!</v>
      </c>
      <c r="L223" s="95"/>
      <c r="M223" s="97">
        <f t="shared" si="16"/>
        <v>0</v>
      </c>
    </row>
    <row r="224" spans="1:13" x14ac:dyDescent="0.25">
      <c r="A224" s="116"/>
      <c r="G224" s="80"/>
      <c r="H224" s="95">
        <v>219</v>
      </c>
      <c r="I224" s="96" t="str">
        <f t="shared" si="14"/>
        <v/>
      </c>
      <c r="J224" s="95" t="e">
        <f t="shared" si="17"/>
        <v>#NUM!</v>
      </c>
      <c r="K224" s="95" t="e">
        <f t="shared" si="15"/>
        <v>#NUM!</v>
      </c>
      <c r="L224" s="95"/>
      <c r="M224" s="97">
        <f t="shared" si="16"/>
        <v>0</v>
      </c>
    </row>
    <row r="225" spans="1:13" x14ac:dyDescent="0.25">
      <c r="A225" s="116"/>
      <c r="G225" s="80"/>
      <c r="H225" s="95">
        <v>220</v>
      </c>
      <c r="I225" s="96" t="str">
        <f t="shared" si="14"/>
        <v/>
      </c>
      <c r="J225" s="95" t="e">
        <f t="shared" si="17"/>
        <v>#NUM!</v>
      </c>
      <c r="K225" s="95" t="e">
        <f t="shared" si="15"/>
        <v>#NUM!</v>
      </c>
      <c r="L225" s="95"/>
      <c r="M225" s="97">
        <f t="shared" si="16"/>
        <v>0</v>
      </c>
    </row>
    <row r="226" spans="1:13" x14ac:dyDescent="0.25">
      <c r="A226" s="116"/>
      <c r="G226" s="80"/>
      <c r="H226" s="95">
        <v>221</v>
      </c>
      <c r="I226" s="96" t="str">
        <f t="shared" si="14"/>
        <v/>
      </c>
      <c r="J226" s="95" t="e">
        <f t="shared" si="17"/>
        <v>#NUM!</v>
      </c>
      <c r="K226" s="95" t="e">
        <f t="shared" si="15"/>
        <v>#NUM!</v>
      </c>
      <c r="L226" s="95"/>
      <c r="M226" s="97">
        <f t="shared" si="16"/>
        <v>0</v>
      </c>
    </row>
    <row r="227" spans="1:13" x14ac:dyDescent="0.25">
      <c r="A227" s="116"/>
      <c r="G227" s="80"/>
      <c r="H227" s="95">
        <v>222</v>
      </c>
      <c r="I227" s="96" t="str">
        <f t="shared" si="14"/>
        <v/>
      </c>
      <c r="J227" s="95" t="e">
        <f t="shared" si="17"/>
        <v>#NUM!</v>
      </c>
      <c r="K227" s="95" t="e">
        <f t="shared" si="15"/>
        <v>#NUM!</v>
      </c>
      <c r="L227" s="95"/>
      <c r="M227" s="97">
        <f t="shared" si="16"/>
        <v>0</v>
      </c>
    </row>
    <row r="228" spans="1:13" x14ac:dyDescent="0.25">
      <c r="A228" s="116"/>
      <c r="G228" s="80"/>
      <c r="H228" s="95">
        <v>223</v>
      </c>
      <c r="I228" s="96" t="str">
        <f t="shared" si="14"/>
        <v/>
      </c>
      <c r="J228" s="95" t="e">
        <f t="shared" si="17"/>
        <v>#NUM!</v>
      </c>
      <c r="K228" s="95" t="e">
        <f t="shared" si="15"/>
        <v>#NUM!</v>
      </c>
      <c r="L228" s="95"/>
      <c r="M228" s="97">
        <f t="shared" si="16"/>
        <v>0</v>
      </c>
    </row>
    <row r="229" spans="1:13" x14ac:dyDescent="0.25">
      <c r="A229" s="116"/>
      <c r="G229" s="80"/>
      <c r="H229" s="95">
        <v>224</v>
      </c>
      <c r="I229" s="96" t="str">
        <f t="shared" si="14"/>
        <v/>
      </c>
      <c r="J229" s="95" t="e">
        <f t="shared" si="17"/>
        <v>#NUM!</v>
      </c>
      <c r="K229" s="95" t="e">
        <f t="shared" si="15"/>
        <v>#NUM!</v>
      </c>
      <c r="L229" s="95"/>
      <c r="M229" s="97">
        <f t="shared" si="16"/>
        <v>0</v>
      </c>
    </row>
    <row r="230" spans="1:13" x14ac:dyDescent="0.25">
      <c r="A230" s="116"/>
      <c r="G230" s="80"/>
      <c r="H230" s="95">
        <v>225</v>
      </c>
      <c r="I230" s="96" t="str">
        <f t="shared" si="14"/>
        <v/>
      </c>
      <c r="J230" s="95" t="e">
        <f t="shared" si="17"/>
        <v>#NUM!</v>
      </c>
      <c r="K230" s="95" t="e">
        <f t="shared" si="15"/>
        <v>#NUM!</v>
      </c>
      <c r="L230" s="95"/>
      <c r="M230" s="97">
        <f t="shared" si="16"/>
        <v>0</v>
      </c>
    </row>
    <row r="231" spans="1:13" x14ac:dyDescent="0.25">
      <c r="A231" s="116"/>
      <c r="G231" s="80"/>
      <c r="H231" s="95">
        <v>226</v>
      </c>
      <c r="I231" s="96" t="str">
        <f t="shared" si="14"/>
        <v/>
      </c>
      <c r="J231" s="95" t="e">
        <f t="shared" si="17"/>
        <v>#NUM!</v>
      </c>
      <c r="K231" s="95" t="e">
        <f t="shared" si="15"/>
        <v>#NUM!</v>
      </c>
      <c r="L231" s="95"/>
      <c r="M231" s="97">
        <f t="shared" si="16"/>
        <v>0</v>
      </c>
    </row>
    <row r="232" spans="1:13" x14ac:dyDescent="0.25">
      <c r="A232" s="116"/>
      <c r="G232" s="80"/>
      <c r="H232" s="95">
        <v>227</v>
      </c>
      <c r="I232" s="96" t="str">
        <f t="shared" si="14"/>
        <v/>
      </c>
      <c r="J232" s="95" t="e">
        <f t="shared" si="17"/>
        <v>#NUM!</v>
      </c>
      <c r="K232" s="95" t="e">
        <f t="shared" si="15"/>
        <v>#NUM!</v>
      </c>
      <c r="L232" s="95"/>
      <c r="M232" s="97">
        <f t="shared" si="16"/>
        <v>0</v>
      </c>
    </row>
    <row r="233" spans="1:13" x14ac:dyDescent="0.25">
      <c r="A233" s="116"/>
      <c r="G233" s="80"/>
      <c r="H233" s="95">
        <v>228</v>
      </c>
      <c r="I233" s="96" t="str">
        <f t="shared" si="14"/>
        <v/>
      </c>
      <c r="J233" s="95" t="e">
        <f t="shared" si="17"/>
        <v>#NUM!</v>
      </c>
      <c r="K233" s="95" t="e">
        <f t="shared" si="15"/>
        <v>#NUM!</v>
      </c>
      <c r="L233" s="95"/>
      <c r="M233" s="97">
        <f t="shared" si="16"/>
        <v>0</v>
      </c>
    </row>
    <row r="234" spans="1:13" x14ac:dyDescent="0.25">
      <c r="A234" s="116"/>
      <c r="G234" s="80"/>
      <c r="H234" s="95">
        <v>229</v>
      </c>
      <c r="I234" s="96" t="str">
        <f t="shared" si="14"/>
        <v/>
      </c>
      <c r="J234" s="95" t="e">
        <f t="shared" si="17"/>
        <v>#NUM!</v>
      </c>
      <c r="K234" s="95" t="e">
        <f t="shared" si="15"/>
        <v>#NUM!</v>
      </c>
      <c r="L234" s="95"/>
      <c r="M234" s="97">
        <f t="shared" si="16"/>
        <v>0</v>
      </c>
    </row>
    <row r="235" spans="1:13" x14ac:dyDescent="0.25">
      <c r="A235" s="116"/>
      <c r="G235" s="80"/>
      <c r="H235" s="95">
        <v>230</v>
      </c>
      <c r="I235" s="96" t="str">
        <f t="shared" si="14"/>
        <v/>
      </c>
      <c r="J235" s="95" t="e">
        <f t="shared" si="17"/>
        <v>#NUM!</v>
      </c>
      <c r="K235" s="95" t="e">
        <f t="shared" si="15"/>
        <v>#NUM!</v>
      </c>
      <c r="L235" s="95"/>
      <c r="M235" s="97">
        <f t="shared" si="16"/>
        <v>0</v>
      </c>
    </row>
    <row r="236" spans="1:13" x14ac:dyDescent="0.25">
      <c r="A236" s="116"/>
      <c r="G236" s="80"/>
      <c r="H236" s="95">
        <v>231</v>
      </c>
      <c r="I236" s="96" t="str">
        <f t="shared" si="14"/>
        <v/>
      </c>
      <c r="J236" s="95" t="e">
        <f t="shared" si="17"/>
        <v>#NUM!</v>
      </c>
      <c r="K236" s="95" t="e">
        <f t="shared" si="15"/>
        <v>#NUM!</v>
      </c>
      <c r="L236" s="95"/>
      <c r="M236" s="97">
        <f t="shared" si="16"/>
        <v>0</v>
      </c>
    </row>
    <row r="237" spans="1:13" x14ac:dyDescent="0.25">
      <c r="A237" s="116"/>
      <c r="G237" s="80"/>
      <c r="H237" s="95">
        <v>232</v>
      </c>
      <c r="I237" s="96" t="str">
        <f t="shared" si="14"/>
        <v/>
      </c>
      <c r="J237" s="95" t="e">
        <f t="shared" si="17"/>
        <v>#NUM!</v>
      </c>
      <c r="K237" s="95" t="e">
        <f t="shared" si="15"/>
        <v>#NUM!</v>
      </c>
      <c r="L237" s="95"/>
      <c r="M237" s="97">
        <f t="shared" si="16"/>
        <v>0</v>
      </c>
    </row>
    <row r="238" spans="1:13" x14ac:dyDescent="0.25">
      <c r="A238" s="116"/>
      <c r="G238" s="80"/>
      <c r="H238" s="95">
        <v>233</v>
      </c>
      <c r="I238" s="96" t="str">
        <f t="shared" si="14"/>
        <v/>
      </c>
      <c r="J238" s="95" t="e">
        <f t="shared" si="17"/>
        <v>#NUM!</v>
      </c>
      <c r="K238" s="95" t="e">
        <f t="shared" si="15"/>
        <v>#NUM!</v>
      </c>
      <c r="L238" s="95"/>
      <c r="M238" s="97">
        <f t="shared" si="16"/>
        <v>0</v>
      </c>
    </row>
    <row r="239" spans="1:13" x14ac:dyDescent="0.25">
      <c r="A239" s="116"/>
      <c r="G239" s="80"/>
      <c r="H239" s="95">
        <v>234</v>
      </c>
      <c r="I239" s="96" t="str">
        <f t="shared" si="14"/>
        <v/>
      </c>
      <c r="J239" s="95" t="e">
        <f t="shared" si="17"/>
        <v>#NUM!</v>
      </c>
      <c r="K239" s="95" t="e">
        <f t="shared" si="15"/>
        <v>#NUM!</v>
      </c>
      <c r="L239" s="95"/>
      <c r="M239" s="97">
        <f t="shared" si="16"/>
        <v>0</v>
      </c>
    </row>
    <row r="240" spans="1:13" x14ac:dyDescent="0.25">
      <c r="A240" s="116"/>
      <c r="G240" s="80"/>
      <c r="H240" s="95">
        <v>235</v>
      </c>
      <c r="I240" s="96" t="str">
        <f t="shared" si="14"/>
        <v/>
      </c>
      <c r="J240" s="95" t="e">
        <f t="shared" si="17"/>
        <v>#NUM!</v>
      </c>
      <c r="K240" s="95" t="e">
        <f t="shared" si="15"/>
        <v>#NUM!</v>
      </c>
      <c r="L240" s="95"/>
      <c r="M240" s="97">
        <f t="shared" si="16"/>
        <v>0</v>
      </c>
    </row>
    <row r="241" spans="1:13" x14ac:dyDescent="0.25">
      <c r="A241" s="116"/>
      <c r="G241" s="80"/>
      <c r="H241" s="95">
        <v>236</v>
      </c>
      <c r="I241" s="96" t="str">
        <f t="shared" si="14"/>
        <v/>
      </c>
      <c r="J241" s="95" t="e">
        <f t="shared" si="17"/>
        <v>#NUM!</v>
      </c>
      <c r="K241" s="95" t="e">
        <f t="shared" si="15"/>
        <v>#NUM!</v>
      </c>
      <c r="L241" s="95"/>
      <c r="M241" s="97">
        <f t="shared" si="16"/>
        <v>0</v>
      </c>
    </row>
    <row r="242" spans="1:13" x14ac:dyDescent="0.25">
      <c r="A242" s="116"/>
      <c r="G242" s="80"/>
      <c r="H242" s="95">
        <v>237</v>
      </c>
      <c r="I242" s="96" t="str">
        <f t="shared" si="14"/>
        <v/>
      </c>
      <c r="J242" s="95" t="e">
        <f t="shared" si="17"/>
        <v>#NUM!</v>
      </c>
      <c r="K242" s="95" t="e">
        <f t="shared" si="15"/>
        <v>#NUM!</v>
      </c>
      <c r="L242" s="95"/>
      <c r="M242" s="97">
        <f t="shared" si="16"/>
        <v>0</v>
      </c>
    </row>
    <row r="243" spans="1:13" x14ac:dyDescent="0.25">
      <c r="A243" s="116"/>
      <c r="G243" s="80"/>
      <c r="H243" s="95">
        <v>238</v>
      </c>
      <c r="I243" s="96" t="str">
        <f t="shared" si="14"/>
        <v/>
      </c>
      <c r="J243" s="95" t="e">
        <f t="shared" si="17"/>
        <v>#NUM!</v>
      </c>
      <c r="K243" s="95" t="e">
        <f t="shared" si="15"/>
        <v>#NUM!</v>
      </c>
      <c r="L243" s="95"/>
      <c r="M243" s="97">
        <f t="shared" si="16"/>
        <v>0</v>
      </c>
    </row>
    <row r="244" spans="1:13" x14ac:dyDescent="0.25">
      <c r="A244" s="116"/>
      <c r="G244" s="80"/>
      <c r="H244" s="95">
        <v>239</v>
      </c>
      <c r="I244" s="96" t="str">
        <f t="shared" si="14"/>
        <v/>
      </c>
      <c r="J244" s="95" t="e">
        <f t="shared" si="17"/>
        <v>#NUM!</v>
      </c>
      <c r="K244" s="95" t="e">
        <f t="shared" si="15"/>
        <v>#NUM!</v>
      </c>
      <c r="L244" s="95"/>
      <c r="M244" s="97">
        <f t="shared" si="16"/>
        <v>0</v>
      </c>
    </row>
    <row r="245" spans="1:13" x14ac:dyDescent="0.25">
      <c r="A245" s="116"/>
      <c r="G245" s="80"/>
      <c r="H245" s="95">
        <v>240</v>
      </c>
      <c r="I245" s="96" t="str">
        <f t="shared" si="14"/>
        <v/>
      </c>
      <c r="J245" s="95" t="e">
        <f t="shared" si="17"/>
        <v>#NUM!</v>
      </c>
      <c r="K245" s="95" t="e">
        <f t="shared" si="15"/>
        <v>#NUM!</v>
      </c>
      <c r="L245" s="95"/>
      <c r="M245" s="97">
        <f t="shared" si="16"/>
        <v>0</v>
      </c>
    </row>
    <row r="246" spans="1:13" x14ac:dyDescent="0.25">
      <c r="A246" s="116"/>
      <c r="G246" s="80"/>
      <c r="H246" s="95">
        <v>241</v>
      </c>
      <c r="I246" s="96" t="str">
        <f t="shared" si="14"/>
        <v/>
      </c>
      <c r="J246" s="95" t="e">
        <f t="shared" si="17"/>
        <v>#NUM!</v>
      </c>
      <c r="K246" s="95" t="e">
        <f t="shared" si="15"/>
        <v>#NUM!</v>
      </c>
      <c r="L246" s="95"/>
      <c r="M246" s="97">
        <f t="shared" si="16"/>
        <v>0</v>
      </c>
    </row>
    <row r="247" spans="1:13" x14ac:dyDescent="0.25">
      <c r="A247" s="116"/>
      <c r="G247" s="80"/>
      <c r="H247" s="95">
        <v>242</v>
      </c>
      <c r="I247" s="96" t="str">
        <f t="shared" si="14"/>
        <v/>
      </c>
      <c r="J247" s="95" t="e">
        <f t="shared" si="17"/>
        <v>#NUM!</v>
      </c>
      <c r="K247" s="95" t="e">
        <f t="shared" si="15"/>
        <v>#NUM!</v>
      </c>
      <c r="L247" s="95"/>
      <c r="M247" s="97">
        <f t="shared" si="16"/>
        <v>0</v>
      </c>
    </row>
    <row r="248" spans="1:13" x14ac:dyDescent="0.25">
      <c r="A248" s="116"/>
      <c r="G248" s="80"/>
      <c r="H248" s="95">
        <v>243</v>
      </c>
      <c r="I248" s="96" t="str">
        <f t="shared" si="14"/>
        <v/>
      </c>
      <c r="J248" s="95" t="e">
        <f t="shared" si="17"/>
        <v>#NUM!</v>
      </c>
      <c r="K248" s="95" t="e">
        <f t="shared" si="15"/>
        <v>#NUM!</v>
      </c>
      <c r="L248" s="95"/>
      <c r="M248" s="97">
        <f t="shared" si="16"/>
        <v>0</v>
      </c>
    </row>
    <row r="249" spans="1:13" x14ac:dyDescent="0.25">
      <c r="A249" s="116"/>
      <c r="G249" s="80"/>
      <c r="H249" s="95">
        <v>244</v>
      </c>
      <c r="I249" s="96" t="str">
        <f t="shared" si="14"/>
        <v/>
      </c>
      <c r="J249" s="95" t="e">
        <f t="shared" si="17"/>
        <v>#NUM!</v>
      </c>
      <c r="K249" s="95" t="e">
        <f t="shared" si="15"/>
        <v>#NUM!</v>
      </c>
      <c r="L249" s="95"/>
      <c r="M249" s="97">
        <f t="shared" si="16"/>
        <v>0</v>
      </c>
    </row>
    <row r="250" spans="1:13" x14ac:dyDescent="0.25">
      <c r="A250" s="116"/>
      <c r="G250" s="80"/>
      <c r="H250" s="95">
        <v>245</v>
      </c>
      <c r="I250" s="96" t="str">
        <f t="shared" si="14"/>
        <v/>
      </c>
      <c r="J250" s="95" t="e">
        <f t="shared" si="17"/>
        <v>#NUM!</v>
      </c>
      <c r="K250" s="95" t="e">
        <f t="shared" si="15"/>
        <v>#NUM!</v>
      </c>
      <c r="L250" s="95"/>
      <c r="M250" s="97">
        <f t="shared" si="16"/>
        <v>0</v>
      </c>
    </row>
    <row r="251" spans="1:13" x14ac:dyDescent="0.25">
      <c r="A251" s="116"/>
      <c r="G251" s="80"/>
      <c r="H251" s="95">
        <v>246</v>
      </c>
      <c r="I251" s="96" t="str">
        <f t="shared" si="14"/>
        <v/>
      </c>
      <c r="J251" s="95" t="e">
        <f t="shared" si="17"/>
        <v>#NUM!</v>
      </c>
      <c r="K251" s="95" t="e">
        <f t="shared" si="15"/>
        <v>#NUM!</v>
      </c>
      <c r="L251" s="95"/>
      <c r="M251" s="97">
        <f t="shared" si="16"/>
        <v>0</v>
      </c>
    </row>
    <row r="252" spans="1:13" x14ac:dyDescent="0.25">
      <c r="A252" s="116"/>
      <c r="G252" s="80"/>
      <c r="H252" s="95">
        <v>247</v>
      </c>
      <c r="I252" s="96" t="str">
        <f t="shared" si="14"/>
        <v/>
      </c>
      <c r="J252" s="95" t="e">
        <f t="shared" si="17"/>
        <v>#NUM!</v>
      </c>
      <c r="K252" s="95" t="e">
        <f t="shared" si="15"/>
        <v>#NUM!</v>
      </c>
      <c r="L252" s="95"/>
      <c r="M252" s="97">
        <f t="shared" si="16"/>
        <v>0</v>
      </c>
    </row>
    <row r="253" spans="1:13" x14ac:dyDescent="0.25">
      <c r="A253" s="116"/>
      <c r="G253" s="80"/>
      <c r="H253" s="95">
        <v>248</v>
      </c>
      <c r="I253" s="96" t="str">
        <f t="shared" si="14"/>
        <v/>
      </c>
      <c r="J253" s="95" t="e">
        <f t="shared" si="17"/>
        <v>#NUM!</v>
      </c>
      <c r="K253" s="95" t="e">
        <f t="shared" si="15"/>
        <v>#NUM!</v>
      </c>
      <c r="L253" s="95"/>
      <c r="M253" s="97">
        <f t="shared" si="16"/>
        <v>0</v>
      </c>
    </row>
    <row r="254" spans="1:13" x14ac:dyDescent="0.25">
      <c r="A254" s="116"/>
      <c r="G254" s="80"/>
      <c r="H254" s="95">
        <v>249</v>
      </c>
      <c r="I254" s="96" t="str">
        <f t="shared" si="14"/>
        <v/>
      </c>
      <c r="J254" s="95" t="e">
        <f t="shared" si="17"/>
        <v>#NUM!</v>
      </c>
      <c r="K254" s="95" t="e">
        <f t="shared" si="15"/>
        <v>#NUM!</v>
      </c>
      <c r="L254" s="95"/>
      <c r="M254" s="97">
        <f t="shared" si="16"/>
        <v>0</v>
      </c>
    </row>
    <row r="255" spans="1:13" x14ac:dyDescent="0.25">
      <c r="A255" s="116"/>
      <c r="G255" s="80"/>
      <c r="H255" s="95">
        <v>250</v>
      </c>
      <c r="I255" s="96" t="str">
        <f t="shared" si="14"/>
        <v/>
      </c>
      <c r="J255" s="95" t="e">
        <f t="shared" si="17"/>
        <v>#NUM!</v>
      </c>
      <c r="K255" s="95" t="e">
        <f t="shared" si="15"/>
        <v>#NUM!</v>
      </c>
      <c r="L255" s="95"/>
      <c r="M255" s="97">
        <f t="shared" si="16"/>
        <v>0</v>
      </c>
    </row>
    <row r="256" spans="1:13" x14ac:dyDescent="0.25">
      <c r="A256" s="116"/>
      <c r="G256" s="80"/>
      <c r="H256" s="95">
        <v>251</v>
      </c>
      <c r="I256" s="96" t="str">
        <f t="shared" si="14"/>
        <v/>
      </c>
      <c r="J256" s="95" t="e">
        <f t="shared" si="17"/>
        <v>#NUM!</v>
      </c>
      <c r="K256" s="95" t="e">
        <f t="shared" si="15"/>
        <v>#NUM!</v>
      </c>
      <c r="L256" s="95"/>
      <c r="M256" s="97">
        <f t="shared" si="16"/>
        <v>0</v>
      </c>
    </row>
    <row r="257" spans="1:13" x14ac:dyDescent="0.25">
      <c r="A257" s="116"/>
      <c r="G257" s="80"/>
      <c r="H257" s="95">
        <v>252</v>
      </c>
      <c r="I257" s="96" t="str">
        <f t="shared" si="14"/>
        <v/>
      </c>
      <c r="J257" s="95" t="e">
        <f t="shared" si="17"/>
        <v>#NUM!</v>
      </c>
      <c r="K257" s="95" t="e">
        <f t="shared" si="15"/>
        <v>#NUM!</v>
      </c>
      <c r="L257" s="95"/>
      <c r="M257" s="97">
        <f t="shared" si="16"/>
        <v>0</v>
      </c>
    </row>
    <row r="258" spans="1:13" x14ac:dyDescent="0.25">
      <c r="A258" s="116"/>
      <c r="G258" s="80"/>
      <c r="H258" s="95">
        <v>253</v>
      </c>
      <c r="I258" s="96" t="str">
        <f t="shared" si="14"/>
        <v/>
      </c>
      <c r="J258" s="95" t="e">
        <f t="shared" si="17"/>
        <v>#NUM!</v>
      </c>
      <c r="K258" s="95" t="e">
        <f t="shared" si="15"/>
        <v>#NUM!</v>
      </c>
      <c r="L258" s="95"/>
      <c r="M258" s="97">
        <f t="shared" si="16"/>
        <v>0</v>
      </c>
    </row>
    <row r="259" spans="1:13" x14ac:dyDescent="0.25">
      <c r="A259" s="116"/>
      <c r="G259" s="80"/>
      <c r="H259" s="95">
        <v>254</v>
      </c>
      <c r="I259" s="96" t="str">
        <f t="shared" si="14"/>
        <v/>
      </c>
      <c r="J259" s="95" t="e">
        <f t="shared" si="17"/>
        <v>#NUM!</v>
      </c>
      <c r="K259" s="95" t="e">
        <f t="shared" si="15"/>
        <v>#NUM!</v>
      </c>
      <c r="L259" s="95"/>
      <c r="M259" s="97">
        <f t="shared" si="16"/>
        <v>0</v>
      </c>
    </row>
    <row r="260" spans="1:13" x14ac:dyDescent="0.25">
      <c r="A260" s="116"/>
      <c r="G260" s="80"/>
      <c r="H260" s="95">
        <v>255</v>
      </c>
      <c r="I260" s="96" t="str">
        <f t="shared" si="14"/>
        <v/>
      </c>
      <c r="J260" s="95" t="e">
        <f t="shared" si="17"/>
        <v>#NUM!</v>
      </c>
      <c r="K260" s="95" t="e">
        <f t="shared" si="15"/>
        <v>#NUM!</v>
      </c>
      <c r="L260" s="95"/>
      <c r="M260" s="97">
        <f t="shared" si="16"/>
        <v>0</v>
      </c>
    </row>
    <row r="261" spans="1:13" x14ac:dyDescent="0.25">
      <c r="A261" s="116"/>
      <c r="G261" s="80"/>
      <c r="H261" s="95">
        <v>256</v>
      </c>
      <c r="I261" s="96" t="str">
        <f t="shared" si="14"/>
        <v/>
      </c>
      <c r="J261" s="95" t="e">
        <f t="shared" si="17"/>
        <v>#NUM!</v>
      </c>
      <c r="K261" s="95" t="e">
        <f t="shared" si="15"/>
        <v>#NUM!</v>
      </c>
      <c r="L261" s="95"/>
      <c r="M261" s="97">
        <f t="shared" si="16"/>
        <v>0</v>
      </c>
    </row>
    <row r="262" spans="1:13" x14ac:dyDescent="0.25">
      <c r="A262" s="116"/>
      <c r="G262" s="80"/>
      <c r="H262" s="95">
        <v>257</v>
      </c>
      <c r="I262" s="96" t="str">
        <f t="shared" ref="I262:I305" si="18">IF(H262&lt;$H$2+1,($I$2-($I$2-1)*(LOG(H262)/LOG($H$2))),"")</f>
        <v/>
      </c>
      <c r="J262" s="95" t="e">
        <f t="shared" si="17"/>
        <v>#NUM!</v>
      </c>
      <c r="K262" s="95" t="e">
        <f t="shared" ref="K262:K305" si="19">J262*$J$2</f>
        <v>#NUM!</v>
      </c>
      <c r="L262" s="95"/>
      <c r="M262" s="97">
        <f t="shared" ref="M262:M305" si="20">IF(I262&lt;&gt;"",K262+I262+L262,0)</f>
        <v>0</v>
      </c>
    </row>
    <row r="263" spans="1:13" x14ac:dyDescent="0.25">
      <c r="A263" s="116"/>
      <c r="G263" s="80"/>
      <c r="H263" s="95">
        <v>258</v>
      </c>
      <c r="I263" s="96" t="str">
        <f t="shared" si="18"/>
        <v/>
      </c>
      <c r="J263" s="95" t="e">
        <f t="shared" ref="J263:J305" si="21">INT(LOG($H$2,2))-ROUNDUP(LOG(H263,2),0)+IF(OR($H$2=1,$H$2=2,$H$2=4,$H$2=8,$H$2=16,$H$2=32,$H$2=64,$H$2=128,$H$2=256),0,1)</f>
        <v>#NUM!</v>
      </c>
      <c r="K263" s="95" t="e">
        <f t="shared" si="19"/>
        <v>#NUM!</v>
      </c>
      <c r="L263" s="95"/>
      <c r="M263" s="97">
        <f t="shared" si="20"/>
        <v>0</v>
      </c>
    </row>
    <row r="264" spans="1:13" x14ac:dyDescent="0.25">
      <c r="A264" s="116"/>
      <c r="G264" s="80"/>
      <c r="H264" s="95">
        <v>259</v>
      </c>
      <c r="I264" s="96" t="str">
        <f t="shared" si="18"/>
        <v/>
      </c>
      <c r="J264" s="95" t="e">
        <f t="shared" si="21"/>
        <v>#NUM!</v>
      </c>
      <c r="K264" s="95" t="e">
        <f t="shared" si="19"/>
        <v>#NUM!</v>
      </c>
      <c r="L264" s="95"/>
      <c r="M264" s="97">
        <f t="shared" si="20"/>
        <v>0</v>
      </c>
    </row>
    <row r="265" spans="1:13" x14ac:dyDescent="0.25">
      <c r="A265" s="116"/>
      <c r="G265" s="80"/>
      <c r="H265" s="95">
        <v>260</v>
      </c>
      <c r="I265" s="96" t="str">
        <f t="shared" si="18"/>
        <v/>
      </c>
      <c r="J265" s="95" t="e">
        <f t="shared" si="21"/>
        <v>#NUM!</v>
      </c>
      <c r="K265" s="95" t="e">
        <f t="shared" si="19"/>
        <v>#NUM!</v>
      </c>
      <c r="L265" s="95"/>
      <c r="M265" s="97">
        <f t="shared" si="20"/>
        <v>0</v>
      </c>
    </row>
    <row r="266" spans="1:13" x14ac:dyDescent="0.25">
      <c r="A266" s="116"/>
      <c r="G266" s="80"/>
      <c r="H266" s="95">
        <v>261</v>
      </c>
      <c r="I266" s="96" t="str">
        <f t="shared" si="18"/>
        <v/>
      </c>
      <c r="J266" s="95" t="e">
        <f t="shared" si="21"/>
        <v>#NUM!</v>
      </c>
      <c r="K266" s="95" t="e">
        <f t="shared" si="19"/>
        <v>#NUM!</v>
      </c>
      <c r="L266" s="95"/>
      <c r="M266" s="97">
        <f t="shared" si="20"/>
        <v>0</v>
      </c>
    </row>
    <row r="267" spans="1:13" x14ac:dyDescent="0.25">
      <c r="A267" s="116"/>
      <c r="G267" s="80"/>
      <c r="H267" s="95">
        <v>262</v>
      </c>
      <c r="I267" s="96" t="str">
        <f t="shared" si="18"/>
        <v/>
      </c>
      <c r="J267" s="95" t="e">
        <f t="shared" si="21"/>
        <v>#NUM!</v>
      </c>
      <c r="K267" s="95" t="e">
        <f t="shared" si="19"/>
        <v>#NUM!</v>
      </c>
      <c r="L267" s="95"/>
      <c r="M267" s="97">
        <f t="shared" si="20"/>
        <v>0</v>
      </c>
    </row>
    <row r="268" spans="1:13" x14ac:dyDescent="0.25">
      <c r="A268" s="116"/>
      <c r="G268" s="80"/>
      <c r="H268" s="95">
        <v>263</v>
      </c>
      <c r="I268" s="96" t="str">
        <f t="shared" si="18"/>
        <v/>
      </c>
      <c r="J268" s="95" t="e">
        <f t="shared" si="21"/>
        <v>#NUM!</v>
      </c>
      <c r="K268" s="95" t="e">
        <f t="shared" si="19"/>
        <v>#NUM!</v>
      </c>
      <c r="L268" s="95"/>
      <c r="M268" s="97">
        <f t="shared" si="20"/>
        <v>0</v>
      </c>
    </row>
    <row r="269" spans="1:13" x14ac:dyDescent="0.25">
      <c r="A269" s="116"/>
      <c r="G269" s="80"/>
      <c r="H269" s="95">
        <v>264</v>
      </c>
      <c r="I269" s="96" t="str">
        <f t="shared" si="18"/>
        <v/>
      </c>
      <c r="J269" s="95" t="e">
        <f t="shared" si="21"/>
        <v>#NUM!</v>
      </c>
      <c r="K269" s="95" t="e">
        <f t="shared" si="19"/>
        <v>#NUM!</v>
      </c>
      <c r="L269" s="95"/>
      <c r="M269" s="97">
        <f t="shared" si="20"/>
        <v>0</v>
      </c>
    </row>
    <row r="270" spans="1:13" x14ac:dyDescent="0.25">
      <c r="A270" s="116"/>
      <c r="G270" s="80"/>
      <c r="H270" s="95">
        <v>265</v>
      </c>
      <c r="I270" s="96" t="str">
        <f t="shared" si="18"/>
        <v/>
      </c>
      <c r="J270" s="95" t="e">
        <f t="shared" si="21"/>
        <v>#NUM!</v>
      </c>
      <c r="K270" s="95" t="e">
        <f t="shared" si="19"/>
        <v>#NUM!</v>
      </c>
      <c r="L270" s="95"/>
      <c r="M270" s="97">
        <f t="shared" si="20"/>
        <v>0</v>
      </c>
    </row>
    <row r="271" spans="1:13" x14ac:dyDescent="0.25">
      <c r="A271" s="116"/>
      <c r="G271" s="80"/>
      <c r="H271" s="95">
        <v>266</v>
      </c>
      <c r="I271" s="96" t="str">
        <f t="shared" si="18"/>
        <v/>
      </c>
      <c r="J271" s="95" t="e">
        <f t="shared" si="21"/>
        <v>#NUM!</v>
      </c>
      <c r="K271" s="95" t="e">
        <f t="shared" si="19"/>
        <v>#NUM!</v>
      </c>
      <c r="L271" s="95"/>
      <c r="M271" s="97">
        <f t="shared" si="20"/>
        <v>0</v>
      </c>
    </row>
    <row r="272" spans="1:13" x14ac:dyDescent="0.25">
      <c r="A272" s="116"/>
      <c r="G272" s="80"/>
      <c r="H272" s="95">
        <v>267</v>
      </c>
      <c r="I272" s="96" t="str">
        <f t="shared" si="18"/>
        <v/>
      </c>
      <c r="J272" s="95" t="e">
        <f t="shared" si="21"/>
        <v>#NUM!</v>
      </c>
      <c r="K272" s="95" t="e">
        <f t="shared" si="19"/>
        <v>#NUM!</v>
      </c>
      <c r="L272" s="95"/>
      <c r="M272" s="97">
        <f t="shared" si="20"/>
        <v>0</v>
      </c>
    </row>
    <row r="273" spans="1:13" x14ac:dyDescent="0.25">
      <c r="A273" s="116"/>
      <c r="G273" s="80"/>
      <c r="H273" s="95">
        <v>268</v>
      </c>
      <c r="I273" s="96" t="str">
        <f t="shared" si="18"/>
        <v/>
      </c>
      <c r="J273" s="95" t="e">
        <f t="shared" si="21"/>
        <v>#NUM!</v>
      </c>
      <c r="K273" s="95" t="e">
        <f t="shared" si="19"/>
        <v>#NUM!</v>
      </c>
      <c r="L273" s="95"/>
      <c r="M273" s="97">
        <f t="shared" si="20"/>
        <v>0</v>
      </c>
    </row>
    <row r="274" spans="1:13" x14ac:dyDescent="0.25">
      <c r="A274" s="116"/>
      <c r="G274" s="80"/>
      <c r="H274" s="95">
        <v>269</v>
      </c>
      <c r="I274" s="96" t="str">
        <f t="shared" si="18"/>
        <v/>
      </c>
      <c r="J274" s="95" t="e">
        <f t="shared" si="21"/>
        <v>#NUM!</v>
      </c>
      <c r="K274" s="95" t="e">
        <f t="shared" si="19"/>
        <v>#NUM!</v>
      </c>
      <c r="L274" s="95"/>
      <c r="M274" s="97">
        <f t="shared" si="20"/>
        <v>0</v>
      </c>
    </row>
    <row r="275" spans="1:13" x14ac:dyDescent="0.25">
      <c r="A275" s="116"/>
      <c r="G275" s="80"/>
      <c r="H275" s="95">
        <v>270</v>
      </c>
      <c r="I275" s="96" t="str">
        <f t="shared" si="18"/>
        <v/>
      </c>
      <c r="J275" s="95" t="e">
        <f t="shared" si="21"/>
        <v>#NUM!</v>
      </c>
      <c r="K275" s="95" t="e">
        <f t="shared" si="19"/>
        <v>#NUM!</v>
      </c>
      <c r="L275" s="95"/>
      <c r="M275" s="97">
        <f t="shared" si="20"/>
        <v>0</v>
      </c>
    </row>
    <row r="276" spans="1:13" x14ac:dyDescent="0.25">
      <c r="A276" s="116"/>
      <c r="G276" s="80"/>
      <c r="H276" s="95">
        <v>271</v>
      </c>
      <c r="I276" s="96" t="str">
        <f t="shared" si="18"/>
        <v/>
      </c>
      <c r="J276" s="95" t="e">
        <f t="shared" si="21"/>
        <v>#NUM!</v>
      </c>
      <c r="K276" s="95" t="e">
        <f t="shared" si="19"/>
        <v>#NUM!</v>
      </c>
      <c r="L276" s="95"/>
      <c r="M276" s="97">
        <f t="shared" si="20"/>
        <v>0</v>
      </c>
    </row>
    <row r="277" spans="1:13" x14ac:dyDescent="0.25">
      <c r="A277" s="116"/>
      <c r="G277" s="80"/>
      <c r="H277" s="95">
        <v>272</v>
      </c>
      <c r="I277" s="96" t="str">
        <f t="shared" si="18"/>
        <v/>
      </c>
      <c r="J277" s="95" t="e">
        <f t="shared" si="21"/>
        <v>#NUM!</v>
      </c>
      <c r="K277" s="95" t="e">
        <f t="shared" si="19"/>
        <v>#NUM!</v>
      </c>
      <c r="L277" s="95"/>
      <c r="M277" s="97">
        <f t="shared" si="20"/>
        <v>0</v>
      </c>
    </row>
    <row r="278" spans="1:13" x14ac:dyDescent="0.25">
      <c r="A278" s="116"/>
      <c r="G278" s="80"/>
      <c r="H278" s="95">
        <v>273</v>
      </c>
      <c r="I278" s="96" t="str">
        <f t="shared" si="18"/>
        <v/>
      </c>
      <c r="J278" s="95" t="e">
        <f t="shared" si="21"/>
        <v>#NUM!</v>
      </c>
      <c r="K278" s="95" t="e">
        <f t="shared" si="19"/>
        <v>#NUM!</v>
      </c>
      <c r="L278" s="95"/>
      <c r="M278" s="97">
        <f t="shared" si="20"/>
        <v>0</v>
      </c>
    </row>
    <row r="279" spans="1:13" x14ac:dyDescent="0.25">
      <c r="A279" s="116"/>
      <c r="G279" s="80"/>
      <c r="H279" s="95">
        <v>274</v>
      </c>
      <c r="I279" s="96" t="str">
        <f t="shared" si="18"/>
        <v/>
      </c>
      <c r="J279" s="95" t="e">
        <f t="shared" si="21"/>
        <v>#NUM!</v>
      </c>
      <c r="K279" s="95" t="e">
        <f t="shared" si="19"/>
        <v>#NUM!</v>
      </c>
      <c r="L279" s="95"/>
      <c r="M279" s="97">
        <f t="shared" si="20"/>
        <v>0</v>
      </c>
    </row>
    <row r="280" spans="1:13" x14ac:dyDescent="0.25">
      <c r="A280" s="116"/>
      <c r="G280" s="80"/>
      <c r="H280" s="95">
        <v>275</v>
      </c>
      <c r="I280" s="96" t="str">
        <f t="shared" si="18"/>
        <v/>
      </c>
      <c r="J280" s="95" t="e">
        <f t="shared" si="21"/>
        <v>#NUM!</v>
      </c>
      <c r="K280" s="95" t="e">
        <f t="shared" si="19"/>
        <v>#NUM!</v>
      </c>
      <c r="L280" s="95"/>
      <c r="M280" s="97">
        <f t="shared" si="20"/>
        <v>0</v>
      </c>
    </row>
    <row r="281" spans="1:13" x14ac:dyDescent="0.25">
      <c r="A281" s="116"/>
      <c r="G281" s="80"/>
      <c r="H281" s="95">
        <v>276</v>
      </c>
      <c r="I281" s="96" t="str">
        <f t="shared" si="18"/>
        <v/>
      </c>
      <c r="J281" s="95" t="e">
        <f t="shared" si="21"/>
        <v>#NUM!</v>
      </c>
      <c r="K281" s="95" t="e">
        <f t="shared" si="19"/>
        <v>#NUM!</v>
      </c>
      <c r="L281" s="95"/>
      <c r="M281" s="97">
        <f t="shared" si="20"/>
        <v>0</v>
      </c>
    </row>
    <row r="282" spans="1:13" x14ac:dyDescent="0.25">
      <c r="A282" s="116"/>
      <c r="G282" s="80"/>
      <c r="H282" s="95">
        <v>277</v>
      </c>
      <c r="I282" s="96" t="str">
        <f t="shared" si="18"/>
        <v/>
      </c>
      <c r="J282" s="95" t="e">
        <f t="shared" si="21"/>
        <v>#NUM!</v>
      </c>
      <c r="K282" s="95" t="e">
        <f t="shared" si="19"/>
        <v>#NUM!</v>
      </c>
      <c r="L282" s="95"/>
      <c r="M282" s="97">
        <f t="shared" si="20"/>
        <v>0</v>
      </c>
    </row>
    <row r="283" spans="1:13" x14ac:dyDescent="0.25">
      <c r="A283" s="116"/>
      <c r="G283" s="80"/>
      <c r="H283" s="95">
        <v>278</v>
      </c>
      <c r="I283" s="96" t="str">
        <f t="shared" si="18"/>
        <v/>
      </c>
      <c r="J283" s="95" t="e">
        <f t="shared" si="21"/>
        <v>#NUM!</v>
      </c>
      <c r="K283" s="95" t="e">
        <f t="shared" si="19"/>
        <v>#NUM!</v>
      </c>
      <c r="L283" s="95"/>
      <c r="M283" s="97">
        <f t="shared" si="20"/>
        <v>0</v>
      </c>
    </row>
    <row r="284" spans="1:13" x14ac:dyDescent="0.25">
      <c r="A284" s="116"/>
      <c r="G284" s="80"/>
      <c r="H284" s="95">
        <v>279</v>
      </c>
      <c r="I284" s="96" t="str">
        <f t="shared" si="18"/>
        <v/>
      </c>
      <c r="J284" s="95" t="e">
        <f t="shared" si="21"/>
        <v>#NUM!</v>
      </c>
      <c r="K284" s="95" t="e">
        <f t="shared" si="19"/>
        <v>#NUM!</v>
      </c>
      <c r="L284" s="95"/>
      <c r="M284" s="97">
        <f t="shared" si="20"/>
        <v>0</v>
      </c>
    </row>
    <row r="285" spans="1:13" x14ac:dyDescent="0.25">
      <c r="A285" s="116"/>
      <c r="G285" s="80"/>
      <c r="H285" s="95">
        <v>280</v>
      </c>
      <c r="I285" s="96" t="str">
        <f t="shared" si="18"/>
        <v/>
      </c>
      <c r="J285" s="95" t="e">
        <f t="shared" si="21"/>
        <v>#NUM!</v>
      </c>
      <c r="K285" s="95" t="e">
        <f t="shared" si="19"/>
        <v>#NUM!</v>
      </c>
      <c r="L285" s="95"/>
      <c r="M285" s="97">
        <f t="shared" si="20"/>
        <v>0</v>
      </c>
    </row>
    <row r="286" spans="1:13" x14ac:dyDescent="0.25">
      <c r="A286" s="116"/>
      <c r="G286" s="80"/>
      <c r="H286" s="95">
        <v>281</v>
      </c>
      <c r="I286" s="96" t="str">
        <f t="shared" si="18"/>
        <v/>
      </c>
      <c r="J286" s="95" t="e">
        <f t="shared" si="21"/>
        <v>#NUM!</v>
      </c>
      <c r="K286" s="95" t="e">
        <f t="shared" si="19"/>
        <v>#NUM!</v>
      </c>
      <c r="L286" s="95"/>
      <c r="M286" s="97">
        <f t="shared" si="20"/>
        <v>0</v>
      </c>
    </row>
    <row r="287" spans="1:13" x14ac:dyDescent="0.25">
      <c r="A287" s="116"/>
      <c r="G287" s="80"/>
      <c r="H287" s="95">
        <v>282</v>
      </c>
      <c r="I287" s="96" t="str">
        <f t="shared" si="18"/>
        <v/>
      </c>
      <c r="J287" s="95" t="e">
        <f t="shared" si="21"/>
        <v>#NUM!</v>
      </c>
      <c r="K287" s="95" t="e">
        <f t="shared" si="19"/>
        <v>#NUM!</v>
      </c>
      <c r="L287" s="95"/>
      <c r="M287" s="97">
        <f t="shared" si="20"/>
        <v>0</v>
      </c>
    </row>
    <row r="288" spans="1:13" x14ac:dyDescent="0.25">
      <c r="A288" s="116"/>
      <c r="G288" s="80"/>
      <c r="H288" s="95">
        <v>283</v>
      </c>
      <c r="I288" s="96" t="str">
        <f t="shared" si="18"/>
        <v/>
      </c>
      <c r="J288" s="95" t="e">
        <f t="shared" si="21"/>
        <v>#NUM!</v>
      </c>
      <c r="K288" s="95" t="e">
        <f t="shared" si="19"/>
        <v>#NUM!</v>
      </c>
      <c r="L288" s="95"/>
      <c r="M288" s="97">
        <f t="shared" si="20"/>
        <v>0</v>
      </c>
    </row>
    <row r="289" spans="1:13" x14ac:dyDescent="0.25">
      <c r="A289" s="116"/>
      <c r="G289" s="80"/>
      <c r="H289" s="95">
        <v>284</v>
      </c>
      <c r="I289" s="96" t="str">
        <f t="shared" si="18"/>
        <v/>
      </c>
      <c r="J289" s="95" t="e">
        <f t="shared" si="21"/>
        <v>#NUM!</v>
      </c>
      <c r="K289" s="95" t="e">
        <f t="shared" si="19"/>
        <v>#NUM!</v>
      </c>
      <c r="L289" s="95"/>
      <c r="M289" s="97">
        <f t="shared" si="20"/>
        <v>0</v>
      </c>
    </row>
    <row r="290" spans="1:13" x14ac:dyDescent="0.25">
      <c r="A290" s="116"/>
      <c r="G290" s="80"/>
      <c r="H290" s="95">
        <v>285</v>
      </c>
      <c r="I290" s="96" t="str">
        <f t="shared" si="18"/>
        <v/>
      </c>
      <c r="J290" s="95" t="e">
        <f t="shared" si="21"/>
        <v>#NUM!</v>
      </c>
      <c r="K290" s="95" t="e">
        <f t="shared" si="19"/>
        <v>#NUM!</v>
      </c>
      <c r="L290" s="95"/>
      <c r="M290" s="97">
        <f t="shared" si="20"/>
        <v>0</v>
      </c>
    </row>
    <row r="291" spans="1:13" x14ac:dyDescent="0.25">
      <c r="A291" s="116"/>
      <c r="G291" s="80"/>
      <c r="H291" s="95">
        <v>286</v>
      </c>
      <c r="I291" s="96" t="str">
        <f t="shared" si="18"/>
        <v/>
      </c>
      <c r="J291" s="95" t="e">
        <f t="shared" si="21"/>
        <v>#NUM!</v>
      </c>
      <c r="K291" s="95" t="e">
        <f t="shared" si="19"/>
        <v>#NUM!</v>
      </c>
      <c r="L291" s="95"/>
      <c r="M291" s="97">
        <f t="shared" si="20"/>
        <v>0</v>
      </c>
    </row>
    <row r="292" spans="1:13" x14ac:dyDescent="0.25">
      <c r="A292" s="116"/>
      <c r="G292" s="80"/>
      <c r="H292" s="95">
        <v>287</v>
      </c>
      <c r="I292" s="96" t="str">
        <f t="shared" si="18"/>
        <v/>
      </c>
      <c r="J292" s="95" t="e">
        <f t="shared" si="21"/>
        <v>#NUM!</v>
      </c>
      <c r="K292" s="95" t="e">
        <f t="shared" si="19"/>
        <v>#NUM!</v>
      </c>
      <c r="L292" s="95"/>
      <c r="M292" s="97">
        <f t="shared" si="20"/>
        <v>0</v>
      </c>
    </row>
    <row r="293" spans="1:13" x14ac:dyDescent="0.25">
      <c r="A293" s="116"/>
      <c r="G293" s="80"/>
      <c r="H293" s="95">
        <v>288</v>
      </c>
      <c r="I293" s="96" t="str">
        <f t="shared" si="18"/>
        <v/>
      </c>
      <c r="J293" s="95" t="e">
        <f t="shared" si="21"/>
        <v>#NUM!</v>
      </c>
      <c r="K293" s="95" t="e">
        <f t="shared" si="19"/>
        <v>#NUM!</v>
      </c>
      <c r="L293" s="95"/>
      <c r="M293" s="97">
        <f t="shared" si="20"/>
        <v>0</v>
      </c>
    </row>
    <row r="294" spans="1:13" x14ac:dyDescent="0.25">
      <c r="A294" s="116"/>
      <c r="G294" s="80"/>
      <c r="H294" s="95">
        <v>289</v>
      </c>
      <c r="I294" s="96" t="str">
        <f t="shared" si="18"/>
        <v/>
      </c>
      <c r="J294" s="95" t="e">
        <f t="shared" si="21"/>
        <v>#NUM!</v>
      </c>
      <c r="K294" s="95" t="e">
        <f t="shared" si="19"/>
        <v>#NUM!</v>
      </c>
      <c r="L294" s="95"/>
      <c r="M294" s="97">
        <f t="shared" si="20"/>
        <v>0</v>
      </c>
    </row>
    <row r="295" spans="1:13" x14ac:dyDescent="0.25">
      <c r="A295" s="116"/>
      <c r="G295" s="80"/>
      <c r="H295" s="95">
        <v>290</v>
      </c>
      <c r="I295" s="96" t="str">
        <f t="shared" si="18"/>
        <v/>
      </c>
      <c r="J295" s="95" t="e">
        <f t="shared" si="21"/>
        <v>#NUM!</v>
      </c>
      <c r="K295" s="95" t="e">
        <f t="shared" si="19"/>
        <v>#NUM!</v>
      </c>
      <c r="L295" s="95"/>
      <c r="M295" s="97">
        <f t="shared" si="20"/>
        <v>0</v>
      </c>
    </row>
    <row r="296" spans="1:13" x14ac:dyDescent="0.25">
      <c r="A296" s="116"/>
      <c r="G296" s="80"/>
      <c r="H296" s="95">
        <v>291</v>
      </c>
      <c r="I296" s="96" t="str">
        <f t="shared" si="18"/>
        <v/>
      </c>
      <c r="J296" s="95" t="e">
        <f t="shared" si="21"/>
        <v>#NUM!</v>
      </c>
      <c r="K296" s="95" t="e">
        <f t="shared" si="19"/>
        <v>#NUM!</v>
      </c>
      <c r="L296" s="95"/>
      <c r="M296" s="97">
        <f t="shared" si="20"/>
        <v>0</v>
      </c>
    </row>
    <row r="297" spans="1:13" x14ac:dyDescent="0.25">
      <c r="A297" s="116"/>
      <c r="G297" s="80"/>
      <c r="H297" s="95">
        <v>292</v>
      </c>
      <c r="I297" s="96" t="str">
        <f t="shared" si="18"/>
        <v/>
      </c>
      <c r="J297" s="95" t="e">
        <f t="shared" si="21"/>
        <v>#NUM!</v>
      </c>
      <c r="K297" s="95" t="e">
        <f t="shared" si="19"/>
        <v>#NUM!</v>
      </c>
      <c r="L297" s="95"/>
      <c r="M297" s="97">
        <f t="shared" si="20"/>
        <v>0</v>
      </c>
    </row>
    <row r="298" spans="1:13" x14ac:dyDescent="0.25">
      <c r="A298" s="116"/>
      <c r="G298" s="80"/>
      <c r="H298" s="95">
        <v>293</v>
      </c>
      <c r="I298" s="96" t="str">
        <f t="shared" si="18"/>
        <v/>
      </c>
      <c r="J298" s="95" t="e">
        <f t="shared" si="21"/>
        <v>#NUM!</v>
      </c>
      <c r="K298" s="95" t="e">
        <f t="shared" si="19"/>
        <v>#NUM!</v>
      </c>
      <c r="L298" s="95"/>
      <c r="M298" s="97">
        <f t="shared" si="20"/>
        <v>0</v>
      </c>
    </row>
    <row r="299" spans="1:13" x14ac:dyDescent="0.25">
      <c r="A299" s="116"/>
      <c r="G299" s="80"/>
      <c r="H299" s="95">
        <v>294</v>
      </c>
      <c r="I299" s="96" t="str">
        <f t="shared" si="18"/>
        <v/>
      </c>
      <c r="J299" s="95" t="e">
        <f t="shared" si="21"/>
        <v>#NUM!</v>
      </c>
      <c r="K299" s="95" t="e">
        <f t="shared" si="19"/>
        <v>#NUM!</v>
      </c>
      <c r="L299" s="95"/>
      <c r="M299" s="97">
        <f t="shared" si="20"/>
        <v>0</v>
      </c>
    </row>
    <row r="300" spans="1:13" x14ac:dyDescent="0.25">
      <c r="A300" s="116"/>
      <c r="G300" s="80"/>
      <c r="H300" s="95">
        <v>295</v>
      </c>
      <c r="I300" s="96" t="str">
        <f t="shared" si="18"/>
        <v/>
      </c>
      <c r="J300" s="95" t="e">
        <f t="shared" si="21"/>
        <v>#NUM!</v>
      </c>
      <c r="K300" s="95" t="e">
        <f t="shared" si="19"/>
        <v>#NUM!</v>
      </c>
      <c r="L300" s="95"/>
      <c r="M300" s="97">
        <f t="shared" si="20"/>
        <v>0</v>
      </c>
    </row>
    <row r="301" spans="1:13" x14ac:dyDescent="0.25">
      <c r="A301" s="116"/>
      <c r="G301" s="80"/>
      <c r="H301" s="95">
        <v>296</v>
      </c>
      <c r="I301" s="96" t="str">
        <f t="shared" si="18"/>
        <v/>
      </c>
      <c r="J301" s="95" t="e">
        <f t="shared" si="21"/>
        <v>#NUM!</v>
      </c>
      <c r="K301" s="95" t="e">
        <f t="shared" si="19"/>
        <v>#NUM!</v>
      </c>
      <c r="L301" s="95"/>
      <c r="M301" s="97">
        <f t="shared" si="20"/>
        <v>0</v>
      </c>
    </row>
    <row r="302" spans="1:13" x14ac:dyDescent="0.25">
      <c r="A302" s="116"/>
      <c r="G302" s="80"/>
      <c r="H302" s="95">
        <v>297</v>
      </c>
      <c r="I302" s="96" t="str">
        <f t="shared" si="18"/>
        <v/>
      </c>
      <c r="J302" s="95" t="e">
        <f t="shared" si="21"/>
        <v>#NUM!</v>
      </c>
      <c r="K302" s="95" t="e">
        <f t="shared" si="19"/>
        <v>#NUM!</v>
      </c>
      <c r="L302" s="95"/>
      <c r="M302" s="97">
        <f t="shared" si="20"/>
        <v>0</v>
      </c>
    </row>
    <row r="303" spans="1:13" x14ac:dyDescent="0.25">
      <c r="A303" s="116"/>
      <c r="G303" s="80"/>
      <c r="H303" s="95">
        <v>298</v>
      </c>
      <c r="I303" s="96" t="str">
        <f t="shared" si="18"/>
        <v/>
      </c>
      <c r="J303" s="95" t="e">
        <f t="shared" si="21"/>
        <v>#NUM!</v>
      </c>
      <c r="K303" s="95" t="e">
        <f t="shared" si="19"/>
        <v>#NUM!</v>
      </c>
      <c r="L303" s="95"/>
      <c r="M303" s="97">
        <f t="shared" si="20"/>
        <v>0</v>
      </c>
    </row>
    <row r="304" spans="1:13" x14ac:dyDescent="0.25">
      <c r="A304" s="116"/>
      <c r="G304" s="80"/>
      <c r="H304" s="95">
        <v>299</v>
      </c>
      <c r="I304" s="96" t="str">
        <f t="shared" si="18"/>
        <v/>
      </c>
      <c r="J304" s="95" t="e">
        <f t="shared" si="21"/>
        <v>#NUM!</v>
      </c>
      <c r="K304" s="95" t="e">
        <f t="shared" si="19"/>
        <v>#NUM!</v>
      </c>
      <c r="L304" s="95"/>
      <c r="M304" s="97">
        <f t="shared" si="20"/>
        <v>0</v>
      </c>
    </row>
    <row r="305" spans="1:16" x14ac:dyDescent="0.25">
      <c r="A305" s="116"/>
      <c r="G305" s="80"/>
      <c r="H305" s="95">
        <v>300</v>
      </c>
      <c r="I305" s="96" t="str">
        <f t="shared" si="18"/>
        <v/>
      </c>
      <c r="J305" s="95" t="e">
        <f t="shared" si="21"/>
        <v>#NUM!</v>
      </c>
      <c r="K305" s="95" t="e">
        <f t="shared" si="19"/>
        <v>#NUM!</v>
      </c>
      <c r="L305" s="95"/>
      <c r="M305" s="97">
        <f t="shared" si="20"/>
        <v>0</v>
      </c>
    </row>
    <row r="306" spans="1:16" x14ac:dyDescent="0.25">
      <c r="A306" s="117"/>
    </row>
    <row r="314" spans="1:16" x14ac:dyDescent="0.25">
      <c r="L314" s="120"/>
      <c r="P314" s="107"/>
    </row>
    <row r="315" spans="1:16" x14ac:dyDescent="0.25">
      <c r="L315" s="120"/>
      <c r="P315" s="107"/>
    </row>
    <row r="316" spans="1:16" x14ac:dyDescent="0.25">
      <c r="L316" s="120"/>
      <c r="P316" s="107"/>
    </row>
    <row r="317" spans="1:16" x14ac:dyDescent="0.25">
      <c r="L317" s="120"/>
      <c r="P317" s="107"/>
    </row>
  </sheetData>
  <mergeCells count="2">
    <mergeCell ref="C2:D2"/>
    <mergeCell ref="C3:D3"/>
  </mergeCells>
  <conditionalFormatting sqref="J6:K305">
    <cfRule type="cellIs" dxfId="13" priority="1" operator="lessThanOrEqual">
      <formula>0</formula>
    </cfRule>
  </conditionalFormatting>
  <dataValidations count="1">
    <dataValidation type="list" allowBlank="1" showInputMessage="1" showErrorMessage="1" sqref="C66:C69" xr:uid="{10B6F492-15AA-4E08-96EC-B988A33A69C4}">
      <formula1>#REF!</formula1>
    </dataValidation>
  </dataValidations>
  <hyperlinks>
    <hyperlink ref="C2:D2" r:id="rId1" display="ŚWIDNICA" xr:uid="{0F412D68-5343-4D60-AE3E-B4DED063B364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C7FC-0926-4049-83E3-3DE02E506349}">
  <sheetPr>
    <tabColor rgb="FF92D050"/>
  </sheetPr>
  <dimension ref="A1:AL317"/>
  <sheetViews>
    <sheetView workbookViewId="0">
      <selection activeCell="C37" sqref="C37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" style="118" customWidth="1"/>
    <col min="11" max="11" width="8.75" style="118" customWidth="1"/>
    <col min="12" max="12" width="11" style="118" customWidth="1"/>
    <col min="13" max="13" width="11.7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x14ac:dyDescent="0.25">
      <c r="A1" s="80"/>
      <c r="B1" s="80"/>
      <c r="C1" s="80"/>
      <c r="D1" s="80"/>
      <c r="E1" s="80"/>
      <c r="F1" s="80"/>
      <c r="G1" s="80"/>
      <c r="H1" s="81" t="s">
        <v>38</v>
      </c>
      <c r="I1" s="82" t="s">
        <v>39</v>
      </c>
      <c r="J1" s="82" t="s">
        <v>40</v>
      </c>
      <c r="K1" s="83" t="s">
        <v>128</v>
      </c>
      <c r="L1" s="84"/>
      <c r="M1" s="84"/>
    </row>
    <row r="2" spans="1:36" x14ac:dyDescent="0.25">
      <c r="A2" s="80"/>
      <c r="B2" s="47" t="s">
        <v>42</v>
      </c>
      <c r="C2" s="292" t="s">
        <v>141</v>
      </c>
      <c r="D2" s="292"/>
      <c r="E2" s="6"/>
      <c r="F2" s="6"/>
      <c r="G2" s="6"/>
      <c r="H2" s="86">
        <v>43</v>
      </c>
      <c r="I2" s="87">
        <v>50</v>
      </c>
      <c r="J2" s="87">
        <v>10</v>
      </c>
      <c r="K2" s="121">
        <f>3*H2^(1/3)</f>
        <v>10.510194181160172</v>
      </c>
      <c r="L2" s="84"/>
      <c r="M2" s="84"/>
    </row>
    <row r="3" spans="1:36" ht="14.45" customHeight="1" x14ac:dyDescent="0.25">
      <c r="A3" s="80"/>
      <c r="B3" s="89" t="s">
        <v>44</v>
      </c>
      <c r="C3" s="293" t="s">
        <v>142</v>
      </c>
      <c r="D3" s="272"/>
      <c r="E3" s="7"/>
      <c r="F3" s="7"/>
      <c r="G3" s="7"/>
      <c r="H3" s="84"/>
      <c r="I3" s="84"/>
      <c r="J3" s="84"/>
      <c r="K3" s="84"/>
      <c r="L3" s="84"/>
      <c r="M3" s="84"/>
    </row>
    <row r="4" spans="1:36" ht="10.199999999999999" customHeight="1" x14ac:dyDescent="0.25">
      <c r="A4" s="8"/>
      <c r="B4" s="7"/>
      <c r="C4" s="8"/>
      <c r="D4" s="8"/>
      <c r="E4" s="8"/>
      <c r="F4" s="8"/>
      <c r="G4" s="8"/>
      <c r="H4" s="84"/>
      <c r="I4" s="84"/>
      <c r="J4" s="84"/>
      <c r="K4" s="84"/>
      <c r="L4" s="84"/>
      <c r="M4" s="84"/>
    </row>
    <row r="5" spans="1:36" ht="34.65" x14ac:dyDescent="0.25">
      <c r="A5" s="1" t="s">
        <v>45</v>
      </c>
      <c r="B5" s="37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8"/>
      <c r="H5" s="91" t="s">
        <v>51</v>
      </c>
      <c r="I5" s="92" t="s">
        <v>52</v>
      </c>
      <c r="J5" s="92" t="s">
        <v>93</v>
      </c>
      <c r="K5" s="92" t="s">
        <v>94</v>
      </c>
      <c r="L5" s="92" t="s">
        <v>55</v>
      </c>
      <c r="M5" s="91" t="s">
        <v>56</v>
      </c>
    </row>
    <row r="6" spans="1:36" ht="14.45" customHeight="1" x14ac:dyDescent="0.25">
      <c r="A6" s="94">
        <f>M6</f>
        <v>141.53058254348051</v>
      </c>
      <c r="B6" s="36">
        <f t="shared" ref="B6:B65" si="0">IF(H6&gt;$H$2,"",(ROW()-5))</f>
        <v>1</v>
      </c>
      <c r="C6" s="24" t="s">
        <v>95</v>
      </c>
      <c r="D6" s="24"/>
      <c r="E6" s="24"/>
      <c r="F6" s="24"/>
      <c r="G6" s="8"/>
      <c r="H6" s="95">
        <v>1</v>
      </c>
      <c r="I6" s="96">
        <f t="shared" ref="I6:I69" si="1">IF(H6&lt;$H$2+1,($I$2-($I$2-1)*(LOG(H6)/LOG($H$2))),"")</f>
        <v>50</v>
      </c>
      <c r="J6" s="96">
        <f>INT(LOG($H$2,2))-ROUNDUP(LOG(H6,2),0)+IF(OR($H$2=1,$H$2=2,$H$2=4,$H$2=8,$H$2=16,$H$2=32,$H$2=64,$H$2=128,$H$2=256),0,1)</f>
        <v>6</v>
      </c>
      <c r="K6" s="95">
        <f t="shared" ref="K6:K69" si="2">J6*$J$2</f>
        <v>60</v>
      </c>
      <c r="L6" s="97">
        <f>3*K2</f>
        <v>31.530582543480513</v>
      </c>
      <c r="M6" s="97">
        <f t="shared" ref="M6:M69" si="3">IF(I6&lt;&gt;"",K6+I6+L6,0)</f>
        <v>141.53058254348051</v>
      </c>
    </row>
    <row r="7" spans="1:36" ht="14.45" customHeight="1" x14ac:dyDescent="0.25">
      <c r="A7" s="98">
        <f t="shared" ref="A7:A70" si="4">M7</f>
        <v>111.99023553803374</v>
      </c>
      <c r="B7" s="35">
        <f t="shared" si="0"/>
        <v>2</v>
      </c>
      <c r="C7" s="25" t="s">
        <v>95</v>
      </c>
      <c r="D7" s="25"/>
      <c r="E7" s="25"/>
      <c r="F7" s="25"/>
      <c r="G7" s="8"/>
      <c r="H7" s="99">
        <v>2</v>
      </c>
      <c r="I7" s="100">
        <f t="shared" si="1"/>
        <v>40.969847175713397</v>
      </c>
      <c r="J7" s="100">
        <f t="shared" ref="J7:J70" si="5">INT(LOG($H$2,2))-ROUNDUP(LOG(H7,2),0)+IF(OR($H$2=1,$H$2=2,$H$2=4,$H$2=8,$H$2=16,$H$2=32,$H$2=64,$H$2=128,$H$2=256),0,1)</f>
        <v>5</v>
      </c>
      <c r="K7" s="99">
        <f t="shared" si="2"/>
        <v>50</v>
      </c>
      <c r="L7" s="101">
        <f>2*K2</f>
        <v>21.020388362320343</v>
      </c>
      <c r="M7" s="101">
        <f t="shared" si="3"/>
        <v>111.99023553803374</v>
      </c>
    </row>
    <row r="8" spans="1:36" ht="14.45" customHeight="1" x14ac:dyDescent="0.25">
      <c r="A8" s="94">
        <f t="shared" si="4"/>
        <v>86.197740578884677</v>
      </c>
      <c r="B8" s="36">
        <f t="shared" si="0"/>
        <v>3</v>
      </c>
      <c r="C8" s="24" t="s">
        <v>19</v>
      </c>
      <c r="D8" s="24"/>
      <c r="E8" s="24"/>
      <c r="F8" s="24"/>
      <c r="G8" s="8"/>
      <c r="H8" s="95">
        <v>3</v>
      </c>
      <c r="I8" s="96">
        <f t="shared" si="1"/>
        <v>35.687546397724496</v>
      </c>
      <c r="J8" s="96">
        <f t="shared" si="5"/>
        <v>4</v>
      </c>
      <c r="K8" s="95">
        <f t="shared" si="2"/>
        <v>40</v>
      </c>
      <c r="L8" s="97">
        <f>K2</f>
        <v>10.510194181160172</v>
      </c>
      <c r="M8" s="97">
        <f t="shared" si="3"/>
        <v>86.197740578884677</v>
      </c>
    </row>
    <row r="9" spans="1:36" s="85" customFormat="1" ht="14.45" customHeight="1" x14ac:dyDescent="0.25">
      <c r="A9" s="98">
        <f t="shared" si="4"/>
        <v>86.197740578884677</v>
      </c>
      <c r="B9" s="35">
        <f>IF(H9&gt;$H$2,"",3)</f>
        <v>3</v>
      </c>
      <c r="C9" s="25" t="s">
        <v>95</v>
      </c>
      <c r="D9" s="25"/>
      <c r="E9" s="25"/>
      <c r="F9" s="25"/>
      <c r="G9" s="8"/>
      <c r="H9" s="99">
        <v>3</v>
      </c>
      <c r="I9" s="100">
        <f t="shared" si="1"/>
        <v>35.687546397724496</v>
      </c>
      <c r="J9" s="99">
        <f t="shared" si="5"/>
        <v>4</v>
      </c>
      <c r="K9" s="99">
        <f t="shared" si="2"/>
        <v>40</v>
      </c>
      <c r="L9" s="101">
        <f>K2</f>
        <v>10.510194181160172</v>
      </c>
      <c r="M9" s="101">
        <f t="shared" si="3"/>
        <v>86.197740578884677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95</v>
      </c>
      <c r="AI9" s="85">
        <v>23</v>
      </c>
    </row>
    <row r="10" spans="1:36" ht="14.45" customHeight="1" x14ac:dyDescent="0.25">
      <c r="A10" s="94">
        <f t="shared" si="4"/>
        <v>59.032634456162469</v>
      </c>
      <c r="B10" s="36">
        <f t="shared" si="0"/>
        <v>5</v>
      </c>
      <c r="C10" s="24" t="s">
        <v>95</v>
      </c>
      <c r="D10" s="24"/>
      <c r="E10" s="24"/>
      <c r="F10" s="24"/>
      <c r="G10" s="8"/>
      <c r="H10" s="95">
        <v>5</v>
      </c>
      <c r="I10" s="96">
        <f t="shared" si="1"/>
        <v>29.032634456162473</v>
      </c>
      <c r="J10" s="96">
        <f t="shared" si="5"/>
        <v>3</v>
      </c>
      <c r="K10" s="95">
        <f t="shared" si="2"/>
        <v>30</v>
      </c>
      <c r="L10" s="95"/>
      <c r="M10" s="97">
        <f t="shared" si="3"/>
        <v>59.032634456162469</v>
      </c>
      <c r="V10" s="102"/>
      <c r="Z10" s="103"/>
      <c r="AA10" s="103"/>
      <c r="AG10" s="104"/>
      <c r="AH10" s="85" t="s">
        <v>96</v>
      </c>
      <c r="AI10" s="85">
        <v>45</v>
      </c>
    </row>
    <row r="11" spans="1:36" ht="14.45" customHeight="1" x14ac:dyDescent="0.25">
      <c r="A11" s="98">
        <f t="shared" si="4"/>
        <v>56.657393573437886</v>
      </c>
      <c r="B11" s="35">
        <f t="shared" si="0"/>
        <v>6</v>
      </c>
      <c r="C11" s="25" t="s">
        <v>95</v>
      </c>
      <c r="D11" s="25"/>
      <c r="E11" s="25"/>
      <c r="F11" s="25"/>
      <c r="G11" s="8"/>
      <c r="H11" s="99">
        <v>6</v>
      </c>
      <c r="I11" s="100">
        <f t="shared" si="1"/>
        <v>26.65739357343789</v>
      </c>
      <c r="J11" s="100">
        <f t="shared" si="5"/>
        <v>3</v>
      </c>
      <c r="K11" s="99">
        <f t="shared" si="2"/>
        <v>30</v>
      </c>
      <c r="L11" s="99"/>
      <c r="M11" s="101">
        <f t="shared" si="3"/>
        <v>56.657393573437886</v>
      </c>
      <c r="V11" s="105"/>
      <c r="Z11" s="103"/>
      <c r="AA11" s="103"/>
      <c r="AG11" s="104"/>
      <c r="AH11" s="85" t="s">
        <v>97</v>
      </c>
      <c r="AI11" s="85">
        <v>50</v>
      </c>
    </row>
    <row r="12" spans="1:36" ht="14.45" customHeight="1" x14ac:dyDescent="0.25">
      <c r="A12" s="94">
        <f t="shared" si="4"/>
        <v>54.649156021806633</v>
      </c>
      <c r="B12" s="36">
        <f t="shared" si="0"/>
        <v>7</v>
      </c>
      <c r="C12" s="24" t="s">
        <v>95</v>
      </c>
      <c r="D12" s="24"/>
      <c r="E12" s="24"/>
      <c r="F12" s="24"/>
      <c r="G12" s="8"/>
      <c r="H12" s="95">
        <v>7</v>
      </c>
      <c r="I12" s="96">
        <f t="shared" si="1"/>
        <v>24.649156021806629</v>
      </c>
      <c r="J12" s="96">
        <f t="shared" si="5"/>
        <v>3</v>
      </c>
      <c r="K12" s="95">
        <f t="shared" si="2"/>
        <v>30</v>
      </c>
      <c r="L12" s="95"/>
      <c r="M12" s="97">
        <f t="shared" si="3"/>
        <v>54.649156021806633</v>
      </c>
      <c r="Z12" s="103"/>
      <c r="AA12" s="103"/>
      <c r="AG12" s="104"/>
      <c r="AH12" s="85" t="s">
        <v>98</v>
      </c>
      <c r="AI12" s="85">
        <f>AI11-1</f>
        <v>49</v>
      </c>
    </row>
    <row r="13" spans="1:36" ht="14.45" customHeight="1" x14ac:dyDescent="0.25">
      <c r="A13" s="98">
        <f t="shared" si="4"/>
        <v>52.909541527140192</v>
      </c>
      <c r="B13" s="35">
        <f t="shared" si="0"/>
        <v>8</v>
      </c>
      <c r="C13" s="25" t="s">
        <v>95</v>
      </c>
      <c r="D13" s="25"/>
      <c r="E13" s="25"/>
      <c r="F13" s="25"/>
      <c r="G13" s="8"/>
      <c r="H13" s="99">
        <v>8</v>
      </c>
      <c r="I13" s="100">
        <f t="shared" si="1"/>
        <v>22.909541527140192</v>
      </c>
      <c r="J13" s="100">
        <f t="shared" si="5"/>
        <v>3</v>
      </c>
      <c r="K13" s="99">
        <f t="shared" si="2"/>
        <v>30</v>
      </c>
      <c r="L13" s="99"/>
      <c r="M13" s="101">
        <f t="shared" si="3"/>
        <v>52.909541527140192</v>
      </c>
      <c r="X13" s="102"/>
      <c r="AG13" s="104"/>
      <c r="AH13" s="85" t="s">
        <v>101</v>
      </c>
      <c r="AI13" s="85">
        <f>LOG(AI9)</f>
        <v>1.3617278360175928</v>
      </c>
    </row>
    <row r="14" spans="1:36" x14ac:dyDescent="0.25">
      <c r="A14" s="94">
        <f t="shared" si="4"/>
        <v>41.375092795448992</v>
      </c>
      <c r="B14" s="36">
        <f t="shared" si="0"/>
        <v>9</v>
      </c>
      <c r="C14" s="24" t="s">
        <v>21</v>
      </c>
      <c r="D14" s="24"/>
      <c r="E14" s="24"/>
      <c r="F14" s="24"/>
      <c r="G14" s="8"/>
      <c r="H14" s="95">
        <v>9</v>
      </c>
      <c r="I14" s="96">
        <f t="shared" si="1"/>
        <v>21.375092795448989</v>
      </c>
      <c r="J14" s="96">
        <f t="shared" si="5"/>
        <v>2</v>
      </c>
      <c r="K14" s="95">
        <f t="shared" si="2"/>
        <v>20</v>
      </c>
      <c r="L14" s="95"/>
      <c r="M14" s="97">
        <f t="shared" si="3"/>
        <v>41.375092795448992</v>
      </c>
      <c r="X14" s="106"/>
      <c r="Z14" s="103"/>
      <c r="AA14" s="103"/>
      <c r="AG14" s="104"/>
      <c r="AH14" s="85" t="s">
        <v>102</v>
      </c>
      <c r="AI14" s="85">
        <f>LOG(AI10)</f>
        <v>1.6532125137753437</v>
      </c>
    </row>
    <row r="15" spans="1:36" x14ac:dyDescent="0.25">
      <c r="A15" s="98">
        <f t="shared" si="4"/>
        <v>40.002481631875867</v>
      </c>
      <c r="B15" s="35">
        <f t="shared" si="0"/>
        <v>10</v>
      </c>
      <c r="C15" s="25" t="s">
        <v>95</v>
      </c>
      <c r="D15" s="25"/>
      <c r="E15" s="25"/>
      <c r="F15" s="25"/>
      <c r="G15" s="8"/>
      <c r="H15" s="99">
        <v>10</v>
      </c>
      <c r="I15" s="100">
        <f t="shared" si="1"/>
        <v>20.002481631875867</v>
      </c>
      <c r="J15" s="100">
        <f t="shared" si="5"/>
        <v>2</v>
      </c>
      <c r="K15" s="99">
        <f t="shared" si="2"/>
        <v>20</v>
      </c>
      <c r="L15" s="99"/>
      <c r="M15" s="101">
        <f t="shared" si="3"/>
        <v>40.002481631875867</v>
      </c>
      <c r="X15" s="102"/>
      <c r="Z15" s="103"/>
      <c r="AA15" s="103"/>
    </row>
    <row r="16" spans="1:36" x14ac:dyDescent="0.25">
      <c r="A16" s="94">
        <f t="shared" si="4"/>
        <v>38.760803798536031</v>
      </c>
      <c r="B16" s="36">
        <f t="shared" si="0"/>
        <v>11</v>
      </c>
      <c r="C16" s="24" t="s">
        <v>95</v>
      </c>
      <c r="D16" s="24"/>
      <c r="E16" s="24"/>
      <c r="F16" s="24"/>
      <c r="G16" s="8"/>
      <c r="H16" s="95">
        <v>11</v>
      </c>
      <c r="I16" s="96">
        <f t="shared" si="1"/>
        <v>18.760803798536031</v>
      </c>
      <c r="J16" s="96">
        <f t="shared" si="5"/>
        <v>2</v>
      </c>
      <c r="K16" s="95">
        <f t="shared" si="2"/>
        <v>20</v>
      </c>
      <c r="L16" s="95"/>
      <c r="M16" s="97">
        <f t="shared" si="3"/>
        <v>38.760803798536031</v>
      </c>
      <c r="R16" s="107"/>
      <c r="Z16" s="103"/>
      <c r="AA16" s="103"/>
      <c r="AH16" s="108" t="s">
        <v>104</v>
      </c>
      <c r="AI16" s="85">
        <f>AI11-AI12*AI13/AI14</f>
        <v>9.6393909380186855</v>
      </c>
      <c r="AJ16" s="85" t="s">
        <v>105</v>
      </c>
    </row>
    <row r="17" spans="1:19" x14ac:dyDescent="0.25">
      <c r="A17" s="98">
        <f t="shared" si="4"/>
        <v>37.627240749151284</v>
      </c>
      <c r="B17" s="35">
        <f t="shared" si="0"/>
        <v>12</v>
      </c>
      <c r="C17" s="25" t="s">
        <v>95</v>
      </c>
      <c r="D17" s="25"/>
      <c r="E17" s="25"/>
      <c r="F17" s="25"/>
      <c r="G17" s="8"/>
      <c r="H17" s="99">
        <v>12</v>
      </c>
      <c r="I17" s="100">
        <f t="shared" si="1"/>
        <v>17.627240749151284</v>
      </c>
      <c r="J17" s="100">
        <f t="shared" si="5"/>
        <v>2</v>
      </c>
      <c r="K17" s="99">
        <f t="shared" si="2"/>
        <v>20</v>
      </c>
      <c r="L17" s="99"/>
      <c r="M17" s="101">
        <f t="shared" si="3"/>
        <v>37.627240749151284</v>
      </c>
    </row>
    <row r="18" spans="1:19" x14ac:dyDescent="0.25">
      <c r="A18" s="94">
        <f t="shared" si="4"/>
        <v>36.584463828125891</v>
      </c>
      <c r="B18" s="36">
        <f t="shared" si="0"/>
        <v>13</v>
      </c>
      <c r="C18" s="24" t="s">
        <v>95</v>
      </c>
      <c r="D18" s="24"/>
      <c r="E18" s="24"/>
      <c r="F18" s="24"/>
      <c r="G18" s="8"/>
      <c r="H18" s="95">
        <v>13</v>
      </c>
      <c r="I18" s="96">
        <f t="shared" si="1"/>
        <v>16.584463828125891</v>
      </c>
      <c r="J18" s="96">
        <f t="shared" si="5"/>
        <v>2</v>
      </c>
      <c r="K18" s="95">
        <f t="shared" si="2"/>
        <v>20</v>
      </c>
      <c r="L18" s="95"/>
      <c r="M18" s="97">
        <f t="shared" si="3"/>
        <v>36.584463828125891</v>
      </c>
    </row>
    <row r="19" spans="1:19" x14ac:dyDescent="0.25">
      <c r="A19" s="98">
        <f t="shared" si="4"/>
        <v>35.61900319752003</v>
      </c>
      <c r="B19" s="35">
        <f t="shared" si="0"/>
        <v>14</v>
      </c>
      <c r="C19" s="25" t="s">
        <v>95</v>
      </c>
      <c r="D19" s="25"/>
      <c r="E19" s="25"/>
      <c r="F19" s="25"/>
      <c r="G19" s="8"/>
      <c r="H19" s="99">
        <v>14</v>
      </c>
      <c r="I19" s="100">
        <f t="shared" si="1"/>
        <v>15.61900319752003</v>
      </c>
      <c r="J19" s="100">
        <f t="shared" si="5"/>
        <v>2</v>
      </c>
      <c r="K19" s="99">
        <f t="shared" si="2"/>
        <v>20</v>
      </c>
      <c r="L19" s="99"/>
      <c r="M19" s="101">
        <f t="shared" si="3"/>
        <v>35.61900319752003</v>
      </c>
    </row>
    <row r="20" spans="1:19" x14ac:dyDescent="0.25">
      <c r="A20" s="94">
        <f t="shared" si="4"/>
        <v>34.720180853886966</v>
      </c>
      <c r="B20" s="36">
        <f t="shared" si="0"/>
        <v>15</v>
      </c>
      <c r="C20" s="24" t="s">
        <v>95</v>
      </c>
      <c r="D20" s="24"/>
      <c r="E20" s="24"/>
      <c r="F20" s="24"/>
      <c r="G20" s="8"/>
      <c r="H20" s="95">
        <v>15</v>
      </c>
      <c r="I20" s="96">
        <f t="shared" si="1"/>
        <v>14.720180853886966</v>
      </c>
      <c r="J20" s="96">
        <f t="shared" si="5"/>
        <v>2</v>
      </c>
      <c r="K20" s="95">
        <f t="shared" si="2"/>
        <v>20</v>
      </c>
      <c r="L20" s="95"/>
      <c r="M20" s="97">
        <f t="shared" si="3"/>
        <v>34.720180853886966</v>
      </c>
      <c r="R20" s="109"/>
      <c r="S20" s="110"/>
    </row>
    <row r="21" spans="1:19" x14ac:dyDescent="0.25">
      <c r="A21" s="98">
        <f t="shared" si="4"/>
        <v>33.879388702853582</v>
      </c>
      <c r="B21" s="35">
        <f t="shared" si="0"/>
        <v>16</v>
      </c>
      <c r="C21" s="25" t="s">
        <v>95</v>
      </c>
      <c r="D21" s="25"/>
      <c r="E21" s="25"/>
      <c r="F21" s="25"/>
      <c r="G21" s="8"/>
      <c r="H21" s="99">
        <v>16</v>
      </c>
      <c r="I21" s="100">
        <f t="shared" si="1"/>
        <v>13.879388702853582</v>
      </c>
      <c r="J21" s="100">
        <f t="shared" si="5"/>
        <v>2</v>
      </c>
      <c r="K21" s="99">
        <f t="shared" si="2"/>
        <v>20</v>
      </c>
      <c r="L21" s="99"/>
      <c r="M21" s="101">
        <f t="shared" si="3"/>
        <v>33.879388702853582</v>
      </c>
    </row>
    <row r="22" spans="1:19" x14ac:dyDescent="0.25">
      <c r="A22" s="94">
        <f t="shared" si="4"/>
        <v>23.089585879916704</v>
      </c>
      <c r="B22" s="36">
        <f t="shared" si="0"/>
        <v>17</v>
      </c>
      <c r="C22" s="24" t="s">
        <v>95</v>
      </c>
      <c r="D22" s="24"/>
      <c r="E22" s="24"/>
      <c r="F22" s="24"/>
      <c r="G22" s="8"/>
      <c r="H22" s="95">
        <v>17</v>
      </c>
      <c r="I22" s="96">
        <f t="shared" si="1"/>
        <v>13.089585879916704</v>
      </c>
      <c r="J22" s="96">
        <f t="shared" si="5"/>
        <v>1</v>
      </c>
      <c r="K22" s="95">
        <f t="shared" si="2"/>
        <v>10</v>
      </c>
      <c r="L22" s="95"/>
      <c r="M22" s="97">
        <f t="shared" si="3"/>
        <v>23.089585879916704</v>
      </c>
    </row>
    <row r="23" spans="1:19" x14ac:dyDescent="0.25">
      <c r="A23" s="98">
        <f t="shared" si="4"/>
        <v>22.34493997116239</v>
      </c>
      <c r="B23" s="35">
        <f t="shared" si="0"/>
        <v>18</v>
      </c>
      <c r="C23" s="25" t="s">
        <v>95</v>
      </c>
      <c r="D23" s="25"/>
      <c r="E23" s="25"/>
      <c r="F23" s="25"/>
      <c r="G23" s="8"/>
      <c r="H23" s="99">
        <v>18</v>
      </c>
      <c r="I23" s="100">
        <f t="shared" si="1"/>
        <v>12.34493997116239</v>
      </c>
      <c r="J23" s="100">
        <f t="shared" si="5"/>
        <v>1</v>
      </c>
      <c r="K23" s="99">
        <f t="shared" si="2"/>
        <v>10</v>
      </c>
      <c r="L23" s="99"/>
      <c r="M23" s="101">
        <f t="shared" si="3"/>
        <v>22.34493997116239</v>
      </c>
    </row>
    <row r="24" spans="1:19" x14ac:dyDescent="0.25">
      <c r="A24" s="94">
        <f t="shared" si="4"/>
        <v>21.640565367112636</v>
      </c>
      <c r="B24" s="36">
        <f t="shared" si="0"/>
        <v>19</v>
      </c>
      <c r="C24" s="24" t="s">
        <v>95</v>
      </c>
      <c r="D24" s="24"/>
      <c r="E24" s="24"/>
      <c r="F24" s="24"/>
      <c r="G24" s="8"/>
      <c r="H24" s="95">
        <v>19</v>
      </c>
      <c r="I24" s="96">
        <f t="shared" si="1"/>
        <v>11.640565367112636</v>
      </c>
      <c r="J24" s="96">
        <f t="shared" si="5"/>
        <v>1</v>
      </c>
      <c r="K24" s="95">
        <f t="shared" si="2"/>
        <v>10</v>
      </c>
      <c r="L24" s="95"/>
      <c r="M24" s="97">
        <f t="shared" si="3"/>
        <v>21.640565367112636</v>
      </c>
      <c r="R24" s="109"/>
      <c r="S24" s="110"/>
    </row>
    <row r="25" spans="1:19" x14ac:dyDescent="0.25">
      <c r="A25" s="98">
        <f t="shared" si="4"/>
        <v>20.972328807589264</v>
      </c>
      <c r="B25" s="35">
        <f t="shared" si="0"/>
        <v>20</v>
      </c>
      <c r="C25" s="25" t="s">
        <v>95</v>
      </c>
      <c r="D25" s="25"/>
      <c r="E25" s="25"/>
      <c r="F25" s="25"/>
      <c r="G25" s="8"/>
      <c r="H25" s="99">
        <v>20</v>
      </c>
      <c r="I25" s="100">
        <f t="shared" si="1"/>
        <v>10.972328807589264</v>
      </c>
      <c r="J25" s="100">
        <f t="shared" si="5"/>
        <v>1</v>
      </c>
      <c r="K25" s="99">
        <f t="shared" si="2"/>
        <v>10</v>
      </c>
      <c r="L25" s="99"/>
      <c r="M25" s="101">
        <f t="shared" si="3"/>
        <v>20.972328807589264</v>
      </c>
    </row>
    <row r="26" spans="1:19" x14ac:dyDescent="0.25">
      <c r="A26" s="94">
        <f t="shared" si="4"/>
        <v>20.336702419531122</v>
      </c>
      <c r="B26" s="36">
        <f t="shared" si="0"/>
        <v>21</v>
      </c>
      <c r="C26" s="24" t="s">
        <v>95</v>
      </c>
      <c r="D26" s="24"/>
      <c r="E26" s="24"/>
      <c r="F26" s="24"/>
      <c r="G26" s="8"/>
      <c r="H26" s="95">
        <v>21</v>
      </c>
      <c r="I26" s="96">
        <f t="shared" si="1"/>
        <v>10.336702419531122</v>
      </c>
      <c r="J26" s="96">
        <f t="shared" si="5"/>
        <v>1</v>
      </c>
      <c r="K26" s="95">
        <f t="shared" si="2"/>
        <v>10</v>
      </c>
      <c r="L26" s="95"/>
      <c r="M26" s="97">
        <f t="shared" si="3"/>
        <v>20.336702419531122</v>
      </c>
    </row>
    <row r="27" spans="1:19" x14ac:dyDescent="0.25">
      <c r="A27" s="98">
        <f t="shared" si="4"/>
        <v>19.730650974249428</v>
      </c>
      <c r="B27" s="35">
        <f t="shared" si="0"/>
        <v>22</v>
      </c>
      <c r="C27" s="25" t="s">
        <v>29</v>
      </c>
      <c r="D27" s="25"/>
      <c r="E27" s="25"/>
      <c r="F27" s="25"/>
      <c r="G27" s="8"/>
      <c r="H27" s="99">
        <v>22</v>
      </c>
      <c r="I27" s="100">
        <f t="shared" si="1"/>
        <v>9.7306509742494285</v>
      </c>
      <c r="J27" s="100">
        <f t="shared" si="5"/>
        <v>1</v>
      </c>
      <c r="K27" s="99">
        <f t="shared" si="2"/>
        <v>10</v>
      </c>
      <c r="L27" s="99"/>
      <c r="M27" s="101">
        <f t="shared" si="3"/>
        <v>19.730650974249428</v>
      </c>
    </row>
    <row r="28" spans="1:19" x14ac:dyDescent="0.25">
      <c r="A28" s="94">
        <f t="shared" si="4"/>
        <v>19.151544226676336</v>
      </c>
      <c r="B28" s="36">
        <f t="shared" si="0"/>
        <v>23</v>
      </c>
      <c r="C28" s="24" t="s">
        <v>95</v>
      </c>
      <c r="D28" s="24"/>
      <c r="E28" s="24"/>
      <c r="F28" s="24"/>
      <c r="G28" s="8"/>
      <c r="H28" s="95">
        <v>23</v>
      </c>
      <c r="I28" s="96">
        <f t="shared" si="1"/>
        <v>9.1515442266763358</v>
      </c>
      <c r="J28" s="96">
        <f t="shared" si="5"/>
        <v>1</v>
      </c>
      <c r="K28" s="95">
        <f t="shared" si="2"/>
        <v>10</v>
      </c>
      <c r="L28" s="95"/>
      <c r="M28" s="97">
        <f t="shared" si="3"/>
        <v>19.151544226676336</v>
      </c>
      <c r="R28" s="109"/>
      <c r="S28" s="110"/>
    </row>
    <row r="29" spans="1:19" x14ac:dyDescent="0.25">
      <c r="A29" s="98">
        <f t="shared" si="4"/>
        <v>18.597087924864688</v>
      </c>
      <c r="B29" s="35">
        <f t="shared" si="0"/>
        <v>24</v>
      </c>
      <c r="C29" s="25" t="s">
        <v>95</v>
      </c>
      <c r="D29" s="25"/>
      <c r="E29" s="25"/>
      <c r="F29" s="25"/>
      <c r="G29" s="80"/>
      <c r="H29" s="99">
        <v>24</v>
      </c>
      <c r="I29" s="100">
        <f t="shared" si="1"/>
        <v>8.5970879248646881</v>
      </c>
      <c r="J29" s="100">
        <f t="shared" si="5"/>
        <v>1</v>
      </c>
      <c r="K29" s="99">
        <f t="shared" si="2"/>
        <v>10</v>
      </c>
      <c r="L29" s="99"/>
      <c r="M29" s="101">
        <f t="shared" si="3"/>
        <v>18.597087924864688</v>
      </c>
    </row>
    <row r="30" spans="1:19" x14ac:dyDescent="0.25">
      <c r="A30" s="94">
        <f t="shared" si="4"/>
        <v>18.065268912324946</v>
      </c>
      <c r="B30" s="36">
        <f t="shared" si="0"/>
        <v>25</v>
      </c>
      <c r="C30" s="24" t="s">
        <v>95</v>
      </c>
      <c r="D30" s="24"/>
      <c r="E30" s="24"/>
      <c r="F30" s="24"/>
      <c r="G30" s="80"/>
      <c r="H30" s="95">
        <v>25</v>
      </c>
      <c r="I30" s="96">
        <f t="shared" si="1"/>
        <v>8.0652689123249459</v>
      </c>
      <c r="J30" s="96">
        <f t="shared" si="5"/>
        <v>1</v>
      </c>
      <c r="K30" s="95">
        <f t="shared" si="2"/>
        <v>10</v>
      </c>
      <c r="L30" s="95"/>
      <c r="M30" s="97">
        <f t="shared" si="3"/>
        <v>18.065268912324946</v>
      </c>
    </row>
    <row r="31" spans="1:19" x14ac:dyDescent="0.25">
      <c r="A31" s="98">
        <f t="shared" si="4"/>
        <v>17.554311003839295</v>
      </c>
      <c r="B31" s="35">
        <f t="shared" si="0"/>
        <v>26</v>
      </c>
      <c r="C31" s="25" t="s">
        <v>95</v>
      </c>
      <c r="D31" s="25"/>
      <c r="E31" s="25"/>
      <c r="F31" s="25"/>
      <c r="G31" s="80"/>
      <c r="H31" s="99">
        <v>26</v>
      </c>
      <c r="I31" s="100">
        <f t="shared" si="1"/>
        <v>7.5543110038392953</v>
      </c>
      <c r="J31" s="100">
        <f t="shared" si="5"/>
        <v>1</v>
      </c>
      <c r="K31" s="99">
        <f t="shared" si="2"/>
        <v>10</v>
      </c>
      <c r="L31" s="99"/>
      <c r="M31" s="101">
        <f t="shared" si="3"/>
        <v>17.554311003839295</v>
      </c>
    </row>
    <row r="32" spans="1:19" x14ac:dyDescent="0.25">
      <c r="A32" s="94">
        <f t="shared" si="4"/>
        <v>17.062639193173482</v>
      </c>
      <c r="B32" s="36">
        <f t="shared" si="0"/>
        <v>27</v>
      </c>
      <c r="C32" s="24" t="s">
        <v>95</v>
      </c>
      <c r="D32" s="24"/>
      <c r="E32" s="24"/>
      <c r="F32" s="24"/>
      <c r="G32" s="80"/>
      <c r="H32" s="95">
        <v>27</v>
      </c>
      <c r="I32" s="96">
        <f t="shared" si="1"/>
        <v>7.0626391931734815</v>
      </c>
      <c r="J32" s="96">
        <f t="shared" si="5"/>
        <v>1</v>
      </c>
      <c r="K32" s="95">
        <f t="shared" si="2"/>
        <v>10</v>
      </c>
      <c r="L32" s="95"/>
      <c r="M32" s="97">
        <f t="shared" si="3"/>
        <v>17.062639193173482</v>
      </c>
      <c r="R32" s="109"/>
      <c r="S32" s="110"/>
    </row>
    <row r="33" spans="1:21" x14ac:dyDescent="0.25">
      <c r="A33" s="98">
        <f t="shared" si="4"/>
        <v>16.58885037323342</v>
      </c>
      <c r="B33" s="35">
        <f t="shared" si="0"/>
        <v>28</v>
      </c>
      <c r="C33" s="25" t="s">
        <v>95</v>
      </c>
      <c r="D33" s="25"/>
      <c r="E33" s="25"/>
      <c r="F33" s="25"/>
      <c r="G33" s="80"/>
      <c r="H33" s="99">
        <v>28</v>
      </c>
      <c r="I33" s="100">
        <f t="shared" si="1"/>
        <v>6.58885037323342</v>
      </c>
      <c r="J33" s="100">
        <f t="shared" si="5"/>
        <v>1</v>
      </c>
      <c r="K33" s="99">
        <f t="shared" si="2"/>
        <v>10</v>
      </c>
      <c r="L33" s="99"/>
      <c r="M33" s="101">
        <f t="shared" si="3"/>
        <v>16.58885037323342</v>
      </c>
    </row>
    <row r="34" spans="1:21" x14ac:dyDescent="0.25">
      <c r="A34" s="94">
        <f t="shared" si="4"/>
        <v>16.13168919651811</v>
      </c>
      <c r="B34" s="36">
        <f t="shared" si="0"/>
        <v>29</v>
      </c>
      <c r="C34" s="24" t="s">
        <v>95</v>
      </c>
      <c r="D34" s="24"/>
      <c r="E34" s="24"/>
      <c r="F34" s="24"/>
      <c r="G34" s="80"/>
      <c r="H34" s="95">
        <v>29</v>
      </c>
      <c r="I34" s="96">
        <f t="shared" si="1"/>
        <v>6.13168919651811</v>
      </c>
      <c r="J34" s="96">
        <f t="shared" si="5"/>
        <v>1</v>
      </c>
      <c r="K34" s="95">
        <f t="shared" si="2"/>
        <v>10</v>
      </c>
      <c r="L34" s="95"/>
      <c r="M34" s="97">
        <f t="shared" si="3"/>
        <v>16.13168919651811</v>
      </c>
    </row>
    <row r="35" spans="1:21" x14ac:dyDescent="0.25">
      <c r="A35" s="98">
        <f t="shared" si="4"/>
        <v>15.690028029600363</v>
      </c>
      <c r="B35" s="35">
        <f t="shared" si="0"/>
        <v>30</v>
      </c>
      <c r="C35" s="25" t="s">
        <v>95</v>
      </c>
      <c r="D35" s="25"/>
      <c r="E35" s="25"/>
      <c r="F35" s="25"/>
      <c r="G35" s="80"/>
      <c r="H35" s="99">
        <v>30</v>
      </c>
      <c r="I35" s="100">
        <f t="shared" si="1"/>
        <v>5.6900280296003629</v>
      </c>
      <c r="J35" s="100">
        <f t="shared" si="5"/>
        <v>1</v>
      </c>
      <c r="K35" s="99">
        <f t="shared" si="2"/>
        <v>10</v>
      </c>
      <c r="L35" s="99"/>
      <c r="M35" s="101">
        <f t="shared" si="3"/>
        <v>15.690028029600363</v>
      </c>
    </row>
    <row r="36" spans="1:21" x14ac:dyDescent="0.25">
      <c r="A36" s="94">
        <f t="shared" si="4"/>
        <v>15.262850195689687</v>
      </c>
      <c r="B36" s="36">
        <f t="shared" si="0"/>
        <v>31</v>
      </c>
      <c r="C36" s="24" t="s">
        <v>95</v>
      </c>
      <c r="D36" s="24"/>
      <c r="E36" s="24"/>
      <c r="F36" s="24"/>
      <c r="G36" s="80"/>
      <c r="H36" s="95">
        <v>31</v>
      </c>
      <c r="I36" s="96">
        <f t="shared" si="1"/>
        <v>5.2628501956896869</v>
      </c>
      <c r="J36" s="96">
        <f t="shared" si="5"/>
        <v>1</v>
      </c>
      <c r="K36" s="95">
        <f t="shared" si="2"/>
        <v>10</v>
      </c>
      <c r="L36" s="95"/>
      <c r="M36" s="97">
        <f t="shared" si="3"/>
        <v>15.262850195689687</v>
      </c>
      <c r="R36" s="109"/>
      <c r="S36" s="110"/>
    </row>
    <row r="37" spans="1:21" x14ac:dyDescent="0.25">
      <c r="A37" s="98">
        <f t="shared" si="4"/>
        <v>14.849235878566979</v>
      </c>
      <c r="B37" s="35">
        <f t="shared" si="0"/>
        <v>32</v>
      </c>
      <c r="C37" s="25" t="s">
        <v>33</v>
      </c>
      <c r="D37" s="25"/>
      <c r="E37" s="25"/>
      <c r="F37" s="25"/>
      <c r="G37" s="80"/>
      <c r="H37" s="99">
        <v>32</v>
      </c>
      <c r="I37" s="100">
        <f t="shared" si="1"/>
        <v>4.8492358785669794</v>
      </c>
      <c r="J37" s="100">
        <f t="shared" si="5"/>
        <v>1</v>
      </c>
      <c r="K37" s="99">
        <f t="shared" si="2"/>
        <v>10</v>
      </c>
      <c r="L37" s="99"/>
      <c r="M37" s="101">
        <f t="shared" si="3"/>
        <v>14.849235878566979</v>
      </c>
    </row>
    <row r="38" spans="1:21" x14ac:dyDescent="0.25">
      <c r="A38" s="98">
        <f t="shared" si="4"/>
        <v>4.4483501962605274</v>
      </c>
      <c r="B38" s="36">
        <f t="shared" si="0"/>
        <v>33</v>
      </c>
      <c r="C38" s="24" t="s">
        <v>95</v>
      </c>
      <c r="D38" s="24"/>
      <c r="E38" s="24"/>
      <c r="F38" s="24"/>
      <c r="G38" s="80"/>
      <c r="H38" s="95">
        <v>33</v>
      </c>
      <c r="I38" s="96">
        <f t="shared" si="1"/>
        <v>4.4483501962605274</v>
      </c>
      <c r="J38" s="96">
        <f t="shared" si="5"/>
        <v>0</v>
      </c>
      <c r="K38" s="95">
        <f t="shared" si="2"/>
        <v>0</v>
      </c>
      <c r="L38" s="95"/>
      <c r="M38" s="97">
        <f t="shared" si="3"/>
        <v>4.4483501962605274</v>
      </c>
    </row>
    <row r="39" spans="1:21" x14ac:dyDescent="0.25">
      <c r="A39" s="98">
        <f t="shared" si="4"/>
        <v>4.0594330556301017</v>
      </c>
      <c r="B39" s="35">
        <f t="shared" si="0"/>
        <v>34</v>
      </c>
      <c r="C39" s="25" t="s">
        <v>95</v>
      </c>
      <c r="D39" s="25"/>
      <c r="E39" s="25"/>
      <c r="F39" s="25"/>
      <c r="G39" s="80"/>
      <c r="H39" s="99">
        <v>34</v>
      </c>
      <c r="I39" s="100">
        <f t="shared" si="1"/>
        <v>4.0594330556301017</v>
      </c>
      <c r="J39" s="100">
        <f t="shared" si="5"/>
        <v>0</v>
      </c>
      <c r="K39" s="99">
        <f t="shared" si="2"/>
        <v>0</v>
      </c>
      <c r="L39" s="99"/>
      <c r="M39" s="101">
        <f t="shared" si="3"/>
        <v>4.0594330556301017</v>
      </c>
    </row>
    <row r="40" spans="1:21" x14ac:dyDescent="0.25">
      <c r="A40" s="98">
        <f t="shared" si="4"/>
        <v>3.6817904779690949</v>
      </c>
      <c r="B40" s="36">
        <f t="shared" si="0"/>
        <v>35</v>
      </c>
      <c r="C40" s="24" t="s">
        <v>95</v>
      </c>
      <c r="D40" s="24"/>
      <c r="E40" s="24"/>
      <c r="F40" s="24"/>
      <c r="G40" s="80"/>
      <c r="H40" s="95">
        <v>35</v>
      </c>
      <c r="I40" s="96">
        <f t="shared" si="1"/>
        <v>3.6817904779690949</v>
      </c>
      <c r="J40" s="96">
        <f t="shared" si="5"/>
        <v>0</v>
      </c>
      <c r="K40" s="95">
        <f t="shared" si="2"/>
        <v>0</v>
      </c>
      <c r="L40" s="95"/>
      <c r="M40" s="97">
        <f t="shared" si="3"/>
        <v>3.6817904779690949</v>
      </c>
    </row>
    <row r="41" spans="1:21" x14ac:dyDescent="0.25">
      <c r="A41" s="98">
        <f t="shared" si="4"/>
        <v>3.3147871468757799</v>
      </c>
      <c r="B41" s="35">
        <f t="shared" si="0"/>
        <v>36</v>
      </c>
      <c r="C41" s="25" t="s">
        <v>95</v>
      </c>
      <c r="D41" s="25"/>
      <c r="E41" s="25"/>
      <c r="F41" s="25"/>
      <c r="G41" s="80"/>
      <c r="H41" s="99">
        <v>36</v>
      </c>
      <c r="I41" s="100">
        <f t="shared" si="1"/>
        <v>3.3147871468757799</v>
      </c>
      <c r="J41" s="100">
        <f t="shared" si="5"/>
        <v>0</v>
      </c>
      <c r="K41" s="99">
        <f t="shared" si="2"/>
        <v>0</v>
      </c>
      <c r="L41" s="99"/>
      <c r="M41" s="101">
        <f t="shared" si="3"/>
        <v>3.3147871468757799</v>
      </c>
      <c r="S41" s="111"/>
    </row>
    <row r="42" spans="1:21" x14ac:dyDescent="0.25">
      <c r="A42" s="98">
        <f t="shared" si="4"/>
        <v>2.9578399773763877</v>
      </c>
      <c r="B42" s="36">
        <f t="shared" si="0"/>
        <v>37</v>
      </c>
      <c r="C42" s="24" t="s">
        <v>95</v>
      </c>
      <c r="D42" s="24"/>
      <c r="E42" s="24"/>
      <c r="F42" s="24"/>
      <c r="G42" s="80"/>
      <c r="H42" s="95">
        <v>37</v>
      </c>
      <c r="I42" s="96">
        <f t="shared" si="1"/>
        <v>2.9578399773763877</v>
      </c>
      <c r="J42" s="96">
        <f t="shared" si="5"/>
        <v>0</v>
      </c>
      <c r="K42" s="95">
        <f t="shared" si="2"/>
        <v>0</v>
      </c>
      <c r="L42" s="95"/>
      <c r="M42" s="97">
        <f t="shared" si="3"/>
        <v>2.9578399773763877</v>
      </c>
    </row>
    <row r="43" spans="1:21" x14ac:dyDescent="0.25">
      <c r="A43" s="98">
        <f t="shared" si="4"/>
        <v>2.6104125428260403</v>
      </c>
      <c r="B43" s="35">
        <f t="shared" si="0"/>
        <v>38</v>
      </c>
      <c r="C43" s="25" t="s">
        <v>95</v>
      </c>
      <c r="D43" s="25"/>
      <c r="E43" s="25"/>
      <c r="F43" s="25"/>
      <c r="G43" s="80"/>
      <c r="H43" s="99">
        <v>38</v>
      </c>
      <c r="I43" s="100">
        <f t="shared" si="1"/>
        <v>2.6104125428260403</v>
      </c>
      <c r="J43" s="100">
        <f t="shared" si="5"/>
        <v>0</v>
      </c>
      <c r="K43" s="99">
        <f t="shared" si="2"/>
        <v>0</v>
      </c>
      <c r="L43" s="99"/>
      <c r="M43" s="101">
        <f t="shared" si="3"/>
        <v>2.6104125428260403</v>
      </c>
    </row>
    <row r="44" spans="1:21" x14ac:dyDescent="0.25">
      <c r="A44" s="98">
        <f t="shared" si="4"/>
        <v>2.2720102258503871</v>
      </c>
      <c r="B44" s="36">
        <f t="shared" si="0"/>
        <v>39</v>
      </c>
      <c r="C44" s="24" t="s">
        <v>95</v>
      </c>
      <c r="D44" s="24"/>
      <c r="E44" s="24"/>
      <c r="F44" s="24"/>
      <c r="G44" s="80"/>
      <c r="H44" s="95">
        <v>39</v>
      </c>
      <c r="I44" s="96">
        <f t="shared" si="1"/>
        <v>2.2720102258503871</v>
      </c>
      <c r="J44" s="96">
        <f t="shared" si="5"/>
        <v>0</v>
      </c>
      <c r="K44" s="95">
        <f t="shared" si="2"/>
        <v>0</v>
      </c>
      <c r="L44" s="95"/>
      <c r="M44" s="97">
        <f t="shared" si="3"/>
        <v>2.2720102258503871</v>
      </c>
    </row>
    <row r="45" spans="1:21" x14ac:dyDescent="0.25">
      <c r="A45" s="98">
        <f t="shared" si="4"/>
        <v>1.9421759833026684</v>
      </c>
      <c r="B45" s="35">
        <f t="shared" si="0"/>
        <v>40</v>
      </c>
      <c r="C45" s="25" t="s">
        <v>95</v>
      </c>
      <c r="D45" s="25"/>
      <c r="E45" s="25"/>
      <c r="F45" s="25"/>
      <c r="G45" s="80"/>
      <c r="H45" s="99">
        <v>40</v>
      </c>
      <c r="I45" s="100">
        <f t="shared" si="1"/>
        <v>1.9421759833026684</v>
      </c>
      <c r="J45" s="100">
        <f t="shared" si="5"/>
        <v>0</v>
      </c>
      <c r="K45" s="99">
        <f t="shared" si="2"/>
        <v>0</v>
      </c>
      <c r="L45" s="99"/>
      <c r="M45" s="101">
        <f t="shared" si="3"/>
        <v>1.9421759833026684</v>
      </c>
    </row>
    <row r="46" spans="1:21" x14ac:dyDescent="0.25">
      <c r="A46" s="98">
        <f t="shared" si="4"/>
        <v>1.620486634235661</v>
      </c>
      <c r="B46" s="36">
        <f t="shared" si="0"/>
        <v>41</v>
      </c>
      <c r="C46" s="24" t="s">
        <v>95</v>
      </c>
      <c r="D46" s="24"/>
      <c r="E46" s="24"/>
      <c r="F46" s="24"/>
      <c r="G46" s="80"/>
      <c r="H46" s="95">
        <v>41</v>
      </c>
      <c r="I46" s="96">
        <f t="shared" si="1"/>
        <v>1.620486634235661</v>
      </c>
      <c r="J46" s="96">
        <f t="shared" si="5"/>
        <v>0</v>
      </c>
      <c r="K46" s="95">
        <f t="shared" si="2"/>
        <v>0</v>
      </c>
      <c r="L46" s="95"/>
      <c r="M46" s="97">
        <f t="shared" si="3"/>
        <v>1.620486634235661</v>
      </c>
      <c r="R46" s="80">
        <f>LOG($H$2,2)</f>
        <v>5.4262647547020979</v>
      </c>
      <c r="T46" s="85">
        <f>LOG(H38,2)</f>
        <v>5.0443941193584534</v>
      </c>
      <c r="U46" s="85">
        <f>R46-T46</f>
        <v>0.38187063534364452</v>
      </c>
    </row>
    <row r="47" spans="1:21" x14ac:dyDescent="0.25">
      <c r="A47" s="98">
        <f t="shared" si="4"/>
        <v>1.3065495952445119</v>
      </c>
      <c r="B47" s="35">
        <f t="shared" si="0"/>
        <v>42</v>
      </c>
      <c r="C47" s="25" t="s">
        <v>95</v>
      </c>
      <c r="D47" s="25"/>
      <c r="E47" s="25"/>
      <c r="F47" s="25"/>
      <c r="G47" s="80"/>
      <c r="H47" s="99">
        <v>42</v>
      </c>
      <c r="I47" s="100">
        <f t="shared" si="1"/>
        <v>1.3065495952445119</v>
      </c>
      <c r="J47" s="100">
        <f t="shared" si="5"/>
        <v>0</v>
      </c>
      <c r="K47" s="99">
        <f t="shared" si="2"/>
        <v>0</v>
      </c>
      <c r="L47" s="99"/>
      <c r="M47" s="101">
        <f t="shared" si="3"/>
        <v>1.3065495952445119</v>
      </c>
    </row>
    <row r="48" spans="1:21" x14ac:dyDescent="0.25">
      <c r="A48" s="98">
        <f t="shared" si="4"/>
        <v>1</v>
      </c>
      <c r="B48" s="36">
        <f t="shared" si="0"/>
        <v>43</v>
      </c>
      <c r="C48" s="24" t="s">
        <v>95</v>
      </c>
      <c r="D48" s="24"/>
      <c r="E48" s="24"/>
      <c r="F48" s="24"/>
      <c r="G48" s="80"/>
      <c r="H48" s="95">
        <v>43</v>
      </c>
      <c r="I48" s="96">
        <f t="shared" si="1"/>
        <v>1</v>
      </c>
      <c r="J48" s="96">
        <f t="shared" si="5"/>
        <v>0</v>
      </c>
      <c r="K48" s="95">
        <f t="shared" si="2"/>
        <v>0</v>
      </c>
      <c r="L48" s="95"/>
      <c r="M48" s="97">
        <f t="shared" si="3"/>
        <v>1</v>
      </c>
    </row>
    <row r="49" spans="1:13" x14ac:dyDescent="0.25">
      <c r="A49" s="98">
        <f t="shared" si="4"/>
        <v>0</v>
      </c>
      <c r="B49" s="35" t="str">
        <f t="shared" si="0"/>
        <v/>
      </c>
      <c r="C49" s="25"/>
      <c r="D49" s="25"/>
      <c r="E49" s="25"/>
      <c r="F49" s="25"/>
      <c r="G49" s="80"/>
      <c r="H49" s="99">
        <v>44</v>
      </c>
      <c r="I49" s="100" t="str">
        <f t="shared" si="1"/>
        <v/>
      </c>
      <c r="J49" s="100">
        <f t="shared" si="5"/>
        <v>0</v>
      </c>
      <c r="K49" s="99">
        <f t="shared" si="2"/>
        <v>0</v>
      </c>
      <c r="L49" s="99"/>
      <c r="M49" s="101">
        <f t="shared" si="3"/>
        <v>0</v>
      </c>
    </row>
    <row r="50" spans="1:13" x14ac:dyDescent="0.25">
      <c r="A50" s="98">
        <f t="shared" si="4"/>
        <v>0</v>
      </c>
      <c r="B50" s="36" t="str">
        <f t="shared" si="0"/>
        <v/>
      </c>
      <c r="C50" s="24"/>
      <c r="D50" s="24"/>
      <c r="E50" s="24"/>
      <c r="F50" s="24"/>
      <c r="G50" s="80"/>
      <c r="H50" s="95">
        <v>45</v>
      </c>
      <c r="I50" s="96" t="str">
        <f t="shared" si="1"/>
        <v/>
      </c>
      <c r="J50" s="96">
        <f t="shared" si="5"/>
        <v>0</v>
      </c>
      <c r="K50" s="95">
        <f t="shared" si="2"/>
        <v>0</v>
      </c>
      <c r="L50" s="95"/>
      <c r="M50" s="97">
        <f t="shared" si="3"/>
        <v>0</v>
      </c>
    </row>
    <row r="51" spans="1:13" x14ac:dyDescent="0.25">
      <c r="A51" s="98">
        <f t="shared" si="4"/>
        <v>0</v>
      </c>
      <c r="B51" s="35" t="str">
        <f t="shared" si="0"/>
        <v/>
      </c>
      <c r="C51" s="25"/>
      <c r="D51" s="25"/>
      <c r="E51" s="25"/>
      <c r="F51" s="25"/>
      <c r="G51" s="80"/>
      <c r="H51" s="99">
        <v>46</v>
      </c>
      <c r="I51" s="100" t="str">
        <f t="shared" si="1"/>
        <v/>
      </c>
      <c r="J51" s="100">
        <f t="shared" si="5"/>
        <v>0</v>
      </c>
      <c r="K51" s="99">
        <f t="shared" si="2"/>
        <v>0</v>
      </c>
      <c r="L51" s="99"/>
      <c r="M51" s="101">
        <f t="shared" si="3"/>
        <v>0</v>
      </c>
    </row>
    <row r="52" spans="1:13" x14ac:dyDescent="0.25">
      <c r="A52" s="98">
        <f t="shared" si="4"/>
        <v>0</v>
      </c>
      <c r="B52" s="36" t="str">
        <f t="shared" si="0"/>
        <v/>
      </c>
      <c r="C52" s="24"/>
      <c r="D52" s="24"/>
      <c r="E52" s="24"/>
      <c r="F52" s="24"/>
      <c r="G52" s="80"/>
      <c r="H52" s="95">
        <v>47</v>
      </c>
      <c r="I52" s="96" t="str">
        <f t="shared" si="1"/>
        <v/>
      </c>
      <c r="J52" s="96">
        <f t="shared" si="5"/>
        <v>0</v>
      </c>
      <c r="K52" s="95">
        <f t="shared" si="2"/>
        <v>0</v>
      </c>
      <c r="L52" s="95"/>
      <c r="M52" s="97">
        <f t="shared" si="3"/>
        <v>0</v>
      </c>
    </row>
    <row r="53" spans="1:13" x14ac:dyDescent="0.25">
      <c r="A53" s="98">
        <f t="shared" si="4"/>
        <v>0</v>
      </c>
      <c r="B53" s="35" t="str">
        <f t="shared" si="0"/>
        <v/>
      </c>
      <c r="C53" s="25"/>
      <c r="D53" s="25"/>
      <c r="E53" s="25"/>
      <c r="F53" s="25"/>
      <c r="G53" s="80"/>
      <c r="H53" s="99">
        <v>48</v>
      </c>
      <c r="I53" s="100" t="str">
        <f t="shared" si="1"/>
        <v/>
      </c>
      <c r="J53" s="100">
        <f t="shared" si="5"/>
        <v>0</v>
      </c>
      <c r="K53" s="99">
        <f t="shared" si="2"/>
        <v>0</v>
      </c>
      <c r="L53" s="99"/>
      <c r="M53" s="101">
        <f t="shared" si="3"/>
        <v>0</v>
      </c>
    </row>
    <row r="54" spans="1:13" x14ac:dyDescent="0.25">
      <c r="A54" s="98">
        <f t="shared" si="4"/>
        <v>0</v>
      </c>
      <c r="B54" s="36" t="str">
        <f t="shared" si="0"/>
        <v/>
      </c>
      <c r="C54" s="24"/>
      <c r="D54" s="24"/>
      <c r="E54" s="24"/>
      <c r="F54" s="24"/>
      <c r="G54" s="80"/>
      <c r="H54" s="95">
        <v>49</v>
      </c>
      <c r="I54" s="96" t="str">
        <f t="shared" si="1"/>
        <v/>
      </c>
      <c r="J54" s="96">
        <f t="shared" si="5"/>
        <v>0</v>
      </c>
      <c r="K54" s="95">
        <f t="shared" si="2"/>
        <v>0</v>
      </c>
      <c r="L54" s="95"/>
      <c r="M54" s="97">
        <f t="shared" si="3"/>
        <v>0</v>
      </c>
    </row>
    <row r="55" spans="1:13" x14ac:dyDescent="0.25">
      <c r="A55" s="98">
        <f t="shared" si="4"/>
        <v>0</v>
      </c>
      <c r="B55" s="35" t="str">
        <f t="shared" si="0"/>
        <v/>
      </c>
      <c r="C55" s="25"/>
      <c r="D55" s="25"/>
      <c r="E55" s="25"/>
      <c r="F55" s="25"/>
      <c r="G55" s="80"/>
      <c r="H55" s="99">
        <v>50</v>
      </c>
      <c r="I55" s="100" t="str">
        <f t="shared" si="1"/>
        <v/>
      </c>
      <c r="J55" s="100">
        <f t="shared" si="5"/>
        <v>0</v>
      </c>
      <c r="K55" s="99">
        <f t="shared" si="2"/>
        <v>0</v>
      </c>
      <c r="L55" s="99"/>
      <c r="M55" s="101">
        <f t="shared" si="3"/>
        <v>0</v>
      </c>
    </row>
    <row r="56" spans="1:13" x14ac:dyDescent="0.25">
      <c r="A56" s="98">
        <f t="shared" si="4"/>
        <v>0</v>
      </c>
      <c r="B56" s="36" t="str">
        <f t="shared" si="0"/>
        <v/>
      </c>
      <c r="C56" s="24"/>
      <c r="D56" s="24"/>
      <c r="E56" s="24"/>
      <c r="F56" s="24"/>
      <c r="G56" s="80"/>
      <c r="H56" s="95">
        <v>51</v>
      </c>
      <c r="I56" s="96" t="str">
        <f t="shared" si="1"/>
        <v/>
      </c>
      <c r="J56" s="96">
        <f t="shared" si="5"/>
        <v>0</v>
      </c>
      <c r="K56" s="95">
        <f t="shared" si="2"/>
        <v>0</v>
      </c>
      <c r="L56" s="95"/>
      <c r="M56" s="97">
        <f t="shared" si="3"/>
        <v>0</v>
      </c>
    </row>
    <row r="57" spans="1:13" x14ac:dyDescent="0.25">
      <c r="A57" s="98">
        <f t="shared" si="4"/>
        <v>0</v>
      </c>
      <c r="B57" s="35" t="str">
        <f t="shared" si="0"/>
        <v/>
      </c>
      <c r="C57" s="25"/>
      <c r="D57" s="25"/>
      <c r="E57" s="25"/>
      <c r="F57" s="25"/>
      <c r="G57" s="80"/>
      <c r="H57" s="99">
        <v>52</v>
      </c>
      <c r="I57" s="100" t="str">
        <f t="shared" si="1"/>
        <v/>
      </c>
      <c r="J57" s="100">
        <f t="shared" si="5"/>
        <v>0</v>
      </c>
      <c r="K57" s="99">
        <f t="shared" si="2"/>
        <v>0</v>
      </c>
      <c r="L57" s="99"/>
      <c r="M57" s="101">
        <f t="shared" si="3"/>
        <v>0</v>
      </c>
    </row>
    <row r="58" spans="1:13" x14ac:dyDescent="0.25">
      <c r="A58" s="98">
        <f t="shared" si="4"/>
        <v>0</v>
      </c>
      <c r="B58" s="36" t="str">
        <f t="shared" si="0"/>
        <v/>
      </c>
      <c r="C58" s="24"/>
      <c r="D58" s="24"/>
      <c r="E58" s="24"/>
      <c r="F58" s="24"/>
      <c r="G58" s="80"/>
      <c r="H58" s="95">
        <v>53</v>
      </c>
      <c r="I58" s="96" t="str">
        <f t="shared" si="1"/>
        <v/>
      </c>
      <c r="J58" s="96">
        <f t="shared" si="5"/>
        <v>0</v>
      </c>
      <c r="K58" s="95">
        <f t="shared" si="2"/>
        <v>0</v>
      </c>
      <c r="L58" s="95"/>
      <c r="M58" s="97">
        <f t="shared" si="3"/>
        <v>0</v>
      </c>
    </row>
    <row r="59" spans="1:13" x14ac:dyDescent="0.25">
      <c r="A59" s="98">
        <f t="shared" si="4"/>
        <v>0</v>
      </c>
      <c r="B59" s="35" t="str">
        <f t="shared" si="0"/>
        <v/>
      </c>
      <c r="C59" s="25"/>
      <c r="D59" s="25"/>
      <c r="E59" s="25"/>
      <c r="F59" s="25"/>
      <c r="G59" s="80"/>
      <c r="H59" s="99">
        <v>54</v>
      </c>
      <c r="I59" s="100" t="str">
        <f t="shared" si="1"/>
        <v/>
      </c>
      <c r="J59" s="100">
        <f t="shared" si="5"/>
        <v>0</v>
      </c>
      <c r="K59" s="99">
        <f t="shared" si="2"/>
        <v>0</v>
      </c>
      <c r="L59" s="99"/>
      <c r="M59" s="101">
        <f t="shared" si="3"/>
        <v>0</v>
      </c>
    </row>
    <row r="60" spans="1:13" x14ac:dyDescent="0.25">
      <c r="A60" s="98">
        <f t="shared" si="4"/>
        <v>0</v>
      </c>
      <c r="B60" s="36" t="str">
        <f t="shared" si="0"/>
        <v/>
      </c>
      <c r="C60" s="24"/>
      <c r="D60" s="24"/>
      <c r="E60" s="24"/>
      <c r="F60" s="24"/>
      <c r="G60" s="80"/>
      <c r="H60" s="95">
        <v>55</v>
      </c>
      <c r="I60" s="96" t="str">
        <f t="shared" si="1"/>
        <v/>
      </c>
      <c r="J60" s="96">
        <f t="shared" si="5"/>
        <v>0</v>
      </c>
      <c r="K60" s="95">
        <f t="shared" si="2"/>
        <v>0</v>
      </c>
      <c r="L60" s="95"/>
      <c r="M60" s="97">
        <f t="shared" si="3"/>
        <v>0</v>
      </c>
    </row>
    <row r="61" spans="1:13" x14ac:dyDescent="0.25">
      <c r="A61" s="98">
        <f t="shared" si="4"/>
        <v>0</v>
      </c>
      <c r="B61" s="35" t="str">
        <f t="shared" si="0"/>
        <v/>
      </c>
      <c r="C61" s="25"/>
      <c r="D61" s="25"/>
      <c r="E61" s="25"/>
      <c r="F61" s="25"/>
      <c r="G61" s="80"/>
      <c r="H61" s="99">
        <v>56</v>
      </c>
      <c r="I61" s="100" t="str">
        <f t="shared" si="1"/>
        <v/>
      </c>
      <c r="J61" s="100">
        <f t="shared" si="5"/>
        <v>0</v>
      </c>
      <c r="K61" s="99">
        <f t="shared" si="2"/>
        <v>0</v>
      </c>
      <c r="L61" s="99"/>
      <c r="M61" s="101">
        <f t="shared" si="3"/>
        <v>0</v>
      </c>
    </row>
    <row r="62" spans="1:13" x14ac:dyDescent="0.25">
      <c r="A62" s="98">
        <f t="shared" si="4"/>
        <v>0</v>
      </c>
      <c r="B62" s="36" t="str">
        <f t="shared" si="0"/>
        <v/>
      </c>
      <c r="C62" s="24"/>
      <c r="D62" s="24"/>
      <c r="E62" s="24"/>
      <c r="F62" s="24"/>
      <c r="G62" s="80"/>
      <c r="H62" s="95">
        <v>57</v>
      </c>
      <c r="I62" s="96" t="str">
        <f t="shared" si="1"/>
        <v/>
      </c>
      <c r="J62" s="96">
        <f t="shared" si="5"/>
        <v>0</v>
      </c>
      <c r="K62" s="95">
        <f t="shared" si="2"/>
        <v>0</v>
      </c>
      <c r="L62" s="95"/>
      <c r="M62" s="97">
        <f t="shared" si="3"/>
        <v>0</v>
      </c>
    </row>
    <row r="63" spans="1:13" x14ac:dyDescent="0.25">
      <c r="A63" s="98">
        <f t="shared" si="4"/>
        <v>0</v>
      </c>
      <c r="B63" s="35" t="str">
        <f t="shared" si="0"/>
        <v/>
      </c>
      <c r="C63" s="25"/>
      <c r="D63" s="25"/>
      <c r="E63" s="25"/>
      <c r="F63" s="25"/>
      <c r="G63" s="80"/>
      <c r="H63" s="99">
        <v>58</v>
      </c>
      <c r="I63" s="100" t="str">
        <f t="shared" si="1"/>
        <v/>
      </c>
      <c r="J63" s="100">
        <f t="shared" si="5"/>
        <v>0</v>
      </c>
      <c r="K63" s="99">
        <f t="shared" si="2"/>
        <v>0</v>
      </c>
      <c r="L63" s="99"/>
      <c r="M63" s="101">
        <f t="shared" si="3"/>
        <v>0</v>
      </c>
    </row>
    <row r="64" spans="1:13" x14ac:dyDescent="0.25">
      <c r="A64" s="98">
        <f t="shared" si="4"/>
        <v>0</v>
      </c>
      <c r="B64" s="36" t="str">
        <f t="shared" si="0"/>
        <v/>
      </c>
      <c r="C64" s="24"/>
      <c r="D64" s="24"/>
      <c r="E64" s="24"/>
      <c r="F64" s="24"/>
      <c r="G64" s="80"/>
      <c r="H64" s="95">
        <v>59</v>
      </c>
      <c r="I64" s="96" t="str">
        <f t="shared" si="1"/>
        <v/>
      </c>
      <c r="J64" s="96">
        <f t="shared" si="5"/>
        <v>0</v>
      </c>
      <c r="K64" s="95">
        <f t="shared" si="2"/>
        <v>0</v>
      </c>
      <c r="L64" s="95"/>
      <c r="M64" s="97">
        <f t="shared" si="3"/>
        <v>0</v>
      </c>
    </row>
    <row r="65" spans="1:13" x14ac:dyDescent="0.25">
      <c r="A65" s="98">
        <f t="shared" si="4"/>
        <v>0</v>
      </c>
      <c r="B65" s="35" t="str">
        <f t="shared" si="0"/>
        <v/>
      </c>
      <c r="C65" s="25"/>
      <c r="D65" s="25"/>
      <c r="E65" s="25"/>
      <c r="F65" s="25"/>
      <c r="G65" s="80"/>
      <c r="H65" s="99">
        <v>60</v>
      </c>
      <c r="I65" s="100" t="str">
        <f t="shared" si="1"/>
        <v/>
      </c>
      <c r="J65" s="100">
        <f t="shared" si="5"/>
        <v>0</v>
      </c>
      <c r="K65" s="99">
        <f t="shared" si="2"/>
        <v>0</v>
      </c>
      <c r="L65" s="99"/>
      <c r="M65" s="101">
        <f t="shared" si="3"/>
        <v>0</v>
      </c>
    </row>
    <row r="66" spans="1:13" x14ac:dyDescent="0.25">
      <c r="A66" s="98">
        <f t="shared" si="4"/>
        <v>0</v>
      </c>
      <c r="B66" s="36"/>
      <c r="G66" s="80"/>
      <c r="H66" s="95">
        <v>61</v>
      </c>
      <c r="I66" s="96" t="str">
        <f t="shared" si="1"/>
        <v/>
      </c>
      <c r="J66" s="96">
        <f t="shared" si="5"/>
        <v>0</v>
      </c>
      <c r="K66" s="95">
        <f t="shared" si="2"/>
        <v>0</v>
      </c>
      <c r="L66" s="95"/>
      <c r="M66" s="97">
        <f t="shared" si="3"/>
        <v>0</v>
      </c>
    </row>
    <row r="67" spans="1:13" x14ac:dyDescent="0.25">
      <c r="A67" s="98">
        <f t="shared" si="4"/>
        <v>0</v>
      </c>
      <c r="B67" s="35"/>
      <c r="G67" s="80"/>
      <c r="H67" s="95">
        <v>62</v>
      </c>
      <c r="I67" s="96" t="str">
        <f t="shared" si="1"/>
        <v/>
      </c>
      <c r="J67" s="96">
        <f t="shared" si="5"/>
        <v>0</v>
      </c>
      <c r="K67" s="95">
        <f t="shared" si="2"/>
        <v>0</v>
      </c>
      <c r="L67" s="95"/>
      <c r="M67" s="97">
        <f t="shared" si="3"/>
        <v>0</v>
      </c>
    </row>
    <row r="68" spans="1:13" x14ac:dyDescent="0.25">
      <c r="A68" s="98">
        <f t="shared" si="4"/>
        <v>0</v>
      </c>
      <c r="B68" s="36"/>
      <c r="G68" s="80"/>
      <c r="H68" s="95">
        <v>63</v>
      </c>
      <c r="I68" s="96" t="str">
        <f t="shared" si="1"/>
        <v/>
      </c>
      <c r="J68" s="96">
        <f t="shared" si="5"/>
        <v>0</v>
      </c>
      <c r="K68" s="95">
        <f t="shared" si="2"/>
        <v>0</v>
      </c>
      <c r="L68" s="95"/>
      <c r="M68" s="97">
        <f t="shared" si="3"/>
        <v>0</v>
      </c>
    </row>
    <row r="69" spans="1:13" x14ac:dyDescent="0.25">
      <c r="A69" s="98">
        <f t="shared" si="4"/>
        <v>0</v>
      </c>
      <c r="B69" s="35"/>
      <c r="G69" s="80"/>
      <c r="H69" s="95">
        <v>64</v>
      </c>
      <c r="I69" s="96" t="str">
        <f t="shared" si="1"/>
        <v/>
      </c>
      <c r="J69" s="96">
        <f t="shared" si="5"/>
        <v>0</v>
      </c>
      <c r="K69" s="95">
        <f t="shared" si="2"/>
        <v>0</v>
      </c>
      <c r="L69" s="95"/>
      <c r="M69" s="97">
        <f t="shared" si="3"/>
        <v>0</v>
      </c>
    </row>
    <row r="70" spans="1:13" x14ac:dyDescent="0.25">
      <c r="A70" s="98">
        <f t="shared" si="4"/>
        <v>0</v>
      </c>
      <c r="G70" s="80"/>
      <c r="H70" s="95">
        <v>65</v>
      </c>
      <c r="I70" s="96" t="str">
        <f t="shared" ref="I70:I133" si="6">IF(H70&lt;$H$2+1,($I$2-($I$2-1)*(LOG(H70)/LOG($H$2))),"")</f>
        <v/>
      </c>
      <c r="J70" s="96">
        <f t="shared" si="5"/>
        <v>-1</v>
      </c>
      <c r="K70" s="95">
        <f t="shared" ref="K70:K133" si="7">J70*$J$2</f>
        <v>-10</v>
      </c>
      <c r="L70" s="95"/>
      <c r="M70" s="97">
        <f t="shared" ref="M70:M133" si="8">IF(I70&lt;&gt;"",K70+I70+L70,0)</f>
        <v>0</v>
      </c>
    </row>
    <row r="71" spans="1:13" x14ac:dyDescent="0.25">
      <c r="A71" s="98">
        <f t="shared" ref="A71:A79" si="9">M71</f>
        <v>0</v>
      </c>
      <c r="G71" s="80"/>
      <c r="H71" s="95">
        <v>66</v>
      </c>
      <c r="I71" s="96" t="str">
        <f t="shared" si="6"/>
        <v/>
      </c>
      <c r="J71" s="96">
        <f t="shared" ref="J71:J134" si="10">INT(LOG($H$2,2))-ROUNDUP(LOG(H71,2),0)+IF(OR($H$2=1,$H$2=2,$H$2=4,$H$2=8,$H$2=16,$H$2=32,$H$2=64,$H$2=128,$H$2=256),0,1)</f>
        <v>-1</v>
      </c>
      <c r="K71" s="95">
        <f t="shared" si="7"/>
        <v>-10</v>
      </c>
      <c r="L71" s="95"/>
      <c r="M71" s="97">
        <f t="shared" si="8"/>
        <v>0</v>
      </c>
    </row>
    <row r="72" spans="1:13" x14ac:dyDescent="0.25">
      <c r="A72" s="98">
        <f t="shared" si="9"/>
        <v>0</v>
      </c>
      <c r="G72" s="80"/>
      <c r="H72" s="95">
        <v>67</v>
      </c>
      <c r="I72" s="96" t="str">
        <f t="shared" si="6"/>
        <v/>
      </c>
      <c r="J72" s="96">
        <f t="shared" si="10"/>
        <v>-1</v>
      </c>
      <c r="K72" s="95">
        <f t="shared" si="7"/>
        <v>-10</v>
      </c>
      <c r="L72" s="95"/>
      <c r="M72" s="97">
        <f t="shared" si="8"/>
        <v>0</v>
      </c>
    </row>
    <row r="73" spans="1:13" x14ac:dyDescent="0.25">
      <c r="A73" s="98">
        <f t="shared" si="9"/>
        <v>0</v>
      </c>
      <c r="G73" s="80"/>
      <c r="H73" s="95">
        <v>68</v>
      </c>
      <c r="I73" s="96" t="str">
        <f t="shared" si="6"/>
        <v/>
      </c>
      <c r="J73" s="96">
        <f t="shared" si="10"/>
        <v>-1</v>
      </c>
      <c r="K73" s="95">
        <f t="shared" si="7"/>
        <v>-10</v>
      </c>
      <c r="L73" s="95"/>
      <c r="M73" s="97">
        <f t="shared" si="8"/>
        <v>0</v>
      </c>
    </row>
    <row r="74" spans="1:13" x14ac:dyDescent="0.25">
      <c r="A74" s="98">
        <f t="shared" si="9"/>
        <v>0</v>
      </c>
      <c r="G74" s="80"/>
      <c r="H74" s="95">
        <v>69</v>
      </c>
      <c r="I74" s="96" t="str">
        <f t="shared" si="6"/>
        <v/>
      </c>
      <c r="J74" s="96">
        <f t="shared" si="10"/>
        <v>-1</v>
      </c>
      <c r="K74" s="95">
        <f t="shared" si="7"/>
        <v>-10</v>
      </c>
      <c r="L74" s="95"/>
      <c r="M74" s="97">
        <f t="shared" si="8"/>
        <v>0</v>
      </c>
    </row>
    <row r="75" spans="1:13" x14ac:dyDescent="0.25">
      <c r="A75" s="98">
        <f t="shared" si="9"/>
        <v>0</v>
      </c>
      <c r="G75" s="80"/>
      <c r="H75" s="95">
        <v>70</v>
      </c>
      <c r="I75" s="96" t="str">
        <f t="shared" si="6"/>
        <v/>
      </c>
      <c r="J75" s="96">
        <f t="shared" si="10"/>
        <v>-1</v>
      </c>
      <c r="K75" s="95">
        <f t="shared" si="7"/>
        <v>-10</v>
      </c>
      <c r="L75" s="95"/>
      <c r="M75" s="97">
        <f t="shared" si="8"/>
        <v>0</v>
      </c>
    </row>
    <row r="76" spans="1:13" x14ac:dyDescent="0.25">
      <c r="A76" s="98">
        <f t="shared" si="9"/>
        <v>0</v>
      </c>
      <c r="G76" s="80"/>
      <c r="H76" s="95">
        <v>71</v>
      </c>
      <c r="I76" s="96" t="str">
        <f t="shared" si="6"/>
        <v/>
      </c>
      <c r="J76" s="96">
        <f t="shared" si="10"/>
        <v>-1</v>
      </c>
      <c r="K76" s="95">
        <f t="shared" si="7"/>
        <v>-10</v>
      </c>
      <c r="L76" s="95"/>
      <c r="M76" s="97">
        <f t="shared" si="8"/>
        <v>0</v>
      </c>
    </row>
    <row r="77" spans="1:13" x14ac:dyDescent="0.25">
      <c r="A77" s="98">
        <f t="shared" si="9"/>
        <v>0</v>
      </c>
      <c r="G77" s="80"/>
      <c r="H77" s="95">
        <v>72</v>
      </c>
      <c r="I77" s="96" t="str">
        <f t="shared" si="6"/>
        <v/>
      </c>
      <c r="J77" s="96">
        <f t="shared" si="10"/>
        <v>-1</v>
      </c>
      <c r="K77" s="95">
        <f t="shared" si="7"/>
        <v>-10</v>
      </c>
      <c r="L77" s="95"/>
      <c r="M77" s="97">
        <f t="shared" si="8"/>
        <v>0</v>
      </c>
    </row>
    <row r="78" spans="1:13" x14ac:dyDescent="0.25">
      <c r="A78" s="98">
        <f t="shared" si="9"/>
        <v>0</v>
      </c>
      <c r="G78" s="80"/>
      <c r="H78" s="95">
        <v>73</v>
      </c>
      <c r="I78" s="96" t="str">
        <f t="shared" si="6"/>
        <v/>
      </c>
      <c r="J78" s="96">
        <f t="shared" si="10"/>
        <v>-1</v>
      </c>
      <c r="K78" s="95">
        <f t="shared" si="7"/>
        <v>-10</v>
      </c>
      <c r="L78" s="95"/>
      <c r="M78" s="97">
        <f t="shared" si="8"/>
        <v>0</v>
      </c>
    </row>
    <row r="79" spans="1:13" x14ac:dyDescent="0.25">
      <c r="A79" s="98">
        <f t="shared" si="9"/>
        <v>0</v>
      </c>
      <c r="G79" s="80"/>
      <c r="H79" s="95">
        <v>74</v>
      </c>
      <c r="I79" s="96" t="str">
        <f t="shared" si="6"/>
        <v/>
      </c>
      <c r="J79" s="96">
        <f t="shared" si="10"/>
        <v>-1</v>
      </c>
      <c r="K79" s="95">
        <f t="shared" si="7"/>
        <v>-10</v>
      </c>
      <c r="L79" s="95"/>
      <c r="M79" s="97">
        <f t="shared" si="8"/>
        <v>0</v>
      </c>
    </row>
    <row r="80" spans="1:13" x14ac:dyDescent="0.25">
      <c r="A80" s="94"/>
      <c r="G80" s="80"/>
      <c r="H80" s="95">
        <v>75</v>
      </c>
      <c r="I80" s="96" t="str">
        <f t="shared" si="6"/>
        <v/>
      </c>
      <c r="J80" s="96">
        <f t="shared" si="10"/>
        <v>-1</v>
      </c>
      <c r="K80" s="95">
        <f t="shared" si="7"/>
        <v>-10</v>
      </c>
      <c r="L80" s="95"/>
      <c r="M80" s="97">
        <f t="shared" si="8"/>
        <v>0</v>
      </c>
    </row>
    <row r="81" spans="1:13" x14ac:dyDescent="0.25">
      <c r="A81" s="116"/>
      <c r="G81" s="80"/>
      <c r="H81" s="95">
        <v>76</v>
      </c>
      <c r="I81" s="96" t="str">
        <f t="shared" si="6"/>
        <v/>
      </c>
      <c r="J81" s="96">
        <f t="shared" si="10"/>
        <v>-1</v>
      </c>
      <c r="K81" s="95">
        <f t="shared" si="7"/>
        <v>-10</v>
      </c>
      <c r="L81" s="95"/>
      <c r="M81" s="97">
        <f t="shared" si="8"/>
        <v>0</v>
      </c>
    </row>
    <row r="82" spans="1:13" x14ac:dyDescent="0.25">
      <c r="A82" s="116"/>
      <c r="G82" s="80"/>
      <c r="H82" s="95">
        <v>77</v>
      </c>
      <c r="I82" s="96" t="str">
        <f t="shared" si="6"/>
        <v/>
      </c>
      <c r="J82" s="96">
        <f t="shared" si="10"/>
        <v>-1</v>
      </c>
      <c r="K82" s="95">
        <f t="shared" si="7"/>
        <v>-10</v>
      </c>
      <c r="L82" s="95"/>
      <c r="M82" s="97">
        <f t="shared" si="8"/>
        <v>0</v>
      </c>
    </row>
    <row r="83" spans="1:13" x14ac:dyDescent="0.25">
      <c r="A83" s="116"/>
      <c r="G83" s="80"/>
      <c r="H83" s="95">
        <v>78</v>
      </c>
      <c r="I83" s="96" t="str">
        <f t="shared" si="6"/>
        <v/>
      </c>
      <c r="J83" s="96">
        <f t="shared" si="10"/>
        <v>-1</v>
      </c>
      <c r="K83" s="95">
        <f t="shared" si="7"/>
        <v>-10</v>
      </c>
      <c r="L83" s="95"/>
      <c r="M83" s="97">
        <f t="shared" si="8"/>
        <v>0</v>
      </c>
    </row>
    <row r="84" spans="1:13" x14ac:dyDescent="0.25">
      <c r="A84" s="116"/>
      <c r="G84" s="80"/>
      <c r="H84" s="95">
        <v>79</v>
      </c>
      <c r="I84" s="96" t="str">
        <f t="shared" si="6"/>
        <v/>
      </c>
      <c r="J84" s="96">
        <f t="shared" si="10"/>
        <v>-1</v>
      </c>
      <c r="K84" s="95">
        <f t="shared" si="7"/>
        <v>-10</v>
      </c>
      <c r="L84" s="95"/>
      <c r="M84" s="97">
        <f t="shared" si="8"/>
        <v>0</v>
      </c>
    </row>
    <row r="85" spans="1:13" x14ac:dyDescent="0.25">
      <c r="A85" s="116"/>
      <c r="G85" s="80"/>
      <c r="H85" s="95">
        <v>80</v>
      </c>
      <c r="I85" s="96" t="str">
        <f t="shared" si="6"/>
        <v/>
      </c>
      <c r="J85" s="96">
        <f t="shared" si="10"/>
        <v>-1</v>
      </c>
      <c r="K85" s="95">
        <f t="shared" si="7"/>
        <v>-10</v>
      </c>
      <c r="L85" s="95"/>
      <c r="M85" s="97">
        <f t="shared" si="8"/>
        <v>0</v>
      </c>
    </row>
    <row r="86" spans="1:13" x14ac:dyDescent="0.25">
      <c r="A86" s="116"/>
      <c r="G86" s="80"/>
      <c r="H86" s="95">
        <v>81</v>
      </c>
      <c r="I86" s="96" t="str">
        <f t="shared" si="6"/>
        <v/>
      </c>
      <c r="J86" s="96">
        <f t="shared" si="10"/>
        <v>-1</v>
      </c>
      <c r="K86" s="95">
        <f t="shared" si="7"/>
        <v>-10</v>
      </c>
      <c r="L86" s="95"/>
      <c r="M86" s="97">
        <f t="shared" si="8"/>
        <v>0</v>
      </c>
    </row>
    <row r="87" spans="1:13" x14ac:dyDescent="0.25">
      <c r="A87" s="116"/>
      <c r="G87" s="80"/>
      <c r="H87" s="95">
        <v>82</v>
      </c>
      <c r="I87" s="96" t="str">
        <f t="shared" si="6"/>
        <v/>
      </c>
      <c r="J87" s="96">
        <f t="shared" si="10"/>
        <v>-1</v>
      </c>
      <c r="K87" s="95">
        <f t="shared" si="7"/>
        <v>-10</v>
      </c>
      <c r="L87" s="95"/>
      <c r="M87" s="97">
        <f t="shared" si="8"/>
        <v>0</v>
      </c>
    </row>
    <row r="88" spans="1:13" x14ac:dyDescent="0.25">
      <c r="A88" s="116"/>
      <c r="G88" s="80"/>
      <c r="H88" s="95">
        <v>83</v>
      </c>
      <c r="I88" s="96" t="str">
        <f t="shared" si="6"/>
        <v/>
      </c>
      <c r="J88" s="96">
        <f t="shared" si="10"/>
        <v>-1</v>
      </c>
      <c r="K88" s="95">
        <f t="shared" si="7"/>
        <v>-10</v>
      </c>
      <c r="L88" s="95"/>
      <c r="M88" s="97">
        <f t="shared" si="8"/>
        <v>0</v>
      </c>
    </row>
    <row r="89" spans="1:13" x14ac:dyDescent="0.25">
      <c r="A89" s="116"/>
      <c r="G89" s="80"/>
      <c r="H89" s="95">
        <v>84</v>
      </c>
      <c r="I89" s="96" t="str">
        <f t="shared" si="6"/>
        <v/>
      </c>
      <c r="J89" s="96">
        <f t="shared" si="10"/>
        <v>-1</v>
      </c>
      <c r="K89" s="95">
        <f t="shared" si="7"/>
        <v>-10</v>
      </c>
      <c r="L89" s="95"/>
      <c r="M89" s="97">
        <f t="shared" si="8"/>
        <v>0</v>
      </c>
    </row>
    <row r="90" spans="1:13" x14ac:dyDescent="0.25">
      <c r="A90" s="116"/>
      <c r="G90" s="80"/>
      <c r="H90" s="95">
        <v>85</v>
      </c>
      <c r="I90" s="96" t="str">
        <f t="shared" si="6"/>
        <v/>
      </c>
      <c r="J90" s="96">
        <f t="shared" si="10"/>
        <v>-1</v>
      </c>
      <c r="K90" s="95">
        <f t="shared" si="7"/>
        <v>-10</v>
      </c>
      <c r="L90" s="95"/>
      <c r="M90" s="97">
        <f t="shared" si="8"/>
        <v>0</v>
      </c>
    </row>
    <row r="91" spans="1:13" x14ac:dyDescent="0.25">
      <c r="A91" s="116"/>
      <c r="G91" s="80"/>
      <c r="H91" s="95">
        <v>86</v>
      </c>
      <c r="I91" s="96" t="str">
        <f t="shared" si="6"/>
        <v/>
      </c>
      <c r="J91" s="96">
        <f t="shared" si="10"/>
        <v>-1</v>
      </c>
      <c r="K91" s="95">
        <f t="shared" si="7"/>
        <v>-10</v>
      </c>
      <c r="L91" s="95"/>
      <c r="M91" s="97">
        <f t="shared" si="8"/>
        <v>0</v>
      </c>
    </row>
    <row r="92" spans="1:13" x14ac:dyDescent="0.25">
      <c r="A92" s="116"/>
      <c r="G92" s="80"/>
      <c r="H92" s="95">
        <v>87</v>
      </c>
      <c r="I92" s="96" t="str">
        <f t="shared" si="6"/>
        <v/>
      </c>
      <c r="J92" s="96">
        <f t="shared" si="10"/>
        <v>-1</v>
      </c>
      <c r="K92" s="95">
        <f t="shared" si="7"/>
        <v>-10</v>
      </c>
      <c r="L92" s="95"/>
      <c r="M92" s="97">
        <f t="shared" si="8"/>
        <v>0</v>
      </c>
    </row>
    <row r="93" spans="1:13" x14ac:dyDescent="0.25">
      <c r="A93" s="116"/>
      <c r="G93" s="80"/>
      <c r="H93" s="95">
        <v>88</v>
      </c>
      <c r="I93" s="96" t="str">
        <f t="shared" si="6"/>
        <v/>
      </c>
      <c r="J93" s="96">
        <f t="shared" si="10"/>
        <v>-1</v>
      </c>
      <c r="K93" s="95">
        <f t="shared" si="7"/>
        <v>-10</v>
      </c>
      <c r="L93" s="95"/>
      <c r="M93" s="97">
        <f t="shared" si="8"/>
        <v>0</v>
      </c>
    </row>
    <row r="94" spans="1:13" x14ac:dyDescent="0.25">
      <c r="A94" s="116"/>
      <c r="G94" s="80"/>
      <c r="H94" s="95">
        <v>89</v>
      </c>
      <c r="I94" s="96" t="str">
        <f t="shared" si="6"/>
        <v/>
      </c>
      <c r="J94" s="96">
        <f t="shared" si="10"/>
        <v>-1</v>
      </c>
      <c r="K94" s="95">
        <f t="shared" si="7"/>
        <v>-10</v>
      </c>
      <c r="L94" s="95"/>
      <c r="M94" s="97">
        <f t="shared" si="8"/>
        <v>0</v>
      </c>
    </row>
    <row r="95" spans="1:13" x14ac:dyDescent="0.25">
      <c r="A95" s="116"/>
      <c r="G95" s="80"/>
      <c r="H95" s="95">
        <v>90</v>
      </c>
      <c r="I95" s="96" t="str">
        <f t="shared" si="6"/>
        <v/>
      </c>
      <c r="J95" s="96">
        <f t="shared" si="10"/>
        <v>-1</v>
      </c>
      <c r="K95" s="95">
        <f t="shared" si="7"/>
        <v>-10</v>
      </c>
      <c r="L95" s="95"/>
      <c r="M95" s="97">
        <f t="shared" si="8"/>
        <v>0</v>
      </c>
    </row>
    <row r="96" spans="1:13" x14ac:dyDescent="0.25">
      <c r="A96" s="116"/>
      <c r="G96" s="80"/>
      <c r="H96" s="95">
        <v>91</v>
      </c>
      <c r="I96" s="96" t="str">
        <f t="shared" si="6"/>
        <v/>
      </c>
      <c r="J96" s="96">
        <f t="shared" si="10"/>
        <v>-1</v>
      </c>
      <c r="K96" s="95">
        <f t="shared" si="7"/>
        <v>-10</v>
      </c>
      <c r="L96" s="95"/>
      <c r="M96" s="97">
        <f t="shared" si="8"/>
        <v>0</v>
      </c>
    </row>
    <row r="97" spans="1:13" x14ac:dyDescent="0.25">
      <c r="A97" s="116"/>
      <c r="G97" s="80"/>
      <c r="H97" s="95">
        <v>92</v>
      </c>
      <c r="I97" s="96" t="str">
        <f t="shared" si="6"/>
        <v/>
      </c>
      <c r="J97" s="96">
        <f t="shared" si="10"/>
        <v>-1</v>
      </c>
      <c r="K97" s="95">
        <f t="shared" si="7"/>
        <v>-10</v>
      </c>
      <c r="L97" s="95"/>
      <c r="M97" s="97">
        <f t="shared" si="8"/>
        <v>0</v>
      </c>
    </row>
    <row r="98" spans="1:13" x14ac:dyDescent="0.25">
      <c r="A98" s="116"/>
      <c r="G98" s="80"/>
      <c r="H98" s="95">
        <v>93</v>
      </c>
      <c r="I98" s="96" t="str">
        <f t="shared" si="6"/>
        <v/>
      </c>
      <c r="J98" s="96">
        <f t="shared" si="10"/>
        <v>-1</v>
      </c>
      <c r="K98" s="95">
        <f t="shared" si="7"/>
        <v>-10</v>
      </c>
      <c r="L98" s="95"/>
      <c r="M98" s="97">
        <f t="shared" si="8"/>
        <v>0</v>
      </c>
    </row>
    <row r="99" spans="1:13" x14ac:dyDescent="0.25">
      <c r="A99" s="116"/>
      <c r="G99" s="80"/>
      <c r="H99" s="95">
        <v>94</v>
      </c>
      <c r="I99" s="96" t="str">
        <f t="shared" si="6"/>
        <v/>
      </c>
      <c r="J99" s="96">
        <f t="shared" si="10"/>
        <v>-1</v>
      </c>
      <c r="K99" s="95">
        <f t="shared" si="7"/>
        <v>-10</v>
      </c>
      <c r="L99" s="95"/>
      <c r="M99" s="97">
        <f t="shared" si="8"/>
        <v>0</v>
      </c>
    </row>
    <row r="100" spans="1:13" x14ac:dyDescent="0.25">
      <c r="A100" s="116"/>
      <c r="G100" s="80"/>
      <c r="H100" s="95">
        <v>95</v>
      </c>
      <c r="I100" s="96" t="str">
        <f t="shared" si="6"/>
        <v/>
      </c>
      <c r="J100" s="96">
        <f t="shared" si="10"/>
        <v>-1</v>
      </c>
      <c r="K100" s="95">
        <f t="shared" si="7"/>
        <v>-10</v>
      </c>
      <c r="L100" s="95"/>
      <c r="M100" s="97">
        <f t="shared" si="8"/>
        <v>0</v>
      </c>
    </row>
    <row r="101" spans="1:13" x14ac:dyDescent="0.25">
      <c r="A101" s="116"/>
      <c r="G101" s="80"/>
      <c r="H101" s="95">
        <v>96</v>
      </c>
      <c r="I101" s="96" t="str">
        <f t="shared" si="6"/>
        <v/>
      </c>
      <c r="J101" s="96">
        <f t="shared" si="10"/>
        <v>-1</v>
      </c>
      <c r="K101" s="95">
        <f t="shared" si="7"/>
        <v>-10</v>
      </c>
      <c r="L101" s="95"/>
      <c r="M101" s="97">
        <f t="shared" si="8"/>
        <v>0</v>
      </c>
    </row>
    <row r="102" spans="1:13" x14ac:dyDescent="0.25">
      <c r="A102" s="116"/>
      <c r="G102" s="80"/>
      <c r="H102" s="95">
        <v>97</v>
      </c>
      <c r="I102" s="96" t="str">
        <f t="shared" si="6"/>
        <v/>
      </c>
      <c r="J102" s="96">
        <f t="shared" si="10"/>
        <v>-1</v>
      </c>
      <c r="K102" s="95">
        <f t="shared" si="7"/>
        <v>-10</v>
      </c>
      <c r="L102" s="95"/>
      <c r="M102" s="97">
        <f t="shared" si="8"/>
        <v>0</v>
      </c>
    </row>
    <row r="103" spans="1:13" x14ac:dyDescent="0.25">
      <c r="A103" s="116"/>
      <c r="G103" s="80"/>
      <c r="H103" s="95">
        <v>98</v>
      </c>
      <c r="I103" s="96" t="str">
        <f t="shared" si="6"/>
        <v/>
      </c>
      <c r="J103" s="96">
        <f t="shared" si="10"/>
        <v>-1</v>
      </c>
      <c r="K103" s="95">
        <f t="shared" si="7"/>
        <v>-10</v>
      </c>
      <c r="L103" s="95"/>
      <c r="M103" s="97">
        <f t="shared" si="8"/>
        <v>0</v>
      </c>
    </row>
    <row r="104" spans="1:13" x14ac:dyDescent="0.25">
      <c r="A104" s="116"/>
      <c r="G104" s="80"/>
      <c r="H104" s="95">
        <v>99</v>
      </c>
      <c r="I104" s="96" t="str">
        <f t="shared" si="6"/>
        <v/>
      </c>
      <c r="J104" s="96">
        <f t="shared" si="10"/>
        <v>-1</v>
      </c>
      <c r="K104" s="95">
        <f t="shared" si="7"/>
        <v>-10</v>
      </c>
      <c r="L104" s="95"/>
      <c r="M104" s="97">
        <f t="shared" si="8"/>
        <v>0</v>
      </c>
    </row>
    <row r="105" spans="1:13" x14ac:dyDescent="0.25">
      <c r="A105" s="116"/>
      <c r="G105" s="80"/>
      <c r="H105" s="95">
        <v>100</v>
      </c>
      <c r="I105" s="96" t="str">
        <f t="shared" si="6"/>
        <v/>
      </c>
      <c r="J105" s="96">
        <f t="shared" si="10"/>
        <v>-1</v>
      </c>
      <c r="K105" s="95">
        <f t="shared" si="7"/>
        <v>-10</v>
      </c>
      <c r="L105" s="95"/>
      <c r="M105" s="97">
        <f t="shared" si="8"/>
        <v>0</v>
      </c>
    </row>
    <row r="106" spans="1:13" x14ac:dyDescent="0.25">
      <c r="A106" s="116"/>
      <c r="G106" s="80"/>
      <c r="H106" s="95">
        <v>101</v>
      </c>
      <c r="I106" s="96" t="str">
        <f t="shared" si="6"/>
        <v/>
      </c>
      <c r="J106" s="96">
        <f t="shared" si="10"/>
        <v>-1</v>
      </c>
      <c r="K106" s="95">
        <f t="shared" si="7"/>
        <v>-10</v>
      </c>
      <c r="L106" s="95"/>
      <c r="M106" s="97">
        <f t="shared" si="8"/>
        <v>0</v>
      </c>
    </row>
    <row r="107" spans="1:13" x14ac:dyDescent="0.25">
      <c r="A107" s="116"/>
      <c r="G107" s="80"/>
      <c r="H107" s="95">
        <v>102</v>
      </c>
      <c r="I107" s="96" t="str">
        <f t="shared" si="6"/>
        <v/>
      </c>
      <c r="J107" s="96">
        <f t="shared" si="10"/>
        <v>-1</v>
      </c>
      <c r="K107" s="95">
        <f t="shared" si="7"/>
        <v>-10</v>
      </c>
      <c r="L107" s="95"/>
      <c r="M107" s="97">
        <f t="shared" si="8"/>
        <v>0</v>
      </c>
    </row>
    <row r="108" spans="1:13" x14ac:dyDescent="0.25">
      <c r="A108" s="116"/>
      <c r="G108" s="80"/>
      <c r="H108" s="95">
        <v>103</v>
      </c>
      <c r="I108" s="96" t="str">
        <f t="shared" si="6"/>
        <v/>
      </c>
      <c r="J108" s="96">
        <f t="shared" si="10"/>
        <v>-1</v>
      </c>
      <c r="K108" s="95">
        <f t="shared" si="7"/>
        <v>-10</v>
      </c>
      <c r="L108" s="95"/>
      <c r="M108" s="97">
        <f t="shared" si="8"/>
        <v>0</v>
      </c>
    </row>
    <row r="109" spans="1:13" x14ac:dyDescent="0.25">
      <c r="A109" s="116"/>
      <c r="G109" s="80"/>
      <c r="H109" s="95">
        <v>104</v>
      </c>
      <c r="I109" s="96" t="str">
        <f t="shared" si="6"/>
        <v/>
      </c>
      <c r="J109" s="96">
        <f t="shared" si="10"/>
        <v>-1</v>
      </c>
      <c r="K109" s="95">
        <f t="shared" si="7"/>
        <v>-10</v>
      </c>
      <c r="L109" s="95"/>
      <c r="M109" s="97">
        <f t="shared" si="8"/>
        <v>0</v>
      </c>
    </row>
    <row r="110" spans="1:13" x14ac:dyDescent="0.25">
      <c r="A110" s="116"/>
      <c r="G110" s="80"/>
      <c r="H110" s="95">
        <v>105</v>
      </c>
      <c r="I110" s="96" t="str">
        <f t="shared" si="6"/>
        <v/>
      </c>
      <c r="J110" s="96">
        <f t="shared" si="10"/>
        <v>-1</v>
      </c>
      <c r="K110" s="95">
        <f t="shared" si="7"/>
        <v>-10</v>
      </c>
      <c r="L110" s="95"/>
      <c r="M110" s="97">
        <f t="shared" si="8"/>
        <v>0</v>
      </c>
    </row>
    <row r="111" spans="1:13" x14ac:dyDescent="0.25">
      <c r="A111" s="116"/>
      <c r="G111" s="80"/>
      <c r="H111" s="95">
        <v>106</v>
      </c>
      <c r="I111" s="96" t="str">
        <f t="shared" si="6"/>
        <v/>
      </c>
      <c r="J111" s="96">
        <f t="shared" si="10"/>
        <v>-1</v>
      </c>
      <c r="K111" s="95">
        <f t="shared" si="7"/>
        <v>-10</v>
      </c>
      <c r="L111" s="95"/>
      <c r="M111" s="97">
        <f t="shared" si="8"/>
        <v>0</v>
      </c>
    </row>
    <row r="112" spans="1:13" x14ac:dyDescent="0.25">
      <c r="A112" s="116"/>
      <c r="G112" s="80"/>
      <c r="H112" s="95">
        <v>107</v>
      </c>
      <c r="I112" s="96" t="str">
        <f t="shared" si="6"/>
        <v/>
      </c>
      <c r="J112" s="96">
        <f t="shared" si="10"/>
        <v>-1</v>
      </c>
      <c r="K112" s="95">
        <f t="shared" si="7"/>
        <v>-10</v>
      </c>
      <c r="L112" s="95"/>
      <c r="M112" s="97">
        <f t="shared" si="8"/>
        <v>0</v>
      </c>
    </row>
    <row r="113" spans="1:13" x14ac:dyDescent="0.25">
      <c r="A113" s="116"/>
      <c r="G113" s="80"/>
      <c r="H113" s="95">
        <v>108</v>
      </c>
      <c r="I113" s="96" t="str">
        <f t="shared" si="6"/>
        <v/>
      </c>
      <c r="J113" s="96">
        <f t="shared" si="10"/>
        <v>-1</v>
      </c>
      <c r="K113" s="95">
        <f t="shared" si="7"/>
        <v>-10</v>
      </c>
      <c r="L113" s="95"/>
      <c r="M113" s="97">
        <f t="shared" si="8"/>
        <v>0</v>
      </c>
    </row>
    <row r="114" spans="1:13" x14ac:dyDescent="0.25">
      <c r="A114" s="116"/>
      <c r="G114" s="80"/>
      <c r="H114" s="95">
        <v>109</v>
      </c>
      <c r="I114" s="96" t="str">
        <f t="shared" si="6"/>
        <v/>
      </c>
      <c r="J114" s="96">
        <f t="shared" si="10"/>
        <v>-1</v>
      </c>
      <c r="K114" s="95">
        <f t="shared" si="7"/>
        <v>-10</v>
      </c>
      <c r="L114" s="95"/>
      <c r="M114" s="97">
        <f t="shared" si="8"/>
        <v>0</v>
      </c>
    </row>
    <row r="115" spans="1:13" x14ac:dyDescent="0.25">
      <c r="A115" s="116"/>
      <c r="G115" s="80"/>
      <c r="H115" s="95">
        <v>110</v>
      </c>
      <c r="I115" s="96" t="str">
        <f t="shared" si="6"/>
        <v/>
      </c>
      <c r="J115" s="96">
        <f t="shared" si="10"/>
        <v>-1</v>
      </c>
      <c r="K115" s="95">
        <f t="shared" si="7"/>
        <v>-10</v>
      </c>
      <c r="L115" s="95"/>
      <c r="M115" s="97">
        <f t="shared" si="8"/>
        <v>0</v>
      </c>
    </row>
    <row r="116" spans="1:13" x14ac:dyDescent="0.25">
      <c r="A116" s="116"/>
      <c r="G116" s="80"/>
      <c r="H116" s="95">
        <v>111</v>
      </c>
      <c r="I116" s="96" t="str">
        <f t="shared" si="6"/>
        <v/>
      </c>
      <c r="J116" s="96">
        <f t="shared" si="10"/>
        <v>-1</v>
      </c>
      <c r="K116" s="95">
        <f t="shared" si="7"/>
        <v>-10</v>
      </c>
      <c r="L116" s="95"/>
      <c r="M116" s="97">
        <f t="shared" si="8"/>
        <v>0</v>
      </c>
    </row>
    <row r="117" spans="1:13" x14ac:dyDescent="0.25">
      <c r="A117" s="116"/>
      <c r="G117" s="80"/>
      <c r="H117" s="95">
        <v>112</v>
      </c>
      <c r="I117" s="96" t="str">
        <f t="shared" si="6"/>
        <v/>
      </c>
      <c r="J117" s="96">
        <f t="shared" si="10"/>
        <v>-1</v>
      </c>
      <c r="K117" s="95">
        <f t="shared" si="7"/>
        <v>-10</v>
      </c>
      <c r="L117" s="95"/>
      <c r="M117" s="97">
        <f t="shared" si="8"/>
        <v>0</v>
      </c>
    </row>
    <row r="118" spans="1:13" x14ac:dyDescent="0.25">
      <c r="A118" s="116"/>
      <c r="G118" s="80"/>
      <c r="H118" s="95">
        <v>113</v>
      </c>
      <c r="I118" s="96" t="str">
        <f t="shared" si="6"/>
        <v/>
      </c>
      <c r="J118" s="96">
        <f t="shared" si="10"/>
        <v>-1</v>
      </c>
      <c r="K118" s="95">
        <f t="shared" si="7"/>
        <v>-10</v>
      </c>
      <c r="L118" s="95"/>
      <c r="M118" s="97">
        <f t="shared" si="8"/>
        <v>0</v>
      </c>
    </row>
    <row r="119" spans="1:13" x14ac:dyDescent="0.25">
      <c r="A119" s="116"/>
      <c r="G119" s="80"/>
      <c r="H119" s="95">
        <v>114</v>
      </c>
      <c r="I119" s="96" t="str">
        <f t="shared" si="6"/>
        <v/>
      </c>
      <c r="J119" s="96">
        <f t="shared" si="10"/>
        <v>-1</v>
      </c>
      <c r="K119" s="95">
        <f t="shared" si="7"/>
        <v>-10</v>
      </c>
      <c r="L119" s="95"/>
      <c r="M119" s="97">
        <f t="shared" si="8"/>
        <v>0</v>
      </c>
    </row>
    <row r="120" spans="1:13" x14ac:dyDescent="0.25">
      <c r="A120" s="116"/>
      <c r="G120" s="80"/>
      <c r="H120" s="95">
        <v>115</v>
      </c>
      <c r="I120" s="96" t="str">
        <f t="shared" si="6"/>
        <v/>
      </c>
      <c r="J120" s="96">
        <f t="shared" si="10"/>
        <v>-1</v>
      </c>
      <c r="K120" s="95">
        <f t="shared" si="7"/>
        <v>-10</v>
      </c>
      <c r="L120" s="95"/>
      <c r="M120" s="97">
        <f t="shared" si="8"/>
        <v>0</v>
      </c>
    </row>
    <row r="121" spans="1:13" x14ac:dyDescent="0.25">
      <c r="A121" s="116"/>
      <c r="G121" s="80"/>
      <c r="H121" s="95">
        <v>116</v>
      </c>
      <c r="I121" s="96" t="str">
        <f t="shared" si="6"/>
        <v/>
      </c>
      <c r="J121" s="96">
        <f t="shared" si="10"/>
        <v>-1</v>
      </c>
      <c r="K121" s="95">
        <f t="shared" si="7"/>
        <v>-10</v>
      </c>
      <c r="L121" s="95"/>
      <c r="M121" s="97">
        <f t="shared" si="8"/>
        <v>0</v>
      </c>
    </row>
    <row r="122" spans="1:13" x14ac:dyDescent="0.25">
      <c r="A122" s="116"/>
      <c r="G122" s="80"/>
      <c r="H122" s="95">
        <v>117</v>
      </c>
      <c r="I122" s="96" t="str">
        <f t="shared" si="6"/>
        <v/>
      </c>
      <c r="J122" s="96">
        <f t="shared" si="10"/>
        <v>-1</v>
      </c>
      <c r="K122" s="95">
        <f t="shared" si="7"/>
        <v>-10</v>
      </c>
      <c r="L122" s="95"/>
      <c r="M122" s="97">
        <f t="shared" si="8"/>
        <v>0</v>
      </c>
    </row>
    <row r="123" spans="1:13" x14ac:dyDescent="0.25">
      <c r="A123" s="116"/>
      <c r="G123" s="80"/>
      <c r="H123" s="95">
        <v>118</v>
      </c>
      <c r="I123" s="96" t="str">
        <f t="shared" si="6"/>
        <v/>
      </c>
      <c r="J123" s="96">
        <f t="shared" si="10"/>
        <v>-1</v>
      </c>
      <c r="K123" s="95">
        <f t="shared" si="7"/>
        <v>-10</v>
      </c>
      <c r="L123" s="95"/>
      <c r="M123" s="97">
        <f t="shared" si="8"/>
        <v>0</v>
      </c>
    </row>
    <row r="124" spans="1:13" x14ac:dyDescent="0.25">
      <c r="A124" s="116"/>
      <c r="G124" s="80"/>
      <c r="H124" s="95">
        <v>119</v>
      </c>
      <c r="I124" s="96" t="str">
        <f t="shared" si="6"/>
        <v/>
      </c>
      <c r="J124" s="96">
        <f t="shared" si="10"/>
        <v>-1</v>
      </c>
      <c r="K124" s="95">
        <f t="shared" si="7"/>
        <v>-10</v>
      </c>
      <c r="L124" s="95"/>
      <c r="M124" s="97">
        <f t="shared" si="8"/>
        <v>0</v>
      </c>
    </row>
    <row r="125" spans="1:13" x14ac:dyDescent="0.25">
      <c r="A125" s="116"/>
      <c r="G125" s="80"/>
      <c r="H125" s="95">
        <v>120</v>
      </c>
      <c r="I125" s="96" t="str">
        <f t="shared" si="6"/>
        <v/>
      </c>
      <c r="J125" s="96">
        <f t="shared" si="10"/>
        <v>-1</v>
      </c>
      <c r="K125" s="95">
        <f t="shared" si="7"/>
        <v>-10</v>
      </c>
      <c r="L125" s="95"/>
      <c r="M125" s="97">
        <f t="shared" si="8"/>
        <v>0</v>
      </c>
    </row>
    <row r="126" spans="1:13" x14ac:dyDescent="0.25">
      <c r="A126" s="116"/>
      <c r="G126" s="80"/>
      <c r="H126" s="95">
        <v>121</v>
      </c>
      <c r="I126" s="96" t="str">
        <f t="shared" si="6"/>
        <v/>
      </c>
      <c r="J126" s="96">
        <f t="shared" si="10"/>
        <v>-1</v>
      </c>
      <c r="K126" s="95">
        <f t="shared" si="7"/>
        <v>-10</v>
      </c>
      <c r="L126" s="95"/>
      <c r="M126" s="97">
        <f t="shared" si="8"/>
        <v>0</v>
      </c>
    </row>
    <row r="127" spans="1:13" x14ac:dyDescent="0.25">
      <c r="A127" s="116"/>
      <c r="G127" s="80"/>
      <c r="H127" s="95">
        <v>122</v>
      </c>
      <c r="I127" s="96" t="str">
        <f t="shared" si="6"/>
        <v/>
      </c>
      <c r="J127" s="96">
        <f t="shared" si="10"/>
        <v>-1</v>
      </c>
      <c r="K127" s="95">
        <f t="shared" si="7"/>
        <v>-10</v>
      </c>
      <c r="L127" s="95"/>
      <c r="M127" s="97">
        <f t="shared" si="8"/>
        <v>0</v>
      </c>
    </row>
    <row r="128" spans="1:13" x14ac:dyDescent="0.25">
      <c r="A128" s="116"/>
      <c r="G128" s="80"/>
      <c r="H128" s="95">
        <v>123</v>
      </c>
      <c r="I128" s="96" t="str">
        <f t="shared" si="6"/>
        <v/>
      </c>
      <c r="J128" s="96">
        <f t="shared" si="10"/>
        <v>-1</v>
      </c>
      <c r="K128" s="95">
        <f t="shared" si="7"/>
        <v>-10</v>
      </c>
      <c r="L128" s="95"/>
      <c r="M128" s="97">
        <f t="shared" si="8"/>
        <v>0</v>
      </c>
    </row>
    <row r="129" spans="1:13" x14ac:dyDescent="0.25">
      <c r="A129" s="116"/>
      <c r="G129" s="80"/>
      <c r="H129" s="95">
        <v>124</v>
      </c>
      <c r="I129" s="96" t="str">
        <f t="shared" si="6"/>
        <v/>
      </c>
      <c r="J129" s="96">
        <f t="shared" si="10"/>
        <v>-1</v>
      </c>
      <c r="K129" s="95">
        <f t="shared" si="7"/>
        <v>-10</v>
      </c>
      <c r="L129" s="95"/>
      <c r="M129" s="97">
        <f t="shared" si="8"/>
        <v>0</v>
      </c>
    </row>
    <row r="130" spans="1:13" x14ac:dyDescent="0.25">
      <c r="A130" s="116"/>
      <c r="G130" s="80"/>
      <c r="H130" s="95">
        <v>125</v>
      </c>
      <c r="I130" s="96" t="str">
        <f t="shared" si="6"/>
        <v/>
      </c>
      <c r="J130" s="96">
        <f t="shared" si="10"/>
        <v>-1</v>
      </c>
      <c r="K130" s="95">
        <f t="shared" si="7"/>
        <v>-10</v>
      </c>
      <c r="L130" s="95"/>
      <c r="M130" s="97">
        <f t="shared" si="8"/>
        <v>0</v>
      </c>
    </row>
    <row r="131" spans="1:13" x14ac:dyDescent="0.25">
      <c r="A131" s="116"/>
      <c r="G131" s="80"/>
      <c r="H131" s="95">
        <v>126</v>
      </c>
      <c r="I131" s="96" t="str">
        <f t="shared" si="6"/>
        <v/>
      </c>
      <c r="J131" s="96">
        <f t="shared" si="10"/>
        <v>-1</v>
      </c>
      <c r="K131" s="95">
        <f t="shared" si="7"/>
        <v>-10</v>
      </c>
      <c r="L131" s="95"/>
      <c r="M131" s="97">
        <f t="shared" si="8"/>
        <v>0</v>
      </c>
    </row>
    <row r="132" spans="1:13" x14ac:dyDescent="0.25">
      <c r="A132" s="116"/>
      <c r="G132" s="80"/>
      <c r="H132" s="95">
        <v>127</v>
      </c>
      <c r="I132" s="96" t="str">
        <f t="shared" si="6"/>
        <v/>
      </c>
      <c r="J132" s="96">
        <f t="shared" si="10"/>
        <v>-1</v>
      </c>
      <c r="K132" s="95">
        <f t="shared" si="7"/>
        <v>-10</v>
      </c>
      <c r="L132" s="95"/>
      <c r="M132" s="97">
        <f t="shared" si="8"/>
        <v>0</v>
      </c>
    </row>
    <row r="133" spans="1:13" x14ac:dyDescent="0.25">
      <c r="A133" s="116"/>
      <c r="G133" s="80"/>
      <c r="H133" s="95">
        <v>128</v>
      </c>
      <c r="I133" s="96" t="str">
        <f t="shared" si="6"/>
        <v/>
      </c>
      <c r="J133" s="96">
        <f t="shared" si="10"/>
        <v>-1</v>
      </c>
      <c r="K133" s="95">
        <f t="shared" si="7"/>
        <v>-10</v>
      </c>
      <c r="L133" s="95"/>
      <c r="M133" s="97">
        <f t="shared" si="8"/>
        <v>0</v>
      </c>
    </row>
    <row r="134" spans="1:13" x14ac:dyDescent="0.25">
      <c r="A134" s="116"/>
      <c r="G134" s="80"/>
      <c r="H134" s="95">
        <v>129</v>
      </c>
      <c r="I134" s="96" t="str">
        <f t="shared" ref="I134:I197" si="11">IF(H134&lt;$H$2+1,($I$2-($I$2-1)*(LOG(H134)/LOG($H$2))),"")</f>
        <v/>
      </c>
      <c r="J134" s="96">
        <f t="shared" si="10"/>
        <v>-2</v>
      </c>
      <c r="K134" s="95">
        <f t="shared" ref="K134:K197" si="12">J134*$J$2</f>
        <v>-20</v>
      </c>
      <c r="L134" s="95"/>
      <c r="M134" s="97">
        <f t="shared" ref="M134:M197" si="13">IF(I134&lt;&gt;"",K134+I134+L134,0)</f>
        <v>0</v>
      </c>
    </row>
    <row r="135" spans="1:13" x14ac:dyDescent="0.25">
      <c r="A135" s="116"/>
      <c r="G135" s="80"/>
      <c r="H135" s="95">
        <v>130</v>
      </c>
      <c r="I135" s="96" t="str">
        <f t="shared" si="11"/>
        <v/>
      </c>
      <c r="J135" s="96">
        <f t="shared" ref="J135:J198" si="14">INT(LOG($H$2,2))-ROUNDUP(LOG(H135,2),0)+IF(OR($H$2=1,$H$2=2,$H$2=4,$H$2=8,$H$2=16,$H$2=32,$H$2=64,$H$2=128,$H$2=256),0,1)</f>
        <v>-2</v>
      </c>
      <c r="K135" s="95">
        <f t="shared" si="12"/>
        <v>-20</v>
      </c>
      <c r="L135" s="95"/>
      <c r="M135" s="97">
        <f t="shared" si="13"/>
        <v>0</v>
      </c>
    </row>
    <row r="136" spans="1:13" x14ac:dyDescent="0.25">
      <c r="A136" s="116"/>
      <c r="G136" s="80"/>
      <c r="H136" s="95">
        <v>131</v>
      </c>
      <c r="I136" s="96" t="str">
        <f t="shared" si="11"/>
        <v/>
      </c>
      <c r="J136" s="96">
        <f t="shared" si="14"/>
        <v>-2</v>
      </c>
      <c r="K136" s="95">
        <f t="shared" si="12"/>
        <v>-20</v>
      </c>
      <c r="L136" s="95"/>
      <c r="M136" s="97">
        <f t="shared" si="13"/>
        <v>0</v>
      </c>
    </row>
    <row r="137" spans="1:13" x14ac:dyDescent="0.25">
      <c r="A137" s="116"/>
      <c r="G137" s="80"/>
      <c r="H137" s="95">
        <v>132</v>
      </c>
      <c r="I137" s="96" t="str">
        <f t="shared" si="11"/>
        <v/>
      </c>
      <c r="J137" s="96">
        <f t="shared" si="14"/>
        <v>-2</v>
      </c>
      <c r="K137" s="95">
        <f t="shared" si="12"/>
        <v>-20</v>
      </c>
      <c r="L137" s="95"/>
      <c r="M137" s="97">
        <f t="shared" si="13"/>
        <v>0</v>
      </c>
    </row>
    <row r="138" spans="1:13" x14ac:dyDescent="0.25">
      <c r="A138" s="116"/>
      <c r="G138" s="80"/>
      <c r="H138" s="95">
        <v>133</v>
      </c>
      <c r="I138" s="96" t="str">
        <f t="shared" si="11"/>
        <v/>
      </c>
      <c r="J138" s="96">
        <f t="shared" si="14"/>
        <v>-2</v>
      </c>
      <c r="K138" s="95">
        <f t="shared" si="12"/>
        <v>-20</v>
      </c>
      <c r="L138" s="95"/>
      <c r="M138" s="97">
        <f t="shared" si="13"/>
        <v>0</v>
      </c>
    </row>
    <row r="139" spans="1:13" x14ac:dyDescent="0.25">
      <c r="A139" s="116"/>
      <c r="G139" s="80"/>
      <c r="H139" s="95">
        <v>134</v>
      </c>
      <c r="I139" s="96" t="str">
        <f t="shared" si="11"/>
        <v/>
      </c>
      <c r="J139" s="96">
        <f t="shared" si="14"/>
        <v>-2</v>
      </c>
      <c r="K139" s="95">
        <f t="shared" si="12"/>
        <v>-20</v>
      </c>
      <c r="L139" s="95"/>
      <c r="M139" s="97">
        <f t="shared" si="13"/>
        <v>0</v>
      </c>
    </row>
    <row r="140" spans="1:13" x14ac:dyDescent="0.25">
      <c r="A140" s="116"/>
      <c r="G140" s="80"/>
      <c r="H140" s="95">
        <v>135</v>
      </c>
      <c r="I140" s="96" t="str">
        <f t="shared" si="11"/>
        <v/>
      </c>
      <c r="J140" s="96">
        <f t="shared" si="14"/>
        <v>-2</v>
      </c>
      <c r="K140" s="95">
        <f t="shared" si="12"/>
        <v>-20</v>
      </c>
      <c r="L140" s="95"/>
      <c r="M140" s="97">
        <f t="shared" si="13"/>
        <v>0</v>
      </c>
    </row>
    <row r="141" spans="1:13" x14ac:dyDescent="0.25">
      <c r="A141" s="116"/>
      <c r="G141" s="80"/>
      <c r="H141" s="95">
        <v>136</v>
      </c>
      <c r="I141" s="96" t="str">
        <f t="shared" si="11"/>
        <v/>
      </c>
      <c r="J141" s="96">
        <f t="shared" si="14"/>
        <v>-2</v>
      </c>
      <c r="K141" s="95">
        <f t="shared" si="12"/>
        <v>-20</v>
      </c>
      <c r="L141" s="95"/>
      <c r="M141" s="97">
        <f t="shared" si="13"/>
        <v>0</v>
      </c>
    </row>
    <row r="142" spans="1:13" x14ac:dyDescent="0.25">
      <c r="A142" s="116"/>
      <c r="G142" s="80"/>
      <c r="H142" s="95">
        <v>137</v>
      </c>
      <c r="I142" s="96" t="str">
        <f t="shared" si="11"/>
        <v/>
      </c>
      <c r="J142" s="96">
        <f t="shared" si="14"/>
        <v>-2</v>
      </c>
      <c r="K142" s="95">
        <f t="shared" si="12"/>
        <v>-20</v>
      </c>
      <c r="L142" s="95"/>
      <c r="M142" s="97">
        <f t="shared" si="13"/>
        <v>0</v>
      </c>
    </row>
    <row r="143" spans="1:13" x14ac:dyDescent="0.25">
      <c r="A143" s="116"/>
      <c r="G143" s="80"/>
      <c r="H143" s="95">
        <v>138</v>
      </c>
      <c r="I143" s="96" t="str">
        <f t="shared" si="11"/>
        <v/>
      </c>
      <c r="J143" s="96">
        <f t="shared" si="14"/>
        <v>-2</v>
      </c>
      <c r="K143" s="95">
        <f t="shared" si="12"/>
        <v>-20</v>
      </c>
      <c r="L143" s="95"/>
      <c r="M143" s="97">
        <f t="shared" si="13"/>
        <v>0</v>
      </c>
    </row>
    <row r="144" spans="1:13" x14ac:dyDescent="0.25">
      <c r="A144" s="116"/>
      <c r="G144" s="80"/>
      <c r="H144" s="95">
        <v>139</v>
      </c>
      <c r="I144" s="96" t="str">
        <f t="shared" si="11"/>
        <v/>
      </c>
      <c r="J144" s="96">
        <f t="shared" si="14"/>
        <v>-2</v>
      </c>
      <c r="K144" s="95">
        <f t="shared" si="12"/>
        <v>-20</v>
      </c>
      <c r="L144" s="95"/>
      <c r="M144" s="97">
        <f t="shared" si="13"/>
        <v>0</v>
      </c>
    </row>
    <row r="145" spans="1:13" x14ac:dyDescent="0.25">
      <c r="A145" s="116"/>
      <c r="G145" s="80"/>
      <c r="H145" s="95">
        <v>140</v>
      </c>
      <c r="I145" s="96" t="str">
        <f t="shared" si="11"/>
        <v/>
      </c>
      <c r="J145" s="96">
        <f t="shared" si="14"/>
        <v>-2</v>
      </c>
      <c r="K145" s="95">
        <f t="shared" si="12"/>
        <v>-20</v>
      </c>
      <c r="L145" s="95"/>
      <c r="M145" s="97">
        <f t="shared" si="13"/>
        <v>0</v>
      </c>
    </row>
    <row r="146" spans="1:13" x14ac:dyDescent="0.25">
      <c r="A146" s="116"/>
      <c r="G146" s="80"/>
      <c r="H146" s="95">
        <v>141</v>
      </c>
      <c r="I146" s="96" t="str">
        <f t="shared" si="11"/>
        <v/>
      </c>
      <c r="J146" s="96">
        <f t="shared" si="14"/>
        <v>-2</v>
      </c>
      <c r="K146" s="95">
        <f t="shared" si="12"/>
        <v>-20</v>
      </c>
      <c r="L146" s="95"/>
      <c r="M146" s="97">
        <f t="shared" si="13"/>
        <v>0</v>
      </c>
    </row>
    <row r="147" spans="1:13" x14ac:dyDescent="0.25">
      <c r="A147" s="116"/>
      <c r="G147" s="80"/>
      <c r="H147" s="95">
        <v>142</v>
      </c>
      <c r="I147" s="96" t="str">
        <f t="shared" si="11"/>
        <v/>
      </c>
      <c r="J147" s="96">
        <f t="shared" si="14"/>
        <v>-2</v>
      </c>
      <c r="K147" s="95">
        <f t="shared" si="12"/>
        <v>-20</v>
      </c>
      <c r="L147" s="95"/>
      <c r="M147" s="97">
        <f t="shared" si="13"/>
        <v>0</v>
      </c>
    </row>
    <row r="148" spans="1:13" x14ac:dyDescent="0.25">
      <c r="A148" s="116"/>
      <c r="G148" s="80"/>
      <c r="H148" s="95">
        <v>143</v>
      </c>
      <c r="I148" s="96" t="str">
        <f t="shared" si="11"/>
        <v/>
      </c>
      <c r="J148" s="96">
        <f t="shared" si="14"/>
        <v>-2</v>
      </c>
      <c r="K148" s="95">
        <f t="shared" si="12"/>
        <v>-20</v>
      </c>
      <c r="L148" s="95"/>
      <c r="M148" s="97">
        <f t="shared" si="13"/>
        <v>0</v>
      </c>
    </row>
    <row r="149" spans="1:13" x14ac:dyDescent="0.25">
      <c r="A149" s="116"/>
      <c r="G149" s="80"/>
      <c r="H149" s="95">
        <v>144</v>
      </c>
      <c r="I149" s="96" t="str">
        <f t="shared" si="11"/>
        <v/>
      </c>
      <c r="J149" s="96">
        <f t="shared" si="14"/>
        <v>-2</v>
      </c>
      <c r="K149" s="95">
        <f t="shared" si="12"/>
        <v>-20</v>
      </c>
      <c r="L149" s="95"/>
      <c r="M149" s="97">
        <f t="shared" si="13"/>
        <v>0</v>
      </c>
    </row>
    <row r="150" spans="1:13" x14ac:dyDescent="0.25">
      <c r="A150" s="116"/>
      <c r="G150" s="80"/>
      <c r="H150" s="95">
        <v>145</v>
      </c>
      <c r="I150" s="96" t="str">
        <f t="shared" si="11"/>
        <v/>
      </c>
      <c r="J150" s="96">
        <f t="shared" si="14"/>
        <v>-2</v>
      </c>
      <c r="K150" s="95">
        <f t="shared" si="12"/>
        <v>-20</v>
      </c>
      <c r="L150" s="95"/>
      <c r="M150" s="97">
        <f t="shared" si="13"/>
        <v>0</v>
      </c>
    </row>
    <row r="151" spans="1:13" x14ac:dyDescent="0.25">
      <c r="A151" s="116"/>
      <c r="G151" s="80"/>
      <c r="H151" s="95">
        <v>146</v>
      </c>
      <c r="I151" s="96" t="str">
        <f t="shared" si="11"/>
        <v/>
      </c>
      <c r="J151" s="96">
        <f t="shared" si="14"/>
        <v>-2</v>
      </c>
      <c r="K151" s="95">
        <f t="shared" si="12"/>
        <v>-20</v>
      </c>
      <c r="L151" s="95"/>
      <c r="M151" s="97">
        <f t="shared" si="13"/>
        <v>0</v>
      </c>
    </row>
    <row r="152" spans="1:13" x14ac:dyDescent="0.25">
      <c r="A152" s="116"/>
      <c r="G152" s="80"/>
      <c r="H152" s="95">
        <v>147</v>
      </c>
      <c r="I152" s="96" t="str">
        <f t="shared" si="11"/>
        <v/>
      </c>
      <c r="J152" s="96">
        <f t="shared" si="14"/>
        <v>-2</v>
      </c>
      <c r="K152" s="95">
        <f t="shared" si="12"/>
        <v>-20</v>
      </c>
      <c r="L152" s="95"/>
      <c r="M152" s="97">
        <f t="shared" si="13"/>
        <v>0</v>
      </c>
    </row>
    <row r="153" spans="1:13" x14ac:dyDescent="0.25">
      <c r="A153" s="116"/>
      <c r="G153" s="80"/>
      <c r="H153" s="95">
        <v>148</v>
      </c>
      <c r="I153" s="96" t="str">
        <f t="shared" si="11"/>
        <v/>
      </c>
      <c r="J153" s="96">
        <f t="shared" si="14"/>
        <v>-2</v>
      </c>
      <c r="K153" s="95">
        <f t="shared" si="12"/>
        <v>-20</v>
      </c>
      <c r="L153" s="95"/>
      <c r="M153" s="97">
        <f t="shared" si="13"/>
        <v>0</v>
      </c>
    </row>
    <row r="154" spans="1:13" x14ac:dyDescent="0.25">
      <c r="A154" s="116"/>
      <c r="G154" s="80"/>
      <c r="H154" s="95">
        <v>149</v>
      </c>
      <c r="I154" s="96" t="str">
        <f t="shared" si="11"/>
        <v/>
      </c>
      <c r="J154" s="96">
        <f t="shared" si="14"/>
        <v>-2</v>
      </c>
      <c r="K154" s="95">
        <f t="shared" si="12"/>
        <v>-20</v>
      </c>
      <c r="L154" s="95"/>
      <c r="M154" s="97">
        <f t="shared" si="13"/>
        <v>0</v>
      </c>
    </row>
    <row r="155" spans="1:13" x14ac:dyDescent="0.25">
      <c r="A155" s="116"/>
      <c r="G155" s="80"/>
      <c r="H155" s="95">
        <v>150</v>
      </c>
      <c r="I155" s="96" t="str">
        <f t="shared" si="11"/>
        <v/>
      </c>
      <c r="J155" s="96">
        <f t="shared" si="14"/>
        <v>-2</v>
      </c>
      <c r="K155" s="95">
        <f t="shared" si="12"/>
        <v>-20</v>
      </c>
      <c r="L155" s="95"/>
      <c r="M155" s="97">
        <f t="shared" si="13"/>
        <v>0</v>
      </c>
    </row>
    <row r="156" spans="1:13" x14ac:dyDescent="0.25">
      <c r="A156" s="116"/>
      <c r="G156" s="80"/>
      <c r="H156" s="95">
        <v>151</v>
      </c>
      <c r="I156" s="96" t="str">
        <f t="shared" si="11"/>
        <v/>
      </c>
      <c r="J156" s="96">
        <f t="shared" si="14"/>
        <v>-2</v>
      </c>
      <c r="K156" s="95">
        <f t="shared" si="12"/>
        <v>-20</v>
      </c>
      <c r="L156" s="95"/>
      <c r="M156" s="97">
        <f t="shared" si="13"/>
        <v>0</v>
      </c>
    </row>
    <row r="157" spans="1:13" x14ac:dyDescent="0.25">
      <c r="A157" s="116"/>
      <c r="G157" s="80"/>
      <c r="H157" s="95">
        <v>152</v>
      </c>
      <c r="I157" s="96" t="str">
        <f t="shared" si="11"/>
        <v/>
      </c>
      <c r="J157" s="96">
        <f t="shared" si="14"/>
        <v>-2</v>
      </c>
      <c r="K157" s="95">
        <f t="shared" si="12"/>
        <v>-20</v>
      </c>
      <c r="L157" s="95"/>
      <c r="M157" s="97">
        <f t="shared" si="13"/>
        <v>0</v>
      </c>
    </row>
    <row r="158" spans="1:13" x14ac:dyDescent="0.25">
      <c r="A158" s="116"/>
      <c r="G158" s="80"/>
      <c r="H158" s="95">
        <v>153</v>
      </c>
      <c r="I158" s="96" t="str">
        <f t="shared" si="11"/>
        <v/>
      </c>
      <c r="J158" s="96">
        <f t="shared" si="14"/>
        <v>-2</v>
      </c>
      <c r="K158" s="95">
        <f t="shared" si="12"/>
        <v>-20</v>
      </c>
      <c r="L158" s="95"/>
      <c r="M158" s="97">
        <f t="shared" si="13"/>
        <v>0</v>
      </c>
    </row>
    <row r="159" spans="1:13" x14ac:dyDescent="0.25">
      <c r="A159" s="116"/>
      <c r="G159" s="80"/>
      <c r="H159" s="95">
        <v>154</v>
      </c>
      <c r="I159" s="96" t="str">
        <f t="shared" si="11"/>
        <v/>
      </c>
      <c r="J159" s="96">
        <f t="shared" si="14"/>
        <v>-2</v>
      </c>
      <c r="K159" s="95">
        <f t="shared" si="12"/>
        <v>-20</v>
      </c>
      <c r="L159" s="95"/>
      <c r="M159" s="97">
        <f t="shared" si="13"/>
        <v>0</v>
      </c>
    </row>
    <row r="160" spans="1:13" x14ac:dyDescent="0.25">
      <c r="A160" s="116"/>
      <c r="G160" s="80"/>
      <c r="H160" s="95">
        <v>155</v>
      </c>
      <c r="I160" s="96" t="str">
        <f t="shared" si="11"/>
        <v/>
      </c>
      <c r="J160" s="96">
        <f t="shared" si="14"/>
        <v>-2</v>
      </c>
      <c r="K160" s="95">
        <f t="shared" si="12"/>
        <v>-20</v>
      </c>
      <c r="L160" s="95"/>
      <c r="M160" s="97">
        <f t="shared" si="13"/>
        <v>0</v>
      </c>
    </row>
    <row r="161" spans="1:13" x14ac:dyDescent="0.25">
      <c r="A161" s="116"/>
      <c r="G161" s="80"/>
      <c r="H161" s="95">
        <v>156</v>
      </c>
      <c r="I161" s="96" t="str">
        <f t="shared" si="11"/>
        <v/>
      </c>
      <c r="J161" s="96">
        <f t="shared" si="14"/>
        <v>-2</v>
      </c>
      <c r="K161" s="95">
        <f t="shared" si="12"/>
        <v>-20</v>
      </c>
      <c r="L161" s="95"/>
      <c r="M161" s="97">
        <f t="shared" si="13"/>
        <v>0</v>
      </c>
    </row>
    <row r="162" spans="1:13" x14ac:dyDescent="0.25">
      <c r="A162" s="116"/>
      <c r="G162" s="80"/>
      <c r="H162" s="95">
        <v>157</v>
      </c>
      <c r="I162" s="96" t="str">
        <f t="shared" si="11"/>
        <v/>
      </c>
      <c r="J162" s="96">
        <f t="shared" si="14"/>
        <v>-2</v>
      </c>
      <c r="K162" s="95">
        <f t="shared" si="12"/>
        <v>-20</v>
      </c>
      <c r="L162" s="95"/>
      <c r="M162" s="97">
        <f t="shared" si="13"/>
        <v>0</v>
      </c>
    </row>
    <row r="163" spans="1:13" x14ac:dyDescent="0.25">
      <c r="A163" s="116"/>
      <c r="G163" s="80"/>
      <c r="H163" s="95">
        <v>158</v>
      </c>
      <c r="I163" s="96" t="str">
        <f t="shared" si="11"/>
        <v/>
      </c>
      <c r="J163" s="96">
        <f t="shared" si="14"/>
        <v>-2</v>
      </c>
      <c r="K163" s="95">
        <f t="shared" si="12"/>
        <v>-20</v>
      </c>
      <c r="L163" s="95"/>
      <c r="M163" s="97">
        <f t="shared" si="13"/>
        <v>0</v>
      </c>
    </row>
    <row r="164" spans="1:13" x14ac:dyDescent="0.25">
      <c r="A164" s="116"/>
      <c r="G164" s="80"/>
      <c r="H164" s="95">
        <v>159</v>
      </c>
      <c r="I164" s="96" t="str">
        <f t="shared" si="11"/>
        <v/>
      </c>
      <c r="J164" s="96">
        <f t="shared" si="14"/>
        <v>-2</v>
      </c>
      <c r="K164" s="95">
        <f t="shared" si="12"/>
        <v>-20</v>
      </c>
      <c r="L164" s="95"/>
      <c r="M164" s="97">
        <f t="shared" si="13"/>
        <v>0</v>
      </c>
    </row>
    <row r="165" spans="1:13" x14ac:dyDescent="0.25">
      <c r="A165" s="116"/>
      <c r="G165" s="80"/>
      <c r="H165" s="95">
        <v>160</v>
      </c>
      <c r="I165" s="96" t="str">
        <f t="shared" si="11"/>
        <v/>
      </c>
      <c r="J165" s="96">
        <f t="shared" si="14"/>
        <v>-2</v>
      </c>
      <c r="K165" s="95">
        <f t="shared" si="12"/>
        <v>-20</v>
      </c>
      <c r="L165" s="95"/>
      <c r="M165" s="97">
        <f t="shared" si="13"/>
        <v>0</v>
      </c>
    </row>
    <row r="166" spans="1:13" x14ac:dyDescent="0.25">
      <c r="A166" s="116"/>
      <c r="G166" s="80"/>
      <c r="H166" s="95">
        <v>161</v>
      </c>
      <c r="I166" s="96" t="str">
        <f t="shared" si="11"/>
        <v/>
      </c>
      <c r="J166" s="96">
        <f t="shared" si="14"/>
        <v>-2</v>
      </c>
      <c r="K166" s="95">
        <f t="shared" si="12"/>
        <v>-20</v>
      </c>
      <c r="L166" s="95"/>
      <c r="M166" s="97">
        <f t="shared" si="13"/>
        <v>0</v>
      </c>
    </row>
    <row r="167" spans="1:13" x14ac:dyDescent="0.25">
      <c r="A167" s="116"/>
      <c r="G167" s="80"/>
      <c r="H167" s="95">
        <v>162</v>
      </c>
      <c r="I167" s="96" t="str">
        <f t="shared" si="11"/>
        <v/>
      </c>
      <c r="J167" s="96">
        <f t="shared" si="14"/>
        <v>-2</v>
      </c>
      <c r="K167" s="95">
        <f t="shared" si="12"/>
        <v>-20</v>
      </c>
      <c r="L167" s="95"/>
      <c r="M167" s="97">
        <f t="shared" si="13"/>
        <v>0</v>
      </c>
    </row>
    <row r="168" spans="1:13" x14ac:dyDescent="0.25">
      <c r="A168" s="116"/>
      <c r="G168" s="80"/>
      <c r="H168" s="95">
        <v>163</v>
      </c>
      <c r="I168" s="96" t="str">
        <f t="shared" si="11"/>
        <v/>
      </c>
      <c r="J168" s="96">
        <f t="shared" si="14"/>
        <v>-2</v>
      </c>
      <c r="K168" s="95">
        <f t="shared" si="12"/>
        <v>-20</v>
      </c>
      <c r="L168" s="95"/>
      <c r="M168" s="97">
        <f t="shared" si="13"/>
        <v>0</v>
      </c>
    </row>
    <row r="169" spans="1:13" x14ac:dyDescent="0.25">
      <c r="A169" s="116"/>
      <c r="G169" s="80"/>
      <c r="H169" s="95">
        <v>164</v>
      </c>
      <c r="I169" s="96" t="str">
        <f t="shared" si="11"/>
        <v/>
      </c>
      <c r="J169" s="96">
        <f t="shared" si="14"/>
        <v>-2</v>
      </c>
      <c r="K169" s="95">
        <f t="shared" si="12"/>
        <v>-20</v>
      </c>
      <c r="L169" s="95"/>
      <c r="M169" s="97">
        <f t="shared" si="13"/>
        <v>0</v>
      </c>
    </row>
    <row r="170" spans="1:13" x14ac:dyDescent="0.25">
      <c r="A170" s="116"/>
      <c r="G170" s="80"/>
      <c r="H170" s="95">
        <v>165</v>
      </c>
      <c r="I170" s="96" t="str">
        <f t="shared" si="11"/>
        <v/>
      </c>
      <c r="J170" s="96">
        <f t="shared" si="14"/>
        <v>-2</v>
      </c>
      <c r="K170" s="95">
        <f t="shared" si="12"/>
        <v>-20</v>
      </c>
      <c r="L170" s="95"/>
      <c r="M170" s="97">
        <f t="shared" si="13"/>
        <v>0</v>
      </c>
    </row>
    <row r="171" spans="1:13" x14ac:dyDescent="0.25">
      <c r="A171" s="116"/>
      <c r="G171" s="80"/>
      <c r="H171" s="95">
        <v>166</v>
      </c>
      <c r="I171" s="96" t="str">
        <f t="shared" si="11"/>
        <v/>
      </c>
      <c r="J171" s="96">
        <f t="shared" si="14"/>
        <v>-2</v>
      </c>
      <c r="K171" s="95">
        <f t="shared" si="12"/>
        <v>-20</v>
      </c>
      <c r="L171" s="95"/>
      <c r="M171" s="97">
        <f t="shared" si="13"/>
        <v>0</v>
      </c>
    </row>
    <row r="172" spans="1:13" x14ac:dyDescent="0.25">
      <c r="A172" s="116"/>
      <c r="G172" s="80"/>
      <c r="H172" s="95">
        <v>167</v>
      </c>
      <c r="I172" s="96" t="str">
        <f t="shared" si="11"/>
        <v/>
      </c>
      <c r="J172" s="96">
        <f t="shared" si="14"/>
        <v>-2</v>
      </c>
      <c r="K172" s="95">
        <f t="shared" si="12"/>
        <v>-20</v>
      </c>
      <c r="L172" s="95"/>
      <c r="M172" s="97">
        <f t="shared" si="13"/>
        <v>0</v>
      </c>
    </row>
    <row r="173" spans="1:13" x14ac:dyDescent="0.25">
      <c r="A173" s="116"/>
      <c r="G173" s="80"/>
      <c r="H173" s="95">
        <v>168</v>
      </c>
      <c r="I173" s="96" t="str">
        <f t="shared" si="11"/>
        <v/>
      </c>
      <c r="J173" s="96">
        <f t="shared" si="14"/>
        <v>-2</v>
      </c>
      <c r="K173" s="95">
        <f t="shared" si="12"/>
        <v>-20</v>
      </c>
      <c r="L173" s="95"/>
      <c r="M173" s="97">
        <f t="shared" si="13"/>
        <v>0</v>
      </c>
    </row>
    <row r="174" spans="1:13" x14ac:dyDescent="0.25">
      <c r="A174" s="116"/>
      <c r="G174" s="80"/>
      <c r="H174" s="95">
        <v>169</v>
      </c>
      <c r="I174" s="96" t="str">
        <f t="shared" si="11"/>
        <v/>
      </c>
      <c r="J174" s="96">
        <f t="shared" si="14"/>
        <v>-2</v>
      </c>
      <c r="K174" s="95">
        <f t="shared" si="12"/>
        <v>-20</v>
      </c>
      <c r="L174" s="95"/>
      <c r="M174" s="97">
        <f t="shared" si="13"/>
        <v>0</v>
      </c>
    </row>
    <row r="175" spans="1:13" x14ac:dyDescent="0.25">
      <c r="A175" s="116"/>
      <c r="G175" s="80"/>
      <c r="H175" s="95">
        <v>170</v>
      </c>
      <c r="I175" s="96" t="str">
        <f t="shared" si="11"/>
        <v/>
      </c>
      <c r="J175" s="96">
        <f t="shared" si="14"/>
        <v>-2</v>
      </c>
      <c r="K175" s="95">
        <f t="shared" si="12"/>
        <v>-20</v>
      </c>
      <c r="L175" s="95"/>
      <c r="M175" s="97">
        <f t="shared" si="13"/>
        <v>0</v>
      </c>
    </row>
    <row r="176" spans="1:13" x14ac:dyDescent="0.25">
      <c r="A176" s="116"/>
      <c r="G176" s="80"/>
      <c r="H176" s="95">
        <v>171</v>
      </c>
      <c r="I176" s="96" t="str">
        <f t="shared" si="11"/>
        <v/>
      </c>
      <c r="J176" s="96">
        <f t="shared" si="14"/>
        <v>-2</v>
      </c>
      <c r="K176" s="95">
        <f t="shared" si="12"/>
        <v>-20</v>
      </c>
      <c r="L176" s="95"/>
      <c r="M176" s="97">
        <f t="shared" si="13"/>
        <v>0</v>
      </c>
    </row>
    <row r="177" spans="1:13" x14ac:dyDescent="0.25">
      <c r="A177" s="116"/>
      <c r="G177" s="80"/>
      <c r="H177" s="95">
        <v>172</v>
      </c>
      <c r="I177" s="96" t="str">
        <f t="shared" si="11"/>
        <v/>
      </c>
      <c r="J177" s="96">
        <f t="shared" si="14"/>
        <v>-2</v>
      </c>
      <c r="K177" s="95">
        <f t="shared" si="12"/>
        <v>-20</v>
      </c>
      <c r="L177" s="95"/>
      <c r="M177" s="97">
        <f t="shared" si="13"/>
        <v>0</v>
      </c>
    </row>
    <row r="178" spans="1:13" x14ac:dyDescent="0.25">
      <c r="A178" s="116"/>
      <c r="G178" s="80"/>
      <c r="H178" s="95">
        <v>173</v>
      </c>
      <c r="I178" s="96" t="str">
        <f t="shared" si="11"/>
        <v/>
      </c>
      <c r="J178" s="96">
        <f t="shared" si="14"/>
        <v>-2</v>
      </c>
      <c r="K178" s="95">
        <f t="shared" si="12"/>
        <v>-20</v>
      </c>
      <c r="L178" s="95"/>
      <c r="M178" s="97">
        <f t="shared" si="13"/>
        <v>0</v>
      </c>
    </row>
    <row r="179" spans="1:13" x14ac:dyDescent="0.25">
      <c r="A179" s="116"/>
      <c r="G179" s="80"/>
      <c r="H179" s="95">
        <v>174</v>
      </c>
      <c r="I179" s="96" t="str">
        <f t="shared" si="11"/>
        <v/>
      </c>
      <c r="J179" s="96">
        <f t="shared" si="14"/>
        <v>-2</v>
      </c>
      <c r="K179" s="95">
        <f t="shared" si="12"/>
        <v>-20</v>
      </c>
      <c r="L179" s="95"/>
      <c r="M179" s="97">
        <f t="shared" si="13"/>
        <v>0</v>
      </c>
    </row>
    <row r="180" spans="1:13" x14ac:dyDescent="0.25">
      <c r="A180" s="116"/>
      <c r="G180" s="80"/>
      <c r="H180" s="95">
        <v>175</v>
      </c>
      <c r="I180" s="96" t="str">
        <f t="shared" si="11"/>
        <v/>
      </c>
      <c r="J180" s="96">
        <f t="shared" si="14"/>
        <v>-2</v>
      </c>
      <c r="K180" s="95">
        <f t="shared" si="12"/>
        <v>-20</v>
      </c>
      <c r="L180" s="95"/>
      <c r="M180" s="97">
        <f t="shared" si="13"/>
        <v>0</v>
      </c>
    </row>
    <row r="181" spans="1:13" x14ac:dyDescent="0.25">
      <c r="A181" s="116"/>
      <c r="G181" s="80"/>
      <c r="H181" s="95">
        <v>176</v>
      </c>
      <c r="I181" s="96" t="str">
        <f t="shared" si="11"/>
        <v/>
      </c>
      <c r="J181" s="96">
        <f t="shared" si="14"/>
        <v>-2</v>
      </c>
      <c r="K181" s="95">
        <f t="shared" si="12"/>
        <v>-20</v>
      </c>
      <c r="L181" s="95"/>
      <c r="M181" s="97">
        <f t="shared" si="13"/>
        <v>0</v>
      </c>
    </row>
    <row r="182" spans="1:13" x14ac:dyDescent="0.25">
      <c r="A182" s="116"/>
      <c r="G182" s="80"/>
      <c r="H182" s="95">
        <v>177</v>
      </c>
      <c r="I182" s="96" t="str">
        <f t="shared" si="11"/>
        <v/>
      </c>
      <c r="J182" s="96">
        <f t="shared" si="14"/>
        <v>-2</v>
      </c>
      <c r="K182" s="95">
        <f t="shared" si="12"/>
        <v>-20</v>
      </c>
      <c r="L182" s="95"/>
      <c r="M182" s="97">
        <f t="shared" si="13"/>
        <v>0</v>
      </c>
    </row>
    <row r="183" spans="1:13" x14ac:dyDescent="0.25">
      <c r="A183" s="116"/>
      <c r="G183" s="80"/>
      <c r="H183" s="95">
        <v>178</v>
      </c>
      <c r="I183" s="96" t="str">
        <f t="shared" si="11"/>
        <v/>
      </c>
      <c r="J183" s="96">
        <f t="shared" si="14"/>
        <v>-2</v>
      </c>
      <c r="K183" s="95">
        <f t="shared" si="12"/>
        <v>-20</v>
      </c>
      <c r="L183" s="95"/>
      <c r="M183" s="97">
        <f t="shared" si="13"/>
        <v>0</v>
      </c>
    </row>
    <row r="184" spans="1:13" x14ac:dyDescent="0.25">
      <c r="A184" s="116"/>
      <c r="G184" s="80"/>
      <c r="H184" s="95">
        <v>179</v>
      </c>
      <c r="I184" s="96" t="str">
        <f t="shared" si="11"/>
        <v/>
      </c>
      <c r="J184" s="96">
        <f t="shared" si="14"/>
        <v>-2</v>
      </c>
      <c r="K184" s="95">
        <f t="shared" si="12"/>
        <v>-20</v>
      </c>
      <c r="L184" s="95"/>
      <c r="M184" s="97">
        <f t="shared" si="13"/>
        <v>0</v>
      </c>
    </row>
    <row r="185" spans="1:13" x14ac:dyDescent="0.25">
      <c r="A185" s="116"/>
      <c r="G185" s="80"/>
      <c r="H185" s="95">
        <v>180</v>
      </c>
      <c r="I185" s="96" t="str">
        <f t="shared" si="11"/>
        <v/>
      </c>
      <c r="J185" s="96">
        <f t="shared" si="14"/>
        <v>-2</v>
      </c>
      <c r="K185" s="95">
        <f t="shared" si="12"/>
        <v>-20</v>
      </c>
      <c r="L185" s="95"/>
      <c r="M185" s="97">
        <f t="shared" si="13"/>
        <v>0</v>
      </c>
    </row>
    <row r="186" spans="1:13" x14ac:dyDescent="0.25">
      <c r="A186" s="116"/>
      <c r="G186" s="80"/>
      <c r="H186" s="95">
        <v>181</v>
      </c>
      <c r="I186" s="96" t="str">
        <f t="shared" si="11"/>
        <v/>
      </c>
      <c r="J186" s="96">
        <f t="shared" si="14"/>
        <v>-2</v>
      </c>
      <c r="K186" s="95">
        <f t="shared" si="12"/>
        <v>-20</v>
      </c>
      <c r="L186" s="95"/>
      <c r="M186" s="97">
        <f t="shared" si="13"/>
        <v>0</v>
      </c>
    </row>
    <row r="187" spans="1:13" x14ac:dyDescent="0.25">
      <c r="A187" s="116"/>
      <c r="G187" s="80"/>
      <c r="H187" s="95">
        <v>182</v>
      </c>
      <c r="I187" s="96" t="str">
        <f t="shared" si="11"/>
        <v/>
      </c>
      <c r="J187" s="96">
        <f t="shared" si="14"/>
        <v>-2</v>
      </c>
      <c r="K187" s="95">
        <f t="shared" si="12"/>
        <v>-20</v>
      </c>
      <c r="L187" s="95"/>
      <c r="M187" s="97">
        <f t="shared" si="13"/>
        <v>0</v>
      </c>
    </row>
    <row r="188" spans="1:13" x14ac:dyDescent="0.25">
      <c r="A188" s="116"/>
      <c r="G188" s="80"/>
      <c r="H188" s="95">
        <v>183</v>
      </c>
      <c r="I188" s="96" t="str">
        <f t="shared" si="11"/>
        <v/>
      </c>
      <c r="J188" s="96">
        <f t="shared" si="14"/>
        <v>-2</v>
      </c>
      <c r="K188" s="95">
        <f t="shared" si="12"/>
        <v>-20</v>
      </c>
      <c r="L188" s="95"/>
      <c r="M188" s="97">
        <f t="shared" si="13"/>
        <v>0</v>
      </c>
    </row>
    <row r="189" spans="1:13" x14ac:dyDescent="0.25">
      <c r="A189" s="116"/>
      <c r="G189" s="80"/>
      <c r="H189" s="95">
        <v>184</v>
      </c>
      <c r="I189" s="96" t="str">
        <f t="shared" si="11"/>
        <v/>
      </c>
      <c r="J189" s="96">
        <f t="shared" si="14"/>
        <v>-2</v>
      </c>
      <c r="K189" s="95">
        <f t="shared" si="12"/>
        <v>-20</v>
      </c>
      <c r="L189" s="95"/>
      <c r="M189" s="97">
        <f t="shared" si="13"/>
        <v>0</v>
      </c>
    </row>
    <row r="190" spans="1:13" x14ac:dyDescent="0.25">
      <c r="A190" s="116"/>
      <c r="G190" s="80"/>
      <c r="H190" s="95">
        <v>185</v>
      </c>
      <c r="I190" s="96" t="str">
        <f t="shared" si="11"/>
        <v/>
      </c>
      <c r="J190" s="96">
        <f t="shared" si="14"/>
        <v>-2</v>
      </c>
      <c r="K190" s="95">
        <f t="shared" si="12"/>
        <v>-20</v>
      </c>
      <c r="L190" s="95"/>
      <c r="M190" s="97">
        <f t="shared" si="13"/>
        <v>0</v>
      </c>
    </row>
    <row r="191" spans="1:13" x14ac:dyDescent="0.25">
      <c r="A191" s="116"/>
      <c r="G191" s="80"/>
      <c r="H191" s="95">
        <v>186</v>
      </c>
      <c r="I191" s="96" t="str">
        <f t="shared" si="11"/>
        <v/>
      </c>
      <c r="J191" s="96">
        <f t="shared" si="14"/>
        <v>-2</v>
      </c>
      <c r="K191" s="95">
        <f t="shared" si="12"/>
        <v>-20</v>
      </c>
      <c r="L191" s="95"/>
      <c r="M191" s="97">
        <f t="shared" si="13"/>
        <v>0</v>
      </c>
    </row>
    <row r="192" spans="1:13" x14ac:dyDescent="0.25">
      <c r="A192" s="116"/>
      <c r="G192" s="80"/>
      <c r="H192" s="95">
        <v>187</v>
      </c>
      <c r="I192" s="96" t="str">
        <f t="shared" si="11"/>
        <v/>
      </c>
      <c r="J192" s="96">
        <f t="shared" si="14"/>
        <v>-2</v>
      </c>
      <c r="K192" s="95">
        <f t="shared" si="12"/>
        <v>-20</v>
      </c>
      <c r="L192" s="95"/>
      <c r="M192" s="97">
        <f t="shared" si="13"/>
        <v>0</v>
      </c>
    </row>
    <row r="193" spans="1:13" x14ac:dyDescent="0.25">
      <c r="A193" s="116"/>
      <c r="G193" s="80"/>
      <c r="H193" s="95">
        <v>188</v>
      </c>
      <c r="I193" s="96" t="str">
        <f t="shared" si="11"/>
        <v/>
      </c>
      <c r="J193" s="96">
        <f t="shared" si="14"/>
        <v>-2</v>
      </c>
      <c r="K193" s="95">
        <f t="shared" si="12"/>
        <v>-20</v>
      </c>
      <c r="L193" s="95"/>
      <c r="M193" s="97">
        <f t="shared" si="13"/>
        <v>0</v>
      </c>
    </row>
    <row r="194" spans="1:13" x14ac:dyDescent="0.25">
      <c r="A194" s="116"/>
      <c r="G194" s="80"/>
      <c r="H194" s="95">
        <v>189</v>
      </c>
      <c r="I194" s="96" t="str">
        <f t="shared" si="11"/>
        <v/>
      </c>
      <c r="J194" s="96">
        <f t="shared" si="14"/>
        <v>-2</v>
      </c>
      <c r="K194" s="95">
        <f t="shared" si="12"/>
        <v>-20</v>
      </c>
      <c r="L194" s="95"/>
      <c r="M194" s="97">
        <f t="shared" si="13"/>
        <v>0</v>
      </c>
    </row>
    <row r="195" spans="1:13" x14ac:dyDescent="0.25">
      <c r="A195" s="116"/>
      <c r="G195" s="80"/>
      <c r="H195" s="95">
        <v>190</v>
      </c>
      <c r="I195" s="96" t="str">
        <f t="shared" si="11"/>
        <v/>
      </c>
      <c r="J195" s="96">
        <f t="shared" si="14"/>
        <v>-2</v>
      </c>
      <c r="K195" s="95">
        <f t="shared" si="12"/>
        <v>-20</v>
      </c>
      <c r="L195" s="95"/>
      <c r="M195" s="97">
        <f t="shared" si="13"/>
        <v>0</v>
      </c>
    </row>
    <row r="196" spans="1:13" x14ac:dyDescent="0.25">
      <c r="A196" s="116"/>
      <c r="G196" s="80"/>
      <c r="H196" s="95">
        <v>191</v>
      </c>
      <c r="I196" s="96" t="str">
        <f t="shared" si="11"/>
        <v/>
      </c>
      <c r="J196" s="96">
        <f t="shared" si="14"/>
        <v>-2</v>
      </c>
      <c r="K196" s="95">
        <f t="shared" si="12"/>
        <v>-20</v>
      </c>
      <c r="L196" s="95"/>
      <c r="M196" s="97">
        <f t="shared" si="13"/>
        <v>0</v>
      </c>
    </row>
    <row r="197" spans="1:13" x14ac:dyDescent="0.25">
      <c r="A197" s="116"/>
      <c r="G197" s="80"/>
      <c r="H197" s="95">
        <v>192</v>
      </c>
      <c r="I197" s="96" t="str">
        <f t="shared" si="11"/>
        <v/>
      </c>
      <c r="J197" s="96">
        <f t="shared" si="14"/>
        <v>-2</v>
      </c>
      <c r="K197" s="95">
        <f t="shared" si="12"/>
        <v>-20</v>
      </c>
      <c r="L197" s="95"/>
      <c r="M197" s="97">
        <f t="shared" si="13"/>
        <v>0</v>
      </c>
    </row>
    <row r="198" spans="1:13" x14ac:dyDescent="0.25">
      <c r="A198" s="116"/>
      <c r="G198" s="80"/>
      <c r="H198" s="95">
        <v>193</v>
      </c>
      <c r="I198" s="96" t="str">
        <f t="shared" ref="I198:I261" si="15">IF(H198&lt;$H$2+1,($I$2-($I$2-1)*(LOG(H198)/LOG($H$2))),"")</f>
        <v/>
      </c>
      <c r="J198" s="96">
        <f t="shared" si="14"/>
        <v>-2</v>
      </c>
      <c r="K198" s="95">
        <f t="shared" ref="K198:K261" si="16">J198*$J$2</f>
        <v>-20</v>
      </c>
      <c r="L198" s="95"/>
      <c r="M198" s="97">
        <f t="shared" ref="M198:M261" si="17">IF(I198&lt;&gt;"",K198+I198+L198,0)</f>
        <v>0</v>
      </c>
    </row>
    <row r="199" spans="1:13" x14ac:dyDescent="0.25">
      <c r="A199" s="116"/>
      <c r="G199" s="80"/>
      <c r="H199" s="95">
        <v>194</v>
      </c>
      <c r="I199" s="96" t="str">
        <f t="shared" si="15"/>
        <v/>
      </c>
      <c r="J199" s="96">
        <f t="shared" ref="J199:J262" si="18">INT(LOG($H$2,2))-ROUNDUP(LOG(H199,2),0)+IF(OR($H$2=1,$H$2=2,$H$2=4,$H$2=8,$H$2=16,$H$2=32,$H$2=64,$H$2=128,$H$2=256),0,1)</f>
        <v>-2</v>
      </c>
      <c r="K199" s="95">
        <f t="shared" si="16"/>
        <v>-20</v>
      </c>
      <c r="L199" s="95"/>
      <c r="M199" s="97">
        <f t="shared" si="17"/>
        <v>0</v>
      </c>
    </row>
    <row r="200" spans="1:13" x14ac:dyDescent="0.25">
      <c r="A200" s="116"/>
      <c r="G200" s="80"/>
      <c r="H200" s="95">
        <v>195</v>
      </c>
      <c r="I200" s="96" t="str">
        <f t="shared" si="15"/>
        <v/>
      </c>
      <c r="J200" s="96">
        <f t="shared" si="18"/>
        <v>-2</v>
      </c>
      <c r="K200" s="95">
        <f t="shared" si="16"/>
        <v>-20</v>
      </c>
      <c r="L200" s="95"/>
      <c r="M200" s="97">
        <f t="shared" si="17"/>
        <v>0</v>
      </c>
    </row>
    <row r="201" spans="1:13" x14ac:dyDescent="0.25">
      <c r="A201" s="116"/>
      <c r="G201" s="80"/>
      <c r="H201" s="95">
        <v>196</v>
      </c>
      <c r="I201" s="96" t="str">
        <f t="shared" si="15"/>
        <v/>
      </c>
      <c r="J201" s="96">
        <f t="shared" si="18"/>
        <v>-2</v>
      </c>
      <c r="K201" s="95">
        <f t="shared" si="16"/>
        <v>-20</v>
      </c>
      <c r="L201" s="95"/>
      <c r="M201" s="97">
        <f t="shared" si="17"/>
        <v>0</v>
      </c>
    </row>
    <row r="202" spans="1:13" x14ac:dyDescent="0.25">
      <c r="A202" s="116"/>
      <c r="G202" s="80"/>
      <c r="H202" s="95">
        <v>197</v>
      </c>
      <c r="I202" s="96" t="str">
        <f t="shared" si="15"/>
        <v/>
      </c>
      <c r="J202" s="96">
        <f t="shared" si="18"/>
        <v>-2</v>
      </c>
      <c r="K202" s="95">
        <f t="shared" si="16"/>
        <v>-20</v>
      </c>
      <c r="L202" s="95"/>
      <c r="M202" s="97">
        <f t="shared" si="17"/>
        <v>0</v>
      </c>
    </row>
    <row r="203" spans="1:13" x14ac:dyDescent="0.25">
      <c r="A203" s="116"/>
      <c r="G203" s="80"/>
      <c r="H203" s="95">
        <v>198</v>
      </c>
      <c r="I203" s="96" t="str">
        <f t="shared" si="15"/>
        <v/>
      </c>
      <c r="J203" s="96">
        <f t="shared" si="18"/>
        <v>-2</v>
      </c>
      <c r="K203" s="95">
        <f t="shared" si="16"/>
        <v>-20</v>
      </c>
      <c r="L203" s="95"/>
      <c r="M203" s="97">
        <f t="shared" si="17"/>
        <v>0</v>
      </c>
    </row>
    <row r="204" spans="1:13" x14ac:dyDescent="0.25">
      <c r="A204" s="116"/>
      <c r="G204" s="80"/>
      <c r="H204" s="95">
        <v>199</v>
      </c>
      <c r="I204" s="96" t="str">
        <f t="shared" si="15"/>
        <v/>
      </c>
      <c r="J204" s="96">
        <f t="shared" si="18"/>
        <v>-2</v>
      </c>
      <c r="K204" s="95">
        <f t="shared" si="16"/>
        <v>-20</v>
      </c>
      <c r="L204" s="95"/>
      <c r="M204" s="97">
        <f t="shared" si="17"/>
        <v>0</v>
      </c>
    </row>
    <row r="205" spans="1:13" x14ac:dyDescent="0.25">
      <c r="A205" s="116"/>
      <c r="G205" s="80"/>
      <c r="H205" s="95">
        <v>200</v>
      </c>
      <c r="I205" s="96" t="str">
        <f t="shared" si="15"/>
        <v/>
      </c>
      <c r="J205" s="96">
        <f t="shared" si="18"/>
        <v>-2</v>
      </c>
      <c r="K205" s="95">
        <f t="shared" si="16"/>
        <v>-20</v>
      </c>
      <c r="L205" s="95"/>
      <c r="M205" s="97">
        <f t="shared" si="17"/>
        <v>0</v>
      </c>
    </row>
    <row r="206" spans="1:13" x14ac:dyDescent="0.25">
      <c r="A206" s="116"/>
      <c r="G206" s="80"/>
      <c r="H206" s="95">
        <v>201</v>
      </c>
      <c r="I206" s="96" t="str">
        <f t="shared" si="15"/>
        <v/>
      </c>
      <c r="J206" s="96">
        <f t="shared" si="18"/>
        <v>-2</v>
      </c>
      <c r="K206" s="95">
        <f t="shared" si="16"/>
        <v>-20</v>
      </c>
      <c r="L206" s="95"/>
      <c r="M206" s="97">
        <f t="shared" si="17"/>
        <v>0</v>
      </c>
    </row>
    <row r="207" spans="1:13" x14ac:dyDescent="0.25">
      <c r="A207" s="116"/>
      <c r="G207" s="80"/>
      <c r="H207" s="95">
        <v>202</v>
      </c>
      <c r="I207" s="96" t="str">
        <f t="shared" si="15"/>
        <v/>
      </c>
      <c r="J207" s="96">
        <f t="shared" si="18"/>
        <v>-2</v>
      </c>
      <c r="K207" s="95">
        <f t="shared" si="16"/>
        <v>-20</v>
      </c>
      <c r="L207" s="95"/>
      <c r="M207" s="97">
        <f t="shared" si="17"/>
        <v>0</v>
      </c>
    </row>
    <row r="208" spans="1:13" x14ac:dyDescent="0.25">
      <c r="A208" s="116"/>
      <c r="G208" s="80"/>
      <c r="H208" s="95">
        <v>203</v>
      </c>
      <c r="I208" s="96" t="str">
        <f t="shared" si="15"/>
        <v/>
      </c>
      <c r="J208" s="96">
        <f t="shared" si="18"/>
        <v>-2</v>
      </c>
      <c r="K208" s="95">
        <f t="shared" si="16"/>
        <v>-20</v>
      </c>
      <c r="L208" s="95"/>
      <c r="M208" s="97">
        <f t="shared" si="17"/>
        <v>0</v>
      </c>
    </row>
    <row r="209" spans="1:13" x14ac:dyDescent="0.25">
      <c r="A209" s="116"/>
      <c r="G209" s="80"/>
      <c r="H209" s="95">
        <v>204</v>
      </c>
      <c r="I209" s="96" t="str">
        <f t="shared" si="15"/>
        <v/>
      </c>
      <c r="J209" s="96">
        <f t="shared" si="18"/>
        <v>-2</v>
      </c>
      <c r="K209" s="95">
        <f t="shared" si="16"/>
        <v>-20</v>
      </c>
      <c r="L209" s="95"/>
      <c r="M209" s="97">
        <f t="shared" si="17"/>
        <v>0</v>
      </c>
    </row>
    <row r="210" spans="1:13" x14ac:dyDescent="0.25">
      <c r="A210" s="116"/>
      <c r="G210" s="80"/>
      <c r="H210" s="95">
        <v>205</v>
      </c>
      <c r="I210" s="96" t="str">
        <f t="shared" si="15"/>
        <v/>
      </c>
      <c r="J210" s="96">
        <f t="shared" si="18"/>
        <v>-2</v>
      </c>
      <c r="K210" s="95">
        <f t="shared" si="16"/>
        <v>-20</v>
      </c>
      <c r="L210" s="95"/>
      <c r="M210" s="97">
        <f t="shared" si="17"/>
        <v>0</v>
      </c>
    </row>
    <row r="211" spans="1:13" x14ac:dyDescent="0.25">
      <c r="A211" s="116"/>
      <c r="G211" s="80"/>
      <c r="H211" s="95">
        <v>206</v>
      </c>
      <c r="I211" s="96" t="str">
        <f t="shared" si="15"/>
        <v/>
      </c>
      <c r="J211" s="96">
        <f t="shared" si="18"/>
        <v>-2</v>
      </c>
      <c r="K211" s="95">
        <f t="shared" si="16"/>
        <v>-20</v>
      </c>
      <c r="L211" s="95"/>
      <c r="M211" s="97">
        <f t="shared" si="17"/>
        <v>0</v>
      </c>
    </row>
    <row r="212" spans="1:13" x14ac:dyDescent="0.25">
      <c r="A212" s="116"/>
      <c r="G212" s="80"/>
      <c r="H212" s="95">
        <v>207</v>
      </c>
      <c r="I212" s="96" t="str">
        <f t="shared" si="15"/>
        <v/>
      </c>
      <c r="J212" s="96">
        <f t="shared" si="18"/>
        <v>-2</v>
      </c>
      <c r="K212" s="95">
        <f t="shared" si="16"/>
        <v>-20</v>
      </c>
      <c r="L212" s="95"/>
      <c r="M212" s="97">
        <f t="shared" si="17"/>
        <v>0</v>
      </c>
    </row>
    <row r="213" spans="1:13" x14ac:dyDescent="0.25">
      <c r="A213" s="116"/>
      <c r="G213" s="80"/>
      <c r="H213" s="95">
        <v>208</v>
      </c>
      <c r="I213" s="96" t="str">
        <f t="shared" si="15"/>
        <v/>
      </c>
      <c r="J213" s="96">
        <f t="shared" si="18"/>
        <v>-2</v>
      </c>
      <c r="K213" s="95">
        <f t="shared" si="16"/>
        <v>-20</v>
      </c>
      <c r="L213" s="95"/>
      <c r="M213" s="97">
        <f t="shared" si="17"/>
        <v>0</v>
      </c>
    </row>
    <row r="214" spans="1:13" x14ac:dyDescent="0.25">
      <c r="A214" s="116"/>
      <c r="G214" s="80"/>
      <c r="H214" s="95">
        <v>209</v>
      </c>
      <c r="I214" s="96" t="str">
        <f t="shared" si="15"/>
        <v/>
      </c>
      <c r="J214" s="96">
        <f t="shared" si="18"/>
        <v>-2</v>
      </c>
      <c r="K214" s="95">
        <f t="shared" si="16"/>
        <v>-20</v>
      </c>
      <c r="L214" s="95"/>
      <c r="M214" s="97">
        <f t="shared" si="17"/>
        <v>0</v>
      </c>
    </row>
    <row r="215" spans="1:13" x14ac:dyDescent="0.25">
      <c r="A215" s="116"/>
      <c r="G215" s="80"/>
      <c r="H215" s="95">
        <v>210</v>
      </c>
      <c r="I215" s="96" t="str">
        <f t="shared" si="15"/>
        <v/>
      </c>
      <c r="J215" s="96">
        <f t="shared" si="18"/>
        <v>-2</v>
      </c>
      <c r="K215" s="95">
        <f t="shared" si="16"/>
        <v>-20</v>
      </c>
      <c r="L215" s="95"/>
      <c r="M215" s="97">
        <f t="shared" si="17"/>
        <v>0</v>
      </c>
    </row>
    <row r="216" spans="1:13" x14ac:dyDescent="0.25">
      <c r="A216" s="116"/>
      <c r="G216" s="80"/>
      <c r="H216" s="95">
        <v>211</v>
      </c>
      <c r="I216" s="96" t="str">
        <f t="shared" si="15"/>
        <v/>
      </c>
      <c r="J216" s="96">
        <f t="shared" si="18"/>
        <v>-2</v>
      </c>
      <c r="K216" s="95">
        <f t="shared" si="16"/>
        <v>-20</v>
      </c>
      <c r="L216" s="95"/>
      <c r="M216" s="97">
        <f t="shared" si="17"/>
        <v>0</v>
      </c>
    </row>
    <row r="217" spans="1:13" x14ac:dyDescent="0.25">
      <c r="A217" s="116"/>
      <c r="G217" s="80"/>
      <c r="H217" s="95">
        <v>212</v>
      </c>
      <c r="I217" s="96" t="str">
        <f t="shared" si="15"/>
        <v/>
      </c>
      <c r="J217" s="96">
        <f t="shared" si="18"/>
        <v>-2</v>
      </c>
      <c r="K217" s="95">
        <f t="shared" si="16"/>
        <v>-20</v>
      </c>
      <c r="L217" s="95"/>
      <c r="M217" s="97">
        <f t="shared" si="17"/>
        <v>0</v>
      </c>
    </row>
    <row r="218" spans="1:13" x14ac:dyDescent="0.25">
      <c r="A218" s="116"/>
      <c r="G218" s="80"/>
      <c r="H218" s="95">
        <v>213</v>
      </c>
      <c r="I218" s="96" t="str">
        <f t="shared" si="15"/>
        <v/>
      </c>
      <c r="J218" s="96">
        <f t="shared" si="18"/>
        <v>-2</v>
      </c>
      <c r="K218" s="95">
        <f t="shared" si="16"/>
        <v>-20</v>
      </c>
      <c r="L218" s="95"/>
      <c r="M218" s="97">
        <f t="shared" si="17"/>
        <v>0</v>
      </c>
    </row>
    <row r="219" spans="1:13" x14ac:dyDescent="0.25">
      <c r="A219" s="116"/>
      <c r="G219" s="80"/>
      <c r="H219" s="95">
        <v>214</v>
      </c>
      <c r="I219" s="96" t="str">
        <f t="shared" si="15"/>
        <v/>
      </c>
      <c r="J219" s="96">
        <f t="shared" si="18"/>
        <v>-2</v>
      </c>
      <c r="K219" s="95">
        <f t="shared" si="16"/>
        <v>-20</v>
      </c>
      <c r="L219" s="95"/>
      <c r="M219" s="97">
        <f t="shared" si="17"/>
        <v>0</v>
      </c>
    </row>
    <row r="220" spans="1:13" x14ac:dyDescent="0.25">
      <c r="A220" s="116"/>
      <c r="G220" s="80"/>
      <c r="H220" s="95">
        <v>215</v>
      </c>
      <c r="I220" s="96" t="str">
        <f t="shared" si="15"/>
        <v/>
      </c>
      <c r="J220" s="96">
        <f t="shared" si="18"/>
        <v>-2</v>
      </c>
      <c r="K220" s="95">
        <f t="shared" si="16"/>
        <v>-20</v>
      </c>
      <c r="L220" s="95"/>
      <c r="M220" s="97">
        <f t="shared" si="17"/>
        <v>0</v>
      </c>
    </row>
    <row r="221" spans="1:13" x14ac:dyDescent="0.25">
      <c r="A221" s="116"/>
      <c r="G221" s="80"/>
      <c r="H221" s="95">
        <v>216</v>
      </c>
      <c r="I221" s="96" t="str">
        <f t="shared" si="15"/>
        <v/>
      </c>
      <c r="J221" s="96">
        <f t="shared" si="18"/>
        <v>-2</v>
      </c>
      <c r="K221" s="95">
        <f t="shared" si="16"/>
        <v>-20</v>
      </c>
      <c r="L221" s="95"/>
      <c r="M221" s="97">
        <f t="shared" si="17"/>
        <v>0</v>
      </c>
    </row>
    <row r="222" spans="1:13" x14ac:dyDescent="0.25">
      <c r="A222" s="116"/>
      <c r="G222" s="80"/>
      <c r="H222" s="95">
        <v>217</v>
      </c>
      <c r="I222" s="96" t="str">
        <f t="shared" si="15"/>
        <v/>
      </c>
      <c r="J222" s="96">
        <f t="shared" si="18"/>
        <v>-2</v>
      </c>
      <c r="K222" s="95">
        <f t="shared" si="16"/>
        <v>-20</v>
      </c>
      <c r="L222" s="95"/>
      <c r="M222" s="97">
        <f t="shared" si="17"/>
        <v>0</v>
      </c>
    </row>
    <row r="223" spans="1:13" x14ac:dyDescent="0.25">
      <c r="A223" s="116"/>
      <c r="G223" s="80"/>
      <c r="H223" s="95">
        <v>218</v>
      </c>
      <c r="I223" s="96" t="str">
        <f t="shared" si="15"/>
        <v/>
      </c>
      <c r="J223" s="96">
        <f t="shared" si="18"/>
        <v>-2</v>
      </c>
      <c r="K223" s="95">
        <f t="shared" si="16"/>
        <v>-20</v>
      </c>
      <c r="L223" s="95"/>
      <c r="M223" s="97">
        <f t="shared" si="17"/>
        <v>0</v>
      </c>
    </row>
    <row r="224" spans="1:13" x14ac:dyDescent="0.25">
      <c r="A224" s="116"/>
      <c r="G224" s="80"/>
      <c r="H224" s="95">
        <v>219</v>
      </c>
      <c r="I224" s="96" t="str">
        <f t="shared" si="15"/>
        <v/>
      </c>
      <c r="J224" s="96">
        <f t="shared" si="18"/>
        <v>-2</v>
      </c>
      <c r="K224" s="95">
        <f t="shared" si="16"/>
        <v>-20</v>
      </c>
      <c r="L224" s="95"/>
      <c r="M224" s="97">
        <f t="shared" si="17"/>
        <v>0</v>
      </c>
    </row>
    <row r="225" spans="1:13" x14ac:dyDescent="0.25">
      <c r="A225" s="116"/>
      <c r="G225" s="80"/>
      <c r="H225" s="95">
        <v>220</v>
      </c>
      <c r="I225" s="96" t="str">
        <f t="shared" si="15"/>
        <v/>
      </c>
      <c r="J225" s="96">
        <f t="shared" si="18"/>
        <v>-2</v>
      </c>
      <c r="K225" s="95">
        <f t="shared" si="16"/>
        <v>-20</v>
      </c>
      <c r="L225" s="95"/>
      <c r="M225" s="97">
        <f t="shared" si="17"/>
        <v>0</v>
      </c>
    </row>
    <row r="226" spans="1:13" x14ac:dyDescent="0.25">
      <c r="A226" s="116"/>
      <c r="G226" s="80"/>
      <c r="H226" s="95">
        <v>221</v>
      </c>
      <c r="I226" s="96" t="str">
        <f t="shared" si="15"/>
        <v/>
      </c>
      <c r="J226" s="96">
        <f t="shared" si="18"/>
        <v>-2</v>
      </c>
      <c r="K226" s="95">
        <f t="shared" si="16"/>
        <v>-20</v>
      </c>
      <c r="L226" s="95"/>
      <c r="M226" s="97">
        <f t="shared" si="17"/>
        <v>0</v>
      </c>
    </row>
    <row r="227" spans="1:13" x14ac:dyDescent="0.25">
      <c r="A227" s="116"/>
      <c r="G227" s="80"/>
      <c r="H227" s="95">
        <v>222</v>
      </c>
      <c r="I227" s="96" t="str">
        <f t="shared" si="15"/>
        <v/>
      </c>
      <c r="J227" s="96">
        <f t="shared" si="18"/>
        <v>-2</v>
      </c>
      <c r="K227" s="95">
        <f t="shared" si="16"/>
        <v>-20</v>
      </c>
      <c r="L227" s="95"/>
      <c r="M227" s="97">
        <f t="shared" si="17"/>
        <v>0</v>
      </c>
    </row>
    <row r="228" spans="1:13" x14ac:dyDescent="0.25">
      <c r="A228" s="116"/>
      <c r="G228" s="80"/>
      <c r="H228" s="95">
        <v>223</v>
      </c>
      <c r="I228" s="96" t="str">
        <f t="shared" si="15"/>
        <v/>
      </c>
      <c r="J228" s="96">
        <f t="shared" si="18"/>
        <v>-2</v>
      </c>
      <c r="K228" s="95">
        <f t="shared" si="16"/>
        <v>-20</v>
      </c>
      <c r="L228" s="95"/>
      <c r="M228" s="97">
        <f t="shared" si="17"/>
        <v>0</v>
      </c>
    </row>
    <row r="229" spans="1:13" x14ac:dyDescent="0.25">
      <c r="A229" s="116"/>
      <c r="G229" s="80"/>
      <c r="H229" s="95">
        <v>224</v>
      </c>
      <c r="I229" s="96" t="str">
        <f t="shared" si="15"/>
        <v/>
      </c>
      <c r="J229" s="96">
        <f t="shared" si="18"/>
        <v>-2</v>
      </c>
      <c r="K229" s="95">
        <f t="shared" si="16"/>
        <v>-20</v>
      </c>
      <c r="L229" s="95"/>
      <c r="M229" s="97">
        <f t="shared" si="17"/>
        <v>0</v>
      </c>
    </row>
    <row r="230" spans="1:13" x14ac:dyDescent="0.25">
      <c r="A230" s="116"/>
      <c r="G230" s="80"/>
      <c r="H230" s="95">
        <v>225</v>
      </c>
      <c r="I230" s="96" t="str">
        <f t="shared" si="15"/>
        <v/>
      </c>
      <c r="J230" s="96">
        <f t="shared" si="18"/>
        <v>-2</v>
      </c>
      <c r="K230" s="95">
        <f t="shared" si="16"/>
        <v>-20</v>
      </c>
      <c r="L230" s="95"/>
      <c r="M230" s="97">
        <f t="shared" si="17"/>
        <v>0</v>
      </c>
    </row>
    <row r="231" spans="1:13" x14ac:dyDescent="0.25">
      <c r="A231" s="116"/>
      <c r="G231" s="80"/>
      <c r="H231" s="95">
        <v>226</v>
      </c>
      <c r="I231" s="96" t="str">
        <f t="shared" si="15"/>
        <v/>
      </c>
      <c r="J231" s="96">
        <f t="shared" si="18"/>
        <v>-2</v>
      </c>
      <c r="K231" s="95">
        <f t="shared" si="16"/>
        <v>-20</v>
      </c>
      <c r="L231" s="95"/>
      <c r="M231" s="97">
        <f t="shared" si="17"/>
        <v>0</v>
      </c>
    </row>
    <row r="232" spans="1:13" x14ac:dyDescent="0.25">
      <c r="A232" s="116"/>
      <c r="G232" s="80"/>
      <c r="H232" s="95">
        <v>227</v>
      </c>
      <c r="I232" s="96" t="str">
        <f t="shared" si="15"/>
        <v/>
      </c>
      <c r="J232" s="96">
        <f t="shared" si="18"/>
        <v>-2</v>
      </c>
      <c r="K232" s="95">
        <f t="shared" si="16"/>
        <v>-20</v>
      </c>
      <c r="L232" s="95"/>
      <c r="M232" s="97">
        <f t="shared" si="17"/>
        <v>0</v>
      </c>
    </row>
    <row r="233" spans="1:13" x14ac:dyDescent="0.25">
      <c r="A233" s="116"/>
      <c r="G233" s="80"/>
      <c r="H233" s="95">
        <v>228</v>
      </c>
      <c r="I233" s="96" t="str">
        <f t="shared" si="15"/>
        <v/>
      </c>
      <c r="J233" s="96">
        <f t="shared" si="18"/>
        <v>-2</v>
      </c>
      <c r="K233" s="95">
        <f t="shared" si="16"/>
        <v>-20</v>
      </c>
      <c r="L233" s="95"/>
      <c r="M233" s="97">
        <f t="shared" si="17"/>
        <v>0</v>
      </c>
    </row>
    <row r="234" spans="1:13" x14ac:dyDescent="0.25">
      <c r="A234" s="116"/>
      <c r="G234" s="80"/>
      <c r="H234" s="95">
        <v>229</v>
      </c>
      <c r="I234" s="96" t="str">
        <f t="shared" si="15"/>
        <v/>
      </c>
      <c r="J234" s="96">
        <f t="shared" si="18"/>
        <v>-2</v>
      </c>
      <c r="K234" s="95">
        <f t="shared" si="16"/>
        <v>-20</v>
      </c>
      <c r="L234" s="95"/>
      <c r="M234" s="97">
        <f t="shared" si="17"/>
        <v>0</v>
      </c>
    </row>
    <row r="235" spans="1:13" x14ac:dyDescent="0.25">
      <c r="A235" s="116"/>
      <c r="G235" s="80"/>
      <c r="H235" s="95">
        <v>230</v>
      </c>
      <c r="I235" s="96" t="str">
        <f t="shared" si="15"/>
        <v/>
      </c>
      <c r="J235" s="96">
        <f t="shared" si="18"/>
        <v>-2</v>
      </c>
      <c r="K235" s="95">
        <f t="shared" si="16"/>
        <v>-20</v>
      </c>
      <c r="L235" s="95"/>
      <c r="M235" s="97">
        <f t="shared" si="17"/>
        <v>0</v>
      </c>
    </row>
    <row r="236" spans="1:13" x14ac:dyDescent="0.25">
      <c r="A236" s="116"/>
      <c r="G236" s="80"/>
      <c r="H236" s="95">
        <v>231</v>
      </c>
      <c r="I236" s="96" t="str">
        <f t="shared" si="15"/>
        <v/>
      </c>
      <c r="J236" s="96">
        <f t="shared" si="18"/>
        <v>-2</v>
      </c>
      <c r="K236" s="95">
        <f t="shared" si="16"/>
        <v>-20</v>
      </c>
      <c r="L236" s="95"/>
      <c r="M236" s="97">
        <f t="shared" si="17"/>
        <v>0</v>
      </c>
    </row>
    <row r="237" spans="1:13" x14ac:dyDescent="0.25">
      <c r="A237" s="116"/>
      <c r="G237" s="80"/>
      <c r="H237" s="95">
        <v>232</v>
      </c>
      <c r="I237" s="96" t="str">
        <f t="shared" si="15"/>
        <v/>
      </c>
      <c r="J237" s="96">
        <f t="shared" si="18"/>
        <v>-2</v>
      </c>
      <c r="K237" s="95">
        <f t="shared" si="16"/>
        <v>-20</v>
      </c>
      <c r="L237" s="95"/>
      <c r="M237" s="97">
        <f t="shared" si="17"/>
        <v>0</v>
      </c>
    </row>
    <row r="238" spans="1:13" x14ac:dyDescent="0.25">
      <c r="A238" s="116"/>
      <c r="G238" s="80"/>
      <c r="H238" s="95">
        <v>233</v>
      </c>
      <c r="I238" s="96" t="str">
        <f t="shared" si="15"/>
        <v/>
      </c>
      <c r="J238" s="96">
        <f t="shared" si="18"/>
        <v>-2</v>
      </c>
      <c r="K238" s="95">
        <f t="shared" si="16"/>
        <v>-20</v>
      </c>
      <c r="L238" s="95"/>
      <c r="M238" s="97">
        <f t="shared" si="17"/>
        <v>0</v>
      </c>
    </row>
    <row r="239" spans="1:13" x14ac:dyDescent="0.25">
      <c r="A239" s="116"/>
      <c r="G239" s="80"/>
      <c r="H239" s="95">
        <v>234</v>
      </c>
      <c r="I239" s="96" t="str">
        <f t="shared" si="15"/>
        <v/>
      </c>
      <c r="J239" s="96">
        <f t="shared" si="18"/>
        <v>-2</v>
      </c>
      <c r="K239" s="95">
        <f t="shared" si="16"/>
        <v>-20</v>
      </c>
      <c r="L239" s="95"/>
      <c r="M239" s="97">
        <f t="shared" si="17"/>
        <v>0</v>
      </c>
    </row>
    <row r="240" spans="1:13" x14ac:dyDescent="0.25">
      <c r="A240" s="116"/>
      <c r="G240" s="80"/>
      <c r="H240" s="95">
        <v>235</v>
      </c>
      <c r="I240" s="96" t="str">
        <f t="shared" si="15"/>
        <v/>
      </c>
      <c r="J240" s="96">
        <f t="shared" si="18"/>
        <v>-2</v>
      </c>
      <c r="K240" s="95">
        <f t="shared" si="16"/>
        <v>-20</v>
      </c>
      <c r="L240" s="95"/>
      <c r="M240" s="97">
        <f t="shared" si="17"/>
        <v>0</v>
      </c>
    </row>
    <row r="241" spans="1:13" x14ac:dyDescent="0.25">
      <c r="A241" s="116"/>
      <c r="G241" s="80"/>
      <c r="H241" s="95">
        <v>236</v>
      </c>
      <c r="I241" s="96" t="str">
        <f t="shared" si="15"/>
        <v/>
      </c>
      <c r="J241" s="96">
        <f t="shared" si="18"/>
        <v>-2</v>
      </c>
      <c r="K241" s="95">
        <f t="shared" si="16"/>
        <v>-20</v>
      </c>
      <c r="L241" s="95"/>
      <c r="M241" s="97">
        <f t="shared" si="17"/>
        <v>0</v>
      </c>
    </row>
    <row r="242" spans="1:13" x14ac:dyDescent="0.25">
      <c r="A242" s="116"/>
      <c r="G242" s="80"/>
      <c r="H242" s="95">
        <v>237</v>
      </c>
      <c r="I242" s="96" t="str">
        <f t="shared" si="15"/>
        <v/>
      </c>
      <c r="J242" s="96">
        <f t="shared" si="18"/>
        <v>-2</v>
      </c>
      <c r="K242" s="95">
        <f t="shared" si="16"/>
        <v>-20</v>
      </c>
      <c r="L242" s="95"/>
      <c r="M242" s="97">
        <f t="shared" si="17"/>
        <v>0</v>
      </c>
    </row>
    <row r="243" spans="1:13" x14ac:dyDescent="0.25">
      <c r="A243" s="116"/>
      <c r="G243" s="80"/>
      <c r="H243" s="95">
        <v>238</v>
      </c>
      <c r="I243" s="96" t="str">
        <f t="shared" si="15"/>
        <v/>
      </c>
      <c r="J243" s="96">
        <f t="shared" si="18"/>
        <v>-2</v>
      </c>
      <c r="K243" s="95">
        <f t="shared" si="16"/>
        <v>-20</v>
      </c>
      <c r="L243" s="95"/>
      <c r="M243" s="97">
        <f t="shared" si="17"/>
        <v>0</v>
      </c>
    </row>
    <row r="244" spans="1:13" x14ac:dyDescent="0.25">
      <c r="A244" s="116"/>
      <c r="G244" s="80"/>
      <c r="H244" s="95">
        <v>239</v>
      </c>
      <c r="I244" s="96" t="str">
        <f t="shared" si="15"/>
        <v/>
      </c>
      <c r="J244" s="96">
        <f t="shared" si="18"/>
        <v>-2</v>
      </c>
      <c r="K244" s="95">
        <f t="shared" si="16"/>
        <v>-20</v>
      </c>
      <c r="L244" s="95"/>
      <c r="M244" s="97">
        <f t="shared" si="17"/>
        <v>0</v>
      </c>
    </row>
    <row r="245" spans="1:13" x14ac:dyDescent="0.25">
      <c r="A245" s="116"/>
      <c r="G245" s="80"/>
      <c r="H245" s="95">
        <v>240</v>
      </c>
      <c r="I245" s="96" t="str">
        <f t="shared" si="15"/>
        <v/>
      </c>
      <c r="J245" s="96">
        <f t="shared" si="18"/>
        <v>-2</v>
      </c>
      <c r="K245" s="95">
        <f t="shared" si="16"/>
        <v>-20</v>
      </c>
      <c r="L245" s="95"/>
      <c r="M245" s="97">
        <f t="shared" si="17"/>
        <v>0</v>
      </c>
    </row>
    <row r="246" spans="1:13" x14ac:dyDescent="0.25">
      <c r="A246" s="116"/>
      <c r="G246" s="80"/>
      <c r="H246" s="95">
        <v>241</v>
      </c>
      <c r="I246" s="96" t="str">
        <f t="shared" si="15"/>
        <v/>
      </c>
      <c r="J246" s="96">
        <f t="shared" si="18"/>
        <v>-2</v>
      </c>
      <c r="K246" s="95">
        <f t="shared" si="16"/>
        <v>-20</v>
      </c>
      <c r="L246" s="95"/>
      <c r="M246" s="97">
        <f t="shared" si="17"/>
        <v>0</v>
      </c>
    </row>
    <row r="247" spans="1:13" x14ac:dyDescent="0.25">
      <c r="A247" s="116"/>
      <c r="G247" s="80"/>
      <c r="H247" s="95">
        <v>242</v>
      </c>
      <c r="I247" s="96" t="str">
        <f t="shared" si="15"/>
        <v/>
      </c>
      <c r="J247" s="96">
        <f t="shared" si="18"/>
        <v>-2</v>
      </c>
      <c r="K247" s="95">
        <f t="shared" si="16"/>
        <v>-20</v>
      </c>
      <c r="L247" s="95"/>
      <c r="M247" s="97">
        <f t="shared" si="17"/>
        <v>0</v>
      </c>
    </row>
    <row r="248" spans="1:13" x14ac:dyDescent="0.25">
      <c r="A248" s="116"/>
      <c r="G248" s="80"/>
      <c r="H248" s="95">
        <v>243</v>
      </c>
      <c r="I248" s="96" t="str">
        <f t="shared" si="15"/>
        <v/>
      </c>
      <c r="J248" s="96">
        <f t="shared" si="18"/>
        <v>-2</v>
      </c>
      <c r="K248" s="95">
        <f t="shared" si="16"/>
        <v>-20</v>
      </c>
      <c r="L248" s="95"/>
      <c r="M248" s="97">
        <f t="shared" si="17"/>
        <v>0</v>
      </c>
    </row>
    <row r="249" spans="1:13" x14ac:dyDescent="0.25">
      <c r="A249" s="116"/>
      <c r="G249" s="80"/>
      <c r="H249" s="95">
        <v>244</v>
      </c>
      <c r="I249" s="96" t="str">
        <f t="shared" si="15"/>
        <v/>
      </c>
      <c r="J249" s="96">
        <f t="shared" si="18"/>
        <v>-2</v>
      </c>
      <c r="K249" s="95">
        <f t="shared" si="16"/>
        <v>-20</v>
      </c>
      <c r="L249" s="95"/>
      <c r="M249" s="97">
        <f t="shared" si="17"/>
        <v>0</v>
      </c>
    </row>
    <row r="250" spans="1:13" x14ac:dyDescent="0.25">
      <c r="A250" s="116"/>
      <c r="G250" s="80"/>
      <c r="H250" s="95">
        <v>245</v>
      </c>
      <c r="I250" s="96" t="str">
        <f t="shared" si="15"/>
        <v/>
      </c>
      <c r="J250" s="96">
        <f t="shared" si="18"/>
        <v>-2</v>
      </c>
      <c r="K250" s="95">
        <f t="shared" si="16"/>
        <v>-20</v>
      </c>
      <c r="L250" s="95"/>
      <c r="M250" s="97">
        <f t="shared" si="17"/>
        <v>0</v>
      </c>
    </row>
    <row r="251" spans="1:13" x14ac:dyDescent="0.25">
      <c r="A251" s="116"/>
      <c r="G251" s="80"/>
      <c r="H251" s="95">
        <v>246</v>
      </c>
      <c r="I251" s="96" t="str">
        <f t="shared" si="15"/>
        <v/>
      </c>
      <c r="J251" s="96">
        <f t="shared" si="18"/>
        <v>-2</v>
      </c>
      <c r="K251" s="95">
        <f t="shared" si="16"/>
        <v>-20</v>
      </c>
      <c r="L251" s="95"/>
      <c r="M251" s="97">
        <f t="shared" si="17"/>
        <v>0</v>
      </c>
    </row>
    <row r="252" spans="1:13" x14ac:dyDescent="0.25">
      <c r="A252" s="116"/>
      <c r="G252" s="80"/>
      <c r="H252" s="95">
        <v>247</v>
      </c>
      <c r="I252" s="96" t="str">
        <f t="shared" si="15"/>
        <v/>
      </c>
      <c r="J252" s="96">
        <f t="shared" si="18"/>
        <v>-2</v>
      </c>
      <c r="K252" s="95">
        <f t="shared" si="16"/>
        <v>-20</v>
      </c>
      <c r="L252" s="95"/>
      <c r="M252" s="97">
        <f t="shared" si="17"/>
        <v>0</v>
      </c>
    </row>
    <row r="253" spans="1:13" x14ac:dyDescent="0.25">
      <c r="A253" s="116"/>
      <c r="G253" s="80"/>
      <c r="H253" s="95">
        <v>248</v>
      </c>
      <c r="I253" s="96" t="str">
        <f t="shared" si="15"/>
        <v/>
      </c>
      <c r="J253" s="96">
        <f t="shared" si="18"/>
        <v>-2</v>
      </c>
      <c r="K253" s="95">
        <f t="shared" si="16"/>
        <v>-20</v>
      </c>
      <c r="L253" s="95"/>
      <c r="M253" s="97">
        <f t="shared" si="17"/>
        <v>0</v>
      </c>
    </row>
    <row r="254" spans="1:13" x14ac:dyDescent="0.25">
      <c r="A254" s="116"/>
      <c r="G254" s="80"/>
      <c r="H254" s="95">
        <v>249</v>
      </c>
      <c r="I254" s="96" t="str">
        <f t="shared" si="15"/>
        <v/>
      </c>
      <c r="J254" s="96">
        <f t="shared" si="18"/>
        <v>-2</v>
      </c>
      <c r="K254" s="95">
        <f t="shared" si="16"/>
        <v>-20</v>
      </c>
      <c r="L254" s="95"/>
      <c r="M254" s="97">
        <f t="shared" si="17"/>
        <v>0</v>
      </c>
    </row>
    <row r="255" spans="1:13" x14ac:dyDescent="0.25">
      <c r="A255" s="116"/>
      <c r="G255" s="80"/>
      <c r="H255" s="95">
        <v>250</v>
      </c>
      <c r="I255" s="96" t="str">
        <f t="shared" si="15"/>
        <v/>
      </c>
      <c r="J255" s="96">
        <f t="shared" si="18"/>
        <v>-2</v>
      </c>
      <c r="K255" s="95">
        <f t="shared" si="16"/>
        <v>-20</v>
      </c>
      <c r="L255" s="95"/>
      <c r="M255" s="97">
        <f t="shared" si="17"/>
        <v>0</v>
      </c>
    </row>
    <row r="256" spans="1:13" x14ac:dyDescent="0.25">
      <c r="A256" s="116"/>
      <c r="G256" s="80"/>
      <c r="H256" s="95">
        <v>251</v>
      </c>
      <c r="I256" s="96" t="str">
        <f t="shared" si="15"/>
        <v/>
      </c>
      <c r="J256" s="96">
        <f t="shared" si="18"/>
        <v>-2</v>
      </c>
      <c r="K256" s="95">
        <f t="shared" si="16"/>
        <v>-20</v>
      </c>
      <c r="L256" s="95"/>
      <c r="M256" s="97">
        <f t="shared" si="17"/>
        <v>0</v>
      </c>
    </row>
    <row r="257" spans="1:13" x14ac:dyDescent="0.25">
      <c r="A257" s="116"/>
      <c r="G257" s="80"/>
      <c r="H257" s="95">
        <v>252</v>
      </c>
      <c r="I257" s="96" t="str">
        <f t="shared" si="15"/>
        <v/>
      </c>
      <c r="J257" s="96">
        <f t="shared" si="18"/>
        <v>-2</v>
      </c>
      <c r="K257" s="95">
        <f t="shared" si="16"/>
        <v>-20</v>
      </c>
      <c r="L257" s="95"/>
      <c r="M257" s="97">
        <f t="shared" si="17"/>
        <v>0</v>
      </c>
    </row>
    <row r="258" spans="1:13" x14ac:dyDescent="0.25">
      <c r="A258" s="116"/>
      <c r="G258" s="80"/>
      <c r="H258" s="95">
        <v>253</v>
      </c>
      <c r="I258" s="96" t="str">
        <f t="shared" si="15"/>
        <v/>
      </c>
      <c r="J258" s="96">
        <f t="shared" si="18"/>
        <v>-2</v>
      </c>
      <c r="K258" s="95">
        <f t="shared" si="16"/>
        <v>-20</v>
      </c>
      <c r="L258" s="95"/>
      <c r="M258" s="97">
        <f t="shared" si="17"/>
        <v>0</v>
      </c>
    </row>
    <row r="259" spans="1:13" x14ac:dyDescent="0.25">
      <c r="A259" s="116"/>
      <c r="G259" s="80"/>
      <c r="H259" s="95">
        <v>254</v>
      </c>
      <c r="I259" s="96" t="str">
        <f t="shared" si="15"/>
        <v/>
      </c>
      <c r="J259" s="96">
        <f t="shared" si="18"/>
        <v>-2</v>
      </c>
      <c r="K259" s="95">
        <f t="shared" si="16"/>
        <v>-20</v>
      </c>
      <c r="L259" s="95"/>
      <c r="M259" s="97">
        <f t="shared" si="17"/>
        <v>0</v>
      </c>
    </row>
    <row r="260" spans="1:13" x14ac:dyDescent="0.25">
      <c r="A260" s="116"/>
      <c r="G260" s="80"/>
      <c r="H260" s="95">
        <v>255</v>
      </c>
      <c r="I260" s="96" t="str">
        <f t="shared" si="15"/>
        <v/>
      </c>
      <c r="J260" s="96">
        <f t="shared" si="18"/>
        <v>-2</v>
      </c>
      <c r="K260" s="95">
        <f t="shared" si="16"/>
        <v>-20</v>
      </c>
      <c r="L260" s="95"/>
      <c r="M260" s="97">
        <f t="shared" si="17"/>
        <v>0</v>
      </c>
    </row>
    <row r="261" spans="1:13" x14ac:dyDescent="0.25">
      <c r="A261" s="116"/>
      <c r="G261" s="80"/>
      <c r="H261" s="95">
        <v>256</v>
      </c>
      <c r="I261" s="96" t="str">
        <f t="shared" si="15"/>
        <v/>
      </c>
      <c r="J261" s="96">
        <f t="shared" si="18"/>
        <v>-2</v>
      </c>
      <c r="K261" s="95">
        <f t="shared" si="16"/>
        <v>-20</v>
      </c>
      <c r="L261" s="95"/>
      <c r="M261" s="97">
        <f t="shared" si="17"/>
        <v>0</v>
      </c>
    </row>
    <row r="262" spans="1:13" x14ac:dyDescent="0.25">
      <c r="A262" s="116"/>
      <c r="G262" s="80"/>
      <c r="H262" s="95">
        <v>257</v>
      </c>
      <c r="I262" s="96" t="str">
        <f t="shared" ref="I262:I305" si="19">IF(H262&lt;$H$2+1,($I$2-($I$2-1)*(LOG(H262)/LOG($H$2))),"")</f>
        <v/>
      </c>
      <c r="J262" s="96">
        <f t="shared" si="18"/>
        <v>-3</v>
      </c>
      <c r="K262" s="95">
        <f t="shared" ref="K262:K305" si="20">J262*$J$2</f>
        <v>-30</v>
      </c>
      <c r="L262" s="95"/>
      <c r="M262" s="97">
        <f t="shared" ref="M262:M305" si="21">IF(I262&lt;&gt;"",K262+I262+L262,0)</f>
        <v>0</v>
      </c>
    </row>
    <row r="263" spans="1:13" x14ac:dyDescent="0.25">
      <c r="A263" s="116"/>
      <c r="G263" s="80"/>
      <c r="H263" s="95">
        <v>258</v>
      </c>
      <c r="I263" s="96" t="str">
        <f t="shared" si="19"/>
        <v/>
      </c>
      <c r="J263" s="96">
        <f t="shared" ref="J263:J305" si="22">INT(LOG($H$2,2))-ROUNDUP(LOG(H263,2),0)+IF(OR($H$2=1,$H$2=2,$H$2=4,$H$2=8,$H$2=16,$H$2=32,$H$2=64,$H$2=128,$H$2=256),0,1)</f>
        <v>-3</v>
      </c>
      <c r="K263" s="95">
        <f t="shared" si="20"/>
        <v>-30</v>
      </c>
      <c r="L263" s="95"/>
      <c r="M263" s="97">
        <f t="shared" si="21"/>
        <v>0</v>
      </c>
    </row>
    <row r="264" spans="1:13" x14ac:dyDescent="0.25">
      <c r="A264" s="116"/>
      <c r="G264" s="80"/>
      <c r="H264" s="95">
        <v>259</v>
      </c>
      <c r="I264" s="96" t="str">
        <f t="shared" si="19"/>
        <v/>
      </c>
      <c r="J264" s="96">
        <f t="shared" si="22"/>
        <v>-3</v>
      </c>
      <c r="K264" s="95">
        <f t="shared" si="20"/>
        <v>-30</v>
      </c>
      <c r="L264" s="95"/>
      <c r="M264" s="97">
        <f t="shared" si="21"/>
        <v>0</v>
      </c>
    </row>
    <row r="265" spans="1:13" x14ac:dyDescent="0.25">
      <c r="A265" s="116"/>
      <c r="G265" s="80"/>
      <c r="H265" s="95">
        <v>260</v>
      </c>
      <c r="I265" s="96" t="str">
        <f t="shared" si="19"/>
        <v/>
      </c>
      <c r="J265" s="96">
        <f t="shared" si="22"/>
        <v>-3</v>
      </c>
      <c r="K265" s="95">
        <f t="shared" si="20"/>
        <v>-30</v>
      </c>
      <c r="L265" s="95"/>
      <c r="M265" s="97">
        <f t="shared" si="21"/>
        <v>0</v>
      </c>
    </row>
    <row r="266" spans="1:13" x14ac:dyDescent="0.25">
      <c r="A266" s="116"/>
      <c r="G266" s="80"/>
      <c r="H266" s="95">
        <v>261</v>
      </c>
      <c r="I266" s="96" t="str">
        <f t="shared" si="19"/>
        <v/>
      </c>
      <c r="J266" s="96">
        <f t="shared" si="22"/>
        <v>-3</v>
      </c>
      <c r="K266" s="95">
        <f t="shared" si="20"/>
        <v>-30</v>
      </c>
      <c r="L266" s="95"/>
      <c r="M266" s="97">
        <f t="shared" si="21"/>
        <v>0</v>
      </c>
    </row>
    <row r="267" spans="1:13" x14ac:dyDescent="0.25">
      <c r="A267" s="116"/>
      <c r="G267" s="80"/>
      <c r="H267" s="95">
        <v>262</v>
      </c>
      <c r="I267" s="96" t="str">
        <f t="shared" si="19"/>
        <v/>
      </c>
      <c r="J267" s="96">
        <f t="shared" si="22"/>
        <v>-3</v>
      </c>
      <c r="K267" s="95">
        <f t="shared" si="20"/>
        <v>-30</v>
      </c>
      <c r="L267" s="95"/>
      <c r="M267" s="97">
        <f t="shared" si="21"/>
        <v>0</v>
      </c>
    </row>
    <row r="268" spans="1:13" x14ac:dyDescent="0.25">
      <c r="A268" s="116"/>
      <c r="G268" s="80"/>
      <c r="H268" s="95">
        <v>263</v>
      </c>
      <c r="I268" s="96" t="str">
        <f t="shared" si="19"/>
        <v/>
      </c>
      <c r="J268" s="96">
        <f t="shared" si="22"/>
        <v>-3</v>
      </c>
      <c r="K268" s="95">
        <f t="shared" si="20"/>
        <v>-30</v>
      </c>
      <c r="L268" s="95"/>
      <c r="M268" s="97">
        <f t="shared" si="21"/>
        <v>0</v>
      </c>
    </row>
    <row r="269" spans="1:13" x14ac:dyDescent="0.25">
      <c r="A269" s="116"/>
      <c r="G269" s="80"/>
      <c r="H269" s="95">
        <v>264</v>
      </c>
      <c r="I269" s="96" t="str">
        <f t="shared" si="19"/>
        <v/>
      </c>
      <c r="J269" s="96">
        <f t="shared" si="22"/>
        <v>-3</v>
      </c>
      <c r="K269" s="95">
        <f t="shared" si="20"/>
        <v>-30</v>
      </c>
      <c r="L269" s="95"/>
      <c r="M269" s="97">
        <f t="shared" si="21"/>
        <v>0</v>
      </c>
    </row>
    <row r="270" spans="1:13" x14ac:dyDescent="0.25">
      <c r="A270" s="116"/>
      <c r="G270" s="80"/>
      <c r="H270" s="95">
        <v>265</v>
      </c>
      <c r="I270" s="96" t="str">
        <f t="shared" si="19"/>
        <v/>
      </c>
      <c r="J270" s="96">
        <f t="shared" si="22"/>
        <v>-3</v>
      </c>
      <c r="K270" s="95">
        <f t="shared" si="20"/>
        <v>-30</v>
      </c>
      <c r="L270" s="95"/>
      <c r="M270" s="97">
        <f t="shared" si="21"/>
        <v>0</v>
      </c>
    </row>
    <row r="271" spans="1:13" x14ac:dyDescent="0.25">
      <c r="A271" s="116"/>
      <c r="G271" s="80"/>
      <c r="H271" s="95">
        <v>266</v>
      </c>
      <c r="I271" s="96" t="str">
        <f t="shared" si="19"/>
        <v/>
      </c>
      <c r="J271" s="96">
        <f t="shared" si="22"/>
        <v>-3</v>
      </c>
      <c r="K271" s="95">
        <f t="shared" si="20"/>
        <v>-30</v>
      </c>
      <c r="L271" s="95"/>
      <c r="M271" s="97">
        <f t="shared" si="21"/>
        <v>0</v>
      </c>
    </row>
    <row r="272" spans="1:13" x14ac:dyDescent="0.25">
      <c r="A272" s="116"/>
      <c r="G272" s="80"/>
      <c r="H272" s="95">
        <v>267</v>
      </c>
      <c r="I272" s="96" t="str">
        <f t="shared" si="19"/>
        <v/>
      </c>
      <c r="J272" s="96">
        <f t="shared" si="22"/>
        <v>-3</v>
      </c>
      <c r="K272" s="95">
        <f t="shared" si="20"/>
        <v>-30</v>
      </c>
      <c r="L272" s="95"/>
      <c r="M272" s="97">
        <f t="shared" si="21"/>
        <v>0</v>
      </c>
    </row>
    <row r="273" spans="1:13" x14ac:dyDescent="0.25">
      <c r="A273" s="116"/>
      <c r="G273" s="80"/>
      <c r="H273" s="95">
        <v>268</v>
      </c>
      <c r="I273" s="96" t="str">
        <f t="shared" si="19"/>
        <v/>
      </c>
      <c r="J273" s="96">
        <f t="shared" si="22"/>
        <v>-3</v>
      </c>
      <c r="K273" s="95">
        <f t="shared" si="20"/>
        <v>-30</v>
      </c>
      <c r="L273" s="95"/>
      <c r="M273" s="97">
        <f t="shared" si="21"/>
        <v>0</v>
      </c>
    </row>
    <row r="274" spans="1:13" x14ac:dyDescent="0.25">
      <c r="A274" s="116"/>
      <c r="G274" s="80"/>
      <c r="H274" s="95">
        <v>269</v>
      </c>
      <c r="I274" s="96" t="str">
        <f t="shared" si="19"/>
        <v/>
      </c>
      <c r="J274" s="96">
        <f t="shared" si="22"/>
        <v>-3</v>
      </c>
      <c r="K274" s="95">
        <f t="shared" si="20"/>
        <v>-30</v>
      </c>
      <c r="L274" s="95"/>
      <c r="M274" s="97">
        <f t="shared" si="21"/>
        <v>0</v>
      </c>
    </row>
    <row r="275" spans="1:13" x14ac:dyDescent="0.25">
      <c r="A275" s="116"/>
      <c r="G275" s="80"/>
      <c r="H275" s="95">
        <v>270</v>
      </c>
      <c r="I275" s="96" t="str">
        <f t="shared" si="19"/>
        <v/>
      </c>
      <c r="J275" s="96">
        <f t="shared" si="22"/>
        <v>-3</v>
      </c>
      <c r="K275" s="95">
        <f t="shared" si="20"/>
        <v>-30</v>
      </c>
      <c r="L275" s="95"/>
      <c r="M275" s="97">
        <f t="shared" si="21"/>
        <v>0</v>
      </c>
    </row>
    <row r="276" spans="1:13" x14ac:dyDescent="0.25">
      <c r="A276" s="116"/>
      <c r="G276" s="80"/>
      <c r="H276" s="95">
        <v>271</v>
      </c>
      <c r="I276" s="96" t="str">
        <f t="shared" si="19"/>
        <v/>
      </c>
      <c r="J276" s="96">
        <f t="shared" si="22"/>
        <v>-3</v>
      </c>
      <c r="K276" s="95">
        <f t="shared" si="20"/>
        <v>-30</v>
      </c>
      <c r="L276" s="95"/>
      <c r="M276" s="97">
        <f t="shared" si="21"/>
        <v>0</v>
      </c>
    </row>
    <row r="277" spans="1:13" x14ac:dyDescent="0.25">
      <c r="A277" s="116"/>
      <c r="G277" s="80"/>
      <c r="H277" s="95">
        <v>272</v>
      </c>
      <c r="I277" s="96" t="str">
        <f t="shared" si="19"/>
        <v/>
      </c>
      <c r="J277" s="96">
        <f t="shared" si="22"/>
        <v>-3</v>
      </c>
      <c r="K277" s="95">
        <f t="shared" si="20"/>
        <v>-30</v>
      </c>
      <c r="L277" s="95"/>
      <c r="M277" s="97">
        <f t="shared" si="21"/>
        <v>0</v>
      </c>
    </row>
    <row r="278" spans="1:13" x14ac:dyDescent="0.25">
      <c r="A278" s="116"/>
      <c r="G278" s="80"/>
      <c r="H278" s="95">
        <v>273</v>
      </c>
      <c r="I278" s="96" t="str">
        <f t="shared" si="19"/>
        <v/>
      </c>
      <c r="J278" s="96">
        <f t="shared" si="22"/>
        <v>-3</v>
      </c>
      <c r="K278" s="95">
        <f t="shared" si="20"/>
        <v>-30</v>
      </c>
      <c r="L278" s="95"/>
      <c r="M278" s="97">
        <f t="shared" si="21"/>
        <v>0</v>
      </c>
    </row>
    <row r="279" spans="1:13" x14ac:dyDescent="0.25">
      <c r="A279" s="116"/>
      <c r="G279" s="80"/>
      <c r="H279" s="95">
        <v>274</v>
      </c>
      <c r="I279" s="96" t="str">
        <f t="shared" si="19"/>
        <v/>
      </c>
      <c r="J279" s="96">
        <f t="shared" si="22"/>
        <v>-3</v>
      </c>
      <c r="K279" s="95">
        <f t="shared" si="20"/>
        <v>-30</v>
      </c>
      <c r="L279" s="95"/>
      <c r="M279" s="97">
        <f t="shared" si="21"/>
        <v>0</v>
      </c>
    </row>
    <row r="280" spans="1:13" x14ac:dyDescent="0.25">
      <c r="A280" s="116"/>
      <c r="G280" s="80"/>
      <c r="H280" s="95">
        <v>275</v>
      </c>
      <c r="I280" s="96" t="str">
        <f t="shared" si="19"/>
        <v/>
      </c>
      <c r="J280" s="96">
        <f t="shared" si="22"/>
        <v>-3</v>
      </c>
      <c r="K280" s="95">
        <f t="shared" si="20"/>
        <v>-30</v>
      </c>
      <c r="L280" s="95"/>
      <c r="M280" s="97">
        <f t="shared" si="21"/>
        <v>0</v>
      </c>
    </row>
    <row r="281" spans="1:13" x14ac:dyDescent="0.25">
      <c r="A281" s="116"/>
      <c r="G281" s="80"/>
      <c r="H281" s="95">
        <v>276</v>
      </c>
      <c r="I281" s="96" t="str">
        <f t="shared" si="19"/>
        <v/>
      </c>
      <c r="J281" s="96">
        <f t="shared" si="22"/>
        <v>-3</v>
      </c>
      <c r="K281" s="95">
        <f t="shared" si="20"/>
        <v>-30</v>
      </c>
      <c r="L281" s="95"/>
      <c r="M281" s="97">
        <f t="shared" si="21"/>
        <v>0</v>
      </c>
    </row>
    <row r="282" spans="1:13" x14ac:dyDescent="0.25">
      <c r="A282" s="116"/>
      <c r="G282" s="80"/>
      <c r="H282" s="95">
        <v>277</v>
      </c>
      <c r="I282" s="96" t="str">
        <f t="shared" si="19"/>
        <v/>
      </c>
      <c r="J282" s="96">
        <f t="shared" si="22"/>
        <v>-3</v>
      </c>
      <c r="K282" s="95">
        <f t="shared" si="20"/>
        <v>-30</v>
      </c>
      <c r="L282" s="95"/>
      <c r="M282" s="97">
        <f t="shared" si="21"/>
        <v>0</v>
      </c>
    </row>
    <row r="283" spans="1:13" x14ac:dyDescent="0.25">
      <c r="A283" s="116"/>
      <c r="G283" s="80"/>
      <c r="H283" s="95">
        <v>278</v>
      </c>
      <c r="I283" s="96" t="str">
        <f t="shared" si="19"/>
        <v/>
      </c>
      <c r="J283" s="96">
        <f t="shared" si="22"/>
        <v>-3</v>
      </c>
      <c r="K283" s="95">
        <f t="shared" si="20"/>
        <v>-30</v>
      </c>
      <c r="L283" s="95"/>
      <c r="M283" s="97">
        <f t="shared" si="21"/>
        <v>0</v>
      </c>
    </row>
    <row r="284" spans="1:13" x14ac:dyDescent="0.25">
      <c r="A284" s="116"/>
      <c r="G284" s="80"/>
      <c r="H284" s="95">
        <v>279</v>
      </c>
      <c r="I284" s="96" t="str">
        <f t="shared" si="19"/>
        <v/>
      </c>
      <c r="J284" s="96">
        <f t="shared" si="22"/>
        <v>-3</v>
      </c>
      <c r="K284" s="95">
        <f t="shared" si="20"/>
        <v>-30</v>
      </c>
      <c r="L284" s="95"/>
      <c r="M284" s="97">
        <f t="shared" si="21"/>
        <v>0</v>
      </c>
    </row>
    <row r="285" spans="1:13" x14ac:dyDescent="0.25">
      <c r="A285" s="116"/>
      <c r="G285" s="80"/>
      <c r="H285" s="95">
        <v>280</v>
      </c>
      <c r="I285" s="96" t="str">
        <f t="shared" si="19"/>
        <v/>
      </c>
      <c r="J285" s="96">
        <f t="shared" si="22"/>
        <v>-3</v>
      </c>
      <c r="K285" s="95">
        <f t="shared" si="20"/>
        <v>-30</v>
      </c>
      <c r="L285" s="95"/>
      <c r="M285" s="97">
        <f t="shared" si="21"/>
        <v>0</v>
      </c>
    </row>
    <row r="286" spans="1:13" x14ac:dyDescent="0.25">
      <c r="A286" s="116"/>
      <c r="G286" s="80"/>
      <c r="H286" s="95">
        <v>281</v>
      </c>
      <c r="I286" s="96" t="str">
        <f t="shared" si="19"/>
        <v/>
      </c>
      <c r="J286" s="96">
        <f t="shared" si="22"/>
        <v>-3</v>
      </c>
      <c r="K286" s="95">
        <f t="shared" si="20"/>
        <v>-30</v>
      </c>
      <c r="L286" s="95"/>
      <c r="M286" s="97">
        <f t="shared" si="21"/>
        <v>0</v>
      </c>
    </row>
    <row r="287" spans="1:13" x14ac:dyDescent="0.25">
      <c r="A287" s="116"/>
      <c r="G287" s="80"/>
      <c r="H287" s="95">
        <v>282</v>
      </c>
      <c r="I287" s="96" t="str">
        <f t="shared" si="19"/>
        <v/>
      </c>
      <c r="J287" s="96">
        <f t="shared" si="22"/>
        <v>-3</v>
      </c>
      <c r="K287" s="95">
        <f t="shared" si="20"/>
        <v>-30</v>
      </c>
      <c r="L287" s="95"/>
      <c r="M287" s="97">
        <f t="shared" si="21"/>
        <v>0</v>
      </c>
    </row>
    <row r="288" spans="1:13" x14ac:dyDescent="0.25">
      <c r="A288" s="116"/>
      <c r="G288" s="80"/>
      <c r="H288" s="95">
        <v>283</v>
      </c>
      <c r="I288" s="96" t="str">
        <f t="shared" si="19"/>
        <v/>
      </c>
      <c r="J288" s="96">
        <f t="shared" si="22"/>
        <v>-3</v>
      </c>
      <c r="K288" s="95">
        <f t="shared" si="20"/>
        <v>-30</v>
      </c>
      <c r="L288" s="95"/>
      <c r="M288" s="97">
        <f t="shared" si="21"/>
        <v>0</v>
      </c>
    </row>
    <row r="289" spans="1:13" x14ac:dyDescent="0.25">
      <c r="A289" s="116"/>
      <c r="G289" s="80"/>
      <c r="H289" s="95">
        <v>284</v>
      </c>
      <c r="I289" s="96" t="str">
        <f t="shared" si="19"/>
        <v/>
      </c>
      <c r="J289" s="96">
        <f t="shared" si="22"/>
        <v>-3</v>
      </c>
      <c r="K289" s="95">
        <f t="shared" si="20"/>
        <v>-30</v>
      </c>
      <c r="L289" s="95"/>
      <c r="M289" s="97">
        <f t="shared" si="21"/>
        <v>0</v>
      </c>
    </row>
    <row r="290" spans="1:13" x14ac:dyDescent="0.25">
      <c r="A290" s="116"/>
      <c r="G290" s="80"/>
      <c r="H290" s="95">
        <v>285</v>
      </c>
      <c r="I290" s="96" t="str">
        <f t="shared" si="19"/>
        <v/>
      </c>
      <c r="J290" s="96">
        <f t="shared" si="22"/>
        <v>-3</v>
      </c>
      <c r="K290" s="95">
        <f t="shared" si="20"/>
        <v>-30</v>
      </c>
      <c r="L290" s="95"/>
      <c r="M290" s="97">
        <f t="shared" si="21"/>
        <v>0</v>
      </c>
    </row>
    <row r="291" spans="1:13" x14ac:dyDescent="0.25">
      <c r="A291" s="116"/>
      <c r="G291" s="80"/>
      <c r="H291" s="95">
        <v>286</v>
      </c>
      <c r="I291" s="96" t="str">
        <f t="shared" si="19"/>
        <v/>
      </c>
      <c r="J291" s="96">
        <f t="shared" si="22"/>
        <v>-3</v>
      </c>
      <c r="K291" s="95">
        <f t="shared" si="20"/>
        <v>-30</v>
      </c>
      <c r="L291" s="95"/>
      <c r="M291" s="97">
        <f t="shared" si="21"/>
        <v>0</v>
      </c>
    </row>
    <row r="292" spans="1:13" x14ac:dyDescent="0.25">
      <c r="A292" s="116"/>
      <c r="G292" s="80"/>
      <c r="H292" s="95">
        <v>287</v>
      </c>
      <c r="I292" s="96" t="str">
        <f t="shared" si="19"/>
        <v/>
      </c>
      <c r="J292" s="96">
        <f t="shared" si="22"/>
        <v>-3</v>
      </c>
      <c r="K292" s="95">
        <f t="shared" si="20"/>
        <v>-30</v>
      </c>
      <c r="L292" s="95"/>
      <c r="M292" s="97">
        <f t="shared" si="21"/>
        <v>0</v>
      </c>
    </row>
    <row r="293" spans="1:13" x14ac:dyDescent="0.25">
      <c r="A293" s="116"/>
      <c r="G293" s="80"/>
      <c r="H293" s="95">
        <v>288</v>
      </c>
      <c r="I293" s="96" t="str">
        <f t="shared" si="19"/>
        <v/>
      </c>
      <c r="J293" s="96">
        <f t="shared" si="22"/>
        <v>-3</v>
      </c>
      <c r="K293" s="95">
        <f t="shared" si="20"/>
        <v>-30</v>
      </c>
      <c r="L293" s="95"/>
      <c r="M293" s="97">
        <f t="shared" si="21"/>
        <v>0</v>
      </c>
    </row>
    <row r="294" spans="1:13" x14ac:dyDescent="0.25">
      <c r="A294" s="116"/>
      <c r="G294" s="80"/>
      <c r="H294" s="95">
        <v>289</v>
      </c>
      <c r="I294" s="96" t="str">
        <f t="shared" si="19"/>
        <v/>
      </c>
      <c r="J294" s="96">
        <f t="shared" si="22"/>
        <v>-3</v>
      </c>
      <c r="K294" s="95">
        <f t="shared" si="20"/>
        <v>-30</v>
      </c>
      <c r="L294" s="95"/>
      <c r="M294" s="97">
        <f t="shared" si="21"/>
        <v>0</v>
      </c>
    </row>
    <row r="295" spans="1:13" x14ac:dyDescent="0.25">
      <c r="A295" s="116"/>
      <c r="G295" s="80"/>
      <c r="H295" s="95">
        <v>290</v>
      </c>
      <c r="I295" s="96" t="str">
        <f t="shared" si="19"/>
        <v/>
      </c>
      <c r="J295" s="96">
        <f t="shared" si="22"/>
        <v>-3</v>
      </c>
      <c r="K295" s="95">
        <f t="shared" si="20"/>
        <v>-30</v>
      </c>
      <c r="L295" s="95"/>
      <c r="M295" s="97">
        <f t="shared" si="21"/>
        <v>0</v>
      </c>
    </row>
    <row r="296" spans="1:13" x14ac:dyDescent="0.25">
      <c r="A296" s="116"/>
      <c r="G296" s="80"/>
      <c r="H296" s="95">
        <v>291</v>
      </c>
      <c r="I296" s="96" t="str">
        <f t="shared" si="19"/>
        <v/>
      </c>
      <c r="J296" s="96">
        <f t="shared" si="22"/>
        <v>-3</v>
      </c>
      <c r="K296" s="95">
        <f t="shared" si="20"/>
        <v>-30</v>
      </c>
      <c r="L296" s="95"/>
      <c r="M296" s="97">
        <f t="shared" si="21"/>
        <v>0</v>
      </c>
    </row>
    <row r="297" spans="1:13" x14ac:dyDescent="0.25">
      <c r="A297" s="116"/>
      <c r="G297" s="80"/>
      <c r="H297" s="95">
        <v>292</v>
      </c>
      <c r="I297" s="96" t="str">
        <f t="shared" si="19"/>
        <v/>
      </c>
      <c r="J297" s="96">
        <f t="shared" si="22"/>
        <v>-3</v>
      </c>
      <c r="K297" s="95">
        <f t="shared" si="20"/>
        <v>-30</v>
      </c>
      <c r="L297" s="95"/>
      <c r="M297" s="97">
        <f t="shared" si="21"/>
        <v>0</v>
      </c>
    </row>
    <row r="298" spans="1:13" x14ac:dyDescent="0.25">
      <c r="A298" s="116"/>
      <c r="G298" s="80"/>
      <c r="H298" s="95">
        <v>293</v>
      </c>
      <c r="I298" s="96" t="str">
        <f t="shared" si="19"/>
        <v/>
      </c>
      <c r="J298" s="96">
        <f t="shared" si="22"/>
        <v>-3</v>
      </c>
      <c r="K298" s="95">
        <f t="shared" si="20"/>
        <v>-30</v>
      </c>
      <c r="L298" s="95"/>
      <c r="M298" s="97">
        <f t="shared" si="21"/>
        <v>0</v>
      </c>
    </row>
    <row r="299" spans="1:13" x14ac:dyDescent="0.25">
      <c r="A299" s="116"/>
      <c r="G299" s="80"/>
      <c r="H299" s="95">
        <v>294</v>
      </c>
      <c r="I299" s="96" t="str">
        <f t="shared" si="19"/>
        <v/>
      </c>
      <c r="J299" s="96">
        <f t="shared" si="22"/>
        <v>-3</v>
      </c>
      <c r="K299" s="95">
        <f t="shared" si="20"/>
        <v>-30</v>
      </c>
      <c r="L299" s="95"/>
      <c r="M299" s="97">
        <f t="shared" si="21"/>
        <v>0</v>
      </c>
    </row>
    <row r="300" spans="1:13" x14ac:dyDescent="0.25">
      <c r="A300" s="116"/>
      <c r="G300" s="80"/>
      <c r="H300" s="95">
        <v>295</v>
      </c>
      <c r="I300" s="96" t="str">
        <f t="shared" si="19"/>
        <v/>
      </c>
      <c r="J300" s="96">
        <f t="shared" si="22"/>
        <v>-3</v>
      </c>
      <c r="K300" s="95">
        <f t="shared" si="20"/>
        <v>-30</v>
      </c>
      <c r="L300" s="95"/>
      <c r="M300" s="97">
        <f t="shared" si="21"/>
        <v>0</v>
      </c>
    </row>
    <row r="301" spans="1:13" x14ac:dyDescent="0.25">
      <c r="A301" s="116"/>
      <c r="G301" s="80"/>
      <c r="H301" s="95">
        <v>296</v>
      </c>
      <c r="I301" s="96" t="str">
        <f t="shared" si="19"/>
        <v/>
      </c>
      <c r="J301" s="96">
        <f t="shared" si="22"/>
        <v>-3</v>
      </c>
      <c r="K301" s="95">
        <f t="shared" si="20"/>
        <v>-30</v>
      </c>
      <c r="L301" s="95"/>
      <c r="M301" s="97">
        <f t="shared" si="21"/>
        <v>0</v>
      </c>
    </row>
    <row r="302" spans="1:13" x14ac:dyDescent="0.25">
      <c r="A302" s="116"/>
      <c r="G302" s="80"/>
      <c r="H302" s="95">
        <v>297</v>
      </c>
      <c r="I302" s="96" t="str">
        <f t="shared" si="19"/>
        <v/>
      </c>
      <c r="J302" s="96">
        <f t="shared" si="22"/>
        <v>-3</v>
      </c>
      <c r="K302" s="95">
        <f t="shared" si="20"/>
        <v>-30</v>
      </c>
      <c r="L302" s="95"/>
      <c r="M302" s="97">
        <f t="shared" si="21"/>
        <v>0</v>
      </c>
    </row>
    <row r="303" spans="1:13" x14ac:dyDescent="0.25">
      <c r="A303" s="116"/>
      <c r="G303" s="80"/>
      <c r="H303" s="95">
        <v>298</v>
      </c>
      <c r="I303" s="96" t="str">
        <f t="shared" si="19"/>
        <v/>
      </c>
      <c r="J303" s="96">
        <f t="shared" si="22"/>
        <v>-3</v>
      </c>
      <c r="K303" s="95">
        <f t="shared" si="20"/>
        <v>-30</v>
      </c>
      <c r="L303" s="95"/>
      <c r="M303" s="97">
        <f t="shared" si="21"/>
        <v>0</v>
      </c>
    </row>
    <row r="304" spans="1:13" x14ac:dyDescent="0.25">
      <c r="A304" s="116"/>
      <c r="G304" s="80"/>
      <c r="H304" s="95">
        <v>299</v>
      </c>
      <c r="I304" s="96" t="str">
        <f t="shared" si="19"/>
        <v/>
      </c>
      <c r="J304" s="96">
        <f t="shared" si="22"/>
        <v>-3</v>
      </c>
      <c r="K304" s="95">
        <f t="shared" si="20"/>
        <v>-30</v>
      </c>
      <c r="L304" s="95"/>
      <c r="M304" s="97">
        <f t="shared" si="21"/>
        <v>0</v>
      </c>
    </row>
    <row r="305" spans="1:16" x14ac:dyDescent="0.25">
      <c r="A305" s="116"/>
      <c r="G305" s="80"/>
      <c r="H305" s="95">
        <v>300</v>
      </c>
      <c r="I305" s="96" t="str">
        <f t="shared" si="19"/>
        <v/>
      </c>
      <c r="J305" s="96">
        <f t="shared" si="22"/>
        <v>-3</v>
      </c>
      <c r="K305" s="95">
        <f t="shared" si="20"/>
        <v>-30</v>
      </c>
      <c r="L305" s="95"/>
      <c r="M305" s="97">
        <f t="shared" si="21"/>
        <v>0</v>
      </c>
    </row>
    <row r="306" spans="1:16" x14ac:dyDescent="0.25">
      <c r="A306" s="117"/>
    </row>
    <row r="314" spans="1:16" x14ac:dyDescent="0.25">
      <c r="L314" s="120"/>
      <c r="P314" s="107"/>
    </row>
    <row r="315" spans="1:16" x14ac:dyDescent="0.25">
      <c r="L315" s="120"/>
      <c r="P315" s="107"/>
    </row>
    <row r="316" spans="1:16" x14ac:dyDescent="0.25">
      <c r="L316" s="120"/>
      <c r="P316" s="107"/>
    </row>
    <row r="317" spans="1:16" x14ac:dyDescent="0.25">
      <c r="L317" s="120"/>
      <c r="P317" s="107"/>
    </row>
  </sheetData>
  <mergeCells count="2">
    <mergeCell ref="C2:D2"/>
    <mergeCell ref="C3:D3"/>
  </mergeCells>
  <conditionalFormatting sqref="J9:K9">
    <cfRule type="cellIs" dxfId="12" priority="1" operator="lessThanOrEqual">
      <formula>0</formula>
    </cfRule>
  </conditionalFormatting>
  <conditionalFormatting sqref="K6:K8 K10:K305">
    <cfRule type="cellIs" dxfId="11" priority="2" operator="lessThanOrEqual">
      <formula>0</formula>
    </cfRule>
  </conditionalFormatting>
  <hyperlinks>
    <hyperlink ref="C2:D2" r:id="rId1" display="Madrid" xr:uid="{533D3A3C-8468-48D7-AB82-84BDCA006AED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EACC-6E67-49C6-84E0-6D965D51A221}">
  <sheetPr>
    <tabColor rgb="FF92D050"/>
  </sheetPr>
  <dimension ref="A1:AL317"/>
  <sheetViews>
    <sheetView topLeftCell="A35" workbookViewId="0">
      <selection activeCell="C56" sqref="C56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" style="118" customWidth="1"/>
    <col min="11" max="11" width="8.75" style="118" customWidth="1"/>
    <col min="12" max="12" width="11" style="118" customWidth="1"/>
    <col min="13" max="13" width="11.7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x14ac:dyDescent="0.25">
      <c r="A1" s="80"/>
      <c r="B1" s="80"/>
      <c r="C1" s="80"/>
      <c r="D1" s="80"/>
      <c r="E1" s="80"/>
      <c r="F1" s="80"/>
      <c r="G1" s="80"/>
      <c r="H1" s="81" t="s">
        <v>38</v>
      </c>
      <c r="I1" s="82" t="s">
        <v>39</v>
      </c>
      <c r="J1" s="82" t="s">
        <v>40</v>
      </c>
      <c r="K1" s="83" t="s">
        <v>128</v>
      </c>
      <c r="L1" s="84"/>
      <c r="M1" s="84"/>
    </row>
    <row r="2" spans="1:36" x14ac:dyDescent="0.25">
      <c r="A2" s="80"/>
      <c r="B2" s="47" t="s">
        <v>42</v>
      </c>
      <c r="C2" s="292" t="s">
        <v>143</v>
      </c>
      <c r="D2" s="292"/>
      <c r="E2" s="6"/>
      <c r="F2" s="6"/>
      <c r="G2" s="6"/>
      <c r="H2" s="86">
        <v>60</v>
      </c>
      <c r="I2" s="87">
        <v>50</v>
      </c>
      <c r="J2" s="87">
        <v>10</v>
      </c>
      <c r="K2" s="121">
        <f>3*H2^(1/3)</f>
        <v>11.744602923506591</v>
      </c>
      <c r="L2" s="84"/>
      <c r="M2" s="84"/>
    </row>
    <row r="3" spans="1:36" ht="14.45" customHeight="1" x14ac:dyDescent="0.25">
      <c r="A3" s="80"/>
      <c r="B3" s="89" t="s">
        <v>44</v>
      </c>
      <c r="C3" s="272" t="s">
        <v>144</v>
      </c>
      <c r="D3" s="272"/>
      <c r="E3" s="7"/>
      <c r="F3" s="7"/>
      <c r="G3" s="7"/>
      <c r="H3" s="84"/>
      <c r="I3" s="84"/>
      <c r="J3" s="84"/>
      <c r="K3" s="84"/>
      <c r="L3" s="84"/>
      <c r="M3" s="84"/>
    </row>
    <row r="4" spans="1:36" ht="10.199999999999999" customHeight="1" x14ac:dyDescent="0.25">
      <c r="A4" s="8"/>
      <c r="B4" s="7"/>
      <c r="C4" s="8"/>
      <c r="D4" s="8"/>
      <c r="E4" s="8"/>
      <c r="F4" s="8"/>
      <c r="G4" s="8"/>
      <c r="H4" s="84"/>
      <c r="I4" s="84"/>
      <c r="J4" s="84"/>
      <c r="K4" s="84"/>
      <c r="L4" s="84"/>
      <c r="M4" s="84"/>
    </row>
    <row r="5" spans="1:36" ht="34.65" x14ac:dyDescent="0.25">
      <c r="A5" s="1" t="s">
        <v>45</v>
      </c>
      <c r="B5" s="37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8"/>
      <c r="H5" s="91" t="s">
        <v>51</v>
      </c>
      <c r="I5" s="92" t="s">
        <v>52</v>
      </c>
      <c r="J5" s="92" t="s">
        <v>93</v>
      </c>
      <c r="K5" s="92" t="s">
        <v>94</v>
      </c>
      <c r="L5" s="92" t="s">
        <v>55</v>
      </c>
      <c r="M5" s="91" t="s">
        <v>56</v>
      </c>
    </row>
    <row r="6" spans="1:36" ht="14.45" customHeight="1" x14ac:dyDescent="0.25">
      <c r="A6" s="94">
        <f>M6</f>
        <v>145.23380877051977</v>
      </c>
      <c r="B6" s="36">
        <f t="shared" ref="B6:B65" si="0">IF(H6&gt;$H$2,"",(ROW()-5))</f>
        <v>1</v>
      </c>
      <c r="C6" s="24" t="s">
        <v>95</v>
      </c>
      <c r="D6" s="24"/>
      <c r="E6" s="24"/>
      <c r="F6" s="24"/>
      <c r="G6" s="8"/>
      <c r="H6" s="95">
        <v>1</v>
      </c>
      <c r="I6" s="96">
        <f t="shared" ref="I6:I69" si="1">IF(H6&lt;$H$2+1,($I$2-($I$2-1)*(LOG(H6)/LOG($H$2))),"")</f>
        <v>50</v>
      </c>
      <c r="J6" s="96">
        <f>INT(LOG($H$2,2))-ROUNDUP(LOG(H6,2),0)+IF(OR($H$2=1,$H$2=2,$H$2=4,$H$2=8,$H$2=16,$H$2=32,$H$2=64,$H$2=128,$H$2=256),0,1)</f>
        <v>6</v>
      </c>
      <c r="K6" s="95">
        <f t="shared" ref="K6:K69" si="2">J6*$J$2</f>
        <v>60</v>
      </c>
      <c r="L6" s="97">
        <f>3*K2</f>
        <v>35.233808770519772</v>
      </c>
      <c r="M6" s="97">
        <f t="shared" ref="M6:M69" si="3">IF(I6&lt;&gt;"",K6+I6+L6,0)</f>
        <v>145.23380877051977</v>
      </c>
    </row>
    <row r="7" spans="1:36" ht="14.45" customHeight="1" x14ac:dyDescent="0.25">
      <c r="A7" s="98">
        <f t="shared" ref="A7:A70" si="4">M7</f>
        <v>115.19380927467289</v>
      </c>
      <c r="B7" s="35">
        <f t="shared" si="0"/>
        <v>2</v>
      </c>
      <c r="C7" s="25" t="s">
        <v>95</v>
      </c>
      <c r="D7" s="25"/>
      <c r="E7" s="25"/>
      <c r="F7" s="25"/>
      <c r="G7" s="8"/>
      <c r="H7" s="99">
        <v>2</v>
      </c>
      <c r="I7" s="100">
        <f t="shared" si="1"/>
        <v>41.704603427659706</v>
      </c>
      <c r="J7" s="100">
        <f t="shared" ref="J7:J70" si="5">INT(LOG($H$2,2))-ROUNDUP(LOG(H7,2),0)+IF(OR($H$2=1,$H$2=2,$H$2=4,$H$2=8,$H$2=16,$H$2=32,$H$2=64,$H$2=128,$H$2=256),0,1)</f>
        <v>5</v>
      </c>
      <c r="K7" s="99">
        <f t="shared" si="2"/>
        <v>50</v>
      </c>
      <c r="L7" s="101">
        <f>2*K2</f>
        <v>23.489205847013181</v>
      </c>
      <c r="M7" s="101">
        <f t="shared" si="3"/>
        <v>115.19380927467289</v>
      </c>
    </row>
    <row r="8" spans="1:36" ht="14.45" customHeight="1" x14ac:dyDescent="0.25">
      <c r="A8" s="94">
        <f t="shared" si="4"/>
        <v>88.596710427736411</v>
      </c>
      <c r="B8" s="36">
        <f t="shared" si="0"/>
        <v>3</v>
      </c>
      <c r="C8" s="24" t="s">
        <v>95</v>
      </c>
      <c r="D8" s="24"/>
      <c r="E8" s="24"/>
      <c r="F8" s="24"/>
      <c r="G8" s="8"/>
      <c r="H8" s="95">
        <v>3</v>
      </c>
      <c r="I8" s="96">
        <f t="shared" si="1"/>
        <v>36.852107504229828</v>
      </c>
      <c r="J8" s="96">
        <f t="shared" si="5"/>
        <v>4</v>
      </c>
      <c r="K8" s="95">
        <f t="shared" si="2"/>
        <v>40</v>
      </c>
      <c r="L8" s="97">
        <f>K2</f>
        <v>11.744602923506591</v>
      </c>
      <c r="M8" s="97">
        <f t="shared" si="3"/>
        <v>88.596710427736411</v>
      </c>
    </row>
    <row r="9" spans="1:36" s="85" customFormat="1" ht="14.45" customHeight="1" x14ac:dyDescent="0.25">
      <c r="A9" s="98">
        <f t="shared" si="4"/>
        <v>88.596710427736411</v>
      </c>
      <c r="B9" s="35">
        <f>IF(H9&gt;$H$2,"",3)</f>
        <v>3</v>
      </c>
      <c r="C9" s="25" t="s">
        <v>95</v>
      </c>
      <c r="D9" s="25"/>
      <c r="E9" s="25"/>
      <c r="F9" s="25"/>
      <c r="G9" s="8"/>
      <c r="H9" s="99">
        <v>3</v>
      </c>
      <c r="I9" s="100">
        <f t="shared" si="1"/>
        <v>36.852107504229828</v>
      </c>
      <c r="J9" s="99">
        <f t="shared" si="5"/>
        <v>4</v>
      </c>
      <c r="K9" s="99">
        <f t="shared" si="2"/>
        <v>40</v>
      </c>
      <c r="L9" s="101">
        <f>K2</f>
        <v>11.744602923506591</v>
      </c>
      <c r="M9" s="101">
        <f t="shared" si="3"/>
        <v>88.596710427736411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95</v>
      </c>
      <c r="AI9" s="85">
        <v>23</v>
      </c>
    </row>
    <row r="10" spans="1:36" ht="14.45" customHeight="1" x14ac:dyDescent="0.25">
      <c r="A10" s="94">
        <f t="shared" si="4"/>
        <v>60.738685640450754</v>
      </c>
      <c r="B10" s="36">
        <f t="shared" si="0"/>
        <v>5</v>
      </c>
      <c r="C10" s="24" t="s">
        <v>95</v>
      </c>
      <c r="D10" s="24"/>
      <c r="E10" s="24"/>
      <c r="F10" s="24"/>
      <c r="G10" s="8"/>
      <c r="H10" s="95">
        <v>5</v>
      </c>
      <c r="I10" s="96">
        <f t="shared" si="1"/>
        <v>30.73868564045075</v>
      </c>
      <c r="J10" s="96">
        <f t="shared" si="5"/>
        <v>3</v>
      </c>
      <c r="K10" s="95">
        <f t="shared" si="2"/>
        <v>30</v>
      </c>
      <c r="L10" s="95"/>
      <c r="M10" s="97">
        <f t="shared" si="3"/>
        <v>60.738685640450754</v>
      </c>
      <c r="V10" s="102"/>
      <c r="Z10" s="103"/>
      <c r="AA10" s="103"/>
      <c r="AG10" s="104"/>
      <c r="AH10" s="85" t="s">
        <v>96</v>
      </c>
      <c r="AI10" s="85">
        <v>45</v>
      </c>
    </row>
    <row r="11" spans="1:36" ht="14.45" customHeight="1" x14ac:dyDescent="0.25">
      <c r="A11" s="98">
        <f t="shared" si="4"/>
        <v>58.55671093188954</v>
      </c>
      <c r="B11" s="35">
        <f t="shared" si="0"/>
        <v>6</v>
      </c>
      <c r="C11" s="25" t="s">
        <v>95</v>
      </c>
      <c r="D11" s="25"/>
      <c r="E11" s="25"/>
      <c r="F11" s="25"/>
      <c r="G11" s="8"/>
      <c r="H11" s="99">
        <v>6</v>
      </c>
      <c r="I11" s="100">
        <f t="shared" si="1"/>
        <v>28.556710931889537</v>
      </c>
      <c r="J11" s="100">
        <f t="shared" si="5"/>
        <v>3</v>
      </c>
      <c r="K11" s="99">
        <f t="shared" si="2"/>
        <v>30</v>
      </c>
      <c r="L11" s="99"/>
      <c r="M11" s="101">
        <f t="shared" si="3"/>
        <v>58.55671093188954</v>
      </c>
      <c r="V11" s="105"/>
      <c r="Z11" s="103"/>
      <c r="AA11" s="103"/>
      <c r="AG11" s="104"/>
      <c r="AH11" s="85" t="s">
        <v>97</v>
      </c>
      <c r="AI11" s="85">
        <v>50</v>
      </c>
    </row>
    <row r="12" spans="1:36" ht="14.45" customHeight="1" x14ac:dyDescent="0.25">
      <c r="A12" s="94">
        <f t="shared" si="4"/>
        <v>56.71187760222071</v>
      </c>
      <c r="B12" s="36">
        <f t="shared" si="0"/>
        <v>7</v>
      </c>
      <c r="C12" s="24" t="s">
        <v>20</v>
      </c>
      <c r="D12" s="24"/>
      <c r="E12" s="24"/>
      <c r="F12" s="24"/>
      <c r="G12" s="8"/>
      <c r="H12" s="95">
        <v>7</v>
      </c>
      <c r="I12" s="96">
        <f t="shared" si="1"/>
        <v>26.711877602220707</v>
      </c>
      <c r="J12" s="96">
        <f t="shared" si="5"/>
        <v>3</v>
      </c>
      <c r="K12" s="95">
        <f t="shared" si="2"/>
        <v>30</v>
      </c>
      <c r="L12" s="95"/>
      <c r="M12" s="97">
        <f t="shared" si="3"/>
        <v>56.71187760222071</v>
      </c>
      <c r="Z12" s="103"/>
      <c r="AA12" s="103"/>
      <c r="AG12" s="104"/>
      <c r="AH12" s="85" t="s">
        <v>98</v>
      </c>
      <c r="AI12" s="85">
        <f>AI11-1</f>
        <v>49</v>
      </c>
    </row>
    <row r="13" spans="1:36" ht="14.45" customHeight="1" x14ac:dyDescent="0.25">
      <c r="A13" s="98">
        <f t="shared" si="4"/>
        <v>55.113810282979131</v>
      </c>
      <c r="B13" s="35">
        <f t="shared" si="0"/>
        <v>8</v>
      </c>
      <c r="C13" s="25" t="s">
        <v>95</v>
      </c>
      <c r="D13" s="25"/>
      <c r="E13" s="25"/>
      <c r="F13" s="25"/>
      <c r="G13" s="8"/>
      <c r="H13" s="99">
        <v>8</v>
      </c>
      <c r="I13" s="100">
        <f t="shared" si="1"/>
        <v>25.113810282979131</v>
      </c>
      <c r="J13" s="100">
        <f t="shared" si="5"/>
        <v>3</v>
      </c>
      <c r="K13" s="99">
        <f t="shared" si="2"/>
        <v>30</v>
      </c>
      <c r="L13" s="99"/>
      <c r="M13" s="101">
        <f t="shared" si="3"/>
        <v>55.113810282979131</v>
      </c>
      <c r="X13" s="102"/>
      <c r="AG13" s="104"/>
      <c r="AH13" s="85" t="s">
        <v>101</v>
      </c>
      <c r="AI13" s="85">
        <f>LOG(AI9)</f>
        <v>1.3617278360175928</v>
      </c>
    </row>
    <row r="14" spans="1:36" x14ac:dyDescent="0.25">
      <c r="A14" s="94">
        <f t="shared" si="4"/>
        <v>43.704215008459656</v>
      </c>
      <c r="B14" s="36">
        <f t="shared" si="0"/>
        <v>9</v>
      </c>
      <c r="C14" s="24" t="s">
        <v>95</v>
      </c>
      <c r="D14" s="24"/>
      <c r="E14" s="24"/>
      <c r="F14" s="24"/>
      <c r="G14" s="8"/>
      <c r="H14" s="95">
        <v>9</v>
      </c>
      <c r="I14" s="96">
        <f t="shared" si="1"/>
        <v>23.704215008459652</v>
      </c>
      <c r="J14" s="96">
        <f t="shared" si="5"/>
        <v>2</v>
      </c>
      <c r="K14" s="95">
        <f t="shared" si="2"/>
        <v>20</v>
      </c>
      <c r="L14" s="95"/>
      <c r="M14" s="97">
        <f t="shared" si="3"/>
        <v>43.704215008459656</v>
      </c>
      <c r="X14" s="106"/>
      <c r="Z14" s="103"/>
      <c r="AA14" s="103"/>
      <c r="AG14" s="104"/>
      <c r="AH14" s="85" t="s">
        <v>102</v>
      </c>
      <c r="AI14" s="85">
        <f>LOG(AI10)</f>
        <v>1.6532125137753437</v>
      </c>
    </row>
    <row r="15" spans="1:36" x14ac:dyDescent="0.25">
      <c r="A15" s="98">
        <f t="shared" si="4"/>
        <v>42.44328906811046</v>
      </c>
      <c r="B15" s="35">
        <f t="shared" si="0"/>
        <v>10</v>
      </c>
      <c r="C15" s="25" t="s">
        <v>95</v>
      </c>
      <c r="D15" s="25"/>
      <c r="E15" s="25"/>
      <c r="F15" s="25"/>
      <c r="G15" s="8"/>
      <c r="H15" s="99">
        <v>10</v>
      </c>
      <c r="I15" s="100">
        <f t="shared" si="1"/>
        <v>22.443289068110463</v>
      </c>
      <c r="J15" s="100">
        <f t="shared" si="5"/>
        <v>2</v>
      </c>
      <c r="K15" s="99">
        <f t="shared" si="2"/>
        <v>20</v>
      </c>
      <c r="L15" s="99"/>
      <c r="M15" s="101">
        <f t="shared" si="3"/>
        <v>42.44328906811046</v>
      </c>
      <c r="X15" s="102"/>
      <c r="Z15" s="103"/>
      <c r="AA15" s="103"/>
    </row>
    <row r="16" spans="1:36" x14ac:dyDescent="0.25">
      <c r="A16" s="94">
        <f t="shared" si="4"/>
        <v>41.302642808510541</v>
      </c>
      <c r="B16" s="36">
        <f t="shared" si="0"/>
        <v>11</v>
      </c>
      <c r="C16" s="24" t="s">
        <v>21</v>
      </c>
      <c r="D16" s="24"/>
      <c r="E16" s="24"/>
      <c r="F16" s="24"/>
      <c r="G16" s="8"/>
      <c r="H16" s="95">
        <v>11</v>
      </c>
      <c r="I16" s="96">
        <f t="shared" si="1"/>
        <v>21.302642808510541</v>
      </c>
      <c r="J16" s="96">
        <f t="shared" si="5"/>
        <v>2</v>
      </c>
      <c r="K16" s="95">
        <f t="shared" si="2"/>
        <v>20</v>
      </c>
      <c r="L16" s="95"/>
      <c r="M16" s="97">
        <f t="shared" si="3"/>
        <v>41.302642808510541</v>
      </c>
      <c r="R16" s="107"/>
      <c r="Z16" s="103"/>
      <c r="AA16" s="103"/>
      <c r="AH16" s="108" t="s">
        <v>104</v>
      </c>
      <c r="AI16" s="85">
        <f>AI11-AI12*AI13/AI14</f>
        <v>9.6393909380186855</v>
      </c>
      <c r="AJ16" s="85" t="s">
        <v>105</v>
      </c>
    </row>
    <row r="17" spans="1:19" x14ac:dyDescent="0.25">
      <c r="A17" s="98">
        <f t="shared" si="4"/>
        <v>40.261314359549246</v>
      </c>
      <c r="B17" s="35">
        <f t="shared" si="0"/>
        <v>12</v>
      </c>
      <c r="C17" s="25" t="s">
        <v>95</v>
      </c>
      <c r="D17" s="25"/>
      <c r="E17" s="25"/>
      <c r="F17" s="25"/>
      <c r="G17" s="8"/>
      <c r="H17" s="99">
        <v>12</v>
      </c>
      <c r="I17" s="100">
        <f t="shared" si="1"/>
        <v>20.261314359549242</v>
      </c>
      <c r="J17" s="100">
        <f t="shared" si="5"/>
        <v>2</v>
      </c>
      <c r="K17" s="99">
        <f t="shared" si="2"/>
        <v>20</v>
      </c>
      <c r="L17" s="99"/>
      <c r="M17" s="101">
        <f t="shared" si="3"/>
        <v>40.261314359549246</v>
      </c>
    </row>
    <row r="18" spans="1:19" x14ac:dyDescent="0.25">
      <c r="A18" s="94">
        <f t="shared" si="4"/>
        <v>39.303385045980519</v>
      </c>
      <c r="B18" s="36">
        <f t="shared" si="0"/>
        <v>13</v>
      </c>
      <c r="C18" s="24" t="s">
        <v>95</v>
      </c>
      <c r="D18" s="24"/>
      <c r="E18" s="24"/>
      <c r="F18" s="24"/>
      <c r="G18" s="8"/>
      <c r="H18" s="95">
        <v>13</v>
      </c>
      <c r="I18" s="96">
        <f t="shared" si="1"/>
        <v>19.303385045980516</v>
      </c>
      <c r="J18" s="96">
        <f t="shared" si="5"/>
        <v>2</v>
      </c>
      <c r="K18" s="95">
        <f t="shared" si="2"/>
        <v>20</v>
      </c>
      <c r="L18" s="95"/>
      <c r="M18" s="97">
        <f t="shared" si="3"/>
        <v>39.303385045980519</v>
      </c>
    </row>
    <row r="19" spans="1:19" x14ac:dyDescent="0.25">
      <c r="A19" s="98">
        <f t="shared" si="4"/>
        <v>38.416481029880416</v>
      </c>
      <c r="B19" s="35">
        <f t="shared" si="0"/>
        <v>14</v>
      </c>
      <c r="C19" s="25" t="s">
        <v>95</v>
      </c>
      <c r="D19" s="25"/>
      <c r="E19" s="25"/>
      <c r="F19" s="25"/>
      <c r="G19" s="8"/>
      <c r="H19" s="99">
        <v>14</v>
      </c>
      <c r="I19" s="100">
        <f t="shared" si="1"/>
        <v>18.416481029880419</v>
      </c>
      <c r="J19" s="100">
        <f t="shared" si="5"/>
        <v>2</v>
      </c>
      <c r="K19" s="99">
        <f t="shared" si="2"/>
        <v>20</v>
      </c>
      <c r="L19" s="99"/>
      <c r="M19" s="101">
        <f t="shared" si="3"/>
        <v>38.416481029880416</v>
      </c>
    </row>
    <row r="20" spans="1:19" x14ac:dyDescent="0.25">
      <c r="A20" s="94">
        <f t="shared" si="4"/>
        <v>37.590793144680575</v>
      </c>
      <c r="B20" s="36">
        <f t="shared" si="0"/>
        <v>15</v>
      </c>
      <c r="C20" s="24" t="s">
        <v>95</v>
      </c>
      <c r="D20" s="24"/>
      <c r="E20" s="24"/>
      <c r="F20" s="24"/>
      <c r="G20" s="8"/>
      <c r="H20" s="95">
        <v>15</v>
      </c>
      <c r="I20" s="96">
        <f t="shared" si="1"/>
        <v>17.590793144680575</v>
      </c>
      <c r="J20" s="96">
        <f t="shared" si="5"/>
        <v>2</v>
      </c>
      <c r="K20" s="95">
        <f t="shared" si="2"/>
        <v>20</v>
      </c>
      <c r="L20" s="95"/>
      <c r="M20" s="97">
        <f t="shared" si="3"/>
        <v>37.590793144680575</v>
      </c>
      <c r="R20" s="109"/>
      <c r="S20" s="110"/>
    </row>
    <row r="21" spans="1:19" x14ac:dyDescent="0.25">
      <c r="A21" s="98">
        <f t="shared" si="4"/>
        <v>36.818413710638836</v>
      </c>
      <c r="B21" s="35">
        <f t="shared" si="0"/>
        <v>16</v>
      </c>
      <c r="C21" s="25" t="s">
        <v>95</v>
      </c>
      <c r="D21" s="25"/>
      <c r="E21" s="25"/>
      <c r="F21" s="25"/>
      <c r="G21" s="8"/>
      <c r="H21" s="99">
        <v>16</v>
      </c>
      <c r="I21" s="100">
        <f t="shared" si="1"/>
        <v>16.818413710638836</v>
      </c>
      <c r="J21" s="100">
        <f t="shared" si="5"/>
        <v>2</v>
      </c>
      <c r="K21" s="99">
        <f t="shared" si="2"/>
        <v>20</v>
      </c>
      <c r="L21" s="99"/>
      <c r="M21" s="101">
        <f t="shared" si="3"/>
        <v>36.818413710638836</v>
      </c>
    </row>
    <row r="22" spans="1:19" x14ac:dyDescent="0.25">
      <c r="A22" s="94">
        <f t="shared" si="4"/>
        <v>26.092874757123631</v>
      </c>
      <c r="B22" s="36">
        <f t="shared" si="0"/>
        <v>17</v>
      </c>
      <c r="C22" s="24" t="s">
        <v>95</v>
      </c>
      <c r="D22" s="24"/>
      <c r="E22" s="24"/>
      <c r="F22" s="24"/>
      <c r="G22" s="8"/>
      <c r="H22" s="95">
        <v>17</v>
      </c>
      <c r="I22" s="96">
        <f t="shared" si="1"/>
        <v>16.092874757123631</v>
      </c>
      <c r="J22" s="96">
        <f t="shared" si="5"/>
        <v>1</v>
      </c>
      <c r="K22" s="95">
        <f t="shared" si="2"/>
        <v>10</v>
      </c>
      <c r="L22" s="95"/>
      <c r="M22" s="97">
        <f t="shared" si="3"/>
        <v>26.092874757123631</v>
      </c>
    </row>
    <row r="23" spans="1:19" x14ac:dyDescent="0.25">
      <c r="A23" s="98">
        <f t="shared" si="4"/>
        <v>25.408818436119368</v>
      </c>
      <c r="B23" s="35">
        <f t="shared" si="0"/>
        <v>18</v>
      </c>
      <c r="C23" s="25" t="s">
        <v>95</v>
      </c>
      <c r="D23" s="25"/>
      <c r="E23" s="25"/>
      <c r="F23" s="25"/>
      <c r="G23" s="8"/>
      <c r="H23" s="99">
        <v>18</v>
      </c>
      <c r="I23" s="100">
        <f t="shared" si="1"/>
        <v>15.408818436119368</v>
      </c>
      <c r="J23" s="100">
        <f t="shared" si="5"/>
        <v>1</v>
      </c>
      <c r="K23" s="99">
        <f t="shared" si="2"/>
        <v>10</v>
      </c>
      <c r="L23" s="99"/>
      <c r="M23" s="101">
        <f t="shared" si="3"/>
        <v>25.408818436119368</v>
      </c>
    </row>
    <row r="24" spans="1:19" x14ac:dyDescent="0.25">
      <c r="A24" s="94">
        <f t="shared" si="4"/>
        <v>24.76175666543007</v>
      </c>
      <c r="B24" s="36">
        <f t="shared" si="0"/>
        <v>19</v>
      </c>
      <c r="C24" s="24" t="s">
        <v>95</v>
      </c>
      <c r="D24" s="24"/>
      <c r="E24" s="24"/>
      <c r="F24" s="24"/>
      <c r="G24" s="8"/>
      <c r="H24" s="95">
        <v>19</v>
      </c>
      <c r="I24" s="96">
        <f t="shared" si="1"/>
        <v>14.76175666543007</v>
      </c>
      <c r="J24" s="96">
        <f t="shared" si="5"/>
        <v>1</v>
      </c>
      <c r="K24" s="95">
        <f t="shared" si="2"/>
        <v>10</v>
      </c>
      <c r="L24" s="95"/>
      <c r="M24" s="97">
        <f t="shared" si="3"/>
        <v>24.76175666543007</v>
      </c>
      <c r="R24" s="109"/>
      <c r="S24" s="110"/>
    </row>
    <row r="25" spans="1:19" x14ac:dyDescent="0.25">
      <c r="A25" s="98">
        <f t="shared" si="4"/>
        <v>24.147892495770172</v>
      </c>
      <c r="B25" s="35">
        <f t="shared" si="0"/>
        <v>20</v>
      </c>
      <c r="C25" s="25" t="s">
        <v>95</v>
      </c>
      <c r="D25" s="25"/>
      <c r="E25" s="25"/>
      <c r="F25" s="25"/>
      <c r="G25" s="8"/>
      <c r="H25" s="99">
        <v>20</v>
      </c>
      <c r="I25" s="100">
        <f t="shared" si="1"/>
        <v>14.147892495770172</v>
      </c>
      <c r="J25" s="100">
        <f t="shared" si="5"/>
        <v>1</v>
      </c>
      <c r="K25" s="99">
        <f t="shared" si="2"/>
        <v>10</v>
      </c>
      <c r="L25" s="99"/>
      <c r="M25" s="101">
        <f t="shared" si="3"/>
        <v>24.147892495770172</v>
      </c>
    </row>
    <row r="26" spans="1:19" x14ac:dyDescent="0.25">
      <c r="A26" s="94">
        <f t="shared" si="4"/>
        <v>23.563985106450538</v>
      </c>
      <c r="B26" s="36">
        <f t="shared" si="0"/>
        <v>21</v>
      </c>
      <c r="C26" s="24" t="s">
        <v>95</v>
      </c>
      <c r="D26" s="24"/>
      <c r="E26" s="24"/>
      <c r="F26" s="24"/>
      <c r="G26" s="8"/>
      <c r="H26" s="95">
        <v>21</v>
      </c>
      <c r="I26" s="96">
        <f t="shared" si="1"/>
        <v>13.563985106450538</v>
      </c>
      <c r="J26" s="96">
        <f t="shared" si="5"/>
        <v>1</v>
      </c>
      <c r="K26" s="95">
        <f t="shared" si="2"/>
        <v>10</v>
      </c>
      <c r="L26" s="95"/>
      <c r="M26" s="97">
        <f t="shared" si="3"/>
        <v>23.563985106450538</v>
      </c>
    </row>
    <row r="27" spans="1:19" x14ac:dyDescent="0.25">
      <c r="A27" s="98">
        <f t="shared" si="4"/>
        <v>23.007246236170253</v>
      </c>
      <c r="B27" s="35">
        <f t="shared" si="0"/>
        <v>22</v>
      </c>
      <c r="C27" s="25" t="s">
        <v>95</v>
      </c>
      <c r="D27" s="25"/>
      <c r="E27" s="25"/>
      <c r="F27" s="25"/>
      <c r="G27" s="8"/>
      <c r="H27" s="99">
        <v>22</v>
      </c>
      <c r="I27" s="100">
        <f t="shared" si="1"/>
        <v>13.007246236170253</v>
      </c>
      <c r="J27" s="100">
        <f t="shared" si="5"/>
        <v>1</v>
      </c>
      <c r="K27" s="99">
        <f t="shared" si="2"/>
        <v>10</v>
      </c>
      <c r="L27" s="99"/>
      <c r="M27" s="101">
        <f t="shared" si="3"/>
        <v>23.007246236170253</v>
      </c>
    </row>
    <row r="28" spans="1:19" x14ac:dyDescent="0.25">
      <c r="A28" s="94">
        <f t="shared" si="4"/>
        <v>22.475259654955721</v>
      </c>
      <c r="B28" s="36">
        <f t="shared" si="0"/>
        <v>23</v>
      </c>
      <c r="C28" s="24" t="s">
        <v>95</v>
      </c>
      <c r="D28" s="24"/>
      <c r="E28" s="24"/>
      <c r="F28" s="24"/>
      <c r="G28" s="8"/>
      <c r="H28" s="95">
        <v>23</v>
      </c>
      <c r="I28" s="96">
        <f t="shared" si="1"/>
        <v>12.475259654955721</v>
      </c>
      <c r="J28" s="96">
        <f t="shared" si="5"/>
        <v>1</v>
      </c>
      <c r="K28" s="95">
        <f t="shared" si="2"/>
        <v>10</v>
      </c>
      <c r="L28" s="95"/>
      <c r="M28" s="97">
        <f t="shared" si="3"/>
        <v>22.475259654955721</v>
      </c>
      <c r="R28" s="109"/>
      <c r="S28" s="110"/>
    </row>
    <row r="29" spans="1:19" x14ac:dyDescent="0.25">
      <c r="A29" s="98">
        <f t="shared" si="4"/>
        <v>21.965917787208959</v>
      </c>
      <c r="B29" s="35">
        <f t="shared" si="0"/>
        <v>24</v>
      </c>
      <c r="C29" s="25" t="s">
        <v>95</v>
      </c>
      <c r="D29" s="25"/>
      <c r="E29" s="25"/>
      <c r="F29" s="25"/>
      <c r="G29" s="80"/>
      <c r="H29" s="99">
        <v>24</v>
      </c>
      <c r="I29" s="100">
        <f t="shared" si="1"/>
        <v>11.965917787208959</v>
      </c>
      <c r="J29" s="100">
        <f t="shared" si="5"/>
        <v>1</v>
      </c>
      <c r="K29" s="99">
        <f t="shared" si="2"/>
        <v>10</v>
      </c>
      <c r="L29" s="99"/>
      <c r="M29" s="101">
        <f t="shared" si="3"/>
        <v>21.965917787208959</v>
      </c>
    </row>
    <row r="30" spans="1:19" x14ac:dyDescent="0.25">
      <c r="A30" s="94">
        <f t="shared" si="4"/>
        <v>21.477371280901501</v>
      </c>
      <c r="B30" s="36">
        <f t="shared" si="0"/>
        <v>25</v>
      </c>
      <c r="C30" s="24" t="s">
        <v>95</v>
      </c>
      <c r="D30" s="24"/>
      <c r="E30" s="24"/>
      <c r="F30" s="24"/>
      <c r="G30" s="80"/>
      <c r="H30" s="95">
        <v>25</v>
      </c>
      <c r="I30" s="96">
        <f t="shared" si="1"/>
        <v>11.477371280901501</v>
      </c>
      <c r="J30" s="96">
        <f t="shared" si="5"/>
        <v>1</v>
      </c>
      <c r="K30" s="95">
        <f t="shared" si="2"/>
        <v>10</v>
      </c>
      <c r="L30" s="95"/>
      <c r="M30" s="97">
        <f t="shared" si="3"/>
        <v>21.477371280901501</v>
      </c>
    </row>
    <row r="31" spans="1:19" x14ac:dyDescent="0.25">
      <c r="A31" s="98">
        <f t="shared" si="4"/>
        <v>21.007988473640225</v>
      </c>
      <c r="B31" s="35">
        <f t="shared" si="0"/>
        <v>26</v>
      </c>
      <c r="C31" s="25" t="s">
        <v>95</v>
      </c>
      <c r="D31" s="25"/>
      <c r="E31" s="25"/>
      <c r="F31" s="25"/>
      <c r="G31" s="80"/>
      <c r="H31" s="99">
        <v>26</v>
      </c>
      <c r="I31" s="100">
        <f t="shared" si="1"/>
        <v>11.007988473640225</v>
      </c>
      <c r="J31" s="100">
        <f t="shared" si="5"/>
        <v>1</v>
      </c>
      <c r="K31" s="99">
        <f t="shared" si="2"/>
        <v>10</v>
      </c>
      <c r="L31" s="99"/>
      <c r="M31" s="101">
        <f t="shared" si="3"/>
        <v>21.007988473640225</v>
      </c>
    </row>
    <row r="32" spans="1:19" x14ac:dyDescent="0.25">
      <c r="A32" s="94">
        <f t="shared" si="4"/>
        <v>20.556322512689476</v>
      </c>
      <c r="B32" s="36">
        <f t="shared" si="0"/>
        <v>27</v>
      </c>
      <c r="C32" s="24" t="s">
        <v>95</v>
      </c>
      <c r="D32" s="24"/>
      <c r="E32" s="24"/>
      <c r="F32" s="24"/>
      <c r="G32" s="80"/>
      <c r="H32" s="95">
        <v>27</v>
      </c>
      <c r="I32" s="96">
        <f t="shared" si="1"/>
        <v>10.556322512689476</v>
      </c>
      <c r="J32" s="96">
        <f t="shared" si="5"/>
        <v>1</v>
      </c>
      <c r="K32" s="95">
        <f t="shared" si="2"/>
        <v>10</v>
      </c>
      <c r="L32" s="95"/>
      <c r="M32" s="97">
        <f t="shared" si="3"/>
        <v>20.556322512689476</v>
      </c>
      <c r="R32" s="109"/>
      <c r="S32" s="110"/>
    </row>
    <row r="33" spans="1:21" x14ac:dyDescent="0.25">
      <c r="A33" s="98">
        <f t="shared" si="4"/>
        <v>20.121084457540128</v>
      </c>
      <c r="B33" s="35">
        <f t="shared" si="0"/>
        <v>28</v>
      </c>
      <c r="C33" s="25" t="s">
        <v>95</v>
      </c>
      <c r="D33" s="25"/>
      <c r="E33" s="25"/>
      <c r="F33" s="25"/>
      <c r="G33" s="80"/>
      <c r="H33" s="99">
        <v>28</v>
      </c>
      <c r="I33" s="100">
        <f t="shared" si="1"/>
        <v>10.121084457540128</v>
      </c>
      <c r="J33" s="100">
        <f t="shared" si="5"/>
        <v>1</v>
      </c>
      <c r="K33" s="99">
        <f t="shared" si="2"/>
        <v>10</v>
      </c>
      <c r="L33" s="99"/>
      <c r="M33" s="101">
        <f t="shared" si="3"/>
        <v>20.121084457540128</v>
      </c>
    </row>
    <row r="34" spans="1:21" x14ac:dyDescent="0.25">
      <c r="A34" s="94">
        <f t="shared" si="4"/>
        <v>19.701121104524468</v>
      </c>
      <c r="B34" s="36">
        <f t="shared" si="0"/>
        <v>29</v>
      </c>
      <c r="C34" s="24" t="s">
        <v>95</v>
      </c>
      <c r="D34" s="24"/>
      <c r="E34" s="24"/>
      <c r="F34" s="24"/>
      <c r="G34" s="80"/>
      <c r="H34" s="95">
        <v>29</v>
      </c>
      <c r="I34" s="96">
        <f t="shared" si="1"/>
        <v>9.7011211045244679</v>
      </c>
      <c r="J34" s="96">
        <f t="shared" si="5"/>
        <v>1</v>
      </c>
      <c r="K34" s="95">
        <f t="shared" si="2"/>
        <v>10</v>
      </c>
      <c r="L34" s="95"/>
      <c r="M34" s="97">
        <f t="shared" si="3"/>
        <v>19.701121104524468</v>
      </c>
    </row>
    <row r="35" spans="1:21" x14ac:dyDescent="0.25">
      <c r="A35" s="98">
        <f t="shared" si="4"/>
        <v>19.295396572340287</v>
      </c>
      <c r="B35" s="35">
        <f t="shared" si="0"/>
        <v>30</v>
      </c>
      <c r="C35" s="25" t="s">
        <v>95</v>
      </c>
      <c r="D35" s="25"/>
      <c r="E35" s="25"/>
      <c r="F35" s="25"/>
      <c r="G35" s="80"/>
      <c r="H35" s="99">
        <v>30</v>
      </c>
      <c r="I35" s="100">
        <f t="shared" si="1"/>
        <v>9.2953965723402874</v>
      </c>
      <c r="J35" s="100">
        <f t="shared" si="5"/>
        <v>1</v>
      </c>
      <c r="K35" s="99">
        <f t="shared" si="2"/>
        <v>10</v>
      </c>
      <c r="L35" s="99"/>
      <c r="M35" s="101">
        <f t="shared" si="3"/>
        <v>19.295396572340287</v>
      </c>
    </row>
    <row r="36" spans="1:21" x14ac:dyDescent="0.25">
      <c r="A36" s="94">
        <f t="shared" si="4"/>
        <v>18.902976908115804</v>
      </c>
      <c r="B36" s="36">
        <f t="shared" si="0"/>
        <v>31</v>
      </c>
      <c r="C36" s="24" t="s">
        <v>95</v>
      </c>
      <c r="D36" s="24"/>
      <c r="E36" s="24"/>
      <c r="F36" s="24"/>
      <c r="G36" s="80"/>
      <c r="H36" s="95">
        <v>31</v>
      </c>
      <c r="I36" s="96">
        <f t="shared" si="1"/>
        <v>8.9029769081158037</v>
      </c>
      <c r="J36" s="96">
        <f t="shared" si="5"/>
        <v>1</v>
      </c>
      <c r="K36" s="95">
        <f t="shared" si="2"/>
        <v>10</v>
      </c>
      <c r="L36" s="95"/>
      <c r="M36" s="97">
        <f t="shared" si="3"/>
        <v>18.902976908115804</v>
      </c>
      <c r="R36" s="109"/>
      <c r="S36" s="110"/>
    </row>
    <row r="37" spans="1:21" x14ac:dyDescent="0.25">
      <c r="A37" s="98">
        <f t="shared" si="4"/>
        <v>18.523017138298549</v>
      </c>
      <c r="B37" s="35">
        <f t="shared" si="0"/>
        <v>32</v>
      </c>
      <c r="C37" s="25" t="s">
        <v>95</v>
      </c>
      <c r="D37" s="25"/>
      <c r="E37" s="25"/>
      <c r="F37" s="25"/>
      <c r="G37" s="80"/>
      <c r="H37" s="99">
        <v>32</v>
      </c>
      <c r="I37" s="100">
        <f t="shared" si="1"/>
        <v>8.5230171382985489</v>
      </c>
      <c r="J37" s="100">
        <f t="shared" si="5"/>
        <v>1</v>
      </c>
      <c r="K37" s="99">
        <f t="shared" si="2"/>
        <v>10</v>
      </c>
      <c r="L37" s="99"/>
      <c r="M37" s="101">
        <f t="shared" si="3"/>
        <v>18.523017138298549</v>
      </c>
    </row>
    <row r="38" spans="1:21" x14ac:dyDescent="0.25">
      <c r="A38" s="98">
        <f t="shared" si="4"/>
        <v>8.1547503127403616</v>
      </c>
      <c r="B38" s="36">
        <f t="shared" si="0"/>
        <v>33</v>
      </c>
      <c r="C38" s="24" t="s">
        <v>95</v>
      </c>
      <c r="D38" s="24"/>
      <c r="E38" s="24"/>
      <c r="F38" s="24"/>
      <c r="G38" s="80"/>
      <c r="H38" s="95">
        <v>33</v>
      </c>
      <c r="I38" s="96">
        <f t="shared" si="1"/>
        <v>8.1547503127403616</v>
      </c>
      <c r="J38" s="96">
        <f t="shared" si="5"/>
        <v>0</v>
      </c>
      <c r="K38" s="95">
        <f t="shared" si="2"/>
        <v>0</v>
      </c>
      <c r="L38" s="95"/>
      <c r="M38" s="97">
        <f t="shared" si="3"/>
        <v>8.1547503127403616</v>
      </c>
    </row>
    <row r="39" spans="1:21" x14ac:dyDescent="0.25">
      <c r="A39" s="98">
        <f t="shared" si="4"/>
        <v>7.797478184783337</v>
      </c>
      <c r="B39" s="35">
        <f t="shared" si="0"/>
        <v>34</v>
      </c>
      <c r="C39" s="25" t="s">
        <v>95</v>
      </c>
      <c r="D39" s="25"/>
      <c r="E39" s="25"/>
      <c r="F39" s="25"/>
      <c r="G39" s="80"/>
      <c r="H39" s="99">
        <v>34</v>
      </c>
      <c r="I39" s="100">
        <f t="shared" si="1"/>
        <v>7.797478184783337</v>
      </c>
      <c r="J39" s="100">
        <f t="shared" si="5"/>
        <v>0</v>
      </c>
      <c r="K39" s="99">
        <f t="shared" si="2"/>
        <v>0</v>
      </c>
      <c r="L39" s="99"/>
      <c r="M39" s="101">
        <f t="shared" si="3"/>
        <v>7.797478184783337</v>
      </c>
    </row>
    <row r="40" spans="1:21" x14ac:dyDescent="0.25">
      <c r="A40" s="98">
        <f t="shared" si="4"/>
        <v>7.450563242671457</v>
      </c>
      <c r="B40" s="36">
        <f t="shared" si="0"/>
        <v>35</v>
      </c>
      <c r="C40" s="24" t="s">
        <v>95</v>
      </c>
      <c r="D40" s="24"/>
      <c r="E40" s="24"/>
      <c r="F40" s="24"/>
      <c r="G40" s="80"/>
      <c r="H40" s="95">
        <v>35</v>
      </c>
      <c r="I40" s="96">
        <f t="shared" si="1"/>
        <v>7.450563242671457</v>
      </c>
      <c r="J40" s="96">
        <f t="shared" si="5"/>
        <v>0</v>
      </c>
      <c r="K40" s="95">
        <f t="shared" si="2"/>
        <v>0</v>
      </c>
      <c r="L40" s="95"/>
      <c r="M40" s="97">
        <f t="shared" si="3"/>
        <v>7.450563242671457</v>
      </c>
    </row>
    <row r="41" spans="1:21" x14ac:dyDescent="0.25">
      <c r="A41" s="98">
        <f t="shared" si="4"/>
        <v>7.1134218637790738</v>
      </c>
      <c r="B41" s="35">
        <f t="shared" si="0"/>
        <v>36</v>
      </c>
      <c r="C41" s="25" t="s">
        <v>95</v>
      </c>
      <c r="D41" s="25"/>
      <c r="E41" s="25"/>
      <c r="F41" s="25"/>
      <c r="G41" s="80"/>
      <c r="H41" s="99">
        <v>36</v>
      </c>
      <c r="I41" s="100">
        <f t="shared" si="1"/>
        <v>7.1134218637790738</v>
      </c>
      <c r="J41" s="100">
        <f t="shared" si="5"/>
        <v>0</v>
      </c>
      <c r="K41" s="99">
        <f t="shared" si="2"/>
        <v>0</v>
      </c>
      <c r="L41" s="99"/>
      <c r="M41" s="101">
        <f t="shared" si="3"/>
        <v>7.1134218637790738</v>
      </c>
      <c r="S41" s="111"/>
    </row>
    <row r="42" spans="1:21" x14ac:dyDescent="0.25">
      <c r="A42" s="98">
        <f t="shared" si="4"/>
        <v>6.7855184069950241</v>
      </c>
      <c r="B42" s="36">
        <f t="shared" si="0"/>
        <v>37</v>
      </c>
      <c r="C42" s="24" t="s">
        <v>95</v>
      </c>
      <c r="D42" s="24"/>
      <c r="E42" s="24"/>
      <c r="F42" s="24"/>
      <c r="G42" s="80"/>
      <c r="H42" s="95">
        <v>37</v>
      </c>
      <c r="I42" s="96">
        <f t="shared" si="1"/>
        <v>6.7855184069950241</v>
      </c>
      <c r="J42" s="96">
        <f t="shared" si="5"/>
        <v>0</v>
      </c>
      <c r="K42" s="95">
        <f t="shared" si="2"/>
        <v>0</v>
      </c>
      <c r="L42" s="95"/>
      <c r="M42" s="97">
        <f t="shared" si="3"/>
        <v>6.7855184069950241</v>
      </c>
    </row>
    <row r="43" spans="1:21" x14ac:dyDescent="0.25">
      <c r="A43" s="98">
        <f t="shared" si="4"/>
        <v>6.4663600930897829</v>
      </c>
      <c r="B43" s="35">
        <f t="shared" si="0"/>
        <v>38</v>
      </c>
      <c r="C43" s="25" t="s">
        <v>95</v>
      </c>
      <c r="D43" s="25"/>
      <c r="E43" s="25"/>
      <c r="F43" s="25"/>
      <c r="G43" s="80"/>
      <c r="H43" s="99">
        <v>38</v>
      </c>
      <c r="I43" s="100">
        <f t="shared" si="1"/>
        <v>6.4663600930897829</v>
      </c>
      <c r="J43" s="100">
        <f t="shared" si="5"/>
        <v>0</v>
      </c>
      <c r="K43" s="99">
        <f t="shared" si="2"/>
        <v>0</v>
      </c>
      <c r="L43" s="99"/>
      <c r="M43" s="101">
        <f t="shared" si="3"/>
        <v>6.4663600930897829</v>
      </c>
    </row>
    <row r="44" spans="1:21" x14ac:dyDescent="0.25">
      <c r="A44" s="98">
        <f t="shared" si="4"/>
        <v>6.1554925502103401</v>
      </c>
      <c r="B44" s="36">
        <f t="shared" si="0"/>
        <v>39</v>
      </c>
      <c r="C44" s="24" t="s">
        <v>95</v>
      </c>
      <c r="D44" s="24"/>
      <c r="E44" s="24"/>
      <c r="F44" s="24"/>
      <c r="G44" s="80"/>
      <c r="H44" s="95">
        <v>39</v>
      </c>
      <c r="I44" s="96">
        <f t="shared" si="1"/>
        <v>6.1554925502103401</v>
      </c>
      <c r="J44" s="96">
        <f t="shared" si="5"/>
        <v>0</v>
      </c>
      <c r="K44" s="95">
        <f t="shared" si="2"/>
        <v>0</v>
      </c>
      <c r="L44" s="95"/>
      <c r="M44" s="97">
        <f t="shared" si="3"/>
        <v>6.1554925502103401</v>
      </c>
    </row>
    <row r="45" spans="1:21" x14ac:dyDescent="0.25">
      <c r="A45" s="98">
        <f t="shared" si="4"/>
        <v>5.8524959234298848</v>
      </c>
      <c r="B45" s="35">
        <f t="shared" si="0"/>
        <v>40</v>
      </c>
      <c r="C45" s="25" t="s">
        <v>95</v>
      </c>
      <c r="D45" s="25"/>
      <c r="E45" s="25"/>
      <c r="F45" s="25"/>
      <c r="G45" s="80"/>
      <c r="H45" s="99">
        <v>40</v>
      </c>
      <c r="I45" s="100">
        <f t="shared" si="1"/>
        <v>5.8524959234298848</v>
      </c>
      <c r="J45" s="100">
        <f t="shared" si="5"/>
        <v>0</v>
      </c>
      <c r="K45" s="99">
        <f t="shared" si="2"/>
        <v>0</v>
      </c>
      <c r="L45" s="99"/>
      <c r="M45" s="101">
        <f t="shared" si="3"/>
        <v>5.8524959234298848</v>
      </c>
    </row>
    <row r="46" spans="1:21" x14ac:dyDescent="0.25">
      <c r="A46" s="98">
        <f t="shared" si="4"/>
        <v>5.5569814647562978</v>
      </c>
      <c r="B46" s="36">
        <f t="shared" si="0"/>
        <v>41</v>
      </c>
      <c r="C46" s="24" t="s">
        <v>95</v>
      </c>
      <c r="D46" s="24"/>
      <c r="E46" s="24"/>
      <c r="F46" s="24"/>
      <c r="G46" s="80"/>
      <c r="H46" s="95">
        <v>41</v>
      </c>
      <c r="I46" s="96">
        <f t="shared" si="1"/>
        <v>5.5569814647562978</v>
      </c>
      <c r="J46" s="96">
        <f t="shared" si="5"/>
        <v>0</v>
      </c>
      <c r="K46" s="95">
        <f t="shared" si="2"/>
        <v>0</v>
      </c>
      <c r="L46" s="95"/>
      <c r="M46" s="97">
        <f t="shared" si="3"/>
        <v>5.5569814647562978</v>
      </c>
      <c r="R46" s="80">
        <f>LOG($H$2,2)</f>
        <v>5.9068905956085187</v>
      </c>
      <c r="T46" s="85">
        <f>LOG(H38,2)</f>
        <v>5.0443941193584534</v>
      </c>
      <c r="U46" s="85">
        <f>R46-T46</f>
        <v>0.86249647625006531</v>
      </c>
    </row>
    <row r="47" spans="1:21" x14ac:dyDescent="0.25">
      <c r="A47" s="98">
        <f t="shared" si="4"/>
        <v>5.2685885341102434</v>
      </c>
      <c r="B47" s="35">
        <f t="shared" si="0"/>
        <v>42</v>
      </c>
      <c r="C47" s="25" t="s">
        <v>95</v>
      </c>
      <c r="D47" s="25"/>
      <c r="E47" s="25"/>
      <c r="F47" s="25"/>
      <c r="G47" s="80"/>
      <c r="H47" s="99">
        <v>42</v>
      </c>
      <c r="I47" s="100">
        <f t="shared" si="1"/>
        <v>5.2685885341102434</v>
      </c>
      <c r="J47" s="100">
        <f t="shared" si="5"/>
        <v>0</v>
      </c>
      <c r="K47" s="99">
        <f t="shared" si="2"/>
        <v>0</v>
      </c>
      <c r="L47" s="99"/>
      <c r="M47" s="101">
        <f t="shared" si="3"/>
        <v>5.2685885341102434</v>
      </c>
    </row>
    <row r="48" spans="1:21" x14ac:dyDescent="0.25">
      <c r="A48" s="98">
        <f t="shared" si="4"/>
        <v>4.9869819532332968</v>
      </c>
      <c r="B48" s="36">
        <f t="shared" si="0"/>
        <v>43</v>
      </c>
      <c r="C48" s="24" t="s">
        <v>95</v>
      </c>
      <c r="D48" s="24"/>
      <c r="E48" s="24"/>
      <c r="F48" s="24"/>
      <c r="G48" s="80"/>
      <c r="H48" s="95">
        <v>43</v>
      </c>
      <c r="I48" s="96">
        <f t="shared" si="1"/>
        <v>4.9869819532332968</v>
      </c>
      <c r="J48" s="96">
        <f t="shared" si="5"/>
        <v>0</v>
      </c>
      <c r="K48" s="95">
        <f t="shared" si="2"/>
        <v>0</v>
      </c>
      <c r="L48" s="95"/>
      <c r="M48" s="97">
        <f t="shared" si="3"/>
        <v>4.9869819532332968</v>
      </c>
    </row>
    <row r="49" spans="1:13" x14ac:dyDescent="0.25">
      <c r="A49" s="98">
        <f t="shared" si="4"/>
        <v>4.711849663829959</v>
      </c>
      <c r="B49" s="35">
        <f t="shared" si="0"/>
        <v>44</v>
      </c>
      <c r="C49" s="25" t="s">
        <v>95</v>
      </c>
      <c r="D49" s="25"/>
      <c r="E49" s="25"/>
      <c r="F49" s="25"/>
      <c r="G49" s="80"/>
      <c r="H49" s="99">
        <v>44</v>
      </c>
      <c r="I49" s="100">
        <f t="shared" si="1"/>
        <v>4.711849663829959</v>
      </c>
      <c r="J49" s="100">
        <f t="shared" si="5"/>
        <v>0</v>
      </c>
      <c r="K49" s="99">
        <f t="shared" si="2"/>
        <v>0</v>
      </c>
      <c r="L49" s="99"/>
      <c r="M49" s="101">
        <f t="shared" si="3"/>
        <v>4.711849663829959</v>
      </c>
    </row>
    <row r="50" spans="1:13" x14ac:dyDescent="0.25">
      <c r="A50" s="98">
        <f t="shared" si="4"/>
        <v>4.4429006489104026</v>
      </c>
      <c r="B50" s="36">
        <f t="shared" si="0"/>
        <v>45</v>
      </c>
      <c r="C50" s="24" t="s">
        <v>95</v>
      </c>
      <c r="D50" s="24"/>
      <c r="E50" s="24"/>
      <c r="F50" s="24"/>
      <c r="G50" s="80"/>
      <c r="H50" s="95">
        <v>45</v>
      </c>
      <c r="I50" s="96">
        <f t="shared" si="1"/>
        <v>4.4429006489104026</v>
      </c>
      <c r="J50" s="96">
        <f t="shared" si="5"/>
        <v>0</v>
      </c>
      <c r="K50" s="95">
        <f t="shared" si="2"/>
        <v>0</v>
      </c>
      <c r="L50" s="95"/>
      <c r="M50" s="97">
        <f t="shared" si="3"/>
        <v>4.4429006489104026</v>
      </c>
    </row>
    <row r="51" spans="1:13" x14ac:dyDescent="0.25">
      <c r="A51" s="98">
        <f t="shared" si="4"/>
        <v>4.1798630826154266</v>
      </c>
      <c r="B51" s="35">
        <f t="shared" si="0"/>
        <v>46</v>
      </c>
      <c r="C51" s="25" t="s">
        <v>95</v>
      </c>
      <c r="D51" s="25"/>
      <c r="E51" s="25"/>
      <c r="F51" s="25"/>
      <c r="G51" s="80"/>
      <c r="H51" s="99">
        <v>46</v>
      </c>
      <c r="I51" s="100">
        <f t="shared" si="1"/>
        <v>4.1798630826154266</v>
      </c>
      <c r="J51" s="100">
        <f t="shared" si="5"/>
        <v>0</v>
      </c>
      <c r="K51" s="99">
        <f t="shared" si="2"/>
        <v>0</v>
      </c>
      <c r="L51" s="99"/>
      <c r="M51" s="101">
        <f t="shared" si="3"/>
        <v>4.1798630826154266</v>
      </c>
    </row>
    <row r="52" spans="1:13" x14ac:dyDescent="0.25">
      <c r="A52" s="98">
        <f t="shared" si="4"/>
        <v>3.9224826790337346</v>
      </c>
      <c r="B52" s="36">
        <f t="shared" si="0"/>
        <v>47</v>
      </c>
      <c r="C52" s="24" t="s">
        <v>95</v>
      </c>
      <c r="D52" s="24"/>
      <c r="E52" s="24"/>
      <c r="F52" s="24"/>
      <c r="G52" s="80"/>
      <c r="H52" s="95">
        <v>47</v>
      </c>
      <c r="I52" s="96">
        <f t="shared" si="1"/>
        <v>3.9224826790337346</v>
      </c>
      <c r="J52" s="96">
        <f t="shared" si="5"/>
        <v>0</v>
      </c>
      <c r="K52" s="95">
        <f t="shared" si="2"/>
        <v>0</v>
      </c>
      <c r="L52" s="95"/>
      <c r="M52" s="97">
        <f t="shared" si="3"/>
        <v>3.9224826790337346</v>
      </c>
    </row>
    <row r="53" spans="1:13" x14ac:dyDescent="0.25">
      <c r="A53" s="98">
        <f t="shared" si="4"/>
        <v>3.6705212148686641</v>
      </c>
      <c r="B53" s="35">
        <f t="shared" si="0"/>
        <v>48</v>
      </c>
      <c r="C53" s="25" t="s">
        <v>95</v>
      </c>
      <c r="D53" s="25"/>
      <c r="E53" s="25"/>
      <c r="F53" s="25"/>
      <c r="G53" s="80"/>
      <c r="H53" s="99">
        <v>48</v>
      </c>
      <c r="I53" s="100">
        <f t="shared" si="1"/>
        <v>3.6705212148686641</v>
      </c>
      <c r="J53" s="100">
        <f t="shared" si="5"/>
        <v>0</v>
      </c>
      <c r="K53" s="99">
        <f t="shared" si="2"/>
        <v>0</v>
      </c>
      <c r="L53" s="99"/>
      <c r="M53" s="101">
        <f t="shared" si="3"/>
        <v>3.6705212148686641</v>
      </c>
    </row>
    <row r="54" spans="1:13" x14ac:dyDescent="0.25">
      <c r="A54" s="98">
        <f t="shared" si="4"/>
        <v>3.423755204441413</v>
      </c>
      <c r="B54" s="36">
        <f t="shared" si="0"/>
        <v>49</v>
      </c>
      <c r="C54" s="24" t="s">
        <v>95</v>
      </c>
      <c r="D54" s="24"/>
      <c r="E54" s="24"/>
      <c r="F54" s="24"/>
      <c r="G54" s="80"/>
      <c r="H54" s="95">
        <v>49</v>
      </c>
      <c r="I54" s="96">
        <f t="shared" si="1"/>
        <v>3.423755204441413</v>
      </c>
      <c r="J54" s="96">
        <f t="shared" si="5"/>
        <v>0</v>
      </c>
      <c r="K54" s="95">
        <f t="shared" si="2"/>
        <v>0</v>
      </c>
      <c r="L54" s="95"/>
      <c r="M54" s="97">
        <f t="shared" si="3"/>
        <v>3.423755204441413</v>
      </c>
    </row>
    <row r="55" spans="1:13" x14ac:dyDescent="0.25">
      <c r="A55" s="98">
        <f t="shared" si="4"/>
        <v>3.1819747085612207</v>
      </c>
      <c r="B55" s="35">
        <f t="shared" si="0"/>
        <v>50</v>
      </c>
      <c r="C55" s="25" t="s">
        <v>95</v>
      </c>
      <c r="D55" s="25"/>
      <c r="E55" s="25"/>
      <c r="F55" s="25"/>
      <c r="G55" s="80"/>
      <c r="H55" s="99">
        <v>50</v>
      </c>
      <c r="I55" s="100">
        <f t="shared" si="1"/>
        <v>3.1819747085612207</v>
      </c>
      <c r="J55" s="100">
        <f t="shared" si="5"/>
        <v>0</v>
      </c>
      <c r="K55" s="99">
        <f t="shared" si="2"/>
        <v>0</v>
      </c>
      <c r="L55" s="99"/>
      <c r="M55" s="101">
        <f t="shared" si="3"/>
        <v>3.1819747085612207</v>
      </c>
    </row>
    <row r="56" spans="1:13" x14ac:dyDescent="0.25">
      <c r="A56" s="98">
        <f t="shared" si="4"/>
        <v>2.9449822613534593</v>
      </c>
      <c r="B56" s="36">
        <f t="shared" si="0"/>
        <v>51</v>
      </c>
      <c r="C56" s="24" t="s">
        <v>28</v>
      </c>
      <c r="D56" s="24"/>
      <c r="E56" s="24"/>
      <c r="F56" s="24"/>
      <c r="G56" s="80"/>
      <c r="H56" s="95">
        <v>51</v>
      </c>
      <c r="I56" s="96">
        <f t="shared" si="1"/>
        <v>2.9449822613534593</v>
      </c>
      <c r="J56" s="96">
        <f t="shared" si="5"/>
        <v>0</v>
      </c>
      <c r="K56" s="95">
        <f t="shared" si="2"/>
        <v>0</v>
      </c>
      <c r="L56" s="95"/>
      <c r="M56" s="97">
        <f t="shared" si="3"/>
        <v>2.9449822613534593</v>
      </c>
    </row>
    <row r="57" spans="1:13" x14ac:dyDescent="0.25">
      <c r="A57" s="98">
        <f t="shared" si="4"/>
        <v>2.7125919012999304</v>
      </c>
      <c r="B57" s="35">
        <f t="shared" si="0"/>
        <v>52</v>
      </c>
      <c r="C57" s="25" t="s">
        <v>95</v>
      </c>
      <c r="D57" s="25"/>
      <c r="E57" s="25"/>
      <c r="F57" s="25"/>
      <c r="G57" s="80"/>
      <c r="H57" s="99">
        <v>52</v>
      </c>
      <c r="I57" s="100">
        <f t="shared" si="1"/>
        <v>2.7125919012999304</v>
      </c>
      <c r="J57" s="100">
        <f t="shared" si="5"/>
        <v>0</v>
      </c>
      <c r="K57" s="99">
        <f t="shared" si="2"/>
        <v>0</v>
      </c>
      <c r="L57" s="99"/>
      <c r="M57" s="101">
        <f t="shared" si="3"/>
        <v>2.7125919012999304</v>
      </c>
    </row>
    <row r="58" spans="1:13" x14ac:dyDescent="0.25">
      <c r="A58" s="98">
        <f t="shared" si="4"/>
        <v>2.4846282945786058</v>
      </c>
      <c r="B58" s="36">
        <f t="shared" si="0"/>
        <v>53</v>
      </c>
      <c r="C58" s="24" t="s">
        <v>95</v>
      </c>
      <c r="D58" s="24"/>
      <c r="E58" s="24"/>
      <c r="F58" s="24"/>
      <c r="G58" s="80"/>
      <c r="H58" s="95">
        <v>53</v>
      </c>
      <c r="I58" s="96">
        <f t="shared" si="1"/>
        <v>2.4846282945786058</v>
      </c>
      <c r="J58" s="96">
        <f t="shared" si="5"/>
        <v>0</v>
      </c>
      <c r="K58" s="95">
        <f t="shared" si="2"/>
        <v>0</v>
      </c>
      <c r="L58" s="95"/>
      <c r="M58" s="97">
        <f t="shared" si="3"/>
        <v>2.4846282945786058</v>
      </c>
    </row>
    <row r="59" spans="1:13" x14ac:dyDescent="0.25">
      <c r="A59" s="98">
        <f t="shared" si="4"/>
        <v>2.2609259403491819</v>
      </c>
      <c r="B59" s="35">
        <f t="shared" si="0"/>
        <v>54</v>
      </c>
      <c r="C59" s="25" t="s">
        <v>95</v>
      </c>
      <c r="D59" s="25"/>
      <c r="E59" s="25"/>
      <c r="F59" s="25"/>
      <c r="G59" s="80"/>
      <c r="H59" s="99">
        <v>54</v>
      </c>
      <c r="I59" s="100">
        <f t="shared" si="1"/>
        <v>2.2609259403491819</v>
      </c>
      <c r="J59" s="100">
        <f t="shared" si="5"/>
        <v>0</v>
      </c>
      <c r="K59" s="99">
        <f t="shared" si="2"/>
        <v>0</v>
      </c>
      <c r="L59" s="99"/>
      <c r="M59" s="101">
        <f t="shared" si="3"/>
        <v>2.2609259403491819</v>
      </c>
    </row>
    <row r="60" spans="1:13" x14ac:dyDescent="0.25">
      <c r="A60" s="98">
        <f t="shared" si="4"/>
        <v>2.0413284489612948</v>
      </c>
      <c r="B60" s="36">
        <f t="shared" si="0"/>
        <v>55</v>
      </c>
      <c r="C60" s="24" t="s">
        <v>95</v>
      </c>
      <c r="D60" s="24"/>
      <c r="E60" s="24"/>
      <c r="F60" s="24"/>
      <c r="G60" s="80"/>
      <c r="H60" s="95">
        <v>55</v>
      </c>
      <c r="I60" s="96">
        <f t="shared" si="1"/>
        <v>2.0413284489612948</v>
      </c>
      <c r="J60" s="96">
        <f t="shared" si="5"/>
        <v>0</v>
      </c>
      <c r="K60" s="95">
        <f t="shared" si="2"/>
        <v>0</v>
      </c>
      <c r="L60" s="95"/>
      <c r="M60" s="97">
        <f t="shared" si="3"/>
        <v>2.0413284489612948</v>
      </c>
    </row>
    <row r="61" spans="1:13" x14ac:dyDescent="0.25">
      <c r="A61" s="98">
        <f t="shared" si="4"/>
        <v>1.8256878851998408</v>
      </c>
      <c r="B61" s="35">
        <f t="shared" si="0"/>
        <v>56</v>
      </c>
      <c r="C61" s="25" t="s">
        <v>95</v>
      </c>
      <c r="D61" s="25"/>
      <c r="E61" s="25"/>
      <c r="F61" s="25"/>
      <c r="G61" s="80"/>
      <c r="H61" s="99">
        <v>56</v>
      </c>
      <c r="I61" s="100">
        <f t="shared" si="1"/>
        <v>1.8256878851998408</v>
      </c>
      <c r="J61" s="100">
        <f t="shared" si="5"/>
        <v>0</v>
      </c>
      <c r="K61" s="99">
        <f t="shared" si="2"/>
        <v>0</v>
      </c>
      <c r="L61" s="99"/>
      <c r="M61" s="101">
        <f t="shared" si="3"/>
        <v>1.8256878851998408</v>
      </c>
    </row>
    <row r="62" spans="1:13" x14ac:dyDescent="0.25">
      <c r="A62" s="98">
        <f t="shared" si="4"/>
        <v>1.613864169659891</v>
      </c>
      <c r="B62" s="36">
        <f t="shared" si="0"/>
        <v>57</v>
      </c>
      <c r="C62" s="24" t="s">
        <v>95</v>
      </c>
      <c r="D62" s="24"/>
      <c r="E62" s="24"/>
      <c r="F62" s="24"/>
      <c r="G62" s="80"/>
      <c r="H62" s="95">
        <v>57</v>
      </c>
      <c r="I62" s="96">
        <f t="shared" si="1"/>
        <v>1.613864169659891</v>
      </c>
      <c r="J62" s="96">
        <f t="shared" si="5"/>
        <v>0</v>
      </c>
      <c r="K62" s="95">
        <f t="shared" si="2"/>
        <v>0</v>
      </c>
      <c r="L62" s="95"/>
      <c r="M62" s="97">
        <f t="shared" si="3"/>
        <v>1.613864169659891</v>
      </c>
    </row>
    <row r="63" spans="1:13" x14ac:dyDescent="0.25">
      <c r="A63" s="98">
        <f t="shared" si="4"/>
        <v>1.4057245321841734</v>
      </c>
      <c r="B63" s="35">
        <f t="shared" si="0"/>
        <v>58</v>
      </c>
      <c r="C63" s="25" t="s">
        <v>95</v>
      </c>
      <c r="D63" s="25"/>
      <c r="E63" s="25"/>
      <c r="F63" s="25"/>
      <c r="G63" s="80"/>
      <c r="H63" s="99">
        <v>58</v>
      </c>
      <c r="I63" s="100">
        <f t="shared" si="1"/>
        <v>1.4057245321841734</v>
      </c>
      <c r="J63" s="100">
        <f t="shared" si="5"/>
        <v>0</v>
      </c>
      <c r="K63" s="99">
        <f t="shared" si="2"/>
        <v>0</v>
      </c>
      <c r="L63" s="99"/>
      <c r="M63" s="101">
        <f t="shared" si="3"/>
        <v>1.4057245321841734</v>
      </c>
    </row>
    <row r="64" spans="1:13" x14ac:dyDescent="0.25">
      <c r="A64" s="98">
        <f t="shared" si="4"/>
        <v>1.2011430120223494</v>
      </c>
      <c r="B64" s="36">
        <f t="shared" si="0"/>
        <v>59</v>
      </c>
      <c r="C64" s="24" t="s">
        <v>95</v>
      </c>
      <c r="D64" s="24"/>
      <c r="E64" s="24"/>
      <c r="F64" s="24"/>
      <c r="G64" s="80"/>
      <c r="H64" s="95">
        <v>59</v>
      </c>
      <c r="I64" s="96">
        <f t="shared" si="1"/>
        <v>1.2011430120223494</v>
      </c>
      <c r="J64" s="96">
        <f t="shared" si="5"/>
        <v>0</v>
      </c>
      <c r="K64" s="95">
        <f t="shared" si="2"/>
        <v>0</v>
      </c>
      <c r="L64" s="95"/>
      <c r="M64" s="97">
        <f t="shared" si="3"/>
        <v>1.2011430120223494</v>
      </c>
    </row>
    <row r="65" spans="1:13" x14ac:dyDescent="0.25">
      <c r="A65" s="98">
        <f t="shared" si="4"/>
        <v>1</v>
      </c>
      <c r="B65" s="35">
        <f t="shared" si="0"/>
        <v>60</v>
      </c>
      <c r="C65" s="25" t="s">
        <v>95</v>
      </c>
      <c r="D65" s="25"/>
      <c r="E65" s="25"/>
      <c r="F65" s="25"/>
      <c r="G65" s="80"/>
      <c r="H65" s="99">
        <v>60</v>
      </c>
      <c r="I65" s="100">
        <f t="shared" si="1"/>
        <v>1</v>
      </c>
      <c r="J65" s="100">
        <f t="shared" si="5"/>
        <v>0</v>
      </c>
      <c r="K65" s="99">
        <f t="shared" si="2"/>
        <v>0</v>
      </c>
      <c r="L65" s="99"/>
      <c r="M65" s="101">
        <f t="shared" si="3"/>
        <v>1</v>
      </c>
    </row>
    <row r="66" spans="1:13" x14ac:dyDescent="0.25">
      <c r="A66" s="98">
        <f t="shared" si="4"/>
        <v>0</v>
      </c>
      <c r="B66" s="36"/>
      <c r="G66" s="80"/>
      <c r="H66" s="95">
        <v>61</v>
      </c>
      <c r="I66" s="96" t="str">
        <f t="shared" si="1"/>
        <v/>
      </c>
      <c r="J66" s="96">
        <f t="shared" si="5"/>
        <v>0</v>
      </c>
      <c r="K66" s="95">
        <f t="shared" si="2"/>
        <v>0</v>
      </c>
      <c r="L66" s="95"/>
      <c r="M66" s="97">
        <f t="shared" si="3"/>
        <v>0</v>
      </c>
    </row>
    <row r="67" spans="1:13" x14ac:dyDescent="0.25">
      <c r="A67" s="98">
        <f t="shared" si="4"/>
        <v>0</v>
      </c>
      <c r="B67" s="35"/>
      <c r="G67" s="80"/>
      <c r="H67" s="95">
        <v>62</v>
      </c>
      <c r="I67" s="96" t="str">
        <f t="shared" si="1"/>
        <v/>
      </c>
      <c r="J67" s="96">
        <f t="shared" si="5"/>
        <v>0</v>
      </c>
      <c r="K67" s="95">
        <f t="shared" si="2"/>
        <v>0</v>
      </c>
      <c r="L67" s="95"/>
      <c r="M67" s="97">
        <f t="shared" si="3"/>
        <v>0</v>
      </c>
    </row>
    <row r="68" spans="1:13" x14ac:dyDescent="0.25">
      <c r="A68" s="98">
        <f t="shared" si="4"/>
        <v>0</v>
      </c>
      <c r="B68" s="36"/>
      <c r="G68" s="80"/>
      <c r="H68" s="95">
        <v>63</v>
      </c>
      <c r="I68" s="96" t="str">
        <f t="shared" si="1"/>
        <v/>
      </c>
      <c r="J68" s="96">
        <f t="shared" si="5"/>
        <v>0</v>
      </c>
      <c r="K68" s="95">
        <f t="shared" si="2"/>
        <v>0</v>
      </c>
      <c r="L68" s="95"/>
      <c r="M68" s="97">
        <f t="shared" si="3"/>
        <v>0</v>
      </c>
    </row>
    <row r="69" spans="1:13" x14ac:dyDescent="0.25">
      <c r="A69" s="98">
        <f t="shared" si="4"/>
        <v>0</v>
      </c>
      <c r="B69" s="35"/>
      <c r="G69" s="80"/>
      <c r="H69" s="95">
        <v>64</v>
      </c>
      <c r="I69" s="96" t="str">
        <f t="shared" si="1"/>
        <v/>
      </c>
      <c r="J69" s="96">
        <f t="shared" si="5"/>
        <v>0</v>
      </c>
      <c r="K69" s="95">
        <f t="shared" si="2"/>
        <v>0</v>
      </c>
      <c r="L69" s="95"/>
      <c r="M69" s="97">
        <f t="shared" si="3"/>
        <v>0</v>
      </c>
    </row>
    <row r="70" spans="1:13" x14ac:dyDescent="0.25">
      <c r="A70" s="98">
        <f t="shared" si="4"/>
        <v>0</v>
      </c>
      <c r="G70" s="80"/>
      <c r="H70" s="95">
        <v>65</v>
      </c>
      <c r="I70" s="96" t="str">
        <f t="shared" ref="I70:I133" si="6">IF(H70&lt;$H$2+1,($I$2-($I$2-1)*(LOG(H70)/LOG($H$2))),"")</f>
        <v/>
      </c>
      <c r="J70" s="96">
        <f t="shared" si="5"/>
        <v>-1</v>
      </c>
      <c r="K70" s="95">
        <f t="shared" ref="K70:K133" si="7">J70*$J$2</f>
        <v>-10</v>
      </c>
      <c r="L70" s="95"/>
      <c r="M70" s="97">
        <f t="shared" ref="M70:M133" si="8">IF(I70&lt;&gt;"",K70+I70+L70,0)</f>
        <v>0</v>
      </c>
    </row>
    <row r="71" spans="1:13" x14ac:dyDescent="0.25">
      <c r="A71" s="98">
        <f t="shared" ref="A71:A79" si="9">M71</f>
        <v>0</v>
      </c>
      <c r="G71" s="80"/>
      <c r="H71" s="95">
        <v>66</v>
      </c>
      <c r="I71" s="96" t="str">
        <f t="shared" si="6"/>
        <v/>
      </c>
      <c r="J71" s="96">
        <f t="shared" ref="J71:J134" si="10">INT(LOG($H$2,2))-ROUNDUP(LOG(H71,2),0)+IF(OR($H$2=1,$H$2=2,$H$2=4,$H$2=8,$H$2=16,$H$2=32,$H$2=64,$H$2=128,$H$2=256),0,1)</f>
        <v>-1</v>
      </c>
      <c r="K71" s="95">
        <f t="shared" si="7"/>
        <v>-10</v>
      </c>
      <c r="L71" s="95"/>
      <c r="M71" s="97">
        <f t="shared" si="8"/>
        <v>0</v>
      </c>
    </row>
    <row r="72" spans="1:13" x14ac:dyDescent="0.25">
      <c r="A72" s="98">
        <f t="shared" si="9"/>
        <v>0</v>
      </c>
      <c r="G72" s="80"/>
      <c r="H72" s="95">
        <v>67</v>
      </c>
      <c r="I72" s="96" t="str">
        <f t="shared" si="6"/>
        <v/>
      </c>
      <c r="J72" s="96">
        <f t="shared" si="10"/>
        <v>-1</v>
      </c>
      <c r="K72" s="95">
        <f t="shared" si="7"/>
        <v>-10</v>
      </c>
      <c r="L72" s="95"/>
      <c r="M72" s="97">
        <f t="shared" si="8"/>
        <v>0</v>
      </c>
    </row>
    <row r="73" spans="1:13" x14ac:dyDescent="0.25">
      <c r="A73" s="98">
        <f t="shared" si="9"/>
        <v>0</v>
      </c>
      <c r="G73" s="80"/>
      <c r="H73" s="95">
        <v>68</v>
      </c>
      <c r="I73" s="96" t="str">
        <f t="shared" si="6"/>
        <v/>
      </c>
      <c r="J73" s="96">
        <f t="shared" si="10"/>
        <v>-1</v>
      </c>
      <c r="K73" s="95">
        <f t="shared" si="7"/>
        <v>-10</v>
      </c>
      <c r="L73" s="95"/>
      <c r="M73" s="97">
        <f t="shared" si="8"/>
        <v>0</v>
      </c>
    </row>
    <row r="74" spans="1:13" x14ac:dyDescent="0.25">
      <c r="A74" s="98">
        <f t="shared" si="9"/>
        <v>0</v>
      </c>
      <c r="G74" s="80"/>
      <c r="H74" s="95">
        <v>69</v>
      </c>
      <c r="I74" s="96" t="str">
        <f t="shared" si="6"/>
        <v/>
      </c>
      <c r="J74" s="96">
        <f t="shared" si="10"/>
        <v>-1</v>
      </c>
      <c r="K74" s="95">
        <f t="shared" si="7"/>
        <v>-10</v>
      </c>
      <c r="L74" s="95"/>
      <c r="M74" s="97">
        <f t="shared" si="8"/>
        <v>0</v>
      </c>
    </row>
    <row r="75" spans="1:13" x14ac:dyDescent="0.25">
      <c r="A75" s="98">
        <f t="shared" si="9"/>
        <v>0</v>
      </c>
      <c r="G75" s="80"/>
      <c r="H75" s="95">
        <v>70</v>
      </c>
      <c r="I75" s="96" t="str">
        <f t="shared" si="6"/>
        <v/>
      </c>
      <c r="J75" s="96">
        <f t="shared" si="10"/>
        <v>-1</v>
      </c>
      <c r="K75" s="95">
        <f t="shared" si="7"/>
        <v>-10</v>
      </c>
      <c r="L75" s="95"/>
      <c r="M75" s="97">
        <f t="shared" si="8"/>
        <v>0</v>
      </c>
    </row>
    <row r="76" spans="1:13" x14ac:dyDescent="0.25">
      <c r="A76" s="98">
        <f t="shared" si="9"/>
        <v>0</v>
      </c>
      <c r="G76" s="80"/>
      <c r="H76" s="95">
        <v>71</v>
      </c>
      <c r="I76" s="96" t="str">
        <f t="shared" si="6"/>
        <v/>
      </c>
      <c r="J76" s="96">
        <f t="shared" si="10"/>
        <v>-1</v>
      </c>
      <c r="K76" s="95">
        <f t="shared" si="7"/>
        <v>-10</v>
      </c>
      <c r="L76" s="95"/>
      <c r="M76" s="97">
        <f t="shared" si="8"/>
        <v>0</v>
      </c>
    </row>
    <row r="77" spans="1:13" x14ac:dyDescent="0.25">
      <c r="A77" s="98">
        <f t="shared" si="9"/>
        <v>0</v>
      </c>
      <c r="G77" s="80"/>
      <c r="H77" s="95">
        <v>72</v>
      </c>
      <c r="I77" s="96" t="str">
        <f t="shared" si="6"/>
        <v/>
      </c>
      <c r="J77" s="96">
        <f t="shared" si="10"/>
        <v>-1</v>
      </c>
      <c r="K77" s="95">
        <f t="shared" si="7"/>
        <v>-10</v>
      </c>
      <c r="L77" s="95"/>
      <c r="M77" s="97">
        <f t="shared" si="8"/>
        <v>0</v>
      </c>
    </row>
    <row r="78" spans="1:13" x14ac:dyDescent="0.25">
      <c r="A78" s="98">
        <f t="shared" si="9"/>
        <v>0</v>
      </c>
      <c r="G78" s="80"/>
      <c r="H78" s="95">
        <v>73</v>
      </c>
      <c r="I78" s="96" t="str">
        <f t="shared" si="6"/>
        <v/>
      </c>
      <c r="J78" s="96">
        <f t="shared" si="10"/>
        <v>-1</v>
      </c>
      <c r="K78" s="95">
        <f t="shared" si="7"/>
        <v>-10</v>
      </c>
      <c r="L78" s="95"/>
      <c r="M78" s="97">
        <f t="shared" si="8"/>
        <v>0</v>
      </c>
    </row>
    <row r="79" spans="1:13" x14ac:dyDescent="0.25">
      <c r="A79" s="98">
        <f t="shared" si="9"/>
        <v>0</v>
      </c>
      <c r="G79" s="80"/>
      <c r="H79" s="95">
        <v>74</v>
      </c>
      <c r="I79" s="96" t="str">
        <f t="shared" si="6"/>
        <v/>
      </c>
      <c r="J79" s="96">
        <f t="shared" si="10"/>
        <v>-1</v>
      </c>
      <c r="K79" s="95">
        <f t="shared" si="7"/>
        <v>-10</v>
      </c>
      <c r="L79" s="95"/>
      <c r="M79" s="97">
        <f t="shared" si="8"/>
        <v>0</v>
      </c>
    </row>
    <row r="80" spans="1:13" x14ac:dyDescent="0.25">
      <c r="A80" s="94"/>
      <c r="G80" s="80"/>
      <c r="H80" s="95">
        <v>75</v>
      </c>
      <c r="I80" s="96" t="str">
        <f t="shared" si="6"/>
        <v/>
      </c>
      <c r="J80" s="96">
        <f t="shared" si="10"/>
        <v>-1</v>
      </c>
      <c r="K80" s="95">
        <f t="shared" si="7"/>
        <v>-10</v>
      </c>
      <c r="L80" s="95"/>
      <c r="M80" s="97">
        <f t="shared" si="8"/>
        <v>0</v>
      </c>
    </row>
    <row r="81" spans="1:13" x14ac:dyDescent="0.25">
      <c r="A81" s="116"/>
      <c r="G81" s="80"/>
      <c r="H81" s="95">
        <v>76</v>
      </c>
      <c r="I81" s="96" t="str">
        <f t="shared" si="6"/>
        <v/>
      </c>
      <c r="J81" s="96">
        <f t="shared" si="10"/>
        <v>-1</v>
      </c>
      <c r="K81" s="95">
        <f t="shared" si="7"/>
        <v>-10</v>
      </c>
      <c r="L81" s="95"/>
      <c r="M81" s="97">
        <f t="shared" si="8"/>
        <v>0</v>
      </c>
    </row>
    <row r="82" spans="1:13" x14ac:dyDescent="0.25">
      <c r="A82" s="116"/>
      <c r="G82" s="80"/>
      <c r="H82" s="95">
        <v>77</v>
      </c>
      <c r="I82" s="96" t="str">
        <f t="shared" si="6"/>
        <v/>
      </c>
      <c r="J82" s="96">
        <f t="shared" si="10"/>
        <v>-1</v>
      </c>
      <c r="K82" s="95">
        <f t="shared" si="7"/>
        <v>-10</v>
      </c>
      <c r="L82" s="95"/>
      <c r="M82" s="97">
        <f t="shared" si="8"/>
        <v>0</v>
      </c>
    </row>
    <row r="83" spans="1:13" x14ac:dyDescent="0.25">
      <c r="A83" s="116"/>
      <c r="G83" s="80"/>
      <c r="H83" s="95">
        <v>78</v>
      </c>
      <c r="I83" s="96" t="str">
        <f t="shared" si="6"/>
        <v/>
      </c>
      <c r="J83" s="96">
        <f t="shared" si="10"/>
        <v>-1</v>
      </c>
      <c r="K83" s="95">
        <f t="shared" si="7"/>
        <v>-10</v>
      </c>
      <c r="L83" s="95"/>
      <c r="M83" s="97">
        <f t="shared" si="8"/>
        <v>0</v>
      </c>
    </row>
    <row r="84" spans="1:13" x14ac:dyDescent="0.25">
      <c r="A84" s="116"/>
      <c r="G84" s="80"/>
      <c r="H84" s="95">
        <v>79</v>
      </c>
      <c r="I84" s="96" t="str">
        <f t="shared" si="6"/>
        <v/>
      </c>
      <c r="J84" s="96">
        <f t="shared" si="10"/>
        <v>-1</v>
      </c>
      <c r="K84" s="95">
        <f t="shared" si="7"/>
        <v>-10</v>
      </c>
      <c r="L84" s="95"/>
      <c r="M84" s="97">
        <f t="shared" si="8"/>
        <v>0</v>
      </c>
    </row>
    <row r="85" spans="1:13" x14ac:dyDescent="0.25">
      <c r="A85" s="116"/>
      <c r="G85" s="80"/>
      <c r="H85" s="95">
        <v>80</v>
      </c>
      <c r="I85" s="96" t="str">
        <f t="shared" si="6"/>
        <v/>
      </c>
      <c r="J85" s="96">
        <f t="shared" si="10"/>
        <v>-1</v>
      </c>
      <c r="K85" s="95">
        <f t="shared" si="7"/>
        <v>-10</v>
      </c>
      <c r="L85" s="95"/>
      <c r="M85" s="97">
        <f t="shared" si="8"/>
        <v>0</v>
      </c>
    </row>
    <row r="86" spans="1:13" x14ac:dyDescent="0.25">
      <c r="A86" s="116"/>
      <c r="G86" s="80"/>
      <c r="H86" s="95">
        <v>81</v>
      </c>
      <c r="I86" s="96" t="str">
        <f t="shared" si="6"/>
        <v/>
      </c>
      <c r="J86" s="96">
        <f t="shared" si="10"/>
        <v>-1</v>
      </c>
      <c r="K86" s="95">
        <f t="shared" si="7"/>
        <v>-10</v>
      </c>
      <c r="L86" s="95"/>
      <c r="M86" s="97">
        <f t="shared" si="8"/>
        <v>0</v>
      </c>
    </row>
    <row r="87" spans="1:13" x14ac:dyDescent="0.25">
      <c r="A87" s="116"/>
      <c r="G87" s="80"/>
      <c r="H87" s="95">
        <v>82</v>
      </c>
      <c r="I87" s="96" t="str">
        <f t="shared" si="6"/>
        <v/>
      </c>
      <c r="J87" s="96">
        <f t="shared" si="10"/>
        <v>-1</v>
      </c>
      <c r="K87" s="95">
        <f t="shared" si="7"/>
        <v>-10</v>
      </c>
      <c r="L87" s="95"/>
      <c r="M87" s="97">
        <f t="shared" si="8"/>
        <v>0</v>
      </c>
    </row>
    <row r="88" spans="1:13" x14ac:dyDescent="0.25">
      <c r="A88" s="116"/>
      <c r="G88" s="80"/>
      <c r="H88" s="95">
        <v>83</v>
      </c>
      <c r="I88" s="96" t="str">
        <f t="shared" si="6"/>
        <v/>
      </c>
      <c r="J88" s="96">
        <f t="shared" si="10"/>
        <v>-1</v>
      </c>
      <c r="K88" s="95">
        <f t="shared" si="7"/>
        <v>-10</v>
      </c>
      <c r="L88" s="95"/>
      <c r="M88" s="97">
        <f t="shared" si="8"/>
        <v>0</v>
      </c>
    </row>
    <row r="89" spans="1:13" x14ac:dyDescent="0.25">
      <c r="A89" s="116"/>
      <c r="G89" s="80"/>
      <c r="H89" s="95">
        <v>84</v>
      </c>
      <c r="I89" s="96" t="str">
        <f t="shared" si="6"/>
        <v/>
      </c>
      <c r="J89" s="96">
        <f t="shared" si="10"/>
        <v>-1</v>
      </c>
      <c r="K89" s="95">
        <f t="shared" si="7"/>
        <v>-10</v>
      </c>
      <c r="L89" s="95"/>
      <c r="M89" s="97">
        <f t="shared" si="8"/>
        <v>0</v>
      </c>
    </row>
    <row r="90" spans="1:13" x14ac:dyDescent="0.25">
      <c r="A90" s="116"/>
      <c r="G90" s="80"/>
      <c r="H90" s="95">
        <v>85</v>
      </c>
      <c r="I90" s="96" t="str">
        <f t="shared" si="6"/>
        <v/>
      </c>
      <c r="J90" s="96">
        <f t="shared" si="10"/>
        <v>-1</v>
      </c>
      <c r="K90" s="95">
        <f t="shared" si="7"/>
        <v>-10</v>
      </c>
      <c r="L90" s="95"/>
      <c r="M90" s="97">
        <f t="shared" si="8"/>
        <v>0</v>
      </c>
    </row>
    <row r="91" spans="1:13" x14ac:dyDescent="0.25">
      <c r="A91" s="116"/>
      <c r="G91" s="80"/>
      <c r="H91" s="95">
        <v>86</v>
      </c>
      <c r="I91" s="96" t="str">
        <f t="shared" si="6"/>
        <v/>
      </c>
      <c r="J91" s="96">
        <f t="shared" si="10"/>
        <v>-1</v>
      </c>
      <c r="K91" s="95">
        <f t="shared" si="7"/>
        <v>-10</v>
      </c>
      <c r="L91" s="95"/>
      <c r="M91" s="97">
        <f t="shared" si="8"/>
        <v>0</v>
      </c>
    </row>
    <row r="92" spans="1:13" x14ac:dyDescent="0.25">
      <c r="A92" s="116"/>
      <c r="G92" s="80"/>
      <c r="H92" s="95">
        <v>87</v>
      </c>
      <c r="I92" s="96" t="str">
        <f t="shared" si="6"/>
        <v/>
      </c>
      <c r="J92" s="96">
        <f t="shared" si="10"/>
        <v>-1</v>
      </c>
      <c r="K92" s="95">
        <f t="shared" si="7"/>
        <v>-10</v>
      </c>
      <c r="L92" s="95"/>
      <c r="M92" s="97">
        <f t="shared" si="8"/>
        <v>0</v>
      </c>
    </row>
    <row r="93" spans="1:13" x14ac:dyDescent="0.25">
      <c r="A93" s="116"/>
      <c r="G93" s="80"/>
      <c r="H93" s="95">
        <v>88</v>
      </c>
      <c r="I93" s="96" t="str">
        <f t="shared" si="6"/>
        <v/>
      </c>
      <c r="J93" s="96">
        <f t="shared" si="10"/>
        <v>-1</v>
      </c>
      <c r="K93" s="95">
        <f t="shared" si="7"/>
        <v>-10</v>
      </c>
      <c r="L93" s="95"/>
      <c r="M93" s="97">
        <f t="shared" si="8"/>
        <v>0</v>
      </c>
    </row>
    <row r="94" spans="1:13" x14ac:dyDescent="0.25">
      <c r="A94" s="116"/>
      <c r="G94" s="80"/>
      <c r="H94" s="95">
        <v>89</v>
      </c>
      <c r="I94" s="96" t="str">
        <f t="shared" si="6"/>
        <v/>
      </c>
      <c r="J94" s="96">
        <f t="shared" si="10"/>
        <v>-1</v>
      </c>
      <c r="K94" s="95">
        <f t="shared" si="7"/>
        <v>-10</v>
      </c>
      <c r="L94" s="95"/>
      <c r="M94" s="97">
        <f t="shared" si="8"/>
        <v>0</v>
      </c>
    </row>
    <row r="95" spans="1:13" x14ac:dyDescent="0.25">
      <c r="A95" s="116"/>
      <c r="G95" s="80"/>
      <c r="H95" s="95">
        <v>90</v>
      </c>
      <c r="I95" s="96" t="str">
        <f t="shared" si="6"/>
        <v/>
      </c>
      <c r="J95" s="96">
        <f t="shared" si="10"/>
        <v>-1</v>
      </c>
      <c r="K95" s="95">
        <f t="shared" si="7"/>
        <v>-10</v>
      </c>
      <c r="L95" s="95"/>
      <c r="M95" s="97">
        <f t="shared" si="8"/>
        <v>0</v>
      </c>
    </row>
    <row r="96" spans="1:13" x14ac:dyDescent="0.25">
      <c r="A96" s="116"/>
      <c r="G96" s="80"/>
      <c r="H96" s="95">
        <v>91</v>
      </c>
      <c r="I96" s="96" t="str">
        <f t="shared" si="6"/>
        <v/>
      </c>
      <c r="J96" s="96">
        <f t="shared" si="10"/>
        <v>-1</v>
      </c>
      <c r="K96" s="95">
        <f t="shared" si="7"/>
        <v>-10</v>
      </c>
      <c r="L96" s="95"/>
      <c r="M96" s="97">
        <f t="shared" si="8"/>
        <v>0</v>
      </c>
    </row>
    <row r="97" spans="1:13" x14ac:dyDescent="0.25">
      <c r="A97" s="116"/>
      <c r="G97" s="80"/>
      <c r="H97" s="95">
        <v>92</v>
      </c>
      <c r="I97" s="96" t="str">
        <f t="shared" si="6"/>
        <v/>
      </c>
      <c r="J97" s="96">
        <f t="shared" si="10"/>
        <v>-1</v>
      </c>
      <c r="K97" s="95">
        <f t="shared" si="7"/>
        <v>-10</v>
      </c>
      <c r="L97" s="95"/>
      <c r="M97" s="97">
        <f t="shared" si="8"/>
        <v>0</v>
      </c>
    </row>
    <row r="98" spans="1:13" x14ac:dyDescent="0.25">
      <c r="A98" s="116"/>
      <c r="G98" s="80"/>
      <c r="H98" s="95">
        <v>93</v>
      </c>
      <c r="I98" s="96" t="str">
        <f t="shared" si="6"/>
        <v/>
      </c>
      <c r="J98" s="96">
        <f t="shared" si="10"/>
        <v>-1</v>
      </c>
      <c r="K98" s="95">
        <f t="shared" si="7"/>
        <v>-10</v>
      </c>
      <c r="L98" s="95"/>
      <c r="M98" s="97">
        <f t="shared" si="8"/>
        <v>0</v>
      </c>
    </row>
    <row r="99" spans="1:13" x14ac:dyDescent="0.25">
      <c r="A99" s="116"/>
      <c r="G99" s="80"/>
      <c r="H99" s="95">
        <v>94</v>
      </c>
      <c r="I99" s="96" t="str">
        <f t="shared" si="6"/>
        <v/>
      </c>
      <c r="J99" s="96">
        <f t="shared" si="10"/>
        <v>-1</v>
      </c>
      <c r="K99" s="95">
        <f t="shared" si="7"/>
        <v>-10</v>
      </c>
      <c r="L99" s="95"/>
      <c r="M99" s="97">
        <f t="shared" si="8"/>
        <v>0</v>
      </c>
    </row>
    <row r="100" spans="1:13" x14ac:dyDescent="0.25">
      <c r="A100" s="116"/>
      <c r="G100" s="80"/>
      <c r="H100" s="95">
        <v>95</v>
      </c>
      <c r="I100" s="96" t="str">
        <f t="shared" si="6"/>
        <v/>
      </c>
      <c r="J100" s="96">
        <f t="shared" si="10"/>
        <v>-1</v>
      </c>
      <c r="K100" s="95">
        <f t="shared" si="7"/>
        <v>-10</v>
      </c>
      <c r="L100" s="95"/>
      <c r="M100" s="97">
        <f t="shared" si="8"/>
        <v>0</v>
      </c>
    </row>
    <row r="101" spans="1:13" x14ac:dyDescent="0.25">
      <c r="A101" s="116"/>
      <c r="G101" s="80"/>
      <c r="H101" s="95">
        <v>96</v>
      </c>
      <c r="I101" s="96" t="str">
        <f t="shared" si="6"/>
        <v/>
      </c>
      <c r="J101" s="96">
        <f t="shared" si="10"/>
        <v>-1</v>
      </c>
      <c r="K101" s="95">
        <f t="shared" si="7"/>
        <v>-10</v>
      </c>
      <c r="L101" s="95"/>
      <c r="M101" s="97">
        <f t="shared" si="8"/>
        <v>0</v>
      </c>
    </row>
    <row r="102" spans="1:13" x14ac:dyDescent="0.25">
      <c r="A102" s="116"/>
      <c r="G102" s="80"/>
      <c r="H102" s="95">
        <v>97</v>
      </c>
      <c r="I102" s="96" t="str">
        <f t="shared" si="6"/>
        <v/>
      </c>
      <c r="J102" s="96">
        <f t="shared" si="10"/>
        <v>-1</v>
      </c>
      <c r="K102" s="95">
        <f t="shared" si="7"/>
        <v>-10</v>
      </c>
      <c r="L102" s="95"/>
      <c r="M102" s="97">
        <f t="shared" si="8"/>
        <v>0</v>
      </c>
    </row>
    <row r="103" spans="1:13" x14ac:dyDescent="0.25">
      <c r="A103" s="116"/>
      <c r="G103" s="80"/>
      <c r="H103" s="95">
        <v>98</v>
      </c>
      <c r="I103" s="96" t="str">
        <f t="shared" si="6"/>
        <v/>
      </c>
      <c r="J103" s="96">
        <f t="shared" si="10"/>
        <v>-1</v>
      </c>
      <c r="K103" s="95">
        <f t="shared" si="7"/>
        <v>-10</v>
      </c>
      <c r="L103" s="95"/>
      <c r="M103" s="97">
        <f t="shared" si="8"/>
        <v>0</v>
      </c>
    </row>
    <row r="104" spans="1:13" x14ac:dyDescent="0.25">
      <c r="A104" s="116"/>
      <c r="G104" s="80"/>
      <c r="H104" s="95">
        <v>99</v>
      </c>
      <c r="I104" s="96" t="str">
        <f t="shared" si="6"/>
        <v/>
      </c>
      <c r="J104" s="96">
        <f t="shared" si="10"/>
        <v>-1</v>
      </c>
      <c r="K104" s="95">
        <f t="shared" si="7"/>
        <v>-10</v>
      </c>
      <c r="L104" s="95"/>
      <c r="M104" s="97">
        <f t="shared" si="8"/>
        <v>0</v>
      </c>
    </row>
    <row r="105" spans="1:13" x14ac:dyDescent="0.25">
      <c r="A105" s="116"/>
      <c r="G105" s="80"/>
      <c r="H105" s="95">
        <v>100</v>
      </c>
      <c r="I105" s="96" t="str">
        <f t="shared" si="6"/>
        <v/>
      </c>
      <c r="J105" s="96">
        <f t="shared" si="10"/>
        <v>-1</v>
      </c>
      <c r="K105" s="95">
        <f t="shared" si="7"/>
        <v>-10</v>
      </c>
      <c r="L105" s="95"/>
      <c r="M105" s="97">
        <f t="shared" si="8"/>
        <v>0</v>
      </c>
    </row>
    <row r="106" spans="1:13" x14ac:dyDescent="0.25">
      <c r="A106" s="116"/>
      <c r="G106" s="80"/>
      <c r="H106" s="95">
        <v>101</v>
      </c>
      <c r="I106" s="96" t="str">
        <f t="shared" si="6"/>
        <v/>
      </c>
      <c r="J106" s="96">
        <f t="shared" si="10"/>
        <v>-1</v>
      </c>
      <c r="K106" s="95">
        <f t="shared" si="7"/>
        <v>-10</v>
      </c>
      <c r="L106" s="95"/>
      <c r="M106" s="97">
        <f t="shared" si="8"/>
        <v>0</v>
      </c>
    </row>
    <row r="107" spans="1:13" x14ac:dyDescent="0.25">
      <c r="A107" s="116"/>
      <c r="G107" s="80"/>
      <c r="H107" s="95">
        <v>102</v>
      </c>
      <c r="I107" s="96" t="str">
        <f t="shared" si="6"/>
        <v/>
      </c>
      <c r="J107" s="96">
        <f t="shared" si="10"/>
        <v>-1</v>
      </c>
      <c r="K107" s="95">
        <f t="shared" si="7"/>
        <v>-10</v>
      </c>
      <c r="L107" s="95"/>
      <c r="M107" s="97">
        <f t="shared" si="8"/>
        <v>0</v>
      </c>
    </row>
    <row r="108" spans="1:13" x14ac:dyDescent="0.25">
      <c r="A108" s="116"/>
      <c r="G108" s="80"/>
      <c r="H108" s="95">
        <v>103</v>
      </c>
      <c r="I108" s="96" t="str">
        <f t="shared" si="6"/>
        <v/>
      </c>
      <c r="J108" s="96">
        <f t="shared" si="10"/>
        <v>-1</v>
      </c>
      <c r="K108" s="95">
        <f t="shared" si="7"/>
        <v>-10</v>
      </c>
      <c r="L108" s="95"/>
      <c r="M108" s="97">
        <f t="shared" si="8"/>
        <v>0</v>
      </c>
    </row>
    <row r="109" spans="1:13" x14ac:dyDescent="0.25">
      <c r="A109" s="116"/>
      <c r="G109" s="80"/>
      <c r="H109" s="95">
        <v>104</v>
      </c>
      <c r="I109" s="96" t="str">
        <f t="shared" si="6"/>
        <v/>
      </c>
      <c r="J109" s="96">
        <f t="shared" si="10"/>
        <v>-1</v>
      </c>
      <c r="K109" s="95">
        <f t="shared" si="7"/>
        <v>-10</v>
      </c>
      <c r="L109" s="95"/>
      <c r="M109" s="97">
        <f t="shared" si="8"/>
        <v>0</v>
      </c>
    </row>
    <row r="110" spans="1:13" x14ac:dyDescent="0.25">
      <c r="A110" s="116"/>
      <c r="G110" s="80"/>
      <c r="H110" s="95">
        <v>105</v>
      </c>
      <c r="I110" s="96" t="str">
        <f t="shared" si="6"/>
        <v/>
      </c>
      <c r="J110" s="96">
        <f t="shared" si="10"/>
        <v>-1</v>
      </c>
      <c r="K110" s="95">
        <f t="shared" si="7"/>
        <v>-10</v>
      </c>
      <c r="L110" s="95"/>
      <c r="M110" s="97">
        <f t="shared" si="8"/>
        <v>0</v>
      </c>
    </row>
    <row r="111" spans="1:13" x14ac:dyDescent="0.25">
      <c r="A111" s="116"/>
      <c r="G111" s="80"/>
      <c r="H111" s="95">
        <v>106</v>
      </c>
      <c r="I111" s="96" t="str">
        <f t="shared" si="6"/>
        <v/>
      </c>
      <c r="J111" s="96">
        <f t="shared" si="10"/>
        <v>-1</v>
      </c>
      <c r="K111" s="95">
        <f t="shared" si="7"/>
        <v>-10</v>
      </c>
      <c r="L111" s="95"/>
      <c r="M111" s="97">
        <f t="shared" si="8"/>
        <v>0</v>
      </c>
    </row>
    <row r="112" spans="1:13" x14ac:dyDescent="0.25">
      <c r="A112" s="116"/>
      <c r="G112" s="80"/>
      <c r="H112" s="95">
        <v>107</v>
      </c>
      <c r="I112" s="96" t="str">
        <f t="shared" si="6"/>
        <v/>
      </c>
      <c r="J112" s="96">
        <f t="shared" si="10"/>
        <v>-1</v>
      </c>
      <c r="K112" s="95">
        <f t="shared" si="7"/>
        <v>-10</v>
      </c>
      <c r="L112" s="95"/>
      <c r="M112" s="97">
        <f t="shared" si="8"/>
        <v>0</v>
      </c>
    </row>
    <row r="113" spans="1:13" x14ac:dyDescent="0.25">
      <c r="A113" s="116"/>
      <c r="G113" s="80"/>
      <c r="H113" s="95">
        <v>108</v>
      </c>
      <c r="I113" s="96" t="str">
        <f t="shared" si="6"/>
        <v/>
      </c>
      <c r="J113" s="96">
        <f t="shared" si="10"/>
        <v>-1</v>
      </c>
      <c r="K113" s="95">
        <f t="shared" si="7"/>
        <v>-10</v>
      </c>
      <c r="L113" s="95"/>
      <c r="M113" s="97">
        <f t="shared" si="8"/>
        <v>0</v>
      </c>
    </row>
    <row r="114" spans="1:13" x14ac:dyDescent="0.25">
      <c r="A114" s="116"/>
      <c r="G114" s="80"/>
      <c r="H114" s="95">
        <v>109</v>
      </c>
      <c r="I114" s="96" t="str">
        <f t="shared" si="6"/>
        <v/>
      </c>
      <c r="J114" s="96">
        <f t="shared" si="10"/>
        <v>-1</v>
      </c>
      <c r="K114" s="95">
        <f t="shared" si="7"/>
        <v>-10</v>
      </c>
      <c r="L114" s="95"/>
      <c r="M114" s="97">
        <f t="shared" si="8"/>
        <v>0</v>
      </c>
    </row>
    <row r="115" spans="1:13" x14ac:dyDescent="0.25">
      <c r="A115" s="116"/>
      <c r="G115" s="80"/>
      <c r="H115" s="95">
        <v>110</v>
      </c>
      <c r="I115" s="96" t="str">
        <f t="shared" si="6"/>
        <v/>
      </c>
      <c r="J115" s="96">
        <f t="shared" si="10"/>
        <v>-1</v>
      </c>
      <c r="K115" s="95">
        <f t="shared" si="7"/>
        <v>-10</v>
      </c>
      <c r="L115" s="95"/>
      <c r="M115" s="97">
        <f t="shared" si="8"/>
        <v>0</v>
      </c>
    </row>
    <row r="116" spans="1:13" x14ac:dyDescent="0.25">
      <c r="A116" s="116"/>
      <c r="G116" s="80"/>
      <c r="H116" s="95">
        <v>111</v>
      </c>
      <c r="I116" s="96" t="str">
        <f t="shared" si="6"/>
        <v/>
      </c>
      <c r="J116" s="96">
        <f t="shared" si="10"/>
        <v>-1</v>
      </c>
      <c r="K116" s="95">
        <f t="shared" si="7"/>
        <v>-10</v>
      </c>
      <c r="L116" s="95"/>
      <c r="M116" s="97">
        <f t="shared" si="8"/>
        <v>0</v>
      </c>
    </row>
    <row r="117" spans="1:13" x14ac:dyDescent="0.25">
      <c r="A117" s="116"/>
      <c r="G117" s="80"/>
      <c r="H117" s="95">
        <v>112</v>
      </c>
      <c r="I117" s="96" t="str">
        <f t="shared" si="6"/>
        <v/>
      </c>
      <c r="J117" s="96">
        <f t="shared" si="10"/>
        <v>-1</v>
      </c>
      <c r="K117" s="95">
        <f t="shared" si="7"/>
        <v>-10</v>
      </c>
      <c r="L117" s="95"/>
      <c r="M117" s="97">
        <f t="shared" si="8"/>
        <v>0</v>
      </c>
    </row>
    <row r="118" spans="1:13" x14ac:dyDescent="0.25">
      <c r="A118" s="116"/>
      <c r="G118" s="80"/>
      <c r="H118" s="95">
        <v>113</v>
      </c>
      <c r="I118" s="96" t="str">
        <f t="shared" si="6"/>
        <v/>
      </c>
      <c r="J118" s="96">
        <f t="shared" si="10"/>
        <v>-1</v>
      </c>
      <c r="K118" s="95">
        <f t="shared" si="7"/>
        <v>-10</v>
      </c>
      <c r="L118" s="95"/>
      <c r="M118" s="97">
        <f t="shared" si="8"/>
        <v>0</v>
      </c>
    </row>
    <row r="119" spans="1:13" x14ac:dyDescent="0.25">
      <c r="A119" s="116"/>
      <c r="G119" s="80"/>
      <c r="H119" s="95">
        <v>114</v>
      </c>
      <c r="I119" s="96" t="str">
        <f t="shared" si="6"/>
        <v/>
      </c>
      <c r="J119" s="96">
        <f t="shared" si="10"/>
        <v>-1</v>
      </c>
      <c r="K119" s="95">
        <f t="shared" si="7"/>
        <v>-10</v>
      </c>
      <c r="L119" s="95"/>
      <c r="M119" s="97">
        <f t="shared" si="8"/>
        <v>0</v>
      </c>
    </row>
    <row r="120" spans="1:13" x14ac:dyDescent="0.25">
      <c r="A120" s="116"/>
      <c r="G120" s="80"/>
      <c r="H120" s="95">
        <v>115</v>
      </c>
      <c r="I120" s="96" t="str">
        <f t="shared" si="6"/>
        <v/>
      </c>
      <c r="J120" s="96">
        <f t="shared" si="10"/>
        <v>-1</v>
      </c>
      <c r="K120" s="95">
        <f t="shared" si="7"/>
        <v>-10</v>
      </c>
      <c r="L120" s="95"/>
      <c r="M120" s="97">
        <f t="shared" si="8"/>
        <v>0</v>
      </c>
    </row>
    <row r="121" spans="1:13" x14ac:dyDescent="0.25">
      <c r="A121" s="116"/>
      <c r="G121" s="80"/>
      <c r="H121" s="95">
        <v>116</v>
      </c>
      <c r="I121" s="96" t="str">
        <f t="shared" si="6"/>
        <v/>
      </c>
      <c r="J121" s="96">
        <f t="shared" si="10"/>
        <v>-1</v>
      </c>
      <c r="K121" s="95">
        <f t="shared" si="7"/>
        <v>-10</v>
      </c>
      <c r="L121" s="95"/>
      <c r="M121" s="97">
        <f t="shared" si="8"/>
        <v>0</v>
      </c>
    </row>
    <row r="122" spans="1:13" x14ac:dyDescent="0.25">
      <c r="A122" s="116"/>
      <c r="G122" s="80"/>
      <c r="H122" s="95">
        <v>117</v>
      </c>
      <c r="I122" s="96" t="str">
        <f t="shared" si="6"/>
        <v/>
      </c>
      <c r="J122" s="96">
        <f t="shared" si="10"/>
        <v>-1</v>
      </c>
      <c r="K122" s="95">
        <f t="shared" si="7"/>
        <v>-10</v>
      </c>
      <c r="L122" s="95"/>
      <c r="M122" s="97">
        <f t="shared" si="8"/>
        <v>0</v>
      </c>
    </row>
    <row r="123" spans="1:13" x14ac:dyDescent="0.25">
      <c r="A123" s="116"/>
      <c r="G123" s="80"/>
      <c r="H123" s="95">
        <v>118</v>
      </c>
      <c r="I123" s="96" t="str">
        <f t="shared" si="6"/>
        <v/>
      </c>
      <c r="J123" s="96">
        <f t="shared" si="10"/>
        <v>-1</v>
      </c>
      <c r="K123" s="95">
        <f t="shared" si="7"/>
        <v>-10</v>
      </c>
      <c r="L123" s="95"/>
      <c r="M123" s="97">
        <f t="shared" si="8"/>
        <v>0</v>
      </c>
    </row>
    <row r="124" spans="1:13" x14ac:dyDescent="0.25">
      <c r="A124" s="116"/>
      <c r="G124" s="80"/>
      <c r="H124" s="95">
        <v>119</v>
      </c>
      <c r="I124" s="96" t="str">
        <f t="shared" si="6"/>
        <v/>
      </c>
      <c r="J124" s="96">
        <f t="shared" si="10"/>
        <v>-1</v>
      </c>
      <c r="K124" s="95">
        <f t="shared" si="7"/>
        <v>-10</v>
      </c>
      <c r="L124" s="95"/>
      <c r="M124" s="97">
        <f t="shared" si="8"/>
        <v>0</v>
      </c>
    </row>
    <row r="125" spans="1:13" x14ac:dyDescent="0.25">
      <c r="A125" s="116"/>
      <c r="G125" s="80"/>
      <c r="H125" s="95">
        <v>120</v>
      </c>
      <c r="I125" s="96" t="str">
        <f t="shared" si="6"/>
        <v/>
      </c>
      <c r="J125" s="96">
        <f t="shared" si="10"/>
        <v>-1</v>
      </c>
      <c r="K125" s="95">
        <f t="shared" si="7"/>
        <v>-10</v>
      </c>
      <c r="L125" s="95"/>
      <c r="M125" s="97">
        <f t="shared" si="8"/>
        <v>0</v>
      </c>
    </row>
    <row r="126" spans="1:13" x14ac:dyDescent="0.25">
      <c r="A126" s="116"/>
      <c r="G126" s="80"/>
      <c r="H126" s="95">
        <v>121</v>
      </c>
      <c r="I126" s="96" t="str">
        <f t="shared" si="6"/>
        <v/>
      </c>
      <c r="J126" s="96">
        <f t="shared" si="10"/>
        <v>-1</v>
      </c>
      <c r="K126" s="95">
        <f t="shared" si="7"/>
        <v>-10</v>
      </c>
      <c r="L126" s="95"/>
      <c r="M126" s="97">
        <f t="shared" si="8"/>
        <v>0</v>
      </c>
    </row>
    <row r="127" spans="1:13" x14ac:dyDescent="0.25">
      <c r="A127" s="116"/>
      <c r="G127" s="80"/>
      <c r="H127" s="95">
        <v>122</v>
      </c>
      <c r="I127" s="96" t="str">
        <f t="shared" si="6"/>
        <v/>
      </c>
      <c r="J127" s="96">
        <f t="shared" si="10"/>
        <v>-1</v>
      </c>
      <c r="K127" s="95">
        <f t="shared" si="7"/>
        <v>-10</v>
      </c>
      <c r="L127" s="95"/>
      <c r="M127" s="97">
        <f t="shared" si="8"/>
        <v>0</v>
      </c>
    </row>
    <row r="128" spans="1:13" x14ac:dyDescent="0.25">
      <c r="A128" s="116"/>
      <c r="G128" s="80"/>
      <c r="H128" s="95">
        <v>123</v>
      </c>
      <c r="I128" s="96" t="str">
        <f t="shared" si="6"/>
        <v/>
      </c>
      <c r="J128" s="96">
        <f t="shared" si="10"/>
        <v>-1</v>
      </c>
      <c r="K128" s="95">
        <f t="shared" si="7"/>
        <v>-10</v>
      </c>
      <c r="L128" s="95"/>
      <c r="M128" s="97">
        <f t="shared" si="8"/>
        <v>0</v>
      </c>
    </row>
    <row r="129" spans="1:13" x14ac:dyDescent="0.25">
      <c r="A129" s="116"/>
      <c r="G129" s="80"/>
      <c r="H129" s="95">
        <v>124</v>
      </c>
      <c r="I129" s="96" t="str">
        <f t="shared" si="6"/>
        <v/>
      </c>
      <c r="J129" s="96">
        <f t="shared" si="10"/>
        <v>-1</v>
      </c>
      <c r="K129" s="95">
        <f t="shared" si="7"/>
        <v>-10</v>
      </c>
      <c r="L129" s="95"/>
      <c r="M129" s="97">
        <f t="shared" si="8"/>
        <v>0</v>
      </c>
    </row>
    <row r="130" spans="1:13" x14ac:dyDescent="0.25">
      <c r="A130" s="116"/>
      <c r="G130" s="80"/>
      <c r="H130" s="95">
        <v>125</v>
      </c>
      <c r="I130" s="96" t="str">
        <f t="shared" si="6"/>
        <v/>
      </c>
      <c r="J130" s="96">
        <f t="shared" si="10"/>
        <v>-1</v>
      </c>
      <c r="K130" s="95">
        <f t="shared" si="7"/>
        <v>-10</v>
      </c>
      <c r="L130" s="95"/>
      <c r="M130" s="97">
        <f t="shared" si="8"/>
        <v>0</v>
      </c>
    </row>
    <row r="131" spans="1:13" x14ac:dyDescent="0.25">
      <c r="A131" s="116"/>
      <c r="G131" s="80"/>
      <c r="H131" s="95">
        <v>126</v>
      </c>
      <c r="I131" s="96" t="str">
        <f t="shared" si="6"/>
        <v/>
      </c>
      <c r="J131" s="96">
        <f t="shared" si="10"/>
        <v>-1</v>
      </c>
      <c r="K131" s="95">
        <f t="shared" si="7"/>
        <v>-10</v>
      </c>
      <c r="L131" s="95"/>
      <c r="M131" s="97">
        <f t="shared" si="8"/>
        <v>0</v>
      </c>
    </row>
    <row r="132" spans="1:13" x14ac:dyDescent="0.25">
      <c r="A132" s="116"/>
      <c r="G132" s="80"/>
      <c r="H132" s="95">
        <v>127</v>
      </c>
      <c r="I132" s="96" t="str">
        <f t="shared" si="6"/>
        <v/>
      </c>
      <c r="J132" s="96">
        <f t="shared" si="10"/>
        <v>-1</v>
      </c>
      <c r="K132" s="95">
        <f t="shared" si="7"/>
        <v>-10</v>
      </c>
      <c r="L132" s="95"/>
      <c r="M132" s="97">
        <f t="shared" si="8"/>
        <v>0</v>
      </c>
    </row>
    <row r="133" spans="1:13" x14ac:dyDescent="0.25">
      <c r="A133" s="116"/>
      <c r="G133" s="80"/>
      <c r="H133" s="95">
        <v>128</v>
      </c>
      <c r="I133" s="96" t="str">
        <f t="shared" si="6"/>
        <v/>
      </c>
      <c r="J133" s="96">
        <f t="shared" si="10"/>
        <v>-1</v>
      </c>
      <c r="K133" s="95">
        <f t="shared" si="7"/>
        <v>-10</v>
      </c>
      <c r="L133" s="95"/>
      <c r="M133" s="97">
        <f t="shared" si="8"/>
        <v>0</v>
      </c>
    </row>
    <row r="134" spans="1:13" x14ac:dyDescent="0.25">
      <c r="A134" s="116"/>
      <c r="G134" s="80"/>
      <c r="H134" s="95">
        <v>129</v>
      </c>
      <c r="I134" s="96" t="str">
        <f t="shared" ref="I134:I197" si="11">IF(H134&lt;$H$2+1,($I$2-($I$2-1)*(LOG(H134)/LOG($H$2))),"")</f>
        <v/>
      </c>
      <c r="J134" s="96">
        <f t="shared" si="10"/>
        <v>-2</v>
      </c>
      <c r="K134" s="95">
        <f t="shared" ref="K134:K197" si="12">J134*$J$2</f>
        <v>-20</v>
      </c>
      <c r="L134" s="95"/>
      <c r="M134" s="97">
        <f t="shared" ref="M134:M197" si="13">IF(I134&lt;&gt;"",K134+I134+L134,0)</f>
        <v>0</v>
      </c>
    </row>
    <row r="135" spans="1:13" x14ac:dyDescent="0.25">
      <c r="A135" s="116"/>
      <c r="G135" s="80"/>
      <c r="H135" s="95">
        <v>130</v>
      </c>
      <c r="I135" s="96" t="str">
        <f t="shared" si="11"/>
        <v/>
      </c>
      <c r="J135" s="96">
        <f t="shared" ref="J135:J198" si="14">INT(LOG($H$2,2))-ROUNDUP(LOG(H135,2),0)+IF(OR($H$2=1,$H$2=2,$H$2=4,$H$2=8,$H$2=16,$H$2=32,$H$2=64,$H$2=128,$H$2=256),0,1)</f>
        <v>-2</v>
      </c>
      <c r="K135" s="95">
        <f t="shared" si="12"/>
        <v>-20</v>
      </c>
      <c r="L135" s="95"/>
      <c r="M135" s="97">
        <f t="shared" si="13"/>
        <v>0</v>
      </c>
    </row>
    <row r="136" spans="1:13" x14ac:dyDescent="0.25">
      <c r="A136" s="116"/>
      <c r="G136" s="80"/>
      <c r="H136" s="95">
        <v>131</v>
      </c>
      <c r="I136" s="96" t="str">
        <f t="shared" si="11"/>
        <v/>
      </c>
      <c r="J136" s="96">
        <f t="shared" si="14"/>
        <v>-2</v>
      </c>
      <c r="K136" s="95">
        <f t="shared" si="12"/>
        <v>-20</v>
      </c>
      <c r="L136" s="95"/>
      <c r="M136" s="97">
        <f t="shared" si="13"/>
        <v>0</v>
      </c>
    </row>
    <row r="137" spans="1:13" x14ac:dyDescent="0.25">
      <c r="A137" s="116"/>
      <c r="G137" s="80"/>
      <c r="H137" s="95">
        <v>132</v>
      </c>
      <c r="I137" s="96" t="str">
        <f t="shared" si="11"/>
        <v/>
      </c>
      <c r="J137" s="96">
        <f t="shared" si="14"/>
        <v>-2</v>
      </c>
      <c r="K137" s="95">
        <f t="shared" si="12"/>
        <v>-20</v>
      </c>
      <c r="L137" s="95"/>
      <c r="M137" s="97">
        <f t="shared" si="13"/>
        <v>0</v>
      </c>
    </row>
    <row r="138" spans="1:13" x14ac:dyDescent="0.25">
      <c r="A138" s="116"/>
      <c r="G138" s="80"/>
      <c r="H138" s="95">
        <v>133</v>
      </c>
      <c r="I138" s="96" t="str">
        <f t="shared" si="11"/>
        <v/>
      </c>
      <c r="J138" s="96">
        <f t="shared" si="14"/>
        <v>-2</v>
      </c>
      <c r="K138" s="95">
        <f t="shared" si="12"/>
        <v>-20</v>
      </c>
      <c r="L138" s="95"/>
      <c r="M138" s="97">
        <f t="shared" si="13"/>
        <v>0</v>
      </c>
    </row>
    <row r="139" spans="1:13" x14ac:dyDescent="0.25">
      <c r="A139" s="116"/>
      <c r="G139" s="80"/>
      <c r="H139" s="95">
        <v>134</v>
      </c>
      <c r="I139" s="96" t="str">
        <f t="shared" si="11"/>
        <v/>
      </c>
      <c r="J139" s="96">
        <f t="shared" si="14"/>
        <v>-2</v>
      </c>
      <c r="K139" s="95">
        <f t="shared" si="12"/>
        <v>-20</v>
      </c>
      <c r="L139" s="95"/>
      <c r="M139" s="97">
        <f t="shared" si="13"/>
        <v>0</v>
      </c>
    </row>
    <row r="140" spans="1:13" x14ac:dyDescent="0.25">
      <c r="A140" s="116"/>
      <c r="G140" s="80"/>
      <c r="H140" s="95">
        <v>135</v>
      </c>
      <c r="I140" s="96" t="str">
        <f t="shared" si="11"/>
        <v/>
      </c>
      <c r="J140" s="96">
        <f t="shared" si="14"/>
        <v>-2</v>
      </c>
      <c r="K140" s="95">
        <f t="shared" si="12"/>
        <v>-20</v>
      </c>
      <c r="L140" s="95"/>
      <c r="M140" s="97">
        <f t="shared" si="13"/>
        <v>0</v>
      </c>
    </row>
    <row r="141" spans="1:13" x14ac:dyDescent="0.25">
      <c r="A141" s="116"/>
      <c r="G141" s="80"/>
      <c r="H141" s="95">
        <v>136</v>
      </c>
      <c r="I141" s="96" t="str">
        <f t="shared" si="11"/>
        <v/>
      </c>
      <c r="J141" s="96">
        <f t="shared" si="14"/>
        <v>-2</v>
      </c>
      <c r="K141" s="95">
        <f t="shared" si="12"/>
        <v>-20</v>
      </c>
      <c r="L141" s="95"/>
      <c r="M141" s="97">
        <f t="shared" si="13"/>
        <v>0</v>
      </c>
    </row>
    <row r="142" spans="1:13" x14ac:dyDescent="0.25">
      <c r="A142" s="116"/>
      <c r="G142" s="80"/>
      <c r="H142" s="95">
        <v>137</v>
      </c>
      <c r="I142" s="96" t="str">
        <f t="shared" si="11"/>
        <v/>
      </c>
      <c r="J142" s="96">
        <f t="shared" si="14"/>
        <v>-2</v>
      </c>
      <c r="K142" s="95">
        <f t="shared" si="12"/>
        <v>-20</v>
      </c>
      <c r="L142" s="95"/>
      <c r="M142" s="97">
        <f t="shared" si="13"/>
        <v>0</v>
      </c>
    </row>
    <row r="143" spans="1:13" x14ac:dyDescent="0.25">
      <c r="A143" s="116"/>
      <c r="G143" s="80"/>
      <c r="H143" s="95">
        <v>138</v>
      </c>
      <c r="I143" s="96" t="str">
        <f t="shared" si="11"/>
        <v/>
      </c>
      <c r="J143" s="96">
        <f t="shared" si="14"/>
        <v>-2</v>
      </c>
      <c r="K143" s="95">
        <f t="shared" si="12"/>
        <v>-20</v>
      </c>
      <c r="L143" s="95"/>
      <c r="M143" s="97">
        <f t="shared" si="13"/>
        <v>0</v>
      </c>
    </row>
    <row r="144" spans="1:13" x14ac:dyDescent="0.25">
      <c r="A144" s="116"/>
      <c r="G144" s="80"/>
      <c r="H144" s="95">
        <v>139</v>
      </c>
      <c r="I144" s="96" t="str">
        <f t="shared" si="11"/>
        <v/>
      </c>
      <c r="J144" s="96">
        <f t="shared" si="14"/>
        <v>-2</v>
      </c>
      <c r="K144" s="95">
        <f t="shared" si="12"/>
        <v>-20</v>
      </c>
      <c r="L144" s="95"/>
      <c r="M144" s="97">
        <f t="shared" si="13"/>
        <v>0</v>
      </c>
    </row>
    <row r="145" spans="1:13" x14ac:dyDescent="0.25">
      <c r="A145" s="116"/>
      <c r="G145" s="80"/>
      <c r="H145" s="95">
        <v>140</v>
      </c>
      <c r="I145" s="96" t="str">
        <f t="shared" si="11"/>
        <v/>
      </c>
      <c r="J145" s="96">
        <f t="shared" si="14"/>
        <v>-2</v>
      </c>
      <c r="K145" s="95">
        <f t="shared" si="12"/>
        <v>-20</v>
      </c>
      <c r="L145" s="95"/>
      <c r="M145" s="97">
        <f t="shared" si="13"/>
        <v>0</v>
      </c>
    </row>
    <row r="146" spans="1:13" x14ac:dyDescent="0.25">
      <c r="A146" s="116"/>
      <c r="G146" s="80"/>
      <c r="H146" s="95">
        <v>141</v>
      </c>
      <c r="I146" s="96" t="str">
        <f t="shared" si="11"/>
        <v/>
      </c>
      <c r="J146" s="96">
        <f t="shared" si="14"/>
        <v>-2</v>
      </c>
      <c r="K146" s="95">
        <f t="shared" si="12"/>
        <v>-20</v>
      </c>
      <c r="L146" s="95"/>
      <c r="M146" s="97">
        <f t="shared" si="13"/>
        <v>0</v>
      </c>
    </row>
    <row r="147" spans="1:13" x14ac:dyDescent="0.25">
      <c r="A147" s="116"/>
      <c r="G147" s="80"/>
      <c r="H147" s="95">
        <v>142</v>
      </c>
      <c r="I147" s="96" t="str">
        <f t="shared" si="11"/>
        <v/>
      </c>
      <c r="J147" s="96">
        <f t="shared" si="14"/>
        <v>-2</v>
      </c>
      <c r="K147" s="95">
        <f t="shared" si="12"/>
        <v>-20</v>
      </c>
      <c r="L147" s="95"/>
      <c r="M147" s="97">
        <f t="shared" si="13"/>
        <v>0</v>
      </c>
    </row>
    <row r="148" spans="1:13" x14ac:dyDescent="0.25">
      <c r="A148" s="116"/>
      <c r="G148" s="80"/>
      <c r="H148" s="95">
        <v>143</v>
      </c>
      <c r="I148" s="96" t="str">
        <f t="shared" si="11"/>
        <v/>
      </c>
      <c r="J148" s="96">
        <f t="shared" si="14"/>
        <v>-2</v>
      </c>
      <c r="K148" s="95">
        <f t="shared" si="12"/>
        <v>-20</v>
      </c>
      <c r="L148" s="95"/>
      <c r="M148" s="97">
        <f t="shared" si="13"/>
        <v>0</v>
      </c>
    </row>
    <row r="149" spans="1:13" x14ac:dyDescent="0.25">
      <c r="A149" s="116"/>
      <c r="G149" s="80"/>
      <c r="H149" s="95">
        <v>144</v>
      </c>
      <c r="I149" s="96" t="str">
        <f t="shared" si="11"/>
        <v/>
      </c>
      <c r="J149" s="96">
        <f t="shared" si="14"/>
        <v>-2</v>
      </c>
      <c r="K149" s="95">
        <f t="shared" si="12"/>
        <v>-20</v>
      </c>
      <c r="L149" s="95"/>
      <c r="M149" s="97">
        <f t="shared" si="13"/>
        <v>0</v>
      </c>
    </row>
    <row r="150" spans="1:13" x14ac:dyDescent="0.25">
      <c r="A150" s="116"/>
      <c r="G150" s="80"/>
      <c r="H150" s="95">
        <v>145</v>
      </c>
      <c r="I150" s="96" t="str">
        <f t="shared" si="11"/>
        <v/>
      </c>
      <c r="J150" s="96">
        <f t="shared" si="14"/>
        <v>-2</v>
      </c>
      <c r="K150" s="95">
        <f t="shared" si="12"/>
        <v>-20</v>
      </c>
      <c r="L150" s="95"/>
      <c r="M150" s="97">
        <f t="shared" si="13"/>
        <v>0</v>
      </c>
    </row>
    <row r="151" spans="1:13" x14ac:dyDescent="0.25">
      <c r="A151" s="116"/>
      <c r="G151" s="80"/>
      <c r="H151" s="95">
        <v>146</v>
      </c>
      <c r="I151" s="96" t="str">
        <f t="shared" si="11"/>
        <v/>
      </c>
      <c r="J151" s="96">
        <f t="shared" si="14"/>
        <v>-2</v>
      </c>
      <c r="K151" s="95">
        <f t="shared" si="12"/>
        <v>-20</v>
      </c>
      <c r="L151" s="95"/>
      <c r="M151" s="97">
        <f t="shared" si="13"/>
        <v>0</v>
      </c>
    </row>
    <row r="152" spans="1:13" x14ac:dyDescent="0.25">
      <c r="A152" s="116"/>
      <c r="G152" s="80"/>
      <c r="H152" s="95">
        <v>147</v>
      </c>
      <c r="I152" s="96" t="str">
        <f t="shared" si="11"/>
        <v/>
      </c>
      <c r="J152" s="96">
        <f t="shared" si="14"/>
        <v>-2</v>
      </c>
      <c r="K152" s="95">
        <f t="shared" si="12"/>
        <v>-20</v>
      </c>
      <c r="L152" s="95"/>
      <c r="M152" s="97">
        <f t="shared" si="13"/>
        <v>0</v>
      </c>
    </row>
    <row r="153" spans="1:13" x14ac:dyDescent="0.25">
      <c r="A153" s="116"/>
      <c r="G153" s="80"/>
      <c r="H153" s="95">
        <v>148</v>
      </c>
      <c r="I153" s="96" t="str">
        <f t="shared" si="11"/>
        <v/>
      </c>
      <c r="J153" s="96">
        <f t="shared" si="14"/>
        <v>-2</v>
      </c>
      <c r="K153" s="95">
        <f t="shared" si="12"/>
        <v>-20</v>
      </c>
      <c r="L153" s="95"/>
      <c r="M153" s="97">
        <f t="shared" si="13"/>
        <v>0</v>
      </c>
    </row>
    <row r="154" spans="1:13" x14ac:dyDescent="0.25">
      <c r="A154" s="116"/>
      <c r="G154" s="80"/>
      <c r="H154" s="95">
        <v>149</v>
      </c>
      <c r="I154" s="96" t="str">
        <f t="shared" si="11"/>
        <v/>
      </c>
      <c r="J154" s="96">
        <f t="shared" si="14"/>
        <v>-2</v>
      </c>
      <c r="K154" s="95">
        <f t="shared" si="12"/>
        <v>-20</v>
      </c>
      <c r="L154" s="95"/>
      <c r="M154" s="97">
        <f t="shared" si="13"/>
        <v>0</v>
      </c>
    </row>
    <row r="155" spans="1:13" x14ac:dyDescent="0.25">
      <c r="A155" s="116"/>
      <c r="G155" s="80"/>
      <c r="H155" s="95">
        <v>150</v>
      </c>
      <c r="I155" s="96" t="str">
        <f t="shared" si="11"/>
        <v/>
      </c>
      <c r="J155" s="96">
        <f t="shared" si="14"/>
        <v>-2</v>
      </c>
      <c r="K155" s="95">
        <f t="shared" si="12"/>
        <v>-20</v>
      </c>
      <c r="L155" s="95"/>
      <c r="M155" s="97">
        <f t="shared" si="13"/>
        <v>0</v>
      </c>
    </row>
    <row r="156" spans="1:13" x14ac:dyDescent="0.25">
      <c r="A156" s="116"/>
      <c r="G156" s="80"/>
      <c r="H156" s="95">
        <v>151</v>
      </c>
      <c r="I156" s="96" t="str">
        <f t="shared" si="11"/>
        <v/>
      </c>
      <c r="J156" s="96">
        <f t="shared" si="14"/>
        <v>-2</v>
      </c>
      <c r="K156" s="95">
        <f t="shared" si="12"/>
        <v>-20</v>
      </c>
      <c r="L156" s="95"/>
      <c r="M156" s="97">
        <f t="shared" si="13"/>
        <v>0</v>
      </c>
    </row>
    <row r="157" spans="1:13" x14ac:dyDescent="0.25">
      <c r="A157" s="116"/>
      <c r="G157" s="80"/>
      <c r="H157" s="95">
        <v>152</v>
      </c>
      <c r="I157" s="96" t="str">
        <f t="shared" si="11"/>
        <v/>
      </c>
      <c r="J157" s="96">
        <f t="shared" si="14"/>
        <v>-2</v>
      </c>
      <c r="K157" s="95">
        <f t="shared" si="12"/>
        <v>-20</v>
      </c>
      <c r="L157" s="95"/>
      <c r="M157" s="97">
        <f t="shared" si="13"/>
        <v>0</v>
      </c>
    </row>
    <row r="158" spans="1:13" x14ac:dyDescent="0.25">
      <c r="A158" s="116"/>
      <c r="G158" s="80"/>
      <c r="H158" s="95">
        <v>153</v>
      </c>
      <c r="I158" s="96" t="str">
        <f t="shared" si="11"/>
        <v/>
      </c>
      <c r="J158" s="96">
        <f t="shared" si="14"/>
        <v>-2</v>
      </c>
      <c r="K158" s="95">
        <f t="shared" si="12"/>
        <v>-20</v>
      </c>
      <c r="L158" s="95"/>
      <c r="M158" s="97">
        <f t="shared" si="13"/>
        <v>0</v>
      </c>
    </row>
    <row r="159" spans="1:13" x14ac:dyDescent="0.25">
      <c r="A159" s="116"/>
      <c r="G159" s="80"/>
      <c r="H159" s="95">
        <v>154</v>
      </c>
      <c r="I159" s="96" t="str">
        <f t="shared" si="11"/>
        <v/>
      </c>
      <c r="J159" s="96">
        <f t="shared" si="14"/>
        <v>-2</v>
      </c>
      <c r="K159" s="95">
        <f t="shared" si="12"/>
        <v>-20</v>
      </c>
      <c r="L159" s="95"/>
      <c r="M159" s="97">
        <f t="shared" si="13"/>
        <v>0</v>
      </c>
    </row>
    <row r="160" spans="1:13" x14ac:dyDescent="0.25">
      <c r="A160" s="116"/>
      <c r="G160" s="80"/>
      <c r="H160" s="95">
        <v>155</v>
      </c>
      <c r="I160" s="96" t="str">
        <f t="shared" si="11"/>
        <v/>
      </c>
      <c r="J160" s="96">
        <f t="shared" si="14"/>
        <v>-2</v>
      </c>
      <c r="K160" s="95">
        <f t="shared" si="12"/>
        <v>-20</v>
      </c>
      <c r="L160" s="95"/>
      <c r="M160" s="97">
        <f t="shared" si="13"/>
        <v>0</v>
      </c>
    </row>
    <row r="161" spans="1:13" x14ac:dyDescent="0.25">
      <c r="A161" s="116"/>
      <c r="G161" s="80"/>
      <c r="H161" s="95">
        <v>156</v>
      </c>
      <c r="I161" s="96" t="str">
        <f t="shared" si="11"/>
        <v/>
      </c>
      <c r="J161" s="96">
        <f t="shared" si="14"/>
        <v>-2</v>
      </c>
      <c r="K161" s="95">
        <f t="shared" si="12"/>
        <v>-20</v>
      </c>
      <c r="L161" s="95"/>
      <c r="M161" s="97">
        <f t="shared" si="13"/>
        <v>0</v>
      </c>
    </row>
    <row r="162" spans="1:13" x14ac:dyDescent="0.25">
      <c r="A162" s="116"/>
      <c r="G162" s="80"/>
      <c r="H162" s="95">
        <v>157</v>
      </c>
      <c r="I162" s="96" t="str">
        <f t="shared" si="11"/>
        <v/>
      </c>
      <c r="J162" s="96">
        <f t="shared" si="14"/>
        <v>-2</v>
      </c>
      <c r="K162" s="95">
        <f t="shared" si="12"/>
        <v>-20</v>
      </c>
      <c r="L162" s="95"/>
      <c r="M162" s="97">
        <f t="shared" si="13"/>
        <v>0</v>
      </c>
    </row>
    <row r="163" spans="1:13" x14ac:dyDescent="0.25">
      <c r="A163" s="116"/>
      <c r="G163" s="80"/>
      <c r="H163" s="95">
        <v>158</v>
      </c>
      <c r="I163" s="96" t="str">
        <f t="shared" si="11"/>
        <v/>
      </c>
      <c r="J163" s="96">
        <f t="shared" si="14"/>
        <v>-2</v>
      </c>
      <c r="K163" s="95">
        <f t="shared" si="12"/>
        <v>-20</v>
      </c>
      <c r="L163" s="95"/>
      <c r="M163" s="97">
        <f t="shared" si="13"/>
        <v>0</v>
      </c>
    </row>
    <row r="164" spans="1:13" x14ac:dyDescent="0.25">
      <c r="A164" s="116"/>
      <c r="G164" s="80"/>
      <c r="H164" s="95">
        <v>159</v>
      </c>
      <c r="I164" s="96" t="str">
        <f t="shared" si="11"/>
        <v/>
      </c>
      <c r="J164" s="96">
        <f t="shared" si="14"/>
        <v>-2</v>
      </c>
      <c r="K164" s="95">
        <f t="shared" si="12"/>
        <v>-20</v>
      </c>
      <c r="L164" s="95"/>
      <c r="M164" s="97">
        <f t="shared" si="13"/>
        <v>0</v>
      </c>
    </row>
    <row r="165" spans="1:13" x14ac:dyDescent="0.25">
      <c r="A165" s="116"/>
      <c r="G165" s="80"/>
      <c r="H165" s="95">
        <v>160</v>
      </c>
      <c r="I165" s="96" t="str">
        <f t="shared" si="11"/>
        <v/>
      </c>
      <c r="J165" s="96">
        <f t="shared" si="14"/>
        <v>-2</v>
      </c>
      <c r="K165" s="95">
        <f t="shared" si="12"/>
        <v>-20</v>
      </c>
      <c r="L165" s="95"/>
      <c r="M165" s="97">
        <f t="shared" si="13"/>
        <v>0</v>
      </c>
    </row>
    <row r="166" spans="1:13" x14ac:dyDescent="0.25">
      <c r="A166" s="116"/>
      <c r="G166" s="80"/>
      <c r="H166" s="95">
        <v>161</v>
      </c>
      <c r="I166" s="96" t="str">
        <f t="shared" si="11"/>
        <v/>
      </c>
      <c r="J166" s="96">
        <f t="shared" si="14"/>
        <v>-2</v>
      </c>
      <c r="K166" s="95">
        <f t="shared" si="12"/>
        <v>-20</v>
      </c>
      <c r="L166" s="95"/>
      <c r="M166" s="97">
        <f t="shared" si="13"/>
        <v>0</v>
      </c>
    </row>
    <row r="167" spans="1:13" x14ac:dyDescent="0.25">
      <c r="A167" s="116"/>
      <c r="G167" s="80"/>
      <c r="H167" s="95">
        <v>162</v>
      </c>
      <c r="I167" s="96" t="str">
        <f t="shared" si="11"/>
        <v/>
      </c>
      <c r="J167" s="96">
        <f t="shared" si="14"/>
        <v>-2</v>
      </c>
      <c r="K167" s="95">
        <f t="shared" si="12"/>
        <v>-20</v>
      </c>
      <c r="L167" s="95"/>
      <c r="M167" s="97">
        <f t="shared" si="13"/>
        <v>0</v>
      </c>
    </row>
    <row r="168" spans="1:13" x14ac:dyDescent="0.25">
      <c r="A168" s="116"/>
      <c r="G168" s="80"/>
      <c r="H168" s="95">
        <v>163</v>
      </c>
      <c r="I168" s="96" t="str">
        <f t="shared" si="11"/>
        <v/>
      </c>
      <c r="J168" s="96">
        <f t="shared" si="14"/>
        <v>-2</v>
      </c>
      <c r="K168" s="95">
        <f t="shared" si="12"/>
        <v>-20</v>
      </c>
      <c r="L168" s="95"/>
      <c r="M168" s="97">
        <f t="shared" si="13"/>
        <v>0</v>
      </c>
    </row>
    <row r="169" spans="1:13" x14ac:dyDescent="0.25">
      <c r="A169" s="116"/>
      <c r="G169" s="80"/>
      <c r="H169" s="95">
        <v>164</v>
      </c>
      <c r="I169" s="96" t="str">
        <f t="shared" si="11"/>
        <v/>
      </c>
      <c r="J169" s="96">
        <f t="shared" si="14"/>
        <v>-2</v>
      </c>
      <c r="K169" s="95">
        <f t="shared" si="12"/>
        <v>-20</v>
      </c>
      <c r="L169" s="95"/>
      <c r="M169" s="97">
        <f t="shared" si="13"/>
        <v>0</v>
      </c>
    </row>
    <row r="170" spans="1:13" x14ac:dyDescent="0.25">
      <c r="A170" s="116"/>
      <c r="G170" s="80"/>
      <c r="H170" s="95">
        <v>165</v>
      </c>
      <c r="I170" s="96" t="str">
        <f t="shared" si="11"/>
        <v/>
      </c>
      <c r="J170" s="96">
        <f t="shared" si="14"/>
        <v>-2</v>
      </c>
      <c r="K170" s="95">
        <f t="shared" si="12"/>
        <v>-20</v>
      </c>
      <c r="L170" s="95"/>
      <c r="M170" s="97">
        <f t="shared" si="13"/>
        <v>0</v>
      </c>
    </row>
    <row r="171" spans="1:13" x14ac:dyDescent="0.25">
      <c r="A171" s="116"/>
      <c r="G171" s="80"/>
      <c r="H171" s="95">
        <v>166</v>
      </c>
      <c r="I171" s="96" t="str">
        <f t="shared" si="11"/>
        <v/>
      </c>
      <c r="J171" s="96">
        <f t="shared" si="14"/>
        <v>-2</v>
      </c>
      <c r="K171" s="95">
        <f t="shared" si="12"/>
        <v>-20</v>
      </c>
      <c r="L171" s="95"/>
      <c r="M171" s="97">
        <f t="shared" si="13"/>
        <v>0</v>
      </c>
    </row>
    <row r="172" spans="1:13" x14ac:dyDescent="0.25">
      <c r="A172" s="116"/>
      <c r="G172" s="80"/>
      <c r="H172" s="95">
        <v>167</v>
      </c>
      <c r="I172" s="96" t="str">
        <f t="shared" si="11"/>
        <v/>
      </c>
      <c r="J172" s="96">
        <f t="shared" si="14"/>
        <v>-2</v>
      </c>
      <c r="K172" s="95">
        <f t="shared" si="12"/>
        <v>-20</v>
      </c>
      <c r="L172" s="95"/>
      <c r="M172" s="97">
        <f t="shared" si="13"/>
        <v>0</v>
      </c>
    </row>
    <row r="173" spans="1:13" x14ac:dyDescent="0.25">
      <c r="A173" s="116"/>
      <c r="G173" s="80"/>
      <c r="H173" s="95">
        <v>168</v>
      </c>
      <c r="I173" s="96" t="str">
        <f t="shared" si="11"/>
        <v/>
      </c>
      <c r="J173" s="96">
        <f t="shared" si="14"/>
        <v>-2</v>
      </c>
      <c r="K173" s="95">
        <f t="shared" si="12"/>
        <v>-20</v>
      </c>
      <c r="L173" s="95"/>
      <c r="M173" s="97">
        <f t="shared" si="13"/>
        <v>0</v>
      </c>
    </row>
    <row r="174" spans="1:13" x14ac:dyDescent="0.25">
      <c r="A174" s="116"/>
      <c r="G174" s="80"/>
      <c r="H174" s="95">
        <v>169</v>
      </c>
      <c r="I174" s="96" t="str">
        <f t="shared" si="11"/>
        <v/>
      </c>
      <c r="J174" s="96">
        <f t="shared" si="14"/>
        <v>-2</v>
      </c>
      <c r="K174" s="95">
        <f t="shared" si="12"/>
        <v>-20</v>
      </c>
      <c r="L174" s="95"/>
      <c r="M174" s="97">
        <f t="shared" si="13"/>
        <v>0</v>
      </c>
    </row>
    <row r="175" spans="1:13" x14ac:dyDescent="0.25">
      <c r="A175" s="116"/>
      <c r="G175" s="80"/>
      <c r="H175" s="95">
        <v>170</v>
      </c>
      <c r="I175" s="96" t="str">
        <f t="shared" si="11"/>
        <v/>
      </c>
      <c r="J175" s="96">
        <f t="shared" si="14"/>
        <v>-2</v>
      </c>
      <c r="K175" s="95">
        <f t="shared" si="12"/>
        <v>-20</v>
      </c>
      <c r="L175" s="95"/>
      <c r="M175" s="97">
        <f t="shared" si="13"/>
        <v>0</v>
      </c>
    </row>
    <row r="176" spans="1:13" x14ac:dyDescent="0.25">
      <c r="A176" s="116"/>
      <c r="G176" s="80"/>
      <c r="H176" s="95">
        <v>171</v>
      </c>
      <c r="I176" s="96" t="str">
        <f t="shared" si="11"/>
        <v/>
      </c>
      <c r="J176" s="96">
        <f t="shared" si="14"/>
        <v>-2</v>
      </c>
      <c r="K176" s="95">
        <f t="shared" si="12"/>
        <v>-20</v>
      </c>
      <c r="L176" s="95"/>
      <c r="M176" s="97">
        <f t="shared" si="13"/>
        <v>0</v>
      </c>
    </row>
    <row r="177" spans="1:13" x14ac:dyDescent="0.25">
      <c r="A177" s="116"/>
      <c r="G177" s="80"/>
      <c r="H177" s="95">
        <v>172</v>
      </c>
      <c r="I177" s="96" t="str">
        <f t="shared" si="11"/>
        <v/>
      </c>
      <c r="J177" s="96">
        <f t="shared" si="14"/>
        <v>-2</v>
      </c>
      <c r="K177" s="95">
        <f t="shared" si="12"/>
        <v>-20</v>
      </c>
      <c r="L177" s="95"/>
      <c r="M177" s="97">
        <f t="shared" si="13"/>
        <v>0</v>
      </c>
    </row>
    <row r="178" spans="1:13" x14ac:dyDescent="0.25">
      <c r="A178" s="116"/>
      <c r="G178" s="80"/>
      <c r="H178" s="95">
        <v>173</v>
      </c>
      <c r="I178" s="96" t="str">
        <f t="shared" si="11"/>
        <v/>
      </c>
      <c r="J178" s="96">
        <f t="shared" si="14"/>
        <v>-2</v>
      </c>
      <c r="K178" s="95">
        <f t="shared" si="12"/>
        <v>-20</v>
      </c>
      <c r="L178" s="95"/>
      <c r="M178" s="97">
        <f t="shared" si="13"/>
        <v>0</v>
      </c>
    </row>
    <row r="179" spans="1:13" x14ac:dyDescent="0.25">
      <c r="A179" s="116"/>
      <c r="G179" s="80"/>
      <c r="H179" s="95">
        <v>174</v>
      </c>
      <c r="I179" s="96" t="str">
        <f t="shared" si="11"/>
        <v/>
      </c>
      <c r="J179" s="96">
        <f t="shared" si="14"/>
        <v>-2</v>
      </c>
      <c r="K179" s="95">
        <f t="shared" si="12"/>
        <v>-20</v>
      </c>
      <c r="L179" s="95"/>
      <c r="M179" s="97">
        <f t="shared" si="13"/>
        <v>0</v>
      </c>
    </row>
    <row r="180" spans="1:13" x14ac:dyDescent="0.25">
      <c r="A180" s="116"/>
      <c r="G180" s="80"/>
      <c r="H180" s="95">
        <v>175</v>
      </c>
      <c r="I180" s="96" t="str">
        <f t="shared" si="11"/>
        <v/>
      </c>
      <c r="J180" s="96">
        <f t="shared" si="14"/>
        <v>-2</v>
      </c>
      <c r="K180" s="95">
        <f t="shared" si="12"/>
        <v>-20</v>
      </c>
      <c r="L180" s="95"/>
      <c r="M180" s="97">
        <f t="shared" si="13"/>
        <v>0</v>
      </c>
    </row>
    <row r="181" spans="1:13" x14ac:dyDescent="0.25">
      <c r="A181" s="116"/>
      <c r="G181" s="80"/>
      <c r="H181" s="95">
        <v>176</v>
      </c>
      <c r="I181" s="96" t="str">
        <f t="shared" si="11"/>
        <v/>
      </c>
      <c r="J181" s="96">
        <f t="shared" si="14"/>
        <v>-2</v>
      </c>
      <c r="K181" s="95">
        <f t="shared" si="12"/>
        <v>-20</v>
      </c>
      <c r="L181" s="95"/>
      <c r="M181" s="97">
        <f t="shared" si="13"/>
        <v>0</v>
      </c>
    </row>
    <row r="182" spans="1:13" x14ac:dyDescent="0.25">
      <c r="A182" s="116"/>
      <c r="G182" s="80"/>
      <c r="H182" s="95">
        <v>177</v>
      </c>
      <c r="I182" s="96" t="str">
        <f t="shared" si="11"/>
        <v/>
      </c>
      <c r="J182" s="96">
        <f t="shared" si="14"/>
        <v>-2</v>
      </c>
      <c r="K182" s="95">
        <f t="shared" si="12"/>
        <v>-20</v>
      </c>
      <c r="L182" s="95"/>
      <c r="M182" s="97">
        <f t="shared" si="13"/>
        <v>0</v>
      </c>
    </row>
    <row r="183" spans="1:13" x14ac:dyDescent="0.25">
      <c r="A183" s="116"/>
      <c r="G183" s="80"/>
      <c r="H183" s="95">
        <v>178</v>
      </c>
      <c r="I183" s="96" t="str">
        <f t="shared" si="11"/>
        <v/>
      </c>
      <c r="J183" s="96">
        <f t="shared" si="14"/>
        <v>-2</v>
      </c>
      <c r="K183" s="95">
        <f t="shared" si="12"/>
        <v>-20</v>
      </c>
      <c r="L183" s="95"/>
      <c r="M183" s="97">
        <f t="shared" si="13"/>
        <v>0</v>
      </c>
    </row>
    <row r="184" spans="1:13" x14ac:dyDescent="0.25">
      <c r="A184" s="116"/>
      <c r="G184" s="80"/>
      <c r="H184" s="95">
        <v>179</v>
      </c>
      <c r="I184" s="96" t="str">
        <f t="shared" si="11"/>
        <v/>
      </c>
      <c r="J184" s="96">
        <f t="shared" si="14"/>
        <v>-2</v>
      </c>
      <c r="K184" s="95">
        <f t="shared" si="12"/>
        <v>-20</v>
      </c>
      <c r="L184" s="95"/>
      <c r="M184" s="97">
        <f t="shared" si="13"/>
        <v>0</v>
      </c>
    </row>
    <row r="185" spans="1:13" x14ac:dyDescent="0.25">
      <c r="A185" s="116"/>
      <c r="G185" s="80"/>
      <c r="H185" s="95">
        <v>180</v>
      </c>
      <c r="I185" s="96" t="str">
        <f t="shared" si="11"/>
        <v/>
      </c>
      <c r="J185" s="96">
        <f t="shared" si="14"/>
        <v>-2</v>
      </c>
      <c r="K185" s="95">
        <f t="shared" si="12"/>
        <v>-20</v>
      </c>
      <c r="L185" s="95"/>
      <c r="M185" s="97">
        <f t="shared" si="13"/>
        <v>0</v>
      </c>
    </row>
    <row r="186" spans="1:13" x14ac:dyDescent="0.25">
      <c r="A186" s="116"/>
      <c r="G186" s="80"/>
      <c r="H186" s="95">
        <v>181</v>
      </c>
      <c r="I186" s="96" t="str">
        <f t="shared" si="11"/>
        <v/>
      </c>
      <c r="J186" s="96">
        <f t="shared" si="14"/>
        <v>-2</v>
      </c>
      <c r="K186" s="95">
        <f t="shared" si="12"/>
        <v>-20</v>
      </c>
      <c r="L186" s="95"/>
      <c r="M186" s="97">
        <f t="shared" si="13"/>
        <v>0</v>
      </c>
    </row>
    <row r="187" spans="1:13" x14ac:dyDescent="0.25">
      <c r="A187" s="116"/>
      <c r="G187" s="80"/>
      <c r="H187" s="95">
        <v>182</v>
      </c>
      <c r="I187" s="96" t="str">
        <f t="shared" si="11"/>
        <v/>
      </c>
      <c r="J187" s="96">
        <f t="shared" si="14"/>
        <v>-2</v>
      </c>
      <c r="K187" s="95">
        <f t="shared" si="12"/>
        <v>-20</v>
      </c>
      <c r="L187" s="95"/>
      <c r="M187" s="97">
        <f t="shared" si="13"/>
        <v>0</v>
      </c>
    </row>
    <row r="188" spans="1:13" x14ac:dyDescent="0.25">
      <c r="A188" s="116"/>
      <c r="G188" s="80"/>
      <c r="H188" s="95">
        <v>183</v>
      </c>
      <c r="I188" s="96" t="str">
        <f t="shared" si="11"/>
        <v/>
      </c>
      <c r="J188" s="96">
        <f t="shared" si="14"/>
        <v>-2</v>
      </c>
      <c r="K188" s="95">
        <f t="shared" si="12"/>
        <v>-20</v>
      </c>
      <c r="L188" s="95"/>
      <c r="M188" s="97">
        <f t="shared" si="13"/>
        <v>0</v>
      </c>
    </row>
    <row r="189" spans="1:13" x14ac:dyDescent="0.25">
      <c r="A189" s="116"/>
      <c r="G189" s="80"/>
      <c r="H189" s="95">
        <v>184</v>
      </c>
      <c r="I189" s="96" t="str">
        <f t="shared" si="11"/>
        <v/>
      </c>
      <c r="J189" s="96">
        <f t="shared" si="14"/>
        <v>-2</v>
      </c>
      <c r="K189" s="95">
        <f t="shared" si="12"/>
        <v>-20</v>
      </c>
      <c r="L189" s="95"/>
      <c r="M189" s="97">
        <f t="shared" si="13"/>
        <v>0</v>
      </c>
    </row>
    <row r="190" spans="1:13" x14ac:dyDescent="0.25">
      <c r="A190" s="116"/>
      <c r="G190" s="80"/>
      <c r="H190" s="95">
        <v>185</v>
      </c>
      <c r="I190" s="96" t="str">
        <f t="shared" si="11"/>
        <v/>
      </c>
      <c r="J190" s="96">
        <f t="shared" si="14"/>
        <v>-2</v>
      </c>
      <c r="K190" s="95">
        <f t="shared" si="12"/>
        <v>-20</v>
      </c>
      <c r="L190" s="95"/>
      <c r="M190" s="97">
        <f t="shared" si="13"/>
        <v>0</v>
      </c>
    </row>
    <row r="191" spans="1:13" x14ac:dyDescent="0.25">
      <c r="A191" s="116"/>
      <c r="G191" s="80"/>
      <c r="H191" s="95">
        <v>186</v>
      </c>
      <c r="I191" s="96" t="str">
        <f t="shared" si="11"/>
        <v/>
      </c>
      <c r="J191" s="96">
        <f t="shared" si="14"/>
        <v>-2</v>
      </c>
      <c r="K191" s="95">
        <f t="shared" si="12"/>
        <v>-20</v>
      </c>
      <c r="L191" s="95"/>
      <c r="M191" s="97">
        <f t="shared" si="13"/>
        <v>0</v>
      </c>
    </row>
    <row r="192" spans="1:13" x14ac:dyDescent="0.25">
      <c r="A192" s="116"/>
      <c r="G192" s="80"/>
      <c r="H192" s="95">
        <v>187</v>
      </c>
      <c r="I192" s="96" t="str">
        <f t="shared" si="11"/>
        <v/>
      </c>
      <c r="J192" s="96">
        <f t="shared" si="14"/>
        <v>-2</v>
      </c>
      <c r="K192" s="95">
        <f t="shared" si="12"/>
        <v>-20</v>
      </c>
      <c r="L192" s="95"/>
      <c r="M192" s="97">
        <f t="shared" si="13"/>
        <v>0</v>
      </c>
    </row>
    <row r="193" spans="1:13" x14ac:dyDescent="0.25">
      <c r="A193" s="116"/>
      <c r="G193" s="80"/>
      <c r="H193" s="95">
        <v>188</v>
      </c>
      <c r="I193" s="96" t="str">
        <f t="shared" si="11"/>
        <v/>
      </c>
      <c r="J193" s="96">
        <f t="shared" si="14"/>
        <v>-2</v>
      </c>
      <c r="K193" s="95">
        <f t="shared" si="12"/>
        <v>-20</v>
      </c>
      <c r="L193" s="95"/>
      <c r="M193" s="97">
        <f t="shared" si="13"/>
        <v>0</v>
      </c>
    </row>
    <row r="194" spans="1:13" x14ac:dyDescent="0.25">
      <c r="A194" s="116"/>
      <c r="G194" s="80"/>
      <c r="H194" s="95">
        <v>189</v>
      </c>
      <c r="I194" s="96" t="str">
        <f t="shared" si="11"/>
        <v/>
      </c>
      <c r="J194" s="96">
        <f t="shared" si="14"/>
        <v>-2</v>
      </c>
      <c r="K194" s="95">
        <f t="shared" si="12"/>
        <v>-20</v>
      </c>
      <c r="L194" s="95"/>
      <c r="M194" s="97">
        <f t="shared" si="13"/>
        <v>0</v>
      </c>
    </row>
    <row r="195" spans="1:13" x14ac:dyDescent="0.25">
      <c r="A195" s="116"/>
      <c r="G195" s="80"/>
      <c r="H195" s="95">
        <v>190</v>
      </c>
      <c r="I195" s="96" t="str">
        <f t="shared" si="11"/>
        <v/>
      </c>
      <c r="J195" s="96">
        <f t="shared" si="14"/>
        <v>-2</v>
      </c>
      <c r="K195" s="95">
        <f t="shared" si="12"/>
        <v>-20</v>
      </c>
      <c r="L195" s="95"/>
      <c r="M195" s="97">
        <f t="shared" si="13"/>
        <v>0</v>
      </c>
    </row>
    <row r="196" spans="1:13" x14ac:dyDescent="0.25">
      <c r="A196" s="116"/>
      <c r="G196" s="80"/>
      <c r="H196" s="95">
        <v>191</v>
      </c>
      <c r="I196" s="96" t="str">
        <f t="shared" si="11"/>
        <v/>
      </c>
      <c r="J196" s="96">
        <f t="shared" si="14"/>
        <v>-2</v>
      </c>
      <c r="K196" s="95">
        <f t="shared" si="12"/>
        <v>-20</v>
      </c>
      <c r="L196" s="95"/>
      <c r="M196" s="97">
        <f t="shared" si="13"/>
        <v>0</v>
      </c>
    </row>
    <row r="197" spans="1:13" x14ac:dyDescent="0.25">
      <c r="A197" s="116"/>
      <c r="G197" s="80"/>
      <c r="H197" s="95">
        <v>192</v>
      </c>
      <c r="I197" s="96" t="str">
        <f t="shared" si="11"/>
        <v/>
      </c>
      <c r="J197" s="96">
        <f t="shared" si="14"/>
        <v>-2</v>
      </c>
      <c r="K197" s="95">
        <f t="shared" si="12"/>
        <v>-20</v>
      </c>
      <c r="L197" s="95"/>
      <c r="M197" s="97">
        <f t="shared" si="13"/>
        <v>0</v>
      </c>
    </row>
    <row r="198" spans="1:13" x14ac:dyDescent="0.25">
      <c r="A198" s="116"/>
      <c r="G198" s="80"/>
      <c r="H198" s="95">
        <v>193</v>
      </c>
      <c r="I198" s="96" t="str">
        <f t="shared" ref="I198:I261" si="15">IF(H198&lt;$H$2+1,($I$2-($I$2-1)*(LOG(H198)/LOG($H$2))),"")</f>
        <v/>
      </c>
      <c r="J198" s="96">
        <f t="shared" si="14"/>
        <v>-2</v>
      </c>
      <c r="K198" s="95">
        <f t="shared" ref="K198:K261" si="16">J198*$J$2</f>
        <v>-20</v>
      </c>
      <c r="L198" s="95"/>
      <c r="M198" s="97">
        <f t="shared" ref="M198:M261" si="17">IF(I198&lt;&gt;"",K198+I198+L198,0)</f>
        <v>0</v>
      </c>
    </row>
    <row r="199" spans="1:13" x14ac:dyDescent="0.25">
      <c r="A199" s="116"/>
      <c r="G199" s="80"/>
      <c r="H199" s="95">
        <v>194</v>
      </c>
      <c r="I199" s="96" t="str">
        <f t="shared" si="15"/>
        <v/>
      </c>
      <c r="J199" s="96">
        <f t="shared" ref="J199:J262" si="18">INT(LOG($H$2,2))-ROUNDUP(LOG(H199,2),0)+IF(OR($H$2=1,$H$2=2,$H$2=4,$H$2=8,$H$2=16,$H$2=32,$H$2=64,$H$2=128,$H$2=256),0,1)</f>
        <v>-2</v>
      </c>
      <c r="K199" s="95">
        <f t="shared" si="16"/>
        <v>-20</v>
      </c>
      <c r="L199" s="95"/>
      <c r="M199" s="97">
        <f t="shared" si="17"/>
        <v>0</v>
      </c>
    </row>
    <row r="200" spans="1:13" x14ac:dyDescent="0.25">
      <c r="A200" s="116"/>
      <c r="G200" s="80"/>
      <c r="H200" s="95">
        <v>195</v>
      </c>
      <c r="I200" s="96" t="str">
        <f t="shared" si="15"/>
        <v/>
      </c>
      <c r="J200" s="96">
        <f t="shared" si="18"/>
        <v>-2</v>
      </c>
      <c r="K200" s="95">
        <f t="shared" si="16"/>
        <v>-20</v>
      </c>
      <c r="L200" s="95"/>
      <c r="M200" s="97">
        <f t="shared" si="17"/>
        <v>0</v>
      </c>
    </row>
    <row r="201" spans="1:13" x14ac:dyDescent="0.25">
      <c r="A201" s="116"/>
      <c r="G201" s="80"/>
      <c r="H201" s="95">
        <v>196</v>
      </c>
      <c r="I201" s="96" t="str">
        <f t="shared" si="15"/>
        <v/>
      </c>
      <c r="J201" s="96">
        <f t="shared" si="18"/>
        <v>-2</v>
      </c>
      <c r="K201" s="95">
        <f t="shared" si="16"/>
        <v>-20</v>
      </c>
      <c r="L201" s="95"/>
      <c r="M201" s="97">
        <f t="shared" si="17"/>
        <v>0</v>
      </c>
    </row>
    <row r="202" spans="1:13" x14ac:dyDescent="0.25">
      <c r="A202" s="116"/>
      <c r="G202" s="80"/>
      <c r="H202" s="95">
        <v>197</v>
      </c>
      <c r="I202" s="96" t="str">
        <f t="shared" si="15"/>
        <v/>
      </c>
      <c r="J202" s="96">
        <f t="shared" si="18"/>
        <v>-2</v>
      </c>
      <c r="K202" s="95">
        <f t="shared" si="16"/>
        <v>-20</v>
      </c>
      <c r="L202" s="95"/>
      <c r="M202" s="97">
        <f t="shared" si="17"/>
        <v>0</v>
      </c>
    </row>
    <row r="203" spans="1:13" x14ac:dyDescent="0.25">
      <c r="A203" s="116"/>
      <c r="G203" s="80"/>
      <c r="H203" s="95">
        <v>198</v>
      </c>
      <c r="I203" s="96" t="str">
        <f t="shared" si="15"/>
        <v/>
      </c>
      <c r="J203" s="96">
        <f t="shared" si="18"/>
        <v>-2</v>
      </c>
      <c r="K203" s="95">
        <f t="shared" si="16"/>
        <v>-20</v>
      </c>
      <c r="L203" s="95"/>
      <c r="M203" s="97">
        <f t="shared" si="17"/>
        <v>0</v>
      </c>
    </row>
    <row r="204" spans="1:13" x14ac:dyDescent="0.25">
      <c r="A204" s="116"/>
      <c r="G204" s="80"/>
      <c r="H204" s="95">
        <v>199</v>
      </c>
      <c r="I204" s="96" t="str">
        <f t="shared" si="15"/>
        <v/>
      </c>
      <c r="J204" s="96">
        <f t="shared" si="18"/>
        <v>-2</v>
      </c>
      <c r="K204" s="95">
        <f t="shared" si="16"/>
        <v>-20</v>
      </c>
      <c r="L204" s="95"/>
      <c r="M204" s="97">
        <f t="shared" si="17"/>
        <v>0</v>
      </c>
    </row>
    <row r="205" spans="1:13" x14ac:dyDescent="0.25">
      <c r="A205" s="116"/>
      <c r="G205" s="80"/>
      <c r="H205" s="95">
        <v>200</v>
      </c>
      <c r="I205" s="96" t="str">
        <f t="shared" si="15"/>
        <v/>
      </c>
      <c r="J205" s="96">
        <f t="shared" si="18"/>
        <v>-2</v>
      </c>
      <c r="K205" s="95">
        <f t="shared" si="16"/>
        <v>-20</v>
      </c>
      <c r="L205" s="95"/>
      <c r="M205" s="97">
        <f t="shared" si="17"/>
        <v>0</v>
      </c>
    </row>
    <row r="206" spans="1:13" x14ac:dyDescent="0.25">
      <c r="A206" s="116"/>
      <c r="G206" s="80"/>
      <c r="H206" s="95">
        <v>201</v>
      </c>
      <c r="I206" s="96" t="str">
        <f t="shared" si="15"/>
        <v/>
      </c>
      <c r="J206" s="96">
        <f t="shared" si="18"/>
        <v>-2</v>
      </c>
      <c r="K206" s="95">
        <f t="shared" si="16"/>
        <v>-20</v>
      </c>
      <c r="L206" s="95"/>
      <c r="M206" s="97">
        <f t="shared" si="17"/>
        <v>0</v>
      </c>
    </row>
    <row r="207" spans="1:13" x14ac:dyDescent="0.25">
      <c r="A207" s="116"/>
      <c r="G207" s="80"/>
      <c r="H207" s="95">
        <v>202</v>
      </c>
      <c r="I207" s="96" t="str">
        <f t="shared" si="15"/>
        <v/>
      </c>
      <c r="J207" s="96">
        <f t="shared" si="18"/>
        <v>-2</v>
      </c>
      <c r="K207" s="95">
        <f t="shared" si="16"/>
        <v>-20</v>
      </c>
      <c r="L207" s="95"/>
      <c r="M207" s="97">
        <f t="shared" si="17"/>
        <v>0</v>
      </c>
    </row>
    <row r="208" spans="1:13" x14ac:dyDescent="0.25">
      <c r="A208" s="116"/>
      <c r="G208" s="80"/>
      <c r="H208" s="95">
        <v>203</v>
      </c>
      <c r="I208" s="96" t="str">
        <f t="shared" si="15"/>
        <v/>
      </c>
      <c r="J208" s="96">
        <f t="shared" si="18"/>
        <v>-2</v>
      </c>
      <c r="K208" s="95">
        <f t="shared" si="16"/>
        <v>-20</v>
      </c>
      <c r="L208" s="95"/>
      <c r="M208" s="97">
        <f t="shared" si="17"/>
        <v>0</v>
      </c>
    </row>
    <row r="209" spans="1:13" x14ac:dyDescent="0.25">
      <c r="A209" s="116"/>
      <c r="G209" s="80"/>
      <c r="H209" s="95">
        <v>204</v>
      </c>
      <c r="I209" s="96" t="str">
        <f t="shared" si="15"/>
        <v/>
      </c>
      <c r="J209" s="96">
        <f t="shared" si="18"/>
        <v>-2</v>
      </c>
      <c r="K209" s="95">
        <f t="shared" si="16"/>
        <v>-20</v>
      </c>
      <c r="L209" s="95"/>
      <c r="M209" s="97">
        <f t="shared" si="17"/>
        <v>0</v>
      </c>
    </row>
    <row r="210" spans="1:13" x14ac:dyDescent="0.25">
      <c r="A210" s="116"/>
      <c r="G210" s="80"/>
      <c r="H210" s="95">
        <v>205</v>
      </c>
      <c r="I210" s="96" t="str">
        <f t="shared" si="15"/>
        <v/>
      </c>
      <c r="J210" s="96">
        <f t="shared" si="18"/>
        <v>-2</v>
      </c>
      <c r="K210" s="95">
        <f t="shared" si="16"/>
        <v>-20</v>
      </c>
      <c r="L210" s="95"/>
      <c r="M210" s="97">
        <f t="shared" si="17"/>
        <v>0</v>
      </c>
    </row>
    <row r="211" spans="1:13" x14ac:dyDescent="0.25">
      <c r="A211" s="116"/>
      <c r="G211" s="80"/>
      <c r="H211" s="95">
        <v>206</v>
      </c>
      <c r="I211" s="96" t="str">
        <f t="shared" si="15"/>
        <v/>
      </c>
      <c r="J211" s="96">
        <f t="shared" si="18"/>
        <v>-2</v>
      </c>
      <c r="K211" s="95">
        <f t="shared" si="16"/>
        <v>-20</v>
      </c>
      <c r="L211" s="95"/>
      <c r="M211" s="97">
        <f t="shared" si="17"/>
        <v>0</v>
      </c>
    </row>
    <row r="212" spans="1:13" x14ac:dyDescent="0.25">
      <c r="A212" s="116"/>
      <c r="G212" s="80"/>
      <c r="H212" s="95">
        <v>207</v>
      </c>
      <c r="I212" s="96" t="str">
        <f t="shared" si="15"/>
        <v/>
      </c>
      <c r="J212" s="96">
        <f t="shared" si="18"/>
        <v>-2</v>
      </c>
      <c r="K212" s="95">
        <f t="shared" si="16"/>
        <v>-20</v>
      </c>
      <c r="L212" s="95"/>
      <c r="M212" s="97">
        <f t="shared" si="17"/>
        <v>0</v>
      </c>
    </row>
    <row r="213" spans="1:13" x14ac:dyDescent="0.25">
      <c r="A213" s="116"/>
      <c r="G213" s="80"/>
      <c r="H213" s="95">
        <v>208</v>
      </c>
      <c r="I213" s="96" t="str">
        <f t="shared" si="15"/>
        <v/>
      </c>
      <c r="J213" s="96">
        <f t="shared" si="18"/>
        <v>-2</v>
      </c>
      <c r="K213" s="95">
        <f t="shared" si="16"/>
        <v>-20</v>
      </c>
      <c r="L213" s="95"/>
      <c r="M213" s="97">
        <f t="shared" si="17"/>
        <v>0</v>
      </c>
    </row>
    <row r="214" spans="1:13" x14ac:dyDescent="0.25">
      <c r="A214" s="116"/>
      <c r="G214" s="80"/>
      <c r="H214" s="95">
        <v>209</v>
      </c>
      <c r="I214" s="96" t="str">
        <f t="shared" si="15"/>
        <v/>
      </c>
      <c r="J214" s="96">
        <f t="shared" si="18"/>
        <v>-2</v>
      </c>
      <c r="K214" s="95">
        <f t="shared" si="16"/>
        <v>-20</v>
      </c>
      <c r="L214" s="95"/>
      <c r="M214" s="97">
        <f t="shared" si="17"/>
        <v>0</v>
      </c>
    </row>
    <row r="215" spans="1:13" x14ac:dyDescent="0.25">
      <c r="A215" s="116"/>
      <c r="G215" s="80"/>
      <c r="H215" s="95">
        <v>210</v>
      </c>
      <c r="I215" s="96" t="str">
        <f t="shared" si="15"/>
        <v/>
      </c>
      <c r="J215" s="96">
        <f t="shared" si="18"/>
        <v>-2</v>
      </c>
      <c r="K215" s="95">
        <f t="shared" si="16"/>
        <v>-20</v>
      </c>
      <c r="L215" s="95"/>
      <c r="M215" s="97">
        <f t="shared" si="17"/>
        <v>0</v>
      </c>
    </row>
    <row r="216" spans="1:13" x14ac:dyDescent="0.25">
      <c r="A216" s="116"/>
      <c r="G216" s="80"/>
      <c r="H216" s="95">
        <v>211</v>
      </c>
      <c r="I216" s="96" t="str">
        <f t="shared" si="15"/>
        <v/>
      </c>
      <c r="J216" s="96">
        <f t="shared" si="18"/>
        <v>-2</v>
      </c>
      <c r="K216" s="95">
        <f t="shared" si="16"/>
        <v>-20</v>
      </c>
      <c r="L216" s="95"/>
      <c r="M216" s="97">
        <f t="shared" si="17"/>
        <v>0</v>
      </c>
    </row>
    <row r="217" spans="1:13" x14ac:dyDescent="0.25">
      <c r="A217" s="116"/>
      <c r="G217" s="80"/>
      <c r="H217" s="95">
        <v>212</v>
      </c>
      <c r="I217" s="96" t="str">
        <f t="shared" si="15"/>
        <v/>
      </c>
      <c r="J217" s="96">
        <f t="shared" si="18"/>
        <v>-2</v>
      </c>
      <c r="K217" s="95">
        <f t="shared" si="16"/>
        <v>-20</v>
      </c>
      <c r="L217" s="95"/>
      <c r="M217" s="97">
        <f t="shared" si="17"/>
        <v>0</v>
      </c>
    </row>
    <row r="218" spans="1:13" x14ac:dyDescent="0.25">
      <c r="A218" s="116"/>
      <c r="G218" s="80"/>
      <c r="H218" s="95">
        <v>213</v>
      </c>
      <c r="I218" s="96" t="str">
        <f t="shared" si="15"/>
        <v/>
      </c>
      <c r="J218" s="96">
        <f t="shared" si="18"/>
        <v>-2</v>
      </c>
      <c r="K218" s="95">
        <f t="shared" si="16"/>
        <v>-20</v>
      </c>
      <c r="L218" s="95"/>
      <c r="M218" s="97">
        <f t="shared" si="17"/>
        <v>0</v>
      </c>
    </row>
    <row r="219" spans="1:13" x14ac:dyDescent="0.25">
      <c r="A219" s="116"/>
      <c r="G219" s="80"/>
      <c r="H219" s="95">
        <v>214</v>
      </c>
      <c r="I219" s="96" t="str">
        <f t="shared" si="15"/>
        <v/>
      </c>
      <c r="J219" s="96">
        <f t="shared" si="18"/>
        <v>-2</v>
      </c>
      <c r="K219" s="95">
        <f t="shared" si="16"/>
        <v>-20</v>
      </c>
      <c r="L219" s="95"/>
      <c r="M219" s="97">
        <f t="shared" si="17"/>
        <v>0</v>
      </c>
    </row>
    <row r="220" spans="1:13" x14ac:dyDescent="0.25">
      <c r="A220" s="116"/>
      <c r="G220" s="80"/>
      <c r="H220" s="95">
        <v>215</v>
      </c>
      <c r="I220" s="96" t="str">
        <f t="shared" si="15"/>
        <v/>
      </c>
      <c r="J220" s="96">
        <f t="shared" si="18"/>
        <v>-2</v>
      </c>
      <c r="K220" s="95">
        <f t="shared" si="16"/>
        <v>-20</v>
      </c>
      <c r="L220" s="95"/>
      <c r="M220" s="97">
        <f t="shared" si="17"/>
        <v>0</v>
      </c>
    </row>
    <row r="221" spans="1:13" x14ac:dyDescent="0.25">
      <c r="A221" s="116"/>
      <c r="G221" s="80"/>
      <c r="H221" s="95">
        <v>216</v>
      </c>
      <c r="I221" s="96" t="str">
        <f t="shared" si="15"/>
        <v/>
      </c>
      <c r="J221" s="96">
        <f t="shared" si="18"/>
        <v>-2</v>
      </c>
      <c r="K221" s="95">
        <f t="shared" si="16"/>
        <v>-20</v>
      </c>
      <c r="L221" s="95"/>
      <c r="M221" s="97">
        <f t="shared" si="17"/>
        <v>0</v>
      </c>
    </row>
    <row r="222" spans="1:13" x14ac:dyDescent="0.25">
      <c r="A222" s="116"/>
      <c r="G222" s="80"/>
      <c r="H222" s="95">
        <v>217</v>
      </c>
      <c r="I222" s="96" t="str">
        <f t="shared" si="15"/>
        <v/>
      </c>
      <c r="J222" s="96">
        <f t="shared" si="18"/>
        <v>-2</v>
      </c>
      <c r="K222" s="95">
        <f t="shared" si="16"/>
        <v>-20</v>
      </c>
      <c r="L222" s="95"/>
      <c r="M222" s="97">
        <f t="shared" si="17"/>
        <v>0</v>
      </c>
    </row>
    <row r="223" spans="1:13" x14ac:dyDescent="0.25">
      <c r="A223" s="116"/>
      <c r="G223" s="80"/>
      <c r="H223" s="95">
        <v>218</v>
      </c>
      <c r="I223" s="96" t="str">
        <f t="shared" si="15"/>
        <v/>
      </c>
      <c r="J223" s="96">
        <f t="shared" si="18"/>
        <v>-2</v>
      </c>
      <c r="K223" s="95">
        <f t="shared" si="16"/>
        <v>-20</v>
      </c>
      <c r="L223" s="95"/>
      <c r="M223" s="97">
        <f t="shared" si="17"/>
        <v>0</v>
      </c>
    </row>
    <row r="224" spans="1:13" x14ac:dyDescent="0.25">
      <c r="A224" s="116"/>
      <c r="G224" s="80"/>
      <c r="H224" s="95">
        <v>219</v>
      </c>
      <c r="I224" s="96" t="str">
        <f t="shared" si="15"/>
        <v/>
      </c>
      <c r="J224" s="96">
        <f t="shared" si="18"/>
        <v>-2</v>
      </c>
      <c r="K224" s="95">
        <f t="shared" si="16"/>
        <v>-20</v>
      </c>
      <c r="L224" s="95"/>
      <c r="M224" s="97">
        <f t="shared" si="17"/>
        <v>0</v>
      </c>
    </row>
    <row r="225" spans="1:13" x14ac:dyDescent="0.25">
      <c r="A225" s="116"/>
      <c r="G225" s="80"/>
      <c r="H225" s="95">
        <v>220</v>
      </c>
      <c r="I225" s="96" t="str">
        <f t="shared" si="15"/>
        <v/>
      </c>
      <c r="J225" s="96">
        <f t="shared" si="18"/>
        <v>-2</v>
      </c>
      <c r="K225" s="95">
        <f t="shared" si="16"/>
        <v>-20</v>
      </c>
      <c r="L225" s="95"/>
      <c r="M225" s="97">
        <f t="shared" si="17"/>
        <v>0</v>
      </c>
    </row>
    <row r="226" spans="1:13" x14ac:dyDescent="0.25">
      <c r="A226" s="116"/>
      <c r="G226" s="80"/>
      <c r="H226" s="95">
        <v>221</v>
      </c>
      <c r="I226" s="96" t="str">
        <f t="shared" si="15"/>
        <v/>
      </c>
      <c r="J226" s="96">
        <f t="shared" si="18"/>
        <v>-2</v>
      </c>
      <c r="K226" s="95">
        <f t="shared" si="16"/>
        <v>-20</v>
      </c>
      <c r="L226" s="95"/>
      <c r="M226" s="97">
        <f t="shared" si="17"/>
        <v>0</v>
      </c>
    </row>
    <row r="227" spans="1:13" x14ac:dyDescent="0.25">
      <c r="A227" s="116"/>
      <c r="G227" s="80"/>
      <c r="H227" s="95">
        <v>222</v>
      </c>
      <c r="I227" s="96" t="str">
        <f t="shared" si="15"/>
        <v/>
      </c>
      <c r="J227" s="96">
        <f t="shared" si="18"/>
        <v>-2</v>
      </c>
      <c r="K227" s="95">
        <f t="shared" si="16"/>
        <v>-20</v>
      </c>
      <c r="L227" s="95"/>
      <c r="M227" s="97">
        <f t="shared" si="17"/>
        <v>0</v>
      </c>
    </row>
    <row r="228" spans="1:13" x14ac:dyDescent="0.25">
      <c r="A228" s="116"/>
      <c r="G228" s="80"/>
      <c r="H228" s="95">
        <v>223</v>
      </c>
      <c r="I228" s="96" t="str">
        <f t="shared" si="15"/>
        <v/>
      </c>
      <c r="J228" s="96">
        <f t="shared" si="18"/>
        <v>-2</v>
      </c>
      <c r="K228" s="95">
        <f t="shared" si="16"/>
        <v>-20</v>
      </c>
      <c r="L228" s="95"/>
      <c r="M228" s="97">
        <f t="shared" si="17"/>
        <v>0</v>
      </c>
    </row>
    <row r="229" spans="1:13" x14ac:dyDescent="0.25">
      <c r="A229" s="116"/>
      <c r="G229" s="80"/>
      <c r="H229" s="95">
        <v>224</v>
      </c>
      <c r="I229" s="96" t="str">
        <f t="shared" si="15"/>
        <v/>
      </c>
      <c r="J229" s="96">
        <f t="shared" si="18"/>
        <v>-2</v>
      </c>
      <c r="K229" s="95">
        <f t="shared" si="16"/>
        <v>-20</v>
      </c>
      <c r="L229" s="95"/>
      <c r="M229" s="97">
        <f t="shared" si="17"/>
        <v>0</v>
      </c>
    </row>
    <row r="230" spans="1:13" x14ac:dyDescent="0.25">
      <c r="A230" s="116"/>
      <c r="G230" s="80"/>
      <c r="H230" s="95">
        <v>225</v>
      </c>
      <c r="I230" s="96" t="str">
        <f t="shared" si="15"/>
        <v/>
      </c>
      <c r="J230" s="96">
        <f t="shared" si="18"/>
        <v>-2</v>
      </c>
      <c r="K230" s="95">
        <f t="shared" si="16"/>
        <v>-20</v>
      </c>
      <c r="L230" s="95"/>
      <c r="M230" s="97">
        <f t="shared" si="17"/>
        <v>0</v>
      </c>
    </row>
    <row r="231" spans="1:13" x14ac:dyDescent="0.25">
      <c r="A231" s="116"/>
      <c r="G231" s="80"/>
      <c r="H231" s="95">
        <v>226</v>
      </c>
      <c r="I231" s="96" t="str">
        <f t="shared" si="15"/>
        <v/>
      </c>
      <c r="J231" s="96">
        <f t="shared" si="18"/>
        <v>-2</v>
      </c>
      <c r="K231" s="95">
        <f t="shared" si="16"/>
        <v>-20</v>
      </c>
      <c r="L231" s="95"/>
      <c r="M231" s="97">
        <f t="shared" si="17"/>
        <v>0</v>
      </c>
    </row>
    <row r="232" spans="1:13" x14ac:dyDescent="0.25">
      <c r="A232" s="116"/>
      <c r="G232" s="80"/>
      <c r="H232" s="95">
        <v>227</v>
      </c>
      <c r="I232" s="96" t="str">
        <f t="shared" si="15"/>
        <v/>
      </c>
      <c r="J232" s="96">
        <f t="shared" si="18"/>
        <v>-2</v>
      </c>
      <c r="K232" s="95">
        <f t="shared" si="16"/>
        <v>-20</v>
      </c>
      <c r="L232" s="95"/>
      <c r="M232" s="97">
        <f t="shared" si="17"/>
        <v>0</v>
      </c>
    </row>
    <row r="233" spans="1:13" x14ac:dyDescent="0.25">
      <c r="A233" s="116"/>
      <c r="G233" s="80"/>
      <c r="H233" s="95">
        <v>228</v>
      </c>
      <c r="I233" s="96" t="str">
        <f t="shared" si="15"/>
        <v/>
      </c>
      <c r="J233" s="96">
        <f t="shared" si="18"/>
        <v>-2</v>
      </c>
      <c r="K233" s="95">
        <f t="shared" si="16"/>
        <v>-20</v>
      </c>
      <c r="L233" s="95"/>
      <c r="M233" s="97">
        <f t="shared" si="17"/>
        <v>0</v>
      </c>
    </row>
    <row r="234" spans="1:13" x14ac:dyDescent="0.25">
      <c r="A234" s="116"/>
      <c r="G234" s="80"/>
      <c r="H234" s="95">
        <v>229</v>
      </c>
      <c r="I234" s="96" t="str">
        <f t="shared" si="15"/>
        <v/>
      </c>
      <c r="J234" s="96">
        <f t="shared" si="18"/>
        <v>-2</v>
      </c>
      <c r="K234" s="95">
        <f t="shared" si="16"/>
        <v>-20</v>
      </c>
      <c r="L234" s="95"/>
      <c r="M234" s="97">
        <f t="shared" si="17"/>
        <v>0</v>
      </c>
    </row>
    <row r="235" spans="1:13" x14ac:dyDescent="0.25">
      <c r="A235" s="116"/>
      <c r="G235" s="80"/>
      <c r="H235" s="95">
        <v>230</v>
      </c>
      <c r="I235" s="96" t="str">
        <f t="shared" si="15"/>
        <v/>
      </c>
      <c r="J235" s="96">
        <f t="shared" si="18"/>
        <v>-2</v>
      </c>
      <c r="K235" s="95">
        <f t="shared" si="16"/>
        <v>-20</v>
      </c>
      <c r="L235" s="95"/>
      <c r="M235" s="97">
        <f t="shared" si="17"/>
        <v>0</v>
      </c>
    </row>
    <row r="236" spans="1:13" x14ac:dyDescent="0.25">
      <c r="A236" s="116"/>
      <c r="G236" s="80"/>
      <c r="H236" s="95">
        <v>231</v>
      </c>
      <c r="I236" s="96" t="str">
        <f t="shared" si="15"/>
        <v/>
      </c>
      <c r="J236" s="96">
        <f t="shared" si="18"/>
        <v>-2</v>
      </c>
      <c r="K236" s="95">
        <f t="shared" si="16"/>
        <v>-20</v>
      </c>
      <c r="L236" s="95"/>
      <c r="M236" s="97">
        <f t="shared" si="17"/>
        <v>0</v>
      </c>
    </row>
    <row r="237" spans="1:13" x14ac:dyDescent="0.25">
      <c r="A237" s="116"/>
      <c r="G237" s="80"/>
      <c r="H237" s="95">
        <v>232</v>
      </c>
      <c r="I237" s="96" t="str">
        <f t="shared" si="15"/>
        <v/>
      </c>
      <c r="J237" s="96">
        <f t="shared" si="18"/>
        <v>-2</v>
      </c>
      <c r="K237" s="95">
        <f t="shared" si="16"/>
        <v>-20</v>
      </c>
      <c r="L237" s="95"/>
      <c r="M237" s="97">
        <f t="shared" si="17"/>
        <v>0</v>
      </c>
    </row>
    <row r="238" spans="1:13" x14ac:dyDescent="0.25">
      <c r="A238" s="116"/>
      <c r="G238" s="80"/>
      <c r="H238" s="95">
        <v>233</v>
      </c>
      <c r="I238" s="96" t="str">
        <f t="shared" si="15"/>
        <v/>
      </c>
      <c r="J238" s="96">
        <f t="shared" si="18"/>
        <v>-2</v>
      </c>
      <c r="K238" s="95">
        <f t="shared" si="16"/>
        <v>-20</v>
      </c>
      <c r="L238" s="95"/>
      <c r="M238" s="97">
        <f t="shared" si="17"/>
        <v>0</v>
      </c>
    </row>
    <row r="239" spans="1:13" x14ac:dyDescent="0.25">
      <c r="A239" s="116"/>
      <c r="G239" s="80"/>
      <c r="H239" s="95">
        <v>234</v>
      </c>
      <c r="I239" s="96" t="str">
        <f t="shared" si="15"/>
        <v/>
      </c>
      <c r="J239" s="96">
        <f t="shared" si="18"/>
        <v>-2</v>
      </c>
      <c r="K239" s="95">
        <f t="shared" si="16"/>
        <v>-20</v>
      </c>
      <c r="L239" s="95"/>
      <c r="M239" s="97">
        <f t="shared" si="17"/>
        <v>0</v>
      </c>
    </row>
    <row r="240" spans="1:13" x14ac:dyDescent="0.25">
      <c r="A240" s="116"/>
      <c r="G240" s="80"/>
      <c r="H240" s="95">
        <v>235</v>
      </c>
      <c r="I240" s="96" t="str">
        <f t="shared" si="15"/>
        <v/>
      </c>
      <c r="J240" s="96">
        <f t="shared" si="18"/>
        <v>-2</v>
      </c>
      <c r="K240" s="95">
        <f t="shared" si="16"/>
        <v>-20</v>
      </c>
      <c r="L240" s="95"/>
      <c r="M240" s="97">
        <f t="shared" si="17"/>
        <v>0</v>
      </c>
    </row>
    <row r="241" spans="1:13" x14ac:dyDescent="0.25">
      <c r="A241" s="116"/>
      <c r="G241" s="80"/>
      <c r="H241" s="95">
        <v>236</v>
      </c>
      <c r="I241" s="96" t="str">
        <f t="shared" si="15"/>
        <v/>
      </c>
      <c r="J241" s="96">
        <f t="shared" si="18"/>
        <v>-2</v>
      </c>
      <c r="K241" s="95">
        <f t="shared" si="16"/>
        <v>-20</v>
      </c>
      <c r="L241" s="95"/>
      <c r="M241" s="97">
        <f t="shared" si="17"/>
        <v>0</v>
      </c>
    </row>
    <row r="242" spans="1:13" x14ac:dyDescent="0.25">
      <c r="A242" s="116"/>
      <c r="G242" s="80"/>
      <c r="H242" s="95">
        <v>237</v>
      </c>
      <c r="I242" s="96" t="str">
        <f t="shared" si="15"/>
        <v/>
      </c>
      <c r="J242" s="96">
        <f t="shared" si="18"/>
        <v>-2</v>
      </c>
      <c r="K242" s="95">
        <f t="shared" si="16"/>
        <v>-20</v>
      </c>
      <c r="L242" s="95"/>
      <c r="M242" s="97">
        <f t="shared" si="17"/>
        <v>0</v>
      </c>
    </row>
    <row r="243" spans="1:13" x14ac:dyDescent="0.25">
      <c r="A243" s="116"/>
      <c r="G243" s="80"/>
      <c r="H243" s="95">
        <v>238</v>
      </c>
      <c r="I243" s="96" t="str">
        <f t="shared" si="15"/>
        <v/>
      </c>
      <c r="J243" s="96">
        <f t="shared" si="18"/>
        <v>-2</v>
      </c>
      <c r="K243" s="95">
        <f t="shared" si="16"/>
        <v>-20</v>
      </c>
      <c r="L243" s="95"/>
      <c r="M243" s="97">
        <f t="shared" si="17"/>
        <v>0</v>
      </c>
    </row>
    <row r="244" spans="1:13" x14ac:dyDescent="0.25">
      <c r="A244" s="116"/>
      <c r="G244" s="80"/>
      <c r="H244" s="95">
        <v>239</v>
      </c>
      <c r="I244" s="96" t="str">
        <f t="shared" si="15"/>
        <v/>
      </c>
      <c r="J244" s="96">
        <f t="shared" si="18"/>
        <v>-2</v>
      </c>
      <c r="K244" s="95">
        <f t="shared" si="16"/>
        <v>-20</v>
      </c>
      <c r="L244" s="95"/>
      <c r="M244" s="97">
        <f t="shared" si="17"/>
        <v>0</v>
      </c>
    </row>
    <row r="245" spans="1:13" x14ac:dyDescent="0.25">
      <c r="A245" s="116"/>
      <c r="G245" s="80"/>
      <c r="H245" s="95">
        <v>240</v>
      </c>
      <c r="I245" s="96" t="str">
        <f t="shared" si="15"/>
        <v/>
      </c>
      <c r="J245" s="96">
        <f t="shared" si="18"/>
        <v>-2</v>
      </c>
      <c r="K245" s="95">
        <f t="shared" si="16"/>
        <v>-20</v>
      </c>
      <c r="L245" s="95"/>
      <c r="M245" s="97">
        <f t="shared" si="17"/>
        <v>0</v>
      </c>
    </row>
    <row r="246" spans="1:13" x14ac:dyDescent="0.25">
      <c r="A246" s="116"/>
      <c r="G246" s="80"/>
      <c r="H246" s="95">
        <v>241</v>
      </c>
      <c r="I246" s="96" t="str">
        <f t="shared" si="15"/>
        <v/>
      </c>
      <c r="J246" s="96">
        <f t="shared" si="18"/>
        <v>-2</v>
      </c>
      <c r="K246" s="95">
        <f t="shared" si="16"/>
        <v>-20</v>
      </c>
      <c r="L246" s="95"/>
      <c r="M246" s="97">
        <f t="shared" si="17"/>
        <v>0</v>
      </c>
    </row>
    <row r="247" spans="1:13" x14ac:dyDescent="0.25">
      <c r="A247" s="116"/>
      <c r="G247" s="80"/>
      <c r="H247" s="95">
        <v>242</v>
      </c>
      <c r="I247" s="96" t="str">
        <f t="shared" si="15"/>
        <v/>
      </c>
      <c r="J247" s="96">
        <f t="shared" si="18"/>
        <v>-2</v>
      </c>
      <c r="K247" s="95">
        <f t="shared" si="16"/>
        <v>-20</v>
      </c>
      <c r="L247" s="95"/>
      <c r="M247" s="97">
        <f t="shared" si="17"/>
        <v>0</v>
      </c>
    </row>
    <row r="248" spans="1:13" x14ac:dyDescent="0.25">
      <c r="A248" s="116"/>
      <c r="G248" s="80"/>
      <c r="H248" s="95">
        <v>243</v>
      </c>
      <c r="I248" s="96" t="str">
        <f t="shared" si="15"/>
        <v/>
      </c>
      <c r="J248" s="96">
        <f t="shared" si="18"/>
        <v>-2</v>
      </c>
      <c r="K248" s="95">
        <f t="shared" si="16"/>
        <v>-20</v>
      </c>
      <c r="L248" s="95"/>
      <c r="M248" s="97">
        <f t="shared" si="17"/>
        <v>0</v>
      </c>
    </row>
    <row r="249" spans="1:13" x14ac:dyDescent="0.25">
      <c r="A249" s="116"/>
      <c r="G249" s="80"/>
      <c r="H249" s="95">
        <v>244</v>
      </c>
      <c r="I249" s="96" t="str">
        <f t="shared" si="15"/>
        <v/>
      </c>
      <c r="J249" s="96">
        <f t="shared" si="18"/>
        <v>-2</v>
      </c>
      <c r="K249" s="95">
        <f t="shared" si="16"/>
        <v>-20</v>
      </c>
      <c r="L249" s="95"/>
      <c r="M249" s="97">
        <f t="shared" si="17"/>
        <v>0</v>
      </c>
    </row>
    <row r="250" spans="1:13" x14ac:dyDescent="0.25">
      <c r="A250" s="116"/>
      <c r="G250" s="80"/>
      <c r="H250" s="95">
        <v>245</v>
      </c>
      <c r="I250" s="96" t="str">
        <f t="shared" si="15"/>
        <v/>
      </c>
      <c r="J250" s="96">
        <f t="shared" si="18"/>
        <v>-2</v>
      </c>
      <c r="K250" s="95">
        <f t="shared" si="16"/>
        <v>-20</v>
      </c>
      <c r="L250" s="95"/>
      <c r="M250" s="97">
        <f t="shared" si="17"/>
        <v>0</v>
      </c>
    </row>
    <row r="251" spans="1:13" x14ac:dyDescent="0.25">
      <c r="A251" s="116"/>
      <c r="G251" s="80"/>
      <c r="H251" s="95">
        <v>246</v>
      </c>
      <c r="I251" s="96" t="str">
        <f t="shared" si="15"/>
        <v/>
      </c>
      <c r="J251" s="96">
        <f t="shared" si="18"/>
        <v>-2</v>
      </c>
      <c r="K251" s="95">
        <f t="shared" si="16"/>
        <v>-20</v>
      </c>
      <c r="L251" s="95"/>
      <c r="M251" s="97">
        <f t="shared" si="17"/>
        <v>0</v>
      </c>
    </row>
    <row r="252" spans="1:13" x14ac:dyDescent="0.25">
      <c r="A252" s="116"/>
      <c r="G252" s="80"/>
      <c r="H252" s="95">
        <v>247</v>
      </c>
      <c r="I252" s="96" t="str">
        <f t="shared" si="15"/>
        <v/>
      </c>
      <c r="J252" s="96">
        <f t="shared" si="18"/>
        <v>-2</v>
      </c>
      <c r="K252" s="95">
        <f t="shared" si="16"/>
        <v>-20</v>
      </c>
      <c r="L252" s="95"/>
      <c r="M252" s="97">
        <f t="shared" si="17"/>
        <v>0</v>
      </c>
    </row>
    <row r="253" spans="1:13" x14ac:dyDescent="0.25">
      <c r="A253" s="116"/>
      <c r="G253" s="80"/>
      <c r="H253" s="95">
        <v>248</v>
      </c>
      <c r="I253" s="96" t="str">
        <f t="shared" si="15"/>
        <v/>
      </c>
      <c r="J253" s="96">
        <f t="shared" si="18"/>
        <v>-2</v>
      </c>
      <c r="K253" s="95">
        <f t="shared" si="16"/>
        <v>-20</v>
      </c>
      <c r="L253" s="95"/>
      <c r="M253" s="97">
        <f t="shared" si="17"/>
        <v>0</v>
      </c>
    </row>
    <row r="254" spans="1:13" x14ac:dyDescent="0.25">
      <c r="A254" s="116"/>
      <c r="G254" s="80"/>
      <c r="H254" s="95">
        <v>249</v>
      </c>
      <c r="I254" s="96" t="str">
        <f t="shared" si="15"/>
        <v/>
      </c>
      <c r="J254" s="96">
        <f t="shared" si="18"/>
        <v>-2</v>
      </c>
      <c r="K254" s="95">
        <f t="shared" si="16"/>
        <v>-20</v>
      </c>
      <c r="L254" s="95"/>
      <c r="M254" s="97">
        <f t="shared" si="17"/>
        <v>0</v>
      </c>
    </row>
    <row r="255" spans="1:13" x14ac:dyDescent="0.25">
      <c r="A255" s="116"/>
      <c r="G255" s="80"/>
      <c r="H255" s="95">
        <v>250</v>
      </c>
      <c r="I255" s="96" t="str">
        <f t="shared" si="15"/>
        <v/>
      </c>
      <c r="J255" s="96">
        <f t="shared" si="18"/>
        <v>-2</v>
      </c>
      <c r="K255" s="95">
        <f t="shared" si="16"/>
        <v>-20</v>
      </c>
      <c r="L255" s="95"/>
      <c r="M255" s="97">
        <f t="shared" si="17"/>
        <v>0</v>
      </c>
    </row>
    <row r="256" spans="1:13" x14ac:dyDescent="0.25">
      <c r="A256" s="116"/>
      <c r="G256" s="80"/>
      <c r="H256" s="95">
        <v>251</v>
      </c>
      <c r="I256" s="96" t="str">
        <f t="shared" si="15"/>
        <v/>
      </c>
      <c r="J256" s="96">
        <f t="shared" si="18"/>
        <v>-2</v>
      </c>
      <c r="K256" s="95">
        <f t="shared" si="16"/>
        <v>-20</v>
      </c>
      <c r="L256" s="95"/>
      <c r="M256" s="97">
        <f t="shared" si="17"/>
        <v>0</v>
      </c>
    </row>
    <row r="257" spans="1:13" x14ac:dyDescent="0.25">
      <c r="A257" s="116"/>
      <c r="G257" s="80"/>
      <c r="H257" s="95">
        <v>252</v>
      </c>
      <c r="I257" s="96" t="str">
        <f t="shared" si="15"/>
        <v/>
      </c>
      <c r="J257" s="96">
        <f t="shared" si="18"/>
        <v>-2</v>
      </c>
      <c r="K257" s="95">
        <f t="shared" si="16"/>
        <v>-20</v>
      </c>
      <c r="L257" s="95"/>
      <c r="M257" s="97">
        <f t="shared" si="17"/>
        <v>0</v>
      </c>
    </row>
    <row r="258" spans="1:13" x14ac:dyDescent="0.25">
      <c r="A258" s="116"/>
      <c r="G258" s="80"/>
      <c r="H258" s="95">
        <v>253</v>
      </c>
      <c r="I258" s="96" t="str">
        <f t="shared" si="15"/>
        <v/>
      </c>
      <c r="J258" s="96">
        <f t="shared" si="18"/>
        <v>-2</v>
      </c>
      <c r="K258" s="95">
        <f t="shared" si="16"/>
        <v>-20</v>
      </c>
      <c r="L258" s="95"/>
      <c r="M258" s="97">
        <f t="shared" si="17"/>
        <v>0</v>
      </c>
    </row>
    <row r="259" spans="1:13" x14ac:dyDescent="0.25">
      <c r="A259" s="116"/>
      <c r="G259" s="80"/>
      <c r="H259" s="95">
        <v>254</v>
      </c>
      <c r="I259" s="96" t="str">
        <f t="shared" si="15"/>
        <v/>
      </c>
      <c r="J259" s="96">
        <f t="shared" si="18"/>
        <v>-2</v>
      </c>
      <c r="K259" s="95">
        <f t="shared" si="16"/>
        <v>-20</v>
      </c>
      <c r="L259" s="95"/>
      <c r="M259" s="97">
        <f t="shared" si="17"/>
        <v>0</v>
      </c>
    </row>
    <row r="260" spans="1:13" x14ac:dyDescent="0.25">
      <c r="A260" s="116"/>
      <c r="G260" s="80"/>
      <c r="H260" s="95">
        <v>255</v>
      </c>
      <c r="I260" s="96" t="str">
        <f t="shared" si="15"/>
        <v/>
      </c>
      <c r="J260" s="96">
        <f t="shared" si="18"/>
        <v>-2</v>
      </c>
      <c r="K260" s="95">
        <f t="shared" si="16"/>
        <v>-20</v>
      </c>
      <c r="L260" s="95"/>
      <c r="M260" s="97">
        <f t="shared" si="17"/>
        <v>0</v>
      </c>
    </row>
    <row r="261" spans="1:13" x14ac:dyDescent="0.25">
      <c r="A261" s="116"/>
      <c r="G261" s="80"/>
      <c r="H261" s="95">
        <v>256</v>
      </c>
      <c r="I261" s="96" t="str">
        <f t="shared" si="15"/>
        <v/>
      </c>
      <c r="J261" s="96">
        <f t="shared" si="18"/>
        <v>-2</v>
      </c>
      <c r="K261" s="95">
        <f t="shared" si="16"/>
        <v>-20</v>
      </c>
      <c r="L261" s="95"/>
      <c r="M261" s="97">
        <f t="shared" si="17"/>
        <v>0</v>
      </c>
    </row>
    <row r="262" spans="1:13" x14ac:dyDescent="0.25">
      <c r="A262" s="116"/>
      <c r="G262" s="80"/>
      <c r="H262" s="95">
        <v>257</v>
      </c>
      <c r="I262" s="96" t="str">
        <f t="shared" ref="I262:I305" si="19">IF(H262&lt;$H$2+1,($I$2-($I$2-1)*(LOG(H262)/LOG($H$2))),"")</f>
        <v/>
      </c>
      <c r="J262" s="96">
        <f t="shared" si="18"/>
        <v>-3</v>
      </c>
      <c r="K262" s="95">
        <f t="shared" ref="K262:K305" si="20">J262*$J$2</f>
        <v>-30</v>
      </c>
      <c r="L262" s="95"/>
      <c r="M262" s="97">
        <f t="shared" ref="M262:M305" si="21">IF(I262&lt;&gt;"",K262+I262+L262,0)</f>
        <v>0</v>
      </c>
    </row>
    <row r="263" spans="1:13" x14ac:dyDescent="0.25">
      <c r="A263" s="116"/>
      <c r="G263" s="80"/>
      <c r="H263" s="95">
        <v>258</v>
      </c>
      <c r="I263" s="96" t="str">
        <f t="shared" si="19"/>
        <v/>
      </c>
      <c r="J263" s="96">
        <f t="shared" ref="J263:J305" si="22">INT(LOG($H$2,2))-ROUNDUP(LOG(H263,2),0)+IF(OR($H$2=1,$H$2=2,$H$2=4,$H$2=8,$H$2=16,$H$2=32,$H$2=64,$H$2=128,$H$2=256),0,1)</f>
        <v>-3</v>
      </c>
      <c r="K263" s="95">
        <f t="shared" si="20"/>
        <v>-30</v>
      </c>
      <c r="L263" s="95"/>
      <c r="M263" s="97">
        <f t="shared" si="21"/>
        <v>0</v>
      </c>
    </row>
    <row r="264" spans="1:13" x14ac:dyDescent="0.25">
      <c r="A264" s="116"/>
      <c r="G264" s="80"/>
      <c r="H264" s="95">
        <v>259</v>
      </c>
      <c r="I264" s="96" t="str">
        <f t="shared" si="19"/>
        <v/>
      </c>
      <c r="J264" s="96">
        <f t="shared" si="22"/>
        <v>-3</v>
      </c>
      <c r="K264" s="95">
        <f t="shared" si="20"/>
        <v>-30</v>
      </c>
      <c r="L264" s="95"/>
      <c r="M264" s="97">
        <f t="shared" si="21"/>
        <v>0</v>
      </c>
    </row>
    <row r="265" spans="1:13" x14ac:dyDescent="0.25">
      <c r="A265" s="116"/>
      <c r="G265" s="80"/>
      <c r="H265" s="95">
        <v>260</v>
      </c>
      <c r="I265" s="96" t="str">
        <f t="shared" si="19"/>
        <v/>
      </c>
      <c r="J265" s="96">
        <f t="shared" si="22"/>
        <v>-3</v>
      </c>
      <c r="K265" s="95">
        <f t="shared" si="20"/>
        <v>-30</v>
      </c>
      <c r="L265" s="95"/>
      <c r="M265" s="97">
        <f t="shared" si="21"/>
        <v>0</v>
      </c>
    </row>
    <row r="266" spans="1:13" x14ac:dyDescent="0.25">
      <c r="A266" s="116"/>
      <c r="G266" s="80"/>
      <c r="H266" s="95">
        <v>261</v>
      </c>
      <c r="I266" s="96" t="str">
        <f t="shared" si="19"/>
        <v/>
      </c>
      <c r="J266" s="96">
        <f t="shared" si="22"/>
        <v>-3</v>
      </c>
      <c r="K266" s="95">
        <f t="shared" si="20"/>
        <v>-30</v>
      </c>
      <c r="L266" s="95"/>
      <c r="M266" s="97">
        <f t="shared" si="21"/>
        <v>0</v>
      </c>
    </row>
    <row r="267" spans="1:13" x14ac:dyDescent="0.25">
      <c r="A267" s="116"/>
      <c r="G267" s="80"/>
      <c r="H267" s="95">
        <v>262</v>
      </c>
      <c r="I267" s="96" t="str">
        <f t="shared" si="19"/>
        <v/>
      </c>
      <c r="J267" s="96">
        <f t="shared" si="22"/>
        <v>-3</v>
      </c>
      <c r="K267" s="95">
        <f t="shared" si="20"/>
        <v>-30</v>
      </c>
      <c r="L267" s="95"/>
      <c r="M267" s="97">
        <f t="shared" si="21"/>
        <v>0</v>
      </c>
    </row>
    <row r="268" spans="1:13" x14ac:dyDescent="0.25">
      <c r="A268" s="116"/>
      <c r="G268" s="80"/>
      <c r="H268" s="95">
        <v>263</v>
      </c>
      <c r="I268" s="96" t="str">
        <f t="shared" si="19"/>
        <v/>
      </c>
      <c r="J268" s="96">
        <f t="shared" si="22"/>
        <v>-3</v>
      </c>
      <c r="K268" s="95">
        <f t="shared" si="20"/>
        <v>-30</v>
      </c>
      <c r="L268" s="95"/>
      <c r="M268" s="97">
        <f t="shared" si="21"/>
        <v>0</v>
      </c>
    </row>
    <row r="269" spans="1:13" x14ac:dyDescent="0.25">
      <c r="A269" s="116"/>
      <c r="G269" s="80"/>
      <c r="H269" s="95">
        <v>264</v>
      </c>
      <c r="I269" s="96" t="str">
        <f t="shared" si="19"/>
        <v/>
      </c>
      <c r="J269" s="96">
        <f t="shared" si="22"/>
        <v>-3</v>
      </c>
      <c r="K269" s="95">
        <f t="shared" si="20"/>
        <v>-30</v>
      </c>
      <c r="L269" s="95"/>
      <c r="M269" s="97">
        <f t="shared" si="21"/>
        <v>0</v>
      </c>
    </row>
    <row r="270" spans="1:13" x14ac:dyDescent="0.25">
      <c r="A270" s="116"/>
      <c r="G270" s="80"/>
      <c r="H270" s="95">
        <v>265</v>
      </c>
      <c r="I270" s="96" t="str">
        <f t="shared" si="19"/>
        <v/>
      </c>
      <c r="J270" s="96">
        <f t="shared" si="22"/>
        <v>-3</v>
      </c>
      <c r="K270" s="95">
        <f t="shared" si="20"/>
        <v>-30</v>
      </c>
      <c r="L270" s="95"/>
      <c r="M270" s="97">
        <f t="shared" si="21"/>
        <v>0</v>
      </c>
    </row>
    <row r="271" spans="1:13" x14ac:dyDescent="0.25">
      <c r="A271" s="116"/>
      <c r="G271" s="80"/>
      <c r="H271" s="95">
        <v>266</v>
      </c>
      <c r="I271" s="96" t="str">
        <f t="shared" si="19"/>
        <v/>
      </c>
      <c r="J271" s="96">
        <f t="shared" si="22"/>
        <v>-3</v>
      </c>
      <c r="K271" s="95">
        <f t="shared" si="20"/>
        <v>-30</v>
      </c>
      <c r="L271" s="95"/>
      <c r="M271" s="97">
        <f t="shared" si="21"/>
        <v>0</v>
      </c>
    </row>
    <row r="272" spans="1:13" x14ac:dyDescent="0.25">
      <c r="A272" s="116"/>
      <c r="G272" s="80"/>
      <c r="H272" s="95">
        <v>267</v>
      </c>
      <c r="I272" s="96" t="str">
        <f t="shared" si="19"/>
        <v/>
      </c>
      <c r="J272" s="96">
        <f t="shared" si="22"/>
        <v>-3</v>
      </c>
      <c r="K272" s="95">
        <f t="shared" si="20"/>
        <v>-30</v>
      </c>
      <c r="L272" s="95"/>
      <c r="M272" s="97">
        <f t="shared" si="21"/>
        <v>0</v>
      </c>
    </row>
    <row r="273" spans="1:13" x14ac:dyDescent="0.25">
      <c r="A273" s="116"/>
      <c r="G273" s="80"/>
      <c r="H273" s="95">
        <v>268</v>
      </c>
      <c r="I273" s="96" t="str">
        <f t="shared" si="19"/>
        <v/>
      </c>
      <c r="J273" s="96">
        <f t="shared" si="22"/>
        <v>-3</v>
      </c>
      <c r="K273" s="95">
        <f t="shared" si="20"/>
        <v>-30</v>
      </c>
      <c r="L273" s="95"/>
      <c r="M273" s="97">
        <f t="shared" si="21"/>
        <v>0</v>
      </c>
    </row>
    <row r="274" spans="1:13" x14ac:dyDescent="0.25">
      <c r="A274" s="116"/>
      <c r="G274" s="80"/>
      <c r="H274" s="95">
        <v>269</v>
      </c>
      <c r="I274" s="96" t="str">
        <f t="shared" si="19"/>
        <v/>
      </c>
      <c r="J274" s="96">
        <f t="shared" si="22"/>
        <v>-3</v>
      </c>
      <c r="K274" s="95">
        <f t="shared" si="20"/>
        <v>-30</v>
      </c>
      <c r="L274" s="95"/>
      <c r="M274" s="97">
        <f t="shared" si="21"/>
        <v>0</v>
      </c>
    </row>
    <row r="275" spans="1:13" x14ac:dyDescent="0.25">
      <c r="A275" s="116"/>
      <c r="G275" s="80"/>
      <c r="H275" s="95">
        <v>270</v>
      </c>
      <c r="I275" s="96" t="str">
        <f t="shared" si="19"/>
        <v/>
      </c>
      <c r="J275" s="96">
        <f t="shared" si="22"/>
        <v>-3</v>
      </c>
      <c r="K275" s="95">
        <f t="shared" si="20"/>
        <v>-30</v>
      </c>
      <c r="L275" s="95"/>
      <c r="M275" s="97">
        <f t="shared" si="21"/>
        <v>0</v>
      </c>
    </row>
    <row r="276" spans="1:13" x14ac:dyDescent="0.25">
      <c r="A276" s="116"/>
      <c r="G276" s="80"/>
      <c r="H276" s="95">
        <v>271</v>
      </c>
      <c r="I276" s="96" t="str">
        <f t="shared" si="19"/>
        <v/>
      </c>
      <c r="J276" s="96">
        <f t="shared" si="22"/>
        <v>-3</v>
      </c>
      <c r="K276" s="95">
        <f t="shared" si="20"/>
        <v>-30</v>
      </c>
      <c r="L276" s="95"/>
      <c r="M276" s="97">
        <f t="shared" si="21"/>
        <v>0</v>
      </c>
    </row>
    <row r="277" spans="1:13" x14ac:dyDescent="0.25">
      <c r="A277" s="116"/>
      <c r="G277" s="80"/>
      <c r="H277" s="95">
        <v>272</v>
      </c>
      <c r="I277" s="96" t="str">
        <f t="shared" si="19"/>
        <v/>
      </c>
      <c r="J277" s="96">
        <f t="shared" si="22"/>
        <v>-3</v>
      </c>
      <c r="K277" s="95">
        <f t="shared" si="20"/>
        <v>-30</v>
      </c>
      <c r="L277" s="95"/>
      <c r="M277" s="97">
        <f t="shared" si="21"/>
        <v>0</v>
      </c>
    </row>
    <row r="278" spans="1:13" x14ac:dyDescent="0.25">
      <c r="A278" s="116"/>
      <c r="G278" s="80"/>
      <c r="H278" s="95">
        <v>273</v>
      </c>
      <c r="I278" s="96" t="str">
        <f t="shared" si="19"/>
        <v/>
      </c>
      <c r="J278" s="96">
        <f t="shared" si="22"/>
        <v>-3</v>
      </c>
      <c r="K278" s="95">
        <f t="shared" si="20"/>
        <v>-30</v>
      </c>
      <c r="L278" s="95"/>
      <c r="M278" s="97">
        <f t="shared" si="21"/>
        <v>0</v>
      </c>
    </row>
    <row r="279" spans="1:13" x14ac:dyDescent="0.25">
      <c r="A279" s="116"/>
      <c r="G279" s="80"/>
      <c r="H279" s="95">
        <v>274</v>
      </c>
      <c r="I279" s="96" t="str">
        <f t="shared" si="19"/>
        <v/>
      </c>
      <c r="J279" s="96">
        <f t="shared" si="22"/>
        <v>-3</v>
      </c>
      <c r="K279" s="95">
        <f t="shared" si="20"/>
        <v>-30</v>
      </c>
      <c r="L279" s="95"/>
      <c r="M279" s="97">
        <f t="shared" si="21"/>
        <v>0</v>
      </c>
    </row>
    <row r="280" spans="1:13" x14ac:dyDescent="0.25">
      <c r="A280" s="116"/>
      <c r="G280" s="80"/>
      <c r="H280" s="95">
        <v>275</v>
      </c>
      <c r="I280" s="96" t="str">
        <f t="shared" si="19"/>
        <v/>
      </c>
      <c r="J280" s="96">
        <f t="shared" si="22"/>
        <v>-3</v>
      </c>
      <c r="K280" s="95">
        <f t="shared" si="20"/>
        <v>-30</v>
      </c>
      <c r="L280" s="95"/>
      <c r="M280" s="97">
        <f t="shared" si="21"/>
        <v>0</v>
      </c>
    </row>
    <row r="281" spans="1:13" x14ac:dyDescent="0.25">
      <c r="A281" s="116"/>
      <c r="G281" s="80"/>
      <c r="H281" s="95">
        <v>276</v>
      </c>
      <c r="I281" s="96" t="str">
        <f t="shared" si="19"/>
        <v/>
      </c>
      <c r="J281" s="96">
        <f t="shared" si="22"/>
        <v>-3</v>
      </c>
      <c r="K281" s="95">
        <f t="shared" si="20"/>
        <v>-30</v>
      </c>
      <c r="L281" s="95"/>
      <c r="M281" s="97">
        <f t="shared" si="21"/>
        <v>0</v>
      </c>
    </row>
    <row r="282" spans="1:13" x14ac:dyDescent="0.25">
      <c r="A282" s="116"/>
      <c r="G282" s="80"/>
      <c r="H282" s="95">
        <v>277</v>
      </c>
      <c r="I282" s="96" t="str">
        <f t="shared" si="19"/>
        <v/>
      </c>
      <c r="J282" s="96">
        <f t="shared" si="22"/>
        <v>-3</v>
      </c>
      <c r="K282" s="95">
        <f t="shared" si="20"/>
        <v>-30</v>
      </c>
      <c r="L282" s="95"/>
      <c r="M282" s="97">
        <f t="shared" si="21"/>
        <v>0</v>
      </c>
    </row>
    <row r="283" spans="1:13" x14ac:dyDescent="0.25">
      <c r="A283" s="116"/>
      <c r="G283" s="80"/>
      <c r="H283" s="95">
        <v>278</v>
      </c>
      <c r="I283" s="96" t="str">
        <f t="shared" si="19"/>
        <v/>
      </c>
      <c r="J283" s="96">
        <f t="shared" si="22"/>
        <v>-3</v>
      </c>
      <c r="K283" s="95">
        <f t="shared" si="20"/>
        <v>-30</v>
      </c>
      <c r="L283" s="95"/>
      <c r="M283" s="97">
        <f t="shared" si="21"/>
        <v>0</v>
      </c>
    </row>
    <row r="284" spans="1:13" x14ac:dyDescent="0.25">
      <c r="A284" s="116"/>
      <c r="G284" s="80"/>
      <c r="H284" s="95">
        <v>279</v>
      </c>
      <c r="I284" s="96" t="str">
        <f t="shared" si="19"/>
        <v/>
      </c>
      <c r="J284" s="96">
        <f t="shared" si="22"/>
        <v>-3</v>
      </c>
      <c r="K284" s="95">
        <f t="shared" si="20"/>
        <v>-30</v>
      </c>
      <c r="L284" s="95"/>
      <c r="M284" s="97">
        <f t="shared" si="21"/>
        <v>0</v>
      </c>
    </row>
    <row r="285" spans="1:13" x14ac:dyDescent="0.25">
      <c r="A285" s="116"/>
      <c r="G285" s="80"/>
      <c r="H285" s="95">
        <v>280</v>
      </c>
      <c r="I285" s="96" t="str">
        <f t="shared" si="19"/>
        <v/>
      </c>
      <c r="J285" s="96">
        <f t="shared" si="22"/>
        <v>-3</v>
      </c>
      <c r="K285" s="95">
        <f t="shared" si="20"/>
        <v>-30</v>
      </c>
      <c r="L285" s="95"/>
      <c r="M285" s="97">
        <f t="shared" si="21"/>
        <v>0</v>
      </c>
    </row>
    <row r="286" spans="1:13" x14ac:dyDescent="0.25">
      <c r="A286" s="116"/>
      <c r="G286" s="80"/>
      <c r="H286" s="95">
        <v>281</v>
      </c>
      <c r="I286" s="96" t="str">
        <f t="shared" si="19"/>
        <v/>
      </c>
      <c r="J286" s="96">
        <f t="shared" si="22"/>
        <v>-3</v>
      </c>
      <c r="K286" s="95">
        <f t="shared" si="20"/>
        <v>-30</v>
      </c>
      <c r="L286" s="95"/>
      <c r="M286" s="97">
        <f t="shared" si="21"/>
        <v>0</v>
      </c>
    </row>
    <row r="287" spans="1:13" x14ac:dyDescent="0.25">
      <c r="A287" s="116"/>
      <c r="G287" s="80"/>
      <c r="H287" s="95">
        <v>282</v>
      </c>
      <c r="I287" s="96" t="str">
        <f t="shared" si="19"/>
        <v/>
      </c>
      <c r="J287" s="96">
        <f t="shared" si="22"/>
        <v>-3</v>
      </c>
      <c r="K287" s="95">
        <f t="shared" si="20"/>
        <v>-30</v>
      </c>
      <c r="L287" s="95"/>
      <c r="M287" s="97">
        <f t="shared" si="21"/>
        <v>0</v>
      </c>
    </row>
    <row r="288" spans="1:13" x14ac:dyDescent="0.25">
      <c r="A288" s="116"/>
      <c r="G288" s="80"/>
      <c r="H288" s="95">
        <v>283</v>
      </c>
      <c r="I288" s="96" t="str">
        <f t="shared" si="19"/>
        <v/>
      </c>
      <c r="J288" s="96">
        <f t="shared" si="22"/>
        <v>-3</v>
      </c>
      <c r="K288" s="95">
        <f t="shared" si="20"/>
        <v>-30</v>
      </c>
      <c r="L288" s="95"/>
      <c r="M288" s="97">
        <f t="shared" si="21"/>
        <v>0</v>
      </c>
    </row>
    <row r="289" spans="1:13" x14ac:dyDescent="0.25">
      <c r="A289" s="116"/>
      <c r="G289" s="80"/>
      <c r="H289" s="95">
        <v>284</v>
      </c>
      <c r="I289" s="96" t="str">
        <f t="shared" si="19"/>
        <v/>
      </c>
      <c r="J289" s="96">
        <f t="shared" si="22"/>
        <v>-3</v>
      </c>
      <c r="K289" s="95">
        <f t="shared" si="20"/>
        <v>-30</v>
      </c>
      <c r="L289" s="95"/>
      <c r="M289" s="97">
        <f t="shared" si="21"/>
        <v>0</v>
      </c>
    </row>
    <row r="290" spans="1:13" x14ac:dyDescent="0.25">
      <c r="A290" s="116"/>
      <c r="G290" s="80"/>
      <c r="H290" s="95">
        <v>285</v>
      </c>
      <c r="I290" s="96" t="str">
        <f t="shared" si="19"/>
        <v/>
      </c>
      <c r="J290" s="96">
        <f t="shared" si="22"/>
        <v>-3</v>
      </c>
      <c r="K290" s="95">
        <f t="shared" si="20"/>
        <v>-30</v>
      </c>
      <c r="L290" s="95"/>
      <c r="M290" s="97">
        <f t="shared" si="21"/>
        <v>0</v>
      </c>
    </row>
    <row r="291" spans="1:13" x14ac:dyDescent="0.25">
      <c r="A291" s="116"/>
      <c r="G291" s="80"/>
      <c r="H291" s="95">
        <v>286</v>
      </c>
      <c r="I291" s="96" t="str">
        <f t="shared" si="19"/>
        <v/>
      </c>
      <c r="J291" s="96">
        <f t="shared" si="22"/>
        <v>-3</v>
      </c>
      <c r="K291" s="95">
        <f t="shared" si="20"/>
        <v>-30</v>
      </c>
      <c r="L291" s="95"/>
      <c r="M291" s="97">
        <f t="shared" si="21"/>
        <v>0</v>
      </c>
    </row>
    <row r="292" spans="1:13" x14ac:dyDescent="0.25">
      <c r="A292" s="116"/>
      <c r="G292" s="80"/>
      <c r="H292" s="95">
        <v>287</v>
      </c>
      <c r="I292" s="96" t="str">
        <f t="shared" si="19"/>
        <v/>
      </c>
      <c r="J292" s="96">
        <f t="shared" si="22"/>
        <v>-3</v>
      </c>
      <c r="K292" s="95">
        <f t="shared" si="20"/>
        <v>-30</v>
      </c>
      <c r="L292" s="95"/>
      <c r="M292" s="97">
        <f t="shared" si="21"/>
        <v>0</v>
      </c>
    </row>
    <row r="293" spans="1:13" x14ac:dyDescent="0.25">
      <c r="A293" s="116"/>
      <c r="G293" s="80"/>
      <c r="H293" s="95">
        <v>288</v>
      </c>
      <c r="I293" s="96" t="str">
        <f t="shared" si="19"/>
        <v/>
      </c>
      <c r="J293" s="96">
        <f t="shared" si="22"/>
        <v>-3</v>
      </c>
      <c r="K293" s="95">
        <f t="shared" si="20"/>
        <v>-30</v>
      </c>
      <c r="L293" s="95"/>
      <c r="M293" s="97">
        <f t="shared" si="21"/>
        <v>0</v>
      </c>
    </row>
    <row r="294" spans="1:13" x14ac:dyDescent="0.25">
      <c r="A294" s="116"/>
      <c r="G294" s="80"/>
      <c r="H294" s="95">
        <v>289</v>
      </c>
      <c r="I294" s="96" t="str">
        <f t="shared" si="19"/>
        <v/>
      </c>
      <c r="J294" s="96">
        <f t="shared" si="22"/>
        <v>-3</v>
      </c>
      <c r="K294" s="95">
        <f t="shared" si="20"/>
        <v>-30</v>
      </c>
      <c r="L294" s="95"/>
      <c r="M294" s="97">
        <f t="shared" si="21"/>
        <v>0</v>
      </c>
    </row>
    <row r="295" spans="1:13" x14ac:dyDescent="0.25">
      <c r="A295" s="116"/>
      <c r="G295" s="80"/>
      <c r="H295" s="95">
        <v>290</v>
      </c>
      <c r="I295" s="96" t="str">
        <f t="shared" si="19"/>
        <v/>
      </c>
      <c r="J295" s="96">
        <f t="shared" si="22"/>
        <v>-3</v>
      </c>
      <c r="K295" s="95">
        <f t="shared" si="20"/>
        <v>-30</v>
      </c>
      <c r="L295" s="95"/>
      <c r="M295" s="97">
        <f t="shared" si="21"/>
        <v>0</v>
      </c>
    </row>
    <row r="296" spans="1:13" x14ac:dyDescent="0.25">
      <c r="A296" s="116"/>
      <c r="G296" s="80"/>
      <c r="H296" s="95">
        <v>291</v>
      </c>
      <c r="I296" s="96" t="str">
        <f t="shared" si="19"/>
        <v/>
      </c>
      <c r="J296" s="96">
        <f t="shared" si="22"/>
        <v>-3</v>
      </c>
      <c r="K296" s="95">
        <f t="shared" si="20"/>
        <v>-30</v>
      </c>
      <c r="L296" s="95"/>
      <c r="M296" s="97">
        <f t="shared" si="21"/>
        <v>0</v>
      </c>
    </row>
    <row r="297" spans="1:13" x14ac:dyDescent="0.25">
      <c r="A297" s="116"/>
      <c r="G297" s="80"/>
      <c r="H297" s="95">
        <v>292</v>
      </c>
      <c r="I297" s="96" t="str">
        <f t="shared" si="19"/>
        <v/>
      </c>
      <c r="J297" s="96">
        <f t="shared" si="22"/>
        <v>-3</v>
      </c>
      <c r="K297" s="95">
        <f t="shared" si="20"/>
        <v>-30</v>
      </c>
      <c r="L297" s="95"/>
      <c r="M297" s="97">
        <f t="shared" si="21"/>
        <v>0</v>
      </c>
    </row>
    <row r="298" spans="1:13" x14ac:dyDescent="0.25">
      <c r="A298" s="116"/>
      <c r="G298" s="80"/>
      <c r="H298" s="95">
        <v>293</v>
      </c>
      <c r="I298" s="96" t="str">
        <f t="shared" si="19"/>
        <v/>
      </c>
      <c r="J298" s="96">
        <f t="shared" si="22"/>
        <v>-3</v>
      </c>
      <c r="K298" s="95">
        <f t="shared" si="20"/>
        <v>-30</v>
      </c>
      <c r="L298" s="95"/>
      <c r="M298" s="97">
        <f t="shared" si="21"/>
        <v>0</v>
      </c>
    </row>
    <row r="299" spans="1:13" x14ac:dyDescent="0.25">
      <c r="A299" s="116"/>
      <c r="G299" s="80"/>
      <c r="H299" s="95">
        <v>294</v>
      </c>
      <c r="I299" s="96" t="str">
        <f t="shared" si="19"/>
        <v/>
      </c>
      <c r="J299" s="96">
        <f t="shared" si="22"/>
        <v>-3</v>
      </c>
      <c r="K299" s="95">
        <f t="shared" si="20"/>
        <v>-30</v>
      </c>
      <c r="L299" s="95"/>
      <c r="M299" s="97">
        <f t="shared" si="21"/>
        <v>0</v>
      </c>
    </row>
    <row r="300" spans="1:13" x14ac:dyDescent="0.25">
      <c r="A300" s="116"/>
      <c r="G300" s="80"/>
      <c r="H300" s="95">
        <v>295</v>
      </c>
      <c r="I300" s="96" t="str">
        <f t="shared" si="19"/>
        <v/>
      </c>
      <c r="J300" s="96">
        <f t="shared" si="22"/>
        <v>-3</v>
      </c>
      <c r="K300" s="95">
        <f t="shared" si="20"/>
        <v>-30</v>
      </c>
      <c r="L300" s="95"/>
      <c r="M300" s="97">
        <f t="shared" si="21"/>
        <v>0</v>
      </c>
    </row>
    <row r="301" spans="1:13" x14ac:dyDescent="0.25">
      <c r="A301" s="116"/>
      <c r="G301" s="80"/>
      <c r="H301" s="95">
        <v>296</v>
      </c>
      <c r="I301" s="96" t="str">
        <f t="shared" si="19"/>
        <v/>
      </c>
      <c r="J301" s="96">
        <f t="shared" si="22"/>
        <v>-3</v>
      </c>
      <c r="K301" s="95">
        <f t="shared" si="20"/>
        <v>-30</v>
      </c>
      <c r="L301" s="95"/>
      <c r="M301" s="97">
        <f t="shared" si="21"/>
        <v>0</v>
      </c>
    </row>
    <row r="302" spans="1:13" x14ac:dyDescent="0.25">
      <c r="A302" s="116"/>
      <c r="G302" s="80"/>
      <c r="H302" s="95">
        <v>297</v>
      </c>
      <c r="I302" s="96" t="str">
        <f t="shared" si="19"/>
        <v/>
      </c>
      <c r="J302" s="96">
        <f t="shared" si="22"/>
        <v>-3</v>
      </c>
      <c r="K302" s="95">
        <f t="shared" si="20"/>
        <v>-30</v>
      </c>
      <c r="L302" s="95"/>
      <c r="M302" s="97">
        <f t="shared" si="21"/>
        <v>0</v>
      </c>
    </row>
    <row r="303" spans="1:13" x14ac:dyDescent="0.25">
      <c r="A303" s="116"/>
      <c r="G303" s="80"/>
      <c r="H303" s="95">
        <v>298</v>
      </c>
      <c r="I303" s="96" t="str">
        <f t="shared" si="19"/>
        <v/>
      </c>
      <c r="J303" s="96">
        <f t="shared" si="22"/>
        <v>-3</v>
      </c>
      <c r="K303" s="95">
        <f t="shared" si="20"/>
        <v>-30</v>
      </c>
      <c r="L303" s="95"/>
      <c r="M303" s="97">
        <f t="shared" si="21"/>
        <v>0</v>
      </c>
    </row>
    <row r="304" spans="1:13" x14ac:dyDescent="0.25">
      <c r="A304" s="116"/>
      <c r="G304" s="80"/>
      <c r="H304" s="95">
        <v>299</v>
      </c>
      <c r="I304" s="96" t="str">
        <f t="shared" si="19"/>
        <v/>
      </c>
      <c r="J304" s="96">
        <f t="shared" si="22"/>
        <v>-3</v>
      </c>
      <c r="K304" s="95">
        <f t="shared" si="20"/>
        <v>-30</v>
      </c>
      <c r="L304" s="95"/>
      <c r="M304" s="97">
        <f t="shared" si="21"/>
        <v>0</v>
      </c>
    </row>
    <row r="305" spans="1:16" x14ac:dyDescent="0.25">
      <c r="A305" s="116"/>
      <c r="G305" s="80"/>
      <c r="H305" s="95">
        <v>300</v>
      </c>
      <c r="I305" s="96" t="str">
        <f t="shared" si="19"/>
        <v/>
      </c>
      <c r="J305" s="96">
        <f t="shared" si="22"/>
        <v>-3</v>
      </c>
      <c r="K305" s="95">
        <f t="shared" si="20"/>
        <v>-30</v>
      </c>
      <c r="L305" s="95"/>
      <c r="M305" s="97">
        <f t="shared" si="21"/>
        <v>0</v>
      </c>
    </row>
    <row r="306" spans="1:16" x14ac:dyDescent="0.25">
      <c r="A306" s="117"/>
    </row>
    <row r="314" spans="1:16" x14ac:dyDescent="0.25">
      <c r="L314" s="120"/>
      <c r="P314" s="107"/>
    </row>
    <row r="315" spans="1:16" x14ac:dyDescent="0.25">
      <c r="L315" s="120"/>
      <c r="P315" s="107"/>
    </row>
    <row r="316" spans="1:16" x14ac:dyDescent="0.25">
      <c r="L316" s="120"/>
      <c r="P316" s="107"/>
    </row>
    <row r="317" spans="1:16" x14ac:dyDescent="0.25">
      <c r="L317" s="120"/>
      <c r="P317" s="107"/>
    </row>
  </sheetData>
  <mergeCells count="2">
    <mergeCell ref="C2:D2"/>
    <mergeCell ref="C3:D3"/>
  </mergeCells>
  <conditionalFormatting sqref="J9:K9">
    <cfRule type="cellIs" dxfId="10" priority="1" operator="lessThanOrEqual">
      <formula>0</formula>
    </cfRule>
  </conditionalFormatting>
  <conditionalFormatting sqref="K6:K8 K10:K305">
    <cfRule type="cellIs" dxfId="9" priority="2" operator="lessThanOrEqual">
      <formula>0</formula>
    </cfRule>
  </conditionalFormatting>
  <hyperlinks>
    <hyperlink ref="C2:D2" r:id="rId1" display="Terni" xr:uid="{CEFBFBB5-1F04-40FB-9CA7-3BCE9B8F8025}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7F54F-059A-42EB-9030-ED207A81FFC9}">
  <sheetPr>
    <tabColor rgb="FF92D050"/>
  </sheetPr>
  <dimension ref="A1:AL317"/>
  <sheetViews>
    <sheetView workbookViewId="0">
      <selection activeCell="C15" sqref="C15"/>
    </sheetView>
  </sheetViews>
  <sheetFormatPr defaultColWidth="8.875" defaultRowHeight="14.3" x14ac:dyDescent="0.25"/>
  <cols>
    <col min="1" max="1" width="8" style="203" customWidth="1"/>
    <col min="2" max="2" width="8.25" style="203" customWidth="1"/>
    <col min="3" max="3" width="34.75" style="203" customWidth="1"/>
    <col min="4" max="4" width="11.25" style="203" customWidth="1"/>
    <col min="5" max="6" width="8.875" style="203"/>
    <col min="7" max="7" width="0.875" style="203" customWidth="1"/>
    <col min="8" max="8" width="8.875" style="206"/>
    <col min="9" max="9" width="11" style="206" customWidth="1"/>
    <col min="10" max="10" width="15" style="206" customWidth="1"/>
    <col min="11" max="11" width="8.75" style="206" customWidth="1"/>
    <col min="12" max="12" width="11" style="206" customWidth="1"/>
    <col min="13" max="13" width="11.75" style="207" customWidth="1"/>
    <col min="14" max="15" width="13.875" style="175" customWidth="1"/>
    <col min="16" max="18" width="8.875" style="175"/>
    <col min="19" max="20" width="8.875" style="180"/>
    <col min="21" max="21" width="12.125" style="180" customWidth="1"/>
    <col min="22" max="22" width="27.375" style="180" customWidth="1"/>
    <col min="23" max="38" width="8.875" style="180"/>
    <col min="39" max="16384" width="8.875" style="203"/>
  </cols>
  <sheetData>
    <row r="1" spans="1:36" x14ac:dyDescent="0.25">
      <c r="A1" s="175"/>
      <c r="B1" s="175"/>
      <c r="C1" s="175"/>
      <c r="D1" s="175"/>
      <c r="E1" s="175"/>
      <c r="F1" s="175"/>
      <c r="G1" s="175"/>
      <c r="H1" s="176" t="s">
        <v>38</v>
      </c>
      <c r="I1" s="177" t="s">
        <v>39</v>
      </c>
      <c r="J1" s="177" t="s">
        <v>40</v>
      </c>
      <c r="K1" s="178" t="s">
        <v>128</v>
      </c>
      <c r="L1" s="179"/>
      <c r="M1" s="179"/>
    </row>
    <row r="2" spans="1:36" x14ac:dyDescent="0.25">
      <c r="A2" s="175"/>
      <c r="B2" s="47" t="s">
        <v>42</v>
      </c>
      <c r="C2" s="175" t="s">
        <v>129</v>
      </c>
      <c r="D2" s="125"/>
      <c r="E2" s="6"/>
      <c r="F2" s="6"/>
      <c r="G2" s="6"/>
      <c r="H2" s="181">
        <v>48</v>
      </c>
      <c r="I2" s="182">
        <v>50</v>
      </c>
      <c r="J2" s="182">
        <v>10</v>
      </c>
      <c r="K2" s="183">
        <f>3*H2^(1/3)</f>
        <v>10.902723556992836</v>
      </c>
      <c r="L2" s="179"/>
      <c r="M2" s="179"/>
    </row>
    <row r="3" spans="1:36" ht="14.45" customHeight="1" x14ac:dyDescent="0.25">
      <c r="A3" s="175"/>
      <c r="B3" s="184" t="s">
        <v>44</v>
      </c>
      <c r="C3" s="69" t="s">
        <v>145</v>
      </c>
      <c r="D3" s="69"/>
      <c r="E3" s="7"/>
      <c r="F3" s="7"/>
      <c r="G3" s="7"/>
      <c r="H3" s="179"/>
      <c r="I3" s="179"/>
      <c r="J3" s="179"/>
      <c r="K3" s="179"/>
      <c r="L3" s="179"/>
      <c r="M3" s="179"/>
    </row>
    <row r="4" spans="1:36" ht="10.199999999999999" customHeight="1" x14ac:dyDescent="0.25">
      <c r="A4" s="8"/>
      <c r="B4" s="7"/>
      <c r="C4" s="8"/>
      <c r="D4" s="8"/>
      <c r="E4" s="8"/>
      <c r="F4" s="8"/>
      <c r="G4" s="8"/>
      <c r="H4" s="179"/>
      <c r="I4" s="179"/>
      <c r="J4" s="179"/>
      <c r="K4" s="179"/>
      <c r="L4" s="179"/>
      <c r="M4" s="179"/>
    </row>
    <row r="5" spans="1:36" ht="34.65" x14ac:dyDescent="0.25">
      <c r="A5" s="1" t="s">
        <v>45</v>
      </c>
      <c r="B5" s="37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8"/>
      <c r="H5" s="185" t="s">
        <v>51</v>
      </c>
      <c r="I5" s="186" t="s">
        <v>52</v>
      </c>
      <c r="J5" s="186" t="s">
        <v>93</v>
      </c>
      <c r="K5" s="186" t="s">
        <v>94</v>
      </c>
      <c r="L5" s="186" t="s">
        <v>55</v>
      </c>
      <c r="M5" s="185" t="s">
        <v>56</v>
      </c>
    </row>
    <row r="6" spans="1:36" ht="14.45" customHeight="1" x14ac:dyDescent="0.25">
      <c r="A6" s="94">
        <f>M6</f>
        <v>142.70817067097852</v>
      </c>
      <c r="B6" s="36">
        <f t="shared" ref="B6:B65" si="0">IF(H6&gt;$H$2,"",(ROW()-5))</f>
        <v>1</v>
      </c>
      <c r="C6" s="24" t="s">
        <v>95</v>
      </c>
      <c r="D6" s="24"/>
      <c r="E6" s="24"/>
      <c r="F6" s="24"/>
      <c r="G6" s="8"/>
      <c r="H6" s="187">
        <v>1</v>
      </c>
      <c r="I6" s="188">
        <f t="shared" ref="I6:I69" si="1">IF(H6&lt;$H$2+1,($I$2-($I$2-1)*(LOG(H6)/LOG($H$2))),"")</f>
        <v>50</v>
      </c>
      <c r="J6" s="188">
        <f>INT(LOG($H$2,2))-ROUNDUP(LOG(H6,2),0)+IF(OR($H$2=1,$H$2=2,$H$2=4,$H$2=8,$H$2=16,$H$2=32,$H$2=64,$H$2=128,$H$2=256),0,1)</f>
        <v>6</v>
      </c>
      <c r="K6" s="187">
        <f t="shared" ref="K6:K69" si="2">J6*$J$2</f>
        <v>60</v>
      </c>
      <c r="L6" s="189">
        <f>3*K2</f>
        <v>32.708170670978504</v>
      </c>
      <c r="M6" s="189">
        <f t="shared" ref="M6:M69" si="3">IF(I6&lt;&gt;"",K6+I6+L6,0)</f>
        <v>142.70817067097852</v>
      </c>
    </row>
    <row r="7" spans="1:36" ht="14.45" customHeight="1" x14ac:dyDescent="0.25">
      <c r="A7" s="98">
        <f t="shared" ref="A7:A70" si="4">M7</f>
        <v>113.03188775818464</v>
      </c>
      <c r="B7" s="35">
        <f t="shared" si="0"/>
        <v>2</v>
      </c>
      <c r="C7" s="25" t="s">
        <v>95</v>
      </c>
      <c r="D7" s="25"/>
      <c r="E7" s="25"/>
      <c r="F7" s="25"/>
      <c r="G7" s="8"/>
      <c r="H7" s="190">
        <v>2</v>
      </c>
      <c r="I7" s="191">
        <f t="shared" si="1"/>
        <v>41.226440644198973</v>
      </c>
      <c r="J7" s="191">
        <f t="shared" ref="J7:J70" si="5">INT(LOG($H$2,2))-ROUNDUP(LOG(H7,2),0)+IF(OR($H$2=1,$H$2=2,$H$2=4,$H$2=8,$H$2=16,$H$2=32,$H$2=64,$H$2=128,$H$2=256),0,1)</f>
        <v>5</v>
      </c>
      <c r="K7" s="190">
        <f t="shared" si="2"/>
        <v>50</v>
      </c>
      <c r="L7" s="192">
        <f>2*K2</f>
        <v>21.805447113985672</v>
      </c>
      <c r="M7" s="192">
        <f t="shared" si="3"/>
        <v>113.03188775818464</v>
      </c>
    </row>
    <row r="8" spans="1:36" ht="14.45" customHeight="1" x14ac:dyDescent="0.25">
      <c r="A8" s="94">
        <f t="shared" si="4"/>
        <v>86.996960980196945</v>
      </c>
      <c r="B8" s="36">
        <f t="shared" si="0"/>
        <v>3</v>
      </c>
      <c r="C8" s="24" t="s">
        <v>19</v>
      </c>
      <c r="D8" s="24"/>
      <c r="E8" s="24"/>
      <c r="F8" s="24"/>
      <c r="G8" s="8"/>
      <c r="H8" s="187">
        <v>3</v>
      </c>
      <c r="I8" s="188">
        <f t="shared" si="1"/>
        <v>36.094237423204106</v>
      </c>
      <c r="J8" s="188">
        <f t="shared" si="5"/>
        <v>4</v>
      </c>
      <c r="K8" s="187">
        <f t="shared" si="2"/>
        <v>40</v>
      </c>
      <c r="L8" s="189">
        <f>K2</f>
        <v>10.902723556992836</v>
      </c>
      <c r="M8" s="189">
        <f t="shared" si="3"/>
        <v>86.996960980196945</v>
      </c>
    </row>
    <row r="9" spans="1:36" s="180" customFormat="1" ht="14.45" customHeight="1" x14ac:dyDescent="0.25">
      <c r="A9" s="98">
        <f t="shared" si="4"/>
        <v>86.996960980196945</v>
      </c>
      <c r="B9" s="35">
        <f>IF(H9&gt;$H$2,"",3)</f>
        <v>3</v>
      </c>
      <c r="C9" s="25" t="s">
        <v>95</v>
      </c>
      <c r="D9" s="25"/>
      <c r="E9" s="25"/>
      <c r="F9" s="25"/>
      <c r="G9" s="8"/>
      <c r="H9" s="190">
        <v>3</v>
      </c>
      <c r="I9" s="191">
        <f t="shared" si="1"/>
        <v>36.094237423204106</v>
      </c>
      <c r="J9" s="190">
        <f t="shared" si="5"/>
        <v>4</v>
      </c>
      <c r="K9" s="190">
        <f t="shared" si="2"/>
        <v>40</v>
      </c>
      <c r="L9" s="192">
        <f>K2</f>
        <v>10.902723556992836</v>
      </c>
      <c r="M9" s="192">
        <f t="shared" si="3"/>
        <v>86.996960980196945</v>
      </c>
      <c r="N9" s="175"/>
      <c r="O9" s="175"/>
      <c r="P9" s="175"/>
      <c r="Q9" s="175"/>
      <c r="R9" s="175"/>
      <c r="V9" s="193"/>
      <c r="Z9" s="194"/>
      <c r="AA9" s="194"/>
      <c r="AG9" s="195"/>
      <c r="AH9" s="180" t="s">
        <v>95</v>
      </c>
      <c r="AI9" s="180">
        <v>23</v>
      </c>
    </row>
    <row r="10" spans="1:36" ht="14.45" customHeight="1" x14ac:dyDescent="0.25">
      <c r="A10" s="94">
        <f t="shared" si="4"/>
        <v>59.628426039603724</v>
      </c>
      <c r="B10" s="36">
        <f t="shared" si="0"/>
        <v>5</v>
      </c>
      <c r="C10" s="24" t="s">
        <v>95</v>
      </c>
      <c r="D10" s="24"/>
      <c r="E10" s="24"/>
      <c r="F10" s="24"/>
      <c r="G10" s="8"/>
      <c r="H10" s="187">
        <v>5</v>
      </c>
      <c r="I10" s="188">
        <f t="shared" si="1"/>
        <v>29.628426039603728</v>
      </c>
      <c r="J10" s="188">
        <f t="shared" si="5"/>
        <v>3</v>
      </c>
      <c r="K10" s="187">
        <f t="shared" si="2"/>
        <v>30</v>
      </c>
      <c r="L10" s="187"/>
      <c r="M10" s="189">
        <f t="shared" si="3"/>
        <v>59.628426039603724</v>
      </c>
      <c r="V10" s="193"/>
      <c r="Z10" s="194"/>
      <c r="AA10" s="194"/>
      <c r="AG10" s="195"/>
      <c r="AH10" s="180" t="s">
        <v>96</v>
      </c>
      <c r="AI10" s="180">
        <v>45</v>
      </c>
    </row>
    <row r="11" spans="1:36" ht="14.45" customHeight="1" x14ac:dyDescent="0.25">
      <c r="A11" s="98">
        <f t="shared" si="4"/>
        <v>57.32067806740308</v>
      </c>
      <c r="B11" s="35">
        <f t="shared" si="0"/>
        <v>6</v>
      </c>
      <c r="C11" s="25" t="s">
        <v>95</v>
      </c>
      <c r="D11" s="25"/>
      <c r="E11" s="25"/>
      <c r="F11" s="25"/>
      <c r="G11" s="8"/>
      <c r="H11" s="190">
        <v>6</v>
      </c>
      <c r="I11" s="191">
        <f t="shared" si="1"/>
        <v>27.32067806740308</v>
      </c>
      <c r="J11" s="191">
        <f t="shared" si="5"/>
        <v>3</v>
      </c>
      <c r="K11" s="190">
        <f t="shared" si="2"/>
        <v>30</v>
      </c>
      <c r="L11" s="190"/>
      <c r="M11" s="192">
        <f t="shared" si="3"/>
        <v>57.32067806740308</v>
      </c>
      <c r="V11" s="196"/>
      <c r="Z11" s="194"/>
      <c r="AA11" s="194"/>
      <c r="AG11" s="195"/>
      <c r="AH11" s="180" t="s">
        <v>97</v>
      </c>
      <c r="AI11" s="180">
        <v>50</v>
      </c>
    </row>
    <row r="12" spans="1:36" ht="14.45" customHeight="1" x14ac:dyDescent="0.25">
      <c r="A12" s="94">
        <f t="shared" si="4"/>
        <v>55.369504958527443</v>
      </c>
      <c r="B12" s="36">
        <f t="shared" si="0"/>
        <v>7</v>
      </c>
      <c r="C12" s="24" t="s">
        <v>95</v>
      </c>
      <c r="D12" s="24"/>
      <c r="E12" s="24"/>
      <c r="F12" s="24"/>
      <c r="G12" s="8"/>
      <c r="H12" s="187">
        <v>7</v>
      </c>
      <c r="I12" s="188">
        <f t="shared" si="1"/>
        <v>25.369504958527447</v>
      </c>
      <c r="J12" s="188">
        <f t="shared" si="5"/>
        <v>3</v>
      </c>
      <c r="K12" s="187">
        <f t="shared" si="2"/>
        <v>30</v>
      </c>
      <c r="L12" s="187"/>
      <c r="M12" s="189">
        <f t="shared" si="3"/>
        <v>55.369504958527443</v>
      </c>
      <c r="Z12" s="194"/>
      <c r="AA12" s="194"/>
      <c r="AG12" s="195"/>
      <c r="AH12" s="180" t="s">
        <v>98</v>
      </c>
      <c r="AI12" s="180">
        <f>AI11-1</f>
        <v>49</v>
      </c>
    </row>
    <row r="13" spans="1:36" ht="14.45" customHeight="1" x14ac:dyDescent="0.25">
      <c r="A13" s="98">
        <f t="shared" si="4"/>
        <v>53.67932193259692</v>
      </c>
      <c r="B13" s="35">
        <f t="shared" si="0"/>
        <v>8</v>
      </c>
      <c r="C13" s="25" t="s">
        <v>95</v>
      </c>
      <c r="D13" s="25"/>
      <c r="E13" s="25"/>
      <c r="F13" s="25"/>
      <c r="G13" s="8"/>
      <c r="H13" s="190">
        <v>8</v>
      </c>
      <c r="I13" s="191">
        <f t="shared" si="1"/>
        <v>23.67932193259692</v>
      </c>
      <c r="J13" s="191">
        <f t="shared" si="5"/>
        <v>3</v>
      </c>
      <c r="K13" s="190">
        <f t="shared" si="2"/>
        <v>30</v>
      </c>
      <c r="L13" s="190"/>
      <c r="M13" s="192">
        <f t="shared" si="3"/>
        <v>53.67932193259692</v>
      </c>
      <c r="X13" s="193"/>
      <c r="AG13" s="195"/>
      <c r="AH13" s="180" t="s">
        <v>101</v>
      </c>
      <c r="AI13" s="180">
        <f>LOG(AI9)</f>
        <v>1.3617278360175928</v>
      </c>
    </row>
    <row r="14" spans="1:36" x14ac:dyDescent="0.25">
      <c r="A14" s="94">
        <f t="shared" si="4"/>
        <v>42.188474846408212</v>
      </c>
      <c r="B14" s="36">
        <f t="shared" si="0"/>
        <v>9</v>
      </c>
      <c r="C14" s="24" t="s">
        <v>95</v>
      </c>
      <c r="D14" s="24"/>
      <c r="E14" s="24"/>
      <c r="F14" s="24"/>
      <c r="G14" s="8"/>
      <c r="H14" s="187">
        <v>9</v>
      </c>
      <c r="I14" s="188">
        <f t="shared" si="1"/>
        <v>22.188474846408212</v>
      </c>
      <c r="J14" s="188">
        <f t="shared" si="5"/>
        <v>2</v>
      </c>
      <c r="K14" s="187">
        <f t="shared" si="2"/>
        <v>20</v>
      </c>
      <c r="L14" s="187"/>
      <c r="M14" s="189">
        <f t="shared" si="3"/>
        <v>42.188474846408212</v>
      </c>
      <c r="X14" s="197"/>
      <c r="Z14" s="194"/>
      <c r="AA14" s="194"/>
      <c r="AG14" s="195"/>
      <c r="AH14" s="180" t="s">
        <v>102</v>
      </c>
      <c r="AI14" s="180">
        <f>LOG(AI10)</f>
        <v>1.6532125137753437</v>
      </c>
    </row>
    <row r="15" spans="1:36" x14ac:dyDescent="0.25">
      <c r="A15" s="98">
        <f t="shared" si="4"/>
        <v>40.854866683802697</v>
      </c>
      <c r="B15" s="35">
        <f t="shared" si="0"/>
        <v>10</v>
      </c>
      <c r="C15" s="25" t="s">
        <v>95</v>
      </c>
      <c r="D15" s="25"/>
      <c r="E15" s="25"/>
      <c r="F15" s="25"/>
      <c r="G15" s="8"/>
      <c r="H15" s="190">
        <v>10</v>
      </c>
      <c r="I15" s="191">
        <f t="shared" si="1"/>
        <v>20.854866683802701</v>
      </c>
      <c r="J15" s="191">
        <f t="shared" si="5"/>
        <v>2</v>
      </c>
      <c r="K15" s="190">
        <f t="shared" si="2"/>
        <v>20</v>
      </c>
      <c r="L15" s="190"/>
      <c r="M15" s="192">
        <f t="shared" si="3"/>
        <v>40.854866683802697</v>
      </c>
      <c r="X15" s="193"/>
      <c r="Z15" s="194"/>
      <c r="AA15" s="194"/>
    </row>
    <row r="16" spans="1:36" x14ac:dyDescent="0.25">
      <c r="A16" s="94">
        <f t="shared" si="4"/>
        <v>39.648471356550843</v>
      </c>
      <c r="B16" s="36">
        <f t="shared" si="0"/>
        <v>11</v>
      </c>
      <c r="C16" s="24" t="s">
        <v>95</v>
      </c>
      <c r="D16" s="24"/>
      <c r="E16" s="24"/>
      <c r="F16" s="24"/>
      <c r="G16" s="8"/>
      <c r="H16" s="187">
        <v>11</v>
      </c>
      <c r="I16" s="188">
        <f t="shared" si="1"/>
        <v>19.648471356550846</v>
      </c>
      <c r="J16" s="188">
        <f t="shared" si="5"/>
        <v>2</v>
      </c>
      <c r="K16" s="187">
        <f t="shared" si="2"/>
        <v>20</v>
      </c>
      <c r="L16" s="187"/>
      <c r="M16" s="189">
        <f t="shared" si="3"/>
        <v>39.648471356550843</v>
      </c>
      <c r="R16" s="198"/>
      <c r="Z16" s="194"/>
      <c r="AA16" s="194"/>
      <c r="AH16" s="199" t="s">
        <v>104</v>
      </c>
      <c r="AI16" s="180">
        <f>AI11-AI12*AI13/AI14</f>
        <v>9.6393909380186855</v>
      </c>
      <c r="AJ16" s="180" t="s">
        <v>105</v>
      </c>
    </row>
    <row r="17" spans="1:19" x14ac:dyDescent="0.25">
      <c r="A17" s="98">
        <f t="shared" si="4"/>
        <v>38.547118711602053</v>
      </c>
      <c r="B17" s="35">
        <f t="shared" si="0"/>
        <v>12</v>
      </c>
      <c r="C17" s="25" t="s">
        <v>95</v>
      </c>
      <c r="D17" s="25"/>
      <c r="E17" s="25"/>
      <c r="F17" s="25"/>
      <c r="G17" s="8"/>
      <c r="H17" s="190">
        <v>12</v>
      </c>
      <c r="I17" s="191">
        <f t="shared" si="1"/>
        <v>18.547118711602053</v>
      </c>
      <c r="J17" s="191">
        <f t="shared" si="5"/>
        <v>2</v>
      </c>
      <c r="K17" s="190">
        <f t="shared" si="2"/>
        <v>20</v>
      </c>
      <c r="L17" s="190"/>
      <c r="M17" s="192">
        <f t="shared" si="3"/>
        <v>38.547118711602053</v>
      </c>
    </row>
    <row r="18" spans="1:19" x14ac:dyDescent="0.25">
      <c r="A18" s="94">
        <f t="shared" si="4"/>
        <v>37.53397249032551</v>
      </c>
      <c r="B18" s="36">
        <f t="shared" si="0"/>
        <v>13</v>
      </c>
      <c r="C18" s="24" t="s">
        <v>95</v>
      </c>
      <c r="D18" s="24"/>
      <c r="E18" s="24"/>
      <c r="F18" s="24"/>
      <c r="G18" s="8"/>
      <c r="H18" s="187">
        <v>13</v>
      </c>
      <c r="I18" s="188">
        <f t="shared" si="1"/>
        <v>17.53397249032551</v>
      </c>
      <c r="J18" s="188">
        <f t="shared" si="5"/>
        <v>2</v>
      </c>
      <c r="K18" s="187">
        <f t="shared" si="2"/>
        <v>20</v>
      </c>
      <c r="L18" s="187"/>
      <c r="M18" s="189">
        <f t="shared" si="3"/>
        <v>37.53397249032551</v>
      </c>
    </row>
    <row r="19" spans="1:19" x14ac:dyDescent="0.25">
      <c r="A19" s="98">
        <f t="shared" si="4"/>
        <v>36.595945602726424</v>
      </c>
      <c r="B19" s="35">
        <f t="shared" si="0"/>
        <v>14</v>
      </c>
      <c r="C19" s="25" t="s">
        <v>95</v>
      </c>
      <c r="D19" s="25"/>
      <c r="E19" s="25"/>
      <c r="F19" s="25"/>
      <c r="G19" s="8"/>
      <c r="H19" s="190">
        <v>14</v>
      </c>
      <c r="I19" s="191">
        <f t="shared" si="1"/>
        <v>16.595945602726424</v>
      </c>
      <c r="J19" s="191">
        <f t="shared" si="5"/>
        <v>2</v>
      </c>
      <c r="K19" s="190">
        <f t="shared" si="2"/>
        <v>20</v>
      </c>
      <c r="L19" s="190"/>
      <c r="M19" s="192">
        <f t="shared" si="3"/>
        <v>36.595945602726424</v>
      </c>
    </row>
    <row r="20" spans="1:19" x14ac:dyDescent="0.25">
      <c r="A20" s="94">
        <f t="shared" si="4"/>
        <v>35.72266346280783</v>
      </c>
      <c r="B20" s="36">
        <f t="shared" si="0"/>
        <v>15</v>
      </c>
      <c r="C20" s="24" t="s">
        <v>95</v>
      </c>
      <c r="D20" s="24"/>
      <c r="E20" s="24"/>
      <c r="F20" s="24"/>
      <c r="G20" s="8"/>
      <c r="H20" s="187">
        <v>15</v>
      </c>
      <c r="I20" s="188">
        <f t="shared" si="1"/>
        <v>15.72266346280783</v>
      </c>
      <c r="J20" s="188">
        <f t="shared" si="5"/>
        <v>2</v>
      </c>
      <c r="K20" s="187">
        <f t="shared" si="2"/>
        <v>20</v>
      </c>
      <c r="L20" s="187"/>
      <c r="M20" s="189">
        <f t="shared" si="3"/>
        <v>35.72266346280783</v>
      </c>
      <c r="R20" s="200"/>
      <c r="S20" s="201"/>
    </row>
    <row r="21" spans="1:19" x14ac:dyDescent="0.25">
      <c r="A21" s="98">
        <f t="shared" si="4"/>
        <v>34.905762576795894</v>
      </c>
      <c r="B21" s="35">
        <f t="shared" si="0"/>
        <v>16</v>
      </c>
      <c r="C21" s="25" t="s">
        <v>95</v>
      </c>
      <c r="D21" s="25"/>
      <c r="E21" s="25"/>
      <c r="F21" s="25"/>
      <c r="G21" s="8"/>
      <c r="H21" s="190">
        <v>16</v>
      </c>
      <c r="I21" s="191">
        <f t="shared" si="1"/>
        <v>14.905762576795894</v>
      </c>
      <c r="J21" s="191">
        <f t="shared" si="5"/>
        <v>2</v>
      </c>
      <c r="K21" s="190">
        <f t="shared" si="2"/>
        <v>20</v>
      </c>
      <c r="L21" s="190"/>
      <c r="M21" s="192">
        <f t="shared" si="3"/>
        <v>34.905762576795894</v>
      </c>
    </row>
    <row r="22" spans="1:19" x14ac:dyDescent="0.25">
      <c r="A22" s="94">
        <f t="shared" si="4"/>
        <v>24.138402147659036</v>
      </c>
      <c r="B22" s="36">
        <f t="shared" si="0"/>
        <v>17</v>
      </c>
      <c r="C22" s="24" t="s">
        <v>95</v>
      </c>
      <c r="D22" s="24"/>
      <c r="E22" s="24"/>
      <c r="F22" s="24"/>
      <c r="G22" s="8"/>
      <c r="H22" s="187">
        <v>17</v>
      </c>
      <c r="I22" s="188">
        <f t="shared" si="1"/>
        <v>14.138402147659036</v>
      </c>
      <c r="J22" s="188">
        <f t="shared" si="5"/>
        <v>1</v>
      </c>
      <c r="K22" s="187">
        <f t="shared" si="2"/>
        <v>10</v>
      </c>
      <c r="L22" s="187"/>
      <c r="M22" s="189">
        <f t="shared" si="3"/>
        <v>24.138402147659036</v>
      </c>
    </row>
    <row r="23" spans="1:19" x14ac:dyDescent="0.25">
      <c r="A23" s="98">
        <f t="shared" si="4"/>
        <v>23.414915490607186</v>
      </c>
      <c r="B23" s="35">
        <f t="shared" si="0"/>
        <v>18</v>
      </c>
      <c r="C23" s="25" t="s">
        <v>95</v>
      </c>
      <c r="D23" s="25"/>
      <c r="E23" s="25"/>
      <c r="F23" s="25"/>
      <c r="G23" s="8"/>
      <c r="H23" s="190">
        <v>18</v>
      </c>
      <c r="I23" s="191">
        <f t="shared" si="1"/>
        <v>13.414915490607186</v>
      </c>
      <c r="J23" s="191">
        <f t="shared" si="5"/>
        <v>1</v>
      </c>
      <c r="K23" s="190">
        <f t="shared" si="2"/>
        <v>10</v>
      </c>
      <c r="L23" s="190"/>
      <c r="M23" s="192">
        <f t="shared" si="3"/>
        <v>23.414915490607186</v>
      </c>
    </row>
    <row r="24" spans="1:19" x14ac:dyDescent="0.25">
      <c r="A24" s="94">
        <f t="shared" si="4"/>
        <v>22.730555821662442</v>
      </c>
      <c r="B24" s="36">
        <f t="shared" si="0"/>
        <v>19</v>
      </c>
      <c r="C24" s="24" t="s">
        <v>21</v>
      </c>
      <c r="D24" s="24"/>
      <c r="E24" s="24"/>
      <c r="F24" s="24"/>
      <c r="G24" s="8"/>
      <c r="H24" s="187">
        <v>19</v>
      </c>
      <c r="I24" s="188">
        <f t="shared" si="1"/>
        <v>12.730555821662442</v>
      </c>
      <c r="J24" s="188">
        <f t="shared" si="5"/>
        <v>1</v>
      </c>
      <c r="K24" s="187">
        <f t="shared" si="2"/>
        <v>10</v>
      </c>
      <c r="L24" s="187"/>
      <c r="M24" s="189">
        <f t="shared" si="3"/>
        <v>22.730555821662442</v>
      </c>
      <c r="R24" s="200"/>
      <c r="S24" s="201"/>
    </row>
    <row r="25" spans="1:19" x14ac:dyDescent="0.25">
      <c r="A25" s="98">
        <f t="shared" si="4"/>
        <v>22.081307328001671</v>
      </c>
      <c r="B25" s="35">
        <f t="shared" si="0"/>
        <v>20</v>
      </c>
      <c r="C25" s="25" t="s">
        <v>95</v>
      </c>
      <c r="D25" s="25"/>
      <c r="E25" s="25"/>
      <c r="F25" s="25"/>
      <c r="G25" s="8"/>
      <c r="H25" s="190">
        <v>20</v>
      </c>
      <c r="I25" s="191">
        <f t="shared" si="1"/>
        <v>12.081307328001671</v>
      </c>
      <c r="J25" s="191">
        <f t="shared" si="5"/>
        <v>1</v>
      </c>
      <c r="K25" s="190">
        <f t="shared" si="2"/>
        <v>10</v>
      </c>
      <c r="L25" s="190"/>
      <c r="M25" s="192">
        <f t="shared" si="3"/>
        <v>22.081307328001671</v>
      </c>
    </row>
    <row r="26" spans="1:19" x14ac:dyDescent="0.25">
      <c r="A26" s="94">
        <f t="shared" si="4"/>
        <v>21.463742381731549</v>
      </c>
      <c r="B26" s="36">
        <f t="shared" si="0"/>
        <v>21</v>
      </c>
      <c r="C26" s="24" t="s">
        <v>95</v>
      </c>
      <c r="D26" s="24"/>
      <c r="E26" s="24"/>
      <c r="F26" s="24"/>
      <c r="G26" s="8"/>
      <c r="H26" s="187">
        <v>21</v>
      </c>
      <c r="I26" s="188">
        <f t="shared" si="1"/>
        <v>11.463742381731549</v>
      </c>
      <c r="J26" s="188">
        <f t="shared" si="5"/>
        <v>1</v>
      </c>
      <c r="K26" s="187">
        <f t="shared" si="2"/>
        <v>10</v>
      </c>
      <c r="L26" s="187"/>
      <c r="M26" s="189">
        <f t="shared" si="3"/>
        <v>21.463742381731549</v>
      </c>
    </row>
    <row r="27" spans="1:19" x14ac:dyDescent="0.25">
      <c r="A27" s="98">
        <f t="shared" si="4"/>
        <v>20.874912000749823</v>
      </c>
      <c r="B27" s="35">
        <f t="shared" si="0"/>
        <v>22</v>
      </c>
      <c r="C27" s="25" t="s">
        <v>95</v>
      </c>
      <c r="D27" s="25"/>
      <c r="E27" s="25"/>
      <c r="F27" s="25"/>
      <c r="G27" s="8"/>
      <c r="H27" s="190">
        <v>22</v>
      </c>
      <c r="I27" s="191">
        <f t="shared" si="1"/>
        <v>10.874912000749823</v>
      </c>
      <c r="J27" s="191">
        <f t="shared" si="5"/>
        <v>1</v>
      </c>
      <c r="K27" s="190">
        <f t="shared" si="2"/>
        <v>10</v>
      </c>
      <c r="L27" s="190"/>
      <c r="M27" s="192">
        <f t="shared" si="3"/>
        <v>20.874912000749823</v>
      </c>
    </row>
    <row r="28" spans="1:19" x14ac:dyDescent="0.25">
      <c r="A28" s="94">
        <f t="shared" si="4"/>
        <v>20.312260678890397</v>
      </c>
      <c r="B28" s="36">
        <f t="shared" si="0"/>
        <v>23</v>
      </c>
      <c r="C28" s="24" t="s">
        <v>95</v>
      </c>
      <c r="D28" s="24"/>
      <c r="E28" s="24"/>
      <c r="F28" s="24"/>
      <c r="G28" s="8"/>
      <c r="H28" s="187">
        <v>23</v>
      </c>
      <c r="I28" s="188">
        <f t="shared" si="1"/>
        <v>10.312260678890397</v>
      </c>
      <c r="J28" s="188">
        <f t="shared" si="5"/>
        <v>1</v>
      </c>
      <c r="K28" s="187">
        <f t="shared" si="2"/>
        <v>10</v>
      </c>
      <c r="L28" s="187"/>
      <c r="M28" s="189">
        <f t="shared" si="3"/>
        <v>20.312260678890397</v>
      </c>
      <c r="R28" s="200"/>
      <c r="S28" s="201"/>
    </row>
    <row r="29" spans="1:19" x14ac:dyDescent="0.25">
      <c r="A29" s="98">
        <f t="shared" si="4"/>
        <v>19.773559355801034</v>
      </c>
      <c r="B29" s="35">
        <f t="shared" si="0"/>
        <v>24</v>
      </c>
      <c r="C29" s="25" t="s">
        <v>95</v>
      </c>
      <c r="D29" s="25"/>
      <c r="E29" s="25"/>
      <c r="F29" s="25"/>
      <c r="G29" s="175"/>
      <c r="H29" s="190">
        <v>24</v>
      </c>
      <c r="I29" s="191">
        <f t="shared" si="1"/>
        <v>9.7735593558010336</v>
      </c>
      <c r="J29" s="191">
        <f t="shared" si="5"/>
        <v>1</v>
      </c>
      <c r="K29" s="190">
        <f t="shared" si="2"/>
        <v>10</v>
      </c>
      <c r="L29" s="190"/>
      <c r="M29" s="192">
        <f t="shared" si="3"/>
        <v>19.773559355801034</v>
      </c>
    </row>
    <row r="30" spans="1:19" x14ac:dyDescent="0.25">
      <c r="A30" s="94">
        <f t="shared" si="4"/>
        <v>19.256852079207455</v>
      </c>
      <c r="B30" s="36">
        <f t="shared" si="0"/>
        <v>25</v>
      </c>
      <c r="C30" s="24" t="s">
        <v>95</v>
      </c>
      <c r="D30" s="24"/>
      <c r="E30" s="24"/>
      <c r="F30" s="24"/>
      <c r="G30" s="175"/>
      <c r="H30" s="187">
        <v>25</v>
      </c>
      <c r="I30" s="188">
        <f t="shared" si="1"/>
        <v>9.2568520792074551</v>
      </c>
      <c r="J30" s="188">
        <f t="shared" si="5"/>
        <v>1</v>
      </c>
      <c r="K30" s="187">
        <f t="shared" si="2"/>
        <v>10</v>
      </c>
      <c r="L30" s="187"/>
      <c r="M30" s="189">
        <f t="shared" si="3"/>
        <v>19.256852079207455</v>
      </c>
    </row>
    <row r="31" spans="1:19" x14ac:dyDescent="0.25">
      <c r="A31" s="98">
        <f t="shared" si="4"/>
        <v>18.760413134524477</v>
      </c>
      <c r="B31" s="35">
        <f t="shared" si="0"/>
        <v>26</v>
      </c>
      <c r="C31" s="25" t="s">
        <v>95</v>
      </c>
      <c r="D31" s="25"/>
      <c r="E31" s="25"/>
      <c r="F31" s="25"/>
      <c r="G31" s="175"/>
      <c r="H31" s="190">
        <v>26</v>
      </c>
      <c r="I31" s="191">
        <f t="shared" si="1"/>
        <v>8.7604131345244767</v>
      </c>
      <c r="J31" s="191">
        <f t="shared" si="5"/>
        <v>1</v>
      </c>
      <c r="K31" s="190">
        <f t="shared" si="2"/>
        <v>10</v>
      </c>
      <c r="L31" s="190"/>
      <c r="M31" s="192">
        <f t="shared" si="3"/>
        <v>18.760413134524477</v>
      </c>
    </row>
    <row r="32" spans="1:19" x14ac:dyDescent="0.25">
      <c r="A32" s="94">
        <f t="shared" si="4"/>
        <v>18.282712269612325</v>
      </c>
      <c r="B32" s="36">
        <f t="shared" si="0"/>
        <v>27</v>
      </c>
      <c r="C32" s="24" t="s">
        <v>95</v>
      </c>
      <c r="D32" s="24"/>
      <c r="E32" s="24"/>
      <c r="F32" s="24"/>
      <c r="G32" s="175"/>
      <c r="H32" s="187">
        <v>27</v>
      </c>
      <c r="I32" s="188">
        <f t="shared" si="1"/>
        <v>8.2827122696123254</v>
      </c>
      <c r="J32" s="188">
        <f t="shared" si="5"/>
        <v>1</v>
      </c>
      <c r="K32" s="187">
        <f t="shared" si="2"/>
        <v>10</v>
      </c>
      <c r="L32" s="187"/>
      <c r="M32" s="189">
        <f t="shared" si="3"/>
        <v>18.282712269612325</v>
      </c>
      <c r="R32" s="200"/>
      <c r="S32" s="201"/>
    </row>
    <row r="33" spans="1:21" x14ac:dyDescent="0.25">
      <c r="A33" s="98">
        <f t="shared" si="4"/>
        <v>17.82238624692539</v>
      </c>
      <c r="B33" s="35">
        <f t="shared" si="0"/>
        <v>28</v>
      </c>
      <c r="C33" s="25" t="s">
        <v>95</v>
      </c>
      <c r="D33" s="25"/>
      <c r="E33" s="25"/>
      <c r="F33" s="25"/>
      <c r="G33" s="175"/>
      <c r="H33" s="190">
        <v>28</v>
      </c>
      <c r="I33" s="191">
        <f t="shared" si="1"/>
        <v>7.8223862469253902</v>
      </c>
      <c r="J33" s="191">
        <f t="shared" si="5"/>
        <v>1</v>
      </c>
      <c r="K33" s="190">
        <f t="shared" si="2"/>
        <v>10</v>
      </c>
      <c r="L33" s="190"/>
      <c r="M33" s="192">
        <f t="shared" si="3"/>
        <v>17.82238624692539</v>
      </c>
    </row>
    <row r="34" spans="1:21" x14ac:dyDescent="0.25">
      <c r="A34" s="94">
        <f t="shared" si="4"/>
        <v>17.378215389894905</v>
      </c>
      <c r="B34" s="36">
        <f t="shared" si="0"/>
        <v>29</v>
      </c>
      <c r="C34" s="24" t="s">
        <v>95</v>
      </c>
      <c r="D34" s="24"/>
      <c r="E34" s="24"/>
      <c r="F34" s="24"/>
      <c r="G34" s="175"/>
      <c r="H34" s="187">
        <v>29</v>
      </c>
      <c r="I34" s="188">
        <f t="shared" si="1"/>
        <v>7.3782153898949048</v>
      </c>
      <c r="J34" s="188">
        <f t="shared" si="5"/>
        <v>1</v>
      </c>
      <c r="K34" s="187">
        <f t="shared" si="2"/>
        <v>10</v>
      </c>
      <c r="L34" s="187"/>
      <c r="M34" s="189">
        <f t="shared" si="3"/>
        <v>17.378215389894905</v>
      </c>
    </row>
    <row r="35" spans="1:21" x14ac:dyDescent="0.25">
      <c r="A35" s="98">
        <f t="shared" si="4"/>
        <v>16.949104107006811</v>
      </c>
      <c r="B35" s="35">
        <f t="shared" si="0"/>
        <v>30</v>
      </c>
      <c r="C35" s="25" t="s">
        <v>95</v>
      </c>
      <c r="D35" s="25"/>
      <c r="E35" s="25"/>
      <c r="F35" s="25"/>
      <c r="G35" s="175"/>
      <c r="H35" s="190">
        <v>30</v>
      </c>
      <c r="I35" s="191">
        <f t="shared" si="1"/>
        <v>6.9491041070068107</v>
      </c>
      <c r="J35" s="191">
        <f t="shared" si="5"/>
        <v>1</v>
      </c>
      <c r="K35" s="190">
        <f t="shared" si="2"/>
        <v>10</v>
      </c>
      <c r="L35" s="190"/>
      <c r="M35" s="192">
        <f t="shared" si="3"/>
        <v>16.949104107006811</v>
      </c>
    </row>
    <row r="36" spans="1:21" x14ac:dyDescent="0.25">
      <c r="A36" s="94">
        <f t="shared" si="4"/>
        <v>16.534064610530308</v>
      </c>
      <c r="B36" s="36">
        <f t="shared" si="0"/>
        <v>31</v>
      </c>
      <c r="C36" s="24" t="s">
        <v>95</v>
      </c>
      <c r="D36" s="24"/>
      <c r="E36" s="24"/>
      <c r="F36" s="24"/>
      <c r="G36" s="175"/>
      <c r="H36" s="187">
        <v>31</v>
      </c>
      <c r="I36" s="188">
        <f t="shared" si="1"/>
        <v>6.534064610530308</v>
      </c>
      <c r="J36" s="188">
        <f t="shared" si="5"/>
        <v>1</v>
      </c>
      <c r="K36" s="187">
        <f t="shared" si="2"/>
        <v>10</v>
      </c>
      <c r="L36" s="187"/>
      <c r="M36" s="189">
        <f t="shared" si="3"/>
        <v>16.534064610530308</v>
      </c>
      <c r="R36" s="200"/>
      <c r="S36" s="201"/>
    </row>
    <row r="37" spans="1:21" x14ac:dyDescent="0.25">
      <c r="A37" s="98">
        <f t="shared" si="4"/>
        <v>16.13220322099486</v>
      </c>
      <c r="B37" s="35">
        <f t="shared" si="0"/>
        <v>32</v>
      </c>
      <c r="C37" s="25" t="s">
        <v>33</v>
      </c>
      <c r="D37" s="25"/>
      <c r="E37" s="25"/>
      <c r="F37" s="25"/>
      <c r="G37" s="175"/>
      <c r="H37" s="190">
        <v>32</v>
      </c>
      <c r="I37" s="191">
        <f t="shared" si="1"/>
        <v>6.1322032209948603</v>
      </c>
      <c r="J37" s="191">
        <f t="shared" si="5"/>
        <v>1</v>
      </c>
      <c r="K37" s="190">
        <f t="shared" si="2"/>
        <v>10</v>
      </c>
      <c r="L37" s="190"/>
      <c r="M37" s="192">
        <f t="shared" si="3"/>
        <v>16.13220322099486</v>
      </c>
    </row>
    <row r="38" spans="1:21" x14ac:dyDescent="0.25">
      <c r="A38" s="98">
        <f t="shared" si="4"/>
        <v>5.7427087797549561</v>
      </c>
      <c r="B38" s="36">
        <f t="shared" si="0"/>
        <v>33</v>
      </c>
      <c r="C38" s="24" t="s">
        <v>95</v>
      </c>
      <c r="D38" s="24"/>
      <c r="E38" s="24"/>
      <c r="F38" s="24"/>
      <c r="G38" s="175"/>
      <c r="H38" s="187">
        <v>33</v>
      </c>
      <c r="I38" s="188">
        <f t="shared" si="1"/>
        <v>5.7427087797549561</v>
      </c>
      <c r="J38" s="188">
        <f t="shared" si="5"/>
        <v>0</v>
      </c>
      <c r="K38" s="187">
        <f t="shared" si="2"/>
        <v>0</v>
      </c>
      <c r="L38" s="187"/>
      <c r="M38" s="189">
        <f t="shared" si="3"/>
        <v>5.7427087797549561</v>
      </c>
    </row>
    <row r="39" spans="1:21" x14ac:dyDescent="0.25">
      <c r="A39" s="98">
        <f t="shared" si="4"/>
        <v>5.3648427918580026</v>
      </c>
      <c r="B39" s="35">
        <f t="shared" si="0"/>
        <v>34</v>
      </c>
      <c r="C39" s="25" t="s">
        <v>95</v>
      </c>
      <c r="D39" s="25"/>
      <c r="E39" s="25"/>
      <c r="F39" s="25"/>
      <c r="G39" s="175"/>
      <c r="H39" s="190">
        <v>34</v>
      </c>
      <c r="I39" s="191">
        <f t="shared" si="1"/>
        <v>5.3648427918580026</v>
      </c>
      <c r="J39" s="191">
        <f t="shared" si="5"/>
        <v>0</v>
      </c>
      <c r="K39" s="190">
        <f t="shared" si="2"/>
        <v>0</v>
      </c>
      <c r="L39" s="190"/>
      <c r="M39" s="192">
        <f t="shared" si="3"/>
        <v>5.3648427918580026</v>
      </c>
    </row>
    <row r="40" spans="1:21" x14ac:dyDescent="0.25">
      <c r="A40" s="98">
        <f t="shared" si="4"/>
        <v>4.9979309981311673</v>
      </c>
      <c r="B40" s="36">
        <f t="shared" si="0"/>
        <v>35</v>
      </c>
      <c r="C40" s="24" t="s">
        <v>95</v>
      </c>
      <c r="D40" s="24"/>
      <c r="E40" s="24"/>
      <c r="F40" s="24"/>
      <c r="G40" s="175"/>
      <c r="H40" s="187">
        <v>35</v>
      </c>
      <c r="I40" s="188">
        <f t="shared" si="1"/>
        <v>4.9979309981311673</v>
      </c>
      <c r="J40" s="188">
        <f t="shared" si="5"/>
        <v>0</v>
      </c>
      <c r="K40" s="187">
        <f t="shared" si="2"/>
        <v>0</v>
      </c>
      <c r="L40" s="187"/>
      <c r="M40" s="189">
        <f t="shared" si="3"/>
        <v>4.9979309981311673</v>
      </c>
    </row>
    <row r="41" spans="1:21" x14ac:dyDescent="0.25">
      <c r="A41" s="98">
        <f t="shared" si="4"/>
        <v>4.6413561348061592</v>
      </c>
      <c r="B41" s="35">
        <f t="shared" si="0"/>
        <v>36</v>
      </c>
      <c r="C41" s="25" t="s">
        <v>95</v>
      </c>
      <c r="D41" s="25"/>
      <c r="E41" s="25"/>
      <c r="F41" s="25"/>
      <c r="G41" s="175"/>
      <c r="H41" s="190">
        <v>36</v>
      </c>
      <c r="I41" s="191">
        <f t="shared" si="1"/>
        <v>4.6413561348061592</v>
      </c>
      <c r="J41" s="191">
        <f t="shared" si="5"/>
        <v>0</v>
      </c>
      <c r="K41" s="190">
        <f t="shared" si="2"/>
        <v>0</v>
      </c>
      <c r="L41" s="190"/>
      <c r="M41" s="192">
        <f t="shared" si="3"/>
        <v>4.6413561348061592</v>
      </c>
      <c r="S41" s="202"/>
    </row>
    <row r="42" spans="1:21" x14ac:dyDescent="0.25">
      <c r="A42" s="98">
        <f t="shared" si="4"/>
        <v>4.2945516853769732</v>
      </c>
      <c r="B42" s="36">
        <f t="shared" si="0"/>
        <v>37</v>
      </c>
      <c r="C42" s="24" t="s">
        <v>95</v>
      </c>
      <c r="D42" s="24"/>
      <c r="E42" s="24"/>
      <c r="F42" s="24"/>
      <c r="G42" s="175"/>
      <c r="H42" s="187">
        <v>37</v>
      </c>
      <c r="I42" s="188">
        <f t="shared" si="1"/>
        <v>4.2945516853769732</v>
      </c>
      <c r="J42" s="188">
        <f t="shared" si="5"/>
        <v>0</v>
      </c>
      <c r="K42" s="187">
        <f t="shared" si="2"/>
        <v>0</v>
      </c>
      <c r="L42" s="187"/>
      <c r="M42" s="189">
        <f t="shared" si="3"/>
        <v>4.2945516853769732</v>
      </c>
    </row>
    <row r="43" spans="1:21" x14ac:dyDescent="0.25">
      <c r="A43" s="98">
        <f t="shared" si="4"/>
        <v>3.9569964658614083</v>
      </c>
      <c r="B43" s="35">
        <f t="shared" si="0"/>
        <v>38</v>
      </c>
      <c r="C43" s="25" t="s">
        <v>95</v>
      </c>
      <c r="D43" s="25"/>
      <c r="E43" s="25"/>
      <c r="F43" s="25"/>
      <c r="G43" s="175"/>
      <c r="H43" s="190">
        <v>38</v>
      </c>
      <c r="I43" s="191">
        <f t="shared" si="1"/>
        <v>3.9569964658614083</v>
      </c>
      <c r="J43" s="191">
        <f t="shared" si="5"/>
        <v>0</v>
      </c>
      <c r="K43" s="190">
        <f t="shared" si="2"/>
        <v>0</v>
      </c>
      <c r="L43" s="190"/>
      <c r="M43" s="192">
        <f t="shared" si="3"/>
        <v>3.9569964658614083</v>
      </c>
    </row>
    <row r="44" spans="1:21" x14ac:dyDescent="0.25">
      <c r="A44" s="98">
        <f t="shared" si="4"/>
        <v>3.6282099135296164</v>
      </c>
      <c r="B44" s="36">
        <f t="shared" si="0"/>
        <v>39</v>
      </c>
      <c r="C44" s="24" t="s">
        <v>95</v>
      </c>
      <c r="D44" s="24"/>
      <c r="E44" s="24"/>
      <c r="F44" s="24"/>
      <c r="G44" s="175"/>
      <c r="H44" s="187">
        <v>39</v>
      </c>
      <c r="I44" s="188">
        <f t="shared" si="1"/>
        <v>3.6282099135296164</v>
      </c>
      <c r="J44" s="188">
        <f t="shared" si="5"/>
        <v>0</v>
      </c>
      <c r="K44" s="187">
        <f t="shared" si="2"/>
        <v>0</v>
      </c>
      <c r="L44" s="187"/>
      <c r="M44" s="189">
        <f t="shared" si="3"/>
        <v>3.6282099135296164</v>
      </c>
    </row>
    <row r="45" spans="1:21" x14ac:dyDescent="0.25">
      <c r="A45" s="98">
        <f t="shared" si="4"/>
        <v>3.3077479722006515</v>
      </c>
      <c r="B45" s="35">
        <f t="shared" si="0"/>
        <v>40</v>
      </c>
      <c r="C45" s="25" t="s">
        <v>95</v>
      </c>
      <c r="D45" s="25"/>
      <c r="E45" s="25"/>
      <c r="F45" s="25"/>
      <c r="G45" s="175"/>
      <c r="H45" s="190">
        <v>40</v>
      </c>
      <c r="I45" s="191">
        <f t="shared" si="1"/>
        <v>3.3077479722006515</v>
      </c>
      <c r="J45" s="191">
        <f t="shared" si="5"/>
        <v>0</v>
      </c>
      <c r="K45" s="190">
        <f t="shared" si="2"/>
        <v>0</v>
      </c>
      <c r="L45" s="190"/>
      <c r="M45" s="192">
        <f t="shared" si="3"/>
        <v>3.3077479722006515</v>
      </c>
    </row>
    <row r="46" spans="1:21" x14ac:dyDescent="0.25">
      <c r="A46" s="98">
        <f t="shared" si="4"/>
        <v>2.9951994856924671</v>
      </c>
      <c r="B46" s="36">
        <f t="shared" si="0"/>
        <v>41</v>
      </c>
      <c r="C46" s="24" t="s">
        <v>95</v>
      </c>
      <c r="D46" s="24"/>
      <c r="E46" s="24"/>
      <c r="F46" s="24"/>
      <c r="G46" s="175"/>
      <c r="H46" s="187">
        <v>41</v>
      </c>
      <c r="I46" s="188">
        <f t="shared" si="1"/>
        <v>2.9951994856924671</v>
      </c>
      <c r="J46" s="188">
        <f t="shared" si="5"/>
        <v>0</v>
      </c>
      <c r="K46" s="187">
        <f t="shared" si="2"/>
        <v>0</v>
      </c>
      <c r="L46" s="187"/>
      <c r="M46" s="189">
        <f t="shared" si="3"/>
        <v>2.9951994856924671</v>
      </c>
      <c r="R46" s="175">
        <f>LOG($H$2,2)</f>
        <v>5.584962500721157</v>
      </c>
      <c r="T46" s="180">
        <f>LOG(H38,2)</f>
        <v>5.0443941193584534</v>
      </c>
      <c r="U46" s="180">
        <f>R46-T46</f>
        <v>0.54056838136270358</v>
      </c>
    </row>
    <row r="47" spans="1:21" x14ac:dyDescent="0.25">
      <c r="A47" s="98">
        <f t="shared" si="4"/>
        <v>2.6901830259305157</v>
      </c>
      <c r="B47" s="35">
        <f t="shared" si="0"/>
        <v>42</v>
      </c>
      <c r="C47" s="25" t="s">
        <v>95</v>
      </c>
      <c r="D47" s="25"/>
      <c r="E47" s="25"/>
      <c r="F47" s="25"/>
      <c r="G47" s="175"/>
      <c r="H47" s="190">
        <v>42</v>
      </c>
      <c r="I47" s="191">
        <f t="shared" si="1"/>
        <v>2.6901830259305157</v>
      </c>
      <c r="J47" s="191">
        <f t="shared" si="5"/>
        <v>0</v>
      </c>
      <c r="K47" s="190">
        <f t="shared" si="2"/>
        <v>0</v>
      </c>
      <c r="L47" s="190"/>
      <c r="M47" s="192">
        <f t="shared" si="3"/>
        <v>2.6901830259305157</v>
      </c>
    </row>
    <row r="48" spans="1:21" x14ac:dyDescent="0.25">
      <c r="A48" s="98">
        <f t="shared" si="4"/>
        <v>2.3923440943300491</v>
      </c>
      <c r="B48" s="36">
        <f t="shared" si="0"/>
        <v>43</v>
      </c>
      <c r="C48" s="24" t="s">
        <v>95</v>
      </c>
      <c r="D48" s="24"/>
      <c r="E48" s="24"/>
      <c r="F48" s="24"/>
      <c r="G48" s="175"/>
      <c r="H48" s="187">
        <v>43</v>
      </c>
      <c r="I48" s="188">
        <f t="shared" si="1"/>
        <v>2.3923440943300491</v>
      </c>
      <c r="J48" s="188">
        <f t="shared" si="5"/>
        <v>0</v>
      </c>
      <c r="K48" s="187">
        <f t="shared" si="2"/>
        <v>0</v>
      </c>
      <c r="L48" s="187"/>
      <c r="M48" s="189">
        <f t="shared" si="3"/>
        <v>2.3923440943300491</v>
      </c>
    </row>
    <row r="49" spans="1:13" x14ac:dyDescent="0.25">
      <c r="A49" s="98">
        <f t="shared" si="4"/>
        <v>2.1013526449487969</v>
      </c>
      <c r="B49" s="35">
        <f t="shared" si="0"/>
        <v>44</v>
      </c>
      <c r="C49" s="25" t="s">
        <v>95</v>
      </c>
      <c r="D49" s="25"/>
      <c r="E49" s="25"/>
      <c r="F49" s="25"/>
      <c r="G49" s="175"/>
      <c r="H49" s="190">
        <v>44</v>
      </c>
      <c r="I49" s="191">
        <f t="shared" si="1"/>
        <v>2.1013526449487969</v>
      </c>
      <c r="J49" s="191">
        <f t="shared" si="5"/>
        <v>0</v>
      </c>
      <c r="K49" s="190">
        <f t="shared" si="2"/>
        <v>0</v>
      </c>
      <c r="L49" s="190"/>
      <c r="M49" s="192">
        <f t="shared" si="3"/>
        <v>2.1013526449487969</v>
      </c>
    </row>
    <row r="50" spans="1:13" x14ac:dyDescent="0.25">
      <c r="A50" s="98">
        <f t="shared" si="4"/>
        <v>1.8169008860119362</v>
      </c>
      <c r="B50" s="36">
        <f t="shared" si="0"/>
        <v>45</v>
      </c>
      <c r="C50" s="24" t="s">
        <v>95</v>
      </c>
      <c r="D50" s="24"/>
      <c r="E50" s="24"/>
      <c r="F50" s="24"/>
      <c r="G50" s="175"/>
      <c r="H50" s="187">
        <v>45</v>
      </c>
      <c r="I50" s="188">
        <f t="shared" si="1"/>
        <v>1.8169008860119362</v>
      </c>
      <c r="J50" s="188">
        <f t="shared" si="5"/>
        <v>0</v>
      </c>
      <c r="K50" s="187">
        <f t="shared" si="2"/>
        <v>0</v>
      </c>
      <c r="L50" s="187"/>
      <c r="M50" s="189">
        <f t="shared" si="3"/>
        <v>1.8169008860119362</v>
      </c>
    </row>
    <row r="51" spans="1:13" x14ac:dyDescent="0.25">
      <c r="A51" s="98">
        <f t="shared" si="4"/>
        <v>1.53870132308937</v>
      </c>
      <c r="B51" s="35">
        <f t="shared" si="0"/>
        <v>46</v>
      </c>
      <c r="C51" s="25" t="s">
        <v>95</v>
      </c>
      <c r="D51" s="25"/>
      <c r="E51" s="25"/>
      <c r="F51" s="25"/>
      <c r="G51" s="175"/>
      <c r="H51" s="190">
        <v>46</v>
      </c>
      <c r="I51" s="191">
        <f t="shared" si="1"/>
        <v>1.53870132308937</v>
      </c>
      <c r="J51" s="191">
        <f t="shared" si="5"/>
        <v>0</v>
      </c>
      <c r="K51" s="190">
        <f t="shared" si="2"/>
        <v>0</v>
      </c>
      <c r="L51" s="190"/>
      <c r="M51" s="192">
        <f t="shared" si="3"/>
        <v>1.53870132308937</v>
      </c>
    </row>
    <row r="52" spans="1:13" x14ac:dyDescent="0.25">
      <c r="A52" s="98">
        <f t="shared" si="4"/>
        <v>1.2664850127355791</v>
      </c>
      <c r="B52" s="36">
        <f t="shared" si="0"/>
        <v>47</v>
      </c>
      <c r="C52" s="24" t="s">
        <v>95</v>
      </c>
      <c r="D52" s="24"/>
      <c r="E52" s="24"/>
      <c r="F52" s="24"/>
      <c r="G52" s="175"/>
      <c r="H52" s="187">
        <v>47</v>
      </c>
      <c r="I52" s="188">
        <f t="shared" si="1"/>
        <v>1.2664850127355791</v>
      </c>
      <c r="J52" s="188">
        <f t="shared" si="5"/>
        <v>0</v>
      </c>
      <c r="K52" s="187">
        <f t="shared" si="2"/>
        <v>0</v>
      </c>
      <c r="L52" s="187"/>
      <c r="M52" s="189">
        <f t="shared" si="3"/>
        <v>1.2664850127355791</v>
      </c>
    </row>
    <row r="53" spans="1:13" x14ac:dyDescent="0.25">
      <c r="A53" s="98">
        <f t="shared" si="4"/>
        <v>1</v>
      </c>
      <c r="B53" s="35">
        <f t="shared" si="0"/>
        <v>48</v>
      </c>
      <c r="C53" s="25" t="s">
        <v>95</v>
      </c>
      <c r="D53" s="25"/>
      <c r="E53" s="25"/>
      <c r="F53" s="25"/>
      <c r="G53" s="175"/>
      <c r="H53" s="190">
        <v>48</v>
      </c>
      <c r="I53" s="191">
        <f t="shared" si="1"/>
        <v>1</v>
      </c>
      <c r="J53" s="191">
        <f t="shared" si="5"/>
        <v>0</v>
      </c>
      <c r="K53" s="190">
        <f t="shared" si="2"/>
        <v>0</v>
      </c>
      <c r="L53" s="190"/>
      <c r="M53" s="192">
        <f t="shared" si="3"/>
        <v>1</v>
      </c>
    </row>
    <row r="54" spans="1:13" x14ac:dyDescent="0.25">
      <c r="A54" s="98">
        <f t="shared" si="4"/>
        <v>0</v>
      </c>
      <c r="B54" s="36" t="str">
        <f t="shared" si="0"/>
        <v/>
      </c>
      <c r="C54" s="24"/>
      <c r="D54" s="24"/>
      <c r="E54" s="24"/>
      <c r="F54" s="24"/>
      <c r="G54" s="175"/>
      <c r="H54" s="187">
        <v>49</v>
      </c>
      <c r="I54" s="188" t="str">
        <f t="shared" si="1"/>
        <v/>
      </c>
      <c r="J54" s="188">
        <f t="shared" si="5"/>
        <v>0</v>
      </c>
      <c r="K54" s="187">
        <f t="shared" si="2"/>
        <v>0</v>
      </c>
      <c r="L54" s="187"/>
      <c r="M54" s="189">
        <f t="shared" si="3"/>
        <v>0</v>
      </c>
    </row>
    <row r="55" spans="1:13" x14ac:dyDescent="0.25">
      <c r="A55" s="98">
        <f t="shared" si="4"/>
        <v>0</v>
      </c>
      <c r="B55" s="35" t="str">
        <f t="shared" si="0"/>
        <v/>
      </c>
      <c r="C55" s="25"/>
      <c r="D55" s="25"/>
      <c r="E55" s="25"/>
      <c r="F55" s="25"/>
      <c r="G55" s="175"/>
      <c r="H55" s="190">
        <v>50</v>
      </c>
      <c r="I55" s="191" t="str">
        <f t="shared" si="1"/>
        <v/>
      </c>
      <c r="J55" s="191">
        <f t="shared" si="5"/>
        <v>0</v>
      </c>
      <c r="K55" s="190">
        <f t="shared" si="2"/>
        <v>0</v>
      </c>
      <c r="L55" s="190"/>
      <c r="M55" s="192">
        <f t="shared" si="3"/>
        <v>0</v>
      </c>
    </row>
    <row r="56" spans="1:13" x14ac:dyDescent="0.25">
      <c r="A56" s="98">
        <f t="shared" si="4"/>
        <v>0</v>
      </c>
      <c r="B56" s="36" t="str">
        <f t="shared" si="0"/>
        <v/>
      </c>
      <c r="C56" s="24"/>
      <c r="D56" s="24"/>
      <c r="E56" s="24"/>
      <c r="F56" s="24"/>
      <c r="G56" s="175"/>
      <c r="H56" s="187">
        <v>51</v>
      </c>
      <c r="I56" s="188" t="str">
        <f t="shared" si="1"/>
        <v/>
      </c>
      <c r="J56" s="188">
        <f t="shared" si="5"/>
        <v>0</v>
      </c>
      <c r="K56" s="187">
        <f t="shared" si="2"/>
        <v>0</v>
      </c>
      <c r="L56" s="187"/>
      <c r="M56" s="189">
        <f t="shared" si="3"/>
        <v>0</v>
      </c>
    </row>
    <row r="57" spans="1:13" x14ac:dyDescent="0.25">
      <c r="A57" s="98">
        <f t="shared" si="4"/>
        <v>0</v>
      </c>
      <c r="B57" s="35" t="str">
        <f t="shared" si="0"/>
        <v/>
      </c>
      <c r="C57" s="25"/>
      <c r="D57" s="25"/>
      <c r="E57" s="25"/>
      <c r="F57" s="25"/>
      <c r="G57" s="175"/>
      <c r="H57" s="190">
        <v>52</v>
      </c>
      <c r="I57" s="191" t="str">
        <f t="shared" si="1"/>
        <v/>
      </c>
      <c r="J57" s="191">
        <f t="shared" si="5"/>
        <v>0</v>
      </c>
      <c r="K57" s="190">
        <f t="shared" si="2"/>
        <v>0</v>
      </c>
      <c r="L57" s="190"/>
      <c r="M57" s="192">
        <f t="shared" si="3"/>
        <v>0</v>
      </c>
    </row>
    <row r="58" spans="1:13" x14ac:dyDescent="0.25">
      <c r="A58" s="98">
        <f t="shared" si="4"/>
        <v>0</v>
      </c>
      <c r="B58" s="36" t="str">
        <f t="shared" si="0"/>
        <v/>
      </c>
      <c r="C58" s="24"/>
      <c r="D58" s="24"/>
      <c r="E58" s="24"/>
      <c r="F58" s="24"/>
      <c r="G58" s="175"/>
      <c r="H58" s="187">
        <v>53</v>
      </c>
      <c r="I58" s="188" t="str">
        <f t="shared" si="1"/>
        <v/>
      </c>
      <c r="J58" s="188">
        <f t="shared" si="5"/>
        <v>0</v>
      </c>
      <c r="K58" s="187">
        <f t="shared" si="2"/>
        <v>0</v>
      </c>
      <c r="L58" s="187"/>
      <c r="M58" s="189">
        <f t="shared" si="3"/>
        <v>0</v>
      </c>
    </row>
    <row r="59" spans="1:13" x14ac:dyDescent="0.25">
      <c r="A59" s="98">
        <f t="shared" si="4"/>
        <v>0</v>
      </c>
      <c r="B59" s="35" t="str">
        <f t="shared" si="0"/>
        <v/>
      </c>
      <c r="C59" s="25"/>
      <c r="D59" s="25"/>
      <c r="E59" s="25"/>
      <c r="F59" s="25"/>
      <c r="G59" s="175"/>
      <c r="H59" s="190">
        <v>54</v>
      </c>
      <c r="I59" s="191" t="str">
        <f t="shared" si="1"/>
        <v/>
      </c>
      <c r="J59" s="191">
        <f t="shared" si="5"/>
        <v>0</v>
      </c>
      <c r="K59" s="190">
        <f t="shared" si="2"/>
        <v>0</v>
      </c>
      <c r="L59" s="190"/>
      <c r="M59" s="192">
        <f t="shared" si="3"/>
        <v>0</v>
      </c>
    </row>
    <row r="60" spans="1:13" x14ac:dyDescent="0.25">
      <c r="A60" s="98">
        <f t="shared" si="4"/>
        <v>0</v>
      </c>
      <c r="B60" s="36" t="str">
        <f t="shared" si="0"/>
        <v/>
      </c>
      <c r="C60" s="24"/>
      <c r="D60" s="24"/>
      <c r="E60" s="24"/>
      <c r="F60" s="24"/>
      <c r="G60" s="175"/>
      <c r="H60" s="187">
        <v>55</v>
      </c>
      <c r="I60" s="188" t="str">
        <f t="shared" si="1"/>
        <v/>
      </c>
      <c r="J60" s="188">
        <f t="shared" si="5"/>
        <v>0</v>
      </c>
      <c r="K60" s="187">
        <f t="shared" si="2"/>
        <v>0</v>
      </c>
      <c r="L60" s="187"/>
      <c r="M60" s="189">
        <f t="shared" si="3"/>
        <v>0</v>
      </c>
    </row>
    <row r="61" spans="1:13" x14ac:dyDescent="0.25">
      <c r="A61" s="98">
        <f t="shared" si="4"/>
        <v>0</v>
      </c>
      <c r="B61" s="35" t="str">
        <f t="shared" si="0"/>
        <v/>
      </c>
      <c r="C61" s="25"/>
      <c r="D61" s="25"/>
      <c r="E61" s="25"/>
      <c r="F61" s="25"/>
      <c r="G61" s="175"/>
      <c r="H61" s="190">
        <v>56</v>
      </c>
      <c r="I61" s="191" t="str">
        <f t="shared" si="1"/>
        <v/>
      </c>
      <c r="J61" s="191">
        <f t="shared" si="5"/>
        <v>0</v>
      </c>
      <c r="K61" s="190">
        <f t="shared" si="2"/>
        <v>0</v>
      </c>
      <c r="L61" s="190"/>
      <c r="M61" s="192">
        <f t="shared" si="3"/>
        <v>0</v>
      </c>
    </row>
    <row r="62" spans="1:13" x14ac:dyDescent="0.25">
      <c r="A62" s="98">
        <f t="shared" si="4"/>
        <v>0</v>
      </c>
      <c r="B62" s="36" t="str">
        <f t="shared" si="0"/>
        <v/>
      </c>
      <c r="C62" s="24"/>
      <c r="D62" s="24"/>
      <c r="E62" s="24"/>
      <c r="F62" s="24"/>
      <c r="G62" s="175"/>
      <c r="H62" s="187">
        <v>57</v>
      </c>
      <c r="I62" s="188" t="str">
        <f t="shared" si="1"/>
        <v/>
      </c>
      <c r="J62" s="188">
        <f t="shared" si="5"/>
        <v>0</v>
      </c>
      <c r="K62" s="187">
        <f t="shared" si="2"/>
        <v>0</v>
      </c>
      <c r="L62" s="187"/>
      <c r="M62" s="189">
        <f t="shared" si="3"/>
        <v>0</v>
      </c>
    </row>
    <row r="63" spans="1:13" x14ac:dyDescent="0.25">
      <c r="A63" s="98">
        <f t="shared" si="4"/>
        <v>0</v>
      </c>
      <c r="B63" s="35" t="str">
        <f t="shared" si="0"/>
        <v/>
      </c>
      <c r="C63" s="25"/>
      <c r="D63" s="25"/>
      <c r="E63" s="25"/>
      <c r="F63" s="25"/>
      <c r="G63" s="175"/>
      <c r="H63" s="190">
        <v>58</v>
      </c>
      <c r="I63" s="191" t="str">
        <f t="shared" si="1"/>
        <v/>
      </c>
      <c r="J63" s="191">
        <f t="shared" si="5"/>
        <v>0</v>
      </c>
      <c r="K63" s="190">
        <f t="shared" si="2"/>
        <v>0</v>
      </c>
      <c r="L63" s="190"/>
      <c r="M63" s="192">
        <f t="shared" si="3"/>
        <v>0</v>
      </c>
    </row>
    <row r="64" spans="1:13" x14ac:dyDescent="0.25">
      <c r="A64" s="98">
        <f t="shared" si="4"/>
        <v>0</v>
      </c>
      <c r="B64" s="36" t="str">
        <f t="shared" si="0"/>
        <v/>
      </c>
      <c r="C64" s="24"/>
      <c r="D64" s="24"/>
      <c r="E64" s="24"/>
      <c r="F64" s="24"/>
      <c r="G64" s="175"/>
      <c r="H64" s="187">
        <v>59</v>
      </c>
      <c r="I64" s="188" t="str">
        <f t="shared" si="1"/>
        <v/>
      </c>
      <c r="J64" s="188">
        <f t="shared" si="5"/>
        <v>0</v>
      </c>
      <c r="K64" s="187">
        <f t="shared" si="2"/>
        <v>0</v>
      </c>
      <c r="L64" s="187"/>
      <c r="M64" s="189">
        <f t="shared" si="3"/>
        <v>0</v>
      </c>
    </row>
    <row r="65" spans="1:13" x14ac:dyDescent="0.25">
      <c r="A65" s="98">
        <f t="shared" si="4"/>
        <v>0</v>
      </c>
      <c r="B65" s="35" t="str">
        <f t="shared" si="0"/>
        <v/>
      </c>
      <c r="C65" s="25"/>
      <c r="D65" s="25"/>
      <c r="E65" s="25"/>
      <c r="F65" s="25"/>
      <c r="G65" s="175"/>
      <c r="H65" s="190">
        <v>60</v>
      </c>
      <c r="I65" s="191" t="str">
        <f t="shared" si="1"/>
        <v/>
      </c>
      <c r="J65" s="191">
        <f t="shared" si="5"/>
        <v>0</v>
      </c>
      <c r="K65" s="190">
        <f t="shared" si="2"/>
        <v>0</v>
      </c>
      <c r="L65" s="190"/>
      <c r="M65" s="192">
        <f t="shared" si="3"/>
        <v>0</v>
      </c>
    </row>
    <row r="66" spans="1:13" x14ac:dyDescent="0.25">
      <c r="A66" s="98">
        <f t="shared" si="4"/>
        <v>0</v>
      </c>
      <c r="B66" s="36"/>
      <c r="G66" s="175"/>
      <c r="H66" s="187">
        <v>61</v>
      </c>
      <c r="I66" s="188" t="str">
        <f t="shared" si="1"/>
        <v/>
      </c>
      <c r="J66" s="188">
        <f t="shared" si="5"/>
        <v>0</v>
      </c>
      <c r="K66" s="187">
        <f t="shared" si="2"/>
        <v>0</v>
      </c>
      <c r="L66" s="187"/>
      <c r="M66" s="189">
        <f t="shared" si="3"/>
        <v>0</v>
      </c>
    </row>
    <row r="67" spans="1:13" x14ac:dyDescent="0.25">
      <c r="A67" s="98">
        <f t="shared" si="4"/>
        <v>0</v>
      </c>
      <c r="B67" s="35"/>
      <c r="G67" s="175"/>
      <c r="H67" s="187">
        <v>62</v>
      </c>
      <c r="I67" s="188" t="str">
        <f t="shared" si="1"/>
        <v/>
      </c>
      <c r="J67" s="188">
        <f t="shared" si="5"/>
        <v>0</v>
      </c>
      <c r="K67" s="187">
        <f t="shared" si="2"/>
        <v>0</v>
      </c>
      <c r="L67" s="187"/>
      <c r="M67" s="189">
        <f t="shared" si="3"/>
        <v>0</v>
      </c>
    </row>
    <row r="68" spans="1:13" x14ac:dyDescent="0.25">
      <c r="A68" s="98">
        <f t="shared" si="4"/>
        <v>0</v>
      </c>
      <c r="B68" s="36"/>
      <c r="G68" s="175"/>
      <c r="H68" s="187">
        <v>63</v>
      </c>
      <c r="I68" s="188" t="str">
        <f t="shared" si="1"/>
        <v/>
      </c>
      <c r="J68" s="188">
        <f t="shared" si="5"/>
        <v>0</v>
      </c>
      <c r="K68" s="187">
        <f t="shared" si="2"/>
        <v>0</v>
      </c>
      <c r="L68" s="187"/>
      <c r="M68" s="189">
        <f t="shared" si="3"/>
        <v>0</v>
      </c>
    </row>
    <row r="69" spans="1:13" x14ac:dyDescent="0.25">
      <c r="A69" s="98">
        <f t="shared" si="4"/>
        <v>0</v>
      </c>
      <c r="B69" s="35"/>
      <c r="G69" s="175"/>
      <c r="H69" s="187">
        <v>64</v>
      </c>
      <c r="I69" s="188" t="str">
        <f t="shared" si="1"/>
        <v/>
      </c>
      <c r="J69" s="188">
        <f t="shared" si="5"/>
        <v>0</v>
      </c>
      <c r="K69" s="187">
        <f t="shared" si="2"/>
        <v>0</v>
      </c>
      <c r="L69" s="187"/>
      <c r="M69" s="189">
        <f t="shared" si="3"/>
        <v>0</v>
      </c>
    </row>
    <row r="70" spans="1:13" x14ac:dyDescent="0.25">
      <c r="A70" s="98">
        <f t="shared" si="4"/>
        <v>0</v>
      </c>
      <c r="G70" s="175"/>
      <c r="H70" s="187">
        <v>65</v>
      </c>
      <c r="I70" s="188" t="str">
        <f t="shared" ref="I70:I133" si="6">IF(H70&lt;$H$2+1,($I$2-($I$2-1)*(LOG(H70)/LOG($H$2))),"")</f>
        <v/>
      </c>
      <c r="J70" s="188">
        <f t="shared" si="5"/>
        <v>-1</v>
      </c>
      <c r="K70" s="187">
        <f t="shared" ref="K70:K133" si="7">J70*$J$2</f>
        <v>-10</v>
      </c>
      <c r="L70" s="187"/>
      <c r="M70" s="189">
        <f t="shared" ref="M70:M133" si="8">IF(I70&lt;&gt;"",K70+I70+L70,0)</f>
        <v>0</v>
      </c>
    </row>
    <row r="71" spans="1:13" x14ac:dyDescent="0.25">
      <c r="A71" s="98">
        <f t="shared" ref="A71:A79" si="9">M71</f>
        <v>0</v>
      </c>
      <c r="G71" s="175"/>
      <c r="H71" s="187">
        <v>66</v>
      </c>
      <c r="I71" s="188" t="str">
        <f t="shared" si="6"/>
        <v/>
      </c>
      <c r="J71" s="188">
        <f t="shared" ref="J71:J134" si="10">INT(LOG($H$2,2))-ROUNDUP(LOG(H71,2),0)+IF(OR($H$2=1,$H$2=2,$H$2=4,$H$2=8,$H$2=16,$H$2=32,$H$2=64,$H$2=128,$H$2=256),0,1)</f>
        <v>-1</v>
      </c>
      <c r="K71" s="187">
        <f t="shared" si="7"/>
        <v>-10</v>
      </c>
      <c r="L71" s="187"/>
      <c r="M71" s="189">
        <f t="shared" si="8"/>
        <v>0</v>
      </c>
    </row>
    <row r="72" spans="1:13" x14ac:dyDescent="0.25">
      <c r="A72" s="98">
        <f t="shared" si="9"/>
        <v>0</v>
      </c>
      <c r="G72" s="175"/>
      <c r="H72" s="187">
        <v>67</v>
      </c>
      <c r="I72" s="188" t="str">
        <f t="shared" si="6"/>
        <v/>
      </c>
      <c r="J72" s="188">
        <f t="shared" si="10"/>
        <v>-1</v>
      </c>
      <c r="K72" s="187">
        <f t="shared" si="7"/>
        <v>-10</v>
      </c>
      <c r="L72" s="187"/>
      <c r="M72" s="189">
        <f t="shared" si="8"/>
        <v>0</v>
      </c>
    </row>
    <row r="73" spans="1:13" x14ac:dyDescent="0.25">
      <c r="A73" s="98">
        <f t="shared" si="9"/>
        <v>0</v>
      </c>
      <c r="G73" s="175"/>
      <c r="H73" s="187">
        <v>68</v>
      </c>
      <c r="I73" s="188" t="str">
        <f t="shared" si="6"/>
        <v/>
      </c>
      <c r="J73" s="188">
        <f t="shared" si="10"/>
        <v>-1</v>
      </c>
      <c r="K73" s="187">
        <f t="shared" si="7"/>
        <v>-10</v>
      </c>
      <c r="L73" s="187"/>
      <c r="M73" s="189">
        <f t="shared" si="8"/>
        <v>0</v>
      </c>
    </row>
    <row r="74" spans="1:13" x14ac:dyDescent="0.25">
      <c r="A74" s="98">
        <f t="shared" si="9"/>
        <v>0</v>
      </c>
      <c r="G74" s="175"/>
      <c r="H74" s="187">
        <v>69</v>
      </c>
      <c r="I74" s="188" t="str">
        <f t="shared" si="6"/>
        <v/>
      </c>
      <c r="J74" s="188">
        <f t="shared" si="10"/>
        <v>-1</v>
      </c>
      <c r="K74" s="187">
        <f t="shared" si="7"/>
        <v>-10</v>
      </c>
      <c r="L74" s="187"/>
      <c r="M74" s="189">
        <f t="shared" si="8"/>
        <v>0</v>
      </c>
    </row>
    <row r="75" spans="1:13" x14ac:dyDescent="0.25">
      <c r="A75" s="98">
        <f t="shared" si="9"/>
        <v>0</v>
      </c>
      <c r="G75" s="175"/>
      <c r="H75" s="187">
        <v>70</v>
      </c>
      <c r="I75" s="188" t="str">
        <f t="shared" si="6"/>
        <v/>
      </c>
      <c r="J75" s="188">
        <f t="shared" si="10"/>
        <v>-1</v>
      </c>
      <c r="K75" s="187">
        <f t="shared" si="7"/>
        <v>-10</v>
      </c>
      <c r="L75" s="187"/>
      <c r="M75" s="189">
        <f t="shared" si="8"/>
        <v>0</v>
      </c>
    </row>
    <row r="76" spans="1:13" x14ac:dyDescent="0.25">
      <c r="A76" s="98">
        <f t="shared" si="9"/>
        <v>0</v>
      </c>
      <c r="G76" s="175"/>
      <c r="H76" s="187">
        <v>71</v>
      </c>
      <c r="I76" s="188" t="str">
        <f t="shared" si="6"/>
        <v/>
      </c>
      <c r="J76" s="188">
        <f t="shared" si="10"/>
        <v>-1</v>
      </c>
      <c r="K76" s="187">
        <f t="shared" si="7"/>
        <v>-10</v>
      </c>
      <c r="L76" s="187"/>
      <c r="M76" s="189">
        <f t="shared" si="8"/>
        <v>0</v>
      </c>
    </row>
    <row r="77" spans="1:13" x14ac:dyDescent="0.25">
      <c r="A77" s="98">
        <f t="shared" si="9"/>
        <v>0</v>
      </c>
      <c r="G77" s="175"/>
      <c r="H77" s="187">
        <v>72</v>
      </c>
      <c r="I77" s="188" t="str">
        <f t="shared" si="6"/>
        <v/>
      </c>
      <c r="J77" s="188">
        <f t="shared" si="10"/>
        <v>-1</v>
      </c>
      <c r="K77" s="187">
        <f t="shared" si="7"/>
        <v>-10</v>
      </c>
      <c r="L77" s="187"/>
      <c r="M77" s="189">
        <f t="shared" si="8"/>
        <v>0</v>
      </c>
    </row>
    <row r="78" spans="1:13" x14ac:dyDescent="0.25">
      <c r="A78" s="98">
        <f t="shared" si="9"/>
        <v>0</v>
      </c>
      <c r="G78" s="175"/>
      <c r="H78" s="187">
        <v>73</v>
      </c>
      <c r="I78" s="188" t="str">
        <f t="shared" si="6"/>
        <v/>
      </c>
      <c r="J78" s="188">
        <f t="shared" si="10"/>
        <v>-1</v>
      </c>
      <c r="K78" s="187">
        <f t="shared" si="7"/>
        <v>-10</v>
      </c>
      <c r="L78" s="187"/>
      <c r="M78" s="189">
        <f t="shared" si="8"/>
        <v>0</v>
      </c>
    </row>
    <row r="79" spans="1:13" x14ac:dyDescent="0.25">
      <c r="A79" s="98">
        <f t="shared" si="9"/>
        <v>0</v>
      </c>
      <c r="G79" s="175"/>
      <c r="H79" s="187">
        <v>74</v>
      </c>
      <c r="I79" s="188" t="str">
        <f t="shared" si="6"/>
        <v/>
      </c>
      <c r="J79" s="188">
        <f t="shared" si="10"/>
        <v>-1</v>
      </c>
      <c r="K79" s="187">
        <f t="shared" si="7"/>
        <v>-10</v>
      </c>
      <c r="L79" s="187"/>
      <c r="M79" s="189">
        <f t="shared" si="8"/>
        <v>0</v>
      </c>
    </row>
    <row r="80" spans="1:13" x14ac:dyDescent="0.25">
      <c r="A80" s="94"/>
      <c r="G80" s="175"/>
      <c r="H80" s="187">
        <v>75</v>
      </c>
      <c r="I80" s="188" t="str">
        <f t="shared" si="6"/>
        <v/>
      </c>
      <c r="J80" s="188">
        <f t="shared" si="10"/>
        <v>-1</v>
      </c>
      <c r="K80" s="187">
        <f t="shared" si="7"/>
        <v>-10</v>
      </c>
      <c r="L80" s="187"/>
      <c r="M80" s="189">
        <f t="shared" si="8"/>
        <v>0</v>
      </c>
    </row>
    <row r="81" spans="1:13" x14ac:dyDescent="0.25">
      <c r="A81" s="204"/>
      <c r="G81" s="175"/>
      <c r="H81" s="187">
        <v>76</v>
      </c>
      <c r="I81" s="188" t="str">
        <f t="shared" si="6"/>
        <v/>
      </c>
      <c r="J81" s="188">
        <f t="shared" si="10"/>
        <v>-1</v>
      </c>
      <c r="K81" s="187">
        <f t="shared" si="7"/>
        <v>-10</v>
      </c>
      <c r="L81" s="187"/>
      <c r="M81" s="189">
        <f t="shared" si="8"/>
        <v>0</v>
      </c>
    </row>
    <row r="82" spans="1:13" x14ac:dyDescent="0.25">
      <c r="A82" s="204"/>
      <c r="G82" s="175"/>
      <c r="H82" s="187">
        <v>77</v>
      </c>
      <c r="I82" s="188" t="str">
        <f t="shared" si="6"/>
        <v/>
      </c>
      <c r="J82" s="188">
        <f t="shared" si="10"/>
        <v>-1</v>
      </c>
      <c r="K82" s="187">
        <f t="shared" si="7"/>
        <v>-10</v>
      </c>
      <c r="L82" s="187"/>
      <c r="M82" s="189">
        <f t="shared" si="8"/>
        <v>0</v>
      </c>
    </row>
    <row r="83" spans="1:13" x14ac:dyDescent="0.25">
      <c r="A83" s="204"/>
      <c r="G83" s="175"/>
      <c r="H83" s="187">
        <v>78</v>
      </c>
      <c r="I83" s="188" t="str">
        <f t="shared" si="6"/>
        <v/>
      </c>
      <c r="J83" s="188">
        <f t="shared" si="10"/>
        <v>-1</v>
      </c>
      <c r="K83" s="187">
        <f t="shared" si="7"/>
        <v>-10</v>
      </c>
      <c r="L83" s="187"/>
      <c r="M83" s="189">
        <f t="shared" si="8"/>
        <v>0</v>
      </c>
    </row>
    <row r="84" spans="1:13" x14ac:dyDescent="0.25">
      <c r="A84" s="204"/>
      <c r="G84" s="175"/>
      <c r="H84" s="187">
        <v>79</v>
      </c>
      <c r="I84" s="188" t="str">
        <f t="shared" si="6"/>
        <v/>
      </c>
      <c r="J84" s="188">
        <f t="shared" si="10"/>
        <v>-1</v>
      </c>
      <c r="K84" s="187">
        <f t="shared" si="7"/>
        <v>-10</v>
      </c>
      <c r="L84" s="187"/>
      <c r="M84" s="189">
        <f t="shared" si="8"/>
        <v>0</v>
      </c>
    </row>
    <row r="85" spans="1:13" x14ac:dyDescent="0.25">
      <c r="A85" s="204"/>
      <c r="G85" s="175"/>
      <c r="H85" s="187">
        <v>80</v>
      </c>
      <c r="I85" s="188" t="str">
        <f t="shared" si="6"/>
        <v/>
      </c>
      <c r="J85" s="188">
        <f t="shared" si="10"/>
        <v>-1</v>
      </c>
      <c r="K85" s="187">
        <f t="shared" si="7"/>
        <v>-10</v>
      </c>
      <c r="L85" s="187"/>
      <c r="M85" s="189">
        <f t="shared" si="8"/>
        <v>0</v>
      </c>
    </row>
    <row r="86" spans="1:13" x14ac:dyDescent="0.25">
      <c r="A86" s="204"/>
      <c r="G86" s="175"/>
      <c r="H86" s="187">
        <v>81</v>
      </c>
      <c r="I86" s="188" t="str">
        <f t="shared" si="6"/>
        <v/>
      </c>
      <c r="J86" s="188">
        <f t="shared" si="10"/>
        <v>-1</v>
      </c>
      <c r="K86" s="187">
        <f t="shared" si="7"/>
        <v>-10</v>
      </c>
      <c r="L86" s="187"/>
      <c r="M86" s="189">
        <f t="shared" si="8"/>
        <v>0</v>
      </c>
    </row>
    <row r="87" spans="1:13" x14ac:dyDescent="0.25">
      <c r="A87" s="204"/>
      <c r="G87" s="175"/>
      <c r="H87" s="187">
        <v>82</v>
      </c>
      <c r="I87" s="188" t="str">
        <f t="shared" si="6"/>
        <v/>
      </c>
      <c r="J87" s="188">
        <f t="shared" si="10"/>
        <v>-1</v>
      </c>
      <c r="K87" s="187">
        <f t="shared" si="7"/>
        <v>-10</v>
      </c>
      <c r="L87" s="187"/>
      <c r="M87" s="189">
        <f t="shared" si="8"/>
        <v>0</v>
      </c>
    </row>
    <row r="88" spans="1:13" x14ac:dyDescent="0.25">
      <c r="A88" s="204"/>
      <c r="G88" s="175"/>
      <c r="H88" s="187">
        <v>83</v>
      </c>
      <c r="I88" s="188" t="str">
        <f t="shared" si="6"/>
        <v/>
      </c>
      <c r="J88" s="188">
        <f t="shared" si="10"/>
        <v>-1</v>
      </c>
      <c r="K88" s="187">
        <f t="shared" si="7"/>
        <v>-10</v>
      </c>
      <c r="L88" s="187"/>
      <c r="M88" s="189">
        <f t="shared" si="8"/>
        <v>0</v>
      </c>
    </row>
    <row r="89" spans="1:13" x14ac:dyDescent="0.25">
      <c r="A89" s="204"/>
      <c r="G89" s="175"/>
      <c r="H89" s="187">
        <v>84</v>
      </c>
      <c r="I89" s="188" t="str">
        <f t="shared" si="6"/>
        <v/>
      </c>
      <c r="J89" s="188">
        <f t="shared" si="10"/>
        <v>-1</v>
      </c>
      <c r="K89" s="187">
        <f t="shared" si="7"/>
        <v>-10</v>
      </c>
      <c r="L89" s="187"/>
      <c r="M89" s="189">
        <f t="shared" si="8"/>
        <v>0</v>
      </c>
    </row>
    <row r="90" spans="1:13" x14ac:dyDescent="0.25">
      <c r="A90" s="204"/>
      <c r="G90" s="175"/>
      <c r="H90" s="187">
        <v>85</v>
      </c>
      <c r="I90" s="188" t="str">
        <f t="shared" si="6"/>
        <v/>
      </c>
      <c r="J90" s="188">
        <f t="shared" si="10"/>
        <v>-1</v>
      </c>
      <c r="K90" s="187">
        <f t="shared" si="7"/>
        <v>-10</v>
      </c>
      <c r="L90" s="187"/>
      <c r="M90" s="189">
        <f t="shared" si="8"/>
        <v>0</v>
      </c>
    </row>
    <row r="91" spans="1:13" x14ac:dyDescent="0.25">
      <c r="A91" s="204"/>
      <c r="G91" s="175"/>
      <c r="H91" s="187">
        <v>86</v>
      </c>
      <c r="I91" s="188" t="str">
        <f t="shared" si="6"/>
        <v/>
      </c>
      <c r="J91" s="188">
        <f t="shared" si="10"/>
        <v>-1</v>
      </c>
      <c r="K91" s="187">
        <f t="shared" si="7"/>
        <v>-10</v>
      </c>
      <c r="L91" s="187"/>
      <c r="M91" s="189">
        <f t="shared" si="8"/>
        <v>0</v>
      </c>
    </row>
    <row r="92" spans="1:13" x14ac:dyDescent="0.25">
      <c r="A92" s="204"/>
      <c r="G92" s="175"/>
      <c r="H92" s="187">
        <v>87</v>
      </c>
      <c r="I92" s="188" t="str">
        <f t="shared" si="6"/>
        <v/>
      </c>
      <c r="J92" s="188">
        <f t="shared" si="10"/>
        <v>-1</v>
      </c>
      <c r="K92" s="187">
        <f t="shared" si="7"/>
        <v>-10</v>
      </c>
      <c r="L92" s="187"/>
      <c r="M92" s="189">
        <f t="shared" si="8"/>
        <v>0</v>
      </c>
    </row>
    <row r="93" spans="1:13" x14ac:dyDescent="0.25">
      <c r="A93" s="204"/>
      <c r="G93" s="175"/>
      <c r="H93" s="187">
        <v>88</v>
      </c>
      <c r="I93" s="188" t="str">
        <f t="shared" si="6"/>
        <v/>
      </c>
      <c r="J93" s="188">
        <f t="shared" si="10"/>
        <v>-1</v>
      </c>
      <c r="K93" s="187">
        <f t="shared" si="7"/>
        <v>-10</v>
      </c>
      <c r="L93" s="187"/>
      <c r="M93" s="189">
        <f t="shared" si="8"/>
        <v>0</v>
      </c>
    </row>
    <row r="94" spans="1:13" x14ac:dyDescent="0.25">
      <c r="A94" s="204"/>
      <c r="G94" s="175"/>
      <c r="H94" s="187">
        <v>89</v>
      </c>
      <c r="I94" s="188" t="str">
        <f t="shared" si="6"/>
        <v/>
      </c>
      <c r="J94" s="188">
        <f t="shared" si="10"/>
        <v>-1</v>
      </c>
      <c r="K94" s="187">
        <f t="shared" si="7"/>
        <v>-10</v>
      </c>
      <c r="L94" s="187"/>
      <c r="M94" s="189">
        <f t="shared" si="8"/>
        <v>0</v>
      </c>
    </row>
    <row r="95" spans="1:13" x14ac:dyDescent="0.25">
      <c r="A95" s="204"/>
      <c r="G95" s="175"/>
      <c r="H95" s="187">
        <v>90</v>
      </c>
      <c r="I95" s="188" t="str">
        <f t="shared" si="6"/>
        <v/>
      </c>
      <c r="J95" s="188">
        <f t="shared" si="10"/>
        <v>-1</v>
      </c>
      <c r="K95" s="187">
        <f t="shared" si="7"/>
        <v>-10</v>
      </c>
      <c r="L95" s="187"/>
      <c r="M95" s="189">
        <f t="shared" si="8"/>
        <v>0</v>
      </c>
    </row>
    <row r="96" spans="1:13" x14ac:dyDescent="0.25">
      <c r="A96" s="204"/>
      <c r="G96" s="175"/>
      <c r="H96" s="187">
        <v>91</v>
      </c>
      <c r="I96" s="188" t="str">
        <f t="shared" si="6"/>
        <v/>
      </c>
      <c r="J96" s="188">
        <f t="shared" si="10"/>
        <v>-1</v>
      </c>
      <c r="K96" s="187">
        <f t="shared" si="7"/>
        <v>-10</v>
      </c>
      <c r="L96" s="187"/>
      <c r="M96" s="189">
        <f t="shared" si="8"/>
        <v>0</v>
      </c>
    </row>
    <row r="97" spans="1:13" x14ac:dyDescent="0.25">
      <c r="A97" s="204"/>
      <c r="G97" s="175"/>
      <c r="H97" s="187">
        <v>92</v>
      </c>
      <c r="I97" s="188" t="str">
        <f t="shared" si="6"/>
        <v/>
      </c>
      <c r="J97" s="188">
        <f t="shared" si="10"/>
        <v>-1</v>
      </c>
      <c r="K97" s="187">
        <f t="shared" si="7"/>
        <v>-10</v>
      </c>
      <c r="L97" s="187"/>
      <c r="M97" s="189">
        <f t="shared" si="8"/>
        <v>0</v>
      </c>
    </row>
    <row r="98" spans="1:13" x14ac:dyDescent="0.25">
      <c r="A98" s="204"/>
      <c r="G98" s="175"/>
      <c r="H98" s="187">
        <v>93</v>
      </c>
      <c r="I98" s="188" t="str">
        <f t="shared" si="6"/>
        <v/>
      </c>
      <c r="J98" s="188">
        <f t="shared" si="10"/>
        <v>-1</v>
      </c>
      <c r="K98" s="187">
        <f t="shared" si="7"/>
        <v>-10</v>
      </c>
      <c r="L98" s="187"/>
      <c r="M98" s="189">
        <f t="shared" si="8"/>
        <v>0</v>
      </c>
    </row>
    <row r="99" spans="1:13" x14ac:dyDescent="0.25">
      <c r="A99" s="204"/>
      <c r="G99" s="175"/>
      <c r="H99" s="187">
        <v>94</v>
      </c>
      <c r="I99" s="188" t="str">
        <f t="shared" si="6"/>
        <v/>
      </c>
      <c r="J99" s="188">
        <f t="shared" si="10"/>
        <v>-1</v>
      </c>
      <c r="K99" s="187">
        <f t="shared" si="7"/>
        <v>-10</v>
      </c>
      <c r="L99" s="187"/>
      <c r="M99" s="189">
        <f t="shared" si="8"/>
        <v>0</v>
      </c>
    </row>
    <row r="100" spans="1:13" x14ac:dyDescent="0.25">
      <c r="A100" s="204"/>
      <c r="G100" s="175"/>
      <c r="H100" s="187">
        <v>95</v>
      </c>
      <c r="I100" s="188" t="str">
        <f t="shared" si="6"/>
        <v/>
      </c>
      <c r="J100" s="188">
        <f t="shared" si="10"/>
        <v>-1</v>
      </c>
      <c r="K100" s="187">
        <f t="shared" si="7"/>
        <v>-10</v>
      </c>
      <c r="L100" s="187"/>
      <c r="M100" s="189">
        <f t="shared" si="8"/>
        <v>0</v>
      </c>
    </row>
    <row r="101" spans="1:13" x14ac:dyDescent="0.25">
      <c r="A101" s="204"/>
      <c r="G101" s="175"/>
      <c r="H101" s="187">
        <v>96</v>
      </c>
      <c r="I101" s="188" t="str">
        <f t="shared" si="6"/>
        <v/>
      </c>
      <c r="J101" s="188">
        <f t="shared" si="10"/>
        <v>-1</v>
      </c>
      <c r="K101" s="187">
        <f t="shared" si="7"/>
        <v>-10</v>
      </c>
      <c r="L101" s="187"/>
      <c r="M101" s="189">
        <f t="shared" si="8"/>
        <v>0</v>
      </c>
    </row>
    <row r="102" spans="1:13" x14ac:dyDescent="0.25">
      <c r="A102" s="204"/>
      <c r="G102" s="175"/>
      <c r="H102" s="187">
        <v>97</v>
      </c>
      <c r="I102" s="188" t="str">
        <f t="shared" si="6"/>
        <v/>
      </c>
      <c r="J102" s="188">
        <f t="shared" si="10"/>
        <v>-1</v>
      </c>
      <c r="K102" s="187">
        <f t="shared" si="7"/>
        <v>-10</v>
      </c>
      <c r="L102" s="187"/>
      <c r="M102" s="189">
        <f t="shared" si="8"/>
        <v>0</v>
      </c>
    </row>
    <row r="103" spans="1:13" x14ac:dyDescent="0.25">
      <c r="A103" s="204"/>
      <c r="G103" s="175"/>
      <c r="H103" s="187">
        <v>98</v>
      </c>
      <c r="I103" s="188" t="str">
        <f t="shared" si="6"/>
        <v/>
      </c>
      <c r="J103" s="188">
        <f t="shared" si="10"/>
        <v>-1</v>
      </c>
      <c r="K103" s="187">
        <f t="shared" si="7"/>
        <v>-10</v>
      </c>
      <c r="L103" s="187"/>
      <c r="M103" s="189">
        <f t="shared" si="8"/>
        <v>0</v>
      </c>
    </row>
    <row r="104" spans="1:13" x14ac:dyDescent="0.25">
      <c r="A104" s="204"/>
      <c r="G104" s="175"/>
      <c r="H104" s="187">
        <v>99</v>
      </c>
      <c r="I104" s="188" t="str">
        <f t="shared" si="6"/>
        <v/>
      </c>
      <c r="J104" s="188">
        <f t="shared" si="10"/>
        <v>-1</v>
      </c>
      <c r="K104" s="187">
        <f t="shared" si="7"/>
        <v>-10</v>
      </c>
      <c r="L104" s="187"/>
      <c r="M104" s="189">
        <f t="shared" si="8"/>
        <v>0</v>
      </c>
    </row>
    <row r="105" spans="1:13" x14ac:dyDescent="0.25">
      <c r="A105" s="204"/>
      <c r="G105" s="175"/>
      <c r="H105" s="187">
        <v>100</v>
      </c>
      <c r="I105" s="188" t="str">
        <f t="shared" si="6"/>
        <v/>
      </c>
      <c r="J105" s="188">
        <f t="shared" si="10"/>
        <v>-1</v>
      </c>
      <c r="K105" s="187">
        <f t="shared" si="7"/>
        <v>-10</v>
      </c>
      <c r="L105" s="187"/>
      <c r="M105" s="189">
        <f t="shared" si="8"/>
        <v>0</v>
      </c>
    </row>
    <row r="106" spans="1:13" x14ac:dyDescent="0.25">
      <c r="A106" s="204"/>
      <c r="G106" s="175"/>
      <c r="H106" s="187">
        <v>101</v>
      </c>
      <c r="I106" s="188" t="str">
        <f t="shared" si="6"/>
        <v/>
      </c>
      <c r="J106" s="188">
        <f t="shared" si="10"/>
        <v>-1</v>
      </c>
      <c r="K106" s="187">
        <f t="shared" si="7"/>
        <v>-10</v>
      </c>
      <c r="L106" s="187"/>
      <c r="M106" s="189">
        <f t="shared" si="8"/>
        <v>0</v>
      </c>
    </row>
    <row r="107" spans="1:13" x14ac:dyDescent="0.25">
      <c r="A107" s="204"/>
      <c r="G107" s="175"/>
      <c r="H107" s="187">
        <v>102</v>
      </c>
      <c r="I107" s="188" t="str">
        <f t="shared" si="6"/>
        <v/>
      </c>
      <c r="J107" s="188">
        <f t="shared" si="10"/>
        <v>-1</v>
      </c>
      <c r="K107" s="187">
        <f t="shared" si="7"/>
        <v>-10</v>
      </c>
      <c r="L107" s="187"/>
      <c r="M107" s="189">
        <f t="shared" si="8"/>
        <v>0</v>
      </c>
    </row>
    <row r="108" spans="1:13" x14ac:dyDescent="0.25">
      <c r="A108" s="204"/>
      <c r="G108" s="175"/>
      <c r="H108" s="187">
        <v>103</v>
      </c>
      <c r="I108" s="188" t="str">
        <f t="shared" si="6"/>
        <v/>
      </c>
      <c r="J108" s="188">
        <f t="shared" si="10"/>
        <v>-1</v>
      </c>
      <c r="K108" s="187">
        <f t="shared" si="7"/>
        <v>-10</v>
      </c>
      <c r="L108" s="187"/>
      <c r="M108" s="189">
        <f t="shared" si="8"/>
        <v>0</v>
      </c>
    </row>
    <row r="109" spans="1:13" x14ac:dyDescent="0.25">
      <c r="A109" s="204"/>
      <c r="G109" s="175"/>
      <c r="H109" s="187">
        <v>104</v>
      </c>
      <c r="I109" s="188" t="str">
        <f t="shared" si="6"/>
        <v/>
      </c>
      <c r="J109" s="188">
        <f t="shared" si="10"/>
        <v>-1</v>
      </c>
      <c r="K109" s="187">
        <f t="shared" si="7"/>
        <v>-10</v>
      </c>
      <c r="L109" s="187"/>
      <c r="M109" s="189">
        <f t="shared" si="8"/>
        <v>0</v>
      </c>
    </row>
    <row r="110" spans="1:13" x14ac:dyDescent="0.25">
      <c r="A110" s="204"/>
      <c r="G110" s="175"/>
      <c r="H110" s="187">
        <v>105</v>
      </c>
      <c r="I110" s="188" t="str">
        <f t="shared" si="6"/>
        <v/>
      </c>
      <c r="J110" s="188">
        <f t="shared" si="10"/>
        <v>-1</v>
      </c>
      <c r="K110" s="187">
        <f t="shared" si="7"/>
        <v>-10</v>
      </c>
      <c r="L110" s="187"/>
      <c r="M110" s="189">
        <f t="shared" si="8"/>
        <v>0</v>
      </c>
    </row>
    <row r="111" spans="1:13" x14ac:dyDescent="0.25">
      <c r="A111" s="204"/>
      <c r="G111" s="175"/>
      <c r="H111" s="187">
        <v>106</v>
      </c>
      <c r="I111" s="188" t="str">
        <f t="shared" si="6"/>
        <v/>
      </c>
      <c r="J111" s="188">
        <f t="shared" si="10"/>
        <v>-1</v>
      </c>
      <c r="K111" s="187">
        <f t="shared" si="7"/>
        <v>-10</v>
      </c>
      <c r="L111" s="187"/>
      <c r="M111" s="189">
        <f t="shared" si="8"/>
        <v>0</v>
      </c>
    </row>
    <row r="112" spans="1:13" x14ac:dyDescent="0.25">
      <c r="A112" s="204"/>
      <c r="G112" s="175"/>
      <c r="H112" s="187">
        <v>107</v>
      </c>
      <c r="I112" s="188" t="str">
        <f t="shared" si="6"/>
        <v/>
      </c>
      <c r="J112" s="188">
        <f t="shared" si="10"/>
        <v>-1</v>
      </c>
      <c r="K112" s="187">
        <f t="shared" si="7"/>
        <v>-10</v>
      </c>
      <c r="L112" s="187"/>
      <c r="M112" s="189">
        <f t="shared" si="8"/>
        <v>0</v>
      </c>
    </row>
    <row r="113" spans="1:13" x14ac:dyDescent="0.25">
      <c r="A113" s="204"/>
      <c r="G113" s="175"/>
      <c r="H113" s="187">
        <v>108</v>
      </c>
      <c r="I113" s="188" t="str">
        <f t="shared" si="6"/>
        <v/>
      </c>
      <c r="J113" s="188">
        <f t="shared" si="10"/>
        <v>-1</v>
      </c>
      <c r="K113" s="187">
        <f t="shared" si="7"/>
        <v>-10</v>
      </c>
      <c r="L113" s="187"/>
      <c r="M113" s="189">
        <f t="shared" si="8"/>
        <v>0</v>
      </c>
    </row>
    <row r="114" spans="1:13" x14ac:dyDescent="0.25">
      <c r="A114" s="204"/>
      <c r="G114" s="175"/>
      <c r="H114" s="187">
        <v>109</v>
      </c>
      <c r="I114" s="188" t="str">
        <f t="shared" si="6"/>
        <v/>
      </c>
      <c r="J114" s="188">
        <f t="shared" si="10"/>
        <v>-1</v>
      </c>
      <c r="K114" s="187">
        <f t="shared" si="7"/>
        <v>-10</v>
      </c>
      <c r="L114" s="187"/>
      <c r="M114" s="189">
        <f t="shared" si="8"/>
        <v>0</v>
      </c>
    </row>
    <row r="115" spans="1:13" x14ac:dyDescent="0.25">
      <c r="A115" s="204"/>
      <c r="G115" s="175"/>
      <c r="H115" s="187">
        <v>110</v>
      </c>
      <c r="I115" s="188" t="str">
        <f t="shared" si="6"/>
        <v/>
      </c>
      <c r="J115" s="188">
        <f t="shared" si="10"/>
        <v>-1</v>
      </c>
      <c r="K115" s="187">
        <f t="shared" si="7"/>
        <v>-10</v>
      </c>
      <c r="L115" s="187"/>
      <c r="M115" s="189">
        <f t="shared" si="8"/>
        <v>0</v>
      </c>
    </row>
    <row r="116" spans="1:13" x14ac:dyDescent="0.25">
      <c r="A116" s="204"/>
      <c r="G116" s="175"/>
      <c r="H116" s="187">
        <v>111</v>
      </c>
      <c r="I116" s="188" t="str">
        <f t="shared" si="6"/>
        <v/>
      </c>
      <c r="J116" s="188">
        <f t="shared" si="10"/>
        <v>-1</v>
      </c>
      <c r="K116" s="187">
        <f t="shared" si="7"/>
        <v>-10</v>
      </c>
      <c r="L116" s="187"/>
      <c r="M116" s="189">
        <f t="shared" si="8"/>
        <v>0</v>
      </c>
    </row>
    <row r="117" spans="1:13" x14ac:dyDescent="0.25">
      <c r="A117" s="204"/>
      <c r="G117" s="175"/>
      <c r="H117" s="187">
        <v>112</v>
      </c>
      <c r="I117" s="188" t="str">
        <f t="shared" si="6"/>
        <v/>
      </c>
      <c r="J117" s="188">
        <f t="shared" si="10"/>
        <v>-1</v>
      </c>
      <c r="K117" s="187">
        <f t="shared" si="7"/>
        <v>-10</v>
      </c>
      <c r="L117" s="187"/>
      <c r="M117" s="189">
        <f t="shared" si="8"/>
        <v>0</v>
      </c>
    </row>
    <row r="118" spans="1:13" x14ac:dyDescent="0.25">
      <c r="A118" s="204"/>
      <c r="G118" s="175"/>
      <c r="H118" s="187">
        <v>113</v>
      </c>
      <c r="I118" s="188" t="str">
        <f t="shared" si="6"/>
        <v/>
      </c>
      <c r="J118" s="188">
        <f t="shared" si="10"/>
        <v>-1</v>
      </c>
      <c r="K118" s="187">
        <f t="shared" si="7"/>
        <v>-10</v>
      </c>
      <c r="L118" s="187"/>
      <c r="M118" s="189">
        <f t="shared" si="8"/>
        <v>0</v>
      </c>
    </row>
    <row r="119" spans="1:13" x14ac:dyDescent="0.25">
      <c r="A119" s="204"/>
      <c r="G119" s="175"/>
      <c r="H119" s="187">
        <v>114</v>
      </c>
      <c r="I119" s="188" t="str">
        <f t="shared" si="6"/>
        <v/>
      </c>
      <c r="J119" s="188">
        <f t="shared" si="10"/>
        <v>-1</v>
      </c>
      <c r="K119" s="187">
        <f t="shared" si="7"/>
        <v>-10</v>
      </c>
      <c r="L119" s="187"/>
      <c r="M119" s="189">
        <f t="shared" si="8"/>
        <v>0</v>
      </c>
    </row>
    <row r="120" spans="1:13" x14ac:dyDescent="0.25">
      <c r="A120" s="204"/>
      <c r="G120" s="175"/>
      <c r="H120" s="187">
        <v>115</v>
      </c>
      <c r="I120" s="188" t="str">
        <f t="shared" si="6"/>
        <v/>
      </c>
      <c r="J120" s="188">
        <f t="shared" si="10"/>
        <v>-1</v>
      </c>
      <c r="K120" s="187">
        <f t="shared" si="7"/>
        <v>-10</v>
      </c>
      <c r="L120" s="187"/>
      <c r="M120" s="189">
        <f t="shared" si="8"/>
        <v>0</v>
      </c>
    </row>
    <row r="121" spans="1:13" x14ac:dyDescent="0.25">
      <c r="A121" s="204"/>
      <c r="G121" s="175"/>
      <c r="H121" s="187">
        <v>116</v>
      </c>
      <c r="I121" s="188" t="str">
        <f t="shared" si="6"/>
        <v/>
      </c>
      <c r="J121" s="188">
        <f t="shared" si="10"/>
        <v>-1</v>
      </c>
      <c r="K121" s="187">
        <f t="shared" si="7"/>
        <v>-10</v>
      </c>
      <c r="L121" s="187"/>
      <c r="M121" s="189">
        <f t="shared" si="8"/>
        <v>0</v>
      </c>
    </row>
    <row r="122" spans="1:13" x14ac:dyDescent="0.25">
      <c r="A122" s="204"/>
      <c r="G122" s="175"/>
      <c r="H122" s="187">
        <v>117</v>
      </c>
      <c r="I122" s="188" t="str">
        <f t="shared" si="6"/>
        <v/>
      </c>
      <c r="J122" s="188">
        <f t="shared" si="10"/>
        <v>-1</v>
      </c>
      <c r="K122" s="187">
        <f t="shared" si="7"/>
        <v>-10</v>
      </c>
      <c r="L122" s="187"/>
      <c r="M122" s="189">
        <f t="shared" si="8"/>
        <v>0</v>
      </c>
    </row>
    <row r="123" spans="1:13" x14ac:dyDescent="0.25">
      <c r="A123" s="204"/>
      <c r="G123" s="175"/>
      <c r="H123" s="187">
        <v>118</v>
      </c>
      <c r="I123" s="188" t="str">
        <f t="shared" si="6"/>
        <v/>
      </c>
      <c r="J123" s="188">
        <f t="shared" si="10"/>
        <v>-1</v>
      </c>
      <c r="K123" s="187">
        <f t="shared" si="7"/>
        <v>-10</v>
      </c>
      <c r="L123" s="187"/>
      <c r="M123" s="189">
        <f t="shared" si="8"/>
        <v>0</v>
      </c>
    </row>
    <row r="124" spans="1:13" x14ac:dyDescent="0.25">
      <c r="A124" s="204"/>
      <c r="G124" s="175"/>
      <c r="H124" s="187">
        <v>119</v>
      </c>
      <c r="I124" s="188" t="str">
        <f t="shared" si="6"/>
        <v/>
      </c>
      <c r="J124" s="188">
        <f t="shared" si="10"/>
        <v>-1</v>
      </c>
      <c r="K124" s="187">
        <f t="shared" si="7"/>
        <v>-10</v>
      </c>
      <c r="L124" s="187"/>
      <c r="M124" s="189">
        <f t="shared" si="8"/>
        <v>0</v>
      </c>
    </row>
    <row r="125" spans="1:13" x14ac:dyDescent="0.25">
      <c r="A125" s="204"/>
      <c r="G125" s="175"/>
      <c r="H125" s="187">
        <v>120</v>
      </c>
      <c r="I125" s="188" t="str">
        <f t="shared" si="6"/>
        <v/>
      </c>
      <c r="J125" s="188">
        <f t="shared" si="10"/>
        <v>-1</v>
      </c>
      <c r="K125" s="187">
        <f t="shared" si="7"/>
        <v>-10</v>
      </c>
      <c r="L125" s="187"/>
      <c r="M125" s="189">
        <f t="shared" si="8"/>
        <v>0</v>
      </c>
    </row>
    <row r="126" spans="1:13" x14ac:dyDescent="0.25">
      <c r="A126" s="204"/>
      <c r="G126" s="175"/>
      <c r="H126" s="187">
        <v>121</v>
      </c>
      <c r="I126" s="188" t="str">
        <f t="shared" si="6"/>
        <v/>
      </c>
      <c r="J126" s="188">
        <f t="shared" si="10"/>
        <v>-1</v>
      </c>
      <c r="K126" s="187">
        <f t="shared" si="7"/>
        <v>-10</v>
      </c>
      <c r="L126" s="187"/>
      <c r="M126" s="189">
        <f t="shared" si="8"/>
        <v>0</v>
      </c>
    </row>
    <row r="127" spans="1:13" x14ac:dyDescent="0.25">
      <c r="A127" s="204"/>
      <c r="G127" s="175"/>
      <c r="H127" s="187">
        <v>122</v>
      </c>
      <c r="I127" s="188" t="str">
        <f t="shared" si="6"/>
        <v/>
      </c>
      <c r="J127" s="188">
        <f t="shared" si="10"/>
        <v>-1</v>
      </c>
      <c r="K127" s="187">
        <f t="shared" si="7"/>
        <v>-10</v>
      </c>
      <c r="L127" s="187"/>
      <c r="M127" s="189">
        <f t="shared" si="8"/>
        <v>0</v>
      </c>
    </row>
    <row r="128" spans="1:13" x14ac:dyDescent="0.25">
      <c r="A128" s="204"/>
      <c r="G128" s="175"/>
      <c r="H128" s="187">
        <v>123</v>
      </c>
      <c r="I128" s="188" t="str">
        <f t="shared" si="6"/>
        <v/>
      </c>
      <c r="J128" s="188">
        <f t="shared" si="10"/>
        <v>-1</v>
      </c>
      <c r="K128" s="187">
        <f t="shared" si="7"/>
        <v>-10</v>
      </c>
      <c r="L128" s="187"/>
      <c r="M128" s="189">
        <f t="shared" si="8"/>
        <v>0</v>
      </c>
    </row>
    <row r="129" spans="1:13" x14ac:dyDescent="0.25">
      <c r="A129" s="204"/>
      <c r="G129" s="175"/>
      <c r="H129" s="187">
        <v>124</v>
      </c>
      <c r="I129" s="188" t="str">
        <f t="shared" si="6"/>
        <v/>
      </c>
      <c r="J129" s="188">
        <f t="shared" si="10"/>
        <v>-1</v>
      </c>
      <c r="K129" s="187">
        <f t="shared" si="7"/>
        <v>-10</v>
      </c>
      <c r="L129" s="187"/>
      <c r="M129" s="189">
        <f t="shared" si="8"/>
        <v>0</v>
      </c>
    </row>
    <row r="130" spans="1:13" x14ac:dyDescent="0.25">
      <c r="A130" s="204"/>
      <c r="G130" s="175"/>
      <c r="H130" s="187">
        <v>125</v>
      </c>
      <c r="I130" s="188" t="str">
        <f t="shared" si="6"/>
        <v/>
      </c>
      <c r="J130" s="188">
        <f t="shared" si="10"/>
        <v>-1</v>
      </c>
      <c r="K130" s="187">
        <f t="shared" si="7"/>
        <v>-10</v>
      </c>
      <c r="L130" s="187"/>
      <c r="M130" s="189">
        <f t="shared" si="8"/>
        <v>0</v>
      </c>
    </row>
    <row r="131" spans="1:13" x14ac:dyDescent="0.25">
      <c r="A131" s="204"/>
      <c r="G131" s="175"/>
      <c r="H131" s="187">
        <v>126</v>
      </c>
      <c r="I131" s="188" t="str">
        <f t="shared" si="6"/>
        <v/>
      </c>
      <c r="J131" s="188">
        <f t="shared" si="10"/>
        <v>-1</v>
      </c>
      <c r="K131" s="187">
        <f t="shared" si="7"/>
        <v>-10</v>
      </c>
      <c r="L131" s="187"/>
      <c r="M131" s="189">
        <f t="shared" si="8"/>
        <v>0</v>
      </c>
    </row>
    <row r="132" spans="1:13" x14ac:dyDescent="0.25">
      <c r="A132" s="204"/>
      <c r="G132" s="175"/>
      <c r="H132" s="187">
        <v>127</v>
      </c>
      <c r="I132" s="188" t="str">
        <f t="shared" si="6"/>
        <v/>
      </c>
      <c r="J132" s="188">
        <f t="shared" si="10"/>
        <v>-1</v>
      </c>
      <c r="K132" s="187">
        <f t="shared" si="7"/>
        <v>-10</v>
      </c>
      <c r="L132" s="187"/>
      <c r="M132" s="189">
        <f t="shared" si="8"/>
        <v>0</v>
      </c>
    </row>
    <row r="133" spans="1:13" x14ac:dyDescent="0.25">
      <c r="A133" s="204"/>
      <c r="G133" s="175"/>
      <c r="H133" s="187">
        <v>128</v>
      </c>
      <c r="I133" s="188" t="str">
        <f t="shared" si="6"/>
        <v/>
      </c>
      <c r="J133" s="188">
        <f t="shared" si="10"/>
        <v>-1</v>
      </c>
      <c r="K133" s="187">
        <f t="shared" si="7"/>
        <v>-10</v>
      </c>
      <c r="L133" s="187"/>
      <c r="M133" s="189">
        <f t="shared" si="8"/>
        <v>0</v>
      </c>
    </row>
    <row r="134" spans="1:13" x14ac:dyDescent="0.25">
      <c r="A134" s="204"/>
      <c r="G134" s="175"/>
      <c r="H134" s="187">
        <v>129</v>
      </c>
      <c r="I134" s="188" t="str">
        <f t="shared" ref="I134:I197" si="11">IF(H134&lt;$H$2+1,($I$2-($I$2-1)*(LOG(H134)/LOG($H$2))),"")</f>
        <v/>
      </c>
      <c r="J134" s="188">
        <f t="shared" si="10"/>
        <v>-2</v>
      </c>
      <c r="K134" s="187">
        <f t="shared" ref="K134:K197" si="12">J134*$J$2</f>
        <v>-20</v>
      </c>
      <c r="L134" s="187"/>
      <c r="M134" s="189">
        <f t="shared" ref="M134:M197" si="13">IF(I134&lt;&gt;"",K134+I134+L134,0)</f>
        <v>0</v>
      </c>
    </row>
    <row r="135" spans="1:13" x14ac:dyDescent="0.25">
      <c r="A135" s="204"/>
      <c r="G135" s="175"/>
      <c r="H135" s="187">
        <v>130</v>
      </c>
      <c r="I135" s="188" t="str">
        <f t="shared" si="11"/>
        <v/>
      </c>
      <c r="J135" s="188">
        <f t="shared" ref="J135:J198" si="14">INT(LOG($H$2,2))-ROUNDUP(LOG(H135,2),0)+IF(OR($H$2=1,$H$2=2,$H$2=4,$H$2=8,$H$2=16,$H$2=32,$H$2=64,$H$2=128,$H$2=256),0,1)</f>
        <v>-2</v>
      </c>
      <c r="K135" s="187">
        <f t="shared" si="12"/>
        <v>-20</v>
      </c>
      <c r="L135" s="187"/>
      <c r="M135" s="189">
        <f t="shared" si="13"/>
        <v>0</v>
      </c>
    </row>
    <row r="136" spans="1:13" x14ac:dyDescent="0.25">
      <c r="A136" s="204"/>
      <c r="G136" s="175"/>
      <c r="H136" s="187">
        <v>131</v>
      </c>
      <c r="I136" s="188" t="str">
        <f t="shared" si="11"/>
        <v/>
      </c>
      <c r="J136" s="188">
        <f t="shared" si="14"/>
        <v>-2</v>
      </c>
      <c r="K136" s="187">
        <f t="shared" si="12"/>
        <v>-20</v>
      </c>
      <c r="L136" s="187"/>
      <c r="M136" s="189">
        <f t="shared" si="13"/>
        <v>0</v>
      </c>
    </row>
    <row r="137" spans="1:13" x14ac:dyDescent="0.25">
      <c r="A137" s="204"/>
      <c r="G137" s="175"/>
      <c r="H137" s="187">
        <v>132</v>
      </c>
      <c r="I137" s="188" t="str">
        <f t="shared" si="11"/>
        <v/>
      </c>
      <c r="J137" s="188">
        <f t="shared" si="14"/>
        <v>-2</v>
      </c>
      <c r="K137" s="187">
        <f t="shared" si="12"/>
        <v>-20</v>
      </c>
      <c r="L137" s="187"/>
      <c r="M137" s="189">
        <f t="shared" si="13"/>
        <v>0</v>
      </c>
    </row>
    <row r="138" spans="1:13" x14ac:dyDescent="0.25">
      <c r="A138" s="204"/>
      <c r="G138" s="175"/>
      <c r="H138" s="187">
        <v>133</v>
      </c>
      <c r="I138" s="188" t="str">
        <f t="shared" si="11"/>
        <v/>
      </c>
      <c r="J138" s="188">
        <f t="shared" si="14"/>
        <v>-2</v>
      </c>
      <c r="K138" s="187">
        <f t="shared" si="12"/>
        <v>-20</v>
      </c>
      <c r="L138" s="187"/>
      <c r="M138" s="189">
        <f t="shared" si="13"/>
        <v>0</v>
      </c>
    </row>
    <row r="139" spans="1:13" x14ac:dyDescent="0.25">
      <c r="A139" s="204"/>
      <c r="G139" s="175"/>
      <c r="H139" s="187">
        <v>134</v>
      </c>
      <c r="I139" s="188" t="str">
        <f t="shared" si="11"/>
        <v/>
      </c>
      <c r="J139" s="188">
        <f t="shared" si="14"/>
        <v>-2</v>
      </c>
      <c r="K139" s="187">
        <f t="shared" si="12"/>
        <v>-20</v>
      </c>
      <c r="L139" s="187"/>
      <c r="M139" s="189">
        <f t="shared" si="13"/>
        <v>0</v>
      </c>
    </row>
    <row r="140" spans="1:13" x14ac:dyDescent="0.25">
      <c r="A140" s="204"/>
      <c r="G140" s="175"/>
      <c r="H140" s="187">
        <v>135</v>
      </c>
      <c r="I140" s="188" t="str">
        <f t="shared" si="11"/>
        <v/>
      </c>
      <c r="J140" s="188">
        <f t="shared" si="14"/>
        <v>-2</v>
      </c>
      <c r="K140" s="187">
        <f t="shared" si="12"/>
        <v>-20</v>
      </c>
      <c r="L140" s="187"/>
      <c r="M140" s="189">
        <f t="shared" si="13"/>
        <v>0</v>
      </c>
    </row>
    <row r="141" spans="1:13" x14ac:dyDescent="0.25">
      <c r="A141" s="204"/>
      <c r="G141" s="175"/>
      <c r="H141" s="187">
        <v>136</v>
      </c>
      <c r="I141" s="188" t="str">
        <f t="shared" si="11"/>
        <v/>
      </c>
      <c r="J141" s="188">
        <f t="shared" si="14"/>
        <v>-2</v>
      </c>
      <c r="K141" s="187">
        <f t="shared" si="12"/>
        <v>-20</v>
      </c>
      <c r="L141" s="187"/>
      <c r="M141" s="189">
        <f t="shared" si="13"/>
        <v>0</v>
      </c>
    </row>
    <row r="142" spans="1:13" x14ac:dyDescent="0.25">
      <c r="A142" s="204"/>
      <c r="G142" s="175"/>
      <c r="H142" s="187">
        <v>137</v>
      </c>
      <c r="I142" s="188" t="str">
        <f t="shared" si="11"/>
        <v/>
      </c>
      <c r="J142" s="188">
        <f t="shared" si="14"/>
        <v>-2</v>
      </c>
      <c r="K142" s="187">
        <f t="shared" si="12"/>
        <v>-20</v>
      </c>
      <c r="L142" s="187"/>
      <c r="M142" s="189">
        <f t="shared" si="13"/>
        <v>0</v>
      </c>
    </row>
    <row r="143" spans="1:13" x14ac:dyDescent="0.25">
      <c r="A143" s="204"/>
      <c r="G143" s="175"/>
      <c r="H143" s="187">
        <v>138</v>
      </c>
      <c r="I143" s="188" t="str">
        <f t="shared" si="11"/>
        <v/>
      </c>
      <c r="J143" s="188">
        <f t="shared" si="14"/>
        <v>-2</v>
      </c>
      <c r="K143" s="187">
        <f t="shared" si="12"/>
        <v>-20</v>
      </c>
      <c r="L143" s="187"/>
      <c r="M143" s="189">
        <f t="shared" si="13"/>
        <v>0</v>
      </c>
    </row>
    <row r="144" spans="1:13" x14ac:dyDescent="0.25">
      <c r="A144" s="204"/>
      <c r="G144" s="175"/>
      <c r="H144" s="187">
        <v>139</v>
      </c>
      <c r="I144" s="188" t="str">
        <f t="shared" si="11"/>
        <v/>
      </c>
      <c r="J144" s="188">
        <f t="shared" si="14"/>
        <v>-2</v>
      </c>
      <c r="K144" s="187">
        <f t="shared" si="12"/>
        <v>-20</v>
      </c>
      <c r="L144" s="187"/>
      <c r="M144" s="189">
        <f t="shared" si="13"/>
        <v>0</v>
      </c>
    </row>
    <row r="145" spans="1:13" x14ac:dyDescent="0.25">
      <c r="A145" s="204"/>
      <c r="G145" s="175"/>
      <c r="H145" s="187">
        <v>140</v>
      </c>
      <c r="I145" s="188" t="str">
        <f t="shared" si="11"/>
        <v/>
      </c>
      <c r="J145" s="188">
        <f t="shared" si="14"/>
        <v>-2</v>
      </c>
      <c r="K145" s="187">
        <f t="shared" si="12"/>
        <v>-20</v>
      </c>
      <c r="L145" s="187"/>
      <c r="M145" s="189">
        <f t="shared" si="13"/>
        <v>0</v>
      </c>
    </row>
    <row r="146" spans="1:13" x14ac:dyDescent="0.25">
      <c r="A146" s="204"/>
      <c r="G146" s="175"/>
      <c r="H146" s="187">
        <v>141</v>
      </c>
      <c r="I146" s="188" t="str">
        <f t="shared" si="11"/>
        <v/>
      </c>
      <c r="J146" s="188">
        <f t="shared" si="14"/>
        <v>-2</v>
      </c>
      <c r="K146" s="187">
        <f t="shared" si="12"/>
        <v>-20</v>
      </c>
      <c r="L146" s="187"/>
      <c r="M146" s="189">
        <f t="shared" si="13"/>
        <v>0</v>
      </c>
    </row>
    <row r="147" spans="1:13" x14ac:dyDescent="0.25">
      <c r="A147" s="204"/>
      <c r="G147" s="175"/>
      <c r="H147" s="187">
        <v>142</v>
      </c>
      <c r="I147" s="188" t="str">
        <f t="shared" si="11"/>
        <v/>
      </c>
      <c r="J147" s="188">
        <f t="shared" si="14"/>
        <v>-2</v>
      </c>
      <c r="K147" s="187">
        <f t="shared" si="12"/>
        <v>-20</v>
      </c>
      <c r="L147" s="187"/>
      <c r="M147" s="189">
        <f t="shared" si="13"/>
        <v>0</v>
      </c>
    </row>
    <row r="148" spans="1:13" x14ac:dyDescent="0.25">
      <c r="A148" s="204"/>
      <c r="G148" s="175"/>
      <c r="H148" s="187">
        <v>143</v>
      </c>
      <c r="I148" s="188" t="str">
        <f t="shared" si="11"/>
        <v/>
      </c>
      <c r="J148" s="188">
        <f t="shared" si="14"/>
        <v>-2</v>
      </c>
      <c r="K148" s="187">
        <f t="shared" si="12"/>
        <v>-20</v>
      </c>
      <c r="L148" s="187"/>
      <c r="M148" s="189">
        <f t="shared" si="13"/>
        <v>0</v>
      </c>
    </row>
    <row r="149" spans="1:13" x14ac:dyDescent="0.25">
      <c r="A149" s="204"/>
      <c r="G149" s="175"/>
      <c r="H149" s="187">
        <v>144</v>
      </c>
      <c r="I149" s="188" t="str">
        <f t="shared" si="11"/>
        <v/>
      </c>
      <c r="J149" s="188">
        <f t="shared" si="14"/>
        <v>-2</v>
      </c>
      <c r="K149" s="187">
        <f t="shared" si="12"/>
        <v>-20</v>
      </c>
      <c r="L149" s="187"/>
      <c r="M149" s="189">
        <f t="shared" si="13"/>
        <v>0</v>
      </c>
    </row>
    <row r="150" spans="1:13" x14ac:dyDescent="0.25">
      <c r="A150" s="204"/>
      <c r="G150" s="175"/>
      <c r="H150" s="187">
        <v>145</v>
      </c>
      <c r="I150" s="188" t="str">
        <f t="shared" si="11"/>
        <v/>
      </c>
      <c r="J150" s="188">
        <f t="shared" si="14"/>
        <v>-2</v>
      </c>
      <c r="K150" s="187">
        <f t="shared" si="12"/>
        <v>-20</v>
      </c>
      <c r="L150" s="187"/>
      <c r="M150" s="189">
        <f t="shared" si="13"/>
        <v>0</v>
      </c>
    </row>
    <row r="151" spans="1:13" x14ac:dyDescent="0.25">
      <c r="A151" s="204"/>
      <c r="G151" s="175"/>
      <c r="H151" s="187">
        <v>146</v>
      </c>
      <c r="I151" s="188" t="str">
        <f t="shared" si="11"/>
        <v/>
      </c>
      <c r="J151" s="188">
        <f t="shared" si="14"/>
        <v>-2</v>
      </c>
      <c r="K151" s="187">
        <f t="shared" si="12"/>
        <v>-20</v>
      </c>
      <c r="L151" s="187"/>
      <c r="M151" s="189">
        <f t="shared" si="13"/>
        <v>0</v>
      </c>
    </row>
    <row r="152" spans="1:13" x14ac:dyDescent="0.25">
      <c r="A152" s="204"/>
      <c r="G152" s="175"/>
      <c r="H152" s="187">
        <v>147</v>
      </c>
      <c r="I152" s="188" t="str">
        <f t="shared" si="11"/>
        <v/>
      </c>
      <c r="J152" s="188">
        <f t="shared" si="14"/>
        <v>-2</v>
      </c>
      <c r="K152" s="187">
        <f t="shared" si="12"/>
        <v>-20</v>
      </c>
      <c r="L152" s="187"/>
      <c r="M152" s="189">
        <f t="shared" si="13"/>
        <v>0</v>
      </c>
    </row>
    <row r="153" spans="1:13" x14ac:dyDescent="0.25">
      <c r="A153" s="204"/>
      <c r="G153" s="175"/>
      <c r="H153" s="187">
        <v>148</v>
      </c>
      <c r="I153" s="188" t="str">
        <f t="shared" si="11"/>
        <v/>
      </c>
      <c r="J153" s="188">
        <f t="shared" si="14"/>
        <v>-2</v>
      </c>
      <c r="K153" s="187">
        <f t="shared" si="12"/>
        <v>-20</v>
      </c>
      <c r="L153" s="187"/>
      <c r="M153" s="189">
        <f t="shared" si="13"/>
        <v>0</v>
      </c>
    </row>
    <row r="154" spans="1:13" x14ac:dyDescent="0.25">
      <c r="A154" s="204"/>
      <c r="G154" s="175"/>
      <c r="H154" s="187">
        <v>149</v>
      </c>
      <c r="I154" s="188" t="str">
        <f t="shared" si="11"/>
        <v/>
      </c>
      <c r="J154" s="188">
        <f t="shared" si="14"/>
        <v>-2</v>
      </c>
      <c r="K154" s="187">
        <f t="shared" si="12"/>
        <v>-20</v>
      </c>
      <c r="L154" s="187"/>
      <c r="M154" s="189">
        <f t="shared" si="13"/>
        <v>0</v>
      </c>
    </row>
    <row r="155" spans="1:13" x14ac:dyDescent="0.25">
      <c r="A155" s="204"/>
      <c r="G155" s="175"/>
      <c r="H155" s="187">
        <v>150</v>
      </c>
      <c r="I155" s="188" t="str">
        <f t="shared" si="11"/>
        <v/>
      </c>
      <c r="J155" s="188">
        <f t="shared" si="14"/>
        <v>-2</v>
      </c>
      <c r="K155" s="187">
        <f t="shared" si="12"/>
        <v>-20</v>
      </c>
      <c r="L155" s="187"/>
      <c r="M155" s="189">
        <f t="shared" si="13"/>
        <v>0</v>
      </c>
    </row>
    <row r="156" spans="1:13" x14ac:dyDescent="0.25">
      <c r="A156" s="204"/>
      <c r="G156" s="175"/>
      <c r="H156" s="187">
        <v>151</v>
      </c>
      <c r="I156" s="188" t="str">
        <f t="shared" si="11"/>
        <v/>
      </c>
      <c r="J156" s="188">
        <f t="shared" si="14"/>
        <v>-2</v>
      </c>
      <c r="K156" s="187">
        <f t="shared" si="12"/>
        <v>-20</v>
      </c>
      <c r="L156" s="187"/>
      <c r="M156" s="189">
        <f t="shared" si="13"/>
        <v>0</v>
      </c>
    </row>
    <row r="157" spans="1:13" x14ac:dyDescent="0.25">
      <c r="A157" s="204"/>
      <c r="G157" s="175"/>
      <c r="H157" s="187">
        <v>152</v>
      </c>
      <c r="I157" s="188" t="str">
        <f t="shared" si="11"/>
        <v/>
      </c>
      <c r="J157" s="188">
        <f t="shared" si="14"/>
        <v>-2</v>
      </c>
      <c r="K157" s="187">
        <f t="shared" si="12"/>
        <v>-20</v>
      </c>
      <c r="L157" s="187"/>
      <c r="M157" s="189">
        <f t="shared" si="13"/>
        <v>0</v>
      </c>
    </row>
    <row r="158" spans="1:13" x14ac:dyDescent="0.25">
      <c r="A158" s="204"/>
      <c r="G158" s="175"/>
      <c r="H158" s="187">
        <v>153</v>
      </c>
      <c r="I158" s="188" t="str">
        <f t="shared" si="11"/>
        <v/>
      </c>
      <c r="J158" s="188">
        <f t="shared" si="14"/>
        <v>-2</v>
      </c>
      <c r="K158" s="187">
        <f t="shared" si="12"/>
        <v>-20</v>
      </c>
      <c r="L158" s="187"/>
      <c r="M158" s="189">
        <f t="shared" si="13"/>
        <v>0</v>
      </c>
    </row>
    <row r="159" spans="1:13" x14ac:dyDescent="0.25">
      <c r="A159" s="204"/>
      <c r="G159" s="175"/>
      <c r="H159" s="187">
        <v>154</v>
      </c>
      <c r="I159" s="188" t="str">
        <f t="shared" si="11"/>
        <v/>
      </c>
      <c r="J159" s="188">
        <f t="shared" si="14"/>
        <v>-2</v>
      </c>
      <c r="K159" s="187">
        <f t="shared" si="12"/>
        <v>-20</v>
      </c>
      <c r="L159" s="187"/>
      <c r="M159" s="189">
        <f t="shared" si="13"/>
        <v>0</v>
      </c>
    </row>
    <row r="160" spans="1:13" x14ac:dyDescent="0.25">
      <c r="A160" s="204"/>
      <c r="G160" s="175"/>
      <c r="H160" s="187">
        <v>155</v>
      </c>
      <c r="I160" s="188" t="str">
        <f t="shared" si="11"/>
        <v/>
      </c>
      <c r="J160" s="188">
        <f t="shared" si="14"/>
        <v>-2</v>
      </c>
      <c r="K160" s="187">
        <f t="shared" si="12"/>
        <v>-20</v>
      </c>
      <c r="L160" s="187"/>
      <c r="M160" s="189">
        <f t="shared" si="13"/>
        <v>0</v>
      </c>
    </row>
    <row r="161" spans="1:13" x14ac:dyDescent="0.25">
      <c r="A161" s="204"/>
      <c r="G161" s="175"/>
      <c r="H161" s="187">
        <v>156</v>
      </c>
      <c r="I161" s="188" t="str">
        <f t="shared" si="11"/>
        <v/>
      </c>
      <c r="J161" s="188">
        <f t="shared" si="14"/>
        <v>-2</v>
      </c>
      <c r="K161" s="187">
        <f t="shared" si="12"/>
        <v>-20</v>
      </c>
      <c r="L161" s="187"/>
      <c r="M161" s="189">
        <f t="shared" si="13"/>
        <v>0</v>
      </c>
    </row>
    <row r="162" spans="1:13" x14ac:dyDescent="0.25">
      <c r="A162" s="204"/>
      <c r="G162" s="175"/>
      <c r="H162" s="187">
        <v>157</v>
      </c>
      <c r="I162" s="188" t="str">
        <f t="shared" si="11"/>
        <v/>
      </c>
      <c r="J162" s="188">
        <f t="shared" si="14"/>
        <v>-2</v>
      </c>
      <c r="K162" s="187">
        <f t="shared" si="12"/>
        <v>-20</v>
      </c>
      <c r="L162" s="187"/>
      <c r="M162" s="189">
        <f t="shared" si="13"/>
        <v>0</v>
      </c>
    </row>
    <row r="163" spans="1:13" x14ac:dyDescent="0.25">
      <c r="A163" s="204"/>
      <c r="G163" s="175"/>
      <c r="H163" s="187">
        <v>158</v>
      </c>
      <c r="I163" s="188" t="str">
        <f t="shared" si="11"/>
        <v/>
      </c>
      <c r="J163" s="188">
        <f t="shared" si="14"/>
        <v>-2</v>
      </c>
      <c r="K163" s="187">
        <f t="shared" si="12"/>
        <v>-20</v>
      </c>
      <c r="L163" s="187"/>
      <c r="M163" s="189">
        <f t="shared" si="13"/>
        <v>0</v>
      </c>
    </row>
    <row r="164" spans="1:13" x14ac:dyDescent="0.25">
      <c r="A164" s="204"/>
      <c r="G164" s="175"/>
      <c r="H164" s="187">
        <v>159</v>
      </c>
      <c r="I164" s="188" t="str">
        <f t="shared" si="11"/>
        <v/>
      </c>
      <c r="J164" s="188">
        <f t="shared" si="14"/>
        <v>-2</v>
      </c>
      <c r="K164" s="187">
        <f t="shared" si="12"/>
        <v>-20</v>
      </c>
      <c r="L164" s="187"/>
      <c r="M164" s="189">
        <f t="shared" si="13"/>
        <v>0</v>
      </c>
    </row>
    <row r="165" spans="1:13" x14ac:dyDescent="0.25">
      <c r="A165" s="204"/>
      <c r="G165" s="175"/>
      <c r="H165" s="187">
        <v>160</v>
      </c>
      <c r="I165" s="188" t="str">
        <f t="shared" si="11"/>
        <v/>
      </c>
      <c r="J165" s="188">
        <f t="shared" si="14"/>
        <v>-2</v>
      </c>
      <c r="K165" s="187">
        <f t="shared" si="12"/>
        <v>-20</v>
      </c>
      <c r="L165" s="187"/>
      <c r="M165" s="189">
        <f t="shared" si="13"/>
        <v>0</v>
      </c>
    </row>
    <row r="166" spans="1:13" x14ac:dyDescent="0.25">
      <c r="A166" s="204"/>
      <c r="G166" s="175"/>
      <c r="H166" s="187">
        <v>161</v>
      </c>
      <c r="I166" s="188" t="str">
        <f t="shared" si="11"/>
        <v/>
      </c>
      <c r="J166" s="188">
        <f t="shared" si="14"/>
        <v>-2</v>
      </c>
      <c r="K166" s="187">
        <f t="shared" si="12"/>
        <v>-20</v>
      </c>
      <c r="L166" s="187"/>
      <c r="M166" s="189">
        <f t="shared" si="13"/>
        <v>0</v>
      </c>
    </row>
    <row r="167" spans="1:13" x14ac:dyDescent="0.25">
      <c r="A167" s="204"/>
      <c r="G167" s="175"/>
      <c r="H167" s="187">
        <v>162</v>
      </c>
      <c r="I167" s="188" t="str">
        <f t="shared" si="11"/>
        <v/>
      </c>
      <c r="J167" s="188">
        <f t="shared" si="14"/>
        <v>-2</v>
      </c>
      <c r="K167" s="187">
        <f t="shared" si="12"/>
        <v>-20</v>
      </c>
      <c r="L167" s="187"/>
      <c r="M167" s="189">
        <f t="shared" si="13"/>
        <v>0</v>
      </c>
    </row>
    <row r="168" spans="1:13" x14ac:dyDescent="0.25">
      <c r="A168" s="204"/>
      <c r="G168" s="175"/>
      <c r="H168" s="187">
        <v>163</v>
      </c>
      <c r="I168" s="188" t="str">
        <f t="shared" si="11"/>
        <v/>
      </c>
      <c r="J168" s="188">
        <f t="shared" si="14"/>
        <v>-2</v>
      </c>
      <c r="K168" s="187">
        <f t="shared" si="12"/>
        <v>-20</v>
      </c>
      <c r="L168" s="187"/>
      <c r="M168" s="189">
        <f t="shared" si="13"/>
        <v>0</v>
      </c>
    </row>
    <row r="169" spans="1:13" x14ac:dyDescent="0.25">
      <c r="A169" s="204"/>
      <c r="C169" s="203" t="s">
        <v>95</v>
      </c>
      <c r="G169" s="175"/>
      <c r="H169" s="187">
        <v>164</v>
      </c>
      <c r="I169" s="188" t="str">
        <f t="shared" si="11"/>
        <v/>
      </c>
      <c r="J169" s="188">
        <f t="shared" si="14"/>
        <v>-2</v>
      </c>
      <c r="K169" s="187">
        <f t="shared" si="12"/>
        <v>-20</v>
      </c>
      <c r="L169" s="187"/>
      <c r="M169" s="189">
        <f t="shared" si="13"/>
        <v>0</v>
      </c>
    </row>
    <row r="170" spans="1:13" x14ac:dyDescent="0.25">
      <c r="A170" s="204"/>
      <c r="G170" s="175"/>
      <c r="H170" s="187">
        <v>165</v>
      </c>
      <c r="I170" s="188" t="str">
        <f t="shared" si="11"/>
        <v/>
      </c>
      <c r="J170" s="188">
        <f t="shared" si="14"/>
        <v>-2</v>
      </c>
      <c r="K170" s="187">
        <f t="shared" si="12"/>
        <v>-20</v>
      </c>
      <c r="L170" s="187"/>
      <c r="M170" s="189">
        <f t="shared" si="13"/>
        <v>0</v>
      </c>
    </row>
    <row r="171" spans="1:13" x14ac:dyDescent="0.25">
      <c r="A171" s="204"/>
      <c r="G171" s="175"/>
      <c r="H171" s="187">
        <v>166</v>
      </c>
      <c r="I171" s="188" t="str">
        <f t="shared" si="11"/>
        <v/>
      </c>
      <c r="J171" s="188">
        <f t="shared" si="14"/>
        <v>-2</v>
      </c>
      <c r="K171" s="187">
        <f t="shared" si="12"/>
        <v>-20</v>
      </c>
      <c r="L171" s="187"/>
      <c r="M171" s="189">
        <f t="shared" si="13"/>
        <v>0</v>
      </c>
    </row>
    <row r="172" spans="1:13" x14ac:dyDescent="0.25">
      <c r="A172" s="204"/>
      <c r="G172" s="175"/>
      <c r="H172" s="187">
        <v>167</v>
      </c>
      <c r="I172" s="188" t="str">
        <f t="shared" si="11"/>
        <v/>
      </c>
      <c r="J172" s="188">
        <f t="shared" si="14"/>
        <v>-2</v>
      </c>
      <c r="K172" s="187">
        <f t="shared" si="12"/>
        <v>-20</v>
      </c>
      <c r="L172" s="187"/>
      <c r="M172" s="189">
        <f t="shared" si="13"/>
        <v>0</v>
      </c>
    </row>
    <row r="173" spans="1:13" x14ac:dyDescent="0.25">
      <c r="A173" s="204"/>
      <c r="G173" s="175"/>
      <c r="H173" s="187">
        <v>168</v>
      </c>
      <c r="I173" s="188" t="str">
        <f t="shared" si="11"/>
        <v/>
      </c>
      <c r="J173" s="188">
        <f t="shared" si="14"/>
        <v>-2</v>
      </c>
      <c r="K173" s="187">
        <f t="shared" si="12"/>
        <v>-20</v>
      </c>
      <c r="L173" s="187"/>
      <c r="M173" s="189">
        <f t="shared" si="13"/>
        <v>0</v>
      </c>
    </row>
    <row r="174" spans="1:13" x14ac:dyDescent="0.25">
      <c r="A174" s="204"/>
      <c r="G174" s="175"/>
      <c r="H174" s="187">
        <v>169</v>
      </c>
      <c r="I174" s="188" t="str">
        <f t="shared" si="11"/>
        <v/>
      </c>
      <c r="J174" s="188">
        <f t="shared" si="14"/>
        <v>-2</v>
      </c>
      <c r="K174" s="187">
        <f t="shared" si="12"/>
        <v>-20</v>
      </c>
      <c r="L174" s="187"/>
      <c r="M174" s="189">
        <f t="shared" si="13"/>
        <v>0</v>
      </c>
    </row>
    <row r="175" spans="1:13" x14ac:dyDescent="0.25">
      <c r="A175" s="204"/>
      <c r="G175" s="175"/>
      <c r="H175" s="187">
        <v>170</v>
      </c>
      <c r="I175" s="188" t="str">
        <f t="shared" si="11"/>
        <v/>
      </c>
      <c r="J175" s="188">
        <f t="shared" si="14"/>
        <v>-2</v>
      </c>
      <c r="K175" s="187">
        <f t="shared" si="12"/>
        <v>-20</v>
      </c>
      <c r="L175" s="187"/>
      <c r="M175" s="189">
        <f t="shared" si="13"/>
        <v>0</v>
      </c>
    </row>
    <row r="176" spans="1:13" x14ac:dyDescent="0.25">
      <c r="A176" s="204"/>
      <c r="G176" s="175"/>
      <c r="H176" s="187">
        <v>171</v>
      </c>
      <c r="I176" s="188" t="str">
        <f t="shared" si="11"/>
        <v/>
      </c>
      <c r="J176" s="188">
        <f t="shared" si="14"/>
        <v>-2</v>
      </c>
      <c r="K176" s="187">
        <f t="shared" si="12"/>
        <v>-20</v>
      </c>
      <c r="L176" s="187"/>
      <c r="M176" s="189">
        <f t="shared" si="13"/>
        <v>0</v>
      </c>
    </row>
    <row r="177" spans="1:13" x14ac:dyDescent="0.25">
      <c r="A177" s="204"/>
      <c r="G177" s="175"/>
      <c r="H177" s="187">
        <v>172</v>
      </c>
      <c r="I177" s="188" t="str">
        <f t="shared" si="11"/>
        <v/>
      </c>
      <c r="J177" s="188">
        <f t="shared" si="14"/>
        <v>-2</v>
      </c>
      <c r="K177" s="187">
        <f t="shared" si="12"/>
        <v>-20</v>
      </c>
      <c r="L177" s="187"/>
      <c r="M177" s="189">
        <f t="shared" si="13"/>
        <v>0</v>
      </c>
    </row>
    <row r="178" spans="1:13" x14ac:dyDescent="0.25">
      <c r="A178" s="204"/>
      <c r="G178" s="175"/>
      <c r="H178" s="187">
        <v>173</v>
      </c>
      <c r="I178" s="188" t="str">
        <f t="shared" si="11"/>
        <v/>
      </c>
      <c r="J178" s="188">
        <f t="shared" si="14"/>
        <v>-2</v>
      </c>
      <c r="K178" s="187">
        <f t="shared" si="12"/>
        <v>-20</v>
      </c>
      <c r="L178" s="187"/>
      <c r="M178" s="189">
        <f t="shared" si="13"/>
        <v>0</v>
      </c>
    </row>
    <row r="179" spans="1:13" x14ac:dyDescent="0.25">
      <c r="A179" s="204"/>
      <c r="G179" s="175"/>
      <c r="H179" s="187">
        <v>174</v>
      </c>
      <c r="I179" s="188" t="str">
        <f t="shared" si="11"/>
        <v/>
      </c>
      <c r="J179" s="188">
        <f t="shared" si="14"/>
        <v>-2</v>
      </c>
      <c r="K179" s="187">
        <f t="shared" si="12"/>
        <v>-20</v>
      </c>
      <c r="L179" s="187"/>
      <c r="M179" s="189">
        <f t="shared" si="13"/>
        <v>0</v>
      </c>
    </row>
    <row r="180" spans="1:13" x14ac:dyDescent="0.25">
      <c r="A180" s="204"/>
      <c r="G180" s="175"/>
      <c r="H180" s="187">
        <v>175</v>
      </c>
      <c r="I180" s="188" t="str">
        <f t="shared" si="11"/>
        <v/>
      </c>
      <c r="J180" s="188">
        <f t="shared" si="14"/>
        <v>-2</v>
      </c>
      <c r="K180" s="187">
        <f t="shared" si="12"/>
        <v>-20</v>
      </c>
      <c r="L180" s="187"/>
      <c r="M180" s="189">
        <f t="shared" si="13"/>
        <v>0</v>
      </c>
    </row>
    <row r="181" spans="1:13" x14ac:dyDescent="0.25">
      <c r="A181" s="204"/>
      <c r="G181" s="175"/>
      <c r="H181" s="187">
        <v>176</v>
      </c>
      <c r="I181" s="188" t="str">
        <f t="shared" si="11"/>
        <v/>
      </c>
      <c r="J181" s="188">
        <f t="shared" si="14"/>
        <v>-2</v>
      </c>
      <c r="K181" s="187">
        <f t="shared" si="12"/>
        <v>-20</v>
      </c>
      <c r="L181" s="187"/>
      <c r="M181" s="189">
        <f t="shared" si="13"/>
        <v>0</v>
      </c>
    </row>
    <row r="182" spans="1:13" x14ac:dyDescent="0.25">
      <c r="A182" s="204"/>
      <c r="G182" s="175"/>
      <c r="H182" s="187">
        <v>177</v>
      </c>
      <c r="I182" s="188" t="str">
        <f t="shared" si="11"/>
        <v/>
      </c>
      <c r="J182" s="188">
        <f t="shared" si="14"/>
        <v>-2</v>
      </c>
      <c r="K182" s="187">
        <f t="shared" si="12"/>
        <v>-20</v>
      </c>
      <c r="L182" s="187"/>
      <c r="M182" s="189">
        <f t="shared" si="13"/>
        <v>0</v>
      </c>
    </row>
    <row r="183" spans="1:13" x14ac:dyDescent="0.25">
      <c r="A183" s="204"/>
      <c r="G183" s="175"/>
      <c r="H183" s="187">
        <v>178</v>
      </c>
      <c r="I183" s="188" t="str">
        <f t="shared" si="11"/>
        <v/>
      </c>
      <c r="J183" s="188">
        <f t="shared" si="14"/>
        <v>-2</v>
      </c>
      <c r="K183" s="187">
        <f t="shared" si="12"/>
        <v>-20</v>
      </c>
      <c r="L183" s="187"/>
      <c r="M183" s="189">
        <f t="shared" si="13"/>
        <v>0</v>
      </c>
    </row>
    <row r="184" spans="1:13" x14ac:dyDescent="0.25">
      <c r="A184" s="204"/>
      <c r="G184" s="175"/>
      <c r="H184" s="187">
        <v>179</v>
      </c>
      <c r="I184" s="188" t="str">
        <f t="shared" si="11"/>
        <v/>
      </c>
      <c r="J184" s="188">
        <f t="shared" si="14"/>
        <v>-2</v>
      </c>
      <c r="K184" s="187">
        <f t="shared" si="12"/>
        <v>-20</v>
      </c>
      <c r="L184" s="187"/>
      <c r="M184" s="189">
        <f t="shared" si="13"/>
        <v>0</v>
      </c>
    </row>
    <row r="185" spans="1:13" x14ac:dyDescent="0.25">
      <c r="A185" s="204"/>
      <c r="G185" s="175"/>
      <c r="H185" s="187">
        <v>180</v>
      </c>
      <c r="I185" s="188" t="str">
        <f t="shared" si="11"/>
        <v/>
      </c>
      <c r="J185" s="188">
        <f t="shared" si="14"/>
        <v>-2</v>
      </c>
      <c r="K185" s="187">
        <f t="shared" si="12"/>
        <v>-20</v>
      </c>
      <c r="L185" s="187"/>
      <c r="M185" s="189">
        <f t="shared" si="13"/>
        <v>0</v>
      </c>
    </row>
    <row r="186" spans="1:13" x14ac:dyDescent="0.25">
      <c r="A186" s="204"/>
      <c r="G186" s="175"/>
      <c r="H186" s="187">
        <v>181</v>
      </c>
      <c r="I186" s="188" t="str">
        <f t="shared" si="11"/>
        <v/>
      </c>
      <c r="J186" s="188">
        <f t="shared" si="14"/>
        <v>-2</v>
      </c>
      <c r="K186" s="187">
        <f t="shared" si="12"/>
        <v>-20</v>
      </c>
      <c r="L186" s="187"/>
      <c r="M186" s="189">
        <f t="shared" si="13"/>
        <v>0</v>
      </c>
    </row>
    <row r="187" spans="1:13" x14ac:dyDescent="0.25">
      <c r="A187" s="204"/>
      <c r="G187" s="175"/>
      <c r="H187" s="187">
        <v>182</v>
      </c>
      <c r="I187" s="188" t="str">
        <f t="shared" si="11"/>
        <v/>
      </c>
      <c r="J187" s="188">
        <f t="shared" si="14"/>
        <v>-2</v>
      </c>
      <c r="K187" s="187">
        <f t="shared" si="12"/>
        <v>-20</v>
      </c>
      <c r="L187" s="187"/>
      <c r="M187" s="189">
        <f t="shared" si="13"/>
        <v>0</v>
      </c>
    </row>
    <row r="188" spans="1:13" x14ac:dyDescent="0.25">
      <c r="A188" s="204"/>
      <c r="G188" s="175"/>
      <c r="H188" s="187">
        <v>183</v>
      </c>
      <c r="I188" s="188" t="str">
        <f t="shared" si="11"/>
        <v/>
      </c>
      <c r="J188" s="188">
        <f t="shared" si="14"/>
        <v>-2</v>
      </c>
      <c r="K188" s="187">
        <f t="shared" si="12"/>
        <v>-20</v>
      </c>
      <c r="L188" s="187"/>
      <c r="M188" s="189">
        <f t="shared" si="13"/>
        <v>0</v>
      </c>
    </row>
    <row r="189" spans="1:13" x14ac:dyDescent="0.25">
      <c r="A189" s="204"/>
      <c r="G189" s="175"/>
      <c r="H189" s="187">
        <v>184</v>
      </c>
      <c r="I189" s="188" t="str">
        <f t="shared" si="11"/>
        <v/>
      </c>
      <c r="J189" s="188">
        <f t="shared" si="14"/>
        <v>-2</v>
      </c>
      <c r="K189" s="187">
        <f t="shared" si="12"/>
        <v>-20</v>
      </c>
      <c r="L189" s="187"/>
      <c r="M189" s="189">
        <f t="shared" si="13"/>
        <v>0</v>
      </c>
    </row>
    <row r="190" spans="1:13" x14ac:dyDescent="0.25">
      <c r="A190" s="204"/>
      <c r="G190" s="175"/>
      <c r="H190" s="187">
        <v>185</v>
      </c>
      <c r="I190" s="188" t="str">
        <f t="shared" si="11"/>
        <v/>
      </c>
      <c r="J190" s="188">
        <f t="shared" si="14"/>
        <v>-2</v>
      </c>
      <c r="K190" s="187">
        <f t="shared" si="12"/>
        <v>-20</v>
      </c>
      <c r="L190" s="187"/>
      <c r="M190" s="189">
        <f t="shared" si="13"/>
        <v>0</v>
      </c>
    </row>
    <row r="191" spans="1:13" x14ac:dyDescent="0.25">
      <c r="A191" s="204"/>
      <c r="G191" s="175"/>
      <c r="H191" s="187">
        <v>186</v>
      </c>
      <c r="I191" s="188" t="str">
        <f t="shared" si="11"/>
        <v/>
      </c>
      <c r="J191" s="188">
        <f t="shared" si="14"/>
        <v>-2</v>
      </c>
      <c r="K191" s="187">
        <f t="shared" si="12"/>
        <v>-20</v>
      </c>
      <c r="L191" s="187"/>
      <c r="M191" s="189">
        <f t="shared" si="13"/>
        <v>0</v>
      </c>
    </row>
    <row r="192" spans="1:13" x14ac:dyDescent="0.25">
      <c r="A192" s="204"/>
      <c r="G192" s="175"/>
      <c r="H192" s="187">
        <v>187</v>
      </c>
      <c r="I192" s="188" t="str">
        <f t="shared" si="11"/>
        <v/>
      </c>
      <c r="J192" s="188">
        <f t="shared" si="14"/>
        <v>-2</v>
      </c>
      <c r="K192" s="187">
        <f t="shared" si="12"/>
        <v>-20</v>
      </c>
      <c r="L192" s="187"/>
      <c r="M192" s="189">
        <f t="shared" si="13"/>
        <v>0</v>
      </c>
    </row>
    <row r="193" spans="1:13" x14ac:dyDescent="0.25">
      <c r="A193" s="204"/>
      <c r="G193" s="175"/>
      <c r="H193" s="187">
        <v>188</v>
      </c>
      <c r="I193" s="188" t="str">
        <f t="shared" si="11"/>
        <v/>
      </c>
      <c r="J193" s="188">
        <f t="shared" si="14"/>
        <v>-2</v>
      </c>
      <c r="K193" s="187">
        <f t="shared" si="12"/>
        <v>-20</v>
      </c>
      <c r="L193" s="187"/>
      <c r="M193" s="189">
        <f t="shared" si="13"/>
        <v>0</v>
      </c>
    </row>
    <row r="194" spans="1:13" x14ac:dyDescent="0.25">
      <c r="A194" s="204"/>
      <c r="G194" s="175"/>
      <c r="H194" s="187">
        <v>189</v>
      </c>
      <c r="I194" s="188" t="str">
        <f t="shared" si="11"/>
        <v/>
      </c>
      <c r="J194" s="188">
        <f t="shared" si="14"/>
        <v>-2</v>
      </c>
      <c r="K194" s="187">
        <f t="shared" si="12"/>
        <v>-20</v>
      </c>
      <c r="L194" s="187"/>
      <c r="M194" s="189">
        <f t="shared" si="13"/>
        <v>0</v>
      </c>
    </row>
    <row r="195" spans="1:13" x14ac:dyDescent="0.25">
      <c r="A195" s="204"/>
      <c r="G195" s="175"/>
      <c r="H195" s="187">
        <v>190</v>
      </c>
      <c r="I195" s="188" t="str">
        <f t="shared" si="11"/>
        <v/>
      </c>
      <c r="J195" s="188">
        <f t="shared" si="14"/>
        <v>-2</v>
      </c>
      <c r="K195" s="187">
        <f t="shared" si="12"/>
        <v>-20</v>
      </c>
      <c r="L195" s="187"/>
      <c r="M195" s="189">
        <f t="shared" si="13"/>
        <v>0</v>
      </c>
    </row>
    <row r="196" spans="1:13" x14ac:dyDescent="0.25">
      <c r="A196" s="204"/>
      <c r="G196" s="175"/>
      <c r="H196" s="187">
        <v>191</v>
      </c>
      <c r="I196" s="188" t="str">
        <f t="shared" si="11"/>
        <v/>
      </c>
      <c r="J196" s="188">
        <f t="shared" si="14"/>
        <v>-2</v>
      </c>
      <c r="K196" s="187">
        <f t="shared" si="12"/>
        <v>-20</v>
      </c>
      <c r="L196" s="187"/>
      <c r="M196" s="189">
        <f t="shared" si="13"/>
        <v>0</v>
      </c>
    </row>
    <row r="197" spans="1:13" x14ac:dyDescent="0.25">
      <c r="A197" s="204"/>
      <c r="G197" s="175"/>
      <c r="H197" s="187">
        <v>192</v>
      </c>
      <c r="I197" s="188" t="str">
        <f t="shared" si="11"/>
        <v/>
      </c>
      <c r="J197" s="188">
        <f t="shared" si="14"/>
        <v>-2</v>
      </c>
      <c r="K197" s="187">
        <f t="shared" si="12"/>
        <v>-20</v>
      </c>
      <c r="L197" s="187"/>
      <c r="M197" s="189">
        <f t="shared" si="13"/>
        <v>0</v>
      </c>
    </row>
    <row r="198" spans="1:13" x14ac:dyDescent="0.25">
      <c r="A198" s="204"/>
      <c r="G198" s="175"/>
      <c r="H198" s="187">
        <v>193</v>
      </c>
      <c r="I198" s="188" t="str">
        <f t="shared" ref="I198:I261" si="15">IF(H198&lt;$H$2+1,($I$2-($I$2-1)*(LOG(H198)/LOG($H$2))),"")</f>
        <v/>
      </c>
      <c r="J198" s="188">
        <f t="shared" si="14"/>
        <v>-2</v>
      </c>
      <c r="K198" s="187">
        <f t="shared" ref="K198:K261" si="16">J198*$J$2</f>
        <v>-20</v>
      </c>
      <c r="L198" s="187"/>
      <c r="M198" s="189">
        <f t="shared" ref="M198:M261" si="17">IF(I198&lt;&gt;"",K198+I198+L198,0)</f>
        <v>0</v>
      </c>
    </row>
    <row r="199" spans="1:13" x14ac:dyDescent="0.25">
      <c r="A199" s="204"/>
      <c r="G199" s="175"/>
      <c r="H199" s="187">
        <v>194</v>
      </c>
      <c r="I199" s="188" t="str">
        <f t="shared" si="15"/>
        <v/>
      </c>
      <c r="J199" s="188">
        <f t="shared" ref="J199:J262" si="18">INT(LOG($H$2,2))-ROUNDUP(LOG(H199,2),0)+IF(OR($H$2=1,$H$2=2,$H$2=4,$H$2=8,$H$2=16,$H$2=32,$H$2=64,$H$2=128,$H$2=256),0,1)</f>
        <v>-2</v>
      </c>
      <c r="K199" s="187">
        <f t="shared" si="16"/>
        <v>-20</v>
      </c>
      <c r="L199" s="187"/>
      <c r="M199" s="189">
        <f t="shared" si="17"/>
        <v>0</v>
      </c>
    </row>
    <row r="200" spans="1:13" x14ac:dyDescent="0.25">
      <c r="A200" s="204"/>
      <c r="G200" s="175"/>
      <c r="H200" s="187">
        <v>195</v>
      </c>
      <c r="I200" s="188" t="str">
        <f t="shared" si="15"/>
        <v/>
      </c>
      <c r="J200" s="188">
        <f t="shared" si="18"/>
        <v>-2</v>
      </c>
      <c r="K200" s="187">
        <f t="shared" si="16"/>
        <v>-20</v>
      </c>
      <c r="L200" s="187"/>
      <c r="M200" s="189">
        <f t="shared" si="17"/>
        <v>0</v>
      </c>
    </row>
    <row r="201" spans="1:13" x14ac:dyDescent="0.25">
      <c r="A201" s="204"/>
      <c r="G201" s="175"/>
      <c r="H201" s="187">
        <v>196</v>
      </c>
      <c r="I201" s="188" t="str">
        <f t="shared" si="15"/>
        <v/>
      </c>
      <c r="J201" s="188">
        <f t="shared" si="18"/>
        <v>-2</v>
      </c>
      <c r="K201" s="187">
        <f t="shared" si="16"/>
        <v>-20</v>
      </c>
      <c r="L201" s="187"/>
      <c r="M201" s="189">
        <f t="shared" si="17"/>
        <v>0</v>
      </c>
    </row>
    <row r="202" spans="1:13" x14ac:dyDescent="0.25">
      <c r="A202" s="204"/>
      <c r="G202" s="175"/>
      <c r="H202" s="187">
        <v>197</v>
      </c>
      <c r="I202" s="188" t="str">
        <f t="shared" si="15"/>
        <v/>
      </c>
      <c r="J202" s="188">
        <f t="shared" si="18"/>
        <v>-2</v>
      </c>
      <c r="K202" s="187">
        <f t="shared" si="16"/>
        <v>-20</v>
      </c>
      <c r="L202" s="187"/>
      <c r="M202" s="189">
        <f t="shared" si="17"/>
        <v>0</v>
      </c>
    </row>
    <row r="203" spans="1:13" x14ac:dyDescent="0.25">
      <c r="A203" s="204"/>
      <c r="G203" s="175"/>
      <c r="H203" s="187">
        <v>198</v>
      </c>
      <c r="I203" s="188" t="str">
        <f t="shared" si="15"/>
        <v/>
      </c>
      <c r="J203" s="188">
        <f t="shared" si="18"/>
        <v>-2</v>
      </c>
      <c r="K203" s="187">
        <f t="shared" si="16"/>
        <v>-20</v>
      </c>
      <c r="L203" s="187"/>
      <c r="M203" s="189">
        <f t="shared" si="17"/>
        <v>0</v>
      </c>
    </row>
    <row r="204" spans="1:13" x14ac:dyDescent="0.25">
      <c r="A204" s="204"/>
      <c r="G204" s="175"/>
      <c r="H204" s="187">
        <v>199</v>
      </c>
      <c r="I204" s="188" t="str">
        <f t="shared" si="15"/>
        <v/>
      </c>
      <c r="J204" s="188">
        <f t="shared" si="18"/>
        <v>-2</v>
      </c>
      <c r="K204" s="187">
        <f t="shared" si="16"/>
        <v>-20</v>
      </c>
      <c r="L204" s="187"/>
      <c r="M204" s="189">
        <f t="shared" si="17"/>
        <v>0</v>
      </c>
    </row>
    <row r="205" spans="1:13" x14ac:dyDescent="0.25">
      <c r="A205" s="204"/>
      <c r="G205" s="175"/>
      <c r="H205" s="187">
        <v>200</v>
      </c>
      <c r="I205" s="188" t="str">
        <f t="shared" si="15"/>
        <v/>
      </c>
      <c r="J205" s="188">
        <f t="shared" si="18"/>
        <v>-2</v>
      </c>
      <c r="K205" s="187">
        <f t="shared" si="16"/>
        <v>-20</v>
      </c>
      <c r="L205" s="187"/>
      <c r="M205" s="189">
        <f t="shared" si="17"/>
        <v>0</v>
      </c>
    </row>
    <row r="206" spans="1:13" x14ac:dyDescent="0.25">
      <c r="A206" s="204"/>
      <c r="G206" s="175"/>
      <c r="H206" s="187">
        <v>201</v>
      </c>
      <c r="I206" s="188" t="str">
        <f t="shared" si="15"/>
        <v/>
      </c>
      <c r="J206" s="188">
        <f t="shared" si="18"/>
        <v>-2</v>
      </c>
      <c r="K206" s="187">
        <f t="shared" si="16"/>
        <v>-20</v>
      </c>
      <c r="L206" s="187"/>
      <c r="M206" s="189">
        <f t="shared" si="17"/>
        <v>0</v>
      </c>
    </row>
    <row r="207" spans="1:13" x14ac:dyDescent="0.25">
      <c r="A207" s="204"/>
      <c r="G207" s="175"/>
      <c r="H207" s="187">
        <v>202</v>
      </c>
      <c r="I207" s="188" t="str">
        <f t="shared" si="15"/>
        <v/>
      </c>
      <c r="J207" s="188">
        <f t="shared" si="18"/>
        <v>-2</v>
      </c>
      <c r="K207" s="187">
        <f t="shared" si="16"/>
        <v>-20</v>
      </c>
      <c r="L207" s="187"/>
      <c r="M207" s="189">
        <f t="shared" si="17"/>
        <v>0</v>
      </c>
    </row>
    <row r="208" spans="1:13" x14ac:dyDescent="0.25">
      <c r="A208" s="204"/>
      <c r="G208" s="175"/>
      <c r="H208" s="187">
        <v>203</v>
      </c>
      <c r="I208" s="188" t="str">
        <f t="shared" si="15"/>
        <v/>
      </c>
      <c r="J208" s="188">
        <f t="shared" si="18"/>
        <v>-2</v>
      </c>
      <c r="K208" s="187">
        <f t="shared" si="16"/>
        <v>-20</v>
      </c>
      <c r="L208" s="187"/>
      <c r="M208" s="189">
        <f t="shared" si="17"/>
        <v>0</v>
      </c>
    </row>
    <row r="209" spans="1:13" x14ac:dyDescent="0.25">
      <c r="A209" s="204"/>
      <c r="G209" s="175"/>
      <c r="H209" s="187">
        <v>204</v>
      </c>
      <c r="I209" s="188" t="str">
        <f t="shared" si="15"/>
        <v/>
      </c>
      <c r="J209" s="188">
        <f t="shared" si="18"/>
        <v>-2</v>
      </c>
      <c r="K209" s="187">
        <f t="shared" si="16"/>
        <v>-20</v>
      </c>
      <c r="L209" s="187"/>
      <c r="M209" s="189">
        <f t="shared" si="17"/>
        <v>0</v>
      </c>
    </row>
    <row r="210" spans="1:13" x14ac:dyDescent="0.25">
      <c r="A210" s="204"/>
      <c r="G210" s="175"/>
      <c r="H210" s="187">
        <v>205</v>
      </c>
      <c r="I210" s="188" t="str">
        <f t="shared" si="15"/>
        <v/>
      </c>
      <c r="J210" s="188">
        <f t="shared" si="18"/>
        <v>-2</v>
      </c>
      <c r="K210" s="187">
        <f t="shared" si="16"/>
        <v>-20</v>
      </c>
      <c r="L210" s="187"/>
      <c r="M210" s="189">
        <f t="shared" si="17"/>
        <v>0</v>
      </c>
    </row>
    <row r="211" spans="1:13" x14ac:dyDescent="0.25">
      <c r="A211" s="204"/>
      <c r="G211" s="175"/>
      <c r="H211" s="187">
        <v>206</v>
      </c>
      <c r="I211" s="188" t="str">
        <f t="shared" si="15"/>
        <v/>
      </c>
      <c r="J211" s="188">
        <f t="shared" si="18"/>
        <v>-2</v>
      </c>
      <c r="K211" s="187">
        <f t="shared" si="16"/>
        <v>-20</v>
      </c>
      <c r="L211" s="187"/>
      <c r="M211" s="189">
        <f t="shared" si="17"/>
        <v>0</v>
      </c>
    </row>
    <row r="212" spans="1:13" x14ac:dyDescent="0.25">
      <c r="A212" s="204"/>
      <c r="G212" s="175"/>
      <c r="H212" s="187">
        <v>207</v>
      </c>
      <c r="I212" s="188" t="str">
        <f t="shared" si="15"/>
        <v/>
      </c>
      <c r="J212" s="188">
        <f t="shared" si="18"/>
        <v>-2</v>
      </c>
      <c r="K212" s="187">
        <f t="shared" si="16"/>
        <v>-20</v>
      </c>
      <c r="L212" s="187"/>
      <c r="M212" s="189">
        <f t="shared" si="17"/>
        <v>0</v>
      </c>
    </row>
    <row r="213" spans="1:13" x14ac:dyDescent="0.25">
      <c r="A213" s="204"/>
      <c r="G213" s="175"/>
      <c r="H213" s="187">
        <v>208</v>
      </c>
      <c r="I213" s="188" t="str">
        <f t="shared" si="15"/>
        <v/>
      </c>
      <c r="J213" s="188">
        <f t="shared" si="18"/>
        <v>-2</v>
      </c>
      <c r="K213" s="187">
        <f t="shared" si="16"/>
        <v>-20</v>
      </c>
      <c r="L213" s="187"/>
      <c r="M213" s="189">
        <f t="shared" si="17"/>
        <v>0</v>
      </c>
    </row>
    <row r="214" spans="1:13" x14ac:dyDescent="0.25">
      <c r="A214" s="204"/>
      <c r="G214" s="175"/>
      <c r="H214" s="187">
        <v>209</v>
      </c>
      <c r="I214" s="188" t="str">
        <f t="shared" si="15"/>
        <v/>
      </c>
      <c r="J214" s="188">
        <f t="shared" si="18"/>
        <v>-2</v>
      </c>
      <c r="K214" s="187">
        <f t="shared" si="16"/>
        <v>-20</v>
      </c>
      <c r="L214" s="187"/>
      <c r="M214" s="189">
        <f t="shared" si="17"/>
        <v>0</v>
      </c>
    </row>
    <row r="215" spans="1:13" x14ac:dyDescent="0.25">
      <c r="A215" s="204"/>
      <c r="G215" s="175"/>
      <c r="H215" s="187">
        <v>210</v>
      </c>
      <c r="I215" s="188" t="str">
        <f t="shared" si="15"/>
        <v/>
      </c>
      <c r="J215" s="188">
        <f t="shared" si="18"/>
        <v>-2</v>
      </c>
      <c r="K215" s="187">
        <f t="shared" si="16"/>
        <v>-20</v>
      </c>
      <c r="L215" s="187"/>
      <c r="M215" s="189">
        <f t="shared" si="17"/>
        <v>0</v>
      </c>
    </row>
    <row r="216" spans="1:13" x14ac:dyDescent="0.25">
      <c r="A216" s="204"/>
      <c r="G216" s="175"/>
      <c r="H216" s="187">
        <v>211</v>
      </c>
      <c r="I216" s="188" t="str">
        <f t="shared" si="15"/>
        <v/>
      </c>
      <c r="J216" s="188">
        <f t="shared" si="18"/>
        <v>-2</v>
      </c>
      <c r="K216" s="187">
        <f t="shared" si="16"/>
        <v>-20</v>
      </c>
      <c r="L216" s="187"/>
      <c r="M216" s="189">
        <f t="shared" si="17"/>
        <v>0</v>
      </c>
    </row>
    <row r="217" spans="1:13" x14ac:dyDescent="0.25">
      <c r="A217" s="204"/>
      <c r="G217" s="175"/>
      <c r="H217" s="187">
        <v>212</v>
      </c>
      <c r="I217" s="188" t="str">
        <f t="shared" si="15"/>
        <v/>
      </c>
      <c r="J217" s="188">
        <f t="shared" si="18"/>
        <v>-2</v>
      </c>
      <c r="K217" s="187">
        <f t="shared" si="16"/>
        <v>-20</v>
      </c>
      <c r="L217" s="187"/>
      <c r="M217" s="189">
        <f t="shared" si="17"/>
        <v>0</v>
      </c>
    </row>
    <row r="218" spans="1:13" x14ac:dyDescent="0.25">
      <c r="A218" s="204"/>
      <c r="G218" s="175"/>
      <c r="H218" s="187">
        <v>213</v>
      </c>
      <c r="I218" s="188" t="str">
        <f t="shared" si="15"/>
        <v/>
      </c>
      <c r="J218" s="188">
        <f t="shared" si="18"/>
        <v>-2</v>
      </c>
      <c r="K218" s="187">
        <f t="shared" si="16"/>
        <v>-20</v>
      </c>
      <c r="L218" s="187"/>
      <c r="M218" s="189">
        <f t="shared" si="17"/>
        <v>0</v>
      </c>
    </row>
    <row r="219" spans="1:13" x14ac:dyDescent="0.25">
      <c r="A219" s="204"/>
      <c r="G219" s="175"/>
      <c r="H219" s="187">
        <v>214</v>
      </c>
      <c r="I219" s="188" t="str">
        <f t="shared" si="15"/>
        <v/>
      </c>
      <c r="J219" s="188">
        <f t="shared" si="18"/>
        <v>-2</v>
      </c>
      <c r="K219" s="187">
        <f t="shared" si="16"/>
        <v>-20</v>
      </c>
      <c r="L219" s="187"/>
      <c r="M219" s="189">
        <f t="shared" si="17"/>
        <v>0</v>
      </c>
    </row>
    <row r="220" spans="1:13" x14ac:dyDescent="0.25">
      <c r="A220" s="204"/>
      <c r="G220" s="175"/>
      <c r="H220" s="187">
        <v>215</v>
      </c>
      <c r="I220" s="188" t="str">
        <f t="shared" si="15"/>
        <v/>
      </c>
      <c r="J220" s="188">
        <f t="shared" si="18"/>
        <v>-2</v>
      </c>
      <c r="K220" s="187">
        <f t="shared" si="16"/>
        <v>-20</v>
      </c>
      <c r="L220" s="187"/>
      <c r="M220" s="189">
        <f t="shared" si="17"/>
        <v>0</v>
      </c>
    </row>
    <row r="221" spans="1:13" x14ac:dyDescent="0.25">
      <c r="A221" s="204"/>
      <c r="G221" s="175"/>
      <c r="H221" s="187">
        <v>216</v>
      </c>
      <c r="I221" s="188" t="str">
        <f t="shared" si="15"/>
        <v/>
      </c>
      <c r="J221" s="188">
        <f t="shared" si="18"/>
        <v>-2</v>
      </c>
      <c r="K221" s="187">
        <f t="shared" si="16"/>
        <v>-20</v>
      </c>
      <c r="L221" s="187"/>
      <c r="M221" s="189">
        <f t="shared" si="17"/>
        <v>0</v>
      </c>
    </row>
    <row r="222" spans="1:13" x14ac:dyDescent="0.25">
      <c r="A222" s="204"/>
      <c r="G222" s="175"/>
      <c r="H222" s="187">
        <v>217</v>
      </c>
      <c r="I222" s="188" t="str">
        <f t="shared" si="15"/>
        <v/>
      </c>
      <c r="J222" s="188">
        <f t="shared" si="18"/>
        <v>-2</v>
      </c>
      <c r="K222" s="187">
        <f t="shared" si="16"/>
        <v>-20</v>
      </c>
      <c r="L222" s="187"/>
      <c r="M222" s="189">
        <f t="shared" si="17"/>
        <v>0</v>
      </c>
    </row>
    <row r="223" spans="1:13" x14ac:dyDescent="0.25">
      <c r="A223" s="204"/>
      <c r="G223" s="175"/>
      <c r="H223" s="187">
        <v>218</v>
      </c>
      <c r="I223" s="188" t="str">
        <f t="shared" si="15"/>
        <v/>
      </c>
      <c r="J223" s="188">
        <f t="shared" si="18"/>
        <v>-2</v>
      </c>
      <c r="K223" s="187">
        <f t="shared" si="16"/>
        <v>-20</v>
      </c>
      <c r="L223" s="187"/>
      <c r="M223" s="189">
        <f t="shared" si="17"/>
        <v>0</v>
      </c>
    </row>
    <row r="224" spans="1:13" x14ac:dyDescent="0.25">
      <c r="A224" s="204"/>
      <c r="G224" s="175"/>
      <c r="H224" s="187">
        <v>219</v>
      </c>
      <c r="I224" s="188" t="str">
        <f t="shared" si="15"/>
        <v/>
      </c>
      <c r="J224" s="188">
        <f t="shared" si="18"/>
        <v>-2</v>
      </c>
      <c r="K224" s="187">
        <f t="shared" si="16"/>
        <v>-20</v>
      </c>
      <c r="L224" s="187"/>
      <c r="M224" s="189">
        <f t="shared" si="17"/>
        <v>0</v>
      </c>
    </row>
    <row r="225" spans="1:13" x14ac:dyDescent="0.25">
      <c r="A225" s="204"/>
      <c r="G225" s="175"/>
      <c r="H225" s="187">
        <v>220</v>
      </c>
      <c r="I225" s="188" t="str">
        <f t="shared" si="15"/>
        <v/>
      </c>
      <c r="J225" s="188">
        <f t="shared" si="18"/>
        <v>-2</v>
      </c>
      <c r="K225" s="187">
        <f t="shared" si="16"/>
        <v>-20</v>
      </c>
      <c r="L225" s="187"/>
      <c r="M225" s="189">
        <f t="shared" si="17"/>
        <v>0</v>
      </c>
    </row>
    <row r="226" spans="1:13" x14ac:dyDescent="0.25">
      <c r="A226" s="204"/>
      <c r="G226" s="175"/>
      <c r="H226" s="187">
        <v>221</v>
      </c>
      <c r="I226" s="188" t="str">
        <f t="shared" si="15"/>
        <v/>
      </c>
      <c r="J226" s="188">
        <f t="shared" si="18"/>
        <v>-2</v>
      </c>
      <c r="K226" s="187">
        <f t="shared" si="16"/>
        <v>-20</v>
      </c>
      <c r="L226" s="187"/>
      <c r="M226" s="189">
        <f t="shared" si="17"/>
        <v>0</v>
      </c>
    </row>
    <row r="227" spans="1:13" x14ac:dyDescent="0.25">
      <c r="A227" s="204"/>
      <c r="G227" s="175"/>
      <c r="H227" s="187">
        <v>222</v>
      </c>
      <c r="I227" s="188" t="str">
        <f t="shared" si="15"/>
        <v/>
      </c>
      <c r="J227" s="188">
        <f t="shared" si="18"/>
        <v>-2</v>
      </c>
      <c r="K227" s="187">
        <f t="shared" si="16"/>
        <v>-20</v>
      </c>
      <c r="L227" s="187"/>
      <c r="M227" s="189">
        <f t="shared" si="17"/>
        <v>0</v>
      </c>
    </row>
    <row r="228" spans="1:13" x14ac:dyDescent="0.25">
      <c r="A228" s="204"/>
      <c r="G228" s="175"/>
      <c r="H228" s="187">
        <v>223</v>
      </c>
      <c r="I228" s="188" t="str">
        <f t="shared" si="15"/>
        <v/>
      </c>
      <c r="J228" s="188">
        <f t="shared" si="18"/>
        <v>-2</v>
      </c>
      <c r="K228" s="187">
        <f t="shared" si="16"/>
        <v>-20</v>
      </c>
      <c r="L228" s="187"/>
      <c r="M228" s="189">
        <f t="shared" si="17"/>
        <v>0</v>
      </c>
    </row>
    <row r="229" spans="1:13" x14ac:dyDescent="0.25">
      <c r="A229" s="204"/>
      <c r="G229" s="175"/>
      <c r="H229" s="187">
        <v>224</v>
      </c>
      <c r="I229" s="188" t="str">
        <f t="shared" si="15"/>
        <v/>
      </c>
      <c r="J229" s="188">
        <f t="shared" si="18"/>
        <v>-2</v>
      </c>
      <c r="K229" s="187">
        <f t="shared" si="16"/>
        <v>-20</v>
      </c>
      <c r="L229" s="187"/>
      <c r="M229" s="189">
        <f t="shared" si="17"/>
        <v>0</v>
      </c>
    </row>
    <row r="230" spans="1:13" x14ac:dyDescent="0.25">
      <c r="A230" s="204"/>
      <c r="G230" s="175"/>
      <c r="H230" s="187">
        <v>225</v>
      </c>
      <c r="I230" s="188" t="str">
        <f t="shared" si="15"/>
        <v/>
      </c>
      <c r="J230" s="188">
        <f t="shared" si="18"/>
        <v>-2</v>
      </c>
      <c r="K230" s="187">
        <f t="shared" si="16"/>
        <v>-20</v>
      </c>
      <c r="L230" s="187"/>
      <c r="M230" s="189">
        <f t="shared" si="17"/>
        <v>0</v>
      </c>
    </row>
    <row r="231" spans="1:13" x14ac:dyDescent="0.25">
      <c r="A231" s="204"/>
      <c r="G231" s="175"/>
      <c r="H231" s="187">
        <v>226</v>
      </c>
      <c r="I231" s="188" t="str">
        <f t="shared" si="15"/>
        <v/>
      </c>
      <c r="J231" s="188">
        <f t="shared" si="18"/>
        <v>-2</v>
      </c>
      <c r="K231" s="187">
        <f t="shared" si="16"/>
        <v>-20</v>
      </c>
      <c r="L231" s="187"/>
      <c r="M231" s="189">
        <f t="shared" si="17"/>
        <v>0</v>
      </c>
    </row>
    <row r="232" spans="1:13" x14ac:dyDescent="0.25">
      <c r="A232" s="204"/>
      <c r="G232" s="175"/>
      <c r="H232" s="187">
        <v>227</v>
      </c>
      <c r="I232" s="188" t="str">
        <f t="shared" si="15"/>
        <v/>
      </c>
      <c r="J232" s="188">
        <f t="shared" si="18"/>
        <v>-2</v>
      </c>
      <c r="K232" s="187">
        <f t="shared" si="16"/>
        <v>-20</v>
      </c>
      <c r="L232" s="187"/>
      <c r="M232" s="189">
        <f t="shared" si="17"/>
        <v>0</v>
      </c>
    </row>
    <row r="233" spans="1:13" x14ac:dyDescent="0.25">
      <c r="A233" s="204"/>
      <c r="G233" s="175"/>
      <c r="H233" s="187">
        <v>228</v>
      </c>
      <c r="I233" s="188" t="str">
        <f t="shared" si="15"/>
        <v/>
      </c>
      <c r="J233" s="188">
        <f t="shared" si="18"/>
        <v>-2</v>
      </c>
      <c r="K233" s="187">
        <f t="shared" si="16"/>
        <v>-20</v>
      </c>
      <c r="L233" s="187"/>
      <c r="M233" s="189">
        <f t="shared" si="17"/>
        <v>0</v>
      </c>
    </row>
    <row r="234" spans="1:13" x14ac:dyDescent="0.25">
      <c r="A234" s="204"/>
      <c r="G234" s="175"/>
      <c r="H234" s="187">
        <v>229</v>
      </c>
      <c r="I234" s="188" t="str">
        <f t="shared" si="15"/>
        <v/>
      </c>
      <c r="J234" s="188">
        <f t="shared" si="18"/>
        <v>-2</v>
      </c>
      <c r="K234" s="187">
        <f t="shared" si="16"/>
        <v>-20</v>
      </c>
      <c r="L234" s="187"/>
      <c r="M234" s="189">
        <f t="shared" si="17"/>
        <v>0</v>
      </c>
    </row>
    <row r="235" spans="1:13" x14ac:dyDescent="0.25">
      <c r="A235" s="204"/>
      <c r="G235" s="175"/>
      <c r="H235" s="187">
        <v>230</v>
      </c>
      <c r="I235" s="188" t="str">
        <f t="shared" si="15"/>
        <v/>
      </c>
      <c r="J235" s="188">
        <f t="shared" si="18"/>
        <v>-2</v>
      </c>
      <c r="K235" s="187">
        <f t="shared" si="16"/>
        <v>-20</v>
      </c>
      <c r="L235" s="187"/>
      <c r="M235" s="189">
        <f t="shared" si="17"/>
        <v>0</v>
      </c>
    </row>
    <row r="236" spans="1:13" x14ac:dyDescent="0.25">
      <c r="A236" s="204"/>
      <c r="G236" s="175"/>
      <c r="H236" s="187">
        <v>231</v>
      </c>
      <c r="I236" s="188" t="str">
        <f t="shared" si="15"/>
        <v/>
      </c>
      <c r="J236" s="188">
        <f t="shared" si="18"/>
        <v>-2</v>
      </c>
      <c r="K236" s="187">
        <f t="shared" si="16"/>
        <v>-20</v>
      </c>
      <c r="L236" s="187"/>
      <c r="M236" s="189">
        <f t="shared" si="17"/>
        <v>0</v>
      </c>
    </row>
    <row r="237" spans="1:13" x14ac:dyDescent="0.25">
      <c r="A237" s="204"/>
      <c r="G237" s="175"/>
      <c r="H237" s="187">
        <v>232</v>
      </c>
      <c r="I237" s="188" t="str">
        <f t="shared" si="15"/>
        <v/>
      </c>
      <c r="J237" s="188">
        <f t="shared" si="18"/>
        <v>-2</v>
      </c>
      <c r="K237" s="187">
        <f t="shared" si="16"/>
        <v>-20</v>
      </c>
      <c r="L237" s="187"/>
      <c r="M237" s="189">
        <f t="shared" si="17"/>
        <v>0</v>
      </c>
    </row>
    <row r="238" spans="1:13" x14ac:dyDescent="0.25">
      <c r="A238" s="204"/>
      <c r="G238" s="175"/>
      <c r="H238" s="187">
        <v>233</v>
      </c>
      <c r="I238" s="188" t="str">
        <f t="shared" si="15"/>
        <v/>
      </c>
      <c r="J238" s="188">
        <f t="shared" si="18"/>
        <v>-2</v>
      </c>
      <c r="K238" s="187">
        <f t="shared" si="16"/>
        <v>-20</v>
      </c>
      <c r="L238" s="187"/>
      <c r="M238" s="189">
        <f t="shared" si="17"/>
        <v>0</v>
      </c>
    </row>
    <row r="239" spans="1:13" x14ac:dyDescent="0.25">
      <c r="A239" s="204"/>
      <c r="G239" s="175"/>
      <c r="H239" s="187">
        <v>234</v>
      </c>
      <c r="I239" s="188" t="str">
        <f t="shared" si="15"/>
        <v/>
      </c>
      <c r="J239" s="188">
        <f t="shared" si="18"/>
        <v>-2</v>
      </c>
      <c r="K239" s="187">
        <f t="shared" si="16"/>
        <v>-20</v>
      </c>
      <c r="L239" s="187"/>
      <c r="M239" s="189">
        <f t="shared" si="17"/>
        <v>0</v>
      </c>
    </row>
    <row r="240" spans="1:13" x14ac:dyDescent="0.25">
      <c r="A240" s="204"/>
      <c r="G240" s="175"/>
      <c r="H240" s="187">
        <v>235</v>
      </c>
      <c r="I240" s="188" t="str">
        <f t="shared" si="15"/>
        <v/>
      </c>
      <c r="J240" s="188">
        <f t="shared" si="18"/>
        <v>-2</v>
      </c>
      <c r="K240" s="187">
        <f t="shared" si="16"/>
        <v>-20</v>
      </c>
      <c r="L240" s="187"/>
      <c r="M240" s="189">
        <f t="shared" si="17"/>
        <v>0</v>
      </c>
    </row>
    <row r="241" spans="1:13" x14ac:dyDescent="0.25">
      <c r="A241" s="204"/>
      <c r="G241" s="175"/>
      <c r="H241" s="187">
        <v>236</v>
      </c>
      <c r="I241" s="188" t="str">
        <f t="shared" si="15"/>
        <v/>
      </c>
      <c r="J241" s="188">
        <f t="shared" si="18"/>
        <v>-2</v>
      </c>
      <c r="K241" s="187">
        <f t="shared" si="16"/>
        <v>-20</v>
      </c>
      <c r="L241" s="187"/>
      <c r="M241" s="189">
        <f t="shared" si="17"/>
        <v>0</v>
      </c>
    </row>
    <row r="242" spans="1:13" x14ac:dyDescent="0.25">
      <c r="A242" s="204"/>
      <c r="G242" s="175"/>
      <c r="H242" s="187">
        <v>237</v>
      </c>
      <c r="I242" s="188" t="str">
        <f t="shared" si="15"/>
        <v/>
      </c>
      <c r="J242" s="188">
        <f t="shared" si="18"/>
        <v>-2</v>
      </c>
      <c r="K242" s="187">
        <f t="shared" si="16"/>
        <v>-20</v>
      </c>
      <c r="L242" s="187"/>
      <c r="M242" s="189">
        <f t="shared" si="17"/>
        <v>0</v>
      </c>
    </row>
    <row r="243" spans="1:13" x14ac:dyDescent="0.25">
      <c r="A243" s="204"/>
      <c r="G243" s="175"/>
      <c r="H243" s="187">
        <v>238</v>
      </c>
      <c r="I243" s="188" t="str">
        <f t="shared" si="15"/>
        <v/>
      </c>
      <c r="J243" s="188">
        <f t="shared" si="18"/>
        <v>-2</v>
      </c>
      <c r="K243" s="187">
        <f t="shared" si="16"/>
        <v>-20</v>
      </c>
      <c r="L243" s="187"/>
      <c r="M243" s="189">
        <f t="shared" si="17"/>
        <v>0</v>
      </c>
    </row>
    <row r="244" spans="1:13" x14ac:dyDescent="0.25">
      <c r="A244" s="204"/>
      <c r="G244" s="175"/>
      <c r="H244" s="187">
        <v>239</v>
      </c>
      <c r="I244" s="188" t="str">
        <f t="shared" si="15"/>
        <v/>
      </c>
      <c r="J244" s="188">
        <f t="shared" si="18"/>
        <v>-2</v>
      </c>
      <c r="K244" s="187">
        <f t="shared" si="16"/>
        <v>-20</v>
      </c>
      <c r="L244" s="187"/>
      <c r="M244" s="189">
        <f t="shared" si="17"/>
        <v>0</v>
      </c>
    </row>
    <row r="245" spans="1:13" x14ac:dyDescent="0.25">
      <c r="A245" s="204"/>
      <c r="G245" s="175"/>
      <c r="H245" s="187">
        <v>240</v>
      </c>
      <c r="I245" s="188" t="str">
        <f t="shared" si="15"/>
        <v/>
      </c>
      <c r="J245" s="188">
        <f t="shared" si="18"/>
        <v>-2</v>
      </c>
      <c r="K245" s="187">
        <f t="shared" si="16"/>
        <v>-20</v>
      </c>
      <c r="L245" s="187"/>
      <c r="M245" s="189">
        <f t="shared" si="17"/>
        <v>0</v>
      </c>
    </row>
    <row r="246" spans="1:13" x14ac:dyDescent="0.25">
      <c r="A246" s="204"/>
      <c r="G246" s="175"/>
      <c r="H246" s="187">
        <v>241</v>
      </c>
      <c r="I246" s="188" t="str">
        <f t="shared" si="15"/>
        <v/>
      </c>
      <c r="J246" s="188">
        <f t="shared" si="18"/>
        <v>-2</v>
      </c>
      <c r="K246" s="187">
        <f t="shared" si="16"/>
        <v>-20</v>
      </c>
      <c r="L246" s="187"/>
      <c r="M246" s="189">
        <f t="shared" si="17"/>
        <v>0</v>
      </c>
    </row>
    <row r="247" spans="1:13" x14ac:dyDescent="0.25">
      <c r="A247" s="204"/>
      <c r="G247" s="175"/>
      <c r="H247" s="187">
        <v>242</v>
      </c>
      <c r="I247" s="188" t="str">
        <f t="shared" si="15"/>
        <v/>
      </c>
      <c r="J247" s="188">
        <f t="shared" si="18"/>
        <v>-2</v>
      </c>
      <c r="K247" s="187">
        <f t="shared" si="16"/>
        <v>-20</v>
      </c>
      <c r="L247" s="187"/>
      <c r="M247" s="189">
        <f t="shared" si="17"/>
        <v>0</v>
      </c>
    </row>
    <row r="248" spans="1:13" x14ac:dyDescent="0.25">
      <c r="A248" s="204"/>
      <c r="G248" s="175"/>
      <c r="H248" s="187">
        <v>243</v>
      </c>
      <c r="I248" s="188" t="str">
        <f t="shared" si="15"/>
        <v/>
      </c>
      <c r="J248" s="188">
        <f t="shared" si="18"/>
        <v>-2</v>
      </c>
      <c r="K248" s="187">
        <f t="shared" si="16"/>
        <v>-20</v>
      </c>
      <c r="L248" s="187"/>
      <c r="M248" s="189">
        <f t="shared" si="17"/>
        <v>0</v>
      </c>
    </row>
    <row r="249" spans="1:13" x14ac:dyDescent="0.25">
      <c r="A249" s="204"/>
      <c r="G249" s="175"/>
      <c r="H249" s="187">
        <v>244</v>
      </c>
      <c r="I249" s="188" t="str">
        <f t="shared" si="15"/>
        <v/>
      </c>
      <c r="J249" s="188">
        <f t="shared" si="18"/>
        <v>-2</v>
      </c>
      <c r="K249" s="187">
        <f t="shared" si="16"/>
        <v>-20</v>
      </c>
      <c r="L249" s="187"/>
      <c r="M249" s="189">
        <f t="shared" si="17"/>
        <v>0</v>
      </c>
    </row>
    <row r="250" spans="1:13" x14ac:dyDescent="0.25">
      <c r="A250" s="204"/>
      <c r="G250" s="175"/>
      <c r="H250" s="187">
        <v>245</v>
      </c>
      <c r="I250" s="188" t="str">
        <f t="shared" si="15"/>
        <v/>
      </c>
      <c r="J250" s="188">
        <f t="shared" si="18"/>
        <v>-2</v>
      </c>
      <c r="K250" s="187">
        <f t="shared" si="16"/>
        <v>-20</v>
      </c>
      <c r="L250" s="187"/>
      <c r="M250" s="189">
        <f t="shared" si="17"/>
        <v>0</v>
      </c>
    </row>
    <row r="251" spans="1:13" x14ac:dyDescent="0.25">
      <c r="A251" s="204"/>
      <c r="G251" s="175"/>
      <c r="H251" s="187">
        <v>246</v>
      </c>
      <c r="I251" s="188" t="str">
        <f t="shared" si="15"/>
        <v/>
      </c>
      <c r="J251" s="188">
        <f t="shared" si="18"/>
        <v>-2</v>
      </c>
      <c r="K251" s="187">
        <f t="shared" si="16"/>
        <v>-20</v>
      </c>
      <c r="L251" s="187"/>
      <c r="M251" s="189">
        <f t="shared" si="17"/>
        <v>0</v>
      </c>
    </row>
    <row r="252" spans="1:13" x14ac:dyDescent="0.25">
      <c r="A252" s="204"/>
      <c r="G252" s="175"/>
      <c r="H252" s="187">
        <v>247</v>
      </c>
      <c r="I252" s="188" t="str">
        <f t="shared" si="15"/>
        <v/>
      </c>
      <c r="J252" s="188">
        <f t="shared" si="18"/>
        <v>-2</v>
      </c>
      <c r="K252" s="187">
        <f t="shared" si="16"/>
        <v>-20</v>
      </c>
      <c r="L252" s="187"/>
      <c r="M252" s="189">
        <f t="shared" si="17"/>
        <v>0</v>
      </c>
    </row>
    <row r="253" spans="1:13" x14ac:dyDescent="0.25">
      <c r="A253" s="204"/>
      <c r="G253" s="175"/>
      <c r="H253" s="187">
        <v>248</v>
      </c>
      <c r="I253" s="188" t="str">
        <f t="shared" si="15"/>
        <v/>
      </c>
      <c r="J253" s="188">
        <f t="shared" si="18"/>
        <v>-2</v>
      </c>
      <c r="K253" s="187">
        <f t="shared" si="16"/>
        <v>-20</v>
      </c>
      <c r="L253" s="187"/>
      <c r="M253" s="189">
        <f t="shared" si="17"/>
        <v>0</v>
      </c>
    </row>
    <row r="254" spans="1:13" x14ac:dyDescent="0.25">
      <c r="A254" s="204"/>
      <c r="G254" s="175"/>
      <c r="H254" s="187">
        <v>249</v>
      </c>
      <c r="I254" s="188" t="str">
        <f t="shared" si="15"/>
        <v/>
      </c>
      <c r="J254" s="188">
        <f t="shared" si="18"/>
        <v>-2</v>
      </c>
      <c r="K254" s="187">
        <f t="shared" si="16"/>
        <v>-20</v>
      </c>
      <c r="L254" s="187"/>
      <c r="M254" s="189">
        <f t="shared" si="17"/>
        <v>0</v>
      </c>
    </row>
    <row r="255" spans="1:13" x14ac:dyDescent="0.25">
      <c r="A255" s="204"/>
      <c r="G255" s="175"/>
      <c r="H255" s="187">
        <v>250</v>
      </c>
      <c r="I255" s="188" t="str">
        <f t="shared" si="15"/>
        <v/>
      </c>
      <c r="J255" s="188">
        <f t="shared" si="18"/>
        <v>-2</v>
      </c>
      <c r="K255" s="187">
        <f t="shared" si="16"/>
        <v>-20</v>
      </c>
      <c r="L255" s="187"/>
      <c r="M255" s="189">
        <f t="shared" si="17"/>
        <v>0</v>
      </c>
    </row>
    <row r="256" spans="1:13" x14ac:dyDescent="0.25">
      <c r="A256" s="204"/>
      <c r="G256" s="175"/>
      <c r="H256" s="187">
        <v>251</v>
      </c>
      <c r="I256" s="188" t="str">
        <f t="shared" si="15"/>
        <v/>
      </c>
      <c r="J256" s="188">
        <f t="shared" si="18"/>
        <v>-2</v>
      </c>
      <c r="K256" s="187">
        <f t="shared" si="16"/>
        <v>-20</v>
      </c>
      <c r="L256" s="187"/>
      <c r="M256" s="189">
        <f t="shared" si="17"/>
        <v>0</v>
      </c>
    </row>
    <row r="257" spans="1:13" x14ac:dyDescent="0.25">
      <c r="A257" s="204"/>
      <c r="G257" s="175"/>
      <c r="H257" s="187">
        <v>252</v>
      </c>
      <c r="I257" s="188" t="str">
        <f t="shared" si="15"/>
        <v/>
      </c>
      <c r="J257" s="188">
        <f t="shared" si="18"/>
        <v>-2</v>
      </c>
      <c r="K257" s="187">
        <f t="shared" si="16"/>
        <v>-20</v>
      </c>
      <c r="L257" s="187"/>
      <c r="M257" s="189">
        <f t="shared" si="17"/>
        <v>0</v>
      </c>
    </row>
    <row r="258" spans="1:13" x14ac:dyDescent="0.25">
      <c r="A258" s="204"/>
      <c r="G258" s="175"/>
      <c r="H258" s="187">
        <v>253</v>
      </c>
      <c r="I258" s="188" t="str">
        <f t="shared" si="15"/>
        <v/>
      </c>
      <c r="J258" s="188">
        <f t="shared" si="18"/>
        <v>-2</v>
      </c>
      <c r="K258" s="187">
        <f t="shared" si="16"/>
        <v>-20</v>
      </c>
      <c r="L258" s="187"/>
      <c r="M258" s="189">
        <f t="shared" si="17"/>
        <v>0</v>
      </c>
    </row>
    <row r="259" spans="1:13" x14ac:dyDescent="0.25">
      <c r="A259" s="204"/>
      <c r="G259" s="175"/>
      <c r="H259" s="187">
        <v>254</v>
      </c>
      <c r="I259" s="188" t="str">
        <f t="shared" si="15"/>
        <v/>
      </c>
      <c r="J259" s="188">
        <f t="shared" si="18"/>
        <v>-2</v>
      </c>
      <c r="K259" s="187">
        <f t="shared" si="16"/>
        <v>-20</v>
      </c>
      <c r="L259" s="187"/>
      <c r="M259" s="189">
        <f t="shared" si="17"/>
        <v>0</v>
      </c>
    </row>
    <row r="260" spans="1:13" x14ac:dyDescent="0.25">
      <c r="A260" s="204"/>
      <c r="G260" s="175"/>
      <c r="H260" s="187">
        <v>255</v>
      </c>
      <c r="I260" s="188" t="str">
        <f t="shared" si="15"/>
        <v/>
      </c>
      <c r="J260" s="188">
        <f t="shared" si="18"/>
        <v>-2</v>
      </c>
      <c r="K260" s="187">
        <f t="shared" si="16"/>
        <v>-20</v>
      </c>
      <c r="L260" s="187"/>
      <c r="M260" s="189">
        <f t="shared" si="17"/>
        <v>0</v>
      </c>
    </row>
    <row r="261" spans="1:13" x14ac:dyDescent="0.25">
      <c r="A261" s="204"/>
      <c r="G261" s="175"/>
      <c r="H261" s="187">
        <v>256</v>
      </c>
      <c r="I261" s="188" t="str">
        <f t="shared" si="15"/>
        <v/>
      </c>
      <c r="J261" s="188">
        <f t="shared" si="18"/>
        <v>-2</v>
      </c>
      <c r="K261" s="187">
        <f t="shared" si="16"/>
        <v>-20</v>
      </c>
      <c r="L261" s="187"/>
      <c r="M261" s="189">
        <f t="shared" si="17"/>
        <v>0</v>
      </c>
    </row>
    <row r="262" spans="1:13" x14ac:dyDescent="0.25">
      <c r="A262" s="204"/>
      <c r="G262" s="175"/>
      <c r="H262" s="187">
        <v>257</v>
      </c>
      <c r="I262" s="188" t="str">
        <f t="shared" ref="I262:I305" si="19">IF(H262&lt;$H$2+1,($I$2-($I$2-1)*(LOG(H262)/LOG($H$2))),"")</f>
        <v/>
      </c>
      <c r="J262" s="188">
        <f t="shared" si="18"/>
        <v>-3</v>
      </c>
      <c r="K262" s="187">
        <f t="shared" ref="K262:K305" si="20">J262*$J$2</f>
        <v>-30</v>
      </c>
      <c r="L262" s="187"/>
      <c r="M262" s="189">
        <f t="shared" ref="M262:M305" si="21">IF(I262&lt;&gt;"",K262+I262+L262,0)</f>
        <v>0</v>
      </c>
    </row>
    <row r="263" spans="1:13" x14ac:dyDescent="0.25">
      <c r="A263" s="204"/>
      <c r="G263" s="175"/>
      <c r="H263" s="187">
        <v>258</v>
      </c>
      <c r="I263" s="188" t="str">
        <f t="shared" si="19"/>
        <v/>
      </c>
      <c r="J263" s="188">
        <f t="shared" ref="J263:J305" si="22">INT(LOG($H$2,2))-ROUNDUP(LOG(H263,2),0)+IF(OR($H$2=1,$H$2=2,$H$2=4,$H$2=8,$H$2=16,$H$2=32,$H$2=64,$H$2=128,$H$2=256),0,1)</f>
        <v>-3</v>
      </c>
      <c r="K263" s="187">
        <f t="shared" si="20"/>
        <v>-30</v>
      </c>
      <c r="L263" s="187"/>
      <c r="M263" s="189">
        <f t="shared" si="21"/>
        <v>0</v>
      </c>
    </row>
    <row r="264" spans="1:13" x14ac:dyDescent="0.25">
      <c r="A264" s="204"/>
      <c r="G264" s="175"/>
      <c r="H264" s="187">
        <v>259</v>
      </c>
      <c r="I264" s="188" t="str">
        <f t="shared" si="19"/>
        <v/>
      </c>
      <c r="J264" s="188">
        <f t="shared" si="22"/>
        <v>-3</v>
      </c>
      <c r="K264" s="187">
        <f t="shared" si="20"/>
        <v>-30</v>
      </c>
      <c r="L264" s="187"/>
      <c r="M264" s="189">
        <f t="shared" si="21"/>
        <v>0</v>
      </c>
    </row>
    <row r="265" spans="1:13" x14ac:dyDescent="0.25">
      <c r="A265" s="204"/>
      <c r="G265" s="175"/>
      <c r="H265" s="187">
        <v>260</v>
      </c>
      <c r="I265" s="188" t="str">
        <f t="shared" si="19"/>
        <v/>
      </c>
      <c r="J265" s="188">
        <f t="shared" si="22"/>
        <v>-3</v>
      </c>
      <c r="K265" s="187">
        <f t="shared" si="20"/>
        <v>-30</v>
      </c>
      <c r="L265" s="187"/>
      <c r="M265" s="189">
        <f t="shared" si="21"/>
        <v>0</v>
      </c>
    </row>
    <row r="266" spans="1:13" x14ac:dyDescent="0.25">
      <c r="A266" s="204"/>
      <c r="G266" s="175"/>
      <c r="H266" s="187">
        <v>261</v>
      </c>
      <c r="I266" s="188" t="str">
        <f t="shared" si="19"/>
        <v/>
      </c>
      <c r="J266" s="188">
        <f t="shared" si="22"/>
        <v>-3</v>
      </c>
      <c r="K266" s="187">
        <f t="shared" si="20"/>
        <v>-30</v>
      </c>
      <c r="L266" s="187"/>
      <c r="M266" s="189">
        <f t="shared" si="21"/>
        <v>0</v>
      </c>
    </row>
    <row r="267" spans="1:13" x14ac:dyDescent="0.25">
      <c r="A267" s="204"/>
      <c r="G267" s="175"/>
      <c r="H267" s="187">
        <v>262</v>
      </c>
      <c r="I267" s="188" t="str">
        <f t="shared" si="19"/>
        <v/>
      </c>
      <c r="J267" s="188">
        <f t="shared" si="22"/>
        <v>-3</v>
      </c>
      <c r="K267" s="187">
        <f t="shared" si="20"/>
        <v>-30</v>
      </c>
      <c r="L267" s="187"/>
      <c r="M267" s="189">
        <f t="shared" si="21"/>
        <v>0</v>
      </c>
    </row>
    <row r="268" spans="1:13" x14ac:dyDescent="0.25">
      <c r="A268" s="204"/>
      <c r="G268" s="175"/>
      <c r="H268" s="187">
        <v>263</v>
      </c>
      <c r="I268" s="188" t="str">
        <f t="shared" si="19"/>
        <v/>
      </c>
      <c r="J268" s="188">
        <f t="shared" si="22"/>
        <v>-3</v>
      </c>
      <c r="K268" s="187">
        <f t="shared" si="20"/>
        <v>-30</v>
      </c>
      <c r="L268" s="187"/>
      <c r="M268" s="189">
        <f t="shared" si="21"/>
        <v>0</v>
      </c>
    </row>
    <row r="269" spans="1:13" x14ac:dyDescent="0.25">
      <c r="A269" s="204"/>
      <c r="G269" s="175"/>
      <c r="H269" s="187">
        <v>264</v>
      </c>
      <c r="I269" s="188" t="str">
        <f t="shared" si="19"/>
        <v/>
      </c>
      <c r="J269" s="188">
        <f t="shared" si="22"/>
        <v>-3</v>
      </c>
      <c r="K269" s="187">
        <f t="shared" si="20"/>
        <v>-30</v>
      </c>
      <c r="L269" s="187"/>
      <c r="M269" s="189">
        <f t="shared" si="21"/>
        <v>0</v>
      </c>
    </row>
    <row r="270" spans="1:13" x14ac:dyDescent="0.25">
      <c r="A270" s="204"/>
      <c r="G270" s="175"/>
      <c r="H270" s="187">
        <v>265</v>
      </c>
      <c r="I270" s="188" t="str">
        <f t="shared" si="19"/>
        <v/>
      </c>
      <c r="J270" s="188">
        <f t="shared" si="22"/>
        <v>-3</v>
      </c>
      <c r="K270" s="187">
        <f t="shared" si="20"/>
        <v>-30</v>
      </c>
      <c r="L270" s="187"/>
      <c r="M270" s="189">
        <f t="shared" si="21"/>
        <v>0</v>
      </c>
    </row>
    <row r="271" spans="1:13" x14ac:dyDescent="0.25">
      <c r="A271" s="204"/>
      <c r="G271" s="175"/>
      <c r="H271" s="187">
        <v>266</v>
      </c>
      <c r="I271" s="188" t="str">
        <f t="shared" si="19"/>
        <v/>
      </c>
      <c r="J271" s="188">
        <f t="shared" si="22"/>
        <v>-3</v>
      </c>
      <c r="K271" s="187">
        <f t="shared" si="20"/>
        <v>-30</v>
      </c>
      <c r="L271" s="187"/>
      <c r="M271" s="189">
        <f t="shared" si="21"/>
        <v>0</v>
      </c>
    </row>
    <row r="272" spans="1:13" x14ac:dyDescent="0.25">
      <c r="A272" s="204"/>
      <c r="G272" s="175"/>
      <c r="H272" s="187">
        <v>267</v>
      </c>
      <c r="I272" s="188" t="str">
        <f t="shared" si="19"/>
        <v/>
      </c>
      <c r="J272" s="188">
        <f t="shared" si="22"/>
        <v>-3</v>
      </c>
      <c r="K272" s="187">
        <f t="shared" si="20"/>
        <v>-30</v>
      </c>
      <c r="L272" s="187"/>
      <c r="M272" s="189">
        <f t="shared" si="21"/>
        <v>0</v>
      </c>
    </row>
    <row r="273" spans="1:13" x14ac:dyDescent="0.25">
      <c r="A273" s="204"/>
      <c r="G273" s="175"/>
      <c r="H273" s="187">
        <v>268</v>
      </c>
      <c r="I273" s="188" t="str">
        <f t="shared" si="19"/>
        <v/>
      </c>
      <c r="J273" s="188">
        <f t="shared" si="22"/>
        <v>-3</v>
      </c>
      <c r="K273" s="187">
        <f t="shared" si="20"/>
        <v>-30</v>
      </c>
      <c r="L273" s="187"/>
      <c r="M273" s="189">
        <f t="shared" si="21"/>
        <v>0</v>
      </c>
    </row>
    <row r="274" spans="1:13" x14ac:dyDescent="0.25">
      <c r="A274" s="204"/>
      <c r="G274" s="175"/>
      <c r="H274" s="187">
        <v>269</v>
      </c>
      <c r="I274" s="188" t="str">
        <f t="shared" si="19"/>
        <v/>
      </c>
      <c r="J274" s="188">
        <f t="shared" si="22"/>
        <v>-3</v>
      </c>
      <c r="K274" s="187">
        <f t="shared" si="20"/>
        <v>-30</v>
      </c>
      <c r="L274" s="187"/>
      <c r="M274" s="189">
        <f t="shared" si="21"/>
        <v>0</v>
      </c>
    </row>
    <row r="275" spans="1:13" x14ac:dyDescent="0.25">
      <c r="A275" s="204"/>
      <c r="G275" s="175"/>
      <c r="H275" s="187">
        <v>270</v>
      </c>
      <c r="I275" s="188" t="str">
        <f t="shared" si="19"/>
        <v/>
      </c>
      <c r="J275" s="188">
        <f t="shared" si="22"/>
        <v>-3</v>
      </c>
      <c r="K275" s="187">
        <f t="shared" si="20"/>
        <v>-30</v>
      </c>
      <c r="L275" s="187"/>
      <c r="M275" s="189">
        <f t="shared" si="21"/>
        <v>0</v>
      </c>
    </row>
    <row r="276" spans="1:13" x14ac:dyDescent="0.25">
      <c r="A276" s="204"/>
      <c r="G276" s="175"/>
      <c r="H276" s="187">
        <v>271</v>
      </c>
      <c r="I276" s="188" t="str">
        <f t="shared" si="19"/>
        <v/>
      </c>
      <c r="J276" s="188">
        <f t="shared" si="22"/>
        <v>-3</v>
      </c>
      <c r="K276" s="187">
        <f t="shared" si="20"/>
        <v>-30</v>
      </c>
      <c r="L276" s="187"/>
      <c r="M276" s="189">
        <f t="shared" si="21"/>
        <v>0</v>
      </c>
    </row>
    <row r="277" spans="1:13" x14ac:dyDescent="0.25">
      <c r="A277" s="204"/>
      <c r="G277" s="175"/>
      <c r="H277" s="187">
        <v>272</v>
      </c>
      <c r="I277" s="188" t="str">
        <f t="shared" si="19"/>
        <v/>
      </c>
      <c r="J277" s="188">
        <f t="shared" si="22"/>
        <v>-3</v>
      </c>
      <c r="K277" s="187">
        <f t="shared" si="20"/>
        <v>-30</v>
      </c>
      <c r="L277" s="187"/>
      <c r="M277" s="189">
        <f t="shared" si="21"/>
        <v>0</v>
      </c>
    </row>
    <row r="278" spans="1:13" x14ac:dyDescent="0.25">
      <c r="A278" s="204"/>
      <c r="G278" s="175"/>
      <c r="H278" s="187">
        <v>273</v>
      </c>
      <c r="I278" s="188" t="str">
        <f t="shared" si="19"/>
        <v/>
      </c>
      <c r="J278" s="188">
        <f t="shared" si="22"/>
        <v>-3</v>
      </c>
      <c r="K278" s="187">
        <f t="shared" si="20"/>
        <v>-30</v>
      </c>
      <c r="L278" s="187"/>
      <c r="M278" s="189">
        <f t="shared" si="21"/>
        <v>0</v>
      </c>
    </row>
    <row r="279" spans="1:13" x14ac:dyDescent="0.25">
      <c r="A279" s="204"/>
      <c r="G279" s="175"/>
      <c r="H279" s="187">
        <v>274</v>
      </c>
      <c r="I279" s="188" t="str">
        <f t="shared" si="19"/>
        <v/>
      </c>
      <c r="J279" s="188">
        <f t="shared" si="22"/>
        <v>-3</v>
      </c>
      <c r="K279" s="187">
        <f t="shared" si="20"/>
        <v>-30</v>
      </c>
      <c r="L279" s="187"/>
      <c r="M279" s="189">
        <f t="shared" si="21"/>
        <v>0</v>
      </c>
    </row>
    <row r="280" spans="1:13" x14ac:dyDescent="0.25">
      <c r="A280" s="204"/>
      <c r="G280" s="175"/>
      <c r="H280" s="187">
        <v>275</v>
      </c>
      <c r="I280" s="188" t="str">
        <f t="shared" si="19"/>
        <v/>
      </c>
      <c r="J280" s="188">
        <f t="shared" si="22"/>
        <v>-3</v>
      </c>
      <c r="K280" s="187">
        <f t="shared" si="20"/>
        <v>-30</v>
      </c>
      <c r="L280" s="187"/>
      <c r="M280" s="189">
        <f t="shared" si="21"/>
        <v>0</v>
      </c>
    </row>
    <row r="281" spans="1:13" x14ac:dyDescent="0.25">
      <c r="A281" s="204"/>
      <c r="G281" s="175"/>
      <c r="H281" s="187">
        <v>276</v>
      </c>
      <c r="I281" s="188" t="str">
        <f t="shared" si="19"/>
        <v/>
      </c>
      <c r="J281" s="188">
        <f t="shared" si="22"/>
        <v>-3</v>
      </c>
      <c r="K281" s="187">
        <f t="shared" si="20"/>
        <v>-30</v>
      </c>
      <c r="L281" s="187"/>
      <c r="M281" s="189">
        <f t="shared" si="21"/>
        <v>0</v>
      </c>
    </row>
    <row r="282" spans="1:13" x14ac:dyDescent="0.25">
      <c r="A282" s="204"/>
      <c r="G282" s="175"/>
      <c r="H282" s="187">
        <v>277</v>
      </c>
      <c r="I282" s="188" t="str">
        <f t="shared" si="19"/>
        <v/>
      </c>
      <c r="J282" s="188">
        <f t="shared" si="22"/>
        <v>-3</v>
      </c>
      <c r="K282" s="187">
        <f t="shared" si="20"/>
        <v>-30</v>
      </c>
      <c r="L282" s="187"/>
      <c r="M282" s="189">
        <f t="shared" si="21"/>
        <v>0</v>
      </c>
    </row>
    <row r="283" spans="1:13" x14ac:dyDescent="0.25">
      <c r="A283" s="204"/>
      <c r="G283" s="175"/>
      <c r="H283" s="187">
        <v>278</v>
      </c>
      <c r="I283" s="188" t="str">
        <f t="shared" si="19"/>
        <v/>
      </c>
      <c r="J283" s="188">
        <f t="shared" si="22"/>
        <v>-3</v>
      </c>
      <c r="K283" s="187">
        <f t="shared" si="20"/>
        <v>-30</v>
      </c>
      <c r="L283" s="187"/>
      <c r="M283" s="189">
        <f t="shared" si="21"/>
        <v>0</v>
      </c>
    </row>
    <row r="284" spans="1:13" x14ac:dyDescent="0.25">
      <c r="A284" s="204"/>
      <c r="G284" s="175"/>
      <c r="H284" s="187">
        <v>279</v>
      </c>
      <c r="I284" s="188" t="str">
        <f t="shared" si="19"/>
        <v/>
      </c>
      <c r="J284" s="188">
        <f t="shared" si="22"/>
        <v>-3</v>
      </c>
      <c r="K284" s="187">
        <f t="shared" si="20"/>
        <v>-30</v>
      </c>
      <c r="L284" s="187"/>
      <c r="M284" s="189">
        <f t="shared" si="21"/>
        <v>0</v>
      </c>
    </row>
    <row r="285" spans="1:13" x14ac:dyDescent="0.25">
      <c r="A285" s="204"/>
      <c r="G285" s="175"/>
      <c r="H285" s="187">
        <v>280</v>
      </c>
      <c r="I285" s="188" t="str">
        <f t="shared" si="19"/>
        <v/>
      </c>
      <c r="J285" s="188">
        <f t="shared" si="22"/>
        <v>-3</v>
      </c>
      <c r="K285" s="187">
        <f t="shared" si="20"/>
        <v>-30</v>
      </c>
      <c r="L285" s="187"/>
      <c r="M285" s="189">
        <f t="shared" si="21"/>
        <v>0</v>
      </c>
    </row>
    <row r="286" spans="1:13" x14ac:dyDescent="0.25">
      <c r="A286" s="204"/>
      <c r="G286" s="175"/>
      <c r="H286" s="187">
        <v>281</v>
      </c>
      <c r="I286" s="188" t="str">
        <f t="shared" si="19"/>
        <v/>
      </c>
      <c r="J286" s="188">
        <f t="shared" si="22"/>
        <v>-3</v>
      </c>
      <c r="K286" s="187">
        <f t="shared" si="20"/>
        <v>-30</v>
      </c>
      <c r="L286" s="187"/>
      <c r="M286" s="189">
        <f t="shared" si="21"/>
        <v>0</v>
      </c>
    </row>
    <row r="287" spans="1:13" x14ac:dyDescent="0.25">
      <c r="A287" s="204"/>
      <c r="G287" s="175"/>
      <c r="H287" s="187">
        <v>282</v>
      </c>
      <c r="I287" s="188" t="str">
        <f t="shared" si="19"/>
        <v/>
      </c>
      <c r="J287" s="188">
        <f t="shared" si="22"/>
        <v>-3</v>
      </c>
      <c r="K287" s="187">
        <f t="shared" si="20"/>
        <v>-30</v>
      </c>
      <c r="L287" s="187"/>
      <c r="M287" s="189">
        <f t="shared" si="21"/>
        <v>0</v>
      </c>
    </row>
    <row r="288" spans="1:13" x14ac:dyDescent="0.25">
      <c r="A288" s="204"/>
      <c r="G288" s="175"/>
      <c r="H288" s="187">
        <v>283</v>
      </c>
      <c r="I288" s="188" t="str">
        <f t="shared" si="19"/>
        <v/>
      </c>
      <c r="J288" s="188">
        <f t="shared" si="22"/>
        <v>-3</v>
      </c>
      <c r="K288" s="187">
        <f t="shared" si="20"/>
        <v>-30</v>
      </c>
      <c r="L288" s="187"/>
      <c r="M288" s="189">
        <f t="shared" si="21"/>
        <v>0</v>
      </c>
    </row>
    <row r="289" spans="1:13" x14ac:dyDescent="0.25">
      <c r="A289" s="204"/>
      <c r="G289" s="175"/>
      <c r="H289" s="187">
        <v>284</v>
      </c>
      <c r="I289" s="188" t="str">
        <f t="shared" si="19"/>
        <v/>
      </c>
      <c r="J289" s="188">
        <f t="shared" si="22"/>
        <v>-3</v>
      </c>
      <c r="K289" s="187">
        <f t="shared" si="20"/>
        <v>-30</v>
      </c>
      <c r="L289" s="187"/>
      <c r="M289" s="189">
        <f t="shared" si="21"/>
        <v>0</v>
      </c>
    </row>
    <row r="290" spans="1:13" x14ac:dyDescent="0.25">
      <c r="A290" s="204"/>
      <c r="G290" s="175"/>
      <c r="H290" s="187">
        <v>285</v>
      </c>
      <c r="I290" s="188" t="str">
        <f t="shared" si="19"/>
        <v/>
      </c>
      <c r="J290" s="188">
        <f t="shared" si="22"/>
        <v>-3</v>
      </c>
      <c r="K290" s="187">
        <f t="shared" si="20"/>
        <v>-30</v>
      </c>
      <c r="L290" s="187"/>
      <c r="M290" s="189">
        <f t="shared" si="21"/>
        <v>0</v>
      </c>
    </row>
    <row r="291" spans="1:13" x14ac:dyDescent="0.25">
      <c r="A291" s="204"/>
      <c r="G291" s="175"/>
      <c r="H291" s="187">
        <v>286</v>
      </c>
      <c r="I291" s="188" t="str">
        <f t="shared" si="19"/>
        <v/>
      </c>
      <c r="J291" s="188">
        <f t="shared" si="22"/>
        <v>-3</v>
      </c>
      <c r="K291" s="187">
        <f t="shared" si="20"/>
        <v>-30</v>
      </c>
      <c r="L291" s="187"/>
      <c r="M291" s="189">
        <f t="shared" si="21"/>
        <v>0</v>
      </c>
    </row>
    <row r="292" spans="1:13" x14ac:dyDescent="0.25">
      <c r="A292" s="204"/>
      <c r="G292" s="175"/>
      <c r="H292" s="187">
        <v>287</v>
      </c>
      <c r="I292" s="188" t="str">
        <f t="shared" si="19"/>
        <v/>
      </c>
      <c r="J292" s="188">
        <f t="shared" si="22"/>
        <v>-3</v>
      </c>
      <c r="K292" s="187">
        <f t="shared" si="20"/>
        <v>-30</v>
      </c>
      <c r="L292" s="187"/>
      <c r="M292" s="189">
        <f t="shared" si="21"/>
        <v>0</v>
      </c>
    </row>
    <row r="293" spans="1:13" x14ac:dyDescent="0.25">
      <c r="A293" s="204"/>
      <c r="G293" s="175"/>
      <c r="H293" s="187">
        <v>288</v>
      </c>
      <c r="I293" s="188" t="str">
        <f t="shared" si="19"/>
        <v/>
      </c>
      <c r="J293" s="188">
        <f t="shared" si="22"/>
        <v>-3</v>
      </c>
      <c r="K293" s="187">
        <f t="shared" si="20"/>
        <v>-30</v>
      </c>
      <c r="L293" s="187"/>
      <c r="M293" s="189">
        <f t="shared" si="21"/>
        <v>0</v>
      </c>
    </row>
    <row r="294" spans="1:13" x14ac:dyDescent="0.25">
      <c r="A294" s="204"/>
      <c r="G294" s="175"/>
      <c r="H294" s="187">
        <v>289</v>
      </c>
      <c r="I294" s="188" t="str">
        <f t="shared" si="19"/>
        <v/>
      </c>
      <c r="J294" s="188">
        <f t="shared" si="22"/>
        <v>-3</v>
      </c>
      <c r="K294" s="187">
        <f t="shared" si="20"/>
        <v>-30</v>
      </c>
      <c r="L294" s="187"/>
      <c r="M294" s="189">
        <f t="shared" si="21"/>
        <v>0</v>
      </c>
    </row>
    <row r="295" spans="1:13" x14ac:dyDescent="0.25">
      <c r="A295" s="204"/>
      <c r="G295" s="175"/>
      <c r="H295" s="187">
        <v>290</v>
      </c>
      <c r="I295" s="188" t="str">
        <f t="shared" si="19"/>
        <v/>
      </c>
      <c r="J295" s="188">
        <f t="shared" si="22"/>
        <v>-3</v>
      </c>
      <c r="K295" s="187">
        <f t="shared" si="20"/>
        <v>-30</v>
      </c>
      <c r="L295" s="187"/>
      <c r="M295" s="189">
        <f t="shared" si="21"/>
        <v>0</v>
      </c>
    </row>
    <row r="296" spans="1:13" x14ac:dyDescent="0.25">
      <c r="A296" s="204"/>
      <c r="G296" s="175"/>
      <c r="H296" s="187">
        <v>291</v>
      </c>
      <c r="I296" s="188" t="str">
        <f t="shared" si="19"/>
        <v/>
      </c>
      <c r="J296" s="188">
        <f t="shared" si="22"/>
        <v>-3</v>
      </c>
      <c r="K296" s="187">
        <f t="shared" si="20"/>
        <v>-30</v>
      </c>
      <c r="L296" s="187"/>
      <c r="M296" s="189">
        <f t="shared" si="21"/>
        <v>0</v>
      </c>
    </row>
    <row r="297" spans="1:13" x14ac:dyDescent="0.25">
      <c r="A297" s="204"/>
      <c r="G297" s="175"/>
      <c r="H297" s="187">
        <v>292</v>
      </c>
      <c r="I297" s="188" t="str">
        <f t="shared" si="19"/>
        <v/>
      </c>
      <c r="J297" s="188">
        <f t="shared" si="22"/>
        <v>-3</v>
      </c>
      <c r="K297" s="187">
        <f t="shared" si="20"/>
        <v>-30</v>
      </c>
      <c r="L297" s="187"/>
      <c r="M297" s="189">
        <f t="shared" si="21"/>
        <v>0</v>
      </c>
    </row>
    <row r="298" spans="1:13" x14ac:dyDescent="0.25">
      <c r="A298" s="204"/>
      <c r="G298" s="175"/>
      <c r="H298" s="187">
        <v>293</v>
      </c>
      <c r="I298" s="188" t="str">
        <f t="shared" si="19"/>
        <v/>
      </c>
      <c r="J298" s="188">
        <f t="shared" si="22"/>
        <v>-3</v>
      </c>
      <c r="K298" s="187">
        <f t="shared" si="20"/>
        <v>-30</v>
      </c>
      <c r="L298" s="187"/>
      <c r="M298" s="189">
        <f t="shared" si="21"/>
        <v>0</v>
      </c>
    </row>
    <row r="299" spans="1:13" x14ac:dyDescent="0.25">
      <c r="A299" s="204"/>
      <c r="G299" s="175"/>
      <c r="H299" s="187">
        <v>294</v>
      </c>
      <c r="I299" s="188" t="str">
        <f t="shared" si="19"/>
        <v/>
      </c>
      <c r="J299" s="188">
        <f t="shared" si="22"/>
        <v>-3</v>
      </c>
      <c r="K299" s="187">
        <f t="shared" si="20"/>
        <v>-30</v>
      </c>
      <c r="L299" s="187"/>
      <c r="M299" s="189">
        <f t="shared" si="21"/>
        <v>0</v>
      </c>
    </row>
    <row r="300" spans="1:13" x14ac:dyDescent="0.25">
      <c r="A300" s="204"/>
      <c r="G300" s="175"/>
      <c r="H300" s="187">
        <v>295</v>
      </c>
      <c r="I300" s="188" t="str">
        <f t="shared" si="19"/>
        <v/>
      </c>
      <c r="J300" s="188">
        <f t="shared" si="22"/>
        <v>-3</v>
      </c>
      <c r="K300" s="187">
        <f t="shared" si="20"/>
        <v>-30</v>
      </c>
      <c r="L300" s="187"/>
      <c r="M300" s="189">
        <f t="shared" si="21"/>
        <v>0</v>
      </c>
    </row>
    <row r="301" spans="1:13" x14ac:dyDescent="0.25">
      <c r="A301" s="204"/>
      <c r="G301" s="175"/>
      <c r="H301" s="187">
        <v>296</v>
      </c>
      <c r="I301" s="188" t="str">
        <f t="shared" si="19"/>
        <v/>
      </c>
      <c r="J301" s="188">
        <f t="shared" si="22"/>
        <v>-3</v>
      </c>
      <c r="K301" s="187">
        <f t="shared" si="20"/>
        <v>-30</v>
      </c>
      <c r="L301" s="187"/>
      <c r="M301" s="189">
        <f t="shared" si="21"/>
        <v>0</v>
      </c>
    </row>
    <row r="302" spans="1:13" x14ac:dyDescent="0.25">
      <c r="A302" s="204"/>
      <c r="G302" s="175"/>
      <c r="H302" s="187">
        <v>297</v>
      </c>
      <c r="I302" s="188" t="str">
        <f t="shared" si="19"/>
        <v/>
      </c>
      <c r="J302" s="188">
        <f t="shared" si="22"/>
        <v>-3</v>
      </c>
      <c r="K302" s="187">
        <f t="shared" si="20"/>
        <v>-30</v>
      </c>
      <c r="L302" s="187"/>
      <c r="M302" s="189">
        <f t="shared" si="21"/>
        <v>0</v>
      </c>
    </row>
    <row r="303" spans="1:13" x14ac:dyDescent="0.25">
      <c r="A303" s="204"/>
      <c r="G303" s="175"/>
      <c r="H303" s="187">
        <v>298</v>
      </c>
      <c r="I303" s="188" t="str">
        <f t="shared" si="19"/>
        <v/>
      </c>
      <c r="J303" s="188">
        <f t="shared" si="22"/>
        <v>-3</v>
      </c>
      <c r="K303" s="187">
        <f t="shared" si="20"/>
        <v>-30</v>
      </c>
      <c r="L303" s="187"/>
      <c r="M303" s="189">
        <f t="shared" si="21"/>
        <v>0</v>
      </c>
    </row>
    <row r="304" spans="1:13" x14ac:dyDescent="0.25">
      <c r="A304" s="204"/>
      <c r="G304" s="175"/>
      <c r="H304" s="187">
        <v>299</v>
      </c>
      <c r="I304" s="188" t="str">
        <f t="shared" si="19"/>
        <v/>
      </c>
      <c r="J304" s="188">
        <f t="shared" si="22"/>
        <v>-3</v>
      </c>
      <c r="K304" s="187">
        <f t="shared" si="20"/>
        <v>-30</v>
      </c>
      <c r="L304" s="187"/>
      <c r="M304" s="189">
        <f t="shared" si="21"/>
        <v>0</v>
      </c>
    </row>
    <row r="305" spans="1:16" x14ac:dyDescent="0.25">
      <c r="A305" s="204"/>
      <c r="G305" s="175"/>
      <c r="H305" s="187">
        <v>300</v>
      </c>
      <c r="I305" s="188" t="str">
        <f t="shared" si="19"/>
        <v/>
      </c>
      <c r="J305" s="188">
        <f t="shared" si="22"/>
        <v>-3</v>
      </c>
      <c r="K305" s="187">
        <f t="shared" si="20"/>
        <v>-30</v>
      </c>
      <c r="L305" s="187"/>
      <c r="M305" s="189">
        <f t="shared" si="21"/>
        <v>0</v>
      </c>
    </row>
    <row r="306" spans="1:16" x14ac:dyDescent="0.25">
      <c r="A306" s="205"/>
    </row>
    <row r="314" spans="1:16" x14ac:dyDescent="0.25">
      <c r="L314" s="208"/>
      <c r="P314" s="198"/>
    </row>
    <row r="315" spans="1:16" x14ac:dyDescent="0.25">
      <c r="L315" s="208"/>
      <c r="P315" s="198"/>
    </row>
    <row r="316" spans="1:16" x14ac:dyDescent="0.25">
      <c r="L316" s="208"/>
      <c r="P316" s="198"/>
    </row>
    <row r="317" spans="1:16" x14ac:dyDescent="0.25">
      <c r="L317" s="208"/>
      <c r="P317" s="198"/>
    </row>
  </sheetData>
  <conditionalFormatting sqref="J9:K9">
    <cfRule type="cellIs" dxfId="8" priority="1" operator="lessThanOrEqual">
      <formula>0</formula>
    </cfRule>
  </conditionalFormatting>
  <conditionalFormatting sqref="K6:K8 K10:K305">
    <cfRule type="cellIs" dxfId="7" priority="2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D5535-151B-4A18-B75C-F9BB6930B06E}">
  <sheetPr>
    <tabColor rgb="FF92D050"/>
  </sheetPr>
  <dimension ref="A1:AL374"/>
  <sheetViews>
    <sheetView zoomScaleNormal="100" workbookViewId="0">
      <selection activeCell="O25" sqref="O25"/>
    </sheetView>
  </sheetViews>
  <sheetFormatPr defaultColWidth="8.875" defaultRowHeight="14.3" x14ac:dyDescent="0.25"/>
  <cols>
    <col min="1" max="1" width="8" style="203" customWidth="1"/>
    <col min="2" max="2" width="8.25" style="203" customWidth="1"/>
    <col min="3" max="3" width="34.75" style="203" customWidth="1"/>
    <col min="4" max="4" width="11.25" style="203" customWidth="1"/>
    <col min="5" max="6" width="8.875" style="203"/>
    <col min="7" max="7" width="0.875" style="203" customWidth="1"/>
    <col min="8" max="8" width="8.875" style="206"/>
    <col min="9" max="9" width="11" style="206" customWidth="1"/>
    <col min="10" max="10" width="15.25" style="206" customWidth="1"/>
    <col min="11" max="11" width="8.75" style="206" customWidth="1"/>
    <col min="12" max="12" width="11" style="206" customWidth="1"/>
    <col min="13" max="13" width="12.25" style="207" customWidth="1"/>
    <col min="14" max="15" width="13.875" style="175" customWidth="1"/>
    <col min="16" max="18" width="8.875" style="175"/>
    <col min="19" max="20" width="8.875" style="180"/>
    <col min="21" max="21" width="12.125" style="180" customWidth="1"/>
    <col min="22" max="22" width="27.375" style="180" customWidth="1"/>
    <col min="23" max="38" width="8.875" style="180"/>
    <col min="39" max="16384" width="8.875" style="203"/>
  </cols>
  <sheetData>
    <row r="1" spans="1:36" x14ac:dyDescent="0.25">
      <c r="A1" s="175"/>
      <c r="B1" s="175"/>
      <c r="C1" s="175"/>
      <c r="D1" s="175"/>
      <c r="E1" s="175"/>
      <c r="F1" s="175"/>
      <c r="G1" s="175"/>
      <c r="H1" s="176" t="s">
        <v>38</v>
      </c>
      <c r="I1" s="177" t="s">
        <v>39</v>
      </c>
      <c r="J1" s="177" t="s">
        <v>40</v>
      </c>
      <c r="K1" s="178" t="s">
        <v>128</v>
      </c>
      <c r="L1" s="179"/>
      <c r="M1" s="179"/>
    </row>
    <row r="2" spans="1:36" x14ac:dyDescent="0.25">
      <c r="A2" s="175"/>
      <c r="B2" s="47" t="s">
        <v>42</v>
      </c>
      <c r="C2" s="125" t="s">
        <v>146</v>
      </c>
      <c r="D2" s="68"/>
      <c r="E2" s="6"/>
      <c r="F2" s="6"/>
      <c r="G2" s="6"/>
      <c r="H2" s="181">
        <v>24</v>
      </c>
      <c r="I2" s="182">
        <v>50</v>
      </c>
      <c r="J2" s="182">
        <v>10</v>
      </c>
      <c r="K2" s="209">
        <f>3*H2^(1/3)</f>
        <v>8.6534974218444489</v>
      </c>
      <c r="L2" s="179"/>
      <c r="M2" s="179"/>
    </row>
    <row r="3" spans="1:36" x14ac:dyDescent="0.25">
      <c r="A3" s="175"/>
      <c r="B3" s="184" t="s">
        <v>44</v>
      </c>
      <c r="C3" s="69" t="s">
        <v>147</v>
      </c>
      <c r="D3" s="69"/>
      <c r="E3" s="7"/>
      <c r="F3" s="7"/>
      <c r="G3" s="7"/>
      <c r="H3" s="179"/>
      <c r="I3" s="179"/>
      <c r="J3" s="210"/>
      <c r="K3" s="179"/>
      <c r="L3" s="179"/>
      <c r="M3" s="179"/>
    </row>
    <row r="4" spans="1:36" ht="10.199999999999999" customHeight="1" x14ac:dyDescent="0.25">
      <c r="A4" s="8"/>
      <c r="B4" s="7"/>
      <c r="C4" s="8"/>
      <c r="D4" s="8"/>
      <c r="E4" s="8"/>
      <c r="F4" s="8"/>
      <c r="G4" s="8"/>
      <c r="H4" s="179"/>
      <c r="I4" s="179"/>
      <c r="J4" s="210"/>
      <c r="K4" s="179"/>
      <c r="L4" s="179"/>
      <c r="M4" s="179"/>
    </row>
    <row r="5" spans="1:36" ht="34.65" x14ac:dyDescent="0.25">
      <c r="A5" s="1" t="s">
        <v>45</v>
      </c>
      <c r="B5" s="37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8"/>
      <c r="H5" s="185" t="s">
        <v>51</v>
      </c>
      <c r="I5" s="186" t="s">
        <v>52</v>
      </c>
      <c r="J5" s="211" t="s">
        <v>93</v>
      </c>
      <c r="K5" s="186" t="s">
        <v>94</v>
      </c>
      <c r="L5" s="186" t="s">
        <v>55</v>
      </c>
      <c r="M5" s="185" t="s">
        <v>56</v>
      </c>
    </row>
    <row r="6" spans="1:36" ht="14.45" customHeight="1" x14ac:dyDescent="0.25">
      <c r="A6" s="94">
        <f>M6</f>
        <v>125.96049226553335</v>
      </c>
      <c r="B6" s="36">
        <f>IF(H6&gt;$H$2,"",(ROW()-5))</f>
        <v>1</v>
      </c>
      <c r="C6" s="24" t="s">
        <v>21</v>
      </c>
      <c r="D6" s="24"/>
      <c r="E6" s="24"/>
      <c r="F6" s="24" t="s">
        <v>58</v>
      </c>
      <c r="G6" s="8"/>
      <c r="H6" s="187">
        <v>1</v>
      </c>
      <c r="I6" s="188">
        <f t="shared" ref="I6:I69" si="0">IF(H6&lt;$H$2+1,($I$2-($I$2-1)*(LOG(H6)/LOG($H$2))),"")</f>
        <v>50</v>
      </c>
      <c r="J6" s="187">
        <f>INT(LOG($H$2,2))-ROUNDUP(LOG(H6,2),0)+IF(OR($H$2=1,$H$2=2,$H$2=4,$H$2=8,$H$2=16,$H$2=32,$H$2=64,$H$2=128,$H$2=256),0,1)</f>
        <v>5</v>
      </c>
      <c r="K6" s="187">
        <f t="shared" ref="K6:K69" si="1">J6*$J$2</f>
        <v>50</v>
      </c>
      <c r="L6" s="189">
        <f>3*K2</f>
        <v>25.960492265533347</v>
      </c>
      <c r="M6" s="189">
        <f t="shared" ref="M6:M69" si="2">IF(I6&lt;&gt;"",K6+I6+L6,0)</f>
        <v>125.96049226553335</v>
      </c>
    </row>
    <row r="7" spans="1:36" ht="14.45" customHeight="1" x14ac:dyDescent="0.25">
      <c r="A7" s="98">
        <f t="shared" ref="A7:A37" si="3">M7</f>
        <v>96.619884536397848</v>
      </c>
      <c r="B7" s="35">
        <f t="shared" ref="B7:B65" si="4">IF(H7&gt;$H$2,"",(ROW()-5))</f>
        <v>2</v>
      </c>
      <c r="C7" s="25" t="s">
        <v>95</v>
      </c>
      <c r="D7" s="25"/>
      <c r="E7" s="25"/>
      <c r="F7" s="25" t="s">
        <v>58</v>
      </c>
      <c r="G7" s="8"/>
      <c r="H7" s="190">
        <v>2</v>
      </c>
      <c r="I7" s="191">
        <f t="shared" si="0"/>
        <v>39.31288969270895</v>
      </c>
      <c r="J7" s="190">
        <f t="shared" ref="J7:J70" si="5">INT(LOG($H$2,2))-ROUNDUP(LOG(H7,2),0)+IF(OR($H$2=1,$H$2=2,$H$2=4,$H$2=8,$H$2=16,$H$2=32,$H$2=64,$H$2=128,$H$2=256),0,1)</f>
        <v>4</v>
      </c>
      <c r="K7" s="190">
        <f t="shared" si="1"/>
        <v>40</v>
      </c>
      <c r="L7" s="192">
        <f>2*K2</f>
        <v>17.306994843688898</v>
      </c>
      <c r="M7" s="192">
        <f t="shared" si="2"/>
        <v>96.619884536397848</v>
      </c>
    </row>
    <row r="8" spans="1:36" ht="14.45" customHeight="1" x14ac:dyDescent="0.25">
      <c r="A8" s="94">
        <f t="shared" si="3"/>
        <v>71.714828343717585</v>
      </c>
      <c r="B8" s="36">
        <f t="shared" si="4"/>
        <v>3</v>
      </c>
      <c r="C8" s="24" t="s">
        <v>95</v>
      </c>
      <c r="D8" s="24"/>
      <c r="E8" s="24"/>
      <c r="F8" s="24" t="s">
        <v>58</v>
      </c>
      <c r="G8" s="8"/>
      <c r="H8" s="187">
        <v>3</v>
      </c>
      <c r="I8" s="188">
        <f t="shared" si="0"/>
        <v>33.061330921873136</v>
      </c>
      <c r="J8" s="187">
        <f t="shared" si="5"/>
        <v>3</v>
      </c>
      <c r="K8" s="187">
        <f t="shared" si="1"/>
        <v>30</v>
      </c>
      <c r="L8" s="189">
        <f>K2</f>
        <v>8.6534974218444489</v>
      </c>
      <c r="M8" s="189">
        <f t="shared" si="2"/>
        <v>71.714828343717585</v>
      </c>
    </row>
    <row r="9" spans="1:36" s="180" customFormat="1" ht="14.45" customHeight="1" x14ac:dyDescent="0.25">
      <c r="A9" s="98">
        <f t="shared" si="3"/>
        <v>71.714828343717585</v>
      </c>
      <c r="B9" s="35">
        <f>IF(H9&gt;$H$2,"",3)</f>
        <v>3</v>
      </c>
      <c r="C9" s="25" t="s">
        <v>95</v>
      </c>
      <c r="D9" s="25"/>
      <c r="E9" s="25"/>
      <c r="F9" s="25"/>
      <c r="G9" s="8"/>
      <c r="H9" s="190">
        <v>3</v>
      </c>
      <c r="I9" s="191">
        <f t="shared" si="0"/>
        <v>33.061330921873136</v>
      </c>
      <c r="J9" s="190">
        <f t="shared" si="5"/>
        <v>3</v>
      </c>
      <c r="K9" s="190">
        <f t="shared" si="1"/>
        <v>30</v>
      </c>
      <c r="L9" s="192">
        <f>K2</f>
        <v>8.6534974218444489</v>
      </c>
      <c r="M9" s="192">
        <f t="shared" si="2"/>
        <v>71.714828343717585</v>
      </c>
      <c r="N9" s="175"/>
      <c r="O9" s="175"/>
      <c r="P9" s="175"/>
      <c r="Q9" s="175"/>
      <c r="R9" s="175"/>
      <c r="V9" s="193"/>
      <c r="Z9" s="194"/>
      <c r="AA9" s="194"/>
      <c r="AG9" s="195"/>
      <c r="AH9" s="180" t="s">
        <v>95</v>
      </c>
      <c r="AI9" s="180">
        <v>23</v>
      </c>
    </row>
    <row r="10" spans="1:36" ht="14.45" customHeight="1" x14ac:dyDescent="0.25">
      <c r="A10" s="94">
        <f t="shared" si="3"/>
        <v>45.185298324340607</v>
      </c>
      <c r="B10" s="36">
        <f t="shared" si="4"/>
        <v>5</v>
      </c>
      <c r="C10" s="24" t="s">
        <v>95</v>
      </c>
      <c r="D10" s="24"/>
      <c r="E10" s="24"/>
      <c r="F10" s="24"/>
      <c r="G10" s="8"/>
      <c r="H10" s="187">
        <v>5</v>
      </c>
      <c r="I10" s="188">
        <f t="shared" si="0"/>
        <v>25.185298324340607</v>
      </c>
      <c r="J10" s="187">
        <f t="shared" si="5"/>
        <v>2</v>
      </c>
      <c r="K10" s="187">
        <f t="shared" si="1"/>
        <v>20</v>
      </c>
      <c r="L10" s="187"/>
      <c r="M10" s="189">
        <f t="shared" si="2"/>
        <v>45.185298324340607</v>
      </c>
      <c r="V10" s="193"/>
      <c r="Z10" s="194"/>
      <c r="AA10" s="194"/>
      <c r="AG10" s="195"/>
      <c r="AH10" s="180" t="s">
        <v>96</v>
      </c>
      <c r="AI10" s="180">
        <v>45</v>
      </c>
    </row>
    <row r="11" spans="1:36" ht="14.45" customHeight="1" x14ac:dyDescent="0.25">
      <c r="A11" s="98">
        <f t="shared" si="3"/>
        <v>42.374220614582093</v>
      </c>
      <c r="B11" s="35">
        <f t="shared" si="4"/>
        <v>6</v>
      </c>
      <c r="C11" s="25" t="s">
        <v>95</v>
      </c>
      <c r="D11" s="25"/>
      <c r="E11" s="25"/>
      <c r="F11" s="25"/>
      <c r="G11" s="8"/>
      <c r="H11" s="190">
        <v>6</v>
      </c>
      <c r="I11" s="191">
        <f t="shared" si="0"/>
        <v>22.374220614582093</v>
      </c>
      <c r="J11" s="190">
        <f t="shared" si="5"/>
        <v>2</v>
      </c>
      <c r="K11" s="190">
        <f t="shared" si="1"/>
        <v>20</v>
      </c>
      <c r="L11" s="190"/>
      <c r="M11" s="192">
        <f t="shared" si="2"/>
        <v>42.374220614582093</v>
      </c>
      <c r="V11" s="196"/>
      <c r="Z11" s="194"/>
      <c r="AA11" s="194"/>
      <c r="AG11" s="195"/>
      <c r="AH11" s="180" t="s">
        <v>97</v>
      </c>
      <c r="AI11" s="180">
        <v>50</v>
      </c>
    </row>
    <row r="12" spans="1:36" ht="14.45" customHeight="1" x14ac:dyDescent="0.25">
      <c r="A12" s="94">
        <f t="shared" si="3"/>
        <v>39.997488276253925</v>
      </c>
      <c r="B12" s="36">
        <f t="shared" si="4"/>
        <v>7</v>
      </c>
      <c r="C12" s="24" t="s">
        <v>95</v>
      </c>
      <c r="D12" s="24"/>
      <c r="E12" s="24"/>
      <c r="F12" s="24"/>
      <c r="G12" s="8"/>
      <c r="H12" s="187">
        <v>7</v>
      </c>
      <c r="I12" s="188">
        <f t="shared" si="0"/>
        <v>19.997488276253925</v>
      </c>
      <c r="J12" s="187">
        <f t="shared" si="5"/>
        <v>2</v>
      </c>
      <c r="K12" s="187">
        <f t="shared" si="1"/>
        <v>20</v>
      </c>
      <c r="L12" s="187"/>
      <c r="M12" s="189">
        <f t="shared" si="2"/>
        <v>39.997488276253925</v>
      </c>
      <c r="Z12" s="194"/>
      <c r="AA12" s="194"/>
      <c r="AG12" s="195"/>
      <c r="AH12" s="180" t="s">
        <v>98</v>
      </c>
      <c r="AI12" s="180">
        <f>AI11-1</f>
        <v>49</v>
      </c>
    </row>
    <row r="13" spans="1:36" ht="14.45" customHeight="1" x14ac:dyDescent="0.25">
      <c r="A13" s="98">
        <f t="shared" si="3"/>
        <v>37.938669078126857</v>
      </c>
      <c r="B13" s="35">
        <f t="shared" si="4"/>
        <v>8</v>
      </c>
      <c r="C13" s="25" t="s">
        <v>95</v>
      </c>
      <c r="D13" s="25"/>
      <c r="E13" s="25"/>
      <c r="F13" s="25"/>
      <c r="G13" s="8"/>
      <c r="H13" s="190">
        <v>8</v>
      </c>
      <c r="I13" s="191">
        <f t="shared" si="0"/>
        <v>17.938669078126857</v>
      </c>
      <c r="J13" s="190">
        <f t="shared" si="5"/>
        <v>2</v>
      </c>
      <c r="K13" s="190">
        <f t="shared" si="1"/>
        <v>20</v>
      </c>
      <c r="L13" s="190"/>
      <c r="M13" s="192">
        <f t="shared" si="2"/>
        <v>37.938669078126857</v>
      </c>
      <c r="X13" s="193"/>
      <c r="AG13" s="195"/>
      <c r="AH13" s="180" t="s">
        <v>101</v>
      </c>
      <c r="AI13" s="180">
        <f>LOG(AI9)</f>
        <v>1.3617278360175928</v>
      </c>
    </row>
    <row r="14" spans="1:36" x14ac:dyDescent="0.25">
      <c r="A14" s="94">
        <f t="shared" si="3"/>
        <v>26.122661843746279</v>
      </c>
      <c r="B14" s="36">
        <f t="shared" si="4"/>
        <v>9</v>
      </c>
      <c r="C14" s="24" t="s">
        <v>95</v>
      </c>
      <c r="D14" s="24"/>
      <c r="E14" s="24"/>
      <c r="F14" s="24"/>
      <c r="G14" s="8"/>
      <c r="H14" s="187">
        <v>9</v>
      </c>
      <c r="I14" s="188">
        <f t="shared" si="0"/>
        <v>16.122661843746279</v>
      </c>
      <c r="J14" s="187">
        <f t="shared" si="5"/>
        <v>1</v>
      </c>
      <c r="K14" s="187">
        <f t="shared" si="1"/>
        <v>10</v>
      </c>
      <c r="L14" s="187"/>
      <c r="M14" s="189">
        <f t="shared" si="2"/>
        <v>26.122661843746279</v>
      </c>
      <c r="X14" s="197"/>
      <c r="Z14" s="194"/>
      <c r="AA14" s="194"/>
      <c r="AG14" s="195"/>
      <c r="AH14" s="180" t="s">
        <v>102</v>
      </c>
      <c r="AI14" s="180">
        <f>LOG(AI10)</f>
        <v>1.6532125137753437</v>
      </c>
    </row>
    <row r="15" spans="1:36" x14ac:dyDescent="0.25">
      <c r="A15" s="98">
        <f t="shared" si="3"/>
        <v>24.498188017049557</v>
      </c>
      <c r="B15" s="35">
        <f t="shared" si="4"/>
        <v>10</v>
      </c>
      <c r="C15" s="25" t="s">
        <v>95</v>
      </c>
      <c r="D15" s="25"/>
      <c r="E15" s="25"/>
      <c r="F15" s="25"/>
      <c r="G15" s="8"/>
      <c r="H15" s="190">
        <v>10</v>
      </c>
      <c r="I15" s="191">
        <f t="shared" si="0"/>
        <v>14.498188017049557</v>
      </c>
      <c r="J15" s="190">
        <f t="shared" si="5"/>
        <v>1</v>
      </c>
      <c r="K15" s="190">
        <f t="shared" si="1"/>
        <v>10</v>
      </c>
      <c r="L15" s="190"/>
      <c r="M15" s="192">
        <f t="shared" si="2"/>
        <v>24.498188017049557</v>
      </c>
      <c r="X15" s="193"/>
      <c r="Z15" s="194"/>
      <c r="AA15" s="194"/>
    </row>
    <row r="16" spans="1:36" x14ac:dyDescent="0.25">
      <c r="A16" s="94">
        <f t="shared" si="3"/>
        <v>23.028672691092787</v>
      </c>
      <c r="B16" s="36">
        <f t="shared" si="4"/>
        <v>11</v>
      </c>
      <c r="C16" s="24" t="s">
        <v>95</v>
      </c>
      <c r="D16" s="24"/>
      <c r="E16" s="24"/>
      <c r="F16" s="24"/>
      <c r="G16" s="8"/>
      <c r="H16" s="187">
        <v>11</v>
      </c>
      <c r="I16" s="188">
        <f t="shared" si="0"/>
        <v>13.028672691092787</v>
      </c>
      <c r="J16" s="187">
        <f t="shared" si="5"/>
        <v>1</v>
      </c>
      <c r="K16" s="187">
        <f t="shared" si="1"/>
        <v>10</v>
      </c>
      <c r="L16" s="187"/>
      <c r="M16" s="189">
        <f t="shared" si="2"/>
        <v>23.028672691092787</v>
      </c>
      <c r="R16" s="198"/>
      <c r="Z16" s="194"/>
      <c r="AA16" s="194"/>
      <c r="AH16" s="199" t="s">
        <v>104</v>
      </c>
      <c r="AI16" s="180">
        <f>AI11-AI12*AI13/AI14</f>
        <v>9.6393909380186855</v>
      </c>
      <c r="AJ16" s="180" t="s">
        <v>105</v>
      </c>
    </row>
    <row r="17" spans="1:19" x14ac:dyDescent="0.25">
      <c r="A17" s="98">
        <f t="shared" si="3"/>
        <v>21.687110307291043</v>
      </c>
      <c r="B17" s="35">
        <f t="shared" si="4"/>
        <v>12</v>
      </c>
      <c r="C17" s="25" t="s">
        <v>95</v>
      </c>
      <c r="D17" s="25"/>
      <c r="E17" s="25"/>
      <c r="F17" s="25"/>
      <c r="G17" s="8"/>
      <c r="H17" s="190">
        <v>12</v>
      </c>
      <c r="I17" s="191">
        <f t="shared" si="0"/>
        <v>11.687110307291043</v>
      </c>
      <c r="J17" s="190">
        <f t="shared" si="5"/>
        <v>1</v>
      </c>
      <c r="K17" s="190">
        <f t="shared" si="1"/>
        <v>10</v>
      </c>
      <c r="L17" s="190"/>
      <c r="M17" s="192">
        <f t="shared" si="2"/>
        <v>21.687110307291043</v>
      </c>
    </row>
    <row r="18" spans="1:19" x14ac:dyDescent="0.25">
      <c r="A18" s="94">
        <f t="shared" si="3"/>
        <v>20.452992546745158</v>
      </c>
      <c r="B18" s="36">
        <f t="shared" si="4"/>
        <v>13</v>
      </c>
      <c r="C18" s="24" t="s">
        <v>95</v>
      </c>
      <c r="D18" s="24"/>
      <c r="E18" s="24"/>
      <c r="F18" s="24"/>
      <c r="G18" s="8"/>
      <c r="H18" s="187">
        <v>13</v>
      </c>
      <c r="I18" s="188">
        <f t="shared" si="0"/>
        <v>10.452992546745158</v>
      </c>
      <c r="J18" s="187">
        <f t="shared" si="5"/>
        <v>1</v>
      </c>
      <c r="K18" s="187">
        <f t="shared" si="1"/>
        <v>10</v>
      </c>
      <c r="L18" s="187"/>
      <c r="M18" s="189">
        <f t="shared" si="2"/>
        <v>20.452992546745158</v>
      </c>
    </row>
    <row r="19" spans="1:19" x14ac:dyDescent="0.25">
      <c r="A19" s="98">
        <f t="shared" si="3"/>
        <v>19.310377968962882</v>
      </c>
      <c r="B19" s="35">
        <f t="shared" si="4"/>
        <v>14</v>
      </c>
      <c r="C19" s="25" t="s">
        <v>95</v>
      </c>
      <c r="D19" s="25"/>
      <c r="E19" s="25"/>
      <c r="F19" s="25"/>
      <c r="G19" s="8"/>
      <c r="H19" s="190">
        <v>14</v>
      </c>
      <c r="I19" s="191">
        <f t="shared" si="0"/>
        <v>9.3103779689628823</v>
      </c>
      <c r="J19" s="190">
        <f t="shared" si="5"/>
        <v>1</v>
      </c>
      <c r="K19" s="190">
        <f t="shared" si="1"/>
        <v>10</v>
      </c>
      <c r="L19" s="190"/>
      <c r="M19" s="192">
        <f t="shared" si="2"/>
        <v>19.310377968962882</v>
      </c>
    </row>
    <row r="20" spans="1:19" x14ac:dyDescent="0.25">
      <c r="A20" s="94">
        <f t="shared" si="3"/>
        <v>18.246629246213743</v>
      </c>
      <c r="B20" s="36">
        <f t="shared" si="4"/>
        <v>15</v>
      </c>
      <c r="C20" s="24" t="s">
        <v>95</v>
      </c>
      <c r="D20" s="24"/>
      <c r="E20" s="24"/>
      <c r="F20" s="24"/>
      <c r="G20" s="8"/>
      <c r="H20" s="187">
        <v>15</v>
      </c>
      <c r="I20" s="188">
        <f t="shared" si="0"/>
        <v>8.2466292462137432</v>
      </c>
      <c r="J20" s="187">
        <f t="shared" si="5"/>
        <v>1</v>
      </c>
      <c r="K20" s="187">
        <f t="shared" si="1"/>
        <v>10</v>
      </c>
      <c r="L20" s="187"/>
      <c r="M20" s="189">
        <f t="shared" si="2"/>
        <v>18.246629246213743</v>
      </c>
      <c r="R20" s="200"/>
      <c r="S20" s="201"/>
    </row>
    <row r="21" spans="1:19" x14ac:dyDescent="0.25">
      <c r="A21" s="98">
        <f t="shared" si="3"/>
        <v>17.251558770835814</v>
      </c>
      <c r="B21" s="35">
        <f t="shared" si="4"/>
        <v>16</v>
      </c>
      <c r="C21" s="25" t="s">
        <v>28</v>
      </c>
      <c r="D21" s="25"/>
      <c r="E21" s="25"/>
      <c r="F21" s="25"/>
      <c r="G21" s="8"/>
      <c r="H21" s="190">
        <v>16</v>
      </c>
      <c r="I21" s="191">
        <f t="shared" si="0"/>
        <v>7.251558770835814</v>
      </c>
      <c r="J21" s="190">
        <f t="shared" si="5"/>
        <v>1</v>
      </c>
      <c r="K21" s="190">
        <f t="shared" si="1"/>
        <v>10</v>
      </c>
      <c r="L21" s="190"/>
      <c r="M21" s="192">
        <f t="shared" si="2"/>
        <v>17.251558770835814</v>
      </c>
    </row>
    <row r="22" spans="1:19" x14ac:dyDescent="0.25">
      <c r="A22" s="94">
        <f t="shared" si="3"/>
        <v>6.3168337386043518</v>
      </c>
      <c r="B22" s="36">
        <f t="shared" si="4"/>
        <v>17</v>
      </c>
      <c r="C22" s="24" t="s">
        <v>95</v>
      </c>
      <c r="D22" s="24"/>
      <c r="E22" s="24"/>
      <c r="F22" s="24"/>
      <c r="G22" s="8"/>
      <c r="H22" s="187">
        <v>17</v>
      </c>
      <c r="I22" s="188">
        <f t="shared" si="0"/>
        <v>6.3168337386043518</v>
      </c>
      <c r="J22" s="187">
        <f t="shared" si="5"/>
        <v>0</v>
      </c>
      <c r="K22" s="187">
        <f t="shared" si="1"/>
        <v>0</v>
      </c>
      <c r="L22" s="187"/>
      <c r="M22" s="189">
        <f t="shared" si="2"/>
        <v>6.3168337386043518</v>
      </c>
    </row>
    <row r="23" spans="1:19" x14ac:dyDescent="0.25">
      <c r="A23" s="98">
        <f t="shared" si="3"/>
        <v>5.435551536455236</v>
      </c>
      <c r="B23" s="35">
        <f t="shared" si="4"/>
        <v>18</v>
      </c>
      <c r="C23" s="25" t="s">
        <v>95</v>
      </c>
      <c r="D23" s="25"/>
      <c r="E23" s="25"/>
      <c r="F23" s="25"/>
      <c r="G23" s="8"/>
      <c r="H23" s="190">
        <v>18</v>
      </c>
      <c r="I23" s="191">
        <f t="shared" si="0"/>
        <v>5.435551536455236</v>
      </c>
      <c r="J23" s="190">
        <f t="shared" si="5"/>
        <v>0</v>
      </c>
      <c r="K23" s="190">
        <f t="shared" si="1"/>
        <v>0</v>
      </c>
      <c r="L23" s="190"/>
      <c r="M23" s="192">
        <f t="shared" si="2"/>
        <v>5.435551536455236</v>
      </c>
    </row>
    <row r="24" spans="1:19" x14ac:dyDescent="0.25">
      <c r="A24" s="94">
        <f t="shared" si="3"/>
        <v>4.60193008645183</v>
      </c>
      <c r="B24" s="36">
        <f t="shared" si="4"/>
        <v>19</v>
      </c>
      <c r="C24" s="24" t="s">
        <v>33</v>
      </c>
      <c r="D24" s="24"/>
      <c r="E24" s="24"/>
      <c r="F24" s="24"/>
      <c r="G24" s="8"/>
      <c r="H24" s="187">
        <v>19</v>
      </c>
      <c r="I24" s="188">
        <f t="shared" si="0"/>
        <v>4.60193008645183</v>
      </c>
      <c r="J24" s="187">
        <f t="shared" si="5"/>
        <v>0</v>
      </c>
      <c r="K24" s="187">
        <f t="shared" si="1"/>
        <v>0</v>
      </c>
      <c r="L24" s="187"/>
      <c r="M24" s="189">
        <f t="shared" si="2"/>
        <v>4.60193008645183</v>
      </c>
      <c r="R24" s="200"/>
      <c r="S24" s="201"/>
    </row>
    <row r="25" spans="1:19" x14ac:dyDescent="0.25">
      <c r="A25" s="98">
        <f t="shared" si="3"/>
        <v>3.8110777097585071</v>
      </c>
      <c r="B25" s="35">
        <f t="shared" si="4"/>
        <v>20</v>
      </c>
      <c r="C25" s="25" t="s">
        <v>95</v>
      </c>
      <c r="D25" s="25"/>
      <c r="E25" s="25"/>
      <c r="F25" s="25"/>
      <c r="G25" s="8"/>
      <c r="H25" s="190">
        <v>20</v>
      </c>
      <c r="I25" s="191">
        <f t="shared" si="0"/>
        <v>3.8110777097585071</v>
      </c>
      <c r="J25" s="190">
        <f t="shared" si="5"/>
        <v>0</v>
      </c>
      <c r="K25" s="190">
        <f t="shared" si="1"/>
        <v>0</v>
      </c>
      <c r="L25" s="190"/>
      <c r="M25" s="192">
        <f t="shared" si="2"/>
        <v>3.8110777097585071</v>
      </c>
    </row>
    <row r="26" spans="1:19" x14ac:dyDescent="0.25">
      <c r="A26" s="94">
        <f t="shared" si="3"/>
        <v>3.0588191981270612</v>
      </c>
      <c r="B26" s="36">
        <f t="shared" si="4"/>
        <v>21</v>
      </c>
      <c r="C26" s="24" t="s">
        <v>95</v>
      </c>
      <c r="D26" s="24"/>
      <c r="E26" s="24"/>
      <c r="F26" s="24"/>
      <c r="G26" s="8"/>
      <c r="H26" s="187">
        <v>21</v>
      </c>
      <c r="I26" s="188">
        <f t="shared" si="0"/>
        <v>3.0588191981270612</v>
      </c>
      <c r="J26" s="187">
        <f t="shared" si="5"/>
        <v>0</v>
      </c>
      <c r="K26" s="187">
        <f t="shared" si="1"/>
        <v>0</v>
      </c>
      <c r="L26" s="187"/>
      <c r="M26" s="189">
        <f t="shared" si="2"/>
        <v>3.0588191981270612</v>
      </c>
    </row>
    <row r="27" spans="1:19" x14ac:dyDescent="0.25">
      <c r="A27" s="98">
        <f t="shared" si="3"/>
        <v>2.3415623838017439</v>
      </c>
      <c r="B27" s="35">
        <f t="shared" si="4"/>
        <v>22</v>
      </c>
      <c r="C27" s="25" t="s">
        <v>95</v>
      </c>
      <c r="D27" s="25"/>
      <c r="E27" s="25"/>
      <c r="F27" s="25"/>
      <c r="G27" s="8"/>
      <c r="H27" s="190">
        <v>22</v>
      </c>
      <c r="I27" s="191">
        <f t="shared" si="0"/>
        <v>2.3415623838017439</v>
      </c>
      <c r="J27" s="190">
        <f t="shared" si="5"/>
        <v>0</v>
      </c>
      <c r="K27" s="190">
        <f t="shared" si="1"/>
        <v>0</v>
      </c>
      <c r="L27" s="190"/>
      <c r="M27" s="192">
        <f t="shared" si="2"/>
        <v>2.3415623838017439</v>
      </c>
    </row>
    <row r="28" spans="1:19" x14ac:dyDescent="0.25">
      <c r="A28" s="94">
        <f t="shared" si="3"/>
        <v>1.6561943937534522</v>
      </c>
      <c r="B28" s="36">
        <f t="shared" si="4"/>
        <v>23</v>
      </c>
      <c r="C28" s="24" t="s">
        <v>95</v>
      </c>
      <c r="D28" s="24"/>
      <c r="E28" s="24"/>
      <c r="F28" s="24"/>
      <c r="G28" s="8"/>
      <c r="H28" s="187">
        <v>23</v>
      </c>
      <c r="I28" s="188">
        <f t="shared" si="0"/>
        <v>1.6561943937534522</v>
      </c>
      <c r="J28" s="187">
        <f t="shared" si="5"/>
        <v>0</v>
      </c>
      <c r="K28" s="187">
        <f t="shared" si="1"/>
        <v>0</v>
      </c>
      <c r="L28" s="187"/>
      <c r="M28" s="189">
        <f t="shared" si="2"/>
        <v>1.6561943937534522</v>
      </c>
      <c r="R28" s="200"/>
      <c r="S28" s="201"/>
    </row>
    <row r="29" spans="1:19" x14ac:dyDescent="0.25">
      <c r="A29" s="98">
        <f t="shared" si="3"/>
        <v>1</v>
      </c>
      <c r="B29" s="35">
        <f t="shared" si="4"/>
        <v>24</v>
      </c>
      <c r="C29" s="25" t="s">
        <v>95</v>
      </c>
      <c r="D29" s="25"/>
      <c r="E29" s="25"/>
      <c r="F29" s="25"/>
      <c r="G29" s="175"/>
      <c r="H29" s="190">
        <v>24</v>
      </c>
      <c r="I29" s="191">
        <f t="shared" si="0"/>
        <v>1</v>
      </c>
      <c r="J29" s="190">
        <f t="shared" si="5"/>
        <v>0</v>
      </c>
      <c r="K29" s="190">
        <f t="shared" si="1"/>
        <v>0</v>
      </c>
      <c r="L29" s="190"/>
      <c r="M29" s="192">
        <f t="shared" si="2"/>
        <v>1</v>
      </c>
    </row>
    <row r="30" spans="1:19" x14ac:dyDescent="0.25">
      <c r="A30" s="94">
        <f t="shared" si="3"/>
        <v>0</v>
      </c>
      <c r="B30" s="36" t="str">
        <f t="shared" si="4"/>
        <v/>
      </c>
      <c r="C30" s="24"/>
      <c r="D30" s="24"/>
      <c r="E30" s="24"/>
      <c r="F30" s="24"/>
      <c r="G30" s="175"/>
      <c r="H30" s="187">
        <v>25</v>
      </c>
      <c r="I30" s="188" t="str">
        <f t="shared" si="0"/>
        <v/>
      </c>
      <c r="J30" s="187">
        <f t="shared" si="5"/>
        <v>0</v>
      </c>
      <c r="K30" s="187">
        <f t="shared" si="1"/>
        <v>0</v>
      </c>
      <c r="L30" s="187"/>
      <c r="M30" s="189">
        <f t="shared" si="2"/>
        <v>0</v>
      </c>
    </row>
    <row r="31" spans="1:19" x14ac:dyDescent="0.25">
      <c r="A31" s="98">
        <f t="shared" si="3"/>
        <v>0</v>
      </c>
      <c r="B31" s="35" t="str">
        <f t="shared" si="4"/>
        <v/>
      </c>
      <c r="C31" s="25"/>
      <c r="D31" s="25"/>
      <c r="E31" s="25"/>
      <c r="F31" s="25"/>
      <c r="G31" s="175"/>
      <c r="H31" s="190">
        <v>26</v>
      </c>
      <c r="I31" s="191" t="str">
        <f t="shared" si="0"/>
        <v/>
      </c>
      <c r="J31" s="190">
        <f t="shared" si="5"/>
        <v>0</v>
      </c>
      <c r="K31" s="190">
        <f t="shared" si="1"/>
        <v>0</v>
      </c>
      <c r="L31" s="190"/>
      <c r="M31" s="192">
        <f t="shared" si="2"/>
        <v>0</v>
      </c>
    </row>
    <row r="32" spans="1:19" x14ac:dyDescent="0.25">
      <c r="A32" s="94">
        <f t="shared" si="3"/>
        <v>0</v>
      </c>
      <c r="B32" s="36" t="str">
        <f t="shared" si="4"/>
        <v/>
      </c>
      <c r="C32" s="24"/>
      <c r="D32" s="24"/>
      <c r="E32" s="24"/>
      <c r="F32" s="24"/>
      <c r="G32" s="175"/>
      <c r="H32" s="187">
        <v>27</v>
      </c>
      <c r="I32" s="188" t="str">
        <f t="shared" si="0"/>
        <v/>
      </c>
      <c r="J32" s="187">
        <f t="shared" si="5"/>
        <v>0</v>
      </c>
      <c r="K32" s="187">
        <f t="shared" si="1"/>
        <v>0</v>
      </c>
      <c r="L32" s="187"/>
      <c r="M32" s="189">
        <f t="shared" si="2"/>
        <v>0</v>
      </c>
      <c r="R32" s="200"/>
      <c r="S32" s="201"/>
    </row>
    <row r="33" spans="1:21" x14ac:dyDescent="0.25">
      <c r="A33" s="98">
        <f t="shared" si="3"/>
        <v>0</v>
      </c>
      <c r="B33" s="35" t="str">
        <f t="shared" si="4"/>
        <v/>
      </c>
      <c r="C33" s="25"/>
      <c r="D33" s="25"/>
      <c r="E33" s="25"/>
      <c r="F33" s="25"/>
      <c r="G33" s="175"/>
      <c r="H33" s="190">
        <v>28</v>
      </c>
      <c r="I33" s="191" t="str">
        <f t="shared" si="0"/>
        <v/>
      </c>
      <c r="J33" s="190">
        <f t="shared" si="5"/>
        <v>0</v>
      </c>
      <c r="K33" s="190">
        <f t="shared" si="1"/>
        <v>0</v>
      </c>
      <c r="L33" s="190"/>
      <c r="M33" s="192">
        <f t="shared" si="2"/>
        <v>0</v>
      </c>
    </row>
    <row r="34" spans="1:21" x14ac:dyDescent="0.25">
      <c r="A34" s="94">
        <f t="shared" si="3"/>
        <v>0</v>
      </c>
      <c r="B34" s="36" t="str">
        <f t="shared" si="4"/>
        <v/>
      </c>
      <c r="C34" s="24"/>
      <c r="D34" s="24"/>
      <c r="E34" s="24"/>
      <c r="F34" s="24"/>
      <c r="G34" s="175"/>
      <c r="H34" s="187">
        <v>29</v>
      </c>
      <c r="I34" s="188" t="str">
        <f t="shared" si="0"/>
        <v/>
      </c>
      <c r="J34" s="187">
        <f t="shared" si="5"/>
        <v>0</v>
      </c>
      <c r="K34" s="187">
        <f t="shared" si="1"/>
        <v>0</v>
      </c>
      <c r="L34" s="187"/>
      <c r="M34" s="189">
        <f t="shared" si="2"/>
        <v>0</v>
      </c>
    </row>
    <row r="35" spans="1:21" x14ac:dyDescent="0.25">
      <c r="A35" s="98">
        <f t="shared" si="3"/>
        <v>0</v>
      </c>
      <c r="B35" s="35" t="str">
        <f t="shared" si="4"/>
        <v/>
      </c>
      <c r="C35" s="25"/>
      <c r="D35" s="25"/>
      <c r="E35" s="25"/>
      <c r="F35" s="25"/>
      <c r="G35" s="175"/>
      <c r="H35" s="190">
        <v>30</v>
      </c>
      <c r="I35" s="191" t="str">
        <f t="shared" si="0"/>
        <v/>
      </c>
      <c r="J35" s="190">
        <f t="shared" si="5"/>
        <v>0</v>
      </c>
      <c r="K35" s="190">
        <f t="shared" si="1"/>
        <v>0</v>
      </c>
      <c r="L35" s="190"/>
      <c r="M35" s="192">
        <f t="shared" si="2"/>
        <v>0</v>
      </c>
    </row>
    <row r="36" spans="1:21" x14ac:dyDescent="0.25">
      <c r="A36" s="94">
        <f t="shared" si="3"/>
        <v>0</v>
      </c>
      <c r="B36" s="36" t="str">
        <f t="shared" si="4"/>
        <v/>
      </c>
      <c r="C36" s="24"/>
      <c r="D36" s="24"/>
      <c r="E36" s="24"/>
      <c r="F36" s="24"/>
      <c r="G36" s="175"/>
      <c r="H36" s="187">
        <v>31</v>
      </c>
      <c r="I36" s="188" t="str">
        <f t="shared" si="0"/>
        <v/>
      </c>
      <c r="J36" s="187">
        <f t="shared" si="5"/>
        <v>0</v>
      </c>
      <c r="K36" s="187">
        <f t="shared" si="1"/>
        <v>0</v>
      </c>
      <c r="L36" s="187"/>
      <c r="M36" s="189">
        <f t="shared" si="2"/>
        <v>0</v>
      </c>
      <c r="R36" s="200"/>
      <c r="S36" s="201"/>
    </row>
    <row r="37" spans="1:21" x14ac:dyDescent="0.25">
      <c r="A37" s="98">
        <f t="shared" si="3"/>
        <v>0</v>
      </c>
      <c r="B37" s="35" t="str">
        <f t="shared" si="4"/>
        <v/>
      </c>
      <c r="C37" s="25"/>
      <c r="D37" s="25"/>
      <c r="E37" s="25"/>
      <c r="F37" s="25"/>
      <c r="G37" s="175"/>
      <c r="H37" s="190">
        <v>32</v>
      </c>
      <c r="I37" s="191" t="str">
        <f t="shared" si="0"/>
        <v/>
      </c>
      <c r="J37" s="190">
        <f t="shared" si="5"/>
        <v>0</v>
      </c>
      <c r="K37" s="190">
        <f t="shared" si="1"/>
        <v>0</v>
      </c>
      <c r="L37" s="190"/>
      <c r="M37" s="192">
        <f t="shared" si="2"/>
        <v>0</v>
      </c>
    </row>
    <row r="38" spans="1:21" x14ac:dyDescent="0.25">
      <c r="A38" s="94"/>
      <c r="B38" s="36" t="str">
        <f t="shared" si="4"/>
        <v/>
      </c>
      <c r="C38" s="24"/>
      <c r="D38" s="24"/>
      <c r="E38" s="24"/>
      <c r="F38" s="24"/>
      <c r="G38" s="175"/>
      <c r="H38" s="187">
        <v>33</v>
      </c>
      <c r="I38" s="188" t="str">
        <f t="shared" si="0"/>
        <v/>
      </c>
      <c r="J38" s="187">
        <f t="shared" si="5"/>
        <v>-1</v>
      </c>
      <c r="K38" s="187">
        <f t="shared" si="1"/>
        <v>-10</v>
      </c>
      <c r="L38" s="187"/>
      <c r="M38" s="189">
        <f t="shared" si="2"/>
        <v>0</v>
      </c>
    </row>
    <row r="39" spans="1:21" x14ac:dyDescent="0.25">
      <c r="A39" s="98"/>
      <c r="B39" s="35" t="str">
        <f t="shared" si="4"/>
        <v/>
      </c>
      <c r="C39" s="25"/>
      <c r="D39" s="25"/>
      <c r="E39" s="25"/>
      <c r="F39" s="25"/>
      <c r="G39" s="175"/>
      <c r="H39" s="190">
        <v>34</v>
      </c>
      <c r="I39" s="191" t="str">
        <f t="shared" si="0"/>
        <v/>
      </c>
      <c r="J39" s="190">
        <f t="shared" si="5"/>
        <v>-1</v>
      </c>
      <c r="K39" s="190">
        <f t="shared" si="1"/>
        <v>-10</v>
      </c>
      <c r="L39" s="190"/>
      <c r="M39" s="192">
        <f t="shared" si="2"/>
        <v>0</v>
      </c>
    </row>
    <row r="40" spans="1:21" x14ac:dyDescent="0.25">
      <c r="A40" s="94"/>
      <c r="B40" s="36" t="str">
        <f t="shared" si="4"/>
        <v/>
      </c>
      <c r="C40" s="24"/>
      <c r="D40" s="24"/>
      <c r="E40" s="24"/>
      <c r="F40" s="24"/>
      <c r="G40" s="175"/>
      <c r="H40" s="187">
        <v>35</v>
      </c>
      <c r="I40" s="188" t="str">
        <f t="shared" si="0"/>
        <v/>
      </c>
      <c r="J40" s="187">
        <f t="shared" si="5"/>
        <v>-1</v>
      </c>
      <c r="K40" s="187">
        <f t="shared" si="1"/>
        <v>-10</v>
      </c>
      <c r="L40" s="187"/>
      <c r="M40" s="189">
        <f t="shared" si="2"/>
        <v>0</v>
      </c>
    </row>
    <row r="41" spans="1:21" x14ac:dyDescent="0.25">
      <c r="A41" s="98"/>
      <c r="B41" s="35" t="str">
        <f t="shared" si="4"/>
        <v/>
      </c>
      <c r="C41" s="25"/>
      <c r="D41" s="25"/>
      <c r="E41" s="25"/>
      <c r="F41" s="25"/>
      <c r="G41" s="175"/>
      <c r="H41" s="190">
        <v>36</v>
      </c>
      <c r="I41" s="191" t="str">
        <f t="shared" si="0"/>
        <v/>
      </c>
      <c r="J41" s="190">
        <f t="shared" si="5"/>
        <v>-1</v>
      </c>
      <c r="K41" s="190">
        <f t="shared" si="1"/>
        <v>-10</v>
      </c>
      <c r="L41" s="190"/>
      <c r="M41" s="192">
        <f t="shared" si="2"/>
        <v>0</v>
      </c>
      <c r="S41" s="202"/>
    </row>
    <row r="42" spans="1:21" x14ac:dyDescent="0.25">
      <c r="A42" s="94"/>
      <c r="B42" s="36" t="str">
        <f t="shared" si="4"/>
        <v/>
      </c>
      <c r="C42" s="24"/>
      <c r="D42" s="24"/>
      <c r="E42" s="24"/>
      <c r="F42" s="24"/>
      <c r="G42" s="175"/>
      <c r="H42" s="187">
        <v>37</v>
      </c>
      <c r="I42" s="188" t="str">
        <f t="shared" si="0"/>
        <v/>
      </c>
      <c r="J42" s="187">
        <f t="shared" si="5"/>
        <v>-1</v>
      </c>
      <c r="K42" s="187">
        <f t="shared" si="1"/>
        <v>-10</v>
      </c>
      <c r="L42" s="187"/>
      <c r="M42" s="189">
        <f t="shared" si="2"/>
        <v>0</v>
      </c>
    </row>
    <row r="43" spans="1:21" x14ac:dyDescent="0.25">
      <c r="A43" s="98"/>
      <c r="B43" s="35" t="str">
        <f t="shared" si="4"/>
        <v/>
      </c>
      <c r="C43" s="25"/>
      <c r="D43" s="25"/>
      <c r="E43" s="25"/>
      <c r="F43" s="25"/>
      <c r="G43" s="175"/>
      <c r="H43" s="190">
        <v>38</v>
      </c>
      <c r="I43" s="191" t="str">
        <f t="shared" si="0"/>
        <v/>
      </c>
      <c r="J43" s="190">
        <f t="shared" si="5"/>
        <v>-1</v>
      </c>
      <c r="K43" s="190">
        <f t="shared" si="1"/>
        <v>-10</v>
      </c>
      <c r="L43" s="190"/>
      <c r="M43" s="192">
        <f t="shared" si="2"/>
        <v>0</v>
      </c>
    </row>
    <row r="44" spans="1:21" x14ac:dyDescent="0.25">
      <c r="A44" s="94"/>
      <c r="B44" s="36" t="str">
        <f t="shared" si="4"/>
        <v/>
      </c>
      <c r="C44" s="24"/>
      <c r="D44" s="24"/>
      <c r="E44" s="24"/>
      <c r="F44" s="24"/>
      <c r="G44" s="175"/>
      <c r="H44" s="187">
        <v>39</v>
      </c>
      <c r="I44" s="188" t="str">
        <f t="shared" si="0"/>
        <v/>
      </c>
      <c r="J44" s="187">
        <f t="shared" si="5"/>
        <v>-1</v>
      </c>
      <c r="K44" s="187">
        <f t="shared" si="1"/>
        <v>-10</v>
      </c>
      <c r="L44" s="187"/>
      <c r="M44" s="189">
        <f t="shared" si="2"/>
        <v>0</v>
      </c>
    </row>
    <row r="45" spans="1:21" x14ac:dyDescent="0.25">
      <c r="A45" s="98"/>
      <c r="B45" s="35" t="str">
        <f t="shared" si="4"/>
        <v/>
      </c>
      <c r="C45" s="25"/>
      <c r="D45" s="25"/>
      <c r="E45" s="25"/>
      <c r="F45" s="25"/>
      <c r="G45" s="175"/>
      <c r="H45" s="190">
        <v>40</v>
      </c>
      <c r="I45" s="191" t="str">
        <f t="shared" si="0"/>
        <v/>
      </c>
      <c r="J45" s="190">
        <f t="shared" si="5"/>
        <v>-1</v>
      </c>
      <c r="K45" s="190">
        <f t="shared" si="1"/>
        <v>-10</v>
      </c>
      <c r="L45" s="190"/>
      <c r="M45" s="192">
        <f t="shared" si="2"/>
        <v>0</v>
      </c>
    </row>
    <row r="46" spans="1:21" x14ac:dyDescent="0.25">
      <c r="A46" s="94"/>
      <c r="B46" s="36" t="str">
        <f t="shared" si="4"/>
        <v/>
      </c>
      <c r="C46" s="24"/>
      <c r="D46" s="24"/>
      <c r="E46" s="24"/>
      <c r="F46" s="24"/>
      <c r="G46" s="175"/>
      <c r="H46" s="187">
        <v>41</v>
      </c>
      <c r="I46" s="188" t="str">
        <f t="shared" si="0"/>
        <v/>
      </c>
      <c r="J46" s="187">
        <f t="shared" si="5"/>
        <v>-1</v>
      </c>
      <c r="K46" s="187">
        <f t="shared" si="1"/>
        <v>-10</v>
      </c>
      <c r="L46" s="187"/>
      <c r="M46" s="189">
        <f t="shared" si="2"/>
        <v>0</v>
      </c>
      <c r="R46" s="175">
        <f>LOG($H$2,2)</f>
        <v>4.584962500721157</v>
      </c>
      <c r="T46" s="180">
        <f>LOG(H38,2)</f>
        <v>5.0443941193584534</v>
      </c>
      <c r="U46" s="180">
        <f>R46-T46</f>
        <v>-0.45943161863729642</v>
      </c>
    </row>
    <row r="47" spans="1:21" x14ac:dyDescent="0.25">
      <c r="A47" s="98"/>
      <c r="B47" s="35" t="str">
        <f t="shared" si="4"/>
        <v/>
      </c>
      <c r="C47" s="25"/>
      <c r="D47" s="25"/>
      <c r="E47" s="25"/>
      <c r="F47" s="25"/>
      <c r="G47" s="175"/>
      <c r="H47" s="190">
        <v>42</v>
      </c>
      <c r="I47" s="191" t="str">
        <f t="shared" si="0"/>
        <v/>
      </c>
      <c r="J47" s="190">
        <f t="shared" si="5"/>
        <v>-1</v>
      </c>
      <c r="K47" s="190">
        <f t="shared" si="1"/>
        <v>-10</v>
      </c>
      <c r="L47" s="190"/>
      <c r="M47" s="192">
        <f t="shared" si="2"/>
        <v>0</v>
      </c>
    </row>
    <row r="48" spans="1:21" x14ac:dyDescent="0.25">
      <c r="A48" s="94"/>
      <c r="B48" s="36" t="str">
        <f t="shared" si="4"/>
        <v/>
      </c>
      <c r="C48" s="24"/>
      <c r="D48" s="24"/>
      <c r="E48" s="24"/>
      <c r="F48" s="24"/>
      <c r="G48" s="175"/>
      <c r="H48" s="187">
        <v>43</v>
      </c>
      <c r="I48" s="188" t="str">
        <f t="shared" si="0"/>
        <v/>
      </c>
      <c r="J48" s="187">
        <f t="shared" si="5"/>
        <v>-1</v>
      </c>
      <c r="K48" s="187">
        <f t="shared" si="1"/>
        <v>-10</v>
      </c>
      <c r="L48" s="187"/>
      <c r="M48" s="189">
        <f t="shared" si="2"/>
        <v>0</v>
      </c>
    </row>
    <row r="49" spans="1:13" x14ac:dyDescent="0.25">
      <c r="A49" s="98"/>
      <c r="B49" s="35" t="str">
        <f t="shared" si="4"/>
        <v/>
      </c>
      <c r="C49" s="25"/>
      <c r="D49" s="25"/>
      <c r="E49" s="25"/>
      <c r="F49" s="25"/>
      <c r="G49" s="175"/>
      <c r="H49" s="190">
        <v>44</v>
      </c>
      <c r="I49" s="191" t="str">
        <f t="shared" si="0"/>
        <v/>
      </c>
      <c r="J49" s="190">
        <f t="shared" si="5"/>
        <v>-1</v>
      </c>
      <c r="K49" s="190">
        <f t="shared" si="1"/>
        <v>-10</v>
      </c>
      <c r="L49" s="190"/>
      <c r="M49" s="192">
        <f t="shared" si="2"/>
        <v>0</v>
      </c>
    </row>
    <row r="50" spans="1:13" x14ac:dyDescent="0.25">
      <c r="A50" s="94"/>
      <c r="B50" s="36" t="str">
        <f t="shared" si="4"/>
        <v/>
      </c>
      <c r="C50" s="24"/>
      <c r="D50" s="24"/>
      <c r="E50" s="24"/>
      <c r="F50" s="24"/>
      <c r="G50" s="175"/>
      <c r="H50" s="187">
        <v>45</v>
      </c>
      <c r="I50" s="188" t="str">
        <f t="shared" si="0"/>
        <v/>
      </c>
      <c r="J50" s="187">
        <f t="shared" si="5"/>
        <v>-1</v>
      </c>
      <c r="K50" s="187">
        <f t="shared" si="1"/>
        <v>-10</v>
      </c>
      <c r="L50" s="187"/>
      <c r="M50" s="189">
        <f t="shared" si="2"/>
        <v>0</v>
      </c>
    </row>
    <row r="51" spans="1:13" x14ac:dyDescent="0.25">
      <c r="A51" s="98"/>
      <c r="B51" s="35" t="str">
        <f t="shared" si="4"/>
        <v/>
      </c>
      <c r="C51" s="25"/>
      <c r="D51" s="25"/>
      <c r="E51" s="25"/>
      <c r="F51" s="25"/>
      <c r="G51" s="175"/>
      <c r="H51" s="190">
        <v>46</v>
      </c>
      <c r="I51" s="191" t="str">
        <f t="shared" si="0"/>
        <v/>
      </c>
      <c r="J51" s="190">
        <f t="shared" si="5"/>
        <v>-1</v>
      </c>
      <c r="K51" s="190">
        <f t="shared" si="1"/>
        <v>-10</v>
      </c>
      <c r="L51" s="190"/>
      <c r="M51" s="192">
        <f t="shared" si="2"/>
        <v>0</v>
      </c>
    </row>
    <row r="52" spans="1:13" x14ac:dyDescent="0.25">
      <c r="A52" s="94"/>
      <c r="B52" s="36" t="str">
        <f t="shared" si="4"/>
        <v/>
      </c>
      <c r="C52" s="24"/>
      <c r="D52" s="24"/>
      <c r="E52" s="24"/>
      <c r="F52" s="24"/>
      <c r="G52" s="175"/>
      <c r="H52" s="187">
        <v>47</v>
      </c>
      <c r="I52" s="188" t="str">
        <f t="shared" si="0"/>
        <v/>
      </c>
      <c r="J52" s="187">
        <f t="shared" si="5"/>
        <v>-1</v>
      </c>
      <c r="K52" s="187">
        <f t="shared" si="1"/>
        <v>-10</v>
      </c>
      <c r="L52" s="187"/>
      <c r="M52" s="189">
        <f t="shared" si="2"/>
        <v>0</v>
      </c>
    </row>
    <row r="53" spans="1:13" x14ac:dyDescent="0.25">
      <c r="A53" s="98"/>
      <c r="B53" s="35" t="str">
        <f t="shared" si="4"/>
        <v/>
      </c>
      <c r="C53" s="25"/>
      <c r="D53" s="25"/>
      <c r="E53" s="25"/>
      <c r="F53" s="25"/>
      <c r="G53" s="175"/>
      <c r="H53" s="190">
        <v>48</v>
      </c>
      <c r="I53" s="191" t="str">
        <f t="shared" si="0"/>
        <v/>
      </c>
      <c r="J53" s="190">
        <f t="shared" si="5"/>
        <v>-1</v>
      </c>
      <c r="K53" s="190">
        <f t="shared" si="1"/>
        <v>-10</v>
      </c>
      <c r="L53" s="190"/>
      <c r="M53" s="192">
        <f t="shared" si="2"/>
        <v>0</v>
      </c>
    </row>
    <row r="54" spans="1:13" x14ac:dyDescent="0.25">
      <c r="A54" s="94"/>
      <c r="B54" s="36" t="str">
        <f t="shared" si="4"/>
        <v/>
      </c>
      <c r="C54" s="24"/>
      <c r="D54" s="24"/>
      <c r="E54" s="24"/>
      <c r="F54" s="24"/>
      <c r="G54" s="175"/>
      <c r="H54" s="187">
        <v>49</v>
      </c>
      <c r="I54" s="188" t="str">
        <f t="shared" si="0"/>
        <v/>
      </c>
      <c r="J54" s="187">
        <f t="shared" si="5"/>
        <v>-1</v>
      </c>
      <c r="K54" s="187">
        <f t="shared" si="1"/>
        <v>-10</v>
      </c>
      <c r="L54" s="187"/>
      <c r="M54" s="189">
        <f t="shared" si="2"/>
        <v>0</v>
      </c>
    </row>
    <row r="55" spans="1:13" x14ac:dyDescent="0.25">
      <c r="A55" s="98"/>
      <c r="B55" s="35" t="str">
        <f t="shared" si="4"/>
        <v/>
      </c>
      <c r="C55" s="25"/>
      <c r="D55" s="25"/>
      <c r="E55" s="25"/>
      <c r="F55" s="25"/>
      <c r="G55" s="175"/>
      <c r="H55" s="190">
        <v>50</v>
      </c>
      <c r="I55" s="191" t="str">
        <f t="shared" si="0"/>
        <v/>
      </c>
      <c r="J55" s="190">
        <f t="shared" si="5"/>
        <v>-1</v>
      </c>
      <c r="K55" s="190">
        <f t="shared" si="1"/>
        <v>-10</v>
      </c>
      <c r="L55" s="190"/>
      <c r="M55" s="192">
        <f t="shared" si="2"/>
        <v>0</v>
      </c>
    </row>
    <row r="56" spans="1:13" x14ac:dyDescent="0.25">
      <c r="A56" s="94"/>
      <c r="B56" s="36" t="str">
        <f t="shared" si="4"/>
        <v/>
      </c>
      <c r="C56" s="24"/>
      <c r="D56" s="24"/>
      <c r="E56" s="24"/>
      <c r="F56" s="24"/>
      <c r="G56" s="175"/>
      <c r="H56" s="187">
        <v>51</v>
      </c>
      <c r="I56" s="188" t="str">
        <f t="shared" si="0"/>
        <v/>
      </c>
      <c r="J56" s="187">
        <f t="shared" si="5"/>
        <v>-1</v>
      </c>
      <c r="K56" s="187">
        <f t="shared" si="1"/>
        <v>-10</v>
      </c>
      <c r="L56" s="187"/>
      <c r="M56" s="189">
        <f t="shared" si="2"/>
        <v>0</v>
      </c>
    </row>
    <row r="57" spans="1:13" x14ac:dyDescent="0.25">
      <c r="A57" s="98"/>
      <c r="B57" s="35" t="str">
        <f t="shared" si="4"/>
        <v/>
      </c>
      <c r="C57" s="25"/>
      <c r="D57" s="25"/>
      <c r="E57" s="25"/>
      <c r="F57" s="25"/>
      <c r="G57" s="175"/>
      <c r="H57" s="190">
        <v>52</v>
      </c>
      <c r="I57" s="191" t="str">
        <f t="shared" si="0"/>
        <v/>
      </c>
      <c r="J57" s="190">
        <f t="shared" si="5"/>
        <v>-1</v>
      </c>
      <c r="K57" s="190">
        <f t="shared" si="1"/>
        <v>-10</v>
      </c>
      <c r="L57" s="190"/>
      <c r="M57" s="192">
        <f t="shared" si="2"/>
        <v>0</v>
      </c>
    </row>
    <row r="58" spans="1:13" x14ac:dyDescent="0.25">
      <c r="A58" s="94"/>
      <c r="B58" s="36" t="str">
        <f t="shared" si="4"/>
        <v/>
      </c>
      <c r="C58" s="24"/>
      <c r="D58" s="24"/>
      <c r="E58" s="24"/>
      <c r="F58" s="24"/>
      <c r="G58" s="175"/>
      <c r="H58" s="187">
        <v>53</v>
      </c>
      <c r="I58" s="188" t="str">
        <f t="shared" si="0"/>
        <v/>
      </c>
      <c r="J58" s="187">
        <f t="shared" si="5"/>
        <v>-1</v>
      </c>
      <c r="K58" s="187">
        <f t="shared" si="1"/>
        <v>-10</v>
      </c>
      <c r="L58" s="187"/>
      <c r="M58" s="189">
        <f t="shared" si="2"/>
        <v>0</v>
      </c>
    </row>
    <row r="59" spans="1:13" x14ac:dyDescent="0.25">
      <c r="A59" s="98"/>
      <c r="B59" s="35" t="str">
        <f t="shared" si="4"/>
        <v/>
      </c>
      <c r="C59" s="25"/>
      <c r="D59" s="25"/>
      <c r="E59" s="25"/>
      <c r="F59" s="25"/>
      <c r="G59" s="175"/>
      <c r="H59" s="190">
        <v>54</v>
      </c>
      <c r="I59" s="191" t="str">
        <f t="shared" si="0"/>
        <v/>
      </c>
      <c r="J59" s="190">
        <f t="shared" si="5"/>
        <v>-1</v>
      </c>
      <c r="K59" s="190">
        <f t="shared" si="1"/>
        <v>-10</v>
      </c>
      <c r="L59" s="190"/>
      <c r="M59" s="192">
        <f t="shared" si="2"/>
        <v>0</v>
      </c>
    </row>
    <row r="60" spans="1:13" x14ac:dyDescent="0.25">
      <c r="A60" s="94"/>
      <c r="B60" s="36" t="str">
        <f t="shared" si="4"/>
        <v/>
      </c>
      <c r="C60" s="24"/>
      <c r="D60" s="24"/>
      <c r="E60" s="24"/>
      <c r="F60" s="24"/>
      <c r="G60" s="175"/>
      <c r="H60" s="187">
        <v>55</v>
      </c>
      <c r="I60" s="188" t="str">
        <f t="shared" si="0"/>
        <v/>
      </c>
      <c r="J60" s="187">
        <f t="shared" si="5"/>
        <v>-1</v>
      </c>
      <c r="K60" s="187">
        <f t="shared" si="1"/>
        <v>-10</v>
      </c>
      <c r="L60" s="187"/>
      <c r="M60" s="189">
        <f t="shared" si="2"/>
        <v>0</v>
      </c>
    </row>
    <row r="61" spans="1:13" x14ac:dyDescent="0.25">
      <c r="A61" s="98"/>
      <c r="B61" s="35" t="str">
        <f t="shared" si="4"/>
        <v/>
      </c>
      <c r="C61" s="25"/>
      <c r="D61" s="25"/>
      <c r="E61" s="25"/>
      <c r="F61" s="25"/>
      <c r="G61" s="175"/>
      <c r="H61" s="190">
        <v>56</v>
      </c>
      <c r="I61" s="191" t="str">
        <f t="shared" si="0"/>
        <v/>
      </c>
      <c r="J61" s="190">
        <f t="shared" si="5"/>
        <v>-1</v>
      </c>
      <c r="K61" s="190">
        <f t="shared" si="1"/>
        <v>-10</v>
      </c>
      <c r="L61" s="190"/>
      <c r="M61" s="192">
        <f t="shared" si="2"/>
        <v>0</v>
      </c>
    </row>
    <row r="62" spans="1:13" x14ac:dyDescent="0.25">
      <c r="A62" s="94"/>
      <c r="B62" s="36" t="str">
        <f t="shared" si="4"/>
        <v/>
      </c>
      <c r="C62" s="24"/>
      <c r="D62" s="24"/>
      <c r="E62" s="24"/>
      <c r="F62" s="24"/>
      <c r="G62" s="175"/>
      <c r="H62" s="187">
        <v>57</v>
      </c>
      <c r="I62" s="188" t="str">
        <f t="shared" si="0"/>
        <v/>
      </c>
      <c r="J62" s="187">
        <f t="shared" si="5"/>
        <v>-1</v>
      </c>
      <c r="K62" s="187">
        <f t="shared" si="1"/>
        <v>-10</v>
      </c>
      <c r="L62" s="187"/>
      <c r="M62" s="189">
        <f t="shared" si="2"/>
        <v>0</v>
      </c>
    </row>
    <row r="63" spans="1:13" x14ac:dyDescent="0.25">
      <c r="A63" s="98"/>
      <c r="B63" s="35" t="str">
        <f t="shared" si="4"/>
        <v/>
      </c>
      <c r="C63" s="25"/>
      <c r="D63" s="25"/>
      <c r="E63" s="25"/>
      <c r="F63" s="25"/>
      <c r="G63" s="175"/>
      <c r="H63" s="190">
        <v>58</v>
      </c>
      <c r="I63" s="191" t="str">
        <f t="shared" si="0"/>
        <v/>
      </c>
      <c r="J63" s="190">
        <f t="shared" si="5"/>
        <v>-1</v>
      </c>
      <c r="K63" s="190">
        <f t="shared" si="1"/>
        <v>-10</v>
      </c>
      <c r="L63" s="190"/>
      <c r="M63" s="192">
        <f t="shared" si="2"/>
        <v>0</v>
      </c>
    </row>
    <row r="64" spans="1:13" x14ac:dyDescent="0.25">
      <c r="A64" s="94"/>
      <c r="B64" s="36" t="str">
        <f t="shared" si="4"/>
        <v/>
      </c>
      <c r="C64" s="24"/>
      <c r="D64" s="24"/>
      <c r="E64" s="24"/>
      <c r="F64" s="24"/>
      <c r="G64" s="175"/>
      <c r="H64" s="187">
        <v>59</v>
      </c>
      <c r="I64" s="188" t="str">
        <f t="shared" si="0"/>
        <v/>
      </c>
      <c r="J64" s="187">
        <f t="shared" si="5"/>
        <v>-1</v>
      </c>
      <c r="K64" s="187">
        <f t="shared" si="1"/>
        <v>-10</v>
      </c>
      <c r="L64" s="187"/>
      <c r="M64" s="189">
        <f t="shared" si="2"/>
        <v>0</v>
      </c>
    </row>
    <row r="65" spans="1:13" x14ac:dyDescent="0.25">
      <c r="A65" s="98"/>
      <c r="B65" s="35" t="str">
        <f t="shared" si="4"/>
        <v/>
      </c>
      <c r="C65" s="25"/>
      <c r="D65" s="25"/>
      <c r="E65" s="25"/>
      <c r="F65" s="25"/>
      <c r="G65" s="175"/>
      <c r="H65" s="190">
        <v>60</v>
      </c>
      <c r="I65" s="191" t="str">
        <f t="shared" si="0"/>
        <v/>
      </c>
      <c r="J65" s="190">
        <f t="shared" si="5"/>
        <v>-1</v>
      </c>
      <c r="K65" s="190">
        <f t="shared" si="1"/>
        <v>-10</v>
      </c>
      <c r="L65" s="190"/>
      <c r="M65" s="192">
        <f t="shared" si="2"/>
        <v>0</v>
      </c>
    </row>
    <row r="66" spans="1:13" x14ac:dyDescent="0.25">
      <c r="A66" s="212"/>
      <c r="B66" s="36"/>
      <c r="G66" s="175"/>
      <c r="H66" s="187">
        <v>61</v>
      </c>
      <c r="I66" s="188" t="str">
        <f t="shared" si="0"/>
        <v/>
      </c>
      <c r="J66" s="187">
        <f t="shared" si="5"/>
        <v>-1</v>
      </c>
      <c r="K66" s="187">
        <f t="shared" si="1"/>
        <v>-10</v>
      </c>
      <c r="L66" s="187"/>
      <c r="M66" s="189">
        <f t="shared" si="2"/>
        <v>0</v>
      </c>
    </row>
    <row r="67" spans="1:13" x14ac:dyDescent="0.25">
      <c r="A67" s="212"/>
      <c r="B67" s="35"/>
      <c r="G67" s="175"/>
      <c r="H67" s="187">
        <v>62</v>
      </c>
      <c r="I67" s="188" t="str">
        <f t="shared" si="0"/>
        <v/>
      </c>
      <c r="J67" s="187">
        <f t="shared" si="5"/>
        <v>-1</v>
      </c>
      <c r="K67" s="187">
        <f t="shared" si="1"/>
        <v>-10</v>
      </c>
      <c r="L67" s="187"/>
      <c r="M67" s="189">
        <f t="shared" si="2"/>
        <v>0</v>
      </c>
    </row>
    <row r="68" spans="1:13" x14ac:dyDescent="0.25">
      <c r="A68" s="212"/>
      <c r="B68" s="36"/>
      <c r="G68" s="175"/>
      <c r="H68" s="187">
        <v>63</v>
      </c>
      <c r="I68" s="188" t="str">
        <f t="shared" si="0"/>
        <v/>
      </c>
      <c r="J68" s="187">
        <f t="shared" si="5"/>
        <v>-1</v>
      </c>
      <c r="K68" s="187">
        <f t="shared" si="1"/>
        <v>-10</v>
      </c>
      <c r="L68" s="187"/>
      <c r="M68" s="189">
        <f t="shared" si="2"/>
        <v>0</v>
      </c>
    </row>
    <row r="69" spans="1:13" x14ac:dyDescent="0.25">
      <c r="A69" s="212"/>
      <c r="B69" s="35"/>
      <c r="G69" s="175"/>
      <c r="H69" s="187">
        <v>64</v>
      </c>
      <c r="I69" s="188" t="str">
        <f t="shared" si="0"/>
        <v/>
      </c>
      <c r="J69" s="187">
        <f t="shared" si="5"/>
        <v>-1</v>
      </c>
      <c r="K69" s="187">
        <f t="shared" si="1"/>
        <v>-10</v>
      </c>
      <c r="L69" s="187"/>
      <c r="M69" s="189">
        <f t="shared" si="2"/>
        <v>0</v>
      </c>
    </row>
    <row r="70" spans="1:13" x14ac:dyDescent="0.25">
      <c r="A70" s="212"/>
      <c r="G70" s="175"/>
      <c r="H70" s="187">
        <v>65</v>
      </c>
      <c r="I70" s="188" t="str">
        <f t="shared" ref="I70:I133" si="6">IF(H70&lt;$H$2+1,($I$2-($I$2-1)*(LOG(H70)/LOG($H$2))),"")</f>
        <v/>
      </c>
      <c r="J70" s="187">
        <f t="shared" si="5"/>
        <v>-2</v>
      </c>
      <c r="K70" s="187">
        <f t="shared" ref="K70:K133" si="7">J70*$J$2</f>
        <v>-20</v>
      </c>
      <c r="L70" s="187"/>
      <c r="M70" s="189">
        <f t="shared" ref="M70:M133" si="8">IF(I70&lt;&gt;"",K70+I70+L70,0)</f>
        <v>0</v>
      </c>
    </row>
    <row r="71" spans="1:13" x14ac:dyDescent="0.25">
      <c r="A71" s="212"/>
      <c r="G71" s="175"/>
      <c r="H71" s="187">
        <v>66</v>
      </c>
      <c r="I71" s="188" t="str">
        <f t="shared" si="6"/>
        <v/>
      </c>
      <c r="J71" s="187">
        <f t="shared" ref="J71:J134" si="9">INT(LOG($H$2,2))-ROUNDUP(LOG(H71,2),0)+IF(OR($H$2=1,$H$2=2,$H$2=4,$H$2=8,$H$2=16,$H$2=32,$H$2=64,$H$2=128,$H$2=256),0,1)</f>
        <v>-2</v>
      </c>
      <c r="K71" s="187">
        <f t="shared" si="7"/>
        <v>-20</v>
      </c>
      <c r="L71" s="187"/>
      <c r="M71" s="189">
        <f t="shared" si="8"/>
        <v>0</v>
      </c>
    </row>
    <row r="72" spans="1:13" x14ac:dyDescent="0.25">
      <c r="A72" s="212"/>
      <c r="G72" s="175"/>
      <c r="H72" s="187">
        <v>67</v>
      </c>
      <c r="I72" s="188" t="str">
        <f t="shared" si="6"/>
        <v/>
      </c>
      <c r="J72" s="187">
        <f t="shared" si="9"/>
        <v>-2</v>
      </c>
      <c r="K72" s="187">
        <f t="shared" si="7"/>
        <v>-20</v>
      </c>
      <c r="L72" s="187"/>
      <c r="M72" s="189">
        <f t="shared" si="8"/>
        <v>0</v>
      </c>
    </row>
    <row r="73" spans="1:13" x14ac:dyDescent="0.25">
      <c r="A73" s="212"/>
      <c r="G73" s="175"/>
      <c r="H73" s="187">
        <v>68</v>
      </c>
      <c r="I73" s="188" t="str">
        <f t="shared" si="6"/>
        <v/>
      </c>
      <c r="J73" s="187">
        <f t="shared" si="9"/>
        <v>-2</v>
      </c>
      <c r="K73" s="187">
        <f t="shared" si="7"/>
        <v>-20</v>
      </c>
      <c r="L73" s="187"/>
      <c r="M73" s="189">
        <f t="shared" si="8"/>
        <v>0</v>
      </c>
    </row>
    <row r="74" spans="1:13" x14ac:dyDescent="0.25">
      <c r="A74" s="212"/>
      <c r="G74" s="175"/>
      <c r="H74" s="187">
        <v>69</v>
      </c>
      <c r="I74" s="188" t="str">
        <f t="shared" si="6"/>
        <v/>
      </c>
      <c r="J74" s="187">
        <f t="shared" si="9"/>
        <v>-2</v>
      </c>
      <c r="K74" s="187">
        <f t="shared" si="7"/>
        <v>-20</v>
      </c>
      <c r="L74" s="187"/>
      <c r="M74" s="189">
        <f t="shared" si="8"/>
        <v>0</v>
      </c>
    </row>
    <row r="75" spans="1:13" x14ac:dyDescent="0.25">
      <c r="A75" s="212"/>
      <c r="G75" s="175"/>
      <c r="H75" s="187">
        <v>70</v>
      </c>
      <c r="I75" s="188" t="str">
        <f t="shared" si="6"/>
        <v/>
      </c>
      <c r="J75" s="187">
        <f t="shared" si="9"/>
        <v>-2</v>
      </c>
      <c r="K75" s="187">
        <f t="shared" si="7"/>
        <v>-20</v>
      </c>
      <c r="L75" s="187"/>
      <c r="M75" s="189">
        <f t="shared" si="8"/>
        <v>0</v>
      </c>
    </row>
    <row r="76" spans="1:13" x14ac:dyDescent="0.25">
      <c r="A76" s="212"/>
      <c r="G76" s="175"/>
      <c r="H76" s="187">
        <v>71</v>
      </c>
      <c r="I76" s="188" t="str">
        <f t="shared" si="6"/>
        <v/>
      </c>
      <c r="J76" s="187">
        <f t="shared" si="9"/>
        <v>-2</v>
      </c>
      <c r="K76" s="187">
        <f t="shared" si="7"/>
        <v>-20</v>
      </c>
      <c r="L76" s="187"/>
      <c r="M76" s="189">
        <f t="shared" si="8"/>
        <v>0</v>
      </c>
    </row>
    <row r="77" spans="1:13" x14ac:dyDescent="0.25">
      <c r="A77" s="212"/>
      <c r="G77" s="175"/>
      <c r="H77" s="187">
        <v>72</v>
      </c>
      <c r="I77" s="188" t="str">
        <f t="shared" si="6"/>
        <v/>
      </c>
      <c r="J77" s="187">
        <f t="shared" si="9"/>
        <v>-2</v>
      </c>
      <c r="K77" s="187">
        <f t="shared" si="7"/>
        <v>-20</v>
      </c>
      <c r="L77" s="187"/>
      <c r="M77" s="189">
        <f t="shared" si="8"/>
        <v>0</v>
      </c>
    </row>
    <row r="78" spans="1:13" x14ac:dyDescent="0.25">
      <c r="A78" s="212"/>
      <c r="G78" s="175"/>
      <c r="H78" s="187">
        <v>73</v>
      </c>
      <c r="I78" s="188" t="str">
        <f t="shared" si="6"/>
        <v/>
      </c>
      <c r="J78" s="187">
        <f t="shared" si="9"/>
        <v>-2</v>
      </c>
      <c r="K78" s="187">
        <f t="shared" si="7"/>
        <v>-20</v>
      </c>
      <c r="L78" s="187"/>
      <c r="M78" s="189">
        <f t="shared" si="8"/>
        <v>0</v>
      </c>
    </row>
    <row r="79" spans="1:13" x14ac:dyDescent="0.25">
      <c r="A79" s="212"/>
      <c r="G79" s="175"/>
      <c r="H79" s="187">
        <v>74</v>
      </c>
      <c r="I79" s="188" t="str">
        <f t="shared" si="6"/>
        <v/>
      </c>
      <c r="J79" s="187">
        <f t="shared" si="9"/>
        <v>-2</v>
      </c>
      <c r="K79" s="187">
        <f t="shared" si="7"/>
        <v>-20</v>
      </c>
      <c r="L79" s="187"/>
      <c r="M79" s="189">
        <f t="shared" si="8"/>
        <v>0</v>
      </c>
    </row>
    <row r="80" spans="1:13" x14ac:dyDescent="0.25">
      <c r="A80" s="212"/>
      <c r="G80" s="175"/>
      <c r="H80" s="187">
        <v>75</v>
      </c>
      <c r="I80" s="188" t="str">
        <f t="shared" si="6"/>
        <v/>
      </c>
      <c r="J80" s="187">
        <f t="shared" si="9"/>
        <v>-2</v>
      </c>
      <c r="K80" s="187">
        <f t="shared" si="7"/>
        <v>-20</v>
      </c>
      <c r="L80" s="187"/>
      <c r="M80" s="189">
        <f t="shared" si="8"/>
        <v>0</v>
      </c>
    </row>
    <row r="81" spans="1:13" x14ac:dyDescent="0.25">
      <c r="A81" s="212"/>
      <c r="G81" s="175"/>
      <c r="H81" s="187">
        <v>76</v>
      </c>
      <c r="I81" s="188" t="str">
        <f t="shared" si="6"/>
        <v/>
      </c>
      <c r="J81" s="187">
        <f t="shared" si="9"/>
        <v>-2</v>
      </c>
      <c r="K81" s="187">
        <f t="shared" si="7"/>
        <v>-20</v>
      </c>
      <c r="L81" s="187"/>
      <c r="M81" s="189">
        <f t="shared" si="8"/>
        <v>0</v>
      </c>
    </row>
    <row r="82" spans="1:13" x14ac:dyDescent="0.25">
      <c r="A82" s="212"/>
      <c r="G82" s="175"/>
      <c r="H82" s="187">
        <v>77</v>
      </c>
      <c r="I82" s="188" t="str">
        <f t="shared" si="6"/>
        <v/>
      </c>
      <c r="J82" s="187">
        <f t="shared" si="9"/>
        <v>-2</v>
      </c>
      <c r="K82" s="187">
        <f t="shared" si="7"/>
        <v>-20</v>
      </c>
      <c r="L82" s="187"/>
      <c r="M82" s="189">
        <f t="shared" si="8"/>
        <v>0</v>
      </c>
    </row>
    <row r="83" spans="1:13" x14ac:dyDescent="0.25">
      <c r="A83" s="212"/>
      <c r="G83" s="175"/>
      <c r="H83" s="187">
        <v>78</v>
      </c>
      <c r="I83" s="188" t="str">
        <f t="shared" si="6"/>
        <v/>
      </c>
      <c r="J83" s="187">
        <f t="shared" si="9"/>
        <v>-2</v>
      </c>
      <c r="K83" s="187">
        <f t="shared" si="7"/>
        <v>-20</v>
      </c>
      <c r="L83" s="187"/>
      <c r="M83" s="189">
        <f t="shared" si="8"/>
        <v>0</v>
      </c>
    </row>
    <row r="84" spans="1:13" x14ac:dyDescent="0.25">
      <c r="A84" s="212"/>
      <c r="G84" s="175"/>
      <c r="H84" s="187">
        <v>79</v>
      </c>
      <c r="I84" s="188" t="str">
        <f t="shared" si="6"/>
        <v/>
      </c>
      <c r="J84" s="187">
        <f t="shared" si="9"/>
        <v>-2</v>
      </c>
      <c r="K84" s="187">
        <f t="shared" si="7"/>
        <v>-20</v>
      </c>
      <c r="L84" s="187"/>
      <c r="M84" s="189">
        <f t="shared" si="8"/>
        <v>0</v>
      </c>
    </row>
    <row r="85" spans="1:13" x14ac:dyDescent="0.25">
      <c r="A85" s="212"/>
      <c r="G85" s="175"/>
      <c r="H85" s="187">
        <v>80</v>
      </c>
      <c r="I85" s="188" t="str">
        <f t="shared" si="6"/>
        <v/>
      </c>
      <c r="J85" s="187">
        <f t="shared" si="9"/>
        <v>-2</v>
      </c>
      <c r="K85" s="187">
        <f t="shared" si="7"/>
        <v>-20</v>
      </c>
      <c r="L85" s="187"/>
      <c r="M85" s="189">
        <f t="shared" si="8"/>
        <v>0</v>
      </c>
    </row>
    <row r="86" spans="1:13" x14ac:dyDescent="0.25">
      <c r="A86" s="212"/>
      <c r="G86" s="175"/>
      <c r="H86" s="187">
        <v>81</v>
      </c>
      <c r="I86" s="188" t="str">
        <f t="shared" si="6"/>
        <v/>
      </c>
      <c r="J86" s="187">
        <f t="shared" si="9"/>
        <v>-2</v>
      </c>
      <c r="K86" s="187">
        <f t="shared" si="7"/>
        <v>-20</v>
      </c>
      <c r="L86" s="187"/>
      <c r="M86" s="189">
        <f t="shared" si="8"/>
        <v>0</v>
      </c>
    </row>
    <row r="87" spans="1:13" x14ac:dyDescent="0.25">
      <c r="A87" s="212"/>
      <c r="G87" s="175"/>
      <c r="H87" s="187">
        <v>82</v>
      </c>
      <c r="I87" s="188" t="str">
        <f t="shared" si="6"/>
        <v/>
      </c>
      <c r="J87" s="187">
        <f t="shared" si="9"/>
        <v>-2</v>
      </c>
      <c r="K87" s="187">
        <f t="shared" si="7"/>
        <v>-20</v>
      </c>
      <c r="L87" s="187"/>
      <c r="M87" s="189">
        <f t="shared" si="8"/>
        <v>0</v>
      </c>
    </row>
    <row r="88" spans="1:13" x14ac:dyDescent="0.25">
      <c r="A88" s="212"/>
      <c r="G88" s="175"/>
      <c r="H88" s="187">
        <v>83</v>
      </c>
      <c r="I88" s="188" t="str">
        <f t="shared" si="6"/>
        <v/>
      </c>
      <c r="J88" s="187">
        <f t="shared" si="9"/>
        <v>-2</v>
      </c>
      <c r="K88" s="187">
        <f t="shared" si="7"/>
        <v>-20</v>
      </c>
      <c r="L88" s="187"/>
      <c r="M88" s="189">
        <f t="shared" si="8"/>
        <v>0</v>
      </c>
    </row>
    <row r="89" spans="1:13" x14ac:dyDescent="0.25">
      <c r="A89" s="212"/>
      <c r="G89" s="175"/>
      <c r="H89" s="187">
        <v>84</v>
      </c>
      <c r="I89" s="188" t="str">
        <f t="shared" si="6"/>
        <v/>
      </c>
      <c r="J89" s="187">
        <f t="shared" si="9"/>
        <v>-2</v>
      </c>
      <c r="K89" s="187">
        <f t="shared" si="7"/>
        <v>-20</v>
      </c>
      <c r="L89" s="187"/>
      <c r="M89" s="189">
        <f t="shared" si="8"/>
        <v>0</v>
      </c>
    </row>
    <row r="90" spans="1:13" x14ac:dyDescent="0.25">
      <c r="A90" s="212"/>
      <c r="G90" s="175"/>
      <c r="H90" s="187">
        <v>85</v>
      </c>
      <c r="I90" s="188" t="str">
        <f t="shared" si="6"/>
        <v/>
      </c>
      <c r="J90" s="187">
        <f t="shared" si="9"/>
        <v>-2</v>
      </c>
      <c r="K90" s="187">
        <f t="shared" si="7"/>
        <v>-20</v>
      </c>
      <c r="L90" s="187"/>
      <c r="M90" s="189">
        <f t="shared" si="8"/>
        <v>0</v>
      </c>
    </row>
    <row r="91" spans="1:13" x14ac:dyDescent="0.25">
      <c r="A91" s="212"/>
      <c r="G91" s="175"/>
      <c r="H91" s="187">
        <v>86</v>
      </c>
      <c r="I91" s="188" t="str">
        <f t="shared" si="6"/>
        <v/>
      </c>
      <c r="J91" s="187">
        <f t="shared" si="9"/>
        <v>-2</v>
      </c>
      <c r="K91" s="187">
        <f t="shared" si="7"/>
        <v>-20</v>
      </c>
      <c r="L91" s="187"/>
      <c r="M91" s="189">
        <f t="shared" si="8"/>
        <v>0</v>
      </c>
    </row>
    <row r="92" spans="1:13" x14ac:dyDescent="0.25">
      <c r="A92" s="212"/>
      <c r="G92" s="175"/>
      <c r="H92" s="187">
        <v>87</v>
      </c>
      <c r="I92" s="188" t="str">
        <f t="shared" si="6"/>
        <v/>
      </c>
      <c r="J92" s="187">
        <f t="shared" si="9"/>
        <v>-2</v>
      </c>
      <c r="K92" s="187">
        <f t="shared" si="7"/>
        <v>-20</v>
      </c>
      <c r="L92" s="187"/>
      <c r="M92" s="189">
        <f t="shared" si="8"/>
        <v>0</v>
      </c>
    </row>
    <row r="93" spans="1:13" x14ac:dyDescent="0.25">
      <c r="A93" s="212"/>
      <c r="G93" s="175"/>
      <c r="H93" s="187">
        <v>88</v>
      </c>
      <c r="I93" s="188" t="str">
        <f t="shared" si="6"/>
        <v/>
      </c>
      <c r="J93" s="187">
        <f t="shared" si="9"/>
        <v>-2</v>
      </c>
      <c r="K93" s="187">
        <f t="shared" si="7"/>
        <v>-20</v>
      </c>
      <c r="L93" s="187"/>
      <c r="M93" s="189">
        <f t="shared" si="8"/>
        <v>0</v>
      </c>
    </row>
    <row r="94" spans="1:13" x14ac:dyDescent="0.25">
      <c r="A94" s="212"/>
      <c r="G94" s="175"/>
      <c r="H94" s="187">
        <v>89</v>
      </c>
      <c r="I94" s="188" t="str">
        <f t="shared" si="6"/>
        <v/>
      </c>
      <c r="J94" s="187">
        <f t="shared" si="9"/>
        <v>-2</v>
      </c>
      <c r="K94" s="187">
        <f t="shared" si="7"/>
        <v>-20</v>
      </c>
      <c r="L94" s="187"/>
      <c r="M94" s="189">
        <f t="shared" si="8"/>
        <v>0</v>
      </c>
    </row>
    <row r="95" spans="1:13" x14ac:dyDescent="0.25">
      <c r="A95" s="212"/>
      <c r="G95" s="175"/>
      <c r="H95" s="187">
        <v>90</v>
      </c>
      <c r="I95" s="188" t="str">
        <f t="shared" si="6"/>
        <v/>
      </c>
      <c r="J95" s="187">
        <f t="shared" si="9"/>
        <v>-2</v>
      </c>
      <c r="K95" s="187">
        <f t="shared" si="7"/>
        <v>-20</v>
      </c>
      <c r="L95" s="187"/>
      <c r="M95" s="189">
        <f t="shared" si="8"/>
        <v>0</v>
      </c>
    </row>
    <row r="96" spans="1:13" x14ac:dyDescent="0.25">
      <c r="A96" s="212"/>
      <c r="G96" s="175"/>
      <c r="H96" s="187">
        <v>91</v>
      </c>
      <c r="I96" s="188" t="str">
        <f t="shared" si="6"/>
        <v/>
      </c>
      <c r="J96" s="187">
        <f t="shared" si="9"/>
        <v>-2</v>
      </c>
      <c r="K96" s="187">
        <f t="shared" si="7"/>
        <v>-20</v>
      </c>
      <c r="L96" s="187"/>
      <c r="M96" s="189">
        <f t="shared" si="8"/>
        <v>0</v>
      </c>
    </row>
    <row r="97" spans="1:13" x14ac:dyDescent="0.25">
      <c r="A97" s="212"/>
      <c r="G97" s="175"/>
      <c r="H97" s="187">
        <v>92</v>
      </c>
      <c r="I97" s="188" t="str">
        <f t="shared" si="6"/>
        <v/>
      </c>
      <c r="J97" s="187">
        <f t="shared" si="9"/>
        <v>-2</v>
      </c>
      <c r="K97" s="187">
        <f t="shared" si="7"/>
        <v>-20</v>
      </c>
      <c r="L97" s="187"/>
      <c r="M97" s="189">
        <f t="shared" si="8"/>
        <v>0</v>
      </c>
    </row>
    <row r="98" spans="1:13" x14ac:dyDescent="0.25">
      <c r="A98" s="212"/>
      <c r="G98" s="175"/>
      <c r="H98" s="187">
        <v>93</v>
      </c>
      <c r="I98" s="188" t="str">
        <f t="shared" si="6"/>
        <v/>
      </c>
      <c r="J98" s="187">
        <f t="shared" si="9"/>
        <v>-2</v>
      </c>
      <c r="K98" s="187">
        <f t="shared" si="7"/>
        <v>-20</v>
      </c>
      <c r="L98" s="187"/>
      <c r="M98" s="189">
        <f t="shared" si="8"/>
        <v>0</v>
      </c>
    </row>
    <row r="99" spans="1:13" x14ac:dyDescent="0.25">
      <c r="A99" s="212"/>
      <c r="G99" s="175"/>
      <c r="H99" s="187">
        <v>94</v>
      </c>
      <c r="I99" s="188" t="str">
        <f t="shared" si="6"/>
        <v/>
      </c>
      <c r="J99" s="187">
        <f t="shared" si="9"/>
        <v>-2</v>
      </c>
      <c r="K99" s="187">
        <f t="shared" si="7"/>
        <v>-20</v>
      </c>
      <c r="L99" s="187"/>
      <c r="M99" s="189">
        <f t="shared" si="8"/>
        <v>0</v>
      </c>
    </row>
    <row r="100" spans="1:13" x14ac:dyDescent="0.25">
      <c r="A100" s="212"/>
      <c r="G100" s="175"/>
      <c r="H100" s="187">
        <v>95</v>
      </c>
      <c r="I100" s="188" t="str">
        <f t="shared" si="6"/>
        <v/>
      </c>
      <c r="J100" s="187">
        <f t="shared" si="9"/>
        <v>-2</v>
      </c>
      <c r="K100" s="187">
        <f t="shared" si="7"/>
        <v>-20</v>
      </c>
      <c r="L100" s="187"/>
      <c r="M100" s="189">
        <f t="shared" si="8"/>
        <v>0</v>
      </c>
    </row>
    <row r="101" spans="1:13" x14ac:dyDescent="0.25">
      <c r="A101" s="204"/>
      <c r="G101" s="175"/>
      <c r="H101" s="187">
        <v>96</v>
      </c>
      <c r="I101" s="188" t="str">
        <f t="shared" si="6"/>
        <v/>
      </c>
      <c r="J101" s="187">
        <f t="shared" si="9"/>
        <v>-2</v>
      </c>
      <c r="K101" s="187">
        <f t="shared" si="7"/>
        <v>-20</v>
      </c>
      <c r="L101" s="187"/>
      <c r="M101" s="189">
        <f t="shared" si="8"/>
        <v>0</v>
      </c>
    </row>
    <row r="102" spans="1:13" x14ac:dyDescent="0.25">
      <c r="A102" s="204"/>
      <c r="G102" s="175"/>
      <c r="H102" s="187">
        <v>97</v>
      </c>
      <c r="I102" s="188" t="str">
        <f t="shared" si="6"/>
        <v/>
      </c>
      <c r="J102" s="187">
        <f t="shared" si="9"/>
        <v>-2</v>
      </c>
      <c r="K102" s="187">
        <f t="shared" si="7"/>
        <v>-20</v>
      </c>
      <c r="L102" s="187"/>
      <c r="M102" s="189">
        <f t="shared" si="8"/>
        <v>0</v>
      </c>
    </row>
    <row r="103" spans="1:13" x14ac:dyDescent="0.25">
      <c r="A103" s="204"/>
      <c r="G103" s="175"/>
      <c r="H103" s="187">
        <v>98</v>
      </c>
      <c r="I103" s="188" t="str">
        <f t="shared" si="6"/>
        <v/>
      </c>
      <c r="J103" s="187">
        <f t="shared" si="9"/>
        <v>-2</v>
      </c>
      <c r="K103" s="187">
        <f t="shared" si="7"/>
        <v>-20</v>
      </c>
      <c r="L103" s="187"/>
      <c r="M103" s="189">
        <f t="shared" si="8"/>
        <v>0</v>
      </c>
    </row>
    <row r="104" spans="1:13" x14ac:dyDescent="0.25">
      <c r="A104" s="204"/>
      <c r="G104" s="175"/>
      <c r="H104" s="187">
        <v>99</v>
      </c>
      <c r="I104" s="188" t="str">
        <f t="shared" si="6"/>
        <v/>
      </c>
      <c r="J104" s="187">
        <f t="shared" si="9"/>
        <v>-2</v>
      </c>
      <c r="K104" s="187">
        <f t="shared" si="7"/>
        <v>-20</v>
      </c>
      <c r="L104" s="187"/>
      <c r="M104" s="189">
        <f t="shared" si="8"/>
        <v>0</v>
      </c>
    </row>
    <row r="105" spans="1:13" x14ac:dyDescent="0.25">
      <c r="A105" s="204"/>
      <c r="G105" s="175"/>
      <c r="H105" s="187">
        <v>100</v>
      </c>
      <c r="I105" s="188" t="str">
        <f t="shared" si="6"/>
        <v/>
      </c>
      <c r="J105" s="187">
        <f t="shared" si="9"/>
        <v>-2</v>
      </c>
      <c r="K105" s="187">
        <f t="shared" si="7"/>
        <v>-20</v>
      </c>
      <c r="L105" s="187"/>
      <c r="M105" s="189">
        <f t="shared" si="8"/>
        <v>0</v>
      </c>
    </row>
    <row r="106" spans="1:13" x14ac:dyDescent="0.25">
      <c r="A106" s="204"/>
      <c r="G106" s="175"/>
      <c r="H106" s="187">
        <v>101</v>
      </c>
      <c r="I106" s="188" t="str">
        <f t="shared" si="6"/>
        <v/>
      </c>
      <c r="J106" s="187">
        <f t="shared" si="9"/>
        <v>-2</v>
      </c>
      <c r="K106" s="187">
        <f t="shared" si="7"/>
        <v>-20</v>
      </c>
      <c r="L106" s="187"/>
      <c r="M106" s="189">
        <f t="shared" si="8"/>
        <v>0</v>
      </c>
    </row>
    <row r="107" spans="1:13" x14ac:dyDescent="0.25">
      <c r="A107" s="204"/>
      <c r="G107" s="175"/>
      <c r="H107" s="187">
        <v>102</v>
      </c>
      <c r="I107" s="188" t="str">
        <f t="shared" si="6"/>
        <v/>
      </c>
      <c r="J107" s="187">
        <f t="shared" si="9"/>
        <v>-2</v>
      </c>
      <c r="K107" s="187">
        <f t="shared" si="7"/>
        <v>-20</v>
      </c>
      <c r="L107" s="187"/>
      <c r="M107" s="189">
        <f t="shared" si="8"/>
        <v>0</v>
      </c>
    </row>
    <row r="108" spans="1:13" x14ac:dyDescent="0.25">
      <c r="A108" s="204"/>
      <c r="G108" s="175"/>
      <c r="H108" s="187">
        <v>103</v>
      </c>
      <c r="I108" s="188" t="str">
        <f t="shared" si="6"/>
        <v/>
      </c>
      <c r="J108" s="187">
        <f t="shared" si="9"/>
        <v>-2</v>
      </c>
      <c r="K108" s="187">
        <f t="shared" si="7"/>
        <v>-20</v>
      </c>
      <c r="L108" s="187"/>
      <c r="M108" s="189">
        <f t="shared" si="8"/>
        <v>0</v>
      </c>
    </row>
    <row r="109" spans="1:13" x14ac:dyDescent="0.25">
      <c r="A109" s="204"/>
      <c r="G109" s="175"/>
      <c r="H109" s="187">
        <v>104</v>
      </c>
      <c r="I109" s="188" t="str">
        <f t="shared" si="6"/>
        <v/>
      </c>
      <c r="J109" s="187">
        <f t="shared" si="9"/>
        <v>-2</v>
      </c>
      <c r="K109" s="187">
        <f t="shared" si="7"/>
        <v>-20</v>
      </c>
      <c r="L109" s="187"/>
      <c r="M109" s="189">
        <f t="shared" si="8"/>
        <v>0</v>
      </c>
    </row>
    <row r="110" spans="1:13" x14ac:dyDescent="0.25">
      <c r="A110" s="204"/>
      <c r="G110" s="175"/>
      <c r="H110" s="187">
        <v>105</v>
      </c>
      <c r="I110" s="188" t="str">
        <f t="shared" si="6"/>
        <v/>
      </c>
      <c r="J110" s="187">
        <f t="shared" si="9"/>
        <v>-2</v>
      </c>
      <c r="K110" s="187">
        <f t="shared" si="7"/>
        <v>-20</v>
      </c>
      <c r="L110" s="187"/>
      <c r="M110" s="189">
        <f t="shared" si="8"/>
        <v>0</v>
      </c>
    </row>
    <row r="111" spans="1:13" x14ac:dyDescent="0.25">
      <c r="A111" s="204"/>
      <c r="G111" s="175"/>
      <c r="H111" s="187">
        <v>106</v>
      </c>
      <c r="I111" s="188" t="str">
        <f t="shared" si="6"/>
        <v/>
      </c>
      <c r="J111" s="187">
        <f t="shared" si="9"/>
        <v>-2</v>
      </c>
      <c r="K111" s="187">
        <f t="shared" si="7"/>
        <v>-20</v>
      </c>
      <c r="L111" s="187"/>
      <c r="M111" s="189">
        <f t="shared" si="8"/>
        <v>0</v>
      </c>
    </row>
    <row r="112" spans="1:13" x14ac:dyDescent="0.25">
      <c r="A112" s="204"/>
      <c r="G112" s="175"/>
      <c r="H112" s="187">
        <v>107</v>
      </c>
      <c r="I112" s="188" t="str">
        <f t="shared" si="6"/>
        <v/>
      </c>
      <c r="J112" s="187">
        <f t="shared" si="9"/>
        <v>-2</v>
      </c>
      <c r="K112" s="187">
        <f t="shared" si="7"/>
        <v>-20</v>
      </c>
      <c r="L112" s="187"/>
      <c r="M112" s="189">
        <f t="shared" si="8"/>
        <v>0</v>
      </c>
    </row>
    <row r="113" spans="1:13" x14ac:dyDescent="0.25">
      <c r="A113" s="204"/>
      <c r="G113" s="175"/>
      <c r="H113" s="187">
        <v>108</v>
      </c>
      <c r="I113" s="188" t="str">
        <f t="shared" si="6"/>
        <v/>
      </c>
      <c r="J113" s="187">
        <f t="shared" si="9"/>
        <v>-2</v>
      </c>
      <c r="K113" s="187">
        <f t="shared" si="7"/>
        <v>-20</v>
      </c>
      <c r="L113" s="187"/>
      <c r="M113" s="189">
        <f t="shared" si="8"/>
        <v>0</v>
      </c>
    </row>
    <row r="114" spans="1:13" x14ac:dyDescent="0.25">
      <c r="A114" s="204"/>
      <c r="G114" s="175"/>
      <c r="H114" s="187">
        <v>109</v>
      </c>
      <c r="I114" s="188" t="str">
        <f t="shared" si="6"/>
        <v/>
      </c>
      <c r="J114" s="187">
        <f t="shared" si="9"/>
        <v>-2</v>
      </c>
      <c r="K114" s="187">
        <f t="shared" si="7"/>
        <v>-20</v>
      </c>
      <c r="L114" s="187"/>
      <c r="M114" s="189">
        <f t="shared" si="8"/>
        <v>0</v>
      </c>
    </row>
    <row r="115" spans="1:13" x14ac:dyDescent="0.25">
      <c r="A115" s="204"/>
      <c r="G115" s="175"/>
      <c r="H115" s="187">
        <v>110</v>
      </c>
      <c r="I115" s="188" t="str">
        <f t="shared" si="6"/>
        <v/>
      </c>
      <c r="J115" s="187">
        <f t="shared" si="9"/>
        <v>-2</v>
      </c>
      <c r="K115" s="187">
        <f t="shared" si="7"/>
        <v>-20</v>
      </c>
      <c r="L115" s="187"/>
      <c r="M115" s="189">
        <f t="shared" si="8"/>
        <v>0</v>
      </c>
    </row>
    <row r="116" spans="1:13" x14ac:dyDescent="0.25">
      <c r="A116" s="204"/>
      <c r="G116" s="175"/>
      <c r="H116" s="187">
        <v>111</v>
      </c>
      <c r="I116" s="188" t="str">
        <f t="shared" si="6"/>
        <v/>
      </c>
      <c r="J116" s="187">
        <f t="shared" si="9"/>
        <v>-2</v>
      </c>
      <c r="K116" s="187">
        <f t="shared" si="7"/>
        <v>-20</v>
      </c>
      <c r="L116" s="187"/>
      <c r="M116" s="189">
        <f t="shared" si="8"/>
        <v>0</v>
      </c>
    </row>
    <row r="117" spans="1:13" x14ac:dyDescent="0.25">
      <c r="A117" s="204"/>
      <c r="G117" s="175"/>
      <c r="H117" s="187">
        <v>112</v>
      </c>
      <c r="I117" s="188" t="str">
        <f t="shared" si="6"/>
        <v/>
      </c>
      <c r="J117" s="187">
        <f t="shared" si="9"/>
        <v>-2</v>
      </c>
      <c r="K117" s="187">
        <f t="shared" si="7"/>
        <v>-20</v>
      </c>
      <c r="L117" s="187"/>
      <c r="M117" s="189">
        <f t="shared" si="8"/>
        <v>0</v>
      </c>
    </row>
    <row r="118" spans="1:13" x14ac:dyDescent="0.25">
      <c r="A118" s="204"/>
      <c r="G118" s="175"/>
      <c r="H118" s="187">
        <v>113</v>
      </c>
      <c r="I118" s="188" t="str">
        <f t="shared" si="6"/>
        <v/>
      </c>
      <c r="J118" s="187">
        <f t="shared" si="9"/>
        <v>-2</v>
      </c>
      <c r="K118" s="187">
        <f t="shared" si="7"/>
        <v>-20</v>
      </c>
      <c r="L118" s="187"/>
      <c r="M118" s="189">
        <f t="shared" si="8"/>
        <v>0</v>
      </c>
    </row>
    <row r="119" spans="1:13" x14ac:dyDescent="0.25">
      <c r="A119" s="204"/>
      <c r="G119" s="175"/>
      <c r="H119" s="187">
        <v>114</v>
      </c>
      <c r="I119" s="188" t="str">
        <f t="shared" si="6"/>
        <v/>
      </c>
      <c r="J119" s="187">
        <f t="shared" si="9"/>
        <v>-2</v>
      </c>
      <c r="K119" s="187">
        <f t="shared" si="7"/>
        <v>-20</v>
      </c>
      <c r="L119" s="187"/>
      <c r="M119" s="189">
        <f t="shared" si="8"/>
        <v>0</v>
      </c>
    </row>
    <row r="120" spans="1:13" x14ac:dyDescent="0.25">
      <c r="A120" s="204"/>
      <c r="G120" s="175"/>
      <c r="H120" s="187">
        <v>115</v>
      </c>
      <c r="I120" s="188" t="str">
        <f t="shared" si="6"/>
        <v/>
      </c>
      <c r="J120" s="187">
        <f t="shared" si="9"/>
        <v>-2</v>
      </c>
      <c r="K120" s="187">
        <f t="shared" si="7"/>
        <v>-20</v>
      </c>
      <c r="L120" s="187"/>
      <c r="M120" s="189">
        <f t="shared" si="8"/>
        <v>0</v>
      </c>
    </row>
    <row r="121" spans="1:13" x14ac:dyDescent="0.25">
      <c r="A121" s="204"/>
      <c r="G121" s="175"/>
      <c r="H121" s="187">
        <v>116</v>
      </c>
      <c r="I121" s="188" t="str">
        <f t="shared" si="6"/>
        <v/>
      </c>
      <c r="J121" s="187">
        <f t="shared" si="9"/>
        <v>-2</v>
      </c>
      <c r="K121" s="187">
        <f t="shared" si="7"/>
        <v>-20</v>
      </c>
      <c r="L121" s="187"/>
      <c r="M121" s="189">
        <f t="shared" si="8"/>
        <v>0</v>
      </c>
    </row>
    <row r="122" spans="1:13" x14ac:dyDescent="0.25">
      <c r="A122" s="204"/>
      <c r="G122" s="175"/>
      <c r="H122" s="187">
        <v>117</v>
      </c>
      <c r="I122" s="188" t="str">
        <f t="shared" si="6"/>
        <v/>
      </c>
      <c r="J122" s="187">
        <f t="shared" si="9"/>
        <v>-2</v>
      </c>
      <c r="K122" s="187">
        <f t="shared" si="7"/>
        <v>-20</v>
      </c>
      <c r="L122" s="187"/>
      <c r="M122" s="189">
        <f t="shared" si="8"/>
        <v>0</v>
      </c>
    </row>
    <row r="123" spans="1:13" x14ac:dyDescent="0.25">
      <c r="A123" s="204"/>
      <c r="G123" s="175"/>
      <c r="H123" s="187">
        <v>118</v>
      </c>
      <c r="I123" s="188" t="str">
        <f t="shared" si="6"/>
        <v/>
      </c>
      <c r="J123" s="187">
        <f t="shared" si="9"/>
        <v>-2</v>
      </c>
      <c r="K123" s="187">
        <f t="shared" si="7"/>
        <v>-20</v>
      </c>
      <c r="L123" s="187"/>
      <c r="M123" s="189">
        <f t="shared" si="8"/>
        <v>0</v>
      </c>
    </row>
    <row r="124" spans="1:13" x14ac:dyDescent="0.25">
      <c r="A124" s="204"/>
      <c r="G124" s="175"/>
      <c r="H124" s="187">
        <v>119</v>
      </c>
      <c r="I124" s="188" t="str">
        <f t="shared" si="6"/>
        <v/>
      </c>
      <c r="J124" s="187">
        <f t="shared" si="9"/>
        <v>-2</v>
      </c>
      <c r="K124" s="187">
        <f t="shared" si="7"/>
        <v>-20</v>
      </c>
      <c r="L124" s="187"/>
      <c r="M124" s="189">
        <f t="shared" si="8"/>
        <v>0</v>
      </c>
    </row>
    <row r="125" spans="1:13" x14ac:dyDescent="0.25">
      <c r="A125" s="204"/>
      <c r="G125" s="175"/>
      <c r="H125" s="187">
        <v>120</v>
      </c>
      <c r="I125" s="188" t="str">
        <f t="shared" si="6"/>
        <v/>
      </c>
      <c r="J125" s="187">
        <f t="shared" si="9"/>
        <v>-2</v>
      </c>
      <c r="K125" s="187">
        <f t="shared" si="7"/>
        <v>-20</v>
      </c>
      <c r="L125" s="187"/>
      <c r="M125" s="189">
        <f t="shared" si="8"/>
        <v>0</v>
      </c>
    </row>
    <row r="126" spans="1:13" x14ac:dyDescent="0.25">
      <c r="A126" s="204"/>
      <c r="G126" s="175"/>
      <c r="H126" s="187">
        <v>121</v>
      </c>
      <c r="I126" s="188" t="str">
        <f t="shared" si="6"/>
        <v/>
      </c>
      <c r="J126" s="187">
        <f t="shared" si="9"/>
        <v>-2</v>
      </c>
      <c r="K126" s="187">
        <f t="shared" si="7"/>
        <v>-20</v>
      </c>
      <c r="L126" s="187"/>
      <c r="M126" s="189">
        <f t="shared" si="8"/>
        <v>0</v>
      </c>
    </row>
    <row r="127" spans="1:13" x14ac:dyDescent="0.25">
      <c r="A127" s="204"/>
      <c r="G127" s="175"/>
      <c r="H127" s="187">
        <v>122</v>
      </c>
      <c r="I127" s="188" t="str">
        <f t="shared" si="6"/>
        <v/>
      </c>
      <c r="J127" s="187">
        <f t="shared" si="9"/>
        <v>-2</v>
      </c>
      <c r="K127" s="187">
        <f t="shared" si="7"/>
        <v>-20</v>
      </c>
      <c r="L127" s="187"/>
      <c r="M127" s="189">
        <f t="shared" si="8"/>
        <v>0</v>
      </c>
    </row>
    <row r="128" spans="1:13" x14ac:dyDescent="0.25">
      <c r="A128" s="204"/>
      <c r="G128" s="175"/>
      <c r="H128" s="187">
        <v>123</v>
      </c>
      <c r="I128" s="188" t="str">
        <f t="shared" si="6"/>
        <v/>
      </c>
      <c r="J128" s="187">
        <f t="shared" si="9"/>
        <v>-2</v>
      </c>
      <c r="K128" s="187">
        <f t="shared" si="7"/>
        <v>-20</v>
      </c>
      <c r="L128" s="187"/>
      <c r="M128" s="189">
        <f t="shared" si="8"/>
        <v>0</v>
      </c>
    </row>
    <row r="129" spans="1:13" x14ac:dyDescent="0.25">
      <c r="A129" s="204"/>
      <c r="G129" s="175"/>
      <c r="H129" s="187">
        <v>124</v>
      </c>
      <c r="I129" s="188" t="str">
        <f t="shared" si="6"/>
        <v/>
      </c>
      <c r="J129" s="187">
        <f t="shared" si="9"/>
        <v>-2</v>
      </c>
      <c r="K129" s="187">
        <f t="shared" si="7"/>
        <v>-20</v>
      </c>
      <c r="L129" s="187"/>
      <c r="M129" s="189">
        <f t="shared" si="8"/>
        <v>0</v>
      </c>
    </row>
    <row r="130" spans="1:13" x14ac:dyDescent="0.25">
      <c r="A130" s="204"/>
      <c r="G130" s="175"/>
      <c r="H130" s="187">
        <v>125</v>
      </c>
      <c r="I130" s="188" t="str">
        <f t="shared" si="6"/>
        <v/>
      </c>
      <c r="J130" s="187">
        <f t="shared" si="9"/>
        <v>-2</v>
      </c>
      <c r="K130" s="187">
        <f t="shared" si="7"/>
        <v>-20</v>
      </c>
      <c r="L130" s="187"/>
      <c r="M130" s="189">
        <f t="shared" si="8"/>
        <v>0</v>
      </c>
    </row>
    <row r="131" spans="1:13" x14ac:dyDescent="0.25">
      <c r="A131" s="204"/>
      <c r="G131" s="175"/>
      <c r="H131" s="187">
        <v>126</v>
      </c>
      <c r="I131" s="188" t="str">
        <f t="shared" si="6"/>
        <v/>
      </c>
      <c r="J131" s="187">
        <f t="shared" si="9"/>
        <v>-2</v>
      </c>
      <c r="K131" s="187">
        <f t="shared" si="7"/>
        <v>-20</v>
      </c>
      <c r="L131" s="187"/>
      <c r="M131" s="189">
        <f t="shared" si="8"/>
        <v>0</v>
      </c>
    </row>
    <row r="132" spans="1:13" x14ac:dyDescent="0.25">
      <c r="A132" s="204"/>
      <c r="G132" s="175"/>
      <c r="H132" s="187">
        <v>127</v>
      </c>
      <c r="I132" s="188" t="str">
        <f t="shared" si="6"/>
        <v/>
      </c>
      <c r="J132" s="187">
        <f t="shared" si="9"/>
        <v>-2</v>
      </c>
      <c r="K132" s="187">
        <f t="shared" si="7"/>
        <v>-20</v>
      </c>
      <c r="L132" s="187"/>
      <c r="M132" s="189">
        <f t="shared" si="8"/>
        <v>0</v>
      </c>
    </row>
    <row r="133" spans="1:13" x14ac:dyDescent="0.25">
      <c r="A133" s="204"/>
      <c r="G133" s="175"/>
      <c r="H133" s="187">
        <v>128</v>
      </c>
      <c r="I133" s="188" t="str">
        <f t="shared" si="6"/>
        <v/>
      </c>
      <c r="J133" s="187">
        <f t="shared" si="9"/>
        <v>-2</v>
      </c>
      <c r="K133" s="187">
        <f t="shared" si="7"/>
        <v>-20</v>
      </c>
      <c r="L133" s="187"/>
      <c r="M133" s="189">
        <f t="shared" si="8"/>
        <v>0</v>
      </c>
    </row>
    <row r="134" spans="1:13" x14ac:dyDescent="0.25">
      <c r="A134" s="204"/>
      <c r="G134" s="175"/>
      <c r="H134" s="187">
        <v>129</v>
      </c>
      <c r="I134" s="188" t="str">
        <f t="shared" ref="I134:I197" si="10">IF(H134&lt;$H$2+1,($I$2-($I$2-1)*(LOG(H134)/LOG($H$2))),"")</f>
        <v/>
      </c>
      <c r="J134" s="187">
        <f t="shared" si="9"/>
        <v>-3</v>
      </c>
      <c r="K134" s="187">
        <f t="shared" ref="K134:K197" si="11">J134*$J$2</f>
        <v>-30</v>
      </c>
      <c r="L134" s="187"/>
      <c r="M134" s="189">
        <f t="shared" ref="M134:M197" si="12">IF(I134&lt;&gt;"",K134+I134+L134,0)</f>
        <v>0</v>
      </c>
    </row>
    <row r="135" spans="1:13" x14ac:dyDescent="0.25">
      <c r="A135" s="204"/>
      <c r="G135" s="175"/>
      <c r="H135" s="187">
        <v>130</v>
      </c>
      <c r="I135" s="188" t="str">
        <f t="shared" si="10"/>
        <v/>
      </c>
      <c r="J135" s="187">
        <f t="shared" ref="J135:J198" si="13">INT(LOG($H$2,2))-ROUNDUP(LOG(H135,2),0)+IF(OR($H$2=1,$H$2=2,$H$2=4,$H$2=8,$H$2=16,$H$2=32,$H$2=64,$H$2=128,$H$2=256),0,1)</f>
        <v>-3</v>
      </c>
      <c r="K135" s="187">
        <f t="shared" si="11"/>
        <v>-30</v>
      </c>
      <c r="L135" s="187"/>
      <c r="M135" s="189">
        <f t="shared" si="12"/>
        <v>0</v>
      </c>
    </row>
    <row r="136" spans="1:13" x14ac:dyDescent="0.25">
      <c r="A136" s="204"/>
      <c r="G136" s="175"/>
      <c r="H136" s="187">
        <v>131</v>
      </c>
      <c r="I136" s="188" t="str">
        <f t="shared" si="10"/>
        <v/>
      </c>
      <c r="J136" s="187">
        <f t="shared" si="13"/>
        <v>-3</v>
      </c>
      <c r="K136" s="187">
        <f t="shared" si="11"/>
        <v>-30</v>
      </c>
      <c r="L136" s="187"/>
      <c r="M136" s="189">
        <f t="shared" si="12"/>
        <v>0</v>
      </c>
    </row>
    <row r="137" spans="1:13" x14ac:dyDescent="0.25">
      <c r="A137" s="204"/>
      <c r="G137" s="175"/>
      <c r="H137" s="187">
        <v>132</v>
      </c>
      <c r="I137" s="188" t="str">
        <f t="shared" si="10"/>
        <v/>
      </c>
      <c r="J137" s="187">
        <f t="shared" si="13"/>
        <v>-3</v>
      </c>
      <c r="K137" s="187">
        <f t="shared" si="11"/>
        <v>-30</v>
      </c>
      <c r="L137" s="187"/>
      <c r="M137" s="189">
        <f t="shared" si="12"/>
        <v>0</v>
      </c>
    </row>
    <row r="138" spans="1:13" x14ac:dyDescent="0.25">
      <c r="A138" s="204"/>
      <c r="G138" s="175"/>
      <c r="H138" s="187">
        <v>133</v>
      </c>
      <c r="I138" s="188" t="str">
        <f t="shared" si="10"/>
        <v/>
      </c>
      <c r="J138" s="187">
        <f t="shared" si="13"/>
        <v>-3</v>
      </c>
      <c r="K138" s="187">
        <f t="shared" si="11"/>
        <v>-30</v>
      </c>
      <c r="L138" s="187"/>
      <c r="M138" s="189">
        <f t="shared" si="12"/>
        <v>0</v>
      </c>
    </row>
    <row r="139" spans="1:13" x14ac:dyDescent="0.25">
      <c r="A139" s="204"/>
      <c r="G139" s="175"/>
      <c r="H139" s="187">
        <v>134</v>
      </c>
      <c r="I139" s="188" t="str">
        <f t="shared" si="10"/>
        <v/>
      </c>
      <c r="J139" s="187">
        <f t="shared" si="13"/>
        <v>-3</v>
      </c>
      <c r="K139" s="187">
        <f t="shared" si="11"/>
        <v>-30</v>
      </c>
      <c r="L139" s="187"/>
      <c r="M139" s="189">
        <f t="shared" si="12"/>
        <v>0</v>
      </c>
    </row>
    <row r="140" spans="1:13" x14ac:dyDescent="0.25">
      <c r="A140" s="204"/>
      <c r="G140" s="175"/>
      <c r="H140" s="187">
        <v>135</v>
      </c>
      <c r="I140" s="188" t="str">
        <f t="shared" si="10"/>
        <v/>
      </c>
      <c r="J140" s="187">
        <f t="shared" si="13"/>
        <v>-3</v>
      </c>
      <c r="K140" s="187">
        <f t="shared" si="11"/>
        <v>-30</v>
      </c>
      <c r="L140" s="187"/>
      <c r="M140" s="189">
        <f t="shared" si="12"/>
        <v>0</v>
      </c>
    </row>
    <row r="141" spans="1:13" x14ac:dyDescent="0.25">
      <c r="A141" s="204"/>
      <c r="G141" s="175"/>
      <c r="H141" s="187">
        <v>136</v>
      </c>
      <c r="I141" s="188" t="str">
        <f t="shared" si="10"/>
        <v/>
      </c>
      <c r="J141" s="187">
        <f t="shared" si="13"/>
        <v>-3</v>
      </c>
      <c r="K141" s="187">
        <f t="shared" si="11"/>
        <v>-30</v>
      </c>
      <c r="L141" s="187"/>
      <c r="M141" s="189">
        <f t="shared" si="12"/>
        <v>0</v>
      </c>
    </row>
    <row r="142" spans="1:13" x14ac:dyDescent="0.25">
      <c r="A142" s="204"/>
      <c r="G142" s="175"/>
      <c r="H142" s="187">
        <v>137</v>
      </c>
      <c r="I142" s="188" t="str">
        <f t="shared" si="10"/>
        <v/>
      </c>
      <c r="J142" s="187">
        <f t="shared" si="13"/>
        <v>-3</v>
      </c>
      <c r="K142" s="187">
        <f t="shared" si="11"/>
        <v>-30</v>
      </c>
      <c r="L142" s="187"/>
      <c r="M142" s="189">
        <f t="shared" si="12"/>
        <v>0</v>
      </c>
    </row>
    <row r="143" spans="1:13" x14ac:dyDescent="0.25">
      <c r="A143" s="204"/>
      <c r="G143" s="175"/>
      <c r="H143" s="187">
        <v>138</v>
      </c>
      <c r="I143" s="188" t="str">
        <f t="shared" si="10"/>
        <v/>
      </c>
      <c r="J143" s="187">
        <f t="shared" si="13"/>
        <v>-3</v>
      </c>
      <c r="K143" s="187">
        <f t="shared" si="11"/>
        <v>-30</v>
      </c>
      <c r="L143" s="187"/>
      <c r="M143" s="189">
        <f t="shared" si="12"/>
        <v>0</v>
      </c>
    </row>
    <row r="144" spans="1:13" x14ac:dyDescent="0.25">
      <c r="A144" s="204"/>
      <c r="G144" s="175"/>
      <c r="H144" s="187">
        <v>139</v>
      </c>
      <c r="I144" s="188" t="str">
        <f t="shared" si="10"/>
        <v/>
      </c>
      <c r="J144" s="187">
        <f t="shared" si="13"/>
        <v>-3</v>
      </c>
      <c r="K144" s="187">
        <f t="shared" si="11"/>
        <v>-30</v>
      </c>
      <c r="L144" s="187"/>
      <c r="M144" s="189">
        <f t="shared" si="12"/>
        <v>0</v>
      </c>
    </row>
    <row r="145" spans="1:13" x14ac:dyDescent="0.25">
      <c r="A145" s="204"/>
      <c r="G145" s="175"/>
      <c r="H145" s="187">
        <v>140</v>
      </c>
      <c r="I145" s="188" t="str">
        <f t="shared" si="10"/>
        <v/>
      </c>
      <c r="J145" s="187">
        <f t="shared" si="13"/>
        <v>-3</v>
      </c>
      <c r="K145" s="187">
        <f t="shared" si="11"/>
        <v>-30</v>
      </c>
      <c r="L145" s="187"/>
      <c r="M145" s="189">
        <f t="shared" si="12"/>
        <v>0</v>
      </c>
    </row>
    <row r="146" spans="1:13" x14ac:dyDescent="0.25">
      <c r="A146" s="204"/>
      <c r="G146" s="175"/>
      <c r="H146" s="187">
        <v>141</v>
      </c>
      <c r="I146" s="188" t="str">
        <f t="shared" si="10"/>
        <v/>
      </c>
      <c r="J146" s="187">
        <f t="shared" si="13"/>
        <v>-3</v>
      </c>
      <c r="K146" s="187">
        <f t="shared" si="11"/>
        <v>-30</v>
      </c>
      <c r="L146" s="187"/>
      <c r="M146" s="189">
        <f t="shared" si="12"/>
        <v>0</v>
      </c>
    </row>
    <row r="147" spans="1:13" x14ac:dyDescent="0.25">
      <c r="A147" s="204"/>
      <c r="G147" s="175"/>
      <c r="H147" s="187">
        <v>142</v>
      </c>
      <c r="I147" s="188" t="str">
        <f t="shared" si="10"/>
        <v/>
      </c>
      <c r="J147" s="187">
        <f t="shared" si="13"/>
        <v>-3</v>
      </c>
      <c r="K147" s="187">
        <f t="shared" si="11"/>
        <v>-30</v>
      </c>
      <c r="L147" s="187"/>
      <c r="M147" s="189">
        <f t="shared" si="12"/>
        <v>0</v>
      </c>
    </row>
    <row r="148" spans="1:13" x14ac:dyDescent="0.25">
      <c r="A148" s="204"/>
      <c r="G148" s="175"/>
      <c r="H148" s="187">
        <v>143</v>
      </c>
      <c r="I148" s="188" t="str">
        <f t="shared" si="10"/>
        <v/>
      </c>
      <c r="J148" s="187">
        <f t="shared" si="13"/>
        <v>-3</v>
      </c>
      <c r="K148" s="187">
        <f t="shared" si="11"/>
        <v>-30</v>
      </c>
      <c r="L148" s="187"/>
      <c r="M148" s="189">
        <f t="shared" si="12"/>
        <v>0</v>
      </c>
    </row>
    <row r="149" spans="1:13" x14ac:dyDescent="0.25">
      <c r="A149" s="204"/>
      <c r="G149" s="175"/>
      <c r="H149" s="187">
        <v>144</v>
      </c>
      <c r="I149" s="188" t="str">
        <f t="shared" si="10"/>
        <v/>
      </c>
      <c r="J149" s="187">
        <f t="shared" si="13"/>
        <v>-3</v>
      </c>
      <c r="K149" s="187">
        <f t="shared" si="11"/>
        <v>-30</v>
      </c>
      <c r="L149" s="187"/>
      <c r="M149" s="189">
        <f t="shared" si="12"/>
        <v>0</v>
      </c>
    </row>
    <row r="150" spans="1:13" x14ac:dyDescent="0.25">
      <c r="A150" s="204"/>
      <c r="G150" s="175"/>
      <c r="H150" s="187">
        <v>145</v>
      </c>
      <c r="I150" s="188" t="str">
        <f t="shared" si="10"/>
        <v/>
      </c>
      <c r="J150" s="187">
        <f t="shared" si="13"/>
        <v>-3</v>
      </c>
      <c r="K150" s="187">
        <f t="shared" si="11"/>
        <v>-30</v>
      </c>
      <c r="L150" s="187"/>
      <c r="M150" s="189">
        <f t="shared" si="12"/>
        <v>0</v>
      </c>
    </row>
    <row r="151" spans="1:13" x14ac:dyDescent="0.25">
      <c r="A151" s="204"/>
      <c r="G151" s="175"/>
      <c r="H151" s="187">
        <v>146</v>
      </c>
      <c r="I151" s="188" t="str">
        <f t="shared" si="10"/>
        <v/>
      </c>
      <c r="J151" s="187">
        <f t="shared" si="13"/>
        <v>-3</v>
      </c>
      <c r="K151" s="187">
        <f t="shared" si="11"/>
        <v>-30</v>
      </c>
      <c r="L151" s="187"/>
      <c r="M151" s="189">
        <f t="shared" si="12"/>
        <v>0</v>
      </c>
    </row>
    <row r="152" spans="1:13" x14ac:dyDescent="0.25">
      <c r="A152" s="204"/>
      <c r="G152" s="175"/>
      <c r="H152" s="187">
        <v>147</v>
      </c>
      <c r="I152" s="188" t="str">
        <f t="shared" si="10"/>
        <v/>
      </c>
      <c r="J152" s="187">
        <f t="shared" si="13"/>
        <v>-3</v>
      </c>
      <c r="K152" s="187">
        <f t="shared" si="11"/>
        <v>-30</v>
      </c>
      <c r="L152" s="187"/>
      <c r="M152" s="189">
        <f t="shared" si="12"/>
        <v>0</v>
      </c>
    </row>
    <row r="153" spans="1:13" x14ac:dyDescent="0.25">
      <c r="A153" s="204"/>
      <c r="G153" s="175"/>
      <c r="H153" s="187">
        <v>148</v>
      </c>
      <c r="I153" s="188" t="str">
        <f t="shared" si="10"/>
        <v/>
      </c>
      <c r="J153" s="187">
        <f t="shared" si="13"/>
        <v>-3</v>
      </c>
      <c r="K153" s="187">
        <f t="shared" si="11"/>
        <v>-30</v>
      </c>
      <c r="L153" s="187"/>
      <c r="M153" s="189">
        <f t="shared" si="12"/>
        <v>0</v>
      </c>
    </row>
    <row r="154" spans="1:13" x14ac:dyDescent="0.25">
      <c r="A154" s="204"/>
      <c r="G154" s="175"/>
      <c r="H154" s="187">
        <v>149</v>
      </c>
      <c r="I154" s="188" t="str">
        <f t="shared" si="10"/>
        <v/>
      </c>
      <c r="J154" s="187">
        <f t="shared" si="13"/>
        <v>-3</v>
      </c>
      <c r="K154" s="187">
        <f t="shared" si="11"/>
        <v>-30</v>
      </c>
      <c r="L154" s="187"/>
      <c r="M154" s="189">
        <f t="shared" si="12"/>
        <v>0</v>
      </c>
    </row>
    <row r="155" spans="1:13" x14ac:dyDescent="0.25">
      <c r="A155" s="204"/>
      <c r="G155" s="175"/>
      <c r="H155" s="187">
        <v>150</v>
      </c>
      <c r="I155" s="188" t="str">
        <f t="shared" si="10"/>
        <v/>
      </c>
      <c r="J155" s="187">
        <f t="shared" si="13"/>
        <v>-3</v>
      </c>
      <c r="K155" s="187">
        <f t="shared" si="11"/>
        <v>-30</v>
      </c>
      <c r="L155" s="187"/>
      <c r="M155" s="189">
        <f t="shared" si="12"/>
        <v>0</v>
      </c>
    </row>
    <row r="156" spans="1:13" x14ac:dyDescent="0.25">
      <c r="A156" s="204"/>
      <c r="G156" s="175"/>
      <c r="H156" s="187">
        <v>151</v>
      </c>
      <c r="I156" s="188" t="str">
        <f t="shared" si="10"/>
        <v/>
      </c>
      <c r="J156" s="187">
        <f t="shared" si="13"/>
        <v>-3</v>
      </c>
      <c r="K156" s="187">
        <f t="shared" si="11"/>
        <v>-30</v>
      </c>
      <c r="L156" s="187"/>
      <c r="M156" s="189">
        <f t="shared" si="12"/>
        <v>0</v>
      </c>
    </row>
    <row r="157" spans="1:13" x14ac:dyDescent="0.25">
      <c r="A157" s="204"/>
      <c r="G157" s="175"/>
      <c r="H157" s="187">
        <v>152</v>
      </c>
      <c r="I157" s="188" t="str">
        <f t="shared" si="10"/>
        <v/>
      </c>
      <c r="J157" s="187">
        <f t="shared" si="13"/>
        <v>-3</v>
      </c>
      <c r="K157" s="187">
        <f t="shared" si="11"/>
        <v>-30</v>
      </c>
      <c r="L157" s="187"/>
      <c r="M157" s="189">
        <f t="shared" si="12"/>
        <v>0</v>
      </c>
    </row>
    <row r="158" spans="1:13" x14ac:dyDescent="0.25">
      <c r="A158" s="204"/>
      <c r="G158" s="175"/>
      <c r="H158" s="187">
        <v>153</v>
      </c>
      <c r="I158" s="188" t="str">
        <f t="shared" si="10"/>
        <v/>
      </c>
      <c r="J158" s="187">
        <f t="shared" si="13"/>
        <v>-3</v>
      </c>
      <c r="K158" s="187">
        <f t="shared" si="11"/>
        <v>-30</v>
      </c>
      <c r="L158" s="187"/>
      <c r="M158" s="189">
        <f t="shared" si="12"/>
        <v>0</v>
      </c>
    </row>
    <row r="159" spans="1:13" x14ac:dyDescent="0.25">
      <c r="A159" s="204"/>
      <c r="G159" s="175"/>
      <c r="H159" s="187">
        <v>154</v>
      </c>
      <c r="I159" s="188" t="str">
        <f t="shared" si="10"/>
        <v/>
      </c>
      <c r="J159" s="187">
        <f t="shared" si="13"/>
        <v>-3</v>
      </c>
      <c r="K159" s="187">
        <f t="shared" si="11"/>
        <v>-30</v>
      </c>
      <c r="L159" s="187"/>
      <c r="M159" s="189">
        <f t="shared" si="12"/>
        <v>0</v>
      </c>
    </row>
    <row r="160" spans="1:13" x14ac:dyDescent="0.25">
      <c r="A160" s="204"/>
      <c r="G160" s="175"/>
      <c r="H160" s="187">
        <v>155</v>
      </c>
      <c r="I160" s="188" t="str">
        <f t="shared" si="10"/>
        <v/>
      </c>
      <c r="J160" s="187">
        <f t="shared" si="13"/>
        <v>-3</v>
      </c>
      <c r="K160" s="187">
        <f t="shared" si="11"/>
        <v>-30</v>
      </c>
      <c r="L160" s="187"/>
      <c r="M160" s="189">
        <f t="shared" si="12"/>
        <v>0</v>
      </c>
    </row>
    <row r="161" spans="1:13" x14ac:dyDescent="0.25">
      <c r="A161" s="204"/>
      <c r="G161" s="175"/>
      <c r="H161" s="187">
        <v>156</v>
      </c>
      <c r="I161" s="188" t="str">
        <f t="shared" si="10"/>
        <v/>
      </c>
      <c r="J161" s="187">
        <f t="shared" si="13"/>
        <v>-3</v>
      </c>
      <c r="K161" s="187">
        <f t="shared" si="11"/>
        <v>-30</v>
      </c>
      <c r="L161" s="187"/>
      <c r="M161" s="189">
        <f t="shared" si="12"/>
        <v>0</v>
      </c>
    </row>
    <row r="162" spans="1:13" x14ac:dyDescent="0.25">
      <c r="A162" s="204"/>
      <c r="G162" s="175"/>
      <c r="H162" s="187">
        <v>157</v>
      </c>
      <c r="I162" s="188" t="str">
        <f t="shared" si="10"/>
        <v/>
      </c>
      <c r="J162" s="187">
        <f t="shared" si="13"/>
        <v>-3</v>
      </c>
      <c r="K162" s="187">
        <f t="shared" si="11"/>
        <v>-30</v>
      </c>
      <c r="L162" s="187"/>
      <c r="M162" s="189">
        <f t="shared" si="12"/>
        <v>0</v>
      </c>
    </row>
    <row r="163" spans="1:13" x14ac:dyDescent="0.25">
      <c r="A163" s="204"/>
      <c r="G163" s="175"/>
      <c r="H163" s="187">
        <v>158</v>
      </c>
      <c r="I163" s="188" t="str">
        <f t="shared" si="10"/>
        <v/>
      </c>
      <c r="J163" s="187">
        <f t="shared" si="13"/>
        <v>-3</v>
      </c>
      <c r="K163" s="187">
        <f t="shared" si="11"/>
        <v>-30</v>
      </c>
      <c r="L163" s="187"/>
      <c r="M163" s="189">
        <f t="shared" si="12"/>
        <v>0</v>
      </c>
    </row>
    <row r="164" spans="1:13" x14ac:dyDescent="0.25">
      <c r="A164" s="204"/>
      <c r="G164" s="175"/>
      <c r="H164" s="187">
        <v>159</v>
      </c>
      <c r="I164" s="188" t="str">
        <f t="shared" si="10"/>
        <v/>
      </c>
      <c r="J164" s="187">
        <f t="shared" si="13"/>
        <v>-3</v>
      </c>
      <c r="K164" s="187">
        <f t="shared" si="11"/>
        <v>-30</v>
      </c>
      <c r="L164" s="187"/>
      <c r="M164" s="189">
        <f t="shared" si="12"/>
        <v>0</v>
      </c>
    </row>
    <row r="165" spans="1:13" x14ac:dyDescent="0.25">
      <c r="A165" s="204"/>
      <c r="G165" s="175"/>
      <c r="H165" s="187">
        <v>160</v>
      </c>
      <c r="I165" s="188" t="str">
        <f t="shared" si="10"/>
        <v/>
      </c>
      <c r="J165" s="187">
        <f t="shared" si="13"/>
        <v>-3</v>
      </c>
      <c r="K165" s="187">
        <f t="shared" si="11"/>
        <v>-30</v>
      </c>
      <c r="L165" s="187"/>
      <c r="M165" s="189">
        <f t="shared" si="12"/>
        <v>0</v>
      </c>
    </row>
    <row r="166" spans="1:13" x14ac:dyDescent="0.25">
      <c r="A166" s="204"/>
      <c r="G166" s="175"/>
      <c r="H166" s="187">
        <v>161</v>
      </c>
      <c r="I166" s="188" t="str">
        <f t="shared" si="10"/>
        <v/>
      </c>
      <c r="J166" s="187">
        <f t="shared" si="13"/>
        <v>-3</v>
      </c>
      <c r="K166" s="187">
        <f t="shared" si="11"/>
        <v>-30</v>
      </c>
      <c r="L166" s="187"/>
      <c r="M166" s="189">
        <f t="shared" si="12"/>
        <v>0</v>
      </c>
    </row>
    <row r="167" spans="1:13" x14ac:dyDescent="0.25">
      <c r="A167" s="204"/>
      <c r="G167" s="175"/>
      <c r="H167" s="187">
        <v>162</v>
      </c>
      <c r="I167" s="188" t="str">
        <f t="shared" si="10"/>
        <v/>
      </c>
      <c r="J167" s="187">
        <f t="shared" si="13"/>
        <v>-3</v>
      </c>
      <c r="K167" s="187">
        <f t="shared" si="11"/>
        <v>-30</v>
      </c>
      <c r="L167" s="187"/>
      <c r="M167" s="189">
        <f t="shared" si="12"/>
        <v>0</v>
      </c>
    </row>
    <row r="168" spans="1:13" x14ac:dyDescent="0.25">
      <c r="A168" s="204"/>
      <c r="G168" s="175"/>
      <c r="H168" s="187">
        <v>163</v>
      </c>
      <c r="I168" s="188" t="str">
        <f t="shared" si="10"/>
        <v/>
      </c>
      <c r="J168" s="187">
        <f t="shared" si="13"/>
        <v>-3</v>
      </c>
      <c r="K168" s="187">
        <f t="shared" si="11"/>
        <v>-30</v>
      </c>
      <c r="L168" s="187"/>
      <c r="M168" s="189">
        <f t="shared" si="12"/>
        <v>0</v>
      </c>
    </row>
    <row r="169" spans="1:13" x14ac:dyDescent="0.25">
      <c r="A169" s="204"/>
      <c r="C169" s="203" t="s">
        <v>95</v>
      </c>
      <c r="G169" s="175"/>
      <c r="H169" s="187">
        <v>164</v>
      </c>
      <c r="I169" s="188" t="str">
        <f t="shared" si="10"/>
        <v/>
      </c>
      <c r="J169" s="187">
        <f t="shared" si="13"/>
        <v>-3</v>
      </c>
      <c r="K169" s="187">
        <f t="shared" si="11"/>
        <v>-30</v>
      </c>
      <c r="L169" s="187"/>
      <c r="M169" s="189">
        <f t="shared" si="12"/>
        <v>0</v>
      </c>
    </row>
    <row r="170" spans="1:13" x14ac:dyDescent="0.25">
      <c r="A170" s="204"/>
      <c r="G170" s="175"/>
      <c r="H170" s="187">
        <v>165</v>
      </c>
      <c r="I170" s="188" t="str">
        <f t="shared" si="10"/>
        <v/>
      </c>
      <c r="J170" s="187">
        <f t="shared" si="13"/>
        <v>-3</v>
      </c>
      <c r="K170" s="187">
        <f t="shared" si="11"/>
        <v>-30</v>
      </c>
      <c r="L170" s="187"/>
      <c r="M170" s="189">
        <f t="shared" si="12"/>
        <v>0</v>
      </c>
    </row>
    <row r="171" spans="1:13" x14ac:dyDescent="0.25">
      <c r="A171" s="204"/>
      <c r="G171" s="175"/>
      <c r="H171" s="187">
        <v>166</v>
      </c>
      <c r="I171" s="188" t="str">
        <f t="shared" si="10"/>
        <v/>
      </c>
      <c r="J171" s="187">
        <f t="shared" si="13"/>
        <v>-3</v>
      </c>
      <c r="K171" s="187">
        <f t="shared" si="11"/>
        <v>-30</v>
      </c>
      <c r="L171" s="187"/>
      <c r="M171" s="189">
        <f t="shared" si="12"/>
        <v>0</v>
      </c>
    </row>
    <row r="172" spans="1:13" x14ac:dyDescent="0.25">
      <c r="A172" s="204"/>
      <c r="G172" s="175"/>
      <c r="H172" s="187">
        <v>167</v>
      </c>
      <c r="I172" s="188" t="str">
        <f t="shared" si="10"/>
        <v/>
      </c>
      <c r="J172" s="187">
        <f t="shared" si="13"/>
        <v>-3</v>
      </c>
      <c r="K172" s="187">
        <f t="shared" si="11"/>
        <v>-30</v>
      </c>
      <c r="L172" s="187"/>
      <c r="M172" s="189">
        <f t="shared" si="12"/>
        <v>0</v>
      </c>
    </row>
    <row r="173" spans="1:13" x14ac:dyDescent="0.25">
      <c r="A173" s="204"/>
      <c r="G173" s="175"/>
      <c r="H173" s="187">
        <v>168</v>
      </c>
      <c r="I173" s="188" t="str">
        <f t="shared" si="10"/>
        <v/>
      </c>
      <c r="J173" s="187">
        <f t="shared" si="13"/>
        <v>-3</v>
      </c>
      <c r="K173" s="187">
        <f t="shared" si="11"/>
        <v>-30</v>
      </c>
      <c r="L173" s="187"/>
      <c r="M173" s="189">
        <f t="shared" si="12"/>
        <v>0</v>
      </c>
    </row>
    <row r="174" spans="1:13" x14ac:dyDescent="0.25">
      <c r="A174" s="204"/>
      <c r="G174" s="175"/>
      <c r="H174" s="187">
        <v>169</v>
      </c>
      <c r="I174" s="188" t="str">
        <f t="shared" si="10"/>
        <v/>
      </c>
      <c r="J174" s="187">
        <f t="shared" si="13"/>
        <v>-3</v>
      </c>
      <c r="K174" s="187">
        <f t="shared" si="11"/>
        <v>-30</v>
      </c>
      <c r="L174" s="187"/>
      <c r="M174" s="189">
        <f t="shared" si="12"/>
        <v>0</v>
      </c>
    </row>
    <row r="175" spans="1:13" x14ac:dyDescent="0.25">
      <c r="A175" s="204"/>
      <c r="G175" s="175"/>
      <c r="H175" s="187">
        <v>170</v>
      </c>
      <c r="I175" s="188" t="str">
        <f t="shared" si="10"/>
        <v/>
      </c>
      <c r="J175" s="187">
        <f t="shared" si="13"/>
        <v>-3</v>
      </c>
      <c r="K175" s="187">
        <f t="shared" si="11"/>
        <v>-30</v>
      </c>
      <c r="L175" s="187"/>
      <c r="M175" s="189">
        <f t="shared" si="12"/>
        <v>0</v>
      </c>
    </row>
    <row r="176" spans="1:13" x14ac:dyDescent="0.25">
      <c r="A176" s="204"/>
      <c r="G176" s="175"/>
      <c r="H176" s="187">
        <v>171</v>
      </c>
      <c r="I176" s="188" t="str">
        <f t="shared" si="10"/>
        <v/>
      </c>
      <c r="J176" s="187">
        <f t="shared" si="13"/>
        <v>-3</v>
      </c>
      <c r="K176" s="187">
        <f t="shared" si="11"/>
        <v>-30</v>
      </c>
      <c r="L176" s="187"/>
      <c r="M176" s="189">
        <f t="shared" si="12"/>
        <v>0</v>
      </c>
    </row>
    <row r="177" spans="1:13" x14ac:dyDescent="0.25">
      <c r="A177" s="204"/>
      <c r="G177" s="175"/>
      <c r="H177" s="187">
        <v>172</v>
      </c>
      <c r="I177" s="188" t="str">
        <f t="shared" si="10"/>
        <v/>
      </c>
      <c r="J177" s="187">
        <f t="shared" si="13"/>
        <v>-3</v>
      </c>
      <c r="K177" s="187">
        <f t="shared" si="11"/>
        <v>-30</v>
      </c>
      <c r="L177" s="187"/>
      <c r="M177" s="189">
        <f t="shared" si="12"/>
        <v>0</v>
      </c>
    </row>
    <row r="178" spans="1:13" x14ac:dyDescent="0.25">
      <c r="A178" s="204"/>
      <c r="G178" s="175"/>
      <c r="H178" s="187">
        <v>173</v>
      </c>
      <c r="I178" s="188" t="str">
        <f t="shared" si="10"/>
        <v/>
      </c>
      <c r="J178" s="187">
        <f t="shared" si="13"/>
        <v>-3</v>
      </c>
      <c r="K178" s="187">
        <f t="shared" si="11"/>
        <v>-30</v>
      </c>
      <c r="L178" s="187"/>
      <c r="M178" s="189">
        <f t="shared" si="12"/>
        <v>0</v>
      </c>
    </row>
    <row r="179" spans="1:13" x14ac:dyDescent="0.25">
      <c r="A179" s="204"/>
      <c r="G179" s="175"/>
      <c r="H179" s="187">
        <v>174</v>
      </c>
      <c r="I179" s="188" t="str">
        <f t="shared" si="10"/>
        <v/>
      </c>
      <c r="J179" s="187">
        <f t="shared" si="13"/>
        <v>-3</v>
      </c>
      <c r="K179" s="187">
        <f t="shared" si="11"/>
        <v>-30</v>
      </c>
      <c r="L179" s="187"/>
      <c r="M179" s="189">
        <f t="shared" si="12"/>
        <v>0</v>
      </c>
    </row>
    <row r="180" spans="1:13" x14ac:dyDescent="0.25">
      <c r="A180" s="204"/>
      <c r="G180" s="175"/>
      <c r="H180" s="187">
        <v>175</v>
      </c>
      <c r="I180" s="188" t="str">
        <f t="shared" si="10"/>
        <v/>
      </c>
      <c r="J180" s="187">
        <f t="shared" si="13"/>
        <v>-3</v>
      </c>
      <c r="K180" s="187">
        <f t="shared" si="11"/>
        <v>-30</v>
      </c>
      <c r="L180" s="187"/>
      <c r="M180" s="189">
        <f t="shared" si="12"/>
        <v>0</v>
      </c>
    </row>
    <row r="181" spans="1:13" x14ac:dyDescent="0.25">
      <c r="A181" s="204"/>
      <c r="G181" s="175"/>
      <c r="H181" s="187">
        <v>176</v>
      </c>
      <c r="I181" s="188" t="str">
        <f t="shared" si="10"/>
        <v/>
      </c>
      <c r="J181" s="187">
        <f t="shared" si="13"/>
        <v>-3</v>
      </c>
      <c r="K181" s="187">
        <f t="shared" si="11"/>
        <v>-30</v>
      </c>
      <c r="L181" s="187"/>
      <c r="M181" s="189">
        <f t="shared" si="12"/>
        <v>0</v>
      </c>
    </row>
    <row r="182" spans="1:13" x14ac:dyDescent="0.25">
      <c r="A182" s="204"/>
      <c r="G182" s="175"/>
      <c r="H182" s="187">
        <v>177</v>
      </c>
      <c r="I182" s="188" t="str">
        <f t="shared" si="10"/>
        <v/>
      </c>
      <c r="J182" s="187">
        <f t="shared" si="13"/>
        <v>-3</v>
      </c>
      <c r="K182" s="187">
        <f t="shared" si="11"/>
        <v>-30</v>
      </c>
      <c r="L182" s="187"/>
      <c r="M182" s="189">
        <f t="shared" si="12"/>
        <v>0</v>
      </c>
    </row>
    <row r="183" spans="1:13" x14ac:dyDescent="0.25">
      <c r="A183" s="204"/>
      <c r="G183" s="175"/>
      <c r="H183" s="187">
        <v>178</v>
      </c>
      <c r="I183" s="188" t="str">
        <f t="shared" si="10"/>
        <v/>
      </c>
      <c r="J183" s="187">
        <f t="shared" si="13"/>
        <v>-3</v>
      </c>
      <c r="K183" s="187">
        <f t="shared" si="11"/>
        <v>-30</v>
      </c>
      <c r="L183" s="187"/>
      <c r="M183" s="189">
        <f t="shared" si="12"/>
        <v>0</v>
      </c>
    </row>
    <row r="184" spans="1:13" x14ac:dyDescent="0.25">
      <c r="A184" s="204"/>
      <c r="G184" s="175"/>
      <c r="H184" s="187">
        <v>179</v>
      </c>
      <c r="I184" s="188" t="str">
        <f t="shared" si="10"/>
        <v/>
      </c>
      <c r="J184" s="187">
        <f t="shared" si="13"/>
        <v>-3</v>
      </c>
      <c r="K184" s="187">
        <f t="shared" si="11"/>
        <v>-30</v>
      </c>
      <c r="L184" s="187"/>
      <c r="M184" s="189">
        <f t="shared" si="12"/>
        <v>0</v>
      </c>
    </row>
    <row r="185" spans="1:13" x14ac:dyDescent="0.25">
      <c r="A185" s="204"/>
      <c r="G185" s="175"/>
      <c r="H185" s="187">
        <v>180</v>
      </c>
      <c r="I185" s="188" t="str">
        <f t="shared" si="10"/>
        <v/>
      </c>
      <c r="J185" s="187">
        <f t="shared" si="13"/>
        <v>-3</v>
      </c>
      <c r="K185" s="187">
        <f t="shared" si="11"/>
        <v>-30</v>
      </c>
      <c r="L185" s="187"/>
      <c r="M185" s="189">
        <f t="shared" si="12"/>
        <v>0</v>
      </c>
    </row>
    <row r="186" spans="1:13" x14ac:dyDescent="0.25">
      <c r="A186" s="204"/>
      <c r="G186" s="175"/>
      <c r="H186" s="187">
        <v>181</v>
      </c>
      <c r="I186" s="188" t="str">
        <f t="shared" si="10"/>
        <v/>
      </c>
      <c r="J186" s="187">
        <f t="shared" si="13"/>
        <v>-3</v>
      </c>
      <c r="K186" s="187">
        <f t="shared" si="11"/>
        <v>-30</v>
      </c>
      <c r="L186" s="187"/>
      <c r="M186" s="189">
        <f t="shared" si="12"/>
        <v>0</v>
      </c>
    </row>
    <row r="187" spans="1:13" x14ac:dyDescent="0.25">
      <c r="A187" s="204"/>
      <c r="G187" s="175"/>
      <c r="H187" s="187">
        <v>182</v>
      </c>
      <c r="I187" s="188" t="str">
        <f t="shared" si="10"/>
        <v/>
      </c>
      <c r="J187" s="187">
        <f t="shared" si="13"/>
        <v>-3</v>
      </c>
      <c r="K187" s="187">
        <f t="shared" si="11"/>
        <v>-30</v>
      </c>
      <c r="L187" s="187"/>
      <c r="M187" s="189">
        <f t="shared" si="12"/>
        <v>0</v>
      </c>
    </row>
    <row r="188" spans="1:13" x14ac:dyDescent="0.25">
      <c r="A188" s="204"/>
      <c r="G188" s="175"/>
      <c r="H188" s="187">
        <v>183</v>
      </c>
      <c r="I188" s="188" t="str">
        <f t="shared" si="10"/>
        <v/>
      </c>
      <c r="J188" s="187">
        <f t="shared" si="13"/>
        <v>-3</v>
      </c>
      <c r="K188" s="187">
        <f t="shared" si="11"/>
        <v>-30</v>
      </c>
      <c r="L188" s="187"/>
      <c r="M188" s="189">
        <f t="shared" si="12"/>
        <v>0</v>
      </c>
    </row>
    <row r="189" spans="1:13" x14ac:dyDescent="0.25">
      <c r="A189" s="204"/>
      <c r="G189" s="175"/>
      <c r="H189" s="187">
        <v>184</v>
      </c>
      <c r="I189" s="188" t="str">
        <f t="shared" si="10"/>
        <v/>
      </c>
      <c r="J189" s="187">
        <f t="shared" si="13"/>
        <v>-3</v>
      </c>
      <c r="K189" s="187">
        <f t="shared" si="11"/>
        <v>-30</v>
      </c>
      <c r="L189" s="187"/>
      <c r="M189" s="189">
        <f t="shared" si="12"/>
        <v>0</v>
      </c>
    </row>
    <row r="190" spans="1:13" x14ac:dyDescent="0.25">
      <c r="A190" s="204"/>
      <c r="G190" s="175"/>
      <c r="H190" s="187">
        <v>185</v>
      </c>
      <c r="I190" s="188" t="str">
        <f t="shared" si="10"/>
        <v/>
      </c>
      <c r="J190" s="187">
        <f t="shared" si="13"/>
        <v>-3</v>
      </c>
      <c r="K190" s="187">
        <f t="shared" si="11"/>
        <v>-30</v>
      </c>
      <c r="L190" s="187"/>
      <c r="M190" s="189">
        <f t="shared" si="12"/>
        <v>0</v>
      </c>
    </row>
    <row r="191" spans="1:13" x14ac:dyDescent="0.25">
      <c r="A191" s="204"/>
      <c r="G191" s="175"/>
      <c r="H191" s="187">
        <v>186</v>
      </c>
      <c r="I191" s="188" t="str">
        <f t="shared" si="10"/>
        <v/>
      </c>
      <c r="J191" s="187">
        <f t="shared" si="13"/>
        <v>-3</v>
      </c>
      <c r="K191" s="187">
        <f t="shared" si="11"/>
        <v>-30</v>
      </c>
      <c r="L191" s="187"/>
      <c r="M191" s="189">
        <f t="shared" si="12"/>
        <v>0</v>
      </c>
    </row>
    <row r="192" spans="1:13" x14ac:dyDescent="0.25">
      <c r="A192" s="204"/>
      <c r="G192" s="175"/>
      <c r="H192" s="187">
        <v>187</v>
      </c>
      <c r="I192" s="188" t="str">
        <f t="shared" si="10"/>
        <v/>
      </c>
      <c r="J192" s="187">
        <f t="shared" si="13"/>
        <v>-3</v>
      </c>
      <c r="K192" s="187">
        <f t="shared" si="11"/>
        <v>-30</v>
      </c>
      <c r="L192" s="187"/>
      <c r="M192" s="189">
        <f t="shared" si="12"/>
        <v>0</v>
      </c>
    </row>
    <row r="193" spans="1:13" x14ac:dyDescent="0.25">
      <c r="A193" s="204"/>
      <c r="G193" s="175"/>
      <c r="H193" s="187">
        <v>188</v>
      </c>
      <c r="I193" s="188" t="str">
        <f t="shared" si="10"/>
        <v/>
      </c>
      <c r="J193" s="187">
        <f t="shared" si="13"/>
        <v>-3</v>
      </c>
      <c r="K193" s="187">
        <f t="shared" si="11"/>
        <v>-30</v>
      </c>
      <c r="L193" s="187"/>
      <c r="M193" s="189">
        <f t="shared" si="12"/>
        <v>0</v>
      </c>
    </row>
    <row r="194" spans="1:13" x14ac:dyDescent="0.25">
      <c r="A194" s="204"/>
      <c r="G194" s="175"/>
      <c r="H194" s="187">
        <v>189</v>
      </c>
      <c r="I194" s="188" t="str">
        <f t="shared" si="10"/>
        <v/>
      </c>
      <c r="J194" s="187">
        <f t="shared" si="13"/>
        <v>-3</v>
      </c>
      <c r="K194" s="187">
        <f t="shared" si="11"/>
        <v>-30</v>
      </c>
      <c r="L194" s="187"/>
      <c r="M194" s="189">
        <f t="shared" si="12"/>
        <v>0</v>
      </c>
    </row>
    <row r="195" spans="1:13" x14ac:dyDescent="0.25">
      <c r="A195" s="204"/>
      <c r="G195" s="175"/>
      <c r="H195" s="187">
        <v>190</v>
      </c>
      <c r="I195" s="188" t="str">
        <f t="shared" si="10"/>
        <v/>
      </c>
      <c r="J195" s="187">
        <f t="shared" si="13"/>
        <v>-3</v>
      </c>
      <c r="K195" s="187">
        <f t="shared" si="11"/>
        <v>-30</v>
      </c>
      <c r="L195" s="187"/>
      <c r="M195" s="189">
        <f t="shared" si="12"/>
        <v>0</v>
      </c>
    </row>
    <row r="196" spans="1:13" x14ac:dyDescent="0.25">
      <c r="A196" s="204"/>
      <c r="G196" s="175"/>
      <c r="H196" s="187">
        <v>191</v>
      </c>
      <c r="I196" s="188" t="str">
        <f t="shared" si="10"/>
        <v/>
      </c>
      <c r="J196" s="187">
        <f t="shared" si="13"/>
        <v>-3</v>
      </c>
      <c r="K196" s="187">
        <f t="shared" si="11"/>
        <v>-30</v>
      </c>
      <c r="L196" s="187"/>
      <c r="M196" s="189">
        <f t="shared" si="12"/>
        <v>0</v>
      </c>
    </row>
    <row r="197" spans="1:13" x14ac:dyDescent="0.25">
      <c r="A197" s="204"/>
      <c r="G197" s="175"/>
      <c r="H197" s="187">
        <v>192</v>
      </c>
      <c r="I197" s="188" t="str">
        <f t="shared" si="10"/>
        <v/>
      </c>
      <c r="J197" s="187">
        <f t="shared" si="13"/>
        <v>-3</v>
      </c>
      <c r="K197" s="187">
        <f t="shared" si="11"/>
        <v>-30</v>
      </c>
      <c r="L197" s="187"/>
      <c r="M197" s="189">
        <f t="shared" si="12"/>
        <v>0</v>
      </c>
    </row>
    <row r="198" spans="1:13" x14ac:dyDescent="0.25">
      <c r="A198" s="204"/>
      <c r="G198" s="175"/>
      <c r="H198" s="187">
        <v>193</v>
      </c>
      <c r="I198" s="188" t="str">
        <f t="shared" ref="I198:I261" si="14">IF(H198&lt;$H$2+1,($I$2-($I$2-1)*(LOG(H198)/LOG($H$2))),"")</f>
        <v/>
      </c>
      <c r="J198" s="187">
        <f t="shared" si="13"/>
        <v>-3</v>
      </c>
      <c r="K198" s="187">
        <f t="shared" ref="K198:K261" si="15">J198*$J$2</f>
        <v>-30</v>
      </c>
      <c r="L198" s="187"/>
      <c r="M198" s="189">
        <f t="shared" ref="M198:M261" si="16">IF(I198&lt;&gt;"",K198+I198+L198,0)</f>
        <v>0</v>
      </c>
    </row>
    <row r="199" spans="1:13" x14ac:dyDescent="0.25">
      <c r="A199" s="204"/>
      <c r="G199" s="175"/>
      <c r="H199" s="187">
        <v>194</v>
      </c>
      <c r="I199" s="188" t="str">
        <f t="shared" si="14"/>
        <v/>
      </c>
      <c r="J199" s="187">
        <f t="shared" ref="J199:J262" si="17">INT(LOG($H$2,2))-ROUNDUP(LOG(H199,2),0)+IF(OR($H$2=1,$H$2=2,$H$2=4,$H$2=8,$H$2=16,$H$2=32,$H$2=64,$H$2=128,$H$2=256),0,1)</f>
        <v>-3</v>
      </c>
      <c r="K199" s="187">
        <f t="shared" si="15"/>
        <v>-30</v>
      </c>
      <c r="L199" s="187"/>
      <c r="M199" s="189">
        <f t="shared" si="16"/>
        <v>0</v>
      </c>
    </row>
    <row r="200" spans="1:13" x14ac:dyDescent="0.25">
      <c r="A200" s="204"/>
      <c r="G200" s="175"/>
      <c r="H200" s="187">
        <v>195</v>
      </c>
      <c r="I200" s="188" t="str">
        <f t="shared" si="14"/>
        <v/>
      </c>
      <c r="J200" s="187">
        <f t="shared" si="17"/>
        <v>-3</v>
      </c>
      <c r="K200" s="187">
        <f t="shared" si="15"/>
        <v>-30</v>
      </c>
      <c r="L200" s="187"/>
      <c r="M200" s="189">
        <f t="shared" si="16"/>
        <v>0</v>
      </c>
    </row>
    <row r="201" spans="1:13" x14ac:dyDescent="0.25">
      <c r="A201" s="204"/>
      <c r="G201" s="175"/>
      <c r="H201" s="187">
        <v>196</v>
      </c>
      <c r="I201" s="188" t="str">
        <f t="shared" si="14"/>
        <v/>
      </c>
      <c r="J201" s="187">
        <f t="shared" si="17"/>
        <v>-3</v>
      </c>
      <c r="K201" s="187">
        <f t="shared" si="15"/>
        <v>-30</v>
      </c>
      <c r="L201" s="187"/>
      <c r="M201" s="189">
        <f t="shared" si="16"/>
        <v>0</v>
      </c>
    </row>
    <row r="202" spans="1:13" x14ac:dyDescent="0.25">
      <c r="A202" s="204"/>
      <c r="G202" s="175"/>
      <c r="H202" s="187">
        <v>197</v>
      </c>
      <c r="I202" s="188" t="str">
        <f t="shared" si="14"/>
        <v/>
      </c>
      <c r="J202" s="187">
        <f t="shared" si="17"/>
        <v>-3</v>
      </c>
      <c r="K202" s="187">
        <f t="shared" si="15"/>
        <v>-30</v>
      </c>
      <c r="L202" s="187"/>
      <c r="M202" s="189">
        <f t="shared" si="16"/>
        <v>0</v>
      </c>
    </row>
    <row r="203" spans="1:13" x14ac:dyDescent="0.25">
      <c r="A203" s="204"/>
      <c r="G203" s="175"/>
      <c r="H203" s="187">
        <v>198</v>
      </c>
      <c r="I203" s="188" t="str">
        <f t="shared" si="14"/>
        <v/>
      </c>
      <c r="J203" s="187">
        <f t="shared" si="17"/>
        <v>-3</v>
      </c>
      <c r="K203" s="187">
        <f t="shared" si="15"/>
        <v>-30</v>
      </c>
      <c r="L203" s="187"/>
      <c r="M203" s="189">
        <f t="shared" si="16"/>
        <v>0</v>
      </c>
    </row>
    <row r="204" spans="1:13" x14ac:dyDescent="0.25">
      <c r="A204" s="204"/>
      <c r="G204" s="175"/>
      <c r="H204" s="187">
        <v>199</v>
      </c>
      <c r="I204" s="188" t="str">
        <f t="shared" si="14"/>
        <v/>
      </c>
      <c r="J204" s="187">
        <f t="shared" si="17"/>
        <v>-3</v>
      </c>
      <c r="K204" s="187">
        <f t="shared" si="15"/>
        <v>-30</v>
      </c>
      <c r="L204" s="187"/>
      <c r="M204" s="189">
        <f t="shared" si="16"/>
        <v>0</v>
      </c>
    </row>
    <row r="205" spans="1:13" x14ac:dyDescent="0.25">
      <c r="A205" s="204"/>
      <c r="G205" s="175"/>
      <c r="H205" s="187">
        <v>200</v>
      </c>
      <c r="I205" s="188" t="str">
        <f t="shared" si="14"/>
        <v/>
      </c>
      <c r="J205" s="187">
        <f t="shared" si="17"/>
        <v>-3</v>
      </c>
      <c r="K205" s="187">
        <f t="shared" si="15"/>
        <v>-30</v>
      </c>
      <c r="L205" s="187"/>
      <c r="M205" s="189">
        <f t="shared" si="16"/>
        <v>0</v>
      </c>
    </row>
    <row r="206" spans="1:13" x14ac:dyDescent="0.25">
      <c r="A206" s="204"/>
      <c r="G206" s="175"/>
      <c r="H206" s="187">
        <v>201</v>
      </c>
      <c r="I206" s="188" t="str">
        <f t="shared" si="14"/>
        <v/>
      </c>
      <c r="J206" s="187">
        <f t="shared" si="17"/>
        <v>-3</v>
      </c>
      <c r="K206" s="187">
        <f t="shared" si="15"/>
        <v>-30</v>
      </c>
      <c r="L206" s="187"/>
      <c r="M206" s="189">
        <f t="shared" si="16"/>
        <v>0</v>
      </c>
    </row>
    <row r="207" spans="1:13" x14ac:dyDescent="0.25">
      <c r="A207" s="204"/>
      <c r="G207" s="175"/>
      <c r="H207" s="187">
        <v>202</v>
      </c>
      <c r="I207" s="188" t="str">
        <f t="shared" si="14"/>
        <v/>
      </c>
      <c r="J207" s="187">
        <f t="shared" si="17"/>
        <v>-3</v>
      </c>
      <c r="K207" s="187">
        <f t="shared" si="15"/>
        <v>-30</v>
      </c>
      <c r="L207" s="187"/>
      <c r="M207" s="189">
        <f t="shared" si="16"/>
        <v>0</v>
      </c>
    </row>
    <row r="208" spans="1:13" x14ac:dyDescent="0.25">
      <c r="A208" s="204"/>
      <c r="G208" s="175"/>
      <c r="H208" s="187">
        <v>203</v>
      </c>
      <c r="I208" s="188" t="str">
        <f t="shared" si="14"/>
        <v/>
      </c>
      <c r="J208" s="187">
        <f t="shared" si="17"/>
        <v>-3</v>
      </c>
      <c r="K208" s="187">
        <f t="shared" si="15"/>
        <v>-30</v>
      </c>
      <c r="L208" s="187"/>
      <c r="M208" s="189">
        <f t="shared" si="16"/>
        <v>0</v>
      </c>
    </row>
    <row r="209" spans="1:13" x14ac:dyDescent="0.25">
      <c r="A209" s="204"/>
      <c r="G209" s="175"/>
      <c r="H209" s="187">
        <v>204</v>
      </c>
      <c r="I209" s="188" t="str">
        <f t="shared" si="14"/>
        <v/>
      </c>
      <c r="J209" s="187">
        <f t="shared" si="17"/>
        <v>-3</v>
      </c>
      <c r="K209" s="187">
        <f t="shared" si="15"/>
        <v>-30</v>
      </c>
      <c r="L209" s="187"/>
      <c r="M209" s="189">
        <f t="shared" si="16"/>
        <v>0</v>
      </c>
    </row>
    <row r="210" spans="1:13" x14ac:dyDescent="0.25">
      <c r="A210" s="204"/>
      <c r="G210" s="175"/>
      <c r="H210" s="187">
        <v>205</v>
      </c>
      <c r="I210" s="188" t="str">
        <f t="shared" si="14"/>
        <v/>
      </c>
      <c r="J210" s="187">
        <f t="shared" si="17"/>
        <v>-3</v>
      </c>
      <c r="K210" s="187">
        <f t="shared" si="15"/>
        <v>-30</v>
      </c>
      <c r="L210" s="187"/>
      <c r="M210" s="189">
        <f t="shared" si="16"/>
        <v>0</v>
      </c>
    </row>
    <row r="211" spans="1:13" x14ac:dyDescent="0.25">
      <c r="A211" s="204"/>
      <c r="G211" s="175"/>
      <c r="H211" s="187">
        <v>206</v>
      </c>
      <c r="I211" s="188" t="str">
        <f t="shared" si="14"/>
        <v/>
      </c>
      <c r="J211" s="187">
        <f t="shared" si="17"/>
        <v>-3</v>
      </c>
      <c r="K211" s="187">
        <f t="shared" si="15"/>
        <v>-30</v>
      </c>
      <c r="L211" s="187"/>
      <c r="M211" s="189">
        <f t="shared" si="16"/>
        <v>0</v>
      </c>
    </row>
    <row r="212" spans="1:13" x14ac:dyDescent="0.25">
      <c r="A212" s="204"/>
      <c r="G212" s="175"/>
      <c r="H212" s="187">
        <v>207</v>
      </c>
      <c r="I212" s="188" t="str">
        <f t="shared" si="14"/>
        <v/>
      </c>
      <c r="J212" s="187">
        <f t="shared" si="17"/>
        <v>-3</v>
      </c>
      <c r="K212" s="187">
        <f t="shared" si="15"/>
        <v>-30</v>
      </c>
      <c r="L212" s="187"/>
      <c r="M212" s="189">
        <f t="shared" si="16"/>
        <v>0</v>
      </c>
    </row>
    <row r="213" spans="1:13" x14ac:dyDescent="0.25">
      <c r="A213" s="204"/>
      <c r="G213" s="175"/>
      <c r="H213" s="187">
        <v>208</v>
      </c>
      <c r="I213" s="188" t="str">
        <f t="shared" si="14"/>
        <v/>
      </c>
      <c r="J213" s="187">
        <f t="shared" si="17"/>
        <v>-3</v>
      </c>
      <c r="K213" s="187">
        <f t="shared" si="15"/>
        <v>-30</v>
      </c>
      <c r="L213" s="187"/>
      <c r="M213" s="189">
        <f t="shared" si="16"/>
        <v>0</v>
      </c>
    </row>
    <row r="214" spans="1:13" x14ac:dyDescent="0.25">
      <c r="A214" s="204"/>
      <c r="G214" s="175"/>
      <c r="H214" s="187">
        <v>209</v>
      </c>
      <c r="I214" s="188" t="str">
        <f t="shared" si="14"/>
        <v/>
      </c>
      <c r="J214" s="187">
        <f t="shared" si="17"/>
        <v>-3</v>
      </c>
      <c r="K214" s="187">
        <f t="shared" si="15"/>
        <v>-30</v>
      </c>
      <c r="L214" s="187"/>
      <c r="M214" s="189">
        <f t="shared" si="16"/>
        <v>0</v>
      </c>
    </row>
    <row r="215" spans="1:13" x14ac:dyDescent="0.25">
      <c r="A215" s="204"/>
      <c r="G215" s="175"/>
      <c r="H215" s="187">
        <v>210</v>
      </c>
      <c r="I215" s="188" t="str">
        <f t="shared" si="14"/>
        <v/>
      </c>
      <c r="J215" s="187">
        <f t="shared" si="17"/>
        <v>-3</v>
      </c>
      <c r="K215" s="187">
        <f t="shared" si="15"/>
        <v>-30</v>
      </c>
      <c r="L215" s="187"/>
      <c r="M215" s="189">
        <f t="shared" si="16"/>
        <v>0</v>
      </c>
    </row>
    <row r="216" spans="1:13" x14ac:dyDescent="0.25">
      <c r="A216" s="204"/>
      <c r="G216" s="175"/>
      <c r="H216" s="187">
        <v>211</v>
      </c>
      <c r="I216" s="188" t="str">
        <f t="shared" si="14"/>
        <v/>
      </c>
      <c r="J216" s="187">
        <f t="shared" si="17"/>
        <v>-3</v>
      </c>
      <c r="K216" s="187">
        <f t="shared" si="15"/>
        <v>-30</v>
      </c>
      <c r="L216" s="187"/>
      <c r="M216" s="189">
        <f t="shared" si="16"/>
        <v>0</v>
      </c>
    </row>
    <row r="217" spans="1:13" x14ac:dyDescent="0.25">
      <c r="A217" s="204"/>
      <c r="G217" s="175"/>
      <c r="H217" s="187">
        <v>212</v>
      </c>
      <c r="I217" s="188" t="str">
        <f t="shared" si="14"/>
        <v/>
      </c>
      <c r="J217" s="187">
        <f t="shared" si="17"/>
        <v>-3</v>
      </c>
      <c r="K217" s="187">
        <f t="shared" si="15"/>
        <v>-30</v>
      </c>
      <c r="L217" s="187"/>
      <c r="M217" s="189">
        <f t="shared" si="16"/>
        <v>0</v>
      </c>
    </row>
    <row r="218" spans="1:13" x14ac:dyDescent="0.25">
      <c r="A218" s="204"/>
      <c r="G218" s="175"/>
      <c r="H218" s="187">
        <v>213</v>
      </c>
      <c r="I218" s="188" t="str">
        <f t="shared" si="14"/>
        <v/>
      </c>
      <c r="J218" s="187">
        <f t="shared" si="17"/>
        <v>-3</v>
      </c>
      <c r="K218" s="187">
        <f t="shared" si="15"/>
        <v>-30</v>
      </c>
      <c r="L218" s="187"/>
      <c r="M218" s="189">
        <f t="shared" si="16"/>
        <v>0</v>
      </c>
    </row>
    <row r="219" spans="1:13" x14ac:dyDescent="0.25">
      <c r="A219" s="204"/>
      <c r="G219" s="175"/>
      <c r="H219" s="187">
        <v>214</v>
      </c>
      <c r="I219" s="188" t="str">
        <f t="shared" si="14"/>
        <v/>
      </c>
      <c r="J219" s="187">
        <f t="shared" si="17"/>
        <v>-3</v>
      </c>
      <c r="K219" s="187">
        <f t="shared" si="15"/>
        <v>-30</v>
      </c>
      <c r="L219" s="187"/>
      <c r="M219" s="189">
        <f t="shared" si="16"/>
        <v>0</v>
      </c>
    </row>
    <row r="220" spans="1:13" x14ac:dyDescent="0.25">
      <c r="A220" s="204"/>
      <c r="G220" s="175"/>
      <c r="H220" s="187">
        <v>215</v>
      </c>
      <c r="I220" s="188" t="str">
        <f t="shared" si="14"/>
        <v/>
      </c>
      <c r="J220" s="187">
        <f t="shared" si="17"/>
        <v>-3</v>
      </c>
      <c r="K220" s="187">
        <f t="shared" si="15"/>
        <v>-30</v>
      </c>
      <c r="L220" s="187"/>
      <c r="M220" s="189">
        <f t="shared" si="16"/>
        <v>0</v>
      </c>
    </row>
    <row r="221" spans="1:13" x14ac:dyDescent="0.25">
      <c r="A221" s="204"/>
      <c r="G221" s="175"/>
      <c r="H221" s="187">
        <v>216</v>
      </c>
      <c r="I221" s="188" t="str">
        <f t="shared" si="14"/>
        <v/>
      </c>
      <c r="J221" s="187">
        <f t="shared" si="17"/>
        <v>-3</v>
      </c>
      <c r="K221" s="187">
        <f t="shared" si="15"/>
        <v>-30</v>
      </c>
      <c r="L221" s="187"/>
      <c r="M221" s="189">
        <f t="shared" si="16"/>
        <v>0</v>
      </c>
    </row>
    <row r="222" spans="1:13" x14ac:dyDescent="0.25">
      <c r="A222" s="204"/>
      <c r="G222" s="175"/>
      <c r="H222" s="187">
        <v>217</v>
      </c>
      <c r="I222" s="188" t="str">
        <f t="shared" si="14"/>
        <v/>
      </c>
      <c r="J222" s="187">
        <f t="shared" si="17"/>
        <v>-3</v>
      </c>
      <c r="K222" s="187">
        <f t="shared" si="15"/>
        <v>-30</v>
      </c>
      <c r="L222" s="187"/>
      <c r="M222" s="189">
        <f t="shared" si="16"/>
        <v>0</v>
      </c>
    </row>
    <row r="223" spans="1:13" x14ac:dyDescent="0.25">
      <c r="A223" s="204"/>
      <c r="G223" s="175"/>
      <c r="H223" s="187">
        <v>218</v>
      </c>
      <c r="I223" s="188" t="str">
        <f t="shared" si="14"/>
        <v/>
      </c>
      <c r="J223" s="187">
        <f t="shared" si="17"/>
        <v>-3</v>
      </c>
      <c r="K223" s="187">
        <f t="shared" si="15"/>
        <v>-30</v>
      </c>
      <c r="L223" s="187"/>
      <c r="M223" s="189">
        <f t="shared" si="16"/>
        <v>0</v>
      </c>
    </row>
    <row r="224" spans="1:13" x14ac:dyDescent="0.25">
      <c r="A224" s="204"/>
      <c r="G224" s="175"/>
      <c r="H224" s="187">
        <v>219</v>
      </c>
      <c r="I224" s="188" t="str">
        <f t="shared" si="14"/>
        <v/>
      </c>
      <c r="J224" s="187">
        <f t="shared" si="17"/>
        <v>-3</v>
      </c>
      <c r="K224" s="187">
        <f t="shared" si="15"/>
        <v>-30</v>
      </c>
      <c r="L224" s="187"/>
      <c r="M224" s="189">
        <f t="shared" si="16"/>
        <v>0</v>
      </c>
    </row>
    <row r="225" spans="1:13" x14ac:dyDescent="0.25">
      <c r="A225" s="204"/>
      <c r="G225" s="175"/>
      <c r="H225" s="187">
        <v>220</v>
      </c>
      <c r="I225" s="188" t="str">
        <f t="shared" si="14"/>
        <v/>
      </c>
      <c r="J225" s="187">
        <f t="shared" si="17"/>
        <v>-3</v>
      </c>
      <c r="K225" s="187">
        <f t="shared" si="15"/>
        <v>-30</v>
      </c>
      <c r="L225" s="187"/>
      <c r="M225" s="189">
        <f t="shared" si="16"/>
        <v>0</v>
      </c>
    </row>
    <row r="226" spans="1:13" x14ac:dyDescent="0.25">
      <c r="A226" s="204"/>
      <c r="G226" s="175"/>
      <c r="H226" s="187">
        <v>221</v>
      </c>
      <c r="I226" s="188" t="str">
        <f t="shared" si="14"/>
        <v/>
      </c>
      <c r="J226" s="187">
        <f t="shared" si="17"/>
        <v>-3</v>
      </c>
      <c r="K226" s="187">
        <f t="shared" si="15"/>
        <v>-30</v>
      </c>
      <c r="L226" s="187"/>
      <c r="M226" s="189">
        <f t="shared" si="16"/>
        <v>0</v>
      </c>
    </row>
    <row r="227" spans="1:13" x14ac:dyDescent="0.25">
      <c r="A227" s="204"/>
      <c r="G227" s="175"/>
      <c r="H227" s="187">
        <v>222</v>
      </c>
      <c r="I227" s="188" t="str">
        <f t="shared" si="14"/>
        <v/>
      </c>
      <c r="J227" s="187">
        <f t="shared" si="17"/>
        <v>-3</v>
      </c>
      <c r="K227" s="187">
        <f t="shared" si="15"/>
        <v>-30</v>
      </c>
      <c r="L227" s="187"/>
      <c r="M227" s="189">
        <f t="shared" si="16"/>
        <v>0</v>
      </c>
    </row>
    <row r="228" spans="1:13" x14ac:dyDescent="0.25">
      <c r="A228" s="204"/>
      <c r="G228" s="175"/>
      <c r="H228" s="187">
        <v>223</v>
      </c>
      <c r="I228" s="188" t="str">
        <f t="shared" si="14"/>
        <v/>
      </c>
      <c r="J228" s="187">
        <f t="shared" si="17"/>
        <v>-3</v>
      </c>
      <c r="K228" s="187">
        <f t="shared" si="15"/>
        <v>-30</v>
      </c>
      <c r="L228" s="187"/>
      <c r="M228" s="189">
        <f t="shared" si="16"/>
        <v>0</v>
      </c>
    </row>
    <row r="229" spans="1:13" x14ac:dyDescent="0.25">
      <c r="A229" s="204"/>
      <c r="G229" s="175"/>
      <c r="H229" s="187">
        <v>224</v>
      </c>
      <c r="I229" s="188" t="str">
        <f t="shared" si="14"/>
        <v/>
      </c>
      <c r="J229" s="187">
        <f t="shared" si="17"/>
        <v>-3</v>
      </c>
      <c r="K229" s="187">
        <f t="shared" si="15"/>
        <v>-30</v>
      </c>
      <c r="L229" s="187"/>
      <c r="M229" s="189">
        <f t="shared" si="16"/>
        <v>0</v>
      </c>
    </row>
    <row r="230" spans="1:13" x14ac:dyDescent="0.25">
      <c r="A230" s="204"/>
      <c r="G230" s="175"/>
      <c r="H230" s="187">
        <v>225</v>
      </c>
      <c r="I230" s="188" t="str">
        <f t="shared" si="14"/>
        <v/>
      </c>
      <c r="J230" s="187">
        <f t="shared" si="17"/>
        <v>-3</v>
      </c>
      <c r="K230" s="187">
        <f t="shared" si="15"/>
        <v>-30</v>
      </c>
      <c r="L230" s="187"/>
      <c r="M230" s="189">
        <f t="shared" si="16"/>
        <v>0</v>
      </c>
    </row>
    <row r="231" spans="1:13" x14ac:dyDescent="0.25">
      <c r="A231" s="204"/>
      <c r="G231" s="175"/>
      <c r="H231" s="187">
        <v>226</v>
      </c>
      <c r="I231" s="188" t="str">
        <f t="shared" si="14"/>
        <v/>
      </c>
      <c r="J231" s="187">
        <f t="shared" si="17"/>
        <v>-3</v>
      </c>
      <c r="K231" s="187">
        <f t="shared" si="15"/>
        <v>-30</v>
      </c>
      <c r="L231" s="187"/>
      <c r="M231" s="189">
        <f t="shared" si="16"/>
        <v>0</v>
      </c>
    </row>
    <row r="232" spans="1:13" x14ac:dyDescent="0.25">
      <c r="A232" s="204"/>
      <c r="G232" s="175"/>
      <c r="H232" s="187">
        <v>227</v>
      </c>
      <c r="I232" s="188" t="str">
        <f t="shared" si="14"/>
        <v/>
      </c>
      <c r="J232" s="187">
        <f t="shared" si="17"/>
        <v>-3</v>
      </c>
      <c r="K232" s="187">
        <f t="shared" si="15"/>
        <v>-30</v>
      </c>
      <c r="L232" s="187"/>
      <c r="M232" s="189">
        <f t="shared" si="16"/>
        <v>0</v>
      </c>
    </row>
    <row r="233" spans="1:13" x14ac:dyDescent="0.25">
      <c r="A233" s="204"/>
      <c r="G233" s="175"/>
      <c r="H233" s="187">
        <v>228</v>
      </c>
      <c r="I233" s="188" t="str">
        <f t="shared" si="14"/>
        <v/>
      </c>
      <c r="J233" s="187">
        <f t="shared" si="17"/>
        <v>-3</v>
      </c>
      <c r="K233" s="187">
        <f t="shared" si="15"/>
        <v>-30</v>
      </c>
      <c r="L233" s="187"/>
      <c r="M233" s="189">
        <f t="shared" si="16"/>
        <v>0</v>
      </c>
    </row>
    <row r="234" spans="1:13" x14ac:dyDescent="0.25">
      <c r="A234" s="204"/>
      <c r="G234" s="175"/>
      <c r="H234" s="187">
        <v>229</v>
      </c>
      <c r="I234" s="188" t="str">
        <f t="shared" si="14"/>
        <v/>
      </c>
      <c r="J234" s="187">
        <f t="shared" si="17"/>
        <v>-3</v>
      </c>
      <c r="K234" s="187">
        <f t="shared" si="15"/>
        <v>-30</v>
      </c>
      <c r="L234" s="187"/>
      <c r="M234" s="189">
        <f t="shared" si="16"/>
        <v>0</v>
      </c>
    </row>
    <row r="235" spans="1:13" x14ac:dyDescent="0.25">
      <c r="A235" s="204"/>
      <c r="G235" s="175"/>
      <c r="H235" s="187">
        <v>230</v>
      </c>
      <c r="I235" s="188" t="str">
        <f t="shared" si="14"/>
        <v/>
      </c>
      <c r="J235" s="187">
        <f t="shared" si="17"/>
        <v>-3</v>
      </c>
      <c r="K235" s="187">
        <f t="shared" si="15"/>
        <v>-30</v>
      </c>
      <c r="L235" s="187"/>
      <c r="M235" s="189">
        <f t="shared" si="16"/>
        <v>0</v>
      </c>
    </row>
    <row r="236" spans="1:13" x14ac:dyDescent="0.25">
      <c r="A236" s="204"/>
      <c r="G236" s="175"/>
      <c r="H236" s="187">
        <v>231</v>
      </c>
      <c r="I236" s="188" t="str">
        <f t="shared" si="14"/>
        <v/>
      </c>
      <c r="J236" s="187">
        <f t="shared" si="17"/>
        <v>-3</v>
      </c>
      <c r="K236" s="187">
        <f t="shared" si="15"/>
        <v>-30</v>
      </c>
      <c r="L236" s="187"/>
      <c r="M236" s="189">
        <f t="shared" si="16"/>
        <v>0</v>
      </c>
    </row>
    <row r="237" spans="1:13" x14ac:dyDescent="0.25">
      <c r="A237" s="204"/>
      <c r="G237" s="175"/>
      <c r="H237" s="187">
        <v>232</v>
      </c>
      <c r="I237" s="188" t="str">
        <f t="shared" si="14"/>
        <v/>
      </c>
      <c r="J237" s="187">
        <f t="shared" si="17"/>
        <v>-3</v>
      </c>
      <c r="K237" s="187">
        <f t="shared" si="15"/>
        <v>-30</v>
      </c>
      <c r="L237" s="187"/>
      <c r="M237" s="189">
        <f t="shared" si="16"/>
        <v>0</v>
      </c>
    </row>
    <row r="238" spans="1:13" x14ac:dyDescent="0.25">
      <c r="A238" s="204"/>
      <c r="G238" s="175"/>
      <c r="H238" s="187">
        <v>233</v>
      </c>
      <c r="I238" s="188" t="str">
        <f t="shared" si="14"/>
        <v/>
      </c>
      <c r="J238" s="187">
        <f t="shared" si="17"/>
        <v>-3</v>
      </c>
      <c r="K238" s="187">
        <f t="shared" si="15"/>
        <v>-30</v>
      </c>
      <c r="L238" s="187"/>
      <c r="M238" s="189">
        <f t="shared" si="16"/>
        <v>0</v>
      </c>
    </row>
    <row r="239" spans="1:13" x14ac:dyDescent="0.25">
      <c r="A239" s="204"/>
      <c r="G239" s="175"/>
      <c r="H239" s="187">
        <v>234</v>
      </c>
      <c r="I239" s="188" t="str">
        <f t="shared" si="14"/>
        <v/>
      </c>
      <c r="J239" s="187">
        <f t="shared" si="17"/>
        <v>-3</v>
      </c>
      <c r="K239" s="187">
        <f t="shared" si="15"/>
        <v>-30</v>
      </c>
      <c r="L239" s="187"/>
      <c r="M239" s="189">
        <f t="shared" si="16"/>
        <v>0</v>
      </c>
    </row>
    <row r="240" spans="1:13" x14ac:dyDescent="0.25">
      <c r="A240" s="204"/>
      <c r="G240" s="175"/>
      <c r="H240" s="187">
        <v>235</v>
      </c>
      <c r="I240" s="188" t="str">
        <f t="shared" si="14"/>
        <v/>
      </c>
      <c r="J240" s="187">
        <f t="shared" si="17"/>
        <v>-3</v>
      </c>
      <c r="K240" s="187">
        <f t="shared" si="15"/>
        <v>-30</v>
      </c>
      <c r="L240" s="187"/>
      <c r="M240" s="189">
        <f t="shared" si="16"/>
        <v>0</v>
      </c>
    </row>
    <row r="241" spans="1:13" x14ac:dyDescent="0.25">
      <c r="A241" s="204"/>
      <c r="G241" s="175"/>
      <c r="H241" s="187">
        <v>236</v>
      </c>
      <c r="I241" s="188" t="str">
        <f t="shared" si="14"/>
        <v/>
      </c>
      <c r="J241" s="187">
        <f t="shared" si="17"/>
        <v>-3</v>
      </c>
      <c r="K241" s="187">
        <f t="shared" si="15"/>
        <v>-30</v>
      </c>
      <c r="L241" s="187"/>
      <c r="M241" s="189">
        <f t="shared" si="16"/>
        <v>0</v>
      </c>
    </row>
    <row r="242" spans="1:13" x14ac:dyDescent="0.25">
      <c r="A242" s="204"/>
      <c r="G242" s="175"/>
      <c r="H242" s="187">
        <v>237</v>
      </c>
      <c r="I242" s="188" t="str">
        <f t="shared" si="14"/>
        <v/>
      </c>
      <c r="J242" s="187">
        <f t="shared" si="17"/>
        <v>-3</v>
      </c>
      <c r="K242" s="187">
        <f t="shared" si="15"/>
        <v>-30</v>
      </c>
      <c r="L242" s="187"/>
      <c r="M242" s="189">
        <f t="shared" si="16"/>
        <v>0</v>
      </c>
    </row>
    <row r="243" spans="1:13" x14ac:dyDescent="0.25">
      <c r="A243" s="204"/>
      <c r="G243" s="175"/>
      <c r="H243" s="187">
        <v>238</v>
      </c>
      <c r="I243" s="188" t="str">
        <f t="shared" si="14"/>
        <v/>
      </c>
      <c r="J243" s="187">
        <f t="shared" si="17"/>
        <v>-3</v>
      </c>
      <c r="K243" s="187">
        <f t="shared" si="15"/>
        <v>-30</v>
      </c>
      <c r="L243" s="187"/>
      <c r="M243" s="189">
        <f t="shared" si="16"/>
        <v>0</v>
      </c>
    </row>
    <row r="244" spans="1:13" x14ac:dyDescent="0.25">
      <c r="A244" s="204"/>
      <c r="G244" s="175"/>
      <c r="H244" s="187">
        <v>239</v>
      </c>
      <c r="I244" s="188" t="str">
        <f t="shared" si="14"/>
        <v/>
      </c>
      <c r="J244" s="187">
        <f t="shared" si="17"/>
        <v>-3</v>
      </c>
      <c r="K244" s="187">
        <f t="shared" si="15"/>
        <v>-30</v>
      </c>
      <c r="L244" s="187"/>
      <c r="M244" s="189">
        <f t="shared" si="16"/>
        <v>0</v>
      </c>
    </row>
    <row r="245" spans="1:13" x14ac:dyDescent="0.25">
      <c r="A245" s="204"/>
      <c r="G245" s="175"/>
      <c r="H245" s="187">
        <v>240</v>
      </c>
      <c r="I245" s="188" t="str">
        <f t="shared" si="14"/>
        <v/>
      </c>
      <c r="J245" s="187">
        <f t="shared" si="17"/>
        <v>-3</v>
      </c>
      <c r="K245" s="187">
        <f t="shared" si="15"/>
        <v>-30</v>
      </c>
      <c r="L245" s="187"/>
      <c r="M245" s="189">
        <f t="shared" si="16"/>
        <v>0</v>
      </c>
    </row>
    <row r="246" spans="1:13" x14ac:dyDescent="0.25">
      <c r="A246" s="204"/>
      <c r="G246" s="175"/>
      <c r="H246" s="187">
        <v>241</v>
      </c>
      <c r="I246" s="188" t="str">
        <f t="shared" si="14"/>
        <v/>
      </c>
      <c r="J246" s="187">
        <f t="shared" si="17"/>
        <v>-3</v>
      </c>
      <c r="K246" s="187">
        <f t="shared" si="15"/>
        <v>-30</v>
      </c>
      <c r="L246" s="187"/>
      <c r="M246" s="189">
        <f t="shared" si="16"/>
        <v>0</v>
      </c>
    </row>
    <row r="247" spans="1:13" x14ac:dyDescent="0.25">
      <c r="A247" s="204"/>
      <c r="G247" s="175"/>
      <c r="H247" s="187">
        <v>242</v>
      </c>
      <c r="I247" s="188" t="str">
        <f t="shared" si="14"/>
        <v/>
      </c>
      <c r="J247" s="187">
        <f t="shared" si="17"/>
        <v>-3</v>
      </c>
      <c r="K247" s="187">
        <f t="shared" si="15"/>
        <v>-30</v>
      </c>
      <c r="L247" s="187"/>
      <c r="M247" s="189">
        <f t="shared" si="16"/>
        <v>0</v>
      </c>
    </row>
    <row r="248" spans="1:13" x14ac:dyDescent="0.25">
      <c r="A248" s="204"/>
      <c r="G248" s="175"/>
      <c r="H248" s="187">
        <v>243</v>
      </c>
      <c r="I248" s="188" t="str">
        <f t="shared" si="14"/>
        <v/>
      </c>
      <c r="J248" s="187">
        <f t="shared" si="17"/>
        <v>-3</v>
      </c>
      <c r="K248" s="187">
        <f t="shared" si="15"/>
        <v>-30</v>
      </c>
      <c r="L248" s="187"/>
      <c r="M248" s="189">
        <f t="shared" si="16"/>
        <v>0</v>
      </c>
    </row>
    <row r="249" spans="1:13" x14ac:dyDescent="0.25">
      <c r="A249" s="204"/>
      <c r="G249" s="175"/>
      <c r="H249" s="187">
        <v>244</v>
      </c>
      <c r="I249" s="188" t="str">
        <f t="shared" si="14"/>
        <v/>
      </c>
      <c r="J249" s="187">
        <f t="shared" si="17"/>
        <v>-3</v>
      </c>
      <c r="K249" s="187">
        <f t="shared" si="15"/>
        <v>-30</v>
      </c>
      <c r="L249" s="187"/>
      <c r="M249" s="189">
        <f t="shared" si="16"/>
        <v>0</v>
      </c>
    </row>
    <row r="250" spans="1:13" x14ac:dyDescent="0.25">
      <c r="A250" s="204"/>
      <c r="G250" s="175"/>
      <c r="H250" s="187">
        <v>245</v>
      </c>
      <c r="I250" s="188" t="str">
        <f t="shared" si="14"/>
        <v/>
      </c>
      <c r="J250" s="187">
        <f t="shared" si="17"/>
        <v>-3</v>
      </c>
      <c r="K250" s="187">
        <f t="shared" si="15"/>
        <v>-30</v>
      </c>
      <c r="L250" s="187"/>
      <c r="M250" s="189">
        <f t="shared" si="16"/>
        <v>0</v>
      </c>
    </row>
    <row r="251" spans="1:13" x14ac:dyDescent="0.25">
      <c r="A251" s="204"/>
      <c r="G251" s="175"/>
      <c r="H251" s="187">
        <v>246</v>
      </c>
      <c r="I251" s="188" t="str">
        <f t="shared" si="14"/>
        <v/>
      </c>
      <c r="J251" s="187">
        <f t="shared" si="17"/>
        <v>-3</v>
      </c>
      <c r="K251" s="187">
        <f t="shared" si="15"/>
        <v>-30</v>
      </c>
      <c r="L251" s="187"/>
      <c r="M251" s="189">
        <f t="shared" si="16"/>
        <v>0</v>
      </c>
    </row>
    <row r="252" spans="1:13" x14ac:dyDescent="0.25">
      <c r="A252" s="204"/>
      <c r="G252" s="175"/>
      <c r="H252" s="187">
        <v>247</v>
      </c>
      <c r="I252" s="188" t="str">
        <f t="shared" si="14"/>
        <v/>
      </c>
      <c r="J252" s="187">
        <f t="shared" si="17"/>
        <v>-3</v>
      </c>
      <c r="K252" s="187">
        <f t="shared" si="15"/>
        <v>-30</v>
      </c>
      <c r="L252" s="187"/>
      <c r="M252" s="189">
        <f t="shared" si="16"/>
        <v>0</v>
      </c>
    </row>
    <row r="253" spans="1:13" x14ac:dyDescent="0.25">
      <c r="A253" s="204"/>
      <c r="G253" s="175"/>
      <c r="H253" s="187">
        <v>248</v>
      </c>
      <c r="I253" s="188" t="str">
        <f t="shared" si="14"/>
        <v/>
      </c>
      <c r="J253" s="187">
        <f t="shared" si="17"/>
        <v>-3</v>
      </c>
      <c r="K253" s="187">
        <f t="shared" si="15"/>
        <v>-30</v>
      </c>
      <c r="L253" s="187"/>
      <c r="M253" s="189">
        <f t="shared" si="16"/>
        <v>0</v>
      </c>
    </row>
    <row r="254" spans="1:13" x14ac:dyDescent="0.25">
      <c r="A254" s="204"/>
      <c r="G254" s="175"/>
      <c r="H254" s="187">
        <v>249</v>
      </c>
      <c r="I254" s="188" t="str">
        <f t="shared" si="14"/>
        <v/>
      </c>
      <c r="J254" s="187">
        <f t="shared" si="17"/>
        <v>-3</v>
      </c>
      <c r="K254" s="187">
        <f t="shared" si="15"/>
        <v>-30</v>
      </c>
      <c r="L254" s="187"/>
      <c r="M254" s="189">
        <f t="shared" si="16"/>
        <v>0</v>
      </c>
    </row>
    <row r="255" spans="1:13" x14ac:dyDescent="0.25">
      <c r="A255" s="204"/>
      <c r="G255" s="175"/>
      <c r="H255" s="187">
        <v>250</v>
      </c>
      <c r="I255" s="188" t="str">
        <f t="shared" si="14"/>
        <v/>
      </c>
      <c r="J255" s="187">
        <f t="shared" si="17"/>
        <v>-3</v>
      </c>
      <c r="K255" s="187">
        <f t="shared" si="15"/>
        <v>-30</v>
      </c>
      <c r="L255" s="187"/>
      <c r="M255" s="189">
        <f t="shared" si="16"/>
        <v>0</v>
      </c>
    </row>
    <row r="256" spans="1:13" x14ac:dyDescent="0.25">
      <c r="A256" s="204"/>
      <c r="G256" s="175"/>
      <c r="H256" s="187">
        <v>251</v>
      </c>
      <c r="I256" s="188" t="str">
        <f t="shared" si="14"/>
        <v/>
      </c>
      <c r="J256" s="187">
        <f t="shared" si="17"/>
        <v>-3</v>
      </c>
      <c r="K256" s="187">
        <f t="shared" si="15"/>
        <v>-30</v>
      </c>
      <c r="L256" s="187"/>
      <c r="M256" s="189">
        <f t="shared" si="16"/>
        <v>0</v>
      </c>
    </row>
    <row r="257" spans="1:13" x14ac:dyDescent="0.25">
      <c r="A257" s="204"/>
      <c r="G257" s="175"/>
      <c r="H257" s="187">
        <v>252</v>
      </c>
      <c r="I257" s="188" t="str">
        <f t="shared" si="14"/>
        <v/>
      </c>
      <c r="J257" s="187">
        <f t="shared" si="17"/>
        <v>-3</v>
      </c>
      <c r="K257" s="187">
        <f t="shared" si="15"/>
        <v>-30</v>
      </c>
      <c r="L257" s="187"/>
      <c r="M257" s="189">
        <f t="shared" si="16"/>
        <v>0</v>
      </c>
    </row>
    <row r="258" spans="1:13" x14ac:dyDescent="0.25">
      <c r="A258" s="204"/>
      <c r="G258" s="175"/>
      <c r="H258" s="187">
        <v>253</v>
      </c>
      <c r="I258" s="188" t="str">
        <f t="shared" si="14"/>
        <v/>
      </c>
      <c r="J258" s="187">
        <f t="shared" si="17"/>
        <v>-3</v>
      </c>
      <c r="K258" s="187">
        <f t="shared" si="15"/>
        <v>-30</v>
      </c>
      <c r="L258" s="187"/>
      <c r="M258" s="189">
        <f t="shared" si="16"/>
        <v>0</v>
      </c>
    </row>
    <row r="259" spans="1:13" x14ac:dyDescent="0.25">
      <c r="A259" s="204"/>
      <c r="G259" s="175"/>
      <c r="H259" s="187">
        <v>254</v>
      </c>
      <c r="I259" s="188" t="str">
        <f t="shared" si="14"/>
        <v/>
      </c>
      <c r="J259" s="187">
        <f t="shared" si="17"/>
        <v>-3</v>
      </c>
      <c r="K259" s="187">
        <f t="shared" si="15"/>
        <v>-30</v>
      </c>
      <c r="L259" s="187"/>
      <c r="M259" s="189">
        <f t="shared" si="16"/>
        <v>0</v>
      </c>
    </row>
    <row r="260" spans="1:13" x14ac:dyDescent="0.25">
      <c r="A260" s="204"/>
      <c r="G260" s="175"/>
      <c r="H260" s="187">
        <v>255</v>
      </c>
      <c r="I260" s="188" t="str">
        <f t="shared" si="14"/>
        <v/>
      </c>
      <c r="J260" s="187">
        <f t="shared" si="17"/>
        <v>-3</v>
      </c>
      <c r="K260" s="187">
        <f t="shared" si="15"/>
        <v>-30</v>
      </c>
      <c r="L260" s="187"/>
      <c r="M260" s="189">
        <f t="shared" si="16"/>
        <v>0</v>
      </c>
    </row>
    <row r="261" spans="1:13" x14ac:dyDescent="0.25">
      <c r="A261" s="204"/>
      <c r="G261" s="175"/>
      <c r="H261" s="187">
        <v>256</v>
      </c>
      <c r="I261" s="188" t="str">
        <f t="shared" si="14"/>
        <v/>
      </c>
      <c r="J261" s="187">
        <f t="shared" si="17"/>
        <v>-3</v>
      </c>
      <c r="K261" s="187">
        <f t="shared" si="15"/>
        <v>-30</v>
      </c>
      <c r="L261" s="187"/>
      <c r="M261" s="189">
        <f t="shared" si="16"/>
        <v>0</v>
      </c>
    </row>
    <row r="262" spans="1:13" x14ac:dyDescent="0.25">
      <c r="A262" s="204"/>
      <c r="G262" s="175"/>
      <c r="H262" s="187">
        <v>257</v>
      </c>
      <c r="I262" s="188" t="str">
        <f t="shared" ref="I262:I305" si="18">IF(H262&lt;$H$2+1,($I$2-($I$2-1)*(LOG(H262)/LOG($H$2))),"")</f>
        <v/>
      </c>
      <c r="J262" s="187">
        <f t="shared" si="17"/>
        <v>-4</v>
      </c>
      <c r="K262" s="187">
        <f t="shared" ref="K262:K305" si="19">J262*$J$2</f>
        <v>-40</v>
      </c>
      <c r="L262" s="187"/>
      <c r="M262" s="189">
        <f t="shared" ref="M262:M305" si="20">IF(I262&lt;&gt;"",K262+I262+L262,0)</f>
        <v>0</v>
      </c>
    </row>
    <row r="263" spans="1:13" x14ac:dyDescent="0.25">
      <c r="A263" s="204"/>
      <c r="G263" s="175"/>
      <c r="H263" s="187">
        <v>258</v>
      </c>
      <c r="I263" s="188" t="str">
        <f t="shared" si="18"/>
        <v/>
      </c>
      <c r="J263" s="187">
        <f t="shared" ref="J263:J326" si="21">INT(LOG($H$2,2))-ROUNDUP(LOG(H263,2),0)+IF(OR($H$2=1,$H$2=2,$H$2=4,$H$2=8,$H$2=16,$H$2=32,$H$2=64,$H$2=128,$H$2=256),0,1)</f>
        <v>-4</v>
      </c>
      <c r="K263" s="187">
        <f t="shared" si="19"/>
        <v>-40</v>
      </c>
      <c r="L263" s="187"/>
      <c r="M263" s="189">
        <f t="shared" si="20"/>
        <v>0</v>
      </c>
    </row>
    <row r="264" spans="1:13" x14ac:dyDescent="0.25">
      <c r="A264" s="204"/>
      <c r="G264" s="175"/>
      <c r="H264" s="187">
        <v>259</v>
      </c>
      <c r="I264" s="188" t="str">
        <f t="shared" si="18"/>
        <v/>
      </c>
      <c r="J264" s="187">
        <f t="shared" si="21"/>
        <v>-4</v>
      </c>
      <c r="K264" s="187">
        <f t="shared" si="19"/>
        <v>-40</v>
      </c>
      <c r="L264" s="187"/>
      <c r="M264" s="189">
        <f t="shared" si="20"/>
        <v>0</v>
      </c>
    </row>
    <row r="265" spans="1:13" x14ac:dyDescent="0.25">
      <c r="A265" s="204"/>
      <c r="G265" s="175"/>
      <c r="H265" s="187">
        <v>260</v>
      </c>
      <c r="I265" s="188" t="str">
        <f t="shared" si="18"/>
        <v/>
      </c>
      <c r="J265" s="187">
        <f t="shared" si="21"/>
        <v>-4</v>
      </c>
      <c r="K265" s="187">
        <f t="shared" si="19"/>
        <v>-40</v>
      </c>
      <c r="L265" s="187"/>
      <c r="M265" s="189">
        <f t="shared" si="20"/>
        <v>0</v>
      </c>
    </row>
    <row r="266" spans="1:13" x14ac:dyDescent="0.25">
      <c r="A266" s="204"/>
      <c r="G266" s="175"/>
      <c r="H266" s="187">
        <v>261</v>
      </c>
      <c r="I266" s="188" t="str">
        <f t="shared" si="18"/>
        <v/>
      </c>
      <c r="J266" s="187">
        <f t="shared" si="21"/>
        <v>-4</v>
      </c>
      <c r="K266" s="187">
        <f t="shared" si="19"/>
        <v>-40</v>
      </c>
      <c r="L266" s="187"/>
      <c r="M266" s="189">
        <f t="shared" si="20"/>
        <v>0</v>
      </c>
    </row>
    <row r="267" spans="1:13" x14ac:dyDescent="0.25">
      <c r="A267" s="204"/>
      <c r="G267" s="175"/>
      <c r="H267" s="187">
        <v>262</v>
      </c>
      <c r="I267" s="188" t="str">
        <f t="shared" si="18"/>
        <v/>
      </c>
      <c r="J267" s="187">
        <f t="shared" si="21"/>
        <v>-4</v>
      </c>
      <c r="K267" s="187">
        <f t="shared" si="19"/>
        <v>-40</v>
      </c>
      <c r="L267" s="187"/>
      <c r="M267" s="189">
        <f t="shared" si="20"/>
        <v>0</v>
      </c>
    </row>
    <row r="268" spans="1:13" x14ac:dyDescent="0.25">
      <c r="A268" s="204"/>
      <c r="G268" s="175"/>
      <c r="H268" s="187">
        <v>263</v>
      </c>
      <c r="I268" s="188" t="str">
        <f t="shared" si="18"/>
        <v/>
      </c>
      <c r="J268" s="187">
        <f t="shared" si="21"/>
        <v>-4</v>
      </c>
      <c r="K268" s="187">
        <f t="shared" si="19"/>
        <v>-40</v>
      </c>
      <c r="L268" s="187"/>
      <c r="M268" s="189">
        <f t="shared" si="20"/>
        <v>0</v>
      </c>
    </row>
    <row r="269" spans="1:13" x14ac:dyDescent="0.25">
      <c r="A269" s="204"/>
      <c r="G269" s="175"/>
      <c r="H269" s="187">
        <v>264</v>
      </c>
      <c r="I269" s="188" t="str">
        <f t="shared" si="18"/>
        <v/>
      </c>
      <c r="J269" s="187">
        <f t="shared" si="21"/>
        <v>-4</v>
      </c>
      <c r="K269" s="187">
        <f t="shared" si="19"/>
        <v>-40</v>
      </c>
      <c r="L269" s="187"/>
      <c r="M269" s="189">
        <f t="shared" si="20"/>
        <v>0</v>
      </c>
    </row>
    <row r="270" spans="1:13" x14ac:dyDescent="0.25">
      <c r="A270" s="204"/>
      <c r="G270" s="175"/>
      <c r="H270" s="187">
        <v>265</v>
      </c>
      <c r="I270" s="188" t="str">
        <f t="shared" si="18"/>
        <v/>
      </c>
      <c r="J270" s="187">
        <f t="shared" si="21"/>
        <v>-4</v>
      </c>
      <c r="K270" s="187">
        <f t="shared" si="19"/>
        <v>-40</v>
      </c>
      <c r="L270" s="187"/>
      <c r="M270" s="189">
        <f t="shared" si="20"/>
        <v>0</v>
      </c>
    </row>
    <row r="271" spans="1:13" x14ac:dyDescent="0.25">
      <c r="A271" s="204"/>
      <c r="G271" s="175"/>
      <c r="H271" s="187">
        <v>266</v>
      </c>
      <c r="I271" s="188" t="str">
        <f t="shared" si="18"/>
        <v/>
      </c>
      <c r="J271" s="187">
        <f t="shared" si="21"/>
        <v>-4</v>
      </c>
      <c r="K271" s="187">
        <f t="shared" si="19"/>
        <v>-40</v>
      </c>
      <c r="L271" s="187"/>
      <c r="M271" s="189">
        <f t="shared" si="20"/>
        <v>0</v>
      </c>
    </row>
    <row r="272" spans="1:13" x14ac:dyDescent="0.25">
      <c r="A272" s="204"/>
      <c r="G272" s="175"/>
      <c r="H272" s="187">
        <v>267</v>
      </c>
      <c r="I272" s="188" t="str">
        <f t="shared" si="18"/>
        <v/>
      </c>
      <c r="J272" s="187">
        <f t="shared" si="21"/>
        <v>-4</v>
      </c>
      <c r="K272" s="187">
        <f t="shared" si="19"/>
        <v>-40</v>
      </c>
      <c r="L272" s="187"/>
      <c r="M272" s="189">
        <f t="shared" si="20"/>
        <v>0</v>
      </c>
    </row>
    <row r="273" spans="1:13" x14ac:dyDescent="0.25">
      <c r="A273" s="204"/>
      <c r="G273" s="175"/>
      <c r="H273" s="187">
        <v>268</v>
      </c>
      <c r="I273" s="188" t="str">
        <f t="shared" si="18"/>
        <v/>
      </c>
      <c r="J273" s="187">
        <f t="shared" si="21"/>
        <v>-4</v>
      </c>
      <c r="K273" s="187">
        <f t="shared" si="19"/>
        <v>-40</v>
      </c>
      <c r="L273" s="187"/>
      <c r="M273" s="189">
        <f t="shared" si="20"/>
        <v>0</v>
      </c>
    </row>
    <row r="274" spans="1:13" x14ac:dyDescent="0.25">
      <c r="A274" s="204"/>
      <c r="G274" s="175"/>
      <c r="H274" s="187">
        <v>269</v>
      </c>
      <c r="I274" s="188" t="str">
        <f t="shared" si="18"/>
        <v/>
      </c>
      <c r="J274" s="187">
        <f t="shared" si="21"/>
        <v>-4</v>
      </c>
      <c r="K274" s="187">
        <f t="shared" si="19"/>
        <v>-40</v>
      </c>
      <c r="L274" s="187"/>
      <c r="M274" s="189">
        <f t="shared" si="20"/>
        <v>0</v>
      </c>
    </row>
    <row r="275" spans="1:13" x14ac:dyDescent="0.25">
      <c r="A275" s="204"/>
      <c r="G275" s="175"/>
      <c r="H275" s="187">
        <v>270</v>
      </c>
      <c r="I275" s="188" t="str">
        <f t="shared" si="18"/>
        <v/>
      </c>
      <c r="J275" s="187">
        <f t="shared" si="21"/>
        <v>-4</v>
      </c>
      <c r="K275" s="187">
        <f t="shared" si="19"/>
        <v>-40</v>
      </c>
      <c r="L275" s="187"/>
      <c r="M275" s="189">
        <f t="shared" si="20"/>
        <v>0</v>
      </c>
    </row>
    <row r="276" spans="1:13" x14ac:dyDescent="0.25">
      <c r="A276" s="204"/>
      <c r="G276" s="175"/>
      <c r="H276" s="187">
        <v>271</v>
      </c>
      <c r="I276" s="188" t="str">
        <f t="shared" si="18"/>
        <v/>
      </c>
      <c r="J276" s="187">
        <f t="shared" si="21"/>
        <v>-4</v>
      </c>
      <c r="K276" s="187">
        <f t="shared" si="19"/>
        <v>-40</v>
      </c>
      <c r="L276" s="187"/>
      <c r="M276" s="189">
        <f t="shared" si="20"/>
        <v>0</v>
      </c>
    </row>
    <row r="277" spans="1:13" x14ac:dyDescent="0.25">
      <c r="A277" s="204"/>
      <c r="G277" s="175"/>
      <c r="H277" s="187">
        <v>272</v>
      </c>
      <c r="I277" s="188" t="str">
        <f t="shared" si="18"/>
        <v/>
      </c>
      <c r="J277" s="187">
        <f t="shared" si="21"/>
        <v>-4</v>
      </c>
      <c r="K277" s="187">
        <f t="shared" si="19"/>
        <v>-40</v>
      </c>
      <c r="L277" s="187"/>
      <c r="M277" s="189">
        <f t="shared" si="20"/>
        <v>0</v>
      </c>
    </row>
    <row r="278" spans="1:13" x14ac:dyDescent="0.25">
      <c r="A278" s="204"/>
      <c r="G278" s="175"/>
      <c r="H278" s="187">
        <v>273</v>
      </c>
      <c r="I278" s="188" t="str">
        <f t="shared" si="18"/>
        <v/>
      </c>
      <c r="J278" s="187">
        <f t="shared" si="21"/>
        <v>-4</v>
      </c>
      <c r="K278" s="187">
        <f t="shared" si="19"/>
        <v>-40</v>
      </c>
      <c r="L278" s="187"/>
      <c r="M278" s="189">
        <f t="shared" si="20"/>
        <v>0</v>
      </c>
    </row>
    <row r="279" spans="1:13" x14ac:dyDescent="0.25">
      <c r="A279" s="204"/>
      <c r="G279" s="175"/>
      <c r="H279" s="187">
        <v>274</v>
      </c>
      <c r="I279" s="188" t="str">
        <f t="shared" si="18"/>
        <v/>
      </c>
      <c r="J279" s="187">
        <f t="shared" si="21"/>
        <v>-4</v>
      </c>
      <c r="K279" s="187">
        <f t="shared" si="19"/>
        <v>-40</v>
      </c>
      <c r="L279" s="187"/>
      <c r="M279" s="189">
        <f t="shared" si="20"/>
        <v>0</v>
      </c>
    </row>
    <row r="280" spans="1:13" x14ac:dyDescent="0.25">
      <c r="A280" s="204"/>
      <c r="G280" s="175"/>
      <c r="H280" s="187">
        <v>275</v>
      </c>
      <c r="I280" s="188" t="str">
        <f t="shared" si="18"/>
        <v/>
      </c>
      <c r="J280" s="187">
        <f t="shared" si="21"/>
        <v>-4</v>
      </c>
      <c r="K280" s="187">
        <f t="shared" si="19"/>
        <v>-40</v>
      </c>
      <c r="L280" s="187"/>
      <c r="M280" s="189">
        <f t="shared" si="20"/>
        <v>0</v>
      </c>
    </row>
    <row r="281" spans="1:13" x14ac:dyDescent="0.25">
      <c r="A281" s="204"/>
      <c r="G281" s="175"/>
      <c r="H281" s="187">
        <v>276</v>
      </c>
      <c r="I281" s="188" t="str">
        <f t="shared" si="18"/>
        <v/>
      </c>
      <c r="J281" s="187">
        <f t="shared" si="21"/>
        <v>-4</v>
      </c>
      <c r="K281" s="187">
        <f t="shared" si="19"/>
        <v>-40</v>
      </c>
      <c r="L281" s="187"/>
      <c r="M281" s="189">
        <f t="shared" si="20"/>
        <v>0</v>
      </c>
    </row>
    <row r="282" spans="1:13" x14ac:dyDescent="0.25">
      <c r="A282" s="204"/>
      <c r="G282" s="175"/>
      <c r="H282" s="187">
        <v>277</v>
      </c>
      <c r="I282" s="188" t="str">
        <f t="shared" si="18"/>
        <v/>
      </c>
      <c r="J282" s="187">
        <f t="shared" si="21"/>
        <v>-4</v>
      </c>
      <c r="K282" s="187">
        <f t="shared" si="19"/>
        <v>-40</v>
      </c>
      <c r="L282" s="187"/>
      <c r="M282" s="189">
        <f t="shared" si="20"/>
        <v>0</v>
      </c>
    </row>
    <row r="283" spans="1:13" x14ac:dyDescent="0.25">
      <c r="A283" s="204"/>
      <c r="G283" s="175"/>
      <c r="H283" s="187">
        <v>278</v>
      </c>
      <c r="I283" s="188" t="str">
        <f t="shared" si="18"/>
        <v/>
      </c>
      <c r="J283" s="187">
        <f t="shared" si="21"/>
        <v>-4</v>
      </c>
      <c r="K283" s="187">
        <f t="shared" si="19"/>
        <v>-40</v>
      </c>
      <c r="L283" s="187"/>
      <c r="M283" s="189">
        <f t="shared" si="20"/>
        <v>0</v>
      </c>
    </row>
    <row r="284" spans="1:13" x14ac:dyDescent="0.25">
      <c r="A284" s="204"/>
      <c r="G284" s="175"/>
      <c r="H284" s="187">
        <v>279</v>
      </c>
      <c r="I284" s="188" t="str">
        <f t="shared" si="18"/>
        <v/>
      </c>
      <c r="J284" s="187">
        <f t="shared" si="21"/>
        <v>-4</v>
      </c>
      <c r="K284" s="187">
        <f t="shared" si="19"/>
        <v>-40</v>
      </c>
      <c r="L284" s="187"/>
      <c r="M284" s="189">
        <f t="shared" si="20"/>
        <v>0</v>
      </c>
    </row>
    <row r="285" spans="1:13" x14ac:dyDescent="0.25">
      <c r="A285" s="204"/>
      <c r="G285" s="175"/>
      <c r="H285" s="187">
        <v>280</v>
      </c>
      <c r="I285" s="188" t="str">
        <f t="shared" si="18"/>
        <v/>
      </c>
      <c r="J285" s="187">
        <f t="shared" si="21"/>
        <v>-4</v>
      </c>
      <c r="K285" s="187">
        <f t="shared" si="19"/>
        <v>-40</v>
      </c>
      <c r="L285" s="187"/>
      <c r="M285" s="189">
        <f t="shared" si="20"/>
        <v>0</v>
      </c>
    </row>
    <row r="286" spans="1:13" x14ac:dyDescent="0.25">
      <c r="A286" s="204"/>
      <c r="G286" s="175"/>
      <c r="H286" s="187">
        <v>281</v>
      </c>
      <c r="I286" s="188" t="str">
        <f t="shared" si="18"/>
        <v/>
      </c>
      <c r="J286" s="187">
        <f t="shared" si="21"/>
        <v>-4</v>
      </c>
      <c r="K286" s="187">
        <f t="shared" si="19"/>
        <v>-40</v>
      </c>
      <c r="L286" s="187"/>
      <c r="M286" s="189">
        <f t="shared" si="20"/>
        <v>0</v>
      </c>
    </row>
    <row r="287" spans="1:13" x14ac:dyDescent="0.25">
      <c r="A287" s="204"/>
      <c r="G287" s="175"/>
      <c r="H287" s="187">
        <v>282</v>
      </c>
      <c r="I287" s="188" t="str">
        <f t="shared" si="18"/>
        <v/>
      </c>
      <c r="J287" s="187">
        <f t="shared" si="21"/>
        <v>-4</v>
      </c>
      <c r="K287" s="187">
        <f t="shared" si="19"/>
        <v>-40</v>
      </c>
      <c r="L287" s="187"/>
      <c r="M287" s="189">
        <f t="shared" si="20"/>
        <v>0</v>
      </c>
    </row>
    <row r="288" spans="1:13" x14ac:dyDescent="0.25">
      <c r="A288" s="204"/>
      <c r="G288" s="175"/>
      <c r="H288" s="187">
        <v>283</v>
      </c>
      <c r="I288" s="188" t="str">
        <f t="shared" si="18"/>
        <v/>
      </c>
      <c r="J288" s="187">
        <f t="shared" si="21"/>
        <v>-4</v>
      </c>
      <c r="K288" s="187">
        <f t="shared" si="19"/>
        <v>-40</v>
      </c>
      <c r="L288" s="187"/>
      <c r="M288" s="189">
        <f t="shared" si="20"/>
        <v>0</v>
      </c>
    </row>
    <row r="289" spans="1:13" x14ac:dyDescent="0.25">
      <c r="A289" s="204"/>
      <c r="G289" s="175"/>
      <c r="H289" s="187">
        <v>284</v>
      </c>
      <c r="I289" s="188" t="str">
        <f t="shared" si="18"/>
        <v/>
      </c>
      <c r="J289" s="187">
        <f t="shared" si="21"/>
        <v>-4</v>
      </c>
      <c r="K289" s="187">
        <f t="shared" si="19"/>
        <v>-40</v>
      </c>
      <c r="L289" s="187"/>
      <c r="M289" s="189">
        <f t="shared" si="20"/>
        <v>0</v>
      </c>
    </row>
    <row r="290" spans="1:13" x14ac:dyDescent="0.25">
      <c r="A290" s="204"/>
      <c r="G290" s="175"/>
      <c r="H290" s="187">
        <v>285</v>
      </c>
      <c r="I290" s="188" t="str">
        <f t="shared" si="18"/>
        <v/>
      </c>
      <c r="J290" s="187">
        <f t="shared" si="21"/>
        <v>-4</v>
      </c>
      <c r="K290" s="187">
        <f t="shared" si="19"/>
        <v>-40</v>
      </c>
      <c r="L290" s="187"/>
      <c r="M290" s="189">
        <f t="shared" si="20"/>
        <v>0</v>
      </c>
    </row>
    <row r="291" spans="1:13" x14ac:dyDescent="0.25">
      <c r="A291" s="204"/>
      <c r="G291" s="175"/>
      <c r="H291" s="187">
        <v>286</v>
      </c>
      <c r="I291" s="188" t="str">
        <f t="shared" si="18"/>
        <v/>
      </c>
      <c r="J291" s="187">
        <f t="shared" si="21"/>
        <v>-4</v>
      </c>
      <c r="K291" s="187">
        <f t="shared" si="19"/>
        <v>-40</v>
      </c>
      <c r="L291" s="187"/>
      <c r="M291" s="189">
        <f t="shared" si="20"/>
        <v>0</v>
      </c>
    </row>
    <row r="292" spans="1:13" x14ac:dyDescent="0.25">
      <c r="A292" s="204"/>
      <c r="G292" s="175"/>
      <c r="H292" s="187">
        <v>287</v>
      </c>
      <c r="I292" s="188" t="str">
        <f t="shared" si="18"/>
        <v/>
      </c>
      <c r="J292" s="187">
        <f t="shared" si="21"/>
        <v>-4</v>
      </c>
      <c r="K292" s="187">
        <f t="shared" si="19"/>
        <v>-40</v>
      </c>
      <c r="L292" s="187"/>
      <c r="M292" s="189">
        <f t="shared" si="20"/>
        <v>0</v>
      </c>
    </row>
    <row r="293" spans="1:13" x14ac:dyDescent="0.25">
      <c r="A293" s="204"/>
      <c r="G293" s="175"/>
      <c r="H293" s="187">
        <v>288</v>
      </c>
      <c r="I293" s="188" t="str">
        <f t="shared" si="18"/>
        <v/>
      </c>
      <c r="J293" s="187">
        <f t="shared" si="21"/>
        <v>-4</v>
      </c>
      <c r="K293" s="187">
        <f t="shared" si="19"/>
        <v>-40</v>
      </c>
      <c r="L293" s="187"/>
      <c r="M293" s="189">
        <f t="shared" si="20"/>
        <v>0</v>
      </c>
    </row>
    <row r="294" spans="1:13" x14ac:dyDescent="0.25">
      <c r="A294" s="204"/>
      <c r="G294" s="175"/>
      <c r="H294" s="187">
        <v>289</v>
      </c>
      <c r="I294" s="188" t="str">
        <f t="shared" si="18"/>
        <v/>
      </c>
      <c r="J294" s="187">
        <f t="shared" si="21"/>
        <v>-4</v>
      </c>
      <c r="K294" s="187">
        <f t="shared" si="19"/>
        <v>-40</v>
      </c>
      <c r="L294" s="187"/>
      <c r="M294" s="189">
        <f t="shared" si="20"/>
        <v>0</v>
      </c>
    </row>
    <row r="295" spans="1:13" x14ac:dyDescent="0.25">
      <c r="A295" s="204"/>
      <c r="G295" s="175"/>
      <c r="H295" s="187">
        <v>290</v>
      </c>
      <c r="I295" s="188" t="str">
        <f t="shared" si="18"/>
        <v/>
      </c>
      <c r="J295" s="187">
        <f t="shared" si="21"/>
        <v>-4</v>
      </c>
      <c r="K295" s="187">
        <f t="shared" si="19"/>
        <v>-40</v>
      </c>
      <c r="L295" s="187"/>
      <c r="M295" s="189">
        <f t="shared" si="20"/>
        <v>0</v>
      </c>
    </row>
    <row r="296" spans="1:13" x14ac:dyDescent="0.25">
      <c r="A296" s="204"/>
      <c r="G296" s="175"/>
      <c r="H296" s="187">
        <v>291</v>
      </c>
      <c r="I296" s="188" t="str">
        <f t="shared" si="18"/>
        <v/>
      </c>
      <c r="J296" s="187">
        <f t="shared" si="21"/>
        <v>-4</v>
      </c>
      <c r="K296" s="187">
        <f t="shared" si="19"/>
        <v>-40</v>
      </c>
      <c r="L296" s="187"/>
      <c r="M296" s="189">
        <f t="shared" si="20"/>
        <v>0</v>
      </c>
    </row>
    <row r="297" spans="1:13" x14ac:dyDescent="0.25">
      <c r="A297" s="204"/>
      <c r="G297" s="175"/>
      <c r="H297" s="187">
        <v>292</v>
      </c>
      <c r="I297" s="188" t="str">
        <f t="shared" si="18"/>
        <v/>
      </c>
      <c r="J297" s="187">
        <f t="shared" si="21"/>
        <v>-4</v>
      </c>
      <c r="K297" s="187">
        <f t="shared" si="19"/>
        <v>-40</v>
      </c>
      <c r="L297" s="187"/>
      <c r="M297" s="189">
        <f t="shared" si="20"/>
        <v>0</v>
      </c>
    </row>
    <row r="298" spans="1:13" x14ac:dyDescent="0.25">
      <c r="A298" s="204"/>
      <c r="G298" s="175"/>
      <c r="H298" s="187">
        <v>293</v>
      </c>
      <c r="I298" s="188" t="str">
        <f t="shared" si="18"/>
        <v/>
      </c>
      <c r="J298" s="187">
        <f t="shared" si="21"/>
        <v>-4</v>
      </c>
      <c r="K298" s="187">
        <f t="shared" si="19"/>
        <v>-40</v>
      </c>
      <c r="L298" s="187"/>
      <c r="M298" s="189">
        <f t="shared" si="20"/>
        <v>0</v>
      </c>
    </row>
    <row r="299" spans="1:13" x14ac:dyDescent="0.25">
      <c r="A299" s="204"/>
      <c r="G299" s="175"/>
      <c r="H299" s="187">
        <v>294</v>
      </c>
      <c r="I299" s="188" t="str">
        <f t="shared" si="18"/>
        <v/>
      </c>
      <c r="J299" s="187">
        <f t="shared" si="21"/>
        <v>-4</v>
      </c>
      <c r="K299" s="187">
        <f t="shared" si="19"/>
        <v>-40</v>
      </c>
      <c r="L299" s="187"/>
      <c r="M299" s="189">
        <f t="shared" si="20"/>
        <v>0</v>
      </c>
    </row>
    <row r="300" spans="1:13" x14ac:dyDescent="0.25">
      <c r="A300" s="204"/>
      <c r="G300" s="175"/>
      <c r="H300" s="187">
        <v>295</v>
      </c>
      <c r="I300" s="188" t="str">
        <f t="shared" si="18"/>
        <v/>
      </c>
      <c r="J300" s="187">
        <f t="shared" si="21"/>
        <v>-4</v>
      </c>
      <c r="K300" s="187">
        <f t="shared" si="19"/>
        <v>-40</v>
      </c>
      <c r="L300" s="187"/>
      <c r="M300" s="189">
        <f t="shared" si="20"/>
        <v>0</v>
      </c>
    </row>
    <row r="301" spans="1:13" x14ac:dyDescent="0.25">
      <c r="A301" s="204"/>
      <c r="G301" s="175"/>
      <c r="H301" s="187">
        <v>296</v>
      </c>
      <c r="I301" s="188" t="str">
        <f t="shared" si="18"/>
        <v/>
      </c>
      <c r="J301" s="187">
        <f t="shared" si="21"/>
        <v>-4</v>
      </c>
      <c r="K301" s="187">
        <f t="shared" si="19"/>
        <v>-40</v>
      </c>
      <c r="L301" s="187"/>
      <c r="M301" s="189">
        <f t="shared" si="20"/>
        <v>0</v>
      </c>
    </row>
    <row r="302" spans="1:13" x14ac:dyDescent="0.25">
      <c r="A302" s="204"/>
      <c r="G302" s="175"/>
      <c r="H302" s="187">
        <v>297</v>
      </c>
      <c r="I302" s="188" t="str">
        <f t="shared" si="18"/>
        <v/>
      </c>
      <c r="J302" s="187">
        <f t="shared" si="21"/>
        <v>-4</v>
      </c>
      <c r="K302" s="187">
        <f t="shared" si="19"/>
        <v>-40</v>
      </c>
      <c r="L302" s="187"/>
      <c r="M302" s="189">
        <f t="shared" si="20"/>
        <v>0</v>
      </c>
    </row>
    <row r="303" spans="1:13" x14ac:dyDescent="0.25">
      <c r="A303" s="204"/>
      <c r="G303" s="175"/>
      <c r="H303" s="187">
        <v>298</v>
      </c>
      <c r="I303" s="188" t="str">
        <f t="shared" si="18"/>
        <v/>
      </c>
      <c r="J303" s="187">
        <f t="shared" si="21"/>
        <v>-4</v>
      </c>
      <c r="K303" s="187">
        <f t="shared" si="19"/>
        <v>-40</v>
      </c>
      <c r="L303" s="187"/>
      <c r="M303" s="189">
        <f t="shared" si="20"/>
        <v>0</v>
      </c>
    </row>
    <row r="304" spans="1:13" x14ac:dyDescent="0.25">
      <c r="A304" s="204"/>
      <c r="G304" s="175"/>
      <c r="H304" s="187">
        <v>299</v>
      </c>
      <c r="I304" s="188" t="str">
        <f t="shared" si="18"/>
        <v/>
      </c>
      <c r="J304" s="187">
        <f t="shared" si="21"/>
        <v>-4</v>
      </c>
      <c r="K304" s="187">
        <f t="shared" si="19"/>
        <v>-40</v>
      </c>
      <c r="L304" s="187"/>
      <c r="M304" s="189">
        <f t="shared" si="20"/>
        <v>0</v>
      </c>
    </row>
    <row r="305" spans="1:16" x14ac:dyDescent="0.25">
      <c r="A305" s="204"/>
      <c r="G305" s="175"/>
      <c r="H305" s="187">
        <v>300</v>
      </c>
      <c r="I305" s="188" t="str">
        <f t="shared" si="18"/>
        <v/>
      </c>
      <c r="J305" s="187">
        <f t="shared" si="21"/>
        <v>-4</v>
      </c>
      <c r="K305" s="187">
        <f t="shared" si="19"/>
        <v>-40</v>
      </c>
      <c r="L305" s="187"/>
      <c r="M305" s="189">
        <f t="shared" si="20"/>
        <v>0</v>
      </c>
    </row>
    <row r="306" spans="1:16" x14ac:dyDescent="0.25">
      <c r="A306" s="205"/>
      <c r="J306" s="206" t="e">
        <f t="shared" si="21"/>
        <v>#NUM!</v>
      </c>
    </row>
    <row r="307" spans="1:16" x14ac:dyDescent="0.25">
      <c r="J307" s="206" t="e">
        <f t="shared" si="21"/>
        <v>#NUM!</v>
      </c>
    </row>
    <row r="308" spans="1:16" x14ac:dyDescent="0.25">
      <c r="J308" s="206" t="e">
        <f t="shared" si="21"/>
        <v>#NUM!</v>
      </c>
    </row>
    <row r="309" spans="1:16" x14ac:dyDescent="0.25">
      <c r="J309" s="206" t="e">
        <f t="shared" si="21"/>
        <v>#NUM!</v>
      </c>
    </row>
    <row r="310" spans="1:16" x14ac:dyDescent="0.25">
      <c r="J310" s="206" t="e">
        <f t="shared" si="21"/>
        <v>#NUM!</v>
      </c>
    </row>
    <row r="311" spans="1:16" x14ac:dyDescent="0.25">
      <c r="J311" s="206" t="e">
        <f t="shared" si="21"/>
        <v>#NUM!</v>
      </c>
    </row>
    <row r="312" spans="1:16" x14ac:dyDescent="0.25">
      <c r="J312" s="206" t="e">
        <f t="shared" si="21"/>
        <v>#NUM!</v>
      </c>
    </row>
    <row r="313" spans="1:16" x14ac:dyDescent="0.25">
      <c r="J313" s="206" t="e">
        <f t="shared" si="21"/>
        <v>#NUM!</v>
      </c>
    </row>
    <row r="314" spans="1:16" x14ac:dyDescent="0.25">
      <c r="J314" s="206" t="e">
        <f t="shared" si="21"/>
        <v>#NUM!</v>
      </c>
      <c r="L314" s="208"/>
      <c r="P314" s="198"/>
    </row>
    <row r="315" spans="1:16" x14ac:dyDescent="0.25">
      <c r="J315" s="206" t="e">
        <f t="shared" si="21"/>
        <v>#NUM!</v>
      </c>
      <c r="L315" s="208"/>
      <c r="P315" s="198"/>
    </row>
    <row r="316" spans="1:16" x14ac:dyDescent="0.25">
      <c r="J316" s="206" t="e">
        <f t="shared" si="21"/>
        <v>#NUM!</v>
      </c>
      <c r="L316" s="208"/>
      <c r="P316" s="198"/>
    </row>
    <row r="317" spans="1:16" x14ac:dyDescent="0.25">
      <c r="J317" s="206" t="e">
        <f t="shared" si="21"/>
        <v>#NUM!</v>
      </c>
      <c r="L317" s="208"/>
      <c r="P317" s="198"/>
    </row>
    <row r="318" spans="1:16" x14ac:dyDescent="0.25">
      <c r="J318" s="206" t="e">
        <f t="shared" si="21"/>
        <v>#NUM!</v>
      </c>
    </row>
    <row r="319" spans="1:16" x14ac:dyDescent="0.25">
      <c r="J319" s="206" t="e">
        <f t="shared" si="21"/>
        <v>#NUM!</v>
      </c>
    </row>
    <row r="320" spans="1:16" x14ac:dyDescent="0.25">
      <c r="J320" s="206" t="e">
        <f t="shared" si="21"/>
        <v>#NUM!</v>
      </c>
    </row>
    <row r="321" spans="10:10" x14ac:dyDescent="0.25">
      <c r="J321" s="206" t="e">
        <f t="shared" si="21"/>
        <v>#NUM!</v>
      </c>
    </row>
    <row r="322" spans="10:10" x14ac:dyDescent="0.25">
      <c r="J322" s="206" t="e">
        <f t="shared" si="21"/>
        <v>#NUM!</v>
      </c>
    </row>
    <row r="323" spans="10:10" x14ac:dyDescent="0.25">
      <c r="J323" s="206" t="e">
        <f t="shared" si="21"/>
        <v>#NUM!</v>
      </c>
    </row>
    <row r="324" spans="10:10" x14ac:dyDescent="0.25">
      <c r="J324" s="206" t="e">
        <f t="shared" si="21"/>
        <v>#NUM!</v>
      </c>
    </row>
    <row r="325" spans="10:10" x14ac:dyDescent="0.25">
      <c r="J325" s="206" t="e">
        <f t="shared" si="21"/>
        <v>#NUM!</v>
      </c>
    </row>
    <row r="326" spans="10:10" x14ac:dyDescent="0.25">
      <c r="J326" s="206" t="e">
        <f t="shared" si="21"/>
        <v>#NUM!</v>
      </c>
    </row>
    <row r="327" spans="10:10" x14ac:dyDescent="0.25">
      <c r="J327" s="206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06" t="e">
        <f t="shared" si="22"/>
        <v>#NUM!</v>
      </c>
    </row>
    <row r="329" spans="10:10" x14ac:dyDescent="0.25">
      <c r="J329" s="206" t="e">
        <f t="shared" si="22"/>
        <v>#NUM!</v>
      </c>
    </row>
    <row r="330" spans="10:10" x14ac:dyDescent="0.25">
      <c r="J330" s="206" t="e">
        <f t="shared" si="22"/>
        <v>#NUM!</v>
      </c>
    </row>
    <row r="331" spans="10:10" x14ac:dyDescent="0.25">
      <c r="J331" s="206" t="e">
        <f t="shared" si="22"/>
        <v>#NUM!</v>
      </c>
    </row>
    <row r="332" spans="10:10" x14ac:dyDescent="0.25">
      <c r="J332" s="206" t="e">
        <f t="shared" si="22"/>
        <v>#NUM!</v>
      </c>
    </row>
    <row r="333" spans="10:10" x14ac:dyDescent="0.25">
      <c r="J333" s="206" t="e">
        <f t="shared" si="22"/>
        <v>#NUM!</v>
      </c>
    </row>
    <row r="334" spans="10:10" x14ac:dyDescent="0.25">
      <c r="J334" s="206" t="e">
        <f t="shared" si="22"/>
        <v>#NUM!</v>
      </c>
    </row>
    <row r="335" spans="10:10" x14ac:dyDescent="0.25">
      <c r="J335" s="206" t="e">
        <f t="shared" si="22"/>
        <v>#NUM!</v>
      </c>
    </row>
    <row r="336" spans="10:10" x14ac:dyDescent="0.25">
      <c r="J336" s="206" t="e">
        <f t="shared" si="22"/>
        <v>#NUM!</v>
      </c>
    </row>
    <row r="337" spans="10:10" x14ac:dyDescent="0.25">
      <c r="J337" s="206" t="e">
        <f t="shared" si="22"/>
        <v>#NUM!</v>
      </c>
    </row>
    <row r="338" spans="10:10" x14ac:dyDescent="0.25">
      <c r="J338" s="206" t="e">
        <f t="shared" si="22"/>
        <v>#NUM!</v>
      </c>
    </row>
    <row r="339" spans="10:10" x14ac:dyDescent="0.25">
      <c r="J339" s="206" t="e">
        <f t="shared" si="22"/>
        <v>#NUM!</v>
      </c>
    </row>
    <row r="340" spans="10:10" x14ac:dyDescent="0.25">
      <c r="J340" s="206" t="e">
        <f t="shared" si="22"/>
        <v>#NUM!</v>
      </c>
    </row>
    <row r="341" spans="10:10" x14ac:dyDescent="0.25">
      <c r="J341" s="206" t="e">
        <f t="shared" si="22"/>
        <v>#NUM!</v>
      </c>
    </row>
    <row r="342" spans="10:10" x14ac:dyDescent="0.25">
      <c r="J342" s="206" t="e">
        <f t="shared" si="22"/>
        <v>#NUM!</v>
      </c>
    </row>
    <row r="343" spans="10:10" x14ac:dyDescent="0.25">
      <c r="J343" s="206" t="e">
        <f t="shared" si="22"/>
        <v>#NUM!</v>
      </c>
    </row>
    <row r="344" spans="10:10" x14ac:dyDescent="0.25">
      <c r="J344" s="206" t="e">
        <f t="shared" si="22"/>
        <v>#NUM!</v>
      </c>
    </row>
    <row r="345" spans="10:10" x14ac:dyDescent="0.25">
      <c r="J345" s="206" t="e">
        <f t="shared" si="22"/>
        <v>#NUM!</v>
      </c>
    </row>
    <row r="346" spans="10:10" x14ac:dyDescent="0.25">
      <c r="J346" s="206" t="e">
        <f t="shared" si="22"/>
        <v>#NUM!</v>
      </c>
    </row>
    <row r="347" spans="10:10" x14ac:dyDescent="0.25">
      <c r="J347" s="206" t="e">
        <f t="shared" si="22"/>
        <v>#NUM!</v>
      </c>
    </row>
    <row r="348" spans="10:10" x14ac:dyDescent="0.25">
      <c r="J348" s="206" t="e">
        <f t="shared" si="22"/>
        <v>#NUM!</v>
      </c>
    </row>
    <row r="349" spans="10:10" x14ac:dyDescent="0.25">
      <c r="J349" s="206" t="e">
        <f t="shared" si="22"/>
        <v>#NUM!</v>
      </c>
    </row>
    <row r="350" spans="10:10" x14ac:dyDescent="0.25">
      <c r="J350" s="206" t="e">
        <f t="shared" si="22"/>
        <v>#NUM!</v>
      </c>
    </row>
    <row r="351" spans="10:10" x14ac:dyDescent="0.25">
      <c r="J351" s="206" t="e">
        <f t="shared" si="22"/>
        <v>#NUM!</v>
      </c>
    </row>
    <row r="352" spans="10:10" x14ac:dyDescent="0.25">
      <c r="J352" s="206" t="e">
        <f t="shared" si="22"/>
        <v>#NUM!</v>
      </c>
    </row>
    <row r="353" spans="10:10" x14ac:dyDescent="0.25">
      <c r="J353" s="206" t="e">
        <f t="shared" si="22"/>
        <v>#NUM!</v>
      </c>
    </row>
    <row r="354" spans="10:10" x14ac:dyDescent="0.25">
      <c r="J354" s="206" t="e">
        <f t="shared" si="22"/>
        <v>#NUM!</v>
      </c>
    </row>
    <row r="355" spans="10:10" x14ac:dyDescent="0.25">
      <c r="J355" s="206" t="e">
        <f t="shared" si="22"/>
        <v>#NUM!</v>
      </c>
    </row>
    <row r="356" spans="10:10" x14ac:dyDescent="0.25">
      <c r="J356" s="206" t="e">
        <f t="shared" si="22"/>
        <v>#NUM!</v>
      </c>
    </row>
    <row r="357" spans="10:10" x14ac:dyDescent="0.25">
      <c r="J357" s="206" t="e">
        <f t="shared" si="22"/>
        <v>#NUM!</v>
      </c>
    </row>
    <row r="358" spans="10:10" x14ac:dyDescent="0.25">
      <c r="J358" s="206" t="e">
        <f t="shared" si="22"/>
        <v>#NUM!</v>
      </c>
    </row>
    <row r="359" spans="10:10" x14ac:dyDescent="0.25">
      <c r="J359" s="206" t="e">
        <f t="shared" si="22"/>
        <v>#NUM!</v>
      </c>
    </row>
    <row r="360" spans="10:10" x14ac:dyDescent="0.25">
      <c r="J360" s="206" t="e">
        <f t="shared" si="22"/>
        <v>#NUM!</v>
      </c>
    </row>
    <row r="361" spans="10:10" x14ac:dyDescent="0.25">
      <c r="J361" s="206" t="e">
        <f t="shared" si="22"/>
        <v>#NUM!</v>
      </c>
    </row>
    <row r="362" spans="10:10" x14ac:dyDescent="0.25">
      <c r="J362" s="206" t="e">
        <f t="shared" si="22"/>
        <v>#NUM!</v>
      </c>
    </row>
    <row r="363" spans="10:10" x14ac:dyDescent="0.25">
      <c r="J363" s="206" t="e">
        <f t="shared" si="22"/>
        <v>#NUM!</v>
      </c>
    </row>
    <row r="364" spans="10:10" x14ac:dyDescent="0.25">
      <c r="J364" s="206" t="e">
        <f t="shared" si="22"/>
        <v>#NUM!</v>
      </c>
    </row>
    <row r="365" spans="10:10" x14ac:dyDescent="0.25">
      <c r="J365" s="206" t="e">
        <f t="shared" si="22"/>
        <v>#NUM!</v>
      </c>
    </row>
    <row r="366" spans="10:10" x14ac:dyDescent="0.25">
      <c r="J366" s="206" t="e">
        <f t="shared" si="22"/>
        <v>#NUM!</v>
      </c>
    </row>
    <row r="367" spans="10:10" x14ac:dyDescent="0.25">
      <c r="J367" s="206" t="e">
        <f t="shared" si="22"/>
        <v>#NUM!</v>
      </c>
    </row>
    <row r="368" spans="10:10" x14ac:dyDescent="0.25">
      <c r="J368" s="206" t="e">
        <f t="shared" si="22"/>
        <v>#NUM!</v>
      </c>
    </row>
    <row r="369" spans="10:10" x14ac:dyDescent="0.25">
      <c r="J369" s="206" t="e">
        <f t="shared" si="22"/>
        <v>#NUM!</v>
      </c>
    </row>
    <row r="370" spans="10:10" x14ac:dyDescent="0.25">
      <c r="J370" s="206" t="e">
        <f t="shared" si="22"/>
        <v>#NUM!</v>
      </c>
    </row>
    <row r="371" spans="10:10" x14ac:dyDescent="0.25">
      <c r="J371" s="206" t="e">
        <f t="shared" si="22"/>
        <v>#NUM!</v>
      </c>
    </row>
    <row r="372" spans="10:10" x14ac:dyDescent="0.25">
      <c r="J372" s="206" t="e">
        <f t="shared" si="22"/>
        <v>#NUM!</v>
      </c>
    </row>
    <row r="373" spans="10:10" x14ac:dyDescent="0.25">
      <c r="J373" s="206" t="e">
        <f t="shared" si="22"/>
        <v>#NUM!</v>
      </c>
    </row>
    <row r="374" spans="10:10" x14ac:dyDescent="0.25">
      <c r="J374" s="206" t="e">
        <f t="shared" si="22"/>
        <v>#NUM!</v>
      </c>
    </row>
  </sheetData>
  <conditionalFormatting sqref="J9:K305">
    <cfRule type="cellIs" dxfId="6" priority="1" operator="lessThanOrEqual">
      <formula>0</formula>
    </cfRule>
  </conditionalFormatting>
  <hyperlinks>
    <hyperlink ref="C2" r:id="rId1" xr:uid="{A34BAA3E-0752-45C7-B03A-D44CCC4B377D}"/>
  </hyperlink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DD446-D39E-458C-B959-46AC19CF9656}">
  <sheetPr>
    <tabColor rgb="FF92D050"/>
  </sheetPr>
  <dimension ref="A1:AL374"/>
  <sheetViews>
    <sheetView zoomScaleNormal="100" workbookViewId="0">
      <selection activeCell="D26" sqref="D26"/>
    </sheetView>
  </sheetViews>
  <sheetFormatPr defaultColWidth="8.875" defaultRowHeight="14.3" x14ac:dyDescent="0.25"/>
  <cols>
    <col min="1" max="1" width="8" style="203" customWidth="1"/>
    <col min="2" max="2" width="8.25" style="203" customWidth="1"/>
    <col min="3" max="3" width="34.75" style="203" customWidth="1"/>
    <col min="4" max="4" width="11.25" style="203" customWidth="1"/>
    <col min="5" max="6" width="8.875" style="203"/>
    <col min="7" max="7" width="0.875" style="203" customWidth="1"/>
    <col min="8" max="8" width="8.875" style="206"/>
    <col min="9" max="9" width="11" style="206" customWidth="1"/>
    <col min="10" max="10" width="15.25" style="206" customWidth="1"/>
    <col min="11" max="11" width="8.75" style="206" customWidth="1"/>
    <col min="12" max="12" width="11" style="206" customWidth="1"/>
    <col min="13" max="13" width="12.25" style="207" customWidth="1"/>
    <col min="14" max="15" width="13.875" style="175" customWidth="1"/>
    <col min="16" max="18" width="8.875" style="175"/>
    <col min="19" max="20" width="8.875" style="180"/>
    <col min="21" max="21" width="12.125" style="180" customWidth="1"/>
    <col min="22" max="22" width="27.375" style="180" customWidth="1"/>
    <col min="23" max="38" width="8.875" style="180"/>
    <col min="39" max="16384" width="8.875" style="203"/>
  </cols>
  <sheetData>
    <row r="1" spans="1:36" x14ac:dyDescent="0.25">
      <c r="A1" s="175"/>
      <c r="B1" s="175"/>
      <c r="C1" s="175"/>
      <c r="D1" s="175"/>
      <c r="E1" s="175"/>
      <c r="F1" s="175"/>
      <c r="G1" s="175"/>
      <c r="H1" s="176" t="s">
        <v>38</v>
      </c>
      <c r="I1" s="177" t="s">
        <v>39</v>
      </c>
      <c r="J1" s="177" t="s">
        <v>40</v>
      </c>
      <c r="K1" s="178" t="s">
        <v>128</v>
      </c>
      <c r="L1" s="179"/>
      <c r="M1" s="179"/>
    </row>
    <row r="2" spans="1:36" x14ac:dyDescent="0.25">
      <c r="A2" s="175"/>
      <c r="B2" s="47" t="s">
        <v>42</v>
      </c>
      <c r="C2" s="125" t="s">
        <v>148</v>
      </c>
      <c r="D2" s="68"/>
      <c r="E2" s="6"/>
      <c r="F2" s="6"/>
      <c r="G2" s="6"/>
      <c r="H2" s="181">
        <v>0</v>
      </c>
      <c r="I2" s="182">
        <v>50</v>
      </c>
      <c r="J2" s="182">
        <v>10</v>
      </c>
      <c r="K2" s="209">
        <f>3*H2^(1/3)</f>
        <v>0</v>
      </c>
      <c r="L2" s="179"/>
      <c r="M2" s="179"/>
    </row>
    <row r="3" spans="1:36" x14ac:dyDescent="0.25">
      <c r="A3" s="175"/>
      <c r="B3" s="184" t="s">
        <v>44</v>
      </c>
      <c r="C3" s="69" t="s">
        <v>149</v>
      </c>
      <c r="D3" s="69"/>
      <c r="E3" s="7"/>
      <c r="F3" s="7"/>
      <c r="G3" s="7"/>
      <c r="H3" s="179"/>
      <c r="I3" s="179"/>
      <c r="J3" s="210"/>
      <c r="K3" s="179"/>
      <c r="L3" s="179"/>
      <c r="M3" s="179"/>
    </row>
    <row r="4" spans="1:36" ht="10.199999999999999" customHeight="1" x14ac:dyDescent="0.25">
      <c r="A4" s="8"/>
      <c r="B4" s="7"/>
      <c r="C4" s="8"/>
      <c r="D4" s="8"/>
      <c r="E4" s="8"/>
      <c r="F4" s="8"/>
      <c r="G4" s="8"/>
      <c r="H4" s="179"/>
      <c r="I4" s="179"/>
      <c r="J4" s="210"/>
      <c r="K4" s="179"/>
      <c r="L4" s="179"/>
      <c r="M4" s="179"/>
    </row>
    <row r="5" spans="1:36" ht="34.65" x14ac:dyDescent="0.25">
      <c r="A5" s="1" t="s">
        <v>45</v>
      </c>
      <c r="B5" s="37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8"/>
      <c r="H5" s="185" t="s">
        <v>51</v>
      </c>
      <c r="I5" s="186" t="s">
        <v>52</v>
      </c>
      <c r="J5" s="211" t="s">
        <v>93</v>
      </c>
      <c r="K5" s="186" t="s">
        <v>94</v>
      </c>
      <c r="L5" s="186" t="s">
        <v>55</v>
      </c>
      <c r="M5" s="185" t="s">
        <v>56</v>
      </c>
    </row>
    <row r="6" spans="1:36" ht="14.45" customHeight="1" x14ac:dyDescent="0.25">
      <c r="A6" s="94">
        <f>M6</f>
        <v>0</v>
      </c>
      <c r="B6" s="36" t="str">
        <f>IF(H6&gt;$H$2,"",(ROW()-5))</f>
        <v/>
      </c>
      <c r="C6" s="24"/>
      <c r="D6" s="24"/>
      <c r="E6" s="24"/>
      <c r="F6" s="24" t="s">
        <v>58</v>
      </c>
      <c r="G6" s="8"/>
      <c r="H6" s="187">
        <v>1</v>
      </c>
      <c r="I6" s="188" t="str">
        <f t="shared" ref="I6:I69" si="0">IF(H6&lt;$H$2+1,($I$2-($I$2-1)*(LOG(H6)/LOG($H$2))),"")</f>
        <v/>
      </c>
      <c r="J6" s="187" t="e">
        <f>INT(LOG($H$2,2))-ROUNDUP(LOG(H6,2),0)+IF(OR($H$2=1,$H$2=2,$H$2=4,$H$2=8,$H$2=16,$H$2=32,$H$2=64,$H$2=128,$H$2=256),0,1)</f>
        <v>#NUM!</v>
      </c>
      <c r="K6" s="187" t="e">
        <f t="shared" ref="K6:K69" si="1">J6*$J$2</f>
        <v>#NUM!</v>
      </c>
      <c r="L6" s="189">
        <f>3*K2</f>
        <v>0</v>
      </c>
      <c r="M6" s="189">
        <f t="shared" ref="M6:M69" si="2">IF(I6&lt;&gt;"",K6+I6+L6,0)</f>
        <v>0</v>
      </c>
    </row>
    <row r="7" spans="1:36" ht="14.45" customHeight="1" x14ac:dyDescent="0.25">
      <c r="A7" s="98">
        <f t="shared" ref="A7:A37" si="3">M7</f>
        <v>0</v>
      </c>
      <c r="B7" s="35" t="str">
        <f t="shared" ref="B7:B65" si="4">IF(H7&gt;$H$2,"",(ROW()-5))</f>
        <v/>
      </c>
      <c r="C7" s="25"/>
      <c r="D7" s="25"/>
      <c r="E7" s="25"/>
      <c r="F7" s="25" t="s">
        <v>58</v>
      </c>
      <c r="G7" s="8"/>
      <c r="H7" s="190">
        <v>2</v>
      </c>
      <c r="I7" s="191" t="str">
        <f t="shared" si="0"/>
        <v/>
      </c>
      <c r="J7" s="190" t="e">
        <f t="shared" ref="J7:J70" si="5">INT(LOG($H$2,2))-ROUNDUP(LOG(H7,2),0)+IF(OR($H$2=1,$H$2=2,$H$2=4,$H$2=8,$H$2=16,$H$2=32,$H$2=64,$H$2=128,$H$2=256),0,1)</f>
        <v>#NUM!</v>
      </c>
      <c r="K7" s="190" t="e">
        <f t="shared" si="1"/>
        <v>#NUM!</v>
      </c>
      <c r="L7" s="192">
        <f>2*K2</f>
        <v>0</v>
      </c>
      <c r="M7" s="192">
        <f t="shared" si="2"/>
        <v>0</v>
      </c>
    </row>
    <row r="8" spans="1:36" ht="14.45" customHeight="1" x14ac:dyDescent="0.25">
      <c r="A8" s="94">
        <f t="shared" si="3"/>
        <v>0</v>
      </c>
      <c r="B8" s="36" t="str">
        <f t="shared" si="4"/>
        <v/>
      </c>
      <c r="C8" s="24"/>
      <c r="D8" s="24"/>
      <c r="E8" s="24"/>
      <c r="F8" s="24" t="s">
        <v>58</v>
      </c>
      <c r="G8" s="8"/>
      <c r="H8" s="187">
        <v>3</v>
      </c>
      <c r="I8" s="188" t="str">
        <f t="shared" si="0"/>
        <v/>
      </c>
      <c r="J8" s="187" t="e">
        <f t="shared" si="5"/>
        <v>#NUM!</v>
      </c>
      <c r="K8" s="187" t="e">
        <f t="shared" si="1"/>
        <v>#NUM!</v>
      </c>
      <c r="L8" s="189">
        <f>K2</f>
        <v>0</v>
      </c>
      <c r="M8" s="189">
        <f t="shared" si="2"/>
        <v>0</v>
      </c>
    </row>
    <row r="9" spans="1:36" s="180" customFormat="1" ht="14.45" customHeight="1" x14ac:dyDescent="0.25">
      <c r="A9" s="98">
        <f t="shared" si="3"/>
        <v>0</v>
      </c>
      <c r="B9" s="35" t="str">
        <f>IF(H9&gt;$H$2,"",3)</f>
        <v/>
      </c>
      <c r="C9" s="25"/>
      <c r="D9" s="25"/>
      <c r="E9" s="25"/>
      <c r="F9" s="25"/>
      <c r="G9" s="8"/>
      <c r="H9" s="190">
        <v>3</v>
      </c>
      <c r="I9" s="191" t="str">
        <f t="shared" si="0"/>
        <v/>
      </c>
      <c r="J9" s="190" t="e">
        <f t="shared" si="5"/>
        <v>#NUM!</v>
      </c>
      <c r="K9" s="190" t="e">
        <f t="shared" si="1"/>
        <v>#NUM!</v>
      </c>
      <c r="L9" s="192">
        <f>K2</f>
        <v>0</v>
      </c>
      <c r="M9" s="192">
        <f t="shared" si="2"/>
        <v>0</v>
      </c>
      <c r="N9" s="175"/>
      <c r="O9" s="175"/>
      <c r="P9" s="175"/>
      <c r="Q9" s="175"/>
      <c r="R9" s="175"/>
      <c r="V9" s="193"/>
      <c r="Z9" s="194"/>
      <c r="AA9" s="194"/>
      <c r="AG9" s="195"/>
      <c r="AH9" s="180" t="s">
        <v>95</v>
      </c>
      <c r="AI9" s="180">
        <v>23</v>
      </c>
    </row>
    <row r="10" spans="1:36" ht="14.45" customHeight="1" x14ac:dyDescent="0.25">
      <c r="A10" s="94">
        <f t="shared" si="3"/>
        <v>0</v>
      </c>
      <c r="B10" s="36" t="str">
        <f t="shared" si="4"/>
        <v/>
      </c>
      <c r="C10" s="24"/>
      <c r="D10" s="24"/>
      <c r="E10" s="24"/>
      <c r="F10" s="24"/>
      <c r="G10" s="8"/>
      <c r="H10" s="187">
        <v>5</v>
      </c>
      <c r="I10" s="188" t="str">
        <f t="shared" si="0"/>
        <v/>
      </c>
      <c r="J10" s="187" t="e">
        <f t="shared" si="5"/>
        <v>#NUM!</v>
      </c>
      <c r="K10" s="187" t="e">
        <f t="shared" si="1"/>
        <v>#NUM!</v>
      </c>
      <c r="L10" s="187"/>
      <c r="M10" s="189">
        <f t="shared" si="2"/>
        <v>0</v>
      </c>
      <c r="V10" s="193"/>
      <c r="Z10" s="194"/>
      <c r="AA10" s="194"/>
      <c r="AG10" s="195"/>
      <c r="AH10" s="180" t="s">
        <v>96</v>
      </c>
      <c r="AI10" s="180">
        <v>45</v>
      </c>
    </row>
    <row r="11" spans="1:36" ht="14.45" customHeight="1" x14ac:dyDescent="0.25">
      <c r="A11" s="98">
        <f t="shared" si="3"/>
        <v>0</v>
      </c>
      <c r="B11" s="35" t="str">
        <f t="shared" si="4"/>
        <v/>
      </c>
      <c r="C11" s="25"/>
      <c r="D11" s="25"/>
      <c r="E11" s="25"/>
      <c r="F11" s="25"/>
      <c r="G11" s="8"/>
      <c r="H11" s="190">
        <v>6</v>
      </c>
      <c r="I11" s="191" t="str">
        <f t="shared" si="0"/>
        <v/>
      </c>
      <c r="J11" s="190" t="e">
        <f t="shared" si="5"/>
        <v>#NUM!</v>
      </c>
      <c r="K11" s="190" t="e">
        <f t="shared" si="1"/>
        <v>#NUM!</v>
      </c>
      <c r="L11" s="190"/>
      <c r="M11" s="192">
        <f t="shared" si="2"/>
        <v>0</v>
      </c>
      <c r="V11" s="196"/>
      <c r="Z11" s="194"/>
      <c r="AA11" s="194"/>
      <c r="AG11" s="195"/>
      <c r="AH11" s="180" t="s">
        <v>97</v>
      </c>
      <c r="AI11" s="180">
        <v>50</v>
      </c>
    </row>
    <row r="12" spans="1:36" ht="14.45" customHeight="1" x14ac:dyDescent="0.25">
      <c r="A12" s="94">
        <f t="shared" si="3"/>
        <v>0</v>
      </c>
      <c r="B12" s="36" t="str">
        <f t="shared" si="4"/>
        <v/>
      </c>
      <c r="C12" s="24"/>
      <c r="D12" s="24"/>
      <c r="E12" s="24"/>
      <c r="F12" s="24"/>
      <c r="G12" s="8"/>
      <c r="H12" s="187">
        <v>7</v>
      </c>
      <c r="I12" s="188" t="str">
        <f t="shared" si="0"/>
        <v/>
      </c>
      <c r="J12" s="187" t="e">
        <f t="shared" si="5"/>
        <v>#NUM!</v>
      </c>
      <c r="K12" s="187" t="e">
        <f t="shared" si="1"/>
        <v>#NUM!</v>
      </c>
      <c r="L12" s="187"/>
      <c r="M12" s="189">
        <f t="shared" si="2"/>
        <v>0</v>
      </c>
      <c r="Z12" s="194"/>
      <c r="AA12" s="194"/>
      <c r="AG12" s="195"/>
      <c r="AH12" s="180" t="s">
        <v>98</v>
      </c>
      <c r="AI12" s="180">
        <f>AI11-1</f>
        <v>49</v>
      </c>
    </row>
    <row r="13" spans="1:36" ht="14.45" customHeight="1" x14ac:dyDescent="0.25">
      <c r="A13" s="98">
        <f t="shared" si="3"/>
        <v>0</v>
      </c>
      <c r="B13" s="35" t="str">
        <f t="shared" si="4"/>
        <v/>
      </c>
      <c r="C13" s="25"/>
      <c r="D13" s="25"/>
      <c r="E13" s="25"/>
      <c r="F13" s="25"/>
      <c r="G13" s="8"/>
      <c r="H13" s="190">
        <v>8</v>
      </c>
      <c r="I13" s="191" t="str">
        <f t="shared" si="0"/>
        <v/>
      </c>
      <c r="J13" s="190" t="e">
        <f t="shared" si="5"/>
        <v>#NUM!</v>
      </c>
      <c r="K13" s="190" t="e">
        <f t="shared" si="1"/>
        <v>#NUM!</v>
      </c>
      <c r="L13" s="190"/>
      <c r="M13" s="192">
        <f t="shared" si="2"/>
        <v>0</v>
      </c>
      <c r="X13" s="193"/>
      <c r="AG13" s="195"/>
      <c r="AH13" s="180" t="s">
        <v>101</v>
      </c>
      <c r="AI13" s="180">
        <f>LOG(AI9)</f>
        <v>1.3617278360175928</v>
      </c>
    </row>
    <row r="14" spans="1:36" x14ac:dyDescent="0.25">
      <c r="A14" s="94">
        <f t="shared" si="3"/>
        <v>0</v>
      </c>
      <c r="B14" s="36" t="str">
        <f t="shared" si="4"/>
        <v/>
      </c>
      <c r="C14" s="24"/>
      <c r="D14" s="24"/>
      <c r="E14" s="24"/>
      <c r="F14" s="24"/>
      <c r="G14" s="8"/>
      <c r="H14" s="187">
        <v>9</v>
      </c>
      <c r="I14" s="188" t="str">
        <f t="shared" si="0"/>
        <v/>
      </c>
      <c r="J14" s="187" t="e">
        <f t="shared" si="5"/>
        <v>#NUM!</v>
      </c>
      <c r="K14" s="187" t="e">
        <f t="shared" si="1"/>
        <v>#NUM!</v>
      </c>
      <c r="L14" s="187"/>
      <c r="M14" s="189">
        <f t="shared" si="2"/>
        <v>0</v>
      </c>
      <c r="X14" s="197"/>
      <c r="Z14" s="194"/>
      <c r="AA14" s="194"/>
      <c r="AG14" s="195"/>
      <c r="AH14" s="180" t="s">
        <v>102</v>
      </c>
      <c r="AI14" s="180">
        <f>LOG(AI10)</f>
        <v>1.6532125137753437</v>
      </c>
    </row>
    <row r="15" spans="1:36" x14ac:dyDescent="0.25">
      <c r="A15" s="98">
        <f t="shared" si="3"/>
        <v>0</v>
      </c>
      <c r="B15" s="35" t="str">
        <f t="shared" si="4"/>
        <v/>
      </c>
      <c r="C15" s="25"/>
      <c r="D15" s="25"/>
      <c r="E15" s="25"/>
      <c r="F15" s="25"/>
      <c r="G15" s="8"/>
      <c r="H15" s="190">
        <v>10</v>
      </c>
      <c r="I15" s="191" t="str">
        <f t="shared" si="0"/>
        <v/>
      </c>
      <c r="J15" s="190" t="e">
        <f t="shared" si="5"/>
        <v>#NUM!</v>
      </c>
      <c r="K15" s="190" t="e">
        <f t="shared" si="1"/>
        <v>#NUM!</v>
      </c>
      <c r="L15" s="190"/>
      <c r="M15" s="192">
        <f t="shared" si="2"/>
        <v>0</v>
      </c>
      <c r="X15" s="193"/>
      <c r="Z15" s="194"/>
      <c r="AA15" s="194"/>
    </row>
    <row r="16" spans="1:36" x14ac:dyDescent="0.25">
      <c r="A16" s="94">
        <f t="shared" si="3"/>
        <v>0</v>
      </c>
      <c r="B16" s="36" t="str">
        <f t="shared" si="4"/>
        <v/>
      </c>
      <c r="C16" s="24"/>
      <c r="D16" s="24"/>
      <c r="E16" s="24"/>
      <c r="F16" s="24"/>
      <c r="G16" s="8"/>
      <c r="H16" s="187">
        <v>11</v>
      </c>
      <c r="I16" s="188" t="str">
        <f t="shared" si="0"/>
        <v/>
      </c>
      <c r="J16" s="187" t="e">
        <f t="shared" si="5"/>
        <v>#NUM!</v>
      </c>
      <c r="K16" s="187" t="e">
        <f t="shared" si="1"/>
        <v>#NUM!</v>
      </c>
      <c r="L16" s="187"/>
      <c r="M16" s="189">
        <f t="shared" si="2"/>
        <v>0</v>
      </c>
      <c r="R16" s="198"/>
      <c r="Z16" s="194"/>
      <c r="AA16" s="194"/>
      <c r="AH16" s="199" t="s">
        <v>104</v>
      </c>
      <c r="AI16" s="180">
        <f>AI11-AI12*AI13/AI14</f>
        <v>9.6393909380186855</v>
      </c>
      <c r="AJ16" s="180" t="s">
        <v>105</v>
      </c>
    </row>
    <row r="17" spans="1:19" x14ac:dyDescent="0.25">
      <c r="A17" s="98">
        <f t="shared" si="3"/>
        <v>0</v>
      </c>
      <c r="B17" s="35" t="str">
        <f t="shared" si="4"/>
        <v/>
      </c>
      <c r="C17" s="25"/>
      <c r="D17" s="25"/>
      <c r="E17" s="25"/>
      <c r="F17" s="25"/>
      <c r="G17" s="8"/>
      <c r="H17" s="190">
        <v>12</v>
      </c>
      <c r="I17" s="191" t="str">
        <f t="shared" si="0"/>
        <v/>
      </c>
      <c r="J17" s="190" t="e">
        <f t="shared" si="5"/>
        <v>#NUM!</v>
      </c>
      <c r="K17" s="190" t="e">
        <f t="shared" si="1"/>
        <v>#NUM!</v>
      </c>
      <c r="L17" s="190"/>
      <c r="M17" s="192">
        <f t="shared" si="2"/>
        <v>0</v>
      </c>
    </row>
    <row r="18" spans="1:19" x14ac:dyDescent="0.25">
      <c r="A18" s="94">
        <f t="shared" si="3"/>
        <v>0</v>
      </c>
      <c r="B18" s="36" t="str">
        <f t="shared" si="4"/>
        <v/>
      </c>
      <c r="C18" s="24"/>
      <c r="D18" s="24"/>
      <c r="E18" s="24"/>
      <c r="F18" s="24"/>
      <c r="G18" s="8"/>
      <c r="H18" s="187">
        <v>13</v>
      </c>
      <c r="I18" s="188" t="str">
        <f t="shared" si="0"/>
        <v/>
      </c>
      <c r="J18" s="187" t="e">
        <f t="shared" si="5"/>
        <v>#NUM!</v>
      </c>
      <c r="K18" s="187" t="e">
        <f t="shared" si="1"/>
        <v>#NUM!</v>
      </c>
      <c r="L18" s="187"/>
      <c r="M18" s="189">
        <f t="shared" si="2"/>
        <v>0</v>
      </c>
    </row>
    <row r="19" spans="1:19" x14ac:dyDescent="0.25">
      <c r="A19" s="98">
        <f t="shared" si="3"/>
        <v>0</v>
      </c>
      <c r="B19" s="35" t="str">
        <f t="shared" si="4"/>
        <v/>
      </c>
      <c r="C19" s="25"/>
      <c r="D19" s="25"/>
      <c r="E19" s="25"/>
      <c r="F19" s="25"/>
      <c r="G19" s="8"/>
      <c r="H19" s="190">
        <v>14</v>
      </c>
      <c r="I19" s="191" t="str">
        <f t="shared" si="0"/>
        <v/>
      </c>
      <c r="J19" s="190" t="e">
        <f t="shared" si="5"/>
        <v>#NUM!</v>
      </c>
      <c r="K19" s="190" t="e">
        <f t="shared" si="1"/>
        <v>#NUM!</v>
      </c>
      <c r="L19" s="190"/>
      <c r="M19" s="192">
        <f t="shared" si="2"/>
        <v>0</v>
      </c>
    </row>
    <row r="20" spans="1:19" x14ac:dyDescent="0.25">
      <c r="A20" s="94">
        <f t="shared" si="3"/>
        <v>0</v>
      </c>
      <c r="B20" s="36" t="str">
        <f t="shared" si="4"/>
        <v/>
      </c>
      <c r="C20" s="24"/>
      <c r="D20" s="24"/>
      <c r="E20" s="24"/>
      <c r="F20" s="24"/>
      <c r="G20" s="8"/>
      <c r="H20" s="187">
        <v>15</v>
      </c>
      <c r="I20" s="188" t="str">
        <f t="shared" si="0"/>
        <v/>
      </c>
      <c r="J20" s="187" t="e">
        <f t="shared" si="5"/>
        <v>#NUM!</v>
      </c>
      <c r="K20" s="187" t="e">
        <f t="shared" si="1"/>
        <v>#NUM!</v>
      </c>
      <c r="L20" s="187"/>
      <c r="M20" s="189">
        <f t="shared" si="2"/>
        <v>0</v>
      </c>
      <c r="R20" s="200"/>
      <c r="S20" s="201"/>
    </row>
    <row r="21" spans="1:19" x14ac:dyDescent="0.25">
      <c r="A21" s="98">
        <f t="shared" si="3"/>
        <v>0</v>
      </c>
      <c r="B21" s="35" t="str">
        <f t="shared" si="4"/>
        <v/>
      </c>
      <c r="C21" s="25"/>
      <c r="D21" s="25"/>
      <c r="E21" s="25"/>
      <c r="F21" s="25"/>
      <c r="G21" s="8"/>
      <c r="H21" s="190">
        <v>16</v>
      </c>
      <c r="I21" s="191" t="str">
        <f t="shared" si="0"/>
        <v/>
      </c>
      <c r="J21" s="190" t="e">
        <f t="shared" si="5"/>
        <v>#NUM!</v>
      </c>
      <c r="K21" s="190" t="e">
        <f t="shared" si="1"/>
        <v>#NUM!</v>
      </c>
      <c r="L21" s="190"/>
      <c r="M21" s="192">
        <f t="shared" si="2"/>
        <v>0</v>
      </c>
    </row>
    <row r="22" spans="1:19" x14ac:dyDescent="0.25">
      <c r="A22" s="94">
        <f t="shared" si="3"/>
        <v>0</v>
      </c>
      <c r="B22" s="36" t="str">
        <f t="shared" si="4"/>
        <v/>
      </c>
      <c r="C22" s="24"/>
      <c r="D22" s="24"/>
      <c r="E22" s="24"/>
      <c r="F22" s="24"/>
      <c r="G22" s="8"/>
      <c r="H22" s="187">
        <v>17</v>
      </c>
      <c r="I22" s="188" t="str">
        <f t="shared" si="0"/>
        <v/>
      </c>
      <c r="J22" s="187" t="e">
        <f t="shared" si="5"/>
        <v>#NUM!</v>
      </c>
      <c r="K22" s="187" t="e">
        <f t="shared" si="1"/>
        <v>#NUM!</v>
      </c>
      <c r="L22" s="187"/>
      <c r="M22" s="189">
        <f t="shared" si="2"/>
        <v>0</v>
      </c>
    </row>
    <row r="23" spans="1:19" x14ac:dyDescent="0.25">
      <c r="A23" s="98">
        <f t="shared" si="3"/>
        <v>0</v>
      </c>
      <c r="B23" s="35" t="str">
        <f t="shared" si="4"/>
        <v/>
      </c>
      <c r="C23" s="25"/>
      <c r="D23" s="25"/>
      <c r="E23" s="25"/>
      <c r="F23" s="25"/>
      <c r="G23" s="8"/>
      <c r="H23" s="190">
        <v>18</v>
      </c>
      <c r="I23" s="191" t="str">
        <f t="shared" si="0"/>
        <v/>
      </c>
      <c r="J23" s="190" t="e">
        <f t="shared" si="5"/>
        <v>#NUM!</v>
      </c>
      <c r="K23" s="190" t="e">
        <f t="shared" si="1"/>
        <v>#NUM!</v>
      </c>
      <c r="L23" s="190"/>
      <c r="M23" s="192">
        <f t="shared" si="2"/>
        <v>0</v>
      </c>
    </row>
    <row r="24" spans="1:19" x14ac:dyDescent="0.25">
      <c r="A24" s="94">
        <f t="shared" si="3"/>
        <v>0</v>
      </c>
      <c r="B24" s="36" t="str">
        <f t="shared" si="4"/>
        <v/>
      </c>
      <c r="C24" s="24"/>
      <c r="D24" s="24"/>
      <c r="E24" s="24"/>
      <c r="F24" s="24"/>
      <c r="G24" s="8"/>
      <c r="H24" s="187">
        <v>19</v>
      </c>
      <c r="I24" s="188" t="str">
        <f t="shared" si="0"/>
        <v/>
      </c>
      <c r="J24" s="187" t="e">
        <f t="shared" si="5"/>
        <v>#NUM!</v>
      </c>
      <c r="K24" s="187" t="e">
        <f t="shared" si="1"/>
        <v>#NUM!</v>
      </c>
      <c r="L24" s="187"/>
      <c r="M24" s="189">
        <f t="shared" si="2"/>
        <v>0</v>
      </c>
      <c r="R24" s="200"/>
      <c r="S24" s="201"/>
    </row>
    <row r="25" spans="1:19" x14ac:dyDescent="0.25">
      <c r="A25" s="98">
        <f t="shared" si="3"/>
        <v>0</v>
      </c>
      <c r="B25" s="35" t="str">
        <f t="shared" si="4"/>
        <v/>
      </c>
      <c r="C25" s="25"/>
      <c r="D25" s="25"/>
      <c r="E25" s="25"/>
      <c r="F25" s="25"/>
      <c r="G25" s="8"/>
      <c r="H25" s="190">
        <v>20</v>
      </c>
      <c r="I25" s="191" t="str">
        <f t="shared" si="0"/>
        <v/>
      </c>
      <c r="J25" s="190" t="e">
        <f t="shared" si="5"/>
        <v>#NUM!</v>
      </c>
      <c r="K25" s="190" t="e">
        <f t="shared" si="1"/>
        <v>#NUM!</v>
      </c>
      <c r="L25" s="190"/>
      <c r="M25" s="192">
        <f t="shared" si="2"/>
        <v>0</v>
      </c>
    </row>
    <row r="26" spans="1:19" x14ac:dyDescent="0.25">
      <c r="A26" s="94">
        <f t="shared" si="3"/>
        <v>0</v>
      </c>
      <c r="B26" s="36" t="str">
        <f t="shared" si="4"/>
        <v/>
      </c>
      <c r="C26" s="24"/>
      <c r="D26" s="24"/>
      <c r="E26" s="24"/>
      <c r="F26" s="24"/>
      <c r="G26" s="8"/>
      <c r="H26" s="187">
        <v>21</v>
      </c>
      <c r="I26" s="188" t="str">
        <f t="shared" si="0"/>
        <v/>
      </c>
      <c r="J26" s="187" t="e">
        <f t="shared" si="5"/>
        <v>#NUM!</v>
      </c>
      <c r="K26" s="187" t="e">
        <f t="shared" si="1"/>
        <v>#NUM!</v>
      </c>
      <c r="L26" s="187"/>
      <c r="M26" s="189">
        <f t="shared" si="2"/>
        <v>0</v>
      </c>
    </row>
    <row r="27" spans="1:19" x14ac:dyDescent="0.25">
      <c r="A27" s="98">
        <f t="shared" si="3"/>
        <v>0</v>
      </c>
      <c r="B27" s="35" t="str">
        <f t="shared" si="4"/>
        <v/>
      </c>
      <c r="C27" s="25"/>
      <c r="D27" s="25"/>
      <c r="E27" s="25"/>
      <c r="F27" s="25"/>
      <c r="G27" s="8"/>
      <c r="H27" s="190">
        <v>22</v>
      </c>
      <c r="I27" s="191" t="str">
        <f t="shared" si="0"/>
        <v/>
      </c>
      <c r="J27" s="190" t="e">
        <f t="shared" si="5"/>
        <v>#NUM!</v>
      </c>
      <c r="K27" s="190" t="e">
        <f t="shared" si="1"/>
        <v>#NUM!</v>
      </c>
      <c r="L27" s="190"/>
      <c r="M27" s="192">
        <f t="shared" si="2"/>
        <v>0</v>
      </c>
    </row>
    <row r="28" spans="1:19" x14ac:dyDescent="0.25">
      <c r="A28" s="94">
        <f t="shared" si="3"/>
        <v>0</v>
      </c>
      <c r="B28" s="36" t="str">
        <f t="shared" si="4"/>
        <v/>
      </c>
      <c r="C28" s="24"/>
      <c r="D28" s="24"/>
      <c r="E28" s="24"/>
      <c r="F28" s="24"/>
      <c r="G28" s="8"/>
      <c r="H28" s="187">
        <v>23</v>
      </c>
      <c r="I28" s="188" t="str">
        <f t="shared" si="0"/>
        <v/>
      </c>
      <c r="J28" s="187" t="e">
        <f t="shared" si="5"/>
        <v>#NUM!</v>
      </c>
      <c r="K28" s="187" t="e">
        <f t="shared" si="1"/>
        <v>#NUM!</v>
      </c>
      <c r="L28" s="187"/>
      <c r="M28" s="189">
        <f t="shared" si="2"/>
        <v>0</v>
      </c>
      <c r="R28" s="200"/>
      <c r="S28" s="201"/>
    </row>
    <row r="29" spans="1:19" x14ac:dyDescent="0.25">
      <c r="A29" s="98">
        <f t="shared" si="3"/>
        <v>0</v>
      </c>
      <c r="B29" s="35" t="str">
        <f t="shared" si="4"/>
        <v/>
      </c>
      <c r="C29" s="25"/>
      <c r="D29" s="25"/>
      <c r="E29" s="25"/>
      <c r="F29" s="25"/>
      <c r="G29" s="175"/>
      <c r="H29" s="190">
        <v>24</v>
      </c>
      <c r="I29" s="191" t="str">
        <f t="shared" si="0"/>
        <v/>
      </c>
      <c r="J29" s="190" t="e">
        <f t="shared" si="5"/>
        <v>#NUM!</v>
      </c>
      <c r="K29" s="190" t="e">
        <f t="shared" si="1"/>
        <v>#NUM!</v>
      </c>
      <c r="L29" s="190"/>
      <c r="M29" s="192">
        <f t="shared" si="2"/>
        <v>0</v>
      </c>
    </row>
    <row r="30" spans="1:19" x14ac:dyDescent="0.25">
      <c r="A30" s="94">
        <f t="shared" si="3"/>
        <v>0</v>
      </c>
      <c r="B30" s="36" t="str">
        <f t="shared" si="4"/>
        <v/>
      </c>
      <c r="C30" s="24"/>
      <c r="D30" s="24"/>
      <c r="E30" s="24"/>
      <c r="F30" s="24"/>
      <c r="G30" s="175"/>
      <c r="H30" s="187">
        <v>25</v>
      </c>
      <c r="I30" s="188" t="str">
        <f t="shared" si="0"/>
        <v/>
      </c>
      <c r="J30" s="187" t="e">
        <f t="shared" si="5"/>
        <v>#NUM!</v>
      </c>
      <c r="K30" s="187" t="e">
        <f t="shared" si="1"/>
        <v>#NUM!</v>
      </c>
      <c r="L30" s="187"/>
      <c r="M30" s="189">
        <f t="shared" si="2"/>
        <v>0</v>
      </c>
    </row>
    <row r="31" spans="1:19" x14ac:dyDescent="0.25">
      <c r="A31" s="98">
        <f t="shared" si="3"/>
        <v>0</v>
      </c>
      <c r="B31" s="35" t="str">
        <f t="shared" si="4"/>
        <v/>
      </c>
      <c r="C31" s="25"/>
      <c r="D31" s="25"/>
      <c r="E31" s="25"/>
      <c r="F31" s="25"/>
      <c r="G31" s="175"/>
      <c r="H31" s="190">
        <v>26</v>
      </c>
      <c r="I31" s="191" t="str">
        <f t="shared" si="0"/>
        <v/>
      </c>
      <c r="J31" s="190" t="e">
        <f t="shared" si="5"/>
        <v>#NUM!</v>
      </c>
      <c r="K31" s="190" t="e">
        <f t="shared" si="1"/>
        <v>#NUM!</v>
      </c>
      <c r="L31" s="190"/>
      <c r="M31" s="192">
        <f t="shared" si="2"/>
        <v>0</v>
      </c>
    </row>
    <row r="32" spans="1:19" x14ac:dyDescent="0.25">
      <c r="A32" s="94">
        <f t="shared" si="3"/>
        <v>0</v>
      </c>
      <c r="B32" s="36" t="str">
        <f t="shared" si="4"/>
        <v/>
      </c>
      <c r="C32" s="24"/>
      <c r="D32" s="24"/>
      <c r="E32" s="24"/>
      <c r="F32" s="24"/>
      <c r="G32" s="175"/>
      <c r="H32" s="187">
        <v>27</v>
      </c>
      <c r="I32" s="188" t="str">
        <f t="shared" si="0"/>
        <v/>
      </c>
      <c r="J32" s="187" t="e">
        <f t="shared" si="5"/>
        <v>#NUM!</v>
      </c>
      <c r="K32" s="187" t="e">
        <f t="shared" si="1"/>
        <v>#NUM!</v>
      </c>
      <c r="L32" s="187"/>
      <c r="M32" s="189">
        <f t="shared" si="2"/>
        <v>0</v>
      </c>
      <c r="R32" s="200"/>
      <c r="S32" s="201"/>
    </row>
    <row r="33" spans="1:21" x14ac:dyDescent="0.25">
      <c r="A33" s="98">
        <f t="shared" si="3"/>
        <v>0</v>
      </c>
      <c r="B33" s="35" t="str">
        <f t="shared" si="4"/>
        <v/>
      </c>
      <c r="C33" s="25"/>
      <c r="D33" s="25"/>
      <c r="E33" s="25"/>
      <c r="F33" s="25"/>
      <c r="G33" s="175"/>
      <c r="H33" s="190">
        <v>28</v>
      </c>
      <c r="I33" s="191" t="str">
        <f t="shared" si="0"/>
        <v/>
      </c>
      <c r="J33" s="190" t="e">
        <f t="shared" si="5"/>
        <v>#NUM!</v>
      </c>
      <c r="K33" s="190" t="e">
        <f t="shared" si="1"/>
        <v>#NUM!</v>
      </c>
      <c r="L33" s="190"/>
      <c r="M33" s="192">
        <f t="shared" si="2"/>
        <v>0</v>
      </c>
    </row>
    <row r="34" spans="1:21" x14ac:dyDescent="0.25">
      <c r="A34" s="94">
        <f t="shared" si="3"/>
        <v>0</v>
      </c>
      <c r="B34" s="36" t="str">
        <f t="shared" si="4"/>
        <v/>
      </c>
      <c r="C34" s="24"/>
      <c r="D34" s="24"/>
      <c r="E34" s="24"/>
      <c r="F34" s="24"/>
      <c r="G34" s="175"/>
      <c r="H34" s="187">
        <v>29</v>
      </c>
      <c r="I34" s="188" t="str">
        <f t="shared" si="0"/>
        <v/>
      </c>
      <c r="J34" s="187" t="e">
        <f t="shared" si="5"/>
        <v>#NUM!</v>
      </c>
      <c r="K34" s="187" t="e">
        <f t="shared" si="1"/>
        <v>#NUM!</v>
      </c>
      <c r="L34" s="187"/>
      <c r="M34" s="189">
        <f t="shared" si="2"/>
        <v>0</v>
      </c>
    </row>
    <row r="35" spans="1:21" x14ac:dyDescent="0.25">
      <c r="A35" s="98">
        <f t="shared" si="3"/>
        <v>0</v>
      </c>
      <c r="B35" s="35" t="str">
        <f t="shared" si="4"/>
        <v/>
      </c>
      <c r="C35" s="25"/>
      <c r="D35" s="25"/>
      <c r="E35" s="25"/>
      <c r="F35" s="25"/>
      <c r="G35" s="175"/>
      <c r="H35" s="190">
        <v>30</v>
      </c>
      <c r="I35" s="191" t="str">
        <f t="shared" si="0"/>
        <v/>
      </c>
      <c r="J35" s="190" t="e">
        <f t="shared" si="5"/>
        <v>#NUM!</v>
      </c>
      <c r="K35" s="190" t="e">
        <f t="shared" si="1"/>
        <v>#NUM!</v>
      </c>
      <c r="L35" s="190"/>
      <c r="M35" s="192">
        <f t="shared" si="2"/>
        <v>0</v>
      </c>
    </row>
    <row r="36" spans="1:21" x14ac:dyDescent="0.25">
      <c r="A36" s="94">
        <f t="shared" si="3"/>
        <v>0</v>
      </c>
      <c r="B36" s="36" t="str">
        <f t="shared" si="4"/>
        <v/>
      </c>
      <c r="C36" s="24"/>
      <c r="D36" s="24"/>
      <c r="E36" s="24"/>
      <c r="F36" s="24"/>
      <c r="G36" s="175"/>
      <c r="H36" s="187">
        <v>31</v>
      </c>
      <c r="I36" s="188" t="str">
        <f t="shared" si="0"/>
        <v/>
      </c>
      <c r="J36" s="187" t="e">
        <f t="shared" si="5"/>
        <v>#NUM!</v>
      </c>
      <c r="K36" s="187" t="e">
        <f t="shared" si="1"/>
        <v>#NUM!</v>
      </c>
      <c r="L36" s="187"/>
      <c r="M36" s="189">
        <f t="shared" si="2"/>
        <v>0</v>
      </c>
      <c r="R36" s="200"/>
      <c r="S36" s="201"/>
    </row>
    <row r="37" spans="1:21" x14ac:dyDescent="0.25">
      <c r="A37" s="98">
        <f t="shared" si="3"/>
        <v>0</v>
      </c>
      <c r="B37" s="35" t="str">
        <f t="shared" si="4"/>
        <v/>
      </c>
      <c r="C37" s="25"/>
      <c r="D37" s="25"/>
      <c r="E37" s="25"/>
      <c r="F37" s="25"/>
      <c r="G37" s="175"/>
      <c r="H37" s="190">
        <v>32</v>
      </c>
      <c r="I37" s="191" t="str">
        <f t="shared" si="0"/>
        <v/>
      </c>
      <c r="J37" s="190" t="e">
        <f t="shared" si="5"/>
        <v>#NUM!</v>
      </c>
      <c r="K37" s="190" t="e">
        <f t="shared" si="1"/>
        <v>#NUM!</v>
      </c>
      <c r="L37" s="190"/>
      <c r="M37" s="192">
        <f t="shared" si="2"/>
        <v>0</v>
      </c>
    </row>
    <row r="38" spans="1:21" x14ac:dyDescent="0.25">
      <c r="A38" s="94"/>
      <c r="B38" s="36" t="str">
        <f t="shared" si="4"/>
        <v/>
      </c>
      <c r="C38" s="24"/>
      <c r="D38" s="24"/>
      <c r="E38" s="24"/>
      <c r="F38" s="24"/>
      <c r="G38" s="175"/>
      <c r="H38" s="187">
        <v>33</v>
      </c>
      <c r="I38" s="188" t="str">
        <f t="shared" si="0"/>
        <v/>
      </c>
      <c r="J38" s="187" t="e">
        <f t="shared" si="5"/>
        <v>#NUM!</v>
      </c>
      <c r="K38" s="187" t="e">
        <f t="shared" si="1"/>
        <v>#NUM!</v>
      </c>
      <c r="L38" s="187"/>
      <c r="M38" s="189">
        <f t="shared" si="2"/>
        <v>0</v>
      </c>
    </row>
    <row r="39" spans="1:21" x14ac:dyDescent="0.25">
      <c r="A39" s="98"/>
      <c r="B39" s="35" t="str">
        <f t="shared" si="4"/>
        <v/>
      </c>
      <c r="C39" s="25"/>
      <c r="D39" s="25"/>
      <c r="E39" s="25"/>
      <c r="F39" s="25"/>
      <c r="G39" s="175"/>
      <c r="H39" s="190">
        <v>34</v>
      </c>
      <c r="I39" s="191" t="str">
        <f t="shared" si="0"/>
        <v/>
      </c>
      <c r="J39" s="190" t="e">
        <f t="shared" si="5"/>
        <v>#NUM!</v>
      </c>
      <c r="K39" s="190" t="e">
        <f t="shared" si="1"/>
        <v>#NUM!</v>
      </c>
      <c r="L39" s="190"/>
      <c r="M39" s="192">
        <f t="shared" si="2"/>
        <v>0</v>
      </c>
    </row>
    <row r="40" spans="1:21" x14ac:dyDescent="0.25">
      <c r="A40" s="94"/>
      <c r="B40" s="36" t="str">
        <f t="shared" si="4"/>
        <v/>
      </c>
      <c r="C40" s="24"/>
      <c r="D40" s="24"/>
      <c r="E40" s="24"/>
      <c r="F40" s="24"/>
      <c r="G40" s="175"/>
      <c r="H40" s="187">
        <v>35</v>
      </c>
      <c r="I40" s="188" t="str">
        <f t="shared" si="0"/>
        <v/>
      </c>
      <c r="J40" s="187" t="e">
        <f t="shared" si="5"/>
        <v>#NUM!</v>
      </c>
      <c r="K40" s="187" t="e">
        <f t="shared" si="1"/>
        <v>#NUM!</v>
      </c>
      <c r="L40" s="187"/>
      <c r="M40" s="189">
        <f t="shared" si="2"/>
        <v>0</v>
      </c>
    </row>
    <row r="41" spans="1:21" x14ac:dyDescent="0.25">
      <c r="A41" s="98"/>
      <c r="B41" s="35" t="str">
        <f t="shared" si="4"/>
        <v/>
      </c>
      <c r="C41" s="25"/>
      <c r="D41" s="25"/>
      <c r="E41" s="25"/>
      <c r="F41" s="25"/>
      <c r="G41" s="175"/>
      <c r="H41" s="190">
        <v>36</v>
      </c>
      <c r="I41" s="191" t="str">
        <f t="shared" si="0"/>
        <v/>
      </c>
      <c r="J41" s="190" t="e">
        <f t="shared" si="5"/>
        <v>#NUM!</v>
      </c>
      <c r="K41" s="190" t="e">
        <f t="shared" si="1"/>
        <v>#NUM!</v>
      </c>
      <c r="L41" s="190"/>
      <c r="M41" s="192">
        <f t="shared" si="2"/>
        <v>0</v>
      </c>
      <c r="S41" s="202"/>
    </row>
    <row r="42" spans="1:21" x14ac:dyDescent="0.25">
      <c r="A42" s="94"/>
      <c r="B42" s="36" t="str">
        <f t="shared" si="4"/>
        <v/>
      </c>
      <c r="C42" s="24"/>
      <c r="D42" s="24"/>
      <c r="E42" s="24"/>
      <c r="F42" s="24"/>
      <c r="G42" s="175"/>
      <c r="H42" s="187">
        <v>37</v>
      </c>
      <c r="I42" s="188" t="str">
        <f t="shared" si="0"/>
        <v/>
      </c>
      <c r="J42" s="187" t="e">
        <f t="shared" si="5"/>
        <v>#NUM!</v>
      </c>
      <c r="K42" s="187" t="e">
        <f t="shared" si="1"/>
        <v>#NUM!</v>
      </c>
      <c r="L42" s="187"/>
      <c r="M42" s="189">
        <f t="shared" si="2"/>
        <v>0</v>
      </c>
    </row>
    <row r="43" spans="1:21" x14ac:dyDescent="0.25">
      <c r="A43" s="98"/>
      <c r="B43" s="35" t="str">
        <f t="shared" si="4"/>
        <v/>
      </c>
      <c r="C43" s="25"/>
      <c r="D43" s="25"/>
      <c r="E43" s="25"/>
      <c r="F43" s="25"/>
      <c r="G43" s="175"/>
      <c r="H43" s="190">
        <v>38</v>
      </c>
      <c r="I43" s="191" t="str">
        <f t="shared" si="0"/>
        <v/>
      </c>
      <c r="J43" s="190" t="e">
        <f t="shared" si="5"/>
        <v>#NUM!</v>
      </c>
      <c r="K43" s="190" t="e">
        <f t="shared" si="1"/>
        <v>#NUM!</v>
      </c>
      <c r="L43" s="190"/>
      <c r="M43" s="192">
        <f t="shared" si="2"/>
        <v>0</v>
      </c>
    </row>
    <row r="44" spans="1:21" x14ac:dyDescent="0.25">
      <c r="A44" s="94"/>
      <c r="B44" s="36" t="str">
        <f t="shared" si="4"/>
        <v/>
      </c>
      <c r="C44" s="24"/>
      <c r="D44" s="24"/>
      <c r="E44" s="24"/>
      <c r="F44" s="24"/>
      <c r="G44" s="175"/>
      <c r="H44" s="187">
        <v>39</v>
      </c>
      <c r="I44" s="188" t="str">
        <f t="shared" si="0"/>
        <v/>
      </c>
      <c r="J44" s="187" t="e">
        <f t="shared" si="5"/>
        <v>#NUM!</v>
      </c>
      <c r="K44" s="187" t="e">
        <f t="shared" si="1"/>
        <v>#NUM!</v>
      </c>
      <c r="L44" s="187"/>
      <c r="M44" s="189">
        <f t="shared" si="2"/>
        <v>0</v>
      </c>
    </row>
    <row r="45" spans="1:21" x14ac:dyDescent="0.25">
      <c r="A45" s="98"/>
      <c r="B45" s="35" t="str">
        <f t="shared" si="4"/>
        <v/>
      </c>
      <c r="C45" s="25"/>
      <c r="D45" s="25"/>
      <c r="E45" s="25"/>
      <c r="F45" s="25"/>
      <c r="G45" s="175"/>
      <c r="H45" s="190">
        <v>40</v>
      </c>
      <c r="I45" s="191" t="str">
        <f t="shared" si="0"/>
        <v/>
      </c>
      <c r="J45" s="190" t="e">
        <f t="shared" si="5"/>
        <v>#NUM!</v>
      </c>
      <c r="K45" s="190" t="e">
        <f t="shared" si="1"/>
        <v>#NUM!</v>
      </c>
      <c r="L45" s="190"/>
      <c r="M45" s="192">
        <f t="shared" si="2"/>
        <v>0</v>
      </c>
    </row>
    <row r="46" spans="1:21" x14ac:dyDescent="0.25">
      <c r="A46" s="94"/>
      <c r="B46" s="36" t="str">
        <f t="shared" si="4"/>
        <v/>
      </c>
      <c r="C46" s="24"/>
      <c r="D46" s="24"/>
      <c r="E46" s="24"/>
      <c r="F46" s="24"/>
      <c r="G46" s="175"/>
      <c r="H46" s="187">
        <v>41</v>
      </c>
      <c r="I46" s="188" t="str">
        <f t="shared" si="0"/>
        <v/>
      </c>
      <c r="J46" s="187" t="e">
        <f t="shared" si="5"/>
        <v>#NUM!</v>
      </c>
      <c r="K46" s="187" t="e">
        <f t="shared" si="1"/>
        <v>#NUM!</v>
      </c>
      <c r="L46" s="187"/>
      <c r="M46" s="189">
        <f t="shared" si="2"/>
        <v>0</v>
      </c>
      <c r="R46" s="175" t="e">
        <f>LOG($H$2,2)</f>
        <v>#NUM!</v>
      </c>
      <c r="T46" s="180">
        <f>LOG(H38,2)</f>
        <v>5.0443941193584534</v>
      </c>
      <c r="U46" s="180" t="e">
        <f>R46-T46</f>
        <v>#NUM!</v>
      </c>
    </row>
    <row r="47" spans="1:21" x14ac:dyDescent="0.25">
      <c r="A47" s="98"/>
      <c r="B47" s="35" t="str">
        <f t="shared" si="4"/>
        <v/>
      </c>
      <c r="C47" s="25"/>
      <c r="D47" s="25"/>
      <c r="E47" s="25"/>
      <c r="F47" s="25"/>
      <c r="G47" s="175"/>
      <c r="H47" s="190">
        <v>42</v>
      </c>
      <c r="I47" s="191" t="str">
        <f t="shared" si="0"/>
        <v/>
      </c>
      <c r="J47" s="190" t="e">
        <f t="shared" si="5"/>
        <v>#NUM!</v>
      </c>
      <c r="K47" s="190" t="e">
        <f t="shared" si="1"/>
        <v>#NUM!</v>
      </c>
      <c r="L47" s="190"/>
      <c r="M47" s="192">
        <f t="shared" si="2"/>
        <v>0</v>
      </c>
    </row>
    <row r="48" spans="1:21" x14ac:dyDescent="0.25">
      <c r="A48" s="94"/>
      <c r="B48" s="36" t="str">
        <f t="shared" si="4"/>
        <v/>
      </c>
      <c r="C48" s="24"/>
      <c r="D48" s="24"/>
      <c r="E48" s="24"/>
      <c r="F48" s="24"/>
      <c r="G48" s="175"/>
      <c r="H48" s="187">
        <v>43</v>
      </c>
      <c r="I48" s="188" t="str">
        <f t="shared" si="0"/>
        <v/>
      </c>
      <c r="J48" s="187" t="e">
        <f t="shared" si="5"/>
        <v>#NUM!</v>
      </c>
      <c r="K48" s="187" t="e">
        <f t="shared" si="1"/>
        <v>#NUM!</v>
      </c>
      <c r="L48" s="187"/>
      <c r="M48" s="189">
        <f t="shared" si="2"/>
        <v>0</v>
      </c>
    </row>
    <row r="49" spans="1:13" x14ac:dyDescent="0.25">
      <c r="A49" s="98"/>
      <c r="B49" s="35" t="str">
        <f t="shared" si="4"/>
        <v/>
      </c>
      <c r="C49" s="25"/>
      <c r="D49" s="25"/>
      <c r="E49" s="25"/>
      <c r="F49" s="25"/>
      <c r="G49" s="175"/>
      <c r="H49" s="190">
        <v>44</v>
      </c>
      <c r="I49" s="191" t="str">
        <f t="shared" si="0"/>
        <v/>
      </c>
      <c r="J49" s="190" t="e">
        <f t="shared" si="5"/>
        <v>#NUM!</v>
      </c>
      <c r="K49" s="190" t="e">
        <f t="shared" si="1"/>
        <v>#NUM!</v>
      </c>
      <c r="L49" s="190"/>
      <c r="M49" s="192">
        <f t="shared" si="2"/>
        <v>0</v>
      </c>
    </row>
    <row r="50" spans="1:13" x14ac:dyDescent="0.25">
      <c r="A50" s="94"/>
      <c r="B50" s="36" t="str">
        <f t="shared" si="4"/>
        <v/>
      </c>
      <c r="C50" s="24"/>
      <c r="D50" s="24"/>
      <c r="E50" s="24"/>
      <c r="F50" s="24"/>
      <c r="G50" s="175"/>
      <c r="H50" s="187">
        <v>45</v>
      </c>
      <c r="I50" s="188" t="str">
        <f t="shared" si="0"/>
        <v/>
      </c>
      <c r="J50" s="187" t="e">
        <f t="shared" si="5"/>
        <v>#NUM!</v>
      </c>
      <c r="K50" s="187" t="e">
        <f t="shared" si="1"/>
        <v>#NUM!</v>
      </c>
      <c r="L50" s="187"/>
      <c r="M50" s="189">
        <f t="shared" si="2"/>
        <v>0</v>
      </c>
    </row>
    <row r="51" spans="1:13" x14ac:dyDescent="0.25">
      <c r="A51" s="98"/>
      <c r="B51" s="35" t="str">
        <f t="shared" si="4"/>
        <v/>
      </c>
      <c r="C51" s="25"/>
      <c r="D51" s="25"/>
      <c r="E51" s="25"/>
      <c r="F51" s="25"/>
      <c r="G51" s="175"/>
      <c r="H51" s="190">
        <v>46</v>
      </c>
      <c r="I51" s="191" t="str">
        <f t="shared" si="0"/>
        <v/>
      </c>
      <c r="J51" s="190" t="e">
        <f t="shared" si="5"/>
        <v>#NUM!</v>
      </c>
      <c r="K51" s="190" t="e">
        <f t="shared" si="1"/>
        <v>#NUM!</v>
      </c>
      <c r="L51" s="190"/>
      <c r="M51" s="192">
        <f t="shared" si="2"/>
        <v>0</v>
      </c>
    </row>
    <row r="52" spans="1:13" x14ac:dyDescent="0.25">
      <c r="A52" s="94"/>
      <c r="B52" s="36" t="str">
        <f t="shared" si="4"/>
        <v/>
      </c>
      <c r="C52" s="24"/>
      <c r="D52" s="24"/>
      <c r="E52" s="24"/>
      <c r="F52" s="24"/>
      <c r="G52" s="175"/>
      <c r="H52" s="187">
        <v>47</v>
      </c>
      <c r="I52" s="188" t="str">
        <f t="shared" si="0"/>
        <v/>
      </c>
      <c r="J52" s="187" t="e">
        <f t="shared" si="5"/>
        <v>#NUM!</v>
      </c>
      <c r="K52" s="187" t="e">
        <f t="shared" si="1"/>
        <v>#NUM!</v>
      </c>
      <c r="L52" s="187"/>
      <c r="M52" s="189">
        <f t="shared" si="2"/>
        <v>0</v>
      </c>
    </row>
    <row r="53" spans="1:13" x14ac:dyDescent="0.25">
      <c r="A53" s="98"/>
      <c r="B53" s="35" t="str">
        <f t="shared" si="4"/>
        <v/>
      </c>
      <c r="C53" s="25"/>
      <c r="D53" s="25"/>
      <c r="E53" s="25"/>
      <c r="F53" s="25"/>
      <c r="G53" s="175"/>
      <c r="H53" s="190">
        <v>48</v>
      </c>
      <c r="I53" s="191" t="str">
        <f t="shared" si="0"/>
        <v/>
      </c>
      <c r="J53" s="190" t="e">
        <f t="shared" si="5"/>
        <v>#NUM!</v>
      </c>
      <c r="K53" s="190" t="e">
        <f t="shared" si="1"/>
        <v>#NUM!</v>
      </c>
      <c r="L53" s="190"/>
      <c r="M53" s="192">
        <f t="shared" si="2"/>
        <v>0</v>
      </c>
    </row>
    <row r="54" spans="1:13" x14ac:dyDescent="0.25">
      <c r="A54" s="94"/>
      <c r="B54" s="36" t="str">
        <f t="shared" si="4"/>
        <v/>
      </c>
      <c r="C54" s="24"/>
      <c r="D54" s="24"/>
      <c r="E54" s="24"/>
      <c r="F54" s="24"/>
      <c r="G54" s="175"/>
      <c r="H54" s="187">
        <v>49</v>
      </c>
      <c r="I54" s="188" t="str">
        <f t="shared" si="0"/>
        <v/>
      </c>
      <c r="J54" s="187" t="e">
        <f t="shared" si="5"/>
        <v>#NUM!</v>
      </c>
      <c r="K54" s="187" t="e">
        <f t="shared" si="1"/>
        <v>#NUM!</v>
      </c>
      <c r="L54" s="187"/>
      <c r="M54" s="189">
        <f t="shared" si="2"/>
        <v>0</v>
      </c>
    </row>
    <row r="55" spans="1:13" x14ac:dyDescent="0.25">
      <c r="A55" s="98"/>
      <c r="B55" s="35" t="str">
        <f t="shared" si="4"/>
        <v/>
      </c>
      <c r="C55" s="25"/>
      <c r="D55" s="25"/>
      <c r="E55" s="25"/>
      <c r="F55" s="25"/>
      <c r="G55" s="175"/>
      <c r="H55" s="190">
        <v>50</v>
      </c>
      <c r="I55" s="191" t="str">
        <f t="shared" si="0"/>
        <v/>
      </c>
      <c r="J55" s="190" t="e">
        <f t="shared" si="5"/>
        <v>#NUM!</v>
      </c>
      <c r="K55" s="190" t="e">
        <f t="shared" si="1"/>
        <v>#NUM!</v>
      </c>
      <c r="L55" s="190"/>
      <c r="M55" s="192">
        <f t="shared" si="2"/>
        <v>0</v>
      </c>
    </row>
    <row r="56" spans="1:13" x14ac:dyDescent="0.25">
      <c r="A56" s="94"/>
      <c r="B56" s="36" t="str">
        <f t="shared" si="4"/>
        <v/>
      </c>
      <c r="C56" s="24"/>
      <c r="D56" s="24"/>
      <c r="E56" s="24"/>
      <c r="F56" s="24"/>
      <c r="G56" s="175"/>
      <c r="H56" s="187">
        <v>51</v>
      </c>
      <c r="I56" s="188" t="str">
        <f t="shared" si="0"/>
        <v/>
      </c>
      <c r="J56" s="187" t="e">
        <f t="shared" si="5"/>
        <v>#NUM!</v>
      </c>
      <c r="K56" s="187" t="e">
        <f t="shared" si="1"/>
        <v>#NUM!</v>
      </c>
      <c r="L56" s="187"/>
      <c r="M56" s="189">
        <f t="shared" si="2"/>
        <v>0</v>
      </c>
    </row>
    <row r="57" spans="1:13" x14ac:dyDescent="0.25">
      <c r="A57" s="98"/>
      <c r="B57" s="35" t="str">
        <f t="shared" si="4"/>
        <v/>
      </c>
      <c r="C57" s="25"/>
      <c r="D57" s="25"/>
      <c r="E57" s="25"/>
      <c r="F57" s="25"/>
      <c r="G57" s="175"/>
      <c r="H57" s="190">
        <v>52</v>
      </c>
      <c r="I57" s="191" t="str">
        <f t="shared" si="0"/>
        <v/>
      </c>
      <c r="J57" s="190" t="e">
        <f t="shared" si="5"/>
        <v>#NUM!</v>
      </c>
      <c r="K57" s="190" t="e">
        <f t="shared" si="1"/>
        <v>#NUM!</v>
      </c>
      <c r="L57" s="190"/>
      <c r="M57" s="192">
        <f t="shared" si="2"/>
        <v>0</v>
      </c>
    </row>
    <row r="58" spans="1:13" x14ac:dyDescent="0.25">
      <c r="A58" s="94"/>
      <c r="B58" s="36" t="str">
        <f t="shared" si="4"/>
        <v/>
      </c>
      <c r="C58" s="24"/>
      <c r="D58" s="24"/>
      <c r="E58" s="24"/>
      <c r="F58" s="24"/>
      <c r="G58" s="175"/>
      <c r="H58" s="187">
        <v>53</v>
      </c>
      <c r="I58" s="188" t="str">
        <f t="shared" si="0"/>
        <v/>
      </c>
      <c r="J58" s="187" t="e">
        <f t="shared" si="5"/>
        <v>#NUM!</v>
      </c>
      <c r="K58" s="187" t="e">
        <f t="shared" si="1"/>
        <v>#NUM!</v>
      </c>
      <c r="L58" s="187"/>
      <c r="M58" s="189">
        <f t="shared" si="2"/>
        <v>0</v>
      </c>
    </row>
    <row r="59" spans="1:13" x14ac:dyDescent="0.25">
      <c r="A59" s="98"/>
      <c r="B59" s="35" t="str">
        <f t="shared" si="4"/>
        <v/>
      </c>
      <c r="C59" s="25"/>
      <c r="D59" s="25"/>
      <c r="E59" s="25"/>
      <c r="F59" s="25"/>
      <c r="G59" s="175"/>
      <c r="H59" s="190">
        <v>54</v>
      </c>
      <c r="I59" s="191" t="str">
        <f t="shared" si="0"/>
        <v/>
      </c>
      <c r="J59" s="190" t="e">
        <f t="shared" si="5"/>
        <v>#NUM!</v>
      </c>
      <c r="K59" s="190" t="e">
        <f t="shared" si="1"/>
        <v>#NUM!</v>
      </c>
      <c r="L59" s="190"/>
      <c r="M59" s="192">
        <f t="shared" si="2"/>
        <v>0</v>
      </c>
    </row>
    <row r="60" spans="1:13" x14ac:dyDescent="0.25">
      <c r="A60" s="94"/>
      <c r="B60" s="36" t="str">
        <f t="shared" si="4"/>
        <v/>
      </c>
      <c r="C60" s="24"/>
      <c r="D60" s="24"/>
      <c r="E60" s="24"/>
      <c r="F60" s="24"/>
      <c r="G60" s="175"/>
      <c r="H60" s="187">
        <v>55</v>
      </c>
      <c r="I60" s="188" t="str">
        <f t="shared" si="0"/>
        <v/>
      </c>
      <c r="J60" s="187" t="e">
        <f t="shared" si="5"/>
        <v>#NUM!</v>
      </c>
      <c r="K60" s="187" t="e">
        <f t="shared" si="1"/>
        <v>#NUM!</v>
      </c>
      <c r="L60" s="187"/>
      <c r="M60" s="189">
        <f t="shared" si="2"/>
        <v>0</v>
      </c>
    </row>
    <row r="61" spans="1:13" x14ac:dyDescent="0.25">
      <c r="A61" s="98"/>
      <c r="B61" s="35" t="str">
        <f t="shared" si="4"/>
        <v/>
      </c>
      <c r="C61" s="25"/>
      <c r="D61" s="25"/>
      <c r="E61" s="25"/>
      <c r="F61" s="25"/>
      <c r="G61" s="175"/>
      <c r="H61" s="190">
        <v>56</v>
      </c>
      <c r="I61" s="191" t="str">
        <f t="shared" si="0"/>
        <v/>
      </c>
      <c r="J61" s="190" t="e">
        <f t="shared" si="5"/>
        <v>#NUM!</v>
      </c>
      <c r="K61" s="190" t="e">
        <f t="shared" si="1"/>
        <v>#NUM!</v>
      </c>
      <c r="L61" s="190"/>
      <c r="M61" s="192">
        <f t="shared" si="2"/>
        <v>0</v>
      </c>
    </row>
    <row r="62" spans="1:13" x14ac:dyDescent="0.25">
      <c r="A62" s="94"/>
      <c r="B62" s="36" t="str">
        <f t="shared" si="4"/>
        <v/>
      </c>
      <c r="C62" s="24"/>
      <c r="D62" s="24"/>
      <c r="E62" s="24"/>
      <c r="F62" s="24"/>
      <c r="G62" s="175"/>
      <c r="H62" s="187">
        <v>57</v>
      </c>
      <c r="I62" s="188" t="str">
        <f t="shared" si="0"/>
        <v/>
      </c>
      <c r="J62" s="187" t="e">
        <f t="shared" si="5"/>
        <v>#NUM!</v>
      </c>
      <c r="K62" s="187" t="e">
        <f t="shared" si="1"/>
        <v>#NUM!</v>
      </c>
      <c r="L62" s="187"/>
      <c r="M62" s="189">
        <f t="shared" si="2"/>
        <v>0</v>
      </c>
    </row>
    <row r="63" spans="1:13" x14ac:dyDescent="0.25">
      <c r="A63" s="98"/>
      <c r="B63" s="35" t="str">
        <f t="shared" si="4"/>
        <v/>
      </c>
      <c r="C63" s="25"/>
      <c r="D63" s="25"/>
      <c r="E63" s="25"/>
      <c r="F63" s="25"/>
      <c r="G63" s="175"/>
      <c r="H63" s="190">
        <v>58</v>
      </c>
      <c r="I63" s="191" t="str">
        <f t="shared" si="0"/>
        <v/>
      </c>
      <c r="J63" s="190" t="e">
        <f t="shared" si="5"/>
        <v>#NUM!</v>
      </c>
      <c r="K63" s="190" t="e">
        <f t="shared" si="1"/>
        <v>#NUM!</v>
      </c>
      <c r="L63" s="190"/>
      <c r="M63" s="192">
        <f t="shared" si="2"/>
        <v>0</v>
      </c>
    </row>
    <row r="64" spans="1:13" x14ac:dyDescent="0.25">
      <c r="A64" s="94"/>
      <c r="B64" s="36" t="str">
        <f t="shared" si="4"/>
        <v/>
      </c>
      <c r="C64" s="24"/>
      <c r="D64" s="24"/>
      <c r="E64" s="24"/>
      <c r="F64" s="24"/>
      <c r="G64" s="175"/>
      <c r="H64" s="187">
        <v>59</v>
      </c>
      <c r="I64" s="188" t="str">
        <f t="shared" si="0"/>
        <v/>
      </c>
      <c r="J64" s="187" t="e">
        <f t="shared" si="5"/>
        <v>#NUM!</v>
      </c>
      <c r="K64" s="187" t="e">
        <f t="shared" si="1"/>
        <v>#NUM!</v>
      </c>
      <c r="L64" s="187"/>
      <c r="M64" s="189">
        <f t="shared" si="2"/>
        <v>0</v>
      </c>
    </row>
    <row r="65" spans="1:13" x14ac:dyDescent="0.25">
      <c r="A65" s="98"/>
      <c r="B65" s="35" t="str">
        <f t="shared" si="4"/>
        <v/>
      </c>
      <c r="C65" s="25"/>
      <c r="D65" s="25"/>
      <c r="E65" s="25"/>
      <c r="F65" s="25"/>
      <c r="G65" s="175"/>
      <c r="H65" s="190">
        <v>60</v>
      </c>
      <c r="I65" s="191" t="str">
        <f t="shared" si="0"/>
        <v/>
      </c>
      <c r="J65" s="190" t="e">
        <f t="shared" si="5"/>
        <v>#NUM!</v>
      </c>
      <c r="K65" s="190" t="e">
        <f t="shared" si="1"/>
        <v>#NUM!</v>
      </c>
      <c r="L65" s="190"/>
      <c r="M65" s="192">
        <f t="shared" si="2"/>
        <v>0</v>
      </c>
    </row>
    <row r="66" spans="1:13" x14ac:dyDescent="0.25">
      <c r="A66" s="212"/>
      <c r="B66" s="36"/>
      <c r="G66" s="175"/>
      <c r="H66" s="187">
        <v>61</v>
      </c>
      <c r="I66" s="188" t="str">
        <f t="shared" si="0"/>
        <v/>
      </c>
      <c r="J66" s="187" t="e">
        <f t="shared" si="5"/>
        <v>#NUM!</v>
      </c>
      <c r="K66" s="187" t="e">
        <f t="shared" si="1"/>
        <v>#NUM!</v>
      </c>
      <c r="L66" s="187"/>
      <c r="M66" s="189">
        <f t="shared" si="2"/>
        <v>0</v>
      </c>
    </row>
    <row r="67" spans="1:13" x14ac:dyDescent="0.25">
      <c r="A67" s="212"/>
      <c r="B67" s="35"/>
      <c r="G67" s="175"/>
      <c r="H67" s="187">
        <v>62</v>
      </c>
      <c r="I67" s="188" t="str">
        <f t="shared" si="0"/>
        <v/>
      </c>
      <c r="J67" s="187" t="e">
        <f t="shared" si="5"/>
        <v>#NUM!</v>
      </c>
      <c r="K67" s="187" t="e">
        <f t="shared" si="1"/>
        <v>#NUM!</v>
      </c>
      <c r="L67" s="187"/>
      <c r="M67" s="189">
        <f t="shared" si="2"/>
        <v>0</v>
      </c>
    </row>
    <row r="68" spans="1:13" x14ac:dyDescent="0.25">
      <c r="A68" s="212"/>
      <c r="B68" s="36"/>
      <c r="G68" s="175"/>
      <c r="H68" s="187">
        <v>63</v>
      </c>
      <c r="I68" s="188" t="str">
        <f t="shared" si="0"/>
        <v/>
      </c>
      <c r="J68" s="187" t="e">
        <f t="shared" si="5"/>
        <v>#NUM!</v>
      </c>
      <c r="K68" s="187" t="e">
        <f t="shared" si="1"/>
        <v>#NUM!</v>
      </c>
      <c r="L68" s="187"/>
      <c r="M68" s="189">
        <f t="shared" si="2"/>
        <v>0</v>
      </c>
    </row>
    <row r="69" spans="1:13" x14ac:dyDescent="0.25">
      <c r="A69" s="212"/>
      <c r="B69" s="35"/>
      <c r="G69" s="175"/>
      <c r="H69" s="187">
        <v>64</v>
      </c>
      <c r="I69" s="188" t="str">
        <f t="shared" si="0"/>
        <v/>
      </c>
      <c r="J69" s="187" t="e">
        <f t="shared" si="5"/>
        <v>#NUM!</v>
      </c>
      <c r="K69" s="187" t="e">
        <f t="shared" si="1"/>
        <v>#NUM!</v>
      </c>
      <c r="L69" s="187"/>
      <c r="M69" s="189">
        <f t="shared" si="2"/>
        <v>0</v>
      </c>
    </row>
    <row r="70" spans="1:13" x14ac:dyDescent="0.25">
      <c r="A70" s="212"/>
      <c r="G70" s="175"/>
      <c r="H70" s="187">
        <v>65</v>
      </c>
      <c r="I70" s="188" t="str">
        <f t="shared" ref="I70:I133" si="6">IF(H70&lt;$H$2+1,($I$2-($I$2-1)*(LOG(H70)/LOG($H$2))),"")</f>
        <v/>
      </c>
      <c r="J70" s="187" t="e">
        <f t="shared" si="5"/>
        <v>#NUM!</v>
      </c>
      <c r="K70" s="187" t="e">
        <f t="shared" ref="K70:K133" si="7">J70*$J$2</f>
        <v>#NUM!</v>
      </c>
      <c r="L70" s="187"/>
      <c r="M70" s="189">
        <f t="shared" ref="M70:M133" si="8">IF(I70&lt;&gt;"",K70+I70+L70,0)</f>
        <v>0</v>
      </c>
    </row>
    <row r="71" spans="1:13" x14ac:dyDescent="0.25">
      <c r="A71" s="212"/>
      <c r="G71" s="175"/>
      <c r="H71" s="187">
        <v>66</v>
      </c>
      <c r="I71" s="188" t="str">
        <f t="shared" si="6"/>
        <v/>
      </c>
      <c r="J71" s="187" t="e">
        <f t="shared" ref="J71:J134" si="9">INT(LOG($H$2,2))-ROUNDUP(LOG(H71,2),0)+IF(OR($H$2=1,$H$2=2,$H$2=4,$H$2=8,$H$2=16,$H$2=32,$H$2=64,$H$2=128,$H$2=256),0,1)</f>
        <v>#NUM!</v>
      </c>
      <c r="K71" s="187" t="e">
        <f t="shared" si="7"/>
        <v>#NUM!</v>
      </c>
      <c r="L71" s="187"/>
      <c r="M71" s="189">
        <f t="shared" si="8"/>
        <v>0</v>
      </c>
    </row>
    <row r="72" spans="1:13" x14ac:dyDescent="0.25">
      <c r="A72" s="212"/>
      <c r="G72" s="175"/>
      <c r="H72" s="187">
        <v>67</v>
      </c>
      <c r="I72" s="188" t="str">
        <f t="shared" si="6"/>
        <v/>
      </c>
      <c r="J72" s="187" t="e">
        <f t="shared" si="9"/>
        <v>#NUM!</v>
      </c>
      <c r="K72" s="187" t="e">
        <f t="shared" si="7"/>
        <v>#NUM!</v>
      </c>
      <c r="L72" s="187"/>
      <c r="M72" s="189">
        <f t="shared" si="8"/>
        <v>0</v>
      </c>
    </row>
    <row r="73" spans="1:13" x14ac:dyDescent="0.25">
      <c r="A73" s="212"/>
      <c r="G73" s="175"/>
      <c r="H73" s="187">
        <v>68</v>
      </c>
      <c r="I73" s="188" t="str">
        <f t="shared" si="6"/>
        <v/>
      </c>
      <c r="J73" s="187" t="e">
        <f t="shared" si="9"/>
        <v>#NUM!</v>
      </c>
      <c r="K73" s="187" t="e">
        <f t="shared" si="7"/>
        <v>#NUM!</v>
      </c>
      <c r="L73" s="187"/>
      <c r="M73" s="189">
        <f t="shared" si="8"/>
        <v>0</v>
      </c>
    </row>
    <row r="74" spans="1:13" x14ac:dyDescent="0.25">
      <c r="A74" s="212"/>
      <c r="G74" s="175"/>
      <c r="H74" s="187">
        <v>69</v>
      </c>
      <c r="I74" s="188" t="str">
        <f t="shared" si="6"/>
        <v/>
      </c>
      <c r="J74" s="187" t="e">
        <f t="shared" si="9"/>
        <v>#NUM!</v>
      </c>
      <c r="K74" s="187" t="e">
        <f t="shared" si="7"/>
        <v>#NUM!</v>
      </c>
      <c r="L74" s="187"/>
      <c r="M74" s="189">
        <f t="shared" si="8"/>
        <v>0</v>
      </c>
    </row>
    <row r="75" spans="1:13" x14ac:dyDescent="0.25">
      <c r="A75" s="212"/>
      <c r="G75" s="175"/>
      <c r="H75" s="187">
        <v>70</v>
      </c>
      <c r="I75" s="188" t="str">
        <f t="shared" si="6"/>
        <v/>
      </c>
      <c r="J75" s="187" t="e">
        <f t="shared" si="9"/>
        <v>#NUM!</v>
      </c>
      <c r="K75" s="187" t="e">
        <f t="shared" si="7"/>
        <v>#NUM!</v>
      </c>
      <c r="L75" s="187"/>
      <c r="M75" s="189">
        <f t="shared" si="8"/>
        <v>0</v>
      </c>
    </row>
    <row r="76" spans="1:13" x14ac:dyDescent="0.25">
      <c r="A76" s="212"/>
      <c r="G76" s="175"/>
      <c r="H76" s="187">
        <v>71</v>
      </c>
      <c r="I76" s="188" t="str">
        <f t="shared" si="6"/>
        <v/>
      </c>
      <c r="J76" s="187" t="e">
        <f t="shared" si="9"/>
        <v>#NUM!</v>
      </c>
      <c r="K76" s="187" t="e">
        <f t="shared" si="7"/>
        <v>#NUM!</v>
      </c>
      <c r="L76" s="187"/>
      <c r="M76" s="189">
        <f t="shared" si="8"/>
        <v>0</v>
      </c>
    </row>
    <row r="77" spans="1:13" x14ac:dyDescent="0.25">
      <c r="A77" s="212"/>
      <c r="G77" s="175"/>
      <c r="H77" s="187">
        <v>72</v>
      </c>
      <c r="I77" s="188" t="str">
        <f t="shared" si="6"/>
        <v/>
      </c>
      <c r="J77" s="187" t="e">
        <f t="shared" si="9"/>
        <v>#NUM!</v>
      </c>
      <c r="K77" s="187" t="e">
        <f t="shared" si="7"/>
        <v>#NUM!</v>
      </c>
      <c r="L77" s="187"/>
      <c r="M77" s="189">
        <f t="shared" si="8"/>
        <v>0</v>
      </c>
    </row>
    <row r="78" spans="1:13" x14ac:dyDescent="0.25">
      <c r="A78" s="212"/>
      <c r="G78" s="175"/>
      <c r="H78" s="187">
        <v>73</v>
      </c>
      <c r="I78" s="188" t="str">
        <f t="shared" si="6"/>
        <v/>
      </c>
      <c r="J78" s="187" t="e">
        <f t="shared" si="9"/>
        <v>#NUM!</v>
      </c>
      <c r="K78" s="187" t="e">
        <f t="shared" si="7"/>
        <v>#NUM!</v>
      </c>
      <c r="L78" s="187"/>
      <c r="M78" s="189">
        <f t="shared" si="8"/>
        <v>0</v>
      </c>
    </row>
    <row r="79" spans="1:13" x14ac:dyDescent="0.25">
      <c r="A79" s="212"/>
      <c r="G79" s="175"/>
      <c r="H79" s="187">
        <v>74</v>
      </c>
      <c r="I79" s="188" t="str">
        <f t="shared" si="6"/>
        <v/>
      </c>
      <c r="J79" s="187" t="e">
        <f t="shared" si="9"/>
        <v>#NUM!</v>
      </c>
      <c r="K79" s="187" t="e">
        <f t="shared" si="7"/>
        <v>#NUM!</v>
      </c>
      <c r="L79" s="187"/>
      <c r="M79" s="189">
        <f t="shared" si="8"/>
        <v>0</v>
      </c>
    </row>
    <row r="80" spans="1:13" x14ac:dyDescent="0.25">
      <c r="A80" s="212"/>
      <c r="G80" s="175"/>
      <c r="H80" s="187">
        <v>75</v>
      </c>
      <c r="I80" s="188" t="str">
        <f t="shared" si="6"/>
        <v/>
      </c>
      <c r="J80" s="187" t="e">
        <f t="shared" si="9"/>
        <v>#NUM!</v>
      </c>
      <c r="K80" s="187" t="e">
        <f t="shared" si="7"/>
        <v>#NUM!</v>
      </c>
      <c r="L80" s="187"/>
      <c r="M80" s="189">
        <f t="shared" si="8"/>
        <v>0</v>
      </c>
    </row>
    <row r="81" spans="1:13" x14ac:dyDescent="0.25">
      <c r="A81" s="212"/>
      <c r="G81" s="175"/>
      <c r="H81" s="187">
        <v>76</v>
      </c>
      <c r="I81" s="188" t="str">
        <f t="shared" si="6"/>
        <v/>
      </c>
      <c r="J81" s="187" t="e">
        <f t="shared" si="9"/>
        <v>#NUM!</v>
      </c>
      <c r="K81" s="187" t="e">
        <f t="shared" si="7"/>
        <v>#NUM!</v>
      </c>
      <c r="L81" s="187"/>
      <c r="M81" s="189">
        <f t="shared" si="8"/>
        <v>0</v>
      </c>
    </row>
    <row r="82" spans="1:13" x14ac:dyDescent="0.25">
      <c r="A82" s="212"/>
      <c r="G82" s="175"/>
      <c r="H82" s="187">
        <v>77</v>
      </c>
      <c r="I82" s="188" t="str">
        <f t="shared" si="6"/>
        <v/>
      </c>
      <c r="J82" s="187" t="e">
        <f t="shared" si="9"/>
        <v>#NUM!</v>
      </c>
      <c r="K82" s="187" t="e">
        <f t="shared" si="7"/>
        <v>#NUM!</v>
      </c>
      <c r="L82" s="187"/>
      <c r="M82" s="189">
        <f t="shared" si="8"/>
        <v>0</v>
      </c>
    </row>
    <row r="83" spans="1:13" x14ac:dyDescent="0.25">
      <c r="A83" s="212"/>
      <c r="G83" s="175"/>
      <c r="H83" s="187">
        <v>78</v>
      </c>
      <c r="I83" s="188" t="str">
        <f t="shared" si="6"/>
        <v/>
      </c>
      <c r="J83" s="187" t="e">
        <f t="shared" si="9"/>
        <v>#NUM!</v>
      </c>
      <c r="K83" s="187" t="e">
        <f t="shared" si="7"/>
        <v>#NUM!</v>
      </c>
      <c r="L83" s="187"/>
      <c r="M83" s="189">
        <f t="shared" si="8"/>
        <v>0</v>
      </c>
    </row>
    <row r="84" spans="1:13" x14ac:dyDescent="0.25">
      <c r="A84" s="212"/>
      <c r="G84" s="175"/>
      <c r="H84" s="187">
        <v>79</v>
      </c>
      <c r="I84" s="188" t="str">
        <f t="shared" si="6"/>
        <v/>
      </c>
      <c r="J84" s="187" t="e">
        <f t="shared" si="9"/>
        <v>#NUM!</v>
      </c>
      <c r="K84" s="187" t="e">
        <f t="shared" si="7"/>
        <v>#NUM!</v>
      </c>
      <c r="L84" s="187"/>
      <c r="M84" s="189">
        <f t="shared" si="8"/>
        <v>0</v>
      </c>
    </row>
    <row r="85" spans="1:13" x14ac:dyDescent="0.25">
      <c r="A85" s="212"/>
      <c r="G85" s="175"/>
      <c r="H85" s="187">
        <v>80</v>
      </c>
      <c r="I85" s="188" t="str">
        <f t="shared" si="6"/>
        <v/>
      </c>
      <c r="J85" s="187" t="e">
        <f t="shared" si="9"/>
        <v>#NUM!</v>
      </c>
      <c r="K85" s="187" t="e">
        <f t="shared" si="7"/>
        <v>#NUM!</v>
      </c>
      <c r="L85" s="187"/>
      <c r="M85" s="189">
        <f t="shared" si="8"/>
        <v>0</v>
      </c>
    </row>
    <row r="86" spans="1:13" x14ac:dyDescent="0.25">
      <c r="A86" s="212"/>
      <c r="G86" s="175"/>
      <c r="H86" s="187">
        <v>81</v>
      </c>
      <c r="I86" s="188" t="str">
        <f t="shared" si="6"/>
        <v/>
      </c>
      <c r="J86" s="187" t="e">
        <f t="shared" si="9"/>
        <v>#NUM!</v>
      </c>
      <c r="K86" s="187" t="e">
        <f t="shared" si="7"/>
        <v>#NUM!</v>
      </c>
      <c r="L86" s="187"/>
      <c r="M86" s="189">
        <f t="shared" si="8"/>
        <v>0</v>
      </c>
    </row>
    <row r="87" spans="1:13" x14ac:dyDescent="0.25">
      <c r="A87" s="212"/>
      <c r="G87" s="175"/>
      <c r="H87" s="187">
        <v>82</v>
      </c>
      <c r="I87" s="188" t="str">
        <f t="shared" si="6"/>
        <v/>
      </c>
      <c r="J87" s="187" t="e">
        <f t="shared" si="9"/>
        <v>#NUM!</v>
      </c>
      <c r="K87" s="187" t="e">
        <f t="shared" si="7"/>
        <v>#NUM!</v>
      </c>
      <c r="L87" s="187"/>
      <c r="M87" s="189">
        <f t="shared" si="8"/>
        <v>0</v>
      </c>
    </row>
    <row r="88" spans="1:13" x14ac:dyDescent="0.25">
      <c r="A88" s="212"/>
      <c r="G88" s="175"/>
      <c r="H88" s="187">
        <v>83</v>
      </c>
      <c r="I88" s="188" t="str">
        <f t="shared" si="6"/>
        <v/>
      </c>
      <c r="J88" s="187" t="e">
        <f t="shared" si="9"/>
        <v>#NUM!</v>
      </c>
      <c r="K88" s="187" t="e">
        <f t="shared" si="7"/>
        <v>#NUM!</v>
      </c>
      <c r="L88" s="187"/>
      <c r="M88" s="189">
        <f t="shared" si="8"/>
        <v>0</v>
      </c>
    </row>
    <row r="89" spans="1:13" x14ac:dyDescent="0.25">
      <c r="A89" s="212"/>
      <c r="G89" s="175"/>
      <c r="H89" s="187">
        <v>84</v>
      </c>
      <c r="I89" s="188" t="str">
        <f t="shared" si="6"/>
        <v/>
      </c>
      <c r="J89" s="187" t="e">
        <f t="shared" si="9"/>
        <v>#NUM!</v>
      </c>
      <c r="K89" s="187" t="e">
        <f t="shared" si="7"/>
        <v>#NUM!</v>
      </c>
      <c r="L89" s="187"/>
      <c r="M89" s="189">
        <f t="shared" si="8"/>
        <v>0</v>
      </c>
    </row>
    <row r="90" spans="1:13" x14ac:dyDescent="0.25">
      <c r="A90" s="212"/>
      <c r="G90" s="175"/>
      <c r="H90" s="187">
        <v>85</v>
      </c>
      <c r="I90" s="188" t="str">
        <f t="shared" si="6"/>
        <v/>
      </c>
      <c r="J90" s="187" t="e">
        <f t="shared" si="9"/>
        <v>#NUM!</v>
      </c>
      <c r="K90" s="187" t="e">
        <f t="shared" si="7"/>
        <v>#NUM!</v>
      </c>
      <c r="L90" s="187"/>
      <c r="M90" s="189">
        <f t="shared" si="8"/>
        <v>0</v>
      </c>
    </row>
    <row r="91" spans="1:13" x14ac:dyDescent="0.25">
      <c r="A91" s="212"/>
      <c r="G91" s="175"/>
      <c r="H91" s="187">
        <v>86</v>
      </c>
      <c r="I91" s="188" t="str">
        <f t="shared" si="6"/>
        <v/>
      </c>
      <c r="J91" s="187" t="e">
        <f t="shared" si="9"/>
        <v>#NUM!</v>
      </c>
      <c r="K91" s="187" t="e">
        <f t="shared" si="7"/>
        <v>#NUM!</v>
      </c>
      <c r="L91" s="187"/>
      <c r="M91" s="189">
        <f t="shared" si="8"/>
        <v>0</v>
      </c>
    </row>
    <row r="92" spans="1:13" x14ac:dyDescent="0.25">
      <c r="A92" s="212"/>
      <c r="G92" s="175"/>
      <c r="H92" s="187">
        <v>87</v>
      </c>
      <c r="I92" s="188" t="str">
        <f t="shared" si="6"/>
        <v/>
      </c>
      <c r="J92" s="187" t="e">
        <f t="shared" si="9"/>
        <v>#NUM!</v>
      </c>
      <c r="K92" s="187" t="e">
        <f t="shared" si="7"/>
        <v>#NUM!</v>
      </c>
      <c r="L92" s="187"/>
      <c r="M92" s="189">
        <f t="shared" si="8"/>
        <v>0</v>
      </c>
    </row>
    <row r="93" spans="1:13" x14ac:dyDescent="0.25">
      <c r="A93" s="212"/>
      <c r="G93" s="175"/>
      <c r="H93" s="187">
        <v>88</v>
      </c>
      <c r="I93" s="188" t="str">
        <f t="shared" si="6"/>
        <v/>
      </c>
      <c r="J93" s="187" t="e">
        <f t="shared" si="9"/>
        <v>#NUM!</v>
      </c>
      <c r="K93" s="187" t="e">
        <f t="shared" si="7"/>
        <v>#NUM!</v>
      </c>
      <c r="L93" s="187"/>
      <c r="M93" s="189">
        <f t="shared" si="8"/>
        <v>0</v>
      </c>
    </row>
    <row r="94" spans="1:13" x14ac:dyDescent="0.25">
      <c r="A94" s="212"/>
      <c r="G94" s="175"/>
      <c r="H94" s="187">
        <v>89</v>
      </c>
      <c r="I94" s="188" t="str">
        <f t="shared" si="6"/>
        <v/>
      </c>
      <c r="J94" s="187" t="e">
        <f t="shared" si="9"/>
        <v>#NUM!</v>
      </c>
      <c r="K94" s="187" t="e">
        <f t="shared" si="7"/>
        <v>#NUM!</v>
      </c>
      <c r="L94" s="187"/>
      <c r="M94" s="189">
        <f t="shared" si="8"/>
        <v>0</v>
      </c>
    </row>
    <row r="95" spans="1:13" x14ac:dyDescent="0.25">
      <c r="A95" s="212"/>
      <c r="G95" s="175"/>
      <c r="H95" s="187">
        <v>90</v>
      </c>
      <c r="I95" s="188" t="str">
        <f t="shared" si="6"/>
        <v/>
      </c>
      <c r="J95" s="187" t="e">
        <f t="shared" si="9"/>
        <v>#NUM!</v>
      </c>
      <c r="K95" s="187" t="e">
        <f t="shared" si="7"/>
        <v>#NUM!</v>
      </c>
      <c r="L95" s="187"/>
      <c r="M95" s="189">
        <f t="shared" si="8"/>
        <v>0</v>
      </c>
    </row>
    <row r="96" spans="1:13" x14ac:dyDescent="0.25">
      <c r="A96" s="212"/>
      <c r="G96" s="175"/>
      <c r="H96" s="187">
        <v>91</v>
      </c>
      <c r="I96" s="188" t="str">
        <f t="shared" si="6"/>
        <v/>
      </c>
      <c r="J96" s="187" t="e">
        <f t="shared" si="9"/>
        <v>#NUM!</v>
      </c>
      <c r="K96" s="187" t="e">
        <f t="shared" si="7"/>
        <v>#NUM!</v>
      </c>
      <c r="L96" s="187"/>
      <c r="M96" s="189">
        <f t="shared" si="8"/>
        <v>0</v>
      </c>
    </row>
    <row r="97" spans="1:13" x14ac:dyDescent="0.25">
      <c r="A97" s="212"/>
      <c r="G97" s="175"/>
      <c r="H97" s="187">
        <v>92</v>
      </c>
      <c r="I97" s="188" t="str">
        <f t="shared" si="6"/>
        <v/>
      </c>
      <c r="J97" s="187" t="e">
        <f t="shared" si="9"/>
        <v>#NUM!</v>
      </c>
      <c r="K97" s="187" t="e">
        <f t="shared" si="7"/>
        <v>#NUM!</v>
      </c>
      <c r="L97" s="187"/>
      <c r="M97" s="189">
        <f t="shared" si="8"/>
        <v>0</v>
      </c>
    </row>
    <row r="98" spans="1:13" x14ac:dyDescent="0.25">
      <c r="A98" s="212"/>
      <c r="G98" s="175"/>
      <c r="H98" s="187">
        <v>93</v>
      </c>
      <c r="I98" s="188" t="str">
        <f t="shared" si="6"/>
        <v/>
      </c>
      <c r="J98" s="187" t="e">
        <f t="shared" si="9"/>
        <v>#NUM!</v>
      </c>
      <c r="K98" s="187" t="e">
        <f t="shared" si="7"/>
        <v>#NUM!</v>
      </c>
      <c r="L98" s="187"/>
      <c r="M98" s="189">
        <f t="shared" si="8"/>
        <v>0</v>
      </c>
    </row>
    <row r="99" spans="1:13" x14ac:dyDescent="0.25">
      <c r="A99" s="212"/>
      <c r="G99" s="175"/>
      <c r="H99" s="187">
        <v>94</v>
      </c>
      <c r="I99" s="188" t="str">
        <f t="shared" si="6"/>
        <v/>
      </c>
      <c r="J99" s="187" t="e">
        <f t="shared" si="9"/>
        <v>#NUM!</v>
      </c>
      <c r="K99" s="187" t="e">
        <f t="shared" si="7"/>
        <v>#NUM!</v>
      </c>
      <c r="L99" s="187"/>
      <c r="M99" s="189">
        <f t="shared" si="8"/>
        <v>0</v>
      </c>
    </row>
    <row r="100" spans="1:13" x14ac:dyDescent="0.25">
      <c r="A100" s="212"/>
      <c r="G100" s="175"/>
      <c r="H100" s="187">
        <v>95</v>
      </c>
      <c r="I100" s="188" t="str">
        <f t="shared" si="6"/>
        <v/>
      </c>
      <c r="J100" s="187" t="e">
        <f t="shared" si="9"/>
        <v>#NUM!</v>
      </c>
      <c r="K100" s="187" t="e">
        <f t="shared" si="7"/>
        <v>#NUM!</v>
      </c>
      <c r="L100" s="187"/>
      <c r="M100" s="189">
        <f t="shared" si="8"/>
        <v>0</v>
      </c>
    </row>
    <row r="101" spans="1:13" x14ac:dyDescent="0.25">
      <c r="A101" s="204"/>
      <c r="G101" s="175"/>
      <c r="H101" s="187">
        <v>96</v>
      </c>
      <c r="I101" s="188" t="str">
        <f t="shared" si="6"/>
        <v/>
      </c>
      <c r="J101" s="187" t="e">
        <f t="shared" si="9"/>
        <v>#NUM!</v>
      </c>
      <c r="K101" s="187" t="e">
        <f t="shared" si="7"/>
        <v>#NUM!</v>
      </c>
      <c r="L101" s="187"/>
      <c r="M101" s="189">
        <f t="shared" si="8"/>
        <v>0</v>
      </c>
    </row>
    <row r="102" spans="1:13" x14ac:dyDescent="0.25">
      <c r="A102" s="204"/>
      <c r="G102" s="175"/>
      <c r="H102" s="187">
        <v>97</v>
      </c>
      <c r="I102" s="188" t="str">
        <f t="shared" si="6"/>
        <v/>
      </c>
      <c r="J102" s="187" t="e">
        <f t="shared" si="9"/>
        <v>#NUM!</v>
      </c>
      <c r="K102" s="187" t="e">
        <f t="shared" si="7"/>
        <v>#NUM!</v>
      </c>
      <c r="L102" s="187"/>
      <c r="M102" s="189">
        <f t="shared" si="8"/>
        <v>0</v>
      </c>
    </row>
    <row r="103" spans="1:13" x14ac:dyDescent="0.25">
      <c r="A103" s="204"/>
      <c r="G103" s="175"/>
      <c r="H103" s="187">
        <v>98</v>
      </c>
      <c r="I103" s="188" t="str">
        <f t="shared" si="6"/>
        <v/>
      </c>
      <c r="J103" s="187" t="e">
        <f t="shared" si="9"/>
        <v>#NUM!</v>
      </c>
      <c r="K103" s="187" t="e">
        <f t="shared" si="7"/>
        <v>#NUM!</v>
      </c>
      <c r="L103" s="187"/>
      <c r="M103" s="189">
        <f t="shared" si="8"/>
        <v>0</v>
      </c>
    </row>
    <row r="104" spans="1:13" x14ac:dyDescent="0.25">
      <c r="A104" s="204"/>
      <c r="G104" s="175"/>
      <c r="H104" s="187">
        <v>99</v>
      </c>
      <c r="I104" s="188" t="str">
        <f t="shared" si="6"/>
        <v/>
      </c>
      <c r="J104" s="187" t="e">
        <f t="shared" si="9"/>
        <v>#NUM!</v>
      </c>
      <c r="K104" s="187" t="e">
        <f t="shared" si="7"/>
        <v>#NUM!</v>
      </c>
      <c r="L104" s="187"/>
      <c r="M104" s="189">
        <f t="shared" si="8"/>
        <v>0</v>
      </c>
    </row>
    <row r="105" spans="1:13" x14ac:dyDescent="0.25">
      <c r="A105" s="204"/>
      <c r="G105" s="175"/>
      <c r="H105" s="187">
        <v>100</v>
      </c>
      <c r="I105" s="188" t="str">
        <f t="shared" si="6"/>
        <v/>
      </c>
      <c r="J105" s="187" t="e">
        <f t="shared" si="9"/>
        <v>#NUM!</v>
      </c>
      <c r="K105" s="187" t="e">
        <f t="shared" si="7"/>
        <v>#NUM!</v>
      </c>
      <c r="L105" s="187"/>
      <c r="M105" s="189">
        <f t="shared" si="8"/>
        <v>0</v>
      </c>
    </row>
    <row r="106" spans="1:13" x14ac:dyDescent="0.25">
      <c r="A106" s="204"/>
      <c r="G106" s="175"/>
      <c r="H106" s="187">
        <v>101</v>
      </c>
      <c r="I106" s="188" t="str">
        <f t="shared" si="6"/>
        <v/>
      </c>
      <c r="J106" s="187" t="e">
        <f t="shared" si="9"/>
        <v>#NUM!</v>
      </c>
      <c r="K106" s="187" t="e">
        <f t="shared" si="7"/>
        <v>#NUM!</v>
      </c>
      <c r="L106" s="187"/>
      <c r="M106" s="189">
        <f t="shared" si="8"/>
        <v>0</v>
      </c>
    </row>
    <row r="107" spans="1:13" x14ac:dyDescent="0.25">
      <c r="A107" s="204"/>
      <c r="G107" s="175"/>
      <c r="H107" s="187">
        <v>102</v>
      </c>
      <c r="I107" s="188" t="str">
        <f t="shared" si="6"/>
        <v/>
      </c>
      <c r="J107" s="187" t="e">
        <f t="shared" si="9"/>
        <v>#NUM!</v>
      </c>
      <c r="K107" s="187" t="e">
        <f t="shared" si="7"/>
        <v>#NUM!</v>
      </c>
      <c r="L107" s="187"/>
      <c r="M107" s="189">
        <f t="shared" si="8"/>
        <v>0</v>
      </c>
    </row>
    <row r="108" spans="1:13" x14ac:dyDescent="0.25">
      <c r="A108" s="204"/>
      <c r="G108" s="175"/>
      <c r="H108" s="187">
        <v>103</v>
      </c>
      <c r="I108" s="188" t="str">
        <f t="shared" si="6"/>
        <v/>
      </c>
      <c r="J108" s="187" t="e">
        <f t="shared" si="9"/>
        <v>#NUM!</v>
      </c>
      <c r="K108" s="187" t="e">
        <f t="shared" si="7"/>
        <v>#NUM!</v>
      </c>
      <c r="L108" s="187"/>
      <c r="M108" s="189">
        <f t="shared" si="8"/>
        <v>0</v>
      </c>
    </row>
    <row r="109" spans="1:13" x14ac:dyDescent="0.25">
      <c r="A109" s="204"/>
      <c r="G109" s="175"/>
      <c r="H109" s="187">
        <v>104</v>
      </c>
      <c r="I109" s="188" t="str">
        <f t="shared" si="6"/>
        <v/>
      </c>
      <c r="J109" s="187" t="e">
        <f t="shared" si="9"/>
        <v>#NUM!</v>
      </c>
      <c r="K109" s="187" t="e">
        <f t="shared" si="7"/>
        <v>#NUM!</v>
      </c>
      <c r="L109" s="187"/>
      <c r="M109" s="189">
        <f t="shared" si="8"/>
        <v>0</v>
      </c>
    </row>
    <row r="110" spans="1:13" x14ac:dyDescent="0.25">
      <c r="A110" s="204"/>
      <c r="G110" s="175"/>
      <c r="H110" s="187">
        <v>105</v>
      </c>
      <c r="I110" s="188" t="str">
        <f t="shared" si="6"/>
        <v/>
      </c>
      <c r="J110" s="187" t="e">
        <f t="shared" si="9"/>
        <v>#NUM!</v>
      </c>
      <c r="K110" s="187" t="e">
        <f t="shared" si="7"/>
        <v>#NUM!</v>
      </c>
      <c r="L110" s="187"/>
      <c r="M110" s="189">
        <f t="shared" si="8"/>
        <v>0</v>
      </c>
    </row>
    <row r="111" spans="1:13" x14ac:dyDescent="0.25">
      <c r="A111" s="204"/>
      <c r="G111" s="175"/>
      <c r="H111" s="187">
        <v>106</v>
      </c>
      <c r="I111" s="188" t="str">
        <f t="shared" si="6"/>
        <v/>
      </c>
      <c r="J111" s="187" t="e">
        <f t="shared" si="9"/>
        <v>#NUM!</v>
      </c>
      <c r="K111" s="187" t="e">
        <f t="shared" si="7"/>
        <v>#NUM!</v>
      </c>
      <c r="L111" s="187"/>
      <c r="M111" s="189">
        <f t="shared" si="8"/>
        <v>0</v>
      </c>
    </row>
    <row r="112" spans="1:13" x14ac:dyDescent="0.25">
      <c r="A112" s="204"/>
      <c r="G112" s="175"/>
      <c r="H112" s="187">
        <v>107</v>
      </c>
      <c r="I112" s="188" t="str">
        <f t="shared" si="6"/>
        <v/>
      </c>
      <c r="J112" s="187" t="e">
        <f t="shared" si="9"/>
        <v>#NUM!</v>
      </c>
      <c r="K112" s="187" t="e">
        <f t="shared" si="7"/>
        <v>#NUM!</v>
      </c>
      <c r="L112" s="187"/>
      <c r="M112" s="189">
        <f t="shared" si="8"/>
        <v>0</v>
      </c>
    </row>
    <row r="113" spans="1:13" x14ac:dyDescent="0.25">
      <c r="A113" s="204"/>
      <c r="G113" s="175"/>
      <c r="H113" s="187">
        <v>108</v>
      </c>
      <c r="I113" s="188" t="str">
        <f t="shared" si="6"/>
        <v/>
      </c>
      <c r="J113" s="187" t="e">
        <f t="shared" si="9"/>
        <v>#NUM!</v>
      </c>
      <c r="K113" s="187" t="e">
        <f t="shared" si="7"/>
        <v>#NUM!</v>
      </c>
      <c r="L113" s="187"/>
      <c r="M113" s="189">
        <f t="shared" si="8"/>
        <v>0</v>
      </c>
    </row>
    <row r="114" spans="1:13" x14ac:dyDescent="0.25">
      <c r="A114" s="204"/>
      <c r="G114" s="175"/>
      <c r="H114" s="187">
        <v>109</v>
      </c>
      <c r="I114" s="188" t="str">
        <f t="shared" si="6"/>
        <v/>
      </c>
      <c r="J114" s="187" t="e">
        <f t="shared" si="9"/>
        <v>#NUM!</v>
      </c>
      <c r="K114" s="187" t="e">
        <f t="shared" si="7"/>
        <v>#NUM!</v>
      </c>
      <c r="L114" s="187"/>
      <c r="M114" s="189">
        <f t="shared" si="8"/>
        <v>0</v>
      </c>
    </row>
    <row r="115" spans="1:13" x14ac:dyDescent="0.25">
      <c r="A115" s="204"/>
      <c r="G115" s="175"/>
      <c r="H115" s="187">
        <v>110</v>
      </c>
      <c r="I115" s="188" t="str">
        <f t="shared" si="6"/>
        <v/>
      </c>
      <c r="J115" s="187" t="e">
        <f t="shared" si="9"/>
        <v>#NUM!</v>
      </c>
      <c r="K115" s="187" t="e">
        <f t="shared" si="7"/>
        <v>#NUM!</v>
      </c>
      <c r="L115" s="187"/>
      <c r="M115" s="189">
        <f t="shared" si="8"/>
        <v>0</v>
      </c>
    </row>
    <row r="116" spans="1:13" x14ac:dyDescent="0.25">
      <c r="A116" s="204"/>
      <c r="G116" s="175"/>
      <c r="H116" s="187">
        <v>111</v>
      </c>
      <c r="I116" s="188" t="str">
        <f t="shared" si="6"/>
        <v/>
      </c>
      <c r="J116" s="187" t="e">
        <f t="shared" si="9"/>
        <v>#NUM!</v>
      </c>
      <c r="K116" s="187" t="e">
        <f t="shared" si="7"/>
        <v>#NUM!</v>
      </c>
      <c r="L116" s="187"/>
      <c r="M116" s="189">
        <f t="shared" si="8"/>
        <v>0</v>
      </c>
    </row>
    <row r="117" spans="1:13" x14ac:dyDescent="0.25">
      <c r="A117" s="204"/>
      <c r="G117" s="175"/>
      <c r="H117" s="187">
        <v>112</v>
      </c>
      <c r="I117" s="188" t="str">
        <f t="shared" si="6"/>
        <v/>
      </c>
      <c r="J117" s="187" t="e">
        <f t="shared" si="9"/>
        <v>#NUM!</v>
      </c>
      <c r="K117" s="187" t="e">
        <f t="shared" si="7"/>
        <v>#NUM!</v>
      </c>
      <c r="L117" s="187"/>
      <c r="M117" s="189">
        <f t="shared" si="8"/>
        <v>0</v>
      </c>
    </row>
    <row r="118" spans="1:13" x14ac:dyDescent="0.25">
      <c r="A118" s="204"/>
      <c r="G118" s="175"/>
      <c r="H118" s="187">
        <v>113</v>
      </c>
      <c r="I118" s="188" t="str">
        <f t="shared" si="6"/>
        <v/>
      </c>
      <c r="J118" s="187" t="e">
        <f t="shared" si="9"/>
        <v>#NUM!</v>
      </c>
      <c r="K118" s="187" t="e">
        <f t="shared" si="7"/>
        <v>#NUM!</v>
      </c>
      <c r="L118" s="187"/>
      <c r="M118" s="189">
        <f t="shared" si="8"/>
        <v>0</v>
      </c>
    </row>
    <row r="119" spans="1:13" x14ac:dyDescent="0.25">
      <c r="A119" s="204"/>
      <c r="G119" s="175"/>
      <c r="H119" s="187">
        <v>114</v>
      </c>
      <c r="I119" s="188" t="str">
        <f t="shared" si="6"/>
        <v/>
      </c>
      <c r="J119" s="187" t="e">
        <f t="shared" si="9"/>
        <v>#NUM!</v>
      </c>
      <c r="K119" s="187" t="e">
        <f t="shared" si="7"/>
        <v>#NUM!</v>
      </c>
      <c r="L119" s="187"/>
      <c r="M119" s="189">
        <f t="shared" si="8"/>
        <v>0</v>
      </c>
    </row>
    <row r="120" spans="1:13" x14ac:dyDescent="0.25">
      <c r="A120" s="204"/>
      <c r="G120" s="175"/>
      <c r="H120" s="187">
        <v>115</v>
      </c>
      <c r="I120" s="188" t="str">
        <f t="shared" si="6"/>
        <v/>
      </c>
      <c r="J120" s="187" t="e">
        <f t="shared" si="9"/>
        <v>#NUM!</v>
      </c>
      <c r="K120" s="187" t="e">
        <f t="shared" si="7"/>
        <v>#NUM!</v>
      </c>
      <c r="L120" s="187"/>
      <c r="M120" s="189">
        <f t="shared" si="8"/>
        <v>0</v>
      </c>
    </row>
    <row r="121" spans="1:13" x14ac:dyDescent="0.25">
      <c r="A121" s="204"/>
      <c r="G121" s="175"/>
      <c r="H121" s="187">
        <v>116</v>
      </c>
      <c r="I121" s="188" t="str">
        <f t="shared" si="6"/>
        <v/>
      </c>
      <c r="J121" s="187" t="e">
        <f t="shared" si="9"/>
        <v>#NUM!</v>
      </c>
      <c r="K121" s="187" t="e">
        <f t="shared" si="7"/>
        <v>#NUM!</v>
      </c>
      <c r="L121" s="187"/>
      <c r="M121" s="189">
        <f t="shared" si="8"/>
        <v>0</v>
      </c>
    </row>
    <row r="122" spans="1:13" x14ac:dyDescent="0.25">
      <c r="A122" s="204"/>
      <c r="G122" s="175"/>
      <c r="H122" s="187">
        <v>117</v>
      </c>
      <c r="I122" s="188" t="str">
        <f t="shared" si="6"/>
        <v/>
      </c>
      <c r="J122" s="187" t="e">
        <f t="shared" si="9"/>
        <v>#NUM!</v>
      </c>
      <c r="K122" s="187" t="e">
        <f t="shared" si="7"/>
        <v>#NUM!</v>
      </c>
      <c r="L122" s="187"/>
      <c r="M122" s="189">
        <f t="shared" si="8"/>
        <v>0</v>
      </c>
    </row>
    <row r="123" spans="1:13" x14ac:dyDescent="0.25">
      <c r="A123" s="204"/>
      <c r="G123" s="175"/>
      <c r="H123" s="187">
        <v>118</v>
      </c>
      <c r="I123" s="188" t="str">
        <f t="shared" si="6"/>
        <v/>
      </c>
      <c r="J123" s="187" t="e">
        <f t="shared" si="9"/>
        <v>#NUM!</v>
      </c>
      <c r="K123" s="187" t="e">
        <f t="shared" si="7"/>
        <v>#NUM!</v>
      </c>
      <c r="L123" s="187"/>
      <c r="M123" s="189">
        <f t="shared" si="8"/>
        <v>0</v>
      </c>
    </row>
    <row r="124" spans="1:13" x14ac:dyDescent="0.25">
      <c r="A124" s="204"/>
      <c r="G124" s="175"/>
      <c r="H124" s="187">
        <v>119</v>
      </c>
      <c r="I124" s="188" t="str">
        <f t="shared" si="6"/>
        <v/>
      </c>
      <c r="J124" s="187" t="e">
        <f t="shared" si="9"/>
        <v>#NUM!</v>
      </c>
      <c r="K124" s="187" t="e">
        <f t="shared" si="7"/>
        <v>#NUM!</v>
      </c>
      <c r="L124" s="187"/>
      <c r="M124" s="189">
        <f t="shared" si="8"/>
        <v>0</v>
      </c>
    </row>
    <row r="125" spans="1:13" x14ac:dyDescent="0.25">
      <c r="A125" s="204"/>
      <c r="G125" s="175"/>
      <c r="H125" s="187">
        <v>120</v>
      </c>
      <c r="I125" s="188" t="str">
        <f t="shared" si="6"/>
        <v/>
      </c>
      <c r="J125" s="187" t="e">
        <f t="shared" si="9"/>
        <v>#NUM!</v>
      </c>
      <c r="K125" s="187" t="e">
        <f t="shared" si="7"/>
        <v>#NUM!</v>
      </c>
      <c r="L125" s="187"/>
      <c r="M125" s="189">
        <f t="shared" si="8"/>
        <v>0</v>
      </c>
    </row>
    <row r="126" spans="1:13" x14ac:dyDescent="0.25">
      <c r="A126" s="204"/>
      <c r="G126" s="175"/>
      <c r="H126" s="187">
        <v>121</v>
      </c>
      <c r="I126" s="188" t="str">
        <f t="shared" si="6"/>
        <v/>
      </c>
      <c r="J126" s="187" t="e">
        <f t="shared" si="9"/>
        <v>#NUM!</v>
      </c>
      <c r="K126" s="187" t="e">
        <f t="shared" si="7"/>
        <v>#NUM!</v>
      </c>
      <c r="L126" s="187"/>
      <c r="M126" s="189">
        <f t="shared" si="8"/>
        <v>0</v>
      </c>
    </row>
    <row r="127" spans="1:13" x14ac:dyDescent="0.25">
      <c r="A127" s="204"/>
      <c r="G127" s="175"/>
      <c r="H127" s="187">
        <v>122</v>
      </c>
      <c r="I127" s="188" t="str">
        <f t="shared" si="6"/>
        <v/>
      </c>
      <c r="J127" s="187" t="e">
        <f t="shared" si="9"/>
        <v>#NUM!</v>
      </c>
      <c r="K127" s="187" t="e">
        <f t="shared" si="7"/>
        <v>#NUM!</v>
      </c>
      <c r="L127" s="187"/>
      <c r="M127" s="189">
        <f t="shared" si="8"/>
        <v>0</v>
      </c>
    </row>
    <row r="128" spans="1:13" x14ac:dyDescent="0.25">
      <c r="A128" s="204"/>
      <c r="G128" s="175"/>
      <c r="H128" s="187">
        <v>123</v>
      </c>
      <c r="I128" s="188" t="str">
        <f t="shared" si="6"/>
        <v/>
      </c>
      <c r="J128" s="187" t="e">
        <f t="shared" si="9"/>
        <v>#NUM!</v>
      </c>
      <c r="K128" s="187" t="e">
        <f t="shared" si="7"/>
        <v>#NUM!</v>
      </c>
      <c r="L128" s="187"/>
      <c r="M128" s="189">
        <f t="shared" si="8"/>
        <v>0</v>
      </c>
    </row>
    <row r="129" spans="1:13" x14ac:dyDescent="0.25">
      <c r="A129" s="204"/>
      <c r="G129" s="175"/>
      <c r="H129" s="187">
        <v>124</v>
      </c>
      <c r="I129" s="188" t="str">
        <f t="shared" si="6"/>
        <v/>
      </c>
      <c r="J129" s="187" t="e">
        <f t="shared" si="9"/>
        <v>#NUM!</v>
      </c>
      <c r="K129" s="187" t="e">
        <f t="shared" si="7"/>
        <v>#NUM!</v>
      </c>
      <c r="L129" s="187"/>
      <c r="M129" s="189">
        <f t="shared" si="8"/>
        <v>0</v>
      </c>
    </row>
    <row r="130" spans="1:13" x14ac:dyDescent="0.25">
      <c r="A130" s="204"/>
      <c r="G130" s="175"/>
      <c r="H130" s="187">
        <v>125</v>
      </c>
      <c r="I130" s="188" t="str">
        <f t="shared" si="6"/>
        <v/>
      </c>
      <c r="J130" s="187" t="e">
        <f t="shared" si="9"/>
        <v>#NUM!</v>
      </c>
      <c r="K130" s="187" t="e">
        <f t="shared" si="7"/>
        <v>#NUM!</v>
      </c>
      <c r="L130" s="187"/>
      <c r="M130" s="189">
        <f t="shared" si="8"/>
        <v>0</v>
      </c>
    </row>
    <row r="131" spans="1:13" x14ac:dyDescent="0.25">
      <c r="A131" s="204"/>
      <c r="G131" s="175"/>
      <c r="H131" s="187">
        <v>126</v>
      </c>
      <c r="I131" s="188" t="str">
        <f t="shared" si="6"/>
        <v/>
      </c>
      <c r="J131" s="187" t="e">
        <f t="shared" si="9"/>
        <v>#NUM!</v>
      </c>
      <c r="K131" s="187" t="e">
        <f t="shared" si="7"/>
        <v>#NUM!</v>
      </c>
      <c r="L131" s="187"/>
      <c r="M131" s="189">
        <f t="shared" si="8"/>
        <v>0</v>
      </c>
    </row>
    <row r="132" spans="1:13" x14ac:dyDescent="0.25">
      <c r="A132" s="204"/>
      <c r="G132" s="175"/>
      <c r="H132" s="187">
        <v>127</v>
      </c>
      <c r="I132" s="188" t="str">
        <f t="shared" si="6"/>
        <v/>
      </c>
      <c r="J132" s="187" t="e">
        <f t="shared" si="9"/>
        <v>#NUM!</v>
      </c>
      <c r="K132" s="187" t="e">
        <f t="shared" si="7"/>
        <v>#NUM!</v>
      </c>
      <c r="L132" s="187"/>
      <c r="M132" s="189">
        <f t="shared" si="8"/>
        <v>0</v>
      </c>
    </row>
    <row r="133" spans="1:13" x14ac:dyDescent="0.25">
      <c r="A133" s="204"/>
      <c r="G133" s="175"/>
      <c r="H133" s="187">
        <v>128</v>
      </c>
      <c r="I133" s="188" t="str">
        <f t="shared" si="6"/>
        <v/>
      </c>
      <c r="J133" s="187" t="e">
        <f t="shared" si="9"/>
        <v>#NUM!</v>
      </c>
      <c r="K133" s="187" t="e">
        <f t="shared" si="7"/>
        <v>#NUM!</v>
      </c>
      <c r="L133" s="187"/>
      <c r="M133" s="189">
        <f t="shared" si="8"/>
        <v>0</v>
      </c>
    </row>
    <row r="134" spans="1:13" x14ac:dyDescent="0.25">
      <c r="A134" s="204"/>
      <c r="G134" s="175"/>
      <c r="H134" s="187">
        <v>129</v>
      </c>
      <c r="I134" s="188" t="str">
        <f t="shared" ref="I134:I197" si="10">IF(H134&lt;$H$2+1,($I$2-($I$2-1)*(LOG(H134)/LOG($H$2))),"")</f>
        <v/>
      </c>
      <c r="J134" s="187" t="e">
        <f t="shared" si="9"/>
        <v>#NUM!</v>
      </c>
      <c r="K134" s="187" t="e">
        <f t="shared" ref="K134:K197" si="11">J134*$J$2</f>
        <v>#NUM!</v>
      </c>
      <c r="L134" s="187"/>
      <c r="M134" s="189">
        <f t="shared" ref="M134:M197" si="12">IF(I134&lt;&gt;"",K134+I134+L134,0)</f>
        <v>0</v>
      </c>
    </row>
    <row r="135" spans="1:13" x14ac:dyDescent="0.25">
      <c r="A135" s="204"/>
      <c r="G135" s="175"/>
      <c r="H135" s="187">
        <v>130</v>
      </c>
      <c r="I135" s="188" t="str">
        <f t="shared" si="10"/>
        <v/>
      </c>
      <c r="J135" s="187" t="e">
        <f t="shared" ref="J135:J198" si="13">INT(LOG($H$2,2))-ROUNDUP(LOG(H135,2),0)+IF(OR($H$2=1,$H$2=2,$H$2=4,$H$2=8,$H$2=16,$H$2=32,$H$2=64,$H$2=128,$H$2=256),0,1)</f>
        <v>#NUM!</v>
      </c>
      <c r="K135" s="187" t="e">
        <f t="shared" si="11"/>
        <v>#NUM!</v>
      </c>
      <c r="L135" s="187"/>
      <c r="M135" s="189">
        <f t="shared" si="12"/>
        <v>0</v>
      </c>
    </row>
    <row r="136" spans="1:13" x14ac:dyDescent="0.25">
      <c r="A136" s="204"/>
      <c r="G136" s="175"/>
      <c r="H136" s="187">
        <v>131</v>
      </c>
      <c r="I136" s="188" t="str">
        <f t="shared" si="10"/>
        <v/>
      </c>
      <c r="J136" s="187" t="e">
        <f t="shared" si="13"/>
        <v>#NUM!</v>
      </c>
      <c r="K136" s="187" t="e">
        <f t="shared" si="11"/>
        <v>#NUM!</v>
      </c>
      <c r="L136" s="187"/>
      <c r="M136" s="189">
        <f t="shared" si="12"/>
        <v>0</v>
      </c>
    </row>
    <row r="137" spans="1:13" x14ac:dyDescent="0.25">
      <c r="A137" s="204"/>
      <c r="G137" s="175"/>
      <c r="H137" s="187">
        <v>132</v>
      </c>
      <c r="I137" s="188" t="str">
        <f t="shared" si="10"/>
        <v/>
      </c>
      <c r="J137" s="187" t="e">
        <f t="shared" si="13"/>
        <v>#NUM!</v>
      </c>
      <c r="K137" s="187" t="e">
        <f t="shared" si="11"/>
        <v>#NUM!</v>
      </c>
      <c r="L137" s="187"/>
      <c r="M137" s="189">
        <f t="shared" si="12"/>
        <v>0</v>
      </c>
    </row>
    <row r="138" spans="1:13" x14ac:dyDescent="0.25">
      <c r="A138" s="204"/>
      <c r="G138" s="175"/>
      <c r="H138" s="187">
        <v>133</v>
      </c>
      <c r="I138" s="188" t="str">
        <f t="shared" si="10"/>
        <v/>
      </c>
      <c r="J138" s="187" t="e">
        <f t="shared" si="13"/>
        <v>#NUM!</v>
      </c>
      <c r="K138" s="187" t="e">
        <f t="shared" si="11"/>
        <v>#NUM!</v>
      </c>
      <c r="L138" s="187"/>
      <c r="M138" s="189">
        <f t="shared" si="12"/>
        <v>0</v>
      </c>
    </row>
    <row r="139" spans="1:13" x14ac:dyDescent="0.25">
      <c r="A139" s="204"/>
      <c r="G139" s="175"/>
      <c r="H139" s="187">
        <v>134</v>
      </c>
      <c r="I139" s="188" t="str">
        <f t="shared" si="10"/>
        <v/>
      </c>
      <c r="J139" s="187" t="e">
        <f t="shared" si="13"/>
        <v>#NUM!</v>
      </c>
      <c r="K139" s="187" t="e">
        <f t="shared" si="11"/>
        <v>#NUM!</v>
      </c>
      <c r="L139" s="187"/>
      <c r="M139" s="189">
        <f t="shared" si="12"/>
        <v>0</v>
      </c>
    </row>
    <row r="140" spans="1:13" x14ac:dyDescent="0.25">
      <c r="A140" s="204"/>
      <c r="G140" s="175"/>
      <c r="H140" s="187">
        <v>135</v>
      </c>
      <c r="I140" s="188" t="str">
        <f t="shared" si="10"/>
        <v/>
      </c>
      <c r="J140" s="187" t="e">
        <f t="shared" si="13"/>
        <v>#NUM!</v>
      </c>
      <c r="K140" s="187" t="e">
        <f t="shared" si="11"/>
        <v>#NUM!</v>
      </c>
      <c r="L140" s="187"/>
      <c r="M140" s="189">
        <f t="shared" si="12"/>
        <v>0</v>
      </c>
    </row>
    <row r="141" spans="1:13" x14ac:dyDescent="0.25">
      <c r="A141" s="204"/>
      <c r="G141" s="175"/>
      <c r="H141" s="187">
        <v>136</v>
      </c>
      <c r="I141" s="188" t="str">
        <f t="shared" si="10"/>
        <v/>
      </c>
      <c r="J141" s="187" t="e">
        <f t="shared" si="13"/>
        <v>#NUM!</v>
      </c>
      <c r="K141" s="187" t="e">
        <f t="shared" si="11"/>
        <v>#NUM!</v>
      </c>
      <c r="L141" s="187"/>
      <c r="M141" s="189">
        <f t="shared" si="12"/>
        <v>0</v>
      </c>
    </row>
    <row r="142" spans="1:13" x14ac:dyDescent="0.25">
      <c r="A142" s="204"/>
      <c r="G142" s="175"/>
      <c r="H142" s="187">
        <v>137</v>
      </c>
      <c r="I142" s="188" t="str">
        <f t="shared" si="10"/>
        <v/>
      </c>
      <c r="J142" s="187" t="e">
        <f t="shared" si="13"/>
        <v>#NUM!</v>
      </c>
      <c r="K142" s="187" t="e">
        <f t="shared" si="11"/>
        <v>#NUM!</v>
      </c>
      <c r="L142" s="187"/>
      <c r="M142" s="189">
        <f t="shared" si="12"/>
        <v>0</v>
      </c>
    </row>
    <row r="143" spans="1:13" x14ac:dyDescent="0.25">
      <c r="A143" s="204"/>
      <c r="G143" s="175"/>
      <c r="H143" s="187">
        <v>138</v>
      </c>
      <c r="I143" s="188" t="str">
        <f t="shared" si="10"/>
        <v/>
      </c>
      <c r="J143" s="187" t="e">
        <f t="shared" si="13"/>
        <v>#NUM!</v>
      </c>
      <c r="K143" s="187" t="e">
        <f t="shared" si="11"/>
        <v>#NUM!</v>
      </c>
      <c r="L143" s="187"/>
      <c r="M143" s="189">
        <f t="shared" si="12"/>
        <v>0</v>
      </c>
    </row>
    <row r="144" spans="1:13" x14ac:dyDescent="0.25">
      <c r="A144" s="204"/>
      <c r="G144" s="175"/>
      <c r="H144" s="187">
        <v>139</v>
      </c>
      <c r="I144" s="188" t="str">
        <f t="shared" si="10"/>
        <v/>
      </c>
      <c r="J144" s="187" t="e">
        <f t="shared" si="13"/>
        <v>#NUM!</v>
      </c>
      <c r="K144" s="187" t="e">
        <f t="shared" si="11"/>
        <v>#NUM!</v>
      </c>
      <c r="L144" s="187"/>
      <c r="M144" s="189">
        <f t="shared" si="12"/>
        <v>0</v>
      </c>
    </row>
    <row r="145" spans="1:13" x14ac:dyDescent="0.25">
      <c r="A145" s="204"/>
      <c r="G145" s="175"/>
      <c r="H145" s="187">
        <v>140</v>
      </c>
      <c r="I145" s="188" t="str">
        <f t="shared" si="10"/>
        <v/>
      </c>
      <c r="J145" s="187" t="e">
        <f t="shared" si="13"/>
        <v>#NUM!</v>
      </c>
      <c r="K145" s="187" t="e">
        <f t="shared" si="11"/>
        <v>#NUM!</v>
      </c>
      <c r="L145" s="187"/>
      <c r="M145" s="189">
        <f t="shared" si="12"/>
        <v>0</v>
      </c>
    </row>
    <row r="146" spans="1:13" x14ac:dyDescent="0.25">
      <c r="A146" s="204"/>
      <c r="G146" s="175"/>
      <c r="H146" s="187">
        <v>141</v>
      </c>
      <c r="I146" s="188" t="str">
        <f t="shared" si="10"/>
        <v/>
      </c>
      <c r="J146" s="187" t="e">
        <f t="shared" si="13"/>
        <v>#NUM!</v>
      </c>
      <c r="K146" s="187" t="e">
        <f t="shared" si="11"/>
        <v>#NUM!</v>
      </c>
      <c r="L146" s="187"/>
      <c r="M146" s="189">
        <f t="shared" si="12"/>
        <v>0</v>
      </c>
    </row>
    <row r="147" spans="1:13" x14ac:dyDescent="0.25">
      <c r="A147" s="204"/>
      <c r="G147" s="175"/>
      <c r="H147" s="187">
        <v>142</v>
      </c>
      <c r="I147" s="188" t="str">
        <f t="shared" si="10"/>
        <v/>
      </c>
      <c r="J147" s="187" t="e">
        <f t="shared" si="13"/>
        <v>#NUM!</v>
      </c>
      <c r="K147" s="187" t="e">
        <f t="shared" si="11"/>
        <v>#NUM!</v>
      </c>
      <c r="L147" s="187"/>
      <c r="M147" s="189">
        <f t="shared" si="12"/>
        <v>0</v>
      </c>
    </row>
    <row r="148" spans="1:13" x14ac:dyDescent="0.25">
      <c r="A148" s="204"/>
      <c r="G148" s="175"/>
      <c r="H148" s="187">
        <v>143</v>
      </c>
      <c r="I148" s="188" t="str">
        <f t="shared" si="10"/>
        <v/>
      </c>
      <c r="J148" s="187" t="e">
        <f t="shared" si="13"/>
        <v>#NUM!</v>
      </c>
      <c r="K148" s="187" t="e">
        <f t="shared" si="11"/>
        <v>#NUM!</v>
      </c>
      <c r="L148" s="187"/>
      <c r="M148" s="189">
        <f t="shared" si="12"/>
        <v>0</v>
      </c>
    </row>
    <row r="149" spans="1:13" x14ac:dyDescent="0.25">
      <c r="A149" s="204"/>
      <c r="G149" s="175"/>
      <c r="H149" s="187">
        <v>144</v>
      </c>
      <c r="I149" s="188" t="str">
        <f t="shared" si="10"/>
        <v/>
      </c>
      <c r="J149" s="187" t="e">
        <f t="shared" si="13"/>
        <v>#NUM!</v>
      </c>
      <c r="K149" s="187" t="e">
        <f t="shared" si="11"/>
        <v>#NUM!</v>
      </c>
      <c r="L149" s="187"/>
      <c r="M149" s="189">
        <f t="shared" si="12"/>
        <v>0</v>
      </c>
    </row>
    <row r="150" spans="1:13" x14ac:dyDescent="0.25">
      <c r="A150" s="204"/>
      <c r="G150" s="175"/>
      <c r="H150" s="187">
        <v>145</v>
      </c>
      <c r="I150" s="188" t="str">
        <f t="shared" si="10"/>
        <v/>
      </c>
      <c r="J150" s="187" t="e">
        <f t="shared" si="13"/>
        <v>#NUM!</v>
      </c>
      <c r="K150" s="187" t="e">
        <f t="shared" si="11"/>
        <v>#NUM!</v>
      </c>
      <c r="L150" s="187"/>
      <c r="M150" s="189">
        <f t="shared" si="12"/>
        <v>0</v>
      </c>
    </row>
    <row r="151" spans="1:13" x14ac:dyDescent="0.25">
      <c r="A151" s="204"/>
      <c r="G151" s="175"/>
      <c r="H151" s="187">
        <v>146</v>
      </c>
      <c r="I151" s="188" t="str">
        <f t="shared" si="10"/>
        <v/>
      </c>
      <c r="J151" s="187" t="e">
        <f t="shared" si="13"/>
        <v>#NUM!</v>
      </c>
      <c r="K151" s="187" t="e">
        <f t="shared" si="11"/>
        <v>#NUM!</v>
      </c>
      <c r="L151" s="187"/>
      <c r="M151" s="189">
        <f t="shared" si="12"/>
        <v>0</v>
      </c>
    </row>
    <row r="152" spans="1:13" x14ac:dyDescent="0.25">
      <c r="A152" s="204"/>
      <c r="G152" s="175"/>
      <c r="H152" s="187">
        <v>147</v>
      </c>
      <c r="I152" s="188" t="str">
        <f t="shared" si="10"/>
        <v/>
      </c>
      <c r="J152" s="187" t="e">
        <f t="shared" si="13"/>
        <v>#NUM!</v>
      </c>
      <c r="K152" s="187" t="e">
        <f t="shared" si="11"/>
        <v>#NUM!</v>
      </c>
      <c r="L152" s="187"/>
      <c r="M152" s="189">
        <f t="shared" si="12"/>
        <v>0</v>
      </c>
    </row>
    <row r="153" spans="1:13" x14ac:dyDescent="0.25">
      <c r="A153" s="204"/>
      <c r="G153" s="175"/>
      <c r="H153" s="187">
        <v>148</v>
      </c>
      <c r="I153" s="188" t="str">
        <f t="shared" si="10"/>
        <v/>
      </c>
      <c r="J153" s="187" t="e">
        <f t="shared" si="13"/>
        <v>#NUM!</v>
      </c>
      <c r="K153" s="187" t="e">
        <f t="shared" si="11"/>
        <v>#NUM!</v>
      </c>
      <c r="L153" s="187"/>
      <c r="M153" s="189">
        <f t="shared" si="12"/>
        <v>0</v>
      </c>
    </row>
    <row r="154" spans="1:13" x14ac:dyDescent="0.25">
      <c r="A154" s="204"/>
      <c r="G154" s="175"/>
      <c r="H154" s="187">
        <v>149</v>
      </c>
      <c r="I154" s="188" t="str">
        <f t="shared" si="10"/>
        <v/>
      </c>
      <c r="J154" s="187" t="e">
        <f t="shared" si="13"/>
        <v>#NUM!</v>
      </c>
      <c r="K154" s="187" t="e">
        <f t="shared" si="11"/>
        <v>#NUM!</v>
      </c>
      <c r="L154" s="187"/>
      <c r="M154" s="189">
        <f t="shared" si="12"/>
        <v>0</v>
      </c>
    </row>
    <row r="155" spans="1:13" x14ac:dyDescent="0.25">
      <c r="A155" s="204"/>
      <c r="G155" s="175"/>
      <c r="H155" s="187">
        <v>150</v>
      </c>
      <c r="I155" s="188" t="str">
        <f t="shared" si="10"/>
        <v/>
      </c>
      <c r="J155" s="187" t="e">
        <f t="shared" si="13"/>
        <v>#NUM!</v>
      </c>
      <c r="K155" s="187" t="e">
        <f t="shared" si="11"/>
        <v>#NUM!</v>
      </c>
      <c r="L155" s="187"/>
      <c r="M155" s="189">
        <f t="shared" si="12"/>
        <v>0</v>
      </c>
    </row>
    <row r="156" spans="1:13" x14ac:dyDescent="0.25">
      <c r="A156" s="204"/>
      <c r="G156" s="175"/>
      <c r="H156" s="187">
        <v>151</v>
      </c>
      <c r="I156" s="188" t="str">
        <f t="shared" si="10"/>
        <v/>
      </c>
      <c r="J156" s="187" t="e">
        <f t="shared" si="13"/>
        <v>#NUM!</v>
      </c>
      <c r="K156" s="187" t="e">
        <f t="shared" si="11"/>
        <v>#NUM!</v>
      </c>
      <c r="L156" s="187"/>
      <c r="M156" s="189">
        <f t="shared" si="12"/>
        <v>0</v>
      </c>
    </row>
    <row r="157" spans="1:13" x14ac:dyDescent="0.25">
      <c r="A157" s="204"/>
      <c r="G157" s="175"/>
      <c r="H157" s="187">
        <v>152</v>
      </c>
      <c r="I157" s="188" t="str">
        <f t="shared" si="10"/>
        <v/>
      </c>
      <c r="J157" s="187" t="e">
        <f t="shared" si="13"/>
        <v>#NUM!</v>
      </c>
      <c r="K157" s="187" t="e">
        <f t="shared" si="11"/>
        <v>#NUM!</v>
      </c>
      <c r="L157" s="187"/>
      <c r="M157" s="189">
        <f t="shared" si="12"/>
        <v>0</v>
      </c>
    </row>
    <row r="158" spans="1:13" x14ac:dyDescent="0.25">
      <c r="A158" s="204"/>
      <c r="G158" s="175"/>
      <c r="H158" s="187">
        <v>153</v>
      </c>
      <c r="I158" s="188" t="str">
        <f t="shared" si="10"/>
        <v/>
      </c>
      <c r="J158" s="187" t="e">
        <f t="shared" si="13"/>
        <v>#NUM!</v>
      </c>
      <c r="K158" s="187" t="e">
        <f t="shared" si="11"/>
        <v>#NUM!</v>
      </c>
      <c r="L158" s="187"/>
      <c r="M158" s="189">
        <f t="shared" si="12"/>
        <v>0</v>
      </c>
    </row>
    <row r="159" spans="1:13" x14ac:dyDescent="0.25">
      <c r="A159" s="204"/>
      <c r="G159" s="175"/>
      <c r="H159" s="187">
        <v>154</v>
      </c>
      <c r="I159" s="188" t="str">
        <f t="shared" si="10"/>
        <v/>
      </c>
      <c r="J159" s="187" t="e">
        <f t="shared" si="13"/>
        <v>#NUM!</v>
      </c>
      <c r="K159" s="187" t="e">
        <f t="shared" si="11"/>
        <v>#NUM!</v>
      </c>
      <c r="L159" s="187"/>
      <c r="M159" s="189">
        <f t="shared" si="12"/>
        <v>0</v>
      </c>
    </row>
    <row r="160" spans="1:13" x14ac:dyDescent="0.25">
      <c r="A160" s="204"/>
      <c r="G160" s="175"/>
      <c r="H160" s="187">
        <v>155</v>
      </c>
      <c r="I160" s="188" t="str">
        <f t="shared" si="10"/>
        <v/>
      </c>
      <c r="J160" s="187" t="e">
        <f t="shared" si="13"/>
        <v>#NUM!</v>
      </c>
      <c r="K160" s="187" t="e">
        <f t="shared" si="11"/>
        <v>#NUM!</v>
      </c>
      <c r="L160" s="187"/>
      <c r="M160" s="189">
        <f t="shared" si="12"/>
        <v>0</v>
      </c>
    </row>
    <row r="161" spans="1:13" x14ac:dyDescent="0.25">
      <c r="A161" s="204"/>
      <c r="G161" s="175"/>
      <c r="H161" s="187">
        <v>156</v>
      </c>
      <c r="I161" s="188" t="str">
        <f t="shared" si="10"/>
        <v/>
      </c>
      <c r="J161" s="187" t="e">
        <f t="shared" si="13"/>
        <v>#NUM!</v>
      </c>
      <c r="K161" s="187" t="e">
        <f t="shared" si="11"/>
        <v>#NUM!</v>
      </c>
      <c r="L161" s="187"/>
      <c r="M161" s="189">
        <f t="shared" si="12"/>
        <v>0</v>
      </c>
    </row>
    <row r="162" spans="1:13" x14ac:dyDescent="0.25">
      <c r="A162" s="204"/>
      <c r="G162" s="175"/>
      <c r="H162" s="187">
        <v>157</v>
      </c>
      <c r="I162" s="188" t="str">
        <f t="shared" si="10"/>
        <v/>
      </c>
      <c r="J162" s="187" t="e">
        <f t="shared" si="13"/>
        <v>#NUM!</v>
      </c>
      <c r="K162" s="187" t="e">
        <f t="shared" si="11"/>
        <v>#NUM!</v>
      </c>
      <c r="L162" s="187"/>
      <c r="M162" s="189">
        <f t="shared" si="12"/>
        <v>0</v>
      </c>
    </row>
    <row r="163" spans="1:13" x14ac:dyDescent="0.25">
      <c r="A163" s="204"/>
      <c r="G163" s="175"/>
      <c r="H163" s="187">
        <v>158</v>
      </c>
      <c r="I163" s="188" t="str">
        <f t="shared" si="10"/>
        <v/>
      </c>
      <c r="J163" s="187" t="e">
        <f t="shared" si="13"/>
        <v>#NUM!</v>
      </c>
      <c r="K163" s="187" t="e">
        <f t="shared" si="11"/>
        <v>#NUM!</v>
      </c>
      <c r="L163" s="187"/>
      <c r="M163" s="189">
        <f t="shared" si="12"/>
        <v>0</v>
      </c>
    </row>
    <row r="164" spans="1:13" x14ac:dyDescent="0.25">
      <c r="A164" s="204"/>
      <c r="G164" s="175"/>
      <c r="H164" s="187">
        <v>159</v>
      </c>
      <c r="I164" s="188" t="str">
        <f t="shared" si="10"/>
        <v/>
      </c>
      <c r="J164" s="187" t="e">
        <f t="shared" si="13"/>
        <v>#NUM!</v>
      </c>
      <c r="K164" s="187" t="e">
        <f t="shared" si="11"/>
        <v>#NUM!</v>
      </c>
      <c r="L164" s="187"/>
      <c r="M164" s="189">
        <f t="shared" si="12"/>
        <v>0</v>
      </c>
    </row>
    <row r="165" spans="1:13" x14ac:dyDescent="0.25">
      <c r="A165" s="204"/>
      <c r="G165" s="175"/>
      <c r="H165" s="187">
        <v>160</v>
      </c>
      <c r="I165" s="188" t="str">
        <f t="shared" si="10"/>
        <v/>
      </c>
      <c r="J165" s="187" t="e">
        <f t="shared" si="13"/>
        <v>#NUM!</v>
      </c>
      <c r="K165" s="187" t="e">
        <f t="shared" si="11"/>
        <v>#NUM!</v>
      </c>
      <c r="L165" s="187"/>
      <c r="M165" s="189">
        <f t="shared" si="12"/>
        <v>0</v>
      </c>
    </row>
    <row r="166" spans="1:13" x14ac:dyDescent="0.25">
      <c r="A166" s="204"/>
      <c r="G166" s="175"/>
      <c r="H166" s="187">
        <v>161</v>
      </c>
      <c r="I166" s="188" t="str">
        <f t="shared" si="10"/>
        <v/>
      </c>
      <c r="J166" s="187" t="e">
        <f t="shared" si="13"/>
        <v>#NUM!</v>
      </c>
      <c r="K166" s="187" t="e">
        <f t="shared" si="11"/>
        <v>#NUM!</v>
      </c>
      <c r="L166" s="187"/>
      <c r="M166" s="189">
        <f t="shared" si="12"/>
        <v>0</v>
      </c>
    </row>
    <row r="167" spans="1:13" x14ac:dyDescent="0.25">
      <c r="A167" s="204"/>
      <c r="G167" s="175"/>
      <c r="H167" s="187">
        <v>162</v>
      </c>
      <c r="I167" s="188" t="str">
        <f t="shared" si="10"/>
        <v/>
      </c>
      <c r="J167" s="187" t="e">
        <f t="shared" si="13"/>
        <v>#NUM!</v>
      </c>
      <c r="K167" s="187" t="e">
        <f t="shared" si="11"/>
        <v>#NUM!</v>
      </c>
      <c r="L167" s="187"/>
      <c r="M167" s="189">
        <f t="shared" si="12"/>
        <v>0</v>
      </c>
    </row>
    <row r="168" spans="1:13" x14ac:dyDescent="0.25">
      <c r="A168" s="204"/>
      <c r="G168" s="175"/>
      <c r="H168" s="187">
        <v>163</v>
      </c>
      <c r="I168" s="188" t="str">
        <f t="shared" si="10"/>
        <v/>
      </c>
      <c r="J168" s="187" t="e">
        <f t="shared" si="13"/>
        <v>#NUM!</v>
      </c>
      <c r="K168" s="187" t="e">
        <f t="shared" si="11"/>
        <v>#NUM!</v>
      </c>
      <c r="L168" s="187"/>
      <c r="M168" s="189">
        <f t="shared" si="12"/>
        <v>0</v>
      </c>
    </row>
    <row r="169" spans="1:13" x14ac:dyDescent="0.25">
      <c r="A169" s="204"/>
      <c r="C169" s="203" t="s">
        <v>95</v>
      </c>
      <c r="G169" s="175"/>
      <c r="H169" s="187">
        <v>164</v>
      </c>
      <c r="I169" s="188" t="str">
        <f t="shared" si="10"/>
        <v/>
      </c>
      <c r="J169" s="187" t="e">
        <f t="shared" si="13"/>
        <v>#NUM!</v>
      </c>
      <c r="K169" s="187" t="e">
        <f t="shared" si="11"/>
        <v>#NUM!</v>
      </c>
      <c r="L169" s="187"/>
      <c r="M169" s="189">
        <f t="shared" si="12"/>
        <v>0</v>
      </c>
    </row>
    <row r="170" spans="1:13" x14ac:dyDescent="0.25">
      <c r="A170" s="204"/>
      <c r="G170" s="175"/>
      <c r="H170" s="187">
        <v>165</v>
      </c>
      <c r="I170" s="188" t="str">
        <f t="shared" si="10"/>
        <v/>
      </c>
      <c r="J170" s="187" t="e">
        <f t="shared" si="13"/>
        <v>#NUM!</v>
      </c>
      <c r="K170" s="187" t="e">
        <f t="shared" si="11"/>
        <v>#NUM!</v>
      </c>
      <c r="L170" s="187"/>
      <c r="M170" s="189">
        <f t="shared" si="12"/>
        <v>0</v>
      </c>
    </row>
    <row r="171" spans="1:13" x14ac:dyDescent="0.25">
      <c r="A171" s="204"/>
      <c r="G171" s="175"/>
      <c r="H171" s="187">
        <v>166</v>
      </c>
      <c r="I171" s="188" t="str">
        <f t="shared" si="10"/>
        <v/>
      </c>
      <c r="J171" s="187" t="e">
        <f t="shared" si="13"/>
        <v>#NUM!</v>
      </c>
      <c r="K171" s="187" t="e">
        <f t="shared" si="11"/>
        <v>#NUM!</v>
      </c>
      <c r="L171" s="187"/>
      <c r="M171" s="189">
        <f t="shared" si="12"/>
        <v>0</v>
      </c>
    </row>
    <row r="172" spans="1:13" x14ac:dyDescent="0.25">
      <c r="A172" s="204"/>
      <c r="G172" s="175"/>
      <c r="H172" s="187">
        <v>167</v>
      </c>
      <c r="I172" s="188" t="str">
        <f t="shared" si="10"/>
        <v/>
      </c>
      <c r="J172" s="187" t="e">
        <f t="shared" si="13"/>
        <v>#NUM!</v>
      </c>
      <c r="K172" s="187" t="e">
        <f t="shared" si="11"/>
        <v>#NUM!</v>
      </c>
      <c r="L172" s="187"/>
      <c r="M172" s="189">
        <f t="shared" si="12"/>
        <v>0</v>
      </c>
    </row>
    <row r="173" spans="1:13" x14ac:dyDescent="0.25">
      <c r="A173" s="204"/>
      <c r="G173" s="175"/>
      <c r="H173" s="187">
        <v>168</v>
      </c>
      <c r="I173" s="188" t="str">
        <f t="shared" si="10"/>
        <v/>
      </c>
      <c r="J173" s="187" t="e">
        <f t="shared" si="13"/>
        <v>#NUM!</v>
      </c>
      <c r="K173" s="187" t="e">
        <f t="shared" si="11"/>
        <v>#NUM!</v>
      </c>
      <c r="L173" s="187"/>
      <c r="M173" s="189">
        <f t="shared" si="12"/>
        <v>0</v>
      </c>
    </row>
    <row r="174" spans="1:13" x14ac:dyDescent="0.25">
      <c r="A174" s="204"/>
      <c r="G174" s="175"/>
      <c r="H174" s="187">
        <v>169</v>
      </c>
      <c r="I174" s="188" t="str">
        <f t="shared" si="10"/>
        <v/>
      </c>
      <c r="J174" s="187" t="e">
        <f t="shared" si="13"/>
        <v>#NUM!</v>
      </c>
      <c r="K174" s="187" t="e">
        <f t="shared" si="11"/>
        <v>#NUM!</v>
      </c>
      <c r="L174" s="187"/>
      <c r="M174" s="189">
        <f t="shared" si="12"/>
        <v>0</v>
      </c>
    </row>
    <row r="175" spans="1:13" x14ac:dyDescent="0.25">
      <c r="A175" s="204"/>
      <c r="G175" s="175"/>
      <c r="H175" s="187">
        <v>170</v>
      </c>
      <c r="I175" s="188" t="str">
        <f t="shared" si="10"/>
        <v/>
      </c>
      <c r="J175" s="187" t="e">
        <f t="shared" si="13"/>
        <v>#NUM!</v>
      </c>
      <c r="K175" s="187" t="e">
        <f t="shared" si="11"/>
        <v>#NUM!</v>
      </c>
      <c r="L175" s="187"/>
      <c r="M175" s="189">
        <f t="shared" si="12"/>
        <v>0</v>
      </c>
    </row>
    <row r="176" spans="1:13" x14ac:dyDescent="0.25">
      <c r="A176" s="204"/>
      <c r="G176" s="175"/>
      <c r="H176" s="187">
        <v>171</v>
      </c>
      <c r="I176" s="188" t="str">
        <f t="shared" si="10"/>
        <v/>
      </c>
      <c r="J176" s="187" t="e">
        <f t="shared" si="13"/>
        <v>#NUM!</v>
      </c>
      <c r="K176" s="187" t="e">
        <f t="shared" si="11"/>
        <v>#NUM!</v>
      </c>
      <c r="L176" s="187"/>
      <c r="M176" s="189">
        <f t="shared" si="12"/>
        <v>0</v>
      </c>
    </row>
    <row r="177" spans="1:13" x14ac:dyDescent="0.25">
      <c r="A177" s="204"/>
      <c r="G177" s="175"/>
      <c r="H177" s="187">
        <v>172</v>
      </c>
      <c r="I177" s="188" t="str">
        <f t="shared" si="10"/>
        <v/>
      </c>
      <c r="J177" s="187" t="e">
        <f t="shared" si="13"/>
        <v>#NUM!</v>
      </c>
      <c r="K177" s="187" t="e">
        <f t="shared" si="11"/>
        <v>#NUM!</v>
      </c>
      <c r="L177" s="187"/>
      <c r="M177" s="189">
        <f t="shared" si="12"/>
        <v>0</v>
      </c>
    </row>
    <row r="178" spans="1:13" x14ac:dyDescent="0.25">
      <c r="A178" s="204"/>
      <c r="G178" s="175"/>
      <c r="H178" s="187">
        <v>173</v>
      </c>
      <c r="I178" s="188" t="str">
        <f t="shared" si="10"/>
        <v/>
      </c>
      <c r="J178" s="187" t="e">
        <f t="shared" si="13"/>
        <v>#NUM!</v>
      </c>
      <c r="K178" s="187" t="e">
        <f t="shared" si="11"/>
        <v>#NUM!</v>
      </c>
      <c r="L178" s="187"/>
      <c r="M178" s="189">
        <f t="shared" si="12"/>
        <v>0</v>
      </c>
    </row>
    <row r="179" spans="1:13" x14ac:dyDescent="0.25">
      <c r="A179" s="204"/>
      <c r="G179" s="175"/>
      <c r="H179" s="187">
        <v>174</v>
      </c>
      <c r="I179" s="188" t="str">
        <f t="shared" si="10"/>
        <v/>
      </c>
      <c r="J179" s="187" t="e">
        <f t="shared" si="13"/>
        <v>#NUM!</v>
      </c>
      <c r="K179" s="187" t="e">
        <f t="shared" si="11"/>
        <v>#NUM!</v>
      </c>
      <c r="L179" s="187"/>
      <c r="M179" s="189">
        <f t="shared" si="12"/>
        <v>0</v>
      </c>
    </row>
    <row r="180" spans="1:13" x14ac:dyDescent="0.25">
      <c r="A180" s="204"/>
      <c r="G180" s="175"/>
      <c r="H180" s="187">
        <v>175</v>
      </c>
      <c r="I180" s="188" t="str">
        <f t="shared" si="10"/>
        <v/>
      </c>
      <c r="J180" s="187" t="e">
        <f t="shared" si="13"/>
        <v>#NUM!</v>
      </c>
      <c r="K180" s="187" t="e">
        <f t="shared" si="11"/>
        <v>#NUM!</v>
      </c>
      <c r="L180" s="187"/>
      <c r="M180" s="189">
        <f t="shared" si="12"/>
        <v>0</v>
      </c>
    </row>
    <row r="181" spans="1:13" x14ac:dyDescent="0.25">
      <c r="A181" s="204"/>
      <c r="G181" s="175"/>
      <c r="H181" s="187">
        <v>176</v>
      </c>
      <c r="I181" s="188" t="str">
        <f t="shared" si="10"/>
        <v/>
      </c>
      <c r="J181" s="187" t="e">
        <f t="shared" si="13"/>
        <v>#NUM!</v>
      </c>
      <c r="K181" s="187" t="e">
        <f t="shared" si="11"/>
        <v>#NUM!</v>
      </c>
      <c r="L181" s="187"/>
      <c r="M181" s="189">
        <f t="shared" si="12"/>
        <v>0</v>
      </c>
    </row>
    <row r="182" spans="1:13" x14ac:dyDescent="0.25">
      <c r="A182" s="204"/>
      <c r="G182" s="175"/>
      <c r="H182" s="187">
        <v>177</v>
      </c>
      <c r="I182" s="188" t="str">
        <f t="shared" si="10"/>
        <v/>
      </c>
      <c r="J182" s="187" t="e">
        <f t="shared" si="13"/>
        <v>#NUM!</v>
      </c>
      <c r="K182" s="187" t="e">
        <f t="shared" si="11"/>
        <v>#NUM!</v>
      </c>
      <c r="L182" s="187"/>
      <c r="M182" s="189">
        <f t="shared" si="12"/>
        <v>0</v>
      </c>
    </row>
    <row r="183" spans="1:13" x14ac:dyDescent="0.25">
      <c r="A183" s="204"/>
      <c r="G183" s="175"/>
      <c r="H183" s="187">
        <v>178</v>
      </c>
      <c r="I183" s="188" t="str">
        <f t="shared" si="10"/>
        <v/>
      </c>
      <c r="J183" s="187" t="e">
        <f t="shared" si="13"/>
        <v>#NUM!</v>
      </c>
      <c r="K183" s="187" t="e">
        <f t="shared" si="11"/>
        <v>#NUM!</v>
      </c>
      <c r="L183" s="187"/>
      <c r="M183" s="189">
        <f t="shared" si="12"/>
        <v>0</v>
      </c>
    </row>
    <row r="184" spans="1:13" x14ac:dyDescent="0.25">
      <c r="A184" s="204"/>
      <c r="G184" s="175"/>
      <c r="H184" s="187">
        <v>179</v>
      </c>
      <c r="I184" s="188" t="str">
        <f t="shared" si="10"/>
        <v/>
      </c>
      <c r="J184" s="187" t="e">
        <f t="shared" si="13"/>
        <v>#NUM!</v>
      </c>
      <c r="K184" s="187" t="e">
        <f t="shared" si="11"/>
        <v>#NUM!</v>
      </c>
      <c r="L184" s="187"/>
      <c r="M184" s="189">
        <f t="shared" si="12"/>
        <v>0</v>
      </c>
    </row>
    <row r="185" spans="1:13" x14ac:dyDescent="0.25">
      <c r="A185" s="204"/>
      <c r="G185" s="175"/>
      <c r="H185" s="187">
        <v>180</v>
      </c>
      <c r="I185" s="188" t="str">
        <f t="shared" si="10"/>
        <v/>
      </c>
      <c r="J185" s="187" t="e">
        <f t="shared" si="13"/>
        <v>#NUM!</v>
      </c>
      <c r="K185" s="187" t="e">
        <f t="shared" si="11"/>
        <v>#NUM!</v>
      </c>
      <c r="L185" s="187"/>
      <c r="M185" s="189">
        <f t="shared" si="12"/>
        <v>0</v>
      </c>
    </row>
    <row r="186" spans="1:13" x14ac:dyDescent="0.25">
      <c r="A186" s="204"/>
      <c r="G186" s="175"/>
      <c r="H186" s="187">
        <v>181</v>
      </c>
      <c r="I186" s="188" t="str">
        <f t="shared" si="10"/>
        <v/>
      </c>
      <c r="J186" s="187" t="e">
        <f t="shared" si="13"/>
        <v>#NUM!</v>
      </c>
      <c r="K186" s="187" t="e">
        <f t="shared" si="11"/>
        <v>#NUM!</v>
      </c>
      <c r="L186" s="187"/>
      <c r="M186" s="189">
        <f t="shared" si="12"/>
        <v>0</v>
      </c>
    </row>
    <row r="187" spans="1:13" x14ac:dyDescent="0.25">
      <c r="A187" s="204"/>
      <c r="G187" s="175"/>
      <c r="H187" s="187">
        <v>182</v>
      </c>
      <c r="I187" s="188" t="str">
        <f t="shared" si="10"/>
        <v/>
      </c>
      <c r="J187" s="187" t="e">
        <f t="shared" si="13"/>
        <v>#NUM!</v>
      </c>
      <c r="K187" s="187" t="e">
        <f t="shared" si="11"/>
        <v>#NUM!</v>
      </c>
      <c r="L187" s="187"/>
      <c r="M187" s="189">
        <f t="shared" si="12"/>
        <v>0</v>
      </c>
    </row>
    <row r="188" spans="1:13" x14ac:dyDescent="0.25">
      <c r="A188" s="204"/>
      <c r="G188" s="175"/>
      <c r="H188" s="187">
        <v>183</v>
      </c>
      <c r="I188" s="188" t="str">
        <f t="shared" si="10"/>
        <v/>
      </c>
      <c r="J188" s="187" t="e">
        <f t="shared" si="13"/>
        <v>#NUM!</v>
      </c>
      <c r="K188" s="187" t="e">
        <f t="shared" si="11"/>
        <v>#NUM!</v>
      </c>
      <c r="L188" s="187"/>
      <c r="M188" s="189">
        <f t="shared" si="12"/>
        <v>0</v>
      </c>
    </row>
    <row r="189" spans="1:13" x14ac:dyDescent="0.25">
      <c r="A189" s="204"/>
      <c r="G189" s="175"/>
      <c r="H189" s="187">
        <v>184</v>
      </c>
      <c r="I189" s="188" t="str">
        <f t="shared" si="10"/>
        <v/>
      </c>
      <c r="J189" s="187" t="e">
        <f t="shared" si="13"/>
        <v>#NUM!</v>
      </c>
      <c r="K189" s="187" t="e">
        <f t="shared" si="11"/>
        <v>#NUM!</v>
      </c>
      <c r="L189" s="187"/>
      <c r="M189" s="189">
        <f t="shared" si="12"/>
        <v>0</v>
      </c>
    </row>
    <row r="190" spans="1:13" x14ac:dyDescent="0.25">
      <c r="A190" s="204"/>
      <c r="G190" s="175"/>
      <c r="H190" s="187">
        <v>185</v>
      </c>
      <c r="I190" s="188" t="str">
        <f t="shared" si="10"/>
        <v/>
      </c>
      <c r="J190" s="187" t="e">
        <f t="shared" si="13"/>
        <v>#NUM!</v>
      </c>
      <c r="K190" s="187" t="e">
        <f t="shared" si="11"/>
        <v>#NUM!</v>
      </c>
      <c r="L190" s="187"/>
      <c r="M190" s="189">
        <f t="shared" si="12"/>
        <v>0</v>
      </c>
    </row>
    <row r="191" spans="1:13" x14ac:dyDescent="0.25">
      <c r="A191" s="204"/>
      <c r="G191" s="175"/>
      <c r="H191" s="187">
        <v>186</v>
      </c>
      <c r="I191" s="188" t="str">
        <f t="shared" si="10"/>
        <v/>
      </c>
      <c r="J191" s="187" t="e">
        <f t="shared" si="13"/>
        <v>#NUM!</v>
      </c>
      <c r="K191" s="187" t="e">
        <f t="shared" si="11"/>
        <v>#NUM!</v>
      </c>
      <c r="L191" s="187"/>
      <c r="M191" s="189">
        <f t="shared" si="12"/>
        <v>0</v>
      </c>
    </row>
    <row r="192" spans="1:13" x14ac:dyDescent="0.25">
      <c r="A192" s="204"/>
      <c r="G192" s="175"/>
      <c r="H192" s="187">
        <v>187</v>
      </c>
      <c r="I192" s="188" t="str">
        <f t="shared" si="10"/>
        <v/>
      </c>
      <c r="J192" s="187" t="e">
        <f t="shared" si="13"/>
        <v>#NUM!</v>
      </c>
      <c r="K192" s="187" t="e">
        <f t="shared" si="11"/>
        <v>#NUM!</v>
      </c>
      <c r="L192" s="187"/>
      <c r="M192" s="189">
        <f t="shared" si="12"/>
        <v>0</v>
      </c>
    </row>
    <row r="193" spans="1:13" x14ac:dyDescent="0.25">
      <c r="A193" s="204"/>
      <c r="G193" s="175"/>
      <c r="H193" s="187">
        <v>188</v>
      </c>
      <c r="I193" s="188" t="str">
        <f t="shared" si="10"/>
        <v/>
      </c>
      <c r="J193" s="187" t="e">
        <f t="shared" si="13"/>
        <v>#NUM!</v>
      </c>
      <c r="K193" s="187" t="e">
        <f t="shared" si="11"/>
        <v>#NUM!</v>
      </c>
      <c r="L193" s="187"/>
      <c r="M193" s="189">
        <f t="shared" si="12"/>
        <v>0</v>
      </c>
    </row>
    <row r="194" spans="1:13" x14ac:dyDescent="0.25">
      <c r="A194" s="204"/>
      <c r="G194" s="175"/>
      <c r="H194" s="187">
        <v>189</v>
      </c>
      <c r="I194" s="188" t="str">
        <f t="shared" si="10"/>
        <v/>
      </c>
      <c r="J194" s="187" t="e">
        <f t="shared" si="13"/>
        <v>#NUM!</v>
      </c>
      <c r="K194" s="187" t="e">
        <f t="shared" si="11"/>
        <v>#NUM!</v>
      </c>
      <c r="L194" s="187"/>
      <c r="M194" s="189">
        <f t="shared" si="12"/>
        <v>0</v>
      </c>
    </row>
    <row r="195" spans="1:13" x14ac:dyDescent="0.25">
      <c r="A195" s="204"/>
      <c r="G195" s="175"/>
      <c r="H195" s="187">
        <v>190</v>
      </c>
      <c r="I195" s="188" t="str">
        <f t="shared" si="10"/>
        <v/>
      </c>
      <c r="J195" s="187" t="e">
        <f t="shared" si="13"/>
        <v>#NUM!</v>
      </c>
      <c r="K195" s="187" t="e">
        <f t="shared" si="11"/>
        <v>#NUM!</v>
      </c>
      <c r="L195" s="187"/>
      <c r="M195" s="189">
        <f t="shared" si="12"/>
        <v>0</v>
      </c>
    </row>
    <row r="196" spans="1:13" x14ac:dyDescent="0.25">
      <c r="A196" s="204"/>
      <c r="G196" s="175"/>
      <c r="H196" s="187">
        <v>191</v>
      </c>
      <c r="I196" s="188" t="str">
        <f t="shared" si="10"/>
        <v/>
      </c>
      <c r="J196" s="187" t="e">
        <f t="shared" si="13"/>
        <v>#NUM!</v>
      </c>
      <c r="K196" s="187" t="e">
        <f t="shared" si="11"/>
        <v>#NUM!</v>
      </c>
      <c r="L196" s="187"/>
      <c r="M196" s="189">
        <f t="shared" si="12"/>
        <v>0</v>
      </c>
    </row>
    <row r="197" spans="1:13" x14ac:dyDescent="0.25">
      <c r="A197" s="204"/>
      <c r="G197" s="175"/>
      <c r="H197" s="187">
        <v>192</v>
      </c>
      <c r="I197" s="188" t="str">
        <f t="shared" si="10"/>
        <v/>
      </c>
      <c r="J197" s="187" t="e">
        <f t="shared" si="13"/>
        <v>#NUM!</v>
      </c>
      <c r="K197" s="187" t="e">
        <f t="shared" si="11"/>
        <v>#NUM!</v>
      </c>
      <c r="L197" s="187"/>
      <c r="M197" s="189">
        <f t="shared" si="12"/>
        <v>0</v>
      </c>
    </row>
    <row r="198" spans="1:13" x14ac:dyDescent="0.25">
      <c r="A198" s="204"/>
      <c r="G198" s="175"/>
      <c r="H198" s="187">
        <v>193</v>
      </c>
      <c r="I198" s="188" t="str">
        <f t="shared" ref="I198:I261" si="14">IF(H198&lt;$H$2+1,($I$2-($I$2-1)*(LOG(H198)/LOG($H$2))),"")</f>
        <v/>
      </c>
      <c r="J198" s="187" t="e">
        <f t="shared" si="13"/>
        <v>#NUM!</v>
      </c>
      <c r="K198" s="187" t="e">
        <f t="shared" ref="K198:K261" si="15">J198*$J$2</f>
        <v>#NUM!</v>
      </c>
      <c r="L198" s="187"/>
      <c r="M198" s="189">
        <f t="shared" ref="M198:M261" si="16">IF(I198&lt;&gt;"",K198+I198+L198,0)</f>
        <v>0</v>
      </c>
    </row>
    <row r="199" spans="1:13" x14ac:dyDescent="0.25">
      <c r="A199" s="204"/>
      <c r="G199" s="175"/>
      <c r="H199" s="187">
        <v>194</v>
      </c>
      <c r="I199" s="188" t="str">
        <f t="shared" si="14"/>
        <v/>
      </c>
      <c r="J199" s="187" t="e">
        <f t="shared" ref="J199:J262" si="17">INT(LOG($H$2,2))-ROUNDUP(LOG(H199,2),0)+IF(OR($H$2=1,$H$2=2,$H$2=4,$H$2=8,$H$2=16,$H$2=32,$H$2=64,$H$2=128,$H$2=256),0,1)</f>
        <v>#NUM!</v>
      </c>
      <c r="K199" s="187" t="e">
        <f t="shared" si="15"/>
        <v>#NUM!</v>
      </c>
      <c r="L199" s="187"/>
      <c r="M199" s="189">
        <f t="shared" si="16"/>
        <v>0</v>
      </c>
    </row>
    <row r="200" spans="1:13" x14ac:dyDescent="0.25">
      <c r="A200" s="204"/>
      <c r="G200" s="175"/>
      <c r="H200" s="187">
        <v>195</v>
      </c>
      <c r="I200" s="188" t="str">
        <f t="shared" si="14"/>
        <v/>
      </c>
      <c r="J200" s="187" t="e">
        <f t="shared" si="17"/>
        <v>#NUM!</v>
      </c>
      <c r="K200" s="187" t="e">
        <f t="shared" si="15"/>
        <v>#NUM!</v>
      </c>
      <c r="L200" s="187"/>
      <c r="M200" s="189">
        <f t="shared" si="16"/>
        <v>0</v>
      </c>
    </row>
    <row r="201" spans="1:13" x14ac:dyDescent="0.25">
      <c r="A201" s="204"/>
      <c r="G201" s="175"/>
      <c r="H201" s="187">
        <v>196</v>
      </c>
      <c r="I201" s="188" t="str">
        <f t="shared" si="14"/>
        <v/>
      </c>
      <c r="J201" s="187" t="e">
        <f t="shared" si="17"/>
        <v>#NUM!</v>
      </c>
      <c r="K201" s="187" t="e">
        <f t="shared" si="15"/>
        <v>#NUM!</v>
      </c>
      <c r="L201" s="187"/>
      <c r="M201" s="189">
        <f t="shared" si="16"/>
        <v>0</v>
      </c>
    </row>
    <row r="202" spans="1:13" x14ac:dyDescent="0.25">
      <c r="A202" s="204"/>
      <c r="G202" s="175"/>
      <c r="H202" s="187">
        <v>197</v>
      </c>
      <c r="I202" s="188" t="str">
        <f t="shared" si="14"/>
        <v/>
      </c>
      <c r="J202" s="187" t="e">
        <f t="shared" si="17"/>
        <v>#NUM!</v>
      </c>
      <c r="K202" s="187" t="e">
        <f t="shared" si="15"/>
        <v>#NUM!</v>
      </c>
      <c r="L202" s="187"/>
      <c r="M202" s="189">
        <f t="shared" si="16"/>
        <v>0</v>
      </c>
    </row>
    <row r="203" spans="1:13" x14ac:dyDescent="0.25">
      <c r="A203" s="204"/>
      <c r="G203" s="175"/>
      <c r="H203" s="187">
        <v>198</v>
      </c>
      <c r="I203" s="188" t="str">
        <f t="shared" si="14"/>
        <v/>
      </c>
      <c r="J203" s="187" t="e">
        <f t="shared" si="17"/>
        <v>#NUM!</v>
      </c>
      <c r="K203" s="187" t="e">
        <f t="shared" si="15"/>
        <v>#NUM!</v>
      </c>
      <c r="L203" s="187"/>
      <c r="M203" s="189">
        <f t="shared" si="16"/>
        <v>0</v>
      </c>
    </row>
    <row r="204" spans="1:13" x14ac:dyDescent="0.25">
      <c r="A204" s="204"/>
      <c r="G204" s="175"/>
      <c r="H204" s="187">
        <v>199</v>
      </c>
      <c r="I204" s="188" t="str">
        <f t="shared" si="14"/>
        <v/>
      </c>
      <c r="J204" s="187" t="e">
        <f t="shared" si="17"/>
        <v>#NUM!</v>
      </c>
      <c r="K204" s="187" t="e">
        <f t="shared" si="15"/>
        <v>#NUM!</v>
      </c>
      <c r="L204" s="187"/>
      <c r="M204" s="189">
        <f t="shared" si="16"/>
        <v>0</v>
      </c>
    </row>
    <row r="205" spans="1:13" x14ac:dyDescent="0.25">
      <c r="A205" s="204"/>
      <c r="G205" s="175"/>
      <c r="H205" s="187">
        <v>200</v>
      </c>
      <c r="I205" s="188" t="str">
        <f t="shared" si="14"/>
        <v/>
      </c>
      <c r="J205" s="187" t="e">
        <f t="shared" si="17"/>
        <v>#NUM!</v>
      </c>
      <c r="K205" s="187" t="e">
        <f t="shared" si="15"/>
        <v>#NUM!</v>
      </c>
      <c r="L205" s="187"/>
      <c r="M205" s="189">
        <f t="shared" si="16"/>
        <v>0</v>
      </c>
    </row>
    <row r="206" spans="1:13" x14ac:dyDescent="0.25">
      <c r="A206" s="204"/>
      <c r="G206" s="175"/>
      <c r="H206" s="187">
        <v>201</v>
      </c>
      <c r="I206" s="188" t="str">
        <f t="shared" si="14"/>
        <v/>
      </c>
      <c r="J206" s="187" t="e">
        <f t="shared" si="17"/>
        <v>#NUM!</v>
      </c>
      <c r="K206" s="187" t="e">
        <f t="shared" si="15"/>
        <v>#NUM!</v>
      </c>
      <c r="L206" s="187"/>
      <c r="M206" s="189">
        <f t="shared" si="16"/>
        <v>0</v>
      </c>
    </row>
    <row r="207" spans="1:13" x14ac:dyDescent="0.25">
      <c r="A207" s="204"/>
      <c r="G207" s="175"/>
      <c r="H207" s="187">
        <v>202</v>
      </c>
      <c r="I207" s="188" t="str">
        <f t="shared" si="14"/>
        <v/>
      </c>
      <c r="J207" s="187" t="e">
        <f t="shared" si="17"/>
        <v>#NUM!</v>
      </c>
      <c r="K207" s="187" t="e">
        <f t="shared" si="15"/>
        <v>#NUM!</v>
      </c>
      <c r="L207" s="187"/>
      <c r="M207" s="189">
        <f t="shared" si="16"/>
        <v>0</v>
      </c>
    </row>
    <row r="208" spans="1:13" x14ac:dyDescent="0.25">
      <c r="A208" s="204"/>
      <c r="G208" s="175"/>
      <c r="H208" s="187">
        <v>203</v>
      </c>
      <c r="I208" s="188" t="str">
        <f t="shared" si="14"/>
        <v/>
      </c>
      <c r="J208" s="187" t="e">
        <f t="shared" si="17"/>
        <v>#NUM!</v>
      </c>
      <c r="K208" s="187" t="e">
        <f t="shared" si="15"/>
        <v>#NUM!</v>
      </c>
      <c r="L208" s="187"/>
      <c r="M208" s="189">
        <f t="shared" si="16"/>
        <v>0</v>
      </c>
    </row>
    <row r="209" spans="1:13" x14ac:dyDescent="0.25">
      <c r="A209" s="204"/>
      <c r="G209" s="175"/>
      <c r="H209" s="187">
        <v>204</v>
      </c>
      <c r="I209" s="188" t="str">
        <f t="shared" si="14"/>
        <v/>
      </c>
      <c r="J209" s="187" t="e">
        <f t="shared" si="17"/>
        <v>#NUM!</v>
      </c>
      <c r="K209" s="187" t="e">
        <f t="shared" si="15"/>
        <v>#NUM!</v>
      </c>
      <c r="L209" s="187"/>
      <c r="M209" s="189">
        <f t="shared" si="16"/>
        <v>0</v>
      </c>
    </row>
    <row r="210" spans="1:13" x14ac:dyDescent="0.25">
      <c r="A210" s="204"/>
      <c r="G210" s="175"/>
      <c r="H210" s="187">
        <v>205</v>
      </c>
      <c r="I210" s="188" t="str">
        <f t="shared" si="14"/>
        <v/>
      </c>
      <c r="J210" s="187" t="e">
        <f t="shared" si="17"/>
        <v>#NUM!</v>
      </c>
      <c r="K210" s="187" t="e">
        <f t="shared" si="15"/>
        <v>#NUM!</v>
      </c>
      <c r="L210" s="187"/>
      <c r="M210" s="189">
        <f t="shared" si="16"/>
        <v>0</v>
      </c>
    </row>
    <row r="211" spans="1:13" x14ac:dyDescent="0.25">
      <c r="A211" s="204"/>
      <c r="G211" s="175"/>
      <c r="H211" s="187">
        <v>206</v>
      </c>
      <c r="I211" s="188" t="str">
        <f t="shared" si="14"/>
        <v/>
      </c>
      <c r="J211" s="187" t="e">
        <f t="shared" si="17"/>
        <v>#NUM!</v>
      </c>
      <c r="K211" s="187" t="e">
        <f t="shared" si="15"/>
        <v>#NUM!</v>
      </c>
      <c r="L211" s="187"/>
      <c r="M211" s="189">
        <f t="shared" si="16"/>
        <v>0</v>
      </c>
    </row>
    <row r="212" spans="1:13" x14ac:dyDescent="0.25">
      <c r="A212" s="204"/>
      <c r="G212" s="175"/>
      <c r="H212" s="187">
        <v>207</v>
      </c>
      <c r="I212" s="188" t="str">
        <f t="shared" si="14"/>
        <v/>
      </c>
      <c r="J212" s="187" t="e">
        <f t="shared" si="17"/>
        <v>#NUM!</v>
      </c>
      <c r="K212" s="187" t="e">
        <f t="shared" si="15"/>
        <v>#NUM!</v>
      </c>
      <c r="L212" s="187"/>
      <c r="M212" s="189">
        <f t="shared" si="16"/>
        <v>0</v>
      </c>
    </row>
    <row r="213" spans="1:13" x14ac:dyDescent="0.25">
      <c r="A213" s="204"/>
      <c r="G213" s="175"/>
      <c r="H213" s="187">
        <v>208</v>
      </c>
      <c r="I213" s="188" t="str">
        <f t="shared" si="14"/>
        <v/>
      </c>
      <c r="J213" s="187" t="e">
        <f t="shared" si="17"/>
        <v>#NUM!</v>
      </c>
      <c r="K213" s="187" t="e">
        <f t="shared" si="15"/>
        <v>#NUM!</v>
      </c>
      <c r="L213" s="187"/>
      <c r="M213" s="189">
        <f t="shared" si="16"/>
        <v>0</v>
      </c>
    </row>
    <row r="214" spans="1:13" x14ac:dyDescent="0.25">
      <c r="A214" s="204"/>
      <c r="G214" s="175"/>
      <c r="H214" s="187">
        <v>209</v>
      </c>
      <c r="I214" s="188" t="str">
        <f t="shared" si="14"/>
        <v/>
      </c>
      <c r="J214" s="187" t="e">
        <f t="shared" si="17"/>
        <v>#NUM!</v>
      </c>
      <c r="K214" s="187" t="e">
        <f t="shared" si="15"/>
        <v>#NUM!</v>
      </c>
      <c r="L214" s="187"/>
      <c r="M214" s="189">
        <f t="shared" si="16"/>
        <v>0</v>
      </c>
    </row>
    <row r="215" spans="1:13" x14ac:dyDescent="0.25">
      <c r="A215" s="204"/>
      <c r="G215" s="175"/>
      <c r="H215" s="187">
        <v>210</v>
      </c>
      <c r="I215" s="188" t="str">
        <f t="shared" si="14"/>
        <v/>
      </c>
      <c r="J215" s="187" t="e">
        <f t="shared" si="17"/>
        <v>#NUM!</v>
      </c>
      <c r="K215" s="187" t="e">
        <f t="shared" si="15"/>
        <v>#NUM!</v>
      </c>
      <c r="L215" s="187"/>
      <c r="M215" s="189">
        <f t="shared" si="16"/>
        <v>0</v>
      </c>
    </row>
    <row r="216" spans="1:13" x14ac:dyDescent="0.25">
      <c r="A216" s="204"/>
      <c r="G216" s="175"/>
      <c r="H216" s="187">
        <v>211</v>
      </c>
      <c r="I216" s="188" t="str">
        <f t="shared" si="14"/>
        <v/>
      </c>
      <c r="J216" s="187" t="e">
        <f t="shared" si="17"/>
        <v>#NUM!</v>
      </c>
      <c r="K216" s="187" t="e">
        <f t="shared" si="15"/>
        <v>#NUM!</v>
      </c>
      <c r="L216" s="187"/>
      <c r="M216" s="189">
        <f t="shared" si="16"/>
        <v>0</v>
      </c>
    </row>
    <row r="217" spans="1:13" x14ac:dyDescent="0.25">
      <c r="A217" s="204"/>
      <c r="G217" s="175"/>
      <c r="H217" s="187">
        <v>212</v>
      </c>
      <c r="I217" s="188" t="str">
        <f t="shared" si="14"/>
        <v/>
      </c>
      <c r="J217" s="187" t="e">
        <f t="shared" si="17"/>
        <v>#NUM!</v>
      </c>
      <c r="K217" s="187" t="e">
        <f t="shared" si="15"/>
        <v>#NUM!</v>
      </c>
      <c r="L217" s="187"/>
      <c r="M217" s="189">
        <f t="shared" si="16"/>
        <v>0</v>
      </c>
    </row>
    <row r="218" spans="1:13" x14ac:dyDescent="0.25">
      <c r="A218" s="204"/>
      <c r="G218" s="175"/>
      <c r="H218" s="187">
        <v>213</v>
      </c>
      <c r="I218" s="188" t="str">
        <f t="shared" si="14"/>
        <v/>
      </c>
      <c r="J218" s="187" t="e">
        <f t="shared" si="17"/>
        <v>#NUM!</v>
      </c>
      <c r="K218" s="187" t="e">
        <f t="shared" si="15"/>
        <v>#NUM!</v>
      </c>
      <c r="L218" s="187"/>
      <c r="M218" s="189">
        <f t="shared" si="16"/>
        <v>0</v>
      </c>
    </row>
    <row r="219" spans="1:13" x14ac:dyDescent="0.25">
      <c r="A219" s="204"/>
      <c r="G219" s="175"/>
      <c r="H219" s="187">
        <v>214</v>
      </c>
      <c r="I219" s="188" t="str">
        <f t="shared" si="14"/>
        <v/>
      </c>
      <c r="J219" s="187" t="e">
        <f t="shared" si="17"/>
        <v>#NUM!</v>
      </c>
      <c r="K219" s="187" t="e">
        <f t="shared" si="15"/>
        <v>#NUM!</v>
      </c>
      <c r="L219" s="187"/>
      <c r="M219" s="189">
        <f t="shared" si="16"/>
        <v>0</v>
      </c>
    </row>
    <row r="220" spans="1:13" x14ac:dyDescent="0.25">
      <c r="A220" s="204"/>
      <c r="G220" s="175"/>
      <c r="H220" s="187">
        <v>215</v>
      </c>
      <c r="I220" s="188" t="str">
        <f t="shared" si="14"/>
        <v/>
      </c>
      <c r="J220" s="187" t="e">
        <f t="shared" si="17"/>
        <v>#NUM!</v>
      </c>
      <c r="K220" s="187" t="e">
        <f t="shared" si="15"/>
        <v>#NUM!</v>
      </c>
      <c r="L220" s="187"/>
      <c r="M220" s="189">
        <f t="shared" si="16"/>
        <v>0</v>
      </c>
    </row>
    <row r="221" spans="1:13" x14ac:dyDescent="0.25">
      <c r="A221" s="204"/>
      <c r="G221" s="175"/>
      <c r="H221" s="187">
        <v>216</v>
      </c>
      <c r="I221" s="188" t="str">
        <f t="shared" si="14"/>
        <v/>
      </c>
      <c r="J221" s="187" t="e">
        <f t="shared" si="17"/>
        <v>#NUM!</v>
      </c>
      <c r="K221" s="187" t="e">
        <f t="shared" si="15"/>
        <v>#NUM!</v>
      </c>
      <c r="L221" s="187"/>
      <c r="M221" s="189">
        <f t="shared" si="16"/>
        <v>0</v>
      </c>
    </row>
    <row r="222" spans="1:13" x14ac:dyDescent="0.25">
      <c r="A222" s="204"/>
      <c r="G222" s="175"/>
      <c r="H222" s="187">
        <v>217</v>
      </c>
      <c r="I222" s="188" t="str">
        <f t="shared" si="14"/>
        <v/>
      </c>
      <c r="J222" s="187" t="e">
        <f t="shared" si="17"/>
        <v>#NUM!</v>
      </c>
      <c r="K222" s="187" t="e">
        <f t="shared" si="15"/>
        <v>#NUM!</v>
      </c>
      <c r="L222" s="187"/>
      <c r="M222" s="189">
        <f t="shared" si="16"/>
        <v>0</v>
      </c>
    </row>
    <row r="223" spans="1:13" x14ac:dyDescent="0.25">
      <c r="A223" s="204"/>
      <c r="G223" s="175"/>
      <c r="H223" s="187">
        <v>218</v>
      </c>
      <c r="I223" s="188" t="str">
        <f t="shared" si="14"/>
        <v/>
      </c>
      <c r="J223" s="187" t="e">
        <f t="shared" si="17"/>
        <v>#NUM!</v>
      </c>
      <c r="K223" s="187" t="e">
        <f t="shared" si="15"/>
        <v>#NUM!</v>
      </c>
      <c r="L223" s="187"/>
      <c r="M223" s="189">
        <f t="shared" si="16"/>
        <v>0</v>
      </c>
    </row>
    <row r="224" spans="1:13" x14ac:dyDescent="0.25">
      <c r="A224" s="204"/>
      <c r="G224" s="175"/>
      <c r="H224" s="187">
        <v>219</v>
      </c>
      <c r="I224" s="188" t="str">
        <f t="shared" si="14"/>
        <v/>
      </c>
      <c r="J224" s="187" t="e">
        <f t="shared" si="17"/>
        <v>#NUM!</v>
      </c>
      <c r="K224" s="187" t="e">
        <f t="shared" si="15"/>
        <v>#NUM!</v>
      </c>
      <c r="L224" s="187"/>
      <c r="M224" s="189">
        <f t="shared" si="16"/>
        <v>0</v>
      </c>
    </row>
    <row r="225" spans="1:13" x14ac:dyDescent="0.25">
      <c r="A225" s="204"/>
      <c r="G225" s="175"/>
      <c r="H225" s="187">
        <v>220</v>
      </c>
      <c r="I225" s="188" t="str">
        <f t="shared" si="14"/>
        <v/>
      </c>
      <c r="J225" s="187" t="e">
        <f t="shared" si="17"/>
        <v>#NUM!</v>
      </c>
      <c r="K225" s="187" t="e">
        <f t="shared" si="15"/>
        <v>#NUM!</v>
      </c>
      <c r="L225" s="187"/>
      <c r="M225" s="189">
        <f t="shared" si="16"/>
        <v>0</v>
      </c>
    </row>
    <row r="226" spans="1:13" x14ac:dyDescent="0.25">
      <c r="A226" s="204"/>
      <c r="G226" s="175"/>
      <c r="H226" s="187">
        <v>221</v>
      </c>
      <c r="I226" s="188" t="str">
        <f t="shared" si="14"/>
        <v/>
      </c>
      <c r="J226" s="187" t="e">
        <f t="shared" si="17"/>
        <v>#NUM!</v>
      </c>
      <c r="K226" s="187" t="e">
        <f t="shared" si="15"/>
        <v>#NUM!</v>
      </c>
      <c r="L226" s="187"/>
      <c r="M226" s="189">
        <f t="shared" si="16"/>
        <v>0</v>
      </c>
    </row>
    <row r="227" spans="1:13" x14ac:dyDescent="0.25">
      <c r="A227" s="204"/>
      <c r="G227" s="175"/>
      <c r="H227" s="187">
        <v>222</v>
      </c>
      <c r="I227" s="188" t="str">
        <f t="shared" si="14"/>
        <v/>
      </c>
      <c r="J227" s="187" t="e">
        <f t="shared" si="17"/>
        <v>#NUM!</v>
      </c>
      <c r="K227" s="187" t="e">
        <f t="shared" si="15"/>
        <v>#NUM!</v>
      </c>
      <c r="L227" s="187"/>
      <c r="M227" s="189">
        <f t="shared" si="16"/>
        <v>0</v>
      </c>
    </row>
    <row r="228" spans="1:13" x14ac:dyDescent="0.25">
      <c r="A228" s="204"/>
      <c r="G228" s="175"/>
      <c r="H228" s="187">
        <v>223</v>
      </c>
      <c r="I228" s="188" t="str">
        <f t="shared" si="14"/>
        <v/>
      </c>
      <c r="J228" s="187" t="e">
        <f t="shared" si="17"/>
        <v>#NUM!</v>
      </c>
      <c r="K228" s="187" t="e">
        <f t="shared" si="15"/>
        <v>#NUM!</v>
      </c>
      <c r="L228" s="187"/>
      <c r="M228" s="189">
        <f t="shared" si="16"/>
        <v>0</v>
      </c>
    </row>
    <row r="229" spans="1:13" x14ac:dyDescent="0.25">
      <c r="A229" s="204"/>
      <c r="G229" s="175"/>
      <c r="H229" s="187">
        <v>224</v>
      </c>
      <c r="I229" s="188" t="str">
        <f t="shared" si="14"/>
        <v/>
      </c>
      <c r="J229" s="187" t="e">
        <f t="shared" si="17"/>
        <v>#NUM!</v>
      </c>
      <c r="K229" s="187" t="e">
        <f t="shared" si="15"/>
        <v>#NUM!</v>
      </c>
      <c r="L229" s="187"/>
      <c r="M229" s="189">
        <f t="shared" si="16"/>
        <v>0</v>
      </c>
    </row>
    <row r="230" spans="1:13" x14ac:dyDescent="0.25">
      <c r="A230" s="204"/>
      <c r="G230" s="175"/>
      <c r="H230" s="187">
        <v>225</v>
      </c>
      <c r="I230" s="188" t="str">
        <f t="shared" si="14"/>
        <v/>
      </c>
      <c r="J230" s="187" t="e">
        <f t="shared" si="17"/>
        <v>#NUM!</v>
      </c>
      <c r="K230" s="187" t="e">
        <f t="shared" si="15"/>
        <v>#NUM!</v>
      </c>
      <c r="L230" s="187"/>
      <c r="M230" s="189">
        <f t="shared" si="16"/>
        <v>0</v>
      </c>
    </row>
    <row r="231" spans="1:13" x14ac:dyDescent="0.25">
      <c r="A231" s="204"/>
      <c r="G231" s="175"/>
      <c r="H231" s="187">
        <v>226</v>
      </c>
      <c r="I231" s="188" t="str">
        <f t="shared" si="14"/>
        <v/>
      </c>
      <c r="J231" s="187" t="e">
        <f t="shared" si="17"/>
        <v>#NUM!</v>
      </c>
      <c r="K231" s="187" t="e">
        <f t="shared" si="15"/>
        <v>#NUM!</v>
      </c>
      <c r="L231" s="187"/>
      <c r="M231" s="189">
        <f t="shared" si="16"/>
        <v>0</v>
      </c>
    </row>
    <row r="232" spans="1:13" x14ac:dyDescent="0.25">
      <c r="A232" s="204"/>
      <c r="G232" s="175"/>
      <c r="H232" s="187">
        <v>227</v>
      </c>
      <c r="I232" s="188" t="str">
        <f t="shared" si="14"/>
        <v/>
      </c>
      <c r="J232" s="187" t="e">
        <f t="shared" si="17"/>
        <v>#NUM!</v>
      </c>
      <c r="K232" s="187" t="e">
        <f t="shared" si="15"/>
        <v>#NUM!</v>
      </c>
      <c r="L232" s="187"/>
      <c r="M232" s="189">
        <f t="shared" si="16"/>
        <v>0</v>
      </c>
    </row>
    <row r="233" spans="1:13" x14ac:dyDescent="0.25">
      <c r="A233" s="204"/>
      <c r="G233" s="175"/>
      <c r="H233" s="187">
        <v>228</v>
      </c>
      <c r="I233" s="188" t="str">
        <f t="shared" si="14"/>
        <v/>
      </c>
      <c r="J233" s="187" t="e">
        <f t="shared" si="17"/>
        <v>#NUM!</v>
      </c>
      <c r="K233" s="187" t="e">
        <f t="shared" si="15"/>
        <v>#NUM!</v>
      </c>
      <c r="L233" s="187"/>
      <c r="M233" s="189">
        <f t="shared" si="16"/>
        <v>0</v>
      </c>
    </row>
    <row r="234" spans="1:13" x14ac:dyDescent="0.25">
      <c r="A234" s="204"/>
      <c r="G234" s="175"/>
      <c r="H234" s="187">
        <v>229</v>
      </c>
      <c r="I234" s="188" t="str">
        <f t="shared" si="14"/>
        <v/>
      </c>
      <c r="J234" s="187" t="e">
        <f t="shared" si="17"/>
        <v>#NUM!</v>
      </c>
      <c r="K234" s="187" t="e">
        <f t="shared" si="15"/>
        <v>#NUM!</v>
      </c>
      <c r="L234" s="187"/>
      <c r="M234" s="189">
        <f t="shared" si="16"/>
        <v>0</v>
      </c>
    </row>
    <row r="235" spans="1:13" x14ac:dyDescent="0.25">
      <c r="A235" s="204"/>
      <c r="G235" s="175"/>
      <c r="H235" s="187">
        <v>230</v>
      </c>
      <c r="I235" s="188" t="str">
        <f t="shared" si="14"/>
        <v/>
      </c>
      <c r="J235" s="187" t="e">
        <f t="shared" si="17"/>
        <v>#NUM!</v>
      </c>
      <c r="K235" s="187" t="e">
        <f t="shared" si="15"/>
        <v>#NUM!</v>
      </c>
      <c r="L235" s="187"/>
      <c r="M235" s="189">
        <f t="shared" si="16"/>
        <v>0</v>
      </c>
    </row>
    <row r="236" spans="1:13" x14ac:dyDescent="0.25">
      <c r="A236" s="204"/>
      <c r="G236" s="175"/>
      <c r="H236" s="187">
        <v>231</v>
      </c>
      <c r="I236" s="188" t="str">
        <f t="shared" si="14"/>
        <v/>
      </c>
      <c r="J236" s="187" t="e">
        <f t="shared" si="17"/>
        <v>#NUM!</v>
      </c>
      <c r="K236" s="187" t="e">
        <f t="shared" si="15"/>
        <v>#NUM!</v>
      </c>
      <c r="L236" s="187"/>
      <c r="M236" s="189">
        <f t="shared" si="16"/>
        <v>0</v>
      </c>
    </row>
    <row r="237" spans="1:13" x14ac:dyDescent="0.25">
      <c r="A237" s="204"/>
      <c r="G237" s="175"/>
      <c r="H237" s="187">
        <v>232</v>
      </c>
      <c r="I237" s="188" t="str">
        <f t="shared" si="14"/>
        <v/>
      </c>
      <c r="J237" s="187" t="e">
        <f t="shared" si="17"/>
        <v>#NUM!</v>
      </c>
      <c r="K237" s="187" t="e">
        <f t="shared" si="15"/>
        <v>#NUM!</v>
      </c>
      <c r="L237" s="187"/>
      <c r="M237" s="189">
        <f t="shared" si="16"/>
        <v>0</v>
      </c>
    </row>
    <row r="238" spans="1:13" x14ac:dyDescent="0.25">
      <c r="A238" s="204"/>
      <c r="G238" s="175"/>
      <c r="H238" s="187">
        <v>233</v>
      </c>
      <c r="I238" s="188" t="str">
        <f t="shared" si="14"/>
        <v/>
      </c>
      <c r="J238" s="187" t="e">
        <f t="shared" si="17"/>
        <v>#NUM!</v>
      </c>
      <c r="K238" s="187" t="e">
        <f t="shared" si="15"/>
        <v>#NUM!</v>
      </c>
      <c r="L238" s="187"/>
      <c r="M238" s="189">
        <f t="shared" si="16"/>
        <v>0</v>
      </c>
    </row>
    <row r="239" spans="1:13" x14ac:dyDescent="0.25">
      <c r="A239" s="204"/>
      <c r="G239" s="175"/>
      <c r="H239" s="187">
        <v>234</v>
      </c>
      <c r="I239" s="188" t="str">
        <f t="shared" si="14"/>
        <v/>
      </c>
      <c r="J239" s="187" t="e">
        <f t="shared" si="17"/>
        <v>#NUM!</v>
      </c>
      <c r="K239" s="187" t="e">
        <f t="shared" si="15"/>
        <v>#NUM!</v>
      </c>
      <c r="L239" s="187"/>
      <c r="M239" s="189">
        <f t="shared" si="16"/>
        <v>0</v>
      </c>
    </row>
    <row r="240" spans="1:13" x14ac:dyDescent="0.25">
      <c r="A240" s="204"/>
      <c r="G240" s="175"/>
      <c r="H240" s="187">
        <v>235</v>
      </c>
      <c r="I240" s="188" t="str">
        <f t="shared" si="14"/>
        <v/>
      </c>
      <c r="J240" s="187" t="e">
        <f t="shared" si="17"/>
        <v>#NUM!</v>
      </c>
      <c r="K240" s="187" t="e">
        <f t="shared" si="15"/>
        <v>#NUM!</v>
      </c>
      <c r="L240" s="187"/>
      <c r="M240" s="189">
        <f t="shared" si="16"/>
        <v>0</v>
      </c>
    </row>
    <row r="241" spans="1:13" x14ac:dyDescent="0.25">
      <c r="A241" s="204"/>
      <c r="G241" s="175"/>
      <c r="H241" s="187">
        <v>236</v>
      </c>
      <c r="I241" s="188" t="str">
        <f t="shared" si="14"/>
        <v/>
      </c>
      <c r="J241" s="187" t="e">
        <f t="shared" si="17"/>
        <v>#NUM!</v>
      </c>
      <c r="K241" s="187" t="e">
        <f t="shared" si="15"/>
        <v>#NUM!</v>
      </c>
      <c r="L241" s="187"/>
      <c r="M241" s="189">
        <f t="shared" si="16"/>
        <v>0</v>
      </c>
    </row>
    <row r="242" spans="1:13" x14ac:dyDescent="0.25">
      <c r="A242" s="204"/>
      <c r="G242" s="175"/>
      <c r="H242" s="187">
        <v>237</v>
      </c>
      <c r="I242" s="188" t="str">
        <f t="shared" si="14"/>
        <v/>
      </c>
      <c r="J242" s="187" t="e">
        <f t="shared" si="17"/>
        <v>#NUM!</v>
      </c>
      <c r="K242" s="187" t="e">
        <f t="shared" si="15"/>
        <v>#NUM!</v>
      </c>
      <c r="L242" s="187"/>
      <c r="M242" s="189">
        <f t="shared" si="16"/>
        <v>0</v>
      </c>
    </row>
    <row r="243" spans="1:13" x14ac:dyDescent="0.25">
      <c r="A243" s="204"/>
      <c r="G243" s="175"/>
      <c r="H243" s="187">
        <v>238</v>
      </c>
      <c r="I243" s="188" t="str">
        <f t="shared" si="14"/>
        <v/>
      </c>
      <c r="J243" s="187" t="e">
        <f t="shared" si="17"/>
        <v>#NUM!</v>
      </c>
      <c r="K243" s="187" t="e">
        <f t="shared" si="15"/>
        <v>#NUM!</v>
      </c>
      <c r="L243" s="187"/>
      <c r="M243" s="189">
        <f t="shared" si="16"/>
        <v>0</v>
      </c>
    </row>
    <row r="244" spans="1:13" x14ac:dyDescent="0.25">
      <c r="A244" s="204"/>
      <c r="G244" s="175"/>
      <c r="H244" s="187">
        <v>239</v>
      </c>
      <c r="I244" s="188" t="str">
        <f t="shared" si="14"/>
        <v/>
      </c>
      <c r="J244" s="187" t="e">
        <f t="shared" si="17"/>
        <v>#NUM!</v>
      </c>
      <c r="K244" s="187" t="e">
        <f t="shared" si="15"/>
        <v>#NUM!</v>
      </c>
      <c r="L244" s="187"/>
      <c r="M244" s="189">
        <f t="shared" si="16"/>
        <v>0</v>
      </c>
    </row>
    <row r="245" spans="1:13" x14ac:dyDescent="0.25">
      <c r="A245" s="204"/>
      <c r="G245" s="175"/>
      <c r="H245" s="187">
        <v>240</v>
      </c>
      <c r="I245" s="188" t="str">
        <f t="shared" si="14"/>
        <v/>
      </c>
      <c r="J245" s="187" t="e">
        <f t="shared" si="17"/>
        <v>#NUM!</v>
      </c>
      <c r="K245" s="187" t="e">
        <f t="shared" si="15"/>
        <v>#NUM!</v>
      </c>
      <c r="L245" s="187"/>
      <c r="M245" s="189">
        <f t="shared" si="16"/>
        <v>0</v>
      </c>
    </row>
    <row r="246" spans="1:13" x14ac:dyDescent="0.25">
      <c r="A246" s="204"/>
      <c r="G246" s="175"/>
      <c r="H246" s="187">
        <v>241</v>
      </c>
      <c r="I246" s="188" t="str">
        <f t="shared" si="14"/>
        <v/>
      </c>
      <c r="J246" s="187" t="e">
        <f t="shared" si="17"/>
        <v>#NUM!</v>
      </c>
      <c r="K246" s="187" t="e">
        <f t="shared" si="15"/>
        <v>#NUM!</v>
      </c>
      <c r="L246" s="187"/>
      <c r="M246" s="189">
        <f t="shared" si="16"/>
        <v>0</v>
      </c>
    </row>
    <row r="247" spans="1:13" x14ac:dyDescent="0.25">
      <c r="A247" s="204"/>
      <c r="G247" s="175"/>
      <c r="H247" s="187">
        <v>242</v>
      </c>
      <c r="I247" s="188" t="str">
        <f t="shared" si="14"/>
        <v/>
      </c>
      <c r="J247" s="187" t="e">
        <f t="shared" si="17"/>
        <v>#NUM!</v>
      </c>
      <c r="K247" s="187" t="e">
        <f t="shared" si="15"/>
        <v>#NUM!</v>
      </c>
      <c r="L247" s="187"/>
      <c r="M247" s="189">
        <f t="shared" si="16"/>
        <v>0</v>
      </c>
    </row>
    <row r="248" spans="1:13" x14ac:dyDescent="0.25">
      <c r="A248" s="204"/>
      <c r="G248" s="175"/>
      <c r="H248" s="187">
        <v>243</v>
      </c>
      <c r="I248" s="188" t="str">
        <f t="shared" si="14"/>
        <v/>
      </c>
      <c r="J248" s="187" t="e">
        <f t="shared" si="17"/>
        <v>#NUM!</v>
      </c>
      <c r="K248" s="187" t="e">
        <f t="shared" si="15"/>
        <v>#NUM!</v>
      </c>
      <c r="L248" s="187"/>
      <c r="M248" s="189">
        <f t="shared" si="16"/>
        <v>0</v>
      </c>
    </row>
    <row r="249" spans="1:13" x14ac:dyDescent="0.25">
      <c r="A249" s="204"/>
      <c r="G249" s="175"/>
      <c r="H249" s="187">
        <v>244</v>
      </c>
      <c r="I249" s="188" t="str">
        <f t="shared" si="14"/>
        <v/>
      </c>
      <c r="J249" s="187" t="e">
        <f t="shared" si="17"/>
        <v>#NUM!</v>
      </c>
      <c r="K249" s="187" t="e">
        <f t="shared" si="15"/>
        <v>#NUM!</v>
      </c>
      <c r="L249" s="187"/>
      <c r="M249" s="189">
        <f t="shared" si="16"/>
        <v>0</v>
      </c>
    </row>
    <row r="250" spans="1:13" x14ac:dyDescent="0.25">
      <c r="A250" s="204"/>
      <c r="G250" s="175"/>
      <c r="H250" s="187">
        <v>245</v>
      </c>
      <c r="I250" s="188" t="str">
        <f t="shared" si="14"/>
        <v/>
      </c>
      <c r="J250" s="187" t="e">
        <f t="shared" si="17"/>
        <v>#NUM!</v>
      </c>
      <c r="K250" s="187" t="e">
        <f t="shared" si="15"/>
        <v>#NUM!</v>
      </c>
      <c r="L250" s="187"/>
      <c r="M250" s="189">
        <f t="shared" si="16"/>
        <v>0</v>
      </c>
    </row>
    <row r="251" spans="1:13" x14ac:dyDescent="0.25">
      <c r="A251" s="204"/>
      <c r="G251" s="175"/>
      <c r="H251" s="187">
        <v>246</v>
      </c>
      <c r="I251" s="188" t="str">
        <f t="shared" si="14"/>
        <v/>
      </c>
      <c r="J251" s="187" t="e">
        <f t="shared" si="17"/>
        <v>#NUM!</v>
      </c>
      <c r="K251" s="187" t="e">
        <f t="shared" si="15"/>
        <v>#NUM!</v>
      </c>
      <c r="L251" s="187"/>
      <c r="M251" s="189">
        <f t="shared" si="16"/>
        <v>0</v>
      </c>
    </row>
    <row r="252" spans="1:13" x14ac:dyDescent="0.25">
      <c r="A252" s="204"/>
      <c r="G252" s="175"/>
      <c r="H252" s="187">
        <v>247</v>
      </c>
      <c r="I252" s="188" t="str">
        <f t="shared" si="14"/>
        <v/>
      </c>
      <c r="J252" s="187" t="e">
        <f t="shared" si="17"/>
        <v>#NUM!</v>
      </c>
      <c r="K252" s="187" t="e">
        <f t="shared" si="15"/>
        <v>#NUM!</v>
      </c>
      <c r="L252" s="187"/>
      <c r="M252" s="189">
        <f t="shared" si="16"/>
        <v>0</v>
      </c>
    </row>
    <row r="253" spans="1:13" x14ac:dyDescent="0.25">
      <c r="A253" s="204"/>
      <c r="G253" s="175"/>
      <c r="H253" s="187">
        <v>248</v>
      </c>
      <c r="I253" s="188" t="str">
        <f t="shared" si="14"/>
        <v/>
      </c>
      <c r="J253" s="187" t="e">
        <f t="shared" si="17"/>
        <v>#NUM!</v>
      </c>
      <c r="K253" s="187" t="e">
        <f t="shared" si="15"/>
        <v>#NUM!</v>
      </c>
      <c r="L253" s="187"/>
      <c r="M253" s="189">
        <f t="shared" si="16"/>
        <v>0</v>
      </c>
    </row>
    <row r="254" spans="1:13" x14ac:dyDescent="0.25">
      <c r="A254" s="204"/>
      <c r="G254" s="175"/>
      <c r="H254" s="187">
        <v>249</v>
      </c>
      <c r="I254" s="188" t="str">
        <f t="shared" si="14"/>
        <v/>
      </c>
      <c r="J254" s="187" t="e">
        <f t="shared" si="17"/>
        <v>#NUM!</v>
      </c>
      <c r="K254" s="187" t="e">
        <f t="shared" si="15"/>
        <v>#NUM!</v>
      </c>
      <c r="L254" s="187"/>
      <c r="M254" s="189">
        <f t="shared" si="16"/>
        <v>0</v>
      </c>
    </row>
    <row r="255" spans="1:13" x14ac:dyDescent="0.25">
      <c r="A255" s="204"/>
      <c r="G255" s="175"/>
      <c r="H255" s="187">
        <v>250</v>
      </c>
      <c r="I255" s="188" t="str">
        <f t="shared" si="14"/>
        <v/>
      </c>
      <c r="J255" s="187" t="e">
        <f t="shared" si="17"/>
        <v>#NUM!</v>
      </c>
      <c r="K255" s="187" t="e">
        <f t="shared" si="15"/>
        <v>#NUM!</v>
      </c>
      <c r="L255" s="187"/>
      <c r="M255" s="189">
        <f t="shared" si="16"/>
        <v>0</v>
      </c>
    </row>
    <row r="256" spans="1:13" x14ac:dyDescent="0.25">
      <c r="A256" s="204"/>
      <c r="G256" s="175"/>
      <c r="H256" s="187">
        <v>251</v>
      </c>
      <c r="I256" s="188" t="str">
        <f t="shared" si="14"/>
        <v/>
      </c>
      <c r="J256" s="187" t="e">
        <f t="shared" si="17"/>
        <v>#NUM!</v>
      </c>
      <c r="K256" s="187" t="e">
        <f t="shared" si="15"/>
        <v>#NUM!</v>
      </c>
      <c r="L256" s="187"/>
      <c r="M256" s="189">
        <f t="shared" si="16"/>
        <v>0</v>
      </c>
    </row>
    <row r="257" spans="1:13" x14ac:dyDescent="0.25">
      <c r="A257" s="204"/>
      <c r="G257" s="175"/>
      <c r="H257" s="187">
        <v>252</v>
      </c>
      <c r="I257" s="188" t="str">
        <f t="shared" si="14"/>
        <v/>
      </c>
      <c r="J257" s="187" t="e">
        <f t="shared" si="17"/>
        <v>#NUM!</v>
      </c>
      <c r="K257" s="187" t="e">
        <f t="shared" si="15"/>
        <v>#NUM!</v>
      </c>
      <c r="L257" s="187"/>
      <c r="M257" s="189">
        <f t="shared" si="16"/>
        <v>0</v>
      </c>
    </row>
    <row r="258" spans="1:13" x14ac:dyDescent="0.25">
      <c r="A258" s="204"/>
      <c r="G258" s="175"/>
      <c r="H258" s="187">
        <v>253</v>
      </c>
      <c r="I258" s="188" t="str">
        <f t="shared" si="14"/>
        <v/>
      </c>
      <c r="J258" s="187" t="e">
        <f t="shared" si="17"/>
        <v>#NUM!</v>
      </c>
      <c r="K258" s="187" t="e">
        <f t="shared" si="15"/>
        <v>#NUM!</v>
      </c>
      <c r="L258" s="187"/>
      <c r="M258" s="189">
        <f t="shared" si="16"/>
        <v>0</v>
      </c>
    </row>
    <row r="259" spans="1:13" x14ac:dyDescent="0.25">
      <c r="A259" s="204"/>
      <c r="G259" s="175"/>
      <c r="H259" s="187">
        <v>254</v>
      </c>
      <c r="I259" s="188" t="str">
        <f t="shared" si="14"/>
        <v/>
      </c>
      <c r="J259" s="187" t="e">
        <f t="shared" si="17"/>
        <v>#NUM!</v>
      </c>
      <c r="K259" s="187" t="e">
        <f t="shared" si="15"/>
        <v>#NUM!</v>
      </c>
      <c r="L259" s="187"/>
      <c r="M259" s="189">
        <f t="shared" si="16"/>
        <v>0</v>
      </c>
    </row>
    <row r="260" spans="1:13" x14ac:dyDescent="0.25">
      <c r="A260" s="204"/>
      <c r="G260" s="175"/>
      <c r="H260" s="187">
        <v>255</v>
      </c>
      <c r="I260" s="188" t="str">
        <f t="shared" si="14"/>
        <v/>
      </c>
      <c r="J260" s="187" t="e">
        <f t="shared" si="17"/>
        <v>#NUM!</v>
      </c>
      <c r="K260" s="187" t="e">
        <f t="shared" si="15"/>
        <v>#NUM!</v>
      </c>
      <c r="L260" s="187"/>
      <c r="M260" s="189">
        <f t="shared" si="16"/>
        <v>0</v>
      </c>
    </row>
    <row r="261" spans="1:13" x14ac:dyDescent="0.25">
      <c r="A261" s="204"/>
      <c r="G261" s="175"/>
      <c r="H261" s="187">
        <v>256</v>
      </c>
      <c r="I261" s="188" t="str">
        <f t="shared" si="14"/>
        <v/>
      </c>
      <c r="J261" s="187" t="e">
        <f t="shared" si="17"/>
        <v>#NUM!</v>
      </c>
      <c r="K261" s="187" t="e">
        <f t="shared" si="15"/>
        <v>#NUM!</v>
      </c>
      <c r="L261" s="187"/>
      <c r="M261" s="189">
        <f t="shared" si="16"/>
        <v>0</v>
      </c>
    </row>
    <row r="262" spans="1:13" x14ac:dyDescent="0.25">
      <c r="A262" s="204"/>
      <c r="G262" s="175"/>
      <c r="H262" s="187">
        <v>257</v>
      </c>
      <c r="I262" s="188" t="str">
        <f t="shared" ref="I262:I305" si="18">IF(H262&lt;$H$2+1,($I$2-($I$2-1)*(LOG(H262)/LOG($H$2))),"")</f>
        <v/>
      </c>
      <c r="J262" s="187" t="e">
        <f t="shared" si="17"/>
        <v>#NUM!</v>
      </c>
      <c r="K262" s="187" t="e">
        <f t="shared" ref="K262:K305" si="19">J262*$J$2</f>
        <v>#NUM!</v>
      </c>
      <c r="L262" s="187"/>
      <c r="M262" s="189">
        <f t="shared" ref="M262:M305" si="20">IF(I262&lt;&gt;"",K262+I262+L262,0)</f>
        <v>0</v>
      </c>
    </row>
    <row r="263" spans="1:13" x14ac:dyDescent="0.25">
      <c r="A263" s="204"/>
      <c r="G263" s="175"/>
      <c r="H263" s="187">
        <v>258</v>
      </c>
      <c r="I263" s="188" t="str">
        <f t="shared" si="18"/>
        <v/>
      </c>
      <c r="J263" s="187" t="e">
        <f t="shared" ref="J263:J326" si="21">INT(LOG($H$2,2))-ROUNDUP(LOG(H263,2),0)+IF(OR($H$2=1,$H$2=2,$H$2=4,$H$2=8,$H$2=16,$H$2=32,$H$2=64,$H$2=128,$H$2=256),0,1)</f>
        <v>#NUM!</v>
      </c>
      <c r="K263" s="187" t="e">
        <f t="shared" si="19"/>
        <v>#NUM!</v>
      </c>
      <c r="L263" s="187"/>
      <c r="M263" s="189">
        <f t="shared" si="20"/>
        <v>0</v>
      </c>
    </row>
    <row r="264" spans="1:13" x14ac:dyDescent="0.25">
      <c r="A264" s="204"/>
      <c r="G264" s="175"/>
      <c r="H264" s="187">
        <v>259</v>
      </c>
      <c r="I264" s="188" t="str">
        <f t="shared" si="18"/>
        <v/>
      </c>
      <c r="J264" s="187" t="e">
        <f t="shared" si="21"/>
        <v>#NUM!</v>
      </c>
      <c r="K264" s="187" t="e">
        <f t="shared" si="19"/>
        <v>#NUM!</v>
      </c>
      <c r="L264" s="187"/>
      <c r="M264" s="189">
        <f t="shared" si="20"/>
        <v>0</v>
      </c>
    </row>
    <row r="265" spans="1:13" x14ac:dyDescent="0.25">
      <c r="A265" s="204"/>
      <c r="G265" s="175"/>
      <c r="H265" s="187">
        <v>260</v>
      </c>
      <c r="I265" s="188" t="str">
        <f t="shared" si="18"/>
        <v/>
      </c>
      <c r="J265" s="187" t="e">
        <f t="shared" si="21"/>
        <v>#NUM!</v>
      </c>
      <c r="K265" s="187" t="e">
        <f t="shared" si="19"/>
        <v>#NUM!</v>
      </c>
      <c r="L265" s="187"/>
      <c r="M265" s="189">
        <f t="shared" si="20"/>
        <v>0</v>
      </c>
    </row>
    <row r="266" spans="1:13" x14ac:dyDescent="0.25">
      <c r="A266" s="204"/>
      <c r="G266" s="175"/>
      <c r="H266" s="187">
        <v>261</v>
      </c>
      <c r="I266" s="188" t="str">
        <f t="shared" si="18"/>
        <v/>
      </c>
      <c r="J266" s="187" t="e">
        <f t="shared" si="21"/>
        <v>#NUM!</v>
      </c>
      <c r="K266" s="187" t="e">
        <f t="shared" si="19"/>
        <v>#NUM!</v>
      </c>
      <c r="L266" s="187"/>
      <c r="M266" s="189">
        <f t="shared" si="20"/>
        <v>0</v>
      </c>
    </row>
    <row r="267" spans="1:13" x14ac:dyDescent="0.25">
      <c r="A267" s="204"/>
      <c r="G267" s="175"/>
      <c r="H267" s="187">
        <v>262</v>
      </c>
      <c r="I267" s="188" t="str">
        <f t="shared" si="18"/>
        <v/>
      </c>
      <c r="J267" s="187" t="e">
        <f t="shared" si="21"/>
        <v>#NUM!</v>
      </c>
      <c r="K267" s="187" t="e">
        <f t="shared" si="19"/>
        <v>#NUM!</v>
      </c>
      <c r="L267" s="187"/>
      <c r="M267" s="189">
        <f t="shared" si="20"/>
        <v>0</v>
      </c>
    </row>
    <row r="268" spans="1:13" x14ac:dyDescent="0.25">
      <c r="A268" s="204"/>
      <c r="G268" s="175"/>
      <c r="H268" s="187">
        <v>263</v>
      </c>
      <c r="I268" s="188" t="str">
        <f t="shared" si="18"/>
        <v/>
      </c>
      <c r="J268" s="187" t="e">
        <f t="shared" si="21"/>
        <v>#NUM!</v>
      </c>
      <c r="K268" s="187" t="e">
        <f t="shared" si="19"/>
        <v>#NUM!</v>
      </c>
      <c r="L268" s="187"/>
      <c r="M268" s="189">
        <f t="shared" si="20"/>
        <v>0</v>
      </c>
    </row>
    <row r="269" spans="1:13" x14ac:dyDescent="0.25">
      <c r="A269" s="204"/>
      <c r="G269" s="175"/>
      <c r="H269" s="187">
        <v>264</v>
      </c>
      <c r="I269" s="188" t="str">
        <f t="shared" si="18"/>
        <v/>
      </c>
      <c r="J269" s="187" t="e">
        <f t="shared" si="21"/>
        <v>#NUM!</v>
      </c>
      <c r="K269" s="187" t="e">
        <f t="shared" si="19"/>
        <v>#NUM!</v>
      </c>
      <c r="L269" s="187"/>
      <c r="M269" s="189">
        <f t="shared" si="20"/>
        <v>0</v>
      </c>
    </row>
    <row r="270" spans="1:13" x14ac:dyDescent="0.25">
      <c r="A270" s="204"/>
      <c r="G270" s="175"/>
      <c r="H270" s="187">
        <v>265</v>
      </c>
      <c r="I270" s="188" t="str">
        <f t="shared" si="18"/>
        <v/>
      </c>
      <c r="J270" s="187" t="e">
        <f t="shared" si="21"/>
        <v>#NUM!</v>
      </c>
      <c r="K270" s="187" t="e">
        <f t="shared" si="19"/>
        <v>#NUM!</v>
      </c>
      <c r="L270" s="187"/>
      <c r="M270" s="189">
        <f t="shared" si="20"/>
        <v>0</v>
      </c>
    </row>
    <row r="271" spans="1:13" x14ac:dyDescent="0.25">
      <c r="A271" s="204"/>
      <c r="G271" s="175"/>
      <c r="H271" s="187">
        <v>266</v>
      </c>
      <c r="I271" s="188" t="str">
        <f t="shared" si="18"/>
        <v/>
      </c>
      <c r="J271" s="187" t="e">
        <f t="shared" si="21"/>
        <v>#NUM!</v>
      </c>
      <c r="K271" s="187" t="e">
        <f t="shared" si="19"/>
        <v>#NUM!</v>
      </c>
      <c r="L271" s="187"/>
      <c r="M271" s="189">
        <f t="shared" si="20"/>
        <v>0</v>
      </c>
    </row>
    <row r="272" spans="1:13" x14ac:dyDescent="0.25">
      <c r="A272" s="204"/>
      <c r="G272" s="175"/>
      <c r="H272" s="187">
        <v>267</v>
      </c>
      <c r="I272" s="188" t="str">
        <f t="shared" si="18"/>
        <v/>
      </c>
      <c r="J272" s="187" t="e">
        <f t="shared" si="21"/>
        <v>#NUM!</v>
      </c>
      <c r="K272" s="187" t="e">
        <f t="shared" si="19"/>
        <v>#NUM!</v>
      </c>
      <c r="L272" s="187"/>
      <c r="M272" s="189">
        <f t="shared" si="20"/>
        <v>0</v>
      </c>
    </row>
    <row r="273" spans="1:13" x14ac:dyDescent="0.25">
      <c r="A273" s="204"/>
      <c r="G273" s="175"/>
      <c r="H273" s="187">
        <v>268</v>
      </c>
      <c r="I273" s="188" t="str">
        <f t="shared" si="18"/>
        <v/>
      </c>
      <c r="J273" s="187" t="e">
        <f t="shared" si="21"/>
        <v>#NUM!</v>
      </c>
      <c r="K273" s="187" t="e">
        <f t="shared" si="19"/>
        <v>#NUM!</v>
      </c>
      <c r="L273" s="187"/>
      <c r="M273" s="189">
        <f t="shared" si="20"/>
        <v>0</v>
      </c>
    </row>
    <row r="274" spans="1:13" x14ac:dyDescent="0.25">
      <c r="A274" s="204"/>
      <c r="G274" s="175"/>
      <c r="H274" s="187">
        <v>269</v>
      </c>
      <c r="I274" s="188" t="str">
        <f t="shared" si="18"/>
        <v/>
      </c>
      <c r="J274" s="187" t="e">
        <f t="shared" si="21"/>
        <v>#NUM!</v>
      </c>
      <c r="K274" s="187" t="e">
        <f t="shared" si="19"/>
        <v>#NUM!</v>
      </c>
      <c r="L274" s="187"/>
      <c r="M274" s="189">
        <f t="shared" si="20"/>
        <v>0</v>
      </c>
    </row>
    <row r="275" spans="1:13" x14ac:dyDescent="0.25">
      <c r="A275" s="204"/>
      <c r="G275" s="175"/>
      <c r="H275" s="187">
        <v>270</v>
      </c>
      <c r="I275" s="188" t="str">
        <f t="shared" si="18"/>
        <v/>
      </c>
      <c r="J275" s="187" t="e">
        <f t="shared" si="21"/>
        <v>#NUM!</v>
      </c>
      <c r="K275" s="187" t="e">
        <f t="shared" si="19"/>
        <v>#NUM!</v>
      </c>
      <c r="L275" s="187"/>
      <c r="M275" s="189">
        <f t="shared" si="20"/>
        <v>0</v>
      </c>
    </row>
    <row r="276" spans="1:13" x14ac:dyDescent="0.25">
      <c r="A276" s="204"/>
      <c r="G276" s="175"/>
      <c r="H276" s="187">
        <v>271</v>
      </c>
      <c r="I276" s="188" t="str">
        <f t="shared" si="18"/>
        <v/>
      </c>
      <c r="J276" s="187" t="e">
        <f t="shared" si="21"/>
        <v>#NUM!</v>
      </c>
      <c r="K276" s="187" t="e">
        <f t="shared" si="19"/>
        <v>#NUM!</v>
      </c>
      <c r="L276" s="187"/>
      <c r="M276" s="189">
        <f t="shared" si="20"/>
        <v>0</v>
      </c>
    </row>
    <row r="277" spans="1:13" x14ac:dyDescent="0.25">
      <c r="A277" s="204"/>
      <c r="G277" s="175"/>
      <c r="H277" s="187">
        <v>272</v>
      </c>
      <c r="I277" s="188" t="str">
        <f t="shared" si="18"/>
        <v/>
      </c>
      <c r="J277" s="187" t="e">
        <f t="shared" si="21"/>
        <v>#NUM!</v>
      </c>
      <c r="K277" s="187" t="e">
        <f t="shared" si="19"/>
        <v>#NUM!</v>
      </c>
      <c r="L277" s="187"/>
      <c r="M277" s="189">
        <f t="shared" si="20"/>
        <v>0</v>
      </c>
    </row>
    <row r="278" spans="1:13" x14ac:dyDescent="0.25">
      <c r="A278" s="204"/>
      <c r="G278" s="175"/>
      <c r="H278" s="187">
        <v>273</v>
      </c>
      <c r="I278" s="188" t="str">
        <f t="shared" si="18"/>
        <v/>
      </c>
      <c r="J278" s="187" t="e">
        <f t="shared" si="21"/>
        <v>#NUM!</v>
      </c>
      <c r="K278" s="187" t="e">
        <f t="shared" si="19"/>
        <v>#NUM!</v>
      </c>
      <c r="L278" s="187"/>
      <c r="M278" s="189">
        <f t="shared" si="20"/>
        <v>0</v>
      </c>
    </row>
    <row r="279" spans="1:13" x14ac:dyDescent="0.25">
      <c r="A279" s="204"/>
      <c r="G279" s="175"/>
      <c r="H279" s="187">
        <v>274</v>
      </c>
      <c r="I279" s="188" t="str">
        <f t="shared" si="18"/>
        <v/>
      </c>
      <c r="J279" s="187" t="e">
        <f t="shared" si="21"/>
        <v>#NUM!</v>
      </c>
      <c r="K279" s="187" t="e">
        <f t="shared" si="19"/>
        <v>#NUM!</v>
      </c>
      <c r="L279" s="187"/>
      <c r="M279" s="189">
        <f t="shared" si="20"/>
        <v>0</v>
      </c>
    </row>
    <row r="280" spans="1:13" x14ac:dyDescent="0.25">
      <c r="A280" s="204"/>
      <c r="G280" s="175"/>
      <c r="H280" s="187">
        <v>275</v>
      </c>
      <c r="I280" s="188" t="str">
        <f t="shared" si="18"/>
        <v/>
      </c>
      <c r="J280" s="187" t="e">
        <f t="shared" si="21"/>
        <v>#NUM!</v>
      </c>
      <c r="K280" s="187" t="e">
        <f t="shared" si="19"/>
        <v>#NUM!</v>
      </c>
      <c r="L280" s="187"/>
      <c r="M280" s="189">
        <f t="shared" si="20"/>
        <v>0</v>
      </c>
    </row>
    <row r="281" spans="1:13" x14ac:dyDescent="0.25">
      <c r="A281" s="204"/>
      <c r="G281" s="175"/>
      <c r="H281" s="187">
        <v>276</v>
      </c>
      <c r="I281" s="188" t="str">
        <f t="shared" si="18"/>
        <v/>
      </c>
      <c r="J281" s="187" t="e">
        <f t="shared" si="21"/>
        <v>#NUM!</v>
      </c>
      <c r="K281" s="187" t="e">
        <f t="shared" si="19"/>
        <v>#NUM!</v>
      </c>
      <c r="L281" s="187"/>
      <c r="M281" s="189">
        <f t="shared" si="20"/>
        <v>0</v>
      </c>
    </row>
    <row r="282" spans="1:13" x14ac:dyDescent="0.25">
      <c r="A282" s="204"/>
      <c r="G282" s="175"/>
      <c r="H282" s="187">
        <v>277</v>
      </c>
      <c r="I282" s="188" t="str">
        <f t="shared" si="18"/>
        <v/>
      </c>
      <c r="J282" s="187" t="e">
        <f t="shared" si="21"/>
        <v>#NUM!</v>
      </c>
      <c r="K282" s="187" t="e">
        <f t="shared" si="19"/>
        <v>#NUM!</v>
      </c>
      <c r="L282" s="187"/>
      <c r="M282" s="189">
        <f t="shared" si="20"/>
        <v>0</v>
      </c>
    </row>
    <row r="283" spans="1:13" x14ac:dyDescent="0.25">
      <c r="A283" s="204"/>
      <c r="G283" s="175"/>
      <c r="H283" s="187">
        <v>278</v>
      </c>
      <c r="I283" s="188" t="str">
        <f t="shared" si="18"/>
        <v/>
      </c>
      <c r="J283" s="187" t="e">
        <f t="shared" si="21"/>
        <v>#NUM!</v>
      </c>
      <c r="K283" s="187" t="e">
        <f t="shared" si="19"/>
        <v>#NUM!</v>
      </c>
      <c r="L283" s="187"/>
      <c r="M283" s="189">
        <f t="shared" si="20"/>
        <v>0</v>
      </c>
    </row>
    <row r="284" spans="1:13" x14ac:dyDescent="0.25">
      <c r="A284" s="204"/>
      <c r="G284" s="175"/>
      <c r="H284" s="187">
        <v>279</v>
      </c>
      <c r="I284" s="188" t="str">
        <f t="shared" si="18"/>
        <v/>
      </c>
      <c r="J284" s="187" t="e">
        <f t="shared" si="21"/>
        <v>#NUM!</v>
      </c>
      <c r="K284" s="187" t="e">
        <f t="shared" si="19"/>
        <v>#NUM!</v>
      </c>
      <c r="L284" s="187"/>
      <c r="M284" s="189">
        <f t="shared" si="20"/>
        <v>0</v>
      </c>
    </row>
    <row r="285" spans="1:13" x14ac:dyDescent="0.25">
      <c r="A285" s="204"/>
      <c r="G285" s="175"/>
      <c r="H285" s="187">
        <v>280</v>
      </c>
      <c r="I285" s="188" t="str">
        <f t="shared" si="18"/>
        <v/>
      </c>
      <c r="J285" s="187" t="e">
        <f t="shared" si="21"/>
        <v>#NUM!</v>
      </c>
      <c r="K285" s="187" t="e">
        <f t="shared" si="19"/>
        <v>#NUM!</v>
      </c>
      <c r="L285" s="187"/>
      <c r="M285" s="189">
        <f t="shared" si="20"/>
        <v>0</v>
      </c>
    </row>
    <row r="286" spans="1:13" x14ac:dyDescent="0.25">
      <c r="A286" s="204"/>
      <c r="G286" s="175"/>
      <c r="H286" s="187">
        <v>281</v>
      </c>
      <c r="I286" s="188" t="str">
        <f t="shared" si="18"/>
        <v/>
      </c>
      <c r="J286" s="187" t="e">
        <f t="shared" si="21"/>
        <v>#NUM!</v>
      </c>
      <c r="K286" s="187" t="e">
        <f t="shared" si="19"/>
        <v>#NUM!</v>
      </c>
      <c r="L286" s="187"/>
      <c r="M286" s="189">
        <f t="shared" si="20"/>
        <v>0</v>
      </c>
    </row>
    <row r="287" spans="1:13" x14ac:dyDescent="0.25">
      <c r="A287" s="204"/>
      <c r="G287" s="175"/>
      <c r="H287" s="187">
        <v>282</v>
      </c>
      <c r="I287" s="188" t="str">
        <f t="shared" si="18"/>
        <v/>
      </c>
      <c r="J287" s="187" t="e">
        <f t="shared" si="21"/>
        <v>#NUM!</v>
      </c>
      <c r="K287" s="187" t="e">
        <f t="shared" si="19"/>
        <v>#NUM!</v>
      </c>
      <c r="L287" s="187"/>
      <c r="M287" s="189">
        <f t="shared" si="20"/>
        <v>0</v>
      </c>
    </row>
    <row r="288" spans="1:13" x14ac:dyDescent="0.25">
      <c r="A288" s="204"/>
      <c r="G288" s="175"/>
      <c r="H288" s="187">
        <v>283</v>
      </c>
      <c r="I288" s="188" t="str">
        <f t="shared" si="18"/>
        <v/>
      </c>
      <c r="J288" s="187" t="e">
        <f t="shared" si="21"/>
        <v>#NUM!</v>
      </c>
      <c r="K288" s="187" t="e">
        <f t="shared" si="19"/>
        <v>#NUM!</v>
      </c>
      <c r="L288" s="187"/>
      <c r="M288" s="189">
        <f t="shared" si="20"/>
        <v>0</v>
      </c>
    </row>
    <row r="289" spans="1:13" x14ac:dyDescent="0.25">
      <c r="A289" s="204"/>
      <c r="G289" s="175"/>
      <c r="H289" s="187">
        <v>284</v>
      </c>
      <c r="I289" s="188" t="str">
        <f t="shared" si="18"/>
        <v/>
      </c>
      <c r="J289" s="187" t="e">
        <f t="shared" si="21"/>
        <v>#NUM!</v>
      </c>
      <c r="K289" s="187" t="e">
        <f t="shared" si="19"/>
        <v>#NUM!</v>
      </c>
      <c r="L289" s="187"/>
      <c r="M289" s="189">
        <f t="shared" si="20"/>
        <v>0</v>
      </c>
    </row>
    <row r="290" spans="1:13" x14ac:dyDescent="0.25">
      <c r="A290" s="204"/>
      <c r="G290" s="175"/>
      <c r="H290" s="187">
        <v>285</v>
      </c>
      <c r="I290" s="188" t="str">
        <f t="shared" si="18"/>
        <v/>
      </c>
      <c r="J290" s="187" t="e">
        <f t="shared" si="21"/>
        <v>#NUM!</v>
      </c>
      <c r="K290" s="187" t="e">
        <f t="shared" si="19"/>
        <v>#NUM!</v>
      </c>
      <c r="L290" s="187"/>
      <c r="M290" s="189">
        <f t="shared" si="20"/>
        <v>0</v>
      </c>
    </row>
    <row r="291" spans="1:13" x14ac:dyDescent="0.25">
      <c r="A291" s="204"/>
      <c r="G291" s="175"/>
      <c r="H291" s="187">
        <v>286</v>
      </c>
      <c r="I291" s="188" t="str">
        <f t="shared" si="18"/>
        <v/>
      </c>
      <c r="J291" s="187" t="e">
        <f t="shared" si="21"/>
        <v>#NUM!</v>
      </c>
      <c r="K291" s="187" t="e">
        <f t="shared" si="19"/>
        <v>#NUM!</v>
      </c>
      <c r="L291" s="187"/>
      <c r="M291" s="189">
        <f t="shared" si="20"/>
        <v>0</v>
      </c>
    </row>
    <row r="292" spans="1:13" x14ac:dyDescent="0.25">
      <c r="A292" s="204"/>
      <c r="G292" s="175"/>
      <c r="H292" s="187">
        <v>287</v>
      </c>
      <c r="I292" s="188" t="str">
        <f t="shared" si="18"/>
        <v/>
      </c>
      <c r="J292" s="187" t="e">
        <f t="shared" si="21"/>
        <v>#NUM!</v>
      </c>
      <c r="K292" s="187" t="e">
        <f t="shared" si="19"/>
        <v>#NUM!</v>
      </c>
      <c r="L292" s="187"/>
      <c r="M292" s="189">
        <f t="shared" si="20"/>
        <v>0</v>
      </c>
    </row>
    <row r="293" spans="1:13" x14ac:dyDescent="0.25">
      <c r="A293" s="204"/>
      <c r="G293" s="175"/>
      <c r="H293" s="187">
        <v>288</v>
      </c>
      <c r="I293" s="188" t="str">
        <f t="shared" si="18"/>
        <v/>
      </c>
      <c r="J293" s="187" t="e">
        <f t="shared" si="21"/>
        <v>#NUM!</v>
      </c>
      <c r="K293" s="187" t="e">
        <f t="shared" si="19"/>
        <v>#NUM!</v>
      </c>
      <c r="L293" s="187"/>
      <c r="M293" s="189">
        <f t="shared" si="20"/>
        <v>0</v>
      </c>
    </row>
    <row r="294" spans="1:13" x14ac:dyDescent="0.25">
      <c r="A294" s="204"/>
      <c r="G294" s="175"/>
      <c r="H294" s="187">
        <v>289</v>
      </c>
      <c r="I294" s="188" t="str">
        <f t="shared" si="18"/>
        <v/>
      </c>
      <c r="J294" s="187" t="e">
        <f t="shared" si="21"/>
        <v>#NUM!</v>
      </c>
      <c r="K294" s="187" t="e">
        <f t="shared" si="19"/>
        <v>#NUM!</v>
      </c>
      <c r="L294" s="187"/>
      <c r="M294" s="189">
        <f t="shared" si="20"/>
        <v>0</v>
      </c>
    </row>
    <row r="295" spans="1:13" x14ac:dyDescent="0.25">
      <c r="A295" s="204"/>
      <c r="G295" s="175"/>
      <c r="H295" s="187">
        <v>290</v>
      </c>
      <c r="I295" s="188" t="str">
        <f t="shared" si="18"/>
        <v/>
      </c>
      <c r="J295" s="187" t="e">
        <f t="shared" si="21"/>
        <v>#NUM!</v>
      </c>
      <c r="K295" s="187" t="e">
        <f t="shared" si="19"/>
        <v>#NUM!</v>
      </c>
      <c r="L295" s="187"/>
      <c r="M295" s="189">
        <f t="shared" si="20"/>
        <v>0</v>
      </c>
    </row>
    <row r="296" spans="1:13" x14ac:dyDescent="0.25">
      <c r="A296" s="204"/>
      <c r="G296" s="175"/>
      <c r="H296" s="187">
        <v>291</v>
      </c>
      <c r="I296" s="188" t="str">
        <f t="shared" si="18"/>
        <v/>
      </c>
      <c r="J296" s="187" t="e">
        <f t="shared" si="21"/>
        <v>#NUM!</v>
      </c>
      <c r="K296" s="187" t="e">
        <f t="shared" si="19"/>
        <v>#NUM!</v>
      </c>
      <c r="L296" s="187"/>
      <c r="M296" s="189">
        <f t="shared" si="20"/>
        <v>0</v>
      </c>
    </row>
    <row r="297" spans="1:13" x14ac:dyDescent="0.25">
      <c r="A297" s="204"/>
      <c r="G297" s="175"/>
      <c r="H297" s="187">
        <v>292</v>
      </c>
      <c r="I297" s="188" t="str">
        <f t="shared" si="18"/>
        <v/>
      </c>
      <c r="J297" s="187" t="e">
        <f t="shared" si="21"/>
        <v>#NUM!</v>
      </c>
      <c r="K297" s="187" t="e">
        <f t="shared" si="19"/>
        <v>#NUM!</v>
      </c>
      <c r="L297" s="187"/>
      <c r="M297" s="189">
        <f t="shared" si="20"/>
        <v>0</v>
      </c>
    </row>
    <row r="298" spans="1:13" x14ac:dyDescent="0.25">
      <c r="A298" s="204"/>
      <c r="G298" s="175"/>
      <c r="H298" s="187">
        <v>293</v>
      </c>
      <c r="I298" s="188" t="str">
        <f t="shared" si="18"/>
        <v/>
      </c>
      <c r="J298" s="187" t="e">
        <f t="shared" si="21"/>
        <v>#NUM!</v>
      </c>
      <c r="K298" s="187" t="e">
        <f t="shared" si="19"/>
        <v>#NUM!</v>
      </c>
      <c r="L298" s="187"/>
      <c r="M298" s="189">
        <f t="shared" si="20"/>
        <v>0</v>
      </c>
    </row>
    <row r="299" spans="1:13" x14ac:dyDescent="0.25">
      <c r="A299" s="204"/>
      <c r="G299" s="175"/>
      <c r="H299" s="187">
        <v>294</v>
      </c>
      <c r="I299" s="188" t="str">
        <f t="shared" si="18"/>
        <v/>
      </c>
      <c r="J299" s="187" t="e">
        <f t="shared" si="21"/>
        <v>#NUM!</v>
      </c>
      <c r="K299" s="187" t="e">
        <f t="shared" si="19"/>
        <v>#NUM!</v>
      </c>
      <c r="L299" s="187"/>
      <c r="M299" s="189">
        <f t="shared" si="20"/>
        <v>0</v>
      </c>
    </row>
    <row r="300" spans="1:13" x14ac:dyDescent="0.25">
      <c r="A300" s="204"/>
      <c r="G300" s="175"/>
      <c r="H300" s="187">
        <v>295</v>
      </c>
      <c r="I300" s="188" t="str">
        <f t="shared" si="18"/>
        <v/>
      </c>
      <c r="J300" s="187" t="e">
        <f t="shared" si="21"/>
        <v>#NUM!</v>
      </c>
      <c r="K300" s="187" t="e">
        <f t="shared" si="19"/>
        <v>#NUM!</v>
      </c>
      <c r="L300" s="187"/>
      <c r="M300" s="189">
        <f t="shared" si="20"/>
        <v>0</v>
      </c>
    </row>
    <row r="301" spans="1:13" x14ac:dyDescent="0.25">
      <c r="A301" s="204"/>
      <c r="G301" s="175"/>
      <c r="H301" s="187">
        <v>296</v>
      </c>
      <c r="I301" s="188" t="str">
        <f t="shared" si="18"/>
        <v/>
      </c>
      <c r="J301" s="187" t="e">
        <f t="shared" si="21"/>
        <v>#NUM!</v>
      </c>
      <c r="K301" s="187" t="e">
        <f t="shared" si="19"/>
        <v>#NUM!</v>
      </c>
      <c r="L301" s="187"/>
      <c r="M301" s="189">
        <f t="shared" si="20"/>
        <v>0</v>
      </c>
    </row>
    <row r="302" spans="1:13" x14ac:dyDescent="0.25">
      <c r="A302" s="204"/>
      <c r="G302" s="175"/>
      <c r="H302" s="187">
        <v>297</v>
      </c>
      <c r="I302" s="188" t="str">
        <f t="shared" si="18"/>
        <v/>
      </c>
      <c r="J302" s="187" t="e">
        <f t="shared" si="21"/>
        <v>#NUM!</v>
      </c>
      <c r="K302" s="187" t="e">
        <f t="shared" si="19"/>
        <v>#NUM!</v>
      </c>
      <c r="L302" s="187"/>
      <c r="M302" s="189">
        <f t="shared" si="20"/>
        <v>0</v>
      </c>
    </row>
    <row r="303" spans="1:13" x14ac:dyDescent="0.25">
      <c r="A303" s="204"/>
      <c r="G303" s="175"/>
      <c r="H303" s="187">
        <v>298</v>
      </c>
      <c r="I303" s="188" t="str">
        <f t="shared" si="18"/>
        <v/>
      </c>
      <c r="J303" s="187" t="e">
        <f t="shared" si="21"/>
        <v>#NUM!</v>
      </c>
      <c r="K303" s="187" t="e">
        <f t="shared" si="19"/>
        <v>#NUM!</v>
      </c>
      <c r="L303" s="187"/>
      <c r="M303" s="189">
        <f t="shared" si="20"/>
        <v>0</v>
      </c>
    </row>
    <row r="304" spans="1:13" x14ac:dyDescent="0.25">
      <c r="A304" s="204"/>
      <c r="G304" s="175"/>
      <c r="H304" s="187">
        <v>299</v>
      </c>
      <c r="I304" s="188" t="str">
        <f t="shared" si="18"/>
        <v/>
      </c>
      <c r="J304" s="187" t="e">
        <f t="shared" si="21"/>
        <v>#NUM!</v>
      </c>
      <c r="K304" s="187" t="e">
        <f t="shared" si="19"/>
        <v>#NUM!</v>
      </c>
      <c r="L304" s="187"/>
      <c r="M304" s="189">
        <f t="shared" si="20"/>
        <v>0</v>
      </c>
    </row>
    <row r="305" spans="1:16" x14ac:dyDescent="0.25">
      <c r="A305" s="204"/>
      <c r="G305" s="175"/>
      <c r="H305" s="187">
        <v>300</v>
      </c>
      <c r="I305" s="188" t="str">
        <f t="shared" si="18"/>
        <v/>
      </c>
      <c r="J305" s="187" t="e">
        <f t="shared" si="21"/>
        <v>#NUM!</v>
      </c>
      <c r="K305" s="187" t="e">
        <f t="shared" si="19"/>
        <v>#NUM!</v>
      </c>
      <c r="L305" s="187"/>
      <c r="M305" s="189">
        <f t="shared" si="20"/>
        <v>0</v>
      </c>
    </row>
    <row r="306" spans="1:16" x14ac:dyDescent="0.25">
      <c r="A306" s="205"/>
      <c r="J306" s="206" t="e">
        <f t="shared" si="21"/>
        <v>#NUM!</v>
      </c>
    </row>
    <row r="307" spans="1:16" x14ac:dyDescent="0.25">
      <c r="J307" s="206" t="e">
        <f t="shared" si="21"/>
        <v>#NUM!</v>
      </c>
    </row>
    <row r="308" spans="1:16" x14ac:dyDescent="0.25">
      <c r="J308" s="206" t="e">
        <f t="shared" si="21"/>
        <v>#NUM!</v>
      </c>
    </row>
    <row r="309" spans="1:16" x14ac:dyDescent="0.25">
      <c r="J309" s="206" t="e">
        <f t="shared" si="21"/>
        <v>#NUM!</v>
      </c>
    </row>
    <row r="310" spans="1:16" x14ac:dyDescent="0.25">
      <c r="J310" s="206" t="e">
        <f t="shared" si="21"/>
        <v>#NUM!</v>
      </c>
    </row>
    <row r="311" spans="1:16" x14ac:dyDescent="0.25">
      <c r="J311" s="206" t="e">
        <f t="shared" si="21"/>
        <v>#NUM!</v>
      </c>
    </row>
    <row r="312" spans="1:16" x14ac:dyDescent="0.25">
      <c r="J312" s="206" t="e">
        <f t="shared" si="21"/>
        <v>#NUM!</v>
      </c>
    </row>
    <row r="313" spans="1:16" x14ac:dyDescent="0.25">
      <c r="J313" s="206" t="e">
        <f t="shared" si="21"/>
        <v>#NUM!</v>
      </c>
    </row>
    <row r="314" spans="1:16" x14ac:dyDescent="0.25">
      <c r="J314" s="206" t="e">
        <f t="shared" si="21"/>
        <v>#NUM!</v>
      </c>
      <c r="L314" s="208"/>
      <c r="P314" s="198"/>
    </row>
    <row r="315" spans="1:16" x14ac:dyDescent="0.25">
      <c r="J315" s="206" t="e">
        <f t="shared" si="21"/>
        <v>#NUM!</v>
      </c>
      <c r="L315" s="208"/>
      <c r="P315" s="198"/>
    </row>
    <row r="316" spans="1:16" x14ac:dyDescent="0.25">
      <c r="J316" s="206" t="e">
        <f t="shared" si="21"/>
        <v>#NUM!</v>
      </c>
      <c r="L316" s="208"/>
      <c r="P316" s="198"/>
    </row>
    <row r="317" spans="1:16" x14ac:dyDescent="0.25">
      <c r="J317" s="206" t="e">
        <f t="shared" si="21"/>
        <v>#NUM!</v>
      </c>
      <c r="L317" s="208"/>
      <c r="P317" s="198"/>
    </row>
    <row r="318" spans="1:16" x14ac:dyDescent="0.25">
      <c r="J318" s="206" t="e">
        <f t="shared" si="21"/>
        <v>#NUM!</v>
      </c>
    </row>
    <row r="319" spans="1:16" x14ac:dyDescent="0.25">
      <c r="J319" s="206" t="e">
        <f t="shared" si="21"/>
        <v>#NUM!</v>
      </c>
    </row>
    <row r="320" spans="1:16" x14ac:dyDescent="0.25">
      <c r="J320" s="206" t="e">
        <f t="shared" si="21"/>
        <v>#NUM!</v>
      </c>
    </row>
    <row r="321" spans="10:10" x14ac:dyDescent="0.25">
      <c r="J321" s="206" t="e">
        <f t="shared" si="21"/>
        <v>#NUM!</v>
      </c>
    </row>
    <row r="322" spans="10:10" x14ac:dyDescent="0.25">
      <c r="J322" s="206" t="e">
        <f t="shared" si="21"/>
        <v>#NUM!</v>
      </c>
    </row>
    <row r="323" spans="10:10" x14ac:dyDescent="0.25">
      <c r="J323" s="206" t="e">
        <f t="shared" si="21"/>
        <v>#NUM!</v>
      </c>
    </row>
    <row r="324" spans="10:10" x14ac:dyDescent="0.25">
      <c r="J324" s="206" t="e">
        <f t="shared" si="21"/>
        <v>#NUM!</v>
      </c>
    </row>
    <row r="325" spans="10:10" x14ac:dyDescent="0.25">
      <c r="J325" s="206" t="e">
        <f t="shared" si="21"/>
        <v>#NUM!</v>
      </c>
    </row>
    <row r="326" spans="10:10" x14ac:dyDescent="0.25">
      <c r="J326" s="206" t="e">
        <f t="shared" si="21"/>
        <v>#NUM!</v>
      </c>
    </row>
    <row r="327" spans="10:10" x14ac:dyDescent="0.25">
      <c r="J327" s="206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06" t="e">
        <f t="shared" si="22"/>
        <v>#NUM!</v>
      </c>
    </row>
    <row r="329" spans="10:10" x14ac:dyDescent="0.25">
      <c r="J329" s="206" t="e">
        <f t="shared" si="22"/>
        <v>#NUM!</v>
      </c>
    </row>
    <row r="330" spans="10:10" x14ac:dyDescent="0.25">
      <c r="J330" s="206" t="e">
        <f t="shared" si="22"/>
        <v>#NUM!</v>
      </c>
    </row>
    <row r="331" spans="10:10" x14ac:dyDescent="0.25">
      <c r="J331" s="206" t="e">
        <f t="shared" si="22"/>
        <v>#NUM!</v>
      </c>
    </row>
    <row r="332" spans="10:10" x14ac:dyDescent="0.25">
      <c r="J332" s="206" t="e">
        <f t="shared" si="22"/>
        <v>#NUM!</v>
      </c>
    </row>
    <row r="333" spans="10:10" x14ac:dyDescent="0.25">
      <c r="J333" s="206" t="e">
        <f t="shared" si="22"/>
        <v>#NUM!</v>
      </c>
    </row>
    <row r="334" spans="10:10" x14ac:dyDescent="0.25">
      <c r="J334" s="206" t="e">
        <f t="shared" si="22"/>
        <v>#NUM!</v>
      </c>
    </row>
    <row r="335" spans="10:10" x14ac:dyDescent="0.25">
      <c r="J335" s="206" t="e">
        <f t="shared" si="22"/>
        <v>#NUM!</v>
      </c>
    </row>
    <row r="336" spans="10:10" x14ac:dyDescent="0.25">
      <c r="J336" s="206" t="e">
        <f t="shared" si="22"/>
        <v>#NUM!</v>
      </c>
    </row>
    <row r="337" spans="10:10" x14ac:dyDescent="0.25">
      <c r="J337" s="206" t="e">
        <f t="shared" si="22"/>
        <v>#NUM!</v>
      </c>
    </row>
    <row r="338" spans="10:10" x14ac:dyDescent="0.25">
      <c r="J338" s="206" t="e">
        <f t="shared" si="22"/>
        <v>#NUM!</v>
      </c>
    </row>
    <row r="339" spans="10:10" x14ac:dyDescent="0.25">
      <c r="J339" s="206" t="e">
        <f t="shared" si="22"/>
        <v>#NUM!</v>
      </c>
    </row>
    <row r="340" spans="10:10" x14ac:dyDescent="0.25">
      <c r="J340" s="206" t="e">
        <f t="shared" si="22"/>
        <v>#NUM!</v>
      </c>
    </row>
    <row r="341" spans="10:10" x14ac:dyDescent="0.25">
      <c r="J341" s="206" t="e">
        <f t="shared" si="22"/>
        <v>#NUM!</v>
      </c>
    </row>
    <row r="342" spans="10:10" x14ac:dyDescent="0.25">
      <c r="J342" s="206" t="e">
        <f t="shared" si="22"/>
        <v>#NUM!</v>
      </c>
    </row>
    <row r="343" spans="10:10" x14ac:dyDescent="0.25">
      <c r="J343" s="206" t="e">
        <f t="shared" si="22"/>
        <v>#NUM!</v>
      </c>
    </row>
    <row r="344" spans="10:10" x14ac:dyDescent="0.25">
      <c r="J344" s="206" t="e">
        <f t="shared" si="22"/>
        <v>#NUM!</v>
      </c>
    </row>
    <row r="345" spans="10:10" x14ac:dyDescent="0.25">
      <c r="J345" s="206" t="e">
        <f t="shared" si="22"/>
        <v>#NUM!</v>
      </c>
    </row>
    <row r="346" spans="10:10" x14ac:dyDescent="0.25">
      <c r="J346" s="206" t="e">
        <f t="shared" si="22"/>
        <v>#NUM!</v>
      </c>
    </row>
    <row r="347" spans="10:10" x14ac:dyDescent="0.25">
      <c r="J347" s="206" t="e">
        <f t="shared" si="22"/>
        <v>#NUM!</v>
      </c>
    </row>
    <row r="348" spans="10:10" x14ac:dyDescent="0.25">
      <c r="J348" s="206" t="e">
        <f t="shared" si="22"/>
        <v>#NUM!</v>
      </c>
    </row>
    <row r="349" spans="10:10" x14ac:dyDescent="0.25">
      <c r="J349" s="206" t="e">
        <f t="shared" si="22"/>
        <v>#NUM!</v>
      </c>
    </row>
    <row r="350" spans="10:10" x14ac:dyDescent="0.25">
      <c r="J350" s="206" t="e">
        <f t="shared" si="22"/>
        <v>#NUM!</v>
      </c>
    </row>
    <row r="351" spans="10:10" x14ac:dyDescent="0.25">
      <c r="J351" s="206" t="e">
        <f t="shared" si="22"/>
        <v>#NUM!</v>
      </c>
    </row>
    <row r="352" spans="10:10" x14ac:dyDescent="0.25">
      <c r="J352" s="206" t="e">
        <f t="shared" si="22"/>
        <v>#NUM!</v>
      </c>
    </row>
    <row r="353" spans="10:10" x14ac:dyDescent="0.25">
      <c r="J353" s="206" t="e">
        <f t="shared" si="22"/>
        <v>#NUM!</v>
      </c>
    </row>
    <row r="354" spans="10:10" x14ac:dyDescent="0.25">
      <c r="J354" s="206" t="e">
        <f t="shared" si="22"/>
        <v>#NUM!</v>
      </c>
    </row>
    <row r="355" spans="10:10" x14ac:dyDescent="0.25">
      <c r="J355" s="206" t="e">
        <f t="shared" si="22"/>
        <v>#NUM!</v>
      </c>
    </row>
    <row r="356" spans="10:10" x14ac:dyDescent="0.25">
      <c r="J356" s="206" t="e">
        <f t="shared" si="22"/>
        <v>#NUM!</v>
      </c>
    </row>
    <row r="357" spans="10:10" x14ac:dyDescent="0.25">
      <c r="J357" s="206" t="e">
        <f t="shared" si="22"/>
        <v>#NUM!</v>
      </c>
    </row>
    <row r="358" spans="10:10" x14ac:dyDescent="0.25">
      <c r="J358" s="206" t="e">
        <f t="shared" si="22"/>
        <v>#NUM!</v>
      </c>
    </row>
    <row r="359" spans="10:10" x14ac:dyDescent="0.25">
      <c r="J359" s="206" t="e">
        <f t="shared" si="22"/>
        <v>#NUM!</v>
      </c>
    </row>
    <row r="360" spans="10:10" x14ac:dyDescent="0.25">
      <c r="J360" s="206" t="e">
        <f t="shared" si="22"/>
        <v>#NUM!</v>
      </c>
    </row>
    <row r="361" spans="10:10" x14ac:dyDescent="0.25">
      <c r="J361" s="206" t="e">
        <f t="shared" si="22"/>
        <v>#NUM!</v>
      </c>
    </row>
    <row r="362" spans="10:10" x14ac:dyDescent="0.25">
      <c r="J362" s="206" t="e">
        <f t="shared" si="22"/>
        <v>#NUM!</v>
      </c>
    </row>
    <row r="363" spans="10:10" x14ac:dyDescent="0.25">
      <c r="J363" s="206" t="e">
        <f t="shared" si="22"/>
        <v>#NUM!</v>
      </c>
    </row>
    <row r="364" spans="10:10" x14ac:dyDescent="0.25">
      <c r="J364" s="206" t="e">
        <f t="shared" si="22"/>
        <v>#NUM!</v>
      </c>
    </row>
    <row r="365" spans="10:10" x14ac:dyDescent="0.25">
      <c r="J365" s="206" t="e">
        <f t="shared" si="22"/>
        <v>#NUM!</v>
      </c>
    </row>
    <row r="366" spans="10:10" x14ac:dyDescent="0.25">
      <c r="J366" s="206" t="e">
        <f t="shared" si="22"/>
        <v>#NUM!</v>
      </c>
    </row>
    <row r="367" spans="10:10" x14ac:dyDescent="0.25">
      <c r="J367" s="206" t="e">
        <f t="shared" si="22"/>
        <v>#NUM!</v>
      </c>
    </row>
    <row r="368" spans="10:10" x14ac:dyDescent="0.25">
      <c r="J368" s="206" t="e">
        <f t="shared" si="22"/>
        <v>#NUM!</v>
      </c>
    </row>
    <row r="369" spans="10:10" x14ac:dyDescent="0.25">
      <c r="J369" s="206" t="e">
        <f t="shared" si="22"/>
        <v>#NUM!</v>
      </c>
    </row>
    <row r="370" spans="10:10" x14ac:dyDescent="0.25">
      <c r="J370" s="206" t="e">
        <f t="shared" si="22"/>
        <v>#NUM!</v>
      </c>
    </row>
    <row r="371" spans="10:10" x14ac:dyDescent="0.25">
      <c r="J371" s="206" t="e">
        <f t="shared" si="22"/>
        <v>#NUM!</v>
      </c>
    </row>
    <row r="372" spans="10:10" x14ac:dyDescent="0.25">
      <c r="J372" s="206" t="e">
        <f t="shared" si="22"/>
        <v>#NUM!</v>
      </c>
    </row>
    <row r="373" spans="10:10" x14ac:dyDescent="0.25">
      <c r="J373" s="206" t="e">
        <f t="shared" si="22"/>
        <v>#NUM!</v>
      </c>
    </row>
    <row r="374" spans="10:10" x14ac:dyDescent="0.25">
      <c r="J374" s="206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B991708B-F04A-470E-B714-54F7E4E7C0AD}"/>
  </hyperlink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5384-FE9A-486E-A185-4E25EA8AE243}">
  <sheetPr>
    <tabColor rgb="FF92D050"/>
  </sheetPr>
  <dimension ref="A1:AL317"/>
  <sheetViews>
    <sheetView workbookViewId="0">
      <selection activeCell="C29" sqref="C29"/>
    </sheetView>
  </sheetViews>
  <sheetFormatPr defaultColWidth="8.875" defaultRowHeight="14.3" x14ac:dyDescent="0.25"/>
  <cols>
    <col min="1" max="1" width="8" style="203" customWidth="1"/>
    <col min="2" max="2" width="8.25" style="203" customWidth="1"/>
    <col min="3" max="3" width="34.75" style="203" customWidth="1"/>
    <col min="4" max="4" width="11.25" style="203" customWidth="1"/>
    <col min="5" max="6" width="8.875" style="203"/>
    <col min="7" max="7" width="0.875" style="203" customWidth="1"/>
    <col min="8" max="8" width="8.875" style="206"/>
    <col min="9" max="9" width="11" style="206" customWidth="1"/>
    <col min="10" max="10" width="15.25" style="206" customWidth="1"/>
    <col min="11" max="11" width="8.75" style="206" customWidth="1"/>
    <col min="12" max="12" width="11" style="206" customWidth="1"/>
    <col min="13" max="13" width="12.25" style="207" customWidth="1"/>
    <col min="14" max="15" width="13.875" style="175" customWidth="1"/>
    <col min="16" max="18" width="8.875" style="175"/>
    <col min="19" max="20" width="8.875" style="180"/>
    <col min="21" max="21" width="12.125" style="180" customWidth="1"/>
    <col min="22" max="22" width="27.375" style="180" customWidth="1"/>
    <col min="23" max="38" width="8.875" style="180"/>
    <col min="39" max="16384" width="8.875" style="203"/>
  </cols>
  <sheetData>
    <row r="1" spans="1:36" x14ac:dyDescent="0.25">
      <c r="A1" s="175"/>
      <c r="B1" s="175"/>
      <c r="C1" s="175"/>
      <c r="D1" s="175"/>
      <c r="E1" s="175"/>
      <c r="F1" s="175"/>
      <c r="G1" s="175"/>
      <c r="H1" s="176" t="s">
        <v>38</v>
      </c>
      <c r="I1" s="177" t="s">
        <v>39</v>
      </c>
      <c r="J1" s="177" t="s">
        <v>40</v>
      </c>
      <c r="K1" s="178" t="s">
        <v>128</v>
      </c>
      <c r="L1" s="179"/>
      <c r="M1" s="179"/>
    </row>
    <row r="2" spans="1:36" x14ac:dyDescent="0.25">
      <c r="A2" s="175"/>
      <c r="B2" s="47" t="s">
        <v>42</v>
      </c>
      <c r="C2" s="299" t="s">
        <v>150</v>
      </c>
      <c r="D2" s="68"/>
      <c r="E2" s="6"/>
      <c r="F2" s="6"/>
      <c r="G2" s="6"/>
      <c r="H2" s="181">
        <v>25</v>
      </c>
      <c r="I2" s="182">
        <v>50</v>
      </c>
      <c r="J2" s="182">
        <v>10</v>
      </c>
      <c r="K2" s="183">
        <f>3*H2^(1/3)</f>
        <v>8.7720532146385963</v>
      </c>
      <c r="L2" s="179"/>
      <c r="M2" s="179"/>
    </row>
    <row r="3" spans="1:36" x14ac:dyDescent="0.25">
      <c r="A3" s="175"/>
      <c r="B3" s="184" t="s">
        <v>44</v>
      </c>
      <c r="C3" s="69" t="s">
        <v>151</v>
      </c>
      <c r="D3" s="69"/>
      <c r="E3" s="7"/>
      <c r="F3" s="7"/>
      <c r="G3" s="7"/>
      <c r="H3" s="179"/>
      <c r="I3" s="179"/>
      <c r="J3" s="210"/>
      <c r="K3" s="179"/>
      <c r="L3" s="179"/>
      <c r="M3" s="179"/>
    </row>
    <row r="4" spans="1:36" ht="10.199999999999999" customHeight="1" x14ac:dyDescent="0.25">
      <c r="A4" s="8"/>
      <c r="B4" s="7"/>
      <c r="C4" s="8"/>
      <c r="D4" s="8"/>
      <c r="E4" s="8"/>
      <c r="F4" s="8"/>
      <c r="G4" s="8"/>
      <c r="H4" s="179"/>
      <c r="I4" s="179"/>
      <c r="J4" s="210"/>
      <c r="K4" s="179"/>
      <c r="L4" s="179"/>
      <c r="M4" s="179"/>
    </row>
    <row r="5" spans="1:36" ht="34.65" x14ac:dyDescent="0.25">
      <c r="A5" s="1" t="s">
        <v>45</v>
      </c>
      <c r="B5" s="37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8"/>
      <c r="H5" s="185" t="s">
        <v>51</v>
      </c>
      <c r="I5" s="186" t="s">
        <v>52</v>
      </c>
      <c r="J5" s="211" t="s">
        <v>93</v>
      </c>
      <c r="K5" s="186" t="s">
        <v>94</v>
      </c>
      <c r="L5" s="186" t="s">
        <v>55</v>
      </c>
      <c r="M5" s="185" t="s">
        <v>56</v>
      </c>
    </row>
    <row r="6" spans="1:36" ht="14.45" customHeight="1" x14ac:dyDescent="0.25">
      <c r="A6" s="94">
        <f>M6</f>
        <v>126.3161596439158</v>
      </c>
      <c r="B6" s="36">
        <f t="shared" ref="B6:B69" si="0">IF(H6&gt;$H$2,"",(ROW()-5))</f>
        <v>1</v>
      </c>
      <c r="C6" s="24" t="s">
        <v>22</v>
      </c>
      <c r="D6" s="24"/>
      <c r="E6" s="24"/>
      <c r="F6" s="24"/>
      <c r="G6" s="8"/>
      <c r="H6" s="187">
        <v>1</v>
      </c>
      <c r="I6" s="188">
        <f t="shared" ref="I6:I69" si="1">IF(H6&lt;$H$2+1,($I$2-($I$2-1)*(LOG(H6)/LOG($H$2))),"")</f>
        <v>50</v>
      </c>
      <c r="J6" s="187">
        <f>INT(LOG($H$2,2))-ROUNDUP(LOG(H6,2),0)+IF(OR($H$2=1,$H$2=2,$H$2=4,$H$2=8,$H$2=16,$H$2=32,$H$2=64,$H$2=128,$H$2=256),0,1)</f>
        <v>5</v>
      </c>
      <c r="K6" s="187">
        <f t="shared" ref="K6:K69" si="2">J6*$J$2</f>
        <v>50</v>
      </c>
      <c r="L6" s="189">
        <f>3*K2</f>
        <v>26.316159643915789</v>
      </c>
      <c r="M6" s="189">
        <f t="shared" ref="M6:M69" si="3">IF(I6&lt;&gt;"",K6+I6+L6,0)</f>
        <v>126.3161596439158</v>
      </c>
    </row>
    <row r="7" spans="1:36" ht="14.45" customHeight="1" x14ac:dyDescent="0.25">
      <c r="A7" s="98">
        <f t="shared" ref="A7:A70" si="4">M7</f>
        <v>96.99253075647907</v>
      </c>
      <c r="B7" s="35">
        <f t="shared" si="0"/>
        <v>2</v>
      </c>
      <c r="C7" s="25" t="s">
        <v>19</v>
      </c>
      <c r="D7" s="25"/>
      <c r="E7" s="25"/>
      <c r="F7" s="25"/>
      <c r="G7" s="8"/>
      <c r="H7" s="190">
        <v>2</v>
      </c>
      <c r="I7" s="191">
        <f t="shared" si="1"/>
        <v>39.44842432720187</v>
      </c>
      <c r="J7" s="190">
        <f t="shared" ref="J7:J70" si="5">INT(LOG($H$2,2))-ROUNDUP(LOG(H7,2),0)+IF(OR($H$2=1,$H$2=2,$H$2=4,$H$2=8,$H$2=16,$H$2=32,$H$2=64,$H$2=128,$H$2=256),0,1)</f>
        <v>4</v>
      </c>
      <c r="K7" s="190">
        <f t="shared" si="2"/>
        <v>40</v>
      </c>
      <c r="L7" s="192">
        <f>2*K2</f>
        <v>17.544106429277193</v>
      </c>
      <c r="M7" s="192">
        <f t="shared" si="3"/>
        <v>96.99253075647907</v>
      </c>
    </row>
    <row r="8" spans="1:36" ht="14.45" customHeight="1" x14ac:dyDescent="0.25">
      <c r="A8" s="94">
        <f t="shared" si="4"/>
        <v>72.048201449731948</v>
      </c>
      <c r="B8" s="36">
        <f t="shared" si="0"/>
        <v>3</v>
      </c>
      <c r="C8" s="24" t="s">
        <v>21</v>
      </c>
      <c r="D8" s="24"/>
      <c r="E8" s="24"/>
      <c r="F8" s="24"/>
      <c r="G8" s="8"/>
      <c r="H8" s="187">
        <v>3</v>
      </c>
      <c r="I8" s="188">
        <f t="shared" si="1"/>
        <v>33.276148235093359</v>
      </c>
      <c r="J8" s="187">
        <f t="shared" si="5"/>
        <v>3</v>
      </c>
      <c r="K8" s="187">
        <f t="shared" si="2"/>
        <v>30</v>
      </c>
      <c r="L8" s="189">
        <f>K2</f>
        <v>8.7720532146385963</v>
      </c>
      <c r="M8" s="189">
        <f t="shared" si="3"/>
        <v>72.048201449731948</v>
      </c>
    </row>
    <row r="9" spans="1:36" s="180" customFormat="1" ht="14.45" customHeight="1" x14ac:dyDescent="0.25">
      <c r="A9" s="98">
        <f t="shared" si="4"/>
        <v>72.048201449731948</v>
      </c>
      <c r="B9" s="35">
        <f>IF(H9&gt;$H$2,"",3)</f>
        <v>3</v>
      </c>
      <c r="C9" s="25" t="s">
        <v>95</v>
      </c>
      <c r="D9" s="25"/>
      <c r="E9" s="25"/>
      <c r="F9" s="25"/>
      <c r="G9" s="8"/>
      <c r="H9" s="190">
        <v>3</v>
      </c>
      <c r="I9" s="191">
        <f t="shared" si="1"/>
        <v>33.276148235093359</v>
      </c>
      <c r="J9" s="190">
        <f t="shared" si="5"/>
        <v>3</v>
      </c>
      <c r="K9" s="190">
        <f t="shared" si="2"/>
        <v>30</v>
      </c>
      <c r="L9" s="192">
        <f>K2</f>
        <v>8.7720532146385963</v>
      </c>
      <c r="M9" s="192">
        <f t="shared" si="3"/>
        <v>72.048201449731948</v>
      </c>
      <c r="N9" s="175"/>
      <c r="O9" s="175"/>
      <c r="P9" s="175"/>
      <c r="Q9" s="175"/>
      <c r="R9" s="175"/>
      <c r="V9" s="193"/>
      <c r="Z9" s="194"/>
      <c r="AA9" s="194"/>
      <c r="AG9" s="195"/>
      <c r="AH9" s="180" t="s">
        <v>95</v>
      </c>
      <c r="AI9" s="180">
        <v>23</v>
      </c>
    </row>
    <row r="10" spans="1:36" ht="14.45" customHeight="1" x14ac:dyDescent="0.25">
      <c r="A10" s="94">
        <f t="shared" si="4"/>
        <v>45.5</v>
      </c>
      <c r="B10" s="36">
        <f t="shared" si="0"/>
        <v>5</v>
      </c>
      <c r="C10" s="24" t="s">
        <v>20</v>
      </c>
      <c r="D10" s="24"/>
      <c r="E10" s="24"/>
      <c r="F10" s="24"/>
      <c r="G10" s="8"/>
      <c r="H10" s="187">
        <v>5</v>
      </c>
      <c r="I10" s="188">
        <f t="shared" si="1"/>
        <v>25.5</v>
      </c>
      <c r="J10" s="187">
        <f t="shared" si="5"/>
        <v>2</v>
      </c>
      <c r="K10" s="187">
        <f t="shared" si="2"/>
        <v>20</v>
      </c>
      <c r="L10" s="187"/>
      <c r="M10" s="189">
        <f t="shared" si="3"/>
        <v>45.5</v>
      </c>
      <c r="V10" s="193"/>
      <c r="Z10" s="194"/>
      <c r="AA10" s="194"/>
      <c r="AG10" s="195"/>
      <c r="AH10" s="180" t="s">
        <v>96</v>
      </c>
      <c r="AI10" s="180">
        <v>45</v>
      </c>
    </row>
    <row r="11" spans="1:36" ht="14.45" customHeight="1" x14ac:dyDescent="0.25">
      <c r="A11" s="98">
        <f t="shared" si="4"/>
        <v>42.724572562295236</v>
      </c>
      <c r="B11" s="35">
        <f t="shared" si="0"/>
        <v>6</v>
      </c>
      <c r="C11" s="25" t="s">
        <v>95</v>
      </c>
      <c r="D11" s="25"/>
      <c r="E11" s="25"/>
      <c r="F11" s="25"/>
      <c r="G11" s="8"/>
      <c r="H11" s="190">
        <v>6</v>
      </c>
      <c r="I11" s="191">
        <f t="shared" si="1"/>
        <v>22.724572562295233</v>
      </c>
      <c r="J11" s="190">
        <f t="shared" si="5"/>
        <v>2</v>
      </c>
      <c r="K11" s="190">
        <f t="shared" si="2"/>
        <v>20</v>
      </c>
      <c r="L11" s="190"/>
      <c r="M11" s="192">
        <f t="shared" si="3"/>
        <v>42.724572562295236</v>
      </c>
      <c r="V11" s="196"/>
      <c r="Z11" s="194"/>
      <c r="AA11" s="194"/>
      <c r="AG11" s="195"/>
      <c r="AH11" s="180" t="s">
        <v>97</v>
      </c>
      <c r="AI11" s="180">
        <v>50</v>
      </c>
    </row>
    <row r="12" spans="1:36" ht="14.45" customHeight="1" x14ac:dyDescent="0.25">
      <c r="A12" s="94">
        <f t="shared" si="4"/>
        <v>40.377982099506895</v>
      </c>
      <c r="B12" s="36">
        <f t="shared" si="0"/>
        <v>7</v>
      </c>
      <c r="C12" s="24" t="s">
        <v>95</v>
      </c>
      <c r="D12" s="24"/>
      <c r="E12" s="24"/>
      <c r="F12" s="24"/>
      <c r="G12" s="8"/>
      <c r="H12" s="187">
        <v>7</v>
      </c>
      <c r="I12" s="188">
        <f t="shared" si="1"/>
        <v>20.377982099506895</v>
      </c>
      <c r="J12" s="187">
        <f t="shared" si="5"/>
        <v>2</v>
      </c>
      <c r="K12" s="187">
        <f t="shared" si="2"/>
        <v>20</v>
      </c>
      <c r="L12" s="187"/>
      <c r="M12" s="189">
        <f t="shared" si="3"/>
        <v>40.377982099506895</v>
      </c>
      <c r="Z12" s="194"/>
      <c r="AA12" s="194"/>
      <c r="AG12" s="195"/>
      <c r="AH12" s="180" t="s">
        <v>98</v>
      </c>
      <c r="AI12" s="180">
        <f>AI11-1</f>
        <v>49</v>
      </c>
    </row>
    <row r="13" spans="1:36" ht="14.45" customHeight="1" x14ac:dyDescent="0.25">
      <c r="A13" s="98">
        <f t="shared" si="4"/>
        <v>38.345272981605618</v>
      </c>
      <c r="B13" s="35">
        <f t="shared" si="0"/>
        <v>8</v>
      </c>
      <c r="C13" s="25" t="s">
        <v>95</v>
      </c>
      <c r="D13" s="25"/>
      <c r="E13" s="25"/>
      <c r="F13" s="25"/>
      <c r="G13" s="8"/>
      <c r="H13" s="190">
        <v>8</v>
      </c>
      <c r="I13" s="191">
        <f t="shared" si="1"/>
        <v>18.345272981605618</v>
      </c>
      <c r="J13" s="190">
        <f t="shared" si="5"/>
        <v>2</v>
      </c>
      <c r="K13" s="190">
        <f t="shared" si="2"/>
        <v>20</v>
      </c>
      <c r="L13" s="190"/>
      <c r="M13" s="192">
        <f t="shared" si="3"/>
        <v>38.345272981605618</v>
      </c>
      <c r="X13" s="193"/>
      <c r="AG13" s="195"/>
      <c r="AH13" s="180" t="s">
        <v>101</v>
      </c>
      <c r="AI13" s="180">
        <f>LOG(AI9)</f>
        <v>1.3617278360175928</v>
      </c>
    </row>
    <row r="14" spans="1:36" x14ac:dyDescent="0.25">
      <c r="A14" s="94">
        <f t="shared" si="4"/>
        <v>26.552296470186725</v>
      </c>
      <c r="B14" s="36">
        <f t="shared" si="0"/>
        <v>9</v>
      </c>
      <c r="C14" s="24" t="s">
        <v>95</v>
      </c>
      <c r="D14" s="24"/>
      <c r="E14" s="24"/>
      <c r="F14" s="24"/>
      <c r="G14" s="8"/>
      <c r="H14" s="187">
        <v>9</v>
      </c>
      <c r="I14" s="188">
        <f t="shared" si="1"/>
        <v>16.552296470186725</v>
      </c>
      <c r="J14" s="187">
        <f t="shared" si="5"/>
        <v>1</v>
      </c>
      <c r="K14" s="187">
        <f t="shared" si="2"/>
        <v>10</v>
      </c>
      <c r="L14" s="187"/>
      <c r="M14" s="189">
        <f t="shared" si="3"/>
        <v>26.552296470186725</v>
      </c>
      <c r="X14" s="197"/>
      <c r="Z14" s="194"/>
      <c r="AA14" s="194"/>
      <c r="AG14" s="195"/>
      <c r="AH14" s="180" t="s">
        <v>102</v>
      </c>
      <c r="AI14" s="180">
        <f>LOG(AI10)</f>
        <v>1.6532125137753437</v>
      </c>
    </row>
    <row r="15" spans="1:36" x14ac:dyDescent="0.25">
      <c r="A15" s="98">
        <f t="shared" si="4"/>
        <v>24.948424327201877</v>
      </c>
      <c r="B15" s="35">
        <f t="shared" si="0"/>
        <v>10</v>
      </c>
      <c r="C15" s="25" t="s">
        <v>95</v>
      </c>
      <c r="D15" s="25"/>
      <c r="E15" s="25"/>
      <c r="F15" s="25"/>
      <c r="G15" s="8"/>
      <c r="H15" s="190">
        <v>10</v>
      </c>
      <c r="I15" s="191">
        <f t="shared" si="1"/>
        <v>14.948424327201877</v>
      </c>
      <c r="J15" s="190">
        <f t="shared" si="5"/>
        <v>1</v>
      </c>
      <c r="K15" s="190">
        <f t="shared" si="2"/>
        <v>10</v>
      </c>
      <c r="L15" s="190"/>
      <c r="M15" s="192">
        <f t="shared" si="3"/>
        <v>24.948424327201877</v>
      </c>
      <c r="X15" s="193"/>
      <c r="Z15" s="194"/>
      <c r="AA15" s="194"/>
    </row>
    <row r="16" spans="1:36" x14ac:dyDescent="0.25">
      <c r="A16" s="94">
        <f t="shared" si="4"/>
        <v>23.497545491078036</v>
      </c>
      <c r="B16" s="36">
        <f t="shared" si="0"/>
        <v>11</v>
      </c>
      <c r="C16" s="24" t="s">
        <v>134</v>
      </c>
      <c r="D16" s="24"/>
      <c r="E16" s="24"/>
      <c r="F16" s="24"/>
      <c r="G16" s="8"/>
      <c r="H16" s="187">
        <v>11</v>
      </c>
      <c r="I16" s="188">
        <f t="shared" si="1"/>
        <v>13.497545491078036</v>
      </c>
      <c r="J16" s="187">
        <f t="shared" si="5"/>
        <v>1</v>
      </c>
      <c r="K16" s="187">
        <f t="shared" si="2"/>
        <v>10</v>
      </c>
      <c r="L16" s="187"/>
      <c r="M16" s="189">
        <f t="shared" si="3"/>
        <v>23.497545491078036</v>
      </c>
      <c r="R16" s="198"/>
      <c r="Z16" s="194"/>
      <c r="AA16" s="194"/>
      <c r="AH16" s="199" t="s">
        <v>104</v>
      </c>
      <c r="AI16" s="180">
        <f>AI11-AI12*AI13/AI14</f>
        <v>9.6393909380186855</v>
      </c>
      <c r="AJ16" s="180" t="s">
        <v>105</v>
      </c>
    </row>
    <row r="17" spans="1:19" x14ac:dyDescent="0.25">
      <c r="A17" s="98">
        <f t="shared" si="4"/>
        <v>22.172996889497099</v>
      </c>
      <c r="B17" s="35">
        <f t="shared" si="0"/>
        <v>12</v>
      </c>
      <c r="C17" s="25" t="s">
        <v>95</v>
      </c>
      <c r="D17" s="25"/>
      <c r="E17" s="25"/>
      <c r="F17" s="25"/>
      <c r="G17" s="8"/>
      <c r="H17" s="190">
        <v>12</v>
      </c>
      <c r="I17" s="191">
        <f t="shared" si="1"/>
        <v>12.172996889497099</v>
      </c>
      <c r="J17" s="190">
        <f t="shared" si="5"/>
        <v>1</v>
      </c>
      <c r="K17" s="190">
        <f t="shared" si="2"/>
        <v>10</v>
      </c>
      <c r="L17" s="190"/>
      <c r="M17" s="192">
        <f t="shared" si="3"/>
        <v>22.172996889497099</v>
      </c>
    </row>
    <row r="18" spans="1:19" x14ac:dyDescent="0.25">
      <c r="A18" s="94">
        <f t="shared" si="4"/>
        <v>20.954530291406485</v>
      </c>
      <c r="B18" s="36">
        <f t="shared" si="0"/>
        <v>13</v>
      </c>
      <c r="C18" s="24" t="s">
        <v>29</v>
      </c>
      <c r="D18" s="24"/>
      <c r="E18" s="24"/>
      <c r="F18" s="24"/>
      <c r="G18" s="8"/>
      <c r="H18" s="187">
        <v>13</v>
      </c>
      <c r="I18" s="188">
        <f t="shared" si="1"/>
        <v>10.954530291406485</v>
      </c>
      <c r="J18" s="187">
        <f t="shared" si="5"/>
        <v>1</v>
      </c>
      <c r="K18" s="187">
        <f t="shared" si="2"/>
        <v>10</v>
      </c>
      <c r="L18" s="187"/>
      <c r="M18" s="189">
        <f t="shared" si="3"/>
        <v>20.954530291406485</v>
      </c>
    </row>
    <row r="19" spans="1:19" x14ac:dyDescent="0.25">
      <c r="A19" s="98">
        <f t="shared" si="4"/>
        <v>19.826406426708772</v>
      </c>
      <c r="B19" s="35">
        <f t="shared" si="0"/>
        <v>14</v>
      </c>
      <c r="C19" s="25" t="s">
        <v>30</v>
      </c>
      <c r="D19" s="25"/>
      <c r="E19" s="25"/>
      <c r="F19" s="25"/>
      <c r="G19" s="8"/>
      <c r="H19" s="190">
        <v>14</v>
      </c>
      <c r="I19" s="191">
        <f t="shared" si="1"/>
        <v>9.8264064267087718</v>
      </c>
      <c r="J19" s="190">
        <f t="shared" si="5"/>
        <v>1</v>
      </c>
      <c r="K19" s="190">
        <f t="shared" si="2"/>
        <v>10</v>
      </c>
      <c r="L19" s="190"/>
      <c r="M19" s="192">
        <f t="shared" si="3"/>
        <v>19.826406426708772</v>
      </c>
    </row>
    <row r="20" spans="1:19" x14ac:dyDescent="0.25">
      <c r="A20" s="94">
        <f t="shared" si="4"/>
        <v>18.776148235093359</v>
      </c>
      <c r="B20" s="36">
        <f t="shared" si="0"/>
        <v>15</v>
      </c>
      <c r="C20" s="24" t="s">
        <v>95</v>
      </c>
      <c r="D20" s="24"/>
      <c r="E20" s="24"/>
      <c r="F20" s="24"/>
      <c r="G20" s="8"/>
      <c r="H20" s="187">
        <v>15</v>
      </c>
      <c r="I20" s="188">
        <f t="shared" si="1"/>
        <v>8.7761482350933591</v>
      </c>
      <c r="J20" s="187">
        <f t="shared" si="5"/>
        <v>1</v>
      </c>
      <c r="K20" s="187">
        <f t="shared" si="2"/>
        <v>10</v>
      </c>
      <c r="L20" s="187"/>
      <c r="M20" s="189">
        <f t="shared" si="3"/>
        <v>18.776148235093359</v>
      </c>
      <c r="R20" s="200"/>
      <c r="S20" s="201"/>
    </row>
    <row r="21" spans="1:19" x14ac:dyDescent="0.25">
      <c r="A21" s="98">
        <f t="shared" si="4"/>
        <v>17.793697308807488</v>
      </c>
      <c r="B21" s="35">
        <f t="shared" si="0"/>
        <v>16</v>
      </c>
      <c r="C21" s="25" t="s">
        <v>23</v>
      </c>
      <c r="D21" s="25"/>
      <c r="E21" s="25"/>
      <c r="F21" s="25"/>
      <c r="G21" s="8"/>
      <c r="H21" s="190">
        <v>16</v>
      </c>
      <c r="I21" s="191">
        <f t="shared" si="1"/>
        <v>7.7936973088074879</v>
      </c>
      <c r="J21" s="190">
        <f t="shared" si="5"/>
        <v>1</v>
      </c>
      <c r="K21" s="190">
        <f t="shared" si="2"/>
        <v>10</v>
      </c>
      <c r="L21" s="190"/>
      <c r="M21" s="192">
        <f t="shared" si="3"/>
        <v>17.793697308807488</v>
      </c>
    </row>
    <row r="22" spans="1:19" x14ac:dyDescent="0.25">
      <c r="A22" s="94">
        <f t="shared" si="4"/>
        <v>6.8708265207966051</v>
      </c>
      <c r="B22" s="36">
        <f t="shared" si="0"/>
        <v>17</v>
      </c>
      <c r="C22" s="24" t="s">
        <v>95</v>
      </c>
      <c r="D22" s="24"/>
      <c r="E22" s="24"/>
      <c r="F22" s="24"/>
      <c r="G22" s="8"/>
      <c r="H22" s="187">
        <v>17</v>
      </c>
      <c r="I22" s="188">
        <f t="shared" si="1"/>
        <v>6.8708265207966051</v>
      </c>
      <c r="J22" s="187">
        <f t="shared" si="5"/>
        <v>0</v>
      </c>
      <c r="K22" s="187">
        <f t="shared" si="2"/>
        <v>0</v>
      </c>
      <c r="L22" s="187"/>
      <c r="M22" s="189">
        <f t="shared" si="3"/>
        <v>6.8708265207966051</v>
      </c>
    </row>
    <row r="23" spans="1:19" x14ac:dyDescent="0.25">
      <c r="A23" s="98">
        <f t="shared" si="4"/>
        <v>6.0007207973885954</v>
      </c>
      <c r="B23" s="35">
        <f t="shared" si="0"/>
        <v>18</v>
      </c>
      <c r="C23" s="25" t="s">
        <v>27</v>
      </c>
      <c r="D23" s="25"/>
      <c r="E23" s="25"/>
      <c r="F23" s="25"/>
      <c r="G23" s="8"/>
      <c r="H23" s="190">
        <v>18</v>
      </c>
      <c r="I23" s="191">
        <f t="shared" si="1"/>
        <v>6.0007207973885954</v>
      </c>
      <c r="J23" s="190">
        <f t="shared" si="5"/>
        <v>0</v>
      </c>
      <c r="K23" s="190">
        <f t="shared" si="2"/>
        <v>0</v>
      </c>
      <c r="L23" s="190"/>
      <c r="M23" s="192">
        <f t="shared" si="3"/>
        <v>6.0007207973885954</v>
      </c>
    </row>
    <row r="24" spans="1:19" x14ac:dyDescent="0.25">
      <c r="A24" s="94">
        <f t="shared" si="4"/>
        <v>5.1776713893388191</v>
      </c>
      <c r="B24" s="36">
        <f t="shared" si="0"/>
        <v>19</v>
      </c>
      <c r="C24" s="24" t="s">
        <v>573</v>
      </c>
      <c r="D24" s="24"/>
      <c r="E24" s="24"/>
      <c r="F24" s="24"/>
      <c r="G24" s="8"/>
      <c r="H24" s="187">
        <v>19</v>
      </c>
      <c r="I24" s="188">
        <f t="shared" si="1"/>
        <v>5.1776713893388191</v>
      </c>
      <c r="J24" s="187">
        <f t="shared" si="5"/>
        <v>0</v>
      </c>
      <c r="K24" s="187">
        <f t="shared" si="2"/>
        <v>0</v>
      </c>
      <c r="L24" s="187"/>
      <c r="M24" s="189">
        <f t="shared" si="3"/>
        <v>5.1776713893388191</v>
      </c>
      <c r="R24" s="200"/>
      <c r="S24" s="201"/>
    </row>
    <row r="25" spans="1:19" x14ac:dyDescent="0.25">
      <c r="A25" s="98">
        <f t="shared" si="4"/>
        <v>4.3968486544037404</v>
      </c>
      <c r="B25" s="35">
        <f t="shared" si="0"/>
        <v>20</v>
      </c>
      <c r="C25" s="25" t="s">
        <v>95</v>
      </c>
      <c r="D25" s="25"/>
      <c r="E25" s="25"/>
      <c r="F25" s="25"/>
      <c r="G25" s="8"/>
      <c r="H25" s="190">
        <v>20</v>
      </c>
      <c r="I25" s="191">
        <f t="shared" si="1"/>
        <v>4.3968486544037404</v>
      </c>
      <c r="J25" s="190">
        <f t="shared" si="5"/>
        <v>0</v>
      </c>
      <c r="K25" s="190">
        <f t="shared" si="2"/>
        <v>0</v>
      </c>
      <c r="L25" s="190"/>
      <c r="M25" s="192">
        <f t="shared" si="3"/>
        <v>4.3968486544037404</v>
      </c>
    </row>
    <row r="26" spans="1:19" x14ac:dyDescent="0.25">
      <c r="A26" s="94">
        <f t="shared" si="4"/>
        <v>3.6541303346002607</v>
      </c>
      <c r="B26" s="36">
        <f t="shared" si="0"/>
        <v>21</v>
      </c>
      <c r="C26" s="24" t="s">
        <v>33</v>
      </c>
      <c r="D26" s="24"/>
      <c r="E26" s="24"/>
      <c r="F26" s="24"/>
      <c r="G26" s="8"/>
      <c r="H26" s="187">
        <v>21</v>
      </c>
      <c r="I26" s="188">
        <f t="shared" si="1"/>
        <v>3.6541303346002607</v>
      </c>
      <c r="J26" s="187">
        <f t="shared" si="5"/>
        <v>0</v>
      </c>
      <c r="K26" s="187">
        <f t="shared" si="2"/>
        <v>0</v>
      </c>
      <c r="L26" s="187"/>
      <c r="M26" s="189">
        <f t="shared" si="3"/>
        <v>3.6541303346002607</v>
      </c>
    </row>
    <row r="27" spans="1:19" x14ac:dyDescent="0.25">
      <c r="A27" s="98">
        <f t="shared" si="4"/>
        <v>2.945969818279913</v>
      </c>
      <c r="B27" s="35">
        <f t="shared" si="0"/>
        <v>22</v>
      </c>
      <c r="C27" s="25" t="s">
        <v>95</v>
      </c>
      <c r="D27" s="25"/>
      <c r="E27" s="25"/>
      <c r="F27" s="25"/>
      <c r="G27" s="8"/>
      <c r="H27" s="190">
        <v>22</v>
      </c>
      <c r="I27" s="191">
        <f t="shared" si="1"/>
        <v>2.945969818279913</v>
      </c>
      <c r="J27" s="190">
        <f t="shared" si="5"/>
        <v>0</v>
      </c>
      <c r="K27" s="190">
        <f t="shared" si="2"/>
        <v>0</v>
      </c>
      <c r="L27" s="190"/>
      <c r="M27" s="192">
        <f t="shared" si="3"/>
        <v>2.945969818279913</v>
      </c>
    </row>
    <row r="28" spans="1:19" x14ac:dyDescent="0.25">
      <c r="A28" s="94">
        <f t="shared" si="4"/>
        <v>2.2692937100737041</v>
      </c>
      <c r="B28" s="36">
        <f t="shared" si="0"/>
        <v>23</v>
      </c>
      <c r="C28" s="24" t="s">
        <v>95</v>
      </c>
      <c r="D28" s="24"/>
      <c r="E28" s="24"/>
      <c r="F28" s="24"/>
      <c r="G28" s="8"/>
      <c r="H28" s="187">
        <v>23</v>
      </c>
      <c r="I28" s="188">
        <f t="shared" si="1"/>
        <v>2.2692937100737041</v>
      </c>
      <c r="J28" s="187">
        <f t="shared" si="5"/>
        <v>0</v>
      </c>
      <c r="K28" s="187">
        <f t="shared" si="2"/>
        <v>0</v>
      </c>
      <c r="L28" s="187"/>
      <c r="M28" s="189">
        <f t="shared" si="3"/>
        <v>2.2692937100737041</v>
      </c>
      <c r="R28" s="200"/>
      <c r="S28" s="201"/>
    </row>
    <row r="29" spans="1:19" x14ac:dyDescent="0.25">
      <c r="A29" s="98">
        <f t="shared" si="4"/>
        <v>1.6214212166989768</v>
      </c>
      <c r="B29" s="35">
        <f t="shared" si="0"/>
        <v>24</v>
      </c>
      <c r="C29" s="25" t="s">
        <v>28</v>
      </c>
      <c r="D29" s="25"/>
      <c r="E29" s="25"/>
      <c r="F29" s="25"/>
      <c r="G29" s="175"/>
      <c r="H29" s="190">
        <v>24</v>
      </c>
      <c r="I29" s="191">
        <f t="shared" si="1"/>
        <v>1.6214212166989768</v>
      </c>
      <c r="J29" s="190">
        <f t="shared" si="5"/>
        <v>0</v>
      </c>
      <c r="K29" s="190">
        <f t="shared" si="2"/>
        <v>0</v>
      </c>
      <c r="L29" s="190"/>
      <c r="M29" s="192">
        <f t="shared" si="3"/>
        <v>1.6214212166989768</v>
      </c>
    </row>
    <row r="30" spans="1:19" x14ac:dyDescent="0.25">
      <c r="A30" s="94">
        <f t="shared" si="4"/>
        <v>1</v>
      </c>
      <c r="B30" s="36">
        <f t="shared" si="0"/>
        <v>25</v>
      </c>
      <c r="C30" s="24" t="s">
        <v>95</v>
      </c>
      <c r="D30" s="24"/>
      <c r="E30" s="24"/>
      <c r="F30" s="24"/>
      <c r="G30" s="175"/>
      <c r="H30" s="187">
        <v>25</v>
      </c>
      <c r="I30" s="188">
        <f t="shared" si="1"/>
        <v>1</v>
      </c>
      <c r="J30" s="187">
        <f t="shared" si="5"/>
        <v>0</v>
      </c>
      <c r="K30" s="187">
        <f t="shared" si="2"/>
        <v>0</v>
      </c>
      <c r="L30" s="187"/>
      <c r="M30" s="189">
        <f t="shared" si="3"/>
        <v>1</v>
      </c>
    </row>
    <row r="31" spans="1:19" x14ac:dyDescent="0.25">
      <c r="A31" s="98">
        <f t="shared" si="4"/>
        <v>0</v>
      </c>
      <c r="B31" s="35" t="str">
        <f t="shared" si="0"/>
        <v/>
      </c>
      <c r="C31" s="25"/>
      <c r="D31" s="25"/>
      <c r="E31" s="25"/>
      <c r="F31" s="25"/>
      <c r="G31" s="175"/>
      <c r="H31" s="190">
        <v>26</v>
      </c>
      <c r="I31" s="191" t="str">
        <f t="shared" si="1"/>
        <v/>
      </c>
      <c r="J31" s="190">
        <f t="shared" si="5"/>
        <v>0</v>
      </c>
      <c r="K31" s="190">
        <f t="shared" si="2"/>
        <v>0</v>
      </c>
      <c r="L31" s="190"/>
      <c r="M31" s="192">
        <f t="shared" si="3"/>
        <v>0</v>
      </c>
    </row>
    <row r="32" spans="1:19" x14ac:dyDescent="0.25">
      <c r="A32" s="94">
        <f t="shared" si="4"/>
        <v>0</v>
      </c>
      <c r="B32" s="36" t="str">
        <f t="shared" si="0"/>
        <v/>
      </c>
      <c r="C32" s="24"/>
      <c r="D32" s="24"/>
      <c r="E32" s="24"/>
      <c r="F32" s="24"/>
      <c r="G32" s="175"/>
      <c r="H32" s="187">
        <v>27</v>
      </c>
      <c r="I32" s="188" t="str">
        <f t="shared" si="1"/>
        <v/>
      </c>
      <c r="J32" s="187">
        <f t="shared" si="5"/>
        <v>0</v>
      </c>
      <c r="K32" s="187">
        <f t="shared" si="2"/>
        <v>0</v>
      </c>
      <c r="L32" s="187"/>
      <c r="M32" s="189">
        <f t="shared" si="3"/>
        <v>0</v>
      </c>
      <c r="R32" s="200"/>
      <c r="S32" s="201"/>
    </row>
    <row r="33" spans="1:19" x14ac:dyDescent="0.25">
      <c r="A33" s="98">
        <f t="shared" si="4"/>
        <v>0</v>
      </c>
      <c r="B33" s="35" t="str">
        <f t="shared" si="0"/>
        <v/>
      </c>
      <c r="C33" s="25"/>
      <c r="D33" s="25"/>
      <c r="E33" s="25"/>
      <c r="F33" s="25"/>
      <c r="G33" s="175"/>
      <c r="H33" s="190">
        <v>28</v>
      </c>
      <c r="I33" s="191" t="str">
        <f t="shared" si="1"/>
        <v/>
      </c>
      <c r="J33" s="190">
        <f t="shared" si="5"/>
        <v>0</v>
      </c>
      <c r="K33" s="190">
        <f t="shared" si="2"/>
        <v>0</v>
      </c>
      <c r="L33" s="190"/>
      <c r="M33" s="192">
        <f t="shared" si="3"/>
        <v>0</v>
      </c>
    </row>
    <row r="34" spans="1:19" x14ac:dyDescent="0.25">
      <c r="A34" s="94">
        <f t="shared" si="4"/>
        <v>0</v>
      </c>
      <c r="B34" s="36" t="str">
        <f t="shared" si="0"/>
        <v/>
      </c>
      <c r="C34" s="24"/>
      <c r="D34" s="24"/>
      <c r="E34" s="24"/>
      <c r="F34" s="24"/>
      <c r="G34" s="175"/>
      <c r="H34" s="187">
        <v>29</v>
      </c>
      <c r="I34" s="188" t="str">
        <f t="shared" si="1"/>
        <v/>
      </c>
      <c r="J34" s="187">
        <f t="shared" si="5"/>
        <v>0</v>
      </c>
      <c r="K34" s="187">
        <f t="shared" si="2"/>
        <v>0</v>
      </c>
      <c r="L34" s="187"/>
      <c r="M34" s="189">
        <f t="shared" si="3"/>
        <v>0</v>
      </c>
    </row>
    <row r="35" spans="1:19" x14ac:dyDescent="0.25">
      <c r="A35" s="98">
        <f t="shared" si="4"/>
        <v>0</v>
      </c>
      <c r="B35" s="35" t="str">
        <f t="shared" si="0"/>
        <v/>
      </c>
      <c r="C35" s="25"/>
      <c r="D35" s="25"/>
      <c r="E35" s="25"/>
      <c r="F35" s="25"/>
      <c r="G35" s="175"/>
      <c r="H35" s="190">
        <v>30</v>
      </c>
      <c r="I35" s="191" t="str">
        <f t="shared" si="1"/>
        <v/>
      </c>
      <c r="J35" s="190">
        <f t="shared" si="5"/>
        <v>0</v>
      </c>
      <c r="K35" s="190">
        <f t="shared" si="2"/>
        <v>0</v>
      </c>
      <c r="L35" s="190"/>
      <c r="M35" s="192">
        <f t="shared" si="3"/>
        <v>0</v>
      </c>
    </row>
    <row r="36" spans="1:19" x14ac:dyDescent="0.25">
      <c r="A36" s="94">
        <f t="shared" si="4"/>
        <v>0</v>
      </c>
      <c r="B36" s="36" t="str">
        <f t="shared" si="0"/>
        <v/>
      </c>
      <c r="C36" s="24"/>
      <c r="D36" s="24"/>
      <c r="E36" s="24"/>
      <c r="F36" s="24"/>
      <c r="G36" s="175"/>
      <c r="H36" s="187">
        <v>31</v>
      </c>
      <c r="I36" s="188" t="str">
        <f t="shared" si="1"/>
        <v/>
      </c>
      <c r="J36" s="187">
        <f t="shared" si="5"/>
        <v>0</v>
      </c>
      <c r="K36" s="187">
        <f t="shared" si="2"/>
        <v>0</v>
      </c>
      <c r="L36" s="187"/>
      <c r="M36" s="189">
        <f t="shared" si="3"/>
        <v>0</v>
      </c>
      <c r="R36" s="200"/>
      <c r="S36" s="201"/>
    </row>
    <row r="37" spans="1:19" x14ac:dyDescent="0.25">
      <c r="A37" s="98">
        <f t="shared" si="4"/>
        <v>0</v>
      </c>
      <c r="B37" s="35" t="str">
        <f t="shared" si="0"/>
        <v/>
      </c>
      <c r="C37" s="25"/>
      <c r="D37" s="25"/>
      <c r="E37" s="25"/>
      <c r="F37" s="25"/>
      <c r="G37" s="175"/>
      <c r="H37" s="190">
        <v>32</v>
      </c>
      <c r="I37" s="191" t="str">
        <f t="shared" si="1"/>
        <v/>
      </c>
      <c r="J37" s="190">
        <f t="shared" si="5"/>
        <v>0</v>
      </c>
      <c r="K37" s="190">
        <f t="shared" si="2"/>
        <v>0</v>
      </c>
      <c r="L37" s="190"/>
      <c r="M37" s="192">
        <f t="shared" si="3"/>
        <v>0</v>
      </c>
    </row>
    <row r="38" spans="1:19" x14ac:dyDescent="0.25">
      <c r="A38" s="94">
        <f t="shared" si="4"/>
        <v>0</v>
      </c>
      <c r="B38" s="36" t="str">
        <f t="shared" si="0"/>
        <v/>
      </c>
      <c r="C38" s="24"/>
      <c r="D38" s="24"/>
      <c r="E38" s="24"/>
      <c r="F38" s="24"/>
      <c r="G38" s="175"/>
      <c r="H38" s="187">
        <v>33</v>
      </c>
      <c r="I38" s="188" t="str">
        <f t="shared" si="1"/>
        <v/>
      </c>
      <c r="J38" s="187">
        <f t="shared" si="5"/>
        <v>-1</v>
      </c>
      <c r="K38" s="187">
        <f t="shared" si="2"/>
        <v>-10</v>
      </c>
      <c r="L38" s="187"/>
      <c r="M38" s="189">
        <f t="shared" si="3"/>
        <v>0</v>
      </c>
    </row>
    <row r="39" spans="1:19" x14ac:dyDescent="0.25">
      <c r="A39" s="98">
        <f t="shared" si="4"/>
        <v>0</v>
      </c>
      <c r="B39" s="35" t="str">
        <f t="shared" si="0"/>
        <v/>
      </c>
      <c r="C39" s="25"/>
      <c r="D39" s="25"/>
      <c r="E39" s="25"/>
      <c r="F39" s="25"/>
      <c r="G39" s="175"/>
      <c r="H39" s="190">
        <v>34</v>
      </c>
      <c r="I39" s="191" t="str">
        <f t="shared" si="1"/>
        <v/>
      </c>
      <c r="J39" s="190">
        <f t="shared" si="5"/>
        <v>-1</v>
      </c>
      <c r="K39" s="190">
        <f t="shared" si="2"/>
        <v>-10</v>
      </c>
      <c r="L39" s="190"/>
      <c r="M39" s="192">
        <f t="shared" si="3"/>
        <v>0</v>
      </c>
    </row>
    <row r="40" spans="1:19" x14ac:dyDescent="0.25">
      <c r="A40" s="94">
        <f t="shared" si="4"/>
        <v>0</v>
      </c>
      <c r="B40" s="36" t="str">
        <f t="shared" si="0"/>
        <v/>
      </c>
      <c r="C40" s="24"/>
      <c r="D40" s="24"/>
      <c r="E40" s="24"/>
      <c r="F40" s="24"/>
      <c r="G40" s="175"/>
      <c r="H40" s="187">
        <v>35</v>
      </c>
      <c r="I40" s="188" t="str">
        <f t="shared" si="1"/>
        <v/>
      </c>
      <c r="J40" s="187">
        <f t="shared" si="5"/>
        <v>-1</v>
      </c>
      <c r="K40" s="187">
        <f t="shared" si="2"/>
        <v>-10</v>
      </c>
      <c r="L40" s="187"/>
      <c r="M40" s="189">
        <f t="shared" si="3"/>
        <v>0</v>
      </c>
    </row>
    <row r="41" spans="1:19" x14ac:dyDescent="0.25">
      <c r="A41" s="98">
        <f t="shared" si="4"/>
        <v>0</v>
      </c>
      <c r="B41" s="35" t="str">
        <f t="shared" si="0"/>
        <v/>
      </c>
      <c r="C41" s="25"/>
      <c r="D41" s="25"/>
      <c r="E41" s="25"/>
      <c r="F41" s="25"/>
      <c r="G41" s="175"/>
      <c r="H41" s="190">
        <v>36</v>
      </c>
      <c r="I41" s="191" t="str">
        <f t="shared" si="1"/>
        <v/>
      </c>
      <c r="J41" s="190">
        <f t="shared" si="5"/>
        <v>-1</v>
      </c>
      <c r="K41" s="190">
        <f t="shared" si="2"/>
        <v>-10</v>
      </c>
      <c r="L41" s="190"/>
      <c r="M41" s="192">
        <f t="shared" si="3"/>
        <v>0</v>
      </c>
      <c r="S41" s="202"/>
    </row>
    <row r="42" spans="1:19" x14ac:dyDescent="0.25">
      <c r="A42" s="94">
        <f t="shared" si="4"/>
        <v>0</v>
      </c>
      <c r="B42" s="36" t="str">
        <f t="shared" si="0"/>
        <v/>
      </c>
      <c r="C42" s="24"/>
      <c r="D42" s="24"/>
      <c r="E42" s="24"/>
      <c r="F42" s="24"/>
      <c r="G42" s="175"/>
      <c r="H42" s="187">
        <v>37</v>
      </c>
      <c r="I42" s="188" t="str">
        <f t="shared" si="1"/>
        <v/>
      </c>
      <c r="J42" s="187">
        <f t="shared" si="5"/>
        <v>-1</v>
      </c>
      <c r="K42" s="187">
        <f t="shared" si="2"/>
        <v>-10</v>
      </c>
      <c r="L42" s="187"/>
      <c r="M42" s="189">
        <f t="shared" si="3"/>
        <v>0</v>
      </c>
    </row>
    <row r="43" spans="1:19" x14ac:dyDescent="0.25">
      <c r="A43" s="98">
        <f t="shared" si="4"/>
        <v>0</v>
      </c>
      <c r="B43" s="35" t="str">
        <f t="shared" si="0"/>
        <v/>
      </c>
      <c r="C43" s="25"/>
      <c r="D43" s="25"/>
      <c r="E43" s="25"/>
      <c r="F43" s="25"/>
      <c r="G43" s="175"/>
      <c r="H43" s="190">
        <v>38</v>
      </c>
      <c r="I43" s="191" t="str">
        <f t="shared" si="1"/>
        <v/>
      </c>
      <c r="J43" s="190">
        <f t="shared" si="5"/>
        <v>-1</v>
      </c>
      <c r="K43" s="190">
        <f t="shared" si="2"/>
        <v>-10</v>
      </c>
      <c r="L43" s="190"/>
      <c r="M43" s="192">
        <f t="shared" si="3"/>
        <v>0</v>
      </c>
    </row>
    <row r="44" spans="1:19" x14ac:dyDescent="0.25">
      <c r="A44" s="94">
        <f t="shared" si="4"/>
        <v>0</v>
      </c>
      <c r="B44" s="36" t="str">
        <f t="shared" si="0"/>
        <v/>
      </c>
      <c r="C44" s="24"/>
      <c r="D44" s="24"/>
      <c r="E44" s="24"/>
      <c r="F44" s="24"/>
      <c r="G44" s="175"/>
      <c r="H44" s="187">
        <v>39</v>
      </c>
      <c r="I44" s="188" t="str">
        <f t="shared" si="1"/>
        <v/>
      </c>
      <c r="J44" s="187">
        <f t="shared" si="5"/>
        <v>-1</v>
      </c>
      <c r="K44" s="187">
        <f t="shared" si="2"/>
        <v>-10</v>
      </c>
      <c r="L44" s="187"/>
      <c r="M44" s="189">
        <f t="shared" si="3"/>
        <v>0</v>
      </c>
    </row>
    <row r="45" spans="1:19" x14ac:dyDescent="0.25">
      <c r="A45" s="98">
        <f t="shared" si="4"/>
        <v>0</v>
      </c>
      <c r="B45" s="35" t="str">
        <f t="shared" si="0"/>
        <v/>
      </c>
      <c r="C45" s="25"/>
      <c r="D45" s="25"/>
      <c r="E45" s="25"/>
      <c r="F45" s="25"/>
      <c r="G45" s="175"/>
      <c r="H45" s="190">
        <v>40</v>
      </c>
      <c r="I45" s="191" t="str">
        <f t="shared" si="1"/>
        <v/>
      </c>
      <c r="J45" s="190">
        <f t="shared" si="5"/>
        <v>-1</v>
      </c>
      <c r="K45" s="190">
        <f t="shared" si="2"/>
        <v>-10</v>
      </c>
      <c r="L45" s="190"/>
      <c r="M45" s="192">
        <f t="shared" si="3"/>
        <v>0</v>
      </c>
    </row>
    <row r="46" spans="1:19" x14ac:dyDescent="0.25">
      <c r="A46" s="94">
        <f t="shared" si="4"/>
        <v>0</v>
      </c>
      <c r="B46" s="36" t="str">
        <f t="shared" si="0"/>
        <v/>
      </c>
      <c r="C46" s="24"/>
      <c r="D46" s="24"/>
      <c r="E46" s="24"/>
      <c r="F46" s="24"/>
      <c r="G46" s="175"/>
      <c r="H46" s="187">
        <v>41</v>
      </c>
      <c r="I46" s="188" t="str">
        <f t="shared" si="1"/>
        <v/>
      </c>
      <c r="J46" s="187">
        <f t="shared" si="5"/>
        <v>-1</v>
      </c>
      <c r="K46" s="187">
        <f t="shared" si="2"/>
        <v>-10</v>
      </c>
      <c r="L46" s="187"/>
      <c r="M46" s="189">
        <f t="shared" si="3"/>
        <v>0</v>
      </c>
    </row>
    <row r="47" spans="1:19" x14ac:dyDescent="0.25">
      <c r="A47" s="98">
        <f t="shared" si="4"/>
        <v>0</v>
      </c>
      <c r="B47" s="35" t="str">
        <f t="shared" si="0"/>
        <v/>
      </c>
      <c r="C47" s="25"/>
      <c r="D47" s="25"/>
      <c r="E47" s="25"/>
      <c r="F47" s="25"/>
      <c r="G47" s="175"/>
      <c r="H47" s="190">
        <v>42</v>
      </c>
      <c r="I47" s="191" t="str">
        <f t="shared" si="1"/>
        <v/>
      </c>
      <c r="J47" s="190">
        <f t="shared" si="5"/>
        <v>-1</v>
      </c>
      <c r="K47" s="190">
        <f t="shared" si="2"/>
        <v>-10</v>
      </c>
      <c r="L47" s="190"/>
      <c r="M47" s="192">
        <f t="shared" si="3"/>
        <v>0</v>
      </c>
    </row>
    <row r="48" spans="1:19" x14ac:dyDescent="0.25">
      <c r="A48" s="94">
        <f t="shared" si="4"/>
        <v>0</v>
      </c>
      <c r="B48" s="36" t="str">
        <f t="shared" si="0"/>
        <v/>
      </c>
      <c r="C48" s="24"/>
      <c r="D48" s="24"/>
      <c r="E48" s="24"/>
      <c r="F48" s="24"/>
      <c r="G48" s="175"/>
      <c r="H48" s="187">
        <v>43</v>
      </c>
      <c r="I48" s="188" t="str">
        <f t="shared" si="1"/>
        <v/>
      </c>
      <c r="J48" s="187">
        <f t="shared" si="5"/>
        <v>-1</v>
      </c>
      <c r="K48" s="187">
        <f t="shared" si="2"/>
        <v>-10</v>
      </c>
      <c r="L48" s="187"/>
      <c r="M48" s="189">
        <f t="shared" si="3"/>
        <v>0</v>
      </c>
    </row>
    <row r="49" spans="1:38" x14ac:dyDescent="0.25">
      <c r="A49" s="98">
        <f t="shared" si="4"/>
        <v>0</v>
      </c>
      <c r="B49" s="35" t="str">
        <f t="shared" si="0"/>
        <v/>
      </c>
      <c r="C49" s="25"/>
      <c r="D49" s="25"/>
      <c r="E49" s="25"/>
      <c r="F49" s="25"/>
      <c r="G49" s="175"/>
      <c r="H49" s="190">
        <v>44</v>
      </c>
      <c r="I49" s="191" t="str">
        <f t="shared" si="1"/>
        <v/>
      </c>
      <c r="J49" s="190">
        <f t="shared" si="5"/>
        <v>-1</v>
      </c>
      <c r="K49" s="190">
        <f t="shared" si="2"/>
        <v>-10</v>
      </c>
      <c r="L49" s="190"/>
      <c r="M49" s="192">
        <f t="shared" si="3"/>
        <v>0</v>
      </c>
    </row>
    <row r="50" spans="1:38" x14ac:dyDescent="0.25">
      <c r="A50" s="94">
        <f t="shared" si="4"/>
        <v>0</v>
      </c>
      <c r="B50" s="36" t="str">
        <f t="shared" si="0"/>
        <v/>
      </c>
      <c r="C50" s="24"/>
      <c r="D50" s="24"/>
      <c r="E50" s="24"/>
      <c r="F50" s="24"/>
      <c r="G50" s="175"/>
      <c r="H50" s="187">
        <v>45</v>
      </c>
      <c r="I50" s="188" t="str">
        <f t="shared" si="1"/>
        <v/>
      </c>
      <c r="J50" s="187">
        <f t="shared" si="5"/>
        <v>-1</v>
      </c>
      <c r="K50" s="187">
        <f t="shared" si="2"/>
        <v>-10</v>
      </c>
      <c r="L50" s="187"/>
      <c r="M50" s="189">
        <f t="shared" si="3"/>
        <v>0</v>
      </c>
    </row>
    <row r="51" spans="1:38" x14ac:dyDescent="0.25">
      <c r="A51" s="98">
        <f t="shared" si="4"/>
        <v>0</v>
      </c>
      <c r="B51" s="35" t="str">
        <f t="shared" si="0"/>
        <v/>
      </c>
      <c r="C51" s="25"/>
      <c r="D51" s="25"/>
      <c r="E51" s="25"/>
      <c r="F51" s="25"/>
      <c r="G51" s="175"/>
      <c r="H51" s="190">
        <v>46</v>
      </c>
      <c r="I51" s="191" t="str">
        <f t="shared" si="1"/>
        <v/>
      </c>
      <c r="J51" s="190">
        <f t="shared" si="5"/>
        <v>-1</v>
      </c>
      <c r="K51" s="190">
        <f t="shared" si="2"/>
        <v>-10</v>
      </c>
      <c r="L51" s="190"/>
      <c r="M51" s="192">
        <f t="shared" si="3"/>
        <v>0</v>
      </c>
    </row>
    <row r="52" spans="1:38" x14ac:dyDescent="0.25">
      <c r="A52" s="94">
        <f t="shared" si="4"/>
        <v>0</v>
      </c>
      <c r="B52" s="36" t="str">
        <f t="shared" si="0"/>
        <v/>
      </c>
      <c r="C52" s="24"/>
      <c r="D52" s="24"/>
      <c r="E52" s="24"/>
      <c r="F52" s="24"/>
      <c r="G52" s="175"/>
      <c r="H52" s="187">
        <v>47</v>
      </c>
      <c r="I52" s="188" t="str">
        <f t="shared" si="1"/>
        <v/>
      </c>
      <c r="J52" s="187">
        <f t="shared" si="5"/>
        <v>-1</v>
      </c>
      <c r="K52" s="187">
        <f t="shared" si="2"/>
        <v>-10</v>
      </c>
      <c r="L52" s="187"/>
      <c r="M52" s="189">
        <f t="shared" si="3"/>
        <v>0</v>
      </c>
    </row>
    <row r="53" spans="1:38" x14ac:dyDescent="0.25">
      <c r="A53" s="98">
        <f t="shared" si="4"/>
        <v>0</v>
      </c>
      <c r="B53" s="35" t="str">
        <f t="shared" si="0"/>
        <v/>
      </c>
      <c r="C53" s="25"/>
      <c r="D53" s="25"/>
      <c r="E53" s="25"/>
      <c r="F53" s="25"/>
      <c r="G53" s="175"/>
      <c r="H53" s="190">
        <v>48</v>
      </c>
      <c r="I53" s="191" t="str">
        <f t="shared" si="1"/>
        <v/>
      </c>
      <c r="J53" s="190">
        <f t="shared" si="5"/>
        <v>-1</v>
      </c>
      <c r="K53" s="190">
        <f t="shared" si="2"/>
        <v>-10</v>
      </c>
      <c r="L53" s="190"/>
      <c r="M53" s="192">
        <f t="shared" si="3"/>
        <v>0</v>
      </c>
    </row>
    <row r="54" spans="1:38" x14ac:dyDescent="0.25">
      <c r="A54" s="94">
        <f t="shared" si="4"/>
        <v>0</v>
      </c>
      <c r="B54" s="36" t="str">
        <f t="shared" si="0"/>
        <v/>
      </c>
      <c r="C54" s="24"/>
      <c r="D54" s="24"/>
      <c r="E54" s="24"/>
      <c r="F54" s="24"/>
      <c r="G54" s="175"/>
      <c r="H54" s="187">
        <v>49</v>
      </c>
      <c r="I54" s="188" t="str">
        <f t="shared" si="1"/>
        <v/>
      </c>
      <c r="J54" s="187">
        <f t="shared" si="5"/>
        <v>-1</v>
      </c>
      <c r="K54" s="187">
        <f t="shared" si="2"/>
        <v>-10</v>
      </c>
      <c r="L54" s="187"/>
      <c r="M54" s="189">
        <f t="shared" si="3"/>
        <v>0</v>
      </c>
    </row>
    <row r="55" spans="1:38" x14ac:dyDescent="0.25">
      <c r="A55" s="98">
        <f t="shared" si="4"/>
        <v>0</v>
      </c>
      <c r="B55" s="35" t="str">
        <f t="shared" si="0"/>
        <v/>
      </c>
      <c r="C55" s="25"/>
      <c r="D55" s="25"/>
      <c r="E55" s="25"/>
      <c r="F55" s="25"/>
      <c r="G55" s="175"/>
      <c r="H55" s="190">
        <v>50</v>
      </c>
      <c r="I55" s="191" t="str">
        <f t="shared" si="1"/>
        <v/>
      </c>
      <c r="J55" s="190">
        <f t="shared" si="5"/>
        <v>-1</v>
      </c>
      <c r="K55" s="190">
        <f t="shared" si="2"/>
        <v>-10</v>
      </c>
      <c r="L55" s="190"/>
      <c r="M55" s="192">
        <f t="shared" si="3"/>
        <v>0</v>
      </c>
    </row>
    <row r="56" spans="1:38" x14ac:dyDescent="0.25">
      <c r="A56" s="94">
        <f t="shared" si="4"/>
        <v>0</v>
      </c>
      <c r="B56" s="36" t="str">
        <f t="shared" si="0"/>
        <v/>
      </c>
      <c r="C56" s="24"/>
      <c r="D56" s="24"/>
      <c r="E56" s="24"/>
      <c r="F56" s="24"/>
      <c r="G56" s="175"/>
      <c r="H56" s="187">
        <v>51</v>
      </c>
      <c r="I56" s="188" t="str">
        <f t="shared" si="1"/>
        <v/>
      </c>
      <c r="J56" s="187">
        <f t="shared" si="5"/>
        <v>-1</v>
      </c>
      <c r="K56" s="187">
        <f t="shared" si="2"/>
        <v>-10</v>
      </c>
      <c r="L56" s="187"/>
      <c r="M56" s="189">
        <f t="shared" si="3"/>
        <v>0</v>
      </c>
    </row>
    <row r="57" spans="1:38" s="175" customFormat="1" x14ac:dyDescent="0.25">
      <c r="A57" s="98">
        <f t="shared" si="4"/>
        <v>0</v>
      </c>
      <c r="B57" s="35" t="str">
        <f t="shared" si="0"/>
        <v/>
      </c>
      <c r="C57" s="25"/>
      <c r="D57" s="25"/>
      <c r="E57" s="25"/>
      <c r="F57" s="25"/>
      <c r="H57" s="190">
        <v>52</v>
      </c>
      <c r="I57" s="191" t="str">
        <f t="shared" si="1"/>
        <v/>
      </c>
      <c r="J57" s="190">
        <f t="shared" si="5"/>
        <v>-1</v>
      </c>
      <c r="K57" s="190">
        <f t="shared" si="2"/>
        <v>-10</v>
      </c>
      <c r="L57" s="190"/>
      <c r="M57" s="192">
        <f t="shared" si="3"/>
        <v>0</v>
      </c>
      <c r="S57" s="180"/>
      <c r="T57" s="180"/>
      <c r="U57" s="180"/>
      <c r="V57" s="180"/>
      <c r="W57" s="180"/>
      <c r="X57" s="180"/>
      <c r="Y57" s="180"/>
      <c r="Z57" s="180"/>
      <c r="AA57" s="180"/>
      <c r="AB57" s="180"/>
      <c r="AC57" s="180"/>
      <c r="AD57" s="180"/>
      <c r="AE57" s="180"/>
      <c r="AF57" s="180"/>
      <c r="AG57" s="180"/>
      <c r="AH57" s="180"/>
      <c r="AI57" s="180"/>
      <c r="AJ57" s="180"/>
      <c r="AK57" s="180"/>
      <c r="AL57" s="180"/>
    </row>
    <row r="58" spans="1:38" s="175" customFormat="1" x14ac:dyDescent="0.25">
      <c r="A58" s="94">
        <f t="shared" si="4"/>
        <v>0</v>
      </c>
      <c r="B58" s="36" t="str">
        <f t="shared" si="0"/>
        <v/>
      </c>
      <c r="C58" s="24"/>
      <c r="D58" s="24"/>
      <c r="E58" s="24"/>
      <c r="F58" s="24"/>
      <c r="H58" s="187">
        <v>53</v>
      </c>
      <c r="I58" s="188" t="str">
        <f t="shared" si="1"/>
        <v/>
      </c>
      <c r="J58" s="187">
        <f t="shared" si="5"/>
        <v>-1</v>
      </c>
      <c r="K58" s="187">
        <f t="shared" si="2"/>
        <v>-10</v>
      </c>
      <c r="L58" s="187"/>
      <c r="M58" s="189">
        <f t="shared" si="3"/>
        <v>0</v>
      </c>
      <c r="S58" s="180"/>
      <c r="T58" s="180"/>
      <c r="U58" s="180"/>
      <c r="V58" s="180"/>
      <c r="W58" s="180"/>
      <c r="X58" s="180"/>
      <c r="Y58" s="180"/>
      <c r="Z58" s="180"/>
      <c r="AA58" s="180"/>
      <c r="AB58" s="180"/>
      <c r="AC58" s="180"/>
      <c r="AD58" s="180"/>
      <c r="AE58" s="180"/>
      <c r="AF58" s="180"/>
      <c r="AG58" s="180"/>
      <c r="AH58" s="180"/>
      <c r="AI58" s="180"/>
      <c r="AJ58" s="180"/>
      <c r="AK58" s="180"/>
      <c r="AL58" s="180"/>
    </row>
    <row r="59" spans="1:38" s="175" customFormat="1" x14ac:dyDescent="0.25">
      <c r="A59" s="98">
        <f t="shared" si="4"/>
        <v>0</v>
      </c>
      <c r="B59" s="35" t="str">
        <f t="shared" si="0"/>
        <v/>
      </c>
      <c r="C59" s="25"/>
      <c r="D59" s="25"/>
      <c r="E59" s="25"/>
      <c r="F59" s="25"/>
      <c r="H59" s="190">
        <v>54</v>
      </c>
      <c r="I59" s="191" t="str">
        <f t="shared" si="1"/>
        <v/>
      </c>
      <c r="J59" s="190">
        <f t="shared" si="5"/>
        <v>-1</v>
      </c>
      <c r="K59" s="190">
        <f t="shared" si="2"/>
        <v>-10</v>
      </c>
      <c r="L59" s="190"/>
      <c r="M59" s="192">
        <f t="shared" si="3"/>
        <v>0</v>
      </c>
      <c r="S59" s="180"/>
      <c r="T59" s="180"/>
      <c r="U59" s="180"/>
      <c r="V59" s="180"/>
      <c r="W59" s="180"/>
      <c r="X59" s="180"/>
      <c r="Y59" s="180"/>
      <c r="Z59" s="180"/>
      <c r="AA59" s="180"/>
      <c r="AB59" s="180"/>
      <c r="AC59" s="180"/>
      <c r="AD59" s="180"/>
      <c r="AE59" s="180"/>
      <c r="AF59" s="180"/>
      <c r="AG59" s="180"/>
      <c r="AH59" s="180"/>
      <c r="AI59" s="180"/>
      <c r="AJ59" s="180"/>
      <c r="AK59" s="180"/>
      <c r="AL59" s="180"/>
    </row>
    <row r="60" spans="1:38" s="175" customFormat="1" x14ac:dyDescent="0.25">
      <c r="A60" s="94">
        <f t="shared" si="4"/>
        <v>0</v>
      </c>
      <c r="B60" s="36" t="str">
        <f t="shared" si="0"/>
        <v/>
      </c>
      <c r="C60" s="24"/>
      <c r="D60" s="24"/>
      <c r="E60" s="24"/>
      <c r="F60" s="24"/>
      <c r="H60" s="187">
        <v>55</v>
      </c>
      <c r="I60" s="188" t="str">
        <f t="shared" si="1"/>
        <v/>
      </c>
      <c r="J60" s="187">
        <f t="shared" si="5"/>
        <v>-1</v>
      </c>
      <c r="K60" s="187">
        <f t="shared" si="2"/>
        <v>-10</v>
      </c>
      <c r="L60" s="187"/>
      <c r="M60" s="189">
        <f t="shared" si="3"/>
        <v>0</v>
      </c>
      <c r="S60" s="180"/>
      <c r="T60" s="180"/>
      <c r="U60" s="180"/>
      <c r="V60" s="180"/>
      <c r="W60" s="180"/>
      <c r="X60" s="180"/>
      <c r="Y60" s="180"/>
      <c r="Z60" s="180"/>
      <c r="AA60" s="180"/>
      <c r="AB60" s="180"/>
      <c r="AC60" s="180"/>
      <c r="AD60" s="180"/>
      <c r="AE60" s="180"/>
      <c r="AF60" s="180"/>
      <c r="AG60" s="180"/>
      <c r="AH60" s="180"/>
      <c r="AI60" s="180"/>
      <c r="AJ60" s="180"/>
      <c r="AK60" s="180"/>
      <c r="AL60" s="180"/>
    </row>
    <row r="61" spans="1:38" s="175" customFormat="1" x14ac:dyDescent="0.25">
      <c r="A61" s="98">
        <f t="shared" si="4"/>
        <v>0</v>
      </c>
      <c r="B61" s="35" t="str">
        <f t="shared" si="0"/>
        <v/>
      </c>
      <c r="C61" s="25"/>
      <c r="D61" s="25"/>
      <c r="E61" s="25"/>
      <c r="F61" s="25"/>
      <c r="H61" s="190">
        <v>56</v>
      </c>
      <c r="I61" s="191" t="str">
        <f t="shared" si="1"/>
        <v/>
      </c>
      <c r="J61" s="190">
        <f t="shared" si="5"/>
        <v>-1</v>
      </c>
      <c r="K61" s="190">
        <f t="shared" si="2"/>
        <v>-10</v>
      </c>
      <c r="L61" s="190"/>
      <c r="M61" s="192">
        <f t="shared" si="3"/>
        <v>0</v>
      </c>
      <c r="S61" s="180"/>
      <c r="T61" s="180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0"/>
      <c r="AF61" s="180"/>
      <c r="AG61" s="180"/>
      <c r="AH61" s="180"/>
      <c r="AI61" s="180"/>
      <c r="AJ61" s="180"/>
      <c r="AK61" s="180"/>
      <c r="AL61" s="180"/>
    </row>
    <row r="62" spans="1:38" s="175" customFormat="1" x14ac:dyDescent="0.25">
      <c r="A62" s="94">
        <f t="shared" si="4"/>
        <v>0</v>
      </c>
      <c r="B62" s="36" t="str">
        <f t="shared" si="0"/>
        <v/>
      </c>
      <c r="C62" s="24"/>
      <c r="D62" s="24"/>
      <c r="E62" s="24"/>
      <c r="F62" s="24"/>
      <c r="H62" s="187">
        <v>57</v>
      </c>
      <c r="I62" s="188" t="str">
        <f t="shared" si="1"/>
        <v/>
      </c>
      <c r="J62" s="187">
        <f t="shared" si="5"/>
        <v>-1</v>
      </c>
      <c r="K62" s="187">
        <f t="shared" si="2"/>
        <v>-10</v>
      </c>
      <c r="L62" s="187"/>
      <c r="M62" s="189">
        <f t="shared" si="3"/>
        <v>0</v>
      </c>
      <c r="S62" s="180"/>
      <c r="T62" s="180"/>
      <c r="U62" s="180"/>
      <c r="V62" s="180"/>
      <c r="W62" s="180"/>
      <c r="X62" s="180"/>
      <c r="Y62" s="180"/>
      <c r="Z62" s="180"/>
      <c r="AA62" s="180"/>
      <c r="AB62" s="180"/>
      <c r="AC62" s="180"/>
      <c r="AD62" s="180"/>
      <c r="AE62" s="180"/>
      <c r="AF62" s="180"/>
      <c r="AG62" s="180"/>
      <c r="AH62" s="180"/>
      <c r="AI62" s="180"/>
      <c r="AJ62" s="180"/>
      <c r="AK62" s="180"/>
      <c r="AL62" s="180"/>
    </row>
    <row r="63" spans="1:38" s="175" customFormat="1" x14ac:dyDescent="0.25">
      <c r="A63" s="98">
        <f t="shared" si="4"/>
        <v>0</v>
      </c>
      <c r="B63" s="35" t="str">
        <f t="shared" si="0"/>
        <v/>
      </c>
      <c r="C63" s="25"/>
      <c r="D63" s="25"/>
      <c r="E63" s="25"/>
      <c r="F63" s="25"/>
      <c r="H63" s="190">
        <v>58</v>
      </c>
      <c r="I63" s="191" t="str">
        <f t="shared" si="1"/>
        <v/>
      </c>
      <c r="J63" s="190">
        <f t="shared" si="5"/>
        <v>-1</v>
      </c>
      <c r="K63" s="190">
        <f t="shared" si="2"/>
        <v>-10</v>
      </c>
      <c r="L63" s="190"/>
      <c r="M63" s="192">
        <f t="shared" si="3"/>
        <v>0</v>
      </c>
      <c r="S63" s="180"/>
      <c r="T63" s="180"/>
      <c r="U63" s="180"/>
      <c r="V63" s="180"/>
      <c r="W63" s="180"/>
      <c r="X63" s="180"/>
      <c r="Y63" s="180"/>
      <c r="Z63" s="180"/>
      <c r="AA63" s="180"/>
      <c r="AB63" s="180"/>
      <c r="AC63" s="180"/>
      <c r="AD63" s="180"/>
      <c r="AE63" s="180"/>
      <c r="AF63" s="180"/>
      <c r="AG63" s="180"/>
      <c r="AH63" s="180"/>
      <c r="AI63" s="180"/>
      <c r="AJ63" s="180"/>
      <c r="AK63" s="180"/>
      <c r="AL63" s="180"/>
    </row>
    <row r="64" spans="1:38" s="175" customFormat="1" x14ac:dyDescent="0.25">
      <c r="A64" s="94">
        <f t="shared" si="4"/>
        <v>0</v>
      </c>
      <c r="B64" s="36" t="str">
        <f t="shared" si="0"/>
        <v/>
      </c>
      <c r="C64" s="24"/>
      <c r="D64" s="24"/>
      <c r="E64" s="24"/>
      <c r="F64" s="24"/>
      <c r="H64" s="187">
        <v>59</v>
      </c>
      <c r="I64" s="188" t="str">
        <f t="shared" si="1"/>
        <v/>
      </c>
      <c r="J64" s="187">
        <f t="shared" si="5"/>
        <v>-1</v>
      </c>
      <c r="K64" s="187">
        <f t="shared" si="2"/>
        <v>-10</v>
      </c>
      <c r="L64" s="187"/>
      <c r="M64" s="189">
        <f t="shared" si="3"/>
        <v>0</v>
      </c>
      <c r="S64" s="180"/>
      <c r="T64" s="180"/>
      <c r="U64" s="180"/>
      <c r="V64" s="180"/>
      <c r="W64" s="180"/>
      <c r="X64" s="180"/>
      <c r="Y64" s="180"/>
      <c r="Z64" s="180"/>
      <c r="AA64" s="180"/>
      <c r="AB64" s="180"/>
      <c r="AC64" s="180"/>
      <c r="AD64" s="180"/>
      <c r="AE64" s="180"/>
      <c r="AF64" s="180"/>
      <c r="AG64" s="180"/>
      <c r="AH64" s="180"/>
      <c r="AI64" s="180"/>
      <c r="AJ64" s="180"/>
      <c r="AK64" s="180"/>
      <c r="AL64" s="180"/>
    </row>
    <row r="65" spans="1:38" s="175" customFormat="1" x14ac:dyDescent="0.25">
      <c r="A65" s="98">
        <f t="shared" si="4"/>
        <v>0</v>
      </c>
      <c r="B65" s="35" t="str">
        <f t="shared" si="0"/>
        <v/>
      </c>
      <c r="C65" s="25"/>
      <c r="D65" s="25"/>
      <c r="E65" s="25"/>
      <c r="F65" s="25"/>
      <c r="H65" s="190">
        <v>60</v>
      </c>
      <c r="I65" s="191" t="str">
        <f t="shared" si="1"/>
        <v/>
      </c>
      <c r="J65" s="190">
        <f t="shared" si="5"/>
        <v>-1</v>
      </c>
      <c r="K65" s="190">
        <f t="shared" si="2"/>
        <v>-10</v>
      </c>
      <c r="L65" s="190"/>
      <c r="M65" s="192">
        <f t="shared" si="3"/>
        <v>0</v>
      </c>
      <c r="S65" s="180"/>
      <c r="T65" s="180"/>
      <c r="U65" s="180"/>
      <c r="V65" s="180"/>
      <c r="W65" s="180"/>
      <c r="X65" s="180"/>
      <c r="Y65" s="180"/>
      <c r="Z65" s="180"/>
      <c r="AA65" s="180"/>
      <c r="AB65" s="180"/>
      <c r="AC65" s="180"/>
      <c r="AD65" s="180"/>
      <c r="AE65" s="180"/>
      <c r="AF65" s="180"/>
      <c r="AG65" s="180"/>
      <c r="AH65" s="180"/>
      <c r="AI65" s="180"/>
      <c r="AJ65" s="180"/>
      <c r="AK65" s="180"/>
      <c r="AL65" s="180"/>
    </row>
    <row r="66" spans="1:38" s="175" customFormat="1" x14ac:dyDescent="0.25">
      <c r="A66" s="94">
        <f t="shared" si="4"/>
        <v>0</v>
      </c>
      <c r="B66" s="36" t="str">
        <f t="shared" si="0"/>
        <v/>
      </c>
      <c r="C66" s="24"/>
      <c r="D66" s="24"/>
      <c r="E66" s="24"/>
      <c r="F66" s="24"/>
      <c r="H66" s="187">
        <v>61</v>
      </c>
      <c r="I66" s="188" t="str">
        <f t="shared" si="1"/>
        <v/>
      </c>
      <c r="J66" s="187">
        <f t="shared" si="5"/>
        <v>-1</v>
      </c>
      <c r="K66" s="187">
        <f t="shared" si="2"/>
        <v>-10</v>
      </c>
      <c r="L66" s="187"/>
      <c r="M66" s="189">
        <f t="shared" si="3"/>
        <v>0</v>
      </c>
      <c r="S66" s="180"/>
      <c r="T66" s="180"/>
      <c r="U66" s="180"/>
      <c r="V66" s="180"/>
      <c r="W66" s="180"/>
      <c r="X66" s="180"/>
      <c r="Y66" s="180"/>
      <c r="Z66" s="180"/>
      <c r="AA66" s="180"/>
      <c r="AB66" s="180"/>
      <c r="AC66" s="180"/>
      <c r="AD66" s="180"/>
      <c r="AE66" s="180"/>
      <c r="AF66" s="180"/>
      <c r="AG66" s="180"/>
      <c r="AH66" s="180"/>
      <c r="AI66" s="180"/>
      <c r="AJ66" s="180"/>
      <c r="AK66" s="180"/>
      <c r="AL66" s="180"/>
    </row>
    <row r="67" spans="1:38" s="175" customFormat="1" x14ac:dyDescent="0.25">
      <c r="A67" s="98">
        <f t="shared" si="4"/>
        <v>0</v>
      </c>
      <c r="B67" s="35" t="str">
        <f t="shared" si="0"/>
        <v/>
      </c>
      <c r="C67" s="25"/>
      <c r="D67" s="25"/>
      <c r="E67" s="25"/>
      <c r="F67" s="25"/>
      <c r="H67" s="190">
        <v>62</v>
      </c>
      <c r="I67" s="191" t="str">
        <f t="shared" si="1"/>
        <v/>
      </c>
      <c r="J67" s="190">
        <f t="shared" si="5"/>
        <v>-1</v>
      </c>
      <c r="K67" s="190">
        <f t="shared" si="2"/>
        <v>-10</v>
      </c>
      <c r="L67" s="190"/>
      <c r="M67" s="192">
        <f t="shared" si="3"/>
        <v>0</v>
      </c>
      <c r="S67" s="180"/>
      <c r="T67" s="180"/>
      <c r="U67" s="180"/>
      <c r="V67" s="180"/>
      <c r="W67" s="180"/>
      <c r="X67" s="180"/>
      <c r="Y67" s="180"/>
      <c r="Z67" s="180"/>
      <c r="AA67" s="180"/>
      <c r="AB67" s="180"/>
      <c r="AC67" s="180"/>
      <c r="AD67" s="180"/>
      <c r="AE67" s="180"/>
      <c r="AF67" s="180"/>
      <c r="AG67" s="180"/>
      <c r="AH67" s="180"/>
      <c r="AI67" s="180"/>
      <c r="AJ67" s="180"/>
      <c r="AK67" s="180"/>
      <c r="AL67" s="180"/>
    </row>
    <row r="68" spans="1:38" s="175" customFormat="1" x14ac:dyDescent="0.25">
      <c r="A68" s="94">
        <f t="shared" si="4"/>
        <v>0</v>
      </c>
      <c r="B68" s="36" t="str">
        <f t="shared" si="0"/>
        <v/>
      </c>
      <c r="C68" s="24"/>
      <c r="D68" s="24"/>
      <c r="E68" s="24"/>
      <c r="F68" s="24"/>
      <c r="H68" s="187">
        <v>63</v>
      </c>
      <c r="I68" s="188" t="str">
        <f t="shared" si="1"/>
        <v/>
      </c>
      <c r="J68" s="187">
        <f t="shared" si="5"/>
        <v>-1</v>
      </c>
      <c r="K68" s="187">
        <f t="shared" si="2"/>
        <v>-10</v>
      </c>
      <c r="L68" s="187"/>
      <c r="M68" s="189">
        <f t="shared" si="3"/>
        <v>0</v>
      </c>
      <c r="S68" s="180"/>
      <c r="T68" s="180"/>
      <c r="U68" s="180"/>
      <c r="V68" s="180"/>
      <c r="W68" s="180"/>
      <c r="X68" s="180"/>
      <c r="Y68" s="180"/>
      <c r="Z68" s="180"/>
      <c r="AA68" s="180"/>
      <c r="AB68" s="180"/>
      <c r="AC68" s="180"/>
      <c r="AD68" s="180"/>
      <c r="AE68" s="180"/>
      <c r="AF68" s="180"/>
      <c r="AG68" s="180"/>
      <c r="AH68" s="180"/>
      <c r="AI68" s="180"/>
      <c r="AJ68" s="180"/>
      <c r="AK68" s="180"/>
      <c r="AL68" s="180"/>
    </row>
    <row r="69" spans="1:38" s="175" customFormat="1" x14ac:dyDescent="0.25">
      <c r="A69" s="98">
        <f t="shared" si="4"/>
        <v>0</v>
      </c>
      <c r="B69" s="35" t="str">
        <f t="shared" si="0"/>
        <v/>
      </c>
      <c r="C69" s="25"/>
      <c r="D69" s="25"/>
      <c r="E69" s="25"/>
      <c r="F69" s="25"/>
      <c r="H69" s="190">
        <v>64</v>
      </c>
      <c r="I69" s="191" t="str">
        <f t="shared" si="1"/>
        <v/>
      </c>
      <c r="J69" s="190">
        <f t="shared" si="5"/>
        <v>-1</v>
      </c>
      <c r="K69" s="190">
        <f t="shared" si="2"/>
        <v>-10</v>
      </c>
      <c r="L69" s="190"/>
      <c r="M69" s="192">
        <f t="shared" si="3"/>
        <v>0</v>
      </c>
      <c r="S69" s="180"/>
      <c r="T69" s="180"/>
      <c r="U69" s="180"/>
      <c r="V69" s="180"/>
      <c r="W69" s="180"/>
      <c r="X69" s="180"/>
      <c r="Y69" s="180"/>
      <c r="Z69" s="180"/>
      <c r="AA69" s="180"/>
      <c r="AB69" s="180"/>
      <c r="AC69" s="180"/>
      <c r="AD69" s="180"/>
      <c r="AE69" s="180"/>
      <c r="AF69" s="180"/>
      <c r="AG69" s="180"/>
      <c r="AH69" s="180"/>
      <c r="AI69" s="180"/>
      <c r="AJ69" s="180"/>
      <c r="AK69" s="180"/>
      <c r="AL69" s="180"/>
    </row>
    <row r="70" spans="1:38" s="175" customFormat="1" x14ac:dyDescent="0.25">
      <c r="A70" s="94">
        <f t="shared" si="4"/>
        <v>0</v>
      </c>
      <c r="B70" s="36" t="str">
        <f t="shared" ref="B70:B133" si="6">IF(H70&gt;$H$2,"",(ROW()-5))</f>
        <v/>
      </c>
      <c r="C70" s="24"/>
      <c r="D70" s="24"/>
      <c r="E70" s="24"/>
      <c r="F70" s="24"/>
      <c r="H70" s="187">
        <v>65</v>
      </c>
      <c r="I70" s="188" t="str">
        <f t="shared" ref="I70:I133" si="7">IF(H70&lt;$H$2+1,($I$2-($I$2-1)*(LOG(H70)/LOG($H$2))),"")</f>
        <v/>
      </c>
      <c r="J70" s="187">
        <f t="shared" si="5"/>
        <v>-2</v>
      </c>
      <c r="K70" s="187">
        <f t="shared" ref="K70:K133" si="8">J70*$J$2</f>
        <v>-20</v>
      </c>
      <c r="L70" s="187"/>
      <c r="M70" s="189">
        <f t="shared" ref="M70:M133" si="9">IF(I70&lt;&gt;"",K70+I70+L70,0)</f>
        <v>0</v>
      </c>
      <c r="S70" s="180"/>
      <c r="T70" s="180"/>
      <c r="U70" s="180"/>
      <c r="V70" s="180"/>
      <c r="W70" s="180"/>
      <c r="X70" s="180"/>
      <c r="Y70" s="180"/>
      <c r="Z70" s="180"/>
      <c r="AA70" s="180"/>
      <c r="AB70" s="180"/>
      <c r="AC70" s="180"/>
      <c r="AD70" s="180"/>
      <c r="AE70" s="180"/>
      <c r="AF70" s="180"/>
      <c r="AG70" s="180"/>
      <c r="AH70" s="180"/>
      <c r="AI70" s="180"/>
      <c r="AJ70" s="180"/>
      <c r="AK70" s="180"/>
      <c r="AL70" s="180"/>
    </row>
    <row r="71" spans="1:38" s="175" customFormat="1" x14ac:dyDescent="0.25">
      <c r="A71" s="98">
        <f t="shared" ref="A71:A134" si="10">M71</f>
        <v>0</v>
      </c>
      <c r="B71" s="35" t="str">
        <f t="shared" si="6"/>
        <v/>
      </c>
      <c r="C71" s="25"/>
      <c r="D71" s="25"/>
      <c r="E71" s="25"/>
      <c r="F71" s="25"/>
      <c r="H71" s="190">
        <v>66</v>
      </c>
      <c r="I71" s="191" t="str">
        <f t="shared" si="7"/>
        <v/>
      </c>
      <c r="J71" s="190">
        <f t="shared" ref="J71:J134" si="11">INT(LOG($H$2,2))-ROUNDUP(LOG(H71,2),0)+IF(OR($H$2=1,$H$2=2,$H$2=4,$H$2=8,$H$2=16,$H$2=32,$H$2=64,$H$2=128,$H$2=256),0,1)</f>
        <v>-2</v>
      </c>
      <c r="K71" s="190">
        <f t="shared" si="8"/>
        <v>-20</v>
      </c>
      <c r="L71" s="190"/>
      <c r="M71" s="192">
        <f t="shared" si="9"/>
        <v>0</v>
      </c>
      <c r="S71" s="180"/>
      <c r="T71" s="180"/>
      <c r="U71" s="180"/>
      <c r="V71" s="180"/>
      <c r="W71" s="180"/>
      <c r="X71" s="180"/>
      <c r="Y71" s="180"/>
      <c r="Z71" s="180"/>
      <c r="AA71" s="180"/>
      <c r="AB71" s="180"/>
      <c r="AC71" s="180"/>
      <c r="AD71" s="180"/>
      <c r="AE71" s="180"/>
      <c r="AF71" s="180"/>
      <c r="AG71" s="180"/>
      <c r="AH71" s="180"/>
      <c r="AI71" s="180"/>
      <c r="AJ71" s="180"/>
      <c r="AK71" s="180"/>
      <c r="AL71" s="180"/>
    </row>
    <row r="72" spans="1:38" s="175" customFormat="1" x14ac:dyDescent="0.25">
      <c r="A72" s="94">
        <f t="shared" si="10"/>
        <v>0</v>
      </c>
      <c r="B72" s="36" t="str">
        <f t="shared" si="6"/>
        <v/>
      </c>
      <c r="C72" s="24"/>
      <c r="D72" s="24"/>
      <c r="E72" s="24"/>
      <c r="F72" s="24"/>
      <c r="H72" s="187">
        <v>67</v>
      </c>
      <c r="I72" s="188" t="str">
        <f t="shared" si="7"/>
        <v/>
      </c>
      <c r="J72" s="187">
        <f t="shared" si="11"/>
        <v>-2</v>
      </c>
      <c r="K72" s="187">
        <f t="shared" si="8"/>
        <v>-20</v>
      </c>
      <c r="L72" s="187"/>
      <c r="M72" s="189">
        <f t="shared" si="9"/>
        <v>0</v>
      </c>
      <c r="S72" s="180"/>
      <c r="T72" s="180"/>
      <c r="U72" s="180"/>
      <c r="V72" s="180"/>
      <c r="W72" s="180"/>
      <c r="X72" s="180"/>
      <c r="Y72" s="180"/>
      <c r="Z72" s="180"/>
      <c r="AA72" s="180"/>
      <c r="AB72" s="180"/>
      <c r="AC72" s="180"/>
      <c r="AD72" s="180"/>
      <c r="AE72" s="180"/>
      <c r="AF72" s="180"/>
      <c r="AG72" s="180"/>
      <c r="AH72" s="180"/>
      <c r="AI72" s="180"/>
      <c r="AJ72" s="180"/>
      <c r="AK72" s="180"/>
      <c r="AL72" s="180"/>
    </row>
    <row r="73" spans="1:38" s="175" customFormat="1" x14ac:dyDescent="0.25">
      <c r="A73" s="98">
        <f t="shared" si="10"/>
        <v>0</v>
      </c>
      <c r="B73" s="35" t="str">
        <f t="shared" si="6"/>
        <v/>
      </c>
      <c r="C73" s="25"/>
      <c r="D73" s="25"/>
      <c r="E73" s="25"/>
      <c r="F73" s="25"/>
      <c r="H73" s="190">
        <v>68</v>
      </c>
      <c r="I73" s="191" t="str">
        <f t="shared" si="7"/>
        <v/>
      </c>
      <c r="J73" s="190">
        <f t="shared" si="11"/>
        <v>-2</v>
      </c>
      <c r="K73" s="190">
        <f t="shared" si="8"/>
        <v>-20</v>
      </c>
      <c r="L73" s="190"/>
      <c r="M73" s="192">
        <f t="shared" si="9"/>
        <v>0</v>
      </c>
      <c r="S73" s="180"/>
      <c r="T73" s="180"/>
      <c r="U73" s="180"/>
      <c r="V73" s="180"/>
      <c r="W73" s="180"/>
      <c r="X73" s="180"/>
      <c r="Y73" s="180"/>
      <c r="Z73" s="180"/>
      <c r="AA73" s="180"/>
      <c r="AB73" s="180"/>
      <c r="AC73" s="180"/>
      <c r="AD73" s="180"/>
      <c r="AE73" s="180"/>
      <c r="AF73" s="180"/>
      <c r="AG73" s="180"/>
      <c r="AH73" s="180"/>
      <c r="AI73" s="180"/>
      <c r="AJ73" s="180"/>
      <c r="AK73" s="180"/>
      <c r="AL73" s="180"/>
    </row>
    <row r="74" spans="1:38" s="175" customFormat="1" x14ac:dyDescent="0.25">
      <c r="A74" s="94">
        <f t="shared" si="10"/>
        <v>0</v>
      </c>
      <c r="B74" s="36" t="str">
        <f t="shared" si="6"/>
        <v/>
      </c>
      <c r="C74" s="24"/>
      <c r="D74" s="24"/>
      <c r="E74" s="24"/>
      <c r="F74" s="24"/>
      <c r="H74" s="187">
        <v>69</v>
      </c>
      <c r="I74" s="188" t="str">
        <f t="shared" si="7"/>
        <v/>
      </c>
      <c r="J74" s="187">
        <f t="shared" si="11"/>
        <v>-2</v>
      </c>
      <c r="K74" s="187">
        <f t="shared" si="8"/>
        <v>-20</v>
      </c>
      <c r="L74" s="187"/>
      <c r="M74" s="189">
        <f t="shared" si="9"/>
        <v>0</v>
      </c>
      <c r="S74" s="180"/>
      <c r="T74" s="180"/>
      <c r="U74" s="180"/>
      <c r="V74" s="180"/>
      <c r="W74" s="180"/>
      <c r="X74" s="180"/>
      <c r="Y74" s="180"/>
      <c r="Z74" s="180"/>
      <c r="AA74" s="180"/>
      <c r="AB74" s="180"/>
      <c r="AC74" s="180"/>
      <c r="AD74" s="180"/>
      <c r="AE74" s="180"/>
      <c r="AF74" s="180"/>
      <c r="AG74" s="180"/>
      <c r="AH74" s="180"/>
      <c r="AI74" s="180"/>
      <c r="AJ74" s="180"/>
      <c r="AK74" s="180"/>
      <c r="AL74" s="180"/>
    </row>
    <row r="75" spans="1:38" s="175" customFormat="1" x14ac:dyDescent="0.25">
      <c r="A75" s="98">
        <f t="shared" si="10"/>
        <v>0</v>
      </c>
      <c r="B75" s="35" t="str">
        <f t="shared" si="6"/>
        <v/>
      </c>
      <c r="C75" s="25"/>
      <c r="D75" s="25"/>
      <c r="E75" s="25"/>
      <c r="F75" s="25"/>
      <c r="H75" s="190">
        <v>70</v>
      </c>
      <c r="I75" s="191" t="str">
        <f t="shared" si="7"/>
        <v/>
      </c>
      <c r="J75" s="190">
        <f t="shared" si="11"/>
        <v>-2</v>
      </c>
      <c r="K75" s="190">
        <f t="shared" si="8"/>
        <v>-20</v>
      </c>
      <c r="L75" s="190"/>
      <c r="M75" s="192">
        <f t="shared" si="9"/>
        <v>0</v>
      </c>
      <c r="S75" s="180"/>
      <c r="T75" s="180"/>
      <c r="U75" s="180"/>
      <c r="V75" s="180"/>
      <c r="W75" s="180"/>
      <c r="X75" s="180"/>
      <c r="Y75" s="180"/>
      <c r="Z75" s="180"/>
      <c r="AA75" s="180"/>
      <c r="AB75" s="180"/>
      <c r="AC75" s="180"/>
      <c r="AD75" s="180"/>
      <c r="AE75" s="180"/>
      <c r="AF75" s="180"/>
      <c r="AG75" s="180"/>
      <c r="AH75" s="180"/>
      <c r="AI75" s="180"/>
      <c r="AJ75" s="180"/>
      <c r="AK75" s="180"/>
      <c r="AL75" s="180"/>
    </row>
    <row r="76" spans="1:38" s="175" customFormat="1" x14ac:dyDescent="0.25">
      <c r="A76" s="94">
        <f t="shared" si="10"/>
        <v>0</v>
      </c>
      <c r="B76" s="36" t="str">
        <f t="shared" si="6"/>
        <v/>
      </c>
      <c r="C76" s="24"/>
      <c r="D76" s="24"/>
      <c r="E76" s="24"/>
      <c r="F76" s="24"/>
      <c r="H76" s="187">
        <v>71</v>
      </c>
      <c r="I76" s="188" t="str">
        <f t="shared" si="7"/>
        <v/>
      </c>
      <c r="J76" s="187">
        <f t="shared" si="11"/>
        <v>-2</v>
      </c>
      <c r="K76" s="187">
        <f t="shared" si="8"/>
        <v>-20</v>
      </c>
      <c r="L76" s="187"/>
      <c r="M76" s="189">
        <f t="shared" si="9"/>
        <v>0</v>
      </c>
      <c r="S76" s="180"/>
      <c r="T76" s="180"/>
      <c r="U76" s="180"/>
      <c r="V76" s="180"/>
      <c r="W76" s="180"/>
      <c r="X76" s="180"/>
      <c r="Y76" s="180"/>
      <c r="Z76" s="180"/>
      <c r="AA76" s="180"/>
      <c r="AB76" s="180"/>
      <c r="AC76" s="180"/>
      <c r="AD76" s="180"/>
      <c r="AE76" s="180"/>
      <c r="AF76" s="180"/>
      <c r="AG76" s="180"/>
      <c r="AH76" s="180"/>
      <c r="AI76" s="180"/>
      <c r="AJ76" s="180"/>
      <c r="AK76" s="180"/>
      <c r="AL76" s="180"/>
    </row>
    <row r="77" spans="1:38" s="175" customFormat="1" x14ac:dyDescent="0.25">
      <c r="A77" s="98">
        <f t="shared" si="10"/>
        <v>0</v>
      </c>
      <c r="B77" s="35" t="str">
        <f t="shared" si="6"/>
        <v/>
      </c>
      <c r="C77" s="25"/>
      <c r="D77" s="25"/>
      <c r="E77" s="25"/>
      <c r="F77" s="25"/>
      <c r="H77" s="190">
        <v>72</v>
      </c>
      <c r="I77" s="191" t="str">
        <f t="shared" si="7"/>
        <v/>
      </c>
      <c r="J77" s="190">
        <f t="shared" si="11"/>
        <v>-2</v>
      </c>
      <c r="K77" s="190">
        <f t="shared" si="8"/>
        <v>-20</v>
      </c>
      <c r="L77" s="190"/>
      <c r="M77" s="192">
        <f t="shared" si="9"/>
        <v>0</v>
      </c>
      <c r="S77" s="180"/>
      <c r="T77" s="180"/>
      <c r="U77" s="180"/>
      <c r="V77" s="180"/>
      <c r="W77" s="180"/>
      <c r="X77" s="180"/>
      <c r="Y77" s="180"/>
      <c r="Z77" s="180"/>
      <c r="AA77" s="180"/>
      <c r="AB77" s="180"/>
      <c r="AC77" s="180"/>
      <c r="AD77" s="180"/>
      <c r="AE77" s="180"/>
      <c r="AF77" s="180"/>
      <c r="AG77" s="180"/>
      <c r="AH77" s="180"/>
      <c r="AI77" s="180"/>
      <c r="AJ77" s="180"/>
      <c r="AK77" s="180"/>
      <c r="AL77" s="180"/>
    </row>
    <row r="78" spans="1:38" s="175" customFormat="1" x14ac:dyDescent="0.25">
      <c r="A78" s="94">
        <f t="shared" si="10"/>
        <v>0</v>
      </c>
      <c r="B78" s="36" t="str">
        <f t="shared" si="6"/>
        <v/>
      </c>
      <c r="C78" s="24"/>
      <c r="D78" s="24"/>
      <c r="E78" s="24"/>
      <c r="F78" s="24"/>
      <c r="H78" s="187">
        <v>73</v>
      </c>
      <c r="I78" s="188" t="str">
        <f t="shared" si="7"/>
        <v/>
      </c>
      <c r="J78" s="187">
        <f t="shared" si="11"/>
        <v>-2</v>
      </c>
      <c r="K78" s="187">
        <f t="shared" si="8"/>
        <v>-20</v>
      </c>
      <c r="L78" s="187"/>
      <c r="M78" s="189">
        <f t="shared" si="9"/>
        <v>0</v>
      </c>
      <c r="S78" s="180"/>
      <c r="T78" s="180"/>
      <c r="U78" s="180"/>
      <c r="V78" s="180"/>
      <c r="W78" s="180"/>
      <c r="X78" s="180"/>
      <c r="Y78" s="180"/>
      <c r="Z78" s="180"/>
      <c r="AA78" s="180"/>
      <c r="AB78" s="180"/>
      <c r="AC78" s="180"/>
      <c r="AD78" s="180"/>
      <c r="AE78" s="180"/>
      <c r="AF78" s="180"/>
      <c r="AG78" s="180"/>
      <c r="AH78" s="180"/>
      <c r="AI78" s="180"/>
      <c r="AJ78" s="180"/>
      <c r="AK78" s="180"/>
      <c r="AL78" s="180"/>
    </row>
    <row r="79" spans="1:38" s="175" customFormat="1" x14ac:dyDescent="0.25">
      <c r="A79" s="98">
        <f t="shared" si="10"/>
        <v>0</v>
      </c>
      <c r="B79" s="35" t="str">
        <f t="shared" si="6"/>
        <v/>
      </c>
      <c r="C79" s="25"/>
      <c r="D79" s="25"/>
      <c r="E79" s="25"/>
      <c r="F79" s="25"/>
      <c r="H79" s="190">
        <v>74</v>
      </c>
      <c r="I79" s="191" t="str">
        <f t="shared" si="7"/>
        <v/>
      </c>
      <c r="J79" s="190">
        <f t="shared" si="11"/>
        <v>-2</v>
      </c>
      <c r="K79" s="190">
        <f t="shared" si="8"/>
        <v>-20</v>
      </c>
      <c r="L79" s="190"/>
      <c r="M79" s="192">
        <f t="shared" si="9"/>
        <v>0</v>
      </c>
      <c r="S79" s="180"/>
      <c r="T79" s="180"/>
      <c r="U79" s="180"/>
      <c r="V79" s="180"/>
      <c r="W79" s="180"/>
      <c r="X79" s="180"/>
      <c r="Y79" s="180"/>
      <c r="Z79" s="180"/>
      <c r="AA79" s="180"/>
      <c r="AB79" s="180"/>
      <c r="AC79" s="180"/>
      <c r="AD79" s="180"/>
      <c r="AE79" s="180"/>
      <c r="AF79" s="180"/>
      <c r="AG79" s="180"/>
      <c r="AH79" s="180"/>
      <c r="AI79" s="180"/>
      <c r="AJ79" s="180"/>
      <c r="AK79" s="180"/>
      <c r="AL79" s="180"/>
    </row>
    <row r="80" spans="1:38" s="175" customFormat="1" x14ac:dyDescent="0.25">
      <c r="A80" s="94">
        <f t="shared" si="10"/>
        <v>0</v>
      </c>
      <c r="B80" s="36" t="str">
        <f t="shared" si="6"/>
        <v/>
      </c>
      <c r="C80" s="24"/>
      <c r="D80" s="24"/>
      <c r="E80" s="24"/>
      <c r="F80" s="24"/>
      <c r="H80" s="187">
        <v>75</v>
      </c>
      <c r="I80" s="188" t="str">
        <f t="shared" si="7"/>
        <v/>
      </c>
      <c r="J80" s="187">
        <f t="shared" si="11"/>
        <v>-2</v>
      </c>
      <c r="K80" s="187">
        <f t="shared" si="8"/>
        <v>-20</v>
      </c>
      <c r="L80" s="187"/>
      <c r="M80" s="189">
        <f t="shared" si="9"/>
        <v>0</v>
      </c>
      <c r="S80" s="180"/>
      <c r="T80" s="180"/>
      <c r="U80" s="180"/>
      <c r="V80" s="180"/>
      <c r="W80" s="180"/>
      <c r="X80" s="180"/>
      <c r="Y80" s="180"/>
      <c r="Z80" s="180"/>
      <c r="AA80" s="180"/>
      <c r="AB80" s="180"/>
      <c r="AC80" s="180"/>
      <c r="AD80" s="180"/>
      <c r="AE80" s="180"/>
      <c r="AF80" s="180"/>
      <c r="AG80" s="180"/>
      <c r="AH80" s="180"/>
      <c r="AI80" s="180"/>
      <c r="AJ80" s="180"/>
      <c r="AK80" s="180"/>
      <c r="AL80" s="180"/>
    </row>
    <row r="81" spans="1:38" s="175" customFormat="1" x14ac:dyDescent="0.25">
      <c r="A81" s="98">
        <f t="shared" si="10"/>
        <v>0</v>
      </c>
      <c r="B81" s="35" t="str">
        <f t="shared" si="6"/>
        <v/>
      </c>
      <c r="C81" s="25"/>
      <c r="D81" s="25"/>
      <c r="E81" s="25"/>
      <c r="F81" s="25"/>
      <c r="H81" s="190">
        <v>76</v>
      </c>
      <c r="I81" s="191" t="str">
        <f t="shared" si="7"/>
        <v/>
      </c>
      <c r="J81" s="190">
        <f t="shared" si="11"/>
        <v>-2</v>
      </c>
      <c r="K81" s="190">
        <f t="shared" si="8"/>
        <v>-20</v>
      </c>
      <c r="L81" s="190"/>
      <c r="M81" s="192">
        <f t="shared" si="9"/>
        <v>0</v>
      </c>
      <c r="S81" s="180"/>
      <c r="T81" s="180"/>
      <c r="U81" s="180"/>
      <c r="V81" s="180"/>
      <c r="W81" s="180"/>
      <c r="X81" s="180"/>
      <c r="Y81" s="180"/>
      <c r="Z81" s="180"/>
      <c r="AA81" s="180"/>
      <c r="AB81" s="180"/>
      <c r="AC81" s="180"/>
      <c r="AD81" s="180"/>
      <c r="AE81" s="180"/>
      <c r="AF81" s="180"/>
      <c r="AG81" s="180"/>
      <c r="AH81" s="180"/>
      <c r="AI81" s="180"/>
      <c r="AJ81" s="180"/>
      <c r="AK81" s="180"/>
      <c r="AL81" s="180"/>
    </row>
    <row r="82" spans="1:38" s="175" customFormat="1" x14ac:dyDescent="0.25">
      <c r="A82" s="94">
        <f t="shared" si="10"/>
        <v>0</v>
      </c>
      <c r="B82" s="36" t="str">
        <f t="shared" si="6"/>
        <v/>
      </c>
      <c r="C82" s="24"/>
      <c r="D82" s="24"/>
      <c r="E82" s="24"/>
      <c r="F82" s="24"/>
      <c r="H82" s="187">
        <v>77</v>
      </c>
      <c r="I82" s="188" t="str">
        <f t="shared" si="7"/>
        <v/>
      </c>
      <c r="J82" s="187">
        <f t="shared" si="11"/>
        <v>-2</v>
      </c>
      <c r="K82" s="187">
        <f t="shared" si="8"/>
        <v>-20</v>
      </c>
      <c r="L82" s="187"/>
      <c r="M82" s="189">
        <f t="shared" si="9"/>
        <v>0</v>
      </c>
      <c r="S82" s="180"/>
      <c r="T82" s="180"/>
      <c r="U82" s="180"/>
      <c r="V82" s="180"/>
      <c r="W82" s="180"/>
      <c r="X82" s="180"/>
      <c r="Y82" s="180"/>
      <c r="Z82" s="180"/>
      <c r="AA82" s="180"/>
      <c r="AB82" s="180"/>
      <c r="AC82" s="180"/>
      <c r="AD82" s="180"/>
      <c r="AE82" s="180"/>
      <c r="AF82" s="180"/>
      <c r="AG82" s="180"/>
      <c r="AH82" s="180"/>
      <c r="AI82" s="180"/>
      <c r="AJ82" s="180"/>
      <c r="AK82" s="180"/>
      <c r="AL82" s="180"/>
    </row>
    <row r="83" spans="1:38" s="175" customFormat="1" x14ac:dyDescent="0.25">
      <c r="A83" s="98">
        <f t="shared" si="10"/>
        <v>0</v>
      </c>
      <c r="B83" s="35" t="str">
        <f t="shared" si="6"/>
        <v/>
      </c>
      <c r="C83" s="25"/>
      <c r="D83" s="25"/>
      <c r="E83" s="25"/>
      <c r="F83" s="25"/>
      <c r="H83" s="190">
        <v>78</v>
      </c>
      <c r="I83" s="191" t="str">
        <f t="shared" si="7"/>
        <v/>
      </c>
      <c r="J83" s="190">
        <f t="shared" si="11"/>
        <v>-2</v>
      </c>
      <c r="K83" s="190">
        <f t="shared" si="8"/>
        <v>-20</v>
      </c>
      <c r="L83" s="190"/>
      <c r="M83" s="192">
        <f t="shared" si="9"/>
        <v>0</v>
      </c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  <c r="AF83" s="180"/>
      <c r="AG83" s="180"/>
      <c r="AH83" s="180"/>
      <c r="AI83" s="180"/>
      <c r="AJ83" s="180"/>
      <c r="AK83" s="180"/>
      <c r="AL83" s="180"/>
    </row>
    <row r="84" spans="1:38" s="175" customFormat="1" x14ac:dyDescent="0.25">
      <c r="A84" s="94">
        <f t="shared" si="10"/>
        <v>0</v>
      </c>
      <c r="B84" s="36" t="str">
        <f t="shared" si="6"/>
        <v/>
      </c>
      <c r="C84" s="24"/>
      <c r="D84" s="24"/>
      <c r="E84" s="24"/>
      <c r="F84" s="24"/>
      <c r="H84" s="187">
        <v>79</v>
      </c>
      <c r="I84" s="188" t="str">
        <f t="shared" si="7"/>
        <v/>
      </c>
      <c r="J84" s="187">
        <f t="shared" si="11"/>
        <v>-2</v>
      </c>
      <c r="K84" s="187">
        <f t="shared" si="8"/>
        <v>-20</v>
      </c>
      <c r="L84" s="187"/>
      <c r="M84" s="189">
        <f t="shared" si="9"/>
        <v>0</v>
      </c>
      <c r="S84" s="180"/>
      <c r="T84" s="180"/>
      <c r="U84" s="180"/>
      <c r="V84" s="180"/>
      <c r="W84" s="180"/>
      <c r="X84" s="180"/>
      <c r="Y84" s="180"/>
      <c r="Z84" s="180"/>
      <c r="AA84" s="180"/>
      <c r="AB84" s="180"/>
      <c r="AC84" s="180"/>
      <c r="AD84" s="180"/>
      <c r="AE84" s="180"/>
      <c r="AF84" s="180"/>
      <c r="AG84" s="180"/>
      <c r="AH84" s="180"/>
      <c r="AI84" s="180"/>
      <c r="AJ84" s="180"/>
      <c r="AK84" s="180"/>
      <c r="AL84" s="180"/>
    </row>
    <row r="85" spans="1:38" s="175" customFormat="1" x14ac:dyDescent="0.25">
      <c r="A85" s="98">
        <f t="shared" si="10"/>
        <v>0</v>
      </c>
      <c r="B85" s="35" t="str">
        <f t="shared" si="6"/>
        <v/>
      </c>
      <c r="C85" s="25"/>
      <c r="D85" s="25"/>
      <c r="E85" s="25"/>
      <c r="F85" s="25"/>
      <c r="H85" s="190">
        <v>80</v>
      </c>
      <c r="I85" s="191" t="str">
        <f t="shared" si="7"/>
        <v/>
      </c>
      <c r="J85" s="190">
        <f t="shared" si="11"/>
        <v>-2</v>
      </c>
      <c r="K85" s="190">
        <f t="shared" si="8"/>
        <v>-20</v>
      </c>
      <c r="L85" s="190"/>
      <c r="M85" s="192">
        <f t="shared" si="9"/>
        <v>0</v>
      </c>
      <c r="S85" s="180"/>
      <c r="T85" s="180"/>
      <c r="U85" s="180"/>
      <c r="V85" s="180"/>
      <c r="W85" s="180"/>
      <c r="X85" s="180"/>
      <c r="Y85" s="180"/>
      <c r="Z85" s="180"/>
      <c r="AA85" s="180"/>
      <c r="AB85" s="180"/>
      <c r="AC85" s="180"/>
      <c r="AD85" s="180"/>
      <c r="AE85" s="180"/>
      <c r="AF85" s="180"/>
      <c r="AG85" s="180"/>
      <c r="AH85" s="180"/>
      <c r="AI85" s="180"/>
      <c r="AJ85" s="180"/>
      <c r="AK85" s="180"/>
      <c r="AL85" s="180"/>
    </row>
    <row r="86" spans="1:38" s="175" customFormat="1" x14ac:dyDescent="0.25">
      <c r="A86" s="94">
        <f t="shared" si="10"/>
        <v>0</v>
      </c>
      <c r="B86" s="36" t="str">
        <f t="shared" si="6"/>
        <v/>
      </c>
      <c r="C86" s="24"/>
      <c r="D86" s="24"/>
      <c r="E86" s="24"/>
      <c r="F86" s="24"/>
      <c r="H86" s="187">
        <v>81</v>
      </c>
      <c r="I86" s="188" t="str">
        <f t="shared" si="7"/>
        <v/>
      </c>
      <c r="J86" s="187">
        <f t="shared" si="11"/>
        <v>-2</v>
      </c>
      <c r="K86" s="187">
        <f t="shared" si="8"/>
        <v>-20</v>
      </c>
      <c r="L86" s="187"/>
      <c r="M86" s="189">
        <f t="shared" si="9"/>
        <v>0</v>
      </c>
      <c r="S86" s="180"/>
      <c r="T86" s="180"/>
      <c r="U86" s="180"/>
      <c r="V86" s="180"/>
      <c r="W86" s="180"/>
      <c r="X86" s="180"/>
      <c r="Y86" s="180"/>
      <c r="Z86" s="180"/>
      <c r="AA86" s="180"/>
      <c r="AB86" s="180"/>
      <c r="AC86" s="180"/>
      <c r="AD86" s="180"/>
      <c r="AE86" s="180"/>
      <c r="AF86" s="180"/>
      <c r="AG86" s="180"/>
      <c r="AH86" s="180"/>
      <c r="AI86" s="180"/>
      <c r="AJ86" s="180"/>
      <c r="AK86" s="180"/>
      <c r="AL86" s="180"/>
    </row>
    <row r="87" spans="1:38" s="175" customFormat="1" x14ac:dyDescent="0.25">
      <c r="A87" s="98">
        <f t="shared" si="10"/>
        <v>0</v>
      </c>
      <c r="B87" s="35" t="str">
        <f t="shared" si="6"/>
        <v/>
      </c>
      <c r="C87" s="25"/>
      <c r="D87" s="25"/>
      <c r="E87" s="25"/>
      <c r="F87" s="25"/>
      <c r="H87" s="190">
        <v>82</v>
      </c>
      <c r="I87" s="191" t="str">
        <f t="shared" si="7"/>
        <v/>
      </c>
      <c r="J87" s="190">
        <f t="shared" si="11"/>
        <v>-2</v>
      </c>
      <c r="K87" s="190">
        <f t="shared" si="8"/>
        <v>-20</v>
      </c>
      <c r="L87" s="190"/>
      <c r="M87" s="192">
        <f t="shared" si="9"/>
        <v>0</v>
      </c>
      <c r="S87" s="180"/>
      <c r="T87" s="180"/>
      <c r="U87" s="180"/>
      <c r="V87" s="180"/>
      <c r="W87" s="180"/>
      <c r="X87" s="180"/>
      <c r="Y87" s="180"/>
      <c r="Z87" s="180"/>
      <c r="AA87" s="180"/>
      <c r="AB87" s="180"/>
      <c r="AC87" s="180"/>
      <c r="AD87" s="180"/>
      <c r="AE87" s="180"/>
      <c r="AF87" s="180"/>
      <c r="AG87" s="180"/>
      <c r="AH87" s="180"/>
      <c r="AI87" s="180"/>
      <c r="AJ87" s="180"/>
      <c r="AK87" s="180"/>
      <c r="AL87" s="180"/>
    </row>
    <row r="88" spans="1:38" s="175" customFormat="1" x14ac:dyDescent="0.25">
      <c r="A88" s="94">
        <f t="shared" si="10"/>
        <v>0</v>
      </c>
      <c r="B88" s="36" t="str">
        <f t="shared" si="6"/>
        <v/>
      </c>
      <c r="C88" s="24"/>
      <c r="D88" s="24"/>
      <c r="E88" s="24"/>
      <c r="F88" s="24"/>
      <c r="H88" s="187">
        <v>83</v>
      </c>
      <c r="I88" s="188" t="str">
        <f t="shared" si="7"/>
        <v/>
      </c>
      <c r="J88" s="187">
        <f t="shared" si="11"/>
        <v>-2</v>
      </c>
      <c r="K88" s="187">
        <f t="shared" si="8"/>
        <v>-20</v>
      </c>
      <c r="L88" s="187"/>
      <c r="M88" s="189">
        <f t="shared" si="9"/>
        <v>0</v>
      </c>
      <c r="S88" s="180"/>
      <c r="T88" s="180"/>
      <c r="U88" s="180"/>
      <c r="V88" s="180"/>
      <c r="W88" s="180"/>
      <c r="X88" s="180"/>
      <c r="Y88" s="180"/>
      <c r="Z88" s="180"/>
      <c r="AA88" s="180"/>
      <c r="AB88" s="180"/>
      <c r="AC88" s="180"/>
      <c r="AD88" s="180"/>
      <c r="AE88" s="180"/>
      <c r="AF88" s="180"/>
      <c r="AG88" s="180"/>
      <c r="AH88" s="180"/>
      <c r="AI88" s="180"/>
      <c r="AJ88" s="180"/>
      <c r="AK88" s="180"/>
      <c r="AL88" s="180"/>
    </row>
    <row r="89" spans="1:38" s="175" customFormat="1" x14ac:dyDescent="0.25">
      <c r="A89" s="98">
        <f t="shared" si="10"/>
        <v>0</v>
      </c>
      <c r="B89" s="35" t="str">
        <f t="shared" si="6"/>
        <v/>
      </c>
      <c r="C89" s="25"/>
      <c r="D89" s="25"/>
      <c r="E89" s="25"/>
      <c r="F89" s="25"/>
      <c r="H89" s="190">
        <v>84</v>
      </c>
      <c r="I89" s="191" t="str">
        <f t="shared" si="7"/>
        <v/>
      </c>
      <c r="J89" s="190">
        <f t="shared" si="11"/>
        <v>-2</v>
      </c>
      <c r="K89" s="190">
        <f t="shared" si="8"/>
        <v>-20</v>
      </c>
      <c r="L89" s="190"/>
      <c r="M89" s="192">
        <f t="shared" si="9"/>
        <v>0</v>
      </c>
      <c r="S89" s="180"/>
      <c r="T89" s="180"/>
      <c r="U89" s="180"/>
      <c r="V89" s="180"/>
      <c r="W89" s="180"/>
      <c r="X89" s="180"/>
      <c r="Y89" s="180"/>
      <c r="Z89" s="180"/>
      <c r="AA89" s="180"/>
      <c r="AB89" s="180"/>
      <c r="AC89" s="180"/>
      <c r="AD89" s="180"/>
      <c r="AE89" s="180"/>
      <c r="AF89" s="180"/>
      <c r="AG89" s="180"/>
      <c r="AH89" s="180"/>
      <c r="AI89" s="180"/>
      <c r="AJ89" s="180"/>
      <c r="AK89" s="180"/>
      <c r="AL89" s="180"/>
    </row>
    <row r="90" spans="1:38" s="175" customFormat="1" x14ac:dyDescent="0.25">
      <c r="A90" s="94">
        <f t="shared" si="10"/>
        <v>0</v>
      </c>
      <c r="B90" s="36" t="str">
        <f t="shared" si="6"/>
        <v/>
      </c>
      <c r="C90" s="24"/>
      <c r="D90" s="24"/>
      <c r="E90" s="24"/>
      <c r="F90" s="24"/>
      <c r="H90" s="187">
        <v>85</v>
      </c>
      <c r="I90" s="188" t="str">
        <f t="shared" si="7"/>
        <v/>
      </c>
      <c r="J90" s="187">
        <f t="shared" si="11"/>
        <v>-2</v>
      </c>
      <c r="K90" s="187">
        <f t="shared" si="8"/>
        <v>-20</v>
      </c>
      <c r="L90" s="187"/>
      <c r="M90" s="189">
        <f t="shared" si="9"/>
        <v>0</v>
      </c>
      <c r="S90" s="180"/>
      <c r="T90" s="180"/>
      <c r="U90" s="180"/>
      <c r="V90" s="180"/>
      <c r="W90" s="180"/>
      <c r="X90" s="180"/>
      <c r="Y90" s="180"/>
      <c r="Z90" s="180"/>
      <c r="AA90" s="180"/>
      <c r="AB90" s="180"/>
      <c r="AC90" s="180"/>
      <c r="AD90" s="180"/>
      <c r="AE90" s="180"/>
      <c r="AF90" s="180"/>
      <c r="AG90" s="180"/>
      <c r="AH90" s="180"/>
      <c r="AI90" s="180"/>
      <c r="AJ90" s="180"/>
      <c r="AK90" s="180"/>
      <c r="AL90" s="180"/>
    </row>
    <row r="91" spans="1:38" s="175" customFormat="1" x14ac:dyDescent="0.25">
      <c r="A91" s="98">
        <f t="shared" si="10"/>
        <v>0</v>
      </c>
      <c r="B91" s="35" t="str">
        <f t="shared" si="6"/>
        <v/>
      </c>
      <c r="C91" s="25"/>
      <c r="D91" s="25"/>
      <c r="E91" s="25"/>
      <c r="F91" s="25"/>
      <c r="H91" s="190">
        <v>86</v>
      </c>
      <c r="I91" s="191" t="str">
        <f t="shared" si="7"/>
        <v/>
      </c>
      <c r="J91" s="190">
        <f t="shared" si="11"/>
        <v>-2</v>
      </c>
      <c r="K91" s="190">
        <f t="shared" si="8"/>
        <v>-20</v>
      </c>
      <c r="L91" s="190"/>
      <c r="M91" s="192">
        <f t="shared" si="9"/>
        <v>0</v>
      </c>
      <c r="S91" s="180"/>
      <c r="T91" s="180"/>
      <c r="U91" s="180"/>
      <c r="V91" s="180"/>
      <c r="W91" s="180"/>
      <c r="X91" s="180"/>
      <c r="Y91" s="180"/>
      <c r="Z91" s="180"/>
      <c r="AA91" s="180"/>
      <c r="AB91" s="180"/>
      <c r="AC91" s="180"/>
      <c r="AD91" s="180"/>
      <c r="AE91" s="180"/>
      <c r="AF91" s="180"/>
      <c r="AG91" s="180"/>
      <c r="AH91" s="180"/>
      <c r="AI91" s="180"/>
      <c r="AJ91" s="180"/>
      <c r="AK91" s="180"/>
      <c r="AL91" s="180"/>
    </row>
    <row r="92" spans="1:38" s="175" customFormat="1" x14ac:dyDescent="0.25">
      <c r="A92" s="94">
        <f t="shared" si="10"/>
        <v>0</v>
      </c>
      <c r="B92" s="36" t="str">
        <f t="shared" si="6"/>
        <v/>
      </c>
      <c r="C92" s="24"/>
      <c r="D92" s="24"/>
      <c r="E92" s="24"/>
      <c r="F92" s="24"/>
      <c r="H92" s="187">
        <v>87</v>
      </c>
      <c r="I92" s="188" t="str">
        <f t="shared" si="7"/>
        <v/>
      </c>
      <c r="J92" s="187">
        <f t="shared" si="11"/>
        <v>-2</v>
      </c>
      <c r="K92" s="187">
        <f t="shared" si="8"/>
        <v>-20</v>
      </c>
      <c r="L92" s="187"/>
      <c r="M92" s="189">
        <f t="shared" si="9"/>
        <v>0</v>
      </c>
      <c r="S92" s="180"/>
      <c r="T92" s="180"/>
      <c r="U92" s="180"/>
      <c r="V92" s="180"/>
      <c r="W92" s="180"/>
      <c r="X92" s="180"/>
      <c r="Y92" s="180"/>
      <c r="Z92" s="180"/>
      <c r="AA92" s="180"/>
      <c r="AB92" s="180"/>
      <c r="AC92" s="180"/>
      <c r="AD92" s="180"/>
      <c r="AE92" s="180"/>
      <c r="AF92" s="180"/>
      <c r="AG92" s="180"/>
      <c r="AH92" s="180"/>
      <c r="AI92" s="180"/>
      <c r="AJ92" s="180"/>
      <c r="AK92" s="180"/>
      <c r="AL92" s="180"/>
    </row>
    <row r="93" spans="1:38" s="175" customFormat="1" x14ac:dyDescent="0.25">
      <c r="A93" s="98">
        <f t="shared" si="10"/>
        <v>0</v>
      </c>
      <c r="B93" s="35" t="str">
        <f t="shared" si="6"/>
        <v/>
      </c>
      <c r="C93" s="25"/>
      <c r="D93" s="25"/>
      <c r="E93" s="25"/>
      <c r="F93" s="25"/>
      <c r="H93" s="190">
        <v>88</v>
      </c>
      <c r="I93" s="191" t="str">
        <f t="shared" si="7"/>
        <v/>
      </c>
      <c r="J93" s="190">
        <f t="shared" si="11"/>
        <v>-2</v>
      </c>
      <c r="K93" s="190">
        <f t="shared" si="8"/>
        <v>-20</v>
      </c>
      <c r="L93" s="190"/>
      <c r="M93" s="192">
        <f t="shared" si="9"/>
        <v>0</v>
      </c>
      <c r="S93" s="180"/>
      <c r="T93" s="180"/>
      <c r="U93" s="180"/>
      <c r="V93" s="180"/>
      <c r="W93" s="180"/>
      <c r="X93" s="180"/>
      <c r="Y93" s="180"/>
      <c r="Z93" s="180"/>
      <c r="AA93" s="180"/>
      <c r="AB93" s="180"/>
      <c r="AC93" s="180"/>
      <c r="AD93" s="180"/>
      <c r="AE93" s="180"/>
      <c r="AF93" s="180"/>
      <c r="AG93" s="180"/>
      <c r="AH93" s="180"/>
      <c r="AI93" s="180"/>
      <c r="AJ93" s="180"/>
      <c r="AK93" s="180"/>
      <c r="AL93" s="180"/>
    </row>
    <row r="94" spans="1:38" s="175" customFormat="1" x14ac:dyDescent="0.25">
      <c r="A94" s="94">
        <f t="shared" si="10"/>
        <v>0</v>
      </c>
      <c r="B94" s="36" t="str">
        <f t="shared" si="6"/>
        <v/>
      </c>
      <c r="C94" s="24"/>
      <c r="D94" s="24"/>
      <c r="E94" s="24"/>
      <c r="F94" s="24"/>
      <c r="H94" s="187">
        <v>89</v>
      </c>
      <c r="I94" s="188" t="str">
        <f t="shared" si="7"/>
        <v/>
      </c>
      <c r="J94" s="187">
        <f t="shared" si="11"/>
        <v>-2</v>
      </c>
      <c r="K94" s="187">
        <f t="shared" si="8"/>
        <v>-20</v>
      </c>
      <c r="L94" s="187"/>
      <c r="M94" s="189">
        <f t="shared" si="9"/>
        <v>0</v>
      </c>
      <c r="S94" s="180"/>
      <c r="T94" s="180"/>
      <c r="U94" s="180"/>
      <c r="V94" s="180"/>
      <c r="W94" s="180"/>
      <c r="X94" s="180"/>
      <c r="Y94" s="180"/>
      <c r="Z94" s="180"/>
      <c r="AA94" s="180"/>
      <c r="AB94" s="180"/>
      <c r="AC94" s="180"/>
      <c r="AD94" s="180"/>
      <c r="AE94" s="180"/>
      <c r="AF94" s="180"/>
      <c r="AG94" s="180"/>
      <c r="AH94" s="180"/>
      <c r="AI94" s="180"/>
      <c r="AJ94" s="180"/>
      <c r="AK94" s="180"/>
      <c r="AL94" s="180"/>
    </row>
    <row r="95" spans="1:38" s="175" customFormat="1" x14ac:dyDescent="0.25">
      <c r="A95" s="98">
        <f t="shared" si="10"/>
        <v>0</v>
      </c>
      <c r="B95" s="35" t="str">
        <f t="shared" si="6"/>
        <v/>
      </c>
      <c r="C95" s="25"/>
      <c r="D95" s="25"/>
      <c r="E95" s="25"/>
      <c r="F95" s="25"/>
      <c r="H95" s="190">
        <v>90</v>
      </c>
      <c r="I95" s="191" t="str">
        <f t="shared" si="7"/>
        <v/>
      </c>
      <c r="J95" s="190">
        <f t="shared" si="11"/>
        <v>-2</v>
      </c>
      <c r="K95" s="190">
        <f t="shared" si="8"/>
        <v>-20</v>
      </c>
      <c r="L95" s="190"/>
      <c r="M95" s="192">
        <f t="shared" si="9"/>
        <v>0</v>
      </c>
      <c r="S95" s="180"/>
      <c r="T95" s="180"/>
      <c r="U95" s="180"/>
      <c r="V95" s="180"/>
      <c r="W95" s="180"/>
      <c r="X95" s="180"/>
      <c r="Y95" s="180"/>
      <c r="Z95" s="180"/>
      <c r="AA95" s="180"/>
      <c r="AB95" s="180"/>
      <c r="AC95" s="180"/>
      <c r="AD95" s="180"/>
      <c r="AE95" s="180"/>
      <c r="AF95" s="180"/>
      <c r="AG95" s="180"/>
      <c r="AH95" s="180"/>
      <c r="AI95" s="180"/>
      <c r="AJ95" s="180"/>
      <c r="AK95" s="180"/>
      <c r="AL95" s="180"/>
    </row>
    <row r="96" spans="1:38" s="175" customFormat="1" x14ac:dyDescent="0.25">
      <c r="A96" s="94">
        <f t="shared" si="10"/>
        <v>0</v>
      </c>
      <c r="B96" s="36" t="str">
        <f t="shared" si="6"/>
        <v/>
      </c>
      <c r="C96" s="24"/>
      <c r="D96" s="24"/>
      <c r="E96" s="24"/>
      <c r="F96" s="24"/>
      <c r="H96" s="187">
        <v>91</v>
      </c>
      <c r="I96" s="188" t="str">
        <f t="shared" si="7"/>
        <v/>
      </c>
      <c r="J96" s="187">
        <f t="shared" si="11"/>
        <v>-2</v>
      </c>
      <c r="K96" s="187">
        <f t="shared" si="8"/>
        <v>-20</v>
      </c>
      <c r="L96" s="187"/>
      <c r="M96" s="189">
        <f t="shared" si="9"/>
        <v>0</v>
      </c>
      <c r="S96" s="180"/>
      <c r="T96" s="180"/>
      <c r="U96" s="180"/>
      <c r="V96" s="180"/>
      <c r="W96" s="180"/>
      <c r="X96" s="180"/>
      <c r="Y96" s="180"/>
      <c r="Z96" s="180"/>
      <c r="AA96" s="180"/>
      <c r="AB96" s="180"/>
      <c r="AC96" s="180"/>
      <c r="AD96" s="180"/>
      <c r="AE96" s="180"/>
      <c r="AF96" s="180"/>
      <c r="AG96" s="180"/>
      <c r="AH96" s="180"/>
      <c r="AI96" s="180"/>
      <c r="AJ96" s="180"/>
      <c r="AK96" s="180"/>
      <c r="AL96" s="180"/>
    </row>
    <row r="97" spans="1:38" s="175" customFormat="1" x14ac:dyDescent="0.25">
      <c r="A97" s="98">
        <f t="shared" si="10"/>
        <v>0</v>
      </c>
      <c r="B97" s="35" t="str">
        <f t="shared" si="6"/>
        <v/>
      </c>
      <c r="C97" s="25"/>
      <c r="D97" s="25"/>
      <c r="E97" s="25"/>
      <c r="F97" s="25"/>
      <c r="H97" s="190">
        <v>92</v>
      </c>
      <c r="I97" s="191" t="str">
        <f t="shared" si="7"/>
        <v/>
      </c>
      <c r="J97" s="190">
        <f t="shared" si="11"/>
        <v>-2</v>
      </c>
      <c r="K97" s="190">
        <f t="shared" si="8"/>
        <v>-20</v>
      </c>
      <c r="L97" s="190"/>
      <c r="M97" s="192">
        <f t="shared" si="9"/>
        <v>0</v>
      </c>
      <c r="S97" s="180"/>
      <c r="T97" s="180"/>
      <c r="U97" s="180"/>
      <c r="V97" s="180"/>
      <c r="W97" s="180"/>
      <c r="X97" s="180"/>
      <c r="Y97" s="180"/>
      <c r="Z97" s="180"/>
      <c r="AA97" s="180"/>
      <c r="AB97" s="180"/>
      <c r="AC97" s="180"/>
      <c r="AD97" s="180"/>
      <c r="AE97" s="180"/>
      <c r="AF97" s="180"/>
      <c r="AG97" s="180"/>
      <c r="AH97" s="180"/>
      <c r="AI97" s="180"/>
      <c r="AJ97" s="180"/>
      <c r="AK97" s="180"/>
      <c r="AL97" s="180"/>
    </row>
    <row r="98" spans="1:38" s="175" customFormat="1" x14ac:dyDescent="0.25">
      <c r="A98" s="94">
        <f t="shared" si="10"/>
        <v>0</v>
      </c>
      <c r="B98" s="36" t="str">
        <f t="shared" si="6"/>
        <v/>
      </c>
      <c r="C98" s="24"/>
      <c r="D98" s="24"/>
      <c r="E98" s="24"/>
      <c r="F98" s="24"/>
      <c r="H98" s="187">
        <v>93</v>
      </c>
      <c r="I98" s="188" t="str">
        <f t="shared" si="7"/>
        <v/>
      </c>
      <c r="J98" s="187">
        <f t="shared" si="11"/>
        <v>-2</v>
      </c>
      <c r="K98" s="187">
        <f t="shared" si="8"/>
        <v>-20</v>
      </c>
      <c r="L98" s="187"/>
      <c r="M98" s="189">
        <f t="shared" si="9"/>
        <v>0</v>
      </c>
      <c r="S98" s="180"/>
      <c r="T98" s="180"/>
      <c r="U98" s="180"/>
      <c r="V98" s="180"/>
      <c r="W98" s="180"/>
      <c r="X98" s="180"/>
      <c r="Y98" s="180"/>
      <c r="Z98" s="180"/>
      <c r="AA98" s="180"/>
      <c r="AB98" s="180"/>
      <c r="AC98" s="180"/>
      <c r="AD98" s="180"/>
      <c r="AE98" s="180"/>
      <c r="AF98" s="180"/>
      <c r="AG98" s="180"/>
      <c r="AH98" s="180"/>
      <c r="AI98" s="180"/>
      <c r="AJ98" s="180"/>
      <c r="AK98" s="180"/>
      <c r="AL98" s="180"/>
    </row>
    <row r="99" spans="1:38" s="175" customFormat="1" x14ac:dyDescent="0.25">
      <c r="A99" s="98">
        <f t="shared" si="10"/>
        <v>0</v>
      </c>
      <c r="B99" s="35" t="str">
        <f t="shared" si="6"/>
        <v/>
      </c>
      <c r="C99" s="25"/>
      <c r="D99" s="25"/>
      <c r="E99" s="25"/>
      <c r="F99" s="25"/>
      <c r="H99" s="190">
        <v>94</v>
      </c>
      <c r="I99" s="191" t="str">
        <f t="shared" si="7"/>
        <v/>
      </c>
      <c r="J99" s="190">
        <f t="shared" si="11"/>
        <v>-2</v>
      </c>
      <c r="K99" s="190">
        <f t="shared" si="8"/>
        <v>-20</v>
      </c>
      <c r="L99" s="190"/>
      <c r="M99" s="192">
        <f t="shared" si="9"/>
        <v>0</v>
      </c>
      <c r="S99" s="180"/>
      <c r="T99" s="180"/>
      <c r="U99" s="180"/>
      <c r="V99" s="180"/>
      <c r="W99" s="180"/>
      <c r="X99" s="180"/>
      <c r="Y99" s="180"/>
      <c r="Z99" s="180"/>
      <c r="AA99" s="180"/>
      <c r="AB99" s="180"/>
      <c r="AC99" s="180"/>
      <c r="AD99" s="180"/>
      <c r="AE99" s="180"/>
      <c r="AF99" s="180"/>
      <c r="AG99" s="180"/>
      <c r="AH99" s="180"/>
      <c r="AI99" s="180"/>
      <c r="AJ99" s="180"/>
      <c r="AK99" s="180"/>
      <c r="AL99" s="180"/>
    </row>
    <row r="100" spans="1:38" s="175" customFormat="1" x14ac:dyDescent="0.25">
      <c r="A100" s="94">
        <f t="shared" si="10"/>
        <v>0</v>
      </c>
      <c r="B100" s="36" t="str">
        <f t="shared" si="6"/>
        <v/>
      </c>
      <c r="C100" s="24"/>
      <c r="D100" s="24"/>
      <c r="E100" s="24"/>
      <c r="F100" s="24"/>
      <c r="H100" s="187">
        <v>95</v>
      </c>
      <c r="I100" s="188" t="str">
        <f t="shared" si="7"/>
        <v/>
      </c>
      <c r="J100" s="187">
        <f t="shared" si="11"/>
        <v>-2</v>
      </c>
      <c r="K100" s="187">
        <f t="shared" si="8"/>
        <v>-20</v>
      </c>
      <c r="L100" s="187"/>
      <c r="M100" s="189">
        <f t="shared" si="9"/>
        <v>0</v>
      </c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  <c r="AF100" s="180"/>
      <c r="AG100" s="180"/>
      <c r="AH100" s="180"/>
      <c r="AI100" s="180"/>
      <c r="AJ100" s="180"/>
      <c r="AK100" s="180"/>
      <c r="AL100" s="180"/>
    </row>
    <row r="101" spans="1:38" s="175" customFormat="1" x14ac:dyDescent="0.25">
      <c r="A101" s="98">
        <f t="shared" si="10"/>
        <v>0</v>
      </c>
      <c r="B101" s="35" t="str">
        <f t="shared" si="6"/>
        <v/>
      </c>
      <c r="C101" s="25"/>
      <c r="D101" s="25"/>
      <c r="E101" s="25"/>
      <c r="F101" s="25"/>
      <c r="H101" s="190">
        <v>96</v>
      </c>
      <c r="I101" s="191" t="str">
        <f t="shared" si="7"/>
        <v/>
      </c>
      <c r="J101" s="190">
        <f t="shared" si="11"/>
        <v>-2</v>
      </c>
      <c r="K101" s="190">
        <f t="shared" si="8"/>
        <v>-20</v>
      </c>
      <c r="L101" s="190"/>
      <c r="M101" s="192">
        <f t="shared" si="9"/>
        <v>0</v>
      </c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  <c r="AC101" s="180"/>
      <c r="AD101" s="180"/>
      <c r="AE101" s="180"/>
      <c r="AF101" s="180"/>
      <c r="AG101" s="180"/>
      <c r="AH101" s="180"/>
      <c r="AI101" s="180"/>
      <c r="AJ101" s="180"/>
      <c r="AK101" s="180"/>
      <c r="AL101" s="180"/>
    </row>
    <row r="102" spans="1:38" s="175" customFormat="1" x14ac:dyDescent="0.25">
      <c r="A102" s="94">
        <f t="shared" si="10"/>
        <v>0</v>
      </c>
      <c r="B102" s="36" t="str">
        <f t="shared" si="6"/>
        <v/>
      </c>
      <c r="C102" s="24"/>
      <c r="D102" s="24"/>
      <c r="E102" s="24"/>
      <c r="F102" s="24"/>
      <c r="H102" s="187">
        <v>97</v>
      </c>
      <c r="I102" s="188" t="str">
        <f t="shared" si="7"/>
        <v/>
      </c>
      <c r="J102" s="187">
        <f t="shared" si="11"/>
        <v>-2</v>
      </c>
      <c r="K102" s="187">
        <f t="shared" si="8"/>
        <v>-20</v>
      </c>
      <c r="L102" s="187"/>
      <c r="M102" s="189">
        <f t="shared" si="9"/>
        <v>0</v>
      </c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  <c r="AF102" s="180"/>
      <c r="AG102" s="180"/>
      <c r="AH102" s="180"/>
      <c r="AI102" s="180"/>
      <c r="AJ102" s="180"/>
      <c r="AK102" s="180"/>
      <c r="AL102" s="180"/>
    </row>
    <row r="103" spans="1:38" s="175" customFormat="1" x14ac:dyDescent="0.25">
      <c r="A103" s="98">
        <f t="shared" si="10"/>
        <v>0</v>
      </c>
      <c r="B103" s="35" t="str">
        <f t="shared" si="6"/>
        <v/>
      </c>
      <c r="C103" s="25"/>
      <c r="D103" s="25"/>
      <c r="E103" s="25"/>
      <c r="F103" s="25"/>
      <c r="H103" s="190">
        <v>98</v>
      </c>
      <c r="I103" s="191" t="str">
        <f t="shared" si="7"/>
        <v/>
      </c>
      <c r="J103" s="190">
        <f t="shared" si="11"/>
        <v>-2</v>
      </c>
      <c r="K103" s="190">
        <f t="shared" si="8"/>
        <v>-20</v>
      </c>
      <c r="L103" s="190"/>
      <c r="M103" s="192">
        <f t="shared" si="9"/>
        <v>0</v>
      </c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80"/>
      <c r="AE103" s="180"/>
      <c r="AF103" s="180"/>
      <c r="AG103" s="180"/>
      <c r="AH103" s="180"/>
      <c r="AI103" s="180"/>
      <c r="AJ103" s="180"/>
      <c r="AK103" s="180"/>
      <c r="AL103" s="180"/>
    </row>
    <row r="104" spans="1:38" s="175" customFormat="1" x14ac:dyDescent="0.25">
      <c r="A104" s="94">
        <f t="shared" si="10"/>
        <v>0</v>
      </c>
      <c r="B104" s="36" t="str">
        <f t="shared" si="6"/>
        <v/>
      </c>
      <c r="C104" s="24"/>
      <c r="D104" s="24"/>
      <c r="E104" s="24"/>
      <c r="F104" s="24"/>
      <c r="H104" s="187">
        <v>99</v>
      </c>
      <c r="I104" s="188" t="str">
        <f t="shared" si="7"/>
        <v/>
      </c>
      <c r="J104" s="187">
        <f t="shared" si="11"/>
        <v>-2</v>
      </c>
      <c r="K104" s="187">
        <f t="shared" si="8"/>
        <v>-20</v>
      </c>
      <c r="L104" s="187"/>
      <c r="M104" s="189">
        <f t="shared" si="9"/>
        <v>0</v>
      </c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  <c r="AC104" s="180"/>
      <c r="AD104" s="180"/>
      <c r="AE104" s="180"/>
      <c r="AF104" s="180"/>
      <c r="AG104" s="180"/>
      <c r="AH104" s="180"/>
      <c r="AI104" s="180"/>
      <c r="AJ104" s="180"/>
      <c r="AK104" s="180"/>
      <c r="AL104" s="180"/>
    </row>
    <row r="105" spans="1:38" s="175" customFormat="1" x14ac:dyDescent="0.25">
      <c r="A105" s="98">
        <f t="shared" si="10"/>
        <v>0</v>
      </c>
      <c r="B105" s="35" t="str">
        <f t="shared" si="6"/>
        <v/>
      </c>
      <c r="C105" s="25"/>
      <c r="D105" s="25"/>
      <c r="E105" s="25"/>
      <c r="F105" s="25"/>
      <c r="H105" s="190">
        <v>100</v>
      </c>
      <c r="I105" s="191" t="str">
        <f t="shared" si="7"/>
        <v/>
      </c>
      <c r="J105" s="190">
        <f t="shared" si="11"/>
        <v>-2</v>
      </c>
      <c r="K105" s="190">
        <f t="shared" si="8"/>
        <v>-20</v>
      </c>
      <c r="L105" s="190"/>
      <c r="M105" s="192">
        <f t="shared" si="9"/>
        <v>0</v>
      </c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  <c r="AC105" s="180"/>
      <c r="AD105" s="180"/>
      <c r="AE105" s="180"/>
      <c r="AF105" s="180"/>
      <c r="AG105" s="180"/>
      <c r="AH105" s="180"/>
      <c r="AI105" s="180"/>
      <c r="AJ105" s="180"/>
      <c r="AK105" s="180"/>
      <c r="AL105" s="180"/>
    </row>
    <row r="106" spans="1:38" s="175" customFormat="1" x14ac:dyDescent="0.25">
      <c r="A106" s="94">
        <f t="shared" si="10"/>
        <v>0</v>
      </c>
      <c r="B106" s="36" t="str">
        <f t="shared" si="6"/>
        <v/>
      </c>
      <c r="C106" s="24"/>
      <c r="D106" s="24"/>
      <c r="E106" s="24"/>
      <c r="F106" s="24"/>
      <c r="H106" s="187">
        <v>101</v>
      </c>
      <c r="I106" s="188" t="str">
        <f t="shared" si="7"/>
        <v/>
      </c>
      <c r="J106" s="187">
        <f t="shared" si="11"/>
        <v>-2</v>
      </c>
      <c r="K106" s="187">
        <f t="shared" si="8"/>
        <v>-20</v>
      </c>
      <c r="L106" s="187"/>
      <c r="M106" s="189">
        <f t="shared" si="9"/>
        <v>0</v>
      </c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  <c r="AC106" s="180"/>
      <c r="AD106" s="180"/>
      <c r="AE106" s="180"/>
      <c r="AF106" s="180"/>
      <c r="AG106" s="180"/>
      <c r="AH106" s="180"/>
      <c r="AI106" s="180"/>
      <c r="AJ106" s="180"/>
      <c r="AK106" s="180"/>
      <c r="AL106" s="180"/>
    </row>
    <row r="107" spans="1:38" s="175" customFormat="1" x14ac:dyDescent="0.25">
      <c r="A107" s="98">
        <f t="shared" si="10"/>
        <v>0</v>
      </c>
      <c r="B107" s="35" t="str">
        <f t="shared" si="6"/>
        <v/>
      </c>
      <c r="C107" s="25"/>
      <c r="D107" s="25"/>
      <c r="E107" s="25"/>
      <c r="F107" s="25"/>
      <c r="H107" s="190">
        <v>102</v>
      </c>
      <c r="I107" s="191" t="str">
        <f t="shared" si="7"/>
        <v/>
      </c>
      <c r="J107" s="190">
        <f t="shared" si="11"/>
        <v>-2</v>
      </c>
      <c r="K107" s="190">
        <f t="shared" si="8"/>
        <v>-20</v>
      </c>
      <c r="L107" s="190"/>
      <c r="M107" s="192">
        <f t="shared" si="9"/>
        <v>0</v>
      </c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  <c r="AC107" s="180"/>
      <c r="AD107" s="180"/>
      <c r="AE107" s="180"/>
      <c r="AF107" s="180"/>
      <c r="AG107" s="180"/>
      <c r="AH107" s="180"/>
      <c r="AI107" s="180"/>
      <c r="AJ107" s="180"/>
      <c r="AK107" s="180"/>
      <c r="AL107" s="180"/>
    </row>
    <row r="108" spans="1:38" s="175" customFormat="1" x14ac:dyDescent="0.25">
      <c r="A108" s="94">
        <f t="shared" si="10"/>
        <v>0</v>
      </c>
      <c r="B108" s="36" t="str">
        <f t="shared" si="6"/>
        <v/>
      </c>
      <c r="C108" s="24"/>
      <c r="D108" s="24"/>
      <c r="E108" s="24"/>
      <c r="F108" s="24"/>
      <c r="H108" s="187">
        <v>103</v>
      </c>
      <c r="I108" s="188" t="str">
        <f t="shared" si="7"/>
        <v/>
      </c>
      <c r="J108" s="187">
        <f t="shared" si="11"/>
        <v>-2</v>
      </c>
      <c r="K108" s="187">
        <f t="shared" si="8"/>
        <v>-20</v>
      </c>
      <c r="L108" s="187"/>
      <c r="M108" s="189">
        <f t="shared" si="9"/>
        <v>0</v>
      </c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  <c r="AD108" s="180"/>
      <c r="AE108" s="180"/>
      <c r="AF108" s="180"/>
      <c r="AG108" s="180"/>
      <c r="AH108" s="180"/>
      <c r="AI108" s="180"/>
      <c r="AJ108" s="180"/>
      <c r="AK108" s="180"/>
      <c r="AL108" s="180"/>
    </row>
    <row r="109" spans="1:38" s="175" customFormat="1" x14ac:dyDescent="0.25">
      <c r="A109" s="98">
        <f t="shared" si="10"/>
        <v>0</v>
      </c>
      <c r="B109" s="35" t="str">
        <f t="shared" si="6"/>
        <v/>
      </c>
      <c r="C109" s="25"/>
      <c r="D109" s="25"/>
      <c r="E109" s="25"/>
      <c r="F109" s="25"/>
      <c r="H109" s="190">
        <v>104</v>
      </c>
      <c r="I109" s="191" t="str">
        <f t="shared" si="7"/>
        <v/>
      </c>
      <c r="J109" s="190">
        <f t="shared" si="11"/>
        <v>-2</v>
      </c>
      <c r="K109" s="190">
        <f t="shared" si="8"/>
        <v>-20</v>
      </c>
      <c r="L109" s="190"/>
      <c r="M109" s="192">
        <f t="shared" si="9"/>
        <v>0</v>
      </c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  <c r="AC109" s="180"/>
      <c r="AD109" s="180"/>
      <c r="AE109" s="180"/>
      <c r="AF109" s="180"/>
      <c r="AG109" s="180"/>
      <c r="AH109" s="180"/>
      <c r="AI109" s="180"/>
      <c r="AJ109" s="180"/>
      <c r="AK109" s="180"/>
      <c r="AL109" s="180"/>
    </row>
    <row r="110" spans="1:38" s="175" customFormat="1" x14ac:dyDescent="0.25">
      <c r="A110" s="94">
        <f t="shared" si="10"/>
        <v>0</v>
      </c>
      <c r="B110" s="36" t="str">
        <f t="shared" si="6"/>
        <v/>
      </c>
      <c r="C110" s="24"/>
      <c r="D110" s="24"/>
      <c r="E110" s="24"/>
      <c r="F110" s="24"/>
      <c r="H110" s="187">
        <v>105</v>
      </c>
      <c r="I110" s="188" t="str">
        <f t="shared" si="7"/>
        <v/>
      </c>
      <c r="J110" s="187">
        <f t="shared" si="11"/>
        <v>-2</v>
      </c>
      <c r="K110" s="187">
        <f t="shared" si="8"/>
        <v>-20</v>
      </c>
      <c r="L110" s="187"/>
      <c r="M110" s="189">
        <f t="shared" si="9"/>
        <v>0</v>
      </c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  <c r="AD110" s="180"/>
      <c r="AE110" s="180"/>
      <c r="AF110" s="180"/>
      <c r="AG110" s="180"/>
      <c r="AH110" s="180"/>
      <c r="AI110" s="180"/>
      <c r="AJ110" s="180"/>
      <c r="AK110" s="180"/>
      <c r="AL110" s="180"/>
    </row>
    <row r="111" spans="1:38" s="175" customFormat="1" x14ac:dyDescent="0.25">
      <c r="A111" s="98">
        <f t="shared" si="10"/>
        <v>0</v>
      </c>
      <c r="B111" s="35" t="str">
        <f t="shared" si="6"/>
        <v/>
      </c>
      <c r="C111" s="25"/>
      <c r="D111" s="25"/>
      <c r="E111" s="25"/>
      <c r="F111" s="25"/>
      <c r="H111" s="190">
        <v>106</v>
      </c>
      <c r="I111" s="191" t="str">
        <f t="shared" si="7"/>
        <v/>
      </c>
      <c r="J111" s="190">
        <f t="shared" si="11"/>
        <v>-2</v>
      </c>
      <c r="K111" s="190">
        <f t="shared" si="8"/>
        <v>-20</v>
      </c>
      <c r="L111" s="190"/>
      <c r="M111" s="192">
        <f t="shared" si="9"/>
        <v>0</v>
      </c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  <c r="AF111" s="180"/>
      <c r="AG111" s="180"/>
      <c r="AH111" s="180"/>
      <c r="AI111" s="180"/>
      <c r="AJ111" s="180"/>
      <c r="AK111" s="180"/>
      <c r="AL111" s="180"/>
    </row>
    <row r="112" spans="1:38" s="175" customFormat="1" x14ac:dyDescent="0.25">
      <c r="A112" s="94">
        <f t="shared" si="10"/>
        <v>0</v>
      </c>
      <c r="B112" s="36" t="str">
        <f t="shared" si="6"/>
        <v/>
      </c>
      <c r="C112" s="24"/>
      <c r="D112" s="24"/>
      <c r="E112" s="24"/>
      <c r="F112" s="24"/>
      <c r="H112" s="187">
        <v>107</v>
      </c>
      <c r="I112" s="188" t="str">
        <f t="shared" si="7"/>
        <v/>
      </c>
      <c r="J112" s="187">
        <f t="shared" si="11"/>
        <v>-2</v>
      </c>
      <c r="K112" s="187">
        <f t="shared" si="8"/>
        <v>-20</v>
      </c>
      <c r="L112" s="187"/>
      <c r="M112" s="189">
        <f t="shared" si="9"/>
        <v>0</v>
      </c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  <c r="AC112" s="180"/>
      <c r="AD112" s="180"/>
      <c r="AE112" s="180"/>
      <c r="AF112" s="180"/>
      <c r="AG112" s="180"/>
      <c r="AH112" s="180"/>
      <c r="AI112" s="180"/>
      <c r="AJ112" s="180"/>
      <c r="AK112" s="180"/>
      <c r="AL112" s="180"/>
    </row>
    <row r="113" spans="1:38" s="175" customFormat="1" x14ac:dyDescent="0.25">
      <c r="A113" s="98">
        <f t="shared" si="10"/>
        <v>0</v>
      </c>
      <c r="B113" s="35" t="str">
        <f t="shared" si="6"/>
        <v/>
      </c>
      <c r="C113" s="25"/>
      <c r="D113" s="25"/>
      <c r="E113" s="25"/>
      <c r="F113" s="25"/>
      <c r="H113" s="190">
        <v>108</v>
      </c>
      <c r="I113" s="191" t="str">
        <f t="shared" si="7"/>
        <v/>
      </c>
      <c r="J113" s="190">
        <f t="shared" si="11"/>
        <v>-2</v>
      </c>
      <c r="K113" s="190">
        <f t="shared" si="8"/>
        <v>-20</v>
      </c>
      <c r="L113" s="190"/>
      <c r="M113" s="192">
        <f t="shared" si="9"/>
        <v>0</v>
      </c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  <c r="AC113" s="180"/>
      <c r="AD113" s="180"/>
      <c r="AE113" s="180"/>
      <c r="AF113" s="180"/>
      <c r="AG113" s="180"/>
      <c r="AH113" s="180"/>
      <c r="AI113" s="180"/>
      <c r="AJ113" s="180"/>
      <c r="AK113" s="180"/>
      <c r="AL113" s="180"/>
    </row>
    <row r="114" spans="1:38" s="175" customFormat="1" x14ac:dyDescent="0.25">
      <c r="A114" s="94">
        <f t="shared" si="10"/>
        <v>0</v>
      </c>
      <c r="B114" s="36" t="str">
        <f t="shared" si="6"/>
        <v/>
      </c>
      <c r="C114" s="24"/>
      <c r="D114" s="24"/>
      <c r="E114" s="24"/>
      <c r="F114" s="24"/>
      <c r="H114" s="187">
        <v>109</v>
      </c>
      <c r="I114" s="188" t="str">
        <f t="shared" si="7"/>
        <v/>
      </c>
      <c r="J114" s="187">
        <f t="shared" si="11"/>
        <v>-2</v>
      </c>
      <c r="K114" s="187">
        <f t="shared" si="8"/>
        <v>-20</v>
      </c>
      <c r="L114" s="187"/>
      <c r="M114" s="189">
        <f t="shared" si="9"/>
        <v>0</v>
      </c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  <c r="AC114" s="180"/>
      <c r="AD114" s="180"/>
      <c r="AE114" s="180"/>
      <c r="AF114" s="180"/>
      <c r="AG114" s="180"/>
      <c r="AH114" s="180"/>
      <c r="AI114" s="180"/>
      <c r="AJ114" s="180"/>
      <c r="AK114" s="180"/>
      <c r="AL114" s="180"/>
    </row>
    <row r="115" spans="1:38" s="175" customFormat="1" x14ac:dyDescent="0.25">
      <c r="A115" s="98">
        <f t="shared" si="10"/>
        <v>0</v>
      </c>
      <c r="B115" s="35" t="str">
        <f t="shared" si="6"/>
        <v/>
      </c>
      <c r="C115" s="25"/>
      <c r="D115" s="25"/>
      <c r="E115" s="25"/>
      <c r="F115" s="25"/>
      <c r="H115" s="190">
        <v>110</v>
      </c>
      <c r="I115" s="191" t="str">
        <f t="shared" si="7"/>
        <v/>
      </c>
      <c r="J115" s="190">
        <f t="shared" si="11"/>
        <v>-2</v>
      </c>
      <c r="K115" s="190">
        <f t="shared" si="8"/>
        <v>-20</v>
      </c>
      <c r="L115" s="190"/>
      <c r="M115" s="192">
        <f t="shared" si="9"/>
        <v>0</v>
      </c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180"/>
      <c r="AF115" s="180"/>
      <c r="AG115" s="180"/>
      <c r="AH115" s="180"/>
      <c r="AI115" s="180"/>
      <c r="AJ115" s="180"/>
      <c r="AK115" s="180"/>
      <c r="AL115" s="180"/>
    </row>
    <row r="116" spans="1:38" s="175" customFormat="1" x14ac:dyDescent="0.25">
      <c r="A116" s="94">
        <f t="shared" si="10"/>
        <v>0</v>
      </c>
      <c r="B116" s="36" t="str">
        <f t="shared" si="6"/>
        <v/>
      </c>
      <c r="C116" s="24"/>
      <c r="D116" s="24"/>
      <c r="E116" s="24"/>
      <c r="F116" s="24"/>
      <c r="H116" s="187">
        <v>111</v>
      </c>
      <c r="I116" s="188" t="str">
        <f t="shared" si="7"/>
        <v/>
      </c>
      <c r="J116" s="187">
        <f t="shared" si="11"/>
        <v>-2</v>
      </c>
      <c r="K116" s="187">
        <f t="shared" si="8"/>
        <v>-20</v>
      </c>
      <c r="L116" s="187"/>
      <c r="M116" s="189">
        <f t="shared" si="9"/>
        <v>0</v>
      </c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  <c r="AC116" s="180"/>
      <c r="AD116" s="180"/>
      <c r="AE116" s="180"/>
      <c r="AF116" s="180"/>
      <c r="AG116" s="180"/>
      <c r="AH116" s="180"/>
      <c r="AI116" s="180"/>
      <c r="AJ116" s="180"/>
      <c r="AK116" s="180"/>
      <c r="AL116" s="180"/>
    </row>
    <row r="117" spans="1:38" s="175" customFormat="1" x14ac:dyDescent="0.25">
      <c r="A117" s="98">
        <f t="shared" si="10"/>
        <v>0</v>
      </c>
      <c r="B117" s="35" t="str">
        <f t="shared" si="6"/>
        <v/>
      </c>
      <c r="C117" s="25"/>
      <c r="D117" s="25"/>
      <c r="E117" s="25"/>
      <c r="F117" s="25"/>
      <c r="H117" s="190">
        <v>112</v>
      </c>
      <c r="I117" s="191" t="str">
        <f t="shared" si="7"/>
        <v/>
      </c>
      <c r="J117" s="190">
        <f t="shared" si="11"/>
        <v>-2</v>
      </c>
      <c r="K117" s="190">
        <f t="shared" si="8"/>
        <v>-20</v>
      </c>
      <c r="L117" s="190"/>
      <c r="M117" s="192">
        <f t="shared" si="9"/>
        <v>0</v>
      </c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  <c r="AC117" s="180"/>
      <c r="AD117" s="180"/>
      <c r="AE117" s="180"/>
      <c r="AF117" s="180"/>
      <c r="AG117" s="180"/>
      <c r="AH117" s="180"/>
      <c r="AI117" s="180"/>
      <c r="AJ117" s="180"/>
      <c r="AK117" s="180"/>
      <c r="AL117" s="180"/>
    </row>
    <row r="118" spans="1:38" s="175" customFormat="1" x14ac:dyDescent="0.25">
      <c r="A118" s="94">
        <f t="shared" si="10"/>
        <v>0</v>
      </c>
      <c r="B118" s="36" t="str">
        <f t="shared" si="6"/>
        <v/>
      </c>
      <c r="C118" s="24"/>
      <c r="D118" s="24"/>
      <c r="E118" s="24"/>
      <c r="F118" s="24"/>
      <c r="H118" s="187">
        <v>113</v>
      </c>
      <c r="I118" s="188" t="str">
        <f t="shared" si="7"/>
        <v/>
      </c>
      <c r="J118" s="187">
        <f t="shared" si="11"/>
        <v>-2</v>
      </c>
      <c r="K118" s="187">
        <f t="shared" si="8"/>
        <v>-20</v>
      </c>
      <c r="L118" s="187"/>
      <c r="M118" s="189">
        <f t="shared" si="9"/>
        <v>0</v>
      </c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  <c r="AC118" s="180"/>
      <c r="AD118" s="180"/>
      <c r="AE118" s="180"/>
      <c r="AF118" s="180"/>
      <c r="AG118" s="180"/>
      <c r="AH118" s="180"/>
      <c r="AI118" s="180"/>
      <c r="AJ118" s="180"/>
      <c r="AK118" s="180"/>
      <c r="AL118" s="180"/>
    </row>
    <row r="119" spans="1:38" s="175" customFormat="1" x14ac:dyDescent="0.25">
      <c r="A119" s="98">
        <f t="shared" si="10"/>
        <v>0</v>
      </c>
      <c r="B119" s="35" t="str">
        <f t="shared" si="6"/>
        <v/>
      </c>
      <c r="C119" s="25"/>
      <c r="D119" s="25"/>
      <c r="E119" s="25"/>
      <c r="F119" s="25"/>
      <c r="H119" s="190">
        <v>114</v>
      </c>
      <c r="I119" s="191" t="str">
        <f t="shared" si="7"/>
        <v/>
      </c>
      <c r="J119" s="190">
        <f t="shared" si="11"/>
        <v>-2</v>
      </c>
      <c r="K119" s="190">
        <f t="shared" si="8"/>
        <v>-20</v>
      </c>
      <c r="L119" s="190"/>
      <c r="M119" s="192">
        <f t="shared" si="9"/>
        <v>0</v>
      </c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  <c r="AC119" s="180"/>
      <c r="AD119" s="180"/>
      <c r="AE119" s="180"/>
      <c r="AF119" s="180"/>
      <c r="AG119" s="180"/>
      <c r="AH119" s="180"/>
      <c r="AI119" s="180"/>
      <c r="AJ119" s="180"/>
      <c r="AK119" s="180"/>
      <c r="AL119" s="180"/>
    </row>
    <row r="120" spans="1:38" s="175" customFormat="1" x14ac:dyDescent="0.25">
      <c r="A120" s="94">
        <f t="shared" si="10"/>
        <v>0</v>
      </c>
      <c r="B120" s="36" t="str">
        <f t="shared" si="6"/>
        <v/>
      </c>
      <c r="C120" s="24"/>
      <c r="D120" s="24"/>
      <c r="E120" s="24"/>
      <c r="F120" s="24"/>
      <c r="H120" s="187">
        <v>115</v>
      </c>
      <c r="I120" s="188" t="str">
        <f t="shared" si="7"/>
        <v/>
      </c>
      <c r="J120" s="187">
        <f t="shared" si="11"/>
        <v>-2</v>
      </c>
      <c r="K120" s="187">
        <f t="shared" si="8"/>
        <v>-20</v>
      </c>
      <c r="L120" s="187"/>
      <c r="M120" s="189">
        <f t="shared" si="9"/>
        <v>0</v>
      </c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  <c r="AC120" s="180"/>
      <c r="AD120" s="180"/>
      <c r="AE120" s="180"/>
      <c r="AF120" s="180"/>
      <c r="AG120" s="180"/>
      <c r="AH120" s="180"/>
      <c r="AI120" s="180"/>
      <c r="AJ120" s="180"/>
      <c r="AK120" s="180"/>
      <c r="AL120" s="180"/>
    </row>
    <row r="121" spans="1:38" s="175" customFormat="1" x14ac:dyDescent="0.25">
      <c r="A121" s="98">
        <f t="shared" si="10"/>
        <v>0</v>
      </c>
      <c r="B121" s="35" t="str">
        <f t="shared" si="6"/>
        <v/>
      </c>
      <c r="C121" s="25"/>
      <c r="D121" s="25"/>
      <c r="E121" s="25"/>
      <c r="F121" s="25"/>
      <c r="H121" s="190">
        <v>116</v>
      </c>
      <c r="I121" s="191" t="str">
        <f t="shared" si="7"/>
        <v/>
      </c>
      <c r="J121" s="190">
        <f t="shared" si="11"/>
        <v>-2</v>
      </c>
      <c r="K121" s="190">
        <f t="shared" si="8"/>
        <v>-20</v>
      </c>
      <c r="L121" s="190"/>
      <c r="M121" s="192">
        <f t="shared" si="9"/>
        <v>0</v>
      </c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  <c r="AC121" s="180"/>
      <c r="AD121" s="180"/>
      <c r="AE121" s="180"/>
      <c r="AF121" s="180"/>
      <c r="AG121" s="180"/>
      <c r="AH121" s="180"/>
      <c r="AI121" s="180"/>
      <c r="AJ121" s="180"/>
      <c r="AK121" s="180"/>
      <c r="AL121" s="180"/>
    </row>
    <row r="122" spans="1:38" s="175" customFormat="1" x14ac:dyDescent="0.25">
      <c r="A122" s="94">
        <f t="shared" si="10"/>
        <v>0</v>
      </c>
      <c r="B122" s="36" t="str">
        <f t="shared" si="6"/>
        <v/>
      </c>
      <c r="C122" s="24"/>
      <c r="D122" s="24"/>
      <c r="E122" s="24"/>
      <c r="F122" s="24"/>
      <c r="H122" s="187">
        <v>117</v>
      </c>
      <c r="I122" s="188" t="str">
        <f t="shared" si="7"/>
        <v/>
      </c>
      <c r="J122" s="187">
        <f t="shared" si="11"/>
        <v>-2</v>
      </c>
      <c r="K122" s="187">
        <f t="shared" si="8"/>
        <v>-20</v>
      </c>
      <c r="L122" s="187"/>
      <c r="M122" s="189">
        <f t="shared" si="9"/>
        <v>0</v>
      </c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  <c r="AC122" s="180"/>
      <c r="AD122" s="180"/>
      <c r="AE122" s="180"/>
      <c r="AF122" s="180"/>
      <c r="AG122" s="180"/>
      <c r="AH122" s="180"/>
      <c r="AI122" s="180"/>
      <c r="AJ122" s="180"/>
      <c r="AK122" s="180"/>
      <c r="AL122" s="180"/>
    </row>
    <row r="123" spans="1:38" s="175" customFormat="1" x14ac:dyDescent="0.25">
      <c r="A123" s="98">
        <f t="shared" si="10"/>
        <v>0</v>
      </c>
      <c r="B123" s="35" t="str">
        <f t="shared" si="6"/>
        <v/>
      </c>
      <c r="C123" s="25"/>
      <c r="D123" s="25"/>
      <c r="E123" s="25"/>
      <c r="F123" s="25"/>
      <c r="H123" s="190">
        <v>118</v>
      </c>
      <c r="I123" s="191" t="str">
        <f t="shared" si="7"/>
        <v/>
      </c>
      <c r="J123" s="190">
        <f t="shared" si="11"/>
        <v>-2</v>
      </c>
      <c r="K123" s="190">
        <f t="shared" si="8"/>
        <v>-20</v>
      </c>
      <c r="L123" s="190"/>
      <c r="M123" s="192">
        <f t="shared" si="9"/>
        <v>0</v>
      </c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  <c r="AC123" s="180"/>
      <c r="AD123" s="180"/>
      <c r="AE123" s="180"/>
      <c r="AF123" s="180"/>
      <c r="AG123" s="180"/>
      <c r="AH123" s="180"/>
      <c r="AI123" s="180"/>
      <c r="AJ123" s="180"/>
      <c r="AK123" s="180"/>
      <c r="AL123" s="180"/>
    </row>
    <row r="124" spans="1:38" s="175" customFormat="1" x14ac:dyDescent="0.25">
      <c r="A124" s="94">
        <f t="shared" si="10"/>
        <v>0</v>
      </c>
      <c r="B124" s="36" t="str">
        <f t="shared" si="6"/>
        <v/>
      </c>
      <c r="C124" s="24"/>
      <c r="D124" s="24"/>
      <c r="E124" s="24"/>
      <c r="F124" s="24"/>
      <c r="H124" s="187">
        <v>119</v>
      </c>
      <c r="I124" s="188" t="str">
        <f t="shared" si="7"/>
        <v/>
      </c>
      <c r="J124" s="187">
        <f t="shared" si="11"/>
        <v>-2</v>
      </c>
      <c r="K124" s="187">
        <f t="shared" si="8"/>
        <v>-20</v>
      </c>
      <c r="L124" s="187"/>
      <c r="M124" s="189">
        <f t="shared" si="9"/>
        <v>0</v>
      </c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  <c r="AC124" s="180"/>
      <c r="AD124" s="180"/>
      <c r="AE124" s="180"/>
      <c r="AF124" s="180"/>
      <c r="AG124" s="180"/>
      <c r="AH124" s="180"/>
      <c r="AI124" s="180"/>
      <c r="AJ124" s="180"/>
      <c r="AK124" s="180"/>
      <c r="AL124" s="180"/>
    </row>
    <row r="125" spans="1:38" s="175" customFormat="1" x14ac:dyDescent="0.25">
      <c r="A125" s="98">
        <f t="shared" si="10"/>
        <v>0</v>
      </c>
      <c r="B125" s="35" t="str">
        <f t="shared" si="6"/>
        <v/>
      </c>
      <c r="C125" s="25"/>
      <c r="D125" s="25"/>
      <c r="E125" s="25"/>
      <c r="F125" s="25"/>
      <c r="H125" s="190">
        <v>120</v>
      </c>
      <c r="I125" s="191" t="str">
        <f t="shared" si="7"/>
        <v/>
      </c>
      <c r="J125" s="190">
        <f t="shared" si="11"/>
        <v>-2</v>
      </c>
      <c r="K125" s="190">
        <f t="shared" si="8"/>
        <v>-20</v>
      </c>
      <c r="L125" s="190"/>
      <c r="M125" s="192">
        <f t="shared" si="9"/>
        <v>0</v>
      </c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  <c r="AC125" s="180"/>
      <c r="AD125" s="180"/>
      <c r="AE125" s="180"/>
      <c r="AF125" s="180"/>
      <c r="AG125" s="180"/>
      <c r="AH125" s="180"/>
      <c r="AI125" s="180"/>
      <c r="AJ125" s="180"/>
      <c r="AK125" s="180"/>
      <c r="AL125" s="180"/>
    </row>
    <row r="126" spans="1:38" s="175" customFormat="1" x14ac:dyDescent="0.25">
      <c r="A126" s="94">
        <f t="shared" si="10"/>
        <v>0</v>
      </c>
      <c r="B126" s="36" t="str">
        <f t="shared" si="6"/>
        <v/>
      </c>
      <c r="C126" s="24"/>
      <c r="D126" s="24"/>
      <c r="E126" s="24"/>
      <c r="F126" s="24"/>
      <c r="H126" s="187">
        <v>121</v>
      </c>
      <c r="I126" s="188" t="str">
        <f t="shared" si="7"/>
        <v/>
      </c>
      <c r="J126" s="187">
        <f t="shared" si="11"/>
        <v>-2</v>
      </c>
      <c r="K126" s="187">
        <f t="shared" si="8"/>
        <v>-20</v>
      </c>
      <c r="L126" s="187"/>
      <c r="M126" s="189">
        <f t="shared" si="9"/>
        <v>0</v>
      </c>
      <c r="S126" s="180"/>
      <c r="T126" s="180"/>
      <c r="U126" s="180"/>
      <c r="V126" s="180"/>
      <c r="W126" s="180"/>
      <c r="X126" s="180"/>
      <c r="Y126" s="180"/>
      <c r="Z126" s="180"/>
      <c r="AA126" s="180"/>
      <c r="AB126" s="180"/>
      <c r="AC126" s="180"/>
      <c r="AD126" s="180"/>
      <c r="AE126" s="180"/>
      <c r="AF126" s="180"/>
      <c r="AG126" s="180"/>
      <c r="AH126" s="180"/>
      <c r="AI126" s="180"/>
      <c r="AJ126" s="180"/>
      <c r="AK126" s="180"/>
      <c r="AL126" s="180"/>
    </row>
    <row r="127" spans="1:38" s="175" customFormat="1" x14ac:dyDescent="0.25">
      <c r="A127" s="98">
        <f t="shared" si="10"/>
        <v>0</v>
      </c>
      <c r="B127" s="35" t="str">
        <f t="shared" si="6"/>
        <v/>
      </c>
      <c r="C127" s="25"/>
      <c r="D127" s="25"/>
      <c r="E127" s="25"/>
      <c r="F127" s="25"/>
      <c r="H127" s="190">
        <v>122</v>
      </c>
      <c r="I127" s="191" t="str">
        <f t="shared" si="7"/>
        <v/>
      </c>
      <c r="J127" s="190">
        <f t="shared" si="11"/>
        <v>-2</v>
      </c>
      <c r="K127" s="190">
        <f t="shared" si="8"/>
        <v>-20</v>
      </c>
      <c r="L127" s="190"/>
      <c r="M127" s="192">
        <f t="shared" si="9"/>
        <v>0</v>
      </c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  <c r="AC127" s="180"/>
      <c r="AD127" s="180"/>
      <c r="AE127" s="180"/>
      <c r="AF127" s="180"/>
      <c r="AG127" s="180"/>
      <c r="AH127" s="180"/>
      <c r="AI127" s="180"/>
      <c r="AJ127" s="180"/>
      <c r="AK127" s="180"/>
      <c r="AL127" s="180"/>
    </row>
    <row r="128" spans="1:38" s="175" customFormat="1" x14ac:dyDescent="0.25">
      <c r="A128" s="94">
        <f t="shared" si="10"/>
        <v>0</v>
      </c>
      <c r="B128" s="36" t="str">
        <f t="shared" si="6"/>
        <v/>
      </c>
      <c r="C128" s="24"/>
      <c r="D128" s="24"/>
      <c r="E128" s="24"/>
      <c r="F128" s="24"/>
      <c r="H128" s="187">
        <v>123</v>
      </c>
      <c r="I128" s="188" t="str">
        <f t="shared" si="7"/>
        <v/>
      </c>
      <c r="J128" s="187">
        <f t="shared" si="11"/>
        <v>-2</v>
      </c>
      <c r="K128" s="187">
        <f t="shared" si="8"/>
        <v>-20</v>
      </c>
      <c r="L128" s="187"/>
      <c r="M128" s="189">
        <f t="shared" si="9"/>
        <v>0</v>
      </c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  <c r="AC128" s="180"/>
      <c r="AD128" s="180"/>
      <c r="AE128" s="180"/>
      <c r="AF128" s="180"/>
      <c r="AG128" s="180"/>
      <c r="AH128" s="180"/>
      <c r="AI128" s="180"/>
      <c r="AJ128" s="180"/>
      <c r="AK128" s="180"/>
      <c r="AL128" s="180"/>
    </row>
    <row r="129" spans="1:38" s="175" customFormat="1" x14ac:dyDescent="0.25">
      <c r="A129" s="98">
        <f t="shared" si="10"/>
        <v>0</v>
      </c>
      <c r="B129" s="35" t="str">
        <f t="shared" si="6"/>
        <v/>
      </c>
      <c r="C129" s="25"/>
      <c r="D129" s="25"/>
      <c r="E129" s="25"/>
      <c r="F129" s="25"/>
      <c r="H129" s="190">
        <v>124</v>
      </c>
      <c r="I129" s="191" t="str">
        <f t="shared" si="7"/>
        <v/>
      </c>
      <c r="J129" s="190">
        <f t="shared" si="11"/>
        <v>-2</v>
      </c>
      <c r="K129" s="190">
        <f t="shared" si="8"/>
        <v>-20</v>
      </c>
      <c r="L129" s="190"/>
      <c r="M129" s="192">
        <f t="shared" si="9"/>
        <v>0</v>
      </c>
      <c r="S129" s="180"/>
      <c r="T129" s="180"/>
      <c r="U129" s="180"/>
      <c r="V129" s="180"/>
      <c r="W129" s="180"/>
      <c r="X129" s="180"/>
      <c r="Y129" s="180"/>
      <c r="Z129" s="180"/>
      <c r="AA129" s="180"/>
      <c r="AB129" s="180"/>
      <c r="AC129" s="180"/>
      <c r="AD129" s="180"/>
      <c r="AE129" s="180"/>
      <c r="AF129" s="180"/>
      <c r="AG129" s="180"/>
      <c r="AH129" s="180"/>
      <c r="AI129" s="180"/>
      <c r="AJ129" s="180"/>
      <c r="AK129" s="180"/>
      <c r="AL129" s="180"/>
    </row>
    <row r="130" spans="1:38" s="175" customFormat="1" x14ac:dyDescent="0.25">
      <c r="A130" s="94">
        <f t="shared" si="10"/>
        <v>0</v>
      </c>
      <c r="B130" s="36" t="str">
        <f t="shared" si="6"/>
        <v/>
      </c>
      <c r="C130" s="24"/>
      <c r="D130" s="24"/>
      <c r="E130" s="24"/>
      <c r="F130" s="24"/>
      <c r="H130" s="187">
        <v>125</v>
      </c>
      <c r="I130" s="188" t="str">
        <f t="shared" si="7"/>
        <v/>
      </c>
      <c r="J130" s="187">
        <f t="shared" si="11"/>
        <v>-2</v>
      </c>
      <c r="K130" s="187">
        <f t="shared" si="8"/>
        <v>-20</v>
      </c>
      <c r="L130" s="187"/>
      <c r="M130" s="189">
        <f t="shared" si="9"/>
        <v>0</v>
      </c>
      <c r="S130" s="180"/>
      <c r="T130" s="180"/>
      <c r="U130" s="180"/>
      <c r="V130" s="180"/>
      <c r="W130" s="180"/>
      <c r="X130" s="180"/>
      <c r="Y130" s="180"/>
      <c r="Z130" s="180"/>
      <c r="AA130" s="180"/>
      <c r="AB130" s="180"/>
      <c r="AC130" s="180"/>
      <c r="AD130" s="180"/>
      <c r="AE130" s="180"/>
      <c r="AF130" s="180"/>
      <c r="AG130" s="180"/>
      <c r="AH130" s="180"/>
      <c r="AI130" s="180"/>
      <c r="AJ130" s="180"/>
      <c r="AK130" s="180"/>
      <c r="AL130" s="180"/>
    </row>
    <row r="131" spans="1:38" s="175" customFormat="1" x14ac:dyDescent="0.25">
      <c r="A131" s="98">
        <f t="shared" si="10"/>
        <v>0</v>
      </c>
      <c r="B131" s="35" t="str">
        <f t="shared" si="6"/>
        <v/>
      </c>
      <c r="C131" s="25"/>
      <c r="D131" s="25"/>
      <c r="E131" s="25"/>
      <c r="F131" s="25"/>
      <c r="H131" s="190">
        <v>126</v>
      </c>
      <c r="I131" s="191" t="str">
        <f t="shared" si="7"/>
        <v/>
      </c>
      <c r="J131" s="190">
        <f t="shared" si="11"/>
        <v>-2</v>
      </c>
      <c r="K131" s="190">
        <f t="shared" si="8"/>
        <v>-20</v>
      </c>
      <c r="L131" s="190"/>
      <c r="M131" s="192">
        <f t="shared" si="9"/>
        <v>0</v>
      </c>
      <c r="S131" s="180"/>
      <c r="T131" s="180"/>
      <c r="U131" s="180"/>
      <c r="V131" s="180"/>
      <c r="W131" s="180"/>
      <c r="X131" s="180"/>
      <c r="Y131" s="180"/>
      <c r="Z131" s="180"/>
      <c r="AA131" s="180"/>
      <c r="AB131" s="180"/>
      <c r="AC131" s="180"/>
      <c r="AD131" s="180"/>
      <c r="AE131" s="180"/>
      <c r="AF131" s="180"/>
      <c r="AG131" s="180"/>
      <c r="AH131" s="180"/>
      <c r="AI131" s="180"/>
      <c r="AJ131" s="180"/>
      <c r="AK131" s="180"/>
      <c r="AL131" s="180"/>
    </row>
    <row r="132" spans="1:38" s="175" customFormat="1" x14ac:dyDescent="0.25">
      <c r="A132" s="94">
        <f t="shared" si="10"/>
        <v>0</v>
      </c>
      <c r="B132" s="36" t="str">
        <f t="shared" si="6"/>
        <v/>
      </c>
      <c r="C132" s="24"/>
      <c r="D132" s="24"/>
      <c r="E132" s="24"/>
      <c r="F132" s="24"/>
      <c r="H132" s="187">
        <v>127</v>
      </c>
      <c r="I132" s="188" t="str">
        <f t="shared" si="7"/>
        <v/>
      </c>
      <c r="J132" s="187">
        <f t="shared" si="11"/>
        <v>-2</v>
      </c>
      <c r="K132" s="187">
        <f t="shared" si="8"/>
        <v>-20</v>
      </c>
      <c r="L132" s="187"/>
      <c r="M132" s="189">
        <f t="shared" si="9"/>
        <v>0</v>
      </c>
      <c r="S132" s="180"/>
      <c r="T132" s="180"/>
      <c r="U132" s="180"/>
      <c r="V132" s="180"/>
      <c r="W132" s="180"/>
      <c r="X132" s="180"/>
      <c r="Y132" s="180"/>
      <c r="Z132" s="180"/>
      <c r="AA132" s="180"/>
      <c r="AB132" s="180"/>
      <c r="AC132" s="180"/>
      <c r="AD132" s="180"/>
      <c r="AE132" s="180"/>
      <c r="AF132" s="180"/>
      <c r="AG132" s="180"/>
      <c r="AH132" s="180"/>
      <c r="AI132" s="180"/>
      <c r="AJ132" s="180"/>
      <c r="AK132" s="180"/>
      <c r="AL132" s="180"/>
    </row>
    <row r="133" spans="1:38" s="175" customFormat="1" x14ac:dyDescent="0.25">
      <c r="A133" s="98">
        <f t="shared" si="10"/>
        <v>0</v>
      </c>
      <c r="B133" s="35" t="str">
        <f t="shared" si="6"/>
        <v/>
      </c>
      <c r="C133" s="25"/>
      <c r="D133" s="25"/>
      <c r="E133" s="25"/>
      <c r="F133" s="25"/>
      <c r="H133" s="190">
        <v>128</v>
      </c>
      <c r="I133" s="191" t="str">
        <f t="shared" si="7"/>
        <v/>
      </c>
      <c r="J133" s="190">
        <f t="shared" si="11"/>
        <v>-2</v>
      </c>
      <c r="K133" s="190">
        <f t="shared" si="8"/>
        <v>-20</v>
      </c>
      <c r="L133" s="190"/>
      <c r="M133" s="192">
        <f t="shared" si="9"/>
        <v>0</v>
      </c>
      <c r="S133" s="180"/>
      <c r="T133" s="180"/>
      <c r="U133" s="180"/>
      <c r="V133" s="180"/>
      <c r="W133" s="180"/>
      <c r="X133" s="180"/>
      <c r="Y133" s="180"/>
      <c r="Z133" s="180"/>
      <c r="AA133" s="180"/>
      <c r="AB133" s="180"/>
      <c r="AC133" s="180"/>
      <c r="AD133" s="180"/>
      <c r="AE133" s="180"/>
      <c r="AF133" s="180"/>
      <c r="AG133" s="180"/>
      <c r="AH133" s="180"/>
      <c r="AI133" s="180"/>
      <c r="AJ133" s="180"/>
      <c r="AK133" s="180"/>
      <c r="AL133" s="180"/>
    </row>
    <row r="134" spans="1:38" s="175" customFormat="1" x14ac:dyDescent="0.25">
      <c r="A134" s="94">
        <f t="shared" si="10"/>
        <v>0</v>
      </c>
      <c r="B134" s="36" t="str">
        <f t="shared" ref="B134:B140" si="12">IF(H134&gt;$H$2,"",(ROW()-5))</f>
        <v/>
      </c>
      <c r="C134" s="24"/>
      <c r="D134" s="24"/>
      <c r="E134" s="24"/>
      <c r="F134" s="24"/>
      <c r="H134" s="187">
        <v>129</v>
      </c>
      <c r="I134" s="188" t="str">
        <f t="shared" ref="I134:I197" si="13">IF(H134&lt;$H$2+1,($I$2-($I$2-1)*(LOG(H134)/LOG($H$2))),"")</f>
        <v/>
      </c>
      <c r="J134" s="187">
        <f t="shared" si="11"/>
        <v>-3</v>
      </c>
      <c r="K134" s="187">
        <f t="shared" ref="K134:K197" si="14">J134*$J$2</f>
        <v>-30</v>
      </c>
      <c r="L134" s="187"/>
      <c r="M134" s="189">
        <f t="shared" ref="M134:M197" si="15">IF(I134&lt;&gt;"",K134+I134+L134,0)</f>
        <v>0</v>
      </c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  <c r="AC134" s="180"/>
      <c r="AD134" s="180"/>
      <c r="AE134" s="180"/>
      <c r="AF134" s="180"/>
      <c r="AG134" s="180"/>
      <c r="AH134" s="180"/>
      <c r="AI134" s="180"/>
      <c r="AJ134" s="180"/>
      <c r="AK134" s="180"/>
      <c r="AL134" s="180"/>
    </row>
    <row r="135" spans="1:38" s="175" customFormat="1" x14ac:dyDescent="0.25">
      <c r="A135" s="98">
        <f t="shared" ref="A135:A140" si="16">M135</f>
        <v>0</v>
      </c>
      <c r="B135" s="35" t="str">
        <f t="shared" si="12"/>
        <v/>
      </c>
      <c r="C135" s="25"/>
      <c r="D135" s="25"/>
      <c r="E135" s="25"/>
      <c r="F135" s="25"/>
      <c r="H135" s="190">
        <v>130</v>
      </c>
      <c r="I135" s="191" t="str">
        <f t="shared" si="13"/>
        <v/>
      </c>
      <c r="J135" s="190">
        <f t="shared" ref="J135:J198" si="17">INT(LOG($H$2,2))-ROUNDUP(LOG(H135,2),0)+IF(OR($H$2=1,$H$2=2,$H$2=4,$H$2=8,$H$2=16,$H$2=32,$H$2=64,$H$2=128,$H$2=256),0,1)</f>
        <v>-3</v>
      </c>
      <c r="K135" s="190">
        <f t="shared" si="14"/>
        <v>-30</v>
      </c>
      <c r="L135" s="190"/>
      <c r="M135" s="192">
        <f t="shared" si="15"/>
        <v>0</v>
      </c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  <c r="AC135" s="180"/>
      <c r="AD135" s="180"/>
      <c r="AE135" s="180"/>
      <c r="AF135" s="180"/>
      <c r="AG135" s="180"/>
      <c r="AH135" s="180"/>
      <c r="AI135" s="180"/>
      <c r="AJ135" s="180"/>
      <c r="AK135" s="180"/>
      <c r="AL135" s="180"/>
    </row>
    <row r="136" spans="1:38" s="175" customFormat="1" x14ac:dyDescent="0.25">
      <c r="A136" s="94">
        <f t="shared" si="16"/>
        <v>0</v>
      </c>
      <c r="B136" s="36" t="str">
        <f t="shared" si="12"/>
        <v/>
      </c>
      <c r="C136" s="24"/>
      <c r="D136" s="24"/>
      <c r="E136" s="24"/>
      <c r="F136" s="24"/>
      <c r="H136" s="187">
        <v>131</v>
      </c>
      <c r="I136" s="188" t="str">
        <f t="shared" si="13"/>
        <v/>
      </c>
      <c r="J136" s="187">
        <f t="shared" si="17"/>
        <v>-3</v>
      </c>
      <c r="K136" s="187">
        <f t="shared" si="14"/>
        <v>-30</v>
      </c>
      <c r="L136" s="187"/>
      <c r="M136" s="189">
        <f t="shared" si="15"/>
        <v>0</v>
      </c>
      <c r="S136" s="180"/>
      <c r="T136" s="180"/>
      <c r="U136" s="180"/>
      <c r="V136" s="180"/>
      <c r="W136" s="180"/>
      <c r="X136" s="180"/>
      <c r="Y136" s="180"/>
      <c r="Z136" s="180"/>
      <c r="AA136" s="180"/>
      <c r="AB136" s="180"/>
      <c r="AC136" s="180"/>
      <c r="AD136" s="180"/>
      <c r="AE136" s="180"/>
      <c r="AF136" s="180"/>
      <c r="AG136" s="180"/>
      <c r="AH136" s="180"/>
      <c r="AI136" s="180"/>
      <c r="AJ136" s="180"/>
      <c r="AK136" s="180"/>
      <c r="AL136" s="180"/>
    </row>
    <row r="137" spans="1:38" s="175" customFormat="1" x14ac:dyDescent="0.25">
      <c r="A137" s="98">
        <f t="shared" si="16"/>
        <v>0</v>
      </c>
      <c r="B137" s="35" t="str">
        <f t="shared" si="12"/>
        <v/>
      </c>
      <c r="C137" s="25"/>
      <c r="D137" s="25"/>
      <c r="E137" s="25"/>
      <c r="F137" s="25"/>
      <c r="H137" s="190">
        <v>132</v>
      </c>
      <c r="I137" s="191" t="str">
        <f t="shared" si="13"/>
        <v/>
      </c>
      <c r="J137" s="190">
        <f t="shared" si="17"/>
        <v>-3</v>
      </c>
      <c r="K137" s="190">
        <f t="shared" si="14"/>
        <v>-30</v>
      </c>
      <c r="L137" s="190"/>
      <c r="M137" s="192">
        <f t="shared" si="15"/>
        <v>0</v>
      </c>
      <c r="S137" s="180"/>
      <c r="T137" s="180"/>
      <c r="U137" s="180"/>
      <c r="V137" s="180"/>
      <c r="W137" s="180"/>
      <c r="X137" s="180"/>
      <c r="Y137" s="180"/>
      <c r="Z137" s="180"/>
      <c r="AA137" s="180"/>
      <c r="AB137" s="180"/>
      <c r="AC137" s="180"/>
      <c r="AD137" s="180"/>
      <c r="AE137" s="180"/>
      <c r="AF137" s="180"/>
      <c r="AG137" s="180"/>
      <c r="AH137" s="180"/>
      <c r="AI137" s="180"/>
      <c r="AJ137" s="180"/>
      <c r="AK137" s="180"/>
      <c r="AL137" s="180"/>
    </row>
    <row r="138" spans="1:38" s="175" customFormat="1" x14ac:dyDescent="0.25">
      <c r="A138" s="94">
        <f t="shared" si="16"/>
        <v>0</v>
      </c>
      <c r="B138" s="36" t="str">
        <f t="shared" si="12"/>
        <v/>
      </c>
      <c r="C138" s="24"/>
      <c r="D138" s="24"/>
      <c r="E138" s="24"/>
      <c r="F138" s="24"/>
      <c r="H138" s="187">
        <v>133</v>
      </c>
      <c r="I138" s="188" t="str">
        <f t="shared" si="13"/>
        <v/>
      </c>
      <c r="J138" s="187">
        <f t="shared" si="17"/>
        <v>-3</v>
      </c>
      <c r="K138" s="187">
        <f t="shared" si="14"/>
        <v>-30</v>
      </c>
      <c r="L138" s="187"/>
      <c r="M138" s="189">
        <f t="shared" si="15"/>
        <v>0</v>
      </c>
      <c r="S138" s="180"/>
      <c r="T138" s="180"/>
      <c r="U138" s="180"/>
      <c r="V138" s="180"/>
      <c r="W138" s="180"/>
      <c r="X138" s="180"/>
      <c r="Y138" s="180"/>
      <c r="Z138" s="180"/>
      <c r="AA138" s="180"/>
      <c r="AB138" s="180"/>
      <c r="AC138" s="180"/>
      <c r="AD138" s="180"/>
      <c r="AE138" s="180"/>
      <c r="AF138" s="180"/>
      <c r="AG138" s="180"/>
      <c r="AH138" s="180"/>
      <c r="AI138" s="180"/>
      <c r="AJ138" s="180"/>
      <c r="AK138" s="180"/>
      <c r="AL138" s="180"/>
    </row>
    <row r="139" spans="1:38" s="175" customFormat="1" x14ac:dyDescent="0.25">
      <c r="A139" s="98">
        <f t="shared" si="16"/>
        <v>0</v>
      </c>
      <c r="B139" s="35" t="str">
        <f t="shared" si="12"/>
        <v/>
      </c>
      <c r="C139" s="25"/>
      <c r="D139" s="25"/>
      <c r="E139" s="25"/>
      <c r="F139" s="25"/>
      <c r="H139" s="190">
        <v>134</v>
      </c>
      <c r="I139" s="191" t="str">
        <f t="shared" si="13"/>
        <v/>
      </c>
      <c r="J139" s="190">
        <f t="shared" si="17"/>
        <v>-3</v>
      </c>
      <c r="K139" s="190">
        <f t="shared" si="14"/>
        <v>-30</v>
      </c>
      <c r="L139" s="190"/>
      <c r="M139" s="192">
        <f t="shared" si="15"/>
        <v>0</v>
      </c>
      <c r="S139" s="180"/>
      <c r="T139" s="180"/>
      <c r="U139" s="180"/>
      <c r="V139" s="180"/>
      <c r="W139" s="180"/>
      <c r="X139" s="180"/>
      <c r="Y139" s="180"/>
      <c r="Z139" s="180"/>
      <c r="AA139" s="180"/>
      <c r="AB139" s="180"/>
      <c r="AC139" s="180"/>
      <c r="AD139" s="180"/>
      <c r="AE139" s="180"/>
      <c r="AF139" s="180"/>
      <c r="AG139" s="180"/>
      <c r="AH139" s="180"/>
      <c r="AI139" s="180"/>
      <c r="AJ139" s="180"/>
      <c r="AK139" s="180"/>
      <c r="AL139" s="180"/>
    </row>
    <row r="140" spans="1:38" s="175" customFormat="1" x14ac:dyDescent="0.25">
      <c r="A140" s="94">
        <f t="shared" si="16"/>
        <v>0</v>
      </c>
      <c r="B140" s="36" t="str">
        <f t="shared" si="12"/>
        <v/>
      </c>
      <c r="C140" s="24"/>
      <c r="D140" s="24"/>
      <c r="E140" s="24"/>
      <c r="F140" s="24"/>
      <c r="H140" s="187">
        <v>135</v>
      </c>
      <c r="I140" s="188" t="str">
        <f t="shared" si="13"/>
        <v/>
      </c>
      <c r="J140" s="187">
        <f t="shared" si="17"/>
        <v>-3</v>
      </c>
      <c r="K140" s="187">
        <f t="shared" si="14"/>
        <v>-30</v>
      </c>
      <c r="L140" s="187"/>
      <c r="M140" s="189">
        <f t="shared" si="15"/>
        <v>0</v>
      </c>
      <c r="S140" s="180"/>
      <c r="T140" s="180"/>
      <c r="U140" s="180"/>
      <c r="V140" s="180"/>
      <c r="W140" s="180"/>
      <c r="X140" s="180"/>
      <c r="Y140" s="180"/>
      <c r="Z140" s="180"/>
      <c r="AA140" s="180"/>
      <c r="AB140" s="180"/>
      <c r="AC140" s="180"/>
      <c r="AD140" s="180"/>
      <c r="AE140" s="180"/>
      <c r="AF140" s="180"/>
      <c r="AG140" s="180"/>
      <c r="AH140" s="180"/>
      <c r="AI140" s="180"/>
      <c r="AJ140" s="180"/>
      <c r="AK140" s="180"/>
      <c r="AL140" s="180"/>
    </row>
    <row r="141" spans="1:38" x14ac:dyDescent="0.25">
      <c r="A141" s="204"/>
      <c r="G141" s="175"/>
      <c r="H141" s="190">
        <v>136</v>
      </c>
      <c r="I141" s="188" t="str">
        <f t="shared" si="13"/>
        <v/>
      </c>
      <c r="J141" s="187">
        <f t="shared" si="17"/>
        <v>-3</v>
      </c>
      <c r="K141" s="187">
        <f t="shared" si="14"/>
        <v>-30</v>
      </c>
      <c r="L141" s="187"/>
      <c r="M141" s="189">
        <f t="shared" si="15"/>
        <v>0</v>
      </c>
    </row>
    <row r="142" spans="1:38" x14ac:dyDescent="0.25">
      <c r="A142" s="204"/>
      <c r="G142" s="175"/>
      <c r="H142" s="187">
        <v>137</v>
      </c>
      <c r="I142" s="188" t="str">
        <f t="shared" si="13"/>
        <v/>
      </c>
      <c r="J142" s="187">
        <f t="shared" si="17"/>
        <v>-3</v>
      </c>
      <c r="K142" s="187">
        <f t="shared" si="14"/>
        <v>-30</v>
      </c>
      <c r="L142" s="187"/>
      <c r="M142" s="189">
        <f t="shared" si="15"/>
        <v>0</v>
      </c>
    </row>
    <row r="143" spans="1:38" x14ac:dyDescent="0.25">
      <c r="A143" s="204"/>
      <c r="G143" s="175"/>
      <c r="H143" s="190">
        <v>138</v>
      </c>
      <c r="I143" s="188" t="str">
        <f t="shared" si="13"/>
        <v/>
      </c>
      <c r="J143" s="187">
        <f t="shared" si="17"/>
        <v>-3</v>
      </c>
      <c r="K143" s="187">
        <f t="shared" si="14"/>
        <v>-30</v>
      </c>
      <c r="L143" s="187"/>
      <c r="M143" s="189">
        <f t="shared" si="15"/>
        <v>0</v>
      </c>
    </row>
    <row r="144" spans="1:38" x14ac:dyDescent="0.25">
      <c r="A144" s="204"/>
      <c r="G144" s="175"/>
      <c r="H144" s="187">
        <v>139</v>
      </c>
      <c r="I144" s="188" t="str">
        <f t="shared" si="13"/>
        <v/>
      </c>
      <c r="J144" s="187">
        <f t="shared" si="17"/>
        <v>-3</v>
      </c>
      <c r="K144" s="187">
        <f t="shared" si="14"/>
        <v>-30</v>
      </c>
      <c r="L144" s="187"/>
      <c r="M144" s="189">
        <f t="shared" si="15"/>
        <v>0</v>
      </c>
    </row>
    <row r="145" spans="1:13" x14ac:dyDescent="0.25">
      <c r="A145" s="204"/>
      <c r="G145" s="175"/>
      <c r="H145" s="190">
        <v>140</v>
      </c>
      <c r="I145" s="188" t="str">
        <f t="shared" si="13"/>
        <v/>
      </c>
      <c r="J145" s="187">
        <f t="shared" si="17"/>
        <v>-3</v>
      </c>
      <c r="K145" s="187">
        <f t="shared" si="14"/>
        <v>-30</v>
      </c>
      <c r="L145" s="187"/>
      <c r="M145" s="189">
        <f t="shared" si="15"/>
        <v>0</v>
      </c>
    </row>
    <row r="146" spans="1:13" x14ac:dyDescent="0.25">
      <c r="A146" s="204"/>
      <c r="G146" s="175"/>
      <c r="H146" s="187">
        <v>141</v>
      </c>
      <c r="I146" s="188" t="str">
        <f t="shared" si="13"/>
        <v/>
      </c>
      <c r="J146" s="187">
        <f t="shared" si="17"/>
        <v>-3</v>
      </c>
      <c r="K146" s="187">
        <f t="shared" si="14"/>
        <v>-30</v>
      </c>
      <c r="L146" s="187"/>
      <c r="M146" s="189">
        <f t="shared" si="15"/>
        <v>0</v>
      </c>
    </row>
    <row r="147" spans="1:13" x14ac:dyDescent="0.25">
      <c r="A147" s="204"/>
      <c r="G147" s="175"/>
      <c r="H147" s="190">
        <v>142</v>
      </c>
      <c r="I147" s="188" t="str">
        <f t="shared" si="13"/>
        <v/>
      </c>
      <c r="J147" s="187">
        <f t="shared" si="17"/>
        <v>-3</v>
      </c>
      <c r="K147" s="187">
        <f t="shared" si="14"/>
        <v>-30</v>
      </c>
      <c r="L147" s="187"/>
      <c r="M147" s="189">
        <f t="shared" si="15"/>
        <v>0</v>
      </c>
    </row>
    <row r="148" spans="1:13" x14ac:dyDescent="0.25">
      <c r="A148" s="204"/>
      <c r="G148" s="175"/>
      <c r="H148" s="187">
        <v>143</v>
      </c>
      <c r="I148" s="188" t="str">
        <f t="shared" si="13"/>
        <v/>
      </c>
      <c r="J148" s="187">
        <f t="shared" si="17"/>
        <v>-3</v>
      </c>
      <c r="K148" s="187">
        <f t="shared" si="14"/>
        <v>-30</v>
      </c>
      <c r="L148" s="187"/>
      <c r="M148" s="189">
        <f t="shared" si="15"/>
        <v>0</v>
      </c>
    </row>
    <row r="149" spans="1:13" x14ac:dyDescent="0.25">
      <c r="A149" s="204"/>
      <c r="G149" s="175"/>
      <c r="H149" s="190">
        <v>144</v>
      </c>
      <c r="I149" s="188" t="str">
        <f t="shared" si="13"/>
        <v/>
      </c>
      <c r="J149" s="187">
        <f t="shared" si="17"/>
        <v>-3</v>
      </c>
      <c r="K149" s="187">
        <f t="shared" si="14"/>
        <v>-30</v>
      </c>
      <c r="L149" s="187"/>
      <c r="M149" s="189">
        <f t="shared" si="15"/>
        <v>0</v>
      </c>
    </row>
    <row r="150" spans="1:13" x14ac:dyDescent="0.25">
      <c r="A150" s="204"/>
      <c r="G150" s="175"/>
      <c r="H150" s="187">
        <v>145</v>
      </c>
      <c r="I150" s="188" t="str">
        <f t="shared" si="13"/>
        <v/>
      </c>
      <c r="J150" s="187">
        <f t="shared" si="17"/>
        <v>-3</v>
      </c>
      <c r="K150" s="187">
        <f t="shared" si="14"/>
        <v>-30</v>
      </c>
      <c r="L150" s="187"/>
      <c r="M150" s="189">
        <f t="shared" si="15"/>
        <v>0</v>
      </c>
    </row>
    <row r="151" spans="1:13" x14ac:dyDescent="0.25">
      <c r="A151" s="204"/>
      <c r="G151" s="175"/>
      <c r="H151" s="190">
        <v>146</v>
      </c>
      <c r="I151" s="188" t="str">
        <f t="shared" si="13"/>
        <v/>
      </c>
      <c r="J151" s="187">
        <f t="shared" si="17"/>
        <v>-3</v>
      </c>
      <c r="K151" s="187">
        <f t="shared" si="14"/>
        <v>-30</v>
      </c>
      <c r="L151" s="187"/>
      <c r="M151" s="189">
        <f t="shared" si="15"/>
        <v>0</v>
      </c>
    </row>
    <row r="152" spans="1:13" x14ac:dyDescent="0.25">
      <c r="A152" s="204"/>
      <c r="G152" s="175"/>
      <c r="H152" s="187">
        <v>147</v>
      </c>
      <c r="I152" s="188" t="str">
        <f t="shared" si="13"/>
        <v/>
      </c>
      <c r="J152" s="187">
        <f t="shared" si="17"/>
        <v>-3</v>
      </c>
      <c r="K152" s="187">
        <f t="shared" si="14"/>
        <v>-30</v>
      </c>
      <c r="L152" s="187"/>
      <c r="M152" s="189">
        <f t="shared" si="15"/>
        <v>0</v>
      </c>
    </row>
    <row r="153" spans="1:13" x14ac:dyDescent="0.25">
      <c r="A153" s="204"/>
      <c r="G153" s="175"/>
      <c r="H153" s="190">
        <v>148</v>
      </c>
      <c r="I153" s="188" t="str">
        <f t="shared" si="13"/>
        <v/>
      </c>
      <c r="J153" s="187">
        <f t="shared" si="17"/>
        <v>-3</v>
      </c>
      <c r="K153" s="187">
        <f t="shared" si="14"/>
        <v>-30</v>
      </c>
      <c r="L153" s="187"/>
      <c r="M153" s="189">
        <f t="shared" si="15"/>
        <v>0</v>
      </c>
    </row>
    <row r="154" spans="1:13" x14ac:dyDescent="0.25">
      <c r="A154" s="204"/>
      <c r="G154" s="175"/>
      <c r="H154" s="187">
        <v>149</v>
      </c>
      <c r="I154" s="188" t="str">
        <f t="shared" si="13"/>
        <v/>
      </c>
      <c r="J154" s="187">
        <f t="shared" si="17"/>
        <v>-3</v>
      </c>
      <c r="K154" s="187">
        <f t="shared" si="14"/>
        <v>-30</v>
      </c>
      <c r="L154" s="187"/>
      <c r="M154" s="189">
        <f t="shared" si="15"/>
        <v>0</v>
      </c>
    </row>
    <row r="155" spans="1:13" x14ac:dyDescent="0.25">
      <c r="A155" s="204"/>
      <c r="G155" s="175"/>
      <c r="H155" s="190">
        <v>150</v>
      </c>
      <c r="I155" s="188" t="str">
        <f t="shared" si="13"/>
        <v/>
      </c>
      <c r="J155" s="187">
        <f t="shared" si="17"/>
        <v>-3</v>
      </c>
      <c r="K155" s="187">
        <f t="shared" si="14"/>
        <v>-30</v>
      </c>
      <c r="L155" s="187"/>
      <c r="M155" s="189">
        <f t="shared" si="15"/>
        <v>0</v>
      </c>
    </row>
    <row r="156" spans="1:13" x14ac:dyDescent="0.25">
      <c r="A156" s="204"/>
      <c r="G156" s="175"/>
      <c r="H156" s="187">
        <v>151</v>
      </c>
      <c r="I156" s="188" t="str">
        <f t="shared" si="13"/>
        <v/>
      </c>
      <c r="J156" s="187">
        <f t="shared" si="17"/>
        <v>-3</v>
      </c>
      <c r="K156" s="187">
        <f t="shared" si="14"/>
        <v>-30</v>
      </c>
      <c r="L156" s="187"/>
      <c r="M156" s="189">
        <f t="shared" si="15"/>
        <v>0</v>
      </c>
    </row>
    <row r="157" spans="1:13" x14ac:dyDescent="0.25">
      <c r="A157" s="204"/>
      <c r="G157" s="175"/>
      <c r="H157" s="190">
        <v>152</v>
      </c>
      <c r="I157" s="188" t="str">
        <f t="shared" si="13"/>
        <v/>
      </c>
      <c r="J157" s="187">
        <f t="shared" si="17"/>
        <v>-3</v>
      </c>
      <c r="K157" s="187">
        <f t="shared" si="14"/>
        <v>-30</v>
      </c>
      <c r="L157" s="187"/>
      <c r="M157" s="189">
        <f t="shared" si="15"/>
        <v>0</v>
      </c>
    </row>
    <row r="158" spans="1:13" x14ac:dyDescent="0.25">
      <c r="A158" s="204"/>
      <c r="G158" s="175"/>
      <c r="H158" s="187">
        <v>153</v>
      </c>
      <c r="I158" s="188" t="str">
        <f t="shared" si="13"/>
        <v/>
      </c>
      <c r="J158" s="187">
        <f t="shared" si="17"/>
        <v>-3</v>
      </c>
      <c r="K158" s="187">
        <f t="shared" si="14"/>
        <v>-30</v>
      </c>
      <c r="L158" s="187"/>
      <c r="M158" s="189">
        <f t="shared" si="15"/>
        <v>0</v>
      </c>
    </row>
    <row r="159" spans="1:13" x14ac:dyDescent="0.25">
      <c r="A159" s="204"/>
      <c r="G159" s="175"/>
      <c r="H159" s="190">
        <v>154</v>
      </c>
      <c r="I159" s="188" t="str">
        <f t="shared" si="13"/>
        <v/>
      </c>
      <c r="J159" s="187">
        <f t="shared" si="17"/>
        <v>-3</v>
      </c>
      <c r="K159" s="187">
        <f t="shared" si="14"/>
        <v>-30</v>
      </c>
      <c r="L159" s="187"/>
      <c r="M159" s="189">
        <f t="shared" si="15"/>
        <v>0</v>
      </c>
    </row>
    <row r="160" spans="1:13" x14ac:dyDescent="0.25">
      <c r="A160" s="204"/>
      <c r="G160" s="175"/>
      <c r="H160" s="187">
        <v>155</v>
      </c>
      <c r="I160" s="188" t="str">
        <f t="shared" si="13"/>
        <v/>
      </c>
      <c r="J160" s="187">
        <f t="shared" si="17"/>
        <v>-3</v>
      </c>
      <c r="K160" s="187">
        <f t="shared" si="14"/>
        <v>-30</v>
      </c>
      <c r="L160" s="187"/>
      <c r="M160" s="189">
        <f t="shared" si="15"/>
        <v>0</v>
      </c>
    </row>
    <row r="161" spans="1:13" x14ac:dyDescent="0.25">
      <c r="A161" s="204"/>
      <c r="G161" s="175"/>
      <c r="H161" s="190">
        <v>156</v>
      </c>
      <c r="I161" s="188" t="str">
        <f t="shared" si="13"/>
        <v/>
      </c>
      <c r="J161" s="187">
        <f t="shared" si="17"/>
        <v>-3</v>
      </c>
      <c r="K161" s="187">
        <f t="shared" si="14"/>
        <v>-30</v>
      </c>
      <c r="L161" s="187"/>
      <c r="M161" s="189">
        <f t="shared" si="15"/>
        <v>0</v>
      </c>
    </row>
    <row r="162" spans="1:13" x14ac:dyDescent="0.25">
      <c r="A162" s="204"/>
      <c r="G162" s="175"/>
      <c r="H162" s="187">
        <v>157</v>
      </c>
      <c r="I162" s="188" t="str">
        <f t="shared" si="13"/>
        <v/>
      </c>
      <c r="J162" s="187">
        <f t="shared" si="17"/>
        <v>-3</v>
      </c>
      <c r="K162" s="187">
        <f t="shared" si="14"/>
        <v>-30</v>
      </c>
      <c r="L162" s="187"/>
      <c r="M162" s="189">
        <f t="shared" si="15"/>
        <v>0</v>
      </c>
    </row>
    <row r="163" spans="1:13" x14ac:dyDescent="0.25">
      <c r="A163" s="204"/>
      <c r="G163" s="175"/>
      <c r="H163" s="190">
        <v>158</v>
      </c>
      <c r="I163" s="188" t="str">
        <f t="shared" si="13"/>
        <v/>
      </c>
      <c r="J163" s="187">
        <f t="shared" si="17"/>
        <v>-3</v>
      </c>
      <c r="K163" s="187">
        <f t="shared" si="14"/>
        <v>-30</v>
      </c>
      <c r="L163" s="187"/>
      <c r="M163" s="189">
        <f t="shared" si="15"/>
        <v>0</v>
      </c>
    </row>
    <row r="164" spans="1:13" x14ac:dyDescent="0.25">
      <c r="A164" s="204"/>
      <c r="G164" s="175"/>
      <c r="H164" s="187">
        <v>159</v>
      </c>
      <c r="I164" s="188" t="str">
        <f t="shared" si="13"/>
        <v/>
      </c>
      <c r="J164" s="187">
        <f t="shared" si="17"/>
        <v>-3</v>
      </c>
      <c r="K164" s="187">
        <f t="shared" si="14"/>
        <v>-30</v>
      </c>
      <c r="L164" s="187"/>
      <c r="M164" s="189">
        <f t="shared" si="15"/>
        <v>0</v>
      </c>
    </row>
    <row r="165" spans="1:13" x14ac:dyDescent="0.25">
      <c r="A165" s="204"/>
      <c r="G165" s="175"/>
      <c r="H165" s="190">
        <v>160</v>
      </c>
      <c r="I165" s="188" t="str">
        <f t="shared" si="13"/>
        <v/>
      </c>
      <c r="J165" s="187">
        <f t="shared" si="17"/>
        <v>-3</v>
      </c>
      <c r="K165" s="187">
        <f t="shared" si="14"/>
        <v>-30</v>
      </c>
      <c r="L165" s="187"/>
      <c r="M165" s="189">
        <f t="shared" si="15"/>
        <v>0</v>
      </c>
    </row>
    <row r="166" spans="1:13" x14ac:dyDescent="0.25">
      <c r="A166" s="204"/>
      <c r="G166" s="175"/>
      <c r="H166" s="187">
        <v>161</v>
      </c>
      <c r="I166" s="188" t="str">
        <f t="shared" si="13"/>
        <v/>
      </c>
      <c r="J166" s="187">
        <f t="shared" si="17"/>
        <v>-3</v>
      </c>
      <c r="K166" s="187">
        <f t="shared" si="14"/>
        <v>-30</v>
      </c>
      <c r="L166" s="187"/>
      <c r="M166" s="189">
        <f t="shared" si="15"/>
        <v>0</v>
      </c>
    </row>
    <row r="167" spans="1:13" x14ac:dyDescent="0.25">
      <c r="A167" s="204"/>
      <c r="G167" s="175"/>
      <c r="H167" s="190">
        <v>162</v>
      </c>
      <c r="I167" s="188" t="str">
        <f t="shared" si="13"/>
        <v/>
      </c>
      <c r="J167" s="187">
        <f t="shared" si="17"/>
        <v>-3</v>
      </c>
      <c r="K167" s="187">
        <f t="shared" si="14"/>
        <v>-30</v>
      </c>
      <c r="L167" s="187"/>
      <c r="M167" s="189">
        <f t="shared" si="15"/>
        <v>0</v>
      </c>
    </row>
    <row r="168" spans="1:13" x14ac:dyDescent="0.25">
      <c r="A168" s="204"/>
      <c r="G168" s="175"/>
      <c r="H168" s="187">
        <v>163</v>
      </c>
      <c r="I168" s="188" t="str">
        <f t="shared" si="13"/>
        <v/>
      </c>
      <c r="J168" s="187">
        <f t="shared" si="17"/>
        <v>-3</v>
      </c>
      <c r="K168" s="187">
        <f t="shared" si="14"/>
        <v>-30</v>
      </c>
      <c r="L168" s="187"/>
      <c r="M168" s="189">
        <f t="shared" si="15"/>
        <v>0</v>
      </c>
    </row>
    <row r="169" spans="1:13" x14ac:dyDescent="0.25">
      <c r="A169" s="204"/>
      <c r="C169" s="203" t="s">
        <v>95</v>
      </c>
      <c r="G169" s="175"/>
      <c r="H169" s="190">
        <v>164</v>
      </c>
      <c r="I169" s="188" t="str">
        <f t="shared" si="13"/>
        <v/>
      </c>
      <c r="J169" s="187">
        <f t="shared" si="17"/>
        <v>-3</v>
      </c>
      <c r="K169" s="187">
        <f t="shared" si="14"/>
        <v>-30</v>
      </c>
      <c r="L169" s="187"/>
      <c r="M169" s="189">
        <f t="shared" si="15"/>
        <v>0</v>
      </c>
    </row>
    <row r="170" spans="1:13" x14ac:dyDescent="0.25">
      <c r="A170" s="204"/>
      <c r="G170" s="175"/>
      <c r="H170" s="187">
        <v>165</v>
      </c>
      <c r="I170" s="188" t="str">
        <f t="shared" si="13"/>
        <v/>
      </c>
      <c r="J170" s="187">
        <f t="shared" si="17"/>
        <v>-3</v>
      </c>
      <c r="K170" s="187">
        <f t="shared" si="14"/>
        <v>-30</v>
      </c>
      <c r="L170" s="187"/>
      <c r="M170" s="189">
        <f t="shared" si="15"/>
        <v>0</v>
      </c>
    </row>
    <row r="171" spans="1:13" x14ac:dyDescent="0.25">
      <c r="A171" s="204"/>
      <c r="G171" s="175"/>
      <c r="H171" s="190">
        <v>166</v>
      </c>
      <c r="I171" s="188" t="str">
        <f t="shared" si="13"/>
        <v/>
      </c>
      <c r="J171" s="187">
        <f t="shared" si="17"/>
        <v>-3</v>
      </c>
      <c r="K171" s="187">
        <f t="shared" si="14"/>
        <v>-30</v>
      </c>
      <c r="L171" s="187"/>
      <c r="M171" s="189">
        <f t="shared" si="15"/>
        <v>0</v>
      </c>
    </row>
    <row r="172" spans="1:13" x14ac:dyDescent="0.25">
      <c r="A172" s="204"/>
      <c r="G172" s="175"/>
      <c r="H172" s="187">
        <v>167</v>
      </c>
      <c r="I172" s="188" t="str">
        <f t="shared" si="13"/>
        <v/>
      </c>
      <c r="J172" s="187">
        <f t="shared" si="17"/>
        <v>-3</v>
      </c>
      <c r="K172" s="187">
        <f t="shared" si="14"/>
        <v>-30</v>
      </c>
      <c r="L172" s="187"/>
      <c r="M172" s="189">
        <f t="shared" si="15"/>
        <v>0</v>
      </c>
    </row>
    <row r="173" spans="1:13" x14ac:dyDescent="0.25">
      <c r="A173" s="204"/>
      <c r="G173" s="175"/>
      <c r="H173" s="190">
        <v>168</v>
      </c>
      <c r="I173" s="188" t="str">
        <f t="shared" si="13"/>
        <v/>
      </c>
      <c r="J173" s="187">
        <f t="shared" si="17"/>
        <v>-3</v>
      </c>
      <c r="K173" s="187">
        <f t="shared" si="14"/>
        <v>-30</v>
      </c>
      <c r="L173" s="187"/>
      <c r="M173" s="189">
        <f t="shared" si="15"/>
        <v>0</v>
      </c>
    </row>
    <row r="174" spans="1:13" x14ac:dyDescent="0.25">
      <c r="A174" s="204"/>
      <c r="G174" s="175"/>
      <c r="H174" s="187">
        <v>169</v>
      </c>
      <c r="I174" s="188" t="str">
        <f t="shared" si="13"/>
        <v/>
      </c>
      <c r="J174" s="187">
        <f t="shared" si="17"/>
        <v>-3</v>
      </c>
      <c r="K174" s="187">
        <f t="shared" si="14"/>
        <v>-30</v>
      </c>
      <c r="L174" s="187"/>
      <c r="M174" s="189">
        <f t="shared" si="15"/>
        <v>0</v>
      </c>
    </row>
    <row r="175" spans="1:13" x14ac:dyDescent="0.25">
      <c r="A175" s="204"/>
      <c r="G175" s="175"/>
      <c r="H175" s="190">
        <v>170</v>
      </c>
      <c r="I175" s="188" t="str">
        <f t="shared" si="13"/>
        <v/>
      </c>
      <c r="J175" s="187">
        <f t="shared" si="17"/>
        <v>-3</v>
      </c>
      <c r="K175" s="187">
        <f t="shared" si="14"/>
        <v>-30</v>
      </c>
      <c r="L175" s="187"/>
      <c r="M175" s="189">
        <f t="shared" si="15"/>
        <v>0</v>
      </c>
    </row>
    <row r="176" spans="1:13" x14ac:dyDescent="0.25">
      <c r="A176" s="204"/>
      <c r="G176" s="175"/>
      <c r="H176" s="187">
        <v>171</v>
      </c>
      <c r="I176" s="188" t="str">
        <f t="shared" si="13"/>
        <v/>
      </c>
      <c r="J176" s="187">
        <f t="shared" si="17"/>
        <v>-3</v>
      </c>
      <c r="K176" s="187">
        <f t="shared" si="14"/>
        <v>-30</v>
      </c>
      <c r="L176" s="187"/>
      <c r="M176" s="189">
        <f t="shared" si="15"/>
        <v>0</v>
      </c>
    </row>
    <row r="177" spans="1:13" x14ac:dyDescent="0.25">
      <c r="A177" s="204"/>
      <c r="G177" s="175"/>
      <c r="H177" s="190">
        <v>172</v>
      </c>
      <c r="I177" s="188" t="str">
        <f t="shared" si="13"/>
        <v/>
      </c>
      <c r="J177" s="187">
        <f t="shared" si="17"/>
        <v>-3</v>
      </c>
      <c r="K177" s="187">
        <f t="shared" si="14"/>
        <v>-30</v>
      </c>
      <c r="L177" s="187"/>
      <c r="M177" s="189">
        <f t="shared" si="15"/>
        <v>0</v>
      </c>
    </row>
    <row r="178" spans="1:13" x14ac:dyDescent="0.25">
      <c r="A178" s="204"/>
      <c r="G178" s="175"/>
      <c r="H178" s="187">
        <v>173</v>
      </c>
      <c r="I178" s="188" t="str">
        <f t="shared" si="13"/>
        <v/>
      </c>
      <c r="J178" s="187">
        <f t="shared" si="17"/>
        <v>-3</v>
      </c>
      <c r="K178" s="187">
        <f t="shared" si="14"/>
        <v>-30</v>
      </c>
      <c r="L178" s="187"/>
      <c r="M178" s="189">
        <f t="shared" si="15"/>
        <v>0</v>
      </c>
    </row>
    <row r="179" spans="1:13" x14ac:dyDescent="0.25">
      <c r="A179" s="204"/>
      <c r="G179" s="175"/>
      <c r="H179" s="190">
        <v>174</v>
      </c>
      <c r="I179" s="188" t="str">
        <f t="shared" si="13"/>
        <v/>
      </c>
      <c r="J179" s="187">
        <f t="shared" si="17"/>
        <v>-3</v>
      </c>
      <c r="K179" s="187">
        <f t="shared" si="14"/>
        <v>-30</v>
      </c>
      <c r="L179" s="187"/>
      <c r="M179" s="189">
        <f t="shared" si="15"/>
        <v>0</v>
      </c>
    </row>
    <row r="180" spans="1:13" x14ac:dyDescent="0.25">
      <c r="A180" s="204"/>
      <c r="G180" s="175"/>
      <c r="H180" s="187">
        <v>175</v>
      </c>
      <c r="I180" s="188" t="str">
        <f t="shared" si="13"/>
        <v/>
      </c>
      <c r="J180" s="187">
        <f t="shared" si="17"/>
        <v>-3</v>
      </c>
      <c r="K180" s="187">
        <f t="shared" si="14"/>
        <v>-30</v>
      </c>
      <c r="L180" s="187"/>
      <c r="M180" s="189">
        <f t="shared" si="15"/>
        <v>0</v>
      </c>
    </row>
    <row r="181" spans="1:13" x14ac:dyDescent="0.25">
      <c r="A181" s="204"/>
      <c r="G181" s="175"/>
      <c r="H181" s="190">
        <v>176</v>
      </c>
      <c r="I181" s="188" t="str">
        <f t="shared" si="13"/>
        <v/>
      </c>
      <c r="J181" s="187">
        <f t="shared" si="17"/>
        <v>-3</v>
      </c>
      <c r="K181" s="187">
        <f t="shared" si="14"/>
        <v>-30</v>
      </c>
      <c r="L181" s="187"/>
      <c r="M181" s="189">
        <f t="shared" si="15"/>
        <v>0</v>
      </c>
    </row>
    <row r="182" spans="1:13" x14ac:dyDescent="0.25">
      <c r="A182" s="204"/>
      <c r="G182" s="175"/>
      <c r="H182" s="187">
        <v>177</v>
      </c>
      <c r="I182" s="188" t="str">
        <f t="shared" si="13"/>
        <v/>
      </c>
      <c r="J182" s="187">
        <f t="shared" si="17"/>
        <v>-3</v>
      </c>
      <c r="K182" s="187">
        <f t="shared" si="14"/>
        <v>-30</v>
      </c>
      <c r="L182" s="187"/>
      <c r="M182" s="189">
        <f t="shared" si="15"/>
        <v>0</v>
      </c>
    </row>
    <row r="183" spans="1:13" x14ac:dyDescent="0.25">
      <c r="A183" s="204"/>
      <c r="G183" s="175"/>
      <c r="H183" s="190">
        <v>178</v>
      </c>
      <c r="I183" s="188" t="str">
        <f t="shared" si="13"/>
        <v/>
      </c>
      <c r="J183" s="187">
        <f t="shared" si="17"/>
        <v>-3</v>
      </c>
      <c r="K183" s="187">
        <f t="shared" si="14"/>
        <v>-30</v>
      </c>
      <c r="L183" s="187"/>
      <c r="M183" s="189">
        <f t="shared" si="15"/>
        <v>0</v>
      </c>
    </row>
    <row r="184" spans="1:13" x14ac:dyDescent="0.25">
      <c r="A184" s="204"/>
      <c r="G184" s="175"/>
      <c r="H184" s="187">
        <v>179</v>
      </c>
      <c r="I184" s="188" t="str">
        <f t="shared" si="13"/>
        <v/>
      </c>
      <c r="J184" s="187">
        <f t="shared" si="17"/>
        <v>-3</v>
      </c>
      <c r="K184" s="187">
        <f t="shared" si="14"/>
        <v>-30</v>
      </c>
      <c r="L184" s="187"/>
      <c r="M184" s="189">
        <f t="shared" si="15"/>
        <v>0</v>
      </c>
    </row>
    <row r="185" spans="1:13" x14ac:dyDescent="0.25">
      <c r="A185" s="204"/>
      <c r="G185" s="175"/>
      <c r="H185" s="190">
        <v>180</v>
      </c>
      <c r="I185" s="188" t="str">
        <f t="shared" si="13"/>
        <v/>
      </c>
      <c r="J185" s="187">
        <f t="shared" si="17"/>
        <v>-3</v>
      </c>
      <c r="K185" s="187">
        <f t="shared" si="14"/>
        <v>-30</v>
      </c>
      <c r="L185" s="187"/>
      <c r="M185" s="189">
        <f t="shared" si="15"/>
        <v>0</v>
      </c>
    </row>
    <row r="186" spans="1:13" x14ac:dyDescent="0.25">
      <c r="A186" s="204"/>
      <c r="G186" s="175"/>
      <c r="H186" s="187">
        <v>181</v>
      </c>
      <c r="I186" s="188" t="str">
        <f t="shared" si="13"/>
        <v/>
      </c>
      <c r="J186" s="187">
        <f t="shared" si="17"/>
        <v>-3</v>
      </c>
      <c r="K186" s="187">
        <f t="shared" si="14"/>
        <v>-30</v>
      </c>
      <c r="L186" s="187"/>
      <c r="M186" s="189">
        <f t="shared" si="15"/>
        <v>0</v>
      </c>
    </row>
    <row r="187" spans="1:13" x14ac:dyDescent="0.25">
      <c r="A187" s="204"/>
      <c r="G187" s="175"/>
      <c r="H187" s="190">
        <v>182</v>
      </c>
      <c r="I187" s="188" t="str">
        <f t="shared" si="13"/>
        <v/>
      </c>
      <c r="J187" s="187">
        <f t="shared" si="17"/>
        <v>-3</v>
      </c>
      <c r="K187" s="187">
        <f t="shared" si="14"/>
        <v>-30</v>
      </c>
      <c r="L187" s="187"/>
      <c r="M187" s="189">
        <f t="shared" si="15"/>
        <v>0</v>
      </c>
    </row>
    <row r="188" spans="1:13" x14ac:dyDescent="0.25">
      <c r="A188" s="204"/>
      <c r="G188" s="175"/>
      <c r="H188" s="187">
        <v>183</v>
      </c>
      <c r="I188" s="188" t="str">
        <f t="shared" si="13"/>
        <v/>
      </c>
      <c r="J188" s="187">
        <f t="shared" si="17"/>
        <v>-3</v>
      </c>
      <c r="K188" s="187">
        <f t="shared" si="14"/>
        <v>-30</v>
      </c>
      <c r="L188" s="187"/>
      <c r="M188" s="189">
        <f t="shared" si="15"/>
        <v>0</v>
      </c>
    </row>
    <row r="189" spans="1:13" x14ac:dyDescent="0.25">
      <c r="A189" s="204"/>
      <c r="G189" s="175"/>
      <c r="H189" s="190">
        <v>184</v>
      </c>
      <c r="I189" s="188" t="str">
        <f t="shared" si="13"/>
        <v/>
      </c>
      <c r="J189" s="187">
        <f t="shared" si="17"/>
        <v>-3</v>
      </c>
      <c r="K189" s="187">
        <f t="shared" si="14"/>
        <v>-30</v>
      </c>
      <c r="L189" s="187"/>
      <c r="M189" s="189">
        <f t="shared" si="15"/>
        <v>0</v>
      </c>
    </row>
    <row r="190" spans="1:13" x14ac:dyDescent="0.25">
      <c r="A190" s="204"/>
      <c r="G190" s="175"/>
      <c r="H190" s="187">
        <v>185</v>
      </c>
      <c r="I190" s="188" t="str">
        <f t="shared" si="13"/>
        <v/>
      </c>
      <c r="J190" s="187">
        <f t="shared" si="17"/>
        <v>-3</v>
      </c>
      <c r="K190" s="187">
        <f t="shared" si="14"/>
        <v>-30</v>
      </c>
      <c r="L190" s="187"/>
      <c r="M190" s="189">
        <f t="shared" si="15"/>
        <v>0</v>
      </c>
    </row>
    <row r="191" spans="1:13" x14ac:dyDescent="0.25">
      <c r="A191" s="204"/>
      <c r="G191" s="175"/>
      <c r="H191" s="190">
        <v>186</v>
      </c>
      <c r="I191" s="188" t="str">
        <f t="shared" si="13"/>
        <v/>
      </c>
      <c r="J191" s="187">
        <f t="shared" si="17"/>
        <v>-3</v>
      </c>
      <c r="K191" s="187">
        <f t="shared" si="14"/>
        <v>-30</v>
      </c>
      <c r="L191" s="187"/>
      <c r="M191" s="189">
        <f t="shared" si="15"/>
        <v>0</v>
      </c>
    </row>
    <row r="192" spans="1:13" x14ac:dyDescent="0.25">
      <c r="A192" s="204"/>
      <c r="G192" s="175"/>
      <c r="H192" s="187">
        <v>187</v>
      </c>
      <c r="I192" s="188" t="str">
        <f t="shared" si="13"/>
        <v/>
      </c>
      <c r="J192" s="187">
        <f t="shared" si="17"/>
        <v>-3</v>
      </c>
      <c r="K192" s="187">
        <f t="shared" si="14"/>
        <v>-30</v>
      </c>
      <c r="L192" s="187"/>
      <c r="M192" s="189">
        <f t="shared" si="15"/>
        <v>0</v>
      </c>
    </row>
    <row r="193" spans="1:13" x14ac:dyDescent="0.25">
      <c r="A193" s="204"/>
      <c r="G193" s="175"/>
      <c r="H193" s="190">
        <v>188</v>
      </c>
      <c r="I193" s="188" t="str">
        <f t="shared" si="13"/>
        <v/>
      </c>
      <c r="J193" s="187">
        <f t="shared" si="17"/>
        <v>-3</v>
      </c>
      <c r="K193" s="187">
        <f t="shared" si="14"/>
        <v>-30</v>
      </c>
      <c r="L193" s="187"/>
      <c r="M193" s="189">
        <f t="shared" si="15"/>
        <v>0</v>
      </c>
    </row>
    <row r="194" spans="1:13" x14ac:dyDescent="0.25">
      <c r="A194" s="204"/>
      <c r="G194" s="175"/>
      <c r="H194" s="187">
        <v>189</v>
      </c>
      <c r="I194" s="188" t="str">
        <f t="shared" si="13"/>
        <v/>
      </c>
      <c r="J194" s="187">
        <f t="shared" si="17"/>
        <v>-3</v>
      </c>
      <c r="K194" s="187">
        <f t="shared" si="14"/>
        <v>-30</v>
      </c>
      <c r="L194" s="187"/>
      <c r="M194" s="189">
        <f t="shared" si="15"/>
        <v>0</v>
      </c>
    </row>
    <row r="195" spans="1:13" x14ac:dyDescent="0.25">
      <c r="A195" s="204"/>
      <c r="G195" s="175"/>
      <c r="H195" s="190">
        <v>190</v>
      </c>
      <c r="I195" s="188" t="str">
        <f t="shared" si="13"/>
        <v/>
      </c>
      <c r="J195" s="187">
        <f t="shared" si="17"/>
        <v>-3</v>
      </c>
      <c r="K195" s="187">
        <f t="shared" si="14"/>
        <v>-30</v>
      </c>
      <c r="L195" s="187"/>
      <c r="M195" s="189">
        <f t="shared" si="15"/>
        <v>0</v>
      </c>
    </row>
    <row r="196" spans="1:13" x14ac:dyDescent="0.25">
      <c r="A196" s="204"/>
      <c r="G196" s="175"/>
      <c r="H196" s="187">
        <v>191</v>
      </c>
      <c r="I196" s="188" t="str">
        <f t="shared" si="13"/>
        <v/>
      </c>
      <c r="J196" s="187">
        <f t="shared" si="17"/>
        <v>-3</v>
      </c>
      <c r="K196" s="187">
        <f t="shared" si="14"/>
        <v>-30</v>
      </c>
      <c r="L196" s="187"/>
      <c r="M196" s="189">
        <f t="shared" si="15"/>
        <v>0</v>
      </c>
    </row>
    <row r="197" spans="1:13" x14ac:dyDescent="0.25">
      <c r="A197" s="204"/>
      <c r="G197" s="175"/>
      <c r="H197" s="190">
        <v>192</v>
      </c>
      <c r="I197" s="188" t="str">
        <f t="shared" si="13"/>
        <v/>
      </c>
      <c r="J197" s="187">
        <f t="shared" si="17"/>
        <v>-3</v>
      </c>
      <c r="K197" s="187">
        <f t="shared" si="14"/>
        <v>-30</v>
      </c>
      <c r="L197" s="187"/>
      <c r="M197" s="189">
        <f t="shared" si="15"/>
        <v>0</v>
      </c>
    </row>
    <row r="198" spans="1:13" x14ac:dyDescent="0.25">
      <c r="A198" s="204"/>
      <c r="G198" s="175"/>
      <c r="H198" s="187">
        <v>193</v>
      </c>
      <c r="I198" s="188" t="str">
        <f t="shared" ref="I198:I261" si="18">IF(H198&lt;$H$2+1,($I$2-($I$2-1)*(LOG(H198)/LOG($H$2))),"")</f>
        <v/>
      </c>
      <c r="J198" s="187">
        <f t="shared" si="17"/>
        <v>-3</v>
      </c>
      <c r="K198" s="187">
        <f t="shared" ref="K198:K261" si="19">J198*$J$2</f>
        <v>-30</v>
      </c>
      <c r="L198" s="187"/>
      <c r="M198" s="189">
        <f t="shared" ref="M198:M261" si="20">IF(I198&lt;&gt;"",K198+I198+L198,0)</f>
        <v>0</v>
      </c>
    </row>
    <row r="199" spans="1:13" x14ac:dyDescent="0.25">
      <c r="A199" s="204"/>
      <c r="G199" s="175"/>
      <c r="H199" s="190">
        <v>194</v>
      </c>
      <c r="I199" s="188" t="str">
        <f t="shared" si="18"/>
        <v/>
      </c>
      <c r="J199" s="187">
        <f t="shared" ref="J199:J262" si="21">INT(LOG($H$2,2))-ROUNDUP(LOG(H199,2),0)+IF(OR($H$2=1,$H$2=2,$H$2=4,$H$2=8,$H$2=16,$H$2=32,$H$2=64,$H$2=128,$H$2=256),0,1)</f>
        <v>-3</v>
      </c>
      <c r="K199" s="187">
        <f t="shared" si="19"/>
        <v>-30</v>
      </c>
      <c r="L199" s="187"/>
      <c r="M199" s="189">
        <f t="shared" si="20"/>
        <v>0</v>
      </c>
    </row>
    <row r="200" spans="1:13" x14ac:dyDescent="0.25">
      <c r="A200" s="204"/>
      <c r="G200" s="175"/>
      <c r="H200" s="187">
        <v>195</v>
      </c>
      <c r="I200" s="188" t="str">
        <f t="shared" si="18"/>
        <v/>
      </c>
      <c r="J200" s="187">
        <f t="shared" si="21"/>
        <v>-3</v>
      </c>
      <c r="K200" s="187">
        <f t="shared" si="19"/>
        <v>-30</v>
      </c>
      <c r="L200" s="187"/>
      <c r="M200" s="189">
        <f t="shared" si="20"/>
        <v>0</v>
      </c>
    </row>
    <row r="201" spans="1:13" x14ac:dyDescent="0.25">
      <c r="A201" s="204"/>
      <c r="G201" s="175"/>
      <c r="H201" s="190">
        <v>196</v>
      </c>
      <c r="I201" s="188" t="str">
        <f t="shared" si="18"/>
        <v/>
      </c>
      <c r="J201" s="187">
        <f t="shared" si="21"/>
        <v>-3</v>
      </c>
      <c r="K201" s="187">
        <f t="shared" si="19"/>
        <v>-30</v>
      </c>
      <c r="L201" s="187"/>
      <c r="M201" s="189">
        <f t="shared" si="20"/>
        <v>0</v>
      </c>
    </row>
    <row r="202" spans="1:13" x14ac:dyDescent="0.25">
      <c r="A202" s="204"/>
      <c r="G202" s="175"/>
      <c r="H202" s="187">
        <v>197</v>
      </c>
      <c r="I202" s="188" t="str">
        <f t="shared" si="18"/>
        <v/>
      </c>
      <c r="J202" s="187">
        <f t="shared" si="21"/>
        <v>-3</v>
      </c>
      <c r="K202" s="187">
        <f t="shared" si="19"/>
        <v>-30</v>
      </c>
      <c r="L202" s="187"/>
      <c r="M202" s="189">
        <f t="shared" si="20"/>
        <v>0</v>
      </c>
    </row>
    <row r="203" spans="1:13" x14ac:dyDescent="0.25">
      <c r="A203" s="204"/>
      <c r="G203" s="175"/>
      <c r="H203" s="190">
        <v>198</v>
      </c>
      <c r="I203" s="188" t="str">
        <f t="shared" si="18"/>
        <v/>
      </c>
      <c r="J203" s="187">
        <f t="shared" si="21"/>
        <v>-3</v>
      </c>
      <c r="K203" s="187">
        <f t="shared" si="19"/>
        <v>-30</v>
      </c>
      <c r="L203" s="187"/>
      <c r="M203" s="189">
        <f t="shared" si="20"/>
        <v>0</v>
      </c>
    </row>
    <row r="204" spans="1:13" x14ac:dyDescent="0.25">
      <c r="A204" s="204"/>
      <c r="G204" s="175"/>
      <c r="H204" s="187">
        <v>199</v>
      </c>
      <c r="I204" s="188" t="str">
        <f t="shared" si="18"/>
        <v/>
      </c>
      <c r="J204" s="187">
        <f t="shared" si="21"/>
        <v>-3</v>
      </c>
      <c r="K204" s="187">
        <f t="shared" si="19"/>
        <v>-30</v>
      </c>
      <c r="L204" s="187"/>
      <c r="M204" s="189">
        <f t="shared" si="20"/>
        <v>0</v>
      </c>
    </row>
    <row r="205" spans="1:13" x14ac:dyDescent="0.25">
      <c r="A205" s="204"/>
      <c r="G205" s="175"/>
      <c r="H205" s="190">
        <v>200</v>
      </c>
      <c r="I205" s="188" t="str">
        <f t="shared" si="18"/>
        <v/>
      </c>
      <c r="J205" s="187">
        <f t="shared" si="21"/>
        <v>-3</v>
      </c>
      <c r="K205" s="187">
        <f t="shared" si="19"/>
        <v>-30</v>
      </c>
      <c r="L205" s="187"/>
      <c r="M205" s="189">
        <f t="shared" si="20"/>
        <v>0</v>
      </c>
    </row>
    <row r="206" spans="1:13" x14ac:dyDescent="0.25">
      <c r="A206" s="204"/>
      <c r="G206" s="175"/>
      <c r="H206" s="187">
        <v>201</v>
      </c>
      <c r="I206" s="188" t="str">
        <f t="shared" si="18"/>
        <v/>
      </c>
      <c r="J206" s="187">
        <f t="shared" si="21"/>
        <v>-3</v>
      </c>
      <c r="K206" s="187">
        <f t="shared" si="19"/>
        <v>-30</v>
      </c>
      <c r="L206" s="187"/>
      <c r="M206" s="189">
        <f t="shared" si="20"/>
        <v>0</v>
      </c>
    </row>
    <row r="207" spans="1:13" x14ac:dyDescent="0.25">
      <c r="A207" s="204"/>
      <c r="G207" s="175"/>
      <c r="H207" s="190">
        <v>202</v>
      </c>
      <c r="I207" s="188" t="str">
        <f t="shared" si="18"/>
        <v/>
      </c>
      <c r="J207" s="187">
        <f t="shared" si="21"/>
        <v>-3</v>
      </c>
      <c r="K207" s="187">
        <f t="shared" si="19"/>
        <v>-30</v>
      </c>
      <c r="L207" s="187"/>
      <c r="M207" s="189">
        <f t="shared" si="20"/>
        <v>0</v>
      </c>
    </row>
    <row r="208" spans="1:13" x14ac:dyDescent="0.25">
      <c r="A208" s="204"/>
      <c r="G208" s="175"/>
      <c r="H208" s="187">
        <v>203</v>
      </c>
      <c r="I208" s="188" t="str">
        <f t="shared" si="18"/>
        <v/>
      </c>
      <c r="J208" s="187">
        <f t="shared" si="21"/>
        <v>-3</v>
      </c>
      <c r="K208" s="187">
        <f t="shared" si="19"/>
        <v>-30</v>
      </c>
      <c r="L208" s="187"/>
      <c r="M208" s="189">
        <f t="shared" si="20"/>
        <v>0</v>
      </c>
    </row>
    <row r="209" spans="1:13" x14ac:dyDescent="0.25">
      <c r="A209" s="204"/>
      <c r="G209" s="175"/>
      <c r="H209" s="190">
        <v>204</v>
      </c>
      <c r="I209" s="188" t="str">
        <f t="shared" si="18"/>
        <v/>
      </c>
      <c r="J209" s="187">
        <f t="shared" si="21"/>
        <v>-3</v>
      </c>
      <c r="K209" s="187">
        <f t="shared" si="19"/>
        <v>-30</v>
      </c>
      <c r="L209" s="187"/>
      <c r="M209" s="189">
        <f t="shared" si="20"/>
        <v>0</v>
      </c>
    </row>
    <row r="210" spans="1:13" x14ac:dyDescent="0.25">
      <c r="A210" s="204"/>
      <c r="G210" s="175"/>
      <c r="H210" s="187">
        <v>205</v>
      </c>
      <c r="I210" s="188" t="str">
        <f t="shared" si="18"/>
        <v/>
      </c>
      <c r="J210" s="187">
        <f t="shared" si="21"/>
        <v>-3</v>
      </c>
      <c r="K210" s="187">
        <f t="shared" si="19"/>
        <v>-30</v>
      </c>
      <c r="L210" s="187"/>
      <c r="M210" s="189">
        <f t="shared" si="20"/>
        <v>0</v>
      </c>
    </row>
    <row r="211" spans="1:13" x14ac:dyDescent="0.25">
      <c r="A211" s="204"/>
      <c r="G211" s="175"/>
      <c r="H211" s="190">
        <v>206</v>
      </c>
      <c r="I211" s="188" t="str">
        <f t="shared" si="18"/>
        <v/>
      </c>
      <c r="J211" s="187">
        <f t="shared" si="21"/>
        <v>-3</v>
      </c>
      <c r="K211" s="187">
        <f t="shared" si="19"/>
        <v>-30</v>
      </c>
      <c r="L211" s="187"/>
      <c r="M211" s="189">
        <f t="shared" si="20"/>
        <v>0</v>
      </c>
    </row>
    <row r="212" spans="1:13" x14ac:dyDescent="0.25">
      <c r="A212" s="204"/>
      <c r="G212" s="175"/>
      <c r="H212" s="187">
        <v>207</v>
      </c>
      <c r="I212" s="188" t="str">
        <f t="shared" si="18"/>
        <v/>
      </c>
      <c r="J212" s="187">
        <f t="shared" si="21"/>
        <v>-3</v>
      </c>
      <c r="K212" s="187">
        <f t="shared" si="19"/>
        <v>-30</v>
      </c>
      <c r="L212" s="187"/>
      <c r="M212" s="189">
        <f t="shared" si="20"/>
        <v>0</v>
      </c>
    </row>
    <row r="213" spans="1:13" x14ac:dyDescent="0.25">
      <c r="A213" s="204"/>
      <c r="G213" s="175"/>
      <c r="H213" s="190">
        <v>208</v>
      </c>
      <c r="I213" s="188" t="str">
        <f t="shared" si="18"/>
        <v/>
      </c>
      <c r="J213" s="187">
        <f t="shared" si="21"/>
        <v>-3</v>
      </c>
      <c r="K213" s="187">
        <f t="shared" si="19"/>
        <v>-30</v>
      </c>
      <c r="L213" s="187"/>
      <c r="M213" s="189">
        <f t="shared" si="20"/>
        <v>0</v>
      </c>
    </row>
    <row r="214" spans="1:13" x14ac:dyDescent="0.25">
      <c r="A214" s="204"/>
      <c r="G214" s="175"/>
      <c r="H214" s="187">
        <v>209</v>
      </c>
      <c r="I214" s="188" t="str">
        <f t="shared" si="18"/>
        <v/>
      </c>
      <c r="J214" s="187">
        <f t="shared" si="21"/>
        <v>-3</v>
      </c>
      <c r="K214" s="187">
        <f t="shared" si="19"/>
        <v>-30</v>
      </c>
      <c r="L214" s="187"/>
      <c r="M214" s="189">
        <f t="shared" si="20"/>
        <v>0</v>
      </c>
    </row>
    <row r="215" spans="1:13" x14ac:dyDescent="0.25">
      <c r="A215" s="204"/>
      <c r="G215" s="175"/>
      <c r="H215" s="190">
        <v>210</v>
      </c>
      <c r="I215" s="188" t="str">
        <f t="shared" si="18"/>
        <v/>
      </c>
      <c r="J215" s="187">
        <f t="shared" si="21"/>
        <v>-3</v>
      </c>
      <c r="K215" s="187">
        <f t="shared" si="19"/>
        <v>-30</v>
      </c>
      <c r="L215" s="187"/>
      <c r="M215" s="189">
        <f t="shared" si="20"/>
        <v>0</v>
      </c>
    </row>
    <row r="216" spans="1:13" x14ac:dyDescent="0.25">
      <c r="A216" s="204"/>
      <c r="G216" s="175"/>
      <c r="H216" s="187">
        <v>211</v>
      </c>
      <c r="I216" s="188" t="str">
        <f t="shared" si="18"/>
        <v/>
      </c>
      <c r="J216" s="187">
        <f t="shared" si="21"/>
        <v>-3</v>
      </c>
      <c r="K216" s="187">
        <f t="shared" si="19"/>
        <v>-30</v>
      </c>
      <c r="L216" s="187"/>
      <c r="M216" s="189">
        <f t="shared" si="20"/>
        <v>0</v>
      </c>
    </row>
    <row r="217" spans="1:13" x14ac:dyDescent="0.25">
      <c r="A217" s="204"/>
      <c r="G217" s="175"/>
      <c r="H217" s="190">
        <v>212</v>
      </c>
      <c r="I217" s="188" t="str">
        <f t="shared" si="18"/>
        <v/>
      </c>
      <c r="J217" s="187">
        <f t="shared" si="21"/>
        <v>-3</v>
      </c>
      <c r="K217" s="187">
        <f t="shared" si="19"/>
        <v>-30</v>
      </c>
      <c r="L217" s="187"/>
      <c r="M217" s="189">
        <f t="shared" si="20"/>
        <v>0</v>
      </c>
    </row>
    <row r="218" spans="1:13" x14ac:dyDescent="0.25">
      <c r="A218" s="204"/>
      <c r="G218" s="175"/>
      <c r="H218" s="187">
        <v>213</v>
      </c>
      <c r="I218" s="188" t="str">
        <f t="shared" si="18"/>
        <v/>
      </c>
      <c r="J218" s="187">
        <f t="shared" si="21"/>
        <v>-3</v>
      </c>
      <c r="K218" s="187">
        <f t="shared" si="19"/>
        <v>-30</v>
      </c>
      <c r="L218" s="187"/>
      <c r="M218" s="189">
        <f t="shared" si="20"/>
        <v>0</v>
      </c>
    </row>
    <row r="219" spans="1:13" x14ac:dyDescent="0.25">
      <c r="A219" s="204"/>
      <c r="G219" s="175"/>
      <c r="H219" s="190">
        <v>214</v>
      </c>
      <c r="I219" s="188" t="str">
        <f t="shared" si="18"/>
        <v/>
      </c>
      <c r="J219" s="187">
        <f t="shared" si="21"/>
        <v>-3</v>
      </c>
      <c r="K219" s="187">
        <f t="shared" si="19"/>
        <v>-30</v>
      </c>
      <c r="L219" s="187"/>
      <c r="M219" s="189">
        <f t="shared" si="20"/>
        <v>0</v>
      </c>
    </row>
    <row r="220" spans="1:13" x14ac:dyDescent="0.25">
      <c r="A220" s="204"/>
      <c r="G220" s="175"/>
      <c r="H220" s="187">
        <v>215</v>
      </c>
      <c r="I220" s="188" t="str">
        <f t="shared" si="18"/>
        <v/>
      </c>
      <c r="J220" s="187">
        <f t="shared" si="21"/>
        <v>-3</v>
      </c>
      <c r="K220" s="187">
        <f t="shared" si="19"/>
        <v>-30</v>
      </c>
      <c r="L220" s="187"/>
      <c r="M220" s="189">
        <f t="shared" si="20"/>
        <v>0</v>
      </c>
    </row>
    <row r="221" spans="1:13" x14ac:dyDescent="0.25">
      <c r="A221" s="204"/>
      <c r="G221" s="175"/>
      <c r="H221" s="190">
        <v>216</v>
      </c>
      <c r="I221" s="188" t="str">
        <f t="shared" si="18"/>
        <v/>
      </c>
      <c r="J221" s="187">
        <f t="shared" si="21"/>
        <v>-3</v>
      </c>
      <c r="K221" s="187">
        <f t="shared" si="19"/>
        <v>-30</v>
      </c>
      <c r="L221" s="187"/>
      <c r="M221" s="189">
        <f t="shared" si="20"/>
        <v>0</v>
      </c>
    </row>
    <row r="222" spans="1:13" x14ac:dyDescent="0.25">
      <c r="A222" s="204"/>
      <c r="G222" s="175"/>
      <c r="H222" s="187">
        <v>217</v>
      </c>
      <c r="I222" s="188" t="str">
        <f t="shared" si="18"/>
        <v/>
      </c>
      <c r="J222" s="187">
        <f t="shared" si="21"/>
        <v>-3</v>
      </c>
      <c r="K222" s="187">
        <f t="shared" si="19"/>
        <v>-30</v>
      </c>
      <c r="L222" s="187"/>
      <c r="M222" s="189">
        <f t="shared" si="20"/>
        <v>0</v>
      </c>
    </row>
    <row r="223" spans="1:13" x14ac:dyDescent="0.25">
      <c r="A223" s="204"/>
      <c r="G223" s="175"/>
      <c r="H223" s="190">
        <v>218</v>
      </c>
      <c r="I223" s="188" t="str">
        <f t="shared" si="18"/>
        <v/>
      </c>
      <c r="J223" s="187">
        <f t="shared" si="21"/>
        <v>-3</v>
      </c>
      <c r="K223" s="187">
        <f t="shared" si="19"/>
        <v>-30</v>
      </c>
      <c r="L223" s="187"/>
      <c r="M223" s="189">
        <f t="shared" si="20"/>
        <v>0</v>
      </c>
    </row>
    <row r="224" spans="1:13" x14ac:dyDescent="0.25">
      <c r="A224" s="204"/>
      <c r="G224" s="175"/>
      <c r="H224" s="187">
        <v>219</v>
      </c>
      <c r="I224" s="188" t="str">
        <f t="shared" si="18"/>
        <v/>
      </c>
      <c r="J224" s="187">
        <f t="shared" si="21"/>
        <v>-3</v>
      </c>
      <c r="K224" s="187">
        <f t="shared" si="19"/>
        <v>-30</v>
      </c>
      <c r="L224" s="187"/>
      <c r="M224" s="189">
        <f t="shared" si="20"/>
        <v>0</v>
      </c>
    </row>
    <row r="225" spans="1:13" x14ac:dyDescent="0.25">
      <c r="A225" s="204"/>
      <c r="G225" s="175"/>
      <c r="H225" s="190">
        <v>220</v>
      </c>
      <c r="I225" s="188" t="str">
        <f t="shared" si="18"/>
        <v/>
      </c>
      <c r="J225" s="187">
        <f t="shared" si="21"/>
        <v>-3</v>
      </c>
      <c r="K225" s="187">
        <f t="shared" si="19"/>
        <v>-30</v>
      </c>
      <c r="L225" s="187"/>
      <c r="M225" s="189">
        <f t="shared" si="20"/>
        <v>0</v>
      </c>
    </row>
    <row r="226" spans="1:13" x14ac:dyDescent="0.25">
      <c r="A226" s="204"/>
      <c r="G226" s="175"/>
      <c r="H226" s="187">
        <v>221</v>
      </c>
      <c r="I226" s="188" t="str">
        <f t="shared" si="18"/>
        <v/>
      </c>
      <c r="J226" s="187">
        <f t="shared" si="21"/>
        <v>-3</v>
      </c>
      <c r="K226" s="187">
        <f t="shared" si="19"/>
        <v>-30</v>
      </c>
      <c r="L226" s="187"/>
      <c r="M226" s="189">
        <f t="shared" si="20"/>
        <v>0</v>
      </c>
    </row>
    <row r="227" spans="1:13" x14ac:dyDescent="0.25">
      <c r="A227" s="204"/>
      <c r="G227" s="175"/>
      <c r="H227" s="190">
        <v>222</v>
      </c>
      <c r="I227" s="188" t="str">
        <f t="shared" si="18"/>
        <v/>
      </c>
      <c r="J227" s="187">
        <f t="shared" si="21"/>
        <v>-3</v>
      </c>
      <c r="K227" s="187">
        <f t="shared" si="19"/>
        <v>-30</v>
      </c>
      <c r="L227" s="187"/>
      <c r="M227" s="189">
        <f t="shared" si="20"/>
        <v>0</v>
      </c>
    </row>
    <row r="228" spans="1:13" x14ac:dyDescent="0.25">
      <c r="A228" s="204"/>
      <c r="G228" s="175"/>
      <c r="H228" s="187">
        <v>223</v>
      </c>
      <c r="I228" s="188" t="str">
        <f t="shared" si="18"/>
        <v/>
      </c>
      <c r="J228" s="187">
        <f t="shared" si="21"/>
        <v>-3</v>
      </c>
      <c r="K228" s="187">
        <f t="shared" si="19"/>
        <v>-30</v>
      </c>
      <c r="L228" s="187"/>
      <c r="M228" s="189">
        <f t="shared" si="20"/>
        <v>0</v>
      </c>
    </row>
    <row r="229" spans="1:13" x14ac:dyDescent="0.25">
      <c r="A229" s="204"/>
      <c r="G229" s="175"/>
      <c r="H229" s="190">
        <v>224</v>
      </c>
      <c r="I229" s="188" t="str">
        <f t="shared" si="18"/>
        <v/>
      </c>
      <c r="J229" s="187">
        <f t="shared" si="21"/>
        <v>-3</v>
      </c>
      <c r="K229" s="187">
        <f t="shared" si="19"/>
        <v>-30</v>
      </c>
      <c r="L229" s="187"/>
      <c r="M229" s="189">
        <f t="shared" si="20"/>
        <v>0</v>
      </c>
    </row>
    <row r="230" spans="1:13" x14ac:dyDescent="0.25">
      <c r="A230" s="204"/>
      <c r="G230" s="175"/>
      <c r="H230" s="187">
        <v>225</v>
      </c>
      <c r="I230" s="188" t="str">
        <f t="shared" si="18"/>
        <v/>
      </c>
      <c r="J230" s="187">
        <f t="shared" si="21"/>
        <v>-3</v>
      </c>
      <c r="K230" s="187">
        <f t="shared" si="19"/>
        <v>-30</v>
      </c>
      <c r="L230" s="187"/>
      <c r="M230" s="189">
        <f t="shared" si="20"/>
        <v>0</v>
      </c>
    </row>
    <row r="231" spans="1:13" x14ac:dyDescent="0.25">
      <c r="A231" s="204"/>
      <c r="G231" s="175"/>
      <c r="H231" s="190">
        <v>226</v>
      </c>
      <c r="I231" s="188" t="str">
        <f t="shared" si="18"/>
        <v/>
      </c>
      <c r="J231" s="187">
        <f t="shared" si="21"/>
        <v>-3</v>
      </c>
      <c r="K231" s="187">
        <f t="shared" si="19"/>
        <v>-30</v>
      </c>
      <c r="L231" s="187"/>
      <c r="M231" s="189">
        <f t="shared" si="20"/>
        <v>0</v>
      </c>
    </row>
    <row r="232" spans="1:13" x14ac:dyDescent="0.25">
      <c r="A232" s="204"/>
      <c r="G232" s="175"/>
      <c r="H232" s="187">
        <v>227</v>
      </c>
      <c r="I232" s="188" t="str">
        <f t="shared" si="18"/>
        <v/>
      </c>
      <c r="J232" s="187">
        <f t="shared" si="21"/>
        <v>-3</v>
      </c>
      <c r="K232" s="187">
        <f t="shared" si="19"/>
        <v>-30</v>
      </c>
      <c r="L232" s="187"/>
      <c r="M232" s="189">
        <f t="shared" si="20"/>
        <v>0</v>
      </c>
    </row>
    <row r="233" spans="1:13" x14ac:dyDescent="0.25">
      <c r="A233" s="204"/>
      <c r="G233" s="175"/>
      <c r="H233" s="190">
        <v>228</v>
      </c>
      <c r="I233" s="188" t="str">
        <f t="shared" si="18"/>
        <v/>
      </c>
      <c r="J233" s="187">
        <f t="shared" si="21"/>
        <v>-3</v>
      </c>
      <c r="K233" s="187">
        <f t="shared" si="19"/>
        <v>-30</v>
      </c>
      <c r="L233" s="187"/>
      <c r="M233" s="189">
        <f t="shared" si="20"/>
        <v>0</v>
      </c>
    </row>
    <row r="234" spans="1:13" x14ac:dyDescent="0.25">
      <c r="A234" s="204"/>
      <c r="G234" s="175"/>
      <c r="H234" s="187">
        <v>229</v>
      </c>
      <c r="I234" s="188" t="str">
        <f t="shared" si="18"/>
        <v/>
      </c>
      <c r="J234" s="187">
        <f t="shared" si="21"/>
        <v>-3</v>
      </c>
      <c r="K234" s="187">
        <f t="shared" si="19"/>
        <v>-30</v>
      </c>
      <c r="L234" s="187"/>
      <c r="M234" s="189">
        <f t="shared" si="20"/>
        <v>0</v>
      </c>
    </row>
    <row r="235" spans="1:13" x14ac:dyDescent="0.25">
      <c r="A235" s="204"/>
      <c r="G235" s="175"/>
      <c r="H235" s="190">
        <v>230</v>
      </c>
      <c r="I235" s="188" t="str">
        <f t="shared" si="18"/>
        <v/>
      </c>
      <c r="J235" s="187">
        <f t="shared" si="21"/>
        <v>-3</v>
      </c>
      <c r="K235" s="187">
        <f t="shared" si="19"/>
        <v>-30</v>
      </c>
      <c r="L235" s="187"/>
      <c r="M235" s="189">
        <f t="shared" si="20"/>
        <v>0</v>
      </c>
    </row>
    <row r="236" spans="1:13" x14ac:dyDescent="0.25">
      <c r="A236" s="204"/>
      <c r="G236" s="175"/>
      <c r="H236" s="187">
        <v>231</v>
      </c>
      <c r="I236" s="188" t="str">
        <f t="shared" si="18"/>
        <v/>
      </c>
      <c r="J236" s="187">
        <f t="shared" si="21"/>
        <v>-3</v>
      </c>
      <c r="K236" s="187">
        <f t="shared" si="19"/>
        <v>-30</v>
      </c>
      <c r="L236" s="187"/>
      <c r="M236" s="189">
        <f t="shared" si="20"/>
        <v>0</v>
      </c>
    </row>
    <row r="237" spans="1:13" x14ac:dyDescent="0.25">
      <c r="A237" s="204"/>
      <c r="G237" s="175"/>
      <c r="H237" s="190">
        <v>232</v>
      </c>
      <c r="I237" s="188" t="str">
        <f t="shared" si="18"/>
        <v/>
      </c>
      <c r="J237" s="187">
        <f t="shared" si="21"/>
        <v>-3</v>
      </c>
      <c r="K237" s="187">
        <f t="shared" si="19"/>
        <v>-30</v>
      </c>
      <c r="L237" s="187"/>
      <c r="M237" s="189">
        <f t="shared" si="20"/>
        <v>0</v>
      </c>
    </row>
    <row r="238" spans="1:13" x14ac:dyDescent="0.25">
      <c r="A238" s="204"/>
      <c r="G238" s="175"/>
      <c r="H238" s="187">
        <v>233</v>
      </c>
      <c r="I238" s="188" t="str">
        <f t="shared" si="18"/>
        <v/>
      </c>
      <c r="J238" s="187">
        <f t="shared" si="21"/>
        <v>-3</v>
      </c>
      <c r="K238" s="187">
        <f t="shared" si="19"/>
        <v>-30</v>
      </c>
      <c r="L238" s="187"/>
      <c r="M238" s="189">
        <f t="shared" si="20"/>
        <v>0</v>
      </c>
    </row>
    <row r="239" spans="1:13" x14ac:dyDescent="0.25">
      <c r="A239" s="204"/>
      <c r="G239" s="175"/>
      <c r="H239" s="190">
        <v>234</v>
      </c>
      <c r="I239" s="188" t="str">
        <f t="shared" si="18"/>
        <v/>
      </c>
      <c r="J239" s="187">
        <f t="shared" si="21"/>
        <v>-3</v>
      </c>
      <c r="K239" s="187">
        <f t="shared" si="19"/>
        <v>-30</v>
      </c>
      <c r="L239" s="187"/>
      <c r="M239" s="189">
        <f t="shared" si="20"/>
        <v>0</v>
      </c>
    </row>
    <row r="240" spans="1:13" x14ac:dyDescent="0.25">
      <c r="A240" s="204"/>
      <c r="G240" s="175"/>
      <c r="H240" s="187">
        <v>235</v>
      </c>
      <c r="I240" s="188" t="str">
        <f t="shared" si="18"/>
        <v/>
      </c>
      <c r="J240" s="187">
        <f t="shared" si="21"/>
        <v>-3</v>
      </c>
      <c r="K240" s="187">
        <f t="shared" si="19"/>
        <v>-30</v>
      </c>
      <c r="L240" s="187"/>
      <c r="M240" s="189">
        <f t="shared" si="20"/>
        <v>0</v>
      </c>
    </row>
    <row r="241" spans="1:13" x14ac:dyDescent="0.25">
      <c r="A241" s="204"/>
      <c r="G241" s="175"/>
      <c r="H241" s="190">
        <v>236</v>
      </c>
      <c r="I241" s="188" t="str">
        <f t="shared" si="18"/>
        <v/>
      </c>
      <c r="J241" s="187">
        <f t="shared" si="21"/>
        <v>-3</v>
      </c>
      <c r="K241" s="187">
        <f t="shared" si="19"/>
        <v>-30</v>
      </c>
      <c r="L241" s="187"/>
      <c r="M241" s="189">
        <f t="shared" si="20"/>
        <v>0</v>
      </c>
    </row>
    <row r="242" spans="1:13" x14ac:dyDescent="0.25">
      <c r="A242" s="204"/>
      <c r="G242" s="175"/>
      <c r="H242" s="187">
        <v>237</v>
      </c>
      <c r="I242" s="188" t="str">
        <f t="shared" si="18"/>
        <v/>
      </c>
      <c r="J242" s="187">
        <f t="shared" si="21"/>
        <v>-3</v>
      </c>
      <c r="K242" s="187">
        <f t="shared" si="19"/>
        <v>-30</v>
      </c>
      <c r="L242" s="187"/>
      <c r="M242" s="189">
        <f t="shared" si="20"/>
        <v>0</v>
      </c>
    </row>
    <row r="243" spans="1:13" x14ac:dyDescent="0.25">
      <c r="A243" s="204"/>
      <c r="G243" s="175"/>
      <c r="H243" s="190">
        <v>238</v>
      </c>
      <c r="I243" s="188" t="str">
        <f t="shared" si="18"/>
        <v/>
      </c>
      <c r="J243" s="187">
        <f t="shared" si="21"/>
        <v>-3</v>
      </c>
      <c r="K243" s="187">
        <f t="shared" si="19"/>
        <v>-30</v>
      </c>
      <c r="L243" s="187"/>
      <c r="M243" s="189">
        <f t="shared" si="20"/>
        <v>0</v>
      </c>
    </row>
    <row r="244" spans="1:13" x14ac:dyDescent="0.25">
      <c r="A244" s="204"/>
      <c r="G244" s="175"/>
      <c r="H244" s="187">
        <v>239</v>
      </c>
      <c r="I244" s="188" t="str">
        <f t="shared" si="18"/>
        <v/>
      </c>
      <c r="J244" s="187">
        <f t="shared" si="21"/>
        <v>-3</v>
      </c>
      <c r="K244" s="187">
        <f t="shared" si="19"/>
        <v>-30</v>
      </c>
      <c r="L244" s="187"/>
      <c r="M244" s="189">
        <f t="shared" si="20"/>
        <v>0</v>
      </c>
    </row>
    <row r="245" spans="1:13" x14ac:dyDescent="0.25">
      <c r="A245" s="204"/>
      <c r="G245" s="175"/>
      <c r="H245" s="190">
        <v>240</v>
      </c>
      <c r="I245" s="188" t="str">
        <f t="shared" si="18"/>
        <v/>
      </c>
      <c r="J245" s="187">
        <f t="shared" si="21"/>
        <v>-3</v>
      </c>
      <c r="K245" s="187">
        <f t="shared" si="19"/>
        <v>-30</v>
      </c>
      <c r="L245" s="187"/>
      <c r="M245" s="189">
        <f t="shared" si="20"/>
        <v>0</v>
      </c>
    </row>
    <row r="246" spans="1:13" x14ac:dyDescent="0.25">
      <c r="A246" s="204"/>
      <c r="G246" s="175"/>
      <c r="H246" s="187">
        <v>241</v>
      </c>
      <c r="I246" s="188" t="str">
        <f t="shared" si="18"/>
        <v/>
      </c>
      <c r="J246" s="187">
        <f t="shared" si="21"/>
        <v>-3</v>
      </c>
      <c r="K246" s="187">
        <f t="shared" si="19"/>
        <v>-30</v>
      </c>
      <c r="L246" s="187"/>
      <c r="M246" s="189">
        <f t="shared" si="20"/>
        <v>0</v>
      </c>
    </row>
    <row r="247" spans="1:13" x14ac:dyDescent="0.25">
      <c r="A247" s="204"/>
      <c r="G247" s="175"/>
      <c r="H247" s="190">
        <v>242</v>
      </c>
      <c r="I247" s="188" t="str">
        <f t="shared" si="18"/>
        <v/>
      </c>
      <c r="J247" s="187">
        <f t="shared" si="21"/>
        <v>-3</v>
      </c>
      <c r="K247" s="187">
        <f t="shared" si="19"/>
        <v>-30</v>
      </c>
      <c r="L247" s="187"/>
      <c r="M247" s="189">
        <f t="shared" si="20"/>
        <v>0</v>
      </c>
    </row>
    <row r="248" spans="1:13" x14ac:dyDescent="0.25">
      <c r="A248" s="204"/>
      <c r="G248" s="175"/>
      <c r="H248" s="187">
        <v>243</v>
      </c>
      <c r="I248" s="188" t="str">
        <f t="shared" si="18"/>
        <v/>
      </c>
      <c r="J248" s="187">
        <f t="shared" si="21"/>
        <v>-3</v>
      </c>
      <c r="K248" s="187">
        <f t="shared" si="19"/>
        <v>-30</v>
      </c>
      <c r="L248" s="187"/>
      <c r="M248" s="189">
        <f t="shared" si="20"/>
        <v>0</v>
      </c>
    </row>
    <row r="249" spans="1:13" x14ac:dyDescent="0.25">
      <c r="A249" s="204"/>
      <c r="G249" s="175"/>
      <c r="H249" s="190">
        <v>244</v>
      </c>
      <c r="I249" s="188" t="str">
        <f t="shared" si="18"/>
        <v/>
      </c>
      <c r="J249" s="187">
        <f t="shared" si="21"/>
        <v>-3</v>
      </c>
      <c r="K249" s="187">
        <f t="shared" si="19"/>
        <v>-30</v>
      </c>
      <c r="L249" s="187"/>
      <c r="M249" s="189">
        <f t="shared" si="20"/>
        <v>0</v>
      </c>
    </row>
    <row r="250" spans="1:13" x14ac:dyDescent="0.25">
      <c r="A250" s="204"/>
      <c r="G250" s="175"/>
      <c r="H250" s="187">
        <v>245</v>
      </c>
      <c r="I250" s="188" t="str">
        <f t="shared" si="18"/>
        <v/>
      </c>
      <c r="J250" s="187">
        <f t="shared" si="21"/>
        <v>-3</v>
      </c>
      <c r="K250" s="187">
        <f t="shared" si="19"/>
        <v>-30</v>
      </c>
      <c r="L250" s="187"/>
      <c r="M250" s="189">
        <f t="shared" si="20"/>
        <v>0</v>
      </c>
    </row>
    <row r="251" spans="1:13" x14ac:dyDescent="0.25">
      <c r="A251" s="204"/>
      <c r="G251" s="175"/>
      <c r="H251" s="190">
        <v>246</v>
      </c>
      <c r="I251" s="188" t="str">
        <f t="shared" si="18"/>
        <v/>
      </c>
      <c r="J251" s="187">
        <f t="shared" si="21"/>
        <v>-3</v>
      </c>
      <c r="K251" s="187">
        <f t="shared" si="19"/>
        <v>-30</v>
      </c>
      <c r="L251" s="187"/>
      <c r="M251" s="189">
        <f t="shared" si="20"/>
        <v>0</v>
      </c>
    </row>
    <row r="252" spans="1:13" x14ac:dyDescent="0.25">
      <c r="A252" s="204"/>
      <c r="G252" s="175"/>
      <c r="H252" s="187">
        <v>247</v>
      </c>
      <c r="I252" s="188" t="str">
        <f t="shared" si="18"/>
        <v/>
      </c>
      <c r="J252" s="187">
        <f t="shared" si="21"/>
        <v>-3</v>
      </c>
      <c r="K252" s="187">
        <f t="shared" si="19"/>
        <v>-30</v>
      </c>
      <c r="L252" s="187"/>
      <c r="M252" s="189">
        <f t="shared" si="20"/>
        <v>0</v>
      </c>
    </row>
    <row r="253" spans="1:13" x14ac:dyDescent="0.25">
      <c r="A253" s="204"/>
      <c r="G253" s="175"/>
      <c r="H253" s="190">
        <v>248</v>
      </c>
      <c r="I253" s="188" t="str">
        <f t="shared" si="18"/>
        <v/>
      </c>
      <c r="J253" s="187">
        <f t="shared" si="21"/>
        <v>-3</v>
      </c>
      <c r="K253" s="187">
        <f t="shared" si="19"/>
        <v>-30</v>
      </c>
      <c r="L253" s="187"/>
      <c r="M253" s="189">
        <f t="shared" si="20"/>
        <v>0</v>
      </c>
    </row>
    <row r="254" spans="1:13" x14ac:dyDescent="0.25">
      <c r="A254" s="204"/>
      <c r="G254" s="175"/>
      <c r="H254" s="187">
        <v>249</v>
      </c>
      <c r="I254" s="188" t="str">
        <f t="shared" si="18"/>
        <v/>
      </c>
      <c r="J254" s="187">
        <f t="shared" si="21"/>
        <v>-3</v>
      </c>
      <c r="K254" s="187">
        <f t="shared" si="19"/>
        <v>-30</v>
      </c>
      <c r="L254" s="187"/>
      <c r="M254" s="189">
        <f t="shared" si="20"/>
        <v>0</v>
      </c>
    </row>
    <row r="255" spans="1:13" x14ac:dyDescent="0.25">
      <c r="A255" s="204"/>
      <c r="G255" s="175"/>
      <c r="H255" s="190">
        <v>250</v>
      </c>
      <c r="I255" s="188" t="str">
        <f t="shared" si="18"/>
        <v/>
      </c>
      <c r="J255" s="187">
        <f t="shared" si="21"/>
        <v>-3</v>
      </c>
      <c r="K255" s="187">
        <f t="shared" si="19"/>
        <v>-30</v>
      </c>
      <c r="L255" s="187"/>
      <c r="M255" s="189">
        <f t="shared" si="20"/>
        <v>0</v>
      </c>
    </row>
    <row r="256" spans="1:13" x14ac:dyDescent="0.25">
      <c r="A256" s="204"/>
      <c r="G256" s="175"/>
      <c r="H256" s="187">
        <v>251</v>
      </c>
      <c r="I256" s="188" t="str">
        <f t="shared" si="18"/>
        <v/>
      </c>
      <c r="J256" s="187">
        <f t="shared" si="21"/>
        <v>-3</v>
      </c>
      <c r="K256" s="187">
        <f t="shared" si="19"/>
        <v>-30</v>
      </c>
      <c r="L256" s="187"/>
      <c r="M256" s="189">
        <f t="shared" si="20"/>
        <v>0</v>
      </c>
    </row>
    <row r="257" spans="1:13" x14ac:dyDescent="0.25">
      <c r="A257" s="204"/>
      <c r="G257" s="175"/>
      <c r="H257" s="190">
        <v>252</v>
      </c>
      <c r="I257" s="188" t="str">
        <f t="shared" si="18"/>
        <v/>
      </c>
      <c r="J257" s="187">
        <f t="shared" si="21"/>
        <v>-3</v>
      </c>
      <c r="K257" s="187">
        <f t="shared" si="19"/>
        <v>-30</v>
      </c>
      <c r="L257" s="187"/>
      <c r="M257" s="189">
        <f t="shared" si="20"/>
        <v>0</v>
      </c>
    </row>
    <row r="258" spans="1:13" x14ac:dyDescent="0.25">
      <c r="A258" s="204"/>
      <c r="G258" s="175"/>
      <c r="H258" s="187">
        <v>253</v>
      </c>
      <c r="I258" s="188" t="str">
        <f t="shared" si="18"/>
        <v/>
      </c>
      <c r="J258" s="187">
        <f t="shared" si="21"/>
        <v>-3</v>
      </c>
      <c r="K258" s="187">
        <f t="shared" si="19"/>
        <v>-30</v>
      </c>
      <c r="L258" s="187"/>
      <c r="M258" s="189">
        <f t="shared" si="20"/>
        <v>0</v>
      </c>
    </row>
    <row r="259" spans="1:13" x14ac:dyDescent="0.25">
      <c r="A259" s="204"/>
      <c r="G259" s="175"/>
      <c r="H259" s="190">
        <v>254</v>
      </c>
      <c r="I259" s="188" t="str">
        <f t="shared" si="18"/>
        <v/>
      </c>
      <c r="J259" s="187">
        <f t="shared" si="21"/>
        <v>-3</v>
      </c>
      <c r="K259" s="187">
        <f t="shared" si="19"/>
        <v>-30</v>
      </c>
      <c r="L259" s="187"/>
      <c r="M259" s="189">
        <f t="shared" si="20"/>
        <v>0</v>
      </c>
    </row>
    <row r="260" spans="1:13" x14ac:dyDescent="0.25">
      <c r="A260" s="204"/>
      <c r="G260" s="175"/>
      <c r="H260" s="187">
        <v>255</v>
      </c>
      <c r="I260" s="188" t="str">
        <f t="shared" si="18"/>
        <v/>
      </c>
      <c r="J260" s="187">
        <f t="shared" si="21"/>
        <v>-3</v>
      </c>
      <c r="K260" s="187">
        <f t="shared" si="19"/>
        <v>-30</v>
      </c>
      <c r="L260" s="187"/>
      <c r="M260" s="189">
        <f t="shared" si="20"/>
        <v>0</v>
      </c>
    </row>
    <row r="261" spans="1:13" x14ac:dyDescent="0.25">
      <c r="A261" s="204"/>
      <c r="G261" s="175"/>
      <c r="H261" s="190">
        <v>256</v>
      </c>
      <c r="I261" s="188" t="str">
        <f t="shared" si="18"/>
        <v/>
      </c>
      <c r="J261" s="187">
        <f t="shared" si="21"/>
        <v>-3</v>
      </c>
      <c r="K261" s="187">
        <f t="shared" si="19"/>
        <v>-30</v>
      </c>
      <c r="L261" s="187"/>
      <c r="M261" s="189">
        <f t="shared" si="20"/>
        <v>0</v>
      </c>
    </row>
    <row r="262" spans="1:13" x14ac:dyDescent="0.25">
      <c r="A262" s="204"/>
      <c r="G262" s="175"/>
      <c r="H262" s="187">
        <v>257</v>
      </c>
      <c r="I262" s="188" t="str">
        <f t="shared" ref="I262:I305" si="22">IF(H262&lt;$H$2+1,($I$2-($I$2-1)*(LOG(H262)/LOG($H$2))),"")</f>
        <v/>
      </c>
      <c r="J262" s="187">
        <f t="shared" si="21"/>
        <v>-4</v>
      </c>
      <c r="K262" s="187">
        <f t="shared" ref="K262:K305" si="23">J262*$J$2</f>
        <v>-40</v>
      </c>
      <c r="L262" s="187"/>
      <c r="M262" s="189">
        <f t="shared" ref="M262:M305" si="24">IF(I262&lt;&gt;"",K262+I262+L262,0)</f>
        <v>0</v>
      </c>
    </row>
    <row r="263" spans="1:13" x14ac:dyDescent="0.25">
      <c r="A263" s="204"/>
      <c r="G263" s="175"/>
      <c r="H263" s="190">
        <v>258</v>
      </c>
      <c r="I263" s="188" t="str">
        <f t="shared" si="22"/>
        <v/>
      </c>
      <c r="J263" s="187">
        <f t="shared" ref="J263:J305" si="25">INT(LOG($H$2,2))-ROUNDUP(LOG(H263,2),0)+IF(OR($H$2=1,$H$2=2,$H$2=4,$H$2=8,$H$2=16,$H$2=32,$H$2=64,$H$2=128,$H$2=256),0,1)</f>
        <v>-4</v>
      </c>
      <c r="K263" s="187">
        <f t="shared" si="23"/>
        <v>-40</v>
      </c>
      <c r="L263" s="187"/>
      <c r="M263" s="189">
        <f t="shared" si="24"/>
        <v>0</v>
      </c>
    </row>
    <row r="264" spans="1:13" x14ac:dyDescent="0.25">
      <c r="A264" s="204"/>
      <c r="G264" s="175"/>
      <c r="H264" s="187">
        <v>259</v>
      </c>
      <c r="I264" s="188" t="str">
        <f t="shared" si="22"/>
        <v/>
      </c>
      <c r="J264" s="187">
        <f t="shared" si="25"/>
        <v>-4</v>
      </c>
      <c r="K264" s="187">
        <f t="shared" si="23"/>
        <v>-40</v>
      </c>
      <c r="L264" s="187"/>
      <c r="M264" s="189">
        <f t="shared" si="24"/>
        <v>0</v>
      </c>
    </row>
    <row r="265" spans="1:13" x14ac:dyDescent="0.25">
      <c r="A265" s="204"/>
      <c r="G265" s="175"/>
      <c r="H265" s="190">
        <v>260</v>
      </c>
      <c r="I265" s="188" t="str">
        <f t="shared" si="22"/>
        <v/>
      </c>
      <c r="J265" s="187">
        <f t="shared" si="25"/>
        <v>-4</v>
      </c>
      <c r="K265" s="187">
        <f t="shared" si="23"/>
        <v>-40</v>
      </c>
      <c r="L265" s="187"/>
      <c r="M265" s="189">
        <f t="shared" si="24"/>
        <v>0</v>
      </c>
    </row>
    <row r="266" spans="1:13" x14ac:dyDescent="0.25">
      <c r="A266" s="204"/>
      <c r="G266" s="175"/>
      <c r="H266" s="187">
        <v>261</v>
      </c>
      <c r="I266" s="188" t="str">
        <f t="shared" si="22"/>
        <v/>
      </c>
      <c r="J266" s="187">
        <f t="shared" si="25"/>
        <v>-4</v>
      </c>
      <c r="K266" s="187">
        <f t="shared" si="23"/>
        <v>-40</v>
      </c>
      <c r="L266" s="187"/>
      <c r="M266" s="189">
        <f t="shared" si="24"/>
        <v>0</v>
      </c>
    </row>
    <row r="267" spans="1:13" x14ac:dyDescent="0.25">
      <c r="A267" s="204"/>
      <c r="G267" s="175"/>
      <c r="H267" s="190">
        <v>262</v>
      </c>
      <c r="I267" s="188" t="str">
        <f t="shared" si="22"/>
        <v/>
      </c>
      <c r="J267" s="187">
        <f t="shared" si="25"/>
        <v>-4</v>
      </c>
      <c r="K267" s="187">
        <f t="shared" si="23"/>
        <v>-40</v>
      </c>
      <c r="L267" s="187"/>
      <c r="M267" s="189">
        <f t="shared" si="24"/>
        <v>0</v>
      </c>
    </row>
    <row r="268" spans="1:13" x14ac:dyDescent="0.25">
      <c r="A268" s="204"/>
      <c r="G268" s="175"/>
      <c r="H268" s="187">
        <v>263</v>
      </c>
      <c r="I268" s="188" t="str">
        <f t="shared" si="22"/>
        <v/>
      </c>
      <c r="J268" s="187">
        <f t="shared" si="25"/>
        <v>-4</v>
      </c>
      <c r="K268" s="187">
        <f t="shared" si="23"/>
        <v>-40</v>
      </c>
      <c r="L268" s="187"/>
      <c r="M268" s="189">
        <f t="shared" si="24"/>
        <v>0</v>
      </c>
    </row>
    <row r="269" spans="1:13" x14ac:dyDescent="0.25">
      <c r="A269" s="204"/>
      <c r="G269" s="175"/>
      <c r="H269" s="190">
        <v>264</v>
      </c>
      <c r="I269" s="188" t="str">
        <f t="shared" si="22"/>
        <v/>
      </c>
      <c r="J269" s="187">
        <f t="shared" si="25"/>
        <v>-4</v>
      </c>
      <c r="K269" s="187">
        <f t="shared" si="23"/>
        <v>-40</v>
      </c>
      <c r="L269" s="187"/>
      <c r="M269" s="189">
        <f t="shared" si="24"/>
        <v>0</v>
      </c>
    </row>
    <row r="270" spans="1:13" x14ac:dyDescent="0.25">
      <c r="A270" s="204"/>
      <c r="G270" s="175"/>
      <c r="H270" s="187">
        <v>265</v>
      </c>
      <c r="I270" s="188" t="str">
        <f t="shared" si="22"/>
        <v/>
      </c>
      <c r="J270" s="187">
        <f t="shared" si="25"/>
        <v>-4</v>
      </c>
      <c r="K270" s="187">
        <f t="shared" si="23"/>
        <v>-40</v>
      </c>
      <c r="L270" s="187"/>
      <c r="M270" s="189">
        <f t="shared" si="24"/>
        <v>0</v>
      </c>
    </row>
    <row r="271" spans="1:13" x14ac:dyDescent="0.25">
      <c r="A271" s="204"/>
      <c r="G271" s="175"/>
      <c r="H271" s="190">
        <v>266</v>
      </c>
      <c r="I271" s="188" t="str">
        <f t="shared" si="22"/>
        <v/>
      </c>
      <c r="J271" s="187">
        <f t="shared" si="25"/>
        <v>-4</v>
      </c>
      <c r="K271" s="187">
        <f t="shared" si="23"/>
        <v>-40</v>
      </c>
      <c r="L271" s="187"/>
      <c r="M271" s="189">
        <f t="shared" si="24"/>
        <v>0</v>
      </c>
    </row>
    <row r="272" spans="1:13" x14ac:dyDescent="0.25">
      <c r="A272" s="204"/>
      <c r="G272" s="175"/>
      <c r="H272" s="187">
        <v>267</v>
      </c>
      <c r="I272" s="188" t="str">
        <f t="shared" si="22"/>
        <v/>
      </c>
      <c r="J272" s="187">
        <f t="shared" si="25"/>
        <v>-4</v>
      </c>
      <c r="K272" s="187">
        <f t="shared" si="23"/>
        <v>-40</v>
      </c>
      <c r="L272" s="187"/>
      <c r="M272" s="189">
        <f t="shared" si="24"/>
        <v>0</v>
      </c>
    </row>
    <row r="273" spans="1:13" x14ac:dyDescent="0.25">
      <c r="A273" s="204"/>
      <c r="G273" s="175"/>
      <c r="H273" s="190">
        <v>268</v>
      </c>
      <c r="I273" s="188" t="str">
        <f t="shared" si="22"/>
        <v/>
      </c>
      <c r="J273" s="187">
        <f t="shared" si="25"/>
        <v>-4</v>
      </c>
      <c r="K273" s="187">
        <f t="shared" si="23"/>
        <v>-40</v>
      </c>
      <c r="L273" s="187"/>
      <c r="M273" s="189">
        <f t="shared" si="24"/>
        <v>0</v>
      </c>
    </row>
    <row r="274" spans="1:13" x14ac:dyDescent="0.25">
      <c r="A274" s="204"/>
      <c r="G274" s="175"/>
      <c r="H274" s="187">
        <v>269</v>
      </c>
      <c r="I274" s="188" t="str">
        <f t="shared" si="22"/>
        <v/>
      </c>
      <c r="J274" s="187">
        <f t="shared" si="25"/>
        <v>-4</v>
      </c>
      <c r="K274" s="187">
        <f t="shared" si="23"/>
        <v>-40</v>
      </c>
      <c r="L274" s="187"/>
      <c r="M274" s="189">
        <f t="shared" si="24"/>
        <v>0</v>
      </c>
    </row>
    <row r="275" spans="1:13" x14ac:dyDescent="0.25">
      <c r="A275" s="204"/>
      <c r="G275" s="175"/>
      <c r="H275" s="190">
        <v>270</v>
      </c>
      <c r="I275" s="188" t="str">
        <f t="shared" si="22"/>
        <v/>
      </c>
      <c r="J275" s="187">
        <f t="shared" si="25"/>
        <v>-4</v>
      </c>
      <c r="K275" s="187">
        <f t="shared" si="23"/>
        <v>-40</v>
      </c>
      <c r="L275" s="187"/>
      <c r="M275" s="189">
        <f t="shared" si="24"/>
        <v>0</v>
      </c>
    </row>
    <row r="276" spans="1:13" x14ac:dyDescent="0.25">
      <c r="A276" s="204"/>
      <c r="G276" s="175"/>
      <c r="H276" s="187">
        <v>271</v>
      </c>
      <c r="I276" s="188" t="str">
        <f t="shared" si="22"/>
        <v/>
      </c>
      <c r="J276" s="187">
        <f t="shared" si="25"/>
        <v>-4</v>
      </c>
      <c r="K276" s="187">
        <f t="shared" si="23"/>
        <v>-40</v>
      </c>
      <c r="L276" s="187"/>
      <c r="M276" s="189">
        <f t="shared" si="24"/>
        <v>0</v>
      </c>
    </row>
    <row r="277" spans="1:13" x14ac:dyDescent="0.25">
      <c r="A277" s="204"/>
      <c r="G277" s="175"/>
      <c r="H277" s="190">
        <v>272</v>
      </c>
      <c r="I277" s="188" t="str">
        <f t="shared" si="22"/>
        <v/>
      </c>
      <c r="J277" s="187">
        <f t="shared" si="25"/>
        <v>-4</v>
      </c>
      <c r="K277" s="187">
        <f t="shared" si="23"/>
        <v>-40</v>
      </c>
      <c r="L277" s="187"/>
      <c r="M277" s="189">
        <f t="shared" si="24"/>
        <v>0</v>
      </c>
    </row>
    <row r="278" spans="1:13" x14ac:dyDescent="0.25">
      <c r="A278" s="204"/>
      <c r="G278" s="175"/>
      <c r="H278" s="187">
        <v>273</v>
      </c>
      <c r="I278" s="188" t="str">
        <f t="shared" si="22"/>
        <v/>
      </c>
      <c r="J278" s="187">
        <f t="shared" si="25"/>
        <v>-4</v>
      </c>
      <c r="K278" s="187">
        <f t="shared" si="23"/>
        <v>-40</v>
      </c>
      <c r="L278" s="187"/>
      <c r="M278" s="189">
        <f t="shared" si="24"/>
        <v>0</v>
      </c>
    </row>
    <row r="279" spans="1:13" x14ac:dyDescent="0.25">
      <c r="A279" s="204"/>
      <c r="G279" s="175"/>
      <c r="H279" s="190">
        <v>274</v>
      </c>
      <c r="I279" s="188" t="str">
        <f t="shared" si="22"/>
        <v/>
      </c>
      <c r="J279" s="187">
        <f t="shared" si="25"/>
        <v>-4</v>
      </c>
      <c r="K279" s="187">
        <f t="shared" si="23"/>
        <v>-40</v>
      </c>
      <c r="L279" s="187"/>
      <c r="M279" s="189">
        <f t="shared" si="24"/>
        <v>0</v>
      </c>
    </row>
    <row r="280" spans="1:13" x14ac:dyDescent="0.25">
      <c r="A280" s="204"/>
      <c r="G280" s="175"/>
      <c r="H280" s="187">
        <v>275</v>
      </c>
      <c r="I280" s="188" t="str">
        <f t="shared" si="22"/>
        <v/>
      </c>
      <c r="J280" s="187">
        <f t="shared" si="25"/>
        <v>-4</v>
      </c>
      <c r="K280" s="187">
        <f t="shared" si="23"/>
        <v>-40</v>
      </c>
      <c r="L280" s="187"/>
      <c r="M280" s="189">
        <f t="shared" si="24"/>
        <v>0</v>
      </c>
    </row>
    <row r="281" spans="1:13" x14ac:dyDescent="0.25">
      <c r="A281" s="204"/>
      <c r="G281" s="175"/>
      <c r="H281" s="190">
        <v>276</v>
      </c>
      <c r="I281" s="188" t="str">
        <f t="shared" si="22"/>
        <v/>
      </c>
      <c r="J281" s="187">
        <f t="shared" si="25"/>
        <v>-4</v>
      </c>
      <c r="K281" s="187">
        <f t="shared" si="23"/>
        <v>-40</v>
      </c>
      <c r="L281" s="187"/>
      <c r="M281" s="189">
        <f t="shared" si="24"/>
        <v>0</v>
      </c>
    </row>
    <row r="282" spans="1:13" x14ac:dyDescent="0.25">
      <c r="A282" s="204"/>
      <c r="G282" s="175"/>
      <c r="H282" s="187">
        <v>277</v>
      </c>
      <c r="I282" s="188" t="str">
        <f t="shared" si="22"/>
        <v/>
      </c>
      <c r="J282" s="187">
        <f t="shared" si="25"/>
        <v>-4</v>
      </c>
      <c r="K282" s="187">
        <f t="shared" si="23"/>
        <v>-40</v>
      </c>
      <c r="L282" s="187"/>
      <c r="M282" s="189">
        <f t="shared" si="24"/>
        <v>0</v>
      </c>
    </row>
    <row r="283" spans="1:13" x14ac:dyDescent="0.25">
      <c r="A283" s="204"/>
      <c r="G283" s="175"/>
      <c r="H283" s="190">
        <v>278</v>
      </c>
      <c r="I283" s="188" t="str">
        <f t="shared" si="22"/>
        <v/>
      </c>
      <c r="J283" s="187">
        <f t="shared" si="25"/>
        <v>-4</v>
      </c>
      <c r="K283" s="187">
        <f t="shared" si="23"/>
        <v>-40</v>
      </c>
      <c r="L283" s="187"/>
      <c r="M283" s="189">
        <f t="shared" si="24"/>
        <v>0</v>
      </c>
    </row>
    <row r="284" spans="1:13" x14ac:dyDescent="0.25">
      <c r="A284" s="204"/>
      <c r="G284" s="175"/>
      <c r="H284" s="187">
        <v>279</v>
      </c>
      <c r="I284" s="188" t="str">
        <f t="shared" si="22"/>
        <v/>
      </c>
      <c r="J284" s="187">
        <f t="shared" si="25"/>
        <v>-4</v>
      </c>
      <c r="K284" s="187">
        <f t="shared" si="23"/>
        <v>-40</v>
      </c>
      <c r="L284" s="187"/>
      <c r="M284" s="189">
        <f t="shared" si="24"/>
        <v>0</v>
      </c>
    </row>
    <row r="285" spans="1:13" x14ac:dyDescent="0.25">
      <c r="A285" s="204"/>
      <c r="G285" s="175"/>
      <c r="H285" s="190">
        <v>280</v>
      </c>
      <c r="I285" s="188" t="str">
        <f t="shared" si="22"/>
        <v/>
      </c>
      <c r="J285" s="187">
        <f t="shared" si="25"/>
        <v>-4</v>
      </c>
      <c r="K285" s="187">
        <f t="shared" si="23"/>
        <v>-40</v>
      </c>
      <c r="L285" s="187"/>
      <c r="M285" s="189">
        <f t="shared" si="24"/>
        <v>0</v>
      </c>
    </row>
    <row r="286" spans="1:13" x14ac:dyDescent="0.25">
      <c r="A286" s="204"/>
      <c r="G286" s="175"/>
      <c r="H286" s="187">
        <v>281</v>
      </c>
      <c r="I286" s="188" t="str">
        <f t="shared" si="22"/>
        <v/>
      </c>
      <c r="J286" s="187">
        <f t="shared" si="25"/>
        <v>-4</v>
      </c>
      <c r="K286" s="187">
        <f t="shared" si="23"/>
        <v>-40</v>
      </c>
      <c r="L286" s="187"/>
      <c r="M286" s="189">
        <f t="shared" si="24"/>
        <v>0</v>
      </c>
    </row>
    <row r="287" spans="1:13" x14ac:dyDescent="0.25">
      <c r="A287" s="204"/>
      <c r="G287" s="175"/>
      <c r="H287" s="190">
        <v>282</v>
      </c>
      <c r="I287" s="188" t="str">
        <f t="shared" si="22"/>
        <v/>
      </c>
      <c r="J287" s="187">
        <f t="shared" si="25"/>
        <v>-4</v>
      </c>
      <c r="K287" s="187">
        <f t="shared" si="23"/>
        <v>-40</v>
      </c>
      <c r="L287" s="187"/>
      <c r="M287" s="189">
        <f t="shared" si="24"/>
        <v>0</v>
      </c>
    </row>
    <row r="288" spans="1:13" x14ac:dyDescent="0.25">
      <c r="A288" s="204"/>
      <c r="G288" s="175"/>
      <c r="H288" s="187">
        <v>283</v>
      </c>
      <c r="I288" s="188" t="str">
        <f t="shared" si="22"/>
        <v/>
      </c>
      <c r="J288" s="187">
        <f t="shared" si="25"/>
        <v>-4</v>
      </c>
      <c r="K288" s="187">
        <f t="shared" si="23"/>
        <v>-40</v>
      </c>
      <c r="L288" s="187"/>
      <c r="M288" s="189">
        <f t="shared" si="24"/>
        <v>0</v>
      </c>
    </row>
    <row r="289" spans="1:13" x14ac:dyDescent="0.25">
      <c r="A289" s="204"/>
      <c r="G289" s="175"/>
      <c r="H289" s="190">
        <v>284</v>
      </c>
      <c r="I289" s="188" t="str">
        <f t="shared" si="22"/>
        <v/>
      </c>
      <c r="J289" s="187">
        <f t="shared" si="25"/>
        <v>-4</v>
      </c>
      <c r="K289" s="187">
        <f t="shared" si="23"/>
        <v>-40</v>
      </c>
      <c r="L289" s="187"/>
      <c r="M289" s="189">
        <f t="shared" si="24"/>
        <v>0</v>
      </c>
    </row>
    <row r="290" spans="1:13" x14ac:dyDescent="0.25">
      <c r="A290" s="204"/>
      <c r="G290" s="175"/>
      <c r="H290" s="187">
        <v>285</v>
      </c>
      <c r="I290" s="188" t="str">
        <f t="shared" si="22"/>
        <v/>
      </c>
      <c r="J290" s="187">
        <f t="shared" si="25"/>
        <v>-4</v>
      </c>
      <c r="K290" s="187">
        <f t="shared" si="23"/>
        <v>-40</v>
      </c>
      <c r="L290" s="187"/>
      <c r="M290" s="189">
        <f t="shared" si="24"/>
        <v>0</v>
      </c>
    </row>
    <row r="291" spans="1:13" x14ac:dyDescent="0.25">
      <c r="A291" s="204"/>
      <c r="G291" s="175"/>
      <c r="H291" s="190">
        <v>286</v>
      </c>
      <c r="I291" s="188" t="str">
        <f t="shared" si="22"/>
        <v/>
      </c>
      <c r="J291" s="187">
        <f t="shared" si="25"/>
        <v>-4</v>
      </c>
      <c r="K291" s="187">
        <f t="shared" si="23"/>
        <v>-40</v>
      </c>
      <c r="L291" s="187"/>
      <c r="M291" s="189">
        <f t="shared" si="24"/>
        <v>0</v>
      </c>
    </row>
    <row r="292" spans="1:13" x14ac:dyDescent="0.25">
      <c r="A292" s="204"/>
      <c r="G292" s="175"/>
      <c r="H292" s="187">
        <v>287</v>
      </c>
      <c r="I292" s="188" t="str">
        <f t="shared" si="22"/>
        <v/>
      </c>
      <c r="J292" s="187">
        <f t="shared" si="25"/>
        <v>-4</v>
      </c>
      <c r="K292" s="187">
        <f t="shared" si="23"/>
        <v>-40</v>
      </c>
      <c r="L292" s="187"/>
      <c r="M292" s="189">
        <f t="shared" si="24"/>
        <v>0</v>
      </c>
    </row>
    <row r="293" spans="1:13" x14ac:dyDescent="0.25">
      <c r="A293" s="204"/>
      <c r="G293" s="175"/>
      <c r="H293" s="187">
        <v>288</v>
      </c>
      <c r="I293" s="188" t="str">
        <f t="shared" si="22"/>
        <v/>
      </c>
      <c r="J293" s="187">
        <f t="shared" si="25"/>
        <v>-4</v>
      </c>
      <c r="K293" s="187">
        <f t="shared" si="23"/>
        <v>-40</v>
      </c>
      <c r="L293" s="187"/>
      <c r="M293" s="189">
        <f t="shared" si="24"/>
        <v>0</v>
      </c>
    </row>
    <row r="294" spans="1:13" x14ac:dyDescent="0.25">
      <c r="A294" s="204"/>
      <c r="G294" s="175"/>
      <c r="H294" s="187">
        <v>289</v>
      </c>
      <c r="I294" s="188" t="str">
        <f t="shared" si="22"/>
        <v/>
      </c>
      <c r="J294" s="187">
        <f t="shared" si="25"/>
        <v>-4</v>
      </c>
      <c r="K294" s="187">
        <f t="shared" si="23"/>
        <v>-40</v>
      </c>
      <c r="L294" s="187"/>
      <c r="M294" s="189">
        <f t="shared" si="24"/>
        <v>0</v>
      </c>
    </row>
    <row r="295" spans="1:13" x14ac:dyDescent="0.25">
      <c r="A295" s="204"/>
      <c r="G295" s="175"/>
      <c r="H295" s="187">
        <v>290</v>
      </c>
      <c r="I295" s="188" t="str">
        <f t="shared" si="22"/>
        <v/>
      </c>
      <c r="J295" s="187">
        <f t="shared" si="25"/>
        <v>-4</v>
      </c>
      <c r="K295" s="187">
        <f t="shared" si="23"/>
        <v>-40</v>
      </c>
      <c r="L295" s="187"/>
      <c r="M295" s="189">
        <f t="shared" si="24"/>
        <v>0</v>
      </c>
    </row>
    <row r="296" spans="1:13" x14ac:dyDescent="0.25">
      <c r="A296" s="204"/>
      <c r="G296" s="175"/>
      <c r="H296" s="187">
        <v>291</v>
      </c>
      <c r="I296" s="188" t="str">
        <f t="shared" si="22"/>
        <v/>
      </c>
      <c r="J296" s="187">
        <f t="shared" si="25"/>
        <v>-4</v>
      </c>
      <c r="K296" s="187">
        <f t="shared" si="23"/>
        <v>-40</v>
      </c>
      <c r="L296" s="187"/>
      <c r="M296" s="189">
        <f t="shared" si="24"/>
        <v>0</v>
      </c>
    </row>
    <row r="297" spans="1:13" x14ac:dyDescent="0.25">
      <c r="A297" s="204"/>
      <c r="G297" s="175"/>
      <c r="H297" s="187">
        <v>292</v>
      </c>
      <c r="I297" s="188" t="str">
        <f t="shared" si="22"/>
        <v/>
      </c>
      <c r="J297" s="187">
        <f t="shared" si="25"/>
        <v>-4</v>
      </c>
      <c r="K297" s="187">
        <f t="shared" si="23"/>
        <v>-40</v>
      </c>
      <c r="L297" s="187"/>
      <c r="M297" s="189">
        <f t="shared" si="24"/>
        <v>0</v>
      </c>
    </row>
    <row r="298" spans="1:13" x14ac:dyDescent="0.25">
      <c r="A298" s="204"/>
      <c r="G298" s="175"/>
      <c r="H298" s="187">
        <v>293</v>
      </c>
      <c r="I298" s="188" t="str">
        <f t="shared" si="22"/>
        <v/>
      </c>
      <c r="J298" s="187">
        <f t="shared" si="25"/>
        <v>-4</v>
      </c>
      <c r="K298" s="187">
        <f t="shared" si="23"/>
        <v>-40</v>
      </c>
      <c r="L298" s="187"/>
      <c r="M298" s="189">
        <f t="shared" si="24"/>
        <v>0</v>
      </c>
    </row>
    <row r="299" spans="1:13" x14ac:dyDescent="0.25">
      <c r="A299" s="204"/>
      <c r="G299" s="175"/>
      <c r="H299" s="187">
        <v>294</v>
      </c>
      <c r="I299" s="188" t="str">
        <f t="shared" si="22"/>
        <v/>
      </c>
      <c r="J299" s="187">
        <f t="shared" si="25"/>
        <v>-4</v>
      </c>
      <c r="K299" s="187">
        <f t="shared" si="23"/>
        <v>-40</v>
      </c>
      <c r="L299" s="187"/>
      <c r="M299" s="189">
        <f t="shared" si="24"/>
        <v>0</v>
      </c>
    </row>
    <row r="300" spans="1:13" x14ac:dyDescent="0.25">
      <c r="A300" s="204"/>
      <c r="G300" s="175"/>
      <c r="H300" s="187">
        <v>295</v>
      </c>
      <c r="I300" s="188" t="str">
        <f t="shared" si="22"/>
        <v/>
      </c>
      <c r="J300" s="187">
        <f t="shared" si="25"/>
        <v>-4</v>
      </c>
      <c r="K300" s="187">
        <f t="shared" si="23"/>
        <v>-40</v>
      </c>
      <c r="L300" s="187"/>
      <c r="M300" s="189">
        <f t="shared" si="24"/>
        <v>0</v>
      </c>
    </row>
    <row r="301" spans="1:13" x14ac:dyDescent="0.25">
      <c r="A301" s="204"/>
      <c r="G301" s="175"/>
      <c r="H301" s="187">
        <v>296</v>
      </c>
      <c r="I301" s="188" t="str">
        <f t="shared" si="22"/>
        <v/>
      </c>
      <c r="J301" s="187">
        <f t="shared" si="25"/>
        <v>-4</v>
      </c>
      <c r="K301" s="187">
        <f t="shared" si="23"/>
        <v>-40</v>
      </c>
      <c r="L301" s="187"/>
      <c r="M301" s="189">
        <f t="shared" si="24"/>
        <v>0</v>
      </c>
    </row>
    <row r="302" spans="1:13" x14ac:dyDescent="0.25">
      <c r="A302" s="204"/>
      <c r="G302" s="175"/>
      <c r="H302" s="187">
        <v>297</v>
      </c>
      <c r="I302" s="188" t="str">
        <f t="shared" si="22"/>
        <v/>
      </c>
      <c r="J302" s="187">
        <f t="shared" si="25"/>
        <v>-4</v>
      </c>
      <c r="K302" s="187">
        <f t="shared" si="23"/>
        <v>-40</v>
      </c>
      <c r="L302" s="187"/>
      <c r="M302" s="189">
        <f t="shared" si="24"/>
        <v>0</v>
      </c>
    </row>
    <row r="303" spans="1:13" x14ac:dyDescent="0.25">
      <c r="A303" s="204"/>
      <c r="G303" s="175"/>
      <c r="H303" s="187">
        <v>298</v>
      </c>
      <c r="I303" s="188" t="str">
        <f t="shared" si="22"/>
        <v/>
      </c>
      <c r="J303" s="187">
        <f t="shared" si="25"/>
        <v>-4</v>
      </c>
      <c r="K303" s="187">
        <f t="shared" si="23"/>
        <v>-40</v>
      </c>
      <c r="L303" s="187"/>
      <c r="M303" s="189">
        <f t="shared" si="24"/>
        <v>0</v>
      </c>
    </row>
    <row r="304" spans="1:13" x14ac:dyDescent="0.25">
      <c r="A304" s="204"/>
      <c r="G304" s="175"/>
      <c r="H304" s="187">
        <v>299</v>
      </c>
      <c r="I304" s="188" t="str">
        <f t="shared" si="22"/>
        <v/>
      </c>
      <c r="J304" s="187">
        <f t="shared" si="25"/>
        <v>-4</v>
      </c>
      <c r="K304" s="187">
        <f t="shared" si="23"/>
        <v>-40</v>
      </c>
      <c r="L304" s="187"/>
      <c r="M304" s="189">
        <f t="shared" si="24"/>
        <v>0</v>
      </c>
    </row>
    <row r="305" spans="1:16" x14ac:dyDescent="0.25">
      <c r="A305" s="204"/>
      <c r="G305" s="175"/>
      <c r="H305" s="187">
        <v>300</v>
      </c>
      <c r="I305" s="188" t="str">
        <f t="shared" si="22"/>
        <v/>
      </c>
      <c r="J305" s="187">
        <f t="shared" si="25"/>
        <v>-4</v>
      </c>
      <c r="K305" s="187">
        <f t="shared" si="23"/>
        <v>-40</v>
      </c>
      <c r="L305" s="187"/>
      <c r="M305" s="189">
        <f t="shared" si="24"/>
        <v>0</v>
      </c>
    </row>
    <row r="306" spans="1:16" x14ac:dyDescent="0.25">
      <c r="A306" s="205"/>
    </row>
    <row r="314" spans="1:16" x14ac:dyDescent="0.25">
      <c r="L314" s="208"/>
      <c r="P314" s="198"/>
    </row>
    <row r="315" spans="1:16" x14ac:dyDescent="0.25">
      <c r="L315" s="208"/>
      <c r="P315" s="198"/>
    </row>
    <row r="316" spans="1:16" x14ac:dyDescent="0.25">
      <c r="L316" s="208"/>
      <c r="P316" s="198"/>
    </row>
    <row r="317" spans="1:16" x14ac:dyDescent="0.25">
      <c r="L317" s="208"/>
      <c r="P317" s="198"/>
    </row>
  </sheetData>
  <conditionalFormatting sqref="J6:K305">
    <cfRule type="cellIs" dxfId="4" priority="1" operator="lessThanOrEqual">
      <formula>0</formula>
    </cfRule>
  </conditionalFormatting>
  <hyperlinks>
    <hyperlink ref="C2" r:id="rId1" xr:uid="{416F6C45-2D5E-442B-998E-2E7FA42E9730}"/>
  </hyperlinks>
  <pageMargins left="0.7" right="0.7" top="0.75" bottom="0.75" header="0.3" footer="0.3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FC50-2700-4615-9D0B-52F92AA062D9}">
  <sheetPr>
    <tabColor rgb="FF92D050"/>
  </sheetPr>
  <dimension ref="A1:AL317"/>
  <sheetViews>
    <sheetView topLeftCell="A2" workbookViewId="0">
      <selection activeCell="C2" sqref="C2"/>
    </sheetView>
  </sheetViews>
  <sheetFormatPr defaultColWidth="8.875" defaultRowHeight="14.3" x14ac:dyDescent="0.25"/>
  <cols>
    <col min="1" max="1" width="8" style="203" customWidth="1"/>
    <col min="2" max="2" width="8.25" style="203" customWidth="1"/>
    <col min="3" max="3" width="34.75" style="203" customWidth="1"/>
    <col min="4" max="4" width="11.25" style="203" customWidth="1"/>
    <col min="5" max="6" width="8.875" style="203"/>
    <col min="7" max="7" width="0.875" style="203" customWidth="1"/>
    <col min="8" max="8" width="8.875" style="206"/>
    <col min="9" max="9" width="11" style="206" customWidth="1"/>
    <col min="10" max="10" width="15.25" style="206" customWidth="1"/>
    <col min="11" max="11" width="8.75" style="206" customWidth="1"/>
    <col min="12" max="12" width="11" style="206" customWidth="1"/>
    <col min="13" max="13" width="12.25" style="207" customWidth="1"/>
    <col min="14" max="15" width="13.875" style="175" customWidth="1"/>
    <col min="16" max="18" width="8.875" style="175"/>
    <col min="19" max="20" width="8.875" style="180"/>
    <col min="21" max="21" width="12.125" style="180" customWidth="1"/>
    <col min="22" max="22" width="27.375" style="180" customWidth="1"/>
    <col min="23" max="38" width="8.875" style="180"/>
    <col min="39" max="16384" width="8.875" style="203"/>
  </cols>
  <sheetData>
    <row r="1" spans="1:36" x14ac:dyDescent="0.25">
      <c r="A1" s="175"/>
      <c r="B1" s="175"/>
      <c r="C1" s="175"/>
      <c r="D1" s="175"/>
      <c r="E1" s="175"/>
      <c r="F1" s="175"/>
      <c r="G1" s="175"/>
      <c r="H1" s="176" t="s">
        <v>38</v>
      </c>
      <c r="I1" s="177" t="s">
        <v>39</v>
      </c>
      <c r="J1" s="177" t="s">
        <v>40</v>
      </c>
      <c r="K1" s="178" t="s">
        <v>128</v>
      </c>
      <c r="L1" s="179"/>
      <c r="M1" s="179"/>
    </row>
    <row r="2" spans="1:36" x14ac:dyDescent="0.25">
      <c r="A2" s="175"/>
      <c r="B2" s="47" t="s">
        <v>42</v>
      </c>
      <c r="C2" s="299" t="s">
        <v>152</v>
      </c>
      <c r="D2" s="68"/>
      <c r="E2" s="6"/>
      <c r="F2" s="6"/>
      <c r="G2" s="6"/>
      <c r="H2" s="181">
        <v>27</v>
      </c>
      <c r="I2" s="182">
        <v>50</v>
      </c>
      <c r="J2" s="182">
        <v>10</v>
      </c>
      <c r="K2" s="183">
        <f>3*H2^(1/3)</f>
        <v>8.9999999999999982</v>
      </c>
      <c r="L2" s="179"/>
      <c r="M2" s="179"/>
    </row>
    <row r="3" spans="1:36" x14ac:dyDescent="0.25">
      <c r="A3" s="175"/>
      <c r="B3" s="184" t="s">
        <v>44</v>
      </c>
      <c r="C3" s="69" t="s">
        <v>153</v>
      </c>
      <c r="D3" s="69"/>
      <c r="E3" s="7"/>
      <c r="F3" s="7"/>
      <c r="G3" s="7"/>
      <c r="H3" s="179"/>
      <c r="I3" s="179"/>
      <c r="J3" s="210"/>
      <c r="K3" s="179"/>
      <c r="L3" s="179"/>
      <c r="M3" s="179"/>
    </row>
    <row r="4" spans="1:36" ht="10.199999999999999" customHeight="1" x14ac:dyDescent="0.25">
      <c r="A4" s="8"/>
      <c r="B4" s="7"/>
      <c r="C4" s="8"/>
      <c r="D4" s="8"/>
      <c r="E4" s="8"/>
      <c r="F4" s="8"/>
      <c r="G4" s="8"/>
      <c r="H4" s="179"/>
      <c r="I4" s="179"/>
      <c r="J4" s="210"/>
      <c r="K4" s="179"/>
      <c r="L4" s="179"/>
      <c r="M4" s="179"/>
    </row>
    <row r="5" spans="1:36" ht="34.65" x14ac:dyDescent="0.25">
      <c r="A5" s="1" t="s">
        <v>45</v>
      </c>
      <c r="B5" s="37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8"/>
      <c r="H5" s="185" t="s">
        <v>51</v>
      </c>
      <c r="I5" s="186" t="s">
        <v>52</v>
      </c>
      <c r="J5" s="211" t="s">
        <v>93</v>
      </c>
      <c r="K5" s="186" t="s">
        <v>94</v>
      </c>
      <c r="L5" s="186" t="s">
        <v>55</v>
      </c>
      <c r="M5" s="185" t="s">
        <v>56</v>
      </c>
    </row>
    <row r="6" spans="1:36" ht="14.45" customHeight="1" x14ac:dyDescent="0.25">
      <c r="A6" s="94">
        <f>M6</f>
        <v>127</v>
      </c>
      <c r="B6" s="36">
        <f t="shared" ref="B6:B69" si="0">IF(H6&gt;$H$2,"",(ROW()-5))</f>
        <v>1</v>
      </c>
      <c r="C6" s="24" t="s">
        <v>95</v>
      </c>
      <c r="D6" s="24"/>
      <c r="E6" s="24"/>
      <c r="F6" s="24"/>
      <c r="G6" s="8"/>
      <c r="H6" s="187">
        <v>1</v>
      </c>
      <c r="I6" s="188">
        <f t="shared" ref="I6:I69" si="1">IF(H6&lt;$H$2+1,($I$2-($I$2-1)*(LOG(H6)/LOG($H$2))),"")</f>
        <v>50</v>
      </c>
      <c r="J6" s="187">
        <f>INT(LOG($H$2,2))-ROUNDUP(LOG(H6,2),0)+IF(OR($H$2=1,$H$2=2,$H$2=4,$H$2=8,$H$2=16,$H$2=32,$H$2=64,$H$2=128,$H$2=256),0,1)</f>
        <v>5</v>
      </c>
      <c r="K6" s="187">
        <f t="shared" ref="K6:K69" si="2">J6*$J$2</f>
        <v>50</v>
      </c>
      <c r="L6" s="189">
        <f>3*K2</f>
        <v>26.999999999999993</v>
      </c>
      <c r="M6" s="189">
        <f t="shared" ref="M6:M69" si="3">IF(I6&lt;&gt;"",K6+I6+L6,0)</f>
        <v>127</v>
      </c>
    </row>
    <row r="7" spans="1:36" ht="14.45" customHeight="1" x14ac:dyDescent="0.25">
      <c r="A7" s="98">
        <f t="shared" ref="A7:A70" si="4">M7</f>
        <v>97.69481402499953</v>
      </c>
      <c r="B7" s="35">
        <f t="shared" si="0"/>
        <v>2</v>
      </c>
      <c r="C7" s="25" t="s">
        <v>21</v>
      </c>
      <c r="D7" s="25"/>
      <c r="E7" s="25"/>
      <c r="F7" s="25"/>
      <c r="G7" s="8"/>
      <c r="H7" s="190">
        <v>2</v>
      </c>
      <c r="I7" s="191">
        <f t="shared" si="1"/>
        <v>39.69481402499953</v>
      </c>
      <c r="J7" s="190">
        <f t="shared" ref="J7:J70" si="5">INT(LOG($H$2,2))-ROUNDUP(LOG(H7,2),0)+IF(OR($H$2=1,$H$2=2,$H$2=4,$H$2=8,$H$2=16,$H$2=32,$H$2=64,$H$2=128,$H$2=256),0,1)</f>
        <v>4</v>
      </c>
      <c r="K7" s="190">
        <f t="shared" si="2"/>
        <v>40</v>
      </c>
      <c r="L7" s="192">
        <f>2*K2</f>
        <v>17.999999999999996</v>
      </c>
      <c r="M7" s="192">
        <f t="shared" si="3"/>
        <v>97.69481402499953</v>
      </c>
    </row>
    <row r="8" spans="1:36" ht="14.45" customHeight="1" x14ac:dyDescent="0.25">
      <c r="A8" s="94">
        <f t="shared" si="4"/>
        <v>72.666666666666671</v>
      </c>
      <c r="B8" s="36">
        <f t="shared" si="0"/>
        <v>3</v>
      </c>
      <c r="C8" s="24" t="s">
        <v>95</v>
      </c>
      <c r="D8" s="24"/>
      <c r="E8" s="24"/>
      <c r="F8" s="24"/>
      <c r="G8" s="8"/>
      <c r="H8" s="187">
        <v>3</v>
      </c>
      <c r="I8" s="188">
        <f t="shared" si="1"/>
        <v>33.666666666666671</v>
      </c>
      <c r="J8" s="187">
        <f t="shared" si="5"/>
        <v>3</v>
      </c>
      <c r="K8" s="187">
        <f t="shared" si="2"/>
        <v>30</v>
      </c>
      <c r="L8" s="189">
        <f>K2</f>
        <v>8.9999999999999982</v>
      </c>
      <c r="M8" s="189">
        <f t="shared" si="3"/>
        <v>72.666666666666671</v>
      </c>
    </row>
    <row r="9" spans="1:36" s="180" customFormat="1" ht="14.45" customHeight="1" x14ac:dyDescent="0.25">
      <c r="A9" s="98">
        <f t="shared" si="4"/>
        <v>72.666666666666671</v>
      </c>
      <c r="B9" s="35">
        <f>IF(H9&gt;$H$2,"",3)</f>
        <v>3</v>
      </c>
      <c r="C9" s="25" t="s">
        <v>95</v>
      </c>
      <c r="D9" s="25"/>
      <c r="E9" s="25"/>
      <c r="F9" s="25"/>
      <c r="G9" s="8"/>
      <c r="H9" s="190">
        <v>3</v>
      </c>
      <c r="I9" s="191">
        <f t="shared" si="1"/>
        <v>33.666666666666671</v>
      </c>
      <c r="J9" s="190">
        <f t="shared" si="5"/>
        <v>3</v>
      </c>
      <c r="K9" s="190">
        <f t="shared" si="2"/>
        <v>30</v>
      </c>
      <c r="L9" s="192">
        <f>K2</f>
        <v>8.9999999999999982</v>
      </c>
      <c r="M9" s="192">
        <f t="shared" si="3"/>
        <v>72.666666666666671</v>
      </c>
      <c r="N9" s="175"/>
      <c r="O9" s="175"/>
      <c r="P9" s="175"/>
      <c r="Q9" s="175"/>
      <c r="R9" s="175"/>
      <c r="V9" s="193"/>
      <c r="Z9" s="194"/>
      <c r="AA9" s="194"/>
      <c r="AG9" s="195"/>
      <c r="AH9" s="180" t="s">
        <v>95</v>
      </c>
      <c r="AI9" s="180">
        <v>23</v>
      </c>
    </row>
    <row r="10" spans="1:36" ht="14.45" customHeight="1" x14ac:dyDescent="0.25">
      <c r="A10" s="94">
        <f t="shared" si="4"/>
        <v>46.072099161607184</v>
      </c>
      <c r="B10" s="36">
        <f t="shared" si="0"/>
        <v>5</v>
      </c>
      <c r="C10" s="24" t="s">
        <v>95</v>
      </c>
      <c r="D10" s="24"/>
      <c r="E10" s="24"/>
      <c r="F10" s="24"/>
      <c r="G10" s="8"/>
      <c r="H10" s="187">
        <v>5</v>
      </c>
      <c r="I10" s="188">
        <f t="shared" si="1"/>
        <v>26.072099161607188</v>
      </c>
      <c r="J10" s="187">
        <f t="shared" si="5"/>
        <v>2</v>
      </c>
      <c r="K10" s="187">
        <f t="shared" si="2"/>
        <v>20</v>
      </c>
      <c r="L10" s="187"/>
      <c r="M10" s="189">
        <f t="shared" si="3"/>
        <v>46.072099161607184</v>
      </c>
      <c r="V10" s="193"/>
      <c r="Z10" s="194"/>
      <c r="AA10" s="194"/>
      <c r="AG10" s="195"/>
      <c r="AH10" s="180" t="s">
        <v>96</v>
      </c>
      <c r="AI10" s="180">
        <v>45</v>
      </c>
    </row>
    <row r="11" spans="1:36" ht="14.45" customHeight="1" x14ac:dyDescent="0.25">
      <c r="A11" s="98">
        <f t="shared" si="4"/>
        <v>43.361480691666195</v>
      </c>
      <c r="B11" s="35">
        <f t="shared" si="0"/>
        <v>6</v>
      </c>
      <c r="C11" s="25" t="s">
        <v>95</v>
      </c>
      <c r="D11" s="25"/>
      <c r="E11" s="25"/>
      <c r="F11" s="25"/>
      <c r="G11" s="8"/>
      <c r="H11" s="190">
        <v>6</v>
      </c>
      <c r="I11" s="191">
        <f t="shared" si="1"/>
        <v>23.361480691666195</v>
      </c>
      <c r="J11" s="190">
        <f t="shared" si="5"/>
        <v>2</v>
      </c>
      <c r="K11" s="190">
        <f t="shared" si="2"/>
        <v>20</v>
      </c>
      <c r="L11" s="190"/>
      <c r="M11" s="192">
        <f t="shared" si="3"/>
        <v>43.361480691666195</v>
      </c>
      <c r="V11" s="196"/>
      <c r="Z11" s="194"/>
      <c r="AA11" s="194"/>
      <c r="AG11" s="195"/>
      <c r="AH11" s="180" t="s">
        <v>97</v>
      </c>
      <c r="AI11" s="180">
        <v>50</v>
      </c>
    </row>
    <row r="12" spans="1:36" ht="14.45" customHeight="1" x14ac:dyDescent="0.25">
      <c r="A12" s="94">
        <f t="shared" si="4"/>
        <v>41.069685430363435</v>
      </c>
      <c r="B12" s="36">
        <f t="shared" si="0"/>
        <v>7</v>
      </c>
      <c r="C12" s="24" t="s">
        <v>95</v>
      </c>
      <c r="D12" s="24"/>
      <c r="E12" s="24"/>
      <c r="F12" s="24"/>
      <c r="G12" s="8"/>
      <c r="H12" s="187">
        <v>7</v>
      </c>
      <c r="I12" s="188">
        <f t="shared" si="1"/>
        <v>21.069685430363439</v>
      </c>
      <c r="J12" s="187">
        <f t="shared" si="5"/>
        <v>2</v>
      </c>
      <c r="K12" s="187">
        <f t="shared" si="2"/>
        <v>20</v>
      </c>
      <c r="L12" s="187"/>
      <c r="M12" s="189">
        <f t="shared" si="3"/>
        <v>41.069685430363435</v>
      </c>
      <c r="Z12" s="194"/>
      <c r="AA12" s="194"/>
      <c r="AG12" s="195"/>
      <c r="AH12" s="180" t="s">
        <v>98</v>
      </c>
      <c r="AI12" s="180">
        <f>AI11-1</f>
        <v>49</v>
      </c>
    </row>
    <row r="13" spans="1:36" ht="14.45" customHeight="1" x14ac:dyDescent="0.25">
      <c r="A13" s="98">
        <f t="shared" si="4"/>
        <v>39.084442074998591</v>
      </c>
      <c r="B13" s="35">
        <f t="shared" si="0"/>
        <v>8</v>
      </c>
      <c r="C13" s="25" t="s">
        <v>95</v>
      </c>
      <c r="D13" s="25"/>
      <c r="E13" s="25"/>
      <c r="F13" s="25"/>
      <c r="G13" s="8"/>
      <c r="H13" s="190">
        <v>8</v>
      </c>
      <c r="I13" s="191">
        <f t="shared" si="1"/>
        <v>19.084442074998588</v>
      </c>
      <c r="J13" s="190">
        <f t="shared" si="5"/>
        <v>2</v>
      </c>
      <c r="K13" s="190">
        <f t="shared" si="2"/>
        <v>20</v>
      </c>
      <c r="L13" s="190"/>
      <c r="M13" s="192">
        <f t="shared" si="3"/>
        <v>39.084442074998591</v>
      </c>
      <c r="X13" s="193"/>
      <c r="AG13" s="195"/>
      <c r="AH13" s="180" t="s">
        <v>101</v>
      </c>
      <c r="AI13" s="180">
        <f>LOG(AI9)</f>
        <v>1.3617278360175928</v>
      </c>
    </row>
    <row r="14" spans="1:36" x14ac:dyDescent="0.25">
      <c r="A14" s="94">
        <f t="shared" si="4"/>
        <v>27.333333333333336</v>
      </c>
      <c r="B14" s="36">
        <f t="shared" si="0"/>
        <v>9</v>
      </c>
      <c r="C14" s="24" t="s">
        <v>95</v>
      </c>
      <c r="D14" s="24"/>
      <c r="E14" s="24"/>
      <c r="F14" s="24"/>
      <c r="G14" s="8"/>
      <c r="H14" s="187">
        <v>9</v>
      </c>
      <c r="I14" s="188">
        <f t="shared" si="1"/>
        <v>17.333333333333336</v>
      </c>
      <c r="J14" s="187">
        <f t="shared" si="5"/>
        <v>1</v>
      </c>
      <c r="K14" s="187">
        <f t="shared" si="2"/>
        <v>10</v>
      </c>
      <c r="L14" s="187"/>
      <c r="M14" s="189">
        <f t="shared" si="3"/>
        <v>27.333333333333336</v>
      </c>
      <c r="X14" s="197"/>
      <c r="Z14" s="194"/>
      <c r="AA14" s="194"/>
      <c r="AG14" s="195"/>
      <c r="AH14" s="180" t="s">
        <v>102</v>
      </c>
      <c r="AI14" s="180">
        <f>LOG(AI10)</f>
        <v>1.6532125137753437</v>
      </c>
    </row>
    <row r="15" spans="1:36" x14ac:dyDescent="0.25">
      <c r="A15" s="98">
        <f t="shared" si="4"/>
        <v>25.766913186606715</v>
      </c>
      <c r="B15" s="35">
        <f t="shared" si="0"/>
        <v>10</v>
      </c>
      <c r="C15" s="25" t="s">
        <v>95</v>
      </c>
      <c r="D15" s="25"/>
      <c r="E15" s="25"/>
      <c r="F15" s="25"/>
      <c r="G15" s="8"/>
      <c r="H15" s="190">
        <v>10</v>
      </c>
      <c r="I15" s="191">
        <f t="shared" si="1"/>
        <v>15.766913186606715</v>
      </c>
      <c r="J15" s="190">
        <f t="shared" si="5"/>
        <v>1</v>
      </c>
      <c r="K15" s="190">
        <f t="shared" si="2"/>
        <v>10</v>
      </c>
      <c r="L15" s="190"/>
      <c r="M15" s="192">
        <f t="shared" si="3"/>
        <v>25.766913186606715</v>
      </c>
      <c r="X15" s="193"/>
      <c r="Z15" s="194"/>
      <c r="AA15" s="194"/>
    </row>
    <row r="16" spans="1:36" x14ac:dyDescent="0.25">
      <c r="A16" s="94">
        <f t="shared" si="4"/>
        <v>24.349913802145743</v>
      </c>
      <c r="B16" s="36">
        <f t="shared" si="0"/>
        <v>11</v>
      </c>
      <c r="C16" s="24" t="s">
        <v>95</v>
      </c>
      <c r="D16" s="24"/>
      <c r="E16" s="24"/>
      <c r="F16" s="24"/>
      <c r="G16" s="8"/>
      <c r="H16" s="187">
        <v>11</v>
      </c>
      <c r="I16" s="188">
        <f t="shared" si="1"/>
        <v>14.349913802145743</v>
      </c>
      <c r="J16" s="187">
        <f t="shared" si="5"/>
        <v>1</v>
      </c>
      <c r="K16" s="187">
        <f t="shared" si="2"/>
        <v>10</v>
      </c>
      <c r="L16" s="187"/>
      <c r="M16" s="189">
        <f t="shared" si="3"/>
        <v>24.349913802145743</v>
      </c>
      <c r="R16" s="198"/>
      <c r="Z16" s="194"/>
      <c r="AA16" s="194"/>
      <c r="AH16" s="199" t="s">
        <v>104</v>
      </c>
      <c r="AI16" s="180">
        <f>AI11-AI12*AI13/AI14</f>
        <v>9.6393909380186855</v>
      </c>
      <c r="AJ16" s="180" t="s">
        <v>105</v>
      </c>
    </row>
    <row r="17" spans="1:19" x14ac:dyDescent="0.25">
      <c r="A17" s="98">
        <f t="shared" si="4"/>
        <v>23.056294716665725</v>
      </c>
      <c r="B17" s="35">
        <f t="shared" si="0"/>
        <v>12</v>
      </c>
      <c r="C17" s="25" t="s">
        <v>29</v>
      </c>
      <c r="D17" s="25"/>
      <c r="E17" s="25"/>
      <c r="F17" s="25"/>
      <c r="G17" s="8"/>
      <c r="H17" s="190">
        <v>12</v>
      </c>
      <c r="I17" s="191">
        <f t="shared" si="1"/>
        <v>13.056294716665725</v>
      </c>
      <c r="J17" s="190">
        <f t="shared" si="5"/>
        <v>1</v>
      </c>
      <c r="K17" s="190">
        <f t="shared" si="2"/>
        <v>10</v>
      </c>
      <c r="L17" s="190"/>
      <c r="M17" s="192">
        <f t="shared" si="3"/>
        <v>23.056294716665725</v>
      </c>
    </row>
    <row r="18" spans="1:19" x14ac:dyDescent="0.25">
      <c r="A18" s="94">
        <f t="shared" si="4"/>
        <v>21.866280515277722</v>
      </c>
      <c r="B18" s="36">
        <f t="shared" si="0"/>
        <v>13</v>
      </c>
      <c r="C18" s="24" t="s">
        <v>95</v>
      </c>
      <c r="D18" s="24"/>
      <c r="E18" s="24"/>
      <c r="F18" s="24"/>
      <c r="G18" s="8"/>
      <c r="H18" s="187">
        <v>13</v>
      </c>
      <c r="I18" s="188">
        <f t="shared" si="1"/>
        <v>11.866280515277722</v>
      </c>
      <c r="J18" s="187">
        <f t="shared" si="5"/>
        <v>1</v>
      </c>
      <c r="K18" s="187">
        <f t="shared" si="2"/>
        <v>10</v>
      </c>
      <c r="L18" s="187"/>
      <c r="M18" s="189">
        <f t="shared" si="3"/>
        <v>21.866280515277722</v>
      </c>
    </row>
    <row r="19" spans="1:19" x14ac:dyDescent="0.25">
      <c r="A19" s="98">
        <f t="shared" si="4"/>
        <v>20.764499455362966</v>
      </c>
      <c r="B19" s="35">
        <f t="shared" si="0"/>
        <v>14</v>
      </c>
      <c r="C19" s="25" t="s">
        <v>95</v>
      </c>
      <c r="D19" s="25"/>
      <c r="E19" s="25"/>
      <c r="F19" s="25"/>
      <c r="G19" s="8"/>
      <c r="H19" s="190">
        <v>14</v>
      </c>
      <c r="I19" s="191">
        <f t="shared" si="1"/>
        <v>10.764499455362966</v>
      </c>
      <c r="J19" s="190">
        <f t="shared" si="5"/>
        <v>1</v>
      </c>
      <c r="K19" s="190">
        <f t="shared" si="2"/>
        <v>10</v>
      </c>
      <c r="L19" s="190"/>
      <c r="M19" s="192">
        <f t="shared" si="3"/>
        <v>20.764499455362966</v>
      </c>
    </row>
    <row r="20" spans="1:19" x14ac:dyDescent="0.25">
      <c r="A20" s="94">
        <f t="shared" si="4"/>
        <v>19.738765828273856</v>
      </c>
      <c r="B20" s="36">
        <f t="shared" si="0"/>
        <v>15</v>
      </c>
      <c r="C20" s="24" t="s">
        <v>33</v>
      </c>
      <c r="D20" s="24"/>
      <c r="E20" s="24"/>
      <c r="F20" s="24"/>
      <c r="G20" s="8"/>
      <c r="H20" s="187">
        <v>15</v>
      </c>
      <c r="I20" s="188">
        <f t="shared" si="1"/>
        <v>9.7387658282738556</v>
      </c>
      <c r="J20" s="187">
        <f t="shared" si="5"/>
        <v>1</v>
      </c>
      <c r="K20" s="187">
        <f t="shared" si="2"/>
        <v>10</v>
      </c>
      <c r="L20" s="187"/>
      <c r="M20" s="189">
        <f t="shared" si="3"/>
        <v>19.738765828273856</v>
      </c>
      <c r="R20" s="200"/>
      <c r="S20" s="201"/>
    </row>
    <row r="21" spans="1:19" x14ac:dyDescent="0.25">
      <c r="A21" s="98">
        <f t="shared" si="4"/>
        <v>18.779256099998115</v>
      </c>
      <c r="B21" s="35">
        <f t="shared" si="0"/>
        <v>16</v>
      </c>
      <c r="C21" s="25" t="s">
        <v>95</v>
      </c>
      <c r="D21" s="25"/>
      <c r="E21" s="25"/>
      <c r="F21" s="25"/>
      <c r="G21" s="8"/>
      <c r="H21" s="190">
        <v>16</v>
      </c>
      <c r="I21" s="191">
        <f t="shared" si="1"/>
        <v>8.7792560999981148</v>
      </c>
      <c r="J21" s="190">
        <f t="shared" si="5"/>
        <v>1</v>
      </c>
      <c r="K21" s="190">
        <f t="shared" si="2"/>
        <v>10</v>
      </c>
      <c r="L21" s="190"/>
      <c r="M21" s="192">
        <f t="shared" si="3"/>
        <v>18.779256099998115</v>
      </c>
    </row>
    <row r="22" spans="1:19" x14ac:dyDescent="0.25">
      <c r="A22" s="94">
        <f t="shared" si="4"/>
        <v>7.8779352550114297</v>
      </c>
      <c r="B22" s="36">
        <f t="shared" si="0"/>
        <v>17</v>
      </c>
      <c r="C22" s="24" t="s">
        <v>95</v>
      </c>
      <c r="D22" s="24"/>
      <c r="E22" s="24"/>
      <c r="F22" s="24"/>
      <c r="G22" s="8"/>
      <c r="H22" s="187">
        <v>17</v>
      </c>
      <c r="I22" s="188">
        <f t="shared" si="1"/>
        <v>7.8779352550114297</v>
      </c>
      <c r="J22" s="187">
        <f t="shared" si="5"/>
        <v>0</v>
      </c>
      <c r="K22" s="187">
        <f t="shared" si="2"/>
        <v>0</v>
      </c>
      <c r="L22" s="187"/>
      <c r="M22" s="189">
        <f t="shared" si="3"/>
        <v>7.8779352550114297</v>
      </c>
    </row>
    <row r="23" spans="1:19" x14ac:dyDescent="0.25">
      <c r="A23" s="98">
        <f t="shared" si="4"/>
        <v>7.0281473583328662</v>
      </c>
      <c r="B23" s="35">
        <f t="shared" si="0"/>
        <v>18</v>
      </c>
      <c r="C23" s="25" t="s">
        <v>95</v>
      </c>
      <c r="D23" s="25"/>
      <c r="E23" s="25"/>
      <c r="F23" s="25"/>
      <c r="G23" s="8"/>
      <c r="H23" s="190">
        <v>18</v>
      </c>
      <c r="I23" s="191">
        <f t="shared" si="1"/>
        <v>7.0281473583328662</v>
      </c>
      <c r="J23" s="190">
        <f t="shared" si="5"/>
        <v>0</v>
      </c>
      <c r="K23" s="190">
        <f t="shared" si="2"/>
        <v>0</v>
      </c>
      <c r="L23" s="190"/>
      <c r="M23" s="192">
        <f t="shared" si="3"/>
        <v>7.0281473583328662</v>
      </c>
    </row>
    <row r="24" spans="1:19" x14ac:dyDescent="0.25">
      <c r="A24" s="94">
        <f t="shared" si="4"/>
        <v>6.2243169656425437</v>
      </c>
      <c r="B24" s="36">
        <f t="shared" si="0"/>
        <v>19</v>
      </c>
      <c r="C24" s="24" t="s">
        <v>95</v>
      </c>
      <c r="D24" s="24"/>
      <c r="E24" s="24"/>
      <c r="F24" s="24"/>
      <c r="G24" s="8"/>
      <c r="H24" s="187">
        <v>19</v>
      </c>
      <c r="I24" s="188">
        <f t="shared" si="1"/>
        <v>6.2243169656425437</v>
      </c>
      <c r="J24" s="187">
        <f t="shared" si="5"/>
        <v>0</v>
      </c>
      <c r="K24" s="187">
        <f t="shared" si="2"/>
        <v>0</v>
      </c>
      <c r="L24" s="187"/>
      <c r="M24" s="189">
        <f t="shared" si="3"/>
        <v>6.2243169656425437</v>
      </c>
      <c r="R24" s="200"/>
      <c r="S24" s="201"/>
    </row>
    <row r="25" spans="1:19" x14ac:dyDescent="0.25">
      <c r="A25" s="98">
        <f t="shared" si="4"/>
        <v>5.4617272116062452</v>
      </c>
      <c r="B25" s="35">
        <f t="shared" si="0"/>
        <v>20</v>
      </c>
      <c r="C25" s="25" t="s">
        <v>95</v>
      </c>
      <c r="D25" s="25"/>
      <c r="E25" s="25"/>
      <c r="F25" s="25"/>
      <c r="G25" s="8"/>
      <c r="H25" s="190">
        <v>20</v>
      </c>
      <c r="I25" s="191">
        <f t="shared" si="1"/>
        <v>5.4617272116062452</v>
      </c>
      <c r="J25" s="190">
        <f t="shared" si="5"/>
        <v>0</v>
      </c>
      <c r="K25" s="190">
        <f t="shared" si="2"/>
        <v>0</v>
      </c>
      <c r="L25" s="190"/>
      <c r="M25" s="192">
        <f t="shared" si="3"/>
        <v>5.4617272116062452</v>
      </c>
    </row>
    <row r="26" spans="1:19" x14ac:dyDescent="0.25">
      <c r="A26" s="94">
        <f t="shared" si="4"/>
        <v>4.7363520970301067</v>
      </c>
      <c r="B26" s="36">
        <f t="shared" si="0"/>
        <v>21</v>
      </c>
      <c r="C26" s="24" t="s">
        <v>95</v>
      </c>
      <c r="D26" s="24"/>
      <c r="E26" s="24"/>
      <c r="F26" s="24"/>
      <c r="G26" s="8"/>
      <c r="H26" s="187">
        <v>21</v>
      </c>
      <c r="I26" s="188">
        <f t="shared" si="1"/>
        <v>4.7363520970301067</v>
      </c>
      <c r="J26" s="187">
        <f t="shared" si="5"/>
        <v>0</v>
      </c>
      <c r="K26" s="187">
        <f t="shared" si="2"/>
        <v>0</v>
      </c>
      <c r="L26" s="187"/>
      <c r="M26" s="189">
        <f t="shared" si="3"/>
        <v>4.7363520970301067</v>
      </c>
    </row>
    <row r="27" spans="1:19" x14ac:dyDescent="0.25">
      <c r="A27" s="98">
        <f t="shared" si="4"/>
        <v>4.0447278271452731</v>
      </c>
      <c r="B27" s="35">
        <f t="shared" si="0"/>
        <v>22</v>
      </c>
      <c r="C27" s="25" t="s">
        <v>95</v>
      </c>
      <c r="D27" s="25"/>
      <c r="E27" s="25"/>
      <c r="F27" s="25"/>
      <c r="G27" s="8"/>
      <c r="H27" s="190">
        <v>22</v>
      </c>
      <c r="I27" s="191">
        <f t="shared" si="1"/>
        <v>4.0447278271452731</v>
      </c>
      <c r="J27" s="190">
        <f t="shared" si="5"/>
        <v>0</v>
      </c>
      <c r="K27" s="190">
        <f t="shared" si="2"/>
        <v>0</v>
      </c>
      <c r="L27" s="190"/>
      <c r="M27" s="192">
        <f t="shared" si="3"/>
        <v>4.0447278271452731</v>
      </c>
    </row>
    <row r="28" spans="1:19" x14ac:dyDescent="0.25">
      <c r="A28" s="94">
        <f t="shared" si="4"/>
        <v>3.3838527733955743</v>
      </c>
      <c r="B28" s="36">
        <f t="shared" si="0"/>
        <v>23</v>
      </c>
      <c r="C28" s="24" t="s">
        <v>28</v>
      </c>
      <c r="D28" s="24"/>
      <c r="E28" s="24"/>
      <c r="F28" s="24"/>
      <c r="G28" s="8"/>
      <c r="H28" s="187">
        <v>23</v>
      </c>
      <c r="I28" s="188">
        <f t="shared" si="1"/>
        <v>3.3838527733955743</v>
      </c>
      <c r="J28" s="187">
        <f t="shared" si="5"/>
        <v>0</v>
      </c>
      <c r="K28" s="187">
        <f t="shared" si="2"/>
        <v>0</v>
      </c>
      <c r="L28" s="187"/>
      <c r="M28" s="189">
        <f t="shared" si="3"/>
        <v>3.3838527733955743</v>
      </c>
      <c r="R28" s="200"/>
      <c r="S28" s="201"/>
    </row>
    <row r="29" spans="1:19" x14ac:dyDescent="0.25">
      <c r="A29" s="98">
        <f t="shared" si="4"/>
        <v>2.7511087416652558</v>
      </c>
      <c r="B29" s="35">
        <f t="shared" si="0"/>
        <v>24</v>
      </c>
      <c r="C29" s="25" t="s">
        <v>95</v>
      </c>
      <c r="D29" s="25"/>
      <c r="E29" s="25"/>
      <c r="F29" s="25"/>
      <c r="G29" s="175"/>
      <c r="H29" s="190">
        <v>24</v>
      </c>
      <c r="I29" s="191">
        <f t="shared" si="1"/>
        <v>2.7511087416652558</v>
      </c>
      <c r="J29" s="190">
        <f t="shared" si="5"/>
        <v>0</v>
      </c>
      <c r="K29" s="190">
        <f t="shared" si="2"/>
        <v>0</v>
      </c>
      <c r="L29" s="190"/>
      <c r="M29" s="192">
        <f t="shared" si="3"/>
        <v>2.7511087416652558</v>
      </c>
    </row>
    <row r="30" spans="1:19" x14ac:dyDescent="0.25">
      <c r="A30" s="94">
        <f t="shared" si="4"/>
        <v>2.1441983232143755</v>
      </c>
      <c r="B30" s="36">
        <f t="shared" si="0"/>
        <v>25</v>
      </c>
      <c r="C30" s="24" t="s">
        <v>95</v>
      </c>
      <c r="D30" s="24"/>
      <c r="E30" s="24"/>
      <c r="F30" s="24"/>
      <c r="G30" s="175"/>
      <c r="H30" s="187">
        <v>25</v>
      </c>
      <c r="I30" s="188">
        <f t="shared" si="1"/>
        <v>2.1441983232143755</v>
      </c>
      <c r="J30" s="187">
        <f t="shared" si="5"/>
        <v>0</v>
      </c>
      <c r="K30" s="187">
        <f t="shared" si="2"/>
        <v>0</v>
      </c>
      <c r="L30" s="187"/>
      <c r="M30" s="189">
        <f t="shared" si="3"/>
        <v>2.1441983232143755</v>
      </c>
    </row>
    <row r="31" spans="1:19" x14ac:dyDescent="0.25">
      <c r="A31" s="98">
        <f t="shared" si="4"/>
        <v>1.5610945402772529</v>
      </c>
      <c r="B31" s="35">
        <f t="shared" si="0"/>
        <v>26</v>
      </c>
      <c r="C31" s="25" t="s">
        <v>95</v>
      </c>
      <c r="D31" s="25"/>
      <c r="E31" s="25"/>
      <c r="F31" s="25"/>
      <c r="G31" s="175"/>
      <c r="H31" s="190">
        <v>26</v>
      </c>
      <c r="I31" s="191">
        <f t="shared" si="1"/>
        <v>1.5610945402772529</v>
      </c>
      <c r="J31" s="190">
        <f t="shared" si="5"/>
        <v>0</v>
      </c>
      <c r="K31" s="190">
        <f t="shared" si="2"/>
        <v>0</v>
      </c>
      <c r="L31" s="190"/>
      <c r="M31" s="192">
        <f t="shared" si="3"/>
        <v>1.5610945402772529</v>
      </c>
    </row>
    <row r="32" spans="1:19" x14ac:dyDescent="0.25">
      <c r="A32" s="94">
        <f t="shared" si="4"/>
        <v>1</v>
      </c>
      <c r="B32" s="36">
        <f t="shared" si="0"/>
        <v>27</v>
      </c>
      <c r="C32" s="24" t="s">
        <v>95</v>
      </c>
      <c r="D32" s="24"/>
      <c r="E32" s="24"/>
      <c r="F32" s="24"/>
      <c r="G32" s="175"/>
      <c r="H32" s="187">
        <v>27</v>
      </c>
      <c r="I32" s="188">
        <f t="shared" si="1"/>
        <v>1</v>
      </c>
      <c r="J32" s="187">
        <f t="shared" si="5"/>
        <v>0</v>
      </c>
      <c r="K32" s="187">
        <f t="shared" si="2"/>
        <v>0</v>
      </c>
      <c r="L32" s="187"/>
      <c r="M32" s="189">
        <f t="shared" si="3"/>
        <v>1</v>
      </c>
      <c r="R32" s="200"/>
      <c r="S32" s="201"/>
    </row>
    <row r="33" spans="1:19" x14ac:dyDescent="0.25">
      <c r="A33" s="98">
        <f t="shared" si="4"/>
        <v>0</v>
      </c>
      <c r="B33" s="35" t="str">
        <f t="shared" si="0"/>
        <v/>
      </c>
      <c r="C33" s="25"/>
      <c r="D33" s="25"/>
      <c r="E33" s="25"/>
      <c r="F33" s="25"/>
      <c r="G33" s="175"/>
      <c r="H33" s="190">
        <v>28</v>
      </c>
      <c r="I33" s="191" t="str">
        <f t="shared" si="1"/>
        <v/>
      </c>
      <c r="J33" s="190">
        <f t="shared" si="5"/>
        <v>0</v>
      </c>
      <c r="K33" s="190">
        <f t="shared" si="2"/>
        <v>0</v>
      </c>
      <c r="L33" s="190"/>
      <c r="M33" s="192">
        <f t="shared" si="3"/>
        <v>0</v>
      </c>
    </row>
    <row r="34" spans="1:19" x14ac:dyDescent="0.25">
      <c r="A34" s="94">
        <f t="shared" si="4"/>
        <v>0</v>
      </c>
      <c r="B34" s="36" t="str">
        <f t="shared" si="0"/>
        <v/>
      </c>
      <c r="C34" s="24"/>
      <c r="D34" s="24"/>
      <c r="E34" s="24"/>
      <c r="F34" s="24"/>
      <c r="G34" s="175"/>
      <c r="H34" s="187">
        <v>29</v>
      </c>
      <c r="I34" s="188" t="str">
        <f t="shared" si="1"/>
        <v/>
      </c>
      <c r="J34" s="187">
        <f t="shared" si="5"/>
        <v>0</v>
      </c>
      <c r="K34" s="187">
        <f t="shared" si="2"/>
        <v>0</v>
      </c>
      <c r="L34" s="187"/>
      <c r="M34" s="189">
        <f t="shared" si="3"/>
        <v>0</v>
      </c>
    </row>
    <row r="35" spans="1:19" x14ac:dyDescent="0.25">
      <c r="A35" s="98">
        <f t="shared" si="4"/>
        <v>0</v>
      </c>
      <c r="B35" s="35" t="str">
        <f t="shared" si="0"/>
        <v/>
      </c>
      <c r="C35" s="25"/>
      <c r="D35" s="25"/>
      <c r="E35" s="25"/>
      <c r="F35" s="25"/>
      <c r="G35" s="175"/>
      <c r="H35" s="190">
        <v>30</v>
      </c>
      <c r="I35" s="191" t="str">
        <f t="shared" si="1"/>
        <v/>
      </c>
      <c r="J35" s="190">
        <f t="shared" si="5"/>
        <v>0</v>
      </c>
      <c r="K35" s="190">
        <f t="shared" si="2"/>
        <v>0</v>
      </c>
      <c r="L35" s="190"/>
      <c r="M35" s="192">
        <f t="shared" si="3"/>
        <v>0</v>
      </c>
    </row>
    <row r="36" spans="1:19" x14ac:dyDescent="0.25">
      <c r="A36" s="94">
        <f t="shared" si="4"/>
        <v>0</v>
      </c>
      <c r="B36" s="36" t="str">
        <f t="shared" si="0"/>
        <v/>
      </c>
      <c r="C36" s="24"/>
      <c r="D36" s="24"/>
      <c r="E36" s="24"/>
      <c r="F36" s="24"/>
      <c r="G36" s="175"/>
      <c r="H36" s="187">
        <v>31</v>
      </c>
      <c r="I36" s="188" t="str">
        <f t="shared" si="1"/>
        <v/>
      </c>
      <c r="J36" s="187">
        <f t="shared" si="5"/>
        <v>0</v>
      </c>
      <c r="K36" s="187">
        <f t="shared" si="2"/>
        <v>0</v>
      </c>
      <c r="L36" s="187"/>
      <c r="M36" s="189">
        <f t="shared" si="3"/>
        <v>0</v>
      </c>
      <c r="R36" s="200"/>
      <c r="S36" s="201"/>
    </row>
    <row r="37" spans="1:19" x14ac:dyDescent="0.25">
      <c r="A37" s="98">
        <f t="shared" si="4"/>
        <v>0</v>
      </c>
      <c r="B37" s="35" t="str">
        <f t="shared" si="0"/>
        <v/>
      </c>
      <c r="C37" s="25"/>
      <c r="D37" s="25"/>
      <c r="E37" s="25"/>
      <c r="F37" s="25"/>
      <c r="G37" s="175"/>
      <c r="H37" s="190">
        <v>32</v>
      </c>
      <c r="I37" s="191" t="str">
        <f t="shared" si="1"/>
        <v/>
      </c>
      <c r="J37" s="190">
        <f t="shared" si="5"/>
        <v>0</v>
      </c>
      <c r="K37" s="190">
        <f t="shared" si="2"/>
        <v>0</v>
      </c>
      <c r="L37" s="190"/>
      <c r="M37" s="192">
        <f t="shared" si="3"/>
        <v>0</v>
      </c>
    </row>
    <row r="38" spans="1:19" x14ac:dyDescent="0.25">
      <c r="A38" s="94">
        <f t="shared" si="4"/>
        <v>0</v>
      </c>
      <c r="B38" s="36" t="str">
        <f t="shared" si="0"/>
        <v/>
      </c>
      <c r="C38" s="24"/>
      <c r="D38" s="24"/>
      <c r="E38" s="24"/>
      <c r="F38" s="24"/>
      <c r="G38" s="175"/>
      <c r="H38" s="187">
        <v>33</v>
      </c>
      <c r="I38" s="188" t="str">
        <f t="shared" si="1"/>
        <v/>
      </c>
      <c r="J38" s="187">
        <f t="shared" si="5"/>
        <v>-1</v>
      </c>
      <c r="K38" s="187">
        <f t="shared" si="2"/>
        <v>-10</v>
      </c>
      <c r="L38" s="187"/>
      <c r="M38" s="189">
        <f t="shared" si="3"/>
        <v>0</v>
      </c>
    </row>
    <row r="39" spans="1:19" x14ac:dyDescent="0.25">
      <c r="A39" s="98">
        <f t="shared" si="4"/>
        <v>0</v>
      </c>
      <c r="B39" s="35" t="str">
        <f t="shared" si="0"/>
        <v/>
      </c>
      <c r="C39" s="25"/>
      <c r="D39" s="25"/>
      <c r="E39" s="25"/>
      <c r="F39" s="25"/>
      <c r="G39" s="175"/>
      <c r="H39" s="190">
        <v>34</v>
      </c>
      <c r="I39" s="191" t="str">
        <f t="shared" si="1"/>
        <v/>
      </c>
      <c r="J39" s="190">
        <f t="shared" si="5"/>
        <v>-1</v>
      </c>
      <c r="K39" s="190">
        <f t="shared" si="2"/>
        <v>-10</v>
      </c>
      <c r="L39" s="190"/>
      <c r="M39" s="192">
        <f t="shared" si="3"/>
        <v>0</v>
      </c>
    </row>
    <row r="40" spans="1:19" x14ac:dyDescent="0.25">
      <c r="A40" s="94">
        <f t="shared" si="4"/>
        <v>0</v>
      </c>
      <c r="B40" s="36" t="str">
        <f t="shared" si="0"/>
        <v/>
      </c>
      <c r="C40" s="24"/>
      <c r="D40" s="24"/>
      <c r="E40" s="24"/>
      <c r="F40" s="24"/>
      <c r="G40" s="175"/>
      <c r="H40" s="187">
        <v>35</v>
      </c>
      <c r="I40" s="188" t="str">
        <f t="shared" si="1"/>
        <v/>
      </c>
      <c r="J40" s="187">
        <f t="shared" si="5"/>
        <v>-1</v>
      </c>
      <c r="K40" s="187">
        <f t="shared" si="2"/>
        <v>-10</v>
      </c>
      <c r="L40" s="187"/>
      <c r="M40" s="189">
        <f t="shared" si="3"/>
        <v>0</v>
      </c>
    </row>
    <row r="41" spans="1:19" x14ac:dyDescent="0.25">
      <c r="A41" s="98">
        <f t="shared" si="4"/>
        <v>0</v>
      </c>
      <c r="B41" s="35" t="str">
        <f t="shared" si="0"/>
        <v/>
      </c>
      <c r="C41" s="25"/>
      <c r="D41" s="25"/>
      <c r="E41" s="25"/>
      <c r="F41" s="25"/>
      <c r="G41" s="175"/>
      <c r="H41" s="190">
        <v>36</v>
      </c>
      <c r="I41" s="191" t="str">
        <f t="shared" si="1"/>
        <v/>
      </c>
      <c r="J41" s="190">
        <f t="shared" si="5"/>
        <v>-1</v>
      </c>
      <c r="K41" s="190">
        <f t="shared" si="2"/>
        <v>-10</v>
      </c>
      <c r="L41" s="190"/>
      <c r="M41" s="192">
        <f t="shared" si="3"/>
        <v>0</v>
      </c>
      <c r="S41" s="202"/>
    </row>
    <row r="42" spans="1:19" x14ac:dyDescent="0.25">
      <c r="A42" s="94">
        <f t="shared" si="4"/>
        <v>0</v>
      </c>
      <c r="B42" s="36" t="str">
        <f t="shared" si="0"/>
        <v/>
      </c>
      <c r="C42" s="24"/>
      <c r="D42" s="24"/>
      <c r="E42" s="24"/>
      <c r="F42" s="24"/>
      <c r="G42" s="175"/>
      <c r="H42" s="187">
        <v>37</v>
      </c>
      <c r="I42" s="188" t="str">
        <f t="shared" si="1"/>
        <v/>
      </c>
      <c r="J42" s="187">
        <f t="shared" si="5"/>
        <v>-1</v>
      </c>
      <c r="K42" s="187">
        <f t="shared" si="2"/>
        <v>-10</v>
      </c>
      <c r="L42" s="187"/>
      <c r="M42" s="189">
        <f t="shared" si="3"/>
        <v>0</v>
      </c>
    </row>
    <row r="43" spans="1:19" x14ac:dyDescent="0.25">
      <c r="A43" s="98">
        <f t="shared" si="4"/>
        <v>0</v>
      </c>
      <c r="B43" s="35" t="str">
        <f t="shared" si="0"/>
        <v/>
      </c>
      <c r="C43" s="25"/>
      <c r="D43" s="25"/>
      <c r="E43" s="25"/>
      <c r="F43" s="25"/>
      <c r="G43" s="175"/>
      <c r="H43" s="190">
        <v>38</v>
      </c>
      <c r="I43" s="191" t="str">
        <f t="shared" si="1"/>
        <v/>
      </c>
      <c r="J43" s="190">
        <f t="shared" si="5"/>
        <v>-1</v>
      </c>
      <c r="K43" s="190">
        <f t="shared" si="2"/>
        <v>-10</v>
      </c>
      <c r="L43" s="190"/>
      <c r="M43" s="192">
        <f t="shared" si="3"/>
        <v>0</v>
      </c>
    </row>
    <row r="44" spans="1:19" x14ac:dyDescent="0.25">
      <c r="A44" s="94">
        <f t="shared" si="4"/>
        <v>0</v>
      </c>
      <c r="B44" s="36" t="str">
        <f t="shared" si="0"/>
        <v/>
      </c>
      <c r="C44" s="24"/>
      <c r="D44" s="24"/>
      <c r="E44" s="24"/>
      <c r="F44" s="24"/>
      <c r="G44" s="175"/>
      <c r="H44" s="187">
        <v>39</v>
      </c>
      <c r="I44" s="188" t="str">
        <f t="shared" si="1"/>
        <v/>
      </c>
      <c r="J44" s="187">
        <f t="shared" si="5"/>
        <v>-1</v>
      </c>
      <c r="K44" s="187">
        <f t="shared" si="2"/>
        <v>-10</v>
      </c>
      <c r="L44" s="187"/>
      <c r="M44" s="189">
        <f t="shared" si="3"/>
        <v>0</v>
      </c>
    </row>
    <row r="45" spans="1:19" x14ac:dyDescent="0.25">
      <c r="A45" s="98">
        <f t="shared" si="4"/>
        <v>0</v>
      </c>
      <c r="B45" s="35" t="str">
        <f t="shared" si="0"/>
        <v/>
      </c>
      <c r="C45" s="25"/>
      <c r="D45" s="25"/>
      <c r="E45" s="25"/>
      <c r="F45" s="25"/>
      <c r="G45" s="175"/>
      <c r="H45" s="190">
        <v>40</v>
      </c>
      <c r="I45" s="191" t="str">
        <f t="shared" si="1"/>
        <v/>
      </c>
      <c r="J45" s="190">
        <f t="shared" si="5"/>
        <v>-1</v>
      </c>
      <c r="K45" s="190">
        <f t="shared" si="2"/>
        <v>-10</v>
      </c>
      <c r="L45" s="190"/>
      <c r="M45" s="192">
        <f t="shared" si="3"/>
        <v>0</v>
      </c>
    </row>
    <row r="46" spans="1:19" x14ac:dyDescent="0.25">
      <c r="A46" s="94">
        <f t="shared" si="4"/>
        <v>0</v>
      </c>
      <c r="B46" s="36" t="str">
        <f t="shared" si="0"/>
        <v/>
      </c>
      <c r="C46" s="24"/>
      <c r="D46" s="24"/>
      <c r="E46" s="24"/>
      <c r="F46" s="24"/>
      <c r="G46" s="175"/>
      <c r="H46" s="187">
        <v>41</v>
      </c>
      <c r="I46" s="188" t="str">
        <f t="shared" si="1"/>
        <v/>
      </c>
      <c r="J46" s="187">
        <f t="shared" si="5"/>
        <v>-1</v>
      </c>
      <c r="K46" s="187">
        <f t="shared" si="2"/>
        <v>-10</v>
      </c>
      <c r="L46" s="187"/>
      <c r="M46" s="189">
        <f t="shared" si="3"/>
        <v>0</v>
      </c>
    </row>
    <row r="47" spans="1:19" x14ac:dyDescent="0.25">
      <c r="A47" s="98">
        <f t="shared" si="4"/>
        <v>0</v>
      </c>
      <c r="B47" s="35" t="str">
        <f t="shared" si="0"/>
        <v/>
      </c>
      <c r="C47" s="25"/>
      <c r="D47" s="25"/>
      <c r="E47" s="25"/>
      <c r="F47" s="25"/>
      <c r="G47" s="175"/>
      <c r="H47" s="190">
        <v>42</v>
      </c>
      <c r="I47" s="191" t="str">
        <f t="shared" si="1"/>
        <v/>
      </c>
      <c r="J47" s="190">
        <f t="shared" si="5"/>
        <v>-1</v>
      </c>
      <c r="K47" s="190">
        <f t="shared" si="2"/>
        <v>-10</v>
      </c>
      <c r="L47" s="190"/>
      <c r="M47" s="192">
        <f t="shared" si="3"/>
        <v>0</v>
      </c>
    </row>
    <row r="48" spans="1:19" x14ac:dyDescent="0.25">
      <c r="A48" s="94">
        <f t="shared" si="4"/>
        <v>0</v>
      </c>
      <c r="B48" s="36" t="str">
        <f t="shared" si="0"/>
        <v/>
      </c>
      <c r="C48" s="24"/>
      <c r="D48" s="24"/>
      <c r="E48" s="24"/>
      <c r="F48" s="24"/>
      <c r="G48" s="175"/>
      <c r="H48" s="187">
        <v>43</v>
      </c>
      <c r="I48" s="188" t="str">
        <f t="shared" si="1"/>
        <v/>
      </c>
      <c r="J48" s="187">
        <f t="shared" si="5"/>
        <v>-1</v>
      </c>
      <c r="K48" s="187">
        <f t="shared" si="2"/>
        <v>-10</v>
      </c>
      <c r="L48" s="187"/>
      <c r="M48" s="189">
        <f t="shared" si="3"/>
        <v>0</v>
      </c>
    </row>
    <row r="49" spans="1:38" x14ac:dyDescent="0.25">
      <c r="A49" s="98">
        <f t="shared" si="4"/>
        <v>0</v>
      </c>
      <c r="B49" s="35" t="str">
        <f t="shared" si="0"/>
        <v/>
      </c>
      <c r="C49" s="25"/>
      <c r="D49" s="25"/>
      <c r="E49" s="25"/>
      <c r="F49" s="25"/>
      <c r="G49" s="175"/>
      <c r="H49" s="190">
        <v>44</v>
      </c>
      <c r="I49" s="191" t="str">
        <f t="shared" si="1"/>
        <v/>
      </c>
      <c r="J49" s="190">
        <f t="shared" si="5"/>
        <v>-1</v>
      </c>
      <c r="K49" s="190">
        <f t="shared" si="2"/>
        <v>-10</v>
      </c>
      <c r="L49" s="190"/>
      <c r="M49" s="192">
        <f t="shared" si="3"/>
        <v>0</v>
      </c>
    </row>
    <row r="50" spans="1:38" x14ac:dyDescent="0.25">
      <c r="A50" s="94">
        <f t="shared" si="4"/>
        <v>0</v>
      </c>
      <c r="B50" s="36" t="str">
        <f t="shared" si="0"/>
        <v/>
      </c>
      <c r="C50" s="24"/>
      <c r="D50" s="24"/>
      <c r="E50" s="24"/>
      <c r="F50" s="24"/>
      <c r="G50" s="175"/>
      <c r="H50" s="187">
        <v>45</v>
      </c>
      <c r="I50" s="188" t="str">
        <f t="shared" si="1"/>
        <v/>
      </c>
      <c r="J50" s="187">
        <f t="shared" si="5"/>
        <v>-1</v>
      </c>
      <c r="K50" s="187">
        <f t="shared" si="2"/>
        <v>-10</v>
      </c>
      <c r="L50" s="187"/>
      <c r="M50" s="189">
        <f t="shared" si="3"/>
        <v>0</v>
      </c>
    </row>
    <row r="51" spans="1:38" x14ac:dyDescent="0.25">
      <c r="A51" s="98">
        <f t="shared" si="4"/>
        <v>0</v>
      </c>
      <c r="B51" s="35" t="str">
        <f t="shared" si="0"/>
        <v/>
      </c>
      <c r="C51" s="25"/>
      <c r="D51" s="25"/>
      <c r="E51" s="25"/>
      <c r="F51" s="25"/>
      <c r="G51" s="175"/>
      <c r="H51" s="190">
        <v>46</v>
      </c>
      <c r="I51" s="191" t="str">
        <f t="shared" si="1"/>
        <v/>
      </c>
      <c r="J51" s="190">
        <f t="shared" si="5"/>
        <v>-1</v>
      </c>
      <c r="K51" s="190">
        <f t="shared" si="2"/>
        <v>-10</v>
      </c>
      <c r="L51" s="190"/>
      <c r="M51" s="192">
        <f t="shared" si="3"/>
        <v>0</v>
      </c>
    </row>
    <row r="52" spans="1:38" x14ac:dyDescent="0.25">
      <c r="A52" s="94">
        <f t="shared" si="4"/>
        <v>0</v>
      </c>
      <c r="B52" s="36" t="str">
        <f t="shared" si="0"/>
        <v/>
      </c>
      <c r="C52" s="24"/>
      <c r="D52" s="24"/>
      <c r="E52" s="24"/>
      <c r="F52" s="24"/>
      <c r="G52" s="175"/>
      <c r="H52" s="187">
        <v>47</v>
      </c>
      <c r="I52" s="188" t="str">
        <f t="shared" si="1"/>
        <v/>
      </c>
      <c r="J52" s="187">
        <f t="shared" si="5"/>
        <v>-1</v>
      </c>
      <c r="K52" s="187">
        <f t="shared" si="2"/>
        <v>-10</v>
      </c>
      <c r="L52" s="187"/>
      <c r="M52" s="189">
        <f t="shared" si="3"/>
        <v>0</v>
      </c>
    </row>
    <row r="53" spans="1:38" x14ac:dyDescent="0.25">
      <c r="A53" s="98">
        <f t="shared" si="4"/>
        <v>0</v>
      </c>
      <c r="B53" s="35" t="str">
        <f t="shared" si="0"/>
        <v/>
      </c>
      <c r="C53" s="25"/>
      <c r="D53" s="25"/>
      <c r="E53" s="25"/>
      <c r="F53" s="25"/>
      <c r="G53" s="175"/>
      <c r="H53" s="190">
        <v>48</v>
      </c>
      <c r="I53" s="191" t="str">
        <f t="shared" si="1"/>
        <v/>
      </c>
      <c r="J53" s="190">
        <f t="shared" si="5"/>
        <v>-1</v>
      </c>
      <c r="K53" s="190">
        <f t="shared" si="2"/>
        <v>-10</v>
      </c>
      <c r="L53" s="190"/>
      <c r="M53" s="192">
        <f t="shared" si="3"/>
        <v>0</v>
      </c>
    </row>
    <row r="54" spans="1:38" x14ac:dyDescent="0.25">
      <c r="A54" s="94">
        <f t="shared" si="4"/>
        <v>0</v>
      </c>
      <c r="B54" s="36" t="str">
        <f t="shared" si="0"/>
        <v/>
      </c>
      <c r="C54" s="24"/>
      <c r="D54" s="24"/>
      <c r="E54" s="24"/>
      <c r="F54" s="24"/>
      <c r="G54" s="175"/>
      <c r="H54" s="187">
        <v>49</v>
      </c>
      <c r="I54" s="188" t="str">
        <f t="shared" si="1"/>
        <v/>
      </c>
      <c r="J54" s="187">
        <f t="shared" si="5"/>
        <v>-1</v>
      </c>
      <c r="K54" s="187">
        <f t="shared" si="2"/>
        <v>-10</v>
      </c>
      <c r="L54" s="187"/>
      <c r="M54" s="189">
        <f t="shared" si="3"/>
        <v>0</v>
      </c>
    </row>
    <row r="55" spans="1:38" x14ac:dyDescent="0.25">
      <c r="A55" s="98">
        <f t="shared" si="4"/>
        <v>0</v>
      </c>
      <c r="B55" s="35" t="str">
        <f t="shared" si="0"/>
        <v/>
      </c>
      <c r="C55" s="25"/>
      <c r="D55" s="25"/>
      <c r="E55" s="25"/>
      <c r="F55" s="25"/>
      <c r="G55" s="175"/>
      <c r="H55" s="190">
        <v>50</v>
      </c>
      <c r="I55" s="191" t="str">
        <f t="shared" si="1"/>
        <v/>
      </c>
      <c r="J55" s="190">
        <f t="shared" si="5"/>
        <v>-1</v>
      </c>
      <c r="K55" s="190">
        <f t="shared" si="2"/>
        <v>-10</v>
      </c>
      <c r="L55" s="190"/>
      <c r="M55" s="192">
        <f t="shared" si="3"/>
        <v>0</v>
      </c>
    </row>
    <row r="56" spans="1:38" x14ac:dyDescent="0.25">
      <c r="A56" s="94">
        <f t="shared" si="4"/>
        <v>0</v>
      </c>
      <c r="B56" s="36" t="str">
        <f t="shared" si="0"/>
        <v/>
      </c>
      <c r="C56" s="24"/>
      <c r="D56" s="24"/>
      <c r="E56" s="24"/>
      <c r="F56" s="24"/>
      <c r="G56" s="175"/>
      <c r="H56" s="187">
        <v>51</v>
      </c>
      <c r="I56" s="188" t="str">
        <f t="shared" si="1"/>
        <v/>
      </c>
      <c r="J56" s="187">
        <f t="shared" si="5"/>
        <v>-1</v>
      </c>
      <c r="K56" s="187">
        <f t="shared" si="2"/>
        <v>-10</v>
      </c>
      <c r="L56" s="187"/>
      <c r="M56" s="189">
        <f t="shared" si="3"/>
        <v>0</v>
      </c>
    </row>
    <row r="57" spans="1:38" s="175" customFormat="1" x14ac:dyDescent="0.25">
      <c r="A57" s="98">
        <f t="shared" si="4"/>
        <v>0</v>
      </c>
      <c r="B57" s="35" t="str">
        <f t="shared" si="0"/>
        <v/>
      </c>
      <c r="C57" s="25"/>
      <c r="D57" s="25"/>
      <c r="E57" s="25"/>
      <c r="F57" s="25"/>
      <c r="H57" s="190">
        <v>52</v>
      </c>
      <c r="I57" s="191" t="str">
        <f t="shared" si="1"/>
        <v/>
      </c>
      <c r="J57" s="190">
        <f t="shared" si="5"/>
        <v>-1</v>
      </c>
      <c r="K57" s="190">
        <f t="shared" si="2"/>
        <v>-10</v>
      </c>
      <c r="L57" s="190"/>
      <c r="M57" s="192">
        <f t="shared" si="3"/>
        <v>0</v>
      </c>
      <c r="S57" s="180"/>
      <c r="T57" s="180"/>
      <c r="U57" s="180"/>
      <c r="V57" s="180"/>
      <c r="W57" s="180"/>
      <c r="X57" s="180"/>
      <c r="Y57" s="180"/>
      <c r="Z57" s="180"/>
      <c r="AA57" s="180"/>
      <c r="AB57" s="180"/>
      <c r="AC57" s="180"/>
      <c r="AD57" s="180"/>
      <c r="AE57" s="180"/>
      <c r="AF57" s="180"/>
      <c r="AG57" s="180"/>
      <c r="AH57" s="180"/>
      <c r="AI57" s="180"/>
      <c r="AJ57" s="180"/>
      <c r="AK57" s="180"/>
      <c r="AL57" s="180"/>
    </row>
    <row r="58" spans="1:38" s="175" customFormat="1" x14ac:dyDescent="0.25">
      <c r="A58" s="94">
        <f t="shared" si="4"/>
        <v>0</v>
      </c>
      <c r="B58" s="36" t="str">
        <f t="shared" si="0"/>
        <v/>
      </c>
      <c r="C58" s="24"/>
      <c r="D58" s="24"/>
      <c r="E58" s="24"/>
      <c r="F58" s="24"/>
      <c r="H58" s="187">
        <v>53</v>
      </c>
      <c r="I58" s="188" t="str">
        <f t="shared" si="1"/>
        <v/>
      </c>
      <c r="J58" s="187">
        <f t="shared" si="5"/>
        <v>-1</v>
      </c>
      <c r="K58" s="187">
        <f t="shared" si="2"/>
        <v>-10</v>
      </c>
      <c r="L58" s="187"/>
      <c r="M58" s="189">
        <f t="shared" si="3"/>
        <v>0</v>
      </c>
      <c r="S58" s="180"/>
      <c r="T58" s="180"/>
      <c r="U58" s="180"/>
      <c r="V58" s="180"/>
      <c r="W58" s="180"/>
      <c r="X58" s="180"/>
      <c r="Y58" s="180"/>
      <c r="Z58" s="180"/>
      <c r="AA58" s="180"/>
      <c r="AB58" s="180"/>
      <c r="AC58" s="180"/>
      <c r="AD58" s="180"/>
      <c r="AE58" s="180"/>
      <c r="AF58" s="180"/>
      <c r="AG58" s="180"/>
      <c r="AH58" s="180"/>
      <c r="AI58" s="180"/>
      <c r="AJ58" s="180"/>
      <c r="AK58" s="180"/>
      <c r="AL58" s="180"/>
    </row>
    <row r="59" spans="1:38" s="175" customFormat="1" x14ac:dyDescent="0.25">
      <c r="A59" s="98">
        <f t="shared" si="4"/>
        <v>0</v>
      </c>
      <c r="B59" s="35" t="str">
        <f t="shared" si="0"/>
        <v/>
      </c>
      <c r="C59" s="25"/>
      <c r="D59" s="25"/>
      <c r="E59" s="25"/>
      <c r="F59" s="25"/>
      <c r="H59" s="190">
        <v>54</v>
      </c>
      <c r="I59" s="191" t="str">
        <f t="shared" si="1"/>
        <v/>
      </c>
      <c r="J59" s="190">
        <f t="shared" si="5"/>
        <v>-1</v>
      </c>
      <c r="K59" s="190">
        <f t="shared" si="2"/>
        <v>-10</v>
      </c>
      <c r="L59" s="190"/>
      <c r="M59" s="192">
        <f t="shared" si="3"/>
        <v>0</v>
      </c>
      <c r="S59" s="180"/>
      <c r="T59" s="180"/>
      <c r="U59" s="180"/>
      <c r="V59" s="180"/>
      <c r="W59" s="180"/>
      <c r="X59" s="180"/>
      <c r="Y59" s="180"/>
      <c r="Z59" s="180"/>
      <c r="AA59" s="180"/>
      <c r="AB59" s="180"/>
      <c r="AC59" s="180"/>
      <c r="AD59" s="180"/>
      <c r="AE59" s="180"/>
      <c r="AF59" s="180"/>
      <c r="AG59" s="180"/>
      <c r="AH59" s="180"/>
      <c r="AI59" s="180"/>
      <c r="AJ59" s="180"/>
      <c r="AK59" s="180"/>
      <c r="AL59" s="180"/>
    </row>
    <row r="60" spans="1:38" s="175" customFormat="1" x14ac:dyDescent="0.25">
      <c r="A60" s="94">
        <f t="shared" si="4"/>
        <v>0</v>
      </c>
      <c r="B60" s="36" t="str">
        <f t="shared" si="0"/>
        <v/>
      </c>
      <c r="C60" s="24"/>
      <c r="D60" s="24"/>
      <c r="E60" s="24"/>
      <c r="F60" s="24"/>
      <c r="H60" s="187">
        <v>55</v>
      </c>
      <c r="I60" s="188" t="str">
        <f t="shared" si="1"/>
        <v/>
      </c>
      <c r="J60" s="187">
        <f t="shared" si="5"/>
        <v>-1</v>
      </c>
      <c r="K60" s="187">
        <f t="shared" si="2"/>
        <v>-10</v>
      </c>
      <c r="L60" s="187"/>
      <c r="M60" s="189">
        <f t="shared" si="3"/>
        <v>0</v>
      </c>
      <c r="S60" s="180"/>
      <c r="T60" s="180"/>
      <c r="U60" s="180"/>
      <c r="V60" s="180"/>
      <c r="W60" s="180"/>
      <c r="X60" s="180"/>
      <c r="Y60" s="180"/>
      <c r="Z60" s="180"/>
      <c r="AA60" s="180"/>
      <c r="AB60" s="180"/>
      <c r="AC60" s="180"/>
      <c r="AD60" s="180"/>
      <c r="AE60" s="180"/>
      <c r="AF60" s="180"/>
      <c r="AG60" s="180"/>
      <c r="AH60" s="180"/>
      <c r="AI60" s="180"/>
      <c r="AJ60" s="180"/>
      <c r="AK60" s="180"/>
      <c r="AL60" s="180"/>
    </row>
    <row r="61" spans="1:38" s="175" customFormat="1" x14ac:dyDescent="0.25">
      <c r="A61" s="98">
        <f t="shared" si="4"/>
        <v>0</v>
      </c>
      <c r="B61" s="35" t="str">
        <f t="shared" si="0"/>
        <v/>
      </c>
      <c r="C61" s="25"/>
      <c r="D61" s="25"/>
      <c r="E61" s="25"/>
      <c r="F61" s="25"/>
      <c r="H61" s="190">
        <v>56</v>
      </c>
      <c r="I61" s="191" t="str">
        <f t="shared" si="1"/>
        <v/>
      </c>
      <c r="J61" s="190">
        <f t="shared" si="5"/>
        <v>-1</v>
      </c>
      <c r="K61" s="190">
        <f t="shared" si="2"/>
        <v>-10</v>
      </c>
      <c r="L61" s="190"/>
      <c r="M61" s="192">
        <f t="shared" si="3"/>
        <v>0</v>
      </c>
      <c r="S61" s="180"/>
      <c r="T61" s="180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0"/>
      <c r="AF61" s="180"/>
      <c r="AG61" s="180"/>
      <c r="AH61" s="180"/>
      <c r="AI61" s="180"/>
      <c r="AJ61" s="180"/>
      <c r="AK61" s="180"/>
      <c r="AL61" s="180"/>
    </row>
    <row r="62" spans="1:38" s="175" customFormat="1" x14ac:dyDescent="0.25">
      <c r="A62" s="94">
        <f t="shared" si="4"/>
        <v>0</v>
      </c>
      <c r="B62" s="36" t="str">
        <f t="shared" si="0"/>
        <v/>
      </c>
      <c r="C62" s="24"/>
      <c r="D62" s="24"/>
      <c r="E62" s="24"/>
      <c r="F62" s="24"/>
      <c r="H62" s="187">
        <v>57</v>
      </c>
      <c r="I62" s="188" t="str">
        <f t="shared" si="1"/>
        <v/>
      </c>
      <c r="J62" s="187">
        <f t="shared" si="5"/>
        <v>-1</v>
      </c>
      <c r="K62" s="187">
        <f t="shared" si="2"/>
        <v>-10</v>
      </c>
      <c r="L62" s="187"/>
      <c r="M62" s="189">
        <f t="shared" si="3"/>
        <v>0</v>
      </c>
      <c r="S62" s="180"/>
      <c r="T62" s="180"/>
      <c r="U62" s="180"/>
      <c r="V62" s="180"/>
      <c r="W62" s="180"/>
      <c r="X62" s="180"/>
      <c r="Y62" s="180"/>
      <c r="Z62" s="180"/>
      <c r="AA62" s="180"/>
      <c r="AB62" s="180"/>
      <c r="AC62" s="180"/>
      <c r="AD62" s="180"/>
      <c r="AE62" s="180"/>
      <c r="AF62" s="180"/>
      <c r="AG62" s="180"/>
      <c r="AH62" s="180"/>
      <c r="AI62" s="180"/>
      <c r="AJ62" s="180"/>
      <c r="AK62" s="180"/>
      <c r="AL62" s="180"/>
    </row>
    <row r="63" spans="1:38" s="175" customFormat="1" x14ac:dyDescent="0.25">
      <c r="A63" s="98">
        <f t="shared" si="4"/>
        <v>0</v>
      </c>
      <c r="B63" s="35" t="str">
        <f t="shared" si="0"/>
        <v/>
      </c>
      <c r="C63" s="25"/>
      <c r="D63" s="25"/>
      <c r="E63" s="25"/>
      <c r="F63" s="25"/>
      <c r="H63" s="190">
        <v>58</v>
      </c>
      <c r="I63" s="191" t="str">
        <f t="shared" si="1"/>
        <v/>
      </c>
      <c r="J63" s="190">
        <f t="shared" si="5"/>
        <v>-1</v>
      </c>
      <c r="K63" s="190">
        <f t="shared" si="2"/>
        <v>-10</v>
      </c>
      <c r="L63" s="190"/>
      <c r="M63" s="192">
        <f t="shared" si="3"/>
        <v>0</v>
      </c>
      <c r="S63" s="180"/>
      <c r="T63" s="180"/>
      <c r="U63" s="180"/>
      <c r="V63" s="180"/>
      <c r="W63" s="180"/>
      <c r="X63" s="180"/>
      <c r="Y63" s="180"/>
      <c r="Z63" s="180"/>
      <c r="AA63" s="180"/>
      <c r="AB63" s="180"/>
      <c r="AC63" s="180"/>
      <c r="AD63" s="180"/>
      <c r="AE63" s="180"/>
      <c r="AF63" s="180"/>
      <c r="AG63" s="180"/>
      <c r="AH63" s="180"/>
      <c r="AI63" s="180"/>
      <c r="AJ63" s="180"/>
      <c r="AK63" s="180"/>
      <c r="AL63" s="180"/>
    </row>
    <row r="64" spans="1:38" s="175" customFormat="1" x14ac:dyDescent="0.25">
      <c r="A64" s="94">
        <f t="shared" si="4"/>
        <v>0</v>
      </c>
      <c r="B64" s="36" t="str">
        <f t="shared" si="0"/>
        <v/>
      </c>
      <c r="C64" s="24"/>
      <c r="D64" s="24"/>
      <c r="E64" s="24"/>
      <c r="F64" s="24"/>
      <c r="H64" s="187">
        <v>59</v>
      </c>
      <c r="I64" s="188" t="str">
        <f t="shared" si="1"/>
        <v/>
      </c>
      <c r="J64" s="187">
        <f t="shared" si="5"/>
        <v>-1</v>
      </c>
      <c r="K64" s="187">
        <f t="shared" si="2"/>
        <v>-10</v>
      </c>
      <c r="L64" s="187"/>
      <c r="M64" s="189">
        <f t="shared" si="3"/>
        <v>0</v>
      </c>
      <c r="S64" s="180"/>
      <c r="T64" s="180"/>
      <c r="U64" s="180"/>
      <c r="V64" s="180"/>
      <c r="W64" s="180"/>
      <c r="X64" s="180"/>
      <c r="Y64" s="180"/>
      <c r="Z64" s="180"/>
      <c r="AA64" s="180"/>
      <c r="AB64" s="180"/>
      <c r="AC64" s="180"/>
      <c r="AD64" s="180"/>
      <c r="AE64" s="180"/>
      <c r="AF64" s="180"/>
      <c r="AG64" s="180"/>
      <c r="AH64" s="180"/>
      <c r="AI64" s="180"/>
      <c r="AJ64" s="180"/>
      <c r="AK64" s="180"/>
      <c r="AL64" s="180"/>
    </row>
    <row r="65" spans="1:38" s="175" customFormat="1" x14ac:dyDescent="0.25">
      <c r="A65" s="98">
        <f t="shared" si="4"/>
        <v>0</v>
      </c>
      <c r="B65" s="35" t="str">
        <f t="shared" si="0"/>
        <v/>
      </c>
      <c r="C65" s="25"/>
      <c r="D65" s="25"/>
      <c r="E65" s="25"/>
      <c r="F65" s="25"/>
      <c r="H65" s="190">
        <v>60</v>
      </c>
      <c r="I65" s="191" t="str">
        <f t="shared" si="1"/>
        <v/>
      </c>
      <c r="J65" s="190">
        <f t="shared" si="5"/>
        <v>-1</v>
      </c>
      <c r="K65" s="190">
        <f t="shared" si="2"/>
        <v>-10</v>
      </c>
      <c r="L65" s="190"/>
      <c r="M65" s="192">
        <f t="shared" si="3"/>
        <v>0</v>
      </c>
      <c r="S65" s="180"/>
      <c r="T65" s="180"/>
      <c r="U65" s="180"/>
      <c r="V65" s="180"/>
      <c r="W65" s="180"/>
      <c r="X65" s="180"/>
      <c r="Y65" s="180"/>
      <c r="Z65" s="180"/>
      <c r="AA65" s="180"/>
      <c r="AB65" s="180"/>
      <c r="AC65" s="180"/>
      <c r="AD65" s="180"/>
      <c r="AE65" s="180"/>
      <c r="AF65" s="180"/>
      <c r="AG65" s="180"/>
      <c r="AH65" s="180"/>
      <c r="AI65" s="180"/>
      <c r="AJ65" s="180"/>
      <c r="AK65" s="180"/>
      <c r="AL65" s="180"/>
    </row>
    <row r="66" spans="1:38" s="175" customFormat="1" x14ac:dyDescent="0.25">
      <c r="A66" s="94">
        <f t="shared" si="4"/>
        <v>0</v>
      </c>
      <c r="B66" s="36" t="str">
        <f t="shared" si="0"/>
        <v/>
      </c>
      <c r="C66" s="24"/>
      <c r="D66" s="24"/>
      <c r="E66" s="24"/>
      <c r="F66" s="24"/>
      <c r="H66" s="187">
        <v>61</v>
      </c>
      <c r="I66" s="188" t="str">
        <f t="shared" si="1"/>
        <v/>
      </c>
      <c r="J66" s="187">
        <f t="shared" si="5"/>
        <v>-1</v>
      </c>
      <c r="K66" s="187">
        <f t="shared" si="2"/>
        <v>-10</v>
      </c>
      <c r="L66" s="187"/>
      <c r="M66" s="189">
        <f t="shared" si="3"/>
        <v>0</v>
      </c>
      <c r="S66" s="180"/>
      <c r="T66" s="180"/>
      <c r="U66" s="180"/>
      <c r="V66" s="180"/>
      <c r="W66" s="180"/>
      <c r="X66" s="180"/>
      <c r="Y66" s="180"/>
      <c r="Z66" s="180"/>
      <c r="AA66" s="180"/>
      <c r="AB66" s="180"/>
      <c r="AC66" s="180"/>
      <c r="AD66" s="180"/>
      <c r="AE66" s="180"/>
      <c r="AF66" s="180"/>
      <c r="AG66" s="180"/>
      <c r="AH66" s="180"/>
      <c r="AI66" s="180"/>
      <c r="AJ66" s="180"/>
      <c r="AK66" s="180"/>
      <c r="AL66" s="180"/>
    </row>
    <row r="67" spans="1:38" s="175" customFormat="1" x14ac:dyDescent="0.25">
      <c r="A67" s="98">
        <f t="shared" si="4"/>
        <v>0</v>
      </c>
      <c r="B67" s="35" t="str">
        <f t="shared" si="0"/>
        <v/>
      </c>
      <c r="C67" s="25"/>
      <c r="D67" s="25"/>
      <c r="E67" s="25"/>
      <c r="F67" s="25"/>
      <c r="H67" s="190">
        <v>62</v>
      </c>
      <c r="I67" s="191" t="str">
        <f t="shared" si="1"/>
        <v/>
      </c>
      <c r="J67" s="190">
        <f t="shared" si="5"/>
        <v>-1</v>
      </c>
      <c r="K67" s="190">
        <f t="shared" si="2"/>
        <v>-10</v>
      </c>
      <c r="L67" s="190"/>
      <c r="M67" s="192">
        <f t="shared" si="3"/>
        <v>0</v>
      </c>
      <c r="S67" s="180"/>
      <c r="T67" s="180"/>
      <c r="U67" s="180"/>
      <c r="V67" s="180"/>
      <c r="W67" s="180"/>
      <c r="X67" s="180"/>
      <c r="Y67" s="180"/>
      <c r="Z67" s="180"/>
      <c r="AA67" s="180"/>
      <c r="AB67" s="180"/>
      <c r="AC67" s="180"/>
      <c r="AD67" s="180"/>
      <c r="AE67" s="180"/>
      <c r="AF67" s="180"/>
      <c r="AG67" s="180"/>
      <c r="AH67" s="180"/>
      <c r="AI67" s="180"/>
      <c r="AJ67" s="180"/>
      <c r="AK67" s="180"/>
      <c r="AL67" s="180"/>
    </row>
    <row r="68" spans="1:38" s="175" customFormat="1" x14ac:dyDescent="0.25">
      <c r="A68" s="94">
        <f t="shared" si="4"/>
        <v>0</v>
      </c>
      <c r="B68" s="36" t="str">
        <f t="shared" si="0"/>
        <v/>
      </c>
      <c r="C68" s="24"/>
      <c r="D68" s="24"/>
      <c r="E68" s="24"/>
      <c r="F68" s="24"/>
      <c r="H68" s="187">
        <v>63</v>
      </c>
      <c r="I68" s="188" t="str">
        <f t="shared" si="1"/>
        <v/>
      </c>
      <c r="J68" s="187">
        <f t="shared" si="5"/>
        <v>-1</v>
      </c>
      <c r="K68" s="187">
        <f t="shared" si="2"/>
        <v>-10</v>
      </c>
      <c r="L68" s="187"/>
      <c r="M68" s="189">
        <f t="shared" si="3"/>
        <v>0</v>
      </c>
      <c r="S68" s="180"/>
      <c r="T68" s="180"/>
      <c r="U68" s="180"/>
      <c r="V68" s="180"/>
      <c r="W68" s="180"/>
      <c r="X68" s="180"/>
      <c r="Y68" s="180"/>
      <c r="Z68" s="180"/>
      <c r="AA68" s="180"/>
      <c r="AB68" s="180"/>
      <c r="AC68" s="180"/>
      <c r="AD68" s="180"/>
      <c r="AE68" s="180"/>
      <c r="AF68" s="180"/>
      <c r="AG68" s="180"/>
      <c r="AH68" s="180"/>
      <c r="AI68" s="180"/>
      <c r="AJ68" s="180"/>
      <c r="AK68" s="180"/>
      <c r="AL68" s="180"/>
    </row>
    <row r="69" spans="1:38" s="175" customFormat="1" x14ac:dyDescent="0.25">
      <c r="A69" s="98">
        <f t="shared" si="4"/>
        <v>0</v>
      </c>
      <c r="B69" s="35" t="str">
        <f t="shared" si="0"/>
        <v/>
      </c>
      <c r="C69" s="25"/>
      <c r="D69" s="25"/>
      <c r="E69" s="25"/>
      <c r="F69" s="25"/>
      <c r="H69" s="190">
        <v>64</v>
      </c>
      <c r="I69" s="191" t="str">
        <f t="shared" si="1"/>
        <v/>
      </c>
      <c r="J69" s="190">
        <f t="shared" si="5"/>
        <v>-1</v>
      </c>
      <c r="K69" s="190">
        <f t="shared" si="2"/>
        <v>-10</v>
      </c>
      <c r="L69" s="190"/>
      <c r="M69" s="192">
        <f t="shared" si="3"/>
        <v>0</v>
      </c>
      <c r="S69" s="180"/>
      <c r="T69" s="180"/>
      <c r="U69" s="180"/>
      <c r="V69" s="180"/>
      <c r="W69" s="180"/>
      <c r="X69" s="180"/>
      <c r="Y69" s="180"/>
      <c r="Z69" s="180"/>
      <c r="AA69" s="180"/>
      <c r="AB69" s="180"/>
      <c r="AC69" s="180"/>
      <c r="AD69" s="180"/>
      <c r="AE69" s="180"/>
      <c r="AF69" s="180"/>
      <c r="AG69" s="180"/>
      <c r="AH69" s="180"/>
      <c r="AI69" s="180"/>
      <c r="AJ69" s="180"/>
      <c r="AK69" s="180"/>
      <c r="AL69" s="180"/>
    </row>
    <row r="70" spans="1:38" s="175" customFormat="1" x14ac:dyDescent="0.25">
      <c r="A70" s="94">
        <f t="shared" si="4"/>
        <v>0</v>
      </c>
      <c r="B70" s="36" t="str">
        <f t="shared" ref="B70:B133" si="6">IF(H70&gt;$H$2,"",(ROW()-5))</f>
        <v/>
      </c>
      <c r="C70" s="24"/>
      <c r="D70" s="24"/>
      <c r="E70" s="24"/>
      <c r="F70" s="24"/>
      <c r="H70" s="187">
        <v>65</v>
      </c>
      <c r="I70" s="188" t="str">
        <f t="shared" ref="I70:I133" si="7">IF(H70&lt;$H$2+1,($I$2-($I$2-1)*(LOG(H70)/LOG($H$2))),"")</f>
        <v/>
      </c>
      <c r="J70" s="187">
        <f t="shared" si="5"/>
        <v>-2</v>
      </c>
      <c r="K70" s="187">
        <f t="shared" ref="K70:K133" si="8">J70*$J$2</f>
        <v>-20</v>
      </c>
      <c r="L70" s="187"/>
      <c r="M70" s="189">
        <f t="shared" ref="M70:M133" si="9">IF(I70&lt;&gt;"",K70+I70+L70,0)</f>
        <v>0</v>
      </c>
      <c r="S70" s="180"/>
      <c r="T70" s="180"/>
      <c r="U70" s="180"/>
      <c r="V70" s="180"/>
      <c r="W70" s="180"/>
      <c r="X70" s="180"/>
      <c r="Y70" s="180"/>
      <c r="Z70" s="180"/>
      <c r="AA70" s="180"/>
      <c r="AB70" s="180"/>
      <c r="AC70" s="180"/>
      <c r="AD70" s="180"/>
      <c r="AE70" s="180"/>
      <c r="AF70" s="180"/>
      <c r="AG70" s="180"/>
      <c r="AH70" s="180"/>
      <c r="AI70" s="180"/>
      <c r="AJ70" s="180"/>
      <c r="AK70" s="180"/>
      <c r="AL70" s="180"/>
    </row>
    <row r="71" spans="1:38" s="175" customFormat="1" x14ac:dyDescent="0.25">
      <c r="A71" s="98">
        <f t="shared" ref="A71:A134" si="10">M71</f>
        <v>0</v>
      </c>
      <c r="B71" s="35" t="str">
        <f t="shared" si="6"/>
        <v/>
      </c>
      <c r="C71" s="25"/>
      <c r="D71" s="25"/>
      <c r="E71" s="25"/>
      <c r="F71" s="25"/>
      <c r="H71" s="190">
        <v>66</v>
      </c>
      <c r="I71" s="191" t="str">
        <f t="shared" si="7"/>
        <v/>
      </c>
      <c r="J71" s="190">
        <f t="shared" ref="J71:J134" si="11">INT(LOG($H$2,2))-ROUNDUP(LOG(H71,2),0)+IF(OR($H$2=1,$H$2=2,$H$2=4,$H$2=8,$H$2=16,$H$2=32,$H$2=64,$H$2=128,$H$2=256),0,1)</f>
        <v>-2</v>
      </c>
      <c r="K71" s="190">
        <f t="shared" si="8"/>
        <v>-20</v>
      </c>
      <c r="L71" s="190"/>
      <c r="M71" s="192">
        <f t="shared" si="9"/>
        <v>0</v>
      </c>
      <c r="S71" s="180"/>
      <c r="T71" s="180"/>
      <c r="U71" s="180"/>
      <c r="V71" s="180"/>
      <c r="W71" s="180"/>
      <c r="X71" s="180"/>
      <c r="Y71" s="180"/>
      <c r="Z71" s="180"/>
      <c r="AA71" s="180"/>
      <c r="AB71" s="180"/>
      <c r="AC71" s="180"/>
      <c r="AD71" s="180"/>
      <c r="AE71" s="180"/>
      <c r="AF71" s="180"/>
      <c r="AG71" s="180"/>
      <c r="AH71" s="180"/>
      <c r="AI71" s="180"/>
      <c r="AJ71" s="180"/>
      <c r="AK71" s="180"/>
      <c r="AL71" s="180"/>
    </row>
    <row r="72" spans="1:38" s="175" customFormat="1" x14ac:dyDescent="0.25">
      <c r="A72" s="94">
        <f t="shared" si="10"/>
        <v>0</v>
      </c>
      <c r="B72" s="36" t="str">
        <f t="shared" si="6"/>
        <v/>
      </c>
      <c r="C72" s="24"/>
      <c r="D72" s="24"/>
      <c r="E72" s="24"/>
      <c r="F72" s="24"/>
      <c r="H72" s="187">
        <v>67</v>
      </c>
      <c r="I72" s="188" t="str">
        <f t="shared" si="7"/>
        <v/>
      </c>
      <c r="J72" s="187">
        <f t="shared" si="11"/>
        <v>-2</v>
      </c>
      <c r="K72" s="187">
        <f t="shared" si="8"/>
        <v>-20</v>
      </c>
      <c r="L72" s="187"/>
      <c r="M72" s="189">
        <f t="shared" si="9"/>
        <v>0</v>
      </c>
      <c r="S72" s="180"/>
      <c r="T72" s="180"/>
      <c r="U72" s="180"/>
      <c r="V72" s="180"/>
      <c r="W72" s="180"/>
      <c r="X72" s="180"/>
      <c r="Y72" s="180"/>
      <c r="Z72" s="180"/>
      <c r="AA72" s="180"/>
      <c r="AB72" s="180"/>
      <c r="AC72" s="180"/>
      <c r="AD72" s="180"/>
      <c r="AE72" s="180"/>
      <c r="AF72" s="180"/>
      <c r="AG72" s="180"/>
      <c r="AH72" s="180"/>
      <c r="AI72" s="180"/>
      <c r="AJ72" s="180"/>
      <c r="AK72" s="180"/>
      <c r="AL72" s="180"/>
    </row>
    <row r="73" spans="1:38" s="175" customFormat="1" x14ac:dyDescent="0.25">
      <c r="A73" s="98">
        <f t="shared" si="10"/>
        <v>0</v>
      </c>
      <c r="B73" s="35" t="str">
        <f t="shared" si="6"/>
        <v/>
      </c>
      <c r="C73" s="25"/>
      <c r="D73" s="25"/>
      <c r="E73" s="25"/>
      <c r="F73" s="25"/>
      <c r="H73" s="190">
        <v>68</v>
      </c>
      <c r="I73" s="191" t="str">
        <f t="shared" si="7"/>
        <v/>
      </c>
      <c r="J73" s="190">
        <f t="shared" si="11"/>
        <v>-2</v>
      </c>
      <c r="K73" s="190">
        <f t="shared" si="8"/>
        <v>-20</v>
      </c>
      <c r="L73" s="190"/>
      <c r="M73" s="192">
        <f t="shared" si="9"/>
        <v>0</v>
      </c>
      <c r="S73" s="180"/>
      <c r="T73" s="180"/>
      <c r="U73" s="180"/>
      <c r="V73" s="180"/>
      <c r="W73" s="180"/>
      <c r="X73" s="180"/>
      <c r="Y73" s="180"/>
      <c r="Z73" s="180"/>
      <c r="AA73" s="180"/>
      <c r="AB73" s="180"/>
      <c r="AC73" s="180"/>
      <c r="AD73" s="180"/>
      <c r="AE73" s="180"/>
      <c r="AF73" s="180"/>
      <c r="AG73" s="180"/>
      <c r="AH73" s="180"/>
      <c r="AI73" s="180"/>
      <c r="AJ73" s="180"/>
      <c r="AK73" s="180"/>
      <c r="AL73" s="180"/>
    </row>
    <row r="74" spans="1:38" s="175" customFormat="1" x14ac:dyDescent="0.25">
      <c r="A74" s="94">
        <f t="shared" si="10"/>
        <v>0</v>
      </c>
      <c r="B74" s="36" t="str">
        <f t="shared" si="6"/>
        <v/>
      </c>
      <c r="C74" s="24"/>
      <c r="D74" s="24"/>
      <c r="E74" s="24"/>
      <c r="F74" s="24"/>
      <c r="H74" s="187">
        <v>69</v>
      </c>
      <c r="I74" s="188" t="str">
        <f t="shared" si="7"/>
        <v/>
      </c>
      <c r="J74" s="187">
        <f t="shared" si="11"/>
        <v>-2</v>
      </c>
      <c r="K74" s="187">
        <f t="shared" si="8"/>
        <v>-20</v>
      </c>
      <c r="L74" s="187"/>
      <c r="M74" s="189">
        <f t="shared" si="9"/>
        <v>0</v>
      </c>
      <c r="S74" s="180"/>
      <c r="T74" s="180"/>
      <c r="U74" s="180"/>
      <c r="V74" s="180"/>
      <c r="W74" s="180"/>
      <c r="X74" s="180"/>
      <c r="Y74" s="180"/>
      <c r="Z74" s="180"/>
      <c r="AA74" s="180"/>
      <c r="AB74" s="180"/>
      <c r="AC74" s="180"/>
      <c r="AD74" s="180"/>
      <c r="AE74" s="180"/>
      <c r="AF74" s="180"/>
      <c r="AG74" s="180"/>
      <c r="AH74" s="180"/>
      <c r="AI74" s="180"/>
      <c r="AJ74" s="180"/>
      <c r="AK74" s="180"/>
      <c r="AL74" s="180"/>
    </row>
    <row r="75" spans="1:38" s="175" customFormat="1" x14ac:dyDescent="0.25">
      <c r="A75" s="98">
        <f t="shared" si="10"/>
        <v>0</v>
      </c>
      <c r="B75" s="35" t="str">
        <f t="shared" si="6"/>
        <v/>
      </c>
      <c r="C75" s="25"/>
      <c r="D75" s="25"/>
      <c r="E75" s="25"/>
      <c r="F75" s="25"/>
      <c r="H75" s="190">
        <v>70</v>
      </c>
      <c r="I75" s="191" t="str">
        <f t="shared" si="7"/>
        <v/>
      </c>
      <c r="J75" s="190">
        <f t="shared" si="11"/>
        <v>-2</v>
      </c>
      <c r="K75" s="190">
        <f t="shared" si="8"/>
        <v>-20</v>
      </c>
      <c r="L75" s="190"/>
      <c r="M75" s="192">
        <f t="shared" si="9"/>
        <v>0</v>
      </c>
      <c r="S75" s="180"/>
      <c r="T75" s="180"/>
      <c r="U75" s="180"/>
      <c r="V75" s="180"/>
      <c r="W75" s="180"/>
      <c r="X75" s="180"/>
      <c r="Y75" s="180"/>
      <c r="Z75" s="180"/>
      <c r="AA75" s="180"/>
      <c r="AB75" s="180"/>
      <c r="AC75" s="180"/>
      <c r="AD75" s="180"/>
      <c r="AE75" s="180"/>
      <c r="AF75" s="180"/>
      <c r="AG75" s="180"/>
      <c r="AH75" s="180"/>
      <c r="AI75" s="180"/>
      <c r="AJ75" s="180"/>
      <c r="AK75" s="180"/>
      <c r="AL75" s="180"/>
    </row>
    <row r="76" spans="1:38" s="175" customFormat="1" x14ac:dyDescent="0.25">
      <c r="A76" s="94">
        <f t="shared" si="10"/>
        <v>0</v>
      </c>
      <c r="B76" s="36" t="str">
        <f t="shared" si="6"/>
        <v/>
      </c>
      <c r="C76" s="24"/>
      <c r="D76" s="24"/>
      <c r="E76" s="24"/>
      <c r="F76" s="24"/>
      <c r="H76" s="187">
        <v>71</v>
      </c>
      <c r="I76" s="188" t="str">
        <f t="shared" si="7"/>
        <v/>
      </c>
      <c r="J76" s="187">
        <f t="shared" si="11"/>
        <v>-2</v>
      </c>
      <c r="K76" s="187">
        <f t="shared" si="8"/>
        <v>-20</v>
      </c>
      <c r="L76" s="187"/>
      <c r="M76" s="189">
        <f t="shared" si="9"/>
        <v>0</v>
      </c>
      <c r="S76" s="180"/>
      <c r="T76" s="180"/>
      <c r="U76" s="180"/>
      <c r="V76" s="180"/>
      <c r="W76" s="180"/>
      <c r="X76" s="180"/>
      <c r="Y76" s="180"/>
      <c r="Z76" s="180"/>
      <c r="AA76" s="180"/>
      <c r="AB76" s="180"/>
      <c r="AC76" s="180"/>
      <c r="AD76" s="180"/>
      <c r="AE76" s="180"/>
      <c r="AF76" s="180"/>
      <c r="AG76" s="180"/>
      <c r="AH76" s="180"/>
      <c r="AI76" s="180"/>
      <c r="AJ76" s="180"/>
      <c r="AK76" s="180"/>
      <c r="AL76" s="180"/>
    </row>
    <row r="77" spans="1:38" s="175" customFormat="1" x14ac:dyDescent="0.25">
      <c r="A77" s="98">
        <f t="shared" si="10"/>
        <v>0</v>
      </c>
      <c r="B77" s="35" t="str">
        <f t="shared" si="6"/>
        <v/>
      </c>
      <c r="C77" s="25"/>
      <c r="D77" s="25"/>
      <c r="E77" s="25"/>
      <c r="F77" s="25"/>
      <c r="H77" s="190">
        <v>72</v>
      </c>
      <c r="I77" s="191" t="str">
        <f t="shared" si="7"/>
        <v/>
      </c>
      <c r="J77" s="190">
        <f t="shared" si="11"/>
        <v>-2</v>
      </c>
      <c r="K77" s="190">
        <f t="shared" si="8"/>
        <v>-20</v>
      </c>
      <c r="L77" s="190"/>
      <c r="M77" s="192">
        <f t="shared" si="9"/>
        <v>0</v>
      </c>
      <c r="S77" s="180"/>
      <c r="T77" s="180"/>
      <c r="U77" s="180"/>
      <c r="V77" s="180"/>
      <c r="W77" s="180"/>
      <c r="X77" s="180"/>
      <c r="Y77" s="180"/>
      <c r="Z77" s="180"/>
      <c r="AA77" s="180"/>
      <c r="AB77" s="180"/>
      <c r="AC77" s="180"/>
      <c r="AD77" s="180"/>
      <c r="AE77" s="180"/>
      <c r="AF77" s="180"/>
      <c r="AG77" s="180"/>
      <c r="AH77" s="180"/>
      <c r="AI77" s="180"/>
      <c r="AJ77" s="180"/>
      <c r="AK77" s="180"/>
      <c r="AL77" s="180"/>
    </row>
    <row r="78" spans="1:38" s="175" customFormat="1" x14ac:dyDescent="0.25">
      <c r="A78" s="94">
        <f t="shared" si="10"/>
        <v>0</v>
      </c>
      <c r="B78" s="36" t="str">
        <f t="shared" si="6"/>
        <v/>
      </c>
      <c r="C78" s="24"/>
      <c r="D78" s="24"/>
      <c r="E78" s="24"/>
      <c r="F78" s="24"/>
      <c r="H78" s="187">
        <v>73</v>
      </c>
      <c r="I78" s="188" t="str">
        <f t="shared" si="7"/>
        <v/>
      </c>
      <c r="J78" s="187">
        <f t="shared" si="11"/>
        <v>-2</v>
      </c>
      <c r="K78" s="187">
        <f t="shared" si="8"/>
        <v>-20</v>
      </c>
      <c r="L78" s="187"/>
      <c r="M78" s="189">
        <f t="shared" si="9"/>
        <v>0</v>
      </c>
      <c r="S78" s="180"/>
      <c r="T78" s="180"/>
      <c r="U78" s="180"/>
      <c r="V78" s="180"/>
      <c r="W78" s="180"/>
      <c r="X78" s="180"/>
      <c r="Y78" s="180"/>
      <c r="Z78" s="180"/>
      <c r="AA78" s="180"/>
      <c r="AB78" s="180"/>
      <c r="AC78" s="180"/>
      <c r="AD78" s="180"/>
      <c r="AE78" s="180"/>
      <c r="AF78" s="180"/>
      <c r="AG78" s="180"/>
      <c r="AH78" s="180"/>
      <c r="AI78" s="180"/>
      <c r="AJ78" s="180"/>
      <c r="AK78" s="180"/>
      <c r="AL78" s="180"/>
    </row>
    <row r="79" spans="1:38" s="175" customFormat="1" x14ac:dyDescent="0.25">
      <c r="A79" s="98">
        <f t="shared" si="10"/>
        <v>0</v>
      </c>
      <c r="B79" s="35" t="str">
        <f t="shared" si="6"/>
        <v/>
      </c>
      <c r="C79" s="25"/>
      <c r="D79" s="25"/>
      <c r="E79" s="25"/>
      <c r="F79" s="25"/>
      <c r="H79" s="190">
        <v>74</v>
      </c>
      <c r="I79" s="191" t="str">
        <f t="shared" si="7"/>
        <v/>
      </c>
      <c r="J79" s="190">
        <f t="shared" si="11"/>
        <v>-2</v>
      </c>
      <c r="K79" s="190">
        <f t="shared" si="8"/>
        <v>-20</v>
      </c>
      <c r="L79" s="190"/>
      <c r="M79" s="192">
        <f t="shared" si="9"/>
        <v>0</v>
      </c>
      <c r="S79" s="180"/>
      <c r="T79" s="180"/>
      <c r="U79" s="180"/>
      <c r="V79" s="180"/>
      <c r="W79" s="180"/>
      <c r="X79" s="180"/>
      <c r="Y79" s="180"/>
      <c r="Z79" s="180"/>
      <c r="AA79" s="180"/>
      <c r="AB79" s="180"/>
      <c r="AC79" s="180"/>
      <c r="AD79" s="180"/>
      <c r="AE79" s="180"/>
      <c r="AF79" s="180"/>
      <c r="AG79" s="180"/>
      <c r="AH79" s="180"/>
      <c r="AI79" s="180"/>
      <c r="AJ79" s="180"/>
      <c r="AK79" s="180"/>
      <c r="AL79" s="180"/>
    </row>
    <row r="80" spans="1:38" s="175" customFormat="1" x14ac:dyDescent="0.25">
      <c r="A80" s="94">
        <f t="shared" si="10"/>
        <v>0</v>
      </c>
      <c r="B80" s="36" t="str">
        <f t="shared" si="6"/>
        <v/>
      </c>
      <c r="C80" s="24"/>
      <c r="D80" s="24"/>
      <c r="E80" s="24"/>
      <c r="F80" s="24"/>
      <c r="H80" s="187">
        <v>75</v>
      </c>
      <c r="I80" s="188" t="str">
        <f t="shared" si="7"/>
        <v/>
      </c>
      <c r="J80" s="187">
        <f t="shared" si="11"/>
        <v>-2</v>
      </c>
      <c r="K80" s="187">
        <f t="shared" si="8"/>
        <v>-20</v>
      </c>
      <c r="L80" s="187"/>
      <c r="M80" s="189">
        <f t="shared" si="9"/>
        <v>0</v>
      </c>
      <c r="S80" s="180"/>
      <c r="T80" s="180"/>
      <c r="U80" s="180"/>
      <c r="V80" s="180"/>
      <c r="W80" s="180"/>
      <c r="X80" s="180"/>
      <c r="Y80" s="180"/>
      <c r="Z80" s="180"/>
      <c r="AA80" s="180"/>
      <c r="AB80" s="180"/>
      <c r="AC80" s="180"/>
      <c r="AD80" s="180"/>
      <c r="AE80" s="180"/>
      <c r="AF80" s="180"/>
      <c r="AG80" s="180"/>
      <c r="AH80" s="180"/>
      <c r="AI80" s="180"/>
      <c r="AJ80" s="180"/>
      <c r="AK80" s="180"/>
      <c r="AL80" s="180"/>
    </row>
    <row r="81" spans="1:38" s="175" customFormat="1" x14ac:dyDescent="0.25">
      <c r="A81" s="98">
        <f t="shared" si="10"/>
        <v>0</v>
      </c>
      <c r="B81" s="35" t="str">
        <f t="shared" si="6"/>
        <v/>
      </c>
      <c r="C81" s="25"/>
      <c r="D81" s="25"/>
      <c r="E81" s="25"/>
      <c r="F81" s="25"/>
      <c r="H81" s="190">
        <v>76</v>
      </c>
      <c r="I81" s="191" t="str">
        <f t="shared" si="7"/>
        <v/>
      </c>
      <c r="J81" s="190">
        <f t="shared" si="11"/>
        <v>-2</v>
      </c>
      <c r="K81" s="190">
        <f t="shared" si="8"/>
        <v>-20</v>
      </c>
      <c r="L81" s="190"/>
      <c r="M81" s="192">
        <f t="shared" si="9"/>
        <v>0</v>
      </c>
      <c r="S81" s="180"/>
      <c r="T81" s="180"/>
      <c r="U81" s="180"/>
      <c r="V81" s="180"/>
      <c r="W81" s="180"/>
      <c r="X81" s="180"/>
      <c r="Y81" s="180"/>
      <c r="Z81" s="180"/>
      <c r="AA81" s="180"/>
      <c r="AB81" s="180"/>
      <c r="AC81" s="180"/>
      <c r="AD81" s="180"/>
      <c r="AE81" s="180"/>
      <c r="AF81" s="180"/>
      <c r="AG81" s="180"/>
      <c r="AH81" s="180"/>
      <c r="AI81" s="180"/>
      <c r="AJ81" s="180"/>
      <c r="AK81" s="180"/>
      <c r="AL81" s="180"/>
    </row>
    <row r="82" spans="1:38" s="175" customFormat="1" x14ac:dyDescent="0.25">
      <c r="A82" s="94">
        <f t="shared" si="10"/>
        <v>0</v>
      </c>
      <c r="B82" s="36" t="str">
        <f t="shared" si="6"/>
        <v/>
      </c>
      <c r="C82" s="24"/>
      <c r="D82" s="24"/>
      <c r="E82" s="24"/>
      <c r="F82" s="24"/>
      <c r="H82" s="187">
        <v>77</v>
      </c>
      <c r="I82" s="188" t="str">
        <f t="shared" si="7"/>
        <v/>
      </c>
      <c r="J82" s="187">
        <f t="shared" si="11"/>
        <v>-2</v>
      </c>
      <c r="K82" s="187">
        <f t="shared" si="8"/>
        <v>-20</v>
      </c>
      <c r="L82" s="187"/>
      <c r="M82" s="189">
        <f t="shared" si="9"/>
        <v>0</v>
      </c>
      <c r="S82" s="180"/>
      <c r="T82" s="180"/>
      <c r="U82" s="180"/>
      <c r="V82" s="180"/>
      <c r="W82" s="180"/>
      <c r="X82" s="180"/>
      <c r="Y82" s="180"/>
      <c r="Z82" s="180"/>
      <c r="AA82" s="180"/>
      <c r="AB82" s="180"/>
      <c r="AC82" s="180"/>
      <c r="AD82" s="180"/>
      <c r="AE82" s="180"/>
      <c r="AF82" s="180"/>
      <c r="AG82" s="180"/>
      <c r="AH82" s="180"/>
      <c r="AI82" s="180"/>
      <c r="AJ82" s="180"/>
      <c r="AK82" s="180"/>
      <c r="AL82" s="180"/>
    </row>
    <row r="83" spans="1:38" s="175" customFormat="1" x14ac:dyDescent="0.25">
      <c r="A83" s="98">
        <f t="shared" si="10"/>
        <v>0</v>
      </c>
      <c r="B83" s="35" t="str">
        <f t="shared" si="6"/>
        <v/>
      </c>
      <c r="C83" s="25"/>
      <c r="D83" s="25"/>
      <c r="E83" s="25"/>
      <c r="F83" s="25"/>
      <c r="H83" s="190">
        <v>78</v>
      </c>
      <c r="I83" s="191" t="str">
        <f t="shared" si="7"/>
        <v/>
      </c>
      <c r="J83" s="190">
        <f t="shared" si="11"/>
        <v>-2</v>
      </c>
      <c r="K83" s="190">
        <f t="shared" si="8"/>
        <v>-20</v>
      </c>
      <c r="L83" s="190"/>
      <c r="M83" s="192">
        <f t="shared" si="9"/>
        <v>0</v>
      </c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  <c r="AF83" s="180"/>
      <c r="AG83" s="180"/>
      <c r="AH83" s="180"/>
      <c r="AI83" s="180"/>
      <c r="AJ83" s="180"/>
      <c r="AK83" s="180"/>
      <c r="AL83" s="180"/>
    </row>
    <row r="84" spans="1:38" s="175" customFormat="1" x14ac:dyDescent="0.25">
      <c r="A84" s="94">
        <f t="shared" si="10"/>
        <v>0</v>
      </c>
      <c r="B84" s="36" t="str">
        <f t="shared" si="6"/>
        <v/>
      </c>
      <c r="C84" s="24"/>
      <c r="D84" s="24"/>
      <c r="E84" s="24"/>
      <c r="F84" s="24"/>
      <c r="H84" s="187">
        <v>79</v>
      </c>
      <c r="I84" s="188" t="str">
        <f t="shared" si="7"/>
        <v/>
      </c>
      <c r="J84" s="187">
        <f t="shared" si="11"/>
        <v>-2</v>
      </c>
      <c r="K84" s="187">
        <f t="shared" si="8"/>
        <v>-20</v>
      </c>
      <c r="L84" s="187"/>
      <c r="M84" s="189">
        <f t="shared" si="9"/>
        <v>0</v>
      </c>
      <c r="S84" s="180"/>
      <c r="T84" s="180"/>
      <c r="U84" s="180"/>
      <c r="V84" s="180"/>
      <c r="W84" s="180"/>
      <c r="X84" s="180"/>
      <c r="Y84" s="180"/>
      <c r="Z84" s="180"/>
      <c r="AA84" s="180"/>
      <c r="AB84" s="180"/>
      <c r="AC84" s="180"/>
      <c r="AD84" s="180"/>
      <c r="AE84" s="180"/>
      <c r="AF84" s="180"/>
      <c r="AG84" s="180"/>
      <c r="AH84" s="180"/>
      <c r="AI84" s="180"/>
      <c r="AJ84" s="180"/>
      <c r="AK84" s="180"/>
      <c r="AL84" s="180"/>
    </row>
    <row r="85" spans="1:38" s="175" customFormat="1" x14ac:dyDescent="0.25">
      <c r="A85" s="98">
        <f t="shared" si="10"/>
        <v>0</v>
      </c>
      <c r="B85" s="35" t="str">
        <f t="shared" si="6"/>
        <v/>
      </c>
      <c r="C85" s="25"/>
      <c r="D85" s="25"/>
      <c r="E85" s="25"/>
      <c r="F85" s="25"/>
      <c r="H85" s="190">
        <v>80</v>
      </c>
      <c r="I85" s="191" t="str">
        <f t="shared" si="7"/>
        <v/>
      </c>
      <c r="J85" s="190">
        <f t="shared" si="11"/>
        <v>-2</v>
      </c>
      <c r="K85" s="190">
        <f t="shared" si="8"/>
        <v>-20</v>
      </c>
      <c r="L85" s="190"/>
      <c r="M85" s="192">
        <f t="shared" si="9"/>
        <v>0</v>
      </c>
      <c r="S85" s="180"/>
      <c r="T85" s="180"/>
      <c r="U85" s="180"/>
      <c r="V85" s="180"/>
      <c r="W85" s="180"/>
      <c r="X85" s="180"/>
      <c r="Y85" s="180"/>
      <c r="Z85" s="180"/>
      <c r="AA85" s="180"/>
      <c r="AB85" s="180"/>
      <c r="AC85" s="180"/>
      <c r="AD85" s="180"/>
      <c r="AE85" s="180"/>
      <c r="AF85" s="180"/>
      <c r="AG85" s="180"/>
      <c r="AH85" s="180"/>
      <c r="AI85" s="180"/>
      <c r="AJ85" s="180"/>
      <c r="AK85" s="180"/>
      <c r="AL85" s="180"/>
    </row>
    <row r="86" spans="1:38" s="175" customFormat="1" x14ac:dyDescent="0.25">
      <c r="A86" s="94">
        <f t="shared" si="10"/>
        <v>0</v>
      </c>
      <c r="B86" s="36" t="str">
        <f t="shared" si="6"/>
        <v/>
      </c>
      <c r="C86" s="24"/>
      <c r="D86" s="24"/>
      <c r="E86" s="24"/>
      <c r="F86" s="24"/>
      <c r="H86" s="187">
        <v>81</v>
      </c>
      <c r="I86" s="188" t="str">
        <f t="shared" si="7"/>
        <v/>
      </c>
      <c r="J86" s="187">
        <f t="shared" si="11"/>
        <v>-2</v>
      </c>
      <c r="K86" s="187">
        <f t="shared" si="8"/>
        <v>-20</v>
      </c>
      <c r="L86" s="187"/>
      <c r="M86" s="189">
        <f t="shared" si="9"/>
        <v>0</v>
      </c>
      <c r="S86" s="180"/>
      <c r="T86" s="180"/>
      <c r="U86" s="180"/>
      <c r="V86" s="180"/>
      <c r="W86" s="180"/>
      <c r="X86" s="180"/>
      <c r="Y86" s="180"/>
      <c r="Z86" s="180"/>
      <c r="AA86" s="180"/>
      <c r="AB86" s="180"/>
      <c r="AC86" s="180"/>
      <c r="AD86" s="180"/>
      <c r="AE86" s="180"/>
      <c r="AF86" s="180"/>
      <c r="AG86" s="180"/>
      <c r="AH86" s="180"/>
      <c r="AI86" s="180"/>
      <c r="AJ86" s="180"/>
      <c r="AK86" s="180"/>
      <c r="AL86" s="180"/>
    </row>
    <row r="87" spans="1:38" s="175" customFormat="1" x14ac:dyDescent="0.25">
      <c r="A87" s="98">
        <f t="shared" si="10"/>
        <v>0</v>
      </c>
      <c r="B87" s="35" t="str">
        <f t="shared" si="6"/>
        <v/>
      </c>
      <c r="C87" s="25"/>
      <c r="D87" s="25"/>
      <c r="E87" s="25"/>
      <c r="F87" s="25"/>
      <c r="H87" s="190">
        <v>82</v>
      </c>
      <c r="I87" s="191" t="str">
        <f t="shared" si="7"/>
        <v/>
      </c>
      <c r="J87" s="190">
        <f t="shared" si="11"/>
        <v>-2</v>
      </c>
      <c r="K87" s="190">
        <f t="shared" si="8"/>
        <v>-20</v>
      </c>
      <c r="L87" s="190"/>
      <c r="M87" s="192">
        <f t="shared" si="9"/>
        <v>0</v>
      </c>
      <c r="S87" s="180"/>
      <c r="T87" s="180"/>
      <c r="U87" s="180"/>
      <c r="V87" s="180"/>
      <c r="W87" s="180"/>
      <c r="X87" s="180"/>
      <c r="Y87" s="180"/>
      <c r="Z87" s="180"/>
      <c r="AA87" s="180"/>
      <c r="AB87" s="180"/>
      <c r="AC87" s="180"/>
      <c r="AD87" s="180"/>
      <c r="AE87" s="180"/>
      <c r="AF87" s="180"/>
      <c r="AG87" s="180"/>
      <c r="AH87" s="180"/>
      <c r="AI87" s="180"/>
      <c r="AJ87" s="180"/>
      <c r="AK87" s="180"/>
      <c r="AL87" s="180"/>
    </row>
    <row r="88" spans="1:38" s="175" customFormat="1" x14ac:dyDescent="0.25">
      <c r="A88" s="94">
        <f t="shared" si="10"/>
        <v>0</v>
      </c>
      <c r="B88" s="36" t="str">
        <f t="shared" si="6"/>
        <v/>
      </c>
      <c r="C88" s="24"/>
      <c r="D88" s="24"/>
      <c r="E88" s="24"/>
      <c r="F88" s="24"/>
      <c r="H88" s="187">
        <v>83</v>
      </c>
      <c r="I88" s="188" t="str">
        <f t="shared" si="7"/>
        <v/>
      </c>
      <c r="J88" s="187">
        <f t="shared" si="11"/>
        <v>-2</v>
      </c>
      <c r="K88" s="187">
        <f t="shared" si="8"/>
        <v>-20</v>
      </c>
      <c r="L88" s="187"/>
      <c r="M88" s="189">
        <f t="shared" si="9"/>
        <v>0</v>
      </c>
      <c r="S88" s="180"/>
      <c r="T88" s="180"/>
      <c r="U88" s="180"/>
      <c r="V88" s="180"/>
      <c r="W88" s="180"/>
      <c r="X88" s="180"/>
      <c r="Y88" s="180"/>
      <c r="Z88" s="180"/>
      <c r="AA88" s="180"/>
      <c r="AB88" s="180"/>
      <c r="AC88" s="180"/>
      <c r="AD88" s="180"/>
      <c r="AE88" s="180"/>
      <c r="AF88" s="180"/>
      <c r="AG88" s="180"/>
      <c r="AH88" s="180"/>
      <c r="AI88" s="180"/>
      <c r="AJ88" s="180"/>
      <c r="AK88" s="180"/>
      <c r="AL88" s="180"/>
    </row>
    <row r="89" spans="1:38" s="175" customFormat="1" x14ac:dyDescent="0.25">
      <c r="A89" s="98">
        <f t="shared" si="10"/>
        <v>0</v>
      </c>
      <c r="B89" s="35" t="str">
        <f t="shared" si="6"/>
        <v/>
      </c>
      <c r="C89" s="25"/>
      <c r="D89" s="25"/>
      <c r="E89" s="25"/>
      <c r="F89" s="25"/>
      <c r="H89" s="190">
        <v>84</v>
      </c>
      <c r="I89" s="191" t="str">
        <f t="shared" si="7"/>
        <v/>
      </c>
      <c r="J89" s="190">
        <f t="shared" si="11"/>
        <v>-2</v>
      </c>
      <c r="K89" s="190">
        <f t="shared" si="8"/>
        <v>-20</v>
      </c>
      <c r="L89" s="190"/>
      <c r="M89" s="192">
        <f t="shared" si="9"/>
        <v>0</v>
      </c>
      <c r="S89" s="180"/>
      <c r="T89" s="180"/>
      <c r="U89" s="180"/>
      <c r="V89" s="180"/>
      <c r="W89" s="180"/>
      <c r="X89" s="180"/>
      <c r="Y89" s="180"/>
      <c r="Z89" s="180"/>
      <c r="AA89" s="180"/>
      <c r="AB89" s="180"/>
      <c r="AC89" s="180"/>
      <c r="AD89" s="180"/>
      <c r="AE89" s="180"/>
      <c r="AF89" s="180"/>
      <c r="AG89" s="180"/>
      <c r="AH89" s="180"/>
      <c r="AI89" s="180"/>
      <c r="AJ89" s="180"/>
      <c r="AK89" s="180"/>
      <c r="AL89" s="180"/>
    </row>
    <row r="90" spans="1:38" s="175" customFormat="1" x14ac:dyDescent="0.25">
      <c r="A90" s="94">
        <f t="shared" si="10"/>
        <v>0</v>
      </c>
      <c r="B90" s="36" t="str">
        <f t="shared" si="6"/>
        <v/>
      </c>
      <c r="C90" s="24"/>
      <c r="D90" s="24"/>
      <c r="E90" s="24"/>
      <c r="F90" s="24"/>
      <c r="H90" s="187">
        <v>85</v>
      </c>
      <c r="I90" s="188" t="str">
        <f t="shared" si="7"/>
        <v/>
      </c>
      <c r="J90" s="187">
        <f t="shared" si="11"/>
        <v>-2</v>
      </c>
      <c r="K90" s="187">
        <f t="shared" si="8"/>
        <v>-20</v>
      </c>
      <c r="L90" s="187"/>
      <c r="M90" s="189">
        <f t="shared" si="9"/>
        <v>0</v>
      </c>
      <c r="S90" s="180"/>
      <c r="T90" s="180"/>
      <c r="U90" s="180"/>
      <c r="V90" s="180"/>
      <c r="W90" s="180"/>
      <c r="X90" s="180"/>
      <c r="Y90" s="180"/>
      <c r="Z90" s="180"/>
      <c r="AA90" s="180"/>
      <c r="AB90" s="180"/>
      <c r="AC90" s="180"/>
      <c r="AD90" s="180"/>
      <c r="AE90" s="180"/>
      <c r="AF90" s="180"/>
      <c r="AG90" s="180"/>
      <c r="AH90" s="180"/>
      <c r="AI90" s="180"/>
      <c r="AJ90" s="180"/>
      <c r="AK90" s="180"/>
      <c r="AL90" s="180"/>
    </row>
    <row r="91" spans="1:38" s="175" customFormat="1" x14ac:dyDescent="0.25">
      <c r="A91" s="98">
        <f t="shared" si="10"/>
        <v>0</v>
      </c>
      <c r="B91" s="35" t="str">
        <f t="shared" si="6"/>
        <v/>
      </c>
      <c r="C91" s="25"/>
      <c r="D91" s="25"/>
      <c r="E91" s="25"/>
      <c r="F91" s="25"/>
      <c r="H91" s="190">
        <v>86</v>
      </c>
      <c r="I91" s="191" t="str">
        <f t="shared" si="7"/>
        <v/>
      </c>
      <c r="J91" s="190">
        <f t="shared" si="11"/>
        <v>-2</v>
      </c>
      <c r="K91" s="190">
        <f t="shared" si="8"/>
        <v>-20</v>
      </c>
      <c r="L91" s="190"/>
      <c r="M91" s="192">
        <f t="shared" si="9"/>
        <v>0</v>
      </c>
      <c r="S91" s="180"/>
      <c r="T91" s="180"/>
      <c r="U91" s="180"/>
      <c r="V91" s="180"/>
      <c r="W91" s="180"/>
      <c r="X91" s="180"/>
      <c r="Y91" s="180"/>
      <c r="Z91" s="180"/>
      <c r="AA91" s="180"/>
      <c r="AB91" s="180"/>
      <c r="AC91" s="180"/>
      <c r="AD91" s="180"/>
      <c r="AE91" s="180"/>
      <c r="AF91" s="180"/>
      <c r="AG91" s="180"/>
      <c r="AH91" s="180"/>
      <c r="AI91" s="180"/>
      <c r="AJ91" s="180"/>
      <c r="AK91" s="180"/>
      <c r="AL91" s="180"/>
    </row>
    <row r="92" spans="1:38" s="175" customFormat="1" x14ac:dyDescent="0.25">
      <c r="A92" s="94">
        <f t="shared" si="10"/>
        <v>0</v>
      </c>
      <c r="B92" s="36" t="str">
        <f t="shared" si="6"/>
        <v/>
      </c>
      <c r="C92" s="24"/>
      <c r="D92" s="24"/>
      <c r="E92" s="24"/>
      <c r="F92" s="24"/>
      <c r="H92" s="187">
        <v>87</v>
      </c>
      <c r="I92" s="188" t="str">
        <f t="shared" si="7"/>
        <v/>
      </c>
      <c r="J92" s="187">
        <f t="shared" si="11"/>
        <v>-2</v>
      </c>
      <c r="K92" s="187">
        <f t="shared" si="8"/>
        <v>-20</v>
      </c>
      <c r="L92" s="187"/>
      <c r="M92" s="189">
        <f t="shared" si="9"/>
        <v>0</v>
      </c>
      <c r="S92" s="180"/>
      <c r="T92" s="180"/>
      <c r="U92" s="180"/>
      <c r="V92" s="180"/>
      <c r="W92" s="180"/>
      <c r="X92" s="180"/>
      <c r="Y92" s="180"/>
      <c r="Z92" s="180"/>
      <c r="AA92" s="180"/>
      <c r="AB92" s="180"/>
      <c r="AC92" s="180"/>
      <c r="AD92" s="180"/>
      <c r="AE92" s="180"/>
      <c r="AF92" s="180"/>
      <c r="AG92" s="180"/>
      <c r="AH92" s="180"/>
      <c r="AI92" s="180"/>
      <c r="AJ92" s="180"/>
      <c r="AK92" s="180"/>
      <c r="AL92" s="180"/>
    </row>
    <row r="93" spans="1:38" s="175" customFormat="1" x14ac:dyDescent="0.25">
      <c r="A93" s="98">
        <f t="shared" si="10"/>
        <v>0</v>
      </c>
      <c r="B93" s="35" t="str">
        <f t="shared" si="6"/>
        <v/>
      </c>
      <c r="C93" s="25"/>
      <c r="D93" s="25"/>
      <c r="E93" s="25"/>
      <c r="F93" s="25"/>
      <c r="H93" s="190">
        <v>88</v>
      </c>
      <c r="I93" s="191" t="str">
        <f t="shared" si="7"/>
        <v/>
      </c>
      <c r="J93" s="190">
        <f t="shared" si="11"/>
        <v>-2</v>
      </c>
      <c r="K93" s="190">
        <f t="shared" si="8"/>
        <v>-20</v>
      </c>
      <c r="L93" s="190"/>
      <c r="M93" s="192">
        <f t="shared" si="9"/>
        <v>0</v>
      </c>
      <c r="S93" s="180"/>
      <c r="T93" s="180"/>
      <c r="U93" s="180"/>
      <c r="V93" s="180"/>
      <c r="W93" s="180"/>
      <c r="X93" s="180"/>
      <c r="Y93" s="180"/>
      <c r="Z93" s="180"/>
      <c r="AA93" s="180"/>
      <c r="AB93" s="180"/>
      <c r="AC93" s="180"/>
      <c r="AD93" s="180"/>
      <c r="AE93" s="180"/>
      <c r="AF93" s="180"/>
      <c r="AG93" s="180"/>
      <c r="AH93" s="180"/>
      <c r="AI93" s="180"/>
      <c r="AJ93" s="180"/>
      <c r="AK93" s="180"/>
      <c r="AL93" s="180"/>
    </row>
    <row r="94" spans="1:38" s="175" customFormat="1" x14ac:dyDescent="0.25">
      <c r="A94" s="94">
        <f t="shared" si="10"/>
        <v>0</v>
      </c>
      <c r="B94" s="36" t="str">
        <f t="shared" si="6"/>
        <v/>
      </c>
      <c r="C94" s="24"/>
      <c r="D94" s="24"/>
      <c r="E94" s="24"/>
      <c r="F94" s="24"/>
      <c r="H94" s="187">
        <v>89</v>
      </c>
      <c r="I94" s="188" t="str">
        <f t="shared" si="7"/>
        <v/>
      </c>
      <c r="J94" s="187">
        <f t="shared" si="11"/>
        <v>-2</v>
      </c>
      <c r="K94" s="187">
        <f t="shared" si="8"/>
        <v>-20</v>
      </c>
      <c r="L94" s="187"/>
      <c r="M94" s="189">
        <f t="shared" si="9"/>
        <v>0</v>
      </c>
      <c r="S94" s="180"/>
      <c r="T94" s="180"/>
      <c r="U94" s="180"/>
      <c r="V94" s="180"/>
      <c r="W94" s="180"/>
      <c r="X94" s="180"/>
      <c r="Y94" s="180"/>
      <c r="Z94" s="180"/>
      <c r="AA94" s="180"/>
      <c r="AB94" s="180"/>
      <c r="AC94" s="180"/>
      <c r="AD94" s="180"/>
      <c r="AE94" s="180"/>
      <c r="AF94" s="180"/>
      <c r="AG94" s="180"/>
      <c r="AH94" s="180"/>
      <c r="AI94" s="180"/>
      <c r="AJ94" s="180"/>
      <c r="AK94" s="180"/>
      <c r="AL94" s="180"/>
    </row>
    <row r="95" spans="1:38" s="175" customFormat="1" x14ac:dyDescent="0.25">
      <c r="A95" s="98">
        <f t="shared" si="10"/>
        <v>0</v>
      </c>
      <c r="B95" s="35" t="str">
        <f t="shared" si="6"/>
        <v/>
      </c>
      <c r="C95" s="25"/>
      <c r="D95" s="25"/>
      <c r="E95" s="25"/>
      <c r="F95" s="25"/>
      <c r="H95" s="190">
        <v>90</v>
      </c>
      <c r="I95" s="191" t="str">
        <f t="shared" si="7"/>
        <v/>
      </c>
      <c r="J95" s="190">
        <f t="shared" si="11"/>
        <v>-2</v>
      </c>
      <c r="K95" s="190">
        <f t="shared" si="8"/>
        <v>-20</v>
      </c>
      <c r="L95" s="190"/>
      <c r="M95" s="192">
        <f t="shared" si="9"/>
        <v>0</v>
      </c>
      <c r="S95" s="180"/>
      <c r="T95" s="180"/>
      <c r="U95" s="180"/>
      <c r="V95" s="180"/>
      <c r="W95" s="180"/>
      <c r="X95" s="180"/>
      <c r="Y95" s="180"/>
      <c r="Z95" s="180"/>
      <c r="AA95" s="180"/>
      <c r="AB95" s="180"/>
      <c r="AC95" s="180"/>
      <c r="AD95" s="180"/>
      <c r="AE95" s="180"/>
      <c r="AF95" s="180"/>
      <c r="AG95" s="180"/>
      <c r="AH95" s="180"/>
      <c r="AI95" s="180"/>
      <c r="AJ95" s="180"/>
      <c r="AK95" s="180"/>
      <c r="AL95" s="180"/>
    </row>
    <row r="96" spans="1:38" s="175" customFormat="1" x14ac:dyDescent="0.25">
      <c r="A96" s="94">
        <f t="shared" si="10"/>
        <v>0</v>
      </c>
      <c r="B96" s="36" t="str">
        <f t="shared" si="6"/>
        <v/>
      </c>
      <c r="C96" s="24"/>
      <c r="D96" s="24"/>
      <c r="E96" s="24"/>
      <c r="F96" s="24"/>
      <c r="H96" s="187">
        <v>91</v>
      </c>
      <c r="I96" s="188" t="str">
        <f t="shared" si="7"/>
        <v/>
      </c>
      <c r="J96" s="187">
        <f t="shared" si="11"/>
        <v>-2</v>
      </c>
      <c r="K96" s="187">
        <f t="shared" si="8"/>
        <v>-20</v>
      </c>
      <c r="L96" s="187"/>
      <c r="M96" s="189">
        <f t="shared" si="9"/>
        <v>0</v>
      </c>
      <c r="S96" s="180"/>
      <c r="T96" s="180"/>
      <c r="U96" s="180"/>
      <c r="V96" s="180"/>
      <c r="W96" s="180"/>
      <c r="X96" s="180"/>
      <c r="Y96" s="180"/>
      <c r="Z96" s="180"/>
      <c r="AA96" s="180"/>
      <c r="AB96" s="180"/>
      <c r="AC96" s="180"/>
      <c r="AD96" s="180"/>
      <c r="AE96" s="180"/>
      <c r="AF96" s="180"/>
      <c r="AG96" s="180"/>
      <c r="AH96" s="180"/>
      <c r="AI96" s="180"/>
      <c r="AJ96" s="180"/>
      <c r="AK96" s="180"/>
      <c r="AL96" s="180"/>
    </row>
    <row r="97" spans="1:38" s="175" customFormat="1" x14ac:dyDescent="0.25">
      <c r="A97" s="98">
        <f t="shared" si="10"/>
        <v>0</v>
      </c>
      <c r="B97" s="35" t="str">
        <f t="shared" si="6"/>
        <v/>
      </c>
      <c r="C97" s="25"/>
      <c r="D97" s="25"/>
      <c r="E97" s="25"/>
      <c r="F97" s="25"/>
      <c r="H97" s="190">
        <v>92</v>
      </c>
      <c r="I97" s="191" t="str">
        <f t="shared" si="7"/>
        <v/>
      </c>
      <c r="J97" s="190">
        <f t="shared" si="11"/>
        <v>-2</v>
      </c>
      <c r="K97" s="190">
        <f t="shared" si="8"/>
        <v>-20</v>
      </c>
      <c r="L97" s="190"/>
      <c r="M97" s="192">
        <f t="shared" si="9"/>
        <v>0</v>
      </c>
      <c r="S97" s="180"/>
      <c r="T97" s="180"/>
      <c r="U97" s="180"/>
      <c r="V97" s="180"/>
      <c r="W97" s="180"/>
      <c r="X97" s="180"/>
      <c r="Y97" s="180"/>
      <c r="Z97" s="180"/>
      <c r="AA97" s="180"/>
      <c r="AB97" s="180"/>
      <c r="AC97" s="180"/>
      <c r="AD97" s="180"/>
      <c r="AE97" s="180"/>
      <c r="AF97" s="180"/>
      <c r="AG97" s="180"/>
      <c r="AH97" s="180"/>
      <c r="AI97" s="180"/>
      <c r="AJ97" s="180"/>
      <c r="AK97" s="180"/>
      <c r="AL97" s="180"/>
    </row>
    <row r="98" spans="1:38" s="175" customFormat="1" x14ac:dyDescent="0.25">
      <c r="A98" s="94">
        <f t="shared" si="10"/>
        <v>0</v>
      </c>
      <c r="B98" s="36" t="str">
        <f t="shared" si="6"/>
        <v/>
      </c>
      <c r="C98" s="24"/>
      <c r="D98" s="24"/>
      <c r="E98" s="24"/>
      <c r="F98" s="24"/>
      <c r="H98" s="187">
        <v>93</v>
      </c>
      <c r="I98" s="188" t="str">
        <f t="shared" si="7"/>
        <v/>
      </c>
      <c r="J98" s="187">
        <f t="shared" si="11"/>
        <v>-2</v>
      </c>
      <c r="K98" s="187">
        <f t="shared" si="8"/>
        <v>-20</v>
      </c>
      <c r="L98" s="187"/>
      <c r="M98" s="189">
        <f t="shared" si="9"/>
        <v>0</v>
      </c>
      <c r="S98" s="180"/>
      <c r="T98" s="180"/>
      <c r="U98" s="180"/>
      <c r="V98" s="180"/>
      <c r="W98" s="180"/>
      <c r="X98" s="180"/>
      <c r="Y98" s="180"/>
      <c r="Z98" s="180"/>
      <c r="AA98" s="180"/>
      <c r="AB98" s="180"/>
      <c r="AC98" s="180"/>
      <c r="AD98" s="180"/>
      <c r="AE98" s="180"/>
      <c r="AF98" s="180"/>
      <c r="AG98" s="180"/>
      <c r="AH98" s="180"/>
      <c r="AI98" s="180"/>
      <c r="AJ98" s="180"/>
      <c r="AK98" s="180"/>
      <c r="AL98" s="180"/>
    </row>
    <row r="99" spans="1:38" s="175" customFormat="1" x14ac:dyDescent="0.25">
      <c r="A99" s="98">
        <f t="shared" si="10"/>
        <v>0</v>
      </c>
      <c r="B99" s="35" t="str">
        <f t="shared" si="6"/>
        <v/>
      </c>
      <c r="C99" s="25"/>
      <c r="D99" s="25"/>
      <c r="E99" s="25"/>
      <c r="F99" s="25"/>
      <c r="H99" s="190">
        <v>94</v>
      </c>
      <c r="I99" s="191" t="str">
        <f t="shared" si="7"/>
        <v/>
      </c>
      <c r="J99" s="190">
        <f t="shared" si="11"/>
        <v>-2</v>
      </c>
      <c r="K99" s="190">
        <f t="shared" si="8"/>
        <v>-20</v>
      </c>
      <c r="L99" s="190"/>
      <c r="M99" s="192">
        <f t="shared" si="9"/>
        <v>0</v>
      </c>
      <c r="S99" s="180"/>
      <c r="T99" s="180"/>
      <c r="U99" s="180"/>
      <c r="V99" s="180"/>
      <c r="W99" s="180"/>
      <c r="X99" s="180"/>
      <c r="Y99" s="180"/>
      <c r="Z99" s="180"/>
      <c r="AA99" s="180"/>
      <c r="AB99" s="180"/>
      <c r="AC99" s="180"/>
      <c r="AD99" s="180"/>
      <c r="AE99" s="180"/>
      <c r="AF99" s="180"/>
      <c r="AG99" s="180"/>
      <c r="AH99" s="180"/>
      <c r="AI99" s="180"/>
      <c r="AJ99" s="180"/>
      <c r="AK99" s="180"/>
      <c r="AL99" s="180"/>
    </row>
    <row r="100" spans="1:38" s="175" customFormat="1" x14ac:dyDescent="0.25">
      <c r="A100" s="94">
        <f t="shared" si="10"/>
        <v>0</v>
      </c>
      <c r="B100" s="36" t="str">
        <f t="shared" si="6"/>
        <v/>
      </c>
      <c r="C100" s="24"/>
      <c r="D100" s="24"/>
      <c r="E100" s="24"/>
      <c r="F100" s="24"/>
      <c r="H100" s="187">
        <v>95</v>
      </c>
      <c r="I100" s="188" t="str">
        <f t="shared" si="7"/>
        <v/>
      </c>
      <c r="J100" s="187">
        <f t="shared" si="11"/>
        <v>-2</v>
      </c>
      <c r="K100" s="187">
        <f t="shared" si="8"/>
        <v>-20</v>
      </c>
      <c r="L100" s="187"/>
      <c r="M100" s="189">
        <f t="shared" si="9"/>
        <v>0</v>
      </c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  <c r="AF100" s="180"/>
      <c r="AG100" s="180"/>
      <c r="AH100" s="180"/>
      <c r="AI100" s="180"/>
      <c r="AJ100" s="180"/>
      <c r="AK100" s="180"/>
      <c r="AL100" s="180"/>
    </row>
    <row r="101" spans="1:38" s="175" customFormat="1" x14ac:dyDescent="0.25">
      <c r="A101" s="98">
        <f t="shared" si="10"/>
        <v>0</v>
      </c>
      <c r="B101" s="35" t="str">
        <f t="shared" si="6"/>
        <v/>
      </c>
      <c r="C101" s="25"/>
      <c r="D101" s="25"/>
      <c r="E101" s="25"/>
      <c r="F101" s="25"/>
      <c r="H101" s="190">
        <v>96</v>
      </c>
      <c r="I101" s="191" t="str">
        <f t="shared" si="7"/>
        <v/>
      </c>
      <c r="J101" s="190">
        <f t="shared" si="11"/>
        <v>-2</v>
      </c>
      <c r="K101" s="190">
        <f t="shared" si="8"/>
        <v>-20</v>
      </c>
      <c r="L101" s="190"/>
      <c r="M101" s="192">
        <f t="shared" si="9"/>
        <v>0</v>
      </c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  <c r="AC101" s="180"/>
      <c r="AD101" s="180"/>
      <c r="AE101" s="180"/>
      <c r="AF101" s="180"/>
      <c r="AG101" s="180"/>
      <c r="AH101" s="180"/>
      <c r="AI101" s="180"/>
      <c r="AJ101" s="180"/>
      <c r="AK101" s="180"/>
      <c r="AL101" s="180"/>
    </row>
    <row r="102" spans="1:38" s="175" customFormat="1" x14ac:dyDescent="0.25">
      <c r="A102" s="94">
        <f t="shared" si="10"/>
        <v>0</v>
      </c>
      <c r="B102" s="36" t="str">
        <f t="shared" si="6"/>
        <v/>
      </c>
      <c r="C102" s="24"/>
      <c r="D102" s="24"/>
      <c r="E102" s="24"/>
      <c r="F102" s="24"/>
      <c r="H102" s="187">
        <v>97</v>
      </c>
      <c r="I102" s="188" t="str">
        <f t="shared" si="7"/>
        <v/>
      </c>
      <c r="J102" s="187">
        <f t="shared" si="11"/>
        <v>-2</v>
      </c>
      <c r="K102" s="187">
        <f t="shared" si="8"/>
        <v>-20</v>
      </c>
      <c r="L102" s="187"/>
      <c r="M102" s="189">
        <f t="shared" si="9"/>
        <v>0</v>
      </c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  <c r="AF102" s="180"/>
      <c r="AG102" s="180"/>
      <c r="AH102" s="180"/>
      <c r="AI102" s="180"/>
      <c r="AJ102" s="180"/>
      <c r="AK102" s="180"/>
      <c r="AL102" s="180"/>
    </row>
    <row r="103" spans="1:38" s="175" customFormat="1" x14ac:dyDescent="0.25">
      <c r="A103" s="98">
        <f t="shared" si="10"/>
        <v>0</v>
      </c>
      <c r="B103" s="35" t="str">
        <f t="shared" si="6"/>
        <v/>
      </c>
      <c r="C103" s="25"/>
      <c r="D103" s="25"/>
      <c r="E103" s="25"/>
      <c r="F103" s="25"/>
      <c r="H103" s="190">
        <v>98</v>
      </c>
      <c r="I103" s="191" t="str">
        <f t="shared" si="7"/>
        <v/>
      </c>
      <c r="J103" s="190">
        <f t="shared" si="11"/>
        <v>-2</v>
      </c>
      <c r="K103" s="190">
        <f t="shared" si="8"/>
        <v>-20</v>
      </c>
      <c r="L103" s="190"/>
      <c r="M103" s="192">
        <f t="shared" si="9"/>
        <v>0</v>
      </c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80"/>
      <c r="AE103" s="180"/>
      <c r="AF103" s="180"/>
      <c r="AG103" s="180"/>
      <c r="AH103" s="180"/>
      <c r="AI103" s="180"/>
      <c r="AJ103" s="180"/>
      <c r="AK103" s="180"/>
      <c r="AL103" s="180"/>
    </row>
    <row r="104" spans="1:38" s="175" customFormat="1" x14ac:dyDescent="0.25">
      <c r="A104" s="94">
        <f t="shared" si="10"/>
        <v>0</v>
      </c>
      <c r="B104" s="36" t="str">
        <f t="shared" si="6"/>
        <v/>
      </c>
      <c r="C104" s="24"/>
      <c r="D104" s="24"/>
      <c r="E104" s="24"/>
      <c r="F104" s="24"/>
      <c r="H104" s="187">
        <v>99</v>
      </c>
      <c r="I104" s="188" t="str">
        <f t="shared" si="7"/>
        <v/>
      </c>
      <c r="J104" s="187">
        <f t="shared" si="11"/>
        <v>-2</v>
      </c>
      <c r="K104" s="187">
        <f t="shared" si="8"/>
        <v>-20</v>
      </c>
      <c r="L104" s="187"/>
      <c r="M104" s="189">
        <f t="shared" si="9"/>
        <v>0</v>
      </c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  <c r="AC104" s="180"/>
      <c r="AD104" s="180"/>
      <c r="AE104" s="180"/>
      <c r="AF104" s="180"/>
      <c r="AG104" s="180"/>
      <c r="AH104" s="180"/>
      <c r="AI104" s="180"/>
      <c r="AJ104" s="180"/>
      <c r="AK104" s="180"/>
      <c r="AL104" s="180"/>
    </row>
    <row r="105" spans="1:38" s="175" customFormat="1" x14ac:dyDescent="0.25">
      <c r="A105" s="98">
        <f t="shared" si="10"/>
        <v>0</v>
      </c>
      <c r="B105" s="35" t="str">
        <f t="shared" si="6"/>
        <v/>
      </c>
      <c r="C105" s="25"/>
      <c r="D105" s="25"/>
      <c r="E105" s="25"/>
      <c r="F105" s="25"/>
      <c r="H105" s="190">
        <v>100</v>
      </c>
      <c r="I105" s="191" t="str">
        <f t="shared" si="7"/>
        <v/>
      </c>
      <c r="J105" s="190">
        <f t="shared" si="11"/>
        <v>-2</v>
      </c>
      <c r="K105" s="190">
        <f t="shared" si="8"/>
        <v>-20</v>
      </c>
      <c r="L105" s="190"/>
      <c r="M105" s="192">
        <f t="shared" si="9"/>
        <v>0</v>
      </c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  <c r="AC105" s="180"/>
      <c r="AD105" s="180"/>
      <c r="AE105" s="180"/>
      <c r="AF105" s="180"/>
      <c r="AG105" s="180"/>
      <c r="AH105" s="180"/>
      <c r="AI105" s="180"/>
      <c r="AJ105" s="180"/>
      <c r="AK105" s="180"/>
      <c r="AL105" s="180"/>
    </row>
    <row r="106" spans="1:38" s="175" customFormat="1" x14ac:dyDescent="0.25">
      <c r="A106" s="94">
        <f t="shared" si="10"/>
        <v>0</v>
      </c>
      <c r="B106" s="36" t="str">
        <f t="shared" si="6"/>
        <v/>
      </c>
      <c r="C106" s="24"/>
      <c r="D106" s="24"/>
      <c r="E106" s="24"/>
      <c r="F106" s="24"/>
      <c r="H106" s="187">
        <v>101</v>
      </c>
      <c r="I106" s="188" t="str">
        <f t="shared" si="7"/>
        <v/>
      </c>
      <c r="J106" s="187">
        <f t="shared" si="11"/>
        <v>-2</v>
      </c>
      <c r="K106" s="187">
        <f t="shared" si="8"/>
        <v>-20</v>
      </c>
      <c r="L106" s="187"/>
      <c r="M106" s="189">
        <f t="shared" si="9"/>
        <v>0</v>
      </c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  <c r="AC106" s="180"/>
      <c r="AD106" s="180"/>
      <c r="AE106" s="180"/>
      <c r="AF106" s="180"/>
      <c r="AG106" s="180"/>
      <c r="AH106" s="180"/>
      <c r="AI106" s="180"/>
      <c r="AJ106" s="180"/>
      <c r="AK106" s="180"/>
      <c r="AL106" s="180"/>
    </row>
    <row r="107" spans="1:38" s="175" customFormat="1" x14ac:dyDescent="0.25">
      <c r="A107" s="98">
        <f t="shared" si="10"/>
        <v>0</v>
      </c>
      <c r="B107" s="35" t="str">
        <f t="shared" si="6"/>
        <v/>
      </c>
      <c r="C107" s="25"/>
      <c r="D107" s="25"/>
      <c r="E107" s="25"/>
      <c r="F107" s="25"/>
      <c r="H107" s="190">
        <v>102</v>
      </c>
      <c r="I107" s="191" t="str">
        <f t="shared" si="7"/>
        <v/>
      </c>
      <c r="J107" s="190">
        <f t="shared" si="11"/>
        <v>-2</v>
      </c>
      <c r="K107" s="190">
        <f t="shared" si="8"/>
        <v>-20</v>
      </c>
      <c r="L107" s="190"/>
      <c r="M107" s="192">
        <f t="shared" si="9"/>
        <v>0</v>
      </c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  <c r="AC107" s="180"/>
      <c r="AD107" s="180"/>
      <c r="AE107" s="180"/>
      <c r="AF107" s="180"/>
      <c r="AG107" s="180"/>
      <c r="AH107" s="180"/>
      <c r="AI107" s="180"/>
      <c r="AJ107" s="180"/>
      <c r="AK107" s="180"/>
      <c r="AL107" s="180"/>
    </row>
    <row r="108" spans="1:38" s="175" customFormat="1" x14ac:dyDescent="0.25">
      <c r="A108" s="94">
        <f t="shared" si="10"/>
        <v>0</v>
      </c>
      <c r="B108" s="36" t="str">
        <f t="shared" si="6"/>
        <v/>
      </c>
      <c r="C108" s="24"/>
      <c r="D108" s="24"/>
      <c r="E108" s="24"/>
      <c r="F108" s="24"/>
      <c r="H108" s="187">
        <v>103</v>
      </c>
      <c r="I108" s="188" t="str">
        <f t="shared" si="7"/>
        <v/>
      </c>
      <c r="J108" s="187">
        <f t="shared" si="11"/>
        <v>-2</v>
      </c>
      <c r="K108" s="187">
        <f t="shared" si="8"/>
        <v>-20</v>
      </c>
      <c r="L108" s="187"/>
      <c r="M108" s="189">
        <f t="shared" si="9"/>
        <v>0</v>
      </c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  <c r="AD108" s="180"/>
      <c r="AE108" s="180"/>
      <c r="AF108" s="180"/>
      <c r="AG108" s="180"/>
      <c r="AH108" s="180"/>
      <c r="AI108" s="180"/>
      <c r="AJ108" s="180"/>
      <c r="AK108" s="180"/>
      <c r="AL108" s="180"/>
    </row>
    <row r="109" spans="1:38" s="175" customFormat="1" x14ac:dyDescent="0.25">
      <c r="A109" s="98">
        <f t="shared" si="10"/>
        <v>0</v>
      </c>
      <c r="B109" s="35" t="str">
        <f t="shared" si="6"/>
        <v/>
      </c>
      <c r="C109" s="25"/>
      <c r="D109" s="25"/>
      <c r="E109" s="25"/>
      <c r="F109" s="25"/>
      <c r="H109" s="190">
        <v>104</v>
      </c>
      <c r="I109" s="191" t="str">
        <f t="shared" si="7"/>
        <v/>
      </c>
      <c r="J109" s="190">
        <f t="shared" si="11"/>
        <v>-2</v>
      </c>
      <c r="K109" s="190">
        <f t="shared" si="8"/>
        <v>-20</v>
      </c>
      <c r="L109" s="190"/>
      <c r="M109" s="192">
        <f t="shared" si="9"/>
        <v>0</v>
      </c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  <c r="AC109" s="180"/>
      <c r="AD109" s="180"/>
      <c r="AE109" s="180"/>
      <c r="AF109" s="180"/>
      <c r="AG109" s="180"/>
      <c r="AH109" s="180"/>
      <c r="AI109" s="180"/>
      <c r="AJ109" s="180"/>
      <c r="AK109" s="180"/>
      <c r="AL109" s="180"/>
    </row>
    <row r="110" spans="1:38" s="175" customFormat="1" x14ac:dyDescent="0.25">
      <c r="A110" s="94">
        <f t="shared" si="10"/>
        <v>0</v>
      </c>
      <c r="B110" s="36" t="str">
        <f t="shared" si="6"/>
        <v/>
      </c>
      <c r="C110" s="24"/>
      <c r="D110" s="24"/>
      <c r="E110" s="24"/>
      <c r="F110" s="24"/>
      <c r="H110" s="187">
        <v>105</v>
      </c>
      <c r="I110" s="188" t="str">
        <f t="shared" si="7"/>
        <v/>
      </c>
      <c r="J110" s="187">
        <f t="shared" si="11"/>
        <v>-2</v>
      </c>
      <c r="K110" s="187">
        <f t="shared" si="8"/>
        <v>-20</v>
      </c>
      <c r="L110" s="187"/>
      <c r="M110" s="189">
        <f t="shared" si="9"/>
        <v>0</v>
      </c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  <c r="AD110" s="180"/>
      <c r="AE110" s="180"/>
      <c r="AF110" s="180"/>
      <c r="AG110" s="180"/>
      <c r="AH110" s="180"/>
      <c r="AI110" s="180"/>
      <c r="AJ110" s="180"/>
      <c r="AK110" s="180"/>
      <c r="AL110" s="180"/>
    </row>
    <row r="111" spans="1:38" s="175" customFormat="1" x14ac:dyDescent="0.25">
      <c r="A111" s="98">
        <f t="shared" si="10"/>
        <v>0</v>
      </c>
      <c r="B111" s="35" t="str">
        <f t="shared" si="6"/>
        <v/>
      </c>
      <c r="C111" s="25"/>
      <c r="D111" s="25"/>
      <c r="E111" s="25"/>
      <c r="F111" s="25"/>
      <c r="H111" s="190">
        <v>106</v>
      </c>
      <c r="I111" s="191" t="str">
        <f t="shared" si="7"/>
        <v/>
      </c>
      <c r="J111" s="190">
        <f t="shared" si="11"/>
        <v>-2</v>
      </c>
      <c r="K111" s="190">
        <f t="shared" si="8"/>
        <v>-20</v>
      </c>
      <c r="L111" s="190"/>
      <c r="M111" s="192">
        <f t="shared" si="9"/>
        <v>0</v>
      </c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  <c r="AF111" s="180"/>
      <c r="AG111" s="180"/>
      <c r="AH111" s="180"/>
      <c r="AI111" s="180"/>
      <c r="AJ111" s="180"/>
      <c r="AK111" s="180"/>
      <c r="AL111" s="180"/>
    </row>
    <row r="112" spans="1:38" s="175" customFormat="1" x14ac:dyDescent="0.25">
      <c r="A112" s="94">
        <f t="shared" si="10"/>
        <v>0</v>
      </c>
      <c r="B112" s="36" t="str">
        <f t="shared" si="6"/>
        <v/>
      </c>
      <c r="C112" s="24"/>
      <c r="D112" s="24"/>
      <c r="E112" s="24"/>
      <c r="F112" s="24"/>
      <c r="H112" s="187">
        <v>107</v>
      </c>
      <c r="I112" s="188" t="str">
        <f t="shared" si="7"/>
        <v/>
      </c>
      <c r="J112" s="187">
        <f t="shared" si="11"/>
        <v>-2</v>
      </c>
      <c r="K112" s="187">
        <f t="shared" si="8"/>
        <v>-20</v>
      </c>
      <c r="L112" s="187"/>
      <c r="M112" s="189">
        <f t="shared" si="9"/>
        <v>0</v>
      </c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  <c r="AC112" s="180"/>
      <c r="AD112" s="180"/>
      <c r="AE112" s="180"/>
      <c r="AF112" s="180"/>
      <c r="AG112" s="180"/>
      <c r="AH112" s="180"/>
      <c r="AI112" s="180"/>
      <c r="AJ112" s="180"/>
      <c r="AK112" s="180"/>
      <c r="AL112" s="180"/>
    </row>
    <row r="113" spans="1:38" s="175" customFormat="1" x14ac:dyDescent="0.25">
      <c r="A113" s="98">
        <f t="shared" si="10"/>
        <v>0</v>
      </c>
      <c r="B113" s="35" t="str">
        <f t="shared" si="6"/>
        <v/>
      </c>
      <c r="C113" s="25"/>
      <c r="D113" s="25"/>
      <c r="E113" s="25"/>
      <c r="F113" s="25"/>
      <c r="H113" s="190">
        <v>108</v>
      </c>
      <c r="I113" s="191" t="str">
        <f t="shared" si="7"/>
        <v/>
      </c>
      <c r="J113" s="190">
        <f t="shared" si="11"/>
        <v>-2</v>
      </c>
      <c r="K113" s="190">
        <f t="shared" si="8"/>
        <v>-20</v>
      </c>
      <c r="L113" s="190"/>
      <c r="M113" s="192">
        <f t="shared" si="9"/>
        <v>0</v>
      </c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  <c r="AC113" s="180"/>
      <c r="AD113" s="180"/>
      <c r="AE113" s="180"/>
      <c r="AF113" s="180"/>
      <c r="AG113" s="180"/>
      <c r="AH113" s="180"/>
      <c r="AI113" s="180"/>
      <c r="AJ113" s="180"/>
      <c r="AK113" s="180"/>
      <c r="AL113" s="180"/>
    </row>
    <row r="114" spans="1:38" s="175" customFormat="1" x14ac:dyDescent="0.25">
      <c r="A114" s="94">
        <f t="shared" si="10"/>
        <v>0</v>
      </c>
      <c r="B114" s="36" t="str">
        <f t="shared" si="6"/>
        <v/>
      </c>
      <c r="C114" s="24"/>
      <c r="D114" s="24"/>
      <c r="E114" s="24"/>
      <c r="F114" s="24"/>
      <c r="H114" s="187">
        <v>109</v>
      </c>
      <c r="I114" s="188" t="str">
        <f t="shared" si="7"/>
        <v/>
      </c>
      <c r="J114" s="187">
        <f t="shared" si="11"/>
        <v>-2</v>
      </c>
      <c r="K114" s="187">
        <f t="shared" si="8"/>
        <v>-20</v>
      </c>
      <c r="L114" s="187"/>
      <c r="M114" s="189">
        <f t="shared" si="9"/>
        <v>0</v>
      </c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  <c r="AC114" s="180"/>
      <c r="AD114" s="180"/>
      <c r="AE114" s="180"/>
      <c r="AF114" s="180"/>
      <c r="AG114" s="180"/>
      <c r="AH114" s="180"/>
      <c r="AI114" s="180"/>
      <c r="AJ114" s="180"/>
      <c r="AK114" s="180"/>
      <c r="AL114" s="180"/>
    </row>
    <row r="115" spans="1:38" s="175" customFormat="1" x14ac:dyDescent="0.25">
      <c r="A115" s="98">
        <f t="shared" si="10"/>
        <v>0</v>
      </c>
      <c r="B115" s="35" t="str">
        <f t="shared" si="6"/>
        <v/>
      </c>
      <c r="C115" s="25"/>
      <c r="D115" s="25"/>
      <c r="E115" s="25"/>
      <c r="F115" s="25"/>
      <c r="H115" s="190">
        <v>110</v>
      </c>
      <c r="I115" s="191" t="str">
        <f t="shared" si="7"/>
        <v/>
      </c>
      <c r="J115" s="190">
        <f t="shared" si="11"/>
        <v>-2</v>
      </c>
      <c r="K115" s="190">
        <f t="shared" si="8"/>
        <v>-20</v>
      </c>
      <c r="L115" s="190"/>
      <c r="M115" s="192">
        <f t="shared" si="9"/>
        <v>0</v>
      </c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180"/>
      <c r="AF115" s="180"/>
      <c r="AG115" s="180"/>
      <c r="AH115" s="180"/>
      <c r="AI115" s="180"/>
      <c r="AJ115" s="180"/>
      <c r="AK115" s="180"/>
      <c r="AL115" s="180"/>
    </row>
    <row r="116" spans="1:38" s="175" customFormat="1" x14ac:dyDescent="0.25">
      <c r="A116" s="94">
        <f t="shared" si="10"/>
        <v>0</v>
      </c>
      <c r="B116" s="36" t="str">
        <f t="shared" si="6"/>
        <v/>
      </c>
      <c r="C116" s="24"/>
      <c r="D116" s="24"/>
      <c r="E116" s="24"/>
      <c r="F116" s="24"/>
      <c r="H116" s="187">
        <v>111</v>
      </c>
      <c r="I116" s="188" t="str">
        <f t="shared" si="7"/>
        <v/>
      </c>
      <c r="J116" s="187">
        <f t="shared" si="11"/>
        <v>-2</v>
      </c>
      <c r="K116" s="187">
        <f t="shared" si="8"/>
        <v>-20</v>
      </c>
      <c r="L116" s="187"/>
      <c r="M116" s="189">
        <f t="shared" si="9"/>
        <v>0</v>
      </c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  <c r="AC116" s="180"/>
      <c r="AD116" s="180"/>
      <c r="AE116" s="180"/>
      <c r="AF116" s="180"/>
      <c r="AG116" s="180"/>
      <c r="AH116" s="180"/>
      <c r="AI116" s="180"/>
      <c r="AJ116" s="180"/>
      <c r="AK116" s="180"/>
      <c r="AL116" s="180"/>
    </row>
    <row r="117" spans="1:38" s="175" customFormat="1" x14ac:dyDescent="0.25">
      <c r="A117" s="98">
        <f t="shared" si="10"/>
        <v>0</v>
      </c>
      <c r="B117" s="35" t="str">
        <f t="shared" si="6"/>
        <v/>
      </c>
      <c r="C117" s="25"/>
      <c r="D117" s="25"/>
      <c r="E117" s="25"/>
      <c r="F117" s="25"/>
      <c r="H117" s="190">
        <v>112</v>
      </c>
      <c r="I117" s="191" t="str">
        <f t="shared" si="7"/>
        <v/>
      </c>
      <c r="J117" s="190">
        <f t="shared" si="11"/>
        <v>-2</v>
      </c>
      <c r="K117" s="190">
        <f t="shared" si="8"/>
        <v>-20</v>
      </c>
      <c r="L117" s="190"/>
      <c r="M117" s="192">
        <f t="shared" si="9"/>
        <v>0</v>
      </c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  <c r="AC117" s="180"/>
      <c r="AD117" s="180"/>
      <c r="AE117" s="180"/>
      <c r="AF117" s="180"/>
      <c r="AG117" s="180"/>
      <c r="AH117" s="180"/>
      <c r="AI117" s="180"/>
      <c r="AJ117" s="180"/>
      <c r="AK117" s="180"/>
      <c r="AL117" s="180"/>
    </row>
    <row r="118" spans="1:38" s="175" customFormat="1" x14ac:dyDescent="0.25">
      <c r="A118" s="94">
        <f t="shared" si="10"/>
        <v>0</v>
      </c>
      <c r="B118" s="36" t="str">
        <f t="shared" si="6"/>
        <v/>
      </c>
      <c r="C118" s="24"/>
      <c r="D118" s="24"/>
      <c r="E118" s="24"/>
      <c r="F118" s="24"/>
      <c r="H118" s="187">
        <v>113</v>
      </c>
      <c r="I118" s="188" t="str">
        <f t="shared" si="7"/>
        <v/>
      </c>
      <c r="J118" s="187">
        <f t="shared" si="11"/>
        <v>-2</v>
      </c>
      <c r="K118" s="187">
        <f t="shared" si="8"/>
        <v>-20</v>
      </c>
      <c r="L118" s="187"/>
      <c r="M118" s="189">
        <f t="shared" si="9"/>
        <v>0</v>
      </c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  <c r="AC118" s="180"/>
      <c r="AD118" s="180"/>
      <c r="AE118" s="180"/>
      <c r="AF118" s="180"/>
      <c r="AG118" s="180"/>
      <c r="AH118" s="180"/>
      <c r="AI118" s="180"/>
      <c r="AJ118" s="180"/>
      <c r="AK118" s="180"/>
      <c r="AL118" s="180"/>
    </row>
    <row r="119" spans="1:38" s="175" customFormat="1" x14ac:dyDescent="0.25">
      <c r="A119" s="98">
        <f t="shared" si="10"/>
        <v>0</v>
      </c>
      <c r="B119" s="35" t="str">
        <f t="shared" si="6"/>
        <v/>
      </c>
      <c r="C119" s="25"/>
      <c r="D119" s="25"/>
      <c r="E119" s="25"/>
      <c r="F119" s="25"/>
      <c r="H119" s="190">
        <v>114</v>
      </c>
      <c r="I119" s="191" t="str">
        <f t="shared" si="7"/>
        <v/>
      </c>
      <c r="J119" s="190">
        <f t="shared" si="11"/>
        <v>-2</v>
      </c>
      <c r="K119" s="190">
        <f t="shared" si="8"/>
        <v>-20</v>
      </c>
      <c r="L119" s="190"/>
      <c r="M119" s="192">
        <f t="shared" si="9"/>
        <v>0</v>
      </c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  <c r="AC119" s="180"/>
      <c r="AD119" s="180"/>
      <c r="AE119" s="180"/>
      <c r="AF119" s="180"/>
      <c r="AG119" s="180"/>
      <c r="AH119" s="180"/>
      <c r="AI119" s="180"/>
      <c r="AJ119" s="180"/>
      <c r="AK119" s="180"/>
      <c r="AL119" s="180"/>
    </row>
    <row r="120" spans="1:38" s="175" customFormat="1" x14ac:dyDescent="0.25">
      <c r="A120" s="94">
        <f t="shared" si="10"/>
        <v>0</v>
      </c>
      <c r="B120" s="36" t="str">
        <f t="shared" si="6"/>
        <v/>
      </c>
      <c r="C120" s="24"/>
      <c r="D120" s="24"/>
      <c r="E120" s="24"/>
      <c r="F120" s="24"/>
      <c r="H120" s="187">
        <v>115</v>
      </c>
      <c r="I120" s="188" t="str">
        <f t="shared" si="7"/>
        <v/>
      </c>
      <c r="J120" s="187">
        <f t="shared" si="11"/>
        <v>-2</v>
      </c>
      <c r="K120" s="187">
        <f t="shared" si="8"/>
        <v>-20</v>
      </c>
      <c r="L120" s="187"/>
      <c r="M120" s="189">
        <f t="shared" si="9"/>
        <v>0</v>
      </c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  <c r="AC120" s="180"/>
      <c r="AD120" s="180"/>
      <c r="AE120" s="180"/>
      <c r="AF120" s="180"/>
      <c r="AG120" s="180"/>
      <c r="AH120" s="180"/>
      <c r="AI120" s="180"/>
      <c r="AJ120" s="180"/>
      <c r="AK120" s="180"/>
      <c r="AL120" s="180"/>
    </row>
    <row r="121" spans="1:38" s="175" customFormat="1" x14ac:dyDescent="0.25">
      <c r="A121" s="98">
        <f t="shared" si="10"/>
        <v>0</v>
      </c>
      <c r="B121" s="35" t="str">
        <f t="shared" si="6"/>
        <v/>
      </c>
      <c r="C121" s="25"/>
      <c r="D121" s="25"/>
      <c r="E121" s="25"/>
      <c r="F121" s="25"/>
      <c r="H121" s="190">
        <v>116</v>
      </c>
      <c r="I121" s="191" t="str">
        <f t="shared" si="7"/>
        <v/>
      </c>
      <c r="J121" s="190">
        <f t="shared" si="11"/>
        <v>-2</v>
      </c>
      <c r="K121" s="190">
        <f t="shared" si="8"/>
        <v>-20</v>
      </c>
      <c r="L121" s="190"/>
      <c r="M121" s="192">
        <f t="shared" si="9"/>
        <v>0</v>
      </c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  <c r="AC121" s="180"/>
      <c r="AD121" s="180"/>
      <c r="AE121" s="180"/>
      <c r="AF121" s="180"/>
      <c r="AG121" s="180"/>
      <c r="AH121" s="180"/>
      <c r="AI121" s="180"/>
      <c r="AJ121" s="180"/>
      <c r="AK121" s="180"/>
      <c r="AL121" s="180"/>
    </row>
    <row r="122" spans="1:38" s="175" customFormat="1" x14ac:dyDescent="0.25">
      <c r="A122" s="94">
        <f t="shared" si="10"/>
        <v>0</v>
      </c>
      <c r="B122" s="36" t="str">
        <f t="shared" si="6"/>
        <v/>
      </c>
      <c r="C122" s="24"/>
      <c r="D122" s="24"/>
      <c r="E122" s="24"/>
      <c r="F122" s="24"/>
      <c r="H122" s="187">
        <v>117</v>
      </c>
      <c r="I122" s="188" t="str">
        <f t="shared" si="7"/>
        <v/>
      </c>
      <c r="J122" s="187">
        <f t="shared" si="11"/>
        <v>-2</v>
      </c>
      <c r="K122" s="187">
        <f t="shared" si="8"/>
        <v>-20</v>
      </c>
      <c r="L122" s="187"/>
      <c r="M122" s="189">
        <f t="shared" si="9"/>
        <v>0</v>
      </c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  <c r="AC122" s="180"/>
      <c r="AD122" s="180"/>
      <c r="AE122" s="180"/>
      <c r="AF122" s="180"/>
      <c r="AG122" s="180"/>
      <c r="AH122" s="180"/>
      <c r="AI122" s="180"/>
      <c r="AJ122" s="180"/>
      <c r="AK122" s="180"/>
      <c r="AL122" s="180"/>
    </row>
    <row r="123" spans="1:38" s="175" customFormat="1" x14ac:dyDescent="0.25">
      <c r="A123" s="98">
        <f t="shared" si="10"/>
        <v>0</v>
      </c>
      <c r="B123" s="35" t="str">
        <f t="shared" si="6"/>
        <v/>
      </c>
      <c r="C123" s="25"/>
      <c r="D123" s="25"/>
      <c r="E123" s="25"/>
      <c r="F123" s="25"/>
      <c r="H123" s="190">
        <v>118</v>
      </c>
      <c r="I123" s="191" t="str">
        <f t="shared" si="7"/>
        <v/>
      </c>
      <c r="J123" s="190">
        <f t="shared" si="11"/>
        <v>-2</v>
      </c>
      <c r="K123" s="190">
        <f t="shared" si="8"/>
        <v>-20</v>
      </c>
      <c r="L123" s="190"/>
      <c r="M123" s="192">
        <f t="shared" si="9"/>
        <v>0</v>
      </c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  <c r="AC123" s="180"/>
      <c r="AD123" s="180"/>
      <c r="AE123" s="180"/>
      <c r="AF123" s="180"/>
      <c r="AG123" s="180"/>
      <c r="AH123" s="180"/>
      <c r="AI123" s="180"/>
      <c r="AJ123" s="180"/>
      <c r="AK123" s="180"/>
      <c r="AL123" s="180"/>
    </row>
    <row r="124" spans="1:38" s="175" customFormat="1" x14ac:dyDescent="0.25">
      <c r="A124" s="94">
        <f t="shared" si="10"/>
        <v>0</v>
      </c>
      <c r="B124" s="36" t="str">
        <f t="shared" si="6"/>
        <v/>
      </c>
      <c r="C124" s="24"/>
      <c r="D124" s="24"/>
      <c r="E124" s="24"/>
      <c r="F124" s="24"/>
      <c r="H124" s="187">
        <v>119</v>
      </c>
      <c r="I124" s="188" t="str">
        <f t="shared" si="7"/>
        <v/>
      </c>
      <c r="J124" s="187">
        <f t="shared" si="11"/>
        <v>-2</v>
      </c>
      <c r="K124" s="187">
        <f t="shared" si="8"/>
        <v>-20</v>
      </c>
      <c r="L124" s="187"/>
      <c r="M124" s="189">
        <f t="shared" si="9"/>
        <v>0</v>
      </c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  <c r="AC124" s="180"/>
      <c r="AD124" s="180"/>
      <c r="AE124" s="180"/>
      <c r="AF124" s="180"/>
      <c r="AG124" s="180"/>
      <c r="AH124" s="180"/>
      <c r="AI124" s="180"/>
      <c r="AJ124" s="180"/>
      <c r="AK124" s="180"/>
      <c r="AL124" s="180"/>
    </row>
    <row r="125" spans="1:38" s="175" customFormat="1" x14ac:dyDescent="0.25">
      <c r="A125" s="98">
        <f t="shared" si="10"/>
        <v>0</v>
      </c>
      <c r="B125" s="35" t="str">
        <f t="shared" si="6"/>
        <v/>
      </c>
      <c r="C125" s="25"/>
      <c r="D125" s="25"/>
      <c r="E125" s="25"/>
      <c r="F125" s="25"/>
      <c r="H125" s="190">
        <v>120</v>
      </c>
      <c r="I125" s="191" t="str">
        <f t="shared" si="7"/>
        <v/>
      </c>
      <c r="J125" s="190">
        <f t="shared" si="11"/>
        <v>-2</v>
      </c>
      <c r="K125" s="190">
        <f t="shared" si="8"/>
        <v>-20</v>
      </c>
      <c r="L125" s="190"/>
      <c r="M125" s="192">
        <f t="shared" si="9"/>
        <v>0</v>
      </c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  <c r="AC125" s="180"/>
      <c r="AD125" s="180"/>
      <c r="AE125" s="180"/>
      <c r="AF125" s="180"/>
      <c r="AG125" s="180"/>
      <c r="AH125" s="180"/>
      <c r="AI125" s="180"/>
      <c r="AJ125" s="180"/>
      <c r="AK125" s="180"/>
      <c r="AL125" s="180"/>
    </row>
    <row r="126" spans="1:38" s="175" customFormat="1" x14ac:dyDescent="0.25">
      <c r="A126" s="94">
        <f t="shared" si="10"/>
        <v>0</v>
      </c>
      <c r="B126" s="36" t="str">
        <f t="shared" si="6"/>
        <v/>
      </c>
      <c r="C126" s="24"/>
      <c r="D126" s="24"/>
      <c r="E126" s="24"/>
      <c r="F126" s="24"/>
      <c r="H126" s="187">
        <v>121</v>
      </c>
      <c r="I126" s="188" t="str">
        <f t="shared" si="7"/>
        <v/>
      </c>
      <c r="J126" s="187">
        <f t="shared" si="11"/>
        <v>-2</v>
      </c>
      <c r="K126" s="187">
        <f t="shared" si="8"/>
        <v>-20</v>
      </c>
      <c r="L126" s="187"/>
      <c r="M126" s="189">
        <f t="shared" si="9"/>
        <v>0</v>
      </c>
      <c r="S126" s="180"/>
      <c r="T126" s="180"/>
      <c r="U126" s="180"/>
      <c r="V126" s="180"/>
      <c r="W126" s="180"/>
      <c r="X126" s="180"/>
      <c r="Y126" s="180"/>
      <c r="Z126" s="180"/>
      <c r="AA126" s="180"/>
      <c r="AB126" s="180"/>
      <c r="AC126" s="180"/>
      <c r="AD126" s="180"/>
      <c r="AE126" s="180"/>
      <c r="AF126" s="180"/>
      <c r="AG126" s="180"/>
      <c r="AH126" s="180"/>
      <c r="AI126" s="180"/>
      <c r="AJ126" s="180"/>
      <c r="AK126" s="180"/>
      <c r="AL126" s="180"/>
    </row>
    <row r="127" spans="1:38" s="175" customFormat="1" x14ac:dyDescent="0.25">
      <c r="A127" s="98">
        <f t="shared" si="10"/>
        <v>0</v>
      </c>
      <c r="B127" s="35" t="str">
        <f t="shared" si="6"/>
        <v/>
      </c>
      <c r="C127" s="25"/>
      <c r="D127" s="25"/>
      <c r="E127" s="25"/>
      <c r="F127" s="25"/>
      <c r="H127" s="190">
        <v>122</v>
      </c>
      <c r="I127" s="191" t="str">
        <f t="shared" si="7"/>
        <v/>
      </c>
      <c r="J127" s="190">
        <f t="shared" si="11"/>
        <v>-2</v>
      </c>
      <c r="K127" s="190">
        <f t="shared" si="8"/>
        <v>-20</v>
      </c>
      <c r="L127" s="190"/>
      <c r="M127" s="192">
        <f t="shared" si="9"/>
        <v>0</v>
      </c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  <c r="AC127" s="180"/>
      <c r="AD127" s="180"/>
      <c r="AE127" s="180"/>
      <c r="AF127" s="180"/>
      <c r="AG127" s="180"/>
      <c r="AH127" s="180"/>
      <c r="AI127" s="180"/>
      <c r="AJ127" s="180"/>
      <c r="AK127" s="180"/>
      <c r="AL127" s="180"/>
    </row>
    <row r="128" spans="1:38" s="175" customFormat="1" x14ac:dyDescent="0.25">
      <c r="A128" s="94">
        <f t="shared" si="10"/>
        <v>0</v>
      </c>
      <c r="B128" s="36" t="str">
        <f t="shared" si="6"/>
        <v/>
      </c>
      <c r="C128" s="24"/>
      <c r="D128" s="24"/>
      <c r="E128" s="24"/>
      <c r="F128" s="24"/>
      <c r="H128" s="187">
        <v>123</v>
      </c>
      <c r="I128" s="188" t="str">
        <f t="shared" si="7"/>
        <v/>
      </c>
      <c r="J128" s="187">
        <f t="shared" si="11"/>
        <v>-2</v>
      </c>
      <c r="K128" s="187">
        <f t="shared" si="8"/>
        <v>-20</v>
      </c>
      <c r="L128" s="187"/>
      <c r="M128" s="189">
        <f t="shared" si="9"/>
        <v>0</v>
      </c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  <c r="AC128" s="180"/>
      <c r="AD128" s="180"/>
      <c r="AE128" s="180"/>
      <c r="AF128" s="180"/>
      <c r="AG128" s="180"/>
      <c r="AH128" s="180"/>
      <c r="AI128" s="180"/>
      <c r="AJ128" s="180"/>
      <c r="AK128" s="180"/>
      <c r="AL128" s="180"/>
    </row>
    <row r="129" spans="1:38" s="175" customFormat="1" x14ac:dyDescent="0.25">
      <c r="A129" s="98">
        <f t="shared" si="10"/>
        <v>0</v>
      </c>
      <c r="B129" s="35" t="str">
        <f t="shared" si="6"/>
        <v/>
      </c>
      <c r="C129" s="25"/>
      <c r="D129" s="25"/>
      <c r="E129" s="25"/>
      <c r="F129" s="25"/>
      <c r="H129" s="190">
        <v>124</v>
      </c>
      <c r="I129" s="191" t="str">
        <f t="shared" si="7"/>
        <v/>
      </c>
      <c r="J129" s="190">
        <f t="shared" si="11"/>
        <v>-2</v>
      </c>
      <c r="K129" s="190">
        <f t="shared" si="8"/>
        <v>-20</v>
      </c>
      <c r="L129" s="190"/>
      <c r="M129" s="192">
        <f t="shared" si="9"/>
        <v>0</v>
      </c>
      <c r="S129" s="180"/>
      <c r="T129" s="180"/>
      <c r="U129" s="180"/>
      <c r="V129" s="180"/>
      <c r="W129" s="180"/>
      <c r="X129" s="180"/>
      <c r="Y129" s="180"/>
      <c r="Z129" s="180"/>
      <c r="AA129" s="180"/>
      <c r="AB129" s="180"/>
      <c r="AC129" s="180"/>
      <c r="AD129" s="180"/>
      <c r="AE129" s="180"/>
      <c r="AF129" s="180"/>
      <c r="AG129" s="180"/>
      <c r="AH129" s="180"/>
      <c r="AI129" s="180"/>
      <c r="AJ129" s="180"/>
      <c r="AK129" s="180"/>
      <c r="AL129" s="180"/>
    </row>
    <row r="130" spans="1:38" s="175" customFormat="1" x14ac:dyDescent="0.25">
      <c r="A130" s="94">
        <f t="shared" si="10"/>
        <v>0</v>
      </c>
      <c r="B130" s="36" t="str">
        <f t="shared" si="6"/>
        <v/>
      </c>
      <c r="C130" s="24"/>
      <c r="D130" s="24"/>
      <c r="E130" s="24"/>
      <c r="F130" s="24"/>
      <c r="H130" s="187">
        <v>125</v>
      </c>
      <c r="I130" s="188" t="str">
        <f t="shared" si="7"/>
        <v/>
      </c>
      <c r="J130" s="187">
        <f t="shared" si="11"/>
        <v>-2</v>
      </c>
      <c r="K130" s="187">
        <f t="shared" si="8"/>
        <v>-20</v>
      </c>
      <c r="L130" s="187"/>
      <c r="M130" s="189">
        <f t="shared" si="9"/>
        <v>0</v>
      </c>
      <c r="S130" s="180"/>
      <c r="T130" s="180"/>
      <c r="U130" s="180"/>
      <c r="V130" s="180"/>
      <c r="W130" s="180"/>
      <c r="X130" s="180"/>
      <c r="Y130" s="180"/>
      <c r="Z130" s="180"/>
      <c r="AA130" s="180"/>
      <c r="AB130" s="180"/>
      <c r="AC130" s="180"/>
      <c r="AD130" s="180"/>
      <c r="AE130" s="180"/>
      <c r="AF130" s="180"/>
      <c r="AG130" s="180"/>
      <c r="AH130" s="180"/>
      <c r="AI130" s="180"/>
      <c r="AJ130" s="180"/>
      <c r="AK130" s="180"/>
      <c r="AL130" s="180"/>
    </row>
    <row r="131" spans="1:38" s="175" customFormat="1" x14ac:dyDescent="0.25">
      <c r="A131" s="98">
        <f t="shared" si="10"/>
        <v>0</v>
      </c>
      <c r="B131" s="35" t="str">
        <f t="shared" si="6"/>
        <v/>
      </c>
      <c r="C131" s="25"/>
      <c r="D131" s="25"/>
      <c r="E131" s="25"/>
      <c r="F131" s="25"/>
      <c r="H131" s="190">
        <v>126</v>
      </c>
      <c r="I131" s="191" t="str">
        <f t="shared" si="7"/>
        <v/>
      </c>
      <c r="J131" s="190">
        <f t="shared" si="11"/>
        <v>-2</v>
      </c>
      <c r="K131" s="190">
        <f t="shared" si="8"/>
        <v>-20</v>
      </c>
      <c r="L131" s="190"/>
      <c r="M131" s="192">
        <f t="shared" si="9"/>
        <v>0</v>
      </c>
      <c r="S131" s="180"/>
      <c r="T131" s="180"/>
      <c r="U131" s="180"/>
      <c r="V131" s="180"/>
      <c r="W131" s="180"/>
      <c r="X131" s="180"/>
      <c r="Y131" s="180"/>
      <c r="Z131" s="180"/>
      <c r="AA131" s="180"/>
      <c r="AB131" s="180"/>
      <c r="AC131" s="180"/>
      <c r="AD131" s="180"/>
      <c r="AE131" s="180"/>
      <c r="AF131" s="180"/>
      <c r="AG131" s="180"/>
      <c r="AH131" s="180"/>
      <c r="AI131" s="180"/>
      <c r="AJ131" s="180"/>
      <c r="AK131" s="180"/>
      <c r="AL131" s="180"/>
    </row>
    <row r="132" spans="1:38" s="175" customFormat="1" x14ac:dyDescent="0.25">
      <c r="A132" s="94">
        <f t="shared" si="10"/>
        <v>0</v>
      </c>
      <c r="B132" s="36" t="str">
        <f t="shared" si="6"/>
        <v/>
      </c>
      <c r="C132" s="24"/>
      <c r="D132" s="24"/>
      <c r="E132" s="24"/>
      <c r="F132" s="24"/>
      <c r="H132" s="187">
        <v>127</v>
      </c>
      <c r="I132" s="188" t="str">
        <f t="shared" si="7"/>
        <v/>
      </c>
      <c r="J132" s="187">
        <f t="shared" si="11"/>
        <v>-2</v>
      </c>
      <c r="K132" s="187">
        <f t="shared" si="8"/>
        <v>-20</v>
      </c>
      <c r="L132" s="187"/>
      <c r="M132" s="189">
        <f t="shared" si="9"/>
        <v>0</v>
      </c>
      <c r="S132" s="180"/>
      <c r="T132" s="180"/>
      <c r="U132" s="180"/>
      <c r="V132" s="180"/>
      <c r="W132" s="180"/>
      <c r="X132" s="180"/>
      <c r="Y132" s="180"/>
      <c r="Z132" s="180"/>
      <c r="AA132" s="180"/>
      <c r="AB132" s="180"/>
      <c r="AC132" s="180"/>
      <c r="AD132" s="180"/>
      <c r="AE132" s="180"/>
      <c r="AF132" s="180"/>
      <c r="AG132" s="180"/>
      <c r="AH132" s="180"/>
      <c r="AI132" s="180"/>
      <c r="AJ132" s="180"/>
      <c r="AK132" s="180"/>
      <c r="AL132" s="180"/>
    </row>
    <row r="133" spans="1:38" s="175" customFormat="1" x14ac:dyDescent="0.25">
      <c r="A133" s="98">
        <f t="shared" si="10"/>
        <v>0</v>
      </c>
      <c r="B133" s="35" t="str">
        <f t="shared" si="6"/>
        <v/>
      </c>
      <c r="C133" s="25"/>
      <c r="D133" s="25"/>
      <c r="E133" s="25"/>
      <c r="F133" s="25"/>
      <c r="H133" s="190">
        <v>128</v>
      </c>
      <c r="I133" s="191" t="str">
        <f t="shared" si="7"/>
        <v/>
      </c>
      <c r="J133" s="190">
        <f t="shared" si="11"/>
        <v>-2</v>
      </c>
      <c r="K133" s="190">
        <f t="shared" si="8"/>
        <v>-20</v>
      </c>
      <c r="L133" s="190"/>
      <c r="M133" s="192">
        <f t="shared" si="9"/>
        <v>0</v>
      </c>
      <c r="S133" s="180"/>
      <c r="T133" s="180"/>
      <c r="U133" s="180"/>
      <c r="V133" s="180"/>
      <c r="W133" s="180"/>
      <c r="X133" s="180"/>
      <c r="Y133" s="180"/>
      <c r="Z133" s="180"/>
      <c r="AA133" s="180"/>
      <c r="AB133" s="180"/>
      <c r="AC133" s="180"/>
      <c r="AD133" s="180"/>
      <c r="AE133" s="180"/>
      <c r="AF133" s="180"/>
      <c r="AG133" s="180"/>
      <c r="AH133" s="180"/>
      <c r="AI133" s="180"/>
      <c r="AJ133" s="180"/>
      <c r="AK133" s="180"/>
      <c r="AL133" s="180"/>
    </row>
    <row r="134" spans="1:38" s="175" customFormat="1" x14ac:dyDescent="0.25">
      <c r="A134" s="94">
        <f t="shared" si="10"/>
        <v>0</v>
      </c>
      <c r="B134" s="36" t="str">
        <f t="shared" ref="B134:B140" si="12">IF(H134&gt;$H$2,"",(ROW()-5))</f>
        <v/>
      </c>
      <c r="C134" s="24"/>
      <c r="D134" s="24"/>
      <c r="E134" s="24"/>
      <c r="F134" s="24"/>
      <c r="H134" s="187">
        <v>129</v>
      </c>
      <c r="I134" s="188" t="str">
        <f t="shared" ref="I134:I197" si="13">IF(H134&lt;$H$2+1,($I$2-($I$2-1)*(LOG(H134)/LOG($H$2))),"")</f>
        <v/>
      </c>
      <c r="J134" s="187">
        <f t="shared" si="11"/>
        <v>-3</v>
      </c>
      <c r="K134" s="187">
        <f t="shared" ref="K134:K197" si="14">J134*$J$2</f>
        <v>-30</v>
      </c>
      <c r="L134" s="187"/>
      <c r="M134" s="189">
        <f t="shared" ref="M134:M197" si="15">IF(I134&lt;&gt;"",K134+I134+L134,0)</f>
        <v>0</v>
      </c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  <c r="AC134" s="180"/>
      <c r="AD134" s="180"/>
      <c r="AE134" s="180"/>
      <c r="AF134" s="180"/>
      <c r="AG134" s="180"/>
      <c r="AH134" s="180"/>
      <c r="AI134" s="180"/>
      <c r="AJ134" s="180"/>
      <c r="AK134" s="180"/>
      <c r="AL134" s="180"/>
    </row>
    <row r="135" spans="1:38" s="175" customFormat="1" x14ac:dyDescent="0.25">
      <c r="A135" s="98">
        <f t="shared" ref="A135:A140" si="16">M135</f>
        <v>0</v>
      </c>
      <c r="B135" s="35" t="str">
        <f t="shared" si="12"/>
        <v/>
      </c>
      <c r="C135" s="25"/>
      <c r="D135" s="25"/>
      <c r="E135" s="25"/>
      <c r="F135" s="25"/>
      <c r="H135" s="190">
        <v>130</v>
      </c>
      <c r="I135" s="191" t="str">
        <f t="shared" si="13"/>
        <v/>
      </c>
      <c r="J135" s="190">
        <f t="shared" ref="J135:J198" si="17">INT(LOG($H$2,2))-ROUNDUP(LOG(H135,2),0)+IF(OR($H$2=1,$H$2=2,$H$2=4,$H$2=8,$H$2=16,$H$2=32,$H$2=64,$H$2=128,$H$2=256),0,1)</f>
        <v>-3</v>
      </c>
      <c r="K135" s="190">
        <f t="shared" si="14"/>
        <v>-30</v>
      </c>
      <c r="L135" s="190"/>
      <c r="M135" s="192">
        <f t="shared" si="15"/>
        <v>0</v>
      </c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  <c r="AC135" s="180"/>
      <c r="AD135" s="180"/>
      <c r="AE135" s="180"/>
      <c r="AF135" s="180"/>
      <c r="AG135" s="180"/>
      <c r="AH135" s="180"/>
      <c r="AI135" s="180"/>
      <c r="AJ135" s="180"/>
      <c r="AK135" s="180"/>
      <c r="AL135" s="180"/>
    </row>
    <row r="136" spans="1:38" s="175" customFormat="1" x14ac:dyDescent="0.25">
      <c r="A136" s="94">
        <f t="shared" si="16"/>
        <v>0</v>
      </c>
      <c r="B136" s="36" t="str">
        <f t="shared" si="12"/>
        <v/>
      </c>
      <c r="C136" s="24"/>
      <c r="D136" s="24"/>
      <c r="E136" s="24"/>
      <c r="F136" s="24"/>
      <c r="H136" s="187">
        <v>131</v>
      </c>
      <c r="I136" s="188" t="str">
        <f t="shared" si="13"/>
        <v/>
      </c>
      <c r="J136" s="187">
        <f t="shared" si="17"/>
        <v>-3</v>
      </c>
      <c r="K136" s="187">
        <f t="shared" si="14"/>
        <v>-30</v>
      </c>
      <c r="L136" s="187"/>
      <c r="M136" s="189">
        <f t="shared" si="15"/>
        <v>0</v>
      </c>
      <c r="S136" s="180"/>
      <c r="T136" s="180"/>
      <c r="U136" s="180"/>
      <c r="V136" s="180"/>
      <c r="W136" s="180"/>
      <c r="X136" s="180"/>
      <c r="Y136" s="180"/>
      <c r="Z136" s="180"/>
      <c r="AA136" s="180"/>
      <c r="AB136" s="180"/>
      <c r="AC136" s="180"/>
      <c r="AD136" s="180"/>
      <c r="AE136" s="180"/>
      <c r="AF136" s="180"/>
      <c r="AG136" s="180"/>
      <c r="AH136" s="180"/>
      <c r="AI136" s="180"/>
      <c r="AJ136" s="180"/>
      <c r="AK136" s="180"/>
      <c r="AL136" s="180"/>
    </row>
    <row r="137" spans="1:38" s="175" customFormat="1" x14ac:dyDescent="0.25">
      <c r="A137" s="98">
        <f t="shared" si="16"/>
        <v>0</v>
      </c>
      <c r="B137" s="35" t="str">
        <f t="shared" si="12"/>
        <v/>
      </c>
      <c r="C137" s="25"/>
      <c r="D137" s="25"/>
      <c r="E137" s="25"/>
      <c r="F137" s="25"/>
      <c r="H137" s="190">
        <v>132</v>
      </c>
      <c r="I137" s="191" t="str">
        <f t="shared" si="13"/>
        <v/>
      </c>
      <c r="J137" s="190">
        <f t="shared" si="17"/>
        <v>-3</v>
      </c>
      <c r="K137" s="190">
        <f t="shared" si="14"/>
        <v>-30</v>
      </c>
      <c r="L137" s="190"/>
      <c r="M137" s="192">
        <f t="shared" si="15"/>
        <v>0</v>
      </c>
      <c r="S137" s="180"/>
      <c r="T137" s="180"/>
      <c r="U137" s="180"/>
      <c r="V137" s="180"/>
      <c r="W137" s="180"/>
      <c r="X137" s="180"/>
      <c r="Y137" s="180"/>
      <c r="Z137" s="180"/>
      <c r="AA137" s="180"/>
      <c r="AB137" s="180"/>
      <c r="AC137" s="180"/>
      <c r="AD137" s="180"/>
      <c r="AE137" s="180"/>
      <c r="AF137" s="180"/>
      <c r="AG137" s="180"/>
      <c r="AH137" s="180"/>
      <c r="AI137" s="180"/>
      <c r="AJ137" s="180"/>
      <c r="AK137" s="180"/>
      <c r="AL137" s="180"/>
    </row>
    <row r="138" spans="1:38" s="175" customFormat="1" x14ac:dyDescent="0.25">
      <c r="A138" s="94">
        <f t="shared" si="16"/>
        <v>0</v>
      </c>
      <c r="B138" s="36" t="str">
        <f t="shared" si="12"/>
        <v/>
      </c>
      <c r="C138" s="24"/>
      <c r="D138" s="24"/>
      <c r="E138" s="24"/>
      <c r="F138" s="24"/>
      <c r="H138" s="187">
        <v>133</v>
      </c>
      <c r="I138" s="188" t="str">
        <f t="shared" si="13"/>
        <v/>
      </c>
      <c r="J138" s="187">
        <f t="shared" si="17"/>
        <v>-3</v>
      </c>
      <c r="K138" s="187">
        <f t="shared" si="14"/>
        <v>-30</v>
      </c>
      <c r="L138" s="187"/>
      <c r="M138" s="189">
        <f t="shared" si="15"/>
        <v>0</v>
      </c>
      <c r="S138" s="180"/>
      <c r="T138" s="180"/>
      <c r="U138" s="180"/>
      <c r="V138" s="180"/>
      <c r="W138" s="180"/>
      <c r="X138" s="180"/>
      <c r="Y138" s="180"/>
      <c r="Z138" s="180"/>
      <c r="AA138" s="180"/>
      <c r="AB138" s="180"/>
      <c r="AC138" s="180"/>
      <c r="AD138" s="180"/>
      <c r="AE138" s="180"/>
      <c r="AF138" s="180"/>
      <c r="AG138" s="180"/>
      <c r="AH138" s="180"/>
      <c r="AI138" s="180"/>
      <c r="AJ138" s="180"/>
      <c r="AK138" s="180"/>
      <c r="AL138" s="180"/>
    </row>
    <row r="139" spans="1:38" s="175" customFormat="1" x14ac:dyDescent="0.25">
      <c r="A139" s="98">
        <f t="shared" si="16"/>
        <v>0</v>
      </c>
      <c r="B139" s="35" t="str">
        <f t="shared" si="12"/>
        <v/>
      </c>
      <c r="C139" s="25"/>
      <c r="D139" s="25"/>
      <c r="E139" s="25"/>
      <c r="F139" s="25"/>
      <c r="H139" s="190">
        <v>134</v>
      </c>
      <c r="I139" s="191" t="str">
        <f t="shared" si="13"/>
        <v/>
      </c>
      <c r="J139" s="190">
        <f t="shared" si="17"/>
        <v>-3</v>
      </c>
      <c r="K139" s="190">
        <f t="shared" si="14"/>
        <v>-30</v>
      </c>
      <c r="L139" s="190"/>
      <c r="M139" s="192">
        <f t="shared" si="15"/>
        <v>0</v>
      </c>
      <c r="S139" s="180"/>
      <c r="T139" s="180"/>
      <c r="U139" s="180"/>
      <c r="V139" s="180"/>
      <c r="W139" s="180"/>
      <c r="X139" s="180"/>
      <c r="Y139" s="180"/>
      <c r="Z139" s="180"/>
      <c r="AA139" s="180"/>
      <c r="AB139" s="180"/>
      <c r="AC139" s="180"/>
      <c r="AD139" s="180"/>
      <c r="AE139" s="180"/>
      <c r="AF139" s="180"/>
      <c r="AG139" s="180"/>
      <c r="AH139" s="180"/>
      <c r="AI139" s="180"/>
      <c r="AJ139" s="180"/>
      <c r="AK139" s="180"/>
      <c r="AL139" s="180"/>
    </row>
    <row r="140" spans="1:38" s="175" customFormat="1" x14ac:dyDescent="0.25">
      <c r="A140" s="94">
        <f t="shared" si="16"/>
        <v>0</v>
      </c>
      <c r="B140" s="36" t="str">
        <f t="shared" si="12"/>
        <v/>
      </c>
      <c r="C140" s="24"/>
      <c r="D140" s="24"/>
      <c r="E140" s="24"/>
      <c r="F140" s="24"/>
      <c r="H140" s="187">
        <v>135</v>
      </c>
      <c r="I140" s="188" t="str">
        <f t="shared" si="13"/>
        <v/>
      </c>
      <c r="J140" s="187">
        <f t="shared" si="17"/>
        <v>-3</v>
      </c>
      <c r="K140" s="187">
        <f t="shared" si="14"/>
        <v>-30</v>
      </c>
      <c r="L140" s="187"/>
      <c r="M140" s="189">
        <f t="shared" si="15"/>
        <v>0</v>
      </c>
      <c r="S140" s="180"/>
      <c r="T140" s="180"/>
      <c r="U140" s="180"/>
      <c r="V140" s="180"/>
      <c r="W140" s="180"/>
      <c r="X140" s="180"/>
      <c r="Y140" s="180"/>
      <c r="Z140" s="180"/>
      <c r="AA140" s="180"/>
      <c r="AB140" s="180"/>
      <c r="AC140" s="180"/>
      <c r="AD140" s="180"/>
      <c r="AE140" s="180"/>
      <c r="AF140" s="180"/>
      <c r="AG140" s="180"/>
      <c r="AH140" s="180"/>
      <c r="AI140" s="180"/>
      <c r="AJ140" s="180"/>
      <c r="AK140" s="180"/>
      <c r="AL140" s="180"/>
    </row>
    <row r="141" spans="1:38" x14ac:dyDescent="0.25">
      <c r="A141" s="204"/>
      <c r="G141" s="175"/>
      <c r="H141" s="190">
        <v>136</v>
      </c>
      <c r="I141" s="188" t="str">
        <f t="shared" si="13"/>
        <v/>
      </c>
      <c r="J141" s="187">
        <f t="shared" si="17"/>
        <v>-3</v>
      </c>
      <c r="K141" s="187">
        <f t="shared" si="14"/>
        <v>-30</v>
      </c>
      <c r="L141" s="187"/>
      <c r="M141" s="189">
        <f t="shared" si="15"/>
        <v>0</v>
      </c>
    </row>
    <row r="142" spans="1:38" x14ac:dyDescent="0.25">
      <c r="A142" s="204"/>
      <c r="G142" s="175"/>
      <c r="H142" s="187">
        <v>137</v>
      </c>
      <c r="I142" s="188" t="str">
        <f t="shared" si="13"/>
        <v/>
      </c>
      <c r="J142" s="187">
        <f t="shared" si="17"/>
        <v>-3</v>
      </c>
      <c r="K142" s="187">
        <f t="shared" si="14"/>
        <v>-30</v>
      </c>
      <c r="L142" s="187"/>
      <c r="M142" s="189">
        <f t="shared" si="15"/>
        <v>0</v>
      </c>
    </row>
    <row r="143" spans="1:38" x14ac:dyDescent="0.25">
      <c r="A143" s="204"/>
      <c r="G143" s="175"/>
      <c r="H143" s="190">
        <v>138</v>
      </c>
      <c r="I143" s="188" t="str">
        <f t="shared" si="13"/>
        <v/>
      </c>
      <c r="J143" s="187">
        <f t="shared" si="17"/>
        <v>-3</v>
      </c>
      <c r="K143" s="187">
        <f t="shared" si="14"/>
        <v>-30</v>
      </c>
      <c r="L143" s="187"/>
      <c r="M143" s="189">
        <f t="shared" si="15"/>
        <v>0</v>
      </c>
    </row>
    <row r="144" spans="1:38" x14ac:dyDescent="0.25">
      <c r="A144" s="204"/>
      <c r="G144" s="175"/>
      <c r="H144" s="187">
        <v>139</v>
      </c>
      <c r="I144" s="188" t="str">
        <f t="shared" si="13"/>
        <v/>
      </c>
      <c r="J144" s="187">
        <f t="shared" si="17"/>
        <v>-3</v>
      </c>
      <c r="K144" s="187">
        <f t="shared" si="14"/>
        <v>-30</v>
      </c>
      <c r="L144" s="187"/>
      <c r="M144" s="189">
        <f t="shared" si="15"/>
        <v>0</v>
      </c>
    </row>
    <row r="145" spans="1:13" x14ac:dyDescent="0.25">
      <c r="A145" s="204"/>
      <c r="G145" s="175"/>
      <c r="H145" s="190">
        <v>140</v>
      </c>
      <c r="I145" s="188" t="str">
        <f t="shared" si="13"/>
        <v/>
      </c>
      <c r="J145" s="187">
        <f t="shared" si="17"/>
        <v>-3</v>
      </c>
      <c r="K145" s="187">
        <f t="shared" si="14"/>
        <v>-30</v>
      </c>
      <c r="L145" s="187"/>
      <c r="M145" s="189">
        <f t="shared" si="15"/>
        <v>0</v>
      </c>
    </row>
    <row r="146" spans="1:13" x14ac:dyDescent="0.25">
      <c r="A146" s="204"/>
      <c r="G146" s="175"/>
      <c r="H146" s="187">
        <v>141</v>
      </c>
      <c r="I146" s="188" t="str">
        <f t="shared" si="13"/>
        <v/>
      </c>
      <c r="J146" s="187">
        <f t="shared" si="17"/>
        <v>-3</v>
      </c>
      <c r="K146" s="187">
        <f t="shared" si="14"/>
        <v>-30</v>
      </c>
      <c r="L146" s="187"/>
      <c r="M146" s="189">
        <f t="shared" si="15"/>
        <v>0</v>
      </c>
    </row>
    <row r="147" spans="1:13" x14ac:dyDescent="0.25">
      <c r="A147" s="204"/>
      <c r="G147" s="175"/>
      <c r="H147" s="190">
        <v>142</v>
      </c>
      <c r="I147" s="188" t="str">
        <f t="shared" si="13"/>
        <v/>
      </c>
      <c r="J147" s="187">
        <f t="shared" si="17"/>
        <v>-3</v>
      </c>
      <c r="K147" s="187">
        <f t="shared" si="14"/>
        <v>-30</v>
      </c>
      <c r="L147" s="187"/>
      <c r="M147" s="189">
        <f t="shared" si="15"/>
        <v>0</v>
      </c>
    </row>
    <row r="148" spans="1:13" x14ac:dyDescent="0.25">
      <c r="A148" s="204"/>
      <c r="G148" s="175"/>
      <c r="H148" s="187">
        <v>143</v>
      </c>
      <c r="I148" s="188" t="str">
        <f t="shared" si="13"/>
        <v/>
      </c>
      <c r="J148" s="187">
        <f t="shared" si="17"/>
        <v>-3</v>
      </c>
      <c r="K148" s="187">
        <f t="shared" si="14"/>
        <v>-30</v>
      </c>
      <c r="L148" s="187"/>
      <c r="M148" s="189">
        <f t="shared" si="15"/>
        <v>0</v>
      </c>
    </row>
    <row r="149" spans="1:13" x14ac:dyDescent="0.25">
      <c r="A149" s="204"/>
      <c r="G149" s="175"/>
      <c r="H149" s="190">
        <v>144</v>
      </c>
      <c r="I149" s="188" t="str">
        <f t="shared" si="13"/>
        <v/>
      </c>
      <c r="J149" s="187">
        <f t="shared" si="17"/>
        <v>-3</v>
      </c>
      <c r="K149" s="187">
        <f t="shared" si="14"/>
        <v>-30</v>
      </c>
      <c r="L149" s="187"/>
      <c r="M149" s="189">
        <f t="shared" si="15"/>
        <v>0</v>
      </c>
    </row>
    <row r="150" spans="1:13" x14ac:dyDescent="0.25">
      <c r="A150" s="204"/>
      <c r="G150" s="175"/>
      <c r="H150" s="187">
        <v>145</v>
      </c>
      <c r="I150" s="188" t="str">
        <f t="shared" si="13"/>
        <v/>
      </c>
      <c r="J150" s="187">
        <f t="shared" si="17"/>
        <v>-3</v>
      </c>
      <c r="K150" s="187">
        <f t="shared" si="14"/>
        <v>-30</v>
      </c>
      <c r="L150" s="187"/>
      <c r="M150" s="189">
        <f t="shared" si="15"/>
        <v>0</v>
      </c>
    </row>
    <row r="151" spans="1:13" x14ac:dyDescent="0.25">
      <c r="A151" s="204"/>
      <c r="G151" s="175"/>
      <c r="H151" s="190">
        <v>146</v>
      </c>
      <c r="I151" s="188" t="str">
        <f t="shared" si="13"/>
        <v/>
      </c>
      <c r="J151" s="187">
        <f t="shared" si="17"/>
        <v>-3</v>
      </c>
      <c r="K151" s="187">
        <f t="shared" si="14"/>
        <v>-30</v>
      </c>
      <c r="L151" s="187"/>
      <c r="M151" s="189">
        <f t="shared" si="15"/>
        <v>0</v>
      </c>
    </row>
    <row r="152" spans="1:13" x14ac:dyDescent="0.25">
      <c r="A152" s="204"/>
      <c r="G152" s="175"/>
      <c r="H152" s="187">
        <v>147</v>
      </c>
      <c r="I152" s="188" t="str">
        <f t="shared" si="13"/>
        <v/>
      </c>
      <c r="J152" s="187">
        <f t="shared" si="17"/>
        <v>-3</v>
      </c>
      <c r="K152" s="187">
        <f t="shared" si="14"/>
        <v>-30</v>
      </c>
      <c r="L152" s="187"/>
      <c r="M152" s="189">
        <f t="shared" si="15"/>
        <v>0</v>
      </c>
    </row>
    <row r="153" spans="1:13" x14ac:dyDescent="0.25">
      <c r="A153" s="204"/>
      <c r="G153" s="175"/>
      <c r="H153" s="190">
        <v>148</v>
      </c>
      <c r="I153" s="188" t="str">
        <f t="shared" si="13"/>
        <v/>
      </c>
      <c r="J153" s="187">
        <f t="shared" si="17"/>
        <v>-3</v>
      </c>
      <c r="K153" s="187">
        <f t="shared" si="14"/>
        <v>-30</v>
      </c>
      <c r="L153" s="187"/>
      <c r="M153" s="189">
        <f t="shared" si="15"/>
        <v>0</v>
      </c>
    </row>
    <row r="154" spans="1:13" x14ac:dyDescent="0.25">
      <c r="A154" s="204"/>
      <c r="G154" s="175"/>
      <c r="H154" s="187">
        <v>149</v>
      </c>
      <c r="I154" s="188" t="str">
        <f t="shared" si="13"/>
        <v/>
      </c>
      <c r="J154" s="187">
        <f t="shared" si="17"/>
        <v>-3</v>
      </c>
      <c r="K154" s="187">
        <f t="shared" si="14"/>
        <v>-30</v>
      </c>
      <c r="L154" s="187"/>
      <c r="M154" s="189">
        <f t="shared" si="15"/>
        <v>0</v>
      </c>
    </row>
    <row r="155" spans="1:13" x14ac:dyDescent="0.25">
      <c r="A155" s="204"/>
      <c r="G155" s="175"/>
      <c r="H155" s="190">
        <v>150</v>
      </c>
      <c r="I155" s="188" t="str">
        <f t="shared" si="13"/>
        <v/>
      </c>
      <c r="J155" s="187">
        <f t="shared" si="17"/>
        <v>-3</v>
      </c>
      <c r="K155" s="187">
        <f t="shared" si="14"/>
        <v>-30</v>
      </c>
      <c r="L155" s="187"/>
      <c r="M155" s="189">
        <f t="shared" si="15"/>
        <v>0</v>
      </c>
    </row>
    <row r="156" spans="1:13" x14ac:dyDescent="0.25">
      <c r="A156" s="204"/>
      <c r="G156" s="175"/>
      <c r="H156" s="187">
        <v>151</v>
      </c>
      <c r="I156" s="188" t="str">
        <f t="shared" si="13"/>
        <v/>
      </c>
      <c r="J156" s="187">
        <f t="shared" si="17"/>
        <v>-3</v>
      </c>
      <c r="K156" s="187">
        <f t="shared" si="14"/>
        <v>-30</v>
      </c>
      <c r="L156" s="187"/>
      <c r="M156" s="189">
        <f t="shared" si="15"/>
        <v>0</v>
      </c>
    </row>
    <row r="157" spans="1:13" x14ac:dyDescent="0.25">
      <c r="A157" s="204"/>
      <c r="G157" s="175"/>
      <c r="H157" s="190">
        <v>152</v>
      </c>
      <c r="I157" s="188" t="str">
        <f t="shared" si="13"/>
        <v/>
      </c>
      <c r="J157" s="187">
        <f t="shared" si="17"/>
        <v>-3</v>
      </c>
      <c r="K157" s="187">
        <f t="shared" si="14"/>
        <v>-30</v>
      </c>
      <c r="L157" s="187"/>
      <c r="M157" s="189">
        <f t="shared" si="15"/>
        <v>0</v>
      </c>
    </row>
    <row r="158" spans="1:13" x14ac:dyDescent="0.25">
      <c r="A158" s="204"/>
      <c r="G158" s="175"/>
      <c r="H158" s="187">
        <v>153</v>
      </c>
      <c r="I158" s="188" t="str">
        <f t="shared" si="13"/>
        <v/>
      </c>
      <c r="J158" s="187">
        <f t="shared" si="17"/>
        <v>-3</v>
      </c>
      <c r="K158" s="187">
        <f t="shared" si="14"/>
        <v>-30</v>
      </c>
      <c r="L158" s="187"/>
      <c r="M158" s="189">
        <f t="shared" si="15"/>
        <v>0</v>
      </c>
    </row>
    <row r="159" spans="1:13" x14ac:dyDescent="0.25">
      <c r="A159" s="204"/>
      <c r="G159" s="175"/>
      <c r="H159" s="190">
        <v>154</v>
      </c>
      <c r="I159" s="188" t="str">
        <f t="shared" si="13"/>
        <v/>
      </c>
      <c r="J159" s="187">
        <f t="shared" si="17"/>
        <v>-3</v>
      </c>
      <c r="K159" s="187">
        <f t="shared" si="14"/>
        <v>-30</v>
      </c>
      <c r="L159" s="187"/>
      <c r="M159" s="189">
        <f t="shared" si="15"/>
        <v>0</v>
      </c>
    </row>
    <row r="160" spans="1:13" x14ac:dyDescent="0.25">
      <c r="A160" s="204"/>
      <c r="G160" s="175"/>
      <c r="H160" s="187">
        <v>155</v>
      </c>
      <c r="I160" s="188" t="str">
        <f t="shared" si="13"/>
        <v/>
      </c>
      <c r="J160" s="187">
        <f t="shared" si="17"/>
        <v>-3</v>
      </c>
      <c r="K160" s="187">
        <f t="shared" si="14"/>
        <v>-30</v>
      </c>
      <c r="L160" s="187"/>
      <c r="M160" s="189">
        <f t="shared" si="15"/>
        <v>0</v>
      </c>
    </row>
    <row r="161" spans="1:13" x14ac:dyDescent="0.25">
      <c r="A161" s="204"/>
      <c r="G161" s="175"/>
      <c r="H161" s="190">
        <v>156</v>
      </c>
      <c r="I161" s="188" t="str">
        <f t="shared" si="13"/>
        <v/>
      </c>
      <c r="J161" s="187">
        <f t="shared" si="17"/>
        <v>-3</v>
      </c>
      <c r="K161" s="187">
        <f t="shared" si="14"/>
        <v>-30</v>
      </c>
      <c r="L161" s="187"/>
      <c r="M161" s="189">
        <f t="shared" si="15"/>
        <v>0</v>
      </c>
    </row>
    <row r="162" spans="1:13" x14ac:dyDescent="0.25">
      <c r="A162" s="204"/>
      <c r="G162" s="175"/>
      <c r="H162" s="187">
        <v>157</v>
      </c>
      <c r="I162" s="188" t="str">
        <f t="shared" si="13"/>
        <v/>
      </c>
      <c r="J162" s="187">
        <f t="shared" si="17"/>
        <v>-3</v>
      </c>
      <c r="K162" s="187">
        <f t="shared" si="14"/>
        <v>-30</v>
      </c>
      <c r="L162" s="187"/>
      <c r="M162" s="189">
        <f t="shared" si="15"/>
        <v>0</v>
      </c>
    </row>
    <row r="163" spans="1:13" x14ac:dyDescent="0.25">
      <c r="A163" s="204"/>
      <c r="G163" s="175"/>
      <c r="H163" s="190">
        <v>158</v>
      </c>
      <c r="I163" s="188" t="str">
        <f t="shared" si="13"/>
        <v/>
      </c>
      <c r="J163" s="187">
        <f t="shared" si="17"/>
        <v>-3</v>
      </c>
      <c r="K163" s="187">
        <f t="shared" si="14"/>
        <v>-30</v>
      </c>
      <c r="L163" s="187"/>
      <c r="M163" s="189">
        <f t="shared" si="15"/>
        <v>0</v>
      </c>
    </row>
    <row r="164" spans="1:13" x14ac:dyDescent="0.25">
      <c r="A164" s="204"/>
      <c r="G164" s="175"/>
      <c r="H164" s="187">
        <v>159</v>
      </c>
      <c r="I164" s="188" t="str">
        <f t="shared" si="13"/>
        <v/>
      </c>
      <c r="J164" s="187">
        <f t="shared" si="17"/>
        <v>-3</v>
      </c>
      <c r="K164" s="187">
        <f t="shared" si="14"/>
        <v>-30</v>
      </c>
      <c r="L164" s="187"/>
      <c r="M164" s="189">
        <f t="shared" si="15"/>
        <v>0</v>
      </c>
    </row>
    <row r="165" spans="1:13" x14ac:dyDescent="0.25">
      <c r="A165" s="204"/>
      <c r="G165" s="175"/>
      <c r="H165" s="190">
        <v>160</v>
      </c>
      <c r="I165" s="188" t="str">
        <f t="shared" si="13"/>
        <v/>
      </c>
      <c r="J165" s="187">
        <f t="shared" si="17"/>
        <v>-3</v>
      </c>
      <c r="K165" s="187">
        <f t="shared" si="14"/>
        <v>-30</v>
      </c>
      <c r="L165" s="187"/>
      <c r="M165" s="189">
        <f t="shared" si="15"/>
        <v>0</v>
      </c>
    </row>
    <row r="166" spans="1:13" x14ac:dyDescent="0.25">
      <c r="A166" s="204"/>
      <c r="G166" s="175"/>
      <c r="H166" s="187">
        <v>161</v>
      </c>
      <c r="I166" s="188" t="str">
        <f t="shared" si="13"/>
        <v/>
      </c>
      <c r="J166" s="187">
        <f t="shared" si="17"/>
        <v>-3</v>
      </c>
      <c r="K166" s="187">
        <f t="shared" si="14"/>
        <v>-30</v>
      </c>
      <c r="L166" s="187"/>
      <c r="M166" s="189">
        <f t="shared" si="15"/>
        <v>0</v>
      </c>
    </row>
    <row r="167" spans="1:13" x14ac:dyDescent="0.25">
      <c r="A167" s="204"/>
      <c r="G167" s="175"/>
      <c r="H167" s="190">
        <v>162</v>
      </c>
      <c r="I167" s="188" t="str">
        <f t="shared" si="13"/>
        <v/>
      </c>
      <c r="J167" s="187">
        <f t="shared" si="17"/>
        <v>-3</v>
      </c>
      <c r="K167" s="187">
        <f t="shared" si="14"/>
        <v>-30</v>
      </c>
      <c r="L167" s="187"/>
      <c r="M167" s="189">
        <f t="shared" si="15"/>
        <v>0</v>
      </c>
    </row>
    <row r="168" spans="1:13" x14ac:dyDescent="0.25">
      <c r="A168" s="204"/>
      <c r="G168" s="175"/>
      <c r="H168" s="187">
        <v>163</v>
      </c>
      <c r="I168" s="188" t="str">
        <f t="shared" si="13"/>
        <v/>
      </c>
      <c r="J168" s="187">
        <f t="shared" si="17"/>
        <v>-3</v>
      </c>
      <c r="K168" s="187">
        <f t="shared" si="14"/>
        <v>-30</v>
      </c>
      <c r="L168" s="187"/>
      <c r="M168" s="189">
        <f t="shared" si="15"/>
        <v>0</v>
      </c>
    </row>
    <row r="169" spans="1:13" x14ac:dyDescent="0.25">
      <c r="A169" s="204"/>
      <c r="C169" s="203" t="s">
        <v>95</v>
      </c>
      <c r="G169" s="175"/>
      <c r="H169" s="190">
        <v>164</v>
      </c>
      <c r="I169" s="188" t="str">
        <f t="shared" si="13"/>
        <v/>
      </c>
      <c r="J169" s="187">
        <f t="shared" si="17"/>
        <v>-3</v>
      </c>
      <c r="K169" s="187">
        <f t="shared" si="14"/>
        <v>-30</v>
      </c>
      <c r="L169" s="187"/>
      <c r="M169" s="189">
        <f t="shared" si="15"/>
        <v>0</v>
      </c>
    </row>
    <row r="170" spans="1:13" x14ac:dyDescent="0.25">
      <c r="A170" s="204"/>
      <c r="G170" s="175"/>
      <c r="H170" s="187">
        <v>165</v>
      </c>
      <c r="I170" s="188" t="str">
        <f t="shared" si="13"/>
        <v/>
      </c>
      <c r="J170" s="187">
        <f t="shared" si="17"/>
        <v>-3</v>
      </c>
      <c r="K170" s="187">
        <f t="shared" si="14"/>
        <v>-30</v>
      </c>
      <c r="L170" s="187"/>
      <c r="M170" s="189">
        <f t="shared" si="15"/>
        <v>0</v>
      </c>
    </row>
    <row r="171" spans="1:13" x14ac:dyDescent="0.25">
      <c r="A171" s="204"/>
      <c r="G171" s="175"/>
      <c r="H171" s="190">
        <v>166</v>
      </c>
      <c r="I171" s="188" t="str">
        <f t="shared" si="13"/>
        <v/>
      </c>
      <c r="J171" s="187">
        <f t="shared" si="17"/>
        <v>-3</v>
      </c>
      <c r="K171" s="187">
        <f t="shared" si="14"/>
        <v>-30</v>
      </c>
      <c r="L171" s="187"/>
      <c r="M171" s="189">
        <f t="shared" si="15"/>
        <v>0</v>
      </c>
    </row>
    <row r="172" spans="1:13" x14ac:dyDescent="0.25">
      <c r="A172" s="204"/>
      <c r="G172" s="175"/>
      <c r="H172" s="187">
        <v>167</v>
      </c>
      <c r="I172" s="188" t="str">
        <f t="shared" si="13"/>
        <v/>
      </c>
      <c r="J172" s="187">
        <f t="shared" si="17"/>
        <v>-3</v>
      </c>
      <c r="K172" s="187">
        <f t="shared" si="14"/>
        <v>-30</v>
      </c>
      <c r="L172" s="187"/>
      <c r="M172" s="189">
        <f t="shared" si="15"/>
        <v>0</v>
      </c>
    </row>
    <row r="173" spans="1:13" x14ac:dyDescent="0.25">
      <c r="A173" s="204"/>
      <c r="G173" s="175"/>
      <c r="H173" s="190">
        <v>168</v>
      </c>
      <c r="I173" s="188" t="str">
        <f t="shared" si="13"/>
        <v/>
      </c>
      <c r="J173" s="187">
        <f t="shared" si="17"/>
        <v>-3</v>
      </c>
      <c r="K173" s="187">
        <f t="shared" si="14"/>
        <v>-30</v>
      </c>
      <c r="L173" s="187"/>
      <c r="M173" s="189">
        <f t="shared" si="15"/>
        <v>0</v>
      </c>
    </row>
    <row r="174" spans="1:13" x14ac:dyDescent="0.25">
      <c r="A174" s="204"/>
      <c r="G174" s="175"/>
      <c r="H174" s="187">
        <v>169</v>
      </c>
      <c r="I174" s="188" t="str">
        <f t="shared" si="13"/>
        <v/>
      </c>
      <c r="J174" s="187">
        <f t="shared" si="17"/>
        <v>-3</v>
      </c>
      <c r="K174" s="187">
        <f t="shared" si="14"/>
        <v>-30</v>
      </c>
      <c r="L174" s="187"/>
      <c r="M174" s="189">
        <f t="shared" si="15"/>
        <v>0</v>
      </c>
    </row>
    <row r="175" spans="1:13" x14ac:dyDescent="0.25">
      <c r="A175" s="204"/>
      <c r="G175" s="175"/>
      <c r="H175" s="190">
        <v>170</v>
      </c>
      <c r="I175" s="188" t="str">
        <f t="shared" si="13"/>
        <v/>
      </c>
      <c r="J175" s="187">
        <f t="shared" si="17"/>
        <v>-3</v>
      </c>
      <c r="K175" s="187">
        <f t="shared" si="14"/>
        <v>-30</v>
      </c>
      <c r="L175" s="187"/>
      <c r="M175" s="189">
        <f t="shared" si="15"/>
        <v>0</v>
      </c>
    </row>
    <row r="176" spans="1:13" x14ac:dyDescent="0.25">
      <c r="A176" s="204"/>
      <c r="G176" s="175"/>
      <c r="H176" s="187">
        <v>171</v>
      </c>
      <c r="I176" s="188" t="str">
        <f t="shared" si="13"/>
        <v/>
      </c>
      <c r="J176" s="187">
        <f t="shared" si="17"/>
        <v>-3</v>
      </c>
      <c r="K176" s="187">
        <f t="shared" si="14"/>
        <v>-30</v>
      </c>
      <c r="L176" s="187"/>
      <c r="M176" s="189">
        <f t="shared" si="15"/>
        <v>0</v>
      </c>
    </row>
    <row r="177" spans="1:13" x14ac:dyDescent="0.25">
      <c r="A177" s="204"/>
      <c r="G177" s="175"/>
      <c r="H177" s="190">
        <v>172</v>
      </c>
      <c r="I177" s="188" t="str">
        <f t="shared" si="13"/>
        <v/>
      </c>
      <c r="J177" s="187">
        <f t="shared" si="17"/>
        <v>-3</v>
      </c>
      <c r="K177" s="187">
        <f t="shared" si="14"/>
        <v>-30</v>
      </c>
      <c r="L177" s="187"/>
      <c r="M177" s="189">
        <f t="shared" si="15"/>
        <v>0</v>
      </c>
    </row>
    <row r="178" spans="1:13" x14ac:dyDescent="0.25">
      <c r="A178" s="204"/>
      <c r="G178" s="175"/>
      <c r="H178" s="187">
        <v>173</v>
      </c>
      <c r="I178" s="188" t="str">
        <f t="shared" si="13"/>
        <v/>
      </c>
      <c r="J178" s="187">
        <f t="shared" si="17"/>
        <v>-3</v>
      </c>
      <c r="K178" s="187">
        <f t="shared" si="14"/>
        <v>-30</v>
      </c>
      <c r="L178" s="187"/>
      <c r="M178" s="189">
        <f t="shared" si="15"/>
        <v>0</v>
      </c>
    </row>
    <row r="179" spans="1:13" x14ac:dyDescent="0.25">
      <c r="A179" s="204"/>
      <c r="G179" s="175"/>
      <c r="H179" s="190">
        <v>174</v>
      </c>
      <c r="I179" s="188" t="str">
        <f t="shared" si="13"/>
        <v/>
      </c>
      <c r="J179" s="187">
        <f t="shared" si="17"/>
        <v>-3</v>
      </c>
      <c r="K179" s="187">
        <f t="shared" si="14"/>
        <v>-30</v>
      </c>
      <c r="L179" s="187"/>
      <c r="M179" s="189">
        <f t="shared" si="15"/>
        <v>0</v>
      </c>
    </row>
    <row r="180" spans="1:13" x14ac:dyDescent="0.25">
      <c r="A180" s="204"/>
      <c r="G180" s="175"/>
      <c r="H180" s="187">
        <v>175</v>
      </c>
      <c r="I180" s="188" t="str">
        <f t="shared" si="13"/>
        <v/>
      </c>
      <c r="J180" s="187">
        <f t="shared" si="17"/>
        <v>-3</v>
      </c>
      <c r="K180" s="187">
        <f t="shared" si="14"/>
        <v>-30</v>
      </c>
      <c r="L180" s="187"/>
      <c r="M180" s="189">
        <f t="shared" si="15"/>
        <v>0</v>
      </c>
    </row>
    <row r="181" spans="1:13" x14ac:dyDescent="0.25">
      <c r="A181" s="204"/>
      <c r="G181" s="175"/>
      <c r="H181" s="190">
        <v>176</v>
      </c>
      <c r="I181" s="188" t="str">
        <f t="shared" si="13"/>
        <v/>
      </c>
      <c r="J181" s="187">
        <f t="shared" si="17"/>
        <v>-3</v>
      </c>
      <c r="K181" s="187">
        <f t="shared" si="14"/>
        <v>-30</v>
      </c>
      <c r="L181" s="187"/>
      <c r="M181" s="189">
        <f t="shared" si="15"/>
        <v>0</v>
      </c>
    </row>
    <row r="182" spans="1:13" x14ac:dyDescent="0.25">
      <c r="A182" s="204"/>
      <c r="G182" s="175"/>
      <c r="H182" s="187">
        <v>177</v>
      </c>
      <c r="I182" s="188" t="str">
        <f t="shared" si="13"/>
        <v/>
      </c>
      <c r="J182" s="187">
        <f t="shared" si="17"/>
        <v>-3</v>
      </c>
      <c r="K182" s="187">
        <f t="shared" si="14"/>
        <v>-30</v>
      </c>
      <c r="L182" s="187"/>
      <c r="M182" s="189">
        <f t="shared" si="15"/>
        <v>0</v>
      </c>
    </row>
    <row r="183" spans="1:13" x14ac:dyDescent="0.25">
      <c r="A183" s="204"/>
      <c r="G183" s="175"/>
      <c r="H183" s="190">
        <v>178</v>
      </c>
      <c r="I183" s="188" t="str">
        <f t="shared" si="13"/>
        <v/>
      </c>
      <c r="J183" s="187">
        <f t="shared" si="17"/>
        <v>-3</v>
      </c>
      <c r="K183" s="187">
        <f t="shared" si="14"/>
        <v>-30</v>
      </c>
      <c r="L183" s="187"/>
      <c r="M183" s="189">
        <f t="shared" si="15"/>
        <v>0</v>
      </c>
    </row>
    <row r="184" spans="1:13" x14ac:dyDescent="0.25">
      <c r="A184" s="204"/>
      <c r="G184" s="175"/>
      <c r="H184" s="187">
        <v>179</v>
      </c>
      <c r="I184" s="188" t="str">
        <f t="shared" si="13"/>
        <v/>
      </c>
      <c r="J184" s="187">
        <f t="shared" si="17"/>
        <v>-3</v>
      </c>
      <c r="K184" s="187">
        <f t="shared" si="14"/>
        <v>-30</v>
      </c>
      <c r="L184" s="187"/>
      <c r="M184" s="189">
        <f t="shared" si="15"/>
        <v>0</v>
      </c>
    </row>
    <row r="185" spans="1:13" x14ac:dyDescent="0.25">
      <c r="A185" s="204"/>
      <c r="G185" s="175"/>
      <c r="H185" s="190">
        <v>180</v>
      </c>
      <c r="I185" s="188" t="str">
        <f t="shared" si="13"/>
        <v/>
      </c>
      <c r="J185" s="187">
        <f t="shared" si="17"/>
        <v>-3</v>
      </c>
      <c r="K185" s="187">
        <f t="shared" si="14"/>
        <v>-30</v>
      </c>
      <c r="L185" s="187"/>
      <c r="M185" s="189">
        <f t="shared" si="15"/>
        <v>0</v>
      </c>
    </row>
    <row r="186" spans="1:13" x14ac:dyDescent="0.25">
      <c r="A186" s="204"/>
      <c r="G186" s="175"/>
      <c r="H186" s="187">
        <v>181</v>
      </c>
      <c r="I186" s="188" t="str">
        <f t="shared" si="13"/>
        <v/>
      </c>
      <c r="J186" s="187">
        <f t="shared" si="17"/>
        <v>-3</v>
      </c>
      <c r="K186" s="187">
        <f t="shared" si="14"/>
        <v>-30</v>
      </c>
      <c r="L186" s="187"/>
      <c r="M186" s="189">
        <f t="shared" si="15"/>
        <v>0</v>
      </c>
    </row>
    <row r="187" spans="1:13" x14ac:dyDescent="0.25">
      <c r="A187" s="204"/>
      <c r="G187" s="175"/>
      <c r="H187" s="190">
        <v>182</v>
      </c>
      <c r="I187" s="188" t="str">
        <f t="shared" si="13"/>
        <v/>
      </c>
      <c r="J187" s="187">
        <f t="shared" si="17"/>
        <v>-3</v>
      </c>
      <c r="K187" s="187">
        <f t="shared" si="14"/>
        <v>-30</v>
      </c>
      <c r="L187" s="187"/>
      <c r="M187" s="189">
        <f t="shared" si="15"/>
        <v>0</v>
      </c>
    </row>
    <row r="188" spans="1:13" x14ac:dyDescent="0.25">
      <c r="A188" s="204"/>
      <c r="G188" s="175"/>
      <c r="H188" s="187">
        <v>183</v>
      </c>
      <c r="I188" s="188" t="str">
        <f t="shared" si="13"/>
        <v/>
      </c>
      <c r="J188" s="187">
        <f t="shared" si="17"/>
        <v>-3</v>
      </c>
      <c r="K188" s="187">
        <f t="shared" si="14"/>
        <v>-30</v>
      </c>
      <c r="L188" s="187"/>
      <c r="M188" s="189">
        <f t="shared" si="15"/>
        <v>0</v>
      </c>
    </row>
    <row r="189" spans="1:13" x14ac:dyDescent="0.25">
      <c r="A189" s="204"/>
      <c r="G189" s="175"/>
      <c r="H189" s="190">
        <v>184</v>
      </c>
      <c r="I189" s="188" t="str">
        <f t="shared" si="13"/>
        <v/>
      </c>
      <c r="J189" s="187">
        <f t="shared" si="17"/>
        <v>-3</v>
      </c>
      <c r="K189" s="187">
        <f t="shared" si="14"/>
        <v>-30</v>
      </c>
      <c r="L189" s="187"/>
      <c r="M189" s="189">
        <f t="shared" si="15"/>
        <v>0</v>
      </c>
    </row>
    <row r="190" spans="1:13" x14ac:dyDescent="0.25">
      <c r="A190" s="204"/>
      <c r="G190" s="175"/>
      <c r="H190" s="187">
        <v>185</v>
      </c>
      <c r="I190" s="188" t="str">
        <f t="shared" si="13"/>
        <v/>
      </c>
      <c r="J190" s="187">
        <f t="shared" si="17"/>
        <v>-3</v>
      </c>
      <c r="K190" s="187">
        <f t="shared" si="14"/>
        <v>-30</v>
      </c>
      <c r="L190" s="187"/>
      <c r="M190" s="189">
        <f t="shared" si="15"/>
        <v>0</v>
      </c>
    </row>
    <row r="191" spans="1:13" x14ac:dyDescent="0.25">
      <c r="A191" s="204"/>
      <c r="G191" s="175"/>
      <c r="H191" s="190">
        <v>186</v>
      </c>
      <c r="I191" s="188" t="str">
        <f t="shared" si="13"/>
        <v/>
      </c>
      <c r="J191" s="187">
        <f t="shared" si="17"/>
        <v>-3</v>
      </c>
      <c r="K191" s="187">
        <f t="shared" si="14"/>
        <v>-30</v>
      </c>
      <c r="L191" s="187"/>
      <c r="M191" s="189">
        <f t="shared" si="15"/>
        <v>0</v>
      </c>
    </row>
    <row r="192" spans="1:13" x14ac:dyDescent="0.25">
      <c r="A192" s="204"/>
      <c r="G192" s="175"/>
      <c r="H192" s="187">
        <v>187</v>
      </c>
      <c r="I192" s="188" t="str">
        <f t="shared" si="13"/>
        <v/>
      </c>
      <c r="J192" s="187">
        <f t="shared" si="17"/>
        <v>-3</v>
      </c>
      <c r="K192" s="187">
        <f t="shared" si="14"/>
        <v>-30</v>
      </c>
      <c r="L192" s="187"/>
      <c r="M192" s="189">
        <f t="shared" si="15"/>
        <v>0</v>
      </c>
    </row>
    <row r="193" spans="1:13" x14ac:dyDescent="0.25">
      <c r="A193" s="204"/>
      <c r="G193" s="175"/>
      <c r="H193" s="190">
        <v>188</v>
      </c>
      <c r="I193" s="188" t="str">
        <f t="shared" si="13"/>
        <v/>
      </c>
      <c r="J193" s="187">
        <f t="shared" si="17"/>
        <v>-3</v>
      </c>
      <c r="K193" s="187">
        <f t="shared" si="14"/>
        <v>-30</v>
      </c>
      <c r="L193" s="187"/>
      <c r="M193" s="189">
        <f t="shared" si="15"/>
        <v>0</v>
      </c>
    </row>
    <row r="194" spans="1:13" x14ac:dyDescent="0.25">
      <c r="A194" s="204"/>
      <c r="G194" s="175"/>
      <c r="H194" s="187">
        <v>189</v>
      </c>
      <c r="I194" s="188" t="str">
        <f t="shared" si="13"/>
        <v/>
      </c>
      <c r="J194" s="187">
        <f t="shared" si="17"/>
        <v>-3</v>
      </c>
      <c r="K194" s="187">
        <f t="shared" si="14"/>
        <v>-30</v>
      </c>
      <c r="L194" s="187"/>
      <c r="M194" s="189">
        <f t="shared" si="15"/>
        <v>0</v>
      </c>
    </row>
    <row r="195" spans="1:13" x14ac:dyDescent="0.25">
      <c r="A195" s="204"/>
      <c r="G195" s="175"/>
      <c r="H195" s="190">
        <v>190</v>
      </c>
      <c r="I195" s="188" t="str">
        <f t="shared" si="13"/>
        <v/>
      </c>
      <c r="J195" s="187">
        <f t="shared" si="17"/>
        <v>-3</v>
      </c>
      <c r="K195" s="187">
        <f t="shared" si="14"/>
        <v>-30</v>
      </c>
      <c r="L195" s="187"/>
      <c r="M195" s="189">
        <f t="shared" si="15"/>
        <v>0</v>
      </c>
    </row>
    <row r="196" spans="1:13" x14ac:dyDescent="0.25">
      <c r="A196" s="204"/>
      <c r="G196" s="175"/>
      <c r="H196" s="187">
        <v>191</v>
      </c>
      <c r="I196" s="188" t="str">
        <f t="shared" si="13"/>
        <v/>
      </c>
      <c r="J196" s="187">
        <f t="shared" si="17"/>
        <v>-3</v>
      </c>
      <c r="K196" s="187">
        <f t="shared" si="14"/>
        <v>-30</v>
      </c>
      <c r="L196" s="187"/>
      <c r="M196" s="189">
        <f t="shared" si="15"/>
        <v>0</v>
      </c>
    </row>
    <row r="197" spans="1:13" x14ac:dyDescent="0.25">
      <c r="A197" s="204"/>
      <c r="G197" s="175"/>
      <c r="H197" s="190">
        <v>192</v>
      </c>
      <c r="I197" s="188" t="str">
        <f t="shared" si="13"/>
        <v/>
      </c>
      <c r="J197" s="187">
        <f t="shared" si="17"/>
        <v>-3</v>
      </c>
      <c r="K197" s="187">
        <f t="shared" si="14"/>
        <v>-30</v>
      </c>
      <c r="L197" s="187"/>
      <c r="M197" s="189">
        <f t="shared" si="15"/>
        <v>0</v>
      </c>
    </row>
    <row r="198" spans="1:13" x14ac:dyDescent="0.25">
      <c r="A198" s="204"/>
      <c r="G198" s="175"/>
      <c r="H198" s="187">
        <v>193</v>
      </c>
      <c r="I198" s="188" t="str">
        <f t="shared" ref="I198:I261" si="18">IF(H198&lt;$H$2+1,($I$2-($I$2-1)*(LOG(H198)/LOG($H$2))),"")</f>
        <v/>
      </c>
      <c r="J198" s="187">
        <f t="shared" si="17"/>
        <v>-3</v>
      </c>
      <c r="K198" s="187">
        <f t="shared" ref="K198:K261" si="19">J198*$J$2</f>
        <v>-30</v>
      </c>
      <c r="L198" s="187"/>
      <c r="M198" s="189">
        <f t="shared" ref="M198:M261" si="20">IF(I198&lt;&gt;"",K198+I198+L198,0)</f>
        <v>0</v>
      </c>
    </row>
    <row r="199" spans="1:13" x14ac:dyDescent="0.25">
      <c r="A199" s="204"/>
      <c r="G199" s="175"/>
      <c r="H199" s="190">
        <v>194</v>
      </c>
      <c r="I199" s="188" t="str">
        <f t="shared" si="18"/>
        <v/>
      </c>
      <c r="J199" s="187">
        <f t="shared" ref="J199:J262" si="21">INT(LOG($H$2,2))-ROUNDUP(LOG(H199,2),0)+IF(OR($H$2=1,$H$2=2,$H$2=4,$H$2=8,$H$2=16,$H$2=32,$H$2=64,$H$2=128,$H$2=256),0,1)</f>
        <v>-3</v>
      </c>
      <c r="K199" s="187">
        <f t="shared" si="19"/>
        <v>-30</v>
      </c>
      <c r="L199" s="187"/>
      <c r="M199" s="189">
        <f t="shared" si="20"/>
        <v>0</v>
      </c>
    </row>
    <row r="200" spans="1:13" x14ac:dyDescent="0.25">
      <c r="A200" s="204"/>
      <c r="G200" s="175"/>
      <c r="H200" s="187">
        <v>195</v>
      </c>
      <c r="I200" s="188" t="str">
        <f t="shared" si="18"/>
        <v/>
      </c>
      <c r="J200" s="187">
        <f t="shared" si="21"/>
        <v>-3</v>
      </c>
      <c r="K200" s="187">
        <f t="shared" si="19"/>
        <v>-30</v>
      </c>
      <c r="L200" s="187"/>
      <c r="M200" s="189">
        <f t="shared" si="20"/>
        <v>0</v>
      </c>
    </row>
    <row r="201" spans="1:13" x14ac:dyDescent="0.25">
      <c r="A201" s="204"/>
      <c r="G201" s="175"/>
      <c r="H201" s="190">
        <v>196</v>
      </c>
      <c r="I201" s="188" t="str">
        <f t="shared" si="18"/>
        <v/>
      </c>
      <c r="J201" s="187">
        <f t="shared" si="21"/>
        <v>-3</v>
      </c>
      <c r="K201" s="187">
        <f t="shared" si="19"/>
        <v>-30</v>
      </c>
      <c r="L201" s="187"/>
      <c r="M201" s="189">
        <f t="shared" si="20"/>
        <v>0</v>
      </c>
    </row>
    <row r="202" spans="1:13" x14ac:dyDescent="0.25">
      <c r="A202" s="204"/>
      <c r="G202" s="175"/>
      <c r="H202" s="187">
        <v>197</v>
      </c>
      <c r="I202" s="188" t="str">
        <f t="shared" si="18"/>
        <v/>
      </c>
      <c r="J202" s="187">
        <f t="shared" si="21"/>
        <v>-3</v>
      </c>
      <c r="K202" s="187">
        <f t="shared" si="19"/>
        <v>-30</v>
      </c>
      <c r="L202" s="187"/>
      <c r="M202" s="189">
        <f t="shared" si="20"/>
        <v>0</v>
      </c>
    </row>
    <row r="203" spans="1:13" x14ac:dyDescent="0.25">
      <c r="A203" s="204"/>
      <c r="G203" s="175"/>
      <c r="H203" s="190">
        <v>198</v>
      </c>
      <c r="I203" s="188" t="str">
        <f t="shared" si="18"/>
        <v/>
      </c>
      <c r="J203" s="187">
        <f t="shared" si="21"/>
        <v>-3</v>
      </c>
      <c r="K203" s="187">
        <f t="shared" si="19"/>
        <v>-30</v>
      </c>
      <c r="L203" s="187"/>
      <c r="M203" s="189">
        <f t="shared" si="20"/>
        <v>0</v>
      </c>
    </row>
    <row r="204" spans="1:13" x14ac:dyDescent="0.25">
      <c r="A204" s="204"/>
      <c r="G204" s="175"/>
      <c r="H204" s="187">
        <v>199</v>
      </c>
      <c r="I204" s="188" t="str">
        <f t="shared" si="18"/>
        <v/>
      </c>
      <c r="J204" s="187">
        <f t="shared" si="21"/>
        <v>-3</v>
      </c>
      <c r="K204" s="187">
        <f t="shared" si="19"/>
        <v>-30</v>
      </c>
      <c r="L204" s="187"/>
      <c r="M204" s="189">
        <f t="shared" si="20"/>
        <v>0</v>
      </c>
    </row>
    <row r="205" spans="1:13" x14ac:dyDescent="0.25">
      <c r="A205" s="204"/>
      <c r="G205" s="175"/>
      <c r="H205" s="190">
        <v>200</v>
      </c>
      <c r="I205" s="188" t="str">
        <f t="shared" si="18"/>
        <v/>
      </c>
      <c r="J205" s="187">
        <f t="shared" si="21"/>
        <v>-3</v>
      </c>
      <c r="K205" s="187">
        <f t="shared" si="19"/>
        <v>-30</v>
      </c>
      <c r="L205" s="187"/>
      <c r="M205" s="189">
        <f t="shared" si="20"/>
        <v>0</v>
      </c>
    </row>
    <row r="206" spans="1:13" x14ac:dyDescent="0.25">
      <c r="A206" s="204"/>
      <c r="G206" s="175"/>
      <c r="H206" s="187">
        <v>201</v>
      </c>
      <c r="I206" s="188" t="str">
        <f t="shared" si="18"/>
        <v/>
      </c>
      <c r="J206" s="187">
        <f t="shared" si="21"/>
        <v>-3</v>
      </c>
      <c r="K206" s="187">
        <f t="shared" si="19"/>
        <v>-30</v>
      </c>
      <c r="L206" s="187"/>
      <c r="M206" s="189">
        <f t="shared" si="20"/>
        <v>0</v>
      </c>
    </row>
    <row r="207" spans="1:13" x14ac:dyDescent="0.25">
      <c r="A207" s="204"/>
      <c r="G207" s="175"/>
      <c r="H207" s="190">
        <v>202</v>
      </c>
      <c r="I207" s="188" t="str">
        <f t="shared" si="18"/>
        <v/>
      </c>
      <c r="J207" s="187">
        <f t="shared" si="21"/>
        <v>-3</v>
      </c>
      <c r="K207" s="187">
        <f t="shared" si="19"/>
        <v>-30</v>
      </c>
      <c r="L207" s="187"/>
      <c r="M207" s="189">
        <f t="shared" si="20"/>
        <v>0</v>
      </c>
    </row>
    <row r="208" spans="1:13" x14ac:dyDescent="0.25">
      <c r="A208" s="204"/>
      <c r="G208" s="175"/>
      <c r="H208" s="187">
        <v>203</v>
      </c>
      <c r="I208" s="188" t="str">
        <f t="shared" si="18"/>
        <v/>
      </c>
      <c r="J208" s="187">
        <f t="shared" si="21"/>
        <v>-3</v>
      </c>
      <c r="K208" s="187">
        <f t="shared" si="19"/>
        <v>-30</v>
      </c>
      <c r="L208" s="187"/>
      <c r="M208" s="189">
        <f t="shared" si="20"/>
        <v>0</v>
      </c>
    </row>
    <row r="209" spans="1:13" x14ac:dyDescent="0.25">
      <c r="A209" s="204"/>
      <c r="G209" s="175"/>
      <c r="H209" s="190">
        <v>204</v>
      </c>
      <c r="I209" s="188" t="str">
        <f t="shared" si="18"/>
        <v/>
      </c>
      <c r="J209" s="187">
        <f t="shared" si="21"/>
        <v>-3</v>
      </c>
      <c r="K209" s="187">
        <f t="shared" si="19"/>
        <v>-30</v>
      </c>
      <c r="L209" s="187"/>
      <c r="M209" s="189">
        <f t="shared" si="20"/>
        <v>0</v>
      </c>
    </row>
    <row r="210" spans="1:13" x14ac:dyDescent="0.25">
      <c r="A210" s="204"/>
      <c r="G210" s="175"/>
      <c r="H210" s="187">
        <v>205</v>
      </c>
      <c r="I210" s="188" t="str">
        <f t="shared" si="18"/>
        <v/>
      </c>
      <c r="J210" s="187">
        <f t="shared" si="21"/>
        <v>-3</v>
      </c>
      <c r="K210" s="187">
        <f t="shared" si="19"/>
        <v>-30</v>
      </c>
      <c r="L210" s="187"/>
      <c r="M210" s="189">
        <f t="shared" si="20"/>
        <v>0</v>
      </c>
    </row>
    <row r="211" spans="1:13" x14ac:dyDescent="0.25">
      <c r="A211" s="204"/>
      <c r="G211" s="175"/>
      <c r="H211" s="190">
        <v>206</v>
      </c>
      <c r="I211" s="188" t="str">
        <f t="shared" si="18"/>
        <v/>
      </c>
      <c r="J211" s="187">
        <f t="shared" si="21"/>
        <v>-3</v>
      </c>
      <c r="K211" s="187">
        <f t="shared" si="19"/>
        <v>-30</v>
      </c>
      <c r="L211" s="187"/>
      <c r="M211" s="189">
        <f t="shared" si="20"/>
        <v>0</v>
      </c>
    </row>
    <row r="212" spans="1:13" x14ac:dyDescent="0.25">
      <c r="A212" s="204"/>
      <c r="G212" s="175"/>
      <c r="H212" s="187">
        <v>207</v>
      </c>
      <c r="I212" s="188" t="str">
        <f t="shared" si="18"/>
        <v/>
      </c>
      <c r="J212" s="187">
        <f t="shared" si="21"/>
        <v>-3</v>
      </c>
      <c r="K212" s="187">
        <f t="shared" si="19"/>
        <v>-30</v>
      </c>
      <c r="L212" s="187"/>
      <c r="M212" s="189">
        <f t="shared" si="20"/>
        <v>0</v>
      </c>
    </row>
    <row r="213" spans="1:13" x14ac:dyDescent="0.25">
      <c r="A213" s="204"/>
      <c r="G213" s="175"/>
      <c r="H213" s="190">
        <v>208</v>
      </c>
      <c r="I213" s="188" t="str">
        <f t="shared" si="18"/>
        <v/>
      </c>
      <c r="J213" s="187">
        <f t="shared" si="21"/>
        <v>-3</v>
      </c>
      <c r="K213" s="187">
        <f t="shared" si="19"/>
        <v>-30</v>
      </c>
      <c r="L213" s="187"/>
      <c r="M213" s="189">
        <f t="shared" si="20"/>
        <v>0</v>
      </c>
    </row>
    <row r="214" spans="1:13" x14ac:dyDescent="0.25">
      <c r="A214" s="204"/>
      <c r="G214" s="175"/>
      <c r="H214" s="187">
        <v>209</v>
      </c>
      <c r="I214" s="188" t="str">
        <f t="shared" si="18"/>
        <v/>
      </c>
      <c r="J214" s="187">
        <f t="shared" si="21"/>
        <v>-3</v>
      </c>
      <c r="K214" s="187">
        <f t="shared" si="19"/>
        <v>-30</v>
      </c>
      <c r="L214" s="187"/>
      <c r="M214" s="189">
        <f t="shared" si="20"/>
        <v>0</v>
      </c>
    </row>
    <row r="215" spans="1:13" x14ac:dyDescent="0.25">
      <c r="A215" s="204"/>
      <c r="G215" s="175"/>
      <c r="H215" s="190">
        <v>210</v>
      </c>
      <c r="I215" s="188" t="str">
        <f t="shared" si="18"/>
        <v/>
      </c>
      <c r="J215" s="187">
        <f t="shared" si="21"/>
        <v>-3</v>
      </c>
      <c r="K215" s="187">
        <f t="shared" si="19"/>
        <v>-30</v>
      </c>
      <c r="L215" s="187"/>
      <c r="M215" s="189">
        <f t="shared" si="20"/>
        <v>0</v>
      </c>
    </row>
    <row r="216" spans="1:13" x14ac:dyDescent="0.25">
      <c r="A216" s="204"/>
      <c r="G216" s="175"/>
      <c r="H216" s="187">
        <v>211</v>
      </c>
      <c r="I216" s="188" t="str">
        <f t="shared" si="18"/>
        <v/>
      </c>
      <c r="J216" s="187">
        <f t="shared" si="21"/>
        <v>-3</v>
      </c>
      <c r="K216" s="187">
        <f t="shared" si="19"/>
        <v>-30</v>
      </c>
      <c r="L216" s="187"/>
      <c r="M216" s="189">
        <f t="shared" si="20"/>
        <v>0</v>
      </c>
    </row>
    <row r="217" spans="1:13" x14ac:dyDescent="0.25">
      <c r="A217" s="204"/>
      <c r="G217" s="175"/>
      <c r="H217" s="190">
        <v>212</v>
      </c>
      <c r="I217" s="188" t="str">
        <f t="shared" si="18"/>
        <v/>
      </c>
      <c r="J217" s="187">
        <f t="shared" si="21"/>
        <v>-3</v>
      </c>
      <c r="K217" s="187">
        <f t="shared" si="19"/>
        <v>-30</v>
      </c>
      <c r="L217" s="187"/>
      <c r="M217" s="189">
        <f t="shared" si="20"/>
        <v>0</v>
      </c>
    </row>
    <row r="218" spans="1:13" x14ac:dyDescent="0.25">
      <c r="A218" s="204"/>
      <c r="G218" s="175"/>
      <c r="H218" s="187">
        <v>213</v>
      </c>
      <c r="I218" s="188" t="str">
        <f t="shared" si="18"/>
        <v/>
      </c>
      <c r="J218" s="187">
        <f t="shared" si="21"/>
        <v>-3</v>
      </c>
      <c r="K218" s="187">
        <f t="shared" si="19"/>
        <v>-30</v>
      </c>
      <c r="L218" s="187"/>
      <c r="M218" s="189">
        <f t="shared" si="20"/>
        <v>0</v>
      </c>
    </row>
    <row r="219" spans="1:13" x14ac:dyDescent="0.25">
      <c r="A219" s="204"/>
      <c r="G219" s="175"/>
      <c r="H219" s="190">
        <v>214</v>
      </c>
      <c r="I219" s="188" t="str">
        <f t="shared" si="18"/>
        <v/>
      </c>
      <c r="J219" s="187">
        <f t="shared" si="21"/>
        <v>-3</v>
      </c>
      <c r="K219" s="187">
        <f t="shared" si="19"/>
        <v>-30</v>
      </c>
      <c r="L219" s="187"/>
      <c r="M219" s="189">
        <f t="shared" si="20"/>
        <v>0</v>
      </c>
    </row>
    <row r="220" spans="1:13" x14ac:dyDescent="0.25">
      <c r="A220" s="204"/>
      <c r="G220" s="175"/>
      <c r="H220" s="187">
        <v>215</v>
      </c>
      <c r="I220" s="188" t="str">
        <f t="shared" si="18"/>
        <v/>
      </c>
      <c r="J220" s="187">
        <f t="shared" si="21"/>
        <v>-3</v>
      </c>
      <c r="K220" s="187">
        <f t="shared" si="19"/>
        <v>-30</v>
      </c>
      <c r="L220" s="187"/>
      <c r="M220" s="189">
        <f t="shared" si="20"/>
        <v>0</v>
      </c>
    </row>
    <row r="221" spans="1:13" x14ac:dyDescent="0.25">
      <c r="A221" s="204"/>
      <c r="G221" s="175"/>
      <c r="H221" s="190">
        <v>216</v>
      </c>
      <c r="I221" s="188" t="str">
        <f t="shared" si="18"/>
        <v/>
      </c>
      <c r="J221" s="187">
        <f t="shared" si="21"/>
        <v>-3</v>
      </c>
      <c r="K221" s="187">
        <f t="shared" si="19"/>
        <v>-30</v>
      </c>
      <c r="L221" s="187"/>
      <c r="M221" s="189">
        <f t="shared" si="20"/>
        <v>0</v>
      </c>
    </row>
    <row r="222" spans="1:13" x14ac:dyDescent="0.25">
      <c r="A222" s="204"/>
      <c r="G222" s="175"/>
      <c r="H222" s="187">
        <v>217</v>
      </c>
      <c r="I222" s="188" t="str">
        <f t="shared" si="18"/>
        <v/>
      </c>
      <c r="J222" s="187">
        <f t="shared" si="21"/>
        <v>-3</v>
      </c>
      <c r="K222" s="187">
        <f t="shared" si="19"/>
        <v>-30</v>
      </c>
      <c r="L222" s="187"/>
      <c r="M222" s="189">
        <f t="shared" si="20"/>
        <v>0</v>
      </c>
    </row>
    <row r="223" spans="1:13" x14ac:dyDescent="0.25">
      <c r="A223" s="204"/>
      <c r="G223" s="175"/>
      <c r="H223" s="190">
        <v>218</v>
      </c>
      <c r="I223" s="188" t="str">
        <f t="shared" si="18"/>
        <v/>
      </c>
      <c r="J223" s="187">
        <f t="shared" si="21"/>
        <v>-3</v>
      </c>
      <c r="K223" s="187">
        <f t="shared" si="19"/>
        <v>-30</v>
      </c>
      <c r="L223" s="187"/>
      <c r="M223" s="189">
        <f t="shared" si="20"/>
        <v>0</v>
      </c>
    </row>
    <row r="224" spans="1:13" x14ac:dyDescent="0.25">
      <c r="A224" s="204"/>
      <c r="G224" s="175"/>
      <c r="H224" s="187">
        <v>219</v>
      </c>
      <c r="I224" s="188" t="str">
        <f t="shared" si="18"/>
        <v/>
      </c>
      <c r="J224" s="187">
        <f t="shared" si="21"/>
        <v>-3</v>
      </c>
      <c r="K224" s="187">
        <f t="shared" si="19"/>
        <v>-30</v>
      </c>
      <c r="L224" s="187"/>
      <c r="M224" s="189">
        <f t="shared" si="20"/>
        <v>0</v>
      </c>
    </row>
    <row r="225" spans="1:13" x14ac:dyDescent="0.25">
      <c r="A225" s="204"/>
      <c r="G225" s="175"/>
      <c r="H225" s="190">
        <v>220</v>
      </c>
      <c r="I225" s="188" t="str">
        <f t="shared" si="18"/>
        <v/>
      </c>
      <c r="J225" s="187">
        <f t="shared" si="21"/>
        <v>-3</v>
      </c>
      <c r="K225" s="187">
        <f t="shared" si="19"/>
        <v>-30</v>
      </c>
      <c r="L225" s="187"/>
      <c r="M225" s="189">
        <f t="shared" si="20"/>
        <v>0</v>
      </c>
    </row>
    <row r="226" spans="1:13" x14ac:dyDescent="0.25">
      <c r="A226" s="204"/>
      <c r="G226" s="175"/>
      <c r="H226" s="187">
        <v>221</v>
      </c>
      <c r="I226" s="188" t="str">
        <f t="shared" si="18"/>
        <v/>
      </c>
      <c r="J226" s="187">
        <f t="shared" si="21"/>
        <v>-3</v>
      </c>
      <c r="K226" s="187">
        <f t="shared" si="19"/>
        <v>-30</v>
      </c>
      <c r="L226" s="187"/>
      <c r="M226" s="189">
        <f t="shared" si="20"/>
        <v>0</v>
      </c>
    </row>
    <row r="227" spans="1:13" x14ac:dyDescent="0.25">
      <c r="A227" s="204"/>
      <c r="G227" s="175"/>
      <c r="H227" s="190">
        <v>222</v>
      </c>
      <c r="I227" s="188" t="str">
        <f t="shared" si="18"/>
        <v/>
      </c>
      <c r="J227" s="187">
        <f t="shared" si="21"/>
        <v>-3</v>
      </c>
      <c r="K227" s="187">
        <f t="shared" si="19"/>
        <v>-30</v>
      </c>
      <c r="L227" s="187"/>
      <c r="M227" s="189">
        <f t="shared" si="20"/>
        <v>0</v>
      </c>
    </row>
    <row r="228" spans="1:13" x14ac:dyDescent="0.25">
      <c r="A228" s="204"/>
      <c r="G228" s="175"/>
      <c r="H228" s="187">
        <v>223</v>
      </c>
      <c r="I228" s="188" t="str">
        <f t="shared" si="18"/>
        <v/>
      </c>
      <c r="J228" s="187">
        <f t="shared" si="21"/>
        <v>-3</v>
      </c>
      <c r="K228" s="187">
        <f t="shared" si="19"/>
        <v>-30</v>
      </c>
      <c r="L228" s="187"/>
      <c r="M228" s="189">
        <f t="shared" si="20"/>
        <v>0</v>
      </c>
    </row>
    <row r="229" spans="1:13" x14ac:dyDescent="0.25">
      <c r="A229" s="204"/>
      <c r="G229" s="175"/>
      <c r="H229" s="190">
        <v>224</v>
      </c>
      <c r="I229" s="188" t="str">
        <f t="shared" si="18"/>
        <v/>
      </c>
      <c r="J229" s="187">
        <f t="shared" si="21"/>
        <v>-3</v>
      </c>
      <c r="K229" s="187">
        <f t="shared" si="19"/>
        <v>-30</v>
      </c>
      <c r="L229" s="187"/>
      <c r="M229" s="189">
        <f t="shared" si="20"/>
        <v>0</v>
      </c>
    </row>
    <row r="230" spans="1:13" x14ac:dyDescent="0.25">
      <c r="A230" s="204"/>
      <c r="G230" s="175"/>
      <c r="H230" s="187">
        <v>225</v>
      </c>
      <c r="I230" s="188" t="str">
        <f t="shared" si="18"/>
        <v/>
      </c>
      <c r="J230" s="187">
        <f t="shared" si="21"/>
        <v>-3</v>
      </c>
      <c r="K230" s="187">
        <f t="shared" si="19"/>
        <v>-30</v>
      </c>
      <c r="L230" s="187"/>
      <c r="M230" s="189">
        <f t="shared" si="20"/>
        <v>0</v>
      </c>
    </row>
    <row r="231" spans="1:13" x14ac:dyDescent="0.25">
      <c r="A231" s="204"/>
      <c r="G231" s="175"/>
      <c r="H231" s="190">
        <v>226</v>
      </c>
      <c r="I231" s="188" t="str">
        <f t="shared" si="18"/>
        <v/>
      </c>
      <c r="J231" s="187">
        <f t="shared" si="21"/>
        <v>-3</v>
      </c>
      <c r="K231" s="187">
        <f t="shared" si="19"/>
        <v>-30</v>
      </c>
      <c r="L231" s="187"/>
      <c r="M231" s="189">
        <f t="shared" si="20"/>
        <v>0</v>
      </c>
    </row>
    <row r="232" spans="1:13" x14ac:dyDescent="0.25">
      <c r="A232" s="204"/>
      <c r="G232" s="175"/>
      <c r="H232" s="187">
        <v>227</v>
      </c>
      <c r="I232" s="188" t="str">
        <f t="shared" si="18"/>
        <v/>
      </c>
      <c r="J232" s="187">
        <f t="shared" si="21"/>
        <v>-3</v>
      </c>
      <c r="K232" s="187">
        <f t="shared" si="19"/>
        <v>-30</v>
      </c>
      <c r="L232" s="187"/>
      <c r="M232" s="189">
        <f t="shared" si="20"/>
        <v>0</v>
      </c>
    </row>
    <row r="233" spans="1:13" x14ac:dyDescent="0.25">
      <c r="A233" s="204"/>
      <c r="G233" s="175"/>
      <c r="H233" s="190">
        <v>228</v>
      </c>
      <c r="I233" s="188" t="str">
        <f t="shared" si="18"/>
        <v/>
      </c>
      <c r="J233" s="187">
        <f t="shared" si="21"/>
        <v>-3</v>
      </c>
      <c r="K233" s="187">
        <f t="shared" si="19"/>
        <v>-30</v>
      </c>
      <c r="L233" s="187"/>
      <c r="M233" s="189">
        <f t="shared" si="20"/>
        <v>0</v>
      </c>
    </row>
    <row r="234" spans="1:13" x14ac:dyDescent="0.25">
      <c r="A234" s="204"/>
      <c r="G234" s="175"/>
      <c r="H234" s="187">
        <v>229</v>
      </c>
      <c r="I234" s="188" t="str">
        <f t="shared" si="18"/>
        <v/>
      </c>
      <c r="J234" s="187">
        <f t="shared" si="21"/>
        <v>-3</v>
      </c>
      <c r="K234" s="187">
        <f t="shared" si="19"/>
        <v>-30</v>
      </c>
      <c r="L234" s="187"/>
      <c r="M234" s="189">
        <f t="shared" si="20"/>
        <v>0</v>
      </c>
    </row>
    <row r="235" spans="1:13" x14ac:dyDescent="0.25">
      <c r="A235" s="204"/>
      <c r="G235" s="175"/>
      <c r="H235" s="190">
        <v>230</v>
      </c>
      <c r="I235" s="188" t="str">
        <f t="shared" si="18"/>
        <v/>
      </c>
      <c r="J235" s="187">
        <f t="shared" si="21"/>
        <v>-3</v>
      </c>
      <c r="K235" s="187">
        <f t="shared" si="19"/>
        <v>-30</v>
      </c>
      <c r="L235" s="187"/>
      <c r="M235" s="189">
        <f t="shared" si="20"/>
        <v>0</v>
      </c>
    </row>
    <row r="236" spans="1:13" x14ac:dyDescent="0.25">
      <c r="A236" s="204"/>
      <c r="G236" s="175"/>
      <c r="H236" s="187">
        <v>231</v>
      </c>
      <c r="I236" s="188" t="str">
        <f t="shared" si="18"/>
        <v/>
      </c>
      <c r="J236" s="187">
        <f t="shared" si="21"/>
        <v>-3</v>
      </c>
      <c r="K236" s="187">
        <f t="shared" si="19"/>
        <v>-30</v>
      </c>
      <c r="L236" s="187"/>
      <c r="M236" s="189">
        <f t="shared" si="20"/>
        <v>0</v>
      </c>
    </row>
    <row r="237" spans="1:13" x14ac:dyDescent="0.25">
      <c r="A237" s="204"/>
      <c r="G237" s="175"/>
      <c r="H237" s="190">
        <v>232</v>
      </c>
      <c r="I237" s="188" t="str">
        <f t="shared" si="18"/>
        <v/>
      </c>
      <c r="J237" s="187">
        <f t="shared" si="21"/>
        <v>-3</v>
      </c>
      <c r="K237" s="187">
        <f t="shared" si="19"/>
        <v>-30</v>
      </c>
      <c r="L237" s="187"/>
      <c r="M237" s="189">
        <f t="shared" si="20"/>
        <v>0</v>
      </c>
    </row>
    <row r="238" spans="1:13" x14ac:dyDescent="0.25">
      <c r="A238" s="204"/>
      <c r="G238" s="175"/>
      <c r="H238" s="187">
        <v>233</v>
      </c>
      <c r="I238" s="188" t="str">
        <f t="shared" si="18"/>
        <v/>
      </c>
      <c r="J238" s="187">
        <f t="shared" si="21"/>
        <v>-3</v>
      </c>
      <c r="K238" s="187">
        <f t="shared" si="19"/>
        <v>-30</v>
      </c>
      <c r="L238" s="187"/>
      <c r="M238" s="189">
        <f t="shared" si="20"/>
        <v>0</v>
      </c>
    </row>
    <row r="239" spans="1:13" x14ac:dyDescent="0.25">
      <c r="A239" s="204"/>
      <c r="G239" s="175"/>
      <c r="H239" s="190">
        <v>234</v>
      </c>
      <c r="I239" s="188" t="str">
        <f t="shared" si="18"/>
        <v/>
      </c>
      <c r="J239" s="187">
        <f t="shared" si="21"/>
        <v>-3</v>
      </c>
      <c r="K239" s="187">
        <f t="shared" si="19"/>
        <v>-30</v>
      </c>
      <c r="L239" s="187"/>
      <c r="M239" s="189">
        <f t="shared" si="20"/>
        <v>0</v>
      </c>
    </row>
    <row r="240" spans="1:13" x14ac:dyDescent="0.25">
      <c r="A240" s="204"/>
      <c r="G240" s="175"/>
      <c r="H240" s="187">
        <v>235</v>
      </c>
      <c r="I240" s="188" t="str">
        <f t="shared" si="18"/>
        <v/>
      </c>
      <c r="J240" s="187">
        <f t="shared" si="21"/>
        <v>-3</v>
      </c>
      <c r="K240" s="187">
        <f t="shared" si="19"/>
        <v>-30</v>
      </c>
      <c r="L240" s="187"/>
      <c r="M240" s="189">
        <f t="shared" si="20"/>
        <v>0</v>
      </c>
    </row>
    <row r="241" spans="1:13" x14ac:dyDescent="0.25">
      <c r="A241" s="204"/>
      <c r="G241" s="175"/>
      <c r="H241" s="190">
        <v>236</v>
      </c>
      <c r="I241" s="188" t="str">
        <f t="shared" si="18"/>
        <v/>
      </c>
      <c r="J241" s="187">
        <f t="shared" si="21"/>
        <v>-3</v>
      </c>
      <c r="K241" s="187">
        <f t="shared" si="19"/>
        <v>-30</v>
      </c>
      <c r="L241" s="187"/>
      <c r="M241" s="189">
        <f t="shared" si="20"/>
        <v>0</v>
      </c>
    </row>
    <row r="242" spans="1:13" x14ac:dyDescent="0.25">
      <c r="A242" s="204"/>
      <c r="G242" s="175"/>
      <c r="H242" s="187">
        <v>237</v>
      </c>
      <c r="I242" s="188" t="str">
        <f t="shared" si="18"/>
        <v/>
      </c>
      <c r="J242" s="187">
        <f t="shared" si="21"/>
        <v>-3</v>
      </c>
      <c r="K242" s="187">
        <f t="shared" si="19"/>
        <v>-30</v>
      </c>
      <c r="L242" s="187"/>
      <c r="M242" s="189">
        <f t="shared" si="20"/>
        <v>0</v>
      </c>
    </row>
    <row r="243" spans="1:13" x14ac:dyDescent="0.25">
      <c r="A243" s="204"/>
      <c r="G243" s="175"/>
      <c r="H243" s="190">
        <v>238</v>
      </c>
      <c r="I243" s="188" t="str">
        <f t="shared" si="18"/>
        <v/>
      </c>
      <c r="J243" s="187">
        <f t="shared" si="21"/>
        <v>-3</v>
      </c>
      <c r="K243" s="187">
        <f t="shared" si="19"/>
        <v>-30</v>
      </c>
      <c r="L243" s="187"/>
      <c r="M243" s="189">
        <f t="shared" si="20"/>
        <v>0</v>
      </c>
    </row>
    <row r="244" spans="1:13" x14ac:dyDescent="0.25">
      <c r="A244" s="204"/>
      <c r="G244" s="175"/>
      <c r="H244" s="187">
        <v>239</v>
      </c>
      <c r="I244" s="188" t="str">
        <f t="shared" si="18"/>
        <v/>
      </c>
      <c r="J244" s="187">
        <f t="shared" si="21"/>
        <v>-3</v>
      </c>
      <c r="K244" s="187">
        <f t="shared" si="19"/>
        <v>-30</v>
      </c>
      <c r="L244" s="187"/>
      <c r="M244" s="189">
        <f t="shared" si="20"/>
        <v>0</v>
      </c>
    </row>
    <row r="245" spans="1:13" x14ac:dyDescent="0.25">
      <c r="A245" s="204"/>
      <c r="G245" s="175"/>
      <c r="H245" s="190">
        <v>240</v>
      </c>
      <c r="I245" s="188" t="str">
        <f t="shared" si="18"/>
        <v/>
      </c>
      <c r="J245" s="187">
        <f t="shared" si="21"/>
        <v>-3</v>
      </c>
      <c r="K245" s="187">
        <f t="shared" si="19"/>
        <v>-30</v>
      </c>
      <c r="L245" s="187"/>
      <c r="M245" s="189">
        <f t="shared" si="20"/>
        <v>0</v>
      </c>
    </row>
    <row r="246" spans="1:13" x14ac:dyDescent="0.25">
      <c r="A246" s="204"/>
      <c r="G246" s="175"/>
      <c r="H246" s="187">
        <v>241</v>
      </c>
      <c r="I246" s="188" t="str">
        <f t="shared" si="18"/>
        <v/>
      </c>
      <c r="J246" s="187">
        <f t="shared" si="21"/>
        <v>-3</v>
      </c>
      <c r="K246" s="187">
        <f t="shared" si="19"/>
        <v>-30</v>
      </c>
      <c r="L246" s="187"/>
      <c r="M246" s="189">
        <f t="shared" si="20"/>
        <v>0</v>
      </c>
    </row>
    <row r="247" spans="1:13" x14ac:dyDescent="0.25">
      <c r="A247" s="204"/>
      <c r="G247" s="175"/>
      <c r="H247" s="190">
        <v>242</v>
      </c>
      <c r="I247" s="188" t="str">
        <f t="shared" si="18"/>
        <v/>
      </c>
      <c r="J247" s="187">
        <f t="shared" si="21"/>
        <v>-3</v>
      </c>
      <c r="K247" s="187">
        <f t="shared" si="19"/>
        <v>-30</v>
      </c>
      <c r="L247" s="187"/>
      <c r="M247" s="189">
        <f t="shared" si="20"/>
        <v>0</v>
      </c>
    </row>
    <row r="248" spans="1:13" x14ac:dyDescent="0.25">
      <c r="A248" s="204"/>
      <c r="G248" s="175"/>
      <c r="H248" s="187">
        <v>243</v>
      </c>
      <c r="I248" s="188" t="str">
        <f t="shared" si="18"/>
        <v/>
      </c>
      <c r="J248" s="187">
        <f t="shared" si="21"/>
        <v>-3</v>
      </c>
      <c r="K248" s="187">
        <f t="shared" si="19"/>
        <v>-30</v>
      </c>
      <c r="L248" s="187"/>
      <c r="M248" s="189">
        <f t="shared" si="20"/>
        <v>0</v>
      </c>
    </row>
    <row r="249" spans="1:13" x14ac:dyDescent="0.25">
      <c r="A249" s="204"/>
      <c r="G249" s="175"/>
      <c r="H249" s="190">
        <v>244</v>
      </c>
      <c r="I249" s="188" t="str">
        <f t="shared" si="18"/>
        <v/>
      </c>
      <c r="J249" s="187">
        <f t="shared" si="21"/>
        <v>-3</v>
      </c>
      <c r="K249" s="187">
        <f t="shared" si="19"/>
        <v>-30</v>
      </c>
      <c r="L249" s="187"/>
      <c r="M249" s="189">
        <f t="shared" si="20"/>
        <v>0</v>
      </c>
    </row>
    <row r="250" spans="1:13" x14ac:dyDescent="0.25">
      <c r="A250" s="204"/>
      <c r="G250" s="175"/>
      <c r="H250" s="187">
        <v>245</v>
      </c>
      <c r="I250" s="188" t="str">
        <f t="shared" si="18"/>
        <v/>
      </c>
      <c r="J250" s="187">
        <f t="shared" si="21"/>
        <v>-3</v>
      </c>
      <c r="K250" s="187">
        <f t="shared" si="19"/>
        <v>-30</v>
      </c>
      <c r="L250" s="187"/>
      <c r="M250" s="189">
        <f t="shared" si="20"/>
        <v>0</v>
      </c>
    </row>
    <row r="251" spans="1:13" x14ac:dyDescent="0.25">
      <c r="A251" s="204"/>
      <c r="G251" s="175"/>
      <c r="H251" s="190">
        <v>246</v>
      </c>
      <c r="I251" s="188" t="str">
        <f t="shared" si="18"/>
        <v/>
      </c>
      <c r="J251" s="187">
        <f t="shared" si="21"/>
        <v>-3</v>
      </c>
      <c r="K251" s="187">
        <f t="shared" si="19"/>
        <v>-30</v>
      </c>
      <c r="L251" s="187"/>
      <c r="M251" s="189">
        <f t="shared" si="20"/>
        <v>0</v>
      </c>
    </row>
    <row r="252" spans="1:13" x14ac:dyDescent="0.25">
      <c r="A252" s="204"/>
      <c r="G252" s="175"/>
      <c r="H252" s="187">
        <v>247</v>
      </c>
      <c r="I252" s="188" t="str">
        <f t="shared" si="18"/>
        <v/>
      </c>
      <c r="J252" s="187">
        <f t="shared" si="21"/>
        <v>-3</v>
      </c>
      <c r="K252" s="187">
        <f t="shared" si="19"/>
        <v>-30</v>
      </c>
      <c r="L252" s="187"/>
      <c r="M252" s="189">
        <f t="shared" si="20"/>
        <v>0</v>
      </c>
    </row>
    <row r="253" spans="1:13" x14ac:dyDescent="0.25">
      <c r="A253" s="204"/>
      <c r="G253" s="175"/>
      <c r="H253" s="190">
        <v>248</v>
      </c>
      <c r="I253" s="188" t="str">
        <f t="shared" si="18"/>
        <v/>
      </c>
      <c r="J253" s="187">
        <f t="shared" si="21"/>
        <v>-3</v>
      </c>
      <c r="K253" s="187">
        <f t="shared" si="19"/>
        <v>-30</v>
      </c>
      <c r="L253" s="187"/>
      <c r="M253" s="189">
        <f t="shared" si="20"/>
        <v>0</v>
      </c>
    </row>
    <row r="254" spans="1:13" x14ac:dyDescent="0.25">
      <c r="A254" s="204"/>
      <c r="G254" s="175"/>
      <c r="H254" s="187">
        <v>249</v>
      </c>
      <c r="I254" s="188" t="str">
        <f t="shared" si="18"/>
        <v/>
      </c>
      <c r="J254" s="187">
        <f t="shared" si="21"/>
        <v>-3</v>
      </c>
      <c r="K254" s="187">
        <f t="shared" si="19"/>
        <v>-30</v>
      </c>
      <c r="L254" s="187"/>
      <c r="M254" s="189">
        <f t="shared" si="20"/>
        <v>0</v>
      </c>
    </row>
    <row r="255" spans="1:13" x14ac:dyDescent="0.25">
      <c r="A255" s="204"/>
      <c r="G255" s="175"/>
      <c r="H255" s="190">
        <v>250</v>
      </c>
      <c r="I255" s="188" t="str">
        <f t="shared" si="18"/>
        <v/>
      </c>
      <c r="J255" s="187">
        <f t="shared" si="21"/>
        <v>-3</v>
      </c>
      <c r="K255" s="187">
        <f t="shared" si="19"/>
        <v>-30</v>
      </c>
      <c r="L255" s="187"/>
      <c r="M255" s="189">
        <f t="shared" si="20"/>
        <v>0</v>
      </c>
    </row>
    <row r="256" spans="1:13" x14ac:dyDescent="0.25">
      <c r="A256" s="204"/>
      <c r="G256" s="175"/>
      <c r="H256" s="187">
        <v>251</v>
      </c>
      <c r="I256" s="188" t="str">
        <f t="shared" si="18"/>
        <v/>
      </c>
      <c r="J256" s="187">
        <f t="shared" si="21"/>
        <v>-3</v>
      </c>
      <c r="K256" s="187">
        <f t="shared" si="19"/>
        <v>-30</v>
      </c>
      <c r="L256" s="187"/>
      <c r="M256" s="189">
        <f t="shared" si="20"/>
        <v>0</v>
      </c>
    </row>
    <row r="257" spans="1:13" x14ac:dyDescent="0.25">
      <c r="A257" s="204"/>
      <c r="G257" s="175"/>
      <c r="H257" s="190">
        <v>252</v>
      </c>
      <c r="I257" s="188" t="str">
        <f t="shared" si="18"/>
        <v/>
      </c>
      <c r="J257" s="187">
        <f t="shared" si="21"/>
        <v>-3</v>
      </c>
      <c r="K257" s="187">
        <f t="shared" si="19"/>
        <v>-30</v>
      </c>
      <c r="L257" s="187"/>
      <c r="M257" s="189">
        <f t="shared" si="20"/>
        <v>0</v>
      </c>
    </row>
    <row r="258" spans="1:13" x14ac:dyDescent="0.25">
      <c r="A258" s="204"/>
      <c r="G258" s="175"/>
      <c r="H258" s="187">
        <v>253</v>
      </c>
      <c r="I258" s="188" t="str">
        <f t="shared" si="18"/>
        <v/>
      </c>
      <c r="J258" s="187">
        <f t="shared" si="21"/>
        <v>-3</v>
      </c>
      <c r="K258" s="187">
        <f t="shared" si="19"/>
        <v>-30</v>
      </c>
      <c r="L258" s="187"/>
      <c r="M258" s="189">
        <f t="shared" si="20"/>
        <v>0</v>
      </c>
    </row>
    <row r="259" spans="1:13" x14ac:dyDescent="0.25">
      <c r="A259" s="204"/>
      <c r="G259" s="175"/>
      <c r="H259" s="190">
        <v>254</v>
      </c>
      <c r="I259" s="188" t="str">
        <f t="shared" si="18"/>
        <v/>
      </c>
      <c r="J259" s="187">
        <f t="shared" si="21"/>
        <v>-3</v>
      </c>
      <c r="K259" s="187">
        <f t="shared" si="19"/>
        <v>-30</v>
      </c>
      <c r="L259" s="187"/>
      <c r="M259" s="189">
        <f t="shared" si="20"/>
        <v>0</v>
      </c>
    </row>
    <row r="260" spans="1:13" x14ac:dyDescent="0.25">
      <c r="A260" s="204"/>
      <c r="G260" s="175"/>
      <c r="H260" s="187">
        <v>255</v>
      </c>
      <c r="I260" s="188" t="str">
        <f t="shared" si="18"/>
        <v/>
      </c>
      <c r="J260" s="187">
        <f t="shared" si="21"/>
        <v>-3</v>
      </c>
      <c r="K260" s="187">
        <f t="shared" si="19"/>
        <v>-30</v>
      </c>
      <c r="L260" s="187"/>
      <c r="M260" s="189">
        <f t="shared" si="20"/>
        <v>0</v>
      </c>
    </row>
    <row r="261" spans="1:13" x14ac:dyDescent="0.25">
      <c r="A261" s="204"/>
      <c r="G261" s="175"/>
      <c r="H261" s="190">
        <v>256</v>
      </c>
      <c r="I261" s="188" t="str">
        <f t="shared" si="18"/>
        <v/>
      </c>
      <c r="J261" s="187">
        <f t="shared" si="21"/>
        <v>-3</v>
      </c>
      <c r="K261" s="187">
        <f t="shared" si="19"/>
        <v>-30</v>
      </c>
      <c r="L261" s="187"/>
      <c r="M261" s="189">
        <f t="shared" si="20"/>
        <v>0</v>
      </c>
    </row>
    <row r="262" spans="1:13" x14ac:dyDescent="0.25">
      <c r="A262" s="204"/>
      <c r="G262" s="175"/>
      <c r="H262" s="187">
        <v>257</v>
      </c>
      <c r="I262" s="188" t="str">
        <f t="shared" ref="I262:I305" si="22">IF(H262&lt;$H$2+1,($I$2-($I$2-1)*(LOG(H262)/LOG($H$2))),"")</f>
        <v/>
      </c>
      <c r="J262" s="187">
        <f t="shared" si="21"/>
        <v>-4</v>
      </c>
      <c r="K262" s="187">
        <f t="shared" ref="K262:K305" si="23">J262*$J$2</f>
        <v>-40</v>
      </c>
      <c r="L262" s="187"/>
      <c r="M262" s="189">
        <f t="shared" ref="M262:M305" si="24">IF(I262&lt;&gt;"",K262+I262+L262,0)</f>
        <v>0</v>
      </c>
    </row>
    <row r="263" spans="1:13" x14ac:dyDescent="0.25">
      <c r="A263" s="204"/>
      <c r="G263" s="175"/>
      <c r="H263" s="190">
        <v>258</v>
      </c>
      <c r="I263" s="188" t="str">
        <f t="shared" si="22"/>
        <v/>
      </c>
      <c r="J263" s="187">
        <f t="shared" ref="J263:J305" si="25">INT(LOG($H$2,2))-ROUNDUP(LOG(H263,2),0)+IF(OR($H$2=1,$H$2=2,$H$2=4,$H$2=8,$H$2=16,$H$2=32,$H$2=64,$H$2=128,$H$2=256),0,1)</f>
        <v>-4</v>
      </c>
      <c r="K263" s="187">
        <f t="shared" si="23"/>
        <v>-40</v>
      </c>
      <c r="L263" s="187"/>
      <c r="M263" s="189">
        <f t="shared" si="24"/>
        <v>0</v>
      </c>
    </row>
    <row r="264" spans="1:13" x14ac:dyDescent="0.25">
      <c r="A264" s="204"/>
      <c r="G264" s="175"/>
      <c r="H264" s="187">
        <v>259</v>
      </c>
      <c r="I264" s="188" t="str">
        <f t="shared" si="22"/>
        <v/>
      </c>
      <c r="J264" s="187">
        <f t="shared" si="25"/>
        <v>-4</v>
      </c>
      <c r="K264" s="187">
        <f t="shared" si="23"/>
        <v>-40</v>
      </c>
      <c r="L264" s="187"/>
      <c r="M264" s="189">
        <f t="shared" si="24"/>
        <v>0</v>
      </c>
    </row>
    <row r="265" spans="1:13" x14ac:dyDescent="0.25">
      <c r="A265" s="204"/>
      <c r="G265" s="175"/>
      <c r="H265" s="190">
        <v>260</v>
      </c>
      <c r="I265" s="188" t="str">
        <f t="shared" si="22"/>
        <v/>
      </c>
      <c r="J265" s="187">
        <f t="shared" si="25"/>
        <v>-4</v>
      </c>
      <c r="K265" s="187">
        <f t="shared" si="23"/>
        <v>-40</v>
      </c>
      <c r="L265" s="187"/>
      <c r="M265" s="189">
        <f t="shared" si="24"/>
        <v>0</v>
      </c>
    </row>
    <row r="266" spans="1:13" x14ac:dyDescent="0.25">
      <c r="A266" s="204"/>
      <c r="G266" s="175"/>
      <c r="H266" s="187">
        <v>261</v>
      </c>
      <c r="I266" s="188" t="str">
        <f t="shared" si="22"/>
        <v/>
      </c>
      <c r="J266" s="187">
        <f t="shared" si="25"/>
        <v>-4</v>
      </c>
      <c r="K266" s="187">
        <f t="shared" si="23"/>
        <v>-40</v>
      </c>
      <c r="L266" s="187"/>
      <c r="M266" s="189">
        <f t="shared" si="24"/>
        <v>0</v>
      </c>
    </row>
    <row r="267" spans="1:13" x14ac:dyDescent="0.25">
      <c r="A267" s="204"/>
      <c r="G267" s="175"/>
      <c r="H267" s="190">
        <v>262</v>
      </c>
      <c r="I267" s="188" t="str">
        <f t="shared" si="22"/>
        <v/>
      </c>
      <c r="J267" s="187">
        <f t="shared" si="25"/>
        <v>-4</v>
      </c>
      <c r="K267" s="187">
        <f t="shared" si="23"/>
        <v>-40</v>
      </c>
      <c r="L267" s="187"/>
      <c r="M267" s="189">
        <f t="shared" si="24"/>
        <v>0</v>
      </c>
    </row>
    <row r="268" spans="1:13" x14ac:dyDescent="0.25">
      <c r="A268" s="204"/>
      <c r="G268" s="175"/>
      <c r="H268" s="187">
        <v>263</v>
      </c>
      <c r="I268" s="188" t="str">
        <f t="shared" si="22"/>
        <v/>
      </c>
      <c r="J268" s="187">
        <f t="shared" si="25"/>
        <v>-4</v>
      </c>
      <c r="K268" s="187">
        <f t="shared" si="23"/>
        <v>-40</v>
      </c>
      <c r="L268" s="187"/>
      <c r="M268" s="189">
        <f t="shared" si="24"/>
        <v>0</v>
      </c>
    </row>
    <row r="269" spans="1:13" x14ac:dyDescent="0.25">
      <c r="A269" s="204"/>
      <c r="G269" s="175"/>
      <c r="H269" s="190">
        <v>264</v>
      </c>
      <c r="I269" s="188" t="str">
        <f t="shared" si="22"/>
        <v/>
      </c>
      <c r="J269" s="187">
        <f t="shared" si="25"/>
        <v>-4</v>
      </c>
      <c r="K269" s="187">
        <f t="shared" si="23"/>
        <v>-40</v>
      </c>
      <c r="L269" s="187"/>
      <c r="M269" s="189">
        <f t="shared" si="24"/>
        <v>0</v>
      </c>
    </row>
    <row r="270" spans="1:13" x14ac:dyDescent="0.25">
      <c r="A270" s="204"/>
      <c r="G270" s="175"/>
      <c r="H270" s="187">
        <v>265</v>
      </c>
      <c r="I270" s="188" t="str">
        <f t="shared" si="22"/>
        <v/>
      </c>
      <c r="J270" s="187">
        <f t="shared" si="25"/>
        <v>-4</v>
      </c>
      <c r="K270" s="187">
        <f t="shared" si="23"/>
        <v>-40</v>
      </c>
      <c r="L270" s="187"/>
      <c r="M270" s="189">
        <f t="shared" si="24"/>
        <v>0</v>
      </c>
    </row>
    <row r="271" spans="1:13" x14ac:dyDescent="0.25">
      <c r="A271" s="204"/>
      <c r="G271" s="175"/>
      <c r="H271" s="190">
        <v>266</v>
      </c>
      <c r="I271" s="188" t="str">
        <f t="shared" si="22"/>
        <v/>
      </c>
      <c r="J271" s="187">
        <f t="shared" si="25"/>
        <v>-4</v>
      </c>
      <c r="K271" s="187">
        <f t="shared" si="23"/>
        <v>-40</v>
      </c>
      <c r="L271" s="187"/>
      <c r="M271" s="189">
        <f t="shared" si="24"/>
        <v>0</v>
      </c>
    </row>
    <row r="272" spans="1:13" x14ac:dyDescent="0.25">
      <c r="A272" s="204"/>
      <c r="G272" s="175"/>
      <c r="H272" s="187">
        <v>267</v>
      </c>
      <c r="I272" s="188" t="str">
        <f t="shared" si="22"/>
        <v/>
      </c>
      <c r="J272" s="187">
        <f t="shared" si="25"/>
        <v>-4</v>
      </c>
      <c r="K272" s="187">
        <f t="shared" si="23"/>
        <v>-40</v>
      </c>
      <c r="L272" s="187"/>
      <c r="M272" s="189">
        <f t="shared" si="24"/>
        <v>0</v>
      </c>
    </row>
    <row r="273" spans="1:13" x14ac:dyDescent="0.25">
      <c r="A273" s="204"/>
      <c r="G273" s="175"/>
      <c r="H273" s="190">
        <v>268</v>
      </c>
      <c r="I273" s="188" t="str">
        <f t="shared" si="22"/>
        <v/>
      </c>
      <c r="J273" s="187">
        <f t="shared" si="25"/>
        <v>-4</v>
      </c>
      <c r="K273" s="187">
        <f t="shared" si="23"/>
        <v>-40</v>
      </c>
      <c r="L273" s="187"/>
      <c r="M273" s="189">
        <f t="shared" si="24"/>
        <v>0</v>
      </c>
    </row>
    <row r="274" spans="1:13" x14ac:dyDescent="0.25">
      <c r="A274" s="204"/>
      <c r="G274" s="175"/>
      <c r="H274" s="187">
        <v>269</v>
      </c>
      <c r="I274" s="188" t="str">
        <f t="shared" si="22"/>
        <v/>
      </c>
      <c r="J274" s="187">
        <f t="shared" si="25"/>
        <v>-4</v>
      </c>
      <c r="K274" s="187">
        <f t="shared" si="23"/>
        <v>-40</v>
      </c>
      <c r="L274" s="187"/>
      <c r="M274" s="189">
        <f t="shared" si="24"/>
        <v>0</v>
      </c>
    </row>
    <row r="275" spans="1:13" x14ac:dyDescent="0.25">
      <c r="A275" s="204"/>
      <c r="G275" s="175"/>
      <c r="H275" s="190">
        <v>270</v>
      </c>
      <c r="I275" s="188" t="str">
        <f t="shared" si="22"/>
        <v/>
      </c>
      <c r="J275" s="187">
        <f t="shared" si="25"/>
        <v>-4</v>
      </c>
      <c r="K275" s="187">
        <f t="shared" si="23"/>
        <v>-40</v>
      </c>
      <c r="L275" s="187"/>
      <c r="M275" s="189">
        <f t="shared" si="24"/>
        <v>0</v>
      </c>
    </row>
    <row r="276" spans="1:13" x14ac:dyDescent="0.25">
      <c r="A276" s="204"/>
      <c r="G276" s="175"/>
      <c r="H276" s="187">
        <v>271</v>
      </c>
      <c r="I276" s="188" t="str">
        <f t="shared" si="22"/>
        <v/>
      </c>
      <c r="J276" s="187">
        <f t="shared" si="25"/>
        <v>-4</v>
      </c>
      <c r="K276" s="187">
        <f t="shared" si="23"/>
        <v>-40</v>
      </c>
      <c r="L276" s="187"/>
      <c r="M276" s="189">
        <f t="shared" si="24"/>
        <v>0</v>
      </c>
    </row>
    <row r="277" spans="1:13" x14ac:dyDescent="0.25">
      <c r="A277" s="204"/>
      <c r="G277" s="175"/>
      <c r="H277" s="190">
        <v>272</v>
      </c>
      <c r="I277" s="188" t="str">
        <f t="shared" si="22"/>
        <v/>
      </c>
      <c r="J277" s="187">
        <f t="shared" si="25"/>
        <v>-4</v>
      </c>
      <c r="K277" s="187">
        <f t="shared" si="23"/>
        <v>-40</v>
      </c>
      <c r="L277" s="187"/>
      <c r="M277" s="189">
        <f t="shared" si="24"/>
        <v>0</v>
      </c>
    </row>
    <row r="278" spans="1:13" x14ac:dyDescent="0.25">
      <c r="A278" s="204"/>
      <c r="G278" s="175"/>
      <c r="H278" s="187">
        <v>273</v>
      </c>
      <c r="I278" s="188" t="str">
        <f t="shared" si="22"/>
        <v/>
      </c>
      <c r="J278" s="187">
        <f t="shared" si="25"/>
        <v>-4</v>
      </c>
      <c r="K278" s="187">
        <f t="shared" si="23"/>
        <v>-40</v>
      </c>
      <c r="L278" s="187"/>
      <c r="M278" s="189">
        <f t="shared" si="24"/>
        <v>0</v>
      </c>
    </row>
    <row r="279" spans="1:13" x14ac:dyDescent="0.25">
      <c r="A279" s="204"/>
      <c r="G279" s="175"/>
      <c r="H279" s="190">
        <v>274</v>
      </c>
      <c r="I279" s="188" t="str">
        <f t="shared" si="22"/>
        <v/>
      </c>
      <c r="J279" s="187">
        <f t="shared" si="25"/>
        <v>-4</v>
      </c>
      <c r="K279" s="187">
        <f t="shared" si="23"/>
        <v>-40</v>
      </c>
      <c r="L279" s="187"/>
      <c r="M279" s="189">
        <f t="shared" si="24"/>
        <v>0</v>
      </c>
    </row>
    <row r="280" spans="1:13" x14ac:dyDescent="0.25">
      <c r="A280" s="204"/>
      <c r="G280" s="175"/>
      <c r="H280" s="187">
        <v>275</v>
      </c>
      <c r="I280" s="188" t="str">
        <f t="shared" si="22"/>
        <v/>
      </c>
      <c r="J280" s="187">
        <f t="shared" si="25"/>
        <v>-4</v>
      </c>
      <c r="K280" s="187">
        <f t="shared" si="23"/>
        <v>-40</v>
      </c>
      <c r="L280" s="187"/>
      <c r="M280" s="189">
        <f t="shared" si="24"/>
        <v>0</v>
      </c>
    </row>
    <row r="281" spans="1:13" x14ac:dyDescent="0.25">
      <c r="A281" s="204"/>
      <c r="G281" s="175"/>
      <c r="H281" s="190">
        <v>276</v>
      </c>
      <c r="I281" s="188" t="str">
        <f t="shared" si="22"/>
        <v/>
      </c>
      <c r="J281" s="187">
        <f t="shared" si="25"/>
        <v>-4</v>
      </c>
      <c r="K281" s="187">
        <f t="shared" si="23"/>
        <v>-40</v>
      </c>
      <c r="L281" s="187"/>
      <c r="M281" s="189">
        <f t="shared" si="24"/>
        <v>0</v>
      </c>
    </row>
    <row r="282" spans="1:13" x14ac:dyDescent="0.25">
      <c r="A282" s="204"/>
      <c r="G282" s="175"/>
      <c r="H282" s="187">
        <v>277</v>
      </c>
      <c r="I282" s="188" t="str">
        <f t="shared" si="22"/>
        <v/>
      </c>
      <c r="J282" s="187">
        <f t="shared" si="25"/>
        <v>-4</v>
      </c>
      <c r="K282" s="187">
        <f t="shared" si="23"/>
        <v>-40</v>
      </c>
      <c r="L282" s="187"/>
      <c r="M282" s="189">
        <f t="shared" si="24"/>
        <v>0</v>
      </c>
    </row>
    <row r="283" spans="1:13" x14ac:dyDescent="0.25">
      <c r="A283" s="204"/>
      <c r="G283" s="175"/>
      <c r="H283" s="190">
        <v>278</v>
      </c>
      <c r="I283" s="188" t="str">
        <f t="shared" si="22"/>
        <v/>
      </c>
      <c r="J283" s="187">
        <f t="shared" si="25"/>
        <v>-4</v>
      </c>
      <c r="K283" s="187">
        <f t="shared" si="23"/>
        <v>-40</v>
      </c>
      <c r="L283" s="187"/>
      <c r="M283" s="189">
        <f t="shared" si="24"/>
        <v>0</v>
      </c>
    </row>
    <row r="284" spans="1:13" x14ac:dyDescent="0.25">
      <c r="A284" s="204"/>
      <c r="G284" s="175"/>
      <c r="H284" s="187">
        <v>279</v>
      </c>
      <c r="I284" s="188" t="str">
        <f t="shared" si="22"/>
        <v/>
      </c>
      <c r="J284" s="187">
        <f t="shared" si="25"/>
        <v>-4</v>
      </c>
      <c r="K284" s="187">
        <f t="shared" si="23"/>
        <v>-40</v>
      </c>
      <c r="L284" s="187"/>
      <c r="M284" s="189">
        <f t="shared" si="24"/>
        <v>0</v>
      </c>
    </row>
    <row r="285" spans="1:13" x14ac:dyDescent="0.25">
      <c r="A285" s="204"/>
      <c r="G285" s="175"/>
      <c r="H285" s="190">
        <v>280</v>
      </c>
      <c r="I285" s="188" t="str">
        <f t="shared" si="22"/>
        <v/>
      </c>
      <c r="J285" s="187">
        <f t="shared" si="25"/>
        <v>-4</v>
      </c>
      <c r="K285" s="187">
        <f t="shared" si="23"/>
        <v>-40</v>
      </c>
      <c r="L285" s="187"/>
      <c r="M285" s="189">
        <f t="shared" si="24"/>
        <v>0</v>
      </c>
    </row>
    <row r="286" spans="1:13" x14ac:dyDescent="0.25">
      <c r="A286" s="204"/>
      <c r="G286" s="175"/>
      <c r="H286" s="187">
        <v>281</v>
      </c>
      <c r="I286" s="188" t="str">
        <f t="shared" si="22"/>
        <v/>
      </c>
      <c r="J286" s="187">
        <f t="shared" si="25"/>
        <v>-4</v>
      </c>
      <c r="K286" s="187">
        <f t="shared" si="23"/>
        <v>-40</v>
      </c>
      <c r="L286" s="187"/>
      <c r="M286" s="189">
        <f t="shared" si="24"/>
        <v>0</v>
      </c>
    </row>
    <row r="287" spans="1:13" x14ac:dyDescent="0.25">
      <c r="A287" s="204"/>
      <c r="G287" s="175"/>
      <c r="H287" s="190">
        <v>282</v>
      </c>
      <c r="I287" s="188" t="str">
        <f t="shared" si="22"/>
        <v/>
      </c>
      <c r="J287" s="187">
        <f t="shared" si="25"/>
        <v>-4</v>
      </c>
      <c r="K287" s="187">
        <f t="shared" si="23"/>
        <v>-40</v>
      </c>
      <c r="L287" s="187"/>
      <c r="M287" s="189">
        <f t="shared" si="24"/>
        <v>0</v>
      </c>
    </row>
    <row r="288" spans="1:13" x14ac:dyDescent="0.25">
      <c r="A288" s="204"/>
      <c r="G288" s="175"/>
      <c r="H288" s="187">
        <v>283</v>
      </c>
      <c r="I288" s="188" t="str">
        <f t="shared" si="22"/>
        <v/>
      </c>
      <c r="J288" s="187">
        <f t="shared" si="25"/>
        <v>-4</v>
      </c>
      <c r="K288" s="187">
        <f t="shared" si="23"/>
        <v>-40</v>
      </c>
      <c r="L288" s="187"/>
      <c r="M288" s="189">
        <f t="shared" si="24"/>
        <v>0</v>
      </c>
    </row>
    <row r="289" spans="1:13" x14ac:dyDescent="0.25">
      <c r="A289" s="204"/>
      <c r="G289" s="175"/>
      <c r="H289" s="190">
        <v>284</v>
      </c>
      <c r="I289" s="188" t="str">
        <f t="shared" si="22"/>
        <v/>
      </c>
      <c r="J289" s="187">
        <f t="shared" si="25"/>
        <v>-4</v>
      </c>
      <c r="K289" s="187">
        <f t="shared" si="23"/>
        <v>-40</v>
      </c>
      <c r="L289" s="187"/>
      <c r="M289" s="189">
        <f t="shared" si="24"/>
        <v>0</v>
      </c>
    </row>
    <row r="290" spans="1:13" x14ac:dyDescent="0.25">
      <c r="A290" s="204"/>
      <c r="G290" s="175"/>
      <c r="H290" s="187">
        <v>285</v>
      </c>
      <c r="I290" s="188" t="str">
        <f t="shared" si="22"/>
        <v/>
      </c>
      <c r="J290" s="187">
        <f t="shared" si="25"/>
        <v>-4</v>
      </c>
      <c r="K290" s="187">
        <f t="shared" si="23"/>
        <v>-40</v>
      </c>
      <c r="L290" s="187"/>
      <c r="M290" s="189">
        <f t="shared" si="24"/>
        <v>0</v>
      </c>
    </row>
    <row r="291" spans="1:13" x14ac:dyDescent="0.25">
      <c r="A291" s="204"/>
      <c r="G291" s="175"/>
      <c r="H291" s="190">
        <v>286</v>
      </c>
      <c r="I291" s="188" t="str">
        <f t="shared" si="22"/>
        <v/>
      </c>
      <c r="J291" s="187">
        <f t="shared" si="25"/>
        <v>-4</v>
      </c>
      <c r="K291" s="187">
        <f t="shared" si="23"/>
        <v>-40</v>
      </c>
      <c r="L291" s="187"/>
      <c r="M291" s="189">
        <f t="shared" si="24"/>
        <v>0</v>
      </c>
    </row>
    <row r="292" spans="1:13" x14ac:dyDescent="0.25">
      <c r="A292" s="204"/>
      <c r="G292" s="175"/>
      <c r="H292" s="187">
        <v>287</v>
      </c>
      <c r="I292" s="188" t="str">
        <f t="shared" si="22"/>
        <v/>
      </c>
      <c r="J292" s="187">
        <f t="shared" si="25"/>
        <v>-4</v>
      </c>
      <c r="K292" s="187">
        <f t="shared" si="23"/>
        <v>-40</v>
      </c>
      <c r="L292" s="187"/>
      <c r="M292" s="189">
        <f t="shared" si="24"/>
        <v>0</v>
      </c>
    </row>
    <row r="293" spans="1:13" x14ac:dyDescent="0.25">
      <c r="A293" s="204"/>
      <c r="G293" s="175"/>
      <c r="H293" s="187">
        <v>288</v>
      </c>
      <c r="I293" s="188" t="str">
        <f t="shared" si="22"/>
        <v/>
      </c>
      <c r="J293" s="187">
        <f t="shared" si="25"/>
        <v>-4</v>
      </c>
      <c r="K293" s="187">
        <f t="shared" si="23"/>
        <v>-40</v>
      </c>
      <c r="L293" s="187"/>
      <c r="M293" s="189">
        <f t="shared" si="24"/>
        <v>0</v>
      </c>
    </row>
    <row r="294" spans="1:13" x14ac:dyDescent="0.25">
      <c r="A294" s="204"/>
      <c r="G294" s="175"/>
      <c r="H294" s="187">
        <v>289</v>
      </c>
      <c r="I294" s="188" t="str">
        <f t="shared" si="22"/>
        <v/>
      </c>
      <c r="J294" s="187">
        <f t="shared" si="25"/>
        <v>-4</v>
      </c>
      <c r="K294" s="187">
        <f t="shared" si="23"/>
        <v>-40</v>
      </c>
      <c r="L294" s="187"/>
      <c r="M294" s="189">
        <f t="shared" si="24"/>
        <v>0</v>
      </c>
    </row>
    <row r="295" spans="1:13" x14ac:dyDescent="0.25">
      <c r="A295" s="204"/>
      <c r="G295" s="175"/>
      <c r="H295" s="187">
        <v>290</v>
      </c>
      <c r="I295" s="188" t="str">
        <f t="shared" si="22"/>
        <v/>
      </c>
      <c r="J295" s="187">
        <f t="shared" si="25"/>
        <v>-4</v>
      </c>
      <c r="K295" s="187">
        <f t="shared" si="23"/>
        <v>-40</v>
      </c>
      <c r="L295" s="187"/>
      <c r="M295" s="189">
        <f t="shared" si="24"/>
        <v>0</v>
      </c>
    </row>
    <row r="296" spans="1:13" x14ac:dyDescent="0.25">
      <c r="A296" s="204"/>
      <c r="G296" s="175"/>
      <c r="H296" s="187">
        <v>291</v>
      </c>
      <c r="I296" s="188" t="str">
        <f t="shared" si="22"/>
        <v/>
      </c>
      <c r="J296" s="187">
        <f t="shared" si="25"/>
        <v>-4</v>
      </c>
      <c r="K296" s="187">
        <f t="shared" si="23"/>
        <v>-40</v>
      </c>
      <c r="L296" s="187"/>
      <c r="M296" s="189">
        <f t="shared" si="24"/>
        <v>0</v>
      </c>
    </row>
    <row r="297" spans="1:13" x14ac:dyDescent="0.25">
      <c r="A297" s="204"/>
      <c r="G297" s="175"/>
      <c r="H297" s="187">
        <v>292</v>
      </c>
      <c r="I297" s="188" t="str">
        <f t="shared" si="22"/>
        <v/>
      </c>
      <c r="J297" s="187">
        <f t="shared" si="25"/>
        <v>-4</v>
      </c>
      <c r="K297" s="187">
        <f t="shared" si="23"/>
        <v>-40</v>
      </c>
      <c r="L297" s="187"/>
      <c r="M297" s="189">
        <f t="shared" si="24"/>
        <v>0</v>
      </c>
    </row>
    <row r="298" spans="1:13" x14ac:dyDescent="0.25">
      <c r="A298" s="204"/>
      <c r="G298" s="175"/>
      <c r="H298" s="187">
        <v>293</v>
      </c>
      <c r="I298" s="188" t="str">
        <f t="shared" si="22"/>
        <v/>
      </c>
      <c r="J298" s="187">
        <f t="shared" si="25"/>
        <v>-4</v>
      </c>
      <c r="K298" s="187">
        <f t="shared" si="23"/>
        <v>-40</v>
      </c>
      <c r="L298" s="187"/>
      <c r="M298" s="189">
        <f t="shared" si="24"/>
        <v>0</v>
      </c>
    </row>
    <row r="299" spans="1:13" x14ac:dyDescent="0.25">
      <c r="A299" s="204"/>
      <c r="G299" s="175"/>
      <c r="H299" s="187">
        <v>294</v>
      </c>
      <c r="I299" s="188" t="str">
        <f t="shared" si="22"/>
        <v/>
      </c>
      <c r="J299" s="187">
        <f t="shared" si="25"/>
        <v>-4</v>
      </c>
      <c r="K299" s="187">
        <f t="shared" si="23"/>
        <v>-40</v>
      </c>
      <c r="L299" s="187"/>
      <c r="M299" s="189">
        <f t="shared" si="24"/>
        <v>0</v>
      </c>
    </row>
    <row r="300" spans="1:13" x14ac:dyDescent="0.25">
      <c r="A300" s="204"/>
      <c r="G300" s="175"/>
      <c r="H300" s="187">
        <v>295</v>
      </c>
      <c r="I300" s="188" t="str">
        <f t="shared" si="22"/>
        <v/>
      </c>
      <c r="J300" s="187">
        <f t="shared" si="25"/>
        <v>-4</v>
      </c>
      <c r="K300" s="187">
        <f t="shared" si="23"/>
        <v>-40</v>
      </c>
      <c r="L300" s="187"/>
      <c r="M300" s="189">
        <f t="shared" si="24"/>
        <v>0</v>
      </c>
    </row>
    <row r="301" spans="1:13" x14ac:dyDescent="0.25">
      <c r="A301" s="204"/>
      <c r="G301" s="175"/>
      <c r="H301" s="187">
        <v>296</v>
      </c>
      <c r="I301" s="188" t="str">
        <f t="shared" si="22"/>
        <v/>
      </c>
      <c r="J301" s="187">
        <f t="shared" si="25"/>
        <v>-4</v>
      </c>
      <c r="K301" s="187">
        <f t="shared" si="23"/>
        <v>-40</v>
      </c>
      <c r="L301" s="187"/>
      <c r="M301" s="189">
        <f t="shared" si="24"/>
        <v>0</v>
      </c>
    </row>
    <row r="302" spans="1:13" x14ac:dyDescent="0.25">
      <c r="A302" s="204"/>
      <c r="G302" s="175"/>
      <c r="H302" s="187">
        <v>297</v>
      </c>
      <c r="I302" s="188" t="str">
        <f t="shared" si="22"/>
        <v/>
      </c>
      <c r="J302" s="187">
        <f t="shared" si="25"/>
        <v>-4</v>
      </c>
      <c r="K302" s="187">
        <f t="shared" si="23"/>
        <v>-40</v>
      </c>
      <c r="L302" s="187"/>
      <c r="M302" s="189">
        <f t="shared" si="24"/>
        <v>0</v>
      </c>
    </row>
    <row r="303" spans="1:13" x14ac:dyDescent="0.25">
      <c r="A303" s="204"/>
      <c r="G303" s="175"/>
      <c r="H303" s="187">
        <v>298</v>
      </c>
      <c r="I303" s="188" t="str">
        <f t="shared" si="22"/>
        <v/>
      </c>
      <c r="J303" s="187">
        <f t="shared" si="25"/>
        <v>-4</v>
      </c>
      <c r="K303" s="187">
        <f t="shared" si="23"/>
        <v>-40</v>
      </c>
      <c r="L303" s="187"/>
      <c r="M303" s="189">
        <f t="shared" si="24"/>
        <v>0</v>
      </c>
    </row>
    <row r="304" spans="1:13" x14ac:dyDescent="0.25">
      <c r="A304" s="204"/>
      <c r="G304" s="175"/>
      <c r="H304" s="187">
        <v>299</v>
      </c>
      <c r="I304" s="188" t="str">
        <f t="shared" si="22"/>
        <v/>
      </c>
      <c r="J304" s="187">
        <f t="shared" si="25"/>
        <v>-4</v>
      </c>
      <c r="K304" s="187">
        <f t="shared" si="23"/>
        <v>-40</v>
      </c>
      <c r="L304" s="187"/>
      <c r="M304" s="189">
        <f t="shared" si="24"/>
        <v>0</v>
      </c>
    </row>
    <row r="305" spans="1:16" x14ac:dyDescent="0.25">
      <c r="A305" s="204"/>
      <c r="G305" s="175"/>
      <c r="H305" s="187">
        <v>300</v>
      </c>
      <c r="I305" s="188" t="str">
        <f t="shared" si="22"/>
        <v/>
      </c>
      <c r="J305" s="187">
        <f t="shared" si="25"/>
        <v>-4</v>
      </c>
      <c r="K305" s="187">
        <f t="shared" si="23"/>
        <v>-40</v>
      </c>
      <c r="L305" s="187"/>
      <c r="M305" s="189">
        <f t="shared" si="24"/>
        <v>0</v>
      </c>
    </row>
    <row r="306" spans="1:16" x14ac:dyDescent="0.25">
      <c r="A306" s="205"/>
    </row>
    <row r="314" spans="1:16" x14ac:dyDescent="0.25">
      <c r="L314" s="208"/>
      <c r="P314" s="198"/>
    </row>
    <row r="315" spans="1:16" x14ac:dyDescent="0.25">
      <c r="L315" s="208"/>
      <c r="P315" s="198"/>
    </row>
    <row r="316" spans="1:16" x14ac:dyDescent="0.25">
      <c r="L316" s="208"/>
      <c r="P316" s="198"/>
    </row>
    <row r="317" spans="1:16" x14ac:dyDescent="0.25">
      <c r="L317" s="208"/>
      <c r="P317" s="198"/>
    </row>
  </sheetData>
  <conditionalFormatting sqref="J6:K305">
    <cfRule type="cellIs" dxfId="3" priority="1" operator="lessThanOrEqual">
      <formula>0</formula>
    </cfRule>
  </conditionalFormatting>
  <hyperlinks>
    <hyperlink ref="C2" r:id="rId1" xr:uid="{507BCCF1-B08A-45BB-B35B-7DBCFA36B9EA}"/>
  </hyperlinks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5693-78AC-42F2-8FED-D097B6AA8BDF}">
  <sheetPr>
    <tabColor rgb="FF92D050"/>
  </sheetPr>
  <dimension ref="A1:AM317"/>
  <sheetViews>
    <sheetView topLeftCell="A148" workbookViewId="0">
      <selection activeCell="C212" sqref="C212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1.75" style="118" customWidth="1"/>
    <col min="14" max="14" width="11.75" style="119" customWidth="1"/>
    <col min="15" max="16" width="13.875" style="80" customWidth="1"/>
    <col min="17" max="19" width="8.875" style="80"/>
    <col min="20" max="21" width="8.875" style="85"/>
    <col min="22" max="22" width="12.125" style="85" customWidth="1"/>
    <col min="23" max="23" width="27.375" style="85" customWidth="1"/>
    <col min="24" max="39" width="8.875" style="85"/>
    <col min="40" max="16384" width="8.875" style="115"/>
  </cols>
  <sheetData>
    <row r="1" spans="1:37" x14ac:dyDescent="0.25">
      <c r="A1" s="80"/>
      <c r="B1" s="80"/>
      <c r="C1" s="80"/>
      <c r="D1" s="80"/>
      <c r="E1" s="80"/>
      <c r="F1" s="80"/>
      <c r="G1" s="80"/>
      <c r="H1" s="81" t="s">
        <v>38</v>
      </c>
      <c r="I1" s="82" t="s">
        <v>39</v>
      </c>
      <c r="J1" s="82" t="s">
        <v>40</v>
      </c>
      <c r="K1" s="83" t="s">
        <v>106</v>
      </c>
      <c r="L1" s="122" t="s">
        <v>107</v>
      </c>
      <c r="M1" s="123"/>
      <c r="N1" s="84"/>
    </row>
    <row r="2" spans="1:37" x14ac:dyDescent="0.25">
      <c r="A2" s="80"/>
      <c r="B2" s="47" t="s">
        <v>42</v>
      </c>
      <c r="C2" s="294" t="s">
        <v>154</v>
      </c>
      <c r="D2" s="294"/>
      <c r="E2" s="6"/>
      <c r="F2" s="6"/>
      <c r="G2" s="6"/>
      <c r="H2" s="86">
        <v>224</v>
      </c>
      <c r="I2" s="87">
        <v>50</v>
      </c>
      <c r="J2" s="87">
        <v>10</v>
      </c>
      <c r="K2" s="121">
        <f>3*H2^(1/3)</f>
        <v>18.219533831253973</v>
      </c>
      <c r="L2" s="124">
        <v>1.2</v>
      </c>
      <c r="M2" s="84"/>
      <c r="N2" s="84"/>
    </row>
    <row r="3" spans="1:37" ht="14.3" customHeight="1" x14ac:dyDescent="0.25">
      <c r="A3" s="80"/>
      <c r="B3" s="89" t="s">
        <v>44</v>
      </c>
      <c r="C3" s="295">
        <v>2023</v>
      </c>
      <c r="D3" s="295"/>
      <c r="E3" s="7"/>
      <c r="F3" s="7"/>
      <c r="G3" s="7"/>
      <c r="H3" s="84"/>
      <c r="I3" s="84"/>
      <c r="J3" s="90"/>
      <c r="K3" s="84"/>
      <c r="L3" s="84"/>
      <c r="M3" s="84"/>
      <c r="N3" s="84"/>
    </row>
    <row r="4" spans="1:37" ht="10.199999999999999" customHeight="1" x14ac:dyDescent="0.25">
      <c r="A4" s="8"/>
      <c r="B4" s="7"/>
      <c r="C4" s="8"/>
      <c r="D4" s="8"/>
      <c r="E4" s="8"/>
      <c r="F4" s="8"/>
      <c r="G4" s="8"/>
      <c r="H4" s="84"/>
      <c r="I4" s="84"/>
      <c r="J4" s="90"/>
      <c r="K4" s="84"/>
      <c r="L4" s="84"/>
      <c r="M4" s="84"/>
      <c r="N4" s="84"/>
    </row>
    <row r="5" spans="1:37" ht="34.65" x14ac:dyDescent="0.25">
      <c r="A5" s="1" t="s">
        <v>45</v>
      </c>
      <c r="B5" s="37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8"/>
      <c r="H5" s="91" t="s">
        <v>51</v>
      </c>
      <c r="I5" s="92" t="s">
        <v>52</v>
      </c>
      <c r="J5" s="93" t="s">
        <v>93</v>
      </c>
      <c r="K5" s="92" t="s">
        <v>94</v>
      </c>
      <c r="L5" s="92" t="s">
        <v>55</v>
      </c>
      <c r="M5" s="91" t="s">
        <v>56</v>
      </c>
      <c r="N5" s="91" t="s">
        <v>108</v>
      </c>
    </row>
    <row r="6" spans="1:37" ht="14.45" customHeight="1" x14ac:dyDescent="0.25">
      <c r="A6" s="94">
        <f>N6</f>
        <v>221.59032179251429</v>
      </c>
      <c r="B6" s="36">
        <f t="shared" ref="B6:B69" si="0">IF(H6&gt;$H$2,"",(ROW()-5))</f>
        <v>1</v>
      </c>
      <c r="C6" s="24" t="s">
        <v>155</v>
      </c>
      <c r="D6" s="24" t="s">
        <v>156</v>
      </c>
      <c r="E6" s="24" t="s">
        <v>157</v>
      </c>
      <c r="F6" s="24" t="s">
        <v>158</v>
      </c>
      <c r="G6" s="8"/>
      <c r="H6" s="95">
        <v>1</v>
      </c>
      <c r="I6" s="96">
        <f t="shared" ref="I6:I69" si="1">IF(H6&lt;$H$2+1,($I$2-($I$2-1)*(LOG(H6)/LOG($H$2))),"")</f>
        <v>50</v>
      </c>
      <c r="J6" s="95">
        <f>INT(LOG($H$2,2))-ROUNDUP(LOG(H6,2),0)+IF(OR($H$2=1,$H$2=2,$H$2=4,$H$2=8,$H$2=16,$H$2=32,$H$2=64,$H$2=128,$H$2=256),0,1)</f>
        <v>8</v>
      </c>
      <c r="K6" s="95">
        <f t="shared" ref="K6:K69" si="2">J6*$J$2</f>
        <v>80</v>
      </c>
      <c r="L6" s="97">
        <f>3*K2</f>
        <v>54.658601493761921</v>
      </c>
      <c r="M6" s="97">
        <f t="shared" ref="M6:M69" si="3">IF(I6&lt;&gt;"",K6+I6+L6,0)</f>
        <v>184.65860149376192</v>
      </c>
      <c r="N6" s="97">
        <f t="shared" ref="N6:N69" si="4">IF(I6&lt;&gt;"",M6*L$2,0)</f>
        <v>221.59032179251429</v>
      </c>
    </row>
    <row r="7" spans="1:37" ht="14.45" customHeight="1" x14ac:dyDescent="0.25">
      <c r="A7" s="98">
        <f t="shared" ref="A7:A70" si="5">N7</f>
        <v>180.19552126747809</v>
      </c>
      <c r="B7" s="35">
        <f t="shared" si="0"/>
        <v>2</v>
      </c>
      <c r="C7" s="25" t="s">
        <v>159</v>
      </c>
      <c r="D7" s="25" t="s">
        <v>160</v>
      </c>
      <c r="E7" s="25" t="s">
        <v>161</v>
      </c>
      <c r="F7" s="25" t="s">
        <v>158</v>
      </c>
      <c r="G7" s="8"/>
      <c r="H7" s="99">
        <v>2</v>
      </c>
      <c r="I7" s="100">
        <f t="shared" si="1"/>
        <v>43.723866727057128</v>
      </c>
      <c r="J7" s="99">
        <f t="shared" ref="J7:J70" si="6">INT(LOG($H$2,2))-ROUNDUP(LOG(H7,2),0)+IF(OR($H$2=1,$H$2=2,$H$2=4,$H$2=8,$H$2=16,$H$2=32,$H$2=64,$H$2=128,$H$2=256),0,1)</f>
        <v>7</v>
      </c>
      <c r="K7" s="99">
        <f t="shared" si="2"/>
        <v>70</v>
      </c>
      <c r="L7" s="101">
        <f>2*K2</f>
        <v>36.439067662507945</v>
      </c>
      <c r="M7" s="101">
        <f t="shared" si="3"/>
        <v>150.16293438956507</v>
      </c>
      <c r="N7" s="101">
        <f t="shared" si="4"/>
        <v>180.19552126747809</v>
      </c>
    </row>
    <row r="8" spans="1:37" ht="14.45" customHeight="1" x14ac:dyDescent="0.25">
      <c r="A8" s="94">
        <f t="shared" si="5"/>
        <v>141.92651753293342</v>
      </c>
      <c r="B8" s="36">
        <f t="shared" si="0"/>
        <v>3</v>
      </c>
      <c r="C8" s="24" t="s">
        <v>162</v>
      </c>
      <c r="D8" s="24" t="s">
        <v>163</v>
      </c>
      <c r="E8" s="24" t="s">
        <v>157</v>
      </c>
      <c r="F8" s="24" t="s">
        <v>158</v>
      </c>
      <c r="G8" s="8"/>
      <c r="H8" s="95">
        <v>3</v>
      </c>
      <c r="I8" s="96">
        <f t="shared" si="1"/>
        <v>40.052564112857219</v>
      </c>
      <c r="J8" s="95">
        <f t="shared" si="6"/>
        <v>6</v>
      </c>
      <c r="K8" s="95">
        <f t="shared" si="2"/>
        <v>60</v>
      </c>
      <c r="L8" s="97">
        <f>K2</f>
        <v>18.219533831253973</v>
      </c>
      <c r="M8" s="97">
        <f t="shared" si="3"/>
        <v>118.2720979441112</v>
      </c>
      <c r="N8" s="97">
        <f t="shared" si="4"/>
        <v>141.92651753293342</v>
      </c>
    </row>
    <row r="9" spans="1:37" s="85" customFormat="1" ht="14.45" customHeight="1" x14ac:dyDescent="0.25">
      <c r="A9" s="98">
        <f>N9</f>
        <v>141.92651753293342</v>
      </c>
      <c r="B9" s="35">
        <f t="shared" si="0"/>
        <v>4</v>
      </c>
      <c r="C9" s="25" t="s">
        <v>164</v>
      </c>
      <c r="D9" s="25" t="s">
        <v>165</v>
      </c>
      <c r="E9" s="25" t="s">
        <v>166</v>
      </c>
      <c r="F9" s="25" t="s">
        <v>158</v>
      </c>
      <c r="G9" s="8"/>
      <c r="H9" s="99">
        <v>3</v>
      </c>
      <c r="I9" s="100">
        <f t="shared" si="1"/>
        <v>40.052564112857219</v>
      </c>
      <c r="J9" s="99">
        <f t="shared" si="6"/>
        <v>6</v>
      </c>
      <c r="K9" s="99">
        <f t="shared" si="2"/>
        <v>60</v>
      </c>
      <c r="L9" s="101">
        <f>K2</f>
        <v>18.219533831253973</v>
      </c>
      <c r="M9" s="101">
        <f t="shared" si="3"/>
        <v>118.2720979441112</v>
      </c>
      <c r="N9" s="101">
        <f t="shared" si="4"/>
        <v>141.92651753293342</v>
      </c>
      <c r="O9" s="80"/>
      <c r="P9" s="80"/>
      <c r="Q9" s="80"/>
      <c r="R9" s="80"/>
      <c r="S9" s="80"/>
      <c r="V9" s="102"/>
      <c r="Z9" s="103"/>
      <c r="AA9" s="103"/>
      <c r="AG9" s="104"/>
      <c r="AH9" s="85" t="s">
        <v>95</v>
      </c>
      <c r="AI9" s="85">
        <v>23</v>
      </c>
    </row>
    <row r="10" spans="1:37" ht="14.45" customHeight="1" x14ac:dyDescent="0.25">
      <c r="A10" s="94">
        <f t="shared" si="5"/>
        <v>102.5127237915559</v>
      </c>
      <c r="B10" s="36">
        <f t="shared" si="0"/>
        <v>5</v>
      </c>
      <c r="C10" s="24" t="s">
        <v>20</v>
      </c>
      <c r="D10" s="24" t="s">
        <v>167</v>
      </c>
      <c r="E10" s="24" t="s">
        <v>168</v>
      </c>
      <c r="F10" s="24" t="s">
        <v>158</v>
      </c>
      <c r="G10" s="8"/>
      <c r="H10" s="95">
        <v>5</v>
      </c>
      <c r="I10" s="96">
        <f t="shared" si="1"/>
        <v>35.42726982629658</v>
      </c>
      <c r="J10" s="95">
        <f t="shared" si="6"/>
        <v>5</v>
      </c>
      <c r="K10" s="95">
        <f t="shared" si="2"/>
        <v>50</v>
      </c>
      <c r="L10" s="95"/>
      <c r="M10" s="97">
        <f t="shared" si="3"/>
        <v>85.42726982629658</v>
      </c>
      <c r="N10" s="97">
        <f t="shared" si="4"/>
        <v>102.5127237915559</v>
      </c>
      <c r="W10" s="102"/>
      <c r="AA10" s="103"/>
      <c r="AB10" s="103"/>
      <c r="AH10" s="104"/>
      <c r="AI10" s="85" t="s">
        <v>96</v>
      </c>
      <c r="AJ10" s="85">
        <v>45</v>
      </c>
    </row>
    <row r="11" spans="1:37" ht="14.45" customHeight="1" x14ac:dyDescent="0.25">
      <c r="A11" s="98">
        <f t="shared" si="5"/>
        <v>100.53171700789723</v>
      </c>
      <c r="B11" s="35">
        <f t="shared" si="0"/>
        <v>6</v>
      </c>
      <c r="C11" s="25" t="s">
        <v>19</v>
      </c>
      <c r="D11" s="25" t="s">
        <v>169</v>
      </c>
      <c r="E11" s="25" t="s">
        <v>168</v>
      </c>
      <c r="F11" s="25" t="s">
        <v>158</v>
      </c>
      <c r="G11" s="8"/>
      <c r="H11" s="99">
        <v>6</v>
      </c>
      <c r="I11" s="100">
        <f t="shared" si="1"/>
        <v>33.776430839914347</v>
      </c>
      <c r="J11" s="99">
        <f t="shared" si="6"/>
        <v>5</v>
      </c>
      <c r="K11" s="99">
        <f t="shared" si="2"/>
        <v>50</v>
      </c>
      <c r="L11" s="99"/>
      <c r="M11" s="101">
        <f t="shared" si="3"/>
        <v>83.776430839914354</v>
      </c>
      <c r="N11" s="101">
        <f t="shared" si="4"/>
        <v>100.53171700789723</v>
      </c>
      <c r="W11" s="105"/>
      <c r="AA11" s="103"/>
      <c r="AB11" s="103"/>
      <c r="AH11" s="104"/>
      <c r="AI11" s="85" t="s">
        <v>97</v>
      </c>
      <c r="AJ11" s="85">
        <v>50</v>
      </c>
    </row>
    <row r="12" spans="1:37" ht="14.45" customHeight="1" x14ac:dyDescent="0.25">
      <c r="A12" s="94">
        <f t="shared" si="5"/>
        <v>98.856799637657204</v>
      </c>
      <c r="B12" s="36">
        <f t="shared" si="0"/>
        <v>7</v>
      </c>
      <c r="C12" s="24" t="s">
        <v>170</v>
      </c>
      <c r="D12" s="24" t="s">
        <v>171</v>
      </c>
      <c r="E12" s="24" t="s">
        <v>172</v>
      </c>
      <c r="F12" s="24" t="s">
        <v>158</v>
      </c>
      <c r="G12" s="8"/>
      <c r="H12" s="95">
        <v>7</v>
      </c>
      <c r="I12" s="96">
        <f t="shared" si="1"/>
        <v>32.380666364714344</v>
      </c>
      <c r="J12" s="95">
        <f t="shared" si="6"/>
        <v>5</v>
      </c>
      <c r="K12" s="95">
        <f t="shared" si="2"/>
        <v>50</v>
      </c>
      <c r="L12" s="95"/>
      <c r="M12" s="97">
        <f t="shared" si="3"/>
        <v>82.380666364714344</v>
      </c>
      <c r="N12" s="97">
        <f t="shared" si="4"/>
        <v>98.856799637657204</v>
      </c>
      <c r="AA12" s="103"/>
      <c r="AB12" s="103"/>
      <c r="AH12" s="104"/>
      <c r="AI12" s="85" t="s">
        <v>98</v>
      </c>
      <c r="AJ12" s="85">
        <f>AJ11-1</f>
        <v>49</v>
      </c>
    </row>
    <row r="13" spans="1:37" ht="14.45" customHeight="1" x14ac:dyDescent="0.25">
      <c r="A13" s="98">
        <f t="shared" si="5"/>
        <v>97.405920217405679</v>
      </c>
      <c r="B13" s="35">
        <f t="shared" si="0"/>
        <v>8</v>
      </c>
      <c r="C13" s="25" t="s">
        <v>173</v>
      </c>
      <c r="D13" s="25" t="s">
        <v>165</v>
      </c>
      <c r="E13" s="25" t="s">
        <v>166</v>
      </c>
      <c r="F13" s="25" t="s">
        <v>158</v>
      </c>
      <c r="G13" s="8"/>
      <c r="H13" s="99">
        <v>8</v>
      </c>
      <c r="I13" s="100">
        <f t="shared" si="1"/>
        <v>31.171600181171396</v>
      </c>
      <c r="J13" s="99">
        <f t="shared" si="6"/>
        <v>5</v>
      </c>
      <c r="K13" s="99">
        <f t="shared" si="2"/>
        <v>50</v>
      </c>
      <c r="L13" s="99"/>
      <c r="M13" s="101">
        <f t="shared" si="3"/>
        <v>81.171600181171399</v>
      </c>
      <c r="N13" s="101">
        <f t="shared" si="4"/>
        <v>97.405920217405679</v>
      </c>
      <c r="Y13" s="102"/>
      <c r="AH13" s="104"/>
      <c r="AI13" s="85" t="s">
        <v>101</v>
      </c>
      <c r="AJ13" s="85" t="e">
        <f>LOG(AJ9)</f>
        <v>#NUM!</v>
      </c>
    </row>
    <row r="14" spans="1:37" x14ac:dyDescent="0.25">
      <c r="A14" s="94">
        <f>N14</f>
        <v>84.126153870857323</v>
      </c>
      <c r="B14" s="36">
        <f t="shared" si="0"/>
        <v>9</v>
      </c>
      <c r="C14" s="24" t="s">
        <v>174</v>
      </c>
      <c r="D14" s="24" t="s">
        <v>175</v>
      </c>
      <c r="E14" s="24" t="s">
        <v>157</v>
      </c>
      <c r="F14" s="24" t="s">
        <v>158</v>
      </c>
      <c r="G14" s="8"/>
      <c r="H14" s="95">
        <v>9</v>
      </c>
      <c r="I14" s="96">
        <f t="shared" si="1"/>
        <v>30.105128225714434</v>
      </c>
      <c r="J14" s="95">
        <f t="shared" si="6"/>
        <v>4</v>
      </c>
      <c r="K14" s="95">
        <f t="shared" si="2"/>
        <v>40</v>
      </c>
      <c r="L14" s="95"/>
      <c r="M14" s="97">
        <f t="shared" si="3"/>
        <v>70.105128225714438</v>
      </c>
      <c r="N14" s="97">
        <f t="shared" si="4"/>
        <v>84.126153870857323</v>
      </c>
      <c r="Y14" s="106"/>
      <c r="AA14" s="103"/>
      <c r="AB14" s="103"/>
      <c r="AH14" s="104"/>
      <c r="AI14" s="85" t="s">
        <v>102</v>
      </c>
      <c r="AJ14" s="85">
        <f>LOG(AJ10)</f>
        <v>1.6532125137753437</v>
      </c>
    </row>
    <row r="15" spans="1:37" x14ac:dyDescent="0.25">
      <c r="A15" s="98">
        <f t="shared" si="5"/>
        <v>82.981363864024445</v>
      </c>
      <c r="B15" s="35">
        <f t="shared" si="0"/>
        <v>10</v>
      </c>
      <c r="C15" s="25" t="s">
        <v>176</v>
      </c>
      <c r="D15" s="25" t="s">
        <v>177</v>
      </c>
      <c r="E15" s="25" t="s">
        <v>157</v>
      </c>
      <c r="F15" s="25" t="s">
        <v>158</v>
      </c>
      <c r="G15" s="8"/>
      <c r="H15" s="99">
        <v>10</v>
      </c>
      <c r="I15" s="100">
        <f t="shared" si="1"/>
        <v>29.151136553353712</v>
      </c>
      <c r="J15" s="99">
        <f t="shared" si="6"/>
        <v>4</v>
      </c>
      <c r="K15" s="99">
        <f t="shared" si="2"/>
        <v>40</v>
      </c>
      <c r="L15" s="99"/>
      <c r="M15" s="101">
        <f t="shared" si="3"/>
        <v>69.151136553353709</v>
      </c>
      <c r="N15" s="101">
        <f t="shared" si="4"/>
        <v>82.981363864024445</v>
      </c>
      <c r="Y15" s="102"/>
      <c r="AA15" s="103"/>
      <c r="AB15" s="103"/>
    </row>
    <row r="16" spans="1:37" x14ac:dyDescent="0.25">
      <c r="A16" s="94">
        <f t="shared" si="5"/>
        <v>81.945775335359812</v>
      </c>
      <c r="B16" s="36">
        <f t="shared" si="0"/>
        <v>11</v>
      </c>
      <c r="C16" s="24" t="s">
        <v>178</v>
      </c>
      <c r="D16" s="24" t="s">
        <v>179</v>
      </c>
      <c r="E16" s="24" t="s">
        <v>157</v>
      </c>
      <c r="F16" s="24" t="s">
        <v>158</v>
      </c>
      <c r="G16" s="8"/>
      <c r="H16" s="95">
        <v>11</v>
      </c>
      <c r="I16" s="96">
        <f t="shared" si="1"/>
        <v>28.288146112799854</v>
      </c>
      <c r="J16" s="95">
        <f t="shared" si="6"/>
        <v>4</v>
      </c>
      <c r="K16" s="95">
        <f t="shared" si="2"/>
        <v>40</v>
      </c>
      <c r="L16" s="95"/>
      <c r="M16" s="97">
        <f t="shared" si="3"/>
        <v>68.288146112799851</v>
      </c>
      <c r="N16" s="97">
        <f t="shared" si="4"/>
        <v>81.945775335359812</v>
      </c>
      <c r="S16" s="107"/>
      <c r="AA16" s="103"/>
      <c r="AB16" s="103"/>
      <c r="AI16" s="108" t="s">
        <v>104</v>
      </c>
      <c r="AJ16" s="85" t="e">
        <f>AJ11-AJ12*AJ13/AJ14</f>
        <v>#NUM!</v>
      </c>
      <c r="AK16" s="85" t="s">
        <v>105</v>
      </c>
    </row>
    <row r="17" spans="1:20" x14ac:dyDescent="0.25">
      <c r="A17" s="98">
        <f t="shared" si="5"/>
        <v>81.000357080365774</v>
      </c>
      <c r="B17" s="35">
        <f t="shared" si="0"/>
        <v>12</v>
      </c>
      <c r="C17" s="25" t="s">
        <v>180</v>
      </c>
      <c r="D17" s="25" t="s">
        <v>181</v>
      </c>
      <c r="E17" s="25" t="s">
        <v>182</v>
      </c>
      <c r="F17" s="25" t="s">
        <v>158</v>
      </c>
      <c r="G17" s="8"/>
      <c r="H17" s="99">
        <v>12</v>
      </c>
      <c r="I17" s="100">
        <f t="shared" si="1"/>
        <v>27.500297566971479</v>
      </c>
      <c r="J17" s="99">
        <f t="shared" si="6"/>
        <v>4</v>
      </c>
      <c r="K17" s="99">
        <f t="shared" si="2"/>
        <v>40</v>
      </c>
      <c r="L17" s="99"/>
      <c r="M17" s="101">
        <f t="shared" si="3"/>
        <v>67.500297566971483</v>
      </c>
      <c r="N17" s="101">
        <f t="shared" si="4"/>
        <v>81.000357080365774</v>
      </c>
    </row>
    <row r="18" spans="1:20" ht="38.75" x14ac:dyDescent="0.25">
      <c r="A18" s="94">
        <f t="shared" si="5"/>
        <v>80.13065659254643</v>
      </c>
      <c r="B18" s="36">
        <f t="shared" si="0"/>
        <v>13</v>
      </c>
      <c r="C18" s="24" t="s">
        <v>183</v>
      </c>
      <c r="D18" s="24" t="s">
        <v>184</v>
      </c>
      <c r="E18" s="24" t="s">
        <v>157</v>
      </c>
      <c r="F18" s="24" t="s">
        <v>158</v>
      </c>
      <c r="G18" s="8"/>
      <c r="H18" s="95">
        <v>13</v>
      </c>
      <c r="I18" s="96">
        <f t="shared" si="1"/>
        <v>26.775547160455364</v>
      </c>
      <c r="J18" s="95">
        <f t="shared" si="6"/>
        <v>4</v>
      </c>
      <c r="K18" s="95">
        <f t="shared" si="2"/>
        <v>40</v>
      </c>
      <c r="L18" s="95"/>
      <c r="M18" s="97">
        <f t="shared" si="3"/>
        <v>66.775547160455361</v>
      </c>
      <c r="N18" s="97">
        <f t="shared" si="4"/>
        <v>80.13065659254643</v>
      </c>
    </row>
    <row r="19" spans="1:20" x14ac:dyDescent="0.25">
      <c r="A19" s="98">
        <f t="shared" si="5"/>
        <v>79.325439710125764</v>
      </c>
      <c r="B19" s="35">
        <f t="shared" si="0"/>
        <v>14</v>
      </c>
      <c r="C19" s="25" t="s">
        <v>185</v>
      </c>
      <c r="D19" s="25" t="s">
        <v>186</v>
      </c>
      <c r="E19" s="25" t="s">
        <v>187</v>
      </c>
      <c r="F19" s="25" t="s">
        <v>158</v>
      </c>
      <c r="G19" s="8"/>
      <c r="H19" s="99">
        <v>14</v>
      </c>
      <c r="I19" s="100">
        <f t="shared" si="1"/>
        <v>26.104533091771472</v>
      </c>
      <c r="J19" s="99">
        <f t="shared" si="6"/>
        <v>4</v>
      </c>
      <c r="K19" s="99">
        <f t="shared" si="2"/>
        <v>40</v>
      </c>
      <c r="L19" s="99"/>
      <c r="M19" s="101">
        <f t="shared" si="3"/>
        <v>66.104533091771472</v>
      </c>
      <c r="N19" s="101">
        <f t="shared" si="4"/>
        <v>79.325439710125764</v>
      </c>
    </row>
    <row r="20" spans="1:20" x14ac:dyDescent="0.25">
      <c r="A20" s="94">
        <f t="shared" si="5"/>
        <v>78.575800726984554</v>
      </c>
      <c r="B20" s="36">
        <f t="shared" si="0"/>
        <v>15</v>
      </c>
      <c r="C20" s="24" t="s">
        <v>188</v>
      </c>
      <c r="D20" s="24" t="s">
        <v>189</v>
      </c>
      <c r="E20" s="24" t="s">
        <v>190</v>
      </c>
      <c r="F20" s="24" t="s">
        <v>158</v>
      </c>
      <c r="G20" s="8"/>
      <c r="H20" s="95">
        <v>15</v>
      </c>
      <c r="I20" s="96">
        <f t="shared" si="1"/>
        <v>25.479833939153792</v>
      </c>
      <c r="J20" s="95">
        <f t="shared" si="6"/>
        <v>4</v>
      </c>
      <c r="K20" s="95">
        <f t="shared" si="2"/>
        <v>40</v>
      </c>
      <c r="L20" s="95"/>
      <c r="M20" s="97">
        <f t="shared" si="3"/>
        <v>65.479833939153792</v>
      </c>
      <c r="N20" s="97">
        <f t="shared" si="4"/>
        <v>78.575800726984554</v>
      </c>
      <c r="S20" s="109"/>
      <c r="T20" s="110"/>
    </row>
    <row r="21" spans="1:20" x14ac:dyDescent="0.25">
      <c r="A21" s="98">
        <f t="shared" si="5"/>
        <v>77.874560289874225</v>
      </c>
      <c r="B21" s="35">
        <f t="shared" si="0"/>
        <v>16</v>
      </c>
      <c r="C21" s="25" t="s">
        <v>191</v>
      </c>
      <c r="D21" s="25" t="s">
        <v>192</v>
      </c>
      <c r="E21" s="25" t="s">
        <v>182</v>
      </c>
      <c r="F21" s="25" t="s">
        <v>158</v>
      </c>
      <c r="G21" s="8"/>
      <c r="H21" s="99">
        <v>16</v>
      </c>
      <c r="I21" s="100">
        <f t="shared" si="1"/>
        <v>24.895466908228528</v>
      </c>
      <c r="J21" s="99">
        <f t="shared" si="6"/>
        <v>4</v>
      </c>
      <c r="K21" s="99">
        <f t="shared" si="2"/>
        <v>40</v>
      </c>
      <c r="L21" s="99"/>
      <c r="M21" s="101">
        <f t="shared" si="3"/>
        <v>64.895466908228528</v>
      </c>
      <c r="N21" s="101">
        <f t="shared" si="4"/>
        <v>77.874560289874225</v>
      </c>
    </row>
    <row r="22" spans="1:20" ht="38.75" x14ac:dyDescent="0.25">
      <c r="A22" s="94">
        <f t="shared" si="5"/>
        <v>65.215846152133381</v>
      </c>
      <c r="B22" s="36">
        <f t="shared" si="0"/>
        <v>17</v>
      </c>
      <c r="C22" s="24" t="s">
        <v>193</v>
      </c>
      <c r="D22" s="24" t="s">
        <v>165</v>
      </c>
      <c r="E22" s="24" t="s">
        <v>166</v>
      </c>
      <c r="F22" s="24" t="s">
        <v>158</v>
      </c>
      <c r="G22" s="8"/>
      <c r="H22" s="95">
        <v>17</v>
      </c>
      <c r="I22" s="96">
        <f t="shared" si="1"/>
        <v>24.346538460111152</v>
      </c>
      <c r="J22" s="95">
        <f t="shared" si="6"/>
        <v>3</v>
      </c>
      <c r="K22" s="95">
        <f t="shared" si="2"/>
        <v>30</v>
      </c>
      <c r="L22" s="95"/>
      <c r="M22" s="97">
        <f t="shared" si="3"/>
        <v>54.346538460111148</v>
      </c>
      <c r="N22" s="97">
        <f t="shared" si="4"/>
        <v>65.215846152133381</v>
      </c>
    </row>
    <row r="23" spans="1:20" x14ac:dyDescent="0.25">
      <c r="A23" s="98">
        <f t="shared" si="5"/>
        <v>64.594793943325882</v>
      </c>
      <c r="B23" s="35">
        <f t="shared" si="0"/>
        <v>18</v>
      </c>
      <c r="C23" s="25" t="s">
        <v>194</v>
      </c>
      <c r="D23" s="25" t="s">
        <v>195</v>
      </c>
      <c r="E23" s="25" t="s">
        <v>182</v>
      </c>
      <c r="F23" s="25" t="s">
        <v>158</v>
      </c>
      <c r="G23" s="8"/>
      <c r="H23" s="99">
        <v>18</v>
      </c>
      <c r="I23" s="100">
        <f t="shared" si="1"/>
        <v>23.828994952771566</v>
      </c>
      <c r="J23" s="99">
        <f t="shared" si="6"/>
        <v>3</v>
      </c>
      <c r="K23" s="99">
        <f t="shared" si="2"/>
        <v>30</v>
      </c>
      <c r="L23" s="99"/>
      <c r="M23" s="101">
        <f t="shared" si="3"/>
        <v>53.828994952771566</v>
      </c>
      <c r="N23" s="101">
        <f t="shared" si="4"/>
        <v>64.594793943325882</v>
      </c>
    </row>
    <row r="24" spans="1:20" x14ac:dyDescent="0.25">
      <c r="A24" s="94">
        <f t="shared" si="5"/>
        <v>64.007328950192701</v>
      </c>
      <c r="B24" s="36">
        <f t="shared" si="0"/>
        <v>19</v>
      </c>
      <c r="C24" s="24" t="s">
        <v>196</v>
      </c>
      <c r="D24" s="24" t="s">
        <v>197</v>
      </c>
      <c r="E24" s="24" t="s">
        <v>157</v>
      </c>
      <c r="F24" s="24" t="s">
        <v>158</v>
      </c>
      <c r="G24" s="8"/>
      <c r="H24" s="95">
        <v>19</v>
      </c>
      <c r="I24" s="96">
        <f t="shared" si="1"/>
        <v>23.339440791827251</v>
      </c>
      <c r="J24" s="95">
        <f t="shared" si="6"/>
        <v>3</v>
      </c>
      <c r="K24" s="95">
        <f t="shared" si="2"/>
        <v>30</v>
      </c>
      <c r="L24" s="95"/>
      <c r="M24" s="97">
        <f t="shared" si="3"/>
        <v>53.339440791827251</v>
      </c>
      <c r="N24" s="97">
        <f t="shared" si="4"/>
        <v>64.007328950192701</v>
      </c>
      <c r="S24" s="109"/>
      <c r="T24" s="110"/>
    </row>
    <row r="25" spans="1:20" x14ac:dyDescent="0.25">
      <c r="A25" s="98">
        <f t="shared" si="5"/>
        <v>63.450003936493005</v>
      </c>
      <c r="B25" s="35">
        <f t="shared" si="0"/>
        <v>20</v>
      </c>
      <c r="C25" s="25" t="s">
        <v>198</v>
      </c>
      <c r="D25" s="25" t="s">
        <v>199</v>
      </c>
      <c r="E25" s="25" t="s">
        <v>200</v>
      </c>
      <c r="F25" s="25" t="s">
        <v>158</v>
      </c>
      <c r="G25" s="8"/>
      <c r="H25" s="99">
        <v>20</v>
      </c>
      <c r="I25" s="100">
        <f t="shared" si="1"/>
        <v>22.875003280410841</v>
      </c>
      <c r="J25" s="99">
        <f t="shared" si="6"/>
        <v>3</v>
      </c>
      <c r="K25" s="99">
        <f t="shared" si="2"/>
        <v>30</v>
      </c>
      <c r="L25" s="99"/>
      <c r="M25" s="101">
        <f t="shared" si="3"/>
        <v>52.875003280410837</v>
      </c>
      <c r="N25" s="101">
        <f t="shared" si="4"/>
        <v>63.450003936493005</v>
      </c>
    </row>
    <row r="26" spans="1:20" x14ac:dyDescent="0.25">
      <c r="A26" s="94">
        <f t="shared" si="5"/>
        <v>62.919876573085865</v>
      </c>
      <c r="B26" s="36">
        <f t="shared" si="0"/>
        <v>21</v>
      </c>
      <c r="C26" s="24" t="s">
        <v>201</v>
      </c>
      <c r="D26" s="24" t="s">
        <v>202</v>
      </c>
      <c r="E26" s="24" t="s">
        <v>203</v>
      </c>
      <c r="F26" s="24" t="s">
        <v>158</v>
      </c>
      <c r="G26" s="8"/>
      <c r="H26" s="95">
        <v>21</v>
      </c>
      <c r="I26" s="96">
        <f t="shared" si="1"/>
        <v>22.433230477571556</v>
      </c>
      <c r="J26" s="95">
        <f t="shared" si="6"/>
        <v>3</v>
      </c>
      <c r="K26" s="95">
        <f t="shared" si="2"/>
        <v>30</v>
      </c>
      <c r="L26" s="95"/>
      <c r="M26" s="97">
        <f t="shared" si="3"/>
        <v>52.433230477571556</v>
      </c>
      <c r="N26" s="97">
        <f t="shared" si="4"/>
        <v>62.919876573085865</v>
      </c>
    </row>
    <row r="27" spans="1:20" x14ac:dyDescent="0.25">
      <c r="A27" s="98">
        <f t="shared" si="5"/>
        <v>62.414415407828386</v>
      </c>
      <c r="B27" s="35">
        <f t="shared" si="0"/>
        <v>22</v>
      </c>
      <c r="C27" s="25" t="s">
        <v>204</v>
      </c>
      <c r="D27" s="25" t="s">
        <v>179</v>
      </c>
      <c r="E27" s="25" t="s">
        <v>157</v>
      </c>
      <c r="F27" s="25" t="s">
        <v>158</v>
      </c>
      <c r="G27" s="8"/>
      <c r="H27" s="99">
        <v>22</v>
      </c>
      <c r="I27" s="100">
        <f t="shared" si="1"/>
        <v>22.01201283985699</v>
      </c>
      <c r="J27" s="99">
        <f t="shared" si="6"/>
        <v>3</v>
      </c>
      <c r="K27" s="99">
        <f t="shared" si="2"/>
        <v>30</v>
      </c>
      <c r="L27" s="99"/>
      <c r="M27" s="101">
        <f t="shared" si="3"/>
        <v>52.012012839856993</v>
      </c>
      <c r="N27" s="101">
        <f t="shared" si="4"/>
        <v>62.414415407828386</v>
      </c>
    </row>
    <row r="28" spans="1:20" x14ac:dyDescent="0.25">
      <c r="A28" s="94">
        <f t="shared" si="5"/>
        <v>61.93142675444647</v>
      </c>
      <c r="B28" s="36">
        <f t="shared" si="0"/>
        <v>23</v>
      </c>
      <c r="C28" s="24" t="s">
        <v>21</v>
      </c>
      <c r="D28" s="24" t="s">
        <v>205</v>
      </c>
      <c r="E28" s="24" t="s">
        <v>168</v>
      </c>
      <c r="F28" s="24" t="s">
        <v>158</v>
      </c>
      <c r="G28" s="8"/>
      <c r="H28" s="95">
        <v>23</v>
      </c>
      <c r="I28" s="96">
        <f t="shared" si="1"/>
        <v>21.609522295372056</v>
      </c>
      <c r="J28" s="95">
        <f t="shared" si="6"/>
        <v>3</v>
      </c>
      <c r="K28" s="95">
        <f t="shared" si="2"/>
        <v>30</v>
      </c>
      <c r="L28" s="95"/>
      <c r="M28" s="97">
        <f t="shared" si="3"/>
        <v>51.609522295372059</v>
      </c>
      <c r="N28" s="97">
        <f t="shared" si="4"/>
        <v>61.93142675444647</v>
      </c>
      <c r="S28" s="109"/>
      <c r="T28" s="110"/>
    </row>
    <row r="29" spans="1:20" x14ac:dyDescent="0.25">
      <c r="A29" s="98">
        <f t="shared" si="5"/>
        <v>61.468997152834334</v>
      </c>
      <c r="B29" s="35">
        <f t="shared" si="0"/>
        <v>24</v>
      </c>
      <c r="C29" s="25" t="s">
        <v>206</v>
      </c>
      <c r="D29" s="25" t="s">
        <v>156</v>
      </c>
      <c r="E29" s="25" t="s">
        <v>157</v>
      </c>
      <c r="F29" s="25" t="s">
        <v>158</v>
      </c>
      <c r="G29" s="80"/>
      <c r="H29" s="99">
        <v>24</v>
      </c>
      <c r="I29" s="100">
        <f t="shared" si="1"/>
        <v>21.224164294028615</v>
      </c>
      <c r="J29" s="99">
        <f t="shared" si="6"/>
        <v>3</v>
      </c>
      <c r="K29" s="99">
        <f t="shared" si="2"/>
        <v>30</v>
      </c>
      <c r="L29" s="99"/>
      <c r="M29" s="101">
        <f t="shared" si="3"/>
        <v>51.224164294028611</v>
      </c>
      <c r="N29" s="101">
        <f t="shared" si="4"/>
        <v>61.468997152834334</v>
      </c>
    </row>
    <row r="30" spans="1:20" x14ac:dyDescent="0.25">
      <c r="A30" s="94">
        <f t="shared" si="5"/>
        <v>61.025447583111792</v>
      </c>
      <c r="B30" s="36">
        <f t="shared" si="0"/>
        <v>25</v>
      </c>
      <c r="C30" s="24" t="s">
        <v>207</v>
      </c>
      <c r="D30" s="24" t="s">
        <v>208</v>
      </c>
      <c r="E30" s="24" t="s">
        <v>209</v>
      </c>
      <c r="F30" s="24" t="s">
        <v>158</v>
      </c>
      <c r="G30" s="80"/>
      <c r="H30" s="95">
        <v>25</v>
      </c>
      <c r="I30" s="96">
        <f t="shared" si="1"/>
        <v>20.854539652593161</v>
      </c>
      <c r="J30" s="95">
        <f t="shared" si="6"/>
        <v>3</v>
      </c>
      <c r="K30" s="95">
        <f t="shared" si="2"/>
        <v>30</v>
      </c>
      <c r="L30" s="95"/>
      <c r="M30" s="97">
        <f t="shared" si="3"/>
        <v>50.854539652593161</v>
      </c>
      <c r="N30" s="97">
        <f t="shared" si="4"/>
        <v>61.025447583111792</v>
      </c>
    </row>
    <row r="31" spans="1:20" x14ac:dyDescent="0.25">
      <c r="A31" s="98">
        <f t="shared" si="5"/>
        <v>60.59929666501499</v>
      </c>
      <c r="B31" s="35">
        <f t="shared" si="0"/>
        <v>26</v>
      </c>
      <c r="C31" s="25" t="s">
        <v>210</v>
      </c>
      <c r="D31" s="25" t="s">
        <v>211</v>
      </c>
      <c r="E31" s="25" t="s">
        <v>161</v>
      </c>
      <c r="F31" s="25" t="s">
        <v>158</v>
      </c>
      <c r="G31" s="80"/>
      <c r="H31" s="99">
        <v>26</v>
      </c>
      <c r="I31" s="100">
        <f t="shared" si="1"/>
        <v>20.499413887512496</v>
      </c>
      <c r="J31" s="99">
        <f t="shared" si="6"/>
        <v>3</v>
      </c>
      <c r="K31" s="99">
        <f t="shared" si="2"/>
        <v>30</v>
      </c>
      <c r="L31" s="99"/>
      <c r="M31" s="101">
        <f t="shared" si="3"/>
        <v>50.499413887512496</v>
      </c>
      <c r="N31" s="101">
        <f t="shared" si="4"/>
        <v>60.59929666501499</v>
      </c>
    </row>
    <row r="32" spans="1:20" x14ac:dyDescent="0.25">
      <c r="A32" s="94">
        <f t="shared" si="5"/>
        <v>60.189230806285977</v>
      </c>
      <c r="B32" s="36">
        <f t="shared" si="0"/>
        <v>27</v>
      </c>
      <c r="C32" s="24" t="s">
        <v>212</v>
      </c>
      <c r="D32" s="24" t="s">
        <v>156</v>
      </c>
      <c r="E32" s="24" t="s">
        <v>157</v>
      </c>
      <c r="F32" s="24" t="s">
        <v>158</v>
      </c>
      <c r="G32" s="80"/>
      <c r="H32" s="95">
        <v>27</v>
      </c>
      <c r="I32" s="96">
        <f t="shared" si="1"/>
        <v>20.15769233857165</v>
      </c>
      <c r="J32" s="95">
        <f t="shared" si="6"/>
        <v>3</v>
      </c>
      <c r="K32" s="95">
        <f t="shared" si="2"/>
        <v>30</v>
      </c>
      <c r="L32" s="95"/>
      <c r="M32" s="97">
        <f t="shared" si="3"/>
        <v>50.15769233857165</v>
      </c>
      <c r="N32" s="97">
        <f t="shared" si="4"/>
        <v>60.189230806285977</v>
      </c>
      <c r="S32" s="109"/>
      <c r="T32" s="110"/>
    </row>
    <row r="33" spans="1:20" x14ac:dyDescent="0.25">
      <c r="A33" s="98">
        <f t="shared" si="5"/>
        <v>59.794079782594316</v>
      </c>
      <c r="B33" s="35">
        <f t="shared" si="0"/>
        <v>28</v>
      </c>
      <c r="C33" s="25" t="s">
        <v>213</v>
      </c>
      <c r="D33" s="25" t="s">
        <v>214</v>
      </c>
      <c r="E33" s="25" t="s">
        <v>157</v>
      </c>
      <c r="F33" s="25" t="s">
        <v>158</v>
      </c>
      <c r="G33" s="80"/>
      <c r="H33" s="99">
        <v>28</v>
      </c>
      <c r="I33" s="100">
        <f t="shared" si="1"/>
        <v>19.828399818828604</v>
      </c>
      <c r="J33" s="99">
        <f t="shared" si="6"/>
        <v>3</v>
      </c>
      <c r="K33" s="99">
        <f t="shared" si="2"/>
        <v>30</v>
      </c>
      <c r="L33" s="99"/>
      <c r="M33" s="101">
        <f t="shared" si="3"/>
        <v>49.828399818828601</v>
      </c>
      <c r="N33" s="101">
        <f t="shared" si="4"/>
        <v>59.794079782594316</v>
      </c>
    </row>
    <row r="34" spans="1:20" x14ac:dyDescent="0.25">
      <c r="A34" s="94">
        <f t="shared" si="5"/>
        <v>59.412796604586894</v>
      </c>
      <c r="B34" s="36">
        <f t="shared" si="0"/>
        <v>29</v>
      </c>
      <c r="C34" s="24" t="s">
        <v>215</v>
      </c>
      <c r="D34" s="24" t="s">
        <v>216</v>
      </c>
      <c r="E34" s="24" t="s">
        <v>187</v>
      </c>
      <c r="F34" s="24" t="s">
        <v>158</v>
      </c>
      <c r="G34" s="80"/>
      <c r="H34" s="95">
        <v>29</v>
      </c>
      <c r="I34" s="96">
        <f t="shared" si="1"/>
        <v>19.510663837155743</v>
      </c>
      <c r="J34" s="95">
        <f t="shared" si="6"/>
        <v>3</v>
      </c>
      <c r="K34" s="95">
        <f t="shared" si="2"/>
        <v>30</v>
      </c>
      <c r="L34" s="95"/>
      <c r="M34" s="97">
        <f t="shared" si="3"/>
        <v>49.510663837155747</v>
      </c>
      <c r="N34" s="97">
        <f t="shared" si="4"/>
        <v>59.412796604586894</v>
      </c>
    </row>
    <row r="35" spans="1:20" s="85" customFormat="1" x14ac:dyDescent="0.25">
      <c r="A35" s="98">
        <f t="shared" si="5"/>
        <v>59.044440799453113</v>
      </c>
      <c r="B35" s="35">
        <f t="shared" si="0"/>
        <v>30</v>
      </c>
      <c r="C35" s="25" t="s">
        <v>217</v>
      </c>
      <c r="D35" s="25" t="s">
        <v>218</v>
      </c>
      <c r="E35" s="25" t="s">
        <v>219</v>
      </c>
      <c r="F35" s="25" t="s">
        <v>158</v>
      </c>
      <c r="G35" s="80"/>
      <c r="H35" s="99">
        <v>30</v>
      </c>
      <c r="I35" s="100">
        <f t="shared" si="1"/>
        <v>19.203700666210928</v>
      </c>
      <c r="J35" s="99">
        <f t="shared" si="6"/>
        <v>3</v>
      </c>
      <c r="K35" s="99">
        <f t="shared" si="2"/>
        <v>30</v>
      </c>
      <c r="L35" s="99"/>
      <c r="M35" s="101">
        <f t="shared" si="3"/>
        <v>49.203700666210928</v>
      </c>
      <c r="N35" s="101">
        <f t="shared" si="4"/>
        <v>59.044440799453113</v>
      </c>
      <c r="O35" s="80"/>
      <c r="P35" s="80"/>
      <c r="Q35" s="80"/>
      <c r="R35" s="80"/>
      <c r="S35" s="80"/>
    </row>
    <row r="36" spans="1:20" s="85" customFormat="1" x14ac:dyDescent="0.25">
      <c r="A36" s="94">
        <f t="shared" si="5"/>
        <v>58.688164434828167</v>
      </c>
      <c r="B36" s="36">
        <f t="shared" si="0"/>
        <v>31</v>
      </c>
      <c r="C36" s="24" t="s">
        <v>220</v>
      </c>
      <c r="D36" s="24" t="s">
        <v>221</v>
      </c>
      <c r="E36" s="24" t="s">
        <v>166</v>
      </c>
      <c r="F36" s="24" t="s">
        <v>158</v>
      </c>
      <c r="G36" s="80"/>
      <c r="H36" s="95">
        <v>31</v>
      </c>
      <c r="I36" s="96">
        <f t="shared" si="1"/>
        <v>18.90680369569014</v>
      </c>
      <c r="J36" s="95">
        <f t="shared" si="6"/>
        <v>3</v>
      </c>
      <c r="K36" s="95">
        <f t="shared" si="2"/>
        <v>30</v>
      </c>
      <c r="L36" s="95"/>
      <c r="M36" s="97">
        <f t="shared" si="3"/>
        <v>48.906803695690144</v>
      </c>
      <c r="N36" s="97">
        <f t="shared" si="4"/>
        <v>58.688164434828167</v>
      </c>
      <c r="O36" s="80"/>
      <c r="P36" s="80"/>
      <c r="Q36" s="80"/>
      <c r="R36" s="80"/>
      <c r="S36" s="109"/>
      <c r="T36" s="110"/>
    </row>
    <row r="37" spans="1:20" s="85" customFormat="1" x14ac:dyDescent="0.25">
      <c r="A37" s="98">
        <f t="shared" si="5"/>
        <v>58.343200362342785</v>
      </c>
      <c r="B37" s="35">
        <f t="shared" si="0"/>
        <v>32</v>
      </c>
      <c r="C37" s="25" t="s">
        <v>222</v>
      </c>
      <c r="D37" s="25" t="s">
        <v>223</v>
      </c>
      <c r="E37" s="25" t="s">
        <v>166</v>
      </c>
      <c r="F37" s="25" t="s">
        <v>158</v>
      </c>
      <c r="G37" s="80"/>
      <c r="H37" s="99">
        <v>32</v>
      </c>
      <c r="I37" s="100">
        <f t="shared" si="1"/>
        <v>18.619333635285656</v>
      </c>
      <c r="J37" s="99">
        <f t="shared" si="6"/>
        <v>3</v>
      </c>
      <c r="K37" s="99">
        <f t="shared" si="2"/>
        <v>30</v>
      </c>
      <c r="L37" s="99"/>
      <c r="M37" s="101">
        <f t="shared" si="3"/>
        <v>48.619333635285656</v>
      </c>
      <c r="N37" s="101">
        <f t="shared" si="4"/>
        <v>58.343200362342785</v>
      </c>
      <c r="O37" s="80"/>
      <c r="P37" s="80"/>
      <c r="Q37" s="80"/>
      <c r="R37" s="80"/>
      <c r="S37" s="80"/>
    </row>
    <row r="38" spans="1:20" s="85" customFormat="1" x14ac:dyDescent="0.25">
      <c r="A38" s="94">
        <f t="shared" si="5"/>
        <v>46.008852270788488</v>
      </c>
      <c r="B38" s="36">
        <f t="shared" si="0"/>
        <v>33</v>
      </c>
      <c r="C38" s="24" t="s">
        <v>224</v>
      </c>
      <c r="D38" s="24" t="s">
        <v>225</v>
      </c>
      <c r="E38" s="24" t="s">
        <v>166</v>
      </c>
      <c r="F38" s="24" t="s">
        <v>158</v>
      </c>
      <c r="G38" s="80"/>
      <c r="H38" s="95">
        <v>33</v>
      </c>
      <c r="I38" s="96">
        <f t="shared" si="1"/>
        <v>18.340710225657073</v>
      </c>
      <c r="J38" s="95">
        <f t="shared" si="6"/>
        <v>2</v>
      </c>
      <c r="K38" s="95">
        <f t="shared" si="2"/>
        <v>20</v>
      </c>
      <c r="L38" s="95"/>
      <c r="M38" s="97">
        <f t="shared" si="3"/>
        <v>38.340710225657077</v>
      </c>
      <c r="N38" s="97">
        <f t="shared" si="4"/>
        <v>46.008852270788488</v>
      </c>
      <c r="O38" s="80"/>
      <c r="P38" s="80"/>
      <c r="Q38" s="80"/>
      <c r="R38" s="80"/>
      <c r="S38" s="109"/>
      <c r="T38" s="110"/>
    </row>
    <row r="39" spans="1:20" s="85" customFormat="1" x14ac:dyDescent="0.25">
      <c r="A39" s="98">
        <f t="shared" si="5"/>
        <v>45.68448622460194</v>
      </c>
      <c r="B39" s="35">
        <f t="shared" si="0"/>
        <v>34</v>
      </c>
      <c r="C39" s="25" t="s">
        <v>226</v>
      </c>
      <c r="D39" s="25" t="s">
        <v>227</v>
      </c>
      <c r="E39" s="25" t="s">
        <v>166</v>
      </c>
      <c r="F39" s="25" t="s">
        <v>158</v>
      </c>
      <c r="G39" s="80"/>
      <c r="H39" s="99">
        <v>34</v>
      </c>
      <c r="I39" s="100">
        <f t="shared" si="1"/>
        <v>18.070405187168284</v>
      </c>
      <c r="J39" s="99">
        <f t="shared" si="6"/>
        <v>2</v>
      </c>
      <c r="K39" s="99">
        <f t="shared" si="2"/>
        <v>20</v>
      </c>
      <c r="L39" s="99"/>
      <c r="M39" s="101">
        <f t="shared" si="3"/>
        <v>38.070405187168284</v>
      </c>
      <c r="N39" s="101">
        <f t="shared" si="4"/>
        <v>45.68448622460194</v>
      </c>
      <c r="O39" s="80"/>
      <c r="P39" s="80"/>
      <c r="Q39" s="80"/>
      <c r="R39" s="80"/>
      <c r="S39" s="80"/>
    </row>
    <row r="40" spans="1:20" s="85" customFormat="1" x14ac:dyDescent="0.25">
      <c r="A40" s="94">
        <f t="shared" si="5"/>
        <v>45.369523429213096</v>
      </c>
      <c r="B40" s="36">
        <f t="shared" si="0"/>
        <v>35</v>
      </c>
      <c r="C40" s="24" t="s">
        <v>228</v>
      </c>
      <c r="D40" s="24" t="s">
        <v>229</v>
      </c>
      <c r="E40" s="24" t="s">
        <v>157</v>
      </c>
      <c r="F40" s="24" t="s">
        <v>158</v>
      </c>
      <c r="G40" s="80"/>
      <c r="H40" s="95">
        <v>35</v>
      </c>
      <c r="I40" s="96">
        <f t="shared" si="1"/>
        <v>17.807936191010917</v>
      </c>
      <c r="J40" s="95">
        <f t="shared" si="6"/>
        <v>2</v>
      </c>
      <c r="K40" s="95">
        <f t="shared" si="2"/>
        <v>20</v>
      </c>
      <c r="L40" s="95"/>
      <c r="M40" s="97">
        <f t="shared" si="3"/>
        <v>37.807936191010917</v>
      </c>
      <c r="N40" s="97">
        <f t="shared" si="4"/>
        <v>45.369523429213096</v>
      </c>
      <c r="O40" s="80"/>
      <c r="P40" s="80"/>
      <c r="Q40" s="80"/>
      <c r="R40" s="80"/>
      <c r="S40" s="109"/>
      <c r="T40" s="110"/>
    </row>
    <row r="41" spans="1:20" s="85" customFormat="1" x14ac:dyDescent="0.25">
      <c r="A41" s="98">
        <f t="shared" si="5"/>
        <v>45.063434015794435</v>
      </c>
      <c r="B41" s="35">
        <f t="shared" si="0"/>
        <v>36</v>
      </c>
      <c r="C41" s="25" t="s">
        <v>230</v>
      </c>
      <c r="D41" s="25" t="s">
        <v>231</v>
      </c>
      <c r="E41" s="25" t="s">
        <v>157</v>
      </c>
      <c r="F41" s="25" t="s">
        <v>158</v>
      </c>
      <c r="G41" s="80"/>
      <c r="H41" s="99">
        <v>36</v>
      </c>
      <c r="I41" s="100">
        <f t="shared" si="1"/>
        <v>17.552861679828695</v>
      </c>
      <c r="J41" s="99">
        <f t="shared" si="6"/>
        <v>2</v>
      </c>
      <c r="K41" s="99">
        <f t="shared" si="2"/>
        <v>20</v>
      </c>
      <c r="L41" s="99"/>
      <c r="M41" s="101">
        <f t="shared" si="3"/>
        <v>37.552861679828695</v>
      </c>
      <c r="N41" s="101">
        <f t="shared" si="4"/>
        <v>45.063434015794435</v>
      </c>
      <c r="O41" s="80"/>
      <c r="P41" s="80"/>
      <c r="Q41" s="80"/>
      <c r="R41" s="80"/>
      <c r="S41" s="80"/>
    </row>
    <row r="42" spans="1:20" s="85" customFormat="1" x14ac:dyDescent="0.25">
      <c r="A42" s="94">
        <f t="shared" si="5"/>
        <v>44.765731677758332</v>
      </c>
      <c r="B42" s="36">
        <f t="shared" si="0"/>
        <v>37</v>
      </c>
      <c r="C42" s="24" t="s">
        <v>232</v>
      </c>
      <c r="D42" s="24" t="s">
        <v>233</v>
      </c>
      <c r="E42" s="24" t="s">
        <v>161</v>
      </c>
      <c r="F42" s="24" t="s">
        <v>158</v>
      </c>
      <c r="G42" s="80"/>
      <c r="H42" s="95">
        <v>37</v>
      </c>
      <c r="I42" s="96">
        <f t="shared" si="1"/>
        <v>17.304776398131942</v>
      </c>
      <c r="J42" s="95">
        <f t="shared" si="6"/>
        <v>2</v>
      </c>
      <c r="K42" s="95">
        <f t="shared" si="2"/>
        <v>20</v>
      </c>
      <c r="L42" s="95"/>
      <c r="M42" s="97">
        <f t="shared" si="3"/>
        <v>37.304776398131942</v>
      </c>
      <c r="N42" s="97">
        <f t="shared" si="4"/>
        <v>44.765731677758332</v>
      </c>
      <c r="O42" s="80"/>
      <c r="P42" s="80"/>
      <c r="Q42" s="80"/>
      <c r="R42" s="80"/>
      <c r="S42" s="109"/>
      <c r="T42" s="110"/>
    </row>
    <row r="43" spans="1:20" s="85" customFormat="1" x14ac:dyDescent="0.25">
      <c r="A43" s="98">
        <f t="shared" si="5"/>
        <v>44.475969022661253</v>
      </c>
      <c r="B43" s="35">
        <f t="shared" si="0"/>
        <v>38</v>
      </c>
      <c r="C43" s="25" t="s">
        <v>234</v>
      </c>
      <c r="D43" s="25" t="s">
        <v>156</v>
      </c>
      <c r="E43" s="25" t="s">
        <v>157</v>
      </c>
      <c r="F43" s="25" t="s">
        <v>158</v>
      </c>
      <c r="G43" s="80"/>
      <c r="H43" s="99">
        <v>38</v>
      </c>
      <c r="I43" s="100">
        <f t="shared" si="1"/>
        <v>17.063307518884379</v>
      </c>
      <c r="J43" s="99">
        <f t="shared" si="6"/>
        <v>2</v>
      </c>
      <c r="K43" s="99">
        <f t="shared" si="2"/>
        <v>20</v>
      </c>
      <c r="L43" s="99"/>
      <c r="M43" s="101">
        <f t="shared" si="3"/>
        <v>37.063307518884379</v>
      </c>
      <c r="N43" s="101">
        <f t="shared" si="4"/>
        <v>44.475969022661253</v>
      </c>
      <c r="O43" s="80"/>
      <c r="P43" s="80"/>
      <c r="Q43" s="80"/>
      <c r="R43" s="80"/>
      <c r="S43" s="80"/>
    </row>
    <row r="44" spans="1:20" s="85" customFormat="1" x14ac:dyDescent="0.25">
      <c r="A44" s="94">
        <f t="shared" si="5"/>
        <v>44.193733527975105</v>
      </c>
      <c r="B44" s="36">
        <f t="shared" si="0"/>
        <v>39</v>
      </c>
      <c r="C44" s="24" t="s">
        <v>235</v>
      </c>
      <c r="D44" s="24" t="s">
        <v>236</v>
      </c>
      <c r="E44" s="24" t="s">
        <v>237</v>
      </c>
      <c r="F44" s="24" t="s">
        <v>158</v>
      </c>
      <c r="G44" s="80"/>
      <c r="H44" s="95">
        <v>39</v>
      </c>
      <c r="I44" s="96">
        <f t="shared" si="1"/>
        <v>16.828111273312587</v>
      </c>
      <c r="J44" s="95">
        <f t="shared" si="6"/>
        <v>2</v>
      </c>
      <c r="K44" s="95">
        <f t="shared" si="2"/>
        <v>20</v>
      </c>
      <c r="L44" s="95"/>
      <c r="M44" s="97">
        <f t="shared" si="3"/>
        <v>36.828111273312587</v>
      </c>
      <c r="N44" s="97">
        <f t="shared" si="4"/>
        <v>44.193733527975105</v>
      </c>
      <c r="O44" s="80"/>
      <c r="P44" s="80"/>
      <c r="Q44" s="80"/>
      <c r="R44" s="80"/>
      <c r="S44" s="109"/>
      <c r="T44" s="110"/>
    </row>
    <row r="45" spans="1:20" s="85" customFormat="1" ht="38.75" x14ac:dyDescent="0.25">
      <c r="A45" s="98">
        <f t="shared" si="5"/>
        <v>43.918644008961564</v>
      </c>
      <c r="B45" s="35">
        <f t="shared" si="0"/>
        <v>40</v>
      </c>
      <c r="C45" s="25" t="s">
        <v>238</v>
      </c>
      <c r="D45" s="25" t="s">
        <v>239</v>
      </c>
      <c r="E45" s="25" t="s">
        <v>161</v>
      </c>
      <c r="F45" s="25" t="s">
        <v>158</v>
      </c>
      <c r="G45" s="80"/>
      <c r="H45" s="99">
        <v>40</v>
      </c>
      <c r="I45" s="100">
        <f t="shared" si="1"/>
        <v>16.598870007467973</v>
      </c>
      <c r="J45" s="99">
        <f t="shared" si="6"/>
        <v>2</v>
      </c>
      <c r="K45" s="99">
        <f t="shared" si="2"/>
        <v>20</v>
      </c>
      <c r="L45" s="99"/>
      <c r="M45" s="101">
        <f t="shared" si="3"/>
        <v>36.598870007467973</v>
      </c>
      <c r="N45" s="101">
        <f t="shared" si="4"/>
        <v>43.918644008961564</v>
      </c>
      <c r="O45" s="80"/>
      <c r="P45" s="80"/>
      <c r="Q45" s="80"/>
      <c r="R45" s="80"/>
      <c r="S45" s="80"/>
    </row>
    <row r="46" spans="1:20" s="85" customFormat="1" x14ac:dyDescent="0.25">
      <c r="A46" s="94">
        <f t="shared" si="5"/>
        <v>43.65034752275362</v>
      </c>
      <c r="B46" s="36">
        <f t="shared" si="0"/>
        <v>41</v>
      </c>
      <c r="C46" s="24" t="s">
        <v>240</v>
      </c>
      <c r="D46" s="24" t="s">
        <v>241</v>
      </c>
      <c r="E46" s="24" t="s">
        <v>157</v>
      </c>
      <c r="F46" s="24" t="s">
        <v>158</v>
      </c>
      <c r="G46" s="80"/>
      <c r="H46" s="95">
        <v>41</v>
      </c>
      <c r="I46" s="96">
        <f t="shared" si="1"/>
        <v>16.375289602294686</v>
      </c>
      <c r="J46" s="95">
        <f t="shared" si="6"/>
        <v>2</v>
      </c>
      <c r="K46" s="95">
        <f t="shared" si="2"/>
        <v>20</v>
      </c>
      <c r="L46" s="95"/>
      <c r="M46" s="97">
        <f t="shared" si="3"/>
        <v>36.375289602294686</v>
      </c>
      <c r="N46" s="97">
        <f t="shared" si="4"/>
        <v>43.65034752275362</v>
      </c>
      <c r="O46" s="80"/>
      <c r="P46" s="80"/>
      <c r="Q46" s="80"/>
      <c r="R46" s="80"/>
      <c r="S46" s="109"/>
      <c r="T46" s="110"/>
    </row>
    <row r="47" spans="1:20" s="85" customFormat="1" x14ac:dyDescent="0.25">
      <c r="A47" s="98">
        <f t="shared" si="5"/>
        <v>43.388516645554418</v>
      </c>
      <c r="B47" s="35">
        <f t="shared" si="0"/>
        <v>42</v>
      </c>
      <c r="C47" s="25" t="s">
        <v>242</v>
      </c>
      <c r="D47" s="25" t="s">
        <v>243</v>
      </c>
      <c r="E47" s="25" t="s">
        <v>166</v>
      </c>
      <c r="F47" s="25" t="s">
        <v>158</v>
      </c>
      <c r="G47" s="80"/>
      <c r="H47" s="99">
        <v>42</v>
      </c>
      <c r="I47" s="100">
        <f t="shared" si="1"/>
        <v>16.157097204628684</v>
      </c>
      <c r="J47" s="99">
        <f t="shared" si="6"/>
        <v>2</v>
      </c>
      <c r="K47" s="99">
        <f t="shared" si="2"/>
        <v>20</v>
      </c>
      <c r="L47" s="99"/>
      <c r="M47" s="101">
        <f t="shared" si="3"/>
        <v>36.157097204628684</v>
      </c>
      <c r="N47" s="101">
        <f t="shared" si="4"/>
        <v>43.388516645554418</v>
      </c>
      <c r="O47" s="80"/>
      <c r="P47" s="80"/>
      <c r="Q47" s="80"/>
      <c r="R47" s="80"/>
      <c r="S47" s="80"/>
    </row>
    <row r="48" spans="1:20" s="85" customFormat="1" ht="25.85" x14ac:dyDescent="0.25">
      <c r="A48" s="94">
        <f t="shared" si="5"/>
        <v>43.132847070260389</v>
      </c>
      <c r="B48" s="36">
        <f t="shared" si="0"/>
        <v>43</v>
      </c>
      <c r="C48" s="24" t="s">
        <v>244</v>
      </c>
      <c r="D48" s="24" t="s">
        <v>245</v>
      </c>
      <c r="E48" s="24" t="s">
        <v>203</v>
      </c>
      <c r="F48" s="24" t="s">
        <v>158</v>
      </c>
      <c r="G48" s="80"/>
      <c r="H48" s="95">
        <v>43</v>
      </c>
      <c r="I48" s="96">
        <f t="shared" si="1"/>
        <v>15.94403922521699</v>
      </c>
      <c r="J48" s="95">
        <f t="shared" si="6"/>
        <v>2</v>
      </c>
      <c r="K48" s="95">
        <f t="shared" si="2"/>
        <v>20</v>
      </c>
      <c r="L48" s="95"/>
      <c r="M48" s="97">
        <f t="shared" si="3"/>
        <v>35.94403922521699</v>
      </c>
      <c r="N48" s="97">
        <f t="shared" si="4"/>
        <v>43.132847070260389</v>
      </c>
      <c r="O48" s="80"/>
      <c r="P48" s="80"/>
      <c r="Q48" s="80"/>
      <c r="R48" s="80"/>
      <c r="S48" s="109"/>
      <c r="T48" s="110"/>
    </row>
    <row r="49" spans="1:20" s="85" customFormat="1" x14ac:dyDescent="0.25">
      <c r="A49" s="98">
        <f t="shared" si="5"/>
        <v>42.883055480296946</v>
      </c>
      <c r="B49" s="35">
        <f t="shared" si="0"/>
        <v>44</v>
      </c>
      <c r="C49" s="25" t="s">
        <v>246</v>
      </c>
      <c r="D49" s="25" t="s">
        <v>247</v>
      </c>
      <c r="E49" s="25" t="s">
        <v>157</v>
      </c>
      <c r="F49" s="25" t="s">
        <v>158</v>
      </c>
      <c r="G49" s="80"/>
      <c r="H49" s="99">
        <v>44</v>
      </c>
      <c r="I49" s="100">
        <f t="shared" si="1"/>
        <v>15.735879566914122</v>
      </c>
      <c r="J49" s="99">
        <f t="shared" si="6"/>
        <v>2</v>
      </c>
      <c r="K49" s="99">
        <f t="shared" si="2"/>
        <v>20</v>
      </c>
      <c r="L49" s="99"/>
      <c r="M49" s="101">
        <f t="shared" si="3"/>
        <v>35.735879566914122</v>
      </c>
      <c r="N49" s="101">
        <f t="shared" si="4"/>
        <v>42.883055480296946</v>
      </c>
      <c r="O49" s="80"/>
      <c r="P49" s="80"/>
      <c r="Q49" s="80"/>
      <c r="R49" s="80"/>
      <c r="S49" s="80"/>
    </row>
    <row r="50" spans="1:20" s="85" customFormat="1" x14ac:dyDescent="0.25">
      <c r="A50" s="94">
        <f t="shared" si="5"/>
        <v>42.638877662413215</v>
      </c>
      <c r="B50" s="36">
        <f t="shared" si="0"/>
        <v>45</v>
      </c>
      <c r="C50" s="24" t="s">
        <v>248</v>
      </c>
      <c r="D50" s="24" t="s">
        <v>249</v>
      </c>
      <c r="E50" s="24" t="s">
        <v>182</v>
      </c>
      <c r="F50" s="24" t="s">
        <v>158</v>
      </c>
      <c r="G50" s="80"/>
      <c r="H50" s="95">
        <v>45</v>
      </c>
      <c r="I50" s="96">
        <f t="shared" si="1"/>
        <v>15.532398052011011</v>
      </c>
      <c r="J50" s="95">
        <f t="shared" si="6"/>
        <v>2</v>
      </c>
      <c r="K50" s="95">
        <f t="shared" si="2"/>
        <v>20</v>
      </c>
      <c r="L50" s="95"/>
      <c r="M50" s="97">
        <f t="shared" si="3"/>
        <v>35.532398052011011</v>
      </c>
      <c r="N50" s="97">
        <f t="shared" si="4"/>
        <v>42.638877662413215</v>
      </c>
      <c r="O50" s="80"/>
      <c r="P50" s="80"/>
      <c r="Q50" s="80"/>
      <c r="R50" s="80"/>
      <c r="S50" s="109"/>
      <c r="T50" s="110"/>
    </row>
    <row r="51" spans="1:20" s="85" customFormat="1" x14ac:dyDescent="0.25">
      <c r="A51" s="98">
        <f t="shared" si="5"/>
        <v>42.40006682691503</v>
      </c>
      <c r="B51" s="35">
        <f t="shared" si="0"/>
        <v>46</v>
      </c>
      <c r="C51" s="25" t="s">
        <v>250</v>
      </c>
      <c r="D51" s="25" t="s">
        <v>175</v>
      </c>
      <c r="E51" s="25" t="s">
        <v>157</v>
      </c>
      <c r="F51" s="25" t="s">
        <v>158</v>
      </c>
      <c r="G51" s="80"/>
      <c r="H51" s="99">
        <v>46</v>
      </c>
      <c r="I51" s="100">
        <f t="shared" si="1"/>
        <v>15.333389022429195</v>
      </c>
      <c r="J51" s="99">
        <f t="shared" si="6"/>
        <v>2</v>
      </c>
      <c r="K51" s="99">
        <f t="shared" si="2"/>
        <v>20</v>
      </c>
      <c r="L51" s="99"/>
      <c r="M51" s="101">
        <f t="shared" si="3"/>
        <v>35.333389022429195</v>
      </c>
      <c r="N51" s="101">
        <f t="shared" si="4"/>
        <v>42.40006682691503</v>
      </c>
      <c r="O51" s="80"/>
      <c r="P51" s="80"/>
      <c r="Q51" s="80"/>
      <c r="R51" s="80"/>
      <c r="S51" s="80"/>
    </row>
    <row r="52" spans="1:20" s="85" customFormat="1" x14ac:dyDescent="0.25">
      <c r="A52" s="94">
        <f t="shared" si="5"/>
        <v>42.166392108562157</v>
      </c>
      <c r="B52" s="36">
        <f t="shared" si="0"/>
        <v>47</v>
      </c>
      <c r="C52" s="24" t="s">
        <v>251</v>
      </c>
      <c r="D52" s="24" t="s">
        <v>252</v>
      </c>
      <c r="E52" s="24" t="s">
        <v>157</v>
      </c>
      <c r="F52" s="24" t="s">
        <v>158</v>
      </c>
      <c r="G52" s="80"/>
      <c r="H52" s="95">
        <v>47</v>
      </c>
      <c r="I52" s="96">
        <f t="shared" si="1"/>
        <v>15.138660090468463</v>
      </c>
      <c r="J52" s="95">
        <f t="shared" si="6"/>
        <v>2</v>
      </c>
      <c r="K52" s="95">
        <f t="shared" si="2"/>
        <v>20</v>
      </c>
      <c r="L52" s="95"/>
      <c r="M52" s="97">
        <f t="shared" si="3"/>
        <v>35.138660090468463</v>
      </c>
      <c r="N52" s="97">
        <f t="shared" si="4"/>
        <v>42.166392108562157</v>
      </c>
      <c r="O52" s="80"/>
      <c r="P52" s="80"/>
      <c r="Q52" s="80"/>
      <c r="R52" s="80"/>
      <c r="S52" s="109"/>
      <c r="T52" s="110"/>
    </row>
    <row r="53" spans="1:20" s="85" customFormat="1" x14ac:dyDescent="0.25">
      <c r="A53" s="98">
        <f t="shared" si="5"/>
        <v>41.937637225302893</v>
      </c>
      <c r="B53" s="35">
        <f t="shared" si="0"/>
        <v>48</v>
      </c>
      <c r="C53" s="25" t="s">
        <v>253</v>
      </c>
      <c r="D53" s="25" t="s">
        <v>186</v>
      </c>
      <c r="E53" s="25" t="s">
        <v>157</v>
      </c>
      <c r="F53" s="25" t="s">
        <v>158</v>
      </c>
      <c r="G53" s="80"/>
      <c r="H53" s="99">
        <v>48</v>
      </c>
      <c r="I53" s="100">
        <f t="shared" si="1"/>
        <v>14.948031021085747</v>
      </c>
      <c r="J53" s="99">
        <f t="shared" si="6"/>
        <v>2</v>
      </c>
      <c r="K53" s="99">
        <f t="shared" si="2"/>
        <v>20</v>
      </c>
      <c r="L53" s="99"/>
      <c r="M53" s="101">
        <f t="shared" si="3"/>
        <v>34.948031021085747</v>
      </c>
      <c r="N53" s="101">
        <f t="shared" si="4"/>
        <v>41.937637225302893</v>
      </c>
      <c r="O53" s="80"/>
      <c r="P53" s="80"/>
      <c r="Q53" s="80"/>
      <c r="R53" s="80"/>
      <c r="S53" s="80"/>
    </row>
    <row r="54" spans="1:20" s="85" customFormat="1" x14ac:dyDescent="0.25">
      <c r="A54" s="94">
        <f t="shared" si="5"/>
        <v>41.713599275314415</v>
      </c>
      <c r="B54" s="36">
        <f t="shared" si="0"/>
        <v>49</v>
      </c>
      <c r="C54" s="24" t="s">
        <v>254</v>
      </c>
      <c r="D54" s="24" t="s">
        <v>255</v>
      </c>
      <c r="E54" s="24" t="s">
        <v>157</v>
      </c>
      <c r="F54" s="24" t="s">
        <v>158</v>
      </c>
      <c r="G54" s="80"/>
      <c r="H54" s="95">
        <v>49</v>
      </c>
      <c r="I54" s="96">
        <f t="shared" si="1"/>
        <v>14.76133272942868</v>
      </c>
      <c r="J54" s="95">
        <f t="shared" si="6"/>
        <v>2</v>
      </c>
      <c r="K54" s="95">
        <f t="shared" si="2"/>
        <v>20</v>
      </c>
      <c r="L54" s="95"/>
      <c r="M54" s="97">
        <f t="shared" si="3"/>
        <v>34.76133272942868</v>
      </c>
      <c r="N54" s="97">
        <f t="shared" si="4"/>
        <v>41.713599275314415</v>
      </c>
      <c r="O54" s="80"/>
      <c r="P54" s="80"/>
      <c r="Q54" s="80"/>
      <c r="R54" s="80"/>
      <c r="S54" s="109"/>
      <c r="T54" s="110"/>
    </row>
    <row r="55" spans="1:20" s="85" customFormat="1" x14ac:dyDescent="0.25">
      <c r="A55" s="98">
        <f t="shared" si="5"/>
        <v>41.494087655580351</v>
      </c>
      <c r="B55" s="35">
        <f t="shared" si="0"/>
        <v>50</v>
      </c>
      <c r="C55" s="25" t="s">
        <v>256</v>
      </c>
      <c r="D55" s="25" t="s">
        <v>257</v>
      </c>
      <c r="E55" s="25" t="s">
        <v>219</v>
      </c>
      <c r="F55" s="25" t="s">
        <v>158</v>
      </c>
      <c r="G55" s="80"/>
      <c r="H55" s="99">
        <v>50</v>
      </c>
      <c r="I55" s="100">
        <f t="shared" si="1"/>
        <v>14.578406379650296</v>
      </c>
      <c r="J55" s="99">
        <f t="shared" si="6"/>
        <v>2</v>
      </c>
      <c r="K55" s="99">
        <f t="shared" si="2"/>
        <v>20</v>
      </c>
      <c r="L55" s="99"/>
      <c r="M55" s="101">
        <f t="shared" si="3"/>
        <v>34.578406379650296</v>
      </c>
      <c r="N55" s="101">
        <f t="shared" si="4"/>
        <v>41.494087655580351</v>
      </c>
      <c r="O55" s="80"/>
      <c r="P55" s="80"/>
      <c r="Q55" s="80"/>
      <c r="R55" s="80"/>
      <c r="S55" s="80"/>
    </row>
    <row r="56" spans="1:20" s="85" customFormat="1" x14ac:dyDescent="0.25">
      <c r="A56" s="94">
        <f t="shared" si="5"/>
        <v>41.278923087562049</v>
      </c>
      <c r="B56" s="36">
        <f t="shared" si="0"/>
        <v>51</v>
      </c>
      <c r="C56" s="24" t="s">
        <v>258</v>
      </c>
      <c r="D56" s="24" t="s">
        <v>259</v>
      </c>
      <c r="E56" s="24" t="s">
        <v>260</v>
      </c>
      <c r="F56" s="24" t="s">
        <v>158</v>
      </c>
      <c r="G56" s="80"/>
      <c r="H56" s="95">
        <v>51</v>
      </c>
      <c r="I56" s="96">
        <f t="shared" si="1"/>
        <v>14.399102572968374</v>
      </c>
      <c r="J56" s="95">
        <f t="shared" si="6"/>
        <v>2</v>
      </c>
      <c r="K56" s="95">
        <f t="shared" si="2"/>
        <v>20</v>
      </c>
      <c r="L56" s="95"/>
      <c r="M56" s="97">
        <f t="shared" si="3"/>
        <v>34.399102572968374</v>
      </c>
      <c r="N56" s="97">
        <f t="shared" si="4"/>
        <v>41.278923087562049</v>
      </c>
      <c r="O56" s="80"/>
      <c r="P56" s="80"/>
      <c r="Q56" s="80"/>
      <c r="R56" s="80"/>
      <c r="S56" s="109"/>
      <c r="T56" s="110"/>
    </row>
    <row r="57" spans="1:20" s="85" customFormat="1" x14ac:dyDescent="0.25">
      <c r="A57" s="98">
        <f t="shared" si="5"/>
        <v>41.067936737483549</v>
      </c>
      <c r="B57" s="35">
        <f t="shared" si="0"/>
        <v>52</v>
      </c>
      <c r="C57" s="25" t="s">
        <v>261</v>
      </c>
      <c r="D57" s="25" t="s">
        <v>262</v>
      </c>
      <c r="E57" s="25" t="s">
        <v>166</v>
      </c>
      <c r="F57" s="25" t="s">
        <v>158</v>
      </c>
      <c r="G57" s="80"/>
      <c r="H57" s="99">
        <v>52</v>
      </c>
      <c r="I57" s="100">
        <f t="shared" si="1"/>
        <v>14.223280614569624</v>
      </c>
      <c r="J57" s="99">
        <f t="shared" si="6"/>
        <v>2</v>
      </c>
      <c r="K57" s="99">
        <f t="shared" si="2"/>
        <v>20</v>
      </c>
      <c r="L57" s="99"/>
      <c r="M57" s="101">
        <f t="shared" si="3"/>
        <v>34.223280614569624</v>
      </c>
      <c r="N57" s="101">
        <f t="shared" si="4"/>
        <v>41.067936737483549</v>
      </c>
      <c r="O57" s="80"/>
      <c r="P57" s="80"/>
      <c r="Q57" s="80"/>
      <c r="R57" s="80"/>
      <c r="S57" s="80"/>
    </row>
    <row r="58" spans="1:20" s="85" customFormat="1" x14ac:dyDescent="0.25">
      <c r="A58" s="94">
        <f t="shared" si="5"/>
        <v>40.860969420415039</v>
      </c>
      <c r="B58" s="36">
        <f t="shared" si="0"/>
        <v>53</v>
      </c>
      <c r="C58" s="24" t="s">
        <v>263</v>
      </c>
      <c r="D58" s="24" t="s">
        <v>264</v>
      </c>
      <c r="E58" s="24" t="s">
        <v>161</v>
      </c>
      <c r="F58" s="24" t="s">
        <v>158</v>
      </c>
      <c r="G58" s="80"/>
      <c r="H58" s="95">
        <v>53</v>
      </c>
      <c r="I58" s="96">
        <f t="shared" si="1"/>
        <v>14.050807850345869</v>
      </c>
      <c r="J58" s="95">
        <f t="shared" si="6"/>
        <v>2</v>
      </c>
      <c r="K58" s="95">
        <f t="shared" si="2"/>
        <v>20</v>
      </c>
      <c r="L58" s="95"/>
      <c r="M58" s="97">
        <f t="shared" si="3"/>
        <v>34.050807850345869</v>
      </c>
      <c r="N58" s="97">
        <f t="shared" si="4"/>
        <v>40.860969420415039</v>
      </c>
      <c r="O58" s="80"/>
      <c r="P58" s="80"/>
      <c r="Q58" s="80"/>
      <c r="R58" s="80"/>
      <c r="S58" s="109"/>
      <c r="T58" s="110"/>
    </row>
    <row r="59" spans="1:20" s="85" customFormat="1" ht="38.75" x14ac:dyDescent="0.25">
      <c r="A59" s="98">
        <f t="shared" si="5"/>
        <v>40.65787087875453</v>
      </c>
      <c r="B59" s="35">
        <f t="shared" si="0"/>
        <v>54</v>
      </c>
      <c r="C59" s="25" t="s">
        <v>265</v>
      </c>
      <c r="D59" s="25" t="s">
        <v>165</v>
      </c>
      <c r="E59" s="25" t="s">
        <v>182</v>
      </c>
      <c r="F59" s="25" t="s">
        <v>158</v>
      </c>
      <c r="G59" s="80"/>
      <c r="H59" s="99">
        <v>54</v>
      </c>
      <c r="I59" s="100">
        <f t="shared" si="1"/>
        <v>13.881559065628778</v>
      </c>
      <c r="J59" s="99">
        <f t="shared" si="6"/>
        <v>2</v>
      </c>
      <c r="K59" s="99">
        <f t="shared" si="2"/>
        <v>20</v>
      </c>
      <c r="L59" s="99"/>
      <c r="M59" s="101">
        <f t="shared" si="3"/>
        <v>33.881559065628778</v>
      </c>
      <c r="N59" s="101">
        <f t="shared" si="4"/>
        <v>40.65787087875453</v>
      </c>
      <c r="O59" s="80"/>
      <c r="P59" s="80"/>
      <c r="Q59" s="80"/>
      <c r="R59" s="80"/>
      <c r="S59" s="80"/>
    </row>
    <row r="60" spans="1:20" s="85" customFormat="1" x14ac:dyDescent="0.25">
      <c r="A60" s="94">
        <f t="shared" si="5"/>
        <v>40.458499126915726</v>
      </c>
      <c r="B60" s="36">
        <f t="shared" si="0"/>
        <v>55</v>
      </c>
      <c r="C60" s="24" t="s">
        <v>266</v>
      </c>
      <c r="D60" s="24" t="s">
        <v>267</v>
      </c>
      <c r="E60" s="24" t="s">
        <v>268</v>
      </c>
      <c r="F60" s="24" t="s">
        <v>158</v>
      </c>
      <c r="G60" s="80"/>
      <c r="H60" s="95">
        <v>55</v>
      </c>
      <c r="I60" s="96">
        <f t="shared" si="1"/>
        <v>13.715415939096438</v>
      </c>
      <c r="J60" s="95">
        <f t="shared" si="6"/>
        <v>2</v>
      </c>
      <c r="K60" s="95">
        <f t="shared" si="2"/>
        <v>20</v>
      </c>
      <c r="L60" s="95"/>
      <c r="M60" s="97">
        <f t="shared" si="3"/>
        <v>33.715415939096438</v>
      </c>
      <c r="N60" s="97">
        <f t="shared" si="4"/>
        <v>40.458499126915726</v>
      </c>
      <c r="O60" s="80"/>
      <c r="P60" s="80"/>
      <c r="Q60" s="80"/>
      <c r="R60" s="80"/>
      <c r="S60" s="109"/>
      <c r="T60" s="110"/>
    </row>
    <row r="61" spans="1:20" s="85" customFormat="1" x14ac:dyDescent="0.25">
      <c r="A61" s="98">
        <f t="shared" si="5"/>
        <v>40.262719855062883</v>
      </c>
      <c r="B61" s="35">
        <f t="shared" si="0"/>
        <v>56</v>
      </c>
      <c r="C61" s="25" t="s">
        <v>269</v>
      </c>
      <c r="D61" s="25" t="s">
        <v>270</v>
      </c>
      <c r="E61" s="25" t="s">
        <v>203</v>
      </c>
      <c r="F61" s="25" t="s">
        <v>158</v>
      </c>
      <c r="G61" s="80"/>
      <c r="H61" s="99">
        <v>56</v>
      </c>
      <c r="I61" s="100">
        <f t="shared" si="1"/>
        <v>13.552266545885736</v>
      </c>
      <c r="J61" s="99">
        <f t="shared" si="6"/>
        <v>2</v>
      </c>
      <c r="K61" s="99">
        <f t="shared" si="2"/>
        <v>20</v>
      </c>
      <c r="L61" s="99"/>
      <c r="M61" s="101">
        <f t="shared" si="3"/>
        <v>33.552266545885736</v>
      </c>
      <c r="N61" s="101">
        <f t="shared" si="4"/>
        <v>40.262719855062883</v>
      </c>
      <c r="O61" s="80"/>
      <c r="P61" s="80"/>
      <c r="Q61" s="80"/>
      <c r="R61" s="80"/>
      <c r="S61" s="80"/>
    </row>
    <row r="62" spans="1:20" s="85" customFormat="1" ht="25.85" x14ac:dyDescent="0.25">
      <c r="A62" s="94">
        <f t="shared" si="5"/>
        <v>40.070405885621355</v>
      </c>
      <c r="B62" s="36">
        <f t="shared" si="0"/>
        <v>57</v>
      </c>
      <c r="C62" s="24" t="s">
        <v>271</v>
      </c>
      <c r="D62" s="24" t="s">
        <v>272</v>
      </c>
      <c r="E62" s="24" t="s">
        <v>187</v>
      </c>
      <c r="F62" s="24" t="s">
        <v>158</v>
      </c>
      <c r="G62" s="80"/>
      <c r="H62" s="95">
        <v>57</v>
      </c>
      <c r="I62" s="96">
        <f t="shared" si="1"/>
        <v>13.392004904684462</v>
      </c>
      <c r="J62" s="95">
        <f t="shared" si="6"/>
        <v>2</v>
      </c>
      <c r="K62" s="95">
        <f t="shared" si="2"/>
        <v>20</v>
      </c>
      <c r="L62" s="95"/>
      <c r="M62" s="97">
        <f t="shared" si="3"/>
        <v>33.392004904684462</v>
      </c>
      <c r="N62" s="97">
        <f t="shared" si="4"/>
        <v>40.070405885621355</v>
      </c>
      <c r="O62" s="80"/>
      <c r="P62" s="80"/>
      <c r="Q62" s="80"/>
      <c r="R62" s="80"/>
      <c r="S62" s="109"/>
      <c r="T62" s="110"/>
    </row>
    <row r="63" spans="1:20" s="85" customFormat="1" x14ac:dyDescent="0.25">
      <c r="A63" s="98">
        <f t="shared" si="5"/>
        <v>39.881436677055447</v>
      </c>
      <c r="B63" s="35">
        <f t="shared" si="0"/>
        <v>58</v>
      </c>
      <c r="C63" s="25" t="s">
        <v>273</v>
      </c>
      <c r="D63" s="25" t="s">
        <v>274</v>
      </c>
      <c r="E63" s="25" t="s">
        <v>166</v>
      </c>
      <c r="F63" s="25" t="s">
        <v>158</v>
      </c>
      <c r="G63" s="80"/>
      <c r="H63" s="99">
        <v>58</v>
      </c>
      <c r="I63" s="100">
        <f t="shared" si="1"/>
        <v>13.234530564212875</v>
      </c>
      <c r="J63" s="99">
        <f t="shared" si="6"/>
        <v>2</v>
      </c>
      <c r="K63" s="99">
        <f t="shared" si="2"/>
        <v>20</v>
      </c>
      <c r="L63" s="99"/>
      <c r="M63" s="101">
        <f t="shared" si="3"/>
        <v>33.234530564212875</v>
      </c>
      <c r="N63" s="101">
        <f t="shared" si="4"/>
        <v>39.881436677055447</v>
      </c>
      <c r="O63" s="80"/>
      <c r="P63" s="80"/>
      <c r="Q63" s="80"/>
      <c r="R63" s="80"/>
      <c r="S63" s="80"/>
    </row>
    <row r="64" spans="1:20" s="85" customFormat="1" x14ac:dyDescent="0.25">
      <c r="A64" s="94">
        <f t="shared" si="5"/>
        <v>39.695697870064862</v>
      </c>
      <c r="B64" s="36">
        <f t="shared" si="0"/>
        <v>59</v>
      </c>
      <c r="C64" s="24" t="s">
        <v>275</v>
      </c>
      <c r="D64" s="24" t="s">
        <v>276</v>
      </c>
      <c r="E64" s="24" t="s">
        <v>166</v>
      </c>
      <c r="F64" s="24" t="s">
        <v>158</v>
      </c>
      <c r="G64" s="80"/>
      <c r="H64" s="95">
        <v>59</v>
      </c>
      <c r="I64" s="96">
        <f t="shared" si="1"/>
        <v>13.079748225054054</v>
      </c>
      <c r="J64" s="95">
        <f t="shared" si="6"/>
        <v>2</v>
      </c>
      <c r="K64" s="95">
        <f t="shared" si="2"/>
        <v>20</v>
      </c>
      <c r="L64" s="95"/>
      <c r="M64" s="97">
        <f t="shared" si="3"/>
        <v>33.079748225054054</v>
      </c>
      <c r="N64" s="97">
        <f t="shared" si="4"/>
        <v>39.695697870064862</v>
      </c>
      <c r="O64" s="80"/>
      <c r="P64" s="80"/>
      <c r="Q64" s="80"/>
      <c r="R64" s="80"/>
      <c r="S64" s="109"/>
      <c r="T64" s="110"/>
    </row>
    <row r="65" spans="1:20" s="85" customFormat="1" x14ac:dyDescent="0.25">
      <c r="A65" s="98">
        <f t="shared" si="5"/>
        <v>39.513080871921666</v>
      </c>
      <c r="B65" s="35">
        <f t="shared" si="0"/>
        <v>60</v>
      </c>
      <c r="C65" s="25" t="s">
        <v>277</v>
      </c>
      <c r="D65" s="25" t="s">
        <v>278</v>
      </c>
      <c r="E65" s="25" t="s">
        <v>237</v>
      </c>
      <c r="F65" s="25" t="s">
        <v>158</v>
      </c>
      <c r="G65" s="80"/>
      <c r="H65" s="99">
        <v>60</v>
      </c>
      <c r="I65" s="100">
        <f t="shared" si="1"/>
        <v>12.927567393268056</v>
      </c>
      <c r="J65" s="99">
        <f t="shared" si="6"/>
        <v>2</v>
      </c>
      <c r="K65" s="99">
        <f t="shared" si="2"/>
        <v>20</v>
      </c>
      <c r="L65" s="99"/>
      <c r="M65" s="101">
        <f t="shared" si="3"/>
        <v>32.927567393268056</v>
      </c>
      <c r="N65" s="101">
        <f t="shared" si="4"/>
        <v>39.513080871921666</v>
      </c>
      <c r="O65" s="80"/>
      <c r="P65" s="80"/>
      <c r="Q65" s="80"/>
      <c r="R65" s="80"/>
      <c r="S65" s="80"/>
    </row>
    <row r="66" spans="1:20" s="85" customFormat="1" x14ac:dyDescent="0.25">
      <c r="A66" s="94">
        <f t="shared" si="5"/>
        <v>39.333482475164359</v>
      </c>
      <c r="B66" s="36">
        <f t="shared" si="0"/>
        <v>61</v>
      </c>
      <c r="C66" s="24" t="s">
        <v>279</v>
      </c>
      <c r="D66" s="24" t="s">
        <v>280</v>
      </c>
      <c r="E66" s="24" t="s">
        <v>187</v>
      </c>
      <c r="F66" s="24" t="s">
        <v>158</v>
      </c>
      <c r="G66" s="80"/>
      <c r="H66" s="95">
        <v>61</v>
      </c>
      <c r="I66" s="96">
        <f t="shared" si="1"/>
        <v>12.777902062636969</v>
      </c>
      <c r="J66" s="95">
        <f t="shared" si="6"/>
        <v>2</v>
      </c>
      <c r="K66" s="95">
        <f t="shared" si="2"/>
        <v>20</v>
      </c>
      <c r="L66" s="95"/>
      <c r="M66" s="97">
        <f t="shared" si="3"/>
        <v>32.777902062636969</v>
      </c>
      <c r="N66" s="97">
        <f t="shared" si="4"/>
        <v>39.333482475164359</v>
      </c>
      <c r="O66" s="80"/>
      <c r="P66" s="80"/>
      <c r="Q66" s="80"/>
      <c r="R66" s="80"/>
      <c r="S66" s="109"/>
      <c r="T66" s="110"/>
    </row>
    <row r="67" spans="1:20" s="85" customFormat="1" x14ac:dyDescent="0.25">
      <c r="A67" s="98">
        <f t="shared" si="5"/>
        <v>39.156804507296727</v>
      </c>
      <c r="B67" s="35">
        <f t="shared" si="0"/>
        <v>62</v>
      </c>
      <c r="C67" s="25" t="s">
        <v>281</v>
      </c>
      <c r="D67" s="25" t="s">
        <v>282</v>
      </c>
      <c r="E67" s="25" t="s">
        <v>172</v>
      </c>
      <c r="F67" s="25" t="s">
        <v>158</v>
      </c>
      <c r="G67" s="80"/>
      <c r="H67" s="99">
        <v>62</v>
      </c>
      <c r="I67" s="100">
        <f t="shared" si="1"/>
        <v>12.630670422747272</v>
      </c>
      <c r="J67" s="99">
        <f t="shared" si="6"/>
        <v>2</v>
      </c>
      <c r="K67" s="99">
        <f t="shared" si="2"/>
        <v>20</v>
      </c>
      <c r="L67" s="99"/>
      <c r="M67" s="101">
        <f t="shared" si="3"/>
        <v>32.630670422747272</v>
      </c>
      <c r="N67" s="101">
        <f t="shared" si="4"/>
        <v>39.156804507296727</v>
      </c>
      <c r="O67" s="80"/>
      <c r="P67" s="80"/>
      <c r="Q67" s="80"/>
      <c r="R67" s="80"/>
      <c r="S67" s="80"/>
    </row>
    <row r="68" spans="1:20" s="85" customFormat="1" x14ac:dyDescent="0.25">
      <c r="A68" s="94">
        <f t="shared" si="5"/>
        <v>38.982953508514527</v>
      </c>
      <c r="B68" s="36">
        <f t="shared" si="0"/>
        <v>63</v>
      </c>
      <c r="C68" s="24" t="s">
        <v>283</v>
      </c>
      <c r="D68" s="24" t="s">
        <v>284</v>
      </c>
      <c r="E68" s="24" t="s">
        <v>157</v>
      </c>
      <c r="F68" s="24" t="s">
        <v>158</v>
      </c>
      <c r="G68" s="80"/>
      <c r="H68" s="95">
        <v>63</v>
      </c>
      <c r="I68" s="96">
        <f t="shared" si="1"/>
        <v>12.485794590428775</v>
      </c>
      <c r="J68" s="95">
        <f t="shared" si="6"/>
        <v>2</v>
      </c>
      <c r="K68" s="95">
        <f t="shared" si="2"/>
        <v>20</v>
      </c>
      <c r="L68" s="95"/>
      <c r="M68" s="97">
        <f t="shared" si="3"/>
        <v>32.485794590428775</v>
      </c>
      <c r="N68" s="97">
        <f t="shared" si="4"/>
        <v>38.982953508514527</v>
      </c>
      <c r="O68" s="80"/>
      <c r="P68" s="80"/>
      <c r="Q68" s="80"/>
      <c r="R68" s="80"/>
      <c r="S68" s="109"/>
      <c r="T68" s="110"/>
    </row>
    <row r="69" spans="1:20" s="85" customFormat="1" x14ac:dyDescent="0.25">
      <c r="A69" s="98">
        <f t="shared" si="5"/>
        <v>38.811840434811351</v>
      </c>
      <c r="B69" s="35">
        <f t="shared" si="0"/>
        <v>64</v>
      </c>
      <c r="C69" s="25" t="s">
        <v>285</v>
      </c>
      <c r="D69" s="25" t="s">
        <v>286</v>
      </c>
      <c r="E69" s="25" t="s">
        <v>187</v>
      </c>
      <c r="F69" s="25" t="s">
        <v>158</v>
      </c>
      <c r="G69" s="80"/>
      <c r="H69" s="99">
        <v>64</v>
      </c>
      <c r="I69" s="100">
        <f t="shared" si="1"/>
        <v>12.343200362342792</v>
      </c>
      <c r="J69" s="99">
        <f t="shared" si="6"/>
        <v>2</v>
      </c>
      <c r="K69" s="99">
        <f t="shared" si="2"/>
        <v>20</v>
      </c>
      <c r="L69" s="99"/>
      <c r="M69" s="101">
        <f t="shared" si="3"/>
        <v>32.343200362342792</v>
      </c>
      <c r="N69" s="101">
        <f t="shared" si="4"/>
        <v>38.811840434811351</v>
      </c>
      <c r="O69" s="80"/>
      <c r="P69" s="80"/>
      <c r="Q69" s="80"/>
      <c r="R69" s="80"/>
      <c r="S69" s="80"/>
    </row>
    <row r="70" spans="1:20" s="85" customFormat="1" x14ac:dyDescent="0.25">
      <c r="A70" s="94">
        <f t="shared" si="5"/>
        <v>26.643380384102336</v>
      </c>
      <c r="B70" s="36">
        <f t="shared" ref="B70:B133" si="7">IF(H70&gt;$H$2,"",(ROW()-5))</f>
        <v>65</v>
      </c>
      <c r="C70" s="24" t="s">
        <v>287</v>
      </c>
      <c r="D70" s="24" t="s">
        <v>179</v>
      </c>
      <c r="E70" s="24" t="s">
        <v>157</v>
      </c>
      <c r="F70" s="24" t="s">
        <v>158</v>
      </c>
      <c r="G70" s="80"/>
      <c r="H70" s="95">
        <v>65</v>
      </c>
      <c r="I70" s="96">
        <f t="shared" ref="I70:I133" si="8">IF(H70&lt;$H$2+1,($I$2-($I$2-1)*(LOG(H70)/LOG($H$2))),"")</f>
        <v>12.202816986751948</v>
      </c>
      <c r="J70" s="95">
        <f t="shared" si="6"/>
        <v>1</v>
      </c>
      <c r="K70" s="95">
        <f t="shared" ref="K70:K133" si="9">J70*$J$2</f>
        <v>10</v>
      </c>
      <c r="L70" s="95"/>
      <c r="M70" s="97">
        <f t="shared" ref="M70:M133" si="10">IF(I70&lt;&gt;"",K70+I70+L70,0)</f>
        <v>22.202816986751948</v>
      </c>
      <c r="N70" s="97">
        <f t="shared" ref="N70:N133" si="11">IF(I70&lt;&gt;"",M70*L$2,0)</f>
        <v>26.643380384102336</v>
      </c>
      <c r="O70" s="80"/>
      <c r="P70" s="80"/>
      <c r="Q70" s="80"/>
      <c r="R70" s="80"/>
      <c r="S70" s="109"/>
      <c r="T70" s="110"/>
    </row>
    <row r="71" spans="1:20" s="85" customFormat="1" x14ac:dyDescent="0.25">
      <c r="A71" s="98">
        <f t="shared" ref="A71:A134" si="12">N71</f>
        <v>26.477492343257044</v>
      </c>
      <c r="B71" s="35">
        <f t="shared" si="7"/>
        <v>66</v>
      </c>
      <c r="C71" s="25" t="s">
        <v>288</v>
      </c>
      <c r="D71" s="25" t="s">
        <v>227</v>
      </c>
      <c r="E71" s="25" t="s">
        <v>187</v>
      </c>
      <c r="F71" s="25" t="s">
        <v>158</v>
      </c>
      <c r="G71" s="80"/>
      <c r="H71" s="99">
        <v>66</v>
      </c>
      <c r="I71" s="100">
        <f t="shared" si="8"/>
        <v>12.064576952714205</v>
      </c>
      <c r="J71" s="99">
        <f t="shared" ref="J71:J134" si="13">INT(LOG($H$2,2))-ROUNDUP(LOG(H71,2),0)+IF(OR($H$2=1,$H$2=2,$H$2=4,$H$2=8,$H$2=16,$H$2=32,$H$2=64,$H$2=128,$H$2=256),0,1)</f>
        <v>1</v>
      </c>
      <c r="K71" s="99">
        <f t="shared" si="9"/>
        <v>10</v>
      </c>
      <c r="L71" s="99"/>
      <c r="M71" s="101">
        <f t="shared" si="10"/>
        <v>22.064576952714205</v>
      </c>
      <c r="N71" s="101">
        <f t="shared" si="11"/>
        <v>26.477492343257044</v>
      </c>
      <c r="O71" s="80"/>
      <c r="P71" s="80"/>
      <c r="Q71" s="80"/>
      <c r="R71" s="80"/>
      <c r="S71" s="80"/>
    </row>
    <row r="72" spans="1:20" s="85" customFormat="1" x14ac:dyDescent="0.25">
      <c r="A72" s="94">
        <f t="shared" si="12"/>
        <v>26.314098954154687</v>
      </c>
      <c r="B72" s="36">
        <f t="shared" si="7"/>
        <v>67</v>
      </c>
      <c r="C72" s="24" t="s">
        <v>289</v>
      </c>
      <c r="D72" s="24" t="s">
        <v>290</v>
      </c>
      <c r="E72" s="24" t="s">
        <v>157</v>
      </c>
      <c r="F72" s="24" t="s">
        <v>158</v>
      </c>
      <c r="G72" s="80"/>
      <c r="H72" s="95">
        <v>67</v>
      </c>
      <c r="I72" s="96">
        <f t="shared" si="8"/>
        <v>11.928415795128906</v>
      </c>
      <c r="J72" s="95">
        <f t="shared" si="13"/>
        <v>1</v>
      </c>
      <c r="K72" s="95">
        <f t="shared" si="9"/>
        <v>10</v>
      </c>
      <c r="L72" s="95"/>
      <c r="M72" s="97">
        <f t="shared" si="10"/>
        <v>21.928415795128906</v>
      </c>
      <c r="N72" s="97">
        <f t="shared" si="11"/>
        <v>26.314098954154687</v>
      </c>
      <c r="O72" s="80"/>
      <c r="P72" s="80"/>
      <c r="Q72" s="80"/>
      <c r="R72" s="80"/>
      <c r="S72" s="109"/>
      <c r="T72" s="110"/>
    </row>
    <row r="73" spans="1:20" s="85" customFormat="1" x14ac:dyDescent="0.25">
      <c r="A73" s="98">
        <f t="shared" si="12"/>
        <v>26.153126297070493</v>
      </c>
      <c r="B73" s="35">
        <f t="shared" si="7"/>
        <v>68</v>
      </c>
      <c r="C73" s="25" t="s">
        <v>291</v>
      </c>
      <c r="D73" s="25" t="s">
        <v>292</v>
      </c>
      <c r="E73" s="25" t="s">
        <v>161</v>
      </c>
      <c r="F73" s="25" t="s">
        <v>158</v>
      </c>
      <c r="G73" s="80"/>
      <c r="H73" s="99">
        <v>68</v>
      </c>
      <c r="I73" s="100">
        <f t="shared" si="8"/>
        <v>11.794271914225412</v>
      </c>
      <c r="J73" s="99">
        <f t="shared" si="13"/>
        <v>1</v>
      </c>
      <c r="K73" s="99">
        <f t="shared" si="9"/>
        <v>10</v>
      </c>
      <c r="L73" s="99"/>
      <c r="M73" s="101">
        <f t="shared" si="10"/>
        <v>21.794271914225412</v>
      </c>
      <c r="N73" s="101">
        <f t="shared" si="11"/>
        <v>26.153126297070493</v>
      </c>
      <c r="O73" s="80"/>
      <c r="P73" s="80"/>
      <c r="Q73" s="80"/>
      <c r="R73" s="80"/>
      <c r="S73" s="80"/>
    </row>
    <row r="74" spans="1:20" s="85" customFormat="1" x14ac:dyDescent="0.25">
      <c r="A74" s="94">
        <f t="shared" si="12"/>
        <v>25.994503689875124</v>
      </c>
      <c r="B74" s="36">
        <f t="shared" si="7"/>
        <v>69</v>
      </c>
      <c r="C74" s="24" t="s">
        <v>293</v>
      </c>
      <c r="D74" s="24" t="s">
        <v>294</v>
      </c>
      <c r="E74" s="24" t="s">
        <v>295</v>
      </c>
      <c r="F74" s="24" t="s">
        <v>158</v>
      </c>
      <c r="G74" s="80"/>
      <c r="H74" s="95">
        <v>69</v>
      </c>
      <c r="I74" s="96">
        <f t="shared" si="8"/>
        <v>11.662086408229271</v>
      </c>
      <c r="J74" s="95">
        <f t="shared" si="13"/>
        <v>1</v>
      </c>
      <c r="K74" s="95">
        <f t="shared" si="9"/>
        <v>10</v>
      </c>
      <c r="L74" s="95"/>
      <c r="M74" s="97">
        <f t="shared" si="10"/>
        <v>21.662086408229271</v>
      </c>
      <c r="N74" s="97">
        <f t="shared" si="11"/>
        <v>25.994503689875124</v>
      </c>
      <c r="O74" s="80"/>
      <c r="P74" s="80"/>
      <c r="Q74" s="80"/>
      <c r="R74" s="80"/>
      <c r="S74" s="109"/>
      <c r="T74" s="110"/>
    </row>
    <row r="75" spans="1:20" s="85" customFormat="1" ht="25.85" x14ac:dyDescent="0.25">
      <c r="A75" s="98">
        <f t="shared" si="12"/>
        <v>25.838163501681652</v>
      </c>
      <c r="B75" s="35">
        <f t="shared" si="7"/>
        <v>70</v>
      </c>
      <c r="C75" s="25" t="s">
        <v>296</v>
      </c>
      <c r="D75" s="25" t="s">
        <v>297</v>
      </c>
      <c r="E75" s="25" t="s">
        <v>157</v>
      </c>
      <c r="F75" s="25" t="s">
        <v>158</v>
      </c>
      <c r="G75" s="80"/>
      <c r="H75" s="99">
        <v>70</v>
      </c>
      <c r="I75" s="100">
        <f t="shared" si="8"/>
        <v>11.531802918068045</v>
      </c>
      <c r="J75" s="99">
        <f t="shared" si="13"/>
        <v>1</v>
      </c>
      <c r="K75" s="99">
        <f t="shared" si="9"/>
        <v>10</v>
      </c>
      <c r="L75" s="99"/>
      <c r="M75" s="101">
        <f t="shared" si="10"/>
        <v>21.531802918068045</v>
      </c>
      <c r="N75" s="101">
        <f t="shared" si="11"/>
        <v>25.838163501681652</v>
      </c>
      <c r="O75" s="80"/>
      <c r="P75" s="80"/>
      <c r="Q75" s="80"/>
      <c r="R75" s="80"/>
      <c r="S75" s="80"/>
    </row>
    <row r="76" spans="1:20" s="85" customFormat="1" x14ac:dyDescent="0.25">
      <c r="A76" s="94">
        <f t="shared" si="12"/>
        <v>25.684040979710534</v>
      </c>
      <c r="B76" s="36">
        <f t="shared" si="7"/>
        <v>71</v>
      </c>
      <c r="C76" s="24" t="s">
        <v>298</v>
      </c>
      <c r="D76" s="24" t="s">
        <v>299</v>
      </c>
      <c r="E76" s="24" t="s">
        <v>161</v>
      </c>
      <c r="F76" s="24" t="s">
        <v>158</v>
      </c>
      <c r="G76" s="80"/>
      <c r="H76" s="95">
        <v>71</v>
      </c>
      <c r="I76" s="96">
        <f t="shared" si="8"/>
        <v>11.403367483092111</v>
      </c>
      <c r="J76" s="95">
        <f t="shared" si="13"/>
        <v>1</v>
      </c>
      <c r="K76" s="95">
        <f t="shared" si="9"/>
        <v>10</v>
      </c>
      <c r="L76" s="95"/>
      <c r="M76" s="97">
        <f t="shared" si="10"/>
        <v>21.403367483092111</v>
      </c>
      <c r="N76" s="97">
        <f t="shared" si="11"/>
        <v>25.684040979710534</v>
      </c>
      <c r="O76" s="80"/>
      <c r="P76" s="80"/>
      <c r="Q76" s="80"/>
      <c r="R76" s="80"/>
      <c r="S76" s="109"/>
      <c r="T76" s="110"/>
    </row>
    <row r="77" spans="1:20" s="85" customFormat="1" x14ac:dyDescent="0.25">
      <c r="A77" s="98">
        <f t="shared" si="12"/>
        <v>25.532074088262995</v>
      </c>
      <c r="B77" s="35">
        <f t="shared" si="7"/>
        <v>72</v>
      </c>
      <c r="C77" s="25" t="s">
        <v>300</v>
      </c>
      <c r="D77" s="25" t="s">
        <v>301</v>
      </c>
      <c r="E77" s="25" t="s">
        <v>157</v>
      </c>
      <c r="F77" s="25" t="s">
        <v>158</v>
      </c>
      <c r="G77" s="80"/>
      <c r="H77" s="99">
        <v>72</v>
      </c>
      <c r="I77" s="100">
        <f t="shared" si="8"/>
        <v>11.27672840688583</v>
      </c>
      <c r="J77" s="99">
        <f t="shared" si="13"/>
        <v>1</v>
      </c>
      <c r="K77" s="99">
        <f t="shared" si="9"/>
        <v>10</v>
      </c>
      <c r="L77" s="99"/>
      <c r="M77" s="101">
        <f t="shared" si="10"/>
        <v>21.27672840688583</v>
      </c>
      <c r="N77" s="101">
        <f t="shared" si="11"/>
        <v>25.532074088262995</v>
      </c>
      <c r="O77" s="80"/>
      <c r="P77" s="80"/>
      <c r="Q77" s="80"/>
      <c r="R77" s="80"/>
      <c r="S77" s="80"/>
    </row>
    <row r="78" spans="1:20" s="85" customFormat="1" x14ac:dyDescent="0.25">
      <c r="A78" s="94">
        <f t="shared" si="12"/>
        <v>25.382203358801053</v>
      </c>
      <c r="B78" s="36">
        <f t="shared" si="7"/>
        <v>73</v>
      </c>
      <c r="C78" s="24" t="s">
        <v>302</v>
      </c>
      <c r="D78" s="24" t="s">
        <v>303</v>
      </c>
      <c r="E78" s="24" t="s">
        <v>166</v>
      </c>
      <c r="F78" s="24" t="s">
        <v>158</v>
      </c>
      <c r="G78" s="80"/>
      <c r="H78" s="95">
        <v>73</v>
      </c>
      <c r="I78" s="96">
        <f t="shared" si="8"/>
        <v>11.151836132334211</v>
      </c>
      <c r="J78" s="95">
        <f t="shared" si="13"/>
        <v>1</v>
      </c>
      <c r="K78" s="95">
        <f t="shared" si="9"/>
        <v>10</v>
      </c>
      <c r="L78" s="95"/>
      <c r="M78" s="97">
        <f t="shared" si="10"/>
        <v>21.151836132334211</v>
      </c>
      <c r="N78" s="97">
        <f t="shared" si="11"/>
        <v>25.382203358801053</v>
      </c>
      <c r="O78" s="80"/>
      <c r="P78" s="80"/>
      <c r="Q78" s="80"/>
      <c r="R78" s="80"/>
      <c r="S78" s="109"/>
      <c r="T78" s="110"/>
    </row>
    <row r="79" spans="1:20" s="85" customFormat="1" ht="25.85" x14ac:dyDescent="0.25">
      <c r="A79" s="98">
        <f t="shared" si="12"/>
        <v>25.234371750226885</v>
      </c>
      <c r="B79" s="35">
        <f t="shared" si="7"/>
        <v>74</v>
      </c>
      <c r="C79" s="25" t="s">
        <v>304</v>
      </c>
      <c r="D79" s="25" t="s">
        <v>305</v>
      </c>
      <c r="E79" s="25" t="s">
        <v>306</v>
      </c>
      <c r="F79" s="25" t="s">
        <v>158</v>
      </c>
      <c r="G79" s="80"/>
      <c r="H79" s="99">
        <v>74</v>
      </c>
      <c r="I79" s="100">
        <f t="shared" si="8"/>
        <v>11.02864312518907</v>
      </c>
      <c r="J79" s="99">
        <f t="shared" si="13"/>
        <v>1</v>
      </c>
      <c r="K79" s="99">
        <f t="shared" si="9"/>
        <v>10</v>
      </c>
      <c r="L79" s="99"/>
      <c r="M79" s="101">
        <f t="shared" si="10"/>
        <v>21.02864312518907</v>
      </c>
      <c r="N79" s="101">
        <f t="shared" si="11"/>
        <v>25.234371750226885</v>
      </c>
      <c r="O79" s="80"/>
      <c r="P79" s="80"/>
      <c r="Q79" s="80"/>
      <c r="R79" s="80"/>
      <c r="S79" s="80"/>
    </row>
    <row r="80" spans="1:20" s="85" customFormat="1" x14ac:dyDescent="0.25">
      <c r="A80" s="94">
        <f t="shared" si="12"/>
        <v>25.088524518540456</v>
      </c>
      <c r="B80" s="36">
        <f t="shared" si="7"/>
        <v>75</v>
      </c>
      <c r="C80" s="24" t="s">
        <v>307</v>
      </c>
      <c r="D80" s="24" t="s">
        <v>308</v>
      </c>
      <c r="E80" s="24" t="s">
        <v>166</v>
      </c>
      <c r="F80" s="24" t="s">
        <v>158</v>
      </c>
      <c r="G80" s="80"/>
      <c r="H80" s="95">
        <v>75</v>
      </c>
      <c r="I80" s="96">
        <f t="shared" si="8"/>
        <v>10.90710376545038</v>
      </c>
      <c r="J80" s="95">
        <f t="shared" si="13"/>
        <v>1</v>
      </c>
      <c r="K80" s="95">
        <f t="shared" si="9"/>
        <v>10</v>
      </c>
      <c r="L80" s="95"/>
      <c r="M80" s="97">
        <f t="shared" si="10"/>
        <v>20.90710376545038</v>
      </c>
      <c r="N80" s="97">
        <f t="shared" si="11"/>
        <v>25.088524518540456</v>
      </c>
      <c r="O80" s="80"/>
      <c r="P80" s="80"/>
      <c r="Q80" s="80"/>
      <c r="R80" s="80"/>
      <c r="S80" s="109"/>
      <c r="T80" s="110"/>
    </row>
    <row r="81" spans="1:20" s="85" customFormat="1" x14ac:dyDescent="0.25">
      <c r="A81" s="98">
        <f t="shared" si="12"/>
        <v>24.944609095129817</v>
      </c>
      <c r="B81" s="35">
        <f t="shared" si="7"/>
        <v>76</v>
      </c>
      <c r="C81" s="25" t="s">
        <v>309</v>
      </c>
      <c r="D81" s="25" t="s">
        <v>310</v>
      </c>
      <c r="E81" s="25" t="s">
        <v>166</v>
      </c>
      <c r="F81" s="25" t="s">
        <v>158</v>
      </c>
      <c r="G81" s="80"/>
      <c r="H81" s="99">
        <v>76</v>
      </c>
      <c r="I81" s="100">
        <f t="shared" si="8"/>
        <v>10.787174245941515</v>
      </c>
      <c r="J81" s="99">
        <f t="shared" si="13"/>
        <v>1</v>
      </c>
      <c r="K81" s="99">
        <f t="shared" si="9"/>
        <v>10</v>
      </c>
      <c r="L81" s="99"/>
      <c r="M81" s="101">
        <f t="shared" si="10"/>
        <v>20.787174245941515</v>
      </c>
      <c r="N81" s="101">
        <f t="shared" si="11"/>
        <v>24.944609095129817</v>
      </c>
      <c r="O81" s="80"/>
      <c r="P81" s="80"/>
      <c r="Q81" s="80"/>
      <c r="R81" s="80"/>
      <c r="S81" s="80"/>
    </row>
    <row r="82" spans="1:20" s="85" customFormat="1" ht="38.75" x14ac:dyDescent="0.25">
      <c r="A82" s="94">
        <f t="shared" si="12"/>
        <v>24.802574973017041</v>
      </c>
      <c r="B82" s="36">
        <f t="shared" si="7"/>
        <v>77</v>
      </c>
      <c r="C82" s="24" t="s">
        <v>311</v>
      </c>
      <c r="D82" s="24" t="s">
        <v>312</v>
      </c>
      <c r="E82" s="24" t="s">
        <v>157</v>
      </c>
      <c r="F82" s="24" t="s">
        <v>158</v>
      </c>
      <c r="G82" s="80"/>
      <c r="H82" s="95">
        <v>77</v>
      </c>
      <c r="I82" s="96">
        <f t="shared" si="8"/>
        <v>10.668812477514201</v>
      </c>
      <c r="J82" s="95">
        <f t="shared" si="13"/>
        <v>1</v>
      </c>
      <c r="K82" s="95">
        <f t="shared" si="9"/>
        <v>10</v>
      </c>
      <c r="L82" s="95"/>
      <c r="M82" s="97">
        <f t="shared" si="10"/>
        <v>20.668812477514201</v>
      </c>
      <c r="N82" s="97">
        <f t="shared" si="11"/>
        <v>24.802574973017041</v>
      </c>
      <c r="O82" s="80"/>
      <c r="P82" s="80"/>
      <c r="Q82" s="80"/>
      <c r="R82" s="80"/>
      <c r="S82" s="109"/>
      <c r="T82" s="110"/>
    </row>
    <row r="83" spans="1:20" s="85" customFormat="1" x14ac:dyDescent="0.25">
      <c r="A83" s="98">
        <f t="shared" si="12"/>
        <v>24.662373600443658</v>
      </c>
      <c r="B83" s="35">
        <f t="shared" si="7"/>
        <v>78</v>
      </c>
      <c r="C83" s="25" t="s">
        <v>313</v>
      </c>
      <c r="D83" s="25" t="s">
        <v>314</v>
      </c>
      <c r="E83" s="25" t="s">
        <v>315</v>
      </c>
      <c r="F83" s="25" t="s">
        <v>158</v>
      </c>
      <c r="G83" s="80"/>
      <c r="H83" s="99">
        <v>78</v>
      </c>
      <c r="I83" s="100">
        <f t="shared" si="8"/>
        <v>10.551978000369715</v>
      </c>
      <c r="J83" s="99">
        <f t="shared" si="13"/>
        <v>1</v>
      </c>
      <c r="K83" s="99">
        <f t="shared" si="9"/>
        <v>10</v>
      </c>
      <c r="L83" s="99"/>
      <c r="M83" s="101">
        <f t="shared" si="10"/>
        <v>20.551978000369715</v>
      </c>
      <c r="N83" s="101">
        <f t="shared" si="11"/>
        <v>24.662373600443658</v>
      </c>
      <c r="O83" s="80"/>
      <c r="P83" s="80"/>
      <c r="Q83" s="80"/>
      <c r="R83" s="80"/>
      <c r="S83" s="80"/>
    </row>
    <row r="84" spans="1:20" s="85" customFormat="1" x14ac:dyDescent="0.25">
      <c r="A84" s="94">
        <f t="shared" si="12"/>
        <v>24.523958281234794</v>
      </c>
      <c r="B84" s="36">
        <f t="shared" si="7"/>
        <v>79</v>
      </c>
      <c r="C84" s="24" t="s">
        <v>316</v>
      </c>
      <c r="D84" s="24" t="s">
        <v>236</v>
      </c>
      <c r="E84" s="24" t="s">
        <v>157</v>
      </c>
      <c r="F84" s="24" t="s">
        <v>158</v>
      </c>
      <c r="G84" s="80"/>
      <c r="H84" s="95">
        <v>79</v>
      </c>
      <c r="I84" s="96">
        <f t="shared" si="8"/>
        <v>10.436631901028996</v>
      </c>
      <c r="J84" s="95">
        <f t="shared" si="13"/>
        <v>1</v>
      </c>
      <c r="K84" s="95">
        <f t="shared" si="9"/>
        <v>10</v>
      </c>
      <c r="L84" s="95"/>
      <c r="M84" s="97">
        <f t="shared" si="10"/>
        <v>20.436631901028996</v>
      </c>
      <c r="N84" s="97">
        <f t="shared" si="11"/>
        <v>24.523958281234794</v>
      </c>
      <c r="O84" s="80"/>
      <c r="P84" s="80"/>
      <c r="Q84" s="80"/>
      <c r="R84" s="80"/>
      <c r="S84" s="109"/>
      <c r="T84" s="110"/>
    </row>
    <row r="85" spans="1:20" s="85" customFormat="1" x14ac:dyDescent="0.25">
      <c r="A85" s="98">
        <f t="shared" si="12"/>
        <v>24.387284081430128</v>
      </c>
      <c r="B85" s="35">
        <f t="shared" si="7"/>
        <v>80</v>
      </c>
      <c r="C85" s="25" t="s">
        <v>317</v>
      </c>
      <c r="D85" s="25" t="s">
        <v>221</v>
      </c>
      <c r="E85" s="25" t="s">
        <v>157</v>
      </c>
      <c r="F85" s="25" t="s">
        <v>158</v>
      </c>
      <c r="G85" s="80"/>
      <c r="H85" s="99">
        <v>80</v>
      </c>
      <c r="I85" s="100">
        <f t="shared" si="8"/>
        <v>10.322736734525108</v>
      </c>
      <c r="J85" s="99">
        <f t="shared" si="13"/>
        <v>1</v>
      </c>
      <c r="K85" s="99">
        <f t="shared" si="9"/>
        <v>10</v>
      </c>
      <c r="L85" s="99"/>
      <c r="M85" s="101">
        <f t="shared" si="10"/>
        <v>20.322736734525108</v>
      </c>
      <c r="N85" s="101">
        <f t="shared" si="11"/>
        <v>24.387284081430128</v>
      </c>
      <c r="O85" s="80"/>
      <c r="P85" s="80"/>
      <c r="Q85" s="80"/>
      <c r="R85" s="80"/>
      <c r="S85" s="80"/>
    </row>
    <row r="86" spans="1:20" s="85" customFormat="1" x14ac:dyDescent="0.25">
      <c r="A86" s="94">
        <f t="shared" si="12"/>
        <v>24.252307741714642</v>
      </c>
      <c r="B86" s="36">
        <f t="shared" si="7"/>
        <v>81</v>
      </c>
      <c r="C86" s="24" t="s">
        <v>318</v>
      </c>
      <c r="D86" s="24" t="s">
        <v>319</v>
      </c>
      <c r="E86" s="24" t="s">
        <v>203</v>
      </c>
      <c r="F86" s="24" t="s">
        <v>158</v>
      </c>
      <c r="G86" s="80"/>
      <c r="H86" s="95">
        <v>81</v>
      </c>
      <c r="I86" s="96">
        <f t="shared" si="8"/>
        <v>10.210256451428869</v>
      </c>
      <c r="J86" s="95">
        <f t="shared" si="13"/>
        <v>1</v>
      </c>
      <c r="K86" s="95">
        <f t="shared" si="9"/>
        <v>10</v>
      </c>
      <c r="L86" s="95"/>
      <c r="M86" s="97">
        <f t="shared" si="10"/>
        <v>20.210256451428869</v>
      </c>
      <c r="N86" s="97">
        <f t="shared" si="11"/>
        <v>24.252307741714642</v>
      </c>
      <c r="O86" s="80"/>
      <c r="P86" s="80"/>
      <c r="Q86" s="80"/>
      <c r="R86" s="80"/>
      <c r="S86" s="109"/>
      <c r="T86" s="110"/>
    </row>
    <row r="87" spans="1:20" s="85" customFormat="1" x14ac:dyDescent="0.25">
      <c r="A87" s="98">
        <f t="shared" si="12"/>
        <v>24.118987595222176</v>
      </c>
      <c r="B87" s="35">
        <f t="shared" si="7"/>
        <v>82</v>
      </c>
      <c r="C87" s="25" t="s">
        <v>320</v>
      </c>
      <c r="D87" s="25" t="s">
        <v>252</v>
      </c>
      <c r="E87" s="25" t="s">
        <v>157</v>
      </c>
      <c r="F87" s="25" t="s">
        <v>158</v>
      </c>
      <c r="G87" s="80"/>
      <c r="H87" s="99">
        <v>82</v>
      </c>
      <c r="I87" s="100">
        <f t="shared" si="8"/>
        <v>10.099156329351814</v>
      </c>
      <c r="J87" s="99">
        <f t="shared" si="13"/>
        <v>1</v>
      </c>
      <c r="K87" s="99">
        <f t="shared" si="9"/>
        <v>10</v>
      </c>
      <c r="L87" s="99"/>
      <c r="M87" s="101">
        <f t="shared" si="10"/>
        <v>20.099156329351814</v>
      </c>
      <c r="N87" s="101">
        <f t="shared" si="11"/>
        <v>24.118987595222176</v>
      </c>
      <c r="O87" s="80"/>
      <c r="P87" s="80"/>
      <c r="Q87" s="80"/>
      <c r="R87" s="80"/>
      <c r="S87" s="80"/>
    </row>
    <row r="88" spans="1:20" s="85" customFormat="1" x14ac:dyDescent="0.25">
      <c r="A88" s="94">
        <f t="shared" si="12"/>
        <v>23.987283490320944</v>
      </c>
      <c r="B88" s="36">
        <f t="shared" si="7"/>
        <v>83</v>
      </c>
      <c r="C88" s="24" t="s">
        <v>321</v>
      </c>
      <c r="D88" s="24" t="s">
        <v>322</v>
      </c>
      <c r="E88" s="24" t="s">
        <v>237</v>
      </c>
      <c r="F88" s="24" t="s">
        <v>158</v>
      </c>
      <c r="G88" s="80"/>
      <c r="H88" s="95">
        <v>83</v>
      </c>
      <c r="I88" s="96">
        <f t="shared" si="8"/>
        <v>9.9894029086007876</v>
      </c>
      <c r="J88" s="95">
        <f t="shared" si="13"/>
        <v>1</v>
      </c>
      <c r="K88" s="95">
        <f t="shared" si="9"/>
        <v>10</v>
      </c>
      <c r="L88" s="95"/>
      <c r="M88" s="97">
        <f t="shared" si="10"/>
        <v>19.989402908600788</v>
      </c>
      <c r="N88" s="97">
        <f t="shared" si="11"/>
        <v>23.987283490320944</v>
      </c>
      <c r="O88" s="80"/>
      <c r="P88" s="80"/>
      <c r="Q88" s="80"/>
      <c r="R88" s="80"/>
      <c r="S88" s="109"/>
      <c r="T88" s="110"/>
    </row>
    <row r="89" spans="1:20" s="85" customFormat="1" ht="38.75" x14ac:dyDescent="0.25">
      <c r="A89" s="98">
        <f t="shared" si="12"/>
        <v>23.857156718022981</v>
      </c>
      <c r="B89" s="35">
        <f t="shared" si="7"/>
        <v>84</v>
      </c>
      <c r="C89" s="25" t="s">
        <v>323</v>
      </c>
      <c r="D89" s="25" t="s">
        <v>324</v>
      </c>
      <c r="E89" s="25" t="s">
        <v>190</v>
      </c>
      <c r="F89" s="25" t="s">
        <v>158</v>
      </c>
      <c r="G89" s="80"/>
      <c r="H89" s="99">
        <v>84</v>
      </c>
      <c r="I89" s="100">
        <f t="shared" si="8"/>
        <v>9.8809639316858195</v>
      </c>
      <c r="J89" s="99">
        <f t="shared" si="13"/>
        <v>1</v>
      </c>
      <c r="K89" s="99">
        <f t="shared" si="9"/>
        <v>10</v>
      </c>
      <c r="L89" s="99"/>
      <c r="M89" s="101">
        <f t="shared" si="10"/>
        <v>19.88096393168582</v>
      </c>
      <c r="N89" s="101">
        <f t="shared" si="11"/>
        <v>23.857156718022981</v>
      </c>
      <c r="O89" s="80"/>
      <c r="P89" s="80"/>
      <c r="Q89" s="80"/>
      <c r="R89" s="80"/>
      <c r="S89" s="80"/>
    </row>
    <row r="90" spans="1:20" s="85" customFormat="1" x14ac:dyDescent="0.25">
      <c r="A90" s="94">
        <f t="shared" si="12"/>
        <v>23.728569943689283</v>
      </c>
      <c r="B90" s="36">
        <f t="shared" si="7"/>
        <v>85</v>
      </c>
      <c r="C90" s="24" t="s">
        <v>325</v>
      </c>
      <c r="D90" s="24" t="s">
        <v>326</v>
      </c>
      <c r="E90" s="24" t="s">
        <v>327</v>
      </c>
      <c r="F90" s="24" t="s">
        <v>158</v>
      </c>
      <c r="G90" s="80"/>
      <c r="H90" s="95">
        <v>85</v>
      </c>
      <c r="I90" s="96">
        <f t="shared" si="8"/>
        <v>9.7738082864077356</v>
      </c>
      <c r="J90" s="95">
        <f t="shared" si="13"/>
        <v>1</v>
      </c>
      <c r="K90" s="95">
        <f t="shared" si="9"/>
        <v>10</v>
      </c>
      <c r="L90" s="95"/>
      <c r="M90" s="97">
        <f t="shared" si="10"/>
        <v>19.773808286407736</v>
      </c>
      <c r="N90" s="97">
        <f t="shared" si="11"/>
        <v>23.728569943689283</v>
      </c>
      <c r="O90" s="80"/>
      <c r="P90" s="80"/>
      <c r="Q90" s="80"/>
      <c r="R90" s="80"/>
      <c r="S90" s="109"/>
      <c r="T90" s="110"/>
    </row>
    <row r="91" spans="1:20" s="85" customFormat="1" x14ac:dyDescent="0.25">
      <c r="A91" s="98">
        <f t="shared" si="12"/>
        <v>23.601487142728949</v>
      </c>
      <c r="B91" s="35">
        <f t="shared" si="7"/>
        <v>86</v>
      </c>
      <c r="C91" s="25" t="s">
        <v>328</v>
      </c>
      <c r="D91" s="25" t="s">
        <v>319</v>
      </c>
      <c r="E91" s="25" t="s">
        <v>295</v>
      </c>
      <c r="F91" s="25" t="s">
        <v>158</v>
      </c>
      <c r="G91" s="80"/>
      <c r="H91" s="99">
        <v>86</v>
      </c>
      <c r="I91" s="100">
        <f t="shared" si="8"/>
        <v>9.6679059522741255</v>
      </c>
      <c r="J91" s="99">
        <f t="shared" si="13"/>
        <v>1</v>
      </c>
      <c r="K91" s="99">
        <f t="shared" si="9"/>
        <v>10</v>
      </c>
      <c r="L91" s="99"/>
      <c r="M91" s="101">
        <f t="shared" si="10"/>
        <v>19.667905952274126</v>
      </c>
      <c r="N91" s="101">
        <f t="shared" si="11"/>
        <v>23.601487142728949</v>
      </c>
      <c r="O91" s="80"/>
      <c r="P91" s="80"/>
      <c r="Q91" s="80"/>
      <c r="R91" s="80"/>
      <c r="S91" s="80"/>
    </row>
    <row r="92" spans="1:20" s="85" customFormat="1" x14ac:dyDescent="0.25">
      <c r="A92" s="94">
        <f t="shared" si="12"/>
        <v>23.475873540015549</v>
      </c>
      <c r="B92" s="36">
        <f t="shared" si="7"/>
        <v>87</v>
      </c>
      <c r="C92" s="24" t="s">
        <v>329</v>
      </c>
      <c r="D92" s="24" t="s">
        <v>330</v>
      </c>
      <c r="E92" s="24" t="s">
        <v>331</v>
      </c>
      <c r="F92" s="24" t="s">
        <v>158</v>
      </c>
      <c r="G92" s="80"/>
      <c r="H92" s="95">
        <v>87</v>
      </c>
      <c r="I92" s="96">
        <f t="shared" si="8"/>
        <v>9.5632279500129584</v>
      </c>
      <c r="J92" s="95">
        <f t="shared" si="13"/>
        <v>1</v>
      </c>
      <c r="K92" s="95">
        <f t="shared" si="9"/>
        <v>10</v>
      </c>
      <c r="L92" s="95"/>
      <c r="M92" s="97">
        <f t="shared" si="10"/>
        <v>19.563227950012958</v>
      </c>
      <c r="N92" s="97">
        <f t="shared" si="11"/>
        <v>23.475873540015549</v>
      </c>
      <c r="O92" s="80"/>
      <c r="P92" s="80"/>
      <c r="Q92" s="80"/>
      <c r="R92" s="80"/>
      <c r="S92" s="109"/>
      <c r="T92" s="110"/>
    </row>
    <row r="93" spans="1:20" s="85" customFormat="1" x14ac:dyDescent="0.25">
      <c r="A93" s="98">
        <f t="shared" si="12"/>
        <v>23.351695552765499</v>
      </c>
      <c r="B93" s="35">
        <f t="shared" si="7"/>
        <v>88</v>
      </c>
      <c r="C93" s="25" t="s">
        <v>332</v>
      </c>
      <c r="D93" s="25" t="s">
        <v>333</v>
      </c>
      <c r="E93" s="25" t="s">
        <v>166</v>
      </c>
      <c r="F93" s="25" t="s">
        <v>158</v>
      </c>
      <c r="G93" s="80"/>
      <c r="H93" s="99">
        <v>88</v>
      </c>
      <c r="I93" s="100">
        <f t="shared" si="8"/>
        <v>9.45974629397125</v>
      </c>
      <c r="J93" s="99">
        <f t="shared" si="13"/>
        <v>1</v>
      </c>
      <c r="K93" s="99">
        <f t="shared" si="9"/>
        <v>10</v>
      </c>
      <c r="L93" s="99"/>
      <c r="M93" s="101">
        <f t="shared" si="10"/>
        <v>19.45974629397125</v>
      </c>
      <c r="N93" s="101">
        <f t="shared" si="11"/>
        <v>23.351695552765499</v>
      </c>
      <c r="O93" s="80"/>
      <c r="P93" s="80"/>
      <c r="Q93" s="80"/>
      <c r="R93" s="80"/>
      <c r="S93" s="80"/>
    </row>
    <row r="94" spans="1:20" s="85" customFormat="1" x14ac:dyDescent="0.25">
      <c r="A94" s="94">
        <f t="shared" si="12"/>
        <v>23.228920736643975</v>
      </c>
      <c r="B94" s="36">
        <f t="shared" si="7"/>
        <v>89</v>
      </c>
      <c r="C94" s="24" t="s">
        <v>334</v>
      </c>
      <c r="D94" s="24" t="s">
        <v>335</v>
      </c>
      <c r="E94" s="24" t="s">
        <v>157</v>
      </c>
      <c r="F94" s="24" t="s">
        <v>158</v>
      </c>
      <c r="G94" s="80"/>
      <c r="H94" s="95">
        <v>89</v>
      </c>
      <c r="I94" s="96">
        <f t="shared" si="8"/>
        <v>9.3574339472033117</v>
      </c>
      <c r="J94" s="95">
        <f t="shared" si="13"/>
        <v>1</v>
      </c>
      <c r="K94" s="95">
        <f t="shared" si="9"/>
        <v>10</v>
      </c>
      <c r="L94" s="95"/>
      <c r="M94" s="97">
        <f t="shared" si="10"/>
        <v>19.357433947203312</v>
      </c>
      <c r="N94" s="97">
        <f t="shared" si="11"/>
        <v>23.228920736643975</v>
      </c>
      <c r="O94" s="80"/>
      <c r="P94" s="80"/>
      <c r="Q94" s="80"/>
      <c r="R94" s="80"/>
      <c r="S94" s="109"/>
      <c r="T94" s="110"/>
    </row>
    <row r="95" spans="1:20" s="85" customFormat="1" x14ac:dyDescent="0.25">
      <c r="A95" s="98">
        <f t="shared" si="12"/>
        <v>23.107517734881768</v>
      </c>
      <c r="B95" s="35">
        <f t="shared" si="7"/>
        <v>90</v>
      </c>
      <c r="C95" s="25" t="s">
        <v>336</v>
      </c>
      <c r="D95" s="25" t="s">
        <v>337</v>
      </c>
      <c r="E95" s="25" t="s">
        <v>327</v>
      </c>
      <c r="F95" s="25" t="s">
        <v>158</v>
      </c>
      <c r="G95" s="80"/>
      <c r="H95" s="99">
        <v>90</v>
      </c>
      <c r="I95" s="100">
        <f t="shared" si="8"/>
        <v>9.2562647790681396</v>
      </c>
      <c r="J95" s="99">
        <f t="shared" si="13"/>
        <v>1</v>
      </c>
      <c r="K95" s="99">
        <f t="shared" si="9"/>
        <v>10</v>
      </c>
      <c r="L95" s="99"/>
      <c r="M95" s="101">
        <f t="shared" si="10"/>
        <v>19.25626477906814</v>
      </c>
      <c r="N95" s="101">
        <f t="shared" si="11"/>
        <v>23.107517734881768</v>
      </c>
      <c r="O95" s="80"/>
      <c r="P95" s="80"/>
      <c r="Q95" s="80"/>
      <c r="R95" s="80"/>
      <c r="S95" s="80"/>
    </row>
    <row r="96" spans="1:20" s="85" customFormat="1" x14ac:dyDescent="0.25">
      <c r="A96" s="94">
        <f t="shared" si="12"/>
        <v>22.987456230203637</v>
      </c>
      <c r="B96" s="36">
        <f t="shared" si="7"/>
        <v>91</v>
      </c>
      <c r="C96" s="24" t="s">
        <v>338</v>
      </c>
      <c r="D96" s="24" t="s">
        <v>339</v>
      </c>
      <c r="E96" s="24" t="s">
        <v>157</v>
      </c>
      <c r="F96" s="24" t="s">
        <v>158</v>
      </c>
      <c r="G96" s="80"/>
      <c r="H96" s="95">
        <v>91</v>
      </c>
      <c r="I96" s="96">
        <f t="shared" si="8"/>
        <v>9.1562135251696972</v>
      </c>
      <c r="J96" s="95">
        <f t="shared" si="13"/>
        <v>1</v>
      </c>
      <c r="K96" s="95">
        <f t="shared" si="9"/>
        <v>10</v>
      </c>
      <c r="L96" s="95"/>
      <c r="M96" s="97">
        <f t="shared" si="10"/>
        <v>19.156213525169697</v>
      </c>
      <c r="N96" s="97">
        <f t="shared" si="11"/>
        <v>22.987456230203637</v>
      </c>
      <c r="O96" s="80"/>
      <c r="P96" s="80"/>
      <c r="Q96" s="80"/>
      <c r="R96" s="80"/>
      <c r="S96" s="109"/>
      <c r="T96" s="110"/>
    </row>
    <row r="97" spans="1:20" s="85" customFormat="1" ht="38.75" x14ac:dyDescent="0.25">
      <c r="A97" s="98">
        <f t="shared" si="12"/>
        <v>22.868706899383586</v>
      </c>
      <c r="B97" s="35">
        <f t="shared" si="7"/>
        <v>92</v>
      </c>
      <c r="C97" s="25" t="s">
        <v>340</v>
      </c>
      <c r="D97" s="25" t="s">
        <v>341</v>
      </c>
      <c r="E97" s="25" t="s">
        <v>157</v>
      </c>
      <c r="F97" s="25" t="s">
        <v>158</v>
      </c>
      <c r="G97" s="80"/>
      <c r="H97" s="99">
        <v>92</v>
      </c>
      <c r="I97" s="100">
        <f t="shared" si="8"/>
        <v>9.0572557494863233</v>
      </c>
      <c r="J97" s="99">
        <f t="shared" si="13"/>
        <v>1</v>
      </c>
      <c r="K97" s="99">
        <f t="shared" si="9"/>
        <v>10</v>
      </c>
      <c r="L97" s="99"/>
      <c r="M97" s="101">
        <f t="shared" si="10"/>
        <v>19.057255749486323</v>
      </c>
      <c r="N97" s="101">
        <f t="shared" si="11"/>
        <v>22.868706899383586</v>
      </c>
      <c r="O97" s="80"/>
      <c r="P97" s="80"/>
      <c r="Q97" s="80"/>
      <c r="R97" s="80"/>
      <c r="S97" s="80"/>
    </row>
    <row r="98" spans="1:20" s="85" customFormat="1" x14ac:dyDescent="0.25">
      <c r="A98" s="94">
        <f t="shared" si="12"/>
        <v>22.751241370256835</v>
      </c>
      <c r="B98" s="36">
        <f t="shared" si="7"/>
        <v>93</v>
      </c>
      <c r="C98" s="24" t="s">
        <v>342</v>
      </c>
      <c r="D98" s="24" t="s">
        <v>252</v>
      </c>
      <c r="E98" s="24" t="s">
        <v>157</v>
      </c>
      <c r="F98" s="24" t="s">
        <v>158</v>
      </c>
      <c r="G98" s="80"/>
      <c r="H98" s="95">
        <v>93</v>
      </c>
      <c r="I98" s="96">
        <f t="shared" si="8"/>
        <v>8.9593678085473627</v>
      </c>
      <c r="J98" s="95">
        <f t="shared" si="13"/>
        <v>1</v>
      </c>
      <c r="K98" s="95">
        <f t="shared" si="9"/>
        <v>10</v>
      </c>
      <c r="L98" s="95"/>
      <c r="M98" s="97">
        <f t="shared" si="10"/>
        <v>18.959367808547363</v>
      </c>
      <c r="N98" s="97">
        <f t="shared" si="11"/>
        <v>22.751241370256835</v>
      </c>
      <c r="O98" s="80"/>
      <c r="P98" s="80"/>
      <c r="Q98" s="80"/>
      <c r="R98" s="80"/>
      <c r="S98" s="109"/>
      <c r="T98" s="110"/>
    </row>
    <row r="99" spans="1:20" s="85" customFormat="1" x14ac:dyDescent="0.25">
      <c r="A99" s="98">
        <f t="shared" si="12"/>
        <v>22.635032181030716</v>
      </c>
      <c r="B99" s="35">
        <f t="shared" si="7"/>
        <v>94</v>
      </c>
      <c r="C99" s="25" t="s">
        <v>343</v>
      </c>
      <c r="D99" s="25" t="s">
        <v>344</v>
      </c>
      <c r="E99" s="25" t="s">
        <v>345</v>
      </c>
      <c r="F99" s="25" t="s">
        <v>158</v>
      </c>
      <c r="G99" s="80"/>
      <c r="H99" s="99">
        <v>94</v>
      </c>
      <c r="I99" s="100">
        <f t="shared" si="8"/>
        <v>8.8625268175255982</v>
      </c>
      <c r="J99" s="99">
        <f t="shared" si="13"/>
        <v>1</v>
      </c>
      <c r="K99" s="99">
        <f t="shared" si="9"/>
        <v>10</v>
      </c>
      <c r="L99" s="99"/>
      <c r="M99" s="101">
        <f t="shared" si="10"/>
        <v>18.862526817525598</v>
      </c>
      <c r="N99" s="101">
        <f t="shared" si="11"/>
        <v>22.635032181030716</v>
      </c>
      <c r="O99" s="80"/>
      <c r="P99" s="80"/>
      <c r="Q99" s="80"/>
      <c r="R99" s="80"/>
      <c r="S99" s="80"/>
    </row>
    <row r="100" spans="1:20" s="85" customFormat="1" x14ac:dyDescent="0.25">
      <c r="A100" s="94">
        <f t="shared" si="12"/>
        <v>22.520052741748597</v>
      </c>
      <c r="B100" s="36">
        <f t="shared" si="7"/>
        <v>95</v>
      </c>
      <c r="C100" s="24" t="s">
        <v>346</v>
      </c>
      <c r="D100" s="24" t="s">
        <v>347</v>
      </c>
      <c r="E100" s="24" t="s">
        <v>219</v>
      </c>
      <c r="F100" s="24" t="s">
        <v>158</v>
      </c>
      <c r="G100" s="80"/>
      <c r="H100" s="95">
        <v>95</v>
      </c>
      <c r="I100" s="96">
        <f t="shared" si="8"/>
        <v>8.766710618123831</v>
      </c>
      <c r="J100" s="95">
        <f t="shared" si="13"/>
        <v>1</v>
      </c>
      <c r="K100" s="95">
        <f t="shared" si="9"/>
        <v>10</v>
      </c>
      <c r="L100" s="95"/>
      <c r="M100" s="97">
        <f t="shared" si="10"/>
        <v>18.766710618123831</v>
      </c>
      <c r="N100" s="97">
        <f t="shared" si="11"/>
        <v>22.520052741748597</v>
      </c>
      <c r="O100" s="80"/>
      <c r="P100" s="80"/>
      <c r="Q100" s="80"/>
      <c r="R100" s="80"/>
      <c r="S100" s="109"/>
      <c r="T100" s="110"/>
    </row>
    <row r="101" spans="1:20" s="85" customFormat="1" x14ac:dyDescent="0.25">
      <c r="A101" s="98">
        <f t="shared" si="12"/>
        <v>22.406277297771449</v>
      </c>
      <c r="B101" s="35">
        <f t="shared" si="7"/>
        <v>96</v>
      </c>
      <c r="C101" s="25" t="s">
        <v>348</v>
      </c>
      <c r="D101" s="25" t="s">
        <v>221</v>
      </c>
      <c r="E101" s="25" t="s">
        <v>166</v>
      </c>
      <c r="F101" s="25" t="s">
        <v>158</v>
      </c>
      <c r="G101" s="80"/>
      <c r="H101" s="99">
        <v>96</v>
      </c>
      <c r="I101" s="100">
        <f t="shared" si="8"/>
        <v>8.6718977481428752</v>
      </c>
      <c r="J101" s="99">
        <f t="shared" si="13"/>
        <v>1</v>
      </c>
      <c r="K101" s="99">
        <f t="shared" si="9"/>
        <v>10</v>
      </c>
      <c r="L101" s="99"/>
      <c r="M101" s="101">
        <f t="shared" si="10"/>
        <v>18.671897748142875</v>
      </c>
      <c r="N101" s="101">
        <f t="shared" si="11"/>
        <v>22.406277297771449</v>
      </c>
      <c r="O101" s="80"/>
      <c r="P101" s="80"/>
      <c r="Q101" s="80"/>
      <c r="R101" s="80"/>
      <c r="S101" s="80"/>
    </row>
    <row r="102" spans="1:20" s="85" customFormat="1" x14ac:dyDescent="0.25">
      <c r="A102" s="94">
        <f t="shared" si="12"/>
        <v>22.293680895151727</v>
      </c>
      <c r="B102" s="36">
        <f t="shared" si="7"/>
        <v>97</v>
      </c>
      <c r="C102" s="24" t="s">
        <v>349</v>
      </c>
      <c r="D102" s="24" t="s">
        <v>350</v>
      </c>
      <c r="E102" s="24" t="s">
        <v>237</v>
      </c>
      <c r="F102" s="24" t="s">
        <v>158</v>
      </c>
      <c r="G102" s="80"/>
      <c r="H102" s="95">
        <v>97</v>
      </c>
      <c r="I102" s="96">
        <f t="shared" si="8"/>
        <v>8.5780674126264387</v>
      </c>
      <c r="J102" s="95">
        <f t="shared" si="13"/>
        <v>1</v>
      </c>
      <c r="K102" s="95">
        <f t="shared" si="9"/>
        <v>10</v>
      </c>
      <c r="L102" s="95"/>
      <c r="M102" s="97">
        <f t="shared" si="10"/>
        <v>18.578067412626439</v>
      </c>
      <c r="N102" s="97">
        <f t="shared" si="11"/>
        <v>22.293680895151727</v>
      </c>
      <c r="O102" s="80"/>
      <c r="P102" s="80"/>
      <c r="Q102" s="80"/>
      <c r="R102" s="80"/>
      <c r="S102" s="109"/>
      <c r="T102" s="110"/>
    </row>
    <row r="103" spans="1:20" s="85" customFormat="1" x14ac:dyDescent="0.25">
      <c r="A103" s="98">
        <f t="shared" si="12"/>
        <v>22.182239347782971</v>
      </c>
      <c r="B103" s="35">
        <f t="shared" si="7"/>
        <v>98</v>
      </c>
      <c r="C103" s="25" t="s">
        <v>351</v>
      </c>
      <c r="D103" s="25" t="s">
        <v>214</v>
      </c>
      <c r="E103" s="25" t="s">
        <v>157</v>
      </c>
      <c r="F103" s="25" t="s">
        <v>158</v>
      </c>
      <c r="G103" s="80"/>
      <c r="H103" s="99">
        <v>98</v>
      </c>
      <c r="I103" s="100">
        <f t="shared" si="8"/>
        <v>8.4851994564858089</v>
      </c>
      <c r="J103" s="99">
        <f t="shared" si="13"/>
        <v>1</v>
      </c>
      <c r="K103" s="99">
        <f t="shared" si="9"/>
        <v>10</v>
      </c>
      <c r="L103" s="99"/>
      <c r="M103" s="101">
        <f t="shared" si="10"/>
        <v>18.485199456485809</v>
      </c>
      <c r="N103" s="101">
        <f t="shared" si="11"/>
        <v>22.182239347782971</v>
      </c>
      <c r="O103" s="80"/>
      <c r="P103" s="80"/>
      <c r="Q103" s="80"/>
      <c r="R103" s="80"/>
      <c r="S103" s="80"/>
    </row>
    <row r="104" spans="1:20" s="85" customFormat="1" x14ac:dyDescent="0.25">
      <c r="A104" s="94">
        <f t="shared" si="12"/>
        <v>22.071929206217153</v>
      </c>
      <c r="B104" s="36">
        <f t="shared" si="7"/>
        <v>99</v>
      </c>
      <c r="C104" s="24" t="s">
        <v>352</v>
      </c>
      <c r="D104" s="24" t="s">
        <v>353</v>
      </c>
      <c r="E104" s="24" t="s">
        <v>260</v>
      </c>
      <c r="F104" s="24" t="s">
        <v>158</v>
      </c>
      <c r="G104" s="80"/>
      <c r="H104" s="95">
        <v>99</v>
      </c>
      <c r="I104" s="96">
        <f t="shared" si="8"/>
        <v>8.3932743385142956</v>
      </c>
      <c r="J104" s="95">
        <f t="shared" si="13"/>
        <v>1</v>
      </c>
      <c r="K104" s="95">
        <f t="shared" si="9"/>
        <v>10</v>
      </c>
      <c r="L104" s="95"/>
      <c r="M104" s="97">
        <f t="shared" si="10"/>
        <v>18.393274338514296</v>
      </c>
      <c r="N104" s="97">
        <f t="shared" si="11"/>
        <v>22.071929206217153</v>
      </c>
      <c r="O104" s="80"/>
      <c r="P104" s="80"/>
      <c r="Q104" s="80"/>
      <c r="R104" s="80"/>
      <c r="S104" s="109"/>
      <c r="T104" s="110"/>
    </row>
    <row r="105" spans="1:20" s="85" customFormat="1" ht="25.85" x14ac:dyDescent="0.25">
      <c r="A105" s="98">
        <f t="shared" si="12"/>
        <v>21.962727728048907</v>
      </c>
      <c r="B105" s="35">
        <f t="shared" si="7"/>
        <v>100</v>
      </c>
      <c r="C105" s="25" t="s">
        <v>354</v>
      </c>
      <c r="D105" s="25" t="s">
        <v>355</v>
      </c>
      <c r="E105" s="25" t="s">
        <v>166</v>
      </c>
      <c r="F105" s="25" t="s">
        <v>158</v>
      </c>
      <c r="G105" s="80"/>
      <c r="H105" s="99">
        <v>100</v>
      </c>
      <c r="I105" s="100">
        <f t="shared" si="8"/>
        <v>8.3022731067074247</v>
      </c>
      <c r="J105" s="99">
        <f t="shared" si="13"/>
        <v>1</v>
      </c>
      <c r="K105" s="99">
        <f t="shared" si="9"/>
        <v>10</v>
      </c>
      <c r="L105" s="99"/>
      <c r="M105" s="101">
        <f t="shared" si="10"/>
        <v>18.302273106707425</v>
      </c>
      <c r="N105" s="101">
        <f t="shared" si="11"/>
        <v>21.962727728048907</v>
      </c>
      <c r="O105" s="80"/>
      <c r="P105" s="80"/>
      <c r="Q105" s="80"/>
      <c r="R105" s="80"/>
      <c r="S105" s="80"/>
    </row>
    <row r="106" spans="1:20" s="85" customFormat="1" x14ac:dyDescent="0.25">
      <c r="A106" s="94">
        <f t="shared" si="12"/>
        <v>21.854612849773428</v>
      </c>
      <c r="B106" s="36">
        <f t="shared" si="7"/>
        <v>101</v>
      </c>
      <c r="C106" s="24" t="s">
        <v>356</v>
      </c>
      <c r="D106" s="24" t="s">
        <v>249</v>
      </c>
      <c r="E106" s="24" t="s">
        <v>182</v>
      </c>
      <c r="F106" s="24" t="s">
        <v>158</v>
      </c>
      <c r="G106" s="80"/>
      <c r="H106" s="95">
        <v>101</v>
      </c>
      <c r="I106" s="96">
        <f t="shared" si="8"/>
        <v>8.2121773748111906</v>
      </c>
      <c r="J106" s="95">
        <f t="shared" si="13"/>
        <v>1</v>
      </c>
      <c r="K106" s="95">
        <f t="shared" si="9"/>
        <v>10</v>
      </c>
      <c r="L106" s="95"/>
      <c r="M106" s="97">
        <f t="shared" si="10"/>
        <v>18.212177374811191</v>
      </c>
      <c r="N106" s="97">
        <f t="shared" si="11"/>
        <v>21.854612849773428</v>
      </c>
      <c r="O106" s="80"/>
      <c r="P106" s="80"/>
      <c r="Q106" s="80"/>
      <c r="R106" s="80"/>
      <c r="S106" s="109"/>
      <c r="T106" s="110"/>
    </row>
    <row r="107" spans="1:20" s="85" customFormat="1" x14ac:dyDescent="0.25">
      <c r="A107" s="98">
        <f t="shared" si="12"/>
        <v>21.747563160030602</v>
      </c>
      <c r="B107" s="35">
        <f t="shared" si="7"/>
        <v>102</v>
      </c>
      <c r="C107" s="25" t="s">
        <v>357</v>
      </c>
      <c r="D107" s="25" t="s">
        <v>358</v>
      </c>
      <c r="E107" s="25" t="s">
        <v>157</v>
      </c>
      <c r="F107" s="25" t="s">
        <v>158</v>
      </c>
      <c r="G107" s="80"/>
      <c r="H107" s="99">
        <v>102</v>
      </c>
      <c r="I107" s="100">
        <f t="shared" si="8"/>
        <v>8.1229693000255025</v>
      </c>
      <c r="J107" s="99">
        <f t="shared" si="13"/>
        <v>1</v>
      </c>
      <c r="K107" s="99">
        <f t="shared" si="9"/>
        <v>10</v>
      </c>
      <c r="L107" s="99"/>
      <c r="M107" s="101">
        <f t="shared" si="10"/>
        <v>18.122969300025503</v>
      </c>
      <c r="N107" s="101">
        <f t="shared" si="11"/>
        <v>21.747563160030602</v>
      </c>
      <c r="O107" s="80"/>
      <c r="P107" s="80"/>
      <c r="Q107" s="80"/>
      <c r="R107" s="80"/>
      <c r="S107" s="80"/>
    </row>
    <row r="108" spans="1:20" s="85" customFormat="1" x14ac:dyDescent="0.25">
      <c r="A108" s="94">
        <f t="shared" si="12"/>
        <v>21.641557874154454</v>
      </c>
      <c r="B108" s="36">
        <f t="shared" si="7"/>
        <v>103</v>
      </c>
      <c r="C108" s="24" t="s">
        <v>359</v>
      </c>
      <c r="D108" s="24" t="s">
        <v>360</v>
      </c>
      <c r="E108" s="24" t="s">
        <v>157</v>
      </c>
      <c r="F108" s="24" t="s">
        <v>158</v>
      </c>
      <c r="G108" s="80"/>
      <c r="H108" s="95">
        <v>103</v>
      </c>
      <c r="I108" s="96">
        <f t="shared" si="8"/>
        <v>8.0346315617953792</v>
      </c>
      <c r="J108" s="95">
        <f t="shared" si="13"/>
        <v>1</v>
      </c>
      <c r="K108" s="95">
        <f t="shared" si="9"/>
        <v>10</v>
      </c>
      <c r="L108" s="95"/>
      <c r="M108" s="97">
        <f t="shared" si="10"/>
        <v>18.034631561795379</v>
      </c>
      <c r="N108" s="97">
        <f t="shared" si="11"/>
        <v>21.641557874154454</v>
      </c>
      <c r="O108" s="80"/>
      <c r="P108" s="80"/>
      <c r="Q108" s="80"/>
      <c r="R108" s="80"/>
      <c r="S108" s="109"/>
      <c r="T108" s="110"/>
    </row>
    <row r="109" spans="1:20" s="85" customFormat="1" x14ac:dyDescent="0.25">
      <c r="A109" s="98">
        <f t="shared" si="12"/>
        <v>21.536576809952113</v>
      </c>
      <c r="B109" s="35">
        <f t="shared" si="7"/>
        <v>104</v>
      </c>
      <c r="C109" s="25" t="s">
        <v>361</v>
      </c>
      <c r="D109" s="25" t="s">
        <v>335</v>
      </c>
      <c r="E109" s="25" t="s">
        <v>157</v>
      </c>
      <c r="F109" s="25" t="s">
        <v>158</v>
      </c>
      <c r="G109" s="80"/>
      <c r="H109" s="99">
        <v>104</v>
      </c>
      <c r="I109" s="100">
        <f t="shared" si="8"/>
        <v>7.94714734162676</v>
      </c>
      <c r="J109" s="99">
        <f t="shared" si="13"/>
        <v>1</v>
      </c>
      <c r="K109" s="99">
        <f t="shared" si="9"/>
        <v>10</v>
      </c>
      <c r="L109" s="99"/>
      <c r="M109" s="101">
        <f t="shared" si="10"/>
        <v>17.94714734162676</v>
      </c>
      <c r="N109" s="101">
        <f t="shared" si="11"/>
        <v>21.536576809952113</v>
      </c>
      <c r="O109" s="80"/>
      <c r="P109" s="80"/>
      <c r="Q109" s="80"/>
      <c r="R109" s="80"/>
      <c r="S109" s="80"/>
    </row>
    <row r="110" spans="1:20" s="85" customFormat="1" x14ac:dyDescent="0.25">
      <c r="A110" s="94">
        <f t="shared" si="12"/>
        <v>21.432600364641754</v>
      </c>
      <c r="B110" s="36">
        <f t="shared" si="7"/>
        <v>105</v>
      </c>
      <c r="C110" s="24" t="s">
        <v>362</v>
      </c>
      <c r="D110" s="24" t="s">
        <v>363</v>
      </c>
      <c r="E110" s="24" t="s">
        <v>157</v>
      </c>
      <c r="F110" s="24" t="s">
        <v>158</v>
      </c>
      <c r="G110" s="80"/>
      <c r="H110" s="95">
        <v>105</v>
      </c>
      <c r="I110" s="96">
        <f t="shared" si="8"/>
        <v>7.8605003038681289</v>
      </c>
      <c r="J110" s="95">
        <f t="shared" si="13"/>
        <v>1</v>
      </c>
      <c r="K110" s="95">
        <f t="shared" si="9"/>
        <v>10</v>
      </c>
      <c r="L110" s="95"/>
      <c r="M110" s="97">
        <f t="shared" si="10"/>
        <v>17.860500303868129</v>
      </c>
      <c r="N110" s="97">
        <f t="shared" si="11"/>
        <v>21.432600364641754</v>
      </c>
      <c r="O110" s="80"/>
      <c r="P110" s="80"/>
      <c r="Q110" s="80"/>
      <c r="R110" s="80"/>
      <c r="S110" s="109"/>
      <c r="T110" s="110"/>
    </row>
    <row r="111" spans="1:20" s="85" customFormat="1" x14ac:dyDescent="0.25">
      <c r="A111" s="98">
        <f t="shared" si="12"/>
        <v>21.329609492883595</v>
      </c>
      <c r="B111" s="35">
        <f t="shared" si="7"/>
        <v>106</v>
      </c>
      <c r="C111" s="25" t="s">
        <v>364</v>
      </c>
      <c r="D111" s="25" t="s">
        <v>365</v>
      </c>
      <c r="E111" s="25" t="s">
        <v>166</v>
      </c>
      <c r="F111" s="25" t="s">
        <v>158</v>
      </c>
      <c r="G111" s="80"/>
      <c r="H111" s="99">
        <v>106</v>
      </c>
      <c r="I111" s="100">
        <f t="shared" si="8"/>
        <v>7.7746745774029975</v>
      </c>
      <c r="J111" s="99">
        <f t="shared" si="13"/>
        <v>1</v>
      </c>
      <c r="K111" s="99">
        <f t="shared" si="9"/>
        <v>10</v>
      </c>
      <c r="L111" s="99"/>
      <c r="M111" s="101">
        <f t="shared" si="10"/>
        <v>17.774674577402997</v>
      </c>
      <c r="N111" s="101">
        <f t="shared" si="11"/>
        <v>21.329609492883595</v>
      </c>
      <c r="O111" s="80"/>
      <c r="P111" s="80"/>
      <c r="Q111" s="80"/>
      <c r="R111" s="80"/>
      <c r="S111" s="80"/>
    </row>
    <row r="112" spans="1:20" s="85" customFormat="1" x14ac:dyDescent="0.25">
      <c r="A112" s="94">
        <f t="shared" si="12"/>
        <v>21.227585685842246</v>
      </c>
      <c r="B112" s="36">
        <f t="shared" si="7"/>
        <v>107</v>
      </c>
      <c r="C112" s="24" t="s">
        <v>366</v>
      </c>
      <c r="D112" s="24" t="s">
        <v>156</v>
      </c>
      <c r="E112" s="24" t="s">
        <v>157</v>
      </c>
      <c r="F112" s="24" t="s">
        <v>158</v>
      </c>
      <c r="G112" s="80"/>
      <c r="H112" s="95">
        <v>107</v>
      </c>
      <c r="I112" s="96">
        <f t="shared" si="8"/>
        <v>7.6896547382018738</v>
      </c>
      <c r="J112" s="95">
        <f t="shared" si="13"/>
        <v>1</v>
      </c>
      <c r="K112" s="95">
        <f t="shared" si="9"/>
        <v>10</v>
      </c>
      <c r="L112" s="95"/>
      <c r="M112" s="97">
        <f t="shared" si="10"/>
        <v>17.689654738201874</v>
      </c>
      <c r="N112" s="97">
        <f t="shared" si="11"/>
        <v>21.227585685842246</v>
      </c>
      <c r="O112" s="80"/>
      <c r="P112" s="80"/>
      <c r="Q112" s="80"/>
      <c r="R112" s="80"/>
      <c r="S112" s="109"/>
      <c r="T112" s="110"/>
    </row>
    <row r="113" spans="1:20" s="85" customFormat="1" x14ac:dyDescent="0.25">
      <c r="A113" s="98">
        <f t="shared" si="12"/>
        <v>21.126510951223096</v>
      </c>
      <c r="B113" s="35">
        <f t="shared" si="7"/>
        <v>108</v>
      </c>
      <c r="C113" s="25" t="s">
        <v>367</v>
      </c>
      <c r="D113" s="25" t="s">
        <v>368</v>
      </c>
      <c r="E113" s="25" t="s">
        <v>315</v>
      </c>
      <c r="F113" s="25" t="s">
        <v>158</v>
      </c>
      <c r="G113" s="80"/>
      <c r="H113" s="99">
        <v>108</v>
      </c>
      <c r="I113" s="100">
        <f t="shared" si="8"/>
        <v>7.6054257926859137</v>
      </c>
      <c r="J113" s="99">
        <f t="shared" si="13"/>
        <v>1</v>
      </c>
      <c r="K113" s="99">
        <f t="shared" si="9"/>
        <v>10</v>
      </c>
      <c r="L113" s="99"/>
      <c r="M113" s="101">
        <f t="shared" si="10"/>
        <v>17.605425792685914</v>
      </c>
      <c r="N113" s="101">
        <f t="shared" si="11"/>
        <v>21.126510951223096</v>
      </c>
      <c r="O113" s="80"/>
      <c r="P113" s="80"/>
      <c r="Q113" s="80"/>
      <c r="R113" s="80"/>
      <c r="S113" s="80"/>
    </row>
    <row r="114" spans="1:20" s="85" customFormat="1" x14ac:dyDescent="0.25">
      <c r="A114" s="94">
        <f t="shared" si="12"/>
        <v>21.026367794228602</v>
      </c>
      <c r="B114" s="36">
        <f t="shared" si="7"/>
        <v>109</v>
      </c>
      <c r="C114" s="24" t="s">
        <v>369</v>
      </c>
      <c r="D114" s="24" t="s">
        <v>370</v>
      </c>
      <c r="E114" s="24" t="s">
        <v>371</v>
      </c>
      <c r="F114" s="24" t="s">
        <v>158</v>
      </c>
      <c r="G114" s="80"/>
      <c r="H114" s="95">
        <v>109</v>
      </c>
      <c r="I114" s="96">
        <f t="shared" si="8"/>
        <v>7.5219731618571686</v>
      </c>
      <c r="J114" s="95">
        <f t="shared" si="13"/>
        <v>1</v>
      </c>
      <c r="K114" s="95">
        <f t="shared" si="9"/>
        <v>10</v>
      </c>
      <c r="L114" s="95"/>
      <c r="M114" s="97">
        <f t="shared" si="10"/>
        <v>17.521973161857169</v>
      </c>
      <c r="N114" s="97">
        <f t="shared" si="11"/>
        <v>21.026367794228602</v>
      </c>
      <c r="O114" s="80"/>
      <c r="P114" s="80"/>
      <c r="Q114" s="80"/>
      <c r="R114" s="80"/>
      <c r="S114" s="109"/>
      <c r="T114" s="110"/>
    </row>
    <row r="115" spans="1:20" s="85" customFormat="1" x14ac:dyDescent="0.25">
      <c r="A115" s="98">
        <f t="shared" si="12"/>
        <v>20.927139199384289</v>
      </c>
      <c r="B115" s="35">
        <f t="shared" si="7"/>
        <v>110</v>
      </c>
      <c r="C115" s="25" t="s">
        <v>372</v>
      </c>
      <c r="D115" s="25" t="s">
        <v>373</v>
      </c>
      <c r="E115" s="25" t="s">
        <v>182</v>
      </c>
      <c r="F115" s="25" t="s">
        <v>158</v>
      </c>
      <c r="G115" s="80"/>
      <c r="H115" s="99">
        <v>110</v>
      </c>
      <c r="I115" s="100">
        <f t="shared" si="8"/>
        <v>7.4392826661535736</v>
      </c>
      <c r="J115" s="99">
        <f t="shared" si="13"/>
        <v>1</v>
      </c>
      <c r="K115" s="99">
        <f t="shared" si="9"/>
        <v>10</v>
      </c>
      <c r="L115" s="99"/>
      <c r="M115" s="101">
        <f t="shared" si="10"/>
        <v>17.439282666153574</v>
      </c>
      <c r="N115" s="101">
        <f t="shared" si="11"/>
        <v>20.927139199384289</v>
      </c>
      <c r="O115" s="80"/>
      <c r="P115" s="80"/>
      <c r="Q115" s="80"/>
      <c r="R115" s="80"/>
      <c r="S115" s="80"/>
    </row>
    <row r="116" spans="1:20" s="85" customFormat="1" ht="25.85" x14ac:dyDescent="0.25">
      <c r="A116" s="94">
        <f t="shared" si="12"/>
        <v>20.828808613186983</v>
      </c>
      <c r="B116" s="36">
        <f t="shared" si="7"/>
        <v>111</v>
      </c>
      <c r="C116" s="24" t="s">
        <v>374</v>
      </c>
      <c r="D116" s="24" t="s">
        <v>375</v>
      </c>
      <c r="E116" s="24" t="s">
        <v>157</v>
      </c>
      <c r="F116" s="24" t="s">
        <v>158</v>
      </c>
      <c r="G116" s="80"/>
      <c r="H116" s="95">
        <v>111</v>
      </c>
      <c r="I116" s="96">
        <f t="shared" si="8"/>
        <v>7.3573405109891539</v>
      </c>
      <c r="J116" s="95">
        <f t="shared" si="13"/>
        <v>1</v>
      </c>
      <c r="K116" s="95">
        <f t="shared" si="9"/>
        <v>10</v>
      </c>
      <c r="L116" s="95"/>
      <c r="M116" s="97">
        <f t="shared" si="10"/>
        <v>17.357340510989154</v>
      </c>
      <c r="N116" s="97">
        <f t="shared" si="11"/>
        <v>20.828808613186983</v>
      </c>
      <c r="O116" s="80"/>
      <c r="P116" s="80"/>
      <c r="Q116" s="80"/>
      <c r="R116" s="80"/>
      <c r="S116" s="109"/>
      <c r="T116" s="110"/>
    </row>
    <row r="117" spans="1:20" s="85" customFormat="1" x14ac:dyDescent="0.25">
      <c r="A117" s="98">
        <f t="shared" si="12"/>
        <v>20.731359927531447</v>
      </c>
      <c r="B117" s="35">
        <f t="shared" si="7"/>
        <v>112</v>
      </c>
      <c r="C117" s="25" t="s">
        <v>376</v>
      </c>
      <c r="D117" s="25" t="s">
        <v>377</v>
      </c>
      <c r="E117" s="25" t="s">
        <v>182</v>
      </c>
      <c r="F117" s="25" t="s">
        <v>158</v>
      </c>
      <c r="G117" s="80"/>
      <c r="H117" s="99">
        <v>112</v>
      </c>
      <c r="I117" s="100">
        <f t="shared" si="8"/>
        <v>7.2761332729428716</v>
      </c>
      <c r="J117" s="99">
        <f t="shared" si="13"/>
        <v>1</v>
      </c>
      <c r="K117" s="99">
        <f t="shared" si="9"/>
        <v>10</v>
      </c>
      <c r="L117" s="99"/>
      <c r="M117" s="101">
        <f t="shared" si="10"/>
        <v>17.276133272942872</v>
      </c>
      <c r="N117" s="101">
        <f t="shared" si="11"/>
        <v>20.731359927531447</v>
      </c>
      <c r="O117" s="80"/>
      <c r="P117" s="80"/>
      <c r="Q117" s="80"/>
      <c r="R117" s="80"/>
      <c r="S117" s="80"/>
    </row>
    <row r="118" spans="1:20" s="85" customFormat="1" x14ac:dyDescent="0.25">
      <c r="A118" s="94">
        <f t="shared" si="12"/>
        <v>20.634777463873291</v>
      </c>
      <c r="B118" s="36">
        <f t="shared" si="7"/>
        <v>113</v>
      </c>
      <c r="C118" s="24" t="s">
        <v>378</v>
      </c>
      <c r="D118" s="24" t="s">
        <v>379</v>
      </c>
      <c r="E118" s="24" t="s">
        <v>166</v>
      </c>
      <c r="F118" s="24" t="s">
        <v>158</v>
      </c>
      <c r="G118" s="80"/>
      <c r="H118" s="95">
        <v>113</v>
      </c>
      <c r="I118" s="96">
        <f t="shared" si="8"/>
        <v>7.1956478865610762</v>
      </c>
      <c r="J118" s="95">
        <f t="shared" si="13"/>
        <v>1</v>
      </c>
      <c r="K118" s="95">
        <f t="shared" si="9"/>
        <v>10</v>
      </c>
      <c r="L118" s="95"/>
      <c r="M118" s="97">
        <f t="shared" si="10"/>
        <v>17.195647886561076</v>
      </c>
      <c r="N118" s="97">
        <f t="shared" si="11"/>
        <v>20.634777463873291</v>
      </c>
      <c r="O118" s="80"/>
      <c r="P118" s="80"/>
      <c r="Q118" s="80"/>
      <c r="R118" s="80"/>
      <c r="S118" s="109"/>
      <c r="T118" s="110"/>
    </row>
    <row r="119" spans="1:20" s="85" customFormat="1" x14ac:dyDescent="0.25">
      <c r="A119" s="98">
        <f t="shared" si="12"/>
        <v>20.539045958089918</v>
      </c>
      <c r="B119" s="35">
        <f t="shared" si="7"/>
        <v>114</v>
      </c>
      <c r="C119" s="25" t="s">
        <v>380</v>
      </c>
      <c r="D119" s="25" t="s">
        <v>381</v>
      </c>
      <c r="E119" s="25" t="s">
        <v>157</v>
      </c>
      <c r="F119" s="25" t="s">
        <v>158</v>
      </c>
      <c r="G119" s="80"/>
      <c r="H119" s="99">
        <v>114</v>
      </c>
      <c r="I119" s="100">
        <f t="shared" si="8"/>
        <v>7.115871631741598</v>
      </c>
      <c r="J119" s="99">
        <f t="shared" si="13"/>
        <v>1</v>
      </c>
      <c r="K119" s="99">
        <f t="shared" si="9"/>
        <v>10</v>
      </c>
      <c r="L119" s="99"/>
      <c r="M119" s="101">
        <f t="shared" si="10"/>
        <v>17.115871631741598</v>
      </c>
      <c r="N119" s="101">
        <f t="shared" si="11"/>
        <v>20.539045958089918</v>
      </c>
      <c r="O119" s="80"/>
      <c r="P119" s="80"/>
      <c r="Q119" s="80"/>
      <c r="R119" s="80"/>
      <c r="S119" s="80"/>
    </row>
    <row r="120" spans="1:20" s="85" customFormat="1" x14ac:dyDescent="0.25">
      <c r="A120" s="94">
        <f t="shared" si="12"/>
        <v>20.444150546002358</v>
      </c>
      <c r="B120" s="36">
        <f t="shared" si="7"/>
        <v>115</v>
      </c>
      <c r="C120" s="24" t="s">
        <v>382</v>
      </c>
      <c r="D120" s="24" t="s">
        <v>383</v>
      </c>
      <c r="E120" s="24" t="s">
        <v>237</v>
      </c>
      <c r="F120" s="24" t="s">
        <v>158</v>
      </c>
      <c r="G120" s="80"/>
      <c r="H120" s="95">
        <v>115</v>
      </c>
      <c r="I120" s="96">
        <f t="shared" si="8"/>
        <v>7.0367921216686327</v>
      </c>
      <c r="J120" s="95">
        <f t="shared" si="13"/>
        <v>1</v>
      </c>
      <c r="K120" s="95">
        <f t="shared" si="9"/>
        <v>10</v>
      </c>
      <c r="L120" s="95"/>
      <c r="M120" s="97">
        <f t="shared" si="10"/>
        <v>17.036792121668633</v>
      </c>
      <c r="N120" s="97">
        <f t="shared" si="11"/>
        <v>20.444150546002358</v>
      </c>
      <c r="O120" s="80"/>
      <c r="P120" s="80"/>
      <c r="Q120" s="80"/>
      <c r="R120" s="80"/>
      <c r="S120" s="109"/>
      <c r="T120" s="110"/>
    </row>
    <row r="121" spans="1:20" s="85" customFormat="1" x14ac:dyDescent="0.25">
      <c r="A121" s="98">
        <f t="shared" si="12"/>
        <v>20.350076749524003</v>
      </c>
      <c r="B121" s="35">
        <f t="shared" si="7"/>
        <v>116</v>
      </c>
      <c r="C121" s="25" t="s">
        <v>384</v>
      </c>
      <c r="D121" s="25" t="s">
        <v>314</v>
      </c>
      <c r="E121" s="25" t="s">
        <v>260</v>
      </c>
      <c r="F121" s="25" t="s">
        <v>158</v>
      </c>
      <c r="G121" s="80"/>
      <c r="H121" s="99">
        <v>116</v>
      </c>
      <c r="I121" s="100">
        <f t="shared" si="8"/>
        <v>6.9583972912700034</v>
      </c>
      <c r="J121" s="99">
        <f t="shared" si="13"/>
        <v>1</v>
      </c>
      <c r="K121" s="99">
        <f t="shared" si="9"/>
        <v>10</v>
      </c>
      <c r="L121" s="99"/>
      <c r="M121" s="101">
        <f t="shared" si="10"/>
        <v>16.958397291270003</v>
      </c>
      <c r="N121" s="101">
        <f t="shared" si="11"/>
        <v>20.350076749524003</v>
      </c>
      <c r="O121" s="80"/>
      <c r="P121" s="80"/>
      <c r="Q121" s="80"/>
      <c r="R121" s="80"/>
      <c r="S121" s="80"/>
    </row>
    <row r="122" spans="1:20" s="85" customFormat="1" x14ac:dyDescent="0.25">
      <c r="A122" s="94">
        <f t="shared" si="12"/>
        <v>20.256810463403756</v>
      </c>
      <c r="B122" s="36">
        <f t="shared" si="7"/>
        <v>117</v>
      </c>
      <c r="C122" s="24" t="s">
        <v>385</v>
      </c>
      <c r="D122" s="24" t="s">
        <v>386</v>
      </c>
      <c r="E122" s="24" t="s">
        <v>203</v>
      </c>
      <c r="F122" s="24" t="s">
        <v>158</v>
      </c>
      <c r="G122" s="80"/>
      <c r="H122" s="95">
        <v>117</v>
      </c>
      <c r="I122" s="96">
        <f t="shared" si="8"/>
        <v>6.8806753861697985</v>
      </c>
      <c r="J122" s="95">
        <f t="shared" si="13"/>
        <v>1</v>
      </c>
      <c r="K122" s="95">
        <f t="shared" si="9"/>
        <v>10</v>
      </c>
      <c r="L122" s="95"/>
      <c r="M122" s="97">
        <f t="shared" si="10"/>
        <v>16.880675386169798</v>
      </c>
      <c r="N122" s="97">
        <f t="shared" si="11"/>
        <v>20.256810463403756</v>
      </c>
      <c r="O122" s="80"/>
      <c r="P122" s="80"/>
      <c r="Q122" s="80"/>
      <c r="R122" s="80"/>
      <c r="S122" s="109"/>
      <c r="T122" s="110"/>
    </row>
    <row r="123" spans="1:20" s="85" customFormat="1" ht="25.85" x14ac:dyDescent="0.25">
      <c r="A123" s="98">
        <f t="shared" si="12"/>
        <v>20.164337942533418</v>
      </c>
      <c r="B123" s="35">
        <f t="shared" si="7"/>
        <v>118</v>
      </c>
      <c r="C123" s="25" t="s">
        <v>387</v>
      </c>
      <c r="D123" s="25" t="s">
        <v>375</v>
      </c>
      <c r="E123" s="25" t="s">
        <v>157</v>
      </c>
      <c r="F123" s="25" t="s">
        <v>158</v>
      </c>
      <c r="G123" s="80"/>
      <c r="H123" s="99">
        <v>118</v>
      </c>
      <c r="I123" s="100">
        <f t="shared" si="8"/>
        <v>6.8036149521111824</v>
      </c>
      <c r="J123" s="99">
        <f t="shared" si="13"/>
        <v>1</v>
      </c>
      <c r="K123" s="99">
        <f t="shared" si="9"/>
        <v>10</v>
      </c>
      <c r="L123" s="99"/>
      <c r="M123" s="101">
        <f t="shared" si="10"/>
        <v>16.803614952111182</v>
      </c>
      <c r="N123" s="101">
        <f t="shared" si="11"/>
        <v>20.164337942533418</v>
      </c>
      <c r="O123" s="80"/>
      <c r="P123" s="80"/>
      <c r="Q123" s="80"/>
      <c r="R123" s="80"/>
      <c r="S123" s="80"/>
    </row>
    <row r="124" spans="1:20" s="85" customFormat="1" x14ac:dyDescent="0.25">
      <c r="A124" s="94">
        <f t="shared" si="12"/>
        <v>20.072645789790599</v>
      </c>
      <c r="B124" s="36">
        <f t="shared" si="7"/>
        <v>119</v>
      </c>
      <c r="C124" s="24" t="s">
        <v>388</v>
      </c>
      <c r="D124" s="24" t="s">
        <v>310</v>
      </c>
      <c r="E124" s="24" t="s">
        <v>166</v>
      </c>
      <c r="F124" s="24" t="s">
        <v>158</v>
      </c>
      <c r="G124" s="80"/>
      <c r="H124" s="95">
        <v>119</v>
      </c>
      <c r="I124" s="96">
        <f t="shared" si="8"/>
        <v>6.727204824825499</v>
      </c>
      <c r="J124" s="95">
        <f t="shared" si="13"/>
        <v>1</v>
      </c>
      <c r="K124" s="95">
        <f t="shared" si="9"/>
        <v>10</v>
      </c>
      <c r="L124" s="95"/>
      <c r="M124" s="97">
        <f t="shared" si="10"/>
        <v>16.727204824825499</v>
      </c>
      <c r="N124" s="97">
        <f t="shared" si="11"/>
        <v>20.072645789790599</v>
      </c>
      <c r="O124" s="80"/>
      <c r="P124" s="80"/>
      <c r="Q124" s="80"/>
      <c r="R124" s="80"/>
      <c r="S124" s="109"/>
      <c r="T124" s="110"/>
    </row>
    <row r="125" spans="1:20" s="85" customFormat="1" x14ac:dyDescent="0.25">
      <c r="A125" s="98">
        <f t="shared" si="12"/>
        <v>19.981720944390229</v>
      </c>
      <c r="B125" s="35">
        <f t="shared" si="7"/>
        <v>120</v>
      </c>
      <c r="C125" s="25" t="s">
        <v>389</v>
      </c>
      <c r="D125" s="25" t="s">
        <v>390</v>
      </c>
      <c r="E125" s="25" t="s">
        <v>166</v>
      </c>
      <c r="F125" s="25" t="s">
        <v>158</v>
      </c>
      <c r="G125" s="80"/>
      <c r="H125" s="99">
        <v>120</v>
      </c>
      <c r="I125" s="100">
        <f t="shared" si="8"/>
        <v>6.6514341203251917</v>
      </c>
      <c r="J125" s="99">
        <f t="shared" si="13"/>
        <v>1</v>
      </c>
      <c r="K125" s="99">
        <f t="shared" si="9"/>
        <v>10</v>
      </c>
      <c r="L125" s="99"/>
      <c r="M125" s="101">
        <f t="shared" si="10"/>
        <v>16.651434120325192</v>
      </c>
      <c r="N125" s="101">
        <f t="shared" si="11"/>
        <v>19.981720944390229</v>
      </c>
      <c r="O125" s="80"/>
      <c r="P125" s="80"/>
      <c r="Q125" s="80"/>
      <c r="R125" s="80"/>
      <c r="S125" s="80"/>
    </row>
    <row r="126" spans="1:20" s="85" customFormat="1" x14ac:dyDescent="0.25">
      <c r="A126" s="94">
        <f t="shared" si="12"/>
        <v>19.891550670719649</v>
      </c>
      <c r="B126" s="36">
        <f t="shared" si="7"/>
        <v>121</v>
      </c>
      <c r="C126" s="24" t="s">
        <v>391</v>
      </c>
      <c r="D126" s="24" t="s">
        <v>392</v>
      </c>
      <c r="E126" s="24" t="s">
        <v>182</v>
      </c>
      <c r="F126" s="24" t="s">
        <v>158</v>
      </c>
      <c r="G126" s="80"/>
      <c r="H126" s="95">
        <v>121</v>
      </c>
      <c r="I126" s="96">
        <f t="shared" si="8"/>
        <v>6.5762922255997083</v>
      </c>
      <c r="J126" s="95">
        <f t="shared" si="13"/>
        <v>1</v>
      </c>
      <c r="K126" s="95">
        <f t="shared" si="9"/>
        <v>10</v>
      </c>
      <c r="L126" s="95"/>
      <c r="M126" s="97">
        <f t="shared" si="10"/>
        <v>16.576292225599708</v>
      </c>
      <c r="N126" s="97">
        <f t="shared" si="11"/>
        <v>19.891550670719649</v>
      </c>
      <c r="O126" s="80"/>
      <c r="P126" s="80"/>
      <c r="Q126" s="80"/>
      <c r="R126" s="80"/>
      <c r="S126" s="109"/>
      <c r="T126" s="110"/>
    </row>
    <row r="127" spans="1:20" s="85" customFormat="1" x14ac:dyDescent="0.25">
      <c r="A127" s="98">
        <f t="shared" si="12"/>
        <v>19.802122547632916</v>
      </c>
      <c r="B127" s="35">
        <f t="shared" si="7"/>
        <v>122</v>
      </c>
      <c r="C127" s="25" t="s">
        <v>393</v>
      </c>
      <c r="D127" s="25" t="s">
        <v>394</v>
      </c>
      <c r="E127" s="25" t="s">
        <v>260</v>
      </c>
      <c r="F127" s="25" t="s">
        <v>158</v>
      </c>
      <c r="G127" s="80"/>
      <c r="H127" s="99">
        <v>122</v>
      </c>
      <c r="I127" s="100">
        <f t="shared" si="8"/>
        <v>6.501768789694097</v>
      </c>
      <c r="J127" s="99">
        <f t="shared" si="13"/>
        <v>1</v>
      </c>
      <c r="K127" s="99">
        <f t="shared" si="9"/>
        <v>10</v>
      </c>
      <c r="L127" s="99"/>
      <c r="M127" s="101">
        <f t="shared" si="10"/>
        <v>16.501768789694097</v>
      </c>
      <c r="N127" s="101">
        <f t="shared" si="11"/>
        <v>19.802122547632916</v>
      </c>
      <c r="O127" s="80"/>
      <c r="P127" s="80"/>
      <c r="Q127" s="80"/>
      <c r="R127" s="80"/>
      <c r="S127" s="80"/>
    </row>
    <row r="128" spans="1:20" s="85" customFormat="1" x14ac:dyDescent="0.25">
      <c r="A128" s="94">
        <f t="shared" si="12"/>
        <v>19.713424458182278</v>
      </c>
      <c r="B128" s="36">
        <f t="shared" si="7"/>
        <v>123</v>
      </c>
      <c r="C128" s="24" t="s">
        <v>395</v>
      </c>
      <c r="D128" s="24" t="s">
        <v>396</v>
      </c>
      <c r="E128" s="24" t="s">
        <v>331</v>
      </c>
      <c r="F128" s="24" t="s">
        <v>158</v>
      </c>
      <c r="G128" s="80"/>
      <c r="H128" s="95">
        <v>123</v>
      </c>
      <c r="I128" s="96">
        <f t="shared" si="8"/>
        <v>6.4278537151518975</v>
      </c>
      <c r="J128" s="95">
        <f t="shared" si="13"/>
        <v>1</v>
      </c>
      <c r="K128" s="95">
        <f t="shared" si="9"/>
        <v>10</v>
      </c>
      <c r="L128" s="95"/>
      <c r="M128" s="97">
        <f t="shared" si="10"/>
        <v>16.427853715151898</v>
      </c>
      <c r="N128" s="97">
        <f t="shared" si="11"/>
        <v>19.713424458182278</v>
      </c>
      <c r="O128" s="80"/>
      <c r="P128" s="80"/>
      <c r="Q128" s="80"/>
      <c r="R128" s="80"/>
      <c r="S128" s="109"/>
      <c r="T128" s="110"/>
    </row>
    <row r="129" spans="1:20" s="85" customFormat="1" x14ac:dyDescent="0.25">
      <c r="A129" s="98">
        <f t="shared" si="12"/>
        <v>19.625444579765279</v>
      </c>
      <c r="B129" s="35">
        <f t="shared" si="7"/>
        <v>124</v>
      </c>
      <c r="C129" s="25" t="s">
        <v>397</v>
      </c>
      <c r="D129" s="25" t="s">
        <v>398</v>
      </c>
      <c r="E129" s="25" t="s">
        <v>157</v>
      </c>
      <c r="F129" s="25" t="s">
        <v>158</v>
      </c>
      <c r="G129" s="80"/>
      <c r="H129" s="99">
        <v>124</v>
      </c>
      <c r="I129" s="100">
        <f t="shared" si="8"/>
        <v>6.3545371498044005</v>
      </c>
      <c r="J129" s="99">
        <f t="shared" si="13"/>
        <v>1</v>
      </c>
      <c r="K129" s="99">
        <f t="shared" si="9"/>
        <v>10</v>
      </c>
      <c r="L129" s="99"/>
      <c r="M129" s="101">
        <f t="shared" si="10"/>
        <v>16.354537149804401</v>
      </c>
      <c r="N129" s="101">
        <f t="shared" si="11"/>
        <v>19.625444579765279</v>
      </c>
      <c r="O129" s="80"/>
      <c r="P129" s="80"/>
      <c r="Q129" s="80"/>
      <c r="R129" s="80"/>
      <c r="S129" s="80"/>
    </row>
    <row r="130" spans="1:20" s="85" customFormat="1" ht="25.85" x14ac:dyDescent="0.25">
      <c r="A130" s="94">
        <f t="shared" si="12"/>
        <v>19.538171374667687</v>
      </c>
      <c r="B130" s="36">
        <f t="shared" si="7"/>
        <v>125</v>
      </c>
      <c r="C130" s="24" t="s">
        <v>399</v>
      </c>
      <c r="D130" s="24" t="s">
        <v>400</v>
      </c>
      <c r="E130" s="24" t="s">
        <v>157</v>
      </c>
      <c r="F130" s="24" t="s">
        <v>158</v>
      </c>
      <c r="G130" s="80"/>
      <c r="H130" s="95">
        <v>125</v>
      </c>
      <c r="I130" s="96">
        <f t="shared" si="8"/>
        <v>6.2818094788897412</v>
      </c>
      <c r="J130" s="95">
        <f t="shared" si="13"/>
        <v>1</v>
      </c>
      <c r="K130" s="95">
        <f t="shared" si="9"/>
        <v>10</v>
      </c>
      <c r="L130" s="95"/>
      <c r="M130" s="97">
        <f t="shared" si="10"/>
        <v>16.281809478889741</v>
      </c>
      <c r="N130" s="97">
        <f t="shared" si="11"/>
        <v>19.538171374667687</v>
      </c>
      <c r="O130" s="80"/>
      <c r="P130" s="80"/>
      <c r="Q130" s="80"/>
      <c r="R130" s="80"/>
      <c r="S130" s="109"/>
      <c r="T130" s="110"/>
    </row>
    <row r="131" spans="1:20" s="85" customFormat="1" x14ac:dyDescent="0.25">
      <c r="A131" s="98">
        <f t="shared" si="12"/>
        <v>19.451593580983083</v>
      </c>
      <c r="B131" s="35">
        <f t="shared" si="7"/>
        <v>126</v>
      </c>
      <c r="C131" s="25" t="s">
        <v>401</v>
      </c>
      <c r="D131" s="25" t="s">
        <v>214</v>
      </c>
      <c r="E131" s="25" t="s">
        <v>157</v>
      </c>
      <c r="F131" s="25" t="s">
        <v>158</v>
      </c>
      <c r="G131" s="80"/>
      <c r="H131" s="99">
        <v>126</v>
      </c>
      <c r="I131" s="100">
        <f t="shared" si="8"/>
        <v>6.209661317485903</v>
      </c>
      <c r="J131" s="99">
        <f t="shared" si="13"/>
        <v>1</v>
      </c>
      <c r="K131" s="99">
        <f t="shared" si="9"/>
        <v>10</v>
      </c>
      <c r="L131" s="99"/>
      <c r="M131" s="101">
        <f t="shared" si="10"/>
        <v>16.209661317485903</v>
      </c>
      <c r="N131" s="101">
        <f t="shared" si="11"/>
        <v>19.451593580983083</v>
      </c>
      <c r="O131" s="80"/>
      <c r="P131" s="80"/>
      <c r="Q131" s="80"/>
      <c r="R131" s="80"/>
      <c r="S131" s="80"/>
    </row>
    <row r="132" spans="1:20" s="85" customFormat="1" x14ac:dyDescent="0.25">
      <c r="A132" s="94">
        <f t="shared" si="12"/>
        <v>19.365700203891492</v>
      </c>
      <c r="B132" s="36">
        <f t="shared" si="7"/>
        <v>127</v>
      </c>
      <c r="C132" s="24" t="s">
        <v>402</v>
      </c>
      <c r="D132" s="24" t="s">
        <v>398</v>
      </c>
      <c r="E132" s="24" t="s">
        <v>157</v>
      </c>
      <c r="F132" s="24" t="s">
        <v>158</v>
      </c>
      <c r="G132" s="80"/>
      <c r="H132" s="95">
        <v>127</v>
      </c>
      <c r="I132" s="96">
        <f t="shared" si="8"/>
        <v>6.1380835032429104</v>
      </c>
      <c r="J132" s="95">
        <f t="shared" si="13"/>
        <v>1</v>
      </c>
      <c r="K132" s="95">
        <f t="shared" si="9"/>
        <v>10</v>
      </c>
      <c r="L132" s="95"/>
      <c r="M132" s="97">
        <f t="shared" si="10"/>
        <v>16.13808350324291</v>
      </c>
      <c r="N132" s="97">
        <f t="shared" si="11"/>
        <v>19.365700203891492</v>
      </c>
      <c r="O132" s="80"/>
      <c r="P132" s="80"/>
      <c r="Q132" s="80"/>
      <c r="R132" s="80"/>
      <c r="S132" s="109"/>
      <c r="T132" s="110"/>
    </row>
    <row r="133" spans="1:20" s="85" customFormat="1" x14ac:dyDescent="0.25">
      <c r="A133" s="98">
        <f t="shared" si="12"/>
        <v>19.280480507279904</v>
      </c>
      <c r="B133" s="35">
        <f t="shared" si="7"/>
        <v>128</v>
      </c>
      <c r="C133" s="25" t="s">
        <v>403</v>
      </c>
      <c r="D133" s="25" t="s">
        <v>404</v>
      </c>
      <c r="E133" s="25" t="s">
        <v>166</v>
      </c>
      <c r="F133" s="25" t="s">
        <v>158</v>
      </c>
      <c r="G133" s="80"/>
      <c r="H133" s="99">
        <v>128</v>
      </c>
      <c r="I133" s="100">
        <f t="shared" si="8"/>
        <v>6.0670670893999201</v>
      </c>
      <c r="J133" s="99">
        <f t="shared" si="13"/>
        <v>1</v>
      </c>
      <c r="K133" s="99">
        <f t="shared" si="9"/>
        <v>10</v>
      </c>
      <c r="L133" s="99"/>
      <c r="M133" s="101">
        <f t="shared" si="10"/>
        <v>16.06706708939992</v>
      </c>
      <c r="N133" s="101">
        <f t="shared" si="11"/>
        <v>19.280480507279904</v>
      </c>
      <c r="O133" s="80"/>
      <c r="P133" s="80"/>
      <c r="Q133" s="80"/>
      <c r="R133" s="80"/>
      <c r="S133" s="80"/>
    </row>
    <row r="134" spans="1:20" s="85" customFormat="1" x14ac:dyDescent="0.25">
      <c r="A134" s="94">
        <f t="shared" si="12"/>
        <v>7.1959240056890508</v>
      </c>
      <c r="B134" s="36">
        <f t="shared" ref="B134:B197" si="14">IF(H134&gt;$H$2,"",(ROW()-5))</f>
        <v>129</v>
      </c>
      <c r="C134" s="24" t="s">
        <v>405</v>
      </c>
      <c r="D134" s="24" t="s">
        <v>406</v>
      </c>
      <c r="E134" s="24" t="s">
        <v>166</v>
      </c>
      <c r="F134" s="24" t="s">
        <v>158</v>
      </c>
      <c r="G134" s="80"/>
      <c r="H134" s="95">
        <v>129</v>
      </c>
      <c r="I134" s="96">
        <f t="shared" ref="I134:I197" si="15">IF(H134&lt;$H$2+1,($I$2-($I$2-1)*(LOG(H134)/LOG($H$2))),"")</f>
        <v>5.996603338074209</v>
      </c>
      <c r="J134" s="95">
        <f t="shared" si="13"/>
        <v>0</v>
      </c>
      <c r="K134" s="95">
        <f t="shared" ref="K134:K197" si="16">J134*$J$2</f>
        <v>0</v>
      </c>
      <c r="L134" s="95"/>
      <c r="M134" s="97">
        <f t="shared" ref="M134:M197" si="17">IF(I134&lt;&gt;"",K134+I134+L134,0)</f>
        <v>5.996603338074209</v>
      </c>
      <c r="N134" s="97">
        <f t="shared" ref="N134:N197" si="18">IF(I134&lt;&gt;"",M134*L$2,0)</f>
        <v>7.1959240056890508</v>
      </c>
      <c r="O134" s="80"/>
      <c r="P134" s="80"/>
      <c r="Q134" s="80"/>
      <c r="R134" s="80"/>
      <c r="S134" s="109"/>
      <c r="T134" s="110"/>
    </row>
    <row r="135" spans="1:20" s="85" customFormat="1" x14ac:dyDescent="0.25">
      <c r="A135" s="98">
        <f t="shared" ref="A135:A198" si="19">N135</f>
        <v>7.1120204565708827</v>
      </c>
      <c r="B135" s="35">
        <f t="shared" si="14"/>
        <v>130</v>
      </c>
      <c r="C135" s="25" t="s">
        <v>407</v>
      </c>
      <c r="D135" s="25" t="s">
        <v>408</v>
      </c>
      <c r="E135" s="25" t="s">
        <v>166</v>
      </c>
      <c r="F135" s="25" t="s">
        <v>158</v>
      </c>
      <c r="G135" s="80"/>
      <c r="H135" s="99">
        <v>130</v>
      </c>
      <c r="I135" s="100">
        <f t="shared" si="15"/>
        <v>5.9266837138090693</v>
      </c>
      <c r="J135" s="99">
        <f t="shared" ref="J135:J198" si="20">INT(LOG($H$2,2))-ROUNDUP(LOG(H135,2),0)+IF(OR($H$2=1,$H$2=2,$H$2=4,$H$2=8,$H$2=16,$H$2=32,$H$2=64,$H$2=128,$H$2=256),0,1)</f>
        <v>0</v>
      </c>
      <c r="K135" s="99">
        <f t="shared" si="16"/>
        <v>0</v>
      </c>
      <c r="L135" s="99"/>
      <c r="M135" s="101">
        <f t="shared" si="17"/>
        <v>5.9266837138090693</v>
      </c>
      <c r="N135" s="101">
        <f t="shared" si="18"/>
        <v>7.1120204565708827</v>
      </c>
      <c r="O135" s="80"/>
      <c r="P135" s="80"/>
      <c r="Q135" s="80"/>
      <c r="R135" s="80"/>
      <c r="S135" s="80"/>
    </row>
    <row r="136" spans="1:20" s="85" customFormat="1" x14ac:dyDescent="0.25">
      <c r="A136" s="94">
        <f t="shared" si="19"/>
        <v>7.0287598528429296</v>
      </c>
      <c r="B136" s="36">
        <f t="shared" si="14"/>
        <v>131</v>
      </c>
      <c r="C136" s="24" t="s">
        <v>69</v>
      </c>
      <c r="D136" s="24" t="s">
        <v>409</v>
      </c>
      <c r="E136" s="24" t="s">
        <v>168</v>
      </c>
      <c r="F136" s="24" t="s">
        <v>158</v>
      </c>
      <c r="G136" s="80"/>
      <c r="H136" s="95">
        <v>131</v>
      </c>
      <c r="I136" s="96">
        <f t="shared" si="15"/>
        <v>5.8572998773691083</v>
      </c>
      <c r="J136" s="95">
        <f t="shared" si="20"/>
        <v>0</v>
      </c>
      <c r="K136" s="95">
        <f t="shared" si="16"/>
        <v>0</v>
      </c>
      <c r="L136" s="95"/>
      <c r="M136" s="97">
        <f t="shared" si="17"/>
        <v>5.8572998773691083</v>
      </c>
      <c r="N136" s="97">
        <f t="shared" si="18"/>
        <v>7.0287598528429296</v>
      </c>
      <c r="O136" s="80"/>
      <c r="P136" s="80"/>
      <c r="Q136" s="80"/>
      <c r="R136" s="80"/>
      <c r="S136" s="109"/>
      <c r="T136" s="110"/>
    </row>
    <row r="137" spans="1:20" s="85" customFormat="1" x14ac:dyDescent="0.25">
      <c r="A137" s="98">
        <f t="shared" si="19"/>
        <v>6.9461324157256001</v>
      </c>
      <c r="B137" s="35">
        <f t="shared" si="14"/>
        <v>132</v>
      </c>
      <c r="C137" s="25" t="s">
        <v>410</v>
      </c>
      <c r="D137" s="25" t="s">
        <v>411</v>
      </c>
      <c r="E137" s="25" t="s">
        <v>161</v>
      </c>
      <c r="F137" s="25" t="s">
        <v>158</v>
      </c>
      <c r="G137" s="80"/>
      <c r="H137" s="99">
        <v>132</v>
      </c>
      <c r="I137" s="100">
        <f t="shared" si="15"/>
        <v>5.7884436797713334</v>
      </c>
      <c r="J137" s="99">
        <f t="shared" si="20"/>
        <v>0</v>
      </c>
      <c r="K137" s="99">
        <f t="shared" si="16"/>
        <v>0</v>
      </c>
      <c r="L137" s="99"/>
      <c r="M137" s="101">
        <f t="shared" si="17"/>
        <v>5.7884436797713334</v>
      </c>
      <c r="N137" s="101">
        <f t="shared" si="18"/>
        <v>6.9461324157256001</v>
      </c>
      <c r="O137" s="80"/>
      <c r="P137" s="80"/>
      <c r="Q137" s="80"/>
      <c r="R137" s="80"/>
      <c r="S137" s="80"/>
    </row>
    <row r="138" spans="1:20" s="85" customFormat="1" x14ac:dyDescent="0.25">
      <c r="A138" s="94">
        <f t="shared" si="19"/>
        <v>6.8641285878499048</v>
      </c>
      <c r="B138" s="36">
        <f t="shared" si="14"/>
        <v>133</v>
      </c>
      <c r="C138" s="24" t="s">
        <v>412</v>
      </c>
      <c r="D138" s="24" t="s">
        <v>413</v>
      </c>
      <c r="E138" s="24" t="s">
        <v>219</v>
      </c>
      <c r="F138" s="24" t="s">
        <v>158</v>
      </c>
      <c r="G138" s="80"/>
      <c r="H138" s="95">
        <v>133</v>
      </c>
      <c r="I138" s="96">
        <f t="shared" si="15"/>
        <v>5.7201071565415873</v>
      </c>
      <c r="J138" s="95">
        <f t="shared" si="20"/>
        <v>0</v>
      </c>
      <c r="K138" s="95">
        <f t="shared" si="16"/>
        <v>0</v>
      </c>
      <c r="L138" s="95"/>
      <c r="M138" s="97">
        <f t="shared" si="17"/>
        <v>5.7201071565415873</v>
      </c>
      <c r="N138" s="97">
        <f t="shared" si="18"/>
        <v>6.8641285878499048</v>
      </c>
      <c r="O138" s="80"/>
      <c r="P138" s="80"/>
      <c r="Q138" s="80"/>
      <c r="R138" s="80"/>
      <c r="S138" s="109"/>
      <c r="T138" s="110"/>
    </row>
    <row r="139" spans="1:20" s="85" customFormat="1" x14ac:dyDescent="0.25">
      <c r="A139" s="98">
        <f t="shared" si="19"/>
        <v>6.7827390266232408</v>
      </c>
      <c r="B139" s="35">
        <f t="shared" si="14"/>
        <v>134</v>
      </c>
      <c r="C139" s="25" t="s">
        <v>414</v>
      </c>
      <c r="D139" s="25" t="s">
        <v>344</v>
      </c>
      <c r="E139" s="25" t="s">
        <v>203</v>
      </c>
      <c r="F139" s="25" t="s">
        <v>158</v>
      </c>
      <c r="G139" s="80"/>
      <c r="H139" s="99">
        <v>134</v>
      </c>
      <c r="I139" s="100">
        <f t="shared" si="15"/>
        <v>5.6522825221860344</v>
      </c>
      <c r="J139" s="99">
        <f t="shared" si="20"/>
        <v>0</v>
      </c>
      <c r="K139" s="99">
        <f t="shared" si="16"/>
        <v>0</v>
      </c>
      <c r="L139" s="99"/>
      <c r="M139" s="101">
        <f t="shared" si="17"/>
        <v>5.6522825221860344</v>
      </c>
      <c r="N139" s="101">
        <f t="shared" si="18"/>
        <v>6.7827390266232408</v>
      </c>
      <c r="O139" s="80"/>
      <c r="P139" s="80"/>
      <c r="Q139" s="80"/>
      <c r="R139" s="80"/>
      <c r="S139" s="80"/>
    </row>
    <row r="140" spans="1:20" s="85" customFormat="1" x14ac:dyDescent="0.25">
      <c r="A140" s="94">
        <f t="shared" si="19"/>
        <v>6.7019545978418762</v>
      </c>
      <c r="B140" s="36">
        <f t="shared" si="14"/>
        <v>135</v>
      </c>
      <c r="C140" s="24" t="s">
        <v>415</v>
      </c>
      <c r="D140" s="24" t="s">
        <v>163</v>
      </c>
      <c r="E140" s="24" t="s">
        <v>157</v>
      </c>
      <c r="F140" s="24" t="s">
        <v>158</v>
      </c>
      <c r="G140" s="80"/>
      <c r="H140" s="95">
        <v>135</v>
      </c>
      <c r="I140" s="96">
        <f t="shared" si="15"/>
        <v>5.5849621648682302</v>
      </c>
      <c r="J140" s="95">
        <f t="shared" si="20"/>
        <v>0</v>
      </c>
      <c r="K140" s="95">
        <f t="shared" si="16"/>
        <v>0</v>
      </c>
      <c r="L140" s="95"/>
      <c r="M140" s="97">
        <f t="shared" si="17"/>
        <v>5.5849621648682302</v>
      </c>
      <c r="N140" s="97">
        <f t="shared" si="18"/>
        <v>6.7019545978418762</v>
      </c>
      <c r="O140" s="80"/>
      <c r="P140" s="80"/>
      <c r="Q140" s="80"/>
      <c r="R140" s="80"/>
      <c r="S140" s="109"/>
      <c r="T140" s="110"/>
    </row>
    <row r="141" spans="1:20" s="85" customFormat="1" x14ac:dyDescent="0.25">
      <c r="A141" s="98">
        <f t="shared" si="19"/>
        <v>6.6217663695390572</v>
      </c>
      <c r="B141" s="35">
        <f t="shared" si="14"/>
        <v>136</v>
      </c>
      <c r="C141" s="25" t="s">
        <v>416</v>
      </c>
      <c r="D141" s="25" t="s">
        <v>417</v>
      </c>
      <c r="E141" s="25" t="s">
        <v>260</v>
      </c>
      <c r="F141" s="25" t="s">
        <v>158</v>
      </c>
      <c r="G141" s="80"/>
      <c r="H141" s="99">
        <v>136</v>
      </c>
      <c r="I141" s="100">
        <f t="shared" si="15"/>
        <v>5.5181386412825475</v>
      </c>
      <c r="J141" s="99">
        <f t="shared" si="20"/>
        <v>0</v>
      </c>
      <c r="K141" s="99">
        <f t="shared" si="16"/>
        <v>0</v>
      </c>
      <c r="L141" s="99"/>
      <c r="M141" s="101">
        <f t="shared" si="17"/>
        <v>5.5181386412825475</v>
      </c>
      <c r="N141" s="101">
        <f t="shared" si="18"/>
        <v>6.6217663695390572</v>
      </c>
      <c r="O141" s="80"/>
      <c r="P141" s="80"/>
      <c r="Q141" s="80"/>
      <c r="R141" s="80"/>
      <c r="S141" s="80"/>
    </row>
    <row r="142" spans="1:20" s="85" customFormat="1" x14ac:dyDescent="0.25">
      <c r="A142" s="94">
        <f t="shared" si="19"/>
        <v>6.5421656060585578</v>
      </c>
      <c r="B142" s="36">
        <f t="shared" si="14"/>
        <v>137</v>
      </c>
      <c r="C142" s="24" t="s">
        <v>418</v>
      </c>
      <c r="D142" s="24" t="s">
        <v>419</v>
      </c>
      <c r="E142" s="24" t="s">
        <v>420</v>
      </c>
      <c r="F142" s="24" t="s">
        <v>158</v>
      </c>
      <c r="G142" s="80"/>
      <c r="H142" s="95">
        <v>137</v>
      </c>
      <c r="I142" s="96">
        <f t="shared" si="15"/>
        <v>5.4518046717154647</v>
      </c>
      <c r="J142" s="95">
        <f t="shared" si="20"/>
        <v>0</v>
      </c>
      <c r="K142" s="95">
        <f t="shared" si="16"/>
        <v>0</v>
      </c>
      <c r="L142" s="95"/>
      <c r="M142" s="97">
        <f t="shared" si="17"/>
        <v>5.4518046717154647</v>
      </c>
      <c r="N142" s="97">
        <f t="shared" si="18"/>
        <v>6.5421656060585578</v>
      </c>
      <c r="O142" s="80"/>
      <c r="P142" s="80"/>
      <c r="Q142" s="80"/>
      <c r="R142" s="80"/>
      <c r="S142" s="109"/>
      <c r="T142" s="110"/>
    </row>
    <row r="143" spans="1:20" s="85" customFormat="1" ht="38.75" x14ac:dyDescent="0.25">
      <c r="A143" s="98">
        <f t="shared" si="19"/>
        <v>6.4631437623436883</v>
      </c>
      <c r="B143" s="35">
        <f t="shared" si="14"/>
        <v>138</v>
      </c>
      <c r="C143" s="25" t="s">
        <v>421</v>
      </c>
      <c r="D143" s="25" t="s">
        <v>184</v>
      </c>
      <c r="E143" s="25" t="s">
        <v>157</v>
      </c>
      <c r="F143" s="25" t="s">
        <v>158</v>
      </c>
      <c r="G143" s="80"/>
      <c r="H143" s="99">
        <v>138</v>
      </c>
      <c r="I143" s="100">
        <f t="shared" si="15"/>
        <v>5.3859531352864067</v>
      </c>
      <c r="J143" s="99">
        <f t="shared" si="20"/>
        <v>0</v>
      </c>
      <c r="K143" s="99">
        <f t="shared" si="16"/>
        <v>0</v>
      </c>
      <c r="L143" s="99"/>
      <c r="M143" s="101">
        <f t="shared" si="17"/>
        <v>5.3859531352864067</v>
      </c>
      <c r="N143" s="101">
        <f t="shared" si="18"/>
        <v>6.4631437623436883</v>
      </c>
      <c r="O143" s="80"/>
      <c r="P143" s="80"/>
      <c r="Q143" s="80"/>
      <c r="R143" s="80"/>
      <c r="S143" s="80"/>
    </row>
    <row r="144" spans="1:20" s="85" customFormat="1" x14ac:dyDescent="0.25">
      <c r="A144" s="94">
        <f t="shared" si="19"/>
        <v>6.3846924784324841</v>
      </c>
      <c r="B144" s="36">
        <f t="shared" si="14"/>
        <v>139</v>
      </c>
      <c r="C144" s="24" t="s">
        <v>422</v>
      </c>
      <c r="D144" s="24" t="s">
        <v>179</v>
      </c>
      <c r="E144" s="24" t="s">
        <v>157</v>
      </c>
      <c r="F144" s="24" t="s">
        <v>158</v>
      </c>
      <c r="G144" s="80"/>
      <c r="H144" s="95">
        <v>139</v>
      </c>
      <c r="I144" s="96">
        <f t="shared" si="15"/>
        <v>5.3205770653604034</v>
      </c>
      <c r="J144" s="95">
        <f t="shared" si="20"/>
        <v>0</v>
      </c>
      <c r="K144" s="95">
        <f t="shared" si="16"/>
        <v>0</v>
      </c>
      <c r="L144" s="95"/>
      <c r="M144" s="97">
        <f t="shared" si="17"/>
        <v>5.3205770653604034</v>
      </c>
      <c r="N144" s="97">
        <f t="shared" si="18"/>
        <v>6.3846924784324841</v>
      </c>
      <c r="O144" s="80"/>
      <c r="P144" s="80"/>
      <c r="Q144" s="80"/>
      <c r="R144" s="80"/>
      <c r="S144" s="109"/>
      <c r="T144" s="110"/>
    </row>
    <row r="145" spans="1:20" s="85" customFormat="1" x14ac:dyDescent="0.25">
      <c r="A145" s="98">
        <f t="shared" si="19"/>
        <v>6.3068035741502166</v>
      </c>
      <c r="B145" s="35">
        <f t="shared" si="14"/>
        <v>140</v>
      </c>
      <c r="C145" s="25" t="s">
        <v>423</v>
      </c>
      <c r="D145" s="25" t="s">
        <v>335</v>
      </c>
      <c r="E145" s="25" t="s">
        <v>166</v>
      </c>
      <c r="F145" s="25" t="s">
        <v>158</v>
      </c>
      <c r="G145" s="80"/>
      <c r="H145" s="99">
        <v>140</v>
      </c>
      <c r="I145" s="100">
        <f t="shared" si="15"/>
        <v>5.255669645125181</v>
      </c>
      <c r="J145" s="99">
        <f t="shared" si="20"/>
        <v>0</v>
      </c>
      <c r="K145" s="99">
        <f t="shared" si="16"/>
        <v>0</v>
      </c>
      <c r="L145" s="99"/>
      <c r="M145" s="101">
        <f t="shared" si="17"/>
        <v>5.255669645125181</v>
      </c>
      <c r="N145" s="101">
        <f t="shared" si="18"/>
        <v>6.3068035741502166</v>
      </c>
      <c r="O145" s="80"/>
      <c r="P145" s="80"/>
      <c r="Q145" s="80"/>
      <c r="R145" s="80"/>
      <c r="S145" s="80"/>
    </row>
    <row r="146" spans="1:20" s="85" customFormat="1" ht="25.85" x14ac:dyDescent="0.25">
      <c r="A146" s="94">
        <f t="shared" si="19"/>
        <v>6.229469043990826</v>
      </c>
      <c r="B146" s="36">
        <f t="shared" si="14"/>
        <v>141</v>
      </c>
      <c r="C146" s="24" t="s">
        <v>424</v>
      </c>
      <c r="D146" s="24" t="s">
        <v>425</v>
      </c>
      <c r="E146" s="24" t="s">
        <v>190</v>
      </c>
      <c r="F146" s="24" t="s">
        <v>158</v>
      </c>
      <c r="G146" s="80"/>
      <c r="H146" s="95">
        <v>141</v>
      </c>
      <c r="I146" s="96">
        <f t="shared" si="15"/>
        <v>5.1912242033256888</v>
      </c>
      <c r="J146" s="95">
        <f t="shared" si="20"/>
        <v>0</v>
      </c>
      <c r="K146" s="95">
        <f t="shared" si="16"/>
        <v>0</v>
      </c>
      <c r="L146" s="95"/>
      <c r="M146" s="97">
        <f t="shared" si="17"/>
        <v>5.1912242033256888</v>
      </c>
      <c r="N146" s="97">
        <f t="shared" si="18"/>
        <v>6.229469043990826</v>
      </c>
      <c r="O146" s="80"/>
      <c r="P146" s="80"/>
      <c r="Q146" s="80"/>
      <c r="R146" s="80"/>
      <c r="S146" s="109"/>
      <c r="T146" s="110"/>
    </row>
    <row r="147" spans="1:20" s="85" customFormat="1" x14ac:dyDescent="0.25">
      <c r="A147" s="98">
        <f t="shared" si="19"/>
        <v>6.152681052179088</v>
      </c>
      <c r="B147" s="35">
        <f t="shared" si="14"/>
        <v>142</v>
      </c>
      <c r="C147" s="25" t="s">
        <v>426</v>
      </c>
      <c r="D147" s="25" t="s">
        <v>186</v>
      </c>
      <c r="E147" s="25" t="s">
        <v>157</v>
      </c>
      <c r="F147" s="25" t="s">
        <v>158</v>
      </c>
      <c r="G147" s="80"/>
      <c r="H147" s="99">
        <v>142</v>
      </c>
      <c r="I147" s="100">
        <f t="shared" si="15"/>
        <v>5.1272342101492399</v>
      </c>
      <c r="J147" s="99">
        <f t="shared" si="20"/>
        <v>0</v>
      </c>
      <c r="K147" s="99">
        <f t="shared" si="16"/>
        <v>0</v>
      </c>
      <c r="L147" s="99"/>
      <c r="M147" s="101">
        <f t="shared" si="17"/>
        <v>5.1272342101492399</v>
      </c>
      <c r="N147" s="101">
        <f t="shared" si="18"/>
        <v>6.152681052179088</v>
      </c>
      <c r="O147" s="80"/>
      <c r="P147" s="80"/>
      <c r="Q147" s="80"/>
      <c r="R147" s="80"/>
      <c r="S147" s="80"/>
    </row>
    <row r="148" spans="1:20" s="85" customFormat="1" x14ac:dyDescent="0.25">
      <c r="A148" s="94">
        <f t="shared" si="19"/>
        <v>6.0764319279062615</v>
      </c>
      <c r="B148" s="36">
        <f t="shared" si="14"/>
        <v>143</v>
      </c>
      <c r="C148" s="24" t="s">
        <v>427</v>
      </c>
      <c r="D148" s="24" t="s">
        <v>350</v>
      </c>
      <c r="E148" s="24" t="s">
        <v>166</v>
      </c>
      <c r="F148" s="24" t="s">
        <v>158</v>
      </c>
      <c r="G148" s="80"/>
      <c r="H148" s="95">
        <v>143</v>
      </c>
      <c r="I148" s="96">
        <f t="shared" si="15"/>
        <v>5.0636932732552182</v>
      </c>
      <c r="J148" s="95">
        <f t="shared" si="20"/>
        <v>0</v>
      </c>
      <c r="K148" s="95">
        <f t="shared" si="16"/>
        <v>0</v>
      </c>
      <c r="L148" s="95"/>
      <c r="M148" s="97">
        <f t="shared" si="17"/>
        <v>5.0636932732552182</v>
      </c>
      <c r="N148" s="97">
        <f t="shared" si="18"/>
        <v>6.0764319279062615</v>
      </c>
      <c r="O148" s="80"/>
      <c r="P148" s="80"/>
      <c r="Q148" s="80"/>
      <c r="R148" s="80"/>
      <c r="S148" s="109"/>
      <c r="T148" s="110"/>
    </row>
    <row r="149" spans="1:20" s="85" customFormat="1" x14ac:dyDescent="0.25">
      <c r="A149" s="98">
        <f t="shared" si="19"/>
        <v>6.0007141607315502</v>
      </c>
      <c r="B149" s="35">
        <f t="shared" si="14"/>
        <v>144</v>
      </c>
      <c r="C149" s="25" t="s">
        <v>428</v>
      </c>
      <c r="D149" s="25" t="s">
        <v>429</v>
      </c>
      <c r="E149" s="25" t="s">
        <v>237</v>
      </c>
      <c r="F149" s="25" t="s">
        <v>158</v>
      </c>
      <c r="G149" s="80"/>
      <c r="H149" s="99">
        <v>144</v>
      </c>
      <c r="I149" s="100">
        <f t="shared" si="15"/>
        <v>5.0005951339429586</v>
      </c>
      <c r="J149" s="99">
        <f t="shared" si="20"/>
        <v>0</v>
      </c>
      <c r="K149" s="99">
        <f t="shared" si="16"/>
        <v>0</v>
      </c>
      <c r="L149" s="99"/>
      <c r="M149" s="101">
        <f t="shared" si="17"/>
        <v>5.0005951339429586</v>
      </c>
      <c r="N149" s="101">
        <f t="shared" si="18"/>
        <v>6.0007141607315502</v>
      </c>
      <c r="O149" s="80"/>
      <c r="P149" s="80"/>
      <c r="Q149" s="80"/>
      <c r="R149" s="80"/>
      <c r="S149" s="80"/>
    </row>
    <row r="150" spans="1:20" s="85" customFormat="1" x14ac:dyDescent="0.25">
      <c r="A150" s="94">
        <f t="shared" si="19"/>
        <v>5.925520396142784</v>
      </c>
      <c r="B150" s="36">
        <f t="shared" si="14"/>
        <v>145</v>
      </c>
      <c r="C150" s="24" t="s">
        <v>430</v>
      </c>
      <c r="D150" s="24" t="s">
        <v>431</v>
      </c>
      <c r="E150" s="24" t="s">
        <v>157</v>
      </c>
      <c r="F150" s="24" t="s">
        <v>158</v>
      </c>
      <c r="G150" s="80"/>
      <c r="H150" s="95">
        <v>145</v>
      </c>
      <c r="I150" s="96">
        <f t="shared" si="15"/>
        <v>4.9379336634523199</v>
      </c>
      <c r="J150" s="95">
        <f t="shared" si="20"/>
        <v>0</v>
      </c>
      <c r="K150" s="95">
        <f t="shared" si="16"/>
        <v>0</v>
      </c>
      <c r="L150" s="95"/>
      <c r="M150" s="97">
        <f t="shared" si="17"/>
        <v>4.9379336634523199</v>
      </c>
      <c r="N150" s="97">
        <f t="shared" si="18"/>
        <v>5.925520396142784</v>
      </c>
      <c r="O150" s="80"/>
      <c r="P150" s="80"/>
      <c r="Q150" s="80"/>
      <c r="R150" s="80"/>
      <c r="S150" s="109"/>
      <c r="T150" s="110"/>
    </row>
    <row r="151" spans="1:20" s="85" customFormat="1" x14ac:dyDescent="0.25">
      <c r="A151" s="98">
        <f t="shared" si="19"/>
        <v>5.8508434312696149</v>
      </c>
      <c r="B151" s="35">
        <f t="shared" si="14"/>
        <v>146</v>
      </c>
      <c r="C151" s="25" t="s">
        <v>127</v>
      </c>
      <c r="D151" s="25"/>
      <c r="E151" s="25" t="s">
        <v>168</v>
      </c>
      <c r="F151" s="25" t="s">
        <v>158</v>
      </c>
      <c r="G151" s="80"/>
      <c r="H151" s="99">
        <v>146</v>
      </c>
      <c r="I151" s="100">
        <f t="shared" si="15"/>
        <v>4.8757028593913461</v>
      </c>
      <c r="J151" s="99">
        <f t="shared" si="20"/>
        <v>0</v>
      </c>
      <c r="K151" s="99">
        <f t="shared" si="16"/>
        <v>0</v>
      </c>
      <c r="L151" s="99"/>
      <c r="M151" s="101">
        <f t="shared" si="17"/>
        <v>4.8757028593913461</v>
      </c>
      <c r="N151" s="101">
        <f t="shared" si="18"/>
        <v>5.8508434312696149</v>
      </c>
      <c r="O151" s="80"/>
      <c r="P151" s="80"/>
      <c r="Q151" s="80"/>
      <c r="R151" s="80"/>
      <c r="S151" s="80"/>
    </row>
    <row r="152" spans="1:20" s="85" customFormat="1" x14ac:dyDescent="0.25">
      <c r="A152" s="94">
        <f t="shared" si="19"/>
        <v>5.7766762107430791</v>
      </c>
      <c r="B152" s="36">
        <f t="shared" si="14"/>
        <v>147</v>
      </c>
      <c r="C152" s="24" t="s">
        <v>432</v>
      </c>
      <c r="D152" s="24" t="s">
        <v>433</v>
      </c>
      <c r="E152" s="24" t="s">
        <v>182</v>
      </c>
      <c r="F152" s="24" t="s">
        <v>434</v>
      </c>
      <c r="G152" s="80"/>
      <c r="H152" s="95">
        <v>147</v>
      </c>
      <c r="I152" s="96">
        <f t="shared" si="15"/>
        <v>4.8138968422858994</v>
      </c>
      <c r="J152" s="95">
        <f t="shared" si="20"/>
        <v>0</v>
      </c>
      <c r="K152" s="95">
        <f t="shared" si="16"/>
        <v>0</v>
      </c>
      <c r="L152" s="95"/>
      <c r="M152" s="97">
        <f t="shared" si="17"/>
        <v>4.8138968422858994</v>
      </c>
      <c r="N152" s="97">
        <f t="shared" si="18"/>
        <v>5.7766762107430791</v>
      </c>
      <c r="O152" s="80"/>
      <c r="P152" s="80"/>
      <c r="Q152" s="80"/>
      <c r="R152" s="80"/>
      <c r="S152" s="109"/>
      <c r="T152" s="110"/>
    </row>
    <row r="153" spans="1:20" s="85" customFormat="1" ht="25.85" x14ac:dyDescent="0.25">
      <c r="A153" s="98">
        <f t="shared" si="19"/>
        <v>5.7030118226954469</v>
      </c>
      <c r="B153" s="35">
        <f t="shared" si="14"/>
        <v>148</v>
      </c>
      <c r="C153" s="25" t="s">
        <v>435</v>
      </c>
      <c r="D153" s="25" t="s">
        <v>436</v>
      </c>
      <c r="E153" s="25" t="s">
        <v>268</v>
      </c>
      <c r="F153" s="25" t="s">
        <v>158</v>
      </c>
      <c r="G153" s="80"/>
      <c r="H153" s="99">
        <v>148</v>
      </c>
      <c r="I153" s="100">
        <f t="shared" si="15"/>
        <v>4.7525098522462059</v>
      </c>
      <c r="J153" s="99">
        <f t="shared" si="20"/>
        <v>0</v>
      </c>
      <c r="K153" s="99">
        <f t="shared" si="16"/>
        <v>0</v>
      </c>
      <c r="L153" s="99"/>
      <c r="M153" s="101">
        <f t="shared" si="17"/>
        <v>4.7525098522462059</v>
      </c>
      <c r="N153" s="101">
        <f t="shared" si="18"/>
        <v>5.7030118226954469</v>
      </c>
      <c r="O153" s="80"/>
      <c r="P153" s="80"/>
      <c r="Q153" s="80"/>
      <c r="R153" s="80"/>
      <c r="S153" s="80"/>
    </row>
    <row r="154" spans="1:20" s="85" customFormat="1" x14ac:dyDescent="0.25">
      <c r="A154" s="94">
        <f t="shared" si="19"/>
        <v>5.6298434948948337</v>
      </c>
      <c r="B154" s="36">
        <f t="shared" si="14"/>
        <v>149</v>
      </c>
      <c r="C154" s="24" t="s">
        <v>437</v>
      </c>
      <c r="D154" s="24" t="s">
        <v>438</v>
      </c>
      <c r="E154" s="24" t="s">
        <v>203</v>
      </c>
      <c r="F154" s="24" t="s">
        <v>158</v>
      </c>
      <c r="G154" s="80"/>
      <c r="H154" s="95">
        <v>149</v>
      </c>
      <c r="I154" s="96">
        <f t="shared" si="15"/>
        <v>4.6915362457456951</v>
      </c>
      <c r="J154" s="95">
        <f t="shared" si="20"/>
        <v>0</v>
      </c>
      <c r="K154" s="95">
        <f t="shared" si="16"/>
        <v>0</v>
      </c>
      <c r="L154" s="95"/>
      <c r="M154" s="97">
        <f t="shared" si="17"/>
        <v>4.6915362457456951</v>
      </c>
      <c r="N154" s="97">
        <f t="shared" si="18"/>
        <v>5.6298434948948337</v>
      </c>
      <c r="O154" s="80"/>
      <c r="P154" s="80"/>
      <c r="Q154" s="80"/>
      <c r="R154" s="80"/>
      <c r="S154" s="109"/>
      <c r="T154" s="110"/>
    </row>
    <row r="155" spans="1:20" s="85" customFormat="1" x14ac:dyDescent="0.25">
      <c r="A155" s="98">
        <f t="shared" si="19"/>
        <v>5.5571645910090099</v>
      </c>
      <c r="B155" s="35">
        <f t="shared" si="14"/>
        <v>150</v>
      </c>
      <c r="C155" s="25" t="s">
        <v>439</v>
      </c>
      <c r="D155" s="25" t="s">
        <v>440</v>
      </c>
      <c r="E155" s="25" t="s">
        <v>157</v>
      </c>
      <c r="F155" s="25" t="s">
        <v>158</v>
      </c>
      <c r="G155" s="80"/>
      <c r="H155" s="99">
        <v>150</v>
      </c>
      <c r="I155" s="100">
        <f t="shared" si="15"/>
        <v>4.6309704925075081</v>
      </c>
      <c r="J155" s="99">
        <f t="shared" si="20"/>
        <v>0</v>
      </c>
      <c r="K155" s="99">
        <f t="shared" si="16"/>
        <v>0</v>
      </c>
      <c r="L155" s="99"/>
      <c r="M155" s="101">
        <f t="shared" si="17"/>
        <v>4.6309704925075081</v>
      </c>
      <c r="N155" s="101">
        <f t="shared" si="18"/>
        <v>5.5571645910090099</v>
      </c>
      <c r="O155" s="80"/>
      <c r="P155" s="80"/>
      <c r="Q155" s="80"/>
      <c r="R155" s="80"/>
      <c r="S155" s="80"/>
    </row>
    <row r="156" spans="1:20" s="85" customFormat="1" ht="25.85" x14ac:dyDescent="0.25">
      <c r="A156" s="94">
        <f t="shared" si="19"/>
        <v>5.4849686069934309</v>
      </c>
      <c r="B156" s="36">
        <f t="shared" si="14"/>
        <v>151</v>
      </c>
      <c r="C156" s="24" t="s">
        <v>441</v>
      </c>
      <c r="D156" s="24" t="s">
        <v>442</v>
      </c>
      <c r="E156" s="24" t="s">
        <v>166</v>
      </c>
      <c r="F156" s="24" t="s">
        <v>158</v>
      </c>
      <c r="G156" s="80"/>
      <c r="H156" s="95">
        <v>151</v>
      </c>
      <c r="I156" s="96">
        <f t="shared" si="15"/>
        <v>4.5708071724945256</v>
      </c>
      <c r="J156" s="95">
        <f t="shared" si="20"/>
        <v>0</v>
      </c>
      <c r="K156" s="95">
        <f t="shared" si="16"/>
        <v>0</v>
      </c>
      <c r="L156" s="95"/>
      <c r="M156" s="97">
        <f t="shared" si="17"/>
        <v>4.5708071724945256</v>
      </c>
      <c r="N156" s="97">
        <f t="shared" si="18"/>
        <v>5.4849686069934309</v>
      </c>
      <c r="O156" s="80"/>
      <c r="P156" s="80"/>
      <c r="Q156" s="80"/>
      <c r="R156" s="80"/>
      <c r="S156" s="109"/>
      <c r="T156" s="110"/>
    </row>
    <row r="157" spans="1:20" s="85" customFormat="1" x14ac:dyDescent="0.25">
      <c r="A157" s="98">
        <f t="shared" si="19"/>
        <v>5.41324916759838</v>
      </c>
      <c r="B157" s="35">
        <f t="shared" si="14"/>
        <v>152</v>
      </c>
      <c r="C157" s="25" t="s">
        <v>443</v>
      </c>
      <c r="D157" s="25" t="s">
        <v>156</v>
      </c>
      <c r="E157" s="25" t="s">
        <v>157</v>
      </c>
      <c r="F157" s="25" t="s">
        <v>158</v>
      </c>
      <c r="G157" s="80"/>
      <c r="H157" s="99">
        <v>152</v>
      </c>
      <c r="I157" s="100">
        <f t="shared" si="15"/>
        <v>4.51104097299865</v>
      </c>
      <c r="J157" s="99">
        <f t="shared" si="20"/>
        <v>0</v>
      </c>
      <c r="K157" s="99">
        <f t="shared" si="16"/>
        <v>0</v>
      </c>
      <c r="L157" s="99"/>
      <c r="M157" s="101">
        <f t="shared" si="17"/>
        <v>4.51104097299865</v>
      </c>
      <c r="N157" s="101">
        <f t="shared" si="18"/>
        <v>5.41324916759838</v>
      </c>
      <c r="O157" s="80"/>
      <c r="P157" s="80"/>
      <c r="Q157" s="80"/>
      <c r="R157" s="80"/>
      <c r="S157" s="80"/>
    </row>
    <row r="158" spans="1:20" s="85" customFormat="1" x14ac:dyDescent="0.25">
      <c r="A158" s="94">
        <f t="shared" si="19"/>
        <v>5.3420000229907032</v>
      </c>
      <c r="B158" s="36">
        <f t="shared" si="14"/>
        <v>153</v>
      </c>
      <c r="C158" s="24" t="s">
        <v>444</v>
      </c>
      <c r="D158" s="24" t="s">
        <v>445</v>
      </c>
      <c r="E158" s="24" t="s">
        <v>182</v>
      </c>
      <c r="F158" s="24" t="s">
        <v>158</v>
      </c>
      <c r="G158" s="80"/>
      <c r="H158" s="95">
        <v>153</v>
      </c>
      <c r="I158" s="96">
        <f t="shared" si="15"/>
        <v>4.451666685825586</v>
      </c>
      <c r="J158" s="95">
        <f t="shared" si="20"/>
        <v>0</v>
      </c>
      <c r="K158" s="95">
        <f t="shared" si="16"/>
        <v>0</v>
      </c>
      <c r="L158" s="95"/>
      <c r="M158" s="97">
        <f t="shared" si="17"/>
        <v>4.451666685825586</v>
      </c>
      <c r="N158" s="97">
        <f t="shared" si="18"/>
        <v>5.3420000229907032</v>
      </c>
      <c r="O158" s="80"/>
      <c r="P158" s="80"/>
      <c r="Q158" s="80"/>
      <c r="R158" s="80"/>
      <c r="S158" s="109"/>
      <c r="T158" s="110"/>
    </row>
    <row r="159" spans="1:20" s="85" customFormat="1" x14ac:dyDescent="0.25">
      <c r="A159" s="98">
        <f t="shared" si="19"/>
        <v>5.2712150454855955</v>
      </c>
      <c r="B159" s="35">
        <f t="shared" si="14"/>
        <v>154</v>
      </c>
      <c r="C159" s="25" t="s">
        <v>446</v>
      </c>
      <c r="D159" s="25" t="s">
        <v>252</v>
      </c>
      <c r="E159" s="25" t="s">
        <v>157</v>
      </c>
      <c r="F159" s="25" t="s">
        <v>158</v>
      </c>
      <c r="G159" s="80"/>
      <c r="H159" s="99">
        <v>154</v>
      </c>
      <c r="I159" s="100">
        <f t="shared" si="15"/>
        <v>4.3926792045713299</v>
      </c>
      <c r="J159" s="99">
        <f t="shared" si="20"/>
        <v>0</v>
      </c>
      <c r="K159" s="99">
        <f t="shared" si="16"/>
        <v>0</v>
      </c>
      <c r="L159" s="99"/>
      <c r="M159" s="101">
        <f t="shared" si="17"/>
        <v>4.3926792045713299</v>
      </c>
      <c r="N159" s="101">
        <f t="shared" si="18"/>
        <v>5.2712150454855955</v>
      </c>
      <c r="O159" s="80"/>
      <c r="P159" s="80"/>
      <c r="Q159" s="80"/>
      <c r="R159" s="80"/>
      <c r="S159" s="80"/>
    </row>
    <row r="160" spans="1:20" s="85" customFormat="1" x14ac:dyDescent="0.25">
      <c r="A160" s="94">
        <f t="shared" si="19"/>
        <v>5.2008882263840688</v>
      </c>
      <c r="B160" s="36">
        <f t="shared" si="14"/>
        <v>155</v>
      </c>
      <c r="C160" s="24" t="s">
        <v>447</v>
      </c>
      <c r="D160" s="24" t="s">
        <v>448</v>
      </c>
      <c r="E160" s="24" t="s">
        <v>166</v>
      </c>
      <c r="F160" s="24" t="s">
        <v>158</v>
      </c>
      <c r="G160" s="80"/>
      <c r="H160" s="95">
        <v>155</v>
      </c>
      <c r="I160" s="96">
        <f t="shared" si="15"/>
        <v>4.3340735219867241</v>
      </c>
      <c r="J160" s="95">
        <f t="shared" si="20"/>
        <v>0</v>
      </c>
      <c r="K160" s="95">
        <f t="shared" si="16"/>
        <v>0</v>
      </c>
      <c r="L160" s="95"/>
      <c r="M160" s="97">
        <f t="shared" si="17"/>
        <v>4.3340735219867241</v>
      </c>
      <c r="N160" s="97">
        <f t="shared" si="18"/>
        <v>5.2008882263840688</v>
      </c>
      <c r="O160" s="80"/>
      <c r="P160" s="80"/>
      <c r="Q160" s="80"/>
      <c r="R160" s="80"/>
      <c r="S160" s="109"/>
      <c r="T160" s="110"/>
    </row>
    <row r="161" spans="1:20" s="85" customFormat="1" x14ac:dyDescent="0.25">
      <c r="A161" s="98">
        <f t="shared" si="19"/>
        <v>5.1310136729122116</v>
      </c>
      <c r="B161" s="35">
        <f t="shared" si="14"/>
        <v>156</v>
      </c>
      <c r="C161" s="25" t="s">
        <v>449</v>
      </c>
      <c r="D161" s="25" t="s">
        <v>450</v>
      </c>
      <c r="E161" s="25" t="s">
        <v>157</v>
      </c>
      <c r="F161" s="25" t="s">
        <v>158</v>
      </c>
      <c r="G161" s="80"/>
      <c r="H161" s="99">
        <v>156</v>
      </c>
      <c r="I161" s="100">
        <f t="shared" si="15"/>
        <v>4.2758447274268434</v>
      </c>
      <c r="J161" s="99">
        <f t="shared" si="20"/>
        <v>0</v>
      </c>
      <c r="K161" s="99">
        <f t="shared" si="16"/>
        <v>0</v>
      </c>
      <c r="L161" s="99"/>
      <c r="M161" s="101">
        <f t="shared" si="17"/>
        <v>4.2758447274268434</v>
      </c>
      <c r="N161" s="101">
        <f t="shared" si="18"/>
        <v>5.1310136729122116</v>
      </c>
      <c r="O161" s="80"/>
      <c r="P161" s="80"/>
      <c r="Q161" s="80"/>
      <c r="R161" s="80"/>
      <c r="S161" s="80"/>
    </row>
    <row r="162" spans="1:20" s="85" customFormat="1" x14ac:dyDescent="0.25">
      <c r="A162" s="94">
        <f t="shared" si="19"/>
        <v>5.0615856052582044</v>
      </c>
      <c r="B162" s="36">
        <f t="shared" si="14"/>
        <v>157</v>
      </c>
      <c r="C162" s="24" t="s">
        <v>451</v>
      </c>
      <c r="D162" s="24" t="s">
        <v>368</v>
      </c>
      <c r="E162" s="24" t="s">
        <v>166</v>
      </c>
      <c r="F162" s="24" t="s">
        <v>158</v>
      </c>
      <c r="G162" s="80"/>
      <c r="H162" s="95">
        <v>157</v>
      </c>
      <c r="I162" s="96">
        <f t="shared" si="15"/>
        <v>4.2179880043818372</v>
      </c>
      <c r="J162" s="95">
        <f t="shared" si="20"/>
        <v>0</v>
      </c>
      <c r="K162" s="95">
        <f t="shared" si="16"/>
        <v>0</v>
      </c>
      <c r="L162" s="95"/>
      <c r="M162" s="97">
        <f t="shared" si="17"/>
        <v>4.2179880043818372</v>
      </c>
      <c r="N162" s="97">
        <f t="shared" si="18"/>
        <v>5.0615856052582044</v>
      </c>
      <c r="O162" s="80"/>
      <c r="P162" s="80"/>
      <c r="Q162" s="80"/>
      <c r="R162" s="80"/>
      <c r="S162" s="109"/>
      <c r="T162" s="110"/>
    </row>
    <row r="163" spans="1:20" s="85" customFormat="1" x14ac:dyDescent="0.25">
      <c r="A163" s="98">
        <f t="shared" si="19"/>
        <v>4.9925983537033574</v>
      </c>
      <c r="B163" s="35">
        <f t="shared" si="14"/>
        <v>158</v>
      </c>
      <c r="C163" s="25" t="s">
        <v>452</v>
      </c>
      <c r="D163" s="25" t="s">
        <v>453</v>
      </c>
      <c r="E163" s="25" t="s">
        <v>237</v>
      </c>
      <c r="F163" s="25" t="s">
        <v>158</v>
      </c>
      <c r="G163" s="80"/>
      <c r="H163" s="99">
        <v>158</v>
      </c>
      <c r="I163" s="100">
        <f t="shared" si="15"/>
        <v>4.1604986280861311</v>
      </c>
      <c r="J163" s="99">
        <f t="shared" si="20"/>
        <v>0</v>
      </c>
      <c r="K163" s="99">
        <f t="shared" si="16"/>
        <v>0</v>
      </c>
      <c r="L163" s="99"/>
      <c r="M163" s="101">
        <f t="shared" si="17"/>
        <v>4.1604986280861311</v>
      </c>
      <c r="N163" s="101">
        <f t="shared" si="18"/>
        <v>4.9925983537033574</v>
      </c>
      <c r="O163" s="80"/>
      <c r="P163" s="80"/>
      <c r="Q163" s="80"/>
      <c r="R163" s="80"/>
      <c r="S163" s="80"/>
    </row>
    <row r="164" spans="1:20" s="85" customFormat="1" x14ac:dyDescent="0.25">
      <c r="A164" s="94">
        <f t="shared" si="19"/>
        <v>4.9240463558437053</v>
      </c>
      <c r="B164" s="36">
        <f t="shared" si="14"/>
        <v>159</v>
      </c>
      <c r="C164" s="24" t="s">
        <v>454</v>
      </c>
      <c r="D164" s="24" t="s">
        <v>455</v>
      </c>
      <c r="E164" s="24" t="s">
        <v>268</v>
      </c>
      <c r="F164" s="24" t="s">
        <v>158</v>
      </c>
      <c r="G164" s="80"/>
      <c r="H164" s="95">
        <v>159</v>
      </c>
      <c r="I164" s="96">
        <f t="shared" si="15"/>
        <v>4.1033719632030881</v>
      </c>
      <c r="J164" s="95">
        <f t="shared" si="20"/>
        <v>0</v>
      </c>
      <c r="K164" s="95">
        <f t="shared" si="16"/>
        <v>0</v>
      </c>
      <c r="L164" s="95"/>
      <c r="M164" s="97">
        <f t="shared" si="17"/>
        <v>4.1033719632030881</v>
      </c>
      <c r="N164" s="97">
        <f t="shared" si="18"/>
        <v>4.9240463558437053</v>
      </c>
      <c r="O164" s="80"/>
      <c r="P164" s="80"/>
      <c r="Q164" s="80"/>
      <c r="R164" s="80"/>
      <c r="S164" s="109"/>
      <c r="T164" s="110"/>
    </row>
    <row r="165" spans="1:20" s="85" customFormat="1" x14ac:dyDescent="0.25">
      <c r="A165" s="98">
        <f t="shared" si="19"/>
        <v>4.8559241538986919</v>
      </c>
      <c r="B165" s="35">
        <f t="shared" si="14"/>
        <v>160</v>
      </c>
      <c r="C165" s="25" t="s">
        <v>456</v>
      </c>
      <c r="D165" s="25" t="s">
        <v>457</v>
      </c>
      <c r="E165" s="25" t="s">
        <v>161</v>
      </c>
      <c r="F165" s="25" t="s">
        <v>158</v>
      </c>
      <c r="G165" s="80"/>
      <c r="H165" s="99">
        <v>160</v>
      </c>
      <c r="I165" s="100">
        <f t="shared" si="15"/>
        <v>4.0466034615822437</v>
      </c>
      <c r="J165" s="99">
        <f t="shared" si="20"/>
        <v>0</v>
      </c>
      <c r="K165" s="99">
        <f t="shared" si="16"/>
        <v>0</v>
      </c>
      <c r="L165" s="99"/>
      <c r="M165" s="101">
        <f t="shared" si="17"/>
        <v>4.0466034615822437</v>
      </c>
      <c r="N165" s="101">
        <f t="shared" si="18"/>
        <v>4.8559241538986919</v>
      </c>
      <c r="O165" s="80"/>
      <c r="P165" s="80"/>
      <c r="Q165" s="80"/>
      <c r="R165" s="80"/>
      <c r="S165" s="80"/>
    </row>
    <row r="166" spans="1:20" s="85" customFormat="1" x14ac:dyDescent="0.25">
      <c r="A166" s="94">
        <f t="shared" si="19"/>
        <v>4.7882263921036747</v>
      </c>
      <c r="B166" s="36">
        <f t="shared" si="14"/>
        <v>161</v>
      </c>
      <c r="C166" s="24" t="s">
        <v>458</v>
      </c>
      <c r="D166" s="24" t="s">
        <v>350</v>
      </c>
      <c r="E166" s="24" t="s">
        <v>166</v>
      </c>
      <c r="F166" s="24" t="s">
        <v>158</v>
      </c>
      <c r="G166" s="80"/>
      <c r="H166" s="95">
        <v>161</v>
      </c>
      <c r="I166" s="96">
        <f t="shared" si="15"/>
        <v>3.9901886600863961</v>
      </c>
      <c r="J166" s="95">
        <f t="shared" si="20"/>
        <v>0</v>
      </c>
      <c r="K166" s="95">
        <f t="shared" si="16"/>
        <v>0</v>
      </c>
      <c r="L166" s="95"/>
      <c r="M166" s="97">
        <f t="shared" si="17"/>
        <v>3.9901886600863961</v>
      </c>
      <c r="N166" s="97">
        <f t="shared" si="18"/>
        <v>4.7882263921036747</v>
      </c>
      <c r="O166" s="80"/>
      <c r="P166" s="80"/>
      <c r="Q166" s="80"/>
      <c r="R166" s="80"/>
      <c r="S166" s="109"/>
      <c r="T166" s="110"/>
    </row>
    <row r="167" spans="1:20" s="85" customFormat="1" x14ac:dyDescent="0.25">
      <c r="A167" s="98">
        <f t="shared" si="19"/>
        <v>4.7209478141832051</v>
      </c>
      <c r="B167" s="35">
        <f t="shared" si="14"/>
        <v>162</v>
      </c>
      <c r="C167" s="25" t="s">
        <v>459</v>
      </c>
      <c r="D167" s="25" t="s">
        <v>460</v>
      </c>
      <c r="E167" s="25" t="s">
        <v>182</v>
      </c>
      <c r="F167" s="25" t="s">
        <v>158</v>
      </c>
      <c r="G167" s="80"/>
      <c r="H167" s="99">
        <v>162</v>
      </c>
      <c r="I167" s="100">
        <f t="shared" si="15"/>
        <v>3.9341231784860042</v>
      </c>
      <c r="J167" s="99">
        <f t="shared" si="20"/>
        <v>0</v>
      </c>
      <c r="K167" s="99">
        <f t="shared" si="16"/>
        <v>0</v>
      </c>
      <c r="L167" s="99"/>
      <c r="M167" s="101">
        <f t="shared" si="17"/>
        <v>3.9341231784860042</v>
      </c>
      <c r="N167" s="101">
        <f t="shared" si="18"/>
        <v>4.7209478141832051</v>
      </c>
      <c r="O167" s="80"/>
      <c r="P167" s="80"/>
      <c r="Q167" s="80"/>
      <c r="R167" s="80"/>
      <c r="S167" s="80"/>
    </row>
    <row r="168" spans="1:20" s="85" customFormat="1" ht="25.85" x14ac:dyDescent="0.25">
      <c r="A168" s="94">
        <f t="shared" si="19"/>
        <v>4.6540832609019729</v>
      </c>
      <c r="B168" s="36">
        <f t="shared" si="14"/>
        <v>163</v>
      </c>
      <c r="C168" s="24" t="s">
        <v>461</v>
      </c>
      <c r="D168" s="24" t="s">
        <v>375</v>
      </c>
      <c r="E168" s="24" t="s">
        <v>157</v>
      </c>
      <c r="F168" s="24" t="s">
        <v>158</v>
      </c>
      <c r="G168" s="80"/>
      <c r="H168" s="95">
        <v>163</v>
      </c>
      <c r="I168" s="96">
        <f t="shared" si="15"/>
        <v>3.8784027174183109</v>
      </c>
      <c r="J168" s="95">
        <f t="shared" si="20"/>
        <v>0</v>
      </c>
      <c r="K168" s="95">
        <f t="shared" si="16"/>
        <v>0</v>
      </c>
      <c r="L168" s="95"/>
      <c r="M168" s="97">
        <f t="shared" si="17"/>
        <v>3.8784027174183109</v>
      </c>
      <c r="N168" s="97">
        <f t="shared" si="18"/>
        <v>4.6540832609019729</v>
      </c>
      <c r="O168" s="80"/>
      <c r="P168" s="80"/>
      <c r="Q168" s="80"/>
      <c r="R168" s="80"/>
      <c r="S168" s="109"/>
      <c r="T168" s="110"/>
    </row>
    <row r="169" spans="1:20" s="85" customFormat="1" x14ac:dyDescent="0.25">
      <c r="A169" s="98">
        <f t="shared" si="19"/>
        <v>4.5876276676907306</v>
      </c>
      <c r="B169" s="35">
        <f t="shared" si="14"/>
        <v>164</v>
      </c>
      <c r="C169" s="25" t="s">
        <v>462</v>
      </c>
      <c r="D169" s="25" t="s">
        <v>463</v>
      </c>
      <c r="E169" s="25" t="s">
        <v>157</v>
      </c>
      <c r="F169" s="25" t="s">
        <v>158</v>
      </c>
      <c r="G169" s="80"/>
      <c r="H169" s="99">
        <v>164</v>
      </c>
      <c r="I169" s="100">
        <f t="shared" si="15"/>
        <v>3.8230230564089425</v>
      </c>
      <c r="J169" s="99">
        <f t="shared" si="20"/>
        <v>0</v>
      </c>
      <c r="K169" s="99">
        <f t="shared" si="16"/>
        <v>0</v>
      </c>
      <c r="L169" s="99"/>
      <c r="M169" s="101">
        <f t="shared" si="17"/>
        <v>3.8230230564089425</v>
      </c>
      <c r="N169" s="101">
        <f t="shared" si="18"/>
        <v>4.5876276676907306</v>
      </c>
      <c r="O169" s="80"/>
      <c r="P169" s="80"/>
      <c r="Q169" s="80"/>
      <c r="R169" s="80"/>
      <c r="S169" s="80"/>
    </row>
    <row r="170" spans="1:20" s="85" customFormat="1" x14ac:dyDescent="0.25">
      <c r="A170" s="94">
        <f t="shared" si="19"/>
        <v>4.5215760623443799</v>
      </c>
      <c r="B170" s="36">
        <f t="shared" si="14"/>
        <v>165</v>
      </c>
      <c r="C170" s="24" t="s">
        <v>464</v>
      </c>
      <c r="D170" s="24" t="s">
        <v>156</v>
      </c>
      <c r="E170" s="24" t="s">
        <v>157</v>
      </c>
      <c r="F170" s="24" t="s">
        <v>158</v>
      </c>
      <c r="G170" s="80"/>
      <c r="H170" s="95">
        <v>165</v>
      </c>
      <c r="I170" s="96">
        <f t="shared" si="15"/>
        <v>3.7679800519536499</v>
      </c>
      <c r="J170" s="95">
        <f t="shared" si="20"/>
        <v>0</v>
      </c>
      <c r="K170" s="95">
        <f t="shared" si="16"/>
        <v>0</v>
      </c>
      <c r="L170" s="95"/>
      <c r="M170" s="97">
        <f t="shared" si="17"/>
        <v>3.7679800519536499</v>
      </c>
      <c r="N170" s="97">
        <f t="shared" si="18"/>
        <v>4.5215760623443799</v>
      </c>
      <c r="O170" s="80"/>
      <c r="P170" s="80"/>
      <c r="Q170" s="80"/>
      <c r="R170" s="80"/>
      <c r="S170" s="109"/>
      <c r="T170" s="110"/>
    </row>
    <row r="171" spans="1:20" s="85" customFormat="1" x14ac:dyDescent="0.25">
      <c r="A171" s="98">
        <f t="shared" si="19"/>
        <v>4.4559235627895077</v>
      </c>
      <c r="B171" s="35">
        <f t="shared" si="14"/>
        <v>166</v>
      </c>
      <c r="C171" s="25" t="s">
        <v>465</v>
      </c>
      <c r="D171" s="25" t="s">
        <v>466</v>
      </c>
      <c r="E171" s="25" t="s">
        <v>157</v>
      </c>
      <c r="F171" s="25" t="s">
        <v>158</v>
      </c>
      <c r="G171" s="80"/>
      <c r="H171" s="99">
        <v>166</v>
      </c>
      <c r="I171" s="100">
        <f t="shared" si="15"/>
        <v>3.7132696356579231</v>
      </c>
      <c r="J171" s="99">
        <f t="shared" si="20"/>
        <v>0</v>
      </c>
      <c r="K171" s="99">
        <f t="shared" si="16"/>
        <v>0</v>
      </c>
      <c r="L171" s="99"/>
      <c r="M171" s="101">
        <f t="shared" si="17"/>
        <v>3.7132696356579231</v>
      </c>
      <c r="N171" s="101">
        <f t="shared" si="18"/>
        <v>4.4559235627895077</v>
      </c>
      <c r="O171" s="80"/>
      <c r="P171" s="80"/>
      <c r="Q171" s="80"/>
      <c r="R171" s="80"/>
      <c r="S171" s="80"/>
    </row>
    <row r="172" spans="1:20" s="85" customFormat="1" x14ac:dyDescent="0.25">
      <c r="A172" s="94">
        <f t="shared" si="19"/>
        <v>4.3906653749190294</v>
      </c>
      <c r="B172" s="36">
        <f t="shared" si="14"/>
        <v>167</v>
      </c>
      <c r="C172" s="24" t="s">
        <v>467</v>
      </c>
      <c r="D172" s="24" t="s">
        <v>468</v>
      </c>
      <c r="E172" s="24" t="s">
        <v>166</v>
      </c>
      <c r="F172" s="24" t="s">
        <v>158</v>
      </c>
      <c r="G172" s="80"/>
      <c r="H172" s="95">
        <v>167</v>
      </c>
      <c r="I172" s="96">
        <f t="shared" si="15"/>
        <v>3.6588878124325248</v>
      </c>
      <c r="J172" s="95">
        <f t="shared" si="20"/>
        <v>0</v>
      </c>
      <c r="K172" s="95">
        <f t="shared" si="16"/>
        <v>0</v>
      </c>
      <c r="L172" s="95"/>
      <c r="M172" s="97">
        <f t="shared" si="17"/>
        <v>3.6588878124325248</v>
      </c>
      <c r="N172" s="97">
        <f t="shared" si="18"/>
        <v>4.3906653749190294</v>
      </c>
      <c r="O172" s="80"/>
      <c r="P172" s="80"/>
      <c r="Q172" s="80"/>
      <c r="R172" s="80"/>
      <c r="S172" s="109"/>
      <c r="T172" s="110"/>
    </row>
    <row r="173" spans="1:20" s="85" customFormat="1" x14ac:dyDescent="0.25">
      <c r="A173" s="98">
        <f t="shared" si="19"/>
        <v>4.3257967904915455</v>
      </c>
      <c r="B173" s="35">
        <f t="shared" si="14"/>
        <v>168</v>
      </c>
      <c r="C173" s="25" t="s">
        <v>469</v>
      </c>
      <c r="D173" s="25" t="s">
        <v>470</v>
      </c>
      <c r="E173" s="25" t="s">
        <v>203</v>
      </c>
      <c r="F173" s="25" t="s">
        <v>158</v>
      </c>
      <c r="G173" s="80"/>
      <c r="H173" s="99">
        <v>168</v>
      </c>
      <c r="I173" s="100">
        <f t="shared" si="15"/>
        <v>3.6048306587429551</v>
      </c>
      <c r="J173" s="99">
        <f t="shared" si="20"/>
        <v>0</v>
      </c>
      <c r="K173" s="99">
        <f t="shared" si="16"/>
        <v>0</v>
      </c>
      <c r="L173" s="99"/>
      <c r="M173" s="101">
        <f t="shared" si="17"/>
        <v>3.6048306587429551</v>
      </c>
      <c r="N173" s="101">
        <f t="shared" si="18"/>
        <v>4.3257967904915455</v>
      </c>
      <c r="O173" s="80"/>
      <c r="P173" s="80"/>
      <c r="Q173" s="80"/>
      <c r="R173" s="80"/>
      <c r="S173" s="80"/>
    </row>
    <row r="174" spans="1:20" s="85" customFormat="1" x14ac:dyDescent="0.25">
      <c r="A174" s="94">
        <f t="shared" si="19"/>
        <v>4.2613131850928738</v>
      </c>
      <c r="B174" s="36">
        <f t="shared" si="14"/>
        <v>169</v>
      </c>
      <c r="C174" s="24" t="s">
        <v>471</v>
      </c>
      <c r="D174" s="24" t="s">
        <v>179</v>
      </c>
      <c r="E174" s="24" t="s">
        <v>157</v>
      </c>
      <c r="F174" s="24" t="s">
        <v>158</v>
      </c>
      <c r="G174" s="80"/>
      <c r="H174" s="95">
        <v>169</v>
      </c>
      <c r="I174" s="96">
        <f t="shared" si="15"/>
        <v>3.5510943209107282</v>
      </c>
      <c r="J174" s="95">
        <f t="shared" si="20"/>
        <v>0</v>
      </c>
      <c r="K174" s="95">
        <f t="shared" si="16"/>
        <v>0</v>
      </c>
      <c r="L174" s="95"/>
      <c r="M174" s="97">
        <f t="shared" si="17"/>
        <v>3.5510943209107282</v>
      </c>
      <c r="N174" s="97">
        <f t="shared" si="18"/>
        <v>4.2613131850928738</v>
      </c>
      <c r="O174" s="80"/>
      <c r="P174" s="80"/>
      <c r="Q174" s="80"/>
      <c r="R174" s="80"/>
      <c r="S174" s="109"/>
      <c r="T174" s="110"/>
    </row>
    <row r="175" spans="1:20" s="85" customFormat="1" x14ac:dyDescent="0.25">
      <c r="A175" s="98">
        <f t="shared" si="19"/>
        <v>4.197210016157837</v>
      </c>
      <c r="B175" s="35">
        <f t="shared" si="14"/>
        <v>170</v>
      </c>
      <c r="C175" s="25" t="s">
        <v>472</v>
      </c>
      <c r="D175" s="25" t="s">
        <v>473</v>
      </c>
      <c r="E175" s="25" t="s">
        <v>306</v>
      </c>
      <c r="F175" s="25" t="s">
        <v>158</v>
      </c>
      <c r="G175" s="80"/>
      <c r="H175" s="99">
        <v>170</v>
      </c>
      <c r="I175" s="100">
        <f t="shared" si="15"/>
        <v>3.497675013464864</v>
      </c>
      <c r="J175" s="99">
        <f t="shared" si="20"/>
        <v>0</v>
      </c>
      <c r="K175" s="99">
        <f t="shared" si="16"/>
        <v>0</v>
      </c>
      <c r="L175" s="99"/>
      <c r="M175" s="101">
        <f t="shared" si="17"/>
        <v>3.497675013464864</v>
      </c>
      <c r="N175" s="101">
        <f t="shared" si="18"/>
        <v>4.197210016157837</v>
      </c>
      <c r="O175" s="80"/>
      <c r="P175" s="80"/>
      <c r="Q175" s="80"/>
      <c r="R175" s="80"/>
      <c r="S175" s="80"/>
    </row>
    <row r="176" spans="1:20" s="85" customFormat="1" x14ac:dyDescent="0.25">
      <c r="A176" s="94">
        <f t="shared" si="19"/>
        <v>4.1334828210500261</v>
      </c>
      <c r="B176" s="36">
        <f t="shared" si="14"/>
        <v>171</v>
      </c>
      <c r="C176" s="24" t="s">
        <v>474</v>
      </c>
      <c r="D176" s="24" t="s">
        <v>475</v>
      </c>
      <c r="E176" s="24" t="s">
        <v>182</v>
      </c>
      <c r="F176" s="24" t="s">
        <v>158</v>
      </c>
      <c r="G176" s="80"/>
      <c r="H176" s="95">
        <v>171</v>
      </c>
      <c r="I176" s="96">
        <f t="shared" si="15"/>
        <v>3.4445690175416885</v>
      </c>
      <c r="J176" s="95">
        <f t="shared" si="20"/>
        <v>0</v>
      </c>
      <c r="K176" s="95">
        <f t="shared" si="16"/>
        <v>0</v>
      </c>
      <c r="L176" s="95"/>
      <c r="M176" s="97">
        <f t="shared" si="17"/>
        <v>3.4445690175416885</v>
      </c>
      <c r="N176" s="97">
        <f t="shared" si="18"/>
        <v>4.1334828210500261</v>
      </c>
      <c r="O176" s="80"/>
      <c r="P176" s="80"/>
      <c r="Q176" s="80"/>
      <c r="R176" s="80"/>
      <c r="S176" s="109"/>
      <c r="T176" s="110"/>
    </row>
    <row r="177" spans="1:20" s="85" customFormat="1" x14ac:dyDescent="0.25">
      <c r="A177" s="98">
        <f t="shared" si="19"/>
        <v>4.0701272151975134</v>
      </c>
      <c r="B177" s="35">
        <f t="shared" si="14"/>
        <v>172</v>
      </c>
      <c r="C177" s="25" t="s">
        <v>476</v>
      </c>
      <c r="D177" s="25" t="s">
        <v>477</v>
      </c>
      <c r="E177" s="25" t="s">
        <v>172</v>
      </c>
      <c r="F177" s="25" t="s">
        <v>158</v>
      </c>
      <c r="G177" s="80"/>
      <c r="H177" s="99">
        <v>172</v>
      </c>
      <c r="I177" s="100">
        <f t="shared" si="15"/>
        <v>3.391772679331261</v>
      </c>
      <c r="J177" s="99">
        <f t="shared" si="20"/>
        <v>0</v>
      </c>
      <c r="K177" s="99">
        <f t="shared" si="16"/>
        <v>0</v>
      </c>
      <c r="L177" s="99"/>
      <c r="M177" s="101">
        <f t="shared" si="17"/>
        <v>3.391772679331261</v>
      </c>
      <c r="N177" s="101">
        <f t="shared" si="18"/>
        <v>4.0701272151975134</v>
      </c>
      <c r="O177" s="80"/>
      <c r="P177" s="80"/>
      <c r="Q177" s="80"/>
      <c r="R177" s="80"/>
      <c r="S177" s="80"/>
    </row>
    <row r="178" spans="1:20" s="85" customFormat="1" x14ac:dyDescent="0.25">
      <c r="A178" s="94">
        <f t="shared" si="19"/>
        <v>4.0071388902826612</v>
      </c>
      <c r="B178" s="36">
        <f t="shared" si="14"/>
        <v>173</v>
      </c>
      <c r="C178" s="24" t="s">
        <v>478</v>
      </c>
      <c r="D178" s="24" t="s">
        <v>479</v>
      </c>
      <c r="E178" s="24" t="s">
        <v>166</v>
      </c>
      <c r="F178" s="24" t="s">
        <v>158</v>
      </c>
      <c r="G178" s="80"/>
      <c r="H178" s="95">
        <v>173</v>
      </c>
      <c r="I178" s="96">
        <f t="shared" si="15"/>
        <v>3.3392824085688844</v>
      </c>
      <c r="J178" s="95">
        <f t="shared" si="20"/>
        <v>0</v>
      </c>
      <c r="K178" s="95">
        <f t="shared" si="16"/>
        <v>0</v>
      </c>
      <c r="L178" s="95"/>
      <c r="M178" s="97">
        <f t="shared" si="17"/>
        <v>3.3392824085688844</v>
      </c>
      <c r="N178" s="97">
        <f t="shared" si="18"/>
        <v>4.0071388902826612</v>
      </c>
      <c r="O178" s="80"/>
      <c r="P178" s="80"/>
      <c r="Q178" s="80"/>
      <c r="R178" s="80"/>
      <c r="S178" s="109"/>
      <c r="T178" s="110"/>
    </row>
    <row r="179" spans="1:20" s="85" customFormat="1" x14ac:dyDescent="0.25">
      <c r="A179" s="98">
        <f t="shared" si="19"/>
        <v>3.944513612484104</v>
      </c>
      <c r="B179" s="35">
        <f t="shared" si="14"/>
        <v>174</v>
      </c>
      <c r="C179" s="25" t="s">
        <v>480</v>
      </c>
      <c r="D179" s="25" t="s">
        <v>186</v>
      </c>
      <c r="E179" s="25" t="s">
        <v>157</v>
      </c>
      <c r="F179" s="25" t="s">
        <v>158</v>
      </c>
      <c r="G179" s="80"/>
      <c r="H179" s="99">
        <v>174</v>
      </c>
      <c r="I179" s="100">
        <f t="shared" si="15"/>
        <v>3.2870946770700868</v>
      </c>
      <c r="J179" s="99">
        <f t="shared" si="20"/>
        <v>0</v>
      </c>
      <c r="K179" s="99">
        <f t="shared" si="16"/>
        <v>0</v>
      </c>
      <c r="L179" s="99"/>
      <c r="M179" s="101">
        <f t="shared" si="17"/>
        <v>3.2870946770700868</v>
      </c>
      <c r="N179" s="101">
        <f t="shared" si="18"/>
        <v>3.944513612484104</v>
      </c>
      <c r="O179" s="80"/>
      <c r="P179" s="80"/>
      <c r="Q179" s="80"/>
      <c r="R179" s="80"/>
      <c r="S179" s="80"/>
    </row>
    <row r="180" spans="1:20" s="85" customFormat="1" x14ac:dyDescent="0.25">
      <c r="A180" s="94">
        <f t="shared" si="19"/>
        <v>3.8822472207690053</v>
      </c>
      <c r="B180" s="36">
        <f t="shared" si="14"/>
        <v>175</v>
      </c>
      <c r="C180" s="24" t="s">
        <v>481</v>
      </c>
      <c r="D180" s="24" t="s">
        <v>398</v>
      </c>
      <c r="E180" s="24" t="s">
        <v>157</v>
      </c>
      <c r="F180" s="24" t="s">
        <v>158</v>
      </c>
      <c r="G180" s="80"/>
      <c r="H180" s="95">
        <v>175</v>
      </c>
      <c r="I180" s="96">
        <f t="shared" si="15"/>
        <v>3.2352060173075046</v>
      </c>
      <c r="J180" s="95">
        <f t="shared" si="20"/>
        <v>0</v>
      </c>
      <c r="K180" s="95">
        <f t="shared" si="16"/>
        <v>0</v>
      </c>
      <c r="L180" s="95"/>
      <c r="M180" s="97">
        <f t="shared" si="17"/>
        <v>3.2352060173075046</v>
      </c>
      <c r="N180" s="97">
        <f t="shared" si="18"/>
        <v>3.8822472207690053</v>
      </c>
      <c r="O180" s="80"/>
      <c r="P180" s="80"/>
      <c r="Q180" s="80"/>
      <c r="R180" s="80"/>
      <c r="S180" s="109"/>
      <c r="T180" s="110"/>
    </row>
    <row r="181" spans="1:20" s="85" customFormat="1" x14ac:dyDescent="0.25">
      <c r="A181" s="98">
        <f t="shared" si="19"/>
        <v>3.8203356252340539</v>
      </c>
      <c r="B181" s="35">
        <f t="shared" si="14"/>
        <v>176</v>
      </c>
      <c r="C181" s="25" t="s">
        <v>482</v>
      </c>
      <c r="D181" s="25" t="s">
        <v>408</v>
      </c>
      <c r="E181" s="25" t="s">
        <v>166</v>
      </c>
      <c r="F181" s="25" t="s">
        <v>158</v>
      </c>
      <c r="G181" s="80"/>
      <c r="H181" s="99">
        <v>176</v>
      </c>
      <c r="I181" s="100">
        <f t="shared" si="15"/>
        <v>3.1836130210283784</v>
      </c>
      <c r="J181" s="99">
        <f t="shared" si="20"/>
        <v>0</v>
      </c>
      <c r="K181" s="99">
        <f t="shared" si="16"/>
        <v>0</v>
      </c>
      <c r="L181" s="99"/>
      <c r="M181" s="101">
        <f t="shared" si="17"/>
        <v>3.1836130210283784</v>
      </c>
      <c r="N181" s="101">
        <f t="shared" si="18"/>
        <v>3.8203356252340539</v>
      </c>
      <c r="O181" s="80"/>
      <c r="P181" s="80"/>
      <c r="Q181" s="80"/>
      <c r="R181" s="80"/>
      <c r="S181" s="80"/>
    </row>
    <row r="182" spans="1:20" s="85" customFormat="1" ht="25.85" x14ac:dyDescent="0.25">
      <c r="A182" s="94">
        <f t="shared" si="19"/>
        <v>3.7587748054935188</v>
      </c>
      <c r="B182" s="36">
        <f t="shared" si="14"/>
        <v>177</v>
      </c>
      <c r="C182" s="24" t="s">
        <v>483</v>
      </c>
      <c r="D182" s="24" t="s">
        <v>484</v>
      </c>
      <c r="E182" s="24" t="s">
        <v>166</v>
      </c>
      <c r="F182" s="24" t="s">
        <v>158</v>
      </c>
      <c r="G182" s="80"/>
      <c r="H182" s="95">
        <v>177</v>
      </c>
      <c r="I182" s="96">
        <f t="shared" si="15"/>
        <v>3.1323123379112658</v>
      </c>
      <c r="J182" s="95">
        <f t="shared" si="20"/>
        <v>0</v>
      </c>
      <c r="K182" s="95">
        <f t="shared" si="16"/>
        <v>0</v>
      </c>
      <c r="L182" s="95"/>
      <c r="M182" s="97">
        <f t="shared" si="17"/>
        <v>3.1323123379112658</v>
      </c>
      <c r="N182" s="97">
        <f t="shared" si="18"/>
        <v>3.7587748054935188</v>
      </c>
      <c r="O182" s="80"/>
      <c r="P182" s="80"/>
      <c r="Q182" s="80"/>
      <c r="R182" s="80"/>
      <c r="S182" s="109"/>
      <c r="T182" s="110"/>
    </row>
    <row r="183" spans="1:20" s="85" customFormat="1" x14ac:dyDescent="0.25">
      <c r="A183" s="98">
        <f t="shared" si="19"/>
        <v>3.6975608091125278</v>
      </c>
      <c r="B183" s="35">
        <f t="shared" si="14"/>
        <v>178</v>
      </c>
      <c r="C183" s="25" t="s">
        <v>485</v>
      </c>
      <c r="D183" s="25" t="s">
        <v>486</v>
      </c>
      <c r="E183" s="25" t="s">
        <v>157</v>
      </c>
      <c r="F183" s="25" t="s">
        <v>158</v>
      </c>
      <c r="G183" s="80"/>
      <c r="H183" s="99">
        <v>178</v>
      </c>
      <c r="I183" s="100">
        <f t="shared" si="15"/>
        <v>3.0813006742604401</v>
      </c>
      <c r="J183" s="99">
        <f t="shared" si="20"/>
        <v>0</v>
      </c>
      <c r="K183" s="99">
        <f t="shared" si="16"/>
        <v>0</v>
      </c>
      <c r="L183" s="99"/>
      <c r="M183" s="101">
        <f t="shared" si="17"/>
        <v>3.0813006742604401</v>
      </c>
      <c r="N183" s="101">
        <f t="shared" si="18"/>
        <v>3.6975608091125278</v>
      </c>
      <c r="O183" s="80"/>
      <c r="P183" s="80"/>
      <c r="Q183" s="80"/>
      <c r="R183" s="80"/>
      <c r="S183" s="80"/>
    </row>
    <row r="184" spans="1:20" s="85" customFormat="1" x14ac:dyDescent="0.25">
      <c r="A184" s="94">
        <f t="shared" si="19"/>
        <v>3.6366897500844115</v>
      </c>
      <c r="B184" s="36">
        <f t="shared" si="14"/>
        <v>179</v>
      </c>
      <c r="C184" s="24" t="s">
        <v>487</v>
      </c>
      <c r="D184" s="24" t="s">
        <v>488</v>
      </c>
      <c r="E184" s="24" t="s">
        <v>157</v>
      </c>
      <c r="F184" s="24" t="s">
        <v>158</v>
      </c>
      <c r="G184" s="80"/>
      <c r="H184" s="95">
        <v>179</v>
      </c>
      <c r="I184" s="96">
        <f t="shared" si="15"/>
        <v>3.0305747917370098</v>
      </c>
      <c r="J184" s="95">
        <f t="shared" si="20"/>
        <v>0</v>
      </c>
      <c r="K184" s="95">
        <f t="shared" si="16"/>
        <v>0</v>
      </c>
      <c r="L184" s="95"/>
      <c r="M184" s="97">
        <f t="shared" si="17"/>
        <v>3.0305747917370098</v>
      </c>
      <c r="N184" s="97">
        <f t="shared" si="18"/>
        <v>3.6366897500844115</v>
      </c>
      <c r="O184" s="80"/>
      <c r="P184" s="80"/>
      <c r="Q184" s="80"/>
      <c r="R184" s="80"/>
      <c r="S184" s="109"/>
      <c r="T184" s="110"/>
    </row>
    <row r="185" spans="1:20" s="85" customFormat="1" x14ac:dyDescent="0.25">
      <c r="A185" s="98">
        <f t="shared" si="19"/>
        <v>3.57615780735033</v>
      </c>
      <c r="B185" s="35">
        <f t="shared" si="14"/>
        <v>180</v>
      </c>
      <c r="C185" s="25" t="s">
        <v>489</v>
      </c>
      <c r="D185" s="25" t="s">
        <v>490</v>
      </c>
      <c r="E185" s="25" t="s">
        <v>306</v>
      </c>
      <c r="F185" s="25" t="s">
        <v>158</v>
      </c>
      <c r="G185" s="80"/>
      <c r="H185" s="99">
        <v>180</v>
      </c>
      <c r="I185" s="100">
        <f t="shared" si="15"/>
        <v>2.9801315061252751</v>
      </c>
      <c r="J185" s="99">
        <f t="shared" si="20"/>
        <v>0</v>
      </c>
      <c r="K185" s="99">
        <f t="shared" si="16"/>
        <v>0</v>
      </c>
      <c r="L185" s="99"/>
      <c r="M185" s="101">
        <f t="shared" si="17"/>
        <v>2.9801315061252751</v>
      </c>
      <c r="N185" s="101">
        <f t="shared" si="18"/>
        <v>3.57615780735033</v>
      </c>
      <c r="O185" s="80"/>
      <c r="P185" s="80"/>
      <c r="Q185" s="80"/>
      <c r="R185" s="80"/>
      <c r="S185" s="80"/>
    </row>
    <row r="186" spans="1:20" s="85" customFormat="1" ht="25.85" x14ac:dyDescent="0.25">
      <c r="A186" s="94">
        <f t="shared" si="19"/>
        <v>3.5159612233600481</v>
      </c>
      <c r="B186" s="36">
        <f t="shared" si="14"/>
        <v>181</v>
      </c>
      <c r="C186" s="24" t="s">
        <v>491</v>
      </c>
      <c r="D186" s="24" t="s">
        <v>492</v>
      </c>
      <c r="E186" s="24" t="s">
        <v>237</v>
      </c>
      <c r="F186" s="24" t="s">
        <v>158</v>
      </c>
      <c r="G186" s="80"/>
      <c r="H186" s="95">
        <v>181</v>
      </c>
      <c r="I186" s="96">
        <f t="shared" si="15"/>
        <v>2.9299676861333737</v>
      </c>
      <c r="J186" s="95">
        <f t="shared" si="20"/>
        <v>0</v>
      </c>
      <c r="K186" s="95">
        <f t="shared" si="16"/>
        <v>0</v>
      </c>
      <c r="L186" s="95"/>
      <c r="M186" s="97">
        <f t="shared" si="17"/>
        <v>2.9299676861333737</v>
      </c>
      <c r="N186" s="97">
        <f t="shared" si="18"/>
        <v>3.5159612233600481</v>
      </c>
      <c r="O186" s="80"/>
      <c r="P186" s="80"/>
      <c r="Q186" s="80"/>
      <c r="R186" s="80"/>
      <c r="S186" s="109"/>
      <c r="T186" s="110"/>
    </row>
    <row r="187" spans="1:20" s="85" customFormat="1" x14ac:dyDescent="0.25">
      <c r="A187" s="98">
        <f t="shared" si="19"/>
        <v>3.4560963026721994</v>
      </c>
      <c r="B187" s="35">
        <f t="shared" si="14"/>
        <v>182</v>
      </c>
      <c r="C187" s="25" t="s">
        <v>493</v>
      </c>
      <c r="D187" s="25" t="s">
        <v>386</v>
      </c>
      <c r="E187" s="25" t="s">
        <v>203</v>
      </c>
      <c r="F187" s="25" t="s">
        <v>158</v>
      </c>
      <c r="G187" s="80"/>
      <c r="H187" s="99">
        <v>182</v>
      </c>
      <c r="I187" s="100">
        <f t="shared" si="15"/>
        <v>2.8800802522268327</v>
      </c>
      <c r="J187" s="99">
        <f t="shared" si="20"/>
        <v>0</v>
      </c>
      <c r="K187" s="99">
        <f t="shared" si="16"/>
        <v>0</v>
      </c>
      <c r="L187" s="99"/>
      <c r="M187" s="101">
        <f t="shared" si="17"/>
        <v>2.8800802522268327</v>
      </c>
      <c r="N187" s="101">
        <f t="shared" si="18"/>
        <v>3.4560963026721994</v>
      </c>
      <c r="O187" s="80"/>
      <c r="P187" s="80"/>
      <c r="Q187" s="80"/>
      <c r="R187" s="80"/>
      <c r="S187" s="80"/>
    </row>
    <row r="188" spans="1:20" s="85" customFormat="1" x14ac:dyDescent="0.25">
      <c r="A188" s="94">
        <f t="shared" si="19"/>
        <v>3.3965594105930337</v>
      </c>
      <c r="B188" s="36">
        <f t="shared" si="14"/>
        <v>183</v>
      </c>
      <c r="C188" s="24" t="s">
        <v>494</v>
      </c>
      <c r="D188" s="24" t="s">
        <v>495</v>
      </c>
      <c r="E188" s="24" t="s">
        <v>327</v>
      </c>
      <c r="F188" s="24" t="s">
        <v>158</v>
      </c>
      <c r="G188" s="80"/>
      <c r="H188" s="95">
        <v>183</v>
      </c>
      <c r="I188" s="96">
        <f t="shared" si="15"/>
        <v>2.8304661754941947</v>
      </c>
      <c r="J188" s="95">
        <f t="shared" si="20"/>
        <v>0</v>
      </c>
      <c r="K188" s="95">
        <f t="shared" si="16"/>
        <v>0</v>
      </c>
      <c r="L188" s="95"/>
      <c r="M188" s="97">
        <f t="shared" si="17"/>
        <v>2.8304661754941947</v>
      </c>
      <c r="N188" s="97">
        <f t="shared" si="18"/>
        <v>3.3965594105930337</v>
      </c>
      <c r="O188" s="80"/>
      <c r="P188" s="80"/>
      <c r="Q188" s="80"/>
      <c r="R188" s="80"/>
      <c r="S188" s="109"/>
      <c r="T188" s="110"/>
    </row>
    <row r="189" spans="1:20" s="85" customFormat="1" ht="25.85" x14ac:dyDescent="0.25">
      <c r="A189" s="98">
        <f t="shared" si="19"/>
        <v>3.3373469718521505</v>
      </c>
      <c r="B189" s="35">
        <f t="shared" si="14"/>
        <v>184</v>
      </c>
      <c r="C189" s="25" t="s">
        <v>496</v>
      </c>
      <c r="D189" s="25" t="s">
        <v>497</v>
      </c>
      <c r="E189" s="25" t="s">
        <v>157</v>
      </c>
      <c r="F189" s="25" t="s">
        <v>158</v>
      </c>
      <c r="G189" s="80"/>
      <c r="H189" s="99">
        <v>184</v>
      </c>
      <c r="I189" s="100">
        <f t="shared" si="15"/>
        <v>2.7811224765434588</v>
      </c>
      <c r="J189" s="99">
        <f t="shared" si="20"/>
        <v>0</v>
      </c>
      <c r="K189" s="99">
        <f t="shared" si="16"/>
        <v>0</v>
      </c>
      <c r="L189" s="99"/>
      <c r="M189" s="101">
        <f t="shared" si="17"/>
        <v>2.7811224765434588</v>
      </c>
      <c r="N189" s="101">
        <f t="shared" si="18"/>
        <v>3.3373469718521505</v>
      </c>
      <c r="O189" s="80"/>
      <c r="P189" s="80"/>
      <c r="Q189" s="80"/>
      <c r="R189" s="80"/>
      <c r="S189" s="80"/>
    </row>
    <row r="190" spans="1:20" s="85" customFormat="1" x14ac:dyDescent="0.25">
      <c r="A190" s="94">
        <f t="shared" si="19"/>
        <v>3.2784554693142267</v>
      </c>
      <c r="B190" s="36">
        <f t="shared" si="14"/>
        <v>185</v>
      </c>
      <c r="C190" s="24" t="s">
        <v>498</v>
      </c>
      <c r="D190" s="24" t="s">
        <v>499</v>
      </c>
      <c r="E190" s="24" t="s">
        <v>182</v>
      </c>
      <c r="F190" s="24" t="s">
        <v>158</v>
      </c>
      <c r="G190" s="80"/>
      <c r="H190" s="95">
        <v>185</v>
      </c>
      <c r="I190" s="96">
        <f t="shared" si="15"/>
        <v>2.7320462244285224</v>
      </c>
      <c r="J190" s="95">
        <f t="shared" si="20"/>
        <v>0</v>
      </c>
      <c r="K190" s="95">
        <f t="shared" si="16"/>
        <v>0</v>
      </c>
      <c r="L190" s="95"/>
      <c r="M190" s="97">
        <f t="shared" si="17"/>
        <v>2.7320462244285224</v>
      </c>
      <c r="N190" s="97">
        <f t="shared" si="18"/>
        <v>3.2784554693142267</v>
      </c>
      <c r="O190" s="80"/>
      <c r="P190" s="80"/>
      <c r="Q190" s="80"/>
      <c r="R190" s="80"/>
      <c r="S190" s="109"/>
      <c r="T190" s="110"/>
    </row>
    <row r="191" spans="1:20" s="85" customFormat="1" x14ac:dyDescent="0.25">
      <c r="A191" s="98">
        <f t="shared" si="19"/>
        <v>3.2198814427253808</v>
      </c>
      <c r="B191" s="35">
        <f t="shared" si="14"/>
        <v>186</v>
      </c>
      <c r="C191" s="25" t="s">
        <v>500</v>
      </c>
      <c r="D191" s="25" t="s">
        <v>501</v>
      </c>
      <c r="E191" s="25" t="s">
        <v>219</v>
      </c>
      <c r="F191" s="25" t="s">
        <v>158</v>
      </c>
      <c r="G191" s="80"/>
      <c r="H191" s="99">
        <v>186</v>
      </c>
      <c r="I191" s="100">
        <f t="shared" si="15"/>
        <v>2.683234535604484</v>
      </c>
      <c r="J191" s="99">
        <f t="shared" si="20"/>
        <v>0</v>
      </c>
      <c r="K191" s="99">
        <f t="shared" si="16"/>
        <v>0</v>
      </c>
      <c r="L191" s="99"/>
      <c r="M191" s="101">
        <f t="shared" si="17"/>
        <v>2.683234535604484</v>
      </c>
      <c r="N191" s="101">
        <f t="shared" si="18"/>
        <v>3.2198814427253808</v>
      </c>
      <c r="O191" s="80"/>
      <c r="P191" s="80"/>
      <c r="Q191" s="80"/>
      <c r="R191" s="80"/>
      <c r="S191" s="80"/>
    </row>
    <row r="192" spans="1:20" s="85" customFormat="1" x14ac:dyDescent="0.25">
      <c r="A192" s="94">
        <f t="shared" si="19"/>
        <v>3.1616214874932069</v>
      </c>
      <c r="B192" s="36">
        <f t="shared" si="14"/>
        <v>187</v>
      </c>
      <c r="C192" s="24" t="s">
        <v>502</v>
      </c>
      <c r="D192" s="24" t="s">
        <v>503</v>
      </c>
      <c r="E192" s="24" t="s">
        <v>345</v>
      </c>
      <c r="F192" s="24" t="s">
        <v>158</v>
      </c>
      <c r="G192" s="80"/>
      <c r="H192" s="95">
        <v>187</v>
      </c>
      <c r="I192" s="96">
        <f t="shared" si="15"/>
        <v>2.6346845729110058</v>
      </c>
      <c r="J192" s="95">
        <f t="shared" si="20"/>
        <v>0</v>
      </c>
      <c r="K192" s="95">
        <f t="shared" si="16"/>
        <v>0</v>
      </c>
      <c r="L192" s="95"/>
      <c r="M192" s="97">
        <f t="shared" si="17"/>
        <v>2.6346845729110058</v>
      </c>
      <c r="N192" s="97">
        <f t="shared" si="18"/>
        <v>3.1616214874932069</v>
      </c>
      <c r="O192" s="80"/>
      <c r="P192" s="80"/>
      <c r="Q192" s="80"/>
      <c r="R192" s="80"/>
      <c r="S192" s="109"/>
      <c r="T192" s="110"/>
    </row>
    <row r="193" spans="1:20" s="85" customFormat="1" x14ac:dyDescent="0.25">
      <c r="A193" s="98">
        <f t="shared" si="19"/>
        <v>3.1036722534992718</v>
      </c>
      <c r="B193" s="35">
        <f t="shared" si="14"/>
        <v>188</v>
      </c>
      <c r="C193" s="25" t="s">
        <v>504</v>
      </c>
      <c r="D193" s="25" t="s">
        <v>505</v>
      </c>
      <c r="E193" s="25" t="s">
        <v>327</v>
      </c>
      <c r="F193" s="25" t="s">
        <v>158</v>
      </c>
      <c r="G193" s="80"/>
      <c r="H193" s="99">
        <v>188</v>
      </c>
      <c r="I193" s="100">
        <f t="shared" si="15"/>
        <v>2.5863935445827266</v>
      </c>
      <c r="J193" s="99">
        <f t="shared" si="20"/>
        <v>0</v>
      </c>
      <c r="K193" s="99">
        <f t="shared" si="16"/>
        <v>0</v>
      </c>
      <c r="L193" s="99"/>
      <c r="M193" s="101">
        <f t="shared" si="17"/>
        <v>2.5863935445827266</v>
      </c>
      <c r="N193" s="101">
        <f t="shared" si="18"/>
        <v>3.1036722534992718</v>
      </c>
      <c r="O193" s="80"/>
      <c r="P193" s="80"/>
      <c r="Q193" s="80"/>
      <c r="R193" s="80"/>
      <c r="S193" s="80"/>
    </row>
    <row r="194" spans="1:20" s="85" customFormat="1" x14ac:dyDescent="0.25">
      <c r="A194" s="94">
        <f t="shared" si="19"/>
        <v>3.0460304439431836</v>
      </c>
      <c r="B194" s="36">
        <f t="shared" si="14"/>
        <v>189</v>
      </c>
      <c r="C194" s="24" t="s">
        <v>506</v>
      </c>
      <c r="D194" s="24" t="s">
        <v>507</v>
      </c>
      <c r="E194" s="24" t="s">
        <v>161</v>
      </c>
      <c r="F194" s="24" t="s">
        <v>158</v>
      </c>
      <c r="G194" s="80"/>
      <c r="H194" s="95">
        <v>189</v>
      </c>
      <c r="I194" s="96">
        <f t="shared" si="15"/>
        <v>2.5383587032859865</v>
      </c>
      <c r="J194" s="95">
        <f t="shared" si="20"/>
        <v>0</v>
      </c>
      <c r="K194" s="95">
        <f t="shared" si="16"/>
        <v>0</v>
      </c>
      <c r="L194" s="95"/>
      <c r="M194" s="97">
        <f t="shared" si="17"/>
        <v>2.5383587032859865</v>
      </c>
      <c r="N194" s="97">
        <f t="shared" si="18"/>
        <v>3.0460304439431836</v>
      </c>
      <c r="O194" s="80"/>
      <c r="P194" s="80"/>
      <c r="Q194" s="80"/>
      <c r="R194" s="80"/>
      <c r="S194" s="109"/>
      <c r="T194" s="110"/>
    </row>
    <row r="195" spans="1:20" s="85" customFormat="1" x14ac:dyDescent="0.25">
      <c r="A195" s="98">
        <f t="shared" si="19"/>
        <v>2.9886928142171598</v>
      </c>
      <c r="B195" s="35">
        <f t="shared" si="14"/>
        <v>190</v>
      </c>
      <c r="C195" s="25" t="s">
        <v>508</v>
      </c>
      <c r="D195" s="25" t="s">
        <v>290</v>
      </c>
      <c r="E195" s="25" t="s">
        <v>157</v>
      </c>
      <c r="F195" s="25" t="s">
        <v>158</v>
      </c>
      <c r="G195" s="80"/>
      <c r="H195" s="99">
        <v>190</v>
      </c>
      <c r="I195" s="100">
        <f t="shared" si="15"/>
        <v>2.4905773451809665</v>
      </c>
      <c r="J195" s="99">
        <f t="shared" si="20"/>
        <v>0</v>
      </c>
      <c r="K195" s="99">
        <f t="shared" si="16"/>
        <v>0</v>
      </c>
      <c r="L195" s="99"/>
      <c r="M195" s="101">
        <f t="shared" si="17"/>
        <v>2.4905773451809665</v>
      </c>
      <c r="N195" s="101">
        <f t="shared" si="18"/>
        <v>2.9886928142171598</v>
      </c>
      <c r="O195" s="80"/>
      <c r="P195" s="80"/>
      <c r="Q195" s="80"/>
      <c r="R195" s="80"/>
      <c r="S195" s="80"/>
    </row>
    <row r="196" spans="1:20" s="85" customFormat="1" x14ac:dyDescent="0.25">
      <c r="A196" s="94">
        <f t="shared" si="19"/>
        <v>2.9316561708100211</v>
      </c>
      <c r="B196" s="36">
        <f t="shared" si="14"/>
        <v>191</v>
      </c>
      <c r="C196" s="24" t="s">
        <v>509</v>
      </c>
      <c r="D196" s="24" t="s">
        <v>510</v>
      </c>
      <c r="E196" s="24" t="s">
        <v>157</v>
      </c>
      <c r="F196" s="24" t="s">
        <v>158</v>
      </c>
      <c r="G196" s="80"/>
      <c r="H196" s="95">
        <v>191</v>
      </c>
      <c r="I196" s="96">
        <f t="shared" si="15"/>
        <v>2.4430468090083508</v>
      </c>
      <c r="J196" s="95">
        <f t="shared" si="20"/>
        <v>0</v>
      </c>
      <c r="K196" s="95">
        <f t="shared" si="16"/>
        <v>0</v>
      </c>
      <c r="L196" s="95"/>
      <c r="M196" s="97">
        <f t="shared" si="17"/>
        <v>2.4430468090083508</v>
      </c>
      <c r="N196" s="97">
        <f t="shared" si="18"/>
        <v>2.9316561708100211</v>
      </c>
      <c r="O196" s="80"/>
      <c r="P196" s="80"/>
      <c r="Q196" s="80"/>
      <c r="R196" s="80"/>
      <c r="S196" s="109"/>
      <c r="T196" s="110"/>
    </row>
    <row r="197" spans="1:20" s="85" customFormat="1" x14ac:dyDescent="0.25">
      <c r="A197" s="98">
        <f t="shared" si="19"/>
        <v>2.8749173702400044</v>
      </c>
      <c r="B197" s="35">
        <f t="shared" si="14"/>
        <v>192</v>
      </c>
      <c r="C197" s="25" t="s">
        <v>28</v>
      </c>
      <c r="D197" s="25" t="s">
        <v>511</v>
      </c>
      <c r="E197" s="25" t="s">
        <v>168</v>
      </c>
      <c r="F197" s="25" t="s">
        <v>158</v>
      </c>
      <c r="G197" s="80"/>
      <c r="H197" s="99">
        <v>192</v>
      </c>
      <c r="I197" s="100">
        <f t="shared" si="15"/>
        <v>2.3957644752000036</v>
      </c>
      <c r="J197" s="99">
        <f t="shared" si="20"/>
        <v>0</v>
      </c>
      <c r="K197" s="99">
        <f t="shared" si="16"/>
        <v>0</v>
      </c>
      <c r="L197" s="99"/>
      <c r="M197" s="101">
        <f t="shared" si="17"/>
        <v>2.3957644752000036</v>
      </c>
      <c r="N197" s="101">
        <f t="shared" si="18"/>
        <v>2.8749173702400044</v>
      </c>
      <c r="O197" s="80"/>
      <c r="P197" s="80"/>
      <c r="Q197" s="80"/>
      <c r="R197" s="80"/>
      <c r="S197" s="80"/>
    </row>
    <row r="198" spans="1:20" s="85" customFormat="1" x14ac:dyDescent="0.25">
      <c r="A198" s="94">
        <f t="shared" si="19"/>
        <v>2.8184733180150827</v>
      </c>
      <c r="B198" s="36">
        <f t="shared" ref="B198:B229" si="21">IF(H198&gt;$H$2,"",(ROW()-5))</f>
        <v>193</v>
      </c>
      <c r="C198" s="24" t="s">
        <v>512</v>
      </c>
      <c r="D198" s="24" t="s">
        <v>177</v>
      </c>
      <c r="E198" s="24" t="s">
        <v>157</v>
      </c>
      <c r="F198" s="24" t="s">
        <v>158</v>
      </c>
      <c r="G198" s="80"/>
      <c r="H198" s="95">
        <v>193</v>
      </c>
      <c r="I198" s="96">
        <f t="shared" ref="I198:I261" si="22">IF(H198&lt;$H$2+1,($I$2-($I$2-1)*(LOG(H198)/LOG($H$2))),"")</f>
        <v>2.3487277650125691</v>
      </c>
      <c r="J198" s="95">
        <f t="shared" si="20"/>
        <v>0</v>
      </c>
      <c r="K198" s="95">
        <f t="shared" ref="K198:K261" si="23">J198*$J$2</f>
        <v>0</v>
      </c>
      <c r="L198" s="95"/>
      <c r="M198" s="97">
        <f t="shared" ref="M198:M261" si="24">IF(I198&lt;&gt;"",K198+I198+L198,0)</f>
        <v>2.3487277650125691</v>
      </c>
      <c r="N198" s="97">
        <f t="shared" ref="N198:N261" si="25">IF(I198&lt;&gt;"",M198*L$2,0)</f>
        <v>2.8184733180150827</v>
      </c>
      <c r="O198" s="80"/>
      <c r="P198" s="80"/>
      <c r="Q198" s="80"/>
      <c r="R198" s="80"/>
      <c r="S198" s="109"/>
      <c r="T198" s="110"/>
    </row>
    <row r="199" spans="1:20" s="85" customFormat="1" x14ac:dyDescent="0.25">
      <c r="A199" s="98">
        <f t="shared" ref="A199:A262" si="26">N199</f>
        <v>2.7623209676202802</v>
      </c>
      <c r="B199" s="35">
        <f t="shared" si="21"/>
        <v>194</v>
      </c>
      <c r="C199" s="25" t="s">
        <v>513</v>
      </c>
      <c r="D199" s="25" t="s">
        <v>514</v>
      </c>
      <c r="E199" s="25" t="s">
        <v>190</v>
      </c>
      <c r="F199" s="25" t="s">
        <v>158</v>
      </c>
      <c r="G199" s="80"/>
      <c r="H199" s="99">
        <v>194</v>
      </c>
      <c r="I199" s="100">
        <f t="shared" si="22"/>
        <v>2.3019341396835671</v>
      </c>
      <c r="J199" s="99">
        <f t="shared" ref="J199:J262" si="27">INT(LOG($H$2,2))-ROUNDUP(LOG(H199,2),0)+IF(OR($H$2=1,$H$2=2,$H$2=4,$H$2=8,$H$2=16,$H$2=32,$H$2=64,$H$2=128,$H$2=256),0,1)</f>
        <v>0</v>
      </c>
      <c r="K199" s="99">
        <f t="shared" si="23"/>
        <v>0</v>
      </c>
      <c r="L199" s="99"/>
      <c r="M199" s="101">
        <f t="shared" si="24"/>
        <v>2.3019341396835671</v>
      </c>
      <c r="N199" s="101">
        <f t="shared" si="25"/>
        <v>2.7623209676202802</v>
      </c>
      <c r="O199" s="80"/>
      <c r="P199" s="80"/>
      <c r="Q199" s="80"/>
      <c r="R199" s="80"/>
      <c r="S199" s="80"/>
    </row>
    <row r="200" spans="1:20" s="85" customFormat="1" x14ac:dyDescent="0.25">
      <c r="A200" s="94">
        <f t="shared" si="26"/>
        <v>2.7064573195310002</v>
      </c>
      <c r="B200" s="36">
        <f t="shared" si="21"/>
        <v>195</v>
      </c>
      <c r="C200" s="24" t="s">
        <v>515</v>
      </c>
      <c r="D200" s="24" t="s">
        <v>516</v>
      </c>
      <c r="E200" s="24" t="s">
        <v>157</v>
      </c>
      <c r="F200" s="24" t="s">
        <v>158</v>
      </c>
      <c r="G200" s="80"/>
      <c r="H200" s="95">
        <v>195</v>
      </c>
      <c r="I200" s="96">
        <f t="shared" si="22"/>
        <v>2.255381099609167</v>
      </c>
      <c r="J200" s="95">
        <f t="shared" si="27"/>
        <v>0</v>
      </c>
      <c r="K200" s="95">
        <f t="shared" si="23"/>
        <v>0</v>
      </c>
      <c r="L200" s="95"/>
      <c r="M200" s="97">
        <f t="shared" si="24"/>
        <v>2.255381099609167</v>
      </c>
      <c r="N200" s="97">
        <f t="shared" si="25"/>
        <v>2.7064573195310002</v>
      </c>
      <c r="O200" s="80"/>
      <c r="P200" s="80"/>
      <c r="Q200" s="80"/>
      <c r="R200" s="80"/>
      <c r="S200" s="109"/>
      <c r="T200" s="110"/>
    </row>
    <row r="201" spans="1:20" s="85" customFormat="1" ht="25.85" x14ac:dyDescent="0.25">
      <c r="A201" s="98">
        <f t="shared" si="26"/>
        <v>2.6508794202515333</v>
      </c>
      <c r="B201" s="35">
        <f t="shared" si="21"/>
        <v>196</v>
      </c>
      <c r="C201" s="25" t="s">
        <v>517</v>
      </c>
      <c r="D201" s="25" t="s">
        <v>518</v>
      </c>
      <c r="E201" s="25" t="s">
        <v>203</v>
      </c>
      <c r="F201" s="25" t="s">
        <v>158</v>
      </c>
      <c r="G201" s="80"/>
      <c r="H201" s="99">
        <v>196</v>
      </c>
      <c r="I201" s="100">
        <f t="shared" si="22"/>
        <v>2.2090661835429444</v>
      </c>
      <c r="J201" s="99">
        <f t="shared" si="27"/>
        <v>0</v>
      </c>
      <c r="K201" s="99">
        <f t="shared" si="23"/>
        <v>0</v>
      </c>
      <c r="L201" s="99"/>
      <c r="M201" s="101">
        <f t="shared" si="24"/>
        <v>2.2090661835429444</v>
      </c>
      <c r="N201" s="101">
        <f t="shared" si="25"/>
        <v>2.6508794202515333</v>
      </c>
      <c r="O201" s="80"/>
      <c r="P201" s="80"/>
      <c r="Q201" s="80"/>
      <c r="R201" s="80"/>
      <c r="S201" s="80"/>
    </row>
    <row r="202" spans="1:20" s="85" customFormat="1" x14ac:dyDescent="0.25">
      <c r="A202" s="94">
        <f t="shared" si="26"/>
        <v>2.5955843613781382</v>
      </c>
      <c r="B202" s="36">
        <f t="shared" si="21"/>
        <v>197</v>
      </c>
      <c r="C202" s="24" t="s">
        <v>519</v>
      </c>
      <c r="D202" s="24" t="s">
        <v>520</v>
      </c>
      <c r="E202" s="24" t="s">
        <v>157</v>
      </c>
      <c r="F202" s="24" t="s">
        <v>158</v>
      </c>
      <c r="G202" s="80"/>
      <c r="H202" s="95">
        <v>197</v>
      </c>
      <c r="I202" s="96">
        <f t="shared" si="22"/>
        <v>2.1629869678151152</v>
      </c>
      <c r="J202" s="95">
        <f t="shared" si="27"/>
        <v>0</v>
      </c>
      <c r="K202" s="95">
        <f t="shared" si="23"/>
        <v>0</v>
      </c>
      <c r="L202" s="95"/>
      <c r="M202" s="97">
        <f t="shared" si="24"/>
        <v>2.1629869678151152</v>
      </c>
      <c r="N202" s="97">
        <f t="shared" si="25"/>
        <v>2.5955843613781382</v>
      </c>
      <c r="O202" s="80"/>
      <c r="P202" s="80"/>
      <c r="Q202" s="80"/>
      <c r="R202" s="80"/>
      <c r="S202" s="109"/>
      <c r="T202" s="110"/>
    </row>
    <row r="203" spans="1:20" s="85" customFormat="1" x14ac:dyDescent="0.25">
      <c r="A203" s="98">
        <f t="shared" si="26"/>
        <v>2.5405692786857172</v>
      </c>
      <c r="B203" s="35">
        <f t="shared" si="21"/>
        <v>198</v>
      </c>
      <c r="C203" s="25" t="s">
        <v>521</v>
      </c>
      <c r="D203" s="25" t="s">
        <v>522</v>
      </c>
      <c r="E203" s="25" t="s">
        <v>190</v>
      </c>
      <c r="F203" s="25" t="s">
        <v>158</v>
      </c>
      <c r="G203" s="80"/>
      <c r="H203" s="99">
        <v>198</v>
      </c>
      <c r="I203" s="100">
        <f t="shared" si="22"/>
        <v>2.1171410655714311</v>
      </c>
      <c r="J203" s="99">
        <f t="shared" si="27"/>
        <v>0</v>
      </c>
      <c r="K203" s="99">
        <f t="shared" si="23"/>
        <v>0</v>
      </c>
      <c r="L203" s="99"/>
      <c r="M203" s="101">
        <f t="shared" si="24"/>
        <v>2.1171410655714311</v>
      </c>
      <c r="N203" s="101">
        <f t="shared" si="25"/>
        <v>2.5405692786857172</v>
      </c>
      <c r="O203" s="80"/>
      <c r="P203" s="80"/>
      <c r="Q203" s="80"/>
      <c r="R203" s="80"/>
      <c r="S203" s="80"/>
    </row>
    <row r="204" spans="1:20" s="85" customFormat="1" x14ac:dyDescent="0.25">
      <c r="A204" s="94">
        <f t="shared" si="26"/>
        <v>2.4858313512375614</v>
      </c>
      <c r="B204" s="36">
        <f t="shared" si="21"/>
        <v>199</v>
      </c>
      <c r="C204" s="24" t="s">
        <v>523</v>
      </c>
      <c r="D204" s="24" t="s">
        <v>524</v>
      </c>
      <c r="E204" s="24" t="s">
        <v>157</v>
      </c>
      <c r="F204" s="24" t="s">
        <v>158</v>
      </c>
      <c r="G204" s="80"/>
      <c r="H204" s="95">
        <v>199</v>
      </c>
      <c r="I204" s="96">
        <f t="shared" si="22"/>
        <v>2.0715261260313014</v>
      </c>
      <c r="J204" s="95">
        <f t="shared" si="27"/>
        <v>0</v>
      </c>
      <c r="K204" s="95">
        <f t="shared" si="23"/>
        <v>0</v>
      </c>
      <c r="L204" s="95"/>
      <c r="M204" s="97">
        <f t="shared" si="24"/>
        <v>2.0715261260313014</v>
      </c>
      <c r="N204" s="97">
        <f t="shared" si="25"/>
        <v>2.4858313512375614</v>
      </c>
      <c r="O204" s="80"/>
      <c r="P204" s="80"/>
      <c r="Q204" s="80"/>
      <c r="R204" s="80"/>
      <c r="S204" s="109"/>
      <c r="T204" s="110"/>
    </row>
    <row r="205" spans="1:20" s="85" customFormat="1" x14ac:dyDescent="0.25">
      <c r="A205" s="98">
        <f t="shared" si="26"/>
        <v>2.4313678005174637</v>
      </c>
      <c r="B205" s="35">
        <f t="shared" si="21"/>
        <v>200</v>
      </c>
      <c r="C205" s="25" t="s">
        <v>525</v>
      </c>
      <c r="D205" s="25" t="s">
        <v>526</v>
      </c>
      <c r="E205" s="25" t="s">
        <v>166</v>
      </c>
      <c r="F205" s="25" t="s">
        <v>158</v>
      </c>
      <c r="G205" s="80"/>
      <c r="H205" s="99">
        <v>200</v>
      </c>
      <c r="I205" s="100">
        <f t="shared" si="22"/>
        <v>2.0261398337645531</v>
      </c>
      <c r="J205" s="99">
        <f t="shared" si="27"/>
        <v>0</v>
      </c>
      <c r="K205" s="99">
        <f t="shared" si="23"/>
        <v>0</v>
      </c>
      <c r="L205" s="99"/>
      <c r="M205" s="101">
        <f t="shared" si="24"/>
        <v>2.0261398337645531</v>
      </c>
      <c r="N205" s="101">
        <f t="shared" si="25"/>
        <v>2.4313678005174637</v>
      </c>
      <c r="O205" s="80"/>
      <c r="P205" s="80"/>
      <c r="Q205" s="80"/>
      <c r="R205" s="80"/>
      <c r="S205" s="80"/>
    </row>
    <row r="206" spans="1:20" s="85" customFormat="1" x14ac:dyDescent="0.25">
      <c r="A206" s="94">
        <f t="shared" si="26"/>
        <v>2.3771758895833415</v>
      </c>
      <c r="B206" s="36">
        <f t="shared" si="21"/>
        <v>201</v>
      </c>
      <c r="C206" s="24" t="s">
        <v>527</v>
      </c>
      <c r="D206" s="24" t="s">
        <v>528</v>
      </c>
      <c r="E206" s="24" t="s">
        <v>331</v>
      </c>
      <c r="F206" s="24" t="s">
        <v>434</v>
      </c>
      <c r="G206" s="80"/>
      <c r="H206" s="95">
        <v>201</v>
      </c>
      <c r="I206" s="96">
        <f t="shared" si="22"/>
        <v>1.9809799079861179</v>
      </c>
      <c r="J206" s="95">
        <f t="shared" si="27"/>
        <v>0</v>
      </c>
      <c r="K206" s="95">
        <f t="shared" si="23"/>
        <v>0</v>
      </c>
      <c r="L206" s="95"/>
      <c r="M206" s="97">
        <f t="shared" si="24"/>
        <v>1.9809799079861179</v>
      </c>
      <c r="N206" s="97">
        <f t="shared" si="25"/>
        <v>2.3771758895833415</v>
      </c>
      <c r="O206" s="80"/>
      <c r="P206" s="80"/>
      <c r="Q206" s="80"/>
      <c r="R206" s="80"/>
      <c r="S206" s="109"/>
      <c r="T206" s="110"/>
    </row>
    <row r="207" spans="1:20" s="85" customFormat="1" ht="25.85" x14ac:dyDescent="0.25">
      <c r="A207" s="98">
        <f t="shared" si="26"/>
        <v>2.3232529222419829</v>
      </c>
      <c r="B207" s="35">
        <f t="shared" si="21"/>
        <v>202</v>
      </c>
      <c r="C207" s="25" t="s">
        <v>529</v>
      </c>
      <c r="D207" s="25" t="s">
        <v>530</v>
      </c>
      <c r="E207" s="25" t="s">
        <v>157</v>
      </c>
      <c r="F207" s="25" t="s">
        <v>158</v>
      </c>
      <c r="G207" s="80"/>
      <c r="H207" s="99">
        <v>202</v>
      </c>
      <c r="I207" s="100">
        <f t="shared" si="22"/>
        <v>1.936044101868319</v>
      </c>
      <c r="J207" s="99">
        <f t="shared" si="27"/>
        <v>0</v>
      </c>
      <c r="K207" s="99">
        <f t="shared" si="23"/>
        <v>0</v>
      </c>
      <c r="L207" s="99"/>
      <c r="M207" s="101">
        <f t="shared" si="24"/>
        <v>1.936044101868319</v>
      </c>
      <c r="N207" s="101">
        <f t="shared" si="25"/>
        <v>2.3232529222419829</v>
      </c>
      <c r="O207" s="80"/>
      <c r="P207" s="80"/>
      <c r="Q207" s="80"/>
      <c r="R207" s="80"/>
      <c r="S207" s="80"/>
    </row>
    <row r="208" spans="1:20" s="85" customFormat="1" x14ac:dyDescent="0.25">
      <c r="A208" s="94">
        <f t="shared" si="26"/>
        <v>2.2695962422440914</v>
      </c>
      <c r="B208" s="36">
        <f t="shared" si="21"/>
        <v>203</v>
      </c>
      <c r="C208" s="24" t="s">
        <v>531</v>
      </c>
      <c r="D208" s="24" t="s">
        <v>255</v>
      </c>
      <c r="E208" s="24" t="s">
        <v>345</v>
      </c>
      <c r="F208" s="24" t="s">
        <v>158</v>
      </c>
      <c r="G208" s="80"/>
      <c r="H208" s="95">
        <v>203</v>
      </c>
      <c r="I208" s="96">
        <f t="shared" si="22"/>
        <v>1.8913302018700762</v>
      </c>
      <c r="J208" s="95">
        <f t="shared" si="27"/>
        <v>0</v>
      </c>
      <c r="K208" s="95">
        <f t="shared" si="23"/>
        <v>0</v>
      </c>
      <c r="L208" s="95"/>
      <c r="M208" s="97">
        <f t="shared" si="24"/>
        <v>1.8913302018700762</v>
      </c>
      <c r="N208" s="97">
        <f t="shared" si="25"/>
        <v>2.2695962422440914</v>
      </c>
      <c r="O208" s="80"/>
      <c r="P208" s="80"/>
      <c r="Q208" s="80"/>
      <c r="R208" s="80"/>
      <c r="S208" s="109"/>
      <c r="T208" s="110"/>
    </row>
    <row r="209" spans="1:20" s="85" customFormat="1" x14ac:dyDescent="0.25">
      <c r="A209" s="98">
        <f t="shared" si="26"/>
        <v>2.216203232499157</v>
      </c>
      <c r="B209" s="35">
        <f t="shared" si="21"/>
        <v>204</v>
      </c>
      <c r="C209" s="25" t="s">
        <v>532</v>
      </c>
      <c r="D209" s="25" t="s">
        <v>360</v>
      </c>
      <c r="E209" s="25" t="s">
        <v>237</v>
      </c>
      <c r="F209" s="25" t="s">
        <v>158</v>
      </c>
      <c r="G209" s="80"/>
      <c r="H209" s="99">
        <v>204</v>
      </c>
      <c r="I209" s="100">
        <f t="shared" si="22"/>
        <v>1.8468360270826309</v>
      </c>
      <c r="J209" s="99">
        <f t="shared" si="27"/>
        <v>0</v>
      </c>
      <c r="K209" s="99">
        <f t="shared" si="23"/>
        <v>0</v>
      </c>
      <c r="L209" s="99"/>
      <c r="M209" s="101">
        <f t="shared" si="24"/>
        <v>1.8468360270826309</v>
      </c>
      <c r="N209" s="101">
        <f t="shared" si="25"/>
        <v>2.216203232499157</v>
      </c>
      <c r="O209" s="80"/>
      <c r="P209" s="80"/>
      <c r="Q209" s="80"/>
      <c r="R209" s="80"/>
      <c r="S209" s="80"/>
    </row>
    <row r="210" spans="1:20" s="85" customFormat="1" x14ac:dyDescent="0.25">
      <c r="A210" s="94">
        <f t="shared" si="26"/>
        <v>2.1630713143095193</v>
      </c>
      <c r="B210" s="36">
        <f t="shared" si="21"/>
        <v>205</v>
      </c>
      <c r="C210" s="24" t="s">
        <v>533</v>
      </c>
      <c r="D210" s="24" t="s">
        <v>534</v>
      </c>
      <c r="E210" s="24" t="s">
        <v>166</v>
      </c>
      <c r="F210" s="24" t="s">
        <v>158</v>
      </c>
      <c r="G210" s="80"/>
      <c r="H210" s="95">
        <v>205</v>
      </c>
      <c r="I210" s="96">
        <f t="shared" si="22"/>
        <v>1.8025594285912661</v>
      </c>
      <c r="J210" s="95">
        <f t="shared" si="27"/>
        <v>0</v>
      </c>
      <c r="K210" s="95">
        <f t="shared" si="23"/>
        <v>0</v>
      </c>
      <c r="L210" s="95"/>
      <c r="M210" s="97">
        <f t="shared" si="24"/>
        <v>1.8025594285912661</v>
      </c>
      <c r="N210" s="97">
        <f t="shared" si="25"/>
        <v>2.1630713143095193</v>
      </c>
      <c r="O210" s="80"/>
      <c r="P210" s="80"/>
      <c r="Q210" s="80"/>
      <c r="R210" s="80"/>
      <c r="S210" s="109"/>
      <c r="T210" s="110"/>
    </row>
    <row r="211" spans="1:20" s="85" customFormat="1" x14ac:dyDescent="0.25">
      <c r="A211" s="98">
        <f t="shared" si="26"/>
        <v>2.1101979466230092</v>
      </c>
      <c r="B211" s="35">
        <f t="shared" si="21"/>
        <v>206</v>
      </c>
      <c r="C211" s="25" t="s">
        <v>535</v>
      </c>
      <c r="D211" s="25" t="s">
        <v>499</v>
      </c>
      <c r="E211" s="25" t="s">
        <v>327</v>
      </c>
      <c r="F211" s="25" t="s">
        <v>158</v>
      </c>
      <c r="G211" s="80"/>
      <c r="H211" s="99">
        <v>206</v>
      </c>
      <c r="I211" s="100">
        <f t="shared" si="22"/>
        <v>1.7584982888525076</v>
      </c>
      <c r="J211" s="99">
        <f t="shared" si="27"/>
        <v>0</v>
      </c>
      <c r="K211" s="99">
        <f t="shared" si="23"/>
        <v>0</v>
      </c>
      <c r="L211" s="99"/>
      <c r="M211" s="101">
        <f t="shared" si="24"/>
        <v>1.7584982888525076</v>
      </c>
      <c r="N211" s="101">
        <f t="shared" si="25"/>
        <v>2.1101979466230092</v>
      </c>
      <c r="O211" s="80"/>
      <c r="P211" s="80"/>
      <c r="Q211" s="80"/>
      <c r="R211" s="80"/>
      <c r="S211" s="80"/>
    </row>
    <row r="212" spans="1:20" s="85" customFormat="1" x14ac:dyDescent="0.25">
      <c r="A212" s="94">
        <f t="shared" si="26"/>
        <v>2.057580625303788</v>
      </c>
      <c r="B212" s="36">
        <f t="shared" si="21"/>
        <v>207</v>
      </c>
      <c r="C212" s="24" t="s">
        <v>33</v>
      </c>
      <c r="D212" s="25" t="s">
        <v>536</v>
      </c>
      <c r="E212" s="25" t="s">
        <v>168</v>
      </c>
      <c r="F212" s="24" t="s">
        <v>158</v>
      </c>
      <c r="G212" s="80"/>
      <c r="H212" s="95">
        <v>207</v>
      </c>
      <c r="I212" s="96">
        <f t="shared" si="22"/>
        <v>1.7146505210864902</v>
      </c>
      <c r="J212" s="95">
        <f t="shared" si="27"/>
        <v>0</v>
      </c>
      <c r="K212" s="95">
        <f t="shared" si="23"/>
        <v>0</v>
      </c>
      <c r="L212" s="95"/>
      <c r="M212" s="97">
        <f t="shared" si="24"/>
        <v>1.7146505210864902</v>
      </c>
      <c r="N212" s="97">
        <f t="shared" si="25"/>
        <v>2.057580625303788</v>
      </c>
      <c r="O212" s="80"/>
      <c r="P212" s="80"/>
      <c r="Q212" s="80"/>
      <c r="R212" s="80"/>
      <c r="S212" s="109"/>
      <c r="T212" s="110"/>
    </row>
    <row r="213" spans="1:20" s="85" customFormat="1" x14ac:dyDescent="0.25">
      <c r="A213" s="98">
        <f t="shared" si="26"/>
        <v>2.0052168824206746</v>
      </c>
      <c r="B213" s="35">
        <f t="shared" si="21"/>
        <v>208</v>
      </c>
      <c r="C213" s="25" t="s">
        <v>537</v>
      </c>
      <c r="D213" s="25" t="s">
        <v>255</v>
      </c>
      <c r="E213" s="25" t="s">
        <v>157</v>
      </c>
      <c r="F213" s="25"/>
      <c r="G213" s="80"/>
      <c r="H213" s="99">
        <v>208</v>
      </c>
      <c r="I213" s="100">
        <f t="shared" si="22"/>
        <v>1.6710140686838955</v>
      </c>
      <c r="J213" s="99">
        <f t="shared" si="27"/>
        <v>0</v>
      </c>
      <c r="K213" s="99">
        <f t="shared" si="23"/>
        <v>0</v>
      </c>
      <c r="L213" s="99"/>
      <c r="M213" s="101">
        <f t="shared" si="24"/>
        <v>1.6710140686838955</v>
      </c>
      <c r="N213" s="101">
        <f t="shared" si="25"/>
        <v>2.0052168824206746</v>
      </c>
      <c r="O213" s="80"/>
      <c r="P213" s="80"/>
      <c r="Q213" s="80"/>
      <c r="R213" s="80"/>
      <c r="S213" s="80"/>
    </row>
    <row r="214" spans="1:20" s="85" customFormat="1" x14ac:dyDescent="0.25">
      <c r="A214" s="94">
        <f t="shared" si="26"/>
        <v>1.9531042855525214</v>
      </c>
      <c r="B214" s="36">
        <f t="shared" si="21"/>
        <v>209</v>
      </c>
      <c r="C214" s="24" t="s">
        <v>317</v>
      </c>
      <c r="D214" s="24" t="s">
        <v>301</v>
      </c>
      <c r="E214" s="24" t="s">
        <v>157</v>
      </c>
      <c r="F214" s="24" t="s">
        <v>158</v>
      </c>
      <c r="G214" s="80"/>
      <c r="H214" s="95">
        <v>209</v>
      </c>
      <c r="I214" s="96">
        <f t="shared" si="22"/>
        <v>1.6275869046271012</v>
      </c>
      <c r="J214" s="95">
        <f t="shared" si="27"/>
        <v>0</v>
      </c>
      <c r="K214" s="95">
        <f t="shared" si="23"/>
        <v>0</v>
      </c>
      <c r="L214" s="95"/>
      <c r="M214" s="97">
        <f t="shared" si="24"/>
        <v>1.6275869046271012</v>
      </c>
      <c r="N214" s="97">
        <f t="shared" si="25"/>
        <v>1.9531042855525214</v>
      </c>
      <c r="O214" s="80"/>
      <c r="P214" s="80"/>
      <c r="Q214" s="80"/>
      <c r="R214" s="80"/>
      <c r="S214" s="109"/>
      <c r="T214" s="110"/>
    </row>
    <row r="215" spans="1:20" s="85" customFormat="1" x14ac:dyDescent="0.25">
      <c r="A215" s="98">
        <f t="shared" si="26"/>
        <v>1.9012404371103258</v>
      </c>
      <c r="B215" s="35">
        <f t="shared" si="21"/>
        <v>210</v>
      </c>
      <c r="C215" s="25" t="s">
        <v>538</v>
      </c>
      <c r="D215" s="25" t="s">
        <v>539</v>
      </c>
      <c r="E215" s="25" t="s">
        <v>166</v>
      </c>
      <c r="F215" s="25" t="s">
        <v>158</v>
      </c>
      <c r="G215" s="80"/>
      <c r="H215" s="99">
        <v>210</v>
      </c>
      <c r="I215" s="100">
        <f t="shared" si="22"/>
        <v>1.5843670309252715</v>
      </c>
      <c r="J215" s="99">
        <f t="shared" si="27"/>
        <v>0</v>
      </c>
      <c r="K215" s="99">
        <f t="shared" si="23"/>
        <v>0</v>
      </c>
      <c r="L215" s="99"/>
      <c r="M215" s="101">
        <f t="shared" si="24"/>
        <v>1.5843670309252715</v>
      </c>
      <c r="N215" s="101">
        <f t="shared" si="25"/>
        <v>1.9012404371103258</v>
      </c>
      <c r="O215" s="80"/>
      <c r="P215" s="80"/>
      <c r="Q215" s="80"/>
      <c r="R215" s="80"/>
      <c r="S215" s="80"/>
    </row>
    <row r="216" spans="1:20" s="85" customFormat="1" x14ac:dyDescent="0.25">
      <c r="A216" s="94">
        <f t="shared" si="26"/>
        <v>1.8496229736751786</v>
      </c>
      <c r="B216" s="36">
        <f t="shared" si="21"/>
        <v>211</v>
      </c>
      <c r="C216" s="24" t="s">
        <v>540</v>
      </c>
      <c r="D216" s="24" t="s">
        <v>541</v>
      </c>
      <c r="E216" s="24" t="s">
        <v>542</v>
      </c>
      <c r="F216" s="24" t="s">
        <v>158</v>
      </c>
      <c r="G216" s="80"/>
      <c r="H216" s="95">
        <v>211</v>
      </c>
      <c r="I216" s="96">
        <f t="shared" si="22"/>
        <v>1.5413524780626489</v>
      </c>
      <c r="J216" s="95">
        <f t="shared" si="27"/>
        <v>0</v>
      </c>
      <c r="K216" s="95">
        <f t="shared" si="23"/>
        <v>0</v>
      </c>
      <c r="L216" s="95"/>
      <c r="M216" s="97">
        <f t="shared" si="24"/>
        <v>1.5413524780626489</v>
      </c>
      <c r="N216" s="97">
        <f t="shared" si="25"/>
        <v>1.8496229736751786</v>
      </c>
      <c r="O216" s="80"/>
      <c r="P216" s="80"/>
      <c r="Q216" s="80"/>
      <c r="R216" s="80"/>
      <c r="S216" s="109"/>
      <c r="T216" s="110"/>
    </row>
    <row r="217" spans="1:20" s="85" customFormat="1" x14ac:dyDescent="0.25">
      <c r="A217" s="98">
        <f t="shared" si="26"/>
        <v>1.7982495653521595</v>
      </c>
      <c r="B217" s="35">
        <f t="shared" si="21"/>
        <v>212</v>
      </c>
      <c r="C217" s="25" t="s">
        <v>543</v>
      </c>
      <c r="D217" s="25" t="s">
        <v>544</v>
      </c>
      <c r="E217" s="25" t="s">
        <v>219</v>
      </c>
      <c r="F217" s="25" t="s">
        <v>158</v>
      </c>
      <c r="G217" s="80"/>
      <c r="H217" s="99">
        <v>212</v>
      </c>
      <c r="I217" s="100">
        <f t="shared" si="22"/>
        <v>1.498541304460133</v>
      </c>
      <c r="J217" s="99">
        <f t="shared" si="27"/>
        <v>0</v>
      </c>
      <c r="K217" s="99">
        <f t="shared" si="23"/>
        <v>0</v>
      </c>
      <c r="L217" s="99"/>
      <c r="M217" s="101">
        <f t="shared" si="24"/>
        <v>1.498541304460133</v>
      </c>
      <c r="N217" s="101">
        <f t="shared" si="25"/>
        <v>1.7982495653521595</v>
      </c>
      <c r="O217" s="80"/>
      <c r="P217" s="80"/>
      <c r="Q217" s="80"/>
      <c r="R217" s="80"/>
      <c r="S217" s="80"/>
    </row>
    <row r="218" spans="1:20" s="85" customFormat="1" x14ac:dyDescent="0.25">
      <c r="A218" s="94">
        <f t="shared" si="26"/>
        <v>1.747117915139188</v>
      </c>
      <c r="B218" s="36">
        <f t="shared" si="21"/>
        <v>213</v>
      </c>
      <c r="C218" s="24" t="s">
        <v>545</v>
      </c>
      <c r="D218" s="24" t="s">
        <v>156</v>
      </c>
      <c r="E218" s="24" t="s">
        <v>157</v>
      </c>
      <c r="F218" s="24" t="s">
        <v>158</v>
      </c>
      <c r="G218" s="80"/>
      <c r="H218" s="95">
        <v>213</v>
      </c>
      <c r="I218" s="96">
        <f t="shared" si="22"/>
        <v>1.4559315959493233</v>
      </c>
      <c r="J218" s="95">
        <f t="shared" si="27"/>
        <v>0</v>
      </c>
      <c r="K218" s="95">
        <f t="shared" si="23"/>
        <v>0</v>
      </c>
      <c r="L218" s="95"/>
      <c r="M218" s="97">
        <f t="shared" si="24"/>
        <v>1.4559315959493233</v>
      </c>
      <c r="N218" s="97">
        <f t="shared" si="25"/>
        <v>1.747117915139188</v>
      </c>
      <c r="O218" s="80"/>
      <c r="P218" s="80"/>
      <c r="Q218" s="80"/>
      <c r="R218" s="80"/>
      <c r="S218" s="109"/>
      <c r="T218" s="110"/>
    </row>
    <row r="219" spans="1:20" s="85" customFormat="1" x14ac:dyDescent="0.25">
      <c r="A219" s="98">
        <f t="shared" si="26"/>
        <v>1.6962257583108027</v>
      </c>
      <c r="B219" s="35">
        <f t="shared" si="21"/>
        <v>214</v>
      </c>
      <c r="C219" s="25" t="s">
        <v>546</v>
      </c>
      <c r="D219" s="25" t="s">
        <v>547</v>
      </c>
      <c r="E219" s="25" t="s">
        <v>166</v>
      </c>
      <c r="F219" s="25" t="s">
        <v>158</v>
      </c>
      <c r="G219" s="80"/>
      <c r="H219" s="99">
        <v>214</v>
      </c>
      <c r="I219" s="100">
        <f t="shared" si="22"/>
        <v>1.4135214652590022</v>
      </c>
      <c r="J219" s="99">
        <f t="shared" si="27"/>
        <v>0</v>
      </c>
      <c r="K219" s="99">
        <f t="shared" si="23"/>
        <v>0</v>
      </c>
      <c r="L219" s="99"/>
      <c r="M219" s="101">
        <f t="shared" si="24"/>
        <v>1.4135214652590022</v>
      </c>
      <c r="N219" s="101">
        <f t="shared" si="25"/>
        <v>1.6962257583108027</v>
      </c>
      <c r="O219" s="80"/>
      <c r="P219" s="80"/>
      <c r="Q219" s="80"/>
      <c r="R219" s="80"/>
      <c r="S219" s="80"/>
    </row>
    <row r="220" spans="1:20" s="85" customFormat="1" x14ac:dyDescent="0.25">
      <c r="A220" s="94">
        <f t="shared" si="26"/>
        <v>1.6455708618162845</v>
      </c>
      <c r="B220" s="36">
        <f t="shared" si="21"/>
        <v>215</v>
      </c>
      <c r="C220" s="24" t="s">
        <v>548</v>
      </c>
      <c r="D220" s="24" t="s">
        <v>549</v>
      </c>
      <c r="E220" s="24" t="s">
        <v>161</v>
      </c>
      <c r="F220" s="24" t="s">
        <v>158</v>
      </c>
      <c r="G220" s="80"/>
      <c r="H220" s="95">
        <v>215</v>
      </c>
      <c r="I220" s="96">
        <f t="shared" si="22"/>
        <v>1.3713090515135704</v>
      </c>
      <c r="J220" s="95">
        <f t="shared" si="27"/>
        <v>0</v>
      </c>
      <c r="K220" s="95">
        <f t="shared" si="23"/>
        <v>0</v>
      </c>
      <c r="L220" s="95"/>
      <c r="M220" s="97">
        <f t="shared" si="24"/>
        <v>1.3713090515135704</v>
      </c>
      <c r="N220" s="97">
        <f t="shared" si="25"/>
        <v>1.6455708618162845</v>
      </c>
      <c r="O220" s="80"/>
      <c r="P220" s="80"/>
      <c r="Q220" s="80"/>
      <c r="R220" s="80"/>
      <c r="S220" s="109"/>
      <c r="T220" s="110"/>
    </row>
    <row r="221" spans="1:20" s="85" customFormat="1" x14ac:dyDescent="0.25">
      <c r="A221" s="98">
        <f t="shared" si="26"/>
        <v>1.5951510236916591</v>
      </c>
      <c r="B221" s="35">
        <f t="shared" si="21"/>
        <v>216</v>
      </c>
      <c r="C221" s="25" t="s">
        <v>550</v>
      </c>
      <c r="D221" s="25" t="s">
        <v>551</v>
      </c>
      <c r="E221" s="25" t="s">
        <v>166</v>
      </c>
      <c r="F221" s="25" t="s">
        <v>158</v>
      </c>
      <c r="G221" s="80"/>
      <c r="H221" s="99">
        <v>216</v>
      </c>
      <c r="I221" s="100">
        <f t="shared" si="22"/>
        <v>1.3292925197430492</v>
      </c>
      <c r="J221" s="99">
        <f t="shared" si="27"/>
        <v>0</v>
      </c>
      <c r="K221" s="99">
        <f t="shared" si="23"/>
        <v>0</v>
      </c>
      <c r="L221" s="99"/>
      <c r="M221" s="101">
        <f t="shared" si="24"/>
        <v>1.3292925197430492</v>
      </c>
      <c r="N221" s="101">
        <f t="shared" si="25"/>
        <v>1.5951510236916591</v>
      </c>
      <c r="O221" s="80"/>
      <c r="P221" s="80"/>
      <c r="Q221" s="80"/>
      <c r="R221" s="80"/>
      <c r="S221" s="80"/>
    </row>
    <row r="222" spans="1:20" s="85" customFormat="1" x14ac:dyDescent="0.25">
      <c r="A222" s="94">
        <f t="shared" si="26"/>
        <v>1.5449640724853764</v>
      </c>
      <c r="B222" s="36">
        <f t="shared" si="21"/>
        <v>217</v>
      </c>
      <c r="C222" s="24" t="s">
        <v>552</v>
      </c>
      <c r="D222" s="24" t="s">
        <v>236</v>
      </c>
      <c r="E222" s="24" t="s">
        <v>157</v>
      </c>
      <c r="F222" s="24" t="s">
        <v>158</v>
      </c>
      <c r="G222" s="80"/>
      <c r="H222" s="95">
        <v>217</v>
      </c>
      <c r="I222" s="96">
        <f t="shared" si="22"/>
        <v>1.2874700604044804</v>
      </c>
      <c r="J222" s="95">
        <f t="shared" si="27"/>
        <v>0</v>
      </c>
      <c r="K222" s="95">
        <f t="shared" si="23"/>
        <v>0</v>
      </c>
      <c r="L222" s="95"/>
      <c r="M222" s="97">
        <f t="shared" si="24"/>
        <v>1.2874700604044804</v>
      </c>
      <c r="N222" s="97">
        <f t="shared" si="25"/>
        <v>1.5449640724853764</v>
      </c>
      <c r="O222" s="80"/>
      <c r="P222" s="80"/>
      <c r="Q222" s="80"/>
      <c r="R222" s="80"/>
      <c r="S222" s="109"/>
      <c r="T222" s="110"/>
    </row>
    <row r="223" spans="1:20" s="85" customFormat="1" x14ac:dyDescent="0.25">
      <c r="A223" s="98">
        <f t="shared" si="26"/>
        <v>1.4950078666971733</v>
      </c>
      <c r="B223" s="35">
        <f t="shared" si="21"/>
        <v>218</v>
      </c>
      <c r="C223" s="25" t="s">
        <v>553</v>
      </c>
      <c r="D223" s="25" t="s">
        <v>549</v>
      </c>
      <c r="E223" s="25" t="s">
        <v>161</v>
      </c>
      <c r="F223" s="25" t="s">
        <v>158</v>
      </c>
      <c r="G223" s="80"/>
      <c r="H223" s="99">
        <v>218</v>
      </c>
      <c r="I223" s="100">
        <f t="shared" si="22"/>
        <v>1.2458398889143112</v>
      </c>
      <c r="J223" s="99">
        <f t="shared" si="27"/>
        <v>0</v>
      </c>
      <c r="K223" s="99">
        <f t="shared" si="23"/>
        <v>0</v>
      </c>
      <c r="L223" s="99"/>
      <c r="M223" s="101">
        <f t="shared" si="24"/>
        <v>1.2458398889143112</v>
      </c>
      <c r="N223" s="101">
        <f t="shared" si="25"/>
        <v>1.4950078666971733</v>
      </c>
      <c r="O223" s="80"/>
      <c r="P223" s="80"/>
      <c r="Q223" s="80"/>
      <c r="R223" s="80"/>
      <c r="S223" s="80"/>
    </row>
    <row r="224" spans="1:20" s="85" customFormat="1" x14ac:dyDescent="0.25">
      <c r="A224" s="94">
        <f t="shared" si="26"/>
        <v>1.4452802942297154</v>
      </c>
      <c r="B224" s="36">
        <f t="shared" si="21"/>
        <v>219</v>
      </c>
      <c r="C224" s="24" t="s">
        <v>554</v>
      </c>
      <c r="D224" s="24" t="s">
        <v>555</v>
      </c>
      <c r="E224" s="24" t="s">
        <v>157</v>
      </c>
      <c r="F224" s="24" t="s">
        <v>158</v>
      </c>
      <c r="G224" s="80"/>
      <c r="H224" s="95">
        <v>219</v>
      </c>
      <c r="I224" s="96">
        <f t="shared" si="22"/>
        <v>1.2044002451914295</v>
      </c>
      <c r="J224" s="95">
        <f t="shared" si="27"/>
        <v>0</v>
      </c>
      <c r="K224" s="95">
        <f t="shared" si="23"/>
        <v>0</v>
      </c>
      <c r="L224" s="95"/>
      <c r="M224" s="97">
        <f t="shared" si="24"/>
        <v>1.2044002451914295</v>
      </c>
      <c r="N224" s="97">
        <f t="shared" si="25"/>
        <v>1.4452802942297154</v>
      </c>
      <c r="O224" s="80"/>
      <c r="P224" s="80"/>
      <c r="Q224" s="80"/>
      <c r="R224" s="80"/>
      <c r="S224" s="109"/>
      <c r="T224" s="110"/>
    </row>
    <row r="225" spans="1:20" s="85" customFormat="1" x14ac:dyDescent="0.25">
      <c r="A225" s="98">
        <f t="shared" si="26"/>
        <v>1.3957792718528423</v>
      </c>
      <c r="B225" s="35">
        <f t="shared" si="21"/>
        <v>220</v>
      </c>
      <c r="C225" s="25" t="s">
        <v>556</v>
      </c>
      <c r="D225" s="25" t="s">
        <v>557</v>
      </c>
      <c r="E225" s="25" t="s">
        <v>327</v>
      </c>
      <c r="F225" s="25" t="s">
        <v>158</v>
      </c>
      <c r="G225" s="80"/>
      <c r="H225" s="99">
        <v>220</v>
      </c>
      <c r="I225" s="100">
        <f t="shared" si="22"/>
        <v>1.163149393210702</v>
      </c>
      <c r="J225" s="99">
        <f t="shared" si="27"/>
        <v>0</v>
      </c>
      <c r="K225" s="99">
        <f t="shared" si="23"/>
        <v>0</v>
      </c>
      <c r="L225" s="99"/>
      <c r="M225" s="101">
        <f t="shared" si="24"/>
        <v>1.163149393210702</v>
      </c>
      <c r="N225" s="101">
        <f t="shared" si="25"/>
        <v>1.3957792718528423</v>
      </c>
      <c r="O225" s="80"/>
      <c r="P225" s="80"/>
      <c r="Q225" s="80"/>
      <c r="R225" s="80"/>
      <c r="S225" s="80"/>
    </row>
    <row r="226" spans="1:20" s="85" customFormat="1" x14ac:dyDescent="0.25">
      <c r="A226" s="94">
        <f t="shared" si="26"/>
        <v>1.3465027446798188</v>
      </c>
      <c r="B226" s="36">
        <f t="shared" si="21"/>
        <v>221</v>
      </c>
      <c r="C226" s="24" t="s">
        <v>558</v>
      </c>
      <c r="D226" s="24" t="s">
        <v>559</v>
      </c>
      <c r="E226" s="24" t="s">
        <v>161</v>
      </c>
      <c r="F226" s="24" t="s">
        <v>158</v>
      </c>
      <c r="G226" s="80"/>
      <c r="H226" s="95">
        <v>221</v>
      </c>
      <c r="I226" s="96">
        <f t="shared" si="22"/>
        <v>1.1220856205665157</v>
      </c>
      <c r="J226" s="95">
        <f t="shared" si="27"/>
        <v>0</v>
      </c>
      <c r="K226" s="95">
        <f t="shared" si="23"/>
        <v>0</v>
      </c>
      <c r="L226" s="95"/>
      <c r="M226" s="97">
        <f t="shared" si="24"/>
        <v>1.1220856205665157</v>
      </c>
      <c r="N226" s="97">
        <f t="shared" si="25"/>
        <v>1.3465027446798188</v>
      </c>
      <c r="O226" s="80"/>
      <c r="P226" s="80"/>
      <c r="Q226" s="80"/>
      <c r="R226" s="80"/>
      <c r="S226" s="109"/>
      <c r="T226" s="110"/>
    </row>
    <row r="227" spans="1:20" s="85" customFormat="1" x14ac:dyDescent="0.25">
      <c r="A227" s="98">
        <f t="shared" si="26"/>
        <v>1.2974486856555472</v>
      </c>
      <c r="B227" s="35">
        <f t="shared" si="21"/>
        <v>222</v>
      </c>
      <c r="C227" s="25" t="s">
        <v>560</v>
      </c>
      <c r="D227" s="25" t="s">
        <v>561</v>
      </c>
      <c r="E227" s="25" t="s">
        <v>203</v>
      </c>
      <c r="F227" s="25" t="s">
        <v>158</v>
      </c>
      <c r="G227" s="80"/>
      <c r="H227" s="99">
        <v>222</v>
      </c>
      <c r="I227" s="100">
        <f t="shared" si="22"/>
        <v>1.0812072380462894</v>
      </c>
      <c r="J227" s="99">
        <f t="shared" si="27"/>
        <v>0</v>
      </c>
      <c r="K227" s="99">
        <f t="shared" si="23"/>
        <v>0</v>
      </c>
      <c r="L227" s="99"/>
      <c r="M227" s="101">
        <f t="shared" si="24"/>
        <v>1.0812072380462894</v>
      </c>
      <c r="N227" s="101">
        <f t="shared" si="25"/>
        <v>1.2974486856555472</v>
      </c>
      <c r="O227" s="80"/>
      <c r="P227" s="80"/>
      <c r="Q227" s="80"/>
      <c r="R227" s="80"/>
      <c r="S227" s="80"/>
    </row>
    <row r="228" spans="1:20" s="85" customFormat="1" x14ac:dyDescent="0.25">
      <c r="A228" s="94">
        <f t="shared" si="26"/>
        <v>1.2486150950561807</v>
      </c>
      <c r="B228" s="36">
        <f t="shared" si="21"/>
        <v>223</v>
      </c>
      <c r="C228" s="24" t="s">
        <v>373</v>
      </c>
      <c r="D228" s="24" t="s">
        <v>562</v>
      </c>
      <c r="E228" s="24" t="s">
        <v>219</v>
      </c>
      <c r="F228" s="24" t="s">
        <v>158</v>
      </c>
      <c r="G228" s="80"/>
      <c r="H228" s="95">
        <v>223</v>
      </c>
      <c r="I228" s="96">
        <f t="shared" si="22"/>
        <v>1.0405125792134839</v>
      </c>
      <c r="J228" s="95">
        <f t="shared" si="27"/>
        <v>0</v>
      </c>
      <c r="K228" s="95">
        <f t="shared" si="23"/>
        <v>0</v>
      </c>
      <c r="L228" s="95"/>
      <c r="M228" s="97">
        <f t="shared" si="24"/>
        <v>1.0405125792134839</v>
      </c>
      <c r="N228" s="97">
        <f t="shared" si="25"/>
        <v>1.2486150950561807</v>
      </c>
      <c r="O228" s="80"/>
      <c r="P228" s="80"/>
      <c r="Q228" s="80"/>
      <c r="R228" s="80"/>
      <c r="S228" s="109"/>
      <c r="T228" s="110"/>
    </row>
    <row r="229" spans="1:20" s="85" customFormat="1" ht="25.85" x14ac:dyDescent="0.25">
      <c r="A229" s="98">
        <f t="shared" si="26"/>
        <v>1.2</v>
      </c>
      <c r="B229" s="35">
        <f t="shared" si="21"/>
        <v>224</v>
      </c>
      <c r="C229" s="25" t="s">
        <v>563</v>
      </c>
      <c r="D229" s="25" t="s">
        <v>564</v>
      </c>
      <c r="E229" s="25" t="s">
        <v>161</v>
      </c>
      <c r="F229" s="25" t="s">
        <v>158</v>
      </c>
      <c r="G229" s="80"/>
      <c r="H229" s="99">
        <v>224</v>
      </c>
      <c r="I229" s="100">
        <f t="shared" si="22"/>
        <v>1</v>
      </c>
      <c r="J229" s="99">
        <f t="shared" si="27"/>
        <v>0</v>
      </c>
      <c r="K229" s="99">
        <f t="shared" si="23"/>
        <v>0</v>
      </c>
      <c r="L229" s="99"/>
      <c r="M229" s="101">
        <f t="shared" si="24"/>
        <v>1</v>
      </c>
      <c r="N229" s="101">
        <f t="shared" si="25"/>
        <v>1.2</v>
      </c>
      <c r="O229" s="80"/>
      <c r="P229" s="80"/>
      <c r="Q229" s="80"/>
      <c r="R229" s="80"/>
      <c r="S229" s="80"/>
    </row>
    <row r="230" spans="1:20" s="85" customFormat="1" x14ac:dyDescent="0.25">
      <c r="A230" s="94">
        <f t="shared" si="26"/>
        <v>0</v>
      </c>
      <c r="B230" s="36" t="str">
        <f t="shared" ref="B230:B250" si="28">IF(H230&gt;$H$2,"",(ROW()-5))</f>
        <v/>
      </c>
      <c r="C230" s="24" t="s">
        <v>95</v>
      </c>
      <c r="D230" s="24"/>
      <c r="E230" s="24"/>
      <c r="F230" s="24"/>
      <c r="G230" s="80"/>
      <c r="H230" s="95">
        <v>225</v>
      </c>
      <c r="I230" s="96" t="str">
        <f t="shared" si="22"/>
        <v/>
      </c>
      <c r="J230" s="95">
        <f t="shared" si="27"/>
        <v>0</v>
      </c>
      <c r="K230" s="95">
        <f t="shared" si="23"/>
        <v>0</v>
      </c>
      <c r="L230" s="95"/>
      <c r="M230" s="97">
        <f t="shared" si="24"/>
        <v>0</v>
      </c>
      <c r="N230" s="97">
        <f t="shared" si="25"/>
        <v>0</v>
      </c>
      <c r="O230" s="80"/>
      <c r="P230" s="80"/>
      <c r="Q230" s="80"/>
      <c r="R230" s="80"/>
      <c r="S230" s="109"/>
      <c r="T230" s="110"/>
    </row>
    <row r="231" spans="1:20" s="85" customFormat="1" x14ac:dyDescent="0.25">
      <c r="A231" s="98">
        <f t="shared" si="26"/>
        <v>0</v>
      </c>
      <c r="B231" s="35" t="str">
        <f t="shared" si="28"/>
        <v/>
      </c>
      <c r="C231" s="25" t="s">
        <v>95</v>
      </c>
      <c r="D231" s="25"/>
      <c r="E231" s="25"/>
      <c r="F231" s="25"/>
      <c r="G231" s="80"/>
      <c r="H231" s="99">
        <v>226</v>
      </c>
      <c r="I231" s="100" t="str">
        <f t="shared" si="22"/>
        <v/>
      </c>
      <c r="J231" s="99">
        <f t="shared" si="27"/>
        <v>0</v>
      </c>
      <c r="K231" s="99">
        <f t="shared" si="23"/>
        <v>0</v>
      </c>
      <c r="L231" s="99"/>
      <c r="M231" s="101">
        <f t="shared" si="24"/>
        <v>0</v>
      </c>
      <c r="N231" s="101">
        <f t="shared" si="25"/>
        <v>0</v>
      </c>
      <c r="O231" s="80"/>
      <c r="P231" s="80"/>
      <c r="Q231" s="80"/>
      <c r="R231" s="80"/>
      <c r="S231" s="80"/>
    </row>
    <row r="232" spans="1:20" s="85" customFormat="1" x14ac:dyDescent="0.25">
      <c r="A232" s="94">
        <f t="shared" si="26"/>
        <v>0</v>
      </c>
      <c r="B232" s="36" t="str">
        <f t="shared" si="28"/>
        <v/>
      </c>
      <c r="C232" s="24" t="s">
        <v>95</v>
      </c>
      <c r="D232" s="24"/>
      <c r="E232" s="24"/>
      <c r="F232" s="24"/>
      <c r="G232" s="80"/>
      <c r="H232" s="95">
        <v>227</v>
      </c>
      <c r="I232" s="96" t="str">
        <f t="shared" si="22"/>
        <v/>
      </c>
      <c r="J232" s="95">
        <f t="shared" si="27"/>
        <v>0</v>
      </c>
      <c r="K232" s="95">
        <f t="shared" si="23"/>
        <v>0</v>
      </c>
      <c r="L232" s="95"/>
      <c r="M232" s="97">
        <f t="shared" si="24"/>
        <v>0</v>
      </c>
      <c r="N232" s="97">
        <f t="shared" si="25"/>
        <v>0</v>
      </c>
      <c r="O232" s="80"/>
      <c r="P232" s="80"/>
      <c r="Q232" s="80"/>
      <c r="R232" s="80"/>
      <c r="S232" s="109"/>
      <c r="T232" s="110"/>
    </row>
    <row r="233" spans="1:20" s="85" customFormat="1" x14ac:dyDescent="0.25">
      <c r="A233" s="98">
        <f t="shared" si="26"/>
        <v>0</v>
      </c>
      <c r="B233" s="35" t="str">
        <f t="shared" si="28"/>
        <v/>
      </c>
      <c r="C233" s="25" t="s">
        <v>95</v>
      </c>
      <c r="D233" s="25"/>
      <c r="E233" s="25"/>
      <c r="F233" s="25"/>
      <c r="G233" s="80"/>
      <c r="H233" s="99">
        <v>228</v>
      </c>
      <c r="I233" s="100" t="str">
        <f t="shared" si="22"/>
        <v/>
      </c>
      <c r="J233" s="99">
        <f t="shared" si="27"/>
        <v>0</v>
      </c>
      <c r="K233" s="99">
        <f t="shared" si="23"/>
        <v>0</v>
      </c>
      <c r="L233" s="99"/>
      <c r="M233" s="101">
        <f t="shared" si="24"/>
        <v>0</v>
      </c>
      <c r="N233" s="101">
        <f t="shared" si="25"/>
        <v>0</v>
      </c>
      <c r="O233" s="80"/>
      <c r="P233" s="80"/>
      <c r="Q233" s="80"/>
      <c r="R233" s="80"/>
      <c r="S233" s="80"/>
    </row>
    <row r="234" spans="1:20" s="85" customFormat="1" x14ac:dyDescent="0.25">
      <c r="A234" s="94">
        <f t="shared" si="26"/>
        <v>0</v>
      </c>
      <c r="B234" s="36" t="str">
        <f t="shared" si="28"/>
        <v/>
      </c>
      <c r="C234" s="24" t="s">
        <v>95</v>
      </c>
      <c r="D234" s="24"/>
      <c r="E234" s="24"/>
      <c r="F234" s="24"/>
      <c r="G234" s="80"/>
      <c r="H234" s="95">
        <v>229</v>
      </c>
      <c r="I234" s="96" t="str">
        <f t="shared" si="22"/>
        <v/>
      </c>
      <c r="J234" s="95">
        <f t="shared" si="27"/>
        <v>0</v>
      </c>
      <c r="K234" s="95">
        <f t="shared" si="23"/>
        <v>0</v>
      </c>
      <c r="L234" s="95"/>
      <c r="M234" s="97">
        <f t="shared" si="24"/>
        <v>0</v>
      </c>
      <c r="N234" s="97">
        <f t="shared" si="25"/>
        <v>0</v>
      </c>
      <c r="O234" s="80"/>
      <c r="P234" s="80"/>
      <c r="Q234" s="80"/>
      <c r="R234" s="80"/>
      <c r="S234" s="109"/>
      <c r="T234" s="110"/>
    </row>
    <row r="235" spans="1:20" s="85" customFormat="1" x14ac:dyDescent="0.25">
      <c r="A235" s="98">
        <f t="shared" si="26"/>
        <v>0</v>
      </c>
      <c r="B235" s="35" t="str">
        <f t="shared" si="28"/>
        <v/>
      </c>
      <c r="C235" s="25" t="s">
        <v>95</v>
      </c>
      <c r="D235" s="25"/>
      <c r="E235" s="25"/>
      <c r="F235" s="25"/>
      <c r="G235" s="80"/>
      <c r="H235" s="99">
        <v>230</v>
      </c>
      <c r="I235" s="100" t="str">
        <f t="shared" si="22"/>
        <v/>
      </c>
      <c r="J235" s="99">
        <f t="shared" si="27"/>
        <v>0</v>
      </c>
      <c r="K235" s="99">
        <f t="shared" si="23"/>
        <v>0</v>
      </c>
      <c r="L235" s="99"/>
      <c r="M235" s="101">
        <f t="shared" si="24"/>
        <v>0</v>
      </c>
      <c r="N235" s="101">
        <f t="shared" si="25"/>
        <v>0</v>
      </c>
      <c r="O235" s="80"/>
      <c r="P235" s="80"/>
      <c r="Q235" s="80"/>
      <c r="R235" s="80"/>
      <c r="S235" s="80"/>
    </row>
    <row r="236" spans="1:20" s="85" customFormat="1" x14ac:dyDescent="0.25">
      <c r="A236" s="94">
        <f t="shared" si="26"/>
        <v>0</v>
      </c>
      <c r="B236" s="36" t="str">
        <f t="shared" si="28"/>
        <v/>
      </c>
      <c r="C236" s="24" t="s">
        <v>95</v>
      </c>
      <c r="D236" s="24"/>
      <c r="E236" s="24"/>
      <c r="F236" s="24"/>
      <c r="G236" s="80"/>
      <c r="H236" s="95">
        <v>231</v>
      </c>
      <c r="I236" s="96" t="str">
        <f t="shared" si="22"/>
        <v/>
      </c>
      <c r="J236" s="95">
        <f t="shared" si="27"/>
        <v>0</v>
      </c>
      <c r="K236" s="95">
        <f t="shared" si="23"/>
        <v>0</v>
      </c>
      <c r="L236" s="95"/>
      <c r="M236" s="97">
        <f t="shared" si="24"/>
        <v>0</v>
      </c>
      <c r="N236" s="97">
        <f t="shared" si="25"/>
        <v>0</v>
      </c>
      <c r="O236" s="80"/>
      <c r="P236" s="80"/>
      <c r="Q236" s="80"/>
      <c r="R236" s="80"/>
      <c r="S236" s="109"/>
      <c r="T236" s="110"/>
    </row>
    <row r="237" spans="1:20" s="85" customFormat="1" x14ac:dyDescent="0.25">
      <c r="A237" s="98">
        <f t="shared" si="26"/>
        <v>0</v>
      </c>
      <c r="B237" s="35" t="str">
        <f t="shared" si="28"/>
        <v/>
      </c>
      <c r="C237" s="25" t="s">
        <v>95</v>
      </c>
      <c r="D237" s="25"/>
      <c r="E237" s="25"/>
      <c r="F237" s="25"/>
      <c r="G237" s="80"/>
      <c r="H237" s="99">
        <v>232</v>
      </c>
      <c r="I237" s="100" t="str">
        <f t="shared" si="22"/>
        <v/>
      </c>
      <c r="J237" s="99">
        <f t="shared" si="27"/>
        <v>0</v>
      </c>
      <c r="K237" s="99">
        <f t="shared" si="23"/>
        <v>0</v>
      </c>
      <c r="L237" s="99"/>
      <c r="M237" s="101">
        <f t="shared" si="24"/>
        <v>0</v>
      </c>
      <c r="N237" s="101">
        <f t="shared" si="25"/>
        <v>0</v>
      </c>
      <c r="O237" s="80"/>
      <c r="P237" s="80"/>
      <c r="Q237" s="80"/>
      <c r="R237" s="80"/>
      <c r="S237" s="80"/>
    </row>
    <row r="238" spans="1:20" s="85" customFormat="1" x14ac:dyDescent="0.25">
      <c r="A238" s="94">
        <f t="shared" si="26"/>
        <v>0</v>
      </c>
      <c r="B238" s="36" t="str">
        <f t="shared" si="28"/>
        <v/>
      </c>
      <c r="C238" s="24" t="s">
        <v>95</v>
      </c>
      <c r="D238" s="24"/>
      <c r="E238" s="24"/>
      <c r="F238" s="24"/>
      <c r="G238" s="80"/>
      <c r="H238" s="95">
        <v>233</v>
      </c>
      <c r="I238" s="96" t="str">
        <f t="shared" si="22"/>
        <v/>
      </c>
      <c r="J238" s="95">
        <f t="shared" si="27"/>
        <v>0</v>
      </c>
      <c r="K238" s="95">
        <f t="shared" si="23"/>
        <v>0</v>
      </c>
      <c r="L238" s="95"/>
      <c r="M238" s="97">
        <f t="shared" si="24"/>
        <v>0</v>
      </c>
      <c r="N238" s="97">
        <f t="shared" si="25"/>
        <v>0</v>
      </c>
      <c r="O238" s="80"/>
      <c r="P238" s="80"/>
      <c r="Q238" s="80"/>
      <c r="R238" s="80"/>
      <c r="S238" s="109"/>
      <c r="T238" s="110"/>
    </row>
    <row r="239" spans="1:20" s="85" customFormat="1" x14ac:dyDescent="0.25">
      <c r="A239" s="98">
        <f t="shared" si="26"/>
        <v>0</v>
      </c>
      <c r="B239" s="35" t="str">
        <f t="shared" si="28"/>
        <v/>
      </c>
      <c r="C239" s="25" t="s">
        <v>95</v>
      </c>
      <c r="D239" s="25"/>
      <c r="E239" s="25"/>
      <c r="F239" s="25"/>
      <c r="G239" s="80"/>
      <c r="H239" s="99">
        <v>234</v>
      </c>
      <c r="I239" s="100" t="str">
        <f t="shared" si="22"/>
        <v/>
      </c>
      <c r="J239" s="99">
        <f t="shared" si="27"/>
        <v>0</v>
      </c>
      <c r="K239" s="99">
        <f t="shared" si="23"/>
        <v>0</v>
      </c>
      <c r="L239" s="99"/>
      <c r="M239" s="101">
        <f t="shared" si="24"/>
        <v>0</v>
      </c>
      <c r="N239" s="101">
        <f t="shared" si="25"/>
        <v>0</v>
      </c>
      <c r="O239" s="80"/>
      <c r="P239" s="80"/>
      <c r="Q239" s="80"/>
      <c r="R239" s="80"/>
      <c r="S239" s="80"/>
    </row>
    <row r="240" spans="1:20" s="85" customFormat="1" x14ac:dyDescent="0.25">
      <c r="A240" s="94">
        <f t="shared" si="26"/>
        <v>0</v>
      </c>
      <c r="B240" s="36" t="str">
        <f t="shared" si="28"/>
        <v/>
      </c>
      <c r="C240" s="24" t="s">
        <v>95</v>
      </c>
      <c r="D240" s="24"/>
      <c r="E240" s="24"/>
      <c r="F240" s="24"/>
      <c r="G240" s="80"/>
      <c r="H240" s="95">
        <v>235</v>
      </c>
      <c r="I240" s="96" t="str">
        <f t="shared" si="22"/>
        <v/>
      </c>
      <c r="J240" s="95">
        <f t="shared" si="27"/>
        <v>0</v>
      </c>
      <c r="K240" s="95">
        <f t="shared" si="23"/>
        <v>0</v>
      </c>
      <c r="L240" s="95"/>
      <c r="M240" s="97">
        <f t="shared" si="24"/>
        <v>0</v>
      </c>
      <c r="N240" s="97">
        <f t="shared" si="25"/>
        <v>0</v>
      </c>
      <c r="O240" s="80"/>
      <c r="P240" s="80"/>
      <c r="Q240" s="80"/>
      <c r="R240" s="80"/>
      <c r="S240" s="109"/>
      <c r="T240" s="110"/>
    </row>
    <row r="241" spans="1:20" s="85" customFormat="1" x14ac:dyDescent="0.25">
      <c r="A241" s="98">
        <f t="shared" si="26"/>
        <v>0</v>
      </c>
      <c r="B241" s="35" t="str">
        <f t="shared" si="28"/>
        <v/>
      </c>
      <c r="C241" s="25" t="s">
        <v>95</v>
      </c>
      <c r="D241" s="25"/>
      <c r="E241" s="25"/>
      <c r="F241" s="25"/>
      <c r="G241" s="80"/>
      <c r="H241" s="99">
        <v>236</v>
      </c>
      <c r="I241" s="100" t="str">
        <f t="shared" si="22"/>
        <v/>
      </c>
      <c r="J241" s="99">
        <f t="shared" si="27"/>
        <v>0</v>
      </c>
      <c r="K241" s="99">
        <f t="shared" si="23"/>
        <v>0</v>
      </c>
      <c r="L241" s="99"/>
      <c r="M241" s="101">
        <f t="shared" si="24"/>
        <v>0</v>
      </c>
      <c r="N241" s="101">
        <f t="shared" si="25"/>
        <v>0</v>
      </c>
      <c r="O241" s="80"/>
      <c r="P241" s="80"/>
      <c r="Q241" s="80"/>
      <c r="R241" s="80"/>
      <c r="S241" s="80"/>
    </row>
    <row r="242" spans="1:20" s="85" customFormat="1" x14ac:dyDescent="0.25">
      <c r="A242" s="94">
        <f t="shared" si="26"/>
        <v>0</v>
      </c>
      <c r="B242" s="36" t="str">
        <f t="shared" si="28"/>
        <v/>
      </c>
      <c r="C242" s="24" t="s">
        <v>95</v>
      </c>
      <c r="D242" s="24"/>
      <c r="E242" s="24"/>
      <c r="F242" s="24"/>
      <c r="G242" s="80"/>
      <c r="H242" s="95">
        <v>237</v>
      </c>
      <c r="I242" s="96" t="str">
        <f t="shared" si="22"/>
        <v/>
      </c>
      <c r="J242" s="95">
        <f t="shared" si="27"/>
        <v>0</v>
      </c>
      <c r="K242" s="95">
        <f t="shared" si="23"/>
        <v>0</v>
      </c>
      <c r="L242" s="95"/>
      <c r="M242" s="97">
        <f t="shared" si="24"/>
        <v>0</v>
      </c>
      <c r="N242" s="97">
        <f t="shared" si="25"/>
        <v>0</v>
      </c>
      <c r="O242" s="80"/>
      <c r="P242" s="80"/>
      <c r="Q242" s="80"/>
      <c r="R242" s="80"/>
      <c r="S242" s="109"/>
      <c r="T242" s="110"/>
    </row>
    <row r="243" spans="1:20" s="85" customFormat="1" x14ac:dyDescent="0.25">
      <c r="A243" s="98">
        <f t="shared" si="26"/>
        <v>0</v>
      </c>
      <c r="B243" s="35" t="str">
        <f t="shared" si="28"/>
        <v/>
      </c>
      <c r="C243" s="25" t="s">
        <v>95</v>
      </c>
      <c r="D243" s="25"/>
      <c r="E243" s="25"/>
      <c r="F243" s="25"/>
      <c r="G243" s="80"/>
      <c r="H243" s="99">
        <v>238</v>
      </c>
      <c r="I243" s="100" t="str">
        <f t="shared" si="22"/>
        <v/>
      </c>
      <c r="J243" s="99">
        <f t="shared" si="27"/>
        <v>0</v>
      </c>
      <c r="K243" s="99">
        <f t="shared" si="23"/>
        <v>0</v>
      </c>
      <c r="L243" s="99"/>
      <c r="M243" s="101">
        <f t="shared" si="24"/>
        <v>0</v>
      </c>
      <c r="N243" s="101">
        <f t="shared" si="25"/>
        <v>0</v>
      </c>
      <c r="O243" s="80"/>
      <c r="P243" s="80"/>
      <c r="Q243" s="80"/>
      <c r="R243" s="80"/>
      <c r="S243" s="80"/>
    </row>
    <row r="244" spans="1:20" s="85" customFormat="1" x14ac:dyDescent="0.25">
      <c r="A244" s="94">
        <f t="shared" si="26"/>
        <v>0</v>
      </c>
      <c r="B244" s="36" t="str">
        <f t="shared" si="28"/>
        <v/>
      </c>
      <c r="C244" s="24" t="s">
        <v>95</v>
      </c>
      <c r="D244" s="24"/>
      <c r="E244" s="24"/>
      <c r="F244" s="24"/>
      <c r="G244" s="80"/>
      <c r="H244" s="95">
        <v>239</v>
      </c>
      <c r="I244" s="96" t="str">
        <f t="shared" si="22"/>
        <v/>
      </c>
      <c r="J244" s="95">
        <f t="shared" si="27"/>
        <v>0</v>
      </c>
      <c r="K244" s="95">
        <f t="shared" si="23"/>
        <v>0</v>
      </c>
      <c r="L244" s="95"/>
      <c r="M244" s="97">
        <f t="shared" si="24"/>
        <v>0</v>
      </c>
      <c r="N244" s="97">
        <f t="shared" si="25"/>
        <v>0</v>
      </c>
      <c r="O244" s="80"/>
      <c r="P244" s="80"/>
      <c r="Q244" s="80"/>
      <c r="R244" s="80"/>
      <c r="S244" s="109"/>
      <c r="T244" s="110"/>
    </row>
    <row r="245" spans="1:20" s="85" customFormat="1" x14ac:dyDescent="0.25">
      <c r="A245" s="98">
        <f t="shared" si="26"/>
        <v>0</v>
      </c>
      <c r="B245" s="35" t="str">
        <f t="shared" si="28"/>
        <v/>
      </c>
      <c r="C245" s="25" t="s">
        <v>95</v>
      </c>
      <c r="D245" s="25"/>
      <c r="E245" s="25"/>
      <c r="F245" s="25"/>
      <c r="G245" s="80"/>
      <c r="H245" s="99">
        <v>240</v>
      </c>
      <c r="I245" s="100" t="str">
        <f t="shared" si="22"/>
        <v/>
      </c>
      <c r="J245" s="99">
        <f t="shared" si="27"/>
        <v>0</v>
      </c>
      <c r="K245" s="99">
        <f t="shared" si="23"/>
        <v>0</v>
      </c>
      <c r="L245" s="99"/>
      <c r="M245" s="101">
        <f t="shared" si="24"/>
        <v>0</v>
      </c>
      <c r="N245" s="101">
        <f t="shared" si="25"/>
        <v>0</v>
      </c>
      <c r="O245" s="80"/>
      <c r="P245" s="80"/>
      <c r="Q245" s="80"/>
      <c r="R245" s="80"/>
      <c r="S245" s="80"/>
    </row>
    <row r="246" spans="1:20" s="85" customFormat="1" x14ac:dyDescent="0.25">
      <c r="A246" s="94">
        <f t="shared" si="26"/>
        <v>0</v>
      </c>
      <c r="B246" s="36" t="str">
        <f t="shared" si="28"/>
        <v/>
      </c>
      <c r="C246" s="24" t="s">
        <v>95</v>
      </c>
      <c r="D246" s="24"/>
      <c r="E246" s="24"/>
      <c r="F246" s="24"/>
      <c r="G246" s="80"/>
      <c r="H246" s="95">
        <v>241</v>
      </c>
      <c r="I246" s="96" t="str">
        <f t="shared" si="22"/>
        <v/>
      </c>
      <c r="J246" s="95">
        <f t="shared" si="27"/>
        <v>0</v>
      </c>
      <c r="K246" s="95">
        <f t="shared" si="23"/>
        <v>0</v>
      </c>
      <c r="L246" s="95"/>
      <c r="M246" s="97">
        <f t="shared" si="24"/>
        <v>0</v>
      </c>
      <c r="N246" s="97">
        <f t="shared" si="25"/>
        <v>0</v>
      </c>
      <c r="O246" s="80"/>
      <c r="P246" s="80"/>
      <c r="Q246" s="80"/>
      <c r="R246" s="80"/>
      <c r="S246" s="109"/>
      <c r="T246" s="110"/>
    </row>
    <row r="247" spans="1:20" s="85" customFormat="1" x14ac:dyDescent="0.25">
      <c r="A247" s="98">
        <f t="shared" si="26"/>
        <v>0</v>
      </c>
      <c r="B247" s="35" t="str">
        <f t="shared" si="28"/>
        <v/>
      </c>
      <c r="C247" s="25" t="s">
        <v>95</v>
      </c>
      <c r="D247" s="25"/>
      <c r="E247" s="25"/>
      <c r="F247" s="25"/>
      <c r="G247" s="80"/>
      <c r="H247" s="99">
        <v>242</v>
      </c>
      <c r="I247" s="100" t="str">
        <f t="shared" si="22"/>
        <v/>
      </c>
      <c r="J247" s="99">
        <f t="shared" si="27"/>
        <v>0</v>
      </c>
      <c r="K247" s="99">
        <f t="shared" si="23"/>
        <v>0</v>
      </c>
      <c r="L247" s="99"/>
      <c r="M247" s="101">
        <f t="shared" si="24"/>
        <v>0</v>
      </c>
      <c r="N247" s="101">
        <f t="shared" si="25"/>
        <v>0</v>
      </c>
      <c r="O247" s="80"/>
      <c r="P247" s="80"/>
      <c r="Q247" s="80"/>
      <c r="R247" s="80"/>
      <c r="S247" s="80"/>
    </row>
    <row r="248" spans="1:20" s="85" customFormat="1" x14ac:dyDescent="0.25">
      <c r="A248" s="94">
        <f t="shared" si="26"/>
        <v>0</v>
      </c>
      <c r="B248" s="36" t="str">
        <f t="shared" si="28"/>
        <v/>
      </c>
      <c r="C248" s="24" t="s">
        <v>95</v>
      </c>
      <c r="D248" s="24"/>
      <c r="E248" s="24"/>
      <c r="F248" s="24"/>
      <c r="G248" s="80"/>
      <c r="H248" s="95">
        <v>243</v>
      </c>
      <c r="I248" s="96" t="str">
        <f t="shared" si="22"/>
        <v/>
      </c>
      <c r="J248" s="95">
        <f t="shared" si="27"/>
        <v>0</v>
      </c>
      <c r="K248" s="95">
        <f t="shared" si="23"/>
        <v>0</v>
      </c>
      <c r="L248" s="95"/>
      <c r="M248" s="97">
        <f t="shared" si="24"/>
        <v>0</v>
      </c>
      <c r="N248" s="97">
        <f t="shared" si="25"/>
        <v>0</v>
      </c>
      <c r="O248" s="80"/>
      <c r="P248" s="80"/>
      <c r="Q248" s="80"/>
      <c r="R248" s="80"/>
      <c r="S248" s="109"/>
      <c r="T248" s="110"/>
    </row>
    <row r="249" spans="1:20" s="85" customFormat="1" x14ac:dyDescent="0.25">
      <c r="A249" s="98">
        <f t="shared" si="26"/>
        <v>0</v>
      </c>
      <c r="B249" s="35" t="str">
        <f t="shared" si="28"/>
        <v/>
      </c>
      <c r="C249" s="25" t="s">
        <v>95</v>
      </c>
      <c r="D249" s="25"/>
      <c r="E249" s="25"/>
      <c r="F249" s="25"/>
      <c r="G249" s="80"/>
      <c r="H249" s="99">
        <v>244</v>
      </c>
      <c r="I249" s="100" t="str">
        <f t="shared" si="22"/>
        <v/>
      </c>
      <c r="J249" s="99">
        <f t="shared" si="27"/>
        <v>0</v>
      </c>
      <c r="K249" s="99">
        <f t="shared" si="23"/>
        <v>0</v>
      </c>
      <c r="L249" s="99"/>
      <c r="M249" s="101">
        <f t="shared" si="24"/>
        <v>0</v>
      </c>
      <c r="N249" s="101">
        <f t="shared" si="25"/>
        <v>0</v>
      </c>
      <c r="O249" s="80"/>
      <c r="P249" s="80"/>
      <c r="Q249" s="80"/>
      <c r="R249" s="80"/>
      <c r="S249" s="80"/>
    </row>
    <row r="250" spans="1:20" s="85" customFormat="1" x14ac:dyDescent="0.25">
      <c r="A250" s="94">
        <f t="shared" si="26"/>
        <v>0</v>
      </c>
      <c r="B250" s="36" t="str">
        <f t="shared" si="28"/>
        <v/>
      </c>
      <c r="C250" s="24" t="s">
        <v>95</v>
      </c>
      <c r="D250" s="24"/>
      <c r="E250" s="24"/>
      <c r="F250" s="24"/>
      <c r="G250" s="80"/>
      <c r="H250" s="95">
        <v>245</v>
      </c>
      <c r="I250" s="96" t="str">
        <f t="shared" si="22"/>
        <v/>
      </c>
      <c r="J250" s="95">
        <f t="shared" si="27"/>
        <v>0</v>
      </c>
      <c r="K250" s="95">
        <f t="shared" si="23"/>
        <v>0</v>
      </c>
      <c r="L250" s="95"/>
      <c r="M250" s="97">
        <f t="shared" si="24"/>
        <v>0</v>
      </c>
      <c r="N250" s="97">
        <f t="shared" si="25"/>
        <v>0</v>
      </c>
      <c r="O250" s="80"/>
      <c r="P250" s="80"/>
      <c r="Q250" s="80"/>
      <c r="R250" s="80"/>
      <c r="S250" s="109"/>
      <c r="T250" s="110"/>
    </row>
    <row r="251" spans="1:20" x14ac:dyDescent="0.25">
      <c r="A251" s="98">
        <f t="shared" si="26"/>
        <v>0</v>
      </c>
      <c r="G251" s="80"/>
      <c r="H251" s="95">
        <v>246</v>
      </c>
      <c r="I251" s="96" t="str">
        <f t="shared" si="22"/>
        <v/>
      </c>
      <c r="J251" s="95">
        <f t="shared" si="27"/>
        <v>0</v>
      </c>
      <c r="K251" s="95">
        <f t="shared" si="23"/>
        <v>0</v>
      </c>
      <c r="L251" s="95"/>
      <c r="M251" s="97">
        <f t="shared" si="24"/>
        <v>0</v>
      </c>
      <c r="N251" s="97">
        <f t="shared" si="25"/>
        <v>0</v>
      </c>
    </row>
    <row r="252" spans="1:20" x14ac:dyDescent="0.25">
      <c r="A252" s="94">
        <f t="shared" si="26"/>
        <v>0</v>
      </c>
      <c r="G252" s="80"/>
      <c r="H252" s="95">
        <v>247</v>
      </c>
      <c r="I252" s="96" t="str">
        <f t="shared" si="22"/>
        <v/>
      </c>
      <c r="J252" s="95">
        <f t="shared" si="27"/>
        <v>0</v>
      </c>
      <c r="K252" s="95">
        <f t="shared" si="23"/>
        <v>0</v>
      </c>
      <c r="L252" s="95"/>
      <c r="M252" s="97">
        <f t="shared" si="24"/>
        <v>0</v>
      </c>
      <c r="N252" s="97">
        <f t="shared" si="25"/>
        <v>0</v>
      </c>
    </row>
    <row r="253" spans="1:20" x14ac:dyDescent="0.25">
      <c r="A253" s="98">
        <f t="shared" si="26"/>
        <v>0</v>
      </c>
      <c r="G253" s="80"/>
      <c r="H253" s="95">
        <v>248</v>
      </c>
      <c r="I253" s="96" t="str">
        <f t="shared" si="22"/>
        <v/>
      </c>
      <c r="J253" s="95">
        <f t="shared" si="27"/>
        <v>0</v>
      </c>
      <c r="K253" s="95">
        <f t="shared" si="23"/>
        <v>0</v>
      </c>
      <c r="L253" s="95"/>
      <c r="M253" s="97">
        <f t="shared" si="24"/>
        <v>0</v>
      </c>
      <c r="N253" s="97">
        <f t="shared" si="25"/>
        <v>0</v>
      </c>
    </row>
    <row r="254" spans="1:20" x14ac:dyDescent="0.25">
      <c r="A254" s="94">
        <f t="shared" si="26"/>
        <v>0</v>
      </c>
      <c r="G254" s="80"/>
      <c r="H254" s="95">
        <v>249</v>
      </c>
      <c r="I254" s="96" t="str">
        <f t="shared" si="22"/>
        <v/>
      </c>
      <c r="J254" s="95">
        <f t="shared" si="27"/>
        <v>0</v>
      </c>
      <c r="K254" s="95">
        <f t="shared" si="23"/>
        <v>0</v>
      </c>
      <c r="L254" s="95"/>
      <c r="M254" s="97">
        <f t="shared" si="24"/>
        <v>0</v>
      </c>
      <c r="N254" s="97">
        <f t="shared" si="25"/>
        <v>0</v>
      </c>
    </row>
    <row r="255" spans="1:20" x14ac:dyDescent="0.25">
      <c r="A255" s="98">
        <f t="shared" si="26"/>
        <v>0</v>
      </c>
      <c r="G255" s="80"/>
      <c r="H255" s="95">
        <v>250</v>
      </c>
      <c r="I255" s="96" t="str">
        <f t="shared" si="22"/>
        <v/>
      </c>
      <c r="J255" s="95">
        <f t="shared" si="27"/>
        <v>0</v>
      </c>
      <c r="K255" s="95">
        <f t="shared" si="23"/>
        <v>0</v>
      </c>
      <c r="L255" s="95"/>
      <c r="M255" s="97">
        <f t="shared" si="24"/>
        <v>0</v>
      </c>
      <c r="N255" s="97">
        <f t="shared" si="25"/>
        <v>0</v>
      </c>
    </row>
    <row r="256" spans="1:20" x14ac:dyDescent="0.25">
      <c r="A256" s="94">
        <f t="shared" si="26"/>
        <v>0</v>
      </c>
      <c r="G256" s="80"/>
      <c r="H256" s="95">
        <v>251</v>
      </c>
      <c r="I256" s="96" t="str">
        <f t="shared" si="22"/>
        <v/>
      </c>
      <c r="J256" s="95">
        <f t="shared" si="27"/>
        <v>0</v>
      </c>
      <c r="K256" s="95">
        <f t="shared" si="23"/>
        <v>0</v>
      </c>
      <c r="L256" s="95"/>
      <c r="M256" s="97">
        <f t="shared" si="24"/>
        <v>0</v>
      </c>
      <c r="N256" s="97">
        <f t="shared" si="25"/>
        <v>0</v>
      </c>
    </row>
    <row r="257" spans="1:14" x14ac:dyDescent="0.25">
      <c r="A257" s="98">
        <f t="shared" si="26"/>
        <v>0</v>
      </c>
      <c r="G257" s="80"/>
      <c r="H257" s="95">
        <v>252</v>
      </c>
      <c r="I257" s="96" t="str">
        <f t="shared" si="22"/>
        <v/>
      </c>
      <c r="J257" s="95">
        <f t="shared" si="27"/>
        <v>0</v>
      </c>
      <c r="K257" s="95">
        <f t="shared" si="23"/>
        <v>0</v>
      </c>
      <c r="L257" s="95"/>
      <c r="M257" s="97">
        <f t="shared" si="24"/>
        <v>0</v>
      </c>
      <c r="N257" s="97">
        <f t="shared" si="25"/>
        <v>0</v>
      </c>
    </row>
    <row r="258" spans="1:14" x14ac:dyDescent="0.25">
      <c r="A258" s="94">
        <f t="shared" si="26"/>
        <v>0</v>
      </c>
      <c r="G258" s="80"/>
      <c r="H258" s="95">
        <v>253</v>
      </c>
      <c r="I258" s="96" t="str">
        <f t="shared" si="22"/>
        <v/>
      </c>
      <c r="J258" s="95">
        <f t="shared" si="27"/>
        <v>0</v>
      </c>
      <c r="K258" s="95">
        <f t="shared" si="23"/>
        <v>0</v>
      </c>
      <c r="L258" s="95"/>
      <c r="M258" s="97">
        <f t="shared" si="24"/>
        <v>0</v>
      </c>
      <c r="N258" s="97">
        <f t="shared" si="25"/>
        <v>0</v>
      </c>
    </row>
    <row r="259" spans="1:14" x14ac:dyDescent="0.25">
      <c r="A259" s="98">
        <f t="shared" si="26"/>
        <v>0</v>
      </c>
      <c r="G259" s="80"/>
      <c r="H259" s="95">
        <v>254</v>
      </c>
      <c r="I259" s="96" t="str">
        <f t="shared" si="22"/>
        <v/>
      </c>
      <c r="J259" s="95">
        <f t="shared" si="27"/>
        <v>0</v>
      </c>
      <c r="K259" s="95">
        <f t="shared" si="23"/>
        <v>0</v>
      </c>
      <c r="L259" s="95"/>
      <c r="M259" s="97">
        <f t="shared" si="24"/>
        <v>0</v>
      </c>
      <c r="N259" s="97">
        <f t="shared" si="25"/>
        <v>0</v>
      </c>
    </row>
    <row r="260" spans="1:14" x14ac:dyDescent="0.25">
      <c r="A260" s="94">
        <f t="shared" si="26"/>
        <v>0</v>
      </c>
      <c r="G260" s="80"/>
      <c r="H260" s="95">
        <v>255</v>
      </c>
      <c r="I260" s="96" t="str">
        <f t="shared" si="22"/>
        <v/>
      </c>
      <c r="J260" s="95">
        <f t="shared" si="27"/>
        <v>0</v>
      </c>
      <c r="K260" s="95">
        <f t="shared" si="23"/>
        <v>0</v>
      </c>
      <c r="L260" s="95"/>
      <c r="M260" s="97">
        <f t="shared" si="24"/>
        <v>0</v>
      </c>
      <c r="N260" s="97">
        <f t="shared" si="25"/>
        <v>0</v>
      </c>
    </row>
    <row r="261" spans="1:14" x14ac:dyDescent="0.25">
      <c r="A261" s="98">
        <f t="shared" si="26"/>
        <v>0</v>
      </c>
      <c r="G261" s="80"/>
      <c r="H261" s="95">
        <v>256</v>
      </c>
      <c r="I261" s="96" t="str">
        <f t="shared" si="22"/>
        <v/>
      </c>
      <c r="J261" s="95">
        <f t="shared" si="27"/>
        <v>0</v>
      </c>
      <c r="K261" s="95">
        <f t="shared" si="23"/>
        <v>0</v>
      </c>
      <c r="L261" s="95"/>
      <c r="M261" s="97">
        <f t="shared" si="24"/>
        <v>0</v>
      </c>
      <c r="N261" s="97">
        <f t="shared" si="25"/>
        <v>0</v>
      </c>
    </row>
    <row r="262" spans="1:14" x14ac:dyDescent="0.25">
      <c r="A262" s="94">
        <f t="shared" si="26"/>
        <v>0</v>
      </c>
      <c r="G262" s="80"/>
      <c r="H262" s="95">
        <v>257</v>
      </c>
      <c r="I262" s="96" t="str">
        <f t="shared" ref="I262:I305" si="29">IF(H262&lt;$H$2+1,($I$2-($I$2-1)*(LOG(H262)/LOG($H$2))),"")</f>
        <v/>
      </c>
      <c r="J262" s="95">
        <f t="shared" si="27"/>
        <v>-1</v>
      </c>
      <c r="K262" s="95">
        <f t="shared" ref="K262:K305" si="30">J262*$J$2</f>
        <v>-10</v>
      </c>
      <c r="L262" s="95"/>
      <c r="M262" s="97">
        <f t="shared" ref="M262:M305" si="31">IF(I262&lt;&gt;"",K262+I262+L262,0)</f>
        <v>0</v>
      </c>
      <c r="N262" s="97">
        <f t="shared" ref="N262:N305" si="32">IF(I262&lt;&gt;"",M262*L$2,0)</f>
        <v>0</v>
      </c>
    </row>
    <row r="263" spans="1:14" x14ac:dyDescent="0.25">
      <c r="A263" s="98">
        <f t="shared" ref="A263:A305" si="33">N263</f>
        <v>0</v>
      </c>
      <c r="G263" s="80"/>
      <c r="H263" s="95">
        <v>258</v>
      </c>
      <c r="I263" s="96" t="str">
        <f t="shared" si="29"/>
        <v/>
      </c>
      <c r="J263" s="95">
        <f t="shared" ref="J263:J305" si="34">INT(LOG($H$2,2))-ROUNDUP(LOG(H263,2),0)+IF(OR($H$2=1,$H$2=2,$H$2=4,$H$2=8,$H$2=16,$H$2=32,$H$2=64,$H$2=128,$H$2=256),0,1)</f>
        <v>-1</v>
      </c>
      <c r="K263" s="95">
        <f t="shared" si="30"/>
        <v>-10</v>
      </c>
      <c r="L263" s="95"/>
      <c r="M263" s="97">
        <f t="shared" si="31"/>
        <v>0</v>
      </c>
      <c r="N263" s="97">
        <f t="shared" si="32"/>
        <v>0</v>
      </c>
    </row>
    <row r="264" spans="1:14" x14ac:dyDescent="0.25">
      <c r="A264" s="94">
        <f t="shared" si="33"/>
        <v>0</v>
      </c>
      <c r="G264" s="80"/>
      <c r="H264" s="95">
        <v>259</v>
      </c>
      <c r="I264" s="96" t="str">
        <f t="shared" si="29"/>
        <v/>
      </c>
      <c r="J264" s="95">
        <f t="shared" si="34"/>
        <v>-1</v>
      </c>
      <c r="K264" s="95">
        <f t="shared" si="30"/>
        <v>-10</v>
      </c>
      <c r="L264" s="95"/>
      <c r="M264" s="97">
        <f t="shared" si="31"/>
        <v>0</v>
      </c>
      <c r="N264" s="97">
        <f t="shared" si="32"/>
        <v>0</v>
      </c>
    </row>
    <row r="265" spans="1:14" x14ac:dyDescent="0.25">
      <c r="A265" s="98">
        <f t="shared" si="33"/>
        <v>0</v>
      </c>
      <c r="G265" s="80"/>
      <c r="H265" s="95">
        <v>260</v>
      </c>
      <c r="I265" s="96" t="str">
        <f t="shared" si="29"/>
        <v/>
      </c>
      <c r="J265" s="95">
        <f t="shared" si="34"/>
        <v>-1</v>
      </c>
      <c r="K265" s="95">
        <f t="shared" si="30"/>
        <v>-10</v>
      </c>
      <c r="L265" s="95"/>
      <c r="M265" s="97">
        <f t="shared" si="31"/>
        <v>0</v>
      </c>
      <c r="N265" s="97">
        <f t="shared" si="32"/>
        <v>0</v>
      </c>
    </row>
    <row r="266" spans="1:14" x14ac:dyDescent="0.25">
      <c r="A266" s="94">
        <f t="shared" si="33"/>
        <v>0</v>
      </c>
      <c r="G266" s="80"/>
      <c r="H266" s="95">
        <v>261</v>
      </c>
      <c r="I266" s="96" t="str">
        <f t="shared" si="29"/>
        <v/>
      </c>
      <c r="J266" s="95">
        <f t="shared" si="34"/>
        <v>-1</v>
      </c>
      <c r="K266" s="95">
        <f t="shared" si="30"/>
        <v>-10</v>
      </c>
      <c r="L266" s="95"/>
      <c r="M266" s="97">
        <f t="shared" si="31"/>
        <v>0</v>
      </c>
      <c r="N266" s="97">
        <f t="shared" si="32"/>
        <v>0</v>
      </c>
    </row>
    <row r="267" spans="1:14" x14ac:dyDescent="0.25">
      <c r="A267" s="98">
        <f t="shared" si="33"/>
        <v>0</v>
      </c>
      <c r="G267" s="80"/>
      <c r="H267" s="95">
        <v>262</v>
      </c>
      <c r="I267" s="96" t="str">
        <f t="shared" si="29"/>
        <v/>
      </c>
      <c r="J267" s="95">
        <f t="shared" si="34"/>
        <v>-1</v>
      </c>
      <c r="K267" s="95">
        <f t="shared" si="30"/>
        <v>-10</v>
      </c>
      <c r="L267" s="95"/>
      <c r="M267" s="97">
        <f t="shared" si="31"/>
        <v>0</v>
      </c>
      <c r="N267" s="97">
        <f t="shared" si="32"/>
        <v>0</v>
      </c>
    </row>
    <row r="268" spans="1:14" x14ac:dyDescent="0.25">
      <c r="A268" s="94">
        <f t="shared" si="33"/>
        <v>0</v>
      </c>
      <c r="G268" s="80"/>
      <c r="H268" s="95">
        <v>263</v>
      </c>
      <c r="I268" s="96" t="str">
        <f t="shared" si="29"/>
        <v/>
      </c>
      <c r="J268" s="95">
        <f t="shared" si="34"/>
        <v>-1</v>
      </c>
      <c r="K268" s="95">
        <f t="shared" si="30"/>
        <v>-10</v>
      </c>
      <c r="L268" s="95"/>
      <c r="M268" s="97">
        <f t="shared" si="31"/>
        <v>0</v>
      </c>
      <c r="N268" s="97">
        <f t="shared" si="32"/>
        <v>0</v>
      </c>
    </row>
    <row r="269" spans="1:14" x14ac:dyDescent="0.25">
      <c r="A269" s="98">
        <f t="shared" si="33"/>
        <v>0</v>
      </c>
      <c r="G269" s="80"/>
      <c r="H269" s="95">
        <v>264</v>
      </c>
      <c r="I269" s="96" t="str">
        <f t="shared" si="29"/>
        <v/>
      </c>
      <c r="J269" s="95">
        <f t="shared" si="34"/>
        <v>-1</v>
      </c>
      <c r="K269" s="95">
        <f t="shared" si="30"/>
        <v>-10</v>
      </c>
      <c r="L269" s="95"/>
      <c r="M269" s="97">
        <f t="shared" si="31"/>
        <v>0</v>
      </c>
      <c r="N269" s="97">
        <f t="shared" si="32"/>
        <v>0</v>
      </c>
    </row>
    <row r="270" spans="1:14" x14ac:dyDescent="0.25">
      <c r="A270" s="94">
        <f t="shared" si="33"/>
        <v>0</v>
      </c>
      <c r="G270" s="80"/>
      <c r="H270" s="95">
        <v>265</v>
      </c>
      <c r="I270" s="96" t="str">
        <f t="shared" si="29"/>
        <v/>
      </c>
      <c r="J270" s="95">
        <f t="shared" si="34"/>
        <v>-1</v>
      </c>
      <c r="K270" s="95">
        <f t="shared" si="30"/>
        <v>-10</v>
      </c>
      <c r="L270" s="95"/>
      <c r="M270" s="97">
        <f t="shared" si="31"/>
        <v>0</v>
      </c>
      <c r="N270" s="97">
        <f t="shared" si="32"/>
        <v>0</v>
      </c>
    </row>
    <row r="271" spans="1:14" x14ac:dyDescent="0.25">
      <c r="A271" s="98">
        <f t="shared" si="33"/>
        <v>0</v>
      </c>
      <c r="G271" s="80"/>
      <c r="H271" s="95">
        <v>266</v>
      </c>
      <c r="I271" s="96" t="str">
        <f t="shared" si="29"/>
        <v/>
      </c>
      <c r="J271" s="95">
        <f t="shared" si="34"/>
        <v>-1</v>
      </c>
      <c r="K271" s="95">
        <f t="shared" si="30"/>
        <v>-10</v>
      </c>
      <c r="L271" s="95"/>
      <c r="M271" s="97">
        <f t="shared" si="31"/>
        <v>0</v>
      </c>
      <c r="N271" s="97">
        <f t="shared" si="32"/>
        <v>0</v>
      </c>
    </row>
    <row r="272" spans="1:14" x14ac:dyDescent="0.25">
      <c r="A272" s="94">
        <f t="shared" si="33"/>
        <v>0</v>
      </c>
      <c r="G272" s="80"/>
      <c r="H272" s="95">
        <v>267</v>
      </c>
      <c r="I272" s="96" t="str">
        <f t="shared" si="29"/>
        <v/>
      </c>
      <c r="J272" s="95">
        <f t="shared" si="34"/>
        <v>-1</v>
      </c>
      <c r="K272" s="95">
        <f t="shared" si="30"/>
        <v>-10</v>
      </c>
      <c r="L272" s="95"/>
      <c r="M272" s="97">
        <f t="shared" si="31"/>
        <v>0</v>
      </c>
      <c r="N272" s="97">
        <f t="shared" si="32"/>
        <v>0</v>
      </c>
    </row>
    <row r="273" spans="1:14" x14ac:dyDescent="0.25">
      <c r="A273" s="98">
        <f t="shared" si="33"/>
        <v>0</v>
      </c>
      <c r="G273" s="80"/>
      <c r="H273" s="95">
        <v>268</v>
      </c>
      <c r="I273" s="96" t="str">
        <f t="shared" si="29"/>
        <v/>
      </c>
      <c r="J273" s="95">
        <f t="shared" si="34"/>
        <v>-1</v>
      </c>
      <c r="K273" s="95">
        <f t="shared" si="30"/>
        <v>-10</v>
      </c>
      <c r="L273" s="95"/>
      <c r="M273" s="97">
        <f t="shared" si="31"/>
        <v>0</v>
      </c>
      <c r="N273" s="97">
        <f t="shared" si="32"/>
        <v>0</v>
      </c>
    </row>
    <row r="274" spans="1:14" x14ac:dyDescent="0.25">
      <c r="A274" s="94">
        <f t="shared" si="33"/>
        <v>0</v>
      </c>
      <c r="G274" s="80"/>
      <c r="H274" s="95">
        <v>269</v>
      </c>
      <c r="I274" s="96" t="str">
        <f t="shared" si="29"/>
        <v/>
      </c>
      <c r="J274" s="95">
        <f t="shared" si="34"/>
        <v>-1</v>
      </c>
      <c r="K274" s="95">
        <f t="shared" si="30"/>
        <v>-10</v>
      </c>
      <c r="L274" s="95"/>
      <c r="M274" s="97">
        <f t="shared" si="31"/>
        <v>0</v>
      </c>
      <c r="N274" s="97">
        <f t="shared" si="32"/>
        <v>0</v>
      </c>
    </row>
    <row r="275" spans="1:14" x14ac:dyDescent="0.25">
      <c r="A275" s="98">
        <f t="shared" si="33"/>
        <v>0</v>
      </c>
      <c r="G275" s="80"/>
      <c r="H275" s="95">
        <v>270</v>
      </c>
      <c r="I275" s="96" t="str">
        <f t="shared" si="29"/>
        <v/>
      </c>
      <c r="J275" s="95">
        <f t="shared" si="34"/>
        <v>-1</v>
      </c>
      <c r="K275" s="95">
        <f t="shared" si="30"/>
        <v>-10</v>
      </c>
      <c r="L275" s="95"/>
      <c r="M275" s="97">
        <f t="shared" si="31"/>
        <v>0</v>
      </c>
      <c r="N275" s="97">
        <f t="shared" si="32"/>
        <v>0</v>
      </c>
    </row>
    <row r="276" spans="1:14" x14ac:dyDescent="0.25">
      <c r="A276" s="94">
        <f t="shared" si="33"/>
        <v>0</v>
      </c>
      <c r="G276" s="80"/>
      <c r="H276" s="95">
        <v>271</v>
      </c>
      <c r="I276" s="96" t="str">
        <f t="shared" si="29"/>
        <v/>
      </c>
      <c r="J276" s="95">
        <f t="shared" si="34"/>
        <v>-1</v>
      </c>
      <c r="K276" s="95">
        <f t="shared" si="30"/>
        <v>-10</v>
      </c>
      <c r="L276" s="95"/>
      <c r="M276" s="97">
        <f t="shared" si="31"/>
        <v>0</v>
      </c>
      <c r="N276" s="97">
        <f t="shared" si="32"/>
        <v>0</v>
      </c>
    </row>
    <row r="277" spans="1:14" x14ac:dyDescent="0.25">
      <c r="A277" s="98">
        <f t="shared" si="33"/>
        <v>0</v>
      </c>
      <c r="G277" s="80"/>
      <c r="H277" s="95">
        <v>272</v>
      </c>
      <c r="I277" s="96" t="str">
        <f t="shared" si="29"/>
        <v/>
      </c>
      <c r="J277" s="95">
        <f t="shared" si="34"/>
        <v>-1</v>
      </c>
      <c r="K277" s="95">
        <f t="shared" si="30"/>
        <v>-10</v>
      </c>
      <c r="L277" s="95"/>
      <c r="M277" s="97">
        <f t="shared" si="31"/>
        <v>0</v>
      </c>
      <c r="N277" s="97">
        <f t="shared" si="32"/>
        <v>0</v>
      </c>
    </row>
    <row r="278" spans="1:14" x14ac:dyDescent="0.25">
      <c r="A278" s="94">
        <f t="shared" si="33"/>
        <v>0</v>
      </c>
      <c r="G278" s="80"/>
      <c r="H278" s="95">
        <v>273</v>
      </c>
      <c r="I278" s="96" t="str">
        <f t="shared" si="29"/>
        <v/>
      </c>
      <c r="J278" s="95">
        <f t="shared" si="34"/>
        <v>-1</v>
      </c>
      <c r="K278" s="95">
        <f t="shared" si="30"/>
        <v>-10</v>
      </c>
      <c r="L278" s="95"/>
      <c r="M278" s="97">
        <f t="shared" si="31"/>
        <v>0</v>
      </c>
      <c r="N278" s="97">
        <f t="shared" si="32"/>
        <v>0</v>
      </c>
    </row>
    <row r="279" spans="1:14" x14ac:dyDescent="0.25">
      <c r="A279" s="98">
        <f t="shared" si="33"/>
        <v>0</v>
      </c>
      <c r="G279" s="80"/>
      <c r="H279" s="95">
        <v>274</v>
      </c>
      <c r="I279" s="96" t="str">
        <f t="shared" si="29"/>
        <v/>
      </c>
      <c r="J279" s="95">
        <f t="shared" si="34"/>
        <v>-1</v>
      </c>
      <c r="K279" s="95">
        <f t="shared" si="30"/>
        <v>-10</v>
      </c>
      <c r="L279" s="95"/>
      <c r="M279" s="97">
        <f t="shared" si="31"/>
        <v>0</v>
      </c>
      <c r="N279" s="97">
        <f t="shared" si="32"/>
        <v>0</v>
      </c>
    </row>
    <row r="280" spans="1:14" x14ac:dyDescent="0.25">
      <c r="A280" s="94">
        <f t="shared" si="33"/>
        <v>0</v>
      </c>
      <c r="G280" s="80"/>
      <c r="H280" s="95">
        <v>275</v>
      </c>
      <c r="I280" s="96" t="str">
        <f t="shared" si="29"/>
        <v/>
      </c>
      <c r="J280" s="95">
        <f t="shared" si="34"/>
        <v>-1</v>
      </c>
      <c r="K280" s="95">
        <f t="shared" si="30"/>
        <v>-10</v>
      </c>
      <c r="L280" s="95"/>
      <c r="M280" s="97">
        <f t="shared" si="31"/>
        <v>0</v>
      </c>
      <c r="N280" s="97">
        <f t="shared" si="32"/>
        <v>0</v>
      </c>
    </row>
    <row r="281" spans="1:14" x14ac:dyDescent="0.25">
      <c r="A281" s="98">
        <f t="shared" si="33"/>
        <v>0</v>
      </c>
      <c r="G281" s="80"/>
      <c r="H281" s="95">
        <v>276</v>
      </c>
      <c r="I281" s="96" t="str">
        <f t="shared" si="29"/>
        <v/>
      </c>
      <c r="J281" s="95">
        <f t="shared" si="34"/>
        <v>-1</v>
      </c>
      <c r="K281" s="95">
        <f t="shared" si="30"/>
        <v>-10</v>
      </c>
      <c r="L281" s="95"/>
      <c r="M281" s="97">
        <f t="shared" si="31"/>
        <v>0</v>
      </c>
      <c r="N281" s="97">
        <f t="shared" si="32"/>
        <v>0</v>
      </c>
    </row>
    <row r="282" spans="1:14" x14ac:dyDescent="0.25">
      <c r="A282" s="94">
        <f t="shared" si="33"/>
        <v>0</v>
      </c>
      <c r="G282" s="80"/>
      <c r="H282" s="95">
        <v>277</v>
      </c>
      <c r="I282" s="96" t="str">
        <f t="shared" si="29"/>
        <v/>
      </c>
      <c r="J282" s="95">
        <f t="shared" si="34"/>
        <v>-1</v>
      </c>
      <c r="K282" s="95">
        <f t="shared" si="30"/>
        <v>-10</v>
      </c>
      <c r="L282" s="95"/>
      <c r="M282" s="97">
        <f t="shared" si="31"/>
        <v>0</v>
      </c>
      <c r="N282" s="97">
        <f t="shared" si="32"/>
        <v>0</v>
      </c>
    </row>
    <row r="283" spans="1:14" x14ac:dyDescent="0.25">
      <c r="A283" s="98">
        <f t="shared" si="33"/>
        <v>0</v>
      </c>
      <c r="G283" s="80"/>
      <c r="H283" s="95">
        <v>278</v>
      </c>
      <c r="I283" s="96" t="str">
        <f t="shared" si="29"/>
        <v/>
      </c>
      <c r="J283" s="95">
        <f t="shared" si="34"/>
        <v>-1</v>
      </c>
      <c r="K283" s="95">
        <f t="shared" si="30"/>
        <v>-10</v>
      </c>
      <c r="L283" s="95"/>
      <c r="M283" s="97">
        <f t="shared" si="31"/>
        <v>0</v>
      </c>
      <c r="N283" s="97">
        <f t="shared" si="32"/>
        <v>0</v>
      </c>
    </row>
    <row r="284" spans="1:14" x14ac:dyDescent="0.25">
      <c r="A284" s="94">
        <f t="shared" si="33"/>
        <v>0</v>
      </c>
      <c r="G284" s="80"/>
      <c r="H284" s="95">
        <v>279</v>
      </c>
      <c r="I284" s="96" t="str">
        <f t="shared" si="29"/>
        <v/>
      </c>
      <c r="J284" s="95">
        <f t="shared" si="34"/>
        <v>-1</v>
      </c>
      <c r="K284" s="95">
        <f t="shared" si="30"/>
        <v>-10</v>
      </c>
      <c r="L284" s="95"/>
      <c r="M284" s="97">
        <f t="shared" si="31"/>
        <v>0</v>
      </c>
      <c r="N284" s="97">
        <f t="shared" si="32"/>
        <v>0</v>
      </c>
    </row>
    <row r="285" spans="1:14" x14ac:dyDescent="0.25">
      <c r="A285" s="98">
        <f t="shared" si="33"/>
        <v>0</v>
      </c>
      <c r="G285" s="80"/>
      <c r="H285" s="95">
        <v>280</v>
      </c>
      <c r="I285" s="96" t="str">
        <f t="shared" si="29"/>
        <v/>
      </c>
      <c r="J285" s="95">
        <f t="shared" si="34"/>
        <v>-1</v>
      </c>
      <c r="K285" s="95">
        <f t="shared" si="30"/>
        <v>-10</v>
      </c>
      <c r="L285" s="95"/>
      <c r="M285" s="97">
        <f t="shared" si="31"/>
        <v>0</v>
      </c>
      <c r="N285" s="97">
        <f t="shared" si="32"/>
        <v>0</v>
      </c>
    </row>
    <row r="286" spans="1:14" x14ac:dyDescent="0.25">
      <c r="A286" s="94">
        <f t="shared" si="33"/>
        <v>0</v>
      </c>
      <c r="G286" s="80"/>
      <c r="H286" s="95">
        <v>281</v>
      </c>
      <c r="I286" s="96" t="str">
        <f t="shared" si="29"/>
        <v/>
      </c>
      <c r="J286" s="95">
        <f t="shared" si="34"/>
        <v>-1</v>
      </c>
      <c r="K286" s="95">
        <f t="shared" si="30"/>
        <v>-10</v>
      </c>
      <c r="L286" s="95"/>
      <c r="M286" s="97">
        <f t="shared" si="31"/>
        <v>0</v>
      </c>
      <c r="N286" s="97">
        <f t="shared" si="32"/>
        <v>0</v>
      </c>
    </row>
    <row r="287" spans="1:14" x14ac:dyDescent="0.25">
      <c r="A287" s="98">
        <f t="shared" si="33"/>
        <v>0</v>
      </c>
      <c r="G287" s="80"/>
      <c r="H287" s="95">
        <v>282</v>
      </c>
      <c r="I287" s="96" t="str">
        <f t="shared" si="29"/>
        <v/>
      </c>
      <c r="J287" s="95">
        <f t="shared" si="34"/>
        <v>-1</v>
      </c>
      <c r="K287" s="95">
        <f t="shared" si="30"/>
        <v>-10</v>
      </c>
      <c r="L287" s="95"/>
      <c r="M287" s="97">
        <f t="shared" si="31"/>
        <v>0</v>
      </c>
      <c r="N287" s="97">
        <f t="shared" si="32"/>
        <v>0</v>
      </c>
    </row>
    <row r="288" spans="1:14" x14ac:dyDescent="0.25">
      <c r="A288" s="94">
        <f t="shared" si="33"/>
        <v>0</v>
      </c>
      <c r="G288" s="80"/>
      <c r="H288" s="95">
        <v>283</v>
      </c>
      <c r="I288" s="96" t="str">
        <f t="shared" si="29"/>
        <v/>
      </c>
      <c r="J288" s="95">
        <f t="shared" si="34"/>
        <v>-1</v>
      </c>
      <c r="K288" s="95">
        <f t="shared" si="30"/>
        <v>-10</v>
      </c>
      <c r="L288" s="95"/>
      <c r="M288" s="97">
        <f t="shared" si="31"/>
        <v>0</v>
      </c>
      <c r="N288" s="97">
        <f t="shared" si="32"/>
        <v>0</v>
      </c>
    </row>
    <row r="289" spans="1:14" x14ac:dyDescent="0.25">
      <c r="A289" s="98">
        <f t="shared" si="33"/>
        <v>0</v>
      </c>
      <c r="G289" s="80"/>
      <c r="H289" s="95">
        <v>284</v>
      </c>
      <c r="I289" s="96" t="str">
        <f t="shared" si="29"/>
        <v/>
      </c>
      <c r="J289" s="95">
        <f t="shared" si="34"/>
        <v>-1</v>
      </c>
      <c r="K289" s="95">
        <f t="shared" si="30"/>
        <v>-10</v>
      </c>
      <c r="L289" s="95"/>
      <c r="M289" s="97">
        <f t="shared" si="31"/>
        <v>0</v>
      </c>
      <c r="N289" s="97">
        <f t="shared" si="32"/>
        <v>0</v>
      </c>
    </row>
    <row r="290" spans="1:14" x14ac:dyDescent="0.25">
      <c r="A290" s="94">
        <f t="shared" si="33"/>
        <v>0</v>
      </c>
      <c r="G290" s="80"/>
      <c r="H290" s="95">
        <v>285</v>
      </c>
      <c r="I290" s="96" t="str">
        <f t="shared" si="29"/>
        <v/>
      </c>
      <c r="J290" s="95">
        <f t="shared" si="34"/>
        <v>-1</v>
      </c>
      <c r="K290" s="95">
        <f t="shared" si="30"/>
        <v>-10</v>
      </c>
      <c r="L290" s="95"/>
      <c r="M290" s="97">
        <f t="shared" si="31"/>
        <v>0</v>
      </c>
      <c r="N290" s="97">
        <f t="shared" si="32"/>
        <v>0</v>
      </c>
    </row>
    <row r="291" spans="1:14" x14ac:dyDescent="0.25">
      <c r="A291" s="98">
        <f t="shared" si="33"/>
        <v>0</v>
      </c>
      <c r="G291" s="80"/>
      <c r="H291" s="95">
        <v>286</v>
      </c>
      <c r="I291" s="96" t="str">
        <f t="shared" si="29"/>
        <v/>
      </c>
      <c r="J291" s="95">
        <f t="shared" si="34"/>
        <v>-1</v>
      </c>
      <c r="K291" s="95">
        <f t="shared" si="30"/>
        <v>-10</v>
      </c>
      <c r="L291" s="95"/>
      <c r="M291" s="97">
        <f t="shared" si="31"/>
        <v>0</v>
      </c>
      <c r="N291" s="97">
        <f t="shared" si="32"/>
        <v>0</v>
      </c>
    </row>
    <row r="292" spans="1:14" x14ac:dyDescent="0.25">
      <c r="A292" s="94">
        <f t="shared" si="33"/>
        <v>0</v>
      </c>
      <c r="G292" s="80"/>
      <c r="H292" s="95">
        <v>287</v>
      </c>
      <c r="I292" s="96" t="str">
        <f t="shared" si="29"/>
        <v/>
      </c>
      <c r="J292" s="95">
        <f t="shared" si="34"/>
        <v>-1</v>
      </c>
      <c r="K292" s="95">
        <f t="shared" si="30"/>
        <v>-10</v>
      </c>
      <c r="L292" s="95"/>
      <c r="M292" s="97">
        <f t="shared" si="31"/>
        <v>0</v>
      </c>
      <c r="N292" s="97">
        <f t="shared" si="32"/>
        <v>0</v>
      </c>
    </row>
    <row r="293" spans="1:14" x14ac:dyDescent="0.25">
      <c r="A293" s="98">
        <f t="shared" si="33"/>
        <v>0</v>
      </c>
      <c r="G293" s="80"/>
      <c r="H293" s="95">
        <v>288</v>
      </c>
      <c r="I293" s="96" t="str">
        <f t="shared" si="29"/>
        <v/>
      </c>
      <c r="J293" s="95">
        <f t="shared" si="34"/>
        <v>-1</v>
      </c>
      <c r="K293" s="95">
        <f t="shared" si="30"/>
        <v>-10</v>
      </c>
      <c r="L293" s="95"/>
      <c r="M293" s="97">
        <f t="shared" si="31"/>
        <v>0</v>
      </c>
      <c r="N293" s="97">
        <f t="shared" si="32"/>
        <v>0</v>
      </c>
    </row>
    <row r="294" spans="1:14" x14ac:dyDescent="0.25">
      <c r="A294" s="94">
        <f t="shared" si="33"/>
        <v>0</v>
      </c>
      <c r="G294" s="80"/>
      <c r="H294" s="95">
        <v>289</v>
      </c>
      <c r="I294" s="96" t="str">
        <f t="shared" si="29"/>
        <v/>
      </c>
      <c r="J294" s="95">
        <f t="shared" si="34"/>
        <v>-1</v>
      </c>
      <c r="K294" s="95">
        <f t="shared" si="30"/>
        <v>-10</v>
      </c>
      <c r="L294" s="95"/>
      <c r="M294" s="97">
        <f t="shared" si="31"/>
        <v>0</v>
      </c>
      <c r="N294" s="97">
        <f t="shared" si="32"/>
        <v>0</v>
      </c>
    </row>
    <row r="295" spans="1:14" x14ac:dyDescent="0.25">
      <c r="A295" s="98">
        <f t="shared" si="33"/>
        <v>0</v>
      </c>
      <c r="G295" s="80"/>
      <c r="H295" s="95">
        <v>290</v>
      </c>
      <c r="I295" s="96" t="str">
        <f t="shared" si="29"/>
        <v/>
      </c>
      <c r="J295" s="95">
        <f t="shared" si="34"/>
        <v>-1</v>
      </c>
      <c r="K295" s="95">
        <f t="shared" si="30"/>
        <v>-10</v>
      </c>
      <c r="L295" s="95"/>
      <c r="M295" s="97">
        <f t="shared" si="31"/>
        <v>0</v>
      </c>
      <c r="N295" s="97">
        <f t="shared" si="32"/>
        <v>0</v>
      </c>
    </row>
    <row r="296" spans="1:14" x14ac:dyDescent="0.25">
      <c r="A296" s="94">
        <f t="shared" si="33"/>
        <v>0</v>
      </c>
      <c r="G296" s="80"/>
      <c r="H296" s="95">
        <v>291</v>
      </c>
      <c r="I296" s="96" t="str">
        <f t="shared" si="29"/>
        <v/>
      </c>
      <c r="J296" s="95">
        <f t="shared" si="34"/>
        <v>-1</v>
      </c>
      <c r="K296" s="95">
        <f t="shared" si="30"/>
        <v>-10</v>
      </c>
      <c r="L296" s="95"/>
      <c r="M296" s="97">
        <f t="shared" si="31"/>
        <v>0</v>
      </c>
      <c r="N296" s="97">
        <f t="shared" si="32"/>
        <v>0</v>
      </c>
    </row>
    <row r="297" spans="1:14" x14ac:dyDescent="0.25">
      <c r="A297" s="98">
        <f t="shared" si="33"/>
        <v>0</v>
      </c>
      <c r="G297" s="80"/>
      <c r="H297" s="95">
        <v>292</v>
      </c>
      <c r="I297" s="96" t="str">
        <f t="shared" si="29"/>
        <v/>
      </c>
      <c r="J297" s="95">
        <f t="shared" si="34"/>
        <v>-1</v>
      </c>
      <c r="K297" s="95">
        <f t="shared" si="30"/>
        <v>-10</v>
      </c>
      <c r="L297" s="95"/>
      <c r="M297" s="97">
        <f t="shared" si="31"/>
        <v>0</v>
      </c>
      <c r="N297" s="97">
        <f t="shared" si="32"/>
        <v>0</v>
      </c>
    </row>
    <row r="298" spans="1:14" x14ac:dyDescent="0.25">
      <c r="A298" s="94">
        <f t="shared" si="33"/>
        <v>0</v>
      </c>
      <c r="G298" s="80"/>
      <c r="H298" s="95">
        <v>293</v>
      </c>
      <c r="I298" s="96" t="str">
        <f t="shared" si="29"/>
        <v/>
      </c>
      <c r="J298" s="95">
        <f t="shared" si="34"/>
        <v>-1</v>
      </c>
      <c r="K298" s="95">
        <f t="shared" si="30"/>
        <v>-10</v>
      </c>
      <c r="L298" s="95"/>
      <c r="M298" s="97">
        <f t="shared" si="31"/>
        <v>0</v>
      </c>
      <c r="N298" s="97">
        <f t="shared" si="32"/>
        <v>0</v>
      </c>
    </row>
    <row r="299" spans="1:14" x14ac:dyDescent="0.25">
      <c r="A299" s="98">
        <f t="shared" si="33"/>
        <v>0</v>
      </c>
      <c r="G299" s="80"/>
      <c r="H299" s="95">
        <v>294</v>
      </c>
      <c r="I299" s="96" t="str">
        <f t="shared" si="29"/>
        <v/>
      </c>
      <c r="J299" s="95">
        <f t="shared" si="34"/>
        <v>-1</v>
      </c>
      <c r="K299" s="95">
        <f t="shared" si="30"/>
        <v>-10</v>
      </c>
      <c r="L299" s="95"/>
      <c r="M299" s="97">
        <f t="shared" si="31"/>
        <v>0</v>
      </c>
      <c r="N299" s="97">
        <f t="shared" si="32"/>
        <v>0</v>
      </c>
    </row>
    <row r="300" spans="1:14" x14ac:dyDescent="0.25">
      <c r="A300" s="94">
        <f t="shared" si="33"/>
        <v>0</v>
      </c>
      <c r="G300" s="80"/>
      <c r="H300" s="95">
        <v>295</v>
      </c>
      <c r="I300" s="96" t="str">
        <f t="shared" si="29"/>
        <v/>
      </c>
      <c r="J300" s="95">
        <f t="shared" si="34"/>
        <v>-1</v>
      </c>
      <c r="K300" s="95">
        <f t="shared" si="30"/>
        <v>-10</v>
      </c>
      <c r="L300" s="95"/>
      <c r="M300" s="97">
        <f t="shared" si="31"/>
        <v>0</v>
      </c>
      <c r="N300" s="97">
        <f t="shared" si="32"/>
        <v>0</v>
      </c>
    </row>
    <row r="301" spans="1:14" x14ac:dyDescent="0.25">
      <c r="A301" s="98">
        <f t="shared" si="33"/>
        <v>0</v>
      </c>
      <c r="G301" s="80"/>
      <c r="H301" s="95">
        <v>296</v>
      </c>
      <c r="I301" s="96" t="str">
        <f t="shared" si="29"/>
        <v/>
      </c>
      <c r="J301" s="95">
        <f t="shared" si="34"/>
        <v>-1</v>
      </c>
      <c r="K301" s="95">
        <f t="shared" si="30"/>
        <v>-10</v>
      </c>
      <c r="L301" s="95"/>
      <c r="M301" s="97">
        <f t="shared" si="31"/>
        <v>0</v>
      </c>
      <c r="N301" s="97">
        <f t="shared" si="32"/>
        <v>0</v>
      </c>
    </row>
    <row r="302" spans="1:14" x14ac:dyDescent="0.25">
      <c r="A302" s="94">
        <f t="shared" si="33"/>
        <v>0</v>
      </c>
      <c r="G302" s="80"/>
      <c r="H302" s="95">
        <v>297</v>
      </c>
      <c r="I302" s="96" t="str">
        <f t="shared" si="29"/>
        <v/>
      </c>
      <c r="J302" s="95">
        <f t="shared" si="34"/>
        <v>-1</v>
      </c>
      <c r="K302" s="95">
        <f t="shared" si="30"/>
        <v>-10</v>
      </c>
      <c r="L302" s="95"/>
      <c r="M302" s="97">
        <f t="shared" si="31"/>
        <v>0</v>
      </c>
      <c r="N302" s="97">
        <f t="shared" si="32"/>
        <v>0</v>
      </c>
    </row>
    <row r="303" spans="1:14" x14ac:dyDescent="0.25">
      <c r="A303" s="98">
        <f t="shared" si="33"/>
        <v>0</v>
      </c>
      <c r="G303" s="80"/>
      <c r="H303" s="95">
        <v>298</v>
      </c>
      <c r="I303" s="96" t="str">
        <f t="shared" si="29"/>
        <v/>
      </c>
      <c r="J303" s="95">
        <f t="shared" si="34"/>
        <v>-1</v>
      </c>
      <c r="K303" s="95">
        <f t="shared" si="30"/>
        <v>-10</v>
      </c>
      <c r="L303" s="95"/>
      <c r="M303" s="97">
        <f t="shared" si="31"/>
        <v>0</v>
      </c>
      <c r="N303" s="97">
        <f t="shared" si="32"/>
        <v>0</v>
      </c>
    </row>
    <row r="304" spans="1:14" x14ac:dyDescent="0.25">
      <c r="A304" s="94">
        <f t="shared" si="33"/>
        <v>0</v>
      </c>
      <c r="G304" s="80"/>
      <c r="H304" s="95">
        <v>299</v>
      </c>
      <c r="I304" s="96" t="str">
        <f t="shared" si="29"/>
        <v/>
      </c>
      <c r="J304" s="95">
        <f t="shared" si="34"/>
        <v>-1</v>
      </c>
      <c r="K304" s="95">
        <f t="shared" si="30"/>
        <v>-10</v>
      </c>
      <c r="L304" s="95"/>
      <c r="M304" s="97">
        <f t="shared" si="31"/>
        <v>0</v>
      </c>
      <c r="N304" s="97">
        <f t="shared" si="32"/>
        <v>0</v>
      </c>
    </row>
    <row r="305" spans="1:17" x14ac:dyDescent="0.25">
      <c r="A305" s="98">
        <f t="shared" si="33"/>
        <v>0</v>
      </c>
      <c r="G305" s="80"/>
      <c r="H305" s="95">
        <v>300</v>
      </c>
      <c r="I305" s="96" t="str">
        <f t="shared" si="29"/>
        <v/>
      </c>
      <c r="J305" s="95">
        <f t="shared" si="34"/>
        <v>-1</v>
      </c>
      <c r="K305" s="95">
        <f t="shared" si="30"/>
        <v>-10</v>
      </c>
      <c r="L305" s="95"/>
      <c r="M305" s="97">
        <f t="shared" si="31"/>
        <v>0</v>
      </c>
      <c r="N305" s="97">
        <f t="shared" si="32"/>
        <v>0</v>
      </c>
    </row>
    <row r="306" spans="1:17" x14ac:dyDescent="0.25">
      <c r="A306" s="117"/>
    </row>
    <row r="314" spans="1:17" x14ac:dyDescent="0.25">
      <c r="L314" s="120"/>
      <c r="M314" s="120"/>
      <c r="Q314" s="107"/>
    </row>
    <row r="315" spans="1:17" x14ac:dyDescent="0.25">
      <c r="L315" s="120"/>
      <c r="M315" s="120"/>
      <c r="Q315" s="107"/>
    </row>
    <row r="316" spans="1:17" x14ac:dyDescent="0.25">
      <c r="L316" s="120"/>
      <c r="M316" s="120"/>
      <c r="Q316" s="107"/>
    </row>
    <row r="317" spans="1:17" x14ac:dyDescent="0.25">
      <c r="L317" s="120"/>
      <c r="M317" s="120"/>
      <c r="Q317" s="107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2049CB75-BF6E-4A4D-80EA-8DE3A2B690D8}"/>
    <hyperlink ref="C2:D2" r:id="rId2" display="Thionville" xr:uid="{CC0064FC-E0D6-49B6-A528-A24D46EF44FA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25</vt:i4>
      </vt:variant>
    </vt:vector>
  </HeadingPairs>
  <TitlesOfParts>
    <vt:vector size="25" baseType="lpstr">
      <vt:lpstr>KlasyfikacjaGP</vt:lpstr>
      <vt:lpstr>GP1</vt:lpstr>
      <vt:lpstr>GP2</vt:lpstr>
      <vt:lpstr>GP3</vt:lpstr>
      <vt:lpstr>GP4</vt:lpstr>
      <vt:lpstr>GP5</vt:lpstr>
      <vt:lpstr>GP6</vt:lpstr>
      <vt:lpstr>GP7</vt:lpstr>
      <vt:lpstr>GP8</vt:lpstr>
      <vt:lpstr>MPW</vt:lpstr>
      <vt:lpstr>Kadra</vt:lpstr>
      <vt:lpstr>PEW1</vt:lpstr>
      <vt:lpstr>PEW2</vt:lpstr>
      <vt:lpstr>PEW3</vt:lpstr>
      <vt:lpstr>VFC</vt:lpstr>
      <vt:lpstr>PEW4</vt:lpstr>
      <vt:lpstr>PEW5</vt:lpstr>
      <vt:lpstr>PEW6</vt:lpstr>
      <vt:lpstr>PEW7</vt:lpstr>
      <vt:lpstr>PEW8</vt:lpstr>
      <vt:lpstr>PEW9</vt:lpstr>
      <vt:lpstr>PEW10</vt:lpstr>
      <vt:lpstr>PEW11</vt:lpstr>
      <vt:lpstr>PEW12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2024-06-29T21:38:03Z</dcterms:modified>
  <cp:category/>
  <cp:contentStatus/>
</cp:coreProperties>
</file>