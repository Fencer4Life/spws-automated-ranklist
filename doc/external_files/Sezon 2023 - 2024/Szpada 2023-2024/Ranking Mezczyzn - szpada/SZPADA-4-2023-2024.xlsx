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en_skoroszyt"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Mezczyzn - szpada/"/>
    </mc:Choice>
  </mc:AlternateContent>
  <xr:revisionPtr revIDLastSave="763" documentId="8_{7DCFD9FF-8A32-4034-AFB0-C083BCE09D45}" xr6:coauthVersionLast="47" xr6:coauthVersionMax="47" xr10:uidLastSave="{20E0346F-CEDF-42C4-BA08-A51BC61EF477}"/>
  <bookViews>
    <workbookView xWindow="-34872" yWindow="0" windowWidth="23379" windowHeight="14047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9" l="1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9" i="29"/>
  <c r="B8" i="29"/>
  <c r="B7" i="29"/>
  <c r="B6" i="29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0" i="20"/>
  <c r="AE10" i="20" s="1"/>
  <c r="AD8" i="20"/>
  <c r="AE8" i="20" s="1"/>
  <c r="AD9" i="20"/>
  <c r="AE9" i="20" s="1"/>
  <c r="AD11" i="20"/>
  <c r="AE11" i="20" s="1"/>
  <c r="AD6" i="20"/>
  <c r="AE6" i="20" s="1"/>
  <c r="AD7" i="20"/>
  <c r="AE7" i="20" s="1"/>
  <c r="M305" i="37"/>
  <c r="J305" i="37"/>
  <c r="K305" i="37" s="1"/>
  <c r="I305" i="37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M299" i="37"/>
  <c r="J299" i="37"/>
  <c r="K299" i="37" s="1"/>
  <c r="I299" i="37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M293" i="37"/>
  <c r="J293" i="37"/>
  <c r="K293" i="37" s="1"/>
  <c r="I293" i="37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M285" i="37"/>
  <c r="J285" i="37"/>
  <c r="K285" i="37" s="1"/>
  <c r="I285" i="37"/>
  <c r="J284" i="37"/>
  <c r="K284" i="37" s="1"/>
  <c r="I284" i="37"/>
  <c r="M284" i="37" s="1"/>
  <c r="M283" i="37"/>
  <c r="J283" i="37"/>
  <c r="K283" i="37" s="1"/>
  <c r="I283" i="37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M273" i="37"/>
  <c r="J273" i="37"/>
  <c r="K273" i="37" s="1"/>
  <c r="I273" i="37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M269" i="37"/>
  <c r="J269" i="37"/>
  <c r="K269" i="37" s="1"/>
  <c r="I269" i="37"/>
  <c r="J268" i="37"/>
  <c r="K268" i="37" s="1"/>
  <c r="I268" i="37"/>
  <c r="M268" i="37" s="1"/>
  <c r="M267" i="37"/>
  <c r="J267" i="37"/>
  <c r="K267" i="37" s="1"/>
  <c r="I267" i="37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M257" i="37"/>
  <c r="J257" i="37"/>
  <c r="K257" i="37" s="1"/>
  <c r="I257" i="37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M253" i="37"/>
  <c r="J253" i="37"/>
  <c r="K253" i="37" s="1"/>
  <c r="I253" i="37"/>
  <c r="J252" i="37"/>
  <c r="K252" i="37" s="1"/>
  <c r="I252" i="37"/>
  <c r="M252" i="37" s="1"/>
  <c r="M251" i="37"/>
  <c r="J251" i="37"/>
  <c r="K251" i="37" s="1"/>
  <c r="I251" i="37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M241" i="37"/>
  <c r="J241" i="37"/>
  <c r="K241" i="37" s="1"/>
  <c r="I241" i="37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M237" i="37"/>
  <c r="J237" i="37"/>
  <c r="K237" i="37" s="1"/>
  <c r="I237" i="37"/>
  <c r="J236" i="37"/>
  <c r="K236" i="37" s="1"/>
  <c r="I236" i="37"/>
  <c r="M236" i="37" s="1"/>
  <c r="M235" i="37"/>
  <c r="J235" i="37"/>
  <c r="K235" i="37" s="1"/>
  <c r="I235" i="37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M225" i="37"/>
  <c r="J225" i="37"/>
  <c r="K225" i="37" s="1"/>
  <c r="I225" i="37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M221" i="37"/>
  <c r="J221" i="37"/>
  <c r="K221" i="37" s="1"/>
  <c r="I221" i="37"/>
  <c r="J220" i="37"/>
  <c r="K220" i="37" s="1"/>
  <c r="I220" i="37"/>
  <c r="M220" i="37" s="1"/>
  <c r="M219" i="37"/>
  <c r="J219" i="37"/>
  <c r="K219" i="37" s="1"/>
  <c r="I219" i="37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M209" i="37"/>
  <c r="J209" i="37"/>
  <c r="K209" i="37" s="1"/>
  <c r="I209" i="37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M205" i="37"/>
  <c r="J205" i="37"/>
  <c r="K205" i="37" s="1"/>
  <c r="I205" i="37"/>
  <c r="J204" i="37"/>
  <c r="K204" i="37" s="1"/>
  <c r="I204" i="37"/>
  <c r="M204" i="37" s="1"/>
  <c r="M203" i="37"/>
  <c r="J203" i="37"/>
  <c r="K203" i="37" s="1"/>
  <c r="I203" i="37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M193" i="37"/>
  <c r="J193" i="37"/>
  <c r="K193" i="37" s="1"/>
  <c r="I193" i="37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M189" i="37"/>
  <c r="J189" i="37"/>
  <c r="K189" i="37" s="1"/>
  <c r="I189" i="37"/>
  <c r="J188" i="37"/>
  <c r="K188" i="37" s="1"/>
  <c r="I188" i="37"/>
  <c r="M188" i="37" s="1"/>
  <c r="M187" i="37"/>
  <c r="J187" i="37"/>
  <c r="K187" i="37" s="1"/>
  <c r="I187" i="37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M177" i="37"/>
  <c r="J177" i="37"/>
  <c r="K177" i="37" s="1"/>
  <c r="I177" i="37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M173" i="37"/>
  <c r="J173" i="37"/>
  <c r="K173" i="37" s="1"/>
  <c r="I173" i="37"/>
  <c r="J172" i="37"/>
  <c r="K172" i="37" s="1"/>
  <c r="I172" i="37"/>
  <c r="M172" i="37" s="1"/>
  <c r="M171" i="37"/>
  <c r="J171" i="37"/>
  <c r="K171" i="37" s="1"/>
  <c r="I171" i="37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M161" i="37"/>
  <c r="J161" i="37"/>
  <c r="K161" i="37" s="1"/>
  <c r="I161" i="37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M157" i="37"/>
  <c r="J157" i="37"/>
  <c r="K157" i="37" s="1"/>
  <c r="I157" i="37"/>
  <c r="J156" i="37"/>
  <c r="K156" i="37" s="1"/>
  <c r="I156" i="37"/>
  <c r="M156" i="37" s="1"/>
  <c r="M155" i="37"/>
  <c r="J155" i="37"/>
  <c r="K155" i="37" s="1"/>
  <c r="I155" i="37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M145" i="37"/>
  <c r="J145" i="37"/>
  <c r="K145" i="37" s="1"/>
  <c r="I145" i="37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M141" i="37"/>
  <c r="J141" i="37"/>
  <c r="K141" i="37" s="1"/>
  <c r="I141" i="37"/>
  <c r="J140" i="37"/>
  <c r="K140" i="37" s="1"/>
  <c r="I140" i="37"/>
  <c r="M140" i="37" s="1"/>
  <c r="A140" i="37" s="1"/>
  <c r="B140" i="37"/>
  <c r="M139" i="37"/>
  <c r="A139" i="37" s="1"/>
  <c r="K139" i="37"/>
  <c r="J139" i="37"/>
  <c r="I139" i="37"/>
  <c r="B139" i="37"/>
  <c r="J138" i="37"/>
  <c r="K138" i="37" s="1"/>
  <c r="I138" i="37"/>
  <c r="M138" i="37" s="1"/>
  <c r="A138" i="37" s="1"/>
  <c r="B138" i="37"/>
  <c r="J137" i="37"/>
  <c r="K137" i="37" s="1"/>
  <c r="I137" i="37"/>
  <c r="M137" i="37" s="1"/>
  <c r="A137" i="37" s="1"/>
  <c r="B137" i="37"/>
  <c r="K136" i="37"/>
  <c r="J136" i="37"/>
  <c r="I136" i="37"/>
  <c r="M136" i="37" s="1"/>
  <c r="A136" i="37" s="1"/>
  <c r="B136" i="37"/>
  <c r="K135" i="37"/>
  <c r="J135" i="37"/>
  <c r="I135" i="37"/>
  <c r="M135" i="37" s="1"/>
  <c r="A135" i="37" s="1"/>
  <c r="B135" i="37"/>
  <c r="K134" i="37"/>
  <c r="J134" i="37"/>
  <c r="I134" i="37"/>
  <c r="M134" i="37" s="1"/>
  <c r="A134" i="37" s="1"/>
  <c r="B134" i="37"/>
  <c r="J133" i="37"/>
  <c r="K133" i="37" s="1"/>
  <c r="I133" i="37"/>
  <c r="M133" i="37" s="1"/>
  <c r="A133" i="37" s="1"/>
  <c r="B133" i="37"/>
  <c r="K132" i="37"/>
  <c r="J132" i="37"/>
  <c r="I132" i="37"/>
  <c r="M132" i="37" s="1"/>
  <c r="A132" i="37" s="1"/>
  <c r="B132" i="37"/>
  <c r="K131" i="37"/>
  <c r="J131" i="37"/>
  <c r="I131" i="37"/>
  <c r="M131" i="37" s="1"/>
  <c r="A131" i="37" s="1"/>
  <c r="B131" i="37"/>
  <c r="K130" i="37"/>
  <c r="J130" i="37"/>
  <c r="I130" i="37"/>
  <c r="M130" i="37" s="1"/>
  <c r="A130" i="37" s="1"/>
  <c r="B130" i="37"/>
  <c r="J129" i="37"/>
  <c r="K129" i="37" s="1"/>
  <c r="I129" i="37"/>
  <c r="M129" i="37" s="1"/>
  <c r="A129" i="37" s="1"/>
  <c r="B129" i="37"/>
  <c r="K128" i="37"/>
  <c r="J128" i="37"/>
  <c r="I128" i="37"/>
  <c r="M128" i="37" s="1"/>
  <c r="A128" i="37" s="1"/>
  <c r="B128" i="37"/>
  <c r="K127" i="37"/>
  <c r="J127" i="37"/>
  <c r="I127" i="37"/>
  <c r="M127" i="37" s="1"/>
  <c r="A127" i="37" s="1"/>
  <c r="B127" i="37"/>
  <c r="K126" i="37"/>
  <c r="J126" i="37"/>
  <c r="I126" i="37"/>
  <c r="M126" i="37" s="1"/>
  <c r="A126" i="37" s="1"/>
  <c r="B126" i="37"/>
  <c r="J125" i="37"/>
  <c r="K125" i="37" s="1"/>
  <c r="I125" i="37"/>
  <c r="M125" i="37" s="1"/>
  <c r="A125" i="37" s="1"/>
  <c r="B125" i="37"/>
  <c r="M124" i="37"/>
  <c r="K124" i="37"/>
  <c r="J124" i="37"/>
  <c r="I124" i="37"/>
  <c r="B124" i="37"/>
  <c r="A124" i="37"/>
  <c r="K123" i="37"/>
  <c r="J123" i="37"/>
  <c r="I123" i="37"/>
  <c r="M123" i="37" s="1"/>
  <c r="A123" i="37" s="1"/>
  <c r="B123" i="37"/>
  <c r="K122" i="37"/>
  <c r="J122" i="37"/>
  <c r="I122" i="37"/>
  <c r="M122" i="37" s="1"/>
  <c r="A122" i="37" s="1"/>
  <c r="B122" i="37"/>
  <c r="J121" i="37"/>
  <c r="K121" i="37" s="1"/>
  <c r="I121" i="37"/>
  <c r="M121" i="37" s="1"/>
  <c r="A121" i="37" s="1"/>
  <c r="B121" i="37"/>
  <c r="M120" i="37"/>
  <c r="K120" i="37"/>
  <c r="J120" i="37"/>
  <c r="I120" i="37"/>
  <c r="B120" i="37"/>
  <c r="A120" i="37"/>
  <c r="K119" i="37"/>
  <c r="J119" i="37"/>
  <c r="I119" i="37"/>
  <c r="M119" i="37" s="1"/>
  <c r="A119" i="37" s="1"/>
  <c r="B119" i="37"/>
  <c r="K118" i="37"/>
  <c r="J118" i="37"/>
  <c r="I118" i="37"/>
  <c r="M118" i="37" s="1"/>
  <c r="A118" i="37" s="1"/>
  <c r="B118" i="37"/>
  <c r="J117" i="37"/>
  <c r="K117" i="37" s="1"/>
  <c r="I117" i="37"/>
  <c r="M117" i="37" s="1"/>
  <c r="A117" i="37" s="1"/>
  <c r="B117" i="37"/>
  <c r="M116" i="37"/>
  <c r="K116" i="37"/>
  <c r="J116" i="37"/>
  <c r="I116" i="37"/>
  <c r="B116" i="37"/>
  <c r="A116" i="37"/>
  <c r="K115" i="37"/>
  <c r="J115" i="37"/>
  <c r="I115" i="37"/>
  <c r="M115" i="37" s="1"/>
  <c r="A115" i="37" s="1"/>
  <c r="B115" i="37"/>
  <c r="K114" i="37"/>
  <c r="J114" i="37"/>
  <c r="I114" i="37"/>
  <c r="M114" i="37" s="1"/>
  <c r="A114" i="37" s="1"/>
  <c r="B114" i="37"/>
  <c r="J113" i="37"/>
  <c r="K113" i="37" s="1"/>
  <c r="I113" i="37"/>
  <c r="M113" i="37" s="1"/>
  <c r="A113" i="37" s="1"/>
  <c r="B113" i="37"/>
  <c r="M112" i="37"/>
  <c r="K112" i="37"/>
  <c r="J112" i="37"/>
  <c r="I112" i="37"/>
  <c r="B112" i="37"/>
  <c r="A112" i="37"/>
  <c r="K111" i="37"/>
  <c r="J111" i="37"/>
  <c r="I111" i="37"/>
  <c r="M111" i="37" s="1"/>
  <c r="A111" i="37" s="1"/>
  <c r="B111" i="37"/>
  <c r="K110" i="37"/>
  <c r="J110" i="37"/>
  <c r="I110" i="37"/>
  <c r="M110" i="37" s="1"/>
  <c r="A110" i="37" s="1"/>
  <c r="B110" i="37"/>
  <c r="J109" i="37"/>
  <c r="K109" i="37" s="1"/>
  <c r="I109" i="37"/>
  <c r="M109" i="37" s="1"/>
  <c r="A109" i="37" s="1"/>
  <c r="B109" i="37"/>
  <c r="M108" i="37"/>
  <c r="K108" i="37"/>
  <c r="J108" i="37"/>
  <c r="I108" i="37"/>
  <c r="B108" i="37"/>
  <c r="A108" i="37"/>
  <c r="K107" i="37"/>
  <c r="J107" i="37"/>
  <c r="I107" i="37"/>
  <c r="M107" i="37" s="1"/>
  <c r="A107" i="37" s="1"/>
  <c r="B107" i="37"/>
  <c r="K106" i="37"/>
  <c r="J106" i="37"/>
  <c r="I106" i="37"/>
  <c r="M106" i="37" s="1"/>
  <c r="A106" i="37" s="1"/>
  <c r="B106" i="37"/>
  <c r="J105" i="37"/>
  <c r="K105" i="37" s="1"/>
  <c r="I105" i="37"/>
  <c r="M105" i="37" s="1"/>
  <c r="A105" i="37" s="1"/>
  <c r="B105" i="37"/>
  <c r="M104" i="37"/>
  <c r="K104" i="37"/>
  <c r="J104" i="37"/>
  <c r="I104" i="37"/>
  <c r="B104" i="37"/>
  <c r="A104" i="37"/>
  <c r="K103" i="37"/>
  <c r="J103" i="37"/>
  <c r="I103" i="37"/>
  <c r="M103" i="37" s="1"/>
  <c r="A103" i="37" s="1"/>
  <c r="B103" i="37"/>
  <c r="K102" i="37"/>
  <c r="J102" i="37"/>
  <c r="I102" i="37"/>
  <c r="M102" i="37" s="1"/>
  <c r="A102" i="37" s="1"/>
  <c r="B102" i="37"/>
  <c r="J101" i="37"/>
  <c r="K101" i="37" s="1"/>
  <c r="I101" i="37"/>
  <c r="M101" i="37" s="1"/>
  <c r="A101" i="37" s="1"/>
  <c r="B101" i="37"/>
  <c r="M100" i="37"/>
  <c r="K100" i="37"/>
  <c r="J100" i="37"/>
  <c r="I100" i="37"/>
  <c r="B100" i="37"/>
  <c r="A100" i="37"/>
  <c r="K99" i="37"/>
  <c r="J99" i="37"/>
  <c r="I99" i="37"/>
  <c r="M99" i="37" s="1"/>
  <c r="A99" i="37" s="1"/>
  <c r="B99" i="37"/>
  <c r="K98" i="37"/>
  <c r="J98" i="37"/>
  <c r="I98" i="37"/>
  <c r="M98" i="37" s="1"/>
  <c r="A98" i="37" s="1"/>
  <c r="B98" i="37"/>
  <c r="J97" i="37"/>
  <c r="K97" i="37" s="1"/>
  <c r="I97" i="37"/>
  <c r="M97" i="37" s="1"/>
  <c r="A97" i="37" s="1"/>
  <c r="B97" i="37"/>
  <c r="M96" i="37"/>
  <c r="K96" i="37"/>
  <c r="J96" i="37"/>
  <c r="I96" i="37"/>
  <c r="B96" i="37"/>
  <c r="A96" i="37"/>
  <c r="K95" i="37"/>
  <c r="J95" i="37"/>
  <c r="I95" i="37"/>
  <c r="M95" i="37" s="1"/>
  <c r="A95" i="37" s="1"/>
  <c r="B95" i="37"/>
  <c r="K94" i="37"/>
  <c r="J94" i="37"/>
  <c r="I94" i="37"/>
  <c r="M94" i="37" s="1"/>
  <c r="A94" i="37" s="1"/>
  <c r="B94" i="37"/>
  <c r="J93" i="37"/>
  <c r="K93" i="37" s="1"/>
  <c r="I93" i="37"/>
  <c r="M93" i="37" s="1"/>
  <c r="A93" i="37" s="1"/>
  <c r="B93" i="37"/>
  <c r="M92" i="37"/>
  <c r="K92" i="37"/>
  <c r="J92" i="37"/>
  <c r="I92" i="37"/>
  <c r="B92" i="37"/>
  <c r="A92" i="37"/>
  <c r="K91" i="37"/>
  <c r="J91" i="37"/>
  <c r="I91" i="37"/>
  <c r="M91" i="37" s="1"/>
  <c r="A91" i="37" s="1"/>
  <c r="B91" i="37"/>
  <c r="K90" i="37"/>
  <c r="J90" i="37"/>
  <c r="I90" i="37"/>
  <c r="M90" i="37" s="1"/>
  <c r="A90" i="37" s="1"/>
  <c r="B90" i="37"/>
  <c r="J89" i="37"/>
  <c r="K89" i="37" s="1"/>
  <c r="I89" i="37"/>
  <c r="M89" i="37" s="1"/>
  <c r="A89" i="37" s="1"/>
  <c r="B89" i="37"/>
  <c r="M88" i="37"/>
  <c r="K88" i="37"/>
  <c r="J88" i="37"/>
  <c r="I88" i="37"/>
  <c r="B88" i="37"/>
  <c r="A88" i="37"/>
  <c r="K87" i="37"/>
  <c r="J87" i="37"/>
  <c r="I87" i="37"/>
  <c r="M87" i="37" s="1"/>
  <c r="A87" i="37" s="1"/>
  <c r="B87" i="37"/>
  <c r="K86" i="37"/>
  <c r="J86" i="37"/>
  <c r="I86" i="37"/>
  <c r="M86" i="37" s="1"/>
  <c r="A86" i="37" s="1"/>
  <c r="B86" i="37"/>
  <c r="J85" i="37"/>
  <c r="K85" i="37" s="1"/>
  <c r="I85" i="37"/>
  <c r="M85" i="37" s="1"/>
  <c r="A85" i="37" s="1"/>
  <c r="B85" i="37"/>
  <c r="M84" i="37"/>
  <c r="K84" i="37"/>
  <c r="J84" i="37"/>
  <c r="I84" i="37"/>
  <c r="B84" i="37"/>
  <c r="A84" i="37"/>
  <c r="K83" i="37"/>
  <c r="J83" i="37"/>
  <c r="I83" i="37"/>
  <c r="M83" i="37" s="1"/>
  <c r="A83" i="37" s="1"/>
  <c r="B83" i="37"/>
  <c r="K82" i="37"/>
  <c r="J82" i="37"/>
  <c r="I82" i="37"/>
  <c r="M82" i="37" s="1"/>
  <c r="A82" i="37" s="1"/>
  <c r="B82" i="37"/>
  <c r="J81" i="37"/>
  <c r="K81" i="37" s="1"/>
  <c r="I81" i="37"/>
  <c r="M81" i="37" s="1"/>
  <c r="A81" i="37" s="1"/>
  <c r="B81" i="37"/>
  <c r="M80" i="37"/>
  <c r="K80" i="37"/>
  <c r="J80" i="37"/>
  <c r="I80" i="37"/>
  <c r="B80" i="37"/>
  <c r="A80" i="37"/>
  <c r="K79" i="37"/>
  <c r="J79" i="37"/>
  <c r="I79" i="37"/>
  <c r="M79" i="37" s="1"/>
  <c r="A79" i="37" s="1"/>
  <c r="B79" i="37"/>
  <c r="K78" i="37"/>
  <c r="J78" i="37"/>
  <c r="I78" i="37"/>
  <c r="M78" i="37" s="1"/>
  <c r="A78" i="37" s="1"/>
  <c r="B78" i="37"/>
  <c r="J77" i="37"/>
  <c r="K77" i="37" s="1"/>
  <c r="I77" i="37"/>
  <c r="M77" i="37" s="1"/>
  <c r="A77" i="37" s="1"/>
  <c r="B77" i="37"/>
  <c r="M76" i="37"/>
  <c r="K76" i="37"/>
  <c r="J76" i="37"/>
  <c r="I76" i="37"/>
  <c r="B76" i="37"/>
  <c r="A76" i="37"/>
  <c r="M75" i="37"/>
  <c r="A75" i="37" s="1"/>
  <c r="K75" i="37"/>
  <c r="J75" i="37"/>
  <c r="I75" i="37"/>
  <c r="B75" i="37"/>
  <c r="K74" i="37"/>
  <c r="J74" i="37"/>
  <c r="I74" i="37"/>
  <c r="M74" i="37" s="1"/>
  <c r="A74" i="37" s="1"/>
  <c r="B74" i="37"/>
  <c r="J73" i="37"/>
  <c r="K73" i="37" s="1"/>
  <c r="I73" i="37"/>
  <c r="M73" i="37" s="1"/>
  <c r="A73" i="37" s="1"/>
  <c r="B73" i="37"/>
  <c r="M72" i="37"/>
  <c r="K72" i="37"/>
  <c r="J72" i="37"/>
  <c r="I72" i="37"/>
  <c r="B72" i="37"/>
  <c r="A72" i="37"/>
  <c r="M71" i="37"/>
  <c r="A71" i="37" s="1"/>
  <c r="K71" i="37"/>
  <c r="J71" i="37"/>
  <c r="I71" i="37"/>
  <c r="B71" i="37"/>
  <c r="K70" i="37"/>
  <c r="J70" i="37"/>
  <c r="I70" i="37"/>
  <c r="M70" i="37" s="1"/>
  <c r="A70" i="37" s="1"/>
  <c r="B70" i="37"/>
  <c r="J69" i="37"/>
  <c r="K69" i="37" s="1"/>
  <c r="I69" i="37"/>
  <c r="M69" i="37" s="1"/>
  <c r="A69" i="37" s="1"/>
  <c r="B69" i="37"/>
  <c r="M68" i="37"/>
  <c r="K68" i="37"/>
  <c r="J68" i="37"/>
  <c r="I68" i="37"/>
  <c r="B68" i="37"/>
  <c r="A68" i="37"/>
  <c r="M67" i="37"/>
  <c r="A67" i="37" s="1"/>
  <c r="K67" i="37"/>
  <c r="J67" i="37"/>
  <c r="I67" i="37"/>
  <c r="B67" i="37"/>
  <c r="K66" i="37"/>
  <c r="J66" i="37"/>
  <c r="I66" i="37"/>
  <c r="M66" i="37" s="1"/>
  <c r="A66" i="37" s="1"/>
  <c r="B66" i="37"/>
  <c r="J65" i="37"/>
  <c r="K65" i="37" s="1"/>
  <c r="I65" i="37"/>
  <c r="M65" i="37" s="1"/>
  <c r="A65" i="37" s="1"/>
  <c r="B65" i="37"/>
  <c r="M64" i="37"/>
  <c r="K64" i="37"/>
  <c r="J64" i="37"/>
  <c r="I64" i="37"/>
  <c r="B64" i="37"/>
  <c r="A64" i="37"/>
  <c r="M63" i="37"/>
  <c r="A63" i="37" s="1"/>
  <c r="K63" i="37"/>
  <c r="J63" i="37"/>
  <c r="I63" i="37"/>
  <c r="B63" i="37"/>
  <c r="K62" i="37"/>
  <c r="J62" i="37"/>
  <c r="I62" i="37"/>
  <c r="M62" i="37" s="1"/>
  <c r="A62" i="37" s="1"/>
  <c r="B62" i="37"/>
  <c r="J61" i="37"/>
  <c r="K61" i="37" s="1"/>
  <c r="I61" i="37"/>
  <c r="M61" i="37" s="1"/>
  <c r="A61" i="37" s="1"/>
  <c r="B61" i="37"/>
  <c r="M60" i="37"/>
  <c r="K60" i="37"/>
  <c r="J60" i="37"/>
  <c r="I60" i="37"/>
  <c r="B60" i="37"/>
  <c r="A60" i="37"/>
  <c r="M59" i="37"/>
  <c r="A59" i="37" s="1"/>
  <c r="K59" i="37"/>
  <c r="J59" i="37"/>
  <c r="I59" i="37"/>
  <c r="B59" i="37"/>
  <c r="K58" i="37"/>
  <c r="J58" i="37"/>
  <c r="I58" i="37"/>
  <c r="M58" i="37" s="1"/>
  <c r="A58" i="37" s="1"/>
  <c r="B58" i="37"/>
  <c r="J57" i="37"/>
  <c r="K57" i="37" s="1"/>
  <c r="I57" i="37"/>
  <c r="M57" i="37" s="1"/>
  <c r="A57" i="37" s="1"/>
  <c r="B57" i="37"/>
  <c r="M56" i="37"/>
  <c r="K56" i="37"/>
  <c r="J56" i="37"/>
  <c r="I56" i="37"/>
  <c r="B56" i="37"/>
  <c r="A56" i="37"/>
  <c r="M55" i="37"/>
  <c r="A55" i="37" s="1"/>
  <c r="K55" i="37"/>
  <c r="J55" i="37"/>
  <c r="I55" i="37"/>
  <c r="B55" i="37"/>
  <c r="K54" i="37"/>
  <c r="J54" i="37"/>
  <c r="I54" i="37"/>
  <c r="M54" i="37" s="1"/>
  <c r="A54" i="37" s="1"/>
  <c r="B54" i="37"/>
  <c r="J53" i="37"/>
  <c r="K53" i="37" s="1"/>
  <c r="I53" i="37"/>
  <c r="M53" i="37" s="1"/>
  <c r="A53" i="37" s="1"/>
  <c r="B53" i="37"/>
  <c r="M52" i="37"/>
  <c r="K52" i="37"/>
  <c r="J52" i="37"/>
  <c r="I52" i="37"/>
  <c r="B52" i="37"/>
  <c r="A52" i="37"/>
  <c r="M51" i="37"/>
  <c r="A51" i="37" s="1"/>
  <c r="K51" i="37"/>
  <c r="J51" i="37"/>
  <c r="I51" i="37"/>
  <c r="B51" i="37"/>
  <c r="K50" i="37"/>
  <c r="J50" i="37"/>
  <c r="I50" i="37"/>
  <c r="M50" i="37" s="1"/>
  <c r="A50" i="37" s="1"/>
  <c r="B50" i="37"/>
  <c r="J49" i="37"/>
  <c r="K49" i="37" s="1"/>
  <c r="I49" i="37"/>
  <c r="M49" i="37" s="1"/>
  <c r="A49" i="37" s="1"/>
  <c r="B49" i="37"/>
  <c r="M48" i="37"/>
  <c r="K48" i="37"/>
  <c r="J48" i="37"/>
  <c r="I48" i="37"/>
  <c r="B48" i="37"/>
  <c r="A48" i="37"/>
  <c r="M47" i="37"/>
  <c r="A47" i="37" s="1"/>
  <c r="K47" i="37"/>
  <c r="J47" i="37"/>
  <c r="I47" i="37"/>
  <c r="B47" i="37"/>
  <c r="K46" i="37"/>
  <c r="J46" i="37"/>
  <c r="I46" i="37"/>
  <c r="M46" i="37" s="1"/>
  <c r="A46" i="37" s="1"/>
  <c r="B46" i="37"/>
  <c r="J45" i="37"/>
  <c r="K45" i="37" s="1"/>
  <c r="I45" i="37"/>
  <c r="M45" i="37" s="1"/>
  <c r="A45" i="37" s="1"/>
  <c r="B45" i="37"/>
  <c r="M44" i="37"/>
  <c r="K44" i="37"/>
  <c r="J44" i="37"/>
  <c r="I44" i="37"/>
  <c r="B44" i="37"/>
  <c r="A44" i="37"/>
  <c r="M43" i="37"/>
  <c r="A43" i="37" s="1"/>
  <c r="K43" i="37"/>
  <c r="J43" i="37"/>
  <c r="I43" i="37"/>
  <c r="B43" i="37"/>
  <c r="K42" i="37"/>
  <c r="J42" i="37"/>
  <c r="I42" i="37"/>
  <c r="M42" i="37" s="1"/>
  <c r="A42" i="37" s="1"/>
  <c r="B42" i="37"/>
  <c r="J41" i="37"/>
  <c r="K41" i="37" s="1"/>
  <c r="I41" i="37"/>
  <c r="M41" i="37" s="1"/>
  <c r="A41" i="37" s="1"/>
  <c r="B41" i="37"/>
  <c r="M40" i="37"/>
  <c r="K40" i="37"/>
  <c r="J40" i="37"/>
  <c r="I40" i="37"/>
  <c r="B40" i="37"/>
  <c r="A40" i="37"/>
  <c r="M39" i="37"/>
  <c r="A39" i="37" s="1"/>
  <c r="K39" i="37"/>
  <c r="J39" i="37"/>
  <c r="I39" i="37"/>
  <c r="B39" i="37"/>
  <c r="K38" i="37"/>
  <c r="J38" i="37"/>
  <c r="I38" i="37"/>
  <c r="M38" i="37" s="1"/>
  <c r="A38" i="37" s="1"/>
  <c r="B38" i="37"/>
  <c r="J37" i="37"/>
  <c r="K37" i="37" s="1"/>
  <c r="I37" i="37"/>
  <c r="M37" i="37" s="1"/>
  <c r="A37" i="37" s="1"/>
  <c r="B37" i="37"/>
  <c r="M36" i="37"/>
  <c r="K36" i="37"/>
  <c r="J36" i="37"/>
  <c r="I36" i="37"/>
  <c r="B36" i="37"/>
  <c r="A36" i="37"/>
  <c r="M35" i="37"/>
  <c r="A35" i="37" s="1"/>
  <c r="K35" i="37"/>
  <c r="J35" i="37"/>
  <c r="I35" i="37"/>
  <c r="B35" i="37"/>
  <c r="K34" i="37"/>
  <c r="J34" i="37"/>
  <c r="I34" i="37"/>
  <c r="M34" i="37" s="1"/>
  <c r="A34" i="37" s="1"/>
  <c r="B34" i="37"/>
  <c r="J33" i="37"/>
  <c r="K33" i="37" s="1"/>
  <c r="I33" i="37"/>
  <c r="M33" i="37" s="1"/>
  <c r="A33" i="37" s="1"/>
  <c r="B33" i="37"/>
  <c r="M32" i="37"/>
  <c r="K32" i="37"/>
  <c r="J32" i="37"/>
  <c r="I32" i="37"/>
  <c r="B32" i="37"/>
  <c r="A32" i="37"/>
  <c r="M31" i="37"/>
  <c r="A31" i="37" s="1"/>
  <c r="K31" i="37"/>
  <c r="J31" i="37"/>
  <c r="I31" i="37"/>
  <c r="B31" i="37"/>
  <c r="K30" i="37"/>
  <c r="J30" i="37"/>
  <c r="I30" i="37"/>
  <c r="M30" i="37" s="1"/>
  <c r="A30" i="37" s="1"/>
  <c r="B30" i="37"/>
  <c r="J29" i="37"/>
  <c r="K29" i="37" s="1"/>
  <c r="I29" i="37"/>
  <c r="M29" i="37" s="1"/>
  <c r="A29" i="37" s="1"/>
  <c r="B29" i="37"/>
  <c r="M28" i="37"/>
  <c r="K28" i="37"/>
  <c r="J28" i="37"/>
  <c r="I28" i="37"/>
  <c r="B28" i="37"/>
  <c r="A28" i="37"/>
  <c r="M27" i="37"/>
  <c r="A27" i="37" s="1"/>
  <c r="K27" i="37"/>
  <c r="J27" i="37"/>
  <c r="I27" i="37"/>
  <c r="B27" i="37"/>
  <c r="K26" i="37"/>
  <c r="J26" i="37"/>
  <c r="I26" i="37"/>
  <c r="M26" i="37" s="1"/>
  <c r="A26" i="37" s="1"/>
  <c r="B26" i="37"/>
  <c r="J25" i="37"/>
  <c r="K25" i="37" s="1"/>
  <c r="I25" i="37"/>
  <c r="M25" i="37" s="1"/>
  <c r="A25" i="37" s="1"/>
  <c r="B25" i="37"/>
  <c r="M24" i="37"/>
  <c r="K24" i="37"/>
  <c r="J24" i="37"/>
  <c r="I24" i="37"/>
  <c r="B24" i="37"/>
  <c r="A24" i="37"/>
  <c r="M23" i="37"/>
  <c r="A23" i="37" s="1"/>
  <c r="K23" i="37"/>
  <c r="J23" i="37"/>
  <c r="I23" i="37"/>
  <c r="B23" i="37"/>
  <c r="K22" i="37"/>
  <c r="J22" i="37"/>
  <c r="I22" i="37"/>
  <c r="M22" i="37" s="1"/>
  <c r="A22" i="37" s="1"/>
  <c r="B22" i="37"/>
  <c r="J21" i="37"/>
  <c r="K21" i="37" s="1"/>
  <c r="I21" i="37"/>
  <c r="M21" i="37" s="1"/>
  <c r="A21" i="37" s="1"/>
  <c r="B21" i="37"/>
  <c r="M20" i="37"/>
  <c r="K20" i="37"/>
  <c r="J20" i="37"/>
  <c r="I20" i="37"/>
  <c r="B20" i="37"/>
  <c r="A20" i="37"/>
  <c r="M19" i="37"/>
  <c r="A19" i="37" s="1"/>
  <c r="K19" i="37"/>
  <c r="J19" i="37"/>
  <c r="I19" i="37"/>
  <c r="B19" i="37"/>
  <c r="J18" i="37"/>
  <c r="K18" i="37" s="1"/>
  <c r="I18" i="37"/>
  <c r="M18" i="37" s="1"/>
  <c r="A18" i="37" s="1"/>
  <c r="B18" i="37"/>
  <c r="J17" i="37"/>
  <c r="K17" i="37" s="1"/>
  <c r="I17" i="37"/>
  <c r="M17" i="37" s="1"/>
  <c r="A17" i="37" s="1"/>
  <c r="B17" i="37"/>
  <c r="M16" i="37"/>
  <c r="K16" i="37"/>
  <c r="J16" i="37"/>
  <c r="I16" i="37"/>
  <c r="B16" i="37"/>
  <c r="A16" i="37"/>
  <c r="M15" i="37"/>
  <c r="A15" i="37" s="1"/>
  <c r="J15" i="37"/>
  <c r="K15" i="37" s="1"/>
  <c r="I15" i="37"/>
  <c r="B15" i="37"/>
  <c r="AI14" i="37"/>
  <c r="AI16" i="37" s="1"/>
  <c r="M14" i="37"/>
  <c r="A14" i="37" s="1"/>
  <c r="K14" i="37"/>
  <c r="J14" i="37"/>
  <c r="I14" i="37"/>
  <c r="B14" i="37"/>
  <c r="AI13" i="37"/>
  <c r="M13" i="37"/>
  <c r="A13" i="37" s="1"/>
  <c r="J13" i="37"/>
  <c r="K13" i="37" s="1"/>
  <c r="I13" i="37"/>
  <c r="B13" i="37"/>
  <c r="AI12" i="37"/>
  <c r="J12" i="37"/>
  <c r="K12" i="37" s="1"/>
  <c r="I12" i="37"/>
  <c r="M12" i="37" s="1"/>
  <c r="A12" i="37" s="1"/>
  <c r="B12" i="37"/>
  <c r="J11" i="37"/>
  <c r="K11" i="37" s="1"/>
  <c r="I11" i="37"/>
  <c r="M11" i="37" s="1"/>
  <c r="A11" i="37" s="1"/>
  <c r="B11" i="37"/>
  <c r="M10" i="37"/>
  <c r="K10" i="37"/>
  <c r="J10" i="37"/>
  <c r="I10" i="37"/>
  <c r="B10" i="37"/>
  <c r="A10" i="37"/>
  <c r="M9" i="37"/>
  <c r="A9" i="37" s="1"/>
  <c r="L9" i="37"/>
  <c r="J9" i="37"/>
  <c r="K9" i="37" s="1"/>
  <c r="I9" i="37"/>
  <c r="B9" i="37"/>
  <c r="M8" i="37"/>
  <c r="A8" i="37" s="1"/>
  <c r="L8" i="37"/>
  <c r="K8" i="37"/>
  <c r="J8" i="37"/>
  <c r="I8" i="37"/>
  <c r="B8" i="37"/>
  <c r="L7" i="37"/>
  <c r="J7" i="37"/>
  <c r="K7" i="37" s="1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B12" i="18"/>
  <c r="B11" i="18"/>
  <c r="B10" i="18"/>
  <c r="B9" i="18"/>
  <c r="B8" i="18"/>
  <c r="B7" i="18"/>
  <c r="B6" i="18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4" i="20"/>
  <c r="AW14" i="20" s="1"/>
  <c r="AV9" i="20"/>
  <c r="AW9" i="20" s="1"/>
  <c r="AV13" i="20"/>
  <c r="AW13" i="20" s="1"/>
  <c r="AV12" i="20"/>
  <c r="AW12" i="20" s="1"/>
  <c r="AV8" i="20"/>
  <c r="AW8" i="20" s="1"/>
  <c r="AV10" i="20"/>
  <c r="AW10" i="20" s="1"/>
  <c r="AV7" i="20"/>
  <c r="AW7" i="20" s="1"/>
  <c r="AV11" i="20"/>
  <c r="AW11" i="20" s="1"/>
  <c r="AV6" i="20"/>
  <c r="AW6" i="20" s="1"/>
  <c r="AT19" i="20"/>
  <c r="AT9" i="20"/>
  <c r="AT13" i="20"/>
  <c r="AT12" i="20"/>
  <c r="AU12" i="20" s="1"/>
  <c r="AT10" i="20"/>
  <c r="AT7" i="20"/>
  <c r="AT11" i="20"/>
  <c r="AT6" i="20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4" i="20"/>
  <c r="AS14" i="20" s="1"/>
  <c r="AR9" i="20"/>
  <c r="AS9" i="20" s="1"/>
  <c r="AR13" i="20"/>
  <c r="AS13" i="20" s="1"/>
  <c r="AR12" i="20"/>
  <c r="AS12" i="20" s="1"/>
  <c r="AR8" i="20"/>
  <c r="AS8" i="20" s="1"/>
  <c r="AR10" i="20"/>
  <c r="AS10" i="20" s="1"/>
  <c r="AR7" i="20"/>
  <c r="AS7" i="20" s="1"/>
  <c r="AR11" i="20"/>
  <c r="AS11" i="20" s="1"/>
  <c r="AR6" i="20"/>
  <c r="AS6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4" i="20"/>
  <c r="AQ14" i="20" s="1"/>
  <c r="AP9" i="20"/>
  <c r="AQ9" i="20" s="1"/>
  <c r="AP13" i="20"/>
  <c r="AQ13" i="20" s="1"/>
  <c r="AP12" i="20"/>
  <c r="AQ12" i="20" s="1"/>
  <c r="AP8" i="20"/>
  <c r="AQ8" i="20" s="1"/>
  <c r="AP10" i="20"/>
  <c r="AQ10" i="20" s="1"/>
  <c r="AP7" i="20"/>
  <c r="AQ7" i="20" s="1"/>
  <c r="AP11" i="20"/>
  <c r="AQ11" i="20" s="1"/>
  <c r="AP6" i="20"/>
  <c r="AQ6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4" i="20"/>
  <c r="AO14" i="20" s="1"/>
  <c r="AN9" i="20"/>
  <c r="AO9" i="20" s="1"/>
  <c r="AN13" i="20"/>
  <c r="AO13" i="20" s="1"/>
  <c r="AN12" i="20"/>
  <c r="AO12" i="20" s="1"/>
  <c r="AN8" i="20"/>
  <c r="AO8" i="20" s="1"/>
  <c r="AN10" i="20"/>
  <c r="AO10" i="20" s="1"/>
  <c r="AN7" i="20"/>
  <c r="AO7" i="20" s="1"/>
  <c r="AN11" i="20"/>
  <c r="AO11" i="20" s="1"/>
  <c r="AN6" i="20"/>
  <c r="AO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J302" i="36"/>
  <c r="K302" i="36" s="1"/>
  <c r="I302" i="36"/>
  <c r="M302" i="36" s="1"/>
  <c r="M301" i="36"/>
  <c r="J301" i="36"/>
  <c r="K301" i="36" s="1"/>
  <c r="I301" i="36"/>
  <c r="J300" i="36"/>
  <c r="K300" i="36" s="1"/>
  <c r="I300" i="36"/>
  <c r="M300" i="36" s="1"/>
  <c r="J299" i="36"/>
  <c r="K299" i="36" s="1"/>
  <c r="I299" i="36"/>
  <c r="M299" i="36" s="1"/>
  <c r="K298" i="36"/>
  <c r="J298" i="36"/>
  <c r="I298" i="36"/>
  <c r="M298" i="36" s="1"/>
  <c r="M297" i="36"/>
  <c r="J297" i="36"/>
  <c r="K297" i="36" s="1"/>
  <c r="I297" i="36"/>
  <c r="J296" i="36"/>
  <c r="K296" i="36" s="1"/>
  <c r="I296" i="36"/>
  <c r="M296" i="36" s="1"/>
  <c r="J295" i="36"/>
  <c r="K295" i="36" s="1"/>
  <c r="I295" i="36"/>
  <c r="M295" i="36" s="1"/>
  <c r="K294" i="36"/>
  <c r="J294" i="36"/>
  <c r="I294" i="36"/>
  <c r="M294" i="36" s="1"/>
  <c r="M293" i="36"/>
  <c r="J293" i="36"/>
  <c r="K293" i="36" s="1"/>
  <c r="I293" i="36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M289" i="36"/>
  <c r="J289" i="36"/>
  <c r="K289" i="36" s="1"/>
  <c r="I289" i="36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M285" i="36"/>
  <c r="J285" i="36"/>
  <c r="K285" i="36" s="1"/>
  <c r="I285" i="36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M281" i="36"/>
  <c r="J281" i="36"/>
  <c r="K281" i="36" s="1"/>
  <c r="I281" i="36"/>
  <c r="J280" i="36"/>
  <c r="K280" i="36" s="1"/>
  <c r="I280" i="36"/>
  <c r="M280" i="36" s="1"/>
  <c r="J279" i="36"/>
  <c r="K279" i="36" s="1"/>
  <c r="I279" i="36"/>
  <c r="M279" i="36" s="1"/>
  <c r="K278" i="36"/>
  <c r="J278" i="36"/>
  <c r="I278" i="36"/>
  <c r="M278" i="36" s="1"/>
  <c r="M277" i="36"/>
  <c r="J277" i="36"/>
  <c r="K277" i="36" s="1"/>
  <c r="I277" i="36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M273" i="36"/>
  <c r="J273" i="36"/>
  <c r="K273" i="36" s="1"/>
  <c r="I273" i="36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M269" i="36"/>
  <c r="J269" i="36"/>
  <c r="K269" i="36" s="1"/>
  <c r="I269" i="36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M265" i="36"/>
  <c r="J265" i="36"/>
  <c r="K265" i="36" s="1"/>
  <c r="I265" i="36"/>
  <c r="J264" i="36"/>
  <c r="K264" i="36" s="1"/>
  <c r="I264" i="36"/>
  <c r="M264" i="36" s="1"/>
  <c r="J263" i="36"/>
  <c r="K263" i="36" s="1"/>
  <c r="I263" i="36"/>
  <c r="M263" i="36" s="1"/>
  <c r="K262" i="36"/>
  <c r="J262" i="36"/>
  <c r="I262" i="36"/>
  <c r="M262" i="36" s="1"/>
  <c r="M261" i="36"/>
  <c r="J261" i="36"/>
  <c r="K261" i="36" s="1"/>
  <c r="I261" i="36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M257" i="36"/>
  <c r="J257" i="36"/>
  <c r="K257" i="36" s="1"/>
  <c r="I257" i="36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M253" i="36"/>
  <c r="J253" i="36"/>
  <c r="K253" i="36" s="1"/>
  <c r="I253" i="36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M249" i="36"/>
  <c r="J249" i="36"/>
  <c r="K249" i="36" s="1"/>
  <c r="I249" i="36"/>
  <c r="J248" i="36"/>
  <c r="K248" i="36" s="1"/>
  <c r="I248" i="36"/>
  <c r="M248" i="36" s="1"/>
  <c r="J247" i="36"/>
  <c r="K247" i="36" s="1"/>
  <c r="I247" i="36"/>
  <c r="M247" i="36" s="1"/>
  <c r="K246" i="36"/>
  <c r="J246" i="36"/>
  <c r="I246" i="36"/>
  <c r="M246" i="36" s="1"/>
  <c r="M245" i="36"/>
  <c r="J245" i="36"/>
  <c r="K245" i="36" s="1"/>
  <c r="I245" i="36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M241" i="36"/>
  <c r="J241" i="36"/>
  <c r="K241" i="36" s="1"/>
  <c r="I241" i="36"/>
  <c r="J240" i="36"/>
  <c r="K240" i="36" s="1"/>
  <c r="I240" i="36"/>
  <c r="M240" i="36" s="1"/>
  <c r="J239" i="36"/>
  <c r="K239" i="36" s="1"/>
  <c r="I239" i="36"/>
  <c r="M239" i="36" s="1"/>
  <c r="K238" i="36"/>
  <c r="J238" i="36"/>
  <c r="I238" i="36"/>
  <c r="M238" i="36" s="1"/>
  <c r="M237" i="36"/>
  <c r="J237" i="36"/>
  <c r="K237" i="36" s="1"/>
  <c r="I237" i="36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M233" i="36"/>
  <c r="J233" i="36"/>
  <c r="K233" i="36" s="1"/>
  <c r="I233" i="36"/>
  <c r="J232" i="36"/>
  <c r="K232" i="36" s="1"/>
  <c r="I232" i="36"/>
  <c r="M232" i="36" s="1"/>
  <c r="J231" i="36"/>
  <c r="K231" i="36" s="1"/>
  <c r="I231" i="36"/>
  <c r="M231" i="36" s="1"/>
  <c r="K230" i="36"/>
  <c r="J230" i="36"/>
  <c r="I230" i="36"/>
  <c r="M230" i="36" s="1"/>
  <c r="M229" i="36"/>
  <c r="J229" i="36"/>
  <c r="K229" i="36" s="1"/>
  <c r="I229" i="36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M225" i="36"/>
  <c r="J225" i="36"/>
  <c r="K225" i="36" s="1"/>
  <c r="I225" i="36"/>
  <c r="J224" i="36"/>
  <c r="K224" i="36" s="1"/>
  <c r="I224" i="36"/>
  <c r="M224" i="36" s="1"/>
  <c r="J223" i="36"/>
  <c r="K223" i="36" s="1"/>
  <c r="I223" i="36"/>
  <c r="M223" i="36" s="1"/>
  <c r="K222" i="36"/>
  <c r="J222" i="36"/>
  <c r="I222" i="36"/>
  <c r="M222" i="36" s="1"/>
  <c r="M221" i="36"/>
  <c r="J221" i="36"/>
  <c r="K221" i="36" s="1"/>
  <c r="I221" i="36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M217" i="36"/>
  <c r="J217" i="36"/>
  <c r="K217" i="36" s="1"/>
  <c r="I217" i="36"/>
  <c r="J216" i="36"/>
  <c r="K216" i="36" s="1"/>
  <c r="I216" i="36"/>
  <c r="M216" i="36" s="1"/>
  <c r="J215" i="36"/>
  <c r="K215" i="36" s="1"/>
  <c r="I215" i="36"/>
  <c r="M215" i="36" s="1"/>
  <c r="K214" i="36"/>
  <c r="J214" i="36"/>
  <c r="I214" i="36"/>
  <c r="M214" i="36" s="1"/>
  <c r="M213" i="36"/>
  <c r="J213" i="36"/>
  <c r="K213" i="36" s="1"/>
  <c r="I213" i="36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M209" i="36"/>
  <c r="J209" i="36"/>
  <c r="K209" i="36" s="1"/>
  <c r="I209" i="36"/>
  <c r="J208" i="36"/>
  <c r="K208" i="36" s="1"/>
  <c r="I208" i="36"/>
  <c r="M208" i="36" s="1"/>
  <c r="J207" i="36"/>
  <c r="K207" i="36" s="1"/>
  <c r="I207" i="36"/>
  <c r="M207" i="36" s="1"/>
  <c r="K206" i="36"/>
  <c r="J206" i="36"/>
  <c r="I206" i="36"/>
  <c r="M206" i="36" s="1"/>
  <c r="M205" i="36"/>
  <c r="J205" i="36"/>
  <c r="K205" i="36" s="1"/>
  <c r="I205" i="36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M201" i="36"/>
  <c r="J201" i="36"/>
  <c r="K201" i="36" s="1"/>
  <c r="I201" i="36"/>
  <c r="J200" i="36"/>
  <c r="K200" i="36" s="1"/>
  <c r="I200" i="36"/>
  <c r="M200" i="36" s="1"/>
  <c r="J199" i="36"/>
  <c r="K199" i="36" s="1"/>
  <c r="I199" i="36"/>
  <c r="M199" i="36" s="1"/>
  <c r="K198" i="36"/>
  <c r="J198" i="36"/>
  <c r="I198" i="36"/>
  <c r="M198" i="36" s="1"/>
  <c r="M197" i="36"/>
  <c r="J197" i="36"/>
  <c r="K197" i="36" s="1"/>
  <c r="I197" i="36"/>
  <c r="J196" i="36"/>
  <c r="K196" i="36" s="1"/>
  <c r="I196" i="36"/>
  <c r="M196" i="36" s="1"/>
  <c r="J195" i="36"/>
  <c r="K195" i="36" s="1"/>
  <c r="I195" i="36"/>
  <c r="M195" i="36" s="1"/>
  <c r="J194" i="36"/>
  <c r="K194" i="36" s="1"/>
  <c r="I194" i="36"/>
  <c r="M194" i="36" s="1"/>
  <c r="M193" i="36"/>
  <c r="J193" i="36"/>
  <c r="K193" i="36" s="1"/>
  <c r="I193" i="36"/>
  <c r="J192" i="36"/>
  <c r="K192" i="36" s="1"/>
  <c r="I192" i="36"/>
  <c r="M192" i="36" s="1"/>
  <c r="J191" i="36"/>
  <c r="K191" i="36" s="1"/>
  <c r="I191" i="36"/>
  <c r="M191" i="36" s="1"/>
  <c r="K190" i="36"/>
  <c r="J190" i="36"/>
  <c r="I190" i="36"/>
  <c r="M190" i="36" s="1"/>
  <c r="M189" i="36"/>
  <c r="J189" i="36"/>
  <c r="K189" i="36" s="1"/>
  <c r="I189" i="36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M185" i="36"/>
  <c r="J185" i="36"/>
  <c r="K185" i="36" s="1"/>
  <c r="I185" i="36"/>
  <c r="J184" i="36"/>
  <c r="K184" i="36" s="1"/>
  <c r="I184" i="36"/>
  <c r="M184" i="36" s="1"/>
  <c r="J183" i="36"/>
  <c r="K183" i="36" s="1"/>
  <c r="I183" i="36"/>
  <c r="M183" i="36" s="1"/>
  <c r="K182" i="36"/>
  <c r="J182" i="36"/>
  <c r="I182" i="36"/>
  <c r="M182" i="36" s="1"/>
  <c r="M181" i="36"/>
  <c r="J181" i="36"/>
  <c r="K181" i="36" s="1"/>
  <c r="I181" i="36"/>
  <c r="J180" i="36"/>
  <c r="K180" i="36" s="1"/>
  <c r="I180" i="36"/>
  <c r="M180" i="36" s="1"/>
  <c r="J179" i="36"/>
  <c r="K179" i="36" s="1"/>
  <c r="I179" i="36"/>
  <c r="M179" i="36" s="1"/>
  <c r="J178" i="36"/>
  <c r="K178" i="36" s="1"/>
  <c r="I178" i="36"/>
  <c r="M178" i="36" s="1"/>
  <c r="M177" i="36"/>
  <c r="J177" i="36"/>
  <c r="K177" i="36" s="1"/>
  <c r="I177" i="36"/>
  <c r="J176" i="36"/>
  <c r="K176" i="36" s="1"/>
  <c r="I176" i="36"/>
  <c r="M176" i="36" s="1"/>
  <c r="J175" i="36"/>
  <c r="K175" i="36" s="1"/>
  <c r="I175" i="36"/>
  <c r="M175" i="36" s="1"/>
  <c r="K174" i="36"/>
  <c r="J174" i="36"/>
  <c r="I174" i="36"/>
  <c r="M174" i="36" s="1"/>
  <c r="M173" i="36"/>
  <c r="J173" i="36"/>
  <c r="K173" i="36" s="1"/>
  <c r="I173" i="36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M169" i="36"/>
  <c r="J169" i="36"/>
  <c r="K169" i="36" s="1"/>
  <c r="I169" i="36"/>
  <c r="J168" i="36"/>
  <c r="K168" i="36" s="1"/>
  <c r="I168" i="36"/>
  <c r="M168" i="36" s="1"/>
  <c r="J167" i="36"/>
  <c r="K167" i="36" s="1"/>
  <c r="I167" i="36"/>
  <c r="M167" i="36" s="1"/>
  <c r="K166" i="36"/>
  <c r="J166" i="36"/>
  <c r="I166" i="36"/>
  <c r="M166" i="36" s="1"/>
  <c r="M165" i="36"/>
  <c r="J165" i="36"/>
  <c r="K165" i="36" s="1"/>
  <c r="I165" i="36"/>
  <c r="J164" i="36"/>
  <c r="K164" i="36" s="1"/>
  <c r="I164" i="36"/>
  <c r="M164" i="36" s="1"/>
  <c r="J163" i="36"/>
  <c r="K163" i="36" s="1"/>
  <c r="I163" i="36"/>
  <c r="M163" i="36" s="1"/>
  <c r="K162" i="36"/>
  <c r="J162" i="36"/>
  <c r="I162" i="36"/>
  <c r="M162" i="36" s="1"/>
  <c r="M161" i="36"/>
  <c r="J161" i="36"/>
  <c r="K161" i="36" s="1"/>
  <c r="I161" i="36"/>
  <c r="J160" i="36"/>
  <c r="K160" i="36" s="1"/>
  <c r="I160" i="36"/>
  <c r="M160" i="36" s="1"/>
  <c r="J159" i="36"/>
  <c r="K159" i="36" s="1"/>
  <c r="I159" i="36"/>
  <c r="M159" i="36" s="1"/>
  <c r="K158" i="36"/>
  <c r="J158" i="36"/>
  <c r="I158" i="36"/>
  <c r="M158" i="36" s="1"/>
  <c r="M157" i="36"/>
  <c r="J157" i="36"/>
  <c r="K157" i="36" s="1"/>
  <c r="I157" i="36"/>
  <c r="K156" i="36"/>
  <c r="J156" i="36"/>
  <c r="I156" i="36"/>
  <c r="M156" i="36" s="1"/>
  <c r="J155" i="36"/>
  <c r="K155" i="36" s="1"/>
  <c r="I155" i="36"/>
  <c r="M155" i="36" s="1"/>
  <c r="K154" i="36"/>
  <c r="J154" i="36"/>
  <c r="I154" i="36"/>
  <c r="M154" i="36" s="1"/>
  <c r="M153" i="36"/>
  <c r="J153" i="36"/>
  <c r="K153" i="36" s="1"/>
  <c r="I153" i="36"/>
  <c r="J152" i="36"/>
  <c r="K152" i="36" s="1"/>
  <c r="I152" i="36"/>
  <c r="M152" i="36" s="1"/>
  <c r="J151" i="36"/>
  <c r="K151" i="36" s="1"/>
  <c r="I151" i="36"/>
  <c r="M151" i="36" s="1"/>
  <c r="K150" i="36"/>
  <c r="J150" i="36"/>
  <c r="I150" i="36"/>
  <c r="M150" i="36" s="1"/>
  <c r="M149" i="36"/>
  <c r="J149" i="36"/>
  <c r="K149" i="36" s="1"/>
  <c r="I149" i="36"/>
  <c r="K148" i="36"/>
  <c r="J148" i="36"/>
  <c r="I148" i="36"/>
  <c r="M148" i="36" s="1"/>
  <c r="J147" i="36"/>
  <c r="K147" i="36" s="1"/>
  <c r="I147" i="36"/>
  <c r="M147" i="36" s="1"/>
  <c r="K146" i="36"/>
  <c r="J146" i="36"/>
  <c r="I146" i="36"/>
  <c r="M146" i="36" s="1"/>
  <c r="M145" i="36"/>
  <c r="J145" i="36"/>
  <c r="K145" i="36" s="1"/>
  <c r="I145" i="36"/>
  <c r="J144" i="36"/>
  <c r="K144" i="36" s="1"/>
  <c r="I144" i="36"/>
  <c r="M144" i="36" s="1"/>
  <c r="J143" i="36"/>
  <c r="K143" i="36" s="1"/>
  <c r="I143" i="36"/>
  <c r="M143" i="36" s="1"/>
  <c r="K142" i="36"/>
  <c r="J142" i="36"/>
  <c r="I142" i="36"/>
  <c r="M142" i="36" s="1"/>
  <c r="M141" i="36"/>
  <c r="J141" i="36"/>
  <c r="K141" i="36" s="1"/>
  <c r="I141" i="36"/>
  <c r="K140" i="36"/>
  <c r="J140" i="36"/>
  <c r="I140" i="36"/>
  <c r="M140" i="36" s="1"/>
  <c r="A140" i="36" s="1"/>
  <c r="B140" i="36"/>
  <c r="M139" i="36"/>
  <c r="K139" i="36"/>
  <c r="J139" i="36"/>
  <c r="I139" i="36"/>
  <c r="B139" i="36"/>
  <c r="A139" i="36"/>
  <c r="M138" i="36"/>
  <c r="A138" i="36" s="1"/>
  <c r="J138" i="36"/>
  <c r="K138" i="36" s="1"/>
  <c r="I138" i="36"/>
  <c r="B138" i="36"/>
  <c r="K137" i="36"/>
  <c r="J137" i="36"/>
  <c r="I137" i="36"/>
  <c r="M137" i="36" s="1"/>
  <c r="A137" i="36" s="1"/>
  <c r="B137" i="36"/>
  <c r="M136" i="36"/>
  <c r="A136" i="36" s="1"/>
  <c r="K136" i="36"/>
  <c r="J136" i="36"/>
  <c r="I136" i="36"/>
  <c r="B136" i="36"/>
  <c r="J135" i="36"/>
  <c r="K135" i="36" s="1"/>
  <c r="I135" i="36"/>
  <c r="M135" i="36" s="1"/>
  <c r="A135" i="36" s="1"/>
  <c r="B135" i="36"/>
  <c r="M134" i="36"/>
  <c r="A134" i="36" s="1"/>
  <c r="K134" i="36"/>
  <c r="J134" i="36"/>
  <c r="I134" i="36"/>
  <c r="B134" i="36"/>
  <c r="K133" i="36"/>
  <c r="J133" i="36"/>
  <c r="I133" i="36"/>
  <c r="M133" i="36" s="1"/>
  <c r="A133" i="36" s="1"/>
  <c r="B133" i="36"/>
  <c r="K132" i="36"/>
  <c r="J132" i="36"/>
  <c r="I132" i="36"/>
  <c r="M132" i="36" s="1"/>
  <c r="A132" i="36" s="1"/>
  <c r="B132" i="36"/>
  <c r="J131" i="36"/>
  <c r="K131" i="36" s="1"/>
  <c r="I131" i="36"/>
  <c r="M131" i="36" s="1"/>
  <c r="A131" i="36" s="1"/>
  <c r="B131" i="36"/>
  <c r="M130" i="36"/>
  <c r="A130" i="36" s="1"/>
  <c r="K130" i="36"/>
  <c r="J130" i="36"/>
  <c r="I130" i="36"/>
  <c r="B130" i="36"/>
  <c r="K129" i="36"/>
  <c r="J129" i="36"/>
  <c r="I129" i="36"/>
  <c r="M129" i="36" s="1"/>
  <c r="A129" i="36" s="1"/>
  <c r="B129" i="36"/>
  <c r="J128" i="36"/>
  <c r="K128" i="36" s="1"/>
  <c r="I128" i="36"/>
  <c r="M128" i="36" s="1"/>
  <c r="A128" i="36" s="1"/>
  <c r="B128" i="36"/>
  <c r="J127" i="36"/>
  <c r="K127" i="36" s="1"/>
  <c r="I127" i="36"/>
  <c r="M127" i="36" s="1"/>
  <c r="B127" i="36"/>
  <c r="A127" i="36"/>
  <c r="M126" i="36"/>
  <c r="A126" i="36" s="1"/>
  <c r="K126" i="36"/>
  <c r="J126" i="36"/>
  <c r="I126" i="36"/>
  <c r="B126" i="36"/>
  <c r="K125" i="36"/>
  <c r="J125" i="36"/>
  <c r="I125" i="36"/>
  <c r="M125" i="36" s="1"/>
  <c r="A125" i="36" s="1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B123" i="36"/>
  <c r="A123" i="36"/>
  <c r="M122" i="36"/>
  <c r="A122" i="36" s="1"/>
  <c r="K122" i="36"/>
  <c r="J122" i="36"/>
  <c r="I122" i="36"/>
  <c r="B122" i="36"/>
  <c r="J121" i="36"/>
  <c r="K121" i="36" s="1"/>
  <c r="I121" i="36"/>
  <c r="M121" i="36" s="1"/>
  <c r="A121" i="36" s="1"/>
  <c r="B121" i="36"/>
  <c r="M120" i="36"/>
  <c r="A120" i="36" s="1"/>
  <c r="J120" i="36"/>
  <c r="K120" i="36" s="1"/>
  <c r="I120" i="36"/>
  <c r="B120" i="36"/>
  <c r="J119" i="36"/>
  <c r="K119" i="36" s="1"/>
  <c r="I119" i="36"/>
  <c r="M119" i="36" s="1"/>
  <c r="B119" i="36"/>
  <c r="A119" i="36"/>
  <c r="M118" i="36"/>
  <c r="A118" i="36" s="1"/>
  <c r="K118" i="36"/>
  <c r="J118" i="36"/>
  <c r="I118" i="36"/>
  <c r="B118" i="36"/>
  <c r="J117" i="36"/>
  <c r="K117" i="36" s="1"/>
  <c r="I117" i="36"/>
  <c r="M117" i="36" s="1"/>
  <c r="A117" i="36" s="1"/>
  <c r="B117" i="36"/>
  <c r="M116" i="36"/>
  <c r="A116" i="36" s="1"/>
  <c r="J116" i="36"/>
  <c r="K116" i="36" s="1"/>
  <c r="I116" i="36"/>
  <c r="B116" i="36"/>
  <c r="J115" i="36"/>
  <c r="K115" i="36" s="1"/>
  <c r="I115" i="36"/>
  <c r="M115" i="36" s="1"/>
  <c r="B115" i="36"/>
  <c r="A115" i="36"/>
  <c r="M114" i="36"/>
  <c r="A114" i="36" s="1"/>
  <c r="K114" i="36"/>
  <c r="J114" i="36"/>
  <c r="I114" i="36"/>
  <c r="B114" i="36"/>
  <c r="J113" i="36"/>
  <c r="K113" i="36" s="1"/>
  <c r="I113" i="36"/>
  <c r="M113" i="36" s="1"/>
  <c r="A113" i="36" s="1"/>
  <c r="B113" i="36"/>
  <c r="M112" i="36"/>
  <c r="A112" i="36" s="1"/>
  <c r="J112" i="36"/>
  <c r="K112" i="36" s="1"/>
  <c r="I112" i="36"/>
  <c r="B112" i="36"/>
  <c r="J111" i="36"/>
  <c r="K111" i="36" s="1"/>
  <c r="I111" i="36"/>
  <c r="M111" i="36" s="1"/>
  <c r="A111" i="36" s="1"/>
  <c r="B111" i="36"/>
  <c r="M110" i="36"/>
  <c r="A110" i="36" s="1"/>
  <c r="K110" i="36"/>
  <c r="J110" i="36"/>
  <c r="I110" i="36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M107" i="36"/>
  <c r="J107" i="36"/>
  <c r="K107" i="36" s="1"/>
  <c r="I107" i="36"/>
  <c r="B107" i="36"/>
  <c r="A107" i="36"/>
  <c r="M106" i="36"/>
  <c r="A106" i="36" s="1"/>
  <c r="K106" i="36"/>
  <c r="J106" i="36"/>
  <c r="I106" i="36"/>
  <c r="B106" i="36"/>
  <c r="J105" i="36"/>
  <c r="K105" i="36" s="1"/>
  <c r="I105" i="36"/>
  <c r="M105" i="36" s="1"/>
  <c r="A105" i="36" s="1"/>
  <c r="B105" i="36"/>
  <c r="J104" i="36"/>
  <c r="K104" i="36" s="1"/>
  <c r="I104" i="36"/>
  <c r="M104" i="36" s="1"/>
  <c r="A104" i="36" s="1"/>
  <c r="B104" i="36"/>
  <c r="M103" i="36"/>
  <c r="J103" i="36"/>
  <c r="K103" i="36" s="1"/>
  <c r="I103" i="36"/>
  <c r="B103" i="36"/>
  <c r="A103" i="36"/>
  <c r="M102" i="36"/>
  <c r="A102" i="36" s="1"/>
  <c r="K102" i="36"/>
  <c r="J102" i="36"/>
  <c r="I102" i="36"/>
  <c r="B102" i="36"/>
  <c r="J101" i="36"/>
  <c r="K101" i="36" s="1"/>
  <c r="I101" i="36"/>
  <c r="M101" i="36" s="1"/>
  <c r="A101" i="36" s="1"/>
  <c r="B101" i="36"/>
  <c r="M100" i="36"/>
  <c r="A100" i="36" s="1"/>
  <c r="J100" i="36"/>
  <c r="K100" i="36" s="1"/>
  <c r="I100" i="36"/>
  <c r="B100" i="36"/>
  <c r="M99" i="36"/>
  <c r="J99" i="36"/>
  <c r="K99" i="36" s="1"/>
  <c r="I99" i="36"/>
  <c r="B99" i="36"/>
  <c r="A99" i="36"/>
  <c r="M98" i="36"/>
  <c r="A98" i="36" s="1"/>
  <c r="K98" i="36"/>
  <c r="J98" i="36"/>
  <c r="I98" i="36"/>
  <c r="B98" i="36"/>
  <c r="J97" i="36"/>
  <c r="K97" i="36" s="1"/>
  <c r="I97" i="36"/>
  <c r="M97" i="36" s="1"/>
  <c r="A97" i="36" s="1"/>
  <c r="B97" i="36"/>
  <c r="M96" i="36"/>
  <c r="A96" i="36" s="1"/>
  <c r="J96" i="36"/>
  <c r="K96" i="36" s="1"/>
  <c r="I96" i="36"/>
  <c r="B96" i="36"/>
  <c r="M95" i="36"/>
  <c r="J95" i="36"/>
  <c r="K95" i="36" s="1"/>
  <c r="I95" i="36"/>
  <c r="B95" i="36"/>
  <c r="A95" i="36"/>
  <c r="M94" i="36"/>
  <c r="A94" i="36" s="1"/>
  <c r="K94" i="36"/>
  <c r="J94" i="36"/>
  <c r="I94" i="36"/>
  <c r="B94" i="36"/>
  <c r="J93" i="36"/>
  <c r="K93" i="36" s="1"/>
  <c r="I93" i="36"/>
  <c r="M93" i="36" s="1"/>
  <c r="A93" i="36" s="1"/>
  <c r="B93" i="36"/>
  <c r="J92" i="36"/>
  <c r="K92" i="36" s="1"/>
  <c r="I92" i="36"/>
  <c r="M92" i="36" s="1"/>
  <c r="A92" i="36" s="1"/>
  <c r="B92" i="36"/>
  <c r="M91" i="36"/>
  <c r="J91" i="36"/>
  <c r="K91" i="36" s="1"/>
  <c r="I91" i="36"/>
  <c r="B91" i="36"/>
  <c r="A91" i="36"/>
  <c r="M90" i="36"/>
  <c r="A90" i="36" s="1"/>
  <c r="K90" i="36"/>
  <c r="J90" i="36"/>
  <c r="I90" i="36"/>
  <c r="B90" i="36"/>
  <c r="J89" i="36"/>
  <c r="K89" i="36" s="1"/>
  <c r="I89" i="36"/>
  <c r="M89" i="36" s="1"/>
  <c r="A89" i="36" s="1"/>
  <c r="B89" i="36"/>
  <c r="J88" i="36"/>
  <c r="K88" i="36" s="1"/>
  <c r="I88" i="36"/>
  <c r="M88" i="36" s="1"/>
  <c r="A88" i="36" s="1"/>
  <c r="B88" i="36"/>
  <c r="M87" i="36"/>
  <c r="J87" i="36"/>
  <c r="K87" i="36" s="1"/>
  <c r="I87" i="36"/>
  <c r="B87" i="36"/>
  <c r="A87" i="36"/>
  <c r="M86" i="36"/>
  <c r="A86" i="36" s="1"/>
  <c r="K86" i="36"/>
  <c r="J86" i="36"/>
  <c r="I86" i="36"/>
  <c r="B86" i="36"/>
  <c r="J85" i="36"/>
  <c r="K85" i="36" s="1"/>
  <c r="I85" i="36"/>
  <c r="M85" i="36" s="1"/>
  <c r="A85" i="36" s="1"/>
  <c r="B85" i="36"/>
  <c r="M84" i="36"/>
  <c r="A84" i="36" s="1"/>
  <c r="J84" i="36"/>
  <c r="K84" i="36" s="1"/>
  <c r="I84" i="36"/>
  <c r="B84" i="36"/>
  <c r="M83" i="36"/>
  <c r="J83" i="36"/>
  <c r="K83" i="36" s="1"/>
  <c r="I83" i="36"/>
  <c r="B83" i="36"/>
  <c r="A83" i="36"/>
  <c r="M82" i="36"/>
  <c r="A82" i="36" s="1"/>
  <c r="K82" i="36"/>
  <c r="J82" i="36"/>
  <c r="I82" i="36"/>
  <c r="B82" i="36"/>
  <c r="J81" i="36"/>
  <c r="K81" i="36" s="1"/>
  <c r="I81" i="36"/>
  <c r="M81" i="36" s="1"/>
  <c r="A81" i="36" s="1"/>
  <c r="B81" i="36"/>
  <c r="M80" i="36"/>
  <c r="A80" i="36" s="1"/>
  <c r="J80" i="36"/>
  <c r="K80" i="36" s="1"/>
  <c r="I80" i="36"/>
  <c r="B80" i="36"/>
  <c r="M79" i="36"/>
  <c r="J79" i="36"/>
  <c r="K79" i="36" s="1"/>
  <c r="I79" i="36"/>
  <c r="B79" i="36"/>
  <c r="A79" i="36"/>
  <c r="M78" i="36"/>
  <c r="A78" i="36" s="1"/>
  <c r="K78" i="36"/>
  <c r="J78" i="36"/>
  <c r="I78" i="36"/>
  <c r="B78" i="36"/>
  <c r="J77" i="36"/>
  <c r="K77" i="36" s="1"/>
  <c r="I77" i="36"/>
  <c r="M77" i="36" s="1"/>
  <c r="A77" i="36" s="1"/>
  <c r="B77" i="36"/>
  <c r="J76" i="36"/>
  <c r="K76" i="36" s="1"/>
  <c r="I76" i="36"/>
  <c r="M76" i="36" s="1"/>
  <c r="A76" i="36" s="1"/>
  <c r="B76" i="36"/>
  <c r="M75" i="36"/>
  <c r="J75" i="36"/>
  <c r="K75" i="36" s="1"/>
  <c r="I75" i="36"/>
  <c r="B75" i="36"/>
  <c r="A75" i="36"/>
  <c r="M74" i="36"/>
  <c r="A74" i="36" s="1"/>
  <c r="K74" i="36"/>
  <c r="J74" i="36"/>
  <c r="I74" i="36"/>
  <c r="B74" i="36"/>
  <c r="J73" i="36"/>
  <c r="K73" i="36" s="1"/>
  <c r="I73" i="36"/>
  <c r="M73" i="36" s="1"/>
  <c r="A73" i="36" s="1"/>
  <c r="B73" i="36"/>
  <c r="J72" i="36"/>
  <c r="K72" i="36" s="1"/>
  <c r="I72" i="36"/>
  <c r="M72" i="36" s="1"/>
  <c r="A72" i="36" s="1"/>
  <c r="B72" i="36"/>
  <c r="M71" i="36"/>
  <c r="J71" i="36"/>
  <c r="K71" i="36" s="1"/>
  <c r="I71" i="36"/>
  <c r="B71" i="36"/>
  <c r="A71" i="36"/>
  <c r="M70" i="36"/>
  <c r="A70" i="36" s="1"/>
  <c r="K70" i="36"/>
  <c r="J70" i="36"/>
  <c r="I70" i="36"/>
  <c r="B70" i="36"/>
  <c r="J69" i="36"/>
  <c r="K69" i="36" s="1"/>
  <c r="I69" i="36"/>
  <c r="M69" i="36" s="1"/>
  <c r="A69" i="36" s="1"/>
  <c r="B69" i="36"/>
  <c r="M68" i="36"/>
  <c r="A68" i="36" s="1"/>
  <c r="J68" i="36"/>
  <c r="K68" i="36" s="1"/>
  <c r="I68" i="36"/>
  <c r="B68" i="36"/>
  <c r="M67" i="36"/>
  <c r="J67" i="36"/>
  <c r="K67" i="36" s="1"/>
  <c r="I67" i="36"/>
  <c r="B67" i="36"/>
  <c r="A67" i="36"/>
  <c r="M66" i="36"/>
  <c r="A66" i="36" s="1"/>
  <c r="K66" i="36"/>
  <c r="J66" i="36"/>
  <c r="I66" i="36"/>
  <c r="B66" i="36"/>
  <c r="J65" i="36"/>
  <c r="K65" i="36" s="1"/>
  <c r="I65" i="36"/>
  <c r="M65" i="36" s="1"/>
  <c r="A65" i="36" s="1"/>
  <c r="B65" i="36"/>
  <c r="M64" i="36"/>
  <c r="A64" i="36" s="1"/>
  <c r="J64" i="36"/>
  <c r="K64" i="36" s="1"/>
  <c r="I64" i="36"/>
  <c r="B64" i="36"/>
  <c r="M63" i="36"/>
  <c r="J63" i="36"/>
  <c r="K63" i="36" s="1"/>
  <c r="I63" i="36"/>
  <c r="B63" i="36"/>
  <c r="A63" i="36"/>
  <c r="M62" i="36"/>
  <c r="A62" i="36" s="1"/>
  <c r="K62" i="36"/>
  <c r="J62" i="36"/>
  <c r="I62" i="36"/>
  <c r="B62" i="36"/>
  <c r="J61" i="36"/>
  <c r="K61" i="36" s="1"/>
  <c r="I61" i="36"/>
  <c r="M61" i="36" s="1"/>
  <c r="A61" i="36" s="1"/>
  <c r="B61" i="36"/>
  <c r="J60" i="36"/>
  <c r="K60" i="36" s="1"/>
  <c r="I60" i="36"/>
  <c r="M60" i="36" s="1"/>
  <c r="A60" i="36" s="1"/>
  <c r="B60" i="36"/>
  <c r="M59" i="36"/>
  <c r="J59" i="36"/>
  <c r="K59" i="36" s="1"/>
  <c r="I59" i="36"/>
  <c r="B59" i="36"/>
  <c r="A59" i="36"/>
  <c r="M58" i="36"/>
  <c r="A58" i="36" s="1"/>
  <c r="K58" i="36"/>
  <c r="J58" i="36"/>
  <c r="I58" i="36"/>
  <c r="B58" i="36"/>
  <c r="J57" i="36"/>
  <c r="K57" i="36" s="1"/>
  <c r="I57" i="36"/>
  <c r="M57" i="36" s="1"/>
  <c r="A57" i="36" s="1"/>
  <c r="B57" i="36"/>
  <c r="J56" i="36"/>
  <c r="K56" i="36" s="1"/>
  <c r="I56" i="36"/>
  <c r="M56" i="36" s="1"/>
  <c r="A56" i="36" s="1"/>
  <c r="B56" i="36"/>
  <c r="M55" i="36"/>
  <c r="J55" i="36"/>
  <c r="K55" i="36" s="1"/>
  <c r="I55" i="36"/>
  <c r="B55" i="36"/>
  <c r="A55" i="36"/>
  <c r="M54" i="36"/>
  <c r="A54" i="36" s="1"/>
  <c r="J54" i="36"/>
  <c r="K54" i="36" s="1"/>
  <c r="I54" i="36"/>
  <c r="B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M51" i="36"/>
  <c r="J51" i="36"/>
  <c r="K51" i="36" s="1"/>
  <c r="I51" i="36"/>
  <c r="B51" i="36"/>
  <c r="A51" i="36"/>
  <c r="M50" i="36"/>
  <c r="A50" i="36" s="1"/>
  <c r="J50" i="36"/>
  <c r="K50" i="36" s="1"/>
  <c r="I50" i="36"/>
  <c r="B50" i="36"/>
  <c r="M49" i="36"/>
  <c r="A49" i="36" s="1"/>
  <c r="J49" i="36"/>
  <c r="K49" i="36" s="1"/>
  <c r="I49" i="36"/>
  <c r="B49" i="36"/>
  <c r="M48" i="36"/>
  <c r="A48" i="36" s="1"/>
  <c r="J48" i="36"/>
  <c r="K48" i="36" s="1"/>
  <c r="I48" i="36"/>
  <c r="B48" i="36"/>
  <c r="M47" i="36"/>
  <c r="J47" i="36"/>
  <c r="K47" i="36" s="1"/>
  <c r="I47" i="36"/>
  <c r="B47" i="36"/>
  <c r="A47" i="36"/>
  <c r="M46" i="36"/>
  <c r="A46" i="36" s="1"/>
  <c r="J46" i="36"/>
  <c r="K46" i="36" s="1"/>
  <c r="I46" i="36"/>
  <c r="B46" i="36"/>
  <c r="M45" i="36"/>
  <c r="A45" i="36" s="1"/>
  <c r="J45" i="36"/>
  <c r="K45" i="36" s="1"/>
  <c r="I45" i="36"/>
  <c r="B45" i="36"/>
  <c r="J44" i="36"/>
  <c r="K44" i="36" s="1"/>
  <c r="I44" i="36"/>
  <c r="M44" i="36" s="1"/>
  <c r="A44" i="36" s="1"/>
  <c r="B44" i="36"/>
  <c r="M43" i="36"/>
  <c r="J43" i="36"/>
  <c r="K43" i="36" s="1"/>
  <c r="I43" i="36"/>
  <c r="B43" i="36"/>
  <c r="A43" i="36"/>
  <c r="M42" i="36"/>
  <c r="A42" i="36" s="1"/>
  <c r="J42" i="36"/>
  <c r="K42" i="36" s="1"/>
  <c r="I42" i="36"/>
  <c r="B42" i="36"/>
  <c r="M41" i="36"/>
  <c r="A41" i="36" s="1"/>
  <c r="J41" i="36"/>
  <c r="K41" i="36" s="1"/>
  <c r="I41" i="36"/>
  <c r="B41" i="36"/>
  <c r="J40" i="36"/>
  <c r="K40" i="36" s="1"/>
  <c r="I40" i="36"/>
  <c r="M40" i="36" s="1"/>
  <c r="A40" i="36" s="1"/>
  <c r="B40" i="36"/>
  <c r="M39" i="36"/>
  <c r="J39" i="36"/>
  <c r="K39" i="36" s="1"/>
  <c r="I39" i="36"/>
  <c r="B39" i="36"/>
  <c r="A39" i="36"/>
  <c r="M38" i="36"/>
  <c r="A38" i="36" s="1"/>
  <c r="J38" i="36"/>
  <c r="K38" i="36" s="1"/>
  <c r="I38" i="36"/>
  <c r="B38" i="36"/>
  <c r="M37" i="36"/>
  <c r="A37" i="36" s="1"/>
  <c r="J37" i="36"/>
  <c r="K37" i="36" s="1"/>
  <c r="I37" i="36"/>
  <c r="B37" i="36"/>
  <c r="M36" i="36"/>
  <c r="A36" i="36" s="1"/>
  <c r="J36" i="36"/>
  <c r="K36" i="36" s="1"/>
  <c r="I36" i="36"/>
  <c r="B36" i="36"/>
  <c r="M35" i="36"/>
  <c r="J35" i="36"/>
  <c r="K35" i="36" s="1"/>
  <c r="I35" i="36"/>
  <c r="B35" i="36"/>
  <c r="A35" i="36"/>
  <c r="M34" i="36"/>
  <c r="A34" i="36" s="1"/>
  <c r="J34" i="36"/>
  <c r="K34" i="36" s="1"/>
  <c r="I34" i="36"/>
  <c r="B34" i="36"/>
  <c r="M33" i="36"/>
  <c r="A33" i="36" s="1"/>
  <c r="J33" i="36"/>
  <c r="K33" i="36" s="1"/>
  <c r="I33" i="36"/>
  <c r="B33" i="36"/>
  <c r="M32" i="36"/>
  <c r="A32" i="36" s="1"/>
  <c r="J32" i="36"/>
  <c r="K32" i="36" s="1"/>
  <c r="I32" i="36"/>
  <c r="B32" i="36"/>
  <c r="M31" i="36"/>
  <c r="J31" i="36"/>
  <c r="K31" i="36" s="1"/>
  <c r="I31" i="36"/>
  <c r="B31" i="36"/>
  <c r="A31" i="36"/>
  <c r="M30" i="36"/>
  <c r="A30" i="36" s="1"/>
  <c r="J30" i="36"/>
  <c r="K30" i="36" s="1"/>
  <c r="I30" i="36"/>
  <c r="B30" i="36"/>
  <c r="M29" i="36"/>
  <c r="A29" i="36" s="1"/>
  <c r="J29" i="36"/>
  <c r="K29" i="36" s="1"/>
  <c r="I29" i="36"/>
  <c r="B29" i="36"/>
  <c r="J28" i="36"/>
  <c r="K28" i="36" s="1"/>
  <c r="I28" i="36"/>
  <c r="M28" i="36" s="1"/>
  <c r="A28" i="36" s="1"/>
  <c r="B28" i="36"/>
  <c r="M27" i="36"/>
  <c r="A27" i="36" s="1"/>
  <c r="J27" i="36"/>
  <c r="K27" i="36" s="1"/>
  <c r="I27" i="36"/>
  <c r="B27" i="36"/>
  <c r="M26" i="36"/>
  <c r="A26" i="36" s="1"/>
  <c r="J26" i="36"/>
  <c r="K26" i="36" s="1"/>
  <c r="I26" i="36"/>
  <c r="B26" i="36"/>
  <c r="M25" i="36"/>
  <c r="A25" i="36" s="1"/>
  <c r="J25" i="36"/>
  <c r="K25" i="36" s="1"/>
  <c r="I25" i="36"/>
  <c r="B25" i="36"/>
  <c r="J24" i="36"/>
  <c r="K24" i="36" s="1"/>
  <c r="I24" i="36"/>
  <c r="M24" i="36" s="1"/>
  <c r="A24" i="36" s="1"/>
  <c r="B24" i="36"/>
  <c r="M23" i="36"/>
  <c r="A23" i="36" s="1"/>
  <c r="J23" i="36"/>
  <c r="K23" i="36" s="1"/>
  <c r="I23" i="36"/>
  <c r="B23" i="36"/>
  <c r="M22" i="36"/>
  <c r="A22" i="36" s="1"/>
  <c r="K22" i="36"/>
  <c r="J22" i="36"/>
  <c r="I22" i="36"/>
  <c r="B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M19" i="36"/>
  <c r="J19" i="36"/>
  <c r="K19" i="36" s="1"/>
  <c r="I19" i="36"/>
  <c r="B19" i="36"/>
  <c r="A19" i="36"/>
  <c r="M18" i="36"/>
  <c r="A18" i="36" s="1"/>
  <c r="K18" i="36"/>
  <c r="J18" i="36"/>
  <c r="I18" i="36"/>
  <c r="B18" i="36"/>
  <c r="M17" i="36"/>
  <c r="A17" i="36" s="1"/>
  <c r="J17" i="36"/>
  <c r="K17" i="36" s="1"/>
  <c r="I17" i="36"/>
  <c r="B17" i="36"/>
  <c r="K16" i="36"/>
  <c r="J16" i="36"/>
  <c r="I16" i="36"/>
  <c r="M16" i="36" s="1"/>
  <c r="A16" i="36" s="1"/>
  <c r="B16" i="36"/>
  <c r="K15" i="36"/>
  <c r="J15" i="36"/>
  <c r="I15" i="36"/>
  <c r="M15" i="36" s="1"/>
  <c r="B15" i="36"/>
  <c r="A15" i="36"/>
  <c r="AI14" i="36"/>
  <c r="M14" i="36"/>
  <c r="J14" i="36"/>
  <c r="K14" i="36" s="1"/>
  <c r="I14" i="36"/>
  <c r="B14" i="36"/>
  <c r="A14" i="36"/>
  <c r="AI13" i="36"/>
  <c r="K13" i="36"/>
  <c r="J13" i="36"/>
  <c r="I13" i="36"/>
  <c r="M13" i="36" s="1"/>
  <c r="A13" i="36" s="1"/>
  <c r="B13" i="36"/>
  <c r="AI12" i="36"/>
  <c r="AI16" i="36" s="1"/>
  <c r="M12" i="36"/>
  <c r="A12" i="36" s="1"/>
  <c r="J12" i="36"/>
  <c r="K12" i="36" s="1"/>
  <c r="I12" i="36"/>
  <c r="B12" i="36"/>
  <c r="K11" i="36"/>
  <c r="J11" i="36"/>
  <c r="I11" i="36"/>
  <c r="M11" i="36" s="1"/>
  <c r="A11" i="36" s="1"/>
  <c r="B11" i="36"/>
  <c r="M10" i="36"/>
  <c r="A10" i="36" s="1"/>
  <c r="J10" i="36"/>
  <c r="K10" i="36" s="1"/>
  <c r="I10" i="36"/>
  <c r="B10" i="36"/>
  <c r="K9" i="36"/>
  <c r="J9" i="36"/>
  <c r="I9" i="36"/>
  <c r="M9" i="36" s="1"/>
  <c r="A9" i="36" s="1"/>
  <c r="B9" i="36"/>
  <c r="M8" i="36"/>
  <c r="L8" i="36"/>
  <c r="J8" i="36"/>
  <c r="K8" i="36" s="1"/>
  <c r="I8" i="36"/>
  <c r="B8" i="36"/>
  <c r="A8" i="36"/>
  <c r="M7" i="36"/>
  <c r="K7" i="36"/>
  <c r="J7" i="36"/>
  <c r="I7" i="36"/>
  <c r="B7" i="36"/>
  <c r="A7" i="36"/>
  <c r="L6" i="36"/>
  <c r="J6" i="36"/>
  <c r="K6" i="36" s="1"/>
  <c r="I6" i="36"/>
  <c r="M6" i="36" s="1"/>
  <c r="A6" i="36" s="1"/>
  <c r="B6" i="36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K292" i="35"/>
  <c r="J292" i="35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J271" i="35"/>
  <c r="K271" i="35" s="1"/>
  <c r="I271" i="35"/>
  <c r="M271" i="35" s="1"/>
  <c r="K270" i="35"/>
  <c r="J270" i="35"/>
  <c r="I270" i="35"/>
  <c r="M270" i="35" s="1"/>
  <c r="J269" i="35"/>
  <c r="K269" i="35" s="1"/>
  <c r="I269" i="35"/>
  <c r="M269" i="35" s="1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K252" i="35"/>
  <c r="J252" i="35"/>
  <c r="I252" i="35"/>
  <c r="M252" i="35" s="1"/>
  <c r="J251" i="35"/>
  <c r="K251" i="35" s="1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K244" i="35"/>
  <c r="J244" i="35"/>
  <c r="I244" i="35"/>
  <c r="M244" i="35" s="1"/>
  <c r="J243" i="35"/>
  <c r="K243" i="35" s="1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K228" i="35"/>
  <c r="J228" i="35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J223" i="35"/>
  <c r="K223" i="35" s="1"/>
  <c r="I223" i="35"/>
  <c r="M223" i="35" s="1"/>
  <c r="K222" i="35"/>
  <c r="J222" i="35"/>
  <c r="I222" i="35"/>
  <c r="M222" i="35" s="1"/>
  <c r="J221" i="35"/>
  <c r="K221" i="35" s="1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J207" i="35"/>
  <c r="K207" i="35" s="1"/>
  <c r="I207" i="35"/>
  <c r="M207" i="35" s="1"/>
  <c r="J206" i="35"/>
  <c r="K206" i="35" s="1"/>
  <c r="I206" i="35"/>
  <c r="M206" i="35" s="1"/>
  <c r="J205" i="35"/>
  <c r="K205" i="35" s="1"/>
  <c r="I205" i="35"/>
  <c r="M205" i="35" s="1"/>
  <c r="K204" i="35"/>
  <c r="J204" i="35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K196" i="35"/>
  <c r="J196" i="35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J191" i="35"/>
  <c r="K191" i="35" s="1"/>
  <c r="I191" i="35"/>
  <c r="M191" i="35" s="1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K180" i="35"/>
  <c r="J180" i="35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K164" i="35"/>
  <c r="J164" i="35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J157" i="35"/>
  <c r="K157" i="35" s="1"/>
  <c r="I157" i="35"/>
  <c r="M157" i="35" s="1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K142" i="35"/>
  <c r="J142" i="35"/>
  <c r="I142" i="35"/>
  <c r="M142" i="35" s="1"/>
  <c r="J141" i="35"/>
  <c r="K141" i="35" s="1"/>
  <c r="I141" i="35"/>
  <c r="M141" i="35" s="1"/>
  <c r="J140" i="35"/>
  <c r="K140" i="35" s="1"/>
  <c r="I140" i="35"/>
  <c r="M140" i="35" s="1"/>
  <c r="A140" i="35" s="1"/>
  <c r="B140" i="35"/>
  <c r="M139" i="35"/>
  <c r="A139" i="35" s="1"/>
  <c r="J139" i="35"/>
  <c r="K139" i="35" s="1"/>
  <c r="I139" i="35"/>
  <c r="B139" i="35"/>
  <c r="J138" i="35"/>
  <c r="K138" i="35" s="1"/>
  <c r="I138" i="35"/>
  <c r="M138" i="35" s="1"/>
  <c r="A138" i="35" s="1"/>
  <c r="B138" i="35"/>
  <c r="J137" i="35"/>
  <c r="K137" i="35" s="1"/>
  <c r="I137" i="35"/>
  <c r="M137" i="35" s="1"/>
  <c r="A137" i="35" s="1"/>
  <c r="B137" i="35"/>
  <c r="J136" i="35"/>
  <c r="K136" i="35" s="1"/>
  <c r="I136" i="35"/>
  <c r="M136" i="35" s="1"/>
  <c r="A136" i="35" s="1"/>
  <c r="B136" i="35"/>
  <c r="M135" i="35"/>
  <c r="A135" i="35" s="1"/>
  <c r="J135" i="35"/>
  <c r="K135" i="35" s="1"/>
  <c r="I135" i="35"/>
  <c r="B135" i="35"/>
  <c r="J134" i="35"/>
  <c r="K134" i="35" s="1"/>
  <c r="I134" i="35"/>
  <c r="M134" i="35" s="1"/>
  <c r="A134" i="35" s="1"/>
  <c r="B134" i="35"/>
  <c r="K133" i="35"/>
  <c r="J133" i="35"/>
  <c r="I133" i="35"/>
  <c r="M133" i="35" s="1"/>
  <c r="A133" i="35" s="1"/>
  <c r="B133" i="35"/>
  <c r="J132" i="35"/>
  <c r="K132" i="35" s="1"/>
  <c r="I132" i="35"/>
  <c r="M132" i="35" s="1"/>
  <c r="A132" i="35" s="1"/>
  <c r="B132" i="35"/>
  <c r="M131" i="35"/>
  <c r="A131" i="35" s="1"/>
  <c r="K131" i="35"/>
  <c r="J131" i="35"/>
  <c r="I131" i="35"/>
  <c r="B131" i="35"/>
  <c r="J130" i="35"/>
  <c r="K130" i="35" s="1"/>
  <c r="I130" i="35"/>
  <c r="M130" i="35" s="1"/>
  <c r="A130" i="35" s="1"/>
  <c r="B130" i="35"/>
  <c r="K129" i="35"/>
  <c r="J129" i="35"/>
  <c r="I129" i="35"/>
  <c r="M129" i="35" s="1"/>
  <c r="A129" i="35" s="1"/>
  <c r="B129" i="35"/>
  <c r="J128" i="35"/>
  <c r="K128" i="35" s="1"/>
  <c r="I128" i="35"/>
  <c r="M128" i="35" s="1"/>
  <c r="A128" i="35" s="1"/>
  <c r="B128" i="35"/>
  <c r="M127" i="35"/>
  <c r="A127" i="35" s="1"/>
  <c r="K127" i="35"/>
  <c r="J127" i="35"/>
  <c r="I127" i="35"/>
  <c r="B127" i="35"/>
  <c r="J126" i="35"/>
  <c r="K126" i="35" s="1"/>
  <c r="I126" i="35"/>
  <c r="M126" i="35" s="1"/>
  <c r="A126" i="35" s="1"/>
  <c r="B126" i="35"/>
  <c r="J125" i="35"/>
  <c r="K125" i="35" s="1"/>
  <c r="I125" i="35"/>
  <c r="M125" i="35" s="1"/>
  <c r="A125" i="35" s="1"/>
  <c r="B125" i="35"/>
  <c r="J124" i="35"/>
  <c r="K124" i="35" s="1"/>
  <c r="I124" i="35"/>
  <c r="M124" i="35" s="1"/>
  <c r="A124" i="35" s="1"/>
  <c r="B124" i="35"/>
  <c r="M123" i="35"/>
  <c r="A123" i="35" s="1"/>
  <c r="J123" i="35"/>
  <c r="K123" i="35" s="1"/>
  <c r="I123" i="35"/>
  <c r="B123" i="35"/>
  <c r="J122" i="35"/>
  <c r="K122" i="35" s="1"/>
  <c r="I122" i="35"/>
  <c r="M122" i="35" s="1"/>
  <c r="A122" i="35" s="1"/>
  <c r="B122" i="35"/>
  <c r="K121" i="35"/>
  <c r="J121" i="35"/>
  <c r="I121" i="35"/>
  <c r="M121" i="35" s="1"/>
  <c r="A121" i="35" s="1"/>
  <c r="B121" i="35"/>
  <c r="J120" i="35"/>
  <c r="K120" i="35" s="1"/>
  <c r="I120" i="35"/>
  <c r="M120" i="35" s="1"/>
  <c r="A120" i="35" s="1"/>
  <c r="B120" i="35"/>
  <c r="K119" i="35"/>
  <c r="J119" i="35"/>
  <c r="I119" i="35"/>
  <c r="M119" i="35" s="1"/>
  <c r="A119" i="35" s="1"/>
  <c r="B119" i="35"/>
  <c r="J118" i="35"/>
  <c r="K118" i="35" s="1"/>
  <c r="I118" i="35"/>
  <c r="M118" i="35" s="1"/>
  <c r="A118" i="35" s="1"/>
  <c r="B118" i="35"/>
  <c r="J117" i="35"/>
  <c r="K117" i="35" s="1"/>
  <c r="I117" i="35"/>
  <c r="M117" i="35" s="1"/>
  <c r="A117" i="35" s="1"/>
  <c r="B117" i="35"/>
  <c r="J116" i="35"/>
  <c r="K116" i="35" s="1"/>
  <c r="I116" i="35"/>
  <c r="M116" i="35" s="1"/>
  <c r="A116" i="35" s="1"/>
  <c r="B116" i="35"/>
  <c r="J115" i="35"/>
  <c r="K115" i="35" s="1"/>
  <c r="I115" i="35"/>
  <c r="M115" i="35" s="1"/>
  <c r="A115" i="35" s="1"/>
  <c r="B115" i="35"/>
  <c r="J114" i="35"/>
  <c r="K114" i="35" s="1"/>
  <c r="I114" i="35"/>
  <c r="M114" i="35" s="1"/>
  <c r="A114" i="35" s="1"/>
  <c r="B114" i="35"/>
  <c r="J113" i="35"/>
  <c r="K113" i="35" s="1"/>
  <c r="I113" i="35"/>
  <c r="M113" i="35" s="1"/>
  <c r="A113" i="35" s="1"/>
  <c r="B113" i="35"/>
  <c r="J112" i="35"/>
  <c r="K112" i="35" s="1"/>
  <c r="I112" i="35"/>
  <c r="M112" i="35" s="1"/>
  <c r="A112" i="35" s="1"/>
  <c r="B112" i="35"/>
  <c r="J111" i="35"/>
  <c r="K111" i="35" s="1"/>
  <c r="I111" i="35"/>
  <c r="M111" i="35" s="1"/>
  <c r="A111" i="35" s="1"/>
  <c r="B111" i="35"/>
  <c r="J110" i="35"/>
  <c r="K110" i="35" s="1"/>
  <c r="I110" i="35"/>
  <c r="M110" i="35" s="1"/>
  <c r="A110" i="35" s="1"/>
  <c r="B110" i="35"/>
  <c r="K109" i="35"/>
  <c r="J109" i="35"/>
  <c r="I109" i="35"/>
  <c r="M109" i="35" s="1"/>
  <c r="A109" i="35" s="1"/>
  <c r="B109" i="35"/>
  <c r="J108" i="35"/>
  <c r="K108" i="35" s="1"/>
  <c r="I108" i="35"/>
  <c r="M108" i="35" s="1"/>
  <c r="A108" i="35" s="1"/>
  <c r="B108" i="35"/>
  <c r="K107" i="35"/>
  <c r="J107" i="35"/>
  <c r="I107" i="35"/>
  <c r="M107" i="35" s="1"/>
  <c r="A107" i="35" s="1"/>
  <c r="B107" i="35"/>
  <c r="J106" i="35"/>
  <c r="K106" i="35" s="1"/>
  <c r="I106" i="35"/>
  <c r="M106" i="35" s="1"/>
  <c r="A106" i="35" s="1"/>
  <c r="B106" i="35"/>
  <c r="J105" i="35"/>
  <c r="K105" i="35" s="1"/>
  <c r="I105" i="35"/>
  <c r="M105" i="35" s="1"/>
  <c r="A105" i="35" s="1"/>
  <c r="B105" i="35"/>
  <c r="J104" i="35"/>
  <c r="K104" i="35" s="1"/>
  <c r="I104" i="35"/>
  <c r="M104" i="35" s="1"/>
  <c r="A104" i="35" s="1"/>
  <c r="B104" i="35"/>
  <c r="M103" i="35"/>
  <c r="A103" i="35" s="1"/>
  <c r="J103" i="35"/>
  <c r="K103" i="35" s="1"/>
  <c r="I103" i="35"/>
  <c r="B103" i="35"/>
  <c r="J102" i="35"/>
  <c r="K102" i="35" s="1"/>
  <c r="I102" i="35"/>
  <c r="M102" i="35" s="1"/>
  <c r="A102" i="35" s="1"/>
  <c r="B102" i="35"/>
  <c r="K101" i="35"/>
  <c r="J101" i="35"/>
  <c r="I101" i="35"/>
  <c r="M101" i="35" s="1"/>
  <c r="A101" i="35" s="1"/>
  <c r="B101" i="35"/>
  <c r="J100" i="35"/>
  <c r="K100" i="35" s="1"/>
  <c r="I100" i="35"/>
  <c r="M100" i="35" s="1"/>
  <c r="A100" i="35" s="1"/>
  <c r="B100" i="35"/>
  <c r="M99" i="35"/>
  <c r="A99" i="35" s="1"/>
  <c r="K99" i="35"/>
  <c r="J99" i="35"/>
  <c r="I99" i="35"/>
  <c r="B99" i="35"/>
  <c r="J98" i="35"/>
  <c r="K98" i="35" s="1"/>
  <c r="I98" i="35"/>
  <c r="M98" i="35" s="1"/>
  <c r="A98" i="35" s="1"/>
  <c r="B98" i="35"/>
  <c r="K97" i="35"/>
  <c r="J97" i="35"/>
  <c r="I97" i="35"/>
  <c r="M97" i="35" s="1"/>
  <c r="A97" i="35" s="1"/>
  <c r="B97" i="35"/>
  <c r="J96" i="35"/>
  <c r="K96" i="35" s="1"/>
  <c r="I96" i="35"/>
  <c r="M96" i="35" s="1"/>
  <c r="A96" i="35" s="1"/>
  <c r="B96" i="35"/>
  <c r="M95" i="35"/>
  <c r="A95" i="35" s="1"/>
  <c r="K95" i="35"/>
  <c r="J95" i="35"/>
  <c r="I95" i="35"/>
  <c r="B95" i="35"/>
  <c r="J94" i="35"/>
  <c r="K94" i="35" s="1"/>
  <c r="I94" i="35"/>
  <c r="M94" i="35" s="1"/>
  <c r="A94" i="35" s="1"/>
  <c r="B94" i="35"/>
  <c r="J93" i="35"/>
  <c r="K93" i="35" s="1"/>
  <c r="I93" i="35"/>
  <c r="M93" i="35" s="1"/>
  <c r="A93" i="35" s="1"/>
  <c r="B93" i="35"/>
  <c r="J92" i="35"/>
  <c r="K92" i="35" s="1"/>
  <c r="I92" i="35"/>
  <c r="M92" i="35" s="1"/>
  <c r="A92" i="35" s="1"/>
  <c r="B92" i="35"/>
  <c r="M91" i="35"/>
  <c r="A91" i="35" s="1"/>
  <c r="J91" i="35"/>
  <c r="K91" i="35" s="1"/>
  <c r="I91" i="35"/>
  <c r="B91" i="35"/>
  <c r="J90" i="35"/>
  <c r="K90" i="35" s="1"/>
  <c r="I90" i="35"/>
  <c r="M90" i="35" s="1"/>
  <c r="A90" i="35" s="1"/>
  <c r="B90" i="35"/>
  <c r="K89" i="35"/>
  <c r="J89" i="35"/>
  <c r="I89" i="35"/>
  <c r="M89" i="35" s="1"/>
  <c r="A89" i="35" s="1"/>
  <c r="B89" i="35"/>
  <c r="J88" i="35"/>
  <c r="K88" i="35" s="1"/>
  <c r="I88" i="35"/>
  <c r="M88" i="35" s="1"/>
  <c r="A88" i="35" s="1"/>
  <c r="B88" i="35"/>
  <c r="K87" i="35"/>
  <c r="J87" i="35"/>
  <c r="I87" i="35"/>
  <c r="M87" i="35" s="1"/>
  <c r="A87" i="35" s="1"/>
  <c r="B87" i="35"/>
  <c r="J86" i="35"/>
  <c r="K86" i="35" s="1"/>
  <c r="I86" i="35"/>
  <c r="M86" i="35" s="1"/>
  <c r="A86" i="35" s="1"/>
  <c r="B86" i="35"/>
  <c r="J85" i="35"/>
  <c r="K85" i="35" s="1"/>
  <c r="I85" i="35"/>
  <c r="M85" i="35" s="1"/>
  <c r="A85" i="35" s="1"/>
  <c r="B85" i="35"/>
  <c r="J84" i="35"/>
  <c r="K84" i="35" s="1"/>
  <c r="I84" i="35"/>
  <c r="M84" i="35" s="1"/>
  <c r="A84" i="35" s="1"/>
  <c r="B84" i="35"/>
  <c r="J83" i="35"/>
  <c r="K83" i="35" s="1"/>
  <c r="I83" i="35"/>
  <c r="M83" i="35" s="1"/>
  <c r="A83" i="35" s="1"/>
  <c r="B83" i="35"/>
  <c r="J82" i="35"/>
  <c r="K82" i="35" s="1"/>
  <c r="I82" i="35"/>
  <c r="M82" i="35" s="1"/>
  <c r="A82" i="35" s="1"/>
  <c r="B82" i="35"/>
  <c r="J81" i="35"/>
  <c r="K81" i="35" s="1"/>
  <c r="I81" i="35"/>
  <c r="M81" i="35" s="1"/>
  <c r="A81" i="35" s="1"/>
  <c r="B81" i="35"/>
  <c r="J80" i="35"/>
  <c r="K80" i="35" s="1"/>
  <c r="I80" i="35"/>
  <c r="M80" i="35" s="1"/>
  <c r="A80" i="35" s="1"/>
  <c r="B80" i="35"/>
  <c r="J79" i="35"/>
  <c r="K79" i="35" s="1"/>
  <c r="I79" i="35"/>
  <c r="M79" i="35" s="1"/>
  <c r="A79" i="35" s="1"/>
  <c r="B79" i="35"/>
  <c r="J78" i="35"/>
  <c r="K78" i="35" s="1"/>
  <c r="I78" i="35"/>
  <c r="M78" i="35" s="1"/>
  <c r="A78" i="35" s="1"/>
  <c r="B78" i="35"/>
  <c r="K77" i="35"/>
  <c r="J77" i="35"/>
  <c r="I77" i="35"/>
  <c r="M77" i="35" s="1"/>
  <c r="A77" i="35" s="1"/>
  <c r="B77" i="35"/>
  <c r="J76" i="35"/>
  <c r="K76" i="35" s="1"/>
  <c r="I76" i="35"/>
  <c r="M76" i="35" s="1"/>
  <c r="A76" i="35" s="1"/>
  <c r="B76" i="35"/>
  <c r="K75" i="35"/>
  <c r="J75" i="35"/>
  <c r="I75" i="35"/>
  <c r="M75" i="35" s="1"/>
  <c r="A75" i="35" s="1"/>
  <c r="B75" i="35"/>
  <c r="J74" i="35"/>
  <c r="K74" i="35" s="1"/>
  <c r="I74" i="35"/>
  <c r="M74" i="35" s="1"/>
  <c r="A74" i="35" s="1"/>
  <c r="B74" i="35"/>
  <c r="J73" i="35"/>
  <c r="K73" i="35" s="1"/>
  <c r="I73" i="35"/>
  <c r="M73" i="35" s="1"/>
  <c r="A73" i="35" s="1"/>
  <c r="B73" i="35"/>
  <c r="J72" i="35"/>
  <c r="K72" i="35" s="1"/>
  <c r="I72" i="35"/>
  <c r="M72" i="35" s="1"/>
  <c r="A72" i="35" s="1"/>
  <c r="B72" i="35"/>
  <c r="M71" i="35"/>
  <c r="A71" i="35" s="1"/>
  <c r="J71" i="35"/>
  <c r="K71" i="35" s="1"/>
  <c r="I71" i="35"/>
  <c r="B71" i="35"/>
  <c r="J70" i="35"/>
  <c r="K70" i="35" s="1"/>
  <c r="I70" i="35"/>
  <c r="M70" i="35" s="1"/>
  <c r="A70" i="35" s="1"/>
  <c r="B70" i="35"/>
  <c r="K69" i="35"/>
  <c r="J69" i="35"/>
  <c r="I69" i="35"/>
  <c r="M69" i="35" s="1"/>
  <c r="A69" i="35" s="1"/>
  <c r="B69" i="35"/>
  <c r="J68" i="35"/>
  <c r="K68" i="35" s="1"/>
  <c r="I68" i="35"/>
  <c r="M68" i="35" s="1"/>
  <c r="A68" i="35" s="1"/>
  <c r="B68" i="35"/>
  <c r="M67" i="35"/>
  <c r="A67" i="35" s="1"/>
  <c r="K67" i="35"/>
  <c r="J67" i="35"/>
  <c r="I67" i="35"/>
  <c r="B67" i="35"/>
  <c r="J66" i="35"/>
  <c r="K66" i="35" s="1"/>
  <c r="I66" i="35"/>
  <c r="M66" i="35" s="1"/>
  <c r="A66" i="35" s="1"/>
  <c r="B66" i="35"/>
  <c r="K65" i="35"/>
  <c r="J65" i="35"/>
  <c r="I65" i="35"/>
  <c r="M65" i="35" s="1"/>
  <c r="A65" i="35" s="1"/>
  <c r="B65" i="35"/>
  <c r="J64" i="35"/>
  <c r="K64" i="35" s="1"/>
  <c r="I64" i="35"/>
  <c r="M64" i="35" s="1"/>
  <c r="A64" i="35" s="1"/>
  <c r="B64" i="35"/>
  <c r="M63" i="35"/>
  <c r="A63" i="35" s="1"/>
  <c r="K63" i="35"/>
  <c r="J63" i="35"/>
  <c r="I63" i="35"/>
  <c r="B63" i="35"/>
  <c r="J62" i="35"/>
  <c r="K62" i="35" s="1"/>
  <c r="I62" i="35"/>
  <c r="M62" i="35" s="1"/>
  <c r="A62" i="35" s="1"/>
  <c r="B62" i="35"/>
  <c r="J61" i="35"/>
  <c r="K61" i="35" s="1"/>
  <c r="I61" i="35"/>
  <c r="M61" i="35" s="1"/>
  <c r="A61" i="35" s="1"/>
  <c r="B61" i="35"/>
  <c r="J60" i="35"/>
  <c r="K60" i="35" s="1"/>
  <c r="I60" i="35"/>
  <c r="M60" i="35" s="1"/>
  <c r="A60" i="35" s="1"/>
  <c r="B60" i="35"/>
  <c r="M59" i="35"/>
  <c r="A59" i="35" s="1"/>
  <c r="J59" i="35"/>
  <c r="K59" i="35" s="1"/>
  <c r="I59" i="35"/>
  <c r="B59" i="35"/>
  <c r="J58" i="35"/>
  <c r="K58" i="35" s="1"/>
  <c r="I58" i="35"/>
  <c r="M58" i="35" s="1"/>
  <c r="A58" i="35" s="1"/>
  <c r="B58" i="35"/>
  <c r="K57" i="35"/>
  <c r="J57" i="35"/>
  <c r="I57" i="35"/>
  <c r="M57" i="35" s="1"/>
  <c r="A57" i="35" s="1"/>
  <c r="B57" i="35"/>
  <c r="J56" i="35"/>
  <c r="K56" i="35" s="1"/>
  <c r="I56" i="35"/>
  <c r="M56" i="35" s="1"/>
  <c r="A56" i="35" s="1"/>
  <c r="B56" i="35"/>
  <c r="K55" i="35"/>
  <c r="J55" i="35"/>
  <c r="I55" i="35"/>
  <c r="M55" i="35" s="1"/>
  <c r="A55" i="35" s="1"/>
  <c r="B55" i="35"/>
  <c r="J54" i="35"/>
  <c r="K54" i="35" s="1"/>
  <c r="I54" i="35"/>
  <c r="M54" i="35" s="1"/>
  <c r="A54" i="35" s="1"/>
  <c r="B54" i="35"/>
  <c r="J53" i="35"/>
  <c r="K53" i="35" s="1"/>
  <c r="I53" i="35"/>
  <c r="M53" i="35" s="1"/>
  <c r="A53" i="35" s="1"/>
  <c r="B53" i="35"/>
  <c r="J52" i="35"/>
  <c r="K52" i="35" s="1"/>
  <c r="I52" i="35"/>
  <c r="M52" i="35" s="1"/>
  <c r="A52" i="35" s="1"/>
  <c r="B52" i="35"/>
  <c r="J51" i="35"/>
  <c r="K51" i="35" s="1"/>
  <c r="I51" i="35"/>
  <c r="M51" i="35" s="1"/>
  <c r="A51" i="35" s="1"/>
  <c r="B51" i="35"/>
  <c r="J50" i="35"/>
  <c r="K50" i="35" s="1"/>
  <c r="I50" i="35"/>
  <c r="M50" i="35" s="1"/>
  <c r="A50" i="35" s="1"/>
  <c r="B50" i="35"/>
  <c r="J49" i="35"/>
  <c r="K49" i="35" s="1"/>
  <c r="I49" i="35"/>
  <c r="M49" i="35" s="1"/>
  <c r="A49" i="35" s="1"/>
  <c r="B49" i="35"/>
  <c r="J48" i="35"/>
  <c r="K48" i="35" s="1"/>
  <c r="I48" i="35"/>
  <c r="M48" i="35" s="1"/>
  <c r="A48" i="35" s="1"/>
  <c r="B48" i="35"/>
  <c r="J47" i="35"/>
  <c r="K47" i="35" s="1"/>
  <c r="I47" i="35"/>
  <c r="M47" i="35" s="1"/>
  <c r="A47" i="35" s="1"/>
  <c r="B47" i="35"/>
  <c r="J46" i="35"/>
  <c r="K46" i="35" s="1"/>
  <c r="I46" i="35"/>
  <c r="M46" i="35" s="1"/>
  <c r="A46" i="35" s="1"/>
  <c r="B46" i="35"/>
  <c r="K45" i="35"/>
  <c r="J45" i="35"/>
  <c r="I45" i="35"/>
  <c r="M45" i="35" s="1"/>
  <c r="A45" i="35" s="1"/>
  <c r="B45" i="35"/>
  <c r="J44" i="35"/>
  <c r="K44" i="35" s="1"/>
  <c r="I44" i="35"/>
  <c r="M44" i="35" s="1"/>
  <c r="A44" i="35" s="1"/>
  <c r="B44" i="35"/>
  <c r="K43" i="35"/>
  <c r="J43" i="35"/>
  <c r="I43" i="35"/>
  <c r="M43" i="35" s="1"/>
  <c r="A43" i="35" s="1"/>
  <c r="B43" i="35"/>
  <c r="J42" i="35"/>
  <c r="K42" i="35" s="1"/>
  <c r="I42" i="35"/>
  <c r="M42" i="35" s="1"/>
  <c r="A42" i="35" s="1"/>
  <c r="B42" i="35"/>
  <c r="J41" i="35"/>
  <c r="K41" i="35" s="1"/>
  <c r="I41" i="35"/>
  <c r="M41" i="35" s="1"/>
  <c r="A41" i="35" s="1"/>
  <c r="B41" i="35"/>
  <c r="J40" i="35"/>
  <c r="K40" i="35" s="1"/>
  <c r="I40" i="35"/>
  <c r="M40" i="35" s="1"/>
  <c r="A40" i="35" s="1"/>
  <c r="B40" i="35"/>
  <c r="M39" i="35"/>
  <c r="A39" i="35" s="1"/>
  <c r="J39" i="35"/>
  <c r="K39" i="35" s="1"/>
  <c r="I39" i="35"/>
  <c r="B39" i="35"/>
  <c r="J38" i="35"/>
  <c r="K38" i="35" s="1"/>
  <c r="I38" i="35"/>
  <c r="M38" i="35" s="1"/>
  <c r="A38" i="35" s="1"/>
  <c r="B38" i="35"/>
  <c r="K37" i="35"/>
  <c r="J37" i="35"/>
  <c r="I37" i="35"/>
  <c r="M37" i="35" s="1"/>
  <c r="A37" i="35" s="1"/>
  <c r="B37" i="35"/>
  <c r="J36" i="35"/>
  <c r="K36" i="35" s="1"/>
  <c r="I36" i="35"/>
  <c r="M36" i="35" s="1"/>
  <c r="A36" i="35" s="1"/>
  <c r="B36" i="35"/>
  <c r="M35" i="35"/>
  <c r="A35" i="35" s="1"/>
  <c r="K35" i="35"/>
  <c r="J35" i="35"/>
  <c r="I35" i="35"/>
  <c r="B35" i="35"/>
  <c r="J34" i="35"/>
  <c r="K34" i="35" s="1"/>
  <c r="I34" i="35"/>
  <c r="M34" i="35" s="1"/>
  <c r="A34" i="35" s="1"/>
  <c r="B34" i="35"/>
  <c r="K33" i="35"/>
  <c r="J33" i="35"/>
  <c r="I33" i="35"/>
  <c r="M33" i="35" s="1"/>
  <c r="A33" i="35" s="1"/>
  <c r="B33" i="35"/>
  <c r="J32" i="35"/>
  <c r="K32" i="35" s="1"/>
  <c r="I32" i="35"/>
  <c r="M32" i="35" s="1"/>
  <c r="A32" i="35" s="1"/>
  <c r="B32" i="35"/>
  <c r="M31" i="35"/>
  <c r="A31" i="35" s="1"/>
  <c r="K31" i="35"/>
  <c r="J31" i="35"/>
  <c r="I31" i="35"/>
  <c r="B31" i="35"/>
  <c r="J30" i="35"/>
  <c r="K30" i="35" s="1"/>
  <c r="I30" i="35"/>
  <c r="M30" i="35" s="1"/>
  <c r="A30" i="35" s="1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M27" i="35"/>
  <c r="A27" i="35" s="1"/>
  <c r="J27" i="35"/>
  <c r="K27" i="35" s="1"/>
  <c r="I27" i="35"/>
  <c r="B27" i="35"/>
  <c r="J26" i="35"/>
  <c r="K26" i="35" s="1"/>
  <c r="I26" i="35"/>
  <c r="M26" i="35" s="1"/>
  <c r="A26" i="35" s="1"/>
  <c r="B26" i="35"/>
  <c r="K25" i="35"/>
  <c r="J25" i="35"/>
  <c r="I25" i="35"/>
  <c r="M25" i="35" s="1"/>
  <c r="A25" i="35" s="1"/>
  <c r="B25" i="35"/>
  <c r="J24" i="35"/>
  <c r="K24" i="35" s="1"/>
  <c r="I24" i="35"/>
  <c r="M24" i="35" s="1"/>
  <c r="A24" i="35" s="1"/>
  <c r="B24" i="35"/>
  <c r="K23" i="35"/>
  <c r="J23" i="35"/>
  <c r="I23" i="35"/>
  <c r="M23" i="35" s="1"/>
  <c r="A23" i="35" s="1"/>
  <c r="B23" i="35"/>
  <c r="J22" i="35"/>
  <c r="K22" i="35" s="1"/>
  <c r="I22" i="35"/>
  <c r="M22" i="35" s="1"/>
  <c r="A22" i="35" s="1"/>
  <c r="B22" i="35"/>
  <c r="K21" i="35"/>
  <c r="J21" i="35"/>
  <c r="I21" i="35"/>
  <c r="M21" i="35" s="1"/>
  <c r="A21" i="35" s="1"/>
  <c r="B21" i="35"/>
  <c r="J20" i="35"/>
  <c r="K20" i="35" s="1"/>
  <c r="I20" i="35"/>
  <c r="M20" i="35" s="1"/>
  <c r="A20" i="35" s="1"/>
  <c r="B20" i="35"/>
  <c r="K19" i="35"/>
  <c r="J19" i="35"/>
  <c r="I19" i="35"/>
  <c r="M19" i="35" s="1"/>
  <c r="A19" i="35" s="1"/>
  <c r="B19" i="35"/>
  <c r="J18" i="35"/>
  <c r="K18" i="35" s="1"/>
  <c r="I18" i="35"/>
  <c r="M18" i="35" s="1"/>
  <c r="A18" i="35" s="1"/>
  <c r="B18" i="35"/>
  <c r="K17" i="35"/>
  <c r="J17" i="35"/>
  <c r="I17" i="35"/>
  <c r="M17" i="35" s="1"/>
  <c r="A17" i="35" s="1"/>
  <c r="B17" i="35"/>
  <c r="J16" i="35"/>
  <c r="K16" i="35" s="1"/>
  <c r="I16" i="35"/>
  <c r="M16" i="35" s="1"/>
  <c r="A16" i="35" s="1"/>
  <c r="B16" i="35"/>
  <c r="K15" i="35"/>
  <c r="J15" i="35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M13" i="35"/>
  <c r="J13" i="35"/>
  <c r="K13" i="35" s="1"/>
  <c r="I13" i="35"/>
  <c r="B13" i="35"/>
  <c r="A13" i="35"/>
  <c r="AI12" i="35"/>
  <c r="AI16" i="35" s="1"/>
  <c r="J12" i="35"/>
  <c r="K12" i="35" s="1"/>
  <c r="I12" i="35"/>
  <c r="M12" i="35" s="1"/>
  <c r="A12" i="35" s="1"/>
  <c r="B12" i="35"/>
  <c r="J11" i="35"/>
  <c r="K11" i="35" s="1"/>
  <c r="I11" i="35"/>
  <c r="M11" i="35" s="1"/>
  <c r="A11" i="35" s="1"/>
  <c r="B11" i="35"/>
  <c r="J10" i="35"/>
  <c r="K10" i="35" s="1"/>
  <c r="I10" i="35"/>
  <c r="B10" i="35"/>
  <c r="J9" i="35"/>
  <c r="K9" i="35" s="1"/>
  <c r="I9" i="35"/>
  <c r="B9" i="35"/>
  <c r="J8" i="35"/>
  <c r="K8" i="35" s="1"/>
  <c r="I8" i="35"/>
  <c r="B8" i="35"/>
  <c r="K7" i="35"/>
  <c r="J7" i="35"/>
  <c r="I7" i="35"/>
  <c r="B7" i="35"/>
  <c r="AT18" i="20" s="1"/>
  <c r="J6" i="35"/>
  <c r="K6" i="35" s="1"/>
  <c r="I6" i="35"/>
  <c r="B6" i="35"/>
  <c r="AT8" i="20" s="1"/>
  <c r="K2" i="35"/>
  <c r="L9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J299" i="34"/>
  <c r="K299" i="34" s="1"/>
  <c r="I299" i="34"/>
  <c r="M299" i="34" s="1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J283" i="34"/>
  <c r="K283" i="34" s="1"/>
  <c r="I283" i="34"/>
  <c r="M283" i="34" s="1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J267" i="34"/>
  <c r="K267" i="34" s="1"/>
  <c r="I267" i="34"/>
  <c r="M267" i="34" s="1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J251" i="34"/>
  <c r="K251" i="34" s="1"/>
  <c r="I251" i="34"/>
  <c r="M251" i="34" s="1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M233" i="34"/>
  <c r="J233" i="34"/>
  <c r="K233" i="34" s="1"/>
  <c r="I233" i="34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J219" i="34"/>
  <c r="K219" i="34" s="1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J203" i="34"/>
  <c r="K203" i="34" s="1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M147" i="34"/>
  <c r="J147" i="34"/>
  <c r="K147" i="34" s="1"/>
  <c r="I147" i="34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J139" i="34"/>
  <c r="K139" i="34" s="1"/>
  <c r="I139" i="34"/>
  <c r="M139" i="34" s="1"/>
  <c r="K138" i="34"/>
  <c r="J138" i="34"/>
  <c r="I138" i="34"/>
  <c r="M138" i="34" s="1"/>
  <c r="J137" i="34"/>
  <c r="K137" i="34" s="1"/>
  <c r="I137" i="34"/>
  <c r="M137" i="34" s="1"/>
  <c r="K136" i="34"/>
  <c r="J136" i="34"/>
  <c r="I136" i="34"/>
  <c r="M136" i="34" s="1"/>
  <c r="K135" i="34"/>
  <c r="J135" i="34"/>
  <c r="I135" i="34"/>
  <c r="M135" i="34" s="1"/>
  <c r="K134" i="34"/>
  <c r="J134" i="34"/>
  <c r="I134" i="34"/>
  <c r="M134" i="34" s="1"/>
  <c r="K133" i="34"/>
  <c r="J133" i="34"/>
  <c r="I133" i="34"/>
  <c r="M133" i="34" s="1"/>
  <c r="K132" i="34"/>
  <c r="J132" i="34"/>
  <c r="I132" i="34"/>
  <c r="M132" i="34" s="1"/>
  <c r="K131" i="34"/>
  <c r="J131" i="34"/>
  <c r="I131" i="34"/>
  <c r="M131" i="34" s="1"/>
  <c r="K130" i="34"/>
  <c r="J130" i="34"/>
  <c r="I130" i="34"/>
  <c r="M130" i="34" s="1"/>
  <c r="K129" i="34"/>
  <c r="J129" i="34"/>
  <c r="I129" i="34"/>
  <c r="M129" i="34" s="1"/>
  <c r="K128" i="34"/>
  <c r="J128" i="34"/>
  <c r="I128" i="34"/>
  <c r="M128" i="34" s="1"/>
  <c r="K127" i="34"/>
  <c r="J127" i="34"/>
  <c r="I127" i="34"/>
  <c r="M127" i="34" s="1"/>
  <c r="K126" i="34"/>
  <c r="J126" i="34"/>
  <c r="I126" i="34"/>
  <c r="M126" i="34" s="1"/>
  <c r="K125" i="34"/>
  <c r="J125" i="34"/>
  <c r="I125" i="34"/>
  <c r="M125" i="34" s="1"/>
  <c r="K124" i="34"/>
  <c r="J124" i="34"/>
  <c r="I124" i="34"/>
  <c r="M124" i="34" s="1"/>
  <c r="K123" i="34"/>
  <c r="J123" i="34"/>
  <c r="I123" i="34"/>
  <c r="M123" i="34" s="1"/>
  <c r="K122" i="34"/>
  <c r="J122" i="34"/>
  <c r="I122" i="34"/>
  <c r="M122" i="34" s="1"/>
  <c r="K121" i="34"/>
  <c r="J121" i="34"/>
  <c r="I121" i="34"/>
  <c r="M121" i="34" s="1"/>
  <c r="K120" i="34"/>
  <c r="J120" i="34"/>
  <c r="I120" i="34"/>
  <c r="M120" i="34" s="1"/>
  <c r="K119" i="34"/>
  <c r="J119" i="34"/>
  <c r="I119" i="34"/>
  <c r="M119" i="34" s="1"/>
  <c r="K118" i="34"/>
  <c r="J118" i="34"/>
  <c r="I118" i="34"/>
  <c r="M118" i="34" s="1"/>
  <c r="K117" i="34"/>
  <c r="J117" i="34"/>
  <c r="I117" i="34"/>
  <c r="M117" i="34" s="1"/>
  <c r="K116" i="34"/>
  <c r="J116" i="34"/>
  <c r="I116" i="34"/>
  <c r="M116" i="34" s="1"/>
  <c r="J115" i="34"/>
  <c r="K115" i="34" s="1"/>
  <c r="I115" i="34"/>
  <c r="M115" i="34" s="1"/>
  <c r="K114" i="34"/>
  <c r="J114" i="34"/>
  <c r="I114" i="34"/>
  <c r="M114" i="34" s="1"/>
  <c r="J113" i="34"/>
  <c r="K113" i="34" s="1"/>
  <c r="I113" i="34"/>
  <c r="M113" i="34" s="1"/>
  <c r="K112" i="34"/>
  <c r="J112" i="34"/>
  <c r="I112" i="34"/>
  <c r="M112" i="34" s="1"/>
  <c r="J111" i="34"/>
  <c r="K111" i="34" s="1"/>
  <c r="I111" i="34"/>
  <c r="M111" i="34" s="1"/>
  <c r="K110" i="34"/>
  <c r="J110" i="34"/>
  <c r="I110" i="34"/>
  <c r="M110" i="34" s="1"/>
  <c r="J109" i="34"/>
  <c r="K109" i="34" s="1"/>
  <c r="I109" i="34"/>
  <c r="M109" i="34" s="1"/>
  <c r="K108" i="34"/>
  <c r="J108" i="34"/>
  <c r="I108" i="34"/>
  <c r="M108" i="34" s="1"/>
  <c r="J107" i="34"/>
  <c r="K107" i="34" s="1"/>
  <c r="I107" i="34"/>
  <c r="M107" i="34" s="1"/>
  <c r="K106" i="34"/>
  <c r="J106" i="34"/>
  <c r="I106" i="34"/>
  <c r="M106" i="34" s="1"/>
  <c r="J105" i="34"/>
  <c r="K105" i="34" s="1"/>
  <c r="I105" i="34"/>
  <c r="M105" i="34" s="1"/>
  <c r="K104" i="34"/>
  <c r="J104" i="34"/>
  <c r="I104" i="34"/>
  <c r="M104" i="34" s="1"/>
  <c r="J103" i="34"/>
  <c r="K103" i="34" s="1"/>
  <c r="I103" i="34"/>
  <c r="M103" i="34" s="1"/>
  <c r="K102" i="34"/>
  <c r="J102" i="34"/>
  <c r="I102" i="34"/>
  <c r="M102" i="34" s="1"/>
  <c r="J101" i="34"/>
  <c r="K101" i="34" s="1"/>
  <c r="I101" i="34"/>
  <c r="M101" i="34" s="1"/>
  <c r="K100" i="34"/>
  <c r="J100" i="34"/>
  <c r="I100" i="34"/>
  <c r="M100" i="34" s="1"/>
  <c r="J99" i="34"/>
  <c r="K99" i="34" s="1"/>
  <c r="I99" i="34"/>
  <c r="M99" i="34" s="1"/>
  <c r="K98" i="34"/>
  <c r="J98" i="34"/>
  <c r="I98" i="34"/>
  <c r="M98" i="34" s="1"/>
  <c r="J97" i="34"/>
  <c r="K97" i="34" s="1"/>
  <c r="I97" i="34"/>
  <c r="M97" i="34" s="1"/>
  <c r="K96" i="34"/>
  <c r="J96" i="34"/>
  <c r="I96" i="34"/>
  <c r="M96" i="34" s="1"/>
  <c r="J95" i="34"/>
  <c r="K95" i="34" s="1"/>
  <c r="I95" i="34"/>
  <c r="M95" i="34" s="1"/>
  <c r="K94" i="34"/>
  <c r="J94" i="34"/>
  <c r="I94" i="34"/>
  <c r="M94" i="34" s="1"/>
  <c r="J93" i="34"/>
  <c r="K93" i="34" s="1"/>
  <c r="I93" i="34"/>
  <c r="M93" i="34" s="1"/>
  <c r="K92" i="34"/>
  <c r="J92" i="34"/>
  <c r="I92" i="34"/>
  <c r="M92" i="34" s="1"/>
  <c r="J91" i="34"/>
  <c r="K91" i="34" s="1"/>
  <c r="I91" i="34"/>
  <c r="M91" i="34" s="1"/>
  <c r="K90" i="34"/>
  <c r="J90" i="34"/>
  <c r="I90" i="34"/>
  <c r="M90" i="34" s="1"/>
  <c r="J89" i="34"/>
  <c r="K89" i="34" s="1"/>
  <c r="I89" i="34"/>
  <c r="M89" i="34" s="1"/>
  <c r="K88" i="34"/>
  <c r="J88" i="34"/>
  <c r="I88" i="34"/>
  <c r="M88" i="34" s="1"/>
  <c r="J87" i="34"/>
  <c r="K87" i="34" s="1"/>
  <c r="I87" i="34"/>
  <c r="M87" i="34" s="1"/>
  <c r="K86" i="34"/>
  <c r="J86" i="34"/>
  <c r="I86" i="34"/>
  <c r="M86" i="34" s="1"/>
  <c r="J85" i="34"/>
  <c r="K85" i="34" s="1"/>
  <c r="I85" i="34"/>
  <c r="M85" i="34" s="1"/>
  <c r="K84" i="34"/>
  <c r="J84" i="34"/>
  <c r="I84" i="34"/>
  <c r="M84" i="34" s="1"/>
  <c r="J83" i="34"/>
  <c r="K83" i="34" s="1"/>
  <c r="I83" i="34"/>
  <c r="M83" i="34" s="1"/>
  <c r="K82" i="34"/>
  <c r="J82" i="34"/>
  <c r="I82" i="34"/>
  <c r="M82" i="34" s="1"/>
  <c r="J81" i="34"/>
  <c r="K81" i="34" s="1"/>
  <c r="I81" i="34"/>
  <c r="M81" i="34" s="1"/>
  <c r="K80" i="34"/>
  <c r="J80" i="34"/>
  <c r="I80" i="34"/>
  <c r="M80" i="34" s="1"/>
  <c r="J79" i="34"/>
  <c r="K79" i="34" s="1"/>
  <c r="I79" i="34"/>
  <c r="M79" i="34" s="1"/>
  <c r="K78" i="34"/>
  <c r="J78" i="34"/>
  <c r="I78" i="34"/>
  <c r="M78" i="34" s="1"/>
  <c r="J77" i="34"/>
  <c r="K77" i="34" s="1"/>
  <c r="I77" i="34"/>
  <c r="M77" i="34" s="1"/>
  <c r="K76" i="34"/>
  <c r="J76" i="34"/>
  <c r="I76" i="34"/>
  <c r="M76" i="34" s="1"/>
  <c r="J75" i="34"/>
  <c r="K75" i="34" s="1"/>
  <c r="I75" i="34"/>
  <c r="M75" i="34" s="1"/>
  <c r="K74" i="34"/>
  <c r="J74" i="34"/>
  <c r="I74" i="34"/>
  <c r="M74" i="34" s="1"/>
  <c r="J73" i="34"/>
  <c r="K73" i="34" s="1"/>
  <c r="I73" i="34"/>
  <c r="M73" i="34" s="1"/>
  <c r="K72" i="34"/>
  <c r="J72" i="34"/>
  <c r="I72" i="34"/>
  <c r="M72" i="34" s="1"/>
  <c r="J71" i="34"/>
  <c r="K71" i="34" s="1"/>
  <c r="I71" i="34"/>
  <c r="M71" i="34" s="1"/>
  <c r="K70" i="34"/>
  <c r="J70" i="34"/>
  <c r="I70" i="34"/>
  <c r="M70" i="34" s="1"/>
  <c r="J69" i="34"/>
  <c r="K69" i="34" s="1"/>
  <c r="I69" i="34"/>
  <c r="M69" i="34" s="1"/>
  <c r="K68" i="34"/>
  <c r="J68" i="34"/>
  <c r="I68" i="34"/>
  <c r="M68" i="34" s="1"/>
  <c r="J67" i="34"/>
  <c r="K67" i="34" s="1"/>
  <c r="I67" i="34"/>
  <c r="M67" i="34" s="1"/>
  <c r="K66" i="34"/>
  <c r="J66" i="34"/>
  <c r="I66" i="34"/>
  <c r="M66" i="34" s="1"/>
  <c r="J65" i="34"/>
  <c r="K65" i="34" s="1"/>
  <c r="I65" i="34"/>
  <c r="M65" i="34" s="1"/>
  <c r="B65" i="34"/>
  <c r="M64" i="34"/>
  <c r="J64" i="34"/>
  <c r="K64" i="34" s="1"/>
  <c r="I64" i="34"/>
  <c r="B64" i="34"/>
  <c r="K63" i="34"/>
  <c r="J63" i="34"/>
  <c r="I63" i="34"/>
  <c r="M63" i="34" s="1"/>
  <c r="B63" i="34"/>
  <c r="M62" i="34"/>
  <c r="J62" i="34"/>
  <c r="K62" i="34" s="1"/>
  <c r="I62" i="34"/>
  <c r="B62" i="34"/>
  <c r="K61" i="34"/>
  <c r="J61" i="34"/>
  <c r="I61" i="34"/>
  <c r="M61" i="34" s="1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J56" i="34"/>
  <c r="K56" i="34" s="1"/>
  <c r="I56" i="34"/>
  <c r="B56" i="34"/>
  <c r="K55" i="34"/>
  <c r="J55" i="34"/>
  <c r="I55" i="34"/>
  <c r="M55" i="34" s="1"/>
  <c r="B55" i="34"/>
  <c r="M54" i="34"/>
  <c r="J54" i="34"/>
  <c r="K54" i="34" s="1"/>
  <c r="I54" i="34"/>
  <c r="B54" i="34"/>
  <c r="K53" i="34"/>
  <c r="J53" i="34"/>
  <c r="I53" i="34"/>
  <c r="M53" i="34" s="1"/>
  <c r="B53" i="34"/>
  <c r="M52" i="34"/>
  <c r="K52" i="34"/>
  <c r="J52" i="34"/>
  <c r="I52" i="34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J48" i="34"/>
  <c r="K48" i="34" s="1"/>
  <c r="I48" i="34"/>
  <c r="B48" i="34"/>
  <c r="K47" i="34"/>
  <c r="J47" i="34"/>
  <c r="I47" i="34"/>
  <c r="M47" i="34" s="1"/>
  <c r="B47" i="34"/>
  <c r="U46" i="34"/>
  <c r="T46" i="34"/>
  <c r="R46" i="34"/>
  <c r="K46" i="34"/>
  <c r="J46" i="34"/>
  <c r="I46" i="34"/>
  <c r="M46" i="34" s="1"/>
  <c r="B46" i="34"/>
  <c r="M45" i="34"/>
  <c r="J45" i="34"/>
  <c r="K45" i="34" s="1"/>
  <c r="I45" i="34"/>
  <c r="B45" i="34"/>
  <c r="K44" i="34"/>
  <c r="J44" i="34"/>
  <c r="I44" i="34"/>
  <c r="M44" i="34" s="1"/>
  <c r="B44" i="34"/>
  <c r="K43" i="34"/>
  <c r="J43" i="34"/>
  <c r="I43" i="34"/>
  <c r="M43" i="34" s="1"/>
  <c r="B43" i="34"/>
  <c r="M42" i="34"/>
  <c r="K42" i="34"/>
  <c r="J42" i="34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J39" i="34"/>
  <c r="K39" i="34" s="1"/>
  <c r="I39" i="34"/>
  <c r="B39" i="34"/>
  <c r="K38" i="34"/>
  <c r="J38" i="34"/>
  <c r="I38" i="34"/>
  <c r="M38" i="34" s="1"/>
  <c r="B38" i="34"/>
  <c r="M37" i="34"/>
  <c r="A37" i="34" s="1"/>
  <c r="J37" i="34"/>
  <c r="K37" i="34" s="1"/>
  <c r="I37" i="34"/>
  <c r="B37" i="34"/>
  <c r="M36" i="34"/>
  <c r="A36" i="34" s="1"/>
  <c r="J36" i="34"/>
  <c r="K36" i="34" s="1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M33" i="34"/>
  <c r="A33" i="34" s="1"/>
  <c r="J33" i="34"/>
  <c r="K33" i="34" s="1"/>
  <c r="I33" i="34"/>
  <c r="B33" i="34"/>
  <c r="M32" i="34"/>
  <c r="A32" i="34" s="1"/>
  <c r="J32" i="34"/>
  <c r="K32" i="34" s="1"/>
  <c r="I32" i="34"/>
  <c r="B32" i="34"/>
  <c r="J31" i="34"/>
  <c r="K31" i="34" s="1"/>
  <c r="I31" i="34"/>
  <c r="M31" i="34" s="1"/>
  <c r="A31" i="34" s="1"/>
  <c r="B31" i="34"/>
  <c r="M30" i="34"/>
  <c r="K30" i="34"/>
  <c r="J30" i="34"/>
  <c r="I30" i="34"/>
  <c r="B30" i="34"/>
  <c r="A30" i="34"/>
  <c r="M29" i="34"/>
  <c r="A29" i="34" s="1"/>
  <c r="J29" i="34"/>
  <c r="K29" i="34" s="1"/>
  <c r="I29" i="34"/>
  <c r="B29" i="34"/>
  <c r="M28" i="34"/>
  <c r="A28" i="34" s="1"/>
  <c r="J28" i="34"/>
  <c r="K28" i="34" s="1"/>
  <c r="I28" i="34"/>
  <c r="B28" i="34"/>
  <c r="J27" i="34"/>
  <c r="K27" i="34" s="1"/>
  <c r="I27" i="34"/>
  <c r="M27" i="34" s="1"/>
  <c r="A27" i="34" s="1"/>
  <c r="B27" i="34"/>
  <c r="M26" i="34"/>
  <c r="K26" i="34"/>
  <c r="J26" i="34"/>
  <c r="I26" i="34"/>
  <c r="B26" i="34"/>
  <c r="A26" i="34"/>
  <c r="M25" i="34"/>
  <c r="A25" i="34" s="1"/>
  <c r="J25" i="34"/>
  <c r="K25" i="34" s="1"/>
  <c r="I25" i="34"/>
  <c r="B25" i="34"/>
  <c r="M24" i="34"/>
  <c r="A24" i="34" s="1"/>
  <c r="J24" i="34"/>
  <c r="K24" i="34" s="1"/>
  <c r="I24" i="34"/>
  <c r="B24" i="34"/>
  <c r="J23" i="34"/>
  <c r="K23" i="34" s="1"/>
  <c r="I23" i="34"/>
  <c r="M23" i="34" s="1"/>
  <c r="A23" i="34" s="1"/>
  <c r="B23" i="34"/>
  <c r="M22" i="34"/>
  <c r="J22" i="34"/>
  <c r="K22" i="34" s="1"/>
  <c r="I22" i="34"/>
  <c r="B22" i="34"/>
  <c r="A22" i="34"/>
  <c r="M21" i="34"/>
  <c r="A21" i="34" s="1"/>
  <c r="J21" i="34"/>
  <c r="K21" i="34" s="1"/>
  <c r="I21" i="34"/>
  <c r="B21" i="34"/>
  <c r="M20" i="34"/>
  <c r="A20" i="34" s="1"/>
  <c r="J20" i="34"/>
  <c r="K20" i="34" s="1"/>
  <c r="I20" i="34"/>
  <c r="B20" i="34"/>
  <c r="J19" i="34"/>
  <c r="K19" i="34" s="1"/>
  <c r="I19" i="34"/>
  <c r="M19" i="34" s="1"/>
  <c r="A19" i="34" s="1"/>
  <c r="B19" i="34"/>
  <c r="M18" i="34"/>
  <c r="J18" i="34"/>
  <c r="K18" i="34" s="1"/>
  <c r="I18" i="34"/>
  <c r="B18" i="34"/>
  <c r="A18" i="34"/>
  <c r="M17" i="34"/>
  <c r="A17" i="34" s="1"/>
  <c r="J17" i="34"/>
  <c r="K17" i="34" s="1"/>
  <c r="I17" i="34"/>
  <c r="B17" i="34"/>
  <c r="AI16" i="34"/>
  <c r="M16" i="34"/>
  <c r="A16" i="34" s="1"/>
  <c r="K16" i="34"/>
  <c r="J16" i="34"/>
  <c r="I16" i="34"/>
  <c r="B16" i="34"/>
  <c r="K15" i="34"/>
  <c r="J15" i="34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M12" i="34"/>
  <c r="J12" i="34"/>
  <c r="K12" i="34" s="1"/>
  <c r="I12" i="34"/>
  <c r="B12" i="34"/>
  <c r="A12" i="34"/>
  <c r="M11" i="34"/>
  <c r="A11" i="34" s="1"/>
  <c r="J11" i="34"/>
  <c r="K11" i="34" s="1"/>
  <c r="I11" i="34"/>
  <c r="B11" i="34"/>
  <c r="M10" i="34"/>
  <c r="A10" i="34" s="1"/>
  <c r="J10" i="34"/>
  <c r="K10" i="34" s="1"/>
  <c r="I10" i="34"/>
  <c r="B10" i="34"/>
  <c r="K9" i="34"/>
  <c r="J9" i="34"/>
  <c r="I9" i="34"/>
  <c r="M9" i="34" s="1"/>
  <c r="A9" i="34" s="1"/>
  <c r="B9" i="34"/>
  <c r="J8" i="34"/>
  <c r="K8" i="34" s="1"/>
  <c r="I8" i="34"/>
  <c r="M8" i="34" s="1"/>
  <c r="A8" i="34" s="1"/>
  <c r="B8" i="34"/>
  <c r="K7" i="34"/>
  <c r="J7" i="34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74" i="33"/>
  <c r="J373" i="33"/>
  <c r="J372" i="33"/>
  <c r="J371" i="33"/>
  <c r="J370" i="33"/>
  <c r="J369" i="33"/>
  <c r="J368" i="33"/>
  <c r="J367" i="33"/>
  <c r="J366" i="33"/>
  <c r="J365" i="33"/>
  <c r="J364" i="33"/>
  <c r="J363" i="33"/>
  <c r="J362" i="33"/>
  <c r="J361" i="33"/>
  <c r="J360" i="33"/>
  <c r="J359" i="33"/>
  <c r="J358" i="33"/>
  <c r="J357" i="33"/>
  <c r="J356" i="33"/>
  <c r="J355" i="33"/>
  <c r="J354" i="33"/>
  <c r="J353" i="33"/>
  <c r="J352" i="33"/>
  <c r="J351" i="33"/>
  <c r="J350" i="33"/>
  <c r="J349" i="33"/>
  <c r="J348" i="33"/>
  <c r="J347" i="33"/>
  <c r="J346" i="33"/>
  <c r="J345" i="33"/>
  <c r="J344" i="33"/>
  <c r="J343" i="33"/>
  <c r="J342" i="33"/>
  <c r="J341" i="33"/>
  <c r="J340" i="33"/>
  <c r="J339" i="33"/>
  <c r="J338" i="33"/>
  <c r="J337" i="33"/>
  <c r="J336" i="33"/>
  <c r="J335" i="33"/>
  <c r="J334" i="33"/>
  <c r="J333" i="33"/>
  <c r="J332" i="33"/>
  <c r="J331" i="33"/>
  <c r="J330" i="33"/>
  <c r="J329" i="33"/>
  <c r="J328" i="33"/>
  <c r="J327" i="33"/>
  <c r="J326" i="33"/>
  <c r="J325" i="33"/>
  <c r="J324" i="33"/>
  <c r="J323" i="33"/>
  <c r="J322" i="33"/>
  <c r="J321" i="33"/>
  <c r="J320" i="33"/>
  <c r="J319" i="33"/>
  <c r="J318" i="33"/>
  <c r="J317" i="33"/>
  <c r="J316" i="33"/>
  <c r="J315" i="33"/>
  <c r="J314" i="33"/>
  <c r="J313" i="33"/>
  <c r="J312" i="33"/>
  <c r="J311" i="33"/>
  <c r="J310" i="33"/>
  <c r="J309" i="33"/>
  <c r="J308" i="33"/>
  <c r="J307" i="33"/>
  <c r="J306" i="33"/>
  <c r="M305" i="33"/>
  <c r="J305" i="33"/>
  <c r="K305" i="33" s="1"/>
  <c r="I305" i="33"/>
  <c r="J304" i="33"/>
  <c r="K304" i="33" s="1"/>
  <c r="I304" i="33"/>
  <c r="M304" i="33" s="1"/>
  <c r="M303" i="33"/>
  <c r="J303" i="33"/>
  <c r="K303" i="33" s="1"/>
  <c r="I303" i="33"/>
  <c r="J302" i="33"/>
  <c r="K302" i="33" s="1"/>
  <c r="I302" i="33"/>
  <c r="M302" i="33" s="1"/>
  <c r="M301" i="33"/>
  <c r="J301" i="33"/>
  <c r="K301" i="33" s="1"/>
  <c r="I301" i="33"/>
  <c r="J300" i="33"/>
  <c r="K300" i="33" s="1"/>
  <c r="I300" i="33"/>
  <c r="M300" i="33" s="1"/>
  <c r="M299" i="33"/>
  <c r="J299" i="33"/>
  <c r="K299" i="33" s="1"/>
  <c r="I299" i="33"/>
  <c r="J298" i="33"/>
  <c r="K298" i="33" s="1"/>
  <c r="I298" i="33"/>
  <c r="M298" i="33" s="1"/>
  <c r="M297" i="33"/>
  <c r="J297" i="33"/>
  <c r="K297" i="33" s="1"/>
  <c r="I297" i="33"/>
  <c r="J296" i="33"/>
  <c r="K296" i="33" s="1"/>
  <c r="I296" i="33"/>
  <c r="M296" i="33" s="1"/>
  <c r="M295" i="33"/>
  <c r="J295" i="33"/>
  <c r="K295" i="33" s="1"/>
  <c r="I295" i="33"/>
  <c r="J294" i="33"/>
  <c r="K294" i="33" s="1"/>
  <c r="I294" i="33"/>
  <c r="M294" i="33" s="1"/>
  <c r="M293" i="33"/>
  <c r="J293" i="33"/>
  <c r="K293" i="33" s="1"/>
  <c r="I293" i="33"/>
  <c r="J292" i="33"/>
  <c r="K292" i="33" s="1"/>
  <c r="I292" i="33"/>
  <c r="M292" i="33" s="1"/>
  <c r="M291" i="33"/>
  <c r="J291" i="33"/>
  <c r="K291" i="33" s="1"/>
  <c r="I291" i="33"/>
  <c r="J290" i="33"/>
  <c r="K290" i="33" s="1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J286" i="33"/>
  <c r="K286" i="33" s="1"/>
  <c r="I286" i="33"/>
  <c r="M286" i="33" s="1"/>
  <c r="M285" i="33"/>
  <c r="J285" i="33"/>
  <c r="K285" i="33" s="1"/>
  <c r="I285" i="33"/>
  <c r="J284" i="33"/>
  <c r="K284" i="33" s="1"/>
  <c r="I284" i="33"/>
  <c r="M284" i="33" s="1"/>
  <c r="M283" i="33"/>
  <c r="J283" i="33"/>
  <c r="K283" i="33" s="1"/>
  <c r="I283" i="33"/>
  <c r="J282" i="33"/>
  <c r="K282" i="33" s="1"/>
  <c r="I282" i="33"/>
  <c r="M282" i="33" s="1"/>
  <c r="M281" i="33"/>
  <c r="J281" i="33"/>
  <c r="K281" i="33" s="1"/>
  <c r="I281" i="33"/>
  <c r="J280" i="33"/>
  <c r="K280" i="33" s="1"/>
  <c r="I280" i="33"/>
  <c r="M280" i="33" s="1"/>
  <c r="M279" i="33"/>
  <c r="J279" i="33"/>
  <c r="K279" i="33" s="1"/>
  <c r="I279" i="33"/>
  <c r="J278" i="33"/>
  <c r="K278" i="33" s="1"/>
  <c r="I278" i="33"/>
  <c r="M278" i="33" s="1"/>
  <c r="M277" i="33"/>
  <c r="J277" i="33"/>
  <c r="K277" i="33" s="1"/>
  <c r="I277" i="33"/>
  <c r="J276" i="33"/>
  <c r="K276" i="33" s="1"/>
  <c r="I276" i="33"/>
  <c r="M276" i="33" s="1"/>
  <c r="M275" i="33"/>
  <c r="J275" i="33"/>
  <c r="K275" i="33" s="1"/>
  <c r="I275" i="33"/>
  <c r="J274" i="33"/>
  <c r="K274" i="33" s="1"/>
  <c r="I274" i="33"/>
  <c r="M274" i="33" s="1"/>
  <c r="M273" i="33"/>
  <c r="J273" i="33"/>
  <c r="K273" i="33" s="1"/>
  <c r="I273" i="33"/>
  <c r="J272" i="33"/>
  <c r="K272" i="33" s="1"/>
  <c r="I272" i="33"/>
  <c r="M272" i="33" s="1"/>
  <c r="M271" i="33"/>
  <c r="J271" i="33"/>
  <c r="K271" i="33" s="1"/>
  <c r="I271" i="33"/>
  <c r="J270" i="33"/>
  <c r="K270" i="33" s="1"/>
  <c r="I270" i="33"/>
  <c r="M270" i="33" s="1"/>
  <c r="M269" i="33"/>
  <c r="J269" i="33"/>
  <c r="K269" i="33" s="1"/>
  <c r="I269" i="33"/>
  <c r="J268" i="33"/>
  <c r="K268" i="33" s="1"/>
  <c r="I268" i="33"/>
  <c r="M268" i="33" s="1"/>
  <c r="M267" i="33"/>
  <c r="J267" i="33"/>
  <c r="K267" i="33" s="1"/>
  <c r="I267" i="33"/>
  <c r="J266" i="33"/>
  <c r="K266" i="33" s="1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J262" i="33"/>
  <c r="K262" i="33" s="1"/>
  <c r="I262" i="33"/>
  <c r="M262" i="33" s="1"/>
  <c r="M261" i="33"/>
  <c r="J261" i="33"/>
  <c r="K261" i="33" s="1"/>
  <c r="I261" i="33"/>
  <c r="J260" i="33"/>
  <c r="K260" i="33" s="1"/>
  <c r="I260" i="33"/>
  <c r="M260" i="33" s="1"/>
  <c r="M259" i="33"/>
  <c r="J259" i="33"/>
  <c r="K259" i="33" s="1"/>
  <c r="I259" i="33"/>
  <c r="J258" i="33"/>
  <c r="K258" i="33" s="1"/>
  <c r="I258" i="33"/>
  <c r="M258" i="33" s="1"/>
  <c r="M257" i="33"/>
  <c r="J257" i="33"/>
  <c r="K257" i="33" s="1"/>
  <c r="I257" i="33"/>
  <c r="J256" i="33"/>
  <c r="K256" i="33" s="1"/>
  <c r="I256" i="33"/>
  <c r="M256" i="33" s="1"/>
  <c r="M255" i="33"/>
  <c r="J255" i="33"/>
  <c r="K255" i="33" s="1"/>
  <c r="I255" i="33"/>
  <c r="J254" i="33"/>
  <c r="K254" i="33" s="1"/>
  <c r="I254" i="33"/>
  <c r="M254" i="33" s="1"/>
  <c r="M253" i="33"/>
  <c r="J253" i="33"/>
  <c r="K253" i="33" s="1"/>
  <c r="I253" i="33"/>
  <c r="J252" i="33"/>
  <c r="K252" i="33" s="1"/>
  <c r="I252" i="33"/>
  <c r="M252" i="33" s="1"/>
  <c r="M251" i="33"/>
  <c r="J251" i="33"/>
  <c r="K251" i="33" s="1"/>
  <c r="I251" i="33"/>
  <c r="J250" i="33"/>
  <c r="K250" i="33" s="1"/>
  <c r="I250" i="33"/>
  <c r="M250" i="33" s="1"/>
  <c r="M249" i="33"/>
  <c r="J249" i="33"/>
  <c r="K249" i="33" s="1"/>
  <c r="I249" i="33"/>
  <c r="J248" i="33"/>
  <c r="K248" i="33" s="1"/>
  <c r="I248" i="33"/>
  <c r="M248" i="33" s="1"/>
  <c r="M247" i="33"/>
  <c r="J247" i="33"/>
  <c r="K247" i="33" s="1"/>
  <c r="I247" i="33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M243" i="33"/>
  <c r="J243" i="33"/>
  <c r="K243" i="33" s="1"/>
  <c r="I243" i="33"/>
  <c r="J242" i="33"/>
  <c r="K242" i="33" s="1"/>
  <c r="I242" i="33"/>
  <c r="M242" i="33" s="1"/>
  <c r="M241" i="33"/>
  <c r="J241" i="33"/>
  <c r="K241" i="33" s="1"/>
  <c r="I241" i="33"/>
  <c r="J240" i="33"/>
  <c r="K240" i="33" s="1"/>
  <c r="I240" i="33"/>
  <c r="M240" i="33" s="1"/>
  <c r="M239" i="33"/>
  <c r="J239" i="33"/>
  <c r="K239" i="33" s="1"/>
  <c r="I239" i="33"/>
  <c r="J238" i="33"/>
  <c r="K238" i="33" s="1"/>
  <c r="I238" i="33"/>
  <c r="M238" i="33" s="1"/>
  <c r="M237" i="33"/>
  <c r="J237" i="33"/>
  <c r="K237" i="33" s="1"/>
  <c r="I237" i="33"/>
  <c r="J236" i="33"/>
  <c r="K236" i="33" s="1"/>
  <c r="I236" i="33"/>
  <c r="M236" i="33" s="1"/>
  <c r="M235" i="33"/>
  <c r="J235" i="33"/>
  <c r="K235" i="33" s="1"/>
  <c r="I235" i="33"/>
  <c r="J234" i="33"/>
  <c r="K234" i="33" s="1"/>
  <c r="I234" i="33"/>
  <c r="M234" i="33" s="1"/>
  <c r="M233" i="33"/>
  <c r="J233" i="33"/>
  <c r="K233" i="33" s="1"/>
  <c r="I233" i="33"/>
  <c r="J232" i="33"/>
  <c r="K232" i="33" s="1"/>
  <c r="I232" i="33"/>
  <c r="M232" i="33" s="1"/>
  <c r="M231" i="33"/>
  <c r="J231" i="33"/>
  <c r="K231" i="33" s="1"/>
  <c r="I231" i="33"/>
  <c r="J230" i="33"/>
  <c r="K230" i="33" s="1"/>
  <c r="I230" i="33"/>
  <c r="M230" i="33" s="1"/>
  <c r="M229" i="33"/>
  <c r="J229" i="33"/>
  <c r="K229" i="33" s="1"/>
  <c r="I229" i="33"/>
  <c r="J228" i="33"/>
  <c r="K228" i="33" s="1"/>
  <c r="I228" i="33"/>
  <c r="M228" i="33" s="1"/>
  <c r="M227" i="33"/>
  <c r="J227" i="33"/>
  <c r="K227" i="33" s="1"/>
  <c r="I227" i="33"/>
  <c r="J226" i="33"/>
  <c r="K226" i="33" s="1"/>
  <c r="I226" i="33"/>
  <c r="M226" i="33" s="1"/>
  <c r="M225" i="33"/>
  <c r="J225" i="33"/>
  <c r="K225" i="33" s="1"/>
  <c r="I225" i="33"/>
  <c r="J224" i="33"/>
  <c r="K224" i="33" s="1"/>
  <c r="I224" i="33"/>
  <c r="M224" i="33" s="1"/>
  <c r="M223" i="33"/>
  <c r="J223" i="33"/>
  <c r="K223" i="33" s="1"/>
  <c r="I223" i="33"/>
  <c r="J222" i="33"/>
  <c r="K222" i="33" s="1"/>
  <c r="I222" i="33"/>
  <c r="M222" i="33" s="1"/>
  <c r="M221" i="33"/>
  <c r="J221" i="33"/>
  <c r="K221" i="33" s="1"/>
  <c r="I221" i="33"/>
  <c r="J220" i="33"/>
  <c r="K220" i="33" s="1"/>
  <c r="I220" i="33"/>
  <c r="M220" i="33" s="1"/>
  <c r="M219" i="33"/>
  <c r="J219" i="33"/>
  <c r="K219" i="33" s="1"/>
  <c r="I219" i="33"/>
  <c r="J218" i="33"/>
  <c r="K218" i="33" s="1"/>
  <c r="I218" i="33"/>
  <c r="M218" i="33" s="1"/>
  <c r="M217" i="33"/>
  <c r="J217" i="33"/>
  <c r="K217" i="33" s="1"/>
  <c r="I217" i="33"/>
  <c r="J216" i="33"/>
  <c r="K216" i="33" s="1"/>
  <c r="I216" i="33"/>
  <c r="M216" i="33" s="1"/>
  <c r="M215" i="33"/>
  <c r="J215" i="33"/>
  <c r="K215" i="33" s="1"/>
  <c r="I215" i="33"/>
  <c r="J214" i="33"/>
  <c r="K214" i="33" s="1"/>
  <c r="I214" i="33"/>
  <c r="M214" i="33" s="1"/>
  <c r="M213" i="33"/>
  <c r="J213" i="33"/>
  <c r="K213" i="33" s="1"/>
  <c r="I213" i="33"/>
  <c r="J212" i="33"/>
  <c r="K212" i="33" s="1"/>
  <c r="I212" i="33"/>
  <c r="M212" i="33" s="1"/>
  <c r="M211" i="33"/>
  <c r="J211" i="33"/>
  <c r="K211" i="33" s="1"/>
  <c r="I211" i="33"/>
  <c r="J210" i="33"/>
  <c r="K210" i="33" s="1"/>
  <c r="I210" i="33"/>
  <c r="M210" i="33" s="1"/>
  <c r="M209" i="33"/>
  <c r="J209" i="33"/>
  <c r="K209" i="33" s="1"/>
  <c r="I209" i="33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M205" i="33"/>
  <c r="J205" i="33"/>
  <c r="K205" i="33" s="1"/>
  <c r="I205" i="33"/>
  <c r="J204" i="33"/>
  <c r="K204" i="33" s="1"/>
  <c r="I204" i="33"/>
  <c r="M204" i="33" s="1"/>
  <c r="M203" i="33"/>
  <c r="J203" i="33"/>
  <c r="K203" i="33" s="1"/>
  <c r="I203" i="33"/>
  <c r="J202" i="33"/>
  <c r="K202" i="33" s="1"/>
  <c r="I202" i="33"/>
  <c r="M202" i="33" s="1"/>
  <c r="M201" i="33"/>
  <c r="J201" i="33"/>
  <c r="K201" i="33" s="1"/>
  <c r="I201" i="33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M197" i="33"/>
  <c r="J197" i="33"/>
  <c r="K197" i="33" s="1"/>
  <c r="I197" i="33"/>
  <c r="J196" i="33"/>
  <c r="K196" i="33" s="1"/>
  <c r="I196" i="33"/>
  <c r="M196" i="33" s="1"/>
  <c r="M195" i="33"/>
  <c r="J195" i="33"/>
  <c r="K195" i="33" s="1"/>
  <c r="I195" i="33"/>
  <c r="J194" i="33"/>
  <c r="K194" i="33" s="1"/>
  <c r="I194" i="33"/>
  <c r="M194" i="33" s="1"/>
  <c r="M193" i="33"/>
  <c r="J193" i="33"/>
  <c r="K193" i="33" s="1"/>
  <c r="I193" i="33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M189" i="33"/>
  <c r="J189" i="33"/>
  <c r="K189" i="33" s="1"/>
  <c r="I189" i="33"/>
  <c r="J188" i="33"/>
  <c r="K188" i="33" s="1"/>
  <c r="I188" i="33"/>
  <c r="M188" i="33" s="1"/>
  <c r="M187" i="33"/>
  <c r="J187" i="33"/>
  <c r="K187" i="33" s="1"/>
  <c r="I187" i="33"/>
  <c r="J186" i="33"/>
  <c r="K186" i="33" s="1"/>
  <c r="I186" i="33"/>
  <c r="M186" i="33" s="1"/>
  <c r="M185" i="33"/>
  <c r="J185" i="33"/>
  <c r="K185" i="33" s="1"/>
  <c r="I185" i="33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M181" i="33"/>
  <c r="J181" i="33"/>
  <c r="K181" i="33" s="1"/>
  <c r="I181" i="33"/>
  <c r="J180" i="33"/>
  <c r="K180" i="33" s="1"/>
  <c r="I180" i="33"/>
  <c r="M180" i="33" s="1"/>
  <c r="M179" i="33"/>
  <c r="J179" i="33"/>
  <c r="K179" i="33" s="1"/>
  <c r="I179" i="33"/>
  <c r="J178" i="33"/>
  <c r="K178" i="33" s="1"/>
  <c r="I178" i="33"/>
  <c r="M178" i="33" s="1"/>
  <c r="M177" i="33"/>
  <c r="J177" i="33"/>
  <c r="K177" i="33" s="1"/>
  <c r="I177" i="33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M173" i="33"/>
  <c r="J173" i="33"/>
  <c r="K173" i="33" s="1"/>
  <c r="I173" i="33"/>
  <c r="J172" i="33"/>
  <c r="K172" i="33" s="1"/>
  <c r="I172" i="33"/>
  <c r="M172" i="33" s="1"/>
  <c r="M171" i="33"/>
  <c r="J171" i="33"/>
  <c r="K171" i="33" s="1"/>
  <c r="I171" i="33"/>
  <c r="J170" i="33"/>
  <c r="K170" i="33" s="1"/>
  <c r="I170" i="33"/>
  <c r="M170" i="33" s="1"/>
  <c r="M169" i="33"/>
  <c r="J169" i="33"/>
  <c r="K169" i="33" s="1"/>
  <c r="I169" i="33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M165" i="33"/>
  <c r="J165" i="33"/>
  <c r="K165" i="33" s="1"/>
  <c r="I165" i="33"/>
  <c r="J164" i="33"/>
  <c r="K164" i="33" s="1"/>
  <c r="I164" i="33"/>
  <c r="M164" i="33" s="1"/>
  <c r="M163" i="33"/>
  <c r="J163" i="33"/>
  <c r="K163" i="33" s="1"/>
  <c r="I163" i="33"/>
  <c r="J162" i="33"/>
  <c r="K162" i="33" s="1"/>
  <c r="I162" i="33"/>
  <c r="M162" i="33" s="1"/>
  <c r="M161" i="33"/>
  <c r="J161" i="33"/>
  <c r="K161" i="33" s="1"/>
  <c r="I161" i="33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M157" i="33"/>
  <c r="J157" i="33"/>
  <c r="K157" i="33" s="1"/>
  <c r="I157" i="33"/>
  <c r="J156" i="33"/>
  <c r="K156" i="33" s="1"/>
  <c r="I156" i="33"/>
  <c r="M156" i="33" s="1"/>
  <c r="M155" i="33"/>
  <c r="J155" i="33"/>
  <c r="K155" i="33" s="1"/>
  <c r="I155" i="33"/>
  <c r="J154" i="33"/>
  <c r="K154" i="33" s="1"/>
  <c r="I154" i="33"/>
  <c r="M154" i="33" s="1"/>
  <c r="M153" i="33"/>
  <c r="J153" i="33"/>
  <c r="K153" i="33" s="1"/>
  <c r="I153" i="33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M149" i="33"/>
  <c r="J149" i="33"/>
  <c r="K149" i="33" s="1"/>
  <c r="I149" i="33"/>
  <c r="J148" i="33"/>
  <c r="K148" i="33" s="1"/>
  <c r="I148" i="33"/>
  <c r="M148" i="33" s="1"/>
  <c r="M147" i="33"/>
  <c r="J147" i="33"/>
  <c r="K147" i="33" s="1"/>
  <c r="I147" i="33"/>
  <c r="J146" i="33"/>
  <c r="K146" i="33" s="1"/>
  <c r="I146" i="33"/>
  <c r="M146" i="33" s="1"/>
  <c r="M145" i="33"/>
  <c r="J145" i="33"/>
  <c r="K145" i="33" s="1"/>
  <c r="I145" i="33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M141" i="33"/>
  <c r="J141" i="33"/>
  <c r="K141" i="33" s="1"/>
  <c r="I141" i="33"/>
  <c r="J140" i="33"/>
  <c r="K140" i="33" s="1"/>
  <c r="I140" i="33"/>
  <c r="M140" i="33" s="1"/>
  <c r="M139" i="33"/>
  <c r="J139" i="33"/>
  <c r="K139" i="33" s="1"/>
  <c r="I139" i="33"/>
  <c r="J138" i="33"/>
  <c r="K138" i="33" s="1"/>
  <c r="I138" i="33"/>
  <c r="M138" i="33" s="1"/>
  <c r="M137" i="33"/>
  <c r="J137" i="33"/>
  <c r="K137" i="33" s="1"/>
  <c r="I137" i="33"/>
  <c r="J136" i="33"/>
  <c r="K136" i="33" s="1"/>
  <c r="I136" i="33"/>
  <c r="M136" i="33" s="1"/>
  <c r="J135" i="33"/>
  <c r="K135" i="33" s="1"/>
  <c r="I135" i="33"/>
  <c r="M135" i="33" s="1"/>
  <c r="M134" i="33"/>
  <c r="J134" i="33"/>
  <c r="K134" i="33" s="1"/>
  <c r="I134" i="33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M130" i="33"/>
  <c r="J130" i="33"/>
  <c r="K130" i="33" s="1"/>
  <c r="I130" i="33"/>
  <c r="J129" i="33"/>
  <c r="K129" i="33" s="1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J125" i="33"/>
  <c r="K125" i="33" s="1"/>
  <c r="I125" i="33"/>
  <c r="M125" i="33" s="1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M78" i="33"/>
  <c r="J78" i="33"/>
  <c r="K78" i="33" s="1"/>
  <c r="I78" i="33"/>
  <c r="J77" i="33"/>
  <c r="K77" i="33" s="1"/>
  <c r="I77" i="33"/>
  <c r="M77" i="33" s="1"/>
  <c r="M76" i="33"/>
  <c r="J76" i="33"/>
  <c r="K76" i="33" s="1"/>
  <c r="I76" i="33"/>
  <c r="J75" i="33"/>
  <c r="K75" i="33" s="1"/>
  <c r="I75" i="33"/>
  <c r="M75" i="33" s="1"/>
  <c r="M74" i="33"/>
  <c r="J74" i="33"/>
  <c r="K74" i="33" s="1"/>
  <c r="I74" i="33"/>
  <c r="J73" i="33"/>
  <c r="K73" i="33" s="1"/>
  <c r="I73" i="33"/>
  <c r="M73" i="33" s="1"/>
  <c r="M72" i="33"/>
  <c r="J72" i="33"/>
  <c r="K72" i="33" s="1"/>
  <c r="I72" i="33"/>
  <c r="J71" i="33"/>
  <c r="K71" i="33" s="1"/>
  <c r="I71" i="33"/>
  <c r="M71" i="33" s="1"/>
  <c r="M70" i="33"/>
  <c r="J70" i="33"/>
  <c r="K70" i="33" s="1"/>
  <c r="I70" i="33"/>
  <c r="J69" i="33"/>
  <c r="K69" i="33" s="1"/>
  <c r="I69" i="33"/>
  <c r="M69" i="33" s="1"/>
  <c r="M68" i="33"/>
  <c r="J68" i="33"/>
  <c r="K68" i="33" s="1"/>
  <c r="I68" i="33"/>
  <c r="J67" i="33"/>
  <c r="K67" i="33" s="1"/>
  <c r="I67" i="33"/>
  <c r="M67" i="33" s="1"/>
  <c r="M66" i="33"/>
  <c r="J66" i="33"/>
  <c r="K66" i="33" s="1"/>
  <c r="I66" i="33"/>
  <c r="J65" i="33"/>
  <c r="K65" i="33" s="1"/>
  <c r="I65" i="33"/>
  <c r="M65" i="33" s="1"/>
  <c r="B65" i="33"/>
  <c r="K64" i="33"/>
  <c r="J64" i="33"/>
  <c r="I64" i="33"/>
  <c r="M64" i="33" s="1"/>
  <c r="B64" i="33"/>
  <c r="M63" i="33"/>
  <c r="J63" i="33"/>
  <c r="K63" i="33" s="1"/>
  <c r="I63" i="33"/>
  <c r="B63" i="33"/>
  <c r="K62" i="33"/>
  <c r="J62" i="33"/>
  <c r="I62" i="33"/>
  <c r="M62" i="33" s="1"/>
  <c r="B62" i="33"/>
  <c r="M61" i="33"/>
  <c r="J61" i="33"/>
  <c r="K61" i="33" s="1"/>
  <c r="I61" i="33"/>
  <c r="B61" i="33"/>
  <c r="J60" i="33"/>
  <c r="K60" i="33" s="1"/>
  <c r="I60" i="33"/>
  <c r="M60" i="33" s="1"/>
  <c r="B60" i="33"/>
  <c r="M59" i="33"/>
  <c r="J59" i="33"/>
  <c r="K59" i="33" s="1"/>
  <c r="I59" i="33"/>
  <c r="B59" i="33"/>
  <c r="M58" i="33"/>
  <c r="K58" i="33"/>
  <c r="J58" i="33"/>
  <c r="I58" i="33"/>
  <c r="B58" i="33"/>
  <c r="J57" i="33"/>
  <c r="K57" i="33" s="1"/>
  <c r="I57" i="33"/>
  <c r="M57" i="33" s="1"/>
  <c r="B57" i="33"/>
  <c r="K56" i="33"/>
  <c r="J56" i="33"/>
  <c r="I56" i="33"/>
  <c r="M56" i="33" s="1"/>
  <c r="B56" i="33"/>
  <c r="M55" i="33"/>
  <c r="J55" i="33"/>
  <c r="K55" i="33" s="1"/>
  <c r="I55" i="33"/>
  <c r="B55" i="33"/>
  <c r="K54" i="33"/>
  <c r="J54" i="33"/>
  <c r="I54" i="33"/>
  <c r="M54" i="33" s="1"/>
  <c r="B54" i="33"/>
  <c r="M53" i="33"/>
  <c r="J53" i="33"/>
  <c r="K53" i="33" s="1"/>
  <c r="I53" i="33"/>
  <c r="B53" i="33"/>
  <c r="J52" i="33"/>
  <c r="K52" i="33" s="1"/>
  <c r="I52" i="33"/>
  <c r="M52" i="33" s="1"/>
  <c r="B52" i="33"/>
  <c r="M51" i="33"/>
  <c r="J51" i="33"/>
  <c r="K51" i="33" s="1"/>
  <c r="I51" i="33"/>
  <c r="B51" i="33"/>
  <c r="M50" i="33"/>
  <c r="K50" i="33"/>
  <c r="J50" i="33"/>
  <c r="I50" i="33"/>
  <c r="B50" i="33"/>
  <c r="J49" i="33"/>
  <c r="K49" i="33" s="1"/>
  <c r="I49" i="33"/>
  <c r="M49" i="33" s="1"/>
  <c r="B49" i="33"/>
  <c r="K48" i="33"/>
  <c r="J48" i="33"/>
  <c r="I48" i="33"/>
  <c r="M48" i="33" s="1"/>
  <c r="B48" i="33"/>
  <c r="M47" i="33"/>
  <c r="J47" i="33"/>
  <c r="K47" i="33" s="1"/>
  <c r="I47" i="33"/>
  <c r="B47" i="33"/>
  <c r="T46" i="33"/>
  <c r="R46" i="33"/>
  <c r="U46" i="33" s="1"/>
  <c r="M46" i="33"/>
  <c r="K46" i="33"/>
  <c r="J46" i="33"/>
  <c r="I46" i="33"/>
  <c r="B46" i="33"/>
  <c r="K45" i="33"/>
  <c r="J45" i="33"/>
  <c r="I45" i="33"/>
  <c r="M45" i="33" s="1"/>
  <c r="B45" i="33"/>
  <c r="M44" i="33"/>
  <c r="J44" i="33"/>
  <c r="K44" i="33" s="1"/>
  <c r="I44" i="33"/>
  <c r="B44" i="33"/>
  <c r="J43" i="33"/>
  <c r="K43" i="33" s="1"/>
  <c r="I43" i="33"/>
  <c r="M43" i="33" s="1"/>
  <c r="B43" i="33"/>
  <c r="M42" i="33"/>
  <c r="J42" i="33"/>
  <c r="K42" i="33" s="1"/>
  <c r="I42" i="33"/>
  <c r="B42" i="33"/>
  <c r="M41" i="33"/>
  <c r="K41" i="33"/>
  <c r="J41" i="33"/>
  <c r="I41" i="33"/>
  <c r="B41" i="33"/>
  <c r="J40" i="33"/>
  <c r="K40" i="33" s="1"/>
  <c r="I40" i="33"/>
  <c r="M40" i="33" s="1"/>
  <c r="B40" i="33"/>
  <c r="K39" i="33"/>
  <c r="J39" i="33"/>
  <c r="I39" i="33"/>
  <c r="M39" i="33" s="1"/>
  <c r="B39" i="33"/>
  <c r="M38" i="33"/>
  <c r="K38" i="33"/>
  <c r="J38" i="33"/>
  <c r="I38" i="33"/>
  <c r="B38" i="33"/>
  <c r="K37" i="33"/>
  <c r="J37" i="33"/>
  <c r="I37" i="33"/>
  <c r="M37" i="33" s="1"/>
  <c r="B37" i="33"/>
  <c r="A37" i="33"/>
  <c r="K36" i="33"/>
  <c r="J36" i="33"/>
  <c r="I36" i="33"/>
  <c r="M36" i="33" s="1"/>
  <c r="A36" i="33" s="1"/>
  <c r="B36" i="33"/>
  <c r="M35" i="33"/>
  <c r="A35" i="33" s="1"/>
  <c r="K35" i="33"/>
  <c r="J35" i="33"/>
  <c r="I35" i="33"/>
  <c r="B35" i="33"/>
  <c r="J34" i="33"/>
  <c r="K34" i="33" s="1"/>
  <c r="I34" i="33"/>
  <c r="M34" i="33" s="1"/>
  <c r="A34" i="33" s="1"/>
  <c r="B34" i="33"/>
  <c r="K33" i="33"/>
  <c r="J33" i="33"/>
  <c r="I33" i="33"/>
  <c r="M33" i="33" s="1"/>
  <c r="A33" i="33" s="1"/>
  <c r="B33" i="33"/>
  <c r="K32" i="33"/>
  <c r="J32" i="33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K29" i="33"/>
  <c r="J29" i="33"/>
  <c r="I29" i="33"/>
  <c r="M29" i="33" s="1"/>
  <c r="A29" i="33" s="1"/>
  <c r="B29" i="33"/>
  <c r="K28" i="33"/>
  <c r="J28" i="33"/>
  <c r="I28" i="33"/>
  <c r="M28" i="33" s="1"/>
  <c r="A28" i="33" s="1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K25" i="33"/>
  <c r="J25" i="33"/>
  <c r="I25" i="33"/>
  <c r="M25" i="33" s="1"/>
  <c r="B25" i="33"/>
  <c r="A25" i="33"/>
  <c r="K24" i="33"/>
  <c r="J24" i="33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K21" i="33"/>
  <c r="J21" i="33"/>
  <c r="I21" i="33"/>
  <c r="M21" i="33" s="1"/>
  <c r="A21" i="33" s="1"/>
  <c r="B21" i="33"/>
  <c r="K20" i="33"/>
  <c r="J20" i="33"/>
  <c r="I20" i="33"/>
  <c r="M20" i="33" s="1"/>
  <c r="A20" i="33" s="1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K17" i="33"/>
  <c r="J17" i="33"/>
  <c r="I17" i="33"/>
  <c r="M17" i="33" s="1"/>
  <c r="A17" i="33" s="1"/>
  <c r="B17" i="33"/>
  <c r="M16" i="33"/>
  <c r="J16" i="33"/>
  <c r="K16" i="33" s="1"/>
  <c r="I16" i="33"/>
  <c r="B16" i="33"/>
  <c r="A16" i="33"/>
  <c r="M15" i="33"/>
  <c r="A15" i="33" s="1"/>
  <c r="J15" i="33"/>
  <c r="K15" i="33" s="1"/>
  <c r="I15" i="33"/>
  <c r="B15" i="33"/>
  <c r="AI14" i="33"/>
  <c r="M14" i="33"/>
  <c r="A14" i="33" s="1"/>
  <c r="K14" i="33"/>
  <c r="J14" i="33"/>
  <c r="I14" i="33"/>
  <c r="B14" i="33"/>
  <c r="AI13" i="33"/>
  <c r="M13" i="33"/>
  <c r="A13" i="33" s="1"/>
  <c r="J13" i="33"/>
  <c r="K13" i="33" s="1"/>
  <c r="I13" i="33"/>
  <c r="B13" i="33"/>
  <c r="AI12" i="33"/>
  <c r="AI16" i="33" s="1"/>
  <c r="J12" i="33"/>
  <c r="K12" i="33" s="1"/>
  <c r="I12" i="33"/>
  <c r="M12" i="33" s="1"/>
  <c r="A12" i="33" s="1"/>
  <c r="B12" i="33"/>
  <c r="K11" i="33"/>
  <c r="J11" i="33"/>
  <c r="I11" i="33"/>
  <c r="M11" i="33" s="1"/>
  <c r="B11" i="33"/>
  <c r="A11" i="33"/>
  <c r="K10" i="33"/>
  <c r="J10" i="33"/>
  <c r="I10" i="33"/>
  <c r="M10" i="33" s="1"/>
  <c r="A10" i="33" s="1"/>
  <c r="B10" i="33"/>
  <c r="M9" i="33"/>
  <c r="A9" i="33" s="1"/>
  <c r="L9" i="33"/>
  <c r="J9" i="33"/>
  <c r="K9" i="33" s="1"/>
  <c r="I9" i="33"/>
  <c r="B9" i="33"/>
  <c r="M8" i="33"/>
  <c r="A8" i="33" s="1"/>
  <c r="L8" i="33"/>
  <c r="K8" i="33"/>
  <c r="J8" i="33"/>
  <c r="I8" i="33"/>
  <c r="B8" i="33"/>
  <c r="M7" i="33"/>
  <c r="A7" i="33" s="1"/>
  <c r="L7" i="33"/>
  <c r="J7" i="33"/>
  <c r="K7" i="33" s="1"/>
  <c r="I7" i="33"/>
  <c r="B7" i="33"/>
  <c r="L6" i="33"/>
  <c r="J6" i="33"/>
  <c r="K6" i="33" s="1"/>
  <c r="I6" i="33"/>
  <c r="M6" i="33" s="1"/>
  <c r="A6" i="33" s="1"/>
  <c r="B6" i="33"/>
  <c r="K2" i="33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A79" i="32" s="1"/>
  <c r="K78" i="32"/>
  <c r="J78" i="32"/>
  <c r="I78" i="32"/>
  <c r="M78" i="32" s="1"/>
  <c r="A78" i="32" s="1"/>
  <c r="M77" i="32"/>
  <c r="A77" i="32" s="1"/>
  <c r="K77" i="32"/>
  <c r="J77" i="32"/>
  <c r="I77" i="32"/>
  <c r="J76" i="32"/>
  <c r="K76" i="32" s="1"/>
  <c r="I76" i="32"/>
  <c r="M76" i="32" s="1"/>
  <c r="A76" i="32" s="1"/>
  <c r="M75" i="32"/>
  <c r="J75" i="32"/>
  <c r="K75" i="32" s="1"/>
  <c r="I75" i="32"/>
  <c r="A75" i="32"/>
  <c r="M74" i="32"/>
  <c r="A74" i="32" s="1"/>
  <c r="J74" i="32"/>
  <c r="K74" i="32" s="1"/>
  <c r="I74" i="32"/>
  <c r="J73" i="32"/>
  <c r="K73" i="32" s="1"/>
  <c r="I73" i="32"/>
  <c r="M73" i="32" s="1"/>
  <c r="A73" i="32" s="1"/>
  <c r="M72" i="32"/>
  <c r="A72" i="32" s="1"/>
  <c r="K72" i="32"/>
  <c r="J72" i="32"/>
  <c r="I72" i="32"/>
  <c r="J71" i="32"/>
  <c r="K71" i="32" s="1"/>
  <c r="I71" i="32"/>
  <c r="M71" i="32" s="1"/>
  <c r="A71" i="32" s="1"/>
  <c r="K70" i="32"/>
  <c r="J70" i="32"/>
  <c r="I70" i="32"/>
  <c r="M70" i="32" s="1"/>
  <c r="A70" i="32" s="1"/>
  <c r="M69" i="32"/>
  <c r="A69" i="32" s="1"/>
  <c r="K69" i="32"/>
  <c r="J69" i="32"/>
  <c r="I69" i="32"/>
  <c r="J68" i="32"/>
  <c r="K68" i="32" s="1"/>
  <c r="I68" i="32"/>
  <c r="M68" i="32" s="1"/>
  <c r="A68" i="32" s="1"/>
  <c r="M67" i="32"/>
  <c r="J67" i="32"/>
  <c r="K67" i="32" s="1"/>
  <c r="I67" i="32"/>
  <c r="A67" i="32"/>
  <c r="M66" i="32"/>
  <c r="A66" i="32" s="1"/>
  <c r="J66" i="32"/>
  <c r="K66" i="32" s="1"/>
  <c r="I66" i="32"/>
  <c r="J65" i="32"/>
  <c r="K65" i="32" s="1"/>
  <c r="I65" i="32"/>
  <c r="M65" i="32" s="1"/>
  <c r="A65" i="32" s="1"/>
  <c r="B65" i="32"/>
  <c r="M64" i="32"/>
  <c r="J64" i="32"/>
  <c r="K64" i="32" s="1"/>
  <c r="I64" i="32"/>
  <c r="B64" i="32"/>
  <c r="A64" i="32"/>
  <c r="M63" i="32"/>
  <c r="A63" i="32" s="1"/>
  <c r="K63" i="32"/>
  <c r="J63" i="32"/>
  <c r="I63" i="32"/>
  <c r="B63" i="32"/>
  <c r="J62" i="32"/>
  <c r="K62" i="32" s="1"/>
  <c r="I62" i="32"/>
  <c r="M62" i="32" s="1"/>
  <c r="A62" i="32" s="1"/>
  <c r="B62" i="32"/>
  <c r="J61" i="32"/>
  <c r="K61" i="32" s="1"/>
  <c r="I61" i="32"/>
  <c r="M61" i="32" s="1"/>
  <c r="A61" i="32" s="1"/>
  <c r="B61" i="32"/>
  <c r="M60" i="32"/>
  <c r="J60" i="32"/>
  <c r="K60" i="32" s="1"/>
  <c r="I60" i="32"/>
  <c r="B60" i="32"/>
  <c r="A60" i="32"/>
  <c r="M59" i="32"/>
  <c r="A59" i="32" s="1"/>
  <c r="K59" i="32"/>
  <c r="J59" i="32"/>
  <c r="I59" i="32"/>
  <c r="B59" i="32"/>
  <c r="J58" i="32"/>
  <c r="K58" i="32" s="1"/>
  <c r="I58" i="32"/>
  <c r="M58" i="32" s="1"/>
  <c r="A58" i="32" s="1"/>
  <c r="B58" i="32"/>
  <c r="J57" i="32"/>
  <c r="K57" i="32" s="1"/>
  <c r="I57" i="32"/>
  <c r="M57" i="32" s="1"/>
  <c r="A57" i="32" s="1"/>
  <c r="B57" i="32"/>
  <c r="M56" i="32"/>
  <c r="J56" i="32"/>
  <c r="K56" i="32" s="1"/>
  <c r="I56" i="32"/>
  <c r="B56" i="32"/>
  <c r="A56" i="32"/>
  <c r="M55" i="32"/>
  <c r="A55" i="32" s="1"/>
  <c r="K55" i="32"/>
  <c r="J55" i="32"/>
  <c r="I55" i="32"/>
  <c r="B55" i="32"/>
  <c r="J54" i="32"/>
  <c r="K54" i="32" s="1"/>
  <c r="I54" i="32"/>
  <c r="M54" i="32" s="1"/>
  <c r="A54" i="32" s="1"/>
  <c r="B54" i="32"/>
  <c r="J53" i="32"/>
  <c r="K53" i="32" s="1"/>
  <c r="I53" i="32"/>
  <c r="M53" i="32" s="1"/>
  <c r="A53" i="32" s="1"/>
  <c r="B53" i="32"/>
  <c r="M52" i="32"/>
  <c r="J52" i="32"/>
  <c r="K52" i="32" s="1"/>
  <c r="I52" i="32"/>
  <c r="B52" i="32"/>
  <c r="A52" i="32"/>
  <c r="M51" i="32"/>
  <c r="A51" i="32" s="1"/>
  <c r="K51" i="32"/>
  <c r="J51" i="32"/>
  <c r="I51" i="32"/>
  <c r="B51" i="32"/>
  <c r="J50" i="32"/>
  <c r="K50" i="32" s="1"/>
  <c r="I50" i="32"/>
  <c r="M50" i="32" s="1"/>
  <c r="A50" i="32" s="1"/>
  <c r="B50" i="32"/>
  <c r="J49" i="32"/>
  <c r="K49" i="32" s="1"/>
  <c r="I49" i="32"/>
  <c r="M49" i="32" s="1"/>
  <c r="A49" i="32" s="1"/>
  <c r="B49" i="32"/>
  <c r="M48" i="32"/>
  <c r="J48" i="32"/>
  <c r="K48" i="32" s="1"/>
  <c r="I48" i="32"/>
  <c r="B48" i="32"/>
  <c r="A48" i="32"/>
  <c r="M47" i="32"/>
  <c r="A47" i="32" s="1"/>
  <c r="K47" i="32"/>
  <c r="J47" i="32"/>
  <c r="I47" i="32"/>
  <c r="B47" i="32"/>
  <c r="T46" i="32"/>
  <c r="R46" i="32"/>
  <c r="U46" i="32" s="1"/>
  <c r="M46" i="32"/>
  <c r="A46" i="32" s="1"/>
  <c r="K46" i="32"/>
  <c r="J46" i="32"/>
  <c r="I46" i="32"/>
  <c r="B46" i="32"/>
  <c r="M45" i="32"/>
  <c r="J45" i="32"/>
  <c r="K45" i="32" s="1"/>
  <c r="I45" i="32"/>
  <c r="B45" i="32"/>
  <c r="A45" i="32"/>
  <c r="J44" i="32"/>
  <c r="K44" i="32" s="1"/>
  <c r="I44" i="32"/>
  <c r="M44" i="32" s="1"/>
  <c r="A44" i="32" s="1"/>
  <c r="B44" i="32"/>
  <c r="K43" i="32"/>
  <c r="J43" i="32"/>
  <c r="I43" i="32"/>
  <c r="M43" i="32" s="1"/>
  <c r="A43" i="32" s="1"/>
  <c r="B43" i="32"/>
  <c r="M42" i="32"/>
  <c r="A42" i="32" s="1"/>
  <c r="K42" i="32"/>
  <c r="J42" i="32"/>
  <c r="I42" i="32"/>
  <c r="B42" i="32"/>
  <c r="M41" i="32"/>
  <c r="J41" i="32"/>
  <c r="K41" i="32" s="1"/>
  <c r="I41" i="32"/>
  <c r="B41" i="32"/>
  <c r="A41" i="32"/>
  <c r="J40" i="32"/>
  <c r="K40" i="32" s="1"/>
  <c r="I40" i="32"/>
  <c r="M40" i="32" s="1"/>
  <c r="A40" i="32" s="1"/>
  <c r="B40" i="32"/>
  <c r="K39" i="32"/>
  <c r="J39" i="32"/>
  <c r="I39" i="32"/>
  <c r="M39" i="32" s="1"/>
  <c r="A39" i="32" s="1"/>
  <c r="B39" i="32"/>
  <c r="M38" i="32"/>
  <c r="A38" i="32" s="1"/>
  <c r="K38" i="32"/>
  <c r="J38" i="32"/>
  <c r="I38" i="32"/>
  <c r="B38" i="32"/>
  <c r="M37" i="32"/>
  <c r="J37" i="32"/>
  <c r="K37" i="32" s="1"/>
  <c r="I37" i="32"/>
  <c r="B37" i="32"/>
  <c r="A37" i="32"/>
  <c r="J36" i="32"/>
  <c r="K36" i="32" s="1"/>
  <c r="I36" i="32"/>
  <c r="M36" i="32" s="1"/>
  <c r="A36" i="32" s="1"/>
  <c r="B36" i="32"/>
  <c r="K35" i="32"/>
  <c r="J35" i="32"/>
  <c r="I35" i="32"/>
  <c r="M35" i="32" s="1"/>
  <c r="A35" i="32" s="1"/>
  <c r="B35" i="32"/>
  <c r="M34" i="32"/>
  <c r="A34" i="32" s="1"/>
  <c r="K34" i="32"/>
  <c r="J34" i="32"/>
  <c r="I34" i="32"/>
  <c r="B34" i="32"/>
  <c r="M33" i="32"/>
  <c r="A33" i="32" s="1"/>
  <c r="J33" i="32"/>
  <c r="K33" i="32" s="1"/>
  <c r="I33" i="32"/>
  <c r="B33" i="32"/>
  <c r="J32" i="32"/>
  <c r="K32" i="32" s="1"/>
  <c r="I32" i="32"/>
  <c r="M32" i="32" s="1"/>
  <c r="A32" i="32" s="1"/>
  <c r="B32" i="32"/>
  <c r="K31" i="32"/>
  <c r="J31" i="32"/>
  <c r="I31" i="32"/>
  <c r="M31" i="32" s="1"/>
  <c r="A31" i="32" s="1"/>
  <c r="B31" i="32"/>
  <c r="M30" i="32"/>
  <c r="A30" i="32" s="1"/>
  <c r="K30" i="32"/>
  <c r="J30" i="32"/>
  <c r="I30" i="32"/>
  <c r="B30" i="32"/>
  <c r="M29" i="32"/>
  <c r="A29" i="32" s="1"/>
  <c r="J29" i="32"/>
  <c r="K29" i="32" s="1"/>
  <c r="I29" i="32"/>
  <c r="B29" i="32"/>
  <c r="J28" i="32"/>
  <c r="K28" i="32" s="1"/>
  <c r="I28" i="32"/>
  <c r="M28" i="32" s="1"/>
  <c r="A28" i="32" s="1"/>
  <c r="B28" i="32"/>
  <c r="K27" i="32"/>
  <c r="J27" i="32"/>
  <c r="I27" i="32"/>
  <c r="M27" i="32" s="1"/>
  <c r="A27" i="32" s="1"/>
  <c r="B27" i="32"/>
  <c r="M26" i="32"/>
  <c r="A26" i="32" s="1"/>
  <c r="K26" i="32"/>
  <c r="J26" i="32"/>
  <c r="I26" i="32"/>
  <c r="B26" i="32"/>
  <c r="M25" i="32"/>
  <c r="A25" i="32" s="1"/>
  <c r="J25" i="32"/>
  <c r="K25" i="32" s="1"/>
  <c r="I25" i="32"/>
  <c r="B25" i="32"/>
  <c r="J24" i="32"/>
  <c r="K24" i="32" s="1"/>
  <c r="I24" i="32"/>
  <c r="M24" i="32" s="1"/>
  <c r="A24" i="32" s="1"/>
  <c r="B24" i="32"/>
  <c r="K23" i="32"/>
  <c r="J23" i="32"/>
  <c r="I23" i="32"/>
  <c r="M23" i="32" s="1"/>
  <c r="A23" i="32" s="1"/>
  <c r="B23" i="32"/>
  <c r="M22" i="32"/>
  <c r="A22" i="32" s="1"/>
  <c r="K22" i="32"/>
  <c r="J22" i="32"/>
  <c r="I22" i="32"/>
  <c r="B22" i="32"/>
  <c r="M21" i="32"/>
  <c r="A21" i="32" s="1"/>
  <c r="J21" i="32"/>
  <c r="K21" i="32" s="1"/>
  <c r="I21" i="32"/>
  <c r="B21" i="32"/>
  <c r="J20" i="32"/>
  <c r="K20" i="32" s="1"/>
  <c r="I20" i="32"/>
  <c r="M20" i="32" s="1"/>
  <c r="A20" i="32" s="1"/>
  <c r="B20" i="32"/>
  <c r="K19" i="32"/>
  <c r="J19" i="32"/>
  <c r="I19" i="32"/>
  <c r="M19" i="32" s="1"/>
  <c r="A19" i="32" s="1"/>
  <c r="B19" i="32"/>
  <c r="M18" i="32"/>
  <c r="A18" i="32" s="1"/>
  <c r="K18" i="32"/>
  <c r="J18" i="32"/>
  <c r="I18" i="32"/>
  <c r="B18" i="32"/>
  <c r="M17" i="32"/>
  <c r="A17" i="32" s="1"/>
  <c r="J17" i="32"/>
  <c r="K17" i="32" s="1"/>
  <c r="I17" i="32"/>
  <c r="B17" i="32"/>
  <c r="J16" i="32"/>
  <c r="K16" i="32" s="1"/>
  <c r="I16" i="32"/>
  <c r="M16" i="32" s="1"/>
  <c r="A16" i="32" s="1"/>
  <c r="B16" i="32"/>
  <c r="J15" i="32"/>
  <c r="K15" i="32" s="1"/>
  <c r="I15" i="32"/>
  <c r="M15" i="32" s="1"/>
  <c r="A15" i="32" s="1"/>
  <c r="B15" i="32"/>
  <c r="AI14" i="32"/>
  <c r="K14" i="32"/>
  <c r="J14" i="32"/>
  <c r="I14" i="32"/>
  <c r="M14" i="32" s="1"/>
  <c r="A14" i="32" s="1"/>
  <c r="B14" i="32"/>
  <c r="AI13" i="32"/>
  <c r="M13" i="32"/>
  <c r="J13" i="32"/>
  <c r="K13" i="32" s="1"/>
  <c r="I13" i="32"/>
  <c r="B13" i="32"/>
  <c r="A13" i="32"/>
  <c r="AI12" i="32"/>
  <c r="AI16" i="32" s="1"/>
  <c r="M12" i="32"/>
  <c r="A12" i="32" s="1"/>
  <c r="K12" i="32"/>
  <c r="J12" i="32"/>
  <c r="I12" i="32"/>
  <c r="B12" i="32"/>
  <c r="M11" i="32"/>
  <c r="A11" i="32" s="1"/>
  <c r="J11" i="32"/>
  <c r="K11" i="32" s="1"/>
  <c r="I11" i="32"/>
  <c r="B11" i="32"/>
  <c r="J10" i="32"/>
  <c r="K10" i="32" s="1"/>
  <c r="I10" i="32"/>
  <c r="M10" i="32" s="1"/>
  <c r="A10" i="32" s="1"/>
  <c r="B10" i="32"/>
  <c r="J9" i="32"/>
  <c r="K9" i="32" s="1"/>
  <c r="I9" i="32"/>
  <c r="M9" i="32" s="1"/>
  <c r="A9" i="32" s="1"/>
  <c r="B9" i="32"/>
  <c r="K8" i="32"/>
  <c r="J8" i="32"/>
  <c r="I8" i="32"/>
  <c r="M8" i="32" s="1"/>
  <c r="A8" i="32" s="1"/>
  <c r="B8" i="32"/>
  <c r="M7" i="32"/>
  <c r="A7" i="32" s="1"/>
  <c r="J7" i="32"/>
  <c r="K7" i="32" s="1"/>
  <c r="I7" i="32"/>
  <c r="B7" i="32"/>
  <c r="M6" i="32"/>
  <c r="A6" i="32" s="1"/>
  <c r="L6" i="32"/>
  <c r="K6" i="32"/>
  <c r="J6" i="32"/>
  <c r="I6" i="32"/>
  <c r="B6" i="32"/>
  <c r="K2" i="32"/>
  <c r="L7" i="32" s="1"/>
  <c r="O18" i="20"/>
  <c r="O16" i="20"/>
  <c r="S9" i="20"/>
  <c r="Q9" i="20"/>
  <c r="O9" i="20"/>
  <c r="S13" i="20"/>
  <c r="Q13" i="20"/>
  <c r="O13" i="20"/>
  <c r="S12" i="20"/>
  <c r="Q12" i="20"/>
  <c r="O12" i="20"/>
  <c r="S8" i="20"/>
  <c r="Q8" i="20"/>
  <c r="O8" i="20"/>
  <c r="S10" i="20"/>
  <c r="Q10" i="20"/>
  <c r="O10" i="20"/>
  <c r="S7" i="20"/>
  <c r="Q7" i="20"/>
  <c r="O7" i="20"/>
  <c r="S11" i="20"/>
  <c r="Q11" i="20"/>
  <c r="O11" i="20"/>
  <c r="S6" i="20"/>
  <c r="Q6" i="20"/>
  <c r="O6" i="20"/>
  <c r="S8" i="13"/>
  <c r="S9" i="13"/>
  <c r="S12" i="13"/>
  <c r="S10" i="13"/>
  <c r="S7" i="13"/>
  <c r="S11" i="13"/>
  <c r="S6" i="13"/>
  <c r="Q13" i="13"/>
  <c r="Q8" i="13"/>
  <c r="Q12" i="13"/>
  <c r="Q10" i="13"/>
  <c r="Q7" i="13"/>
  <c r="Q11" i="13"/>
  <c r="Q6" i="13"/>
  <c r="O18" i="13"/>
  <c r="O16" i="13"/>
  <c r="O13" i="13"/>
  <c r="O8" i="13"/>
  <c r="O12" i="13"/>
  <c r="O10" i="13"/>
  <c r="O7" i="13"/>
  <c r="O11" i="13"/>
  <c r="O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K292" i="31"/>
  <c r="J292" i="31"/>
  <c r="I292" i="31"/>
  <c r="M292" i="31" s="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M135" i="31"/>
  <c r="J135" i="31"/>
  <c r="K135" i="31" s="1"/>
  <c r="I135" i="31"/>
  <c r="J134" i="31"/>
  <c r="K134" i="31" s="1"/>
  <c r="I134" i="31"/>
  <c r="M134" i="31" s="1"/>
  <c r="M133" i="31"/>
  <c r="J133" i="31"/>
  <c r="K133" i="31" s="1"/>
  <c r="I133" i="31"/>
  <c r="J132" i="31"/>
  <c r="K132" i="31" s="1"/>
  <c r="I132" i="31"/>
  <c r="M132" i="31" s="1"/>
  <c r="M131" i="31"/>
  <c r="J131" i="31"/>
  <c r="K131" i="31" s="1"/>
  <c r="I131" i="31"/>
  <c r="J130" i="31"/>
  <c r="K130" i="31" s="1"/>
  <c r="I130" i="31"/>
  <c r="M130" i="31" s="1"/>
  <c r="M129" i="31"/>
  <c r="J129" i="31"/>
  <c r="K129" i="31" s="1"/>
  <c r="I129" i="31"/>
  <c r="J128" i="31"/>
  <c r="K128" i="31" s="1"/>
  <c r="I128" i="31"/>
  <c r="M128" i="31" s="1"/>
  <c r="M127" i="31"/>
  <c r="J127" i="31"/>
  <c r="K127" i="31" s="1"/>
  <c r="I127" i="31"/>
  <c r="J126" i="31"/>
  <c r="K126" i="31" s="1"/>
  <c r="I126" i="31"/>
  <c r="M126" i="31" s="1"/>
  <c r="M125" i="31"/>
  <c r="J125" i="31"/>
  <c r="K125" i="31" s="1"/>
  <c r="I125" i="31"/>
  <c r="J124" i="31"/>
  <c r="K124" i="31" s="1"/>
  <c r="I124" i="31"/>
  <c r="M124" i="31" s="1"/>
  <c r="M123" i="31"/>
  <c r="J123" i="31"/>
  <c r="K123" i="31" s="1"/>
  <c r="I123" i="31"/>
  <c r="J122" i="31"/>
  <c r="K122" i="31" s="1"/>
  <c r="I122" i="31"/>
  <c r="M122" i="31" s="1"/>
  <c r="M121" i="31"/>
  <c r="J121" i="31"/>
  <c r="K121" i="31" s="1"/>
  <c r="I121" i="31"/>
  <c r="J120" i="31"/>
  <c r="K120" i="31" s="1"/>
  <c r="I120" i="31"/>
  <c r="M120" i="31" s="1"/>
  <c r="M119" i="31"/>
  <c r="J119" i="31"/>
  <c r="K119" i="31" s="1"/>
  <c r="I119" i="31"/>
  <c r="J118" i="31"/>
  <c r="K118" i="31" s="1"/>
  <c r="I118" i="31"/>
  <c r="M118" i="31" s="1"/>
  <c r="M117" i="31"/>
  <c r="J117" i="31"/>
  <c r="K117" i="31" s="1"/>
  <c r="I117" i="3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M113" i="31"/>
  <c r="J113" i="31"/>
  <c r="K113" i="31" s="1"/>
  <c r="I113" i="31"/>
  <c r="J112" i="31"/>
  <c r="K112" i="31" s="1"/>
  <c r="I112" i="31"/>
  <c r="M112" i="31" s="1"/>
  <c r="M111" i="31"/>
  <c r="J111" i="31"/>
  <c r="K111" i="31" s="1"/>
  <c r="I111" i="31"/>
  <c r="J110" i="31"/>
  <c r="K110" i="31" s="1"/>
  <c r="I110" i="31"/>
  <c r="M110" i="31" s="1"/>
  <c r="M109" i="31"/>
  <c r="J109" i="31"/>
  <c r="K109" i="31" s="1"/>
  <c r="I109" i="31"/>
  <c r="J108" i="31"/>
  <c r="K108" i="31" s="1"/>
  <c r="I108" i="31"/>
  <c r="M108" i="31" s="1"/>
  <c r="M107" i="31"/>
  <c r="J107" i="31"/>
  <c r="K107" i="31" s="1"/>
  <c r="I107" i="31"/>
  <c r="J106" i="31"/>
  <c r="K106" i="31" s="1"/>
  <c r="I106" i="31"/>
  <c r="M106" i="31" s="1"/>
  <c r="M105" i="31"/>
  <c r="J105" i="31"/>
  <c r="K105" i="31" s="1"/>
  <c r="I105" i="31"/>
  <c r="J104" i="31"/>
  <c r="K104" i="31" s="1"/>
  <c r="I104" i="31"/>
  <c r="M104" i="31" s="1"/>
  <c r="M103" i="31"/>
  <c r="J103" i="31"/>
  <c r="K103" i="31" s="1"/>
  <c r="I103" i="31"/>
  <c r="J102" i="31"/>
  <c r="K102" i="31" s="1"/>
  <c r="I102" i="31"/>
  <c r="M102" i="31" s="1"/>
  <c r="M101" i="31"/>
  <c r="J101" i="31"/>
  <c r="K101" i="31" s="1"/>
  <c r="I101" i="3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M97" i="31"/>
  <c r="J97" i="31"/>
  <c r="K97" i="31" s="1"/>
  <c r="I97" i="31"/>
  <c r="J96" i="31"/>
  <c r="K96" i="31" s="1"/>
  <c r="I96" i="31"/>
  <c r="M96" i="31" s="1"/>
  <c r="M95" i="31"/>
  <c r="J95" i="31"/>
  <c r="K95" i="31" s="1"/>
  <c r="I95" i="31"/>
  <c r="J94" i="31"/>
  <c r="K94" i="31" s="1"/>
  <c r="I94" i="31"/>
  <c r="M94" i="31" s="1"/>
  <c r="M93" i="31"/>
  <c r="J93" i="31"/>
  <c r="K93" i="31" s="1"/>
  <c r="I93" i="31"/>
  <c r="J92" i="31"/>
  <c r="K92" i="31" s="1"/>
  <c r="I92" i="31"/>
  <c r="M92" i="31" s="1"/>
  <c r="M91" i="31"/>
  <c r="J91" i="31"/>
  <c r="K91" i="31" s="1"/>
  <c r="I91" i="31"/>
  <c r="J90" i="31"/>
  <c r="K90" i="31" s="1"/>
  <c r="I90" i="31"/>
  <c r="M90" i="31" s="1"/>
  <c r="M89" i="31"/>
  <c r="J89" i="31"/>
  <c r="K89" i="31" s="1"/>
  <c r="I89" i="31"/>
  <c r="J88" i="31"/>
  <c r="K88" i="31" s="1"/>
  <c r="I88" i="31"/>
  <c r="M88" i="31" s="1"/>
  <c r="M87" i="31"/>
  <c r="J87" i="31"/>
  <c r="K87" i="31" s="1"/>
  <c r="I87" i="31"/>
  <c r="J86" i="31"/>
  <c r="K86" i="31" s="1"/>
  <c r="I86" i="31"/>
  <c r="M86" i="31" s="1"/>
  <c r="M85" i="31"/>
  <c r="J85" i="31"/>
  <c r="K85" i="31" s="1"/>
  <c r="I85" i="3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M81" i="31"/>
  <c r="J81" i="31"/>
  <c r="K81" i="31" s="1"/>
  <c r="I81" i="31"/>
  <c r="J80" i="31"/>
  <c r="K80" i="31" s="1"/>
  <c r="I80" i="31"/>
  <c r="M80" i="31" s="1"/>
  <c r="M79" i="31"/>
  <c r="J79" i="31"/>
  <c r="K79" i="31" s="1"/>
  <c r="I79" i="31"/>
  <c r="J78" i="31"/>
  <c r="K78" i="31" s="1"/>
  <c r="I78" i="31"/>
  <c r="M78" i="31" s="1"/>
  <c r="M77" i="31"/>
  <c r="J77" i="31"/>
  <c r="K77" i="31" s="1"/>
  <c r="I77" i="31"/>
  <c r="J76" i="31"/>
  <c r="K76" i="31" s="1"/>
  <c r="I76" i="31"/>
  <c r="M76" i="31" s="1"/>
  <c r="M75" i="31"/>
  <c r="J75" i="31"/>
  <c r="K75" i="31" s="1"/>
  <c r="I75" i="3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M71" i="31"/>
  <c r="J71" i="31"/>
  <c r="K71" i="31" s="1"/>
  <c r="I71" i="31"/>
  <c r="J70" i="31"/>
  <c r="K70" i="31" s="1"/>
  <c r="I70" i="31"/>
  <c r="M70" i="31" s="1"/>
  <c r="M69" i="31"/>
  <c r="J69" i="31"/>
  <c r="K69" i="31" s="1"/>
  <c r="I69" i="3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M65" i="31"/>
  <c r="J65" i="31"/>
  <c r="K65" i="31" s="1"/>
  <c r="I65" i="31"/>
  <c r="B65" i="31"/>
  <c r="J64" i="31"/>
  <c r="K64" i="31" s="1"/>
  <c r="I64" i="31"/>
  <c r="M64" i="31" s="1"/>
  <c r="B64" i="31"/>
  <c r="M63" i="31"/>
  <c r="J63" i="31"/>
  <c r="K63" i="31" s="1"/>
  <c r="I63" i="31"/>
  <c r="B63" i="31"/>
  <c r="M62" i="31"/>
  <c r="J62" i="31"/>
  <c r="K62" i="31" s="1"/>
  <c r="I62" i="31"/>
  <c r="B62" i="31"/>
  <c r="J61" i="31"/>
  <c r="K61" i="31" s="1"/>
  <c r="I61" i="31"/>
  <c r="M61" i="31" s="1"/>
  <c r="B61" i="31"/>
  <c r="M60" i="31"/>
  <c r="J60" i="31"/>
  <c r="K60" i="31" s="1"/>
  <c r="I60" i="31"/>
  <c r="B60" i="31"/>
  <c r="J59" i="31"/>
  <c r="K59" i="31" s="1"/>
  <c r="I59" i="31"/>
  <c r="M59" i="31" s="1"/>
  <c r="B59" i="31"/>
  <c r="J58" i="31"/>
  <c r="K58" i="31" s="1"/>
  <c r="I58" i="31"/>
  <c r="M58" i="31" s="1"/>
  <c r="B58" i="31"/>
  <c r="M57" i="31"/>
  <c r="J57" i="31"/>
  <c r="K57" i="31" s="1"/>
  <c r="I57" i="31"/>
  <c r="B57" i="31"/>
  <c r="J56" i="31"/>
  <c r="K56" i="31" s="1"/>
  <c r="I56" i="31"/>
  <c r="M56" i="31" s="1"/>
  <c r="B56" i="31"/>
  <c r="M55" i="31"/>
  <c r="J55" i="31"/>
  <c r="K55" i="31" s="1"/>
  <c r="I55" i="31"/>
  <c r="B55" i="31"/>
  <c r="M54" i="31"/>
  <c r="J54" i="31"/>
  <c r="K54" i="31" s="1"/>
  <c r="I54" i="31"/>
  <c r="B54" i="31"/>
  <c r="J53" i="31"/>
  <c r="K53" i="31" s="1"/>
  <c r="I53" i="31"/>
  <c r="M53" i="31" s="1"/>
  <c r="B53" i="31"/>
  <c r="M52" i="31"/>
  <c r="J52" i="31"/>
  <c r="K52" i="31" s="1"/>
  <c r="I52" i="31"/>
  <c r="B52" i="31"/>
  <c r="J51" i="31"/>
  <c r="K51" i="31" s="1"/>
  <c r="I51" i="31"/>
  <c r="M51" i="31" s="1"/>
  <c r="B51" i="31"/>
  <c r="J50" i="31"/>
  <c r="K50" i="31" s="1"/>
  <c r="I50" i="31"/>
  <c r="M50" i="31" s="1"/>
  <c r="B50" i="31"/>
  <c r="K49" i="31"/>
  <c r="J49" i="31"/>
  <c r="I49" i="31"/>
  <c r="M49" i="31" s="1"/>
  <c r="B49" i="31"/>
  <c r="J48" i="31"/>
  <c r="K48" i="31" s="1"/>
  <c r="I48" i="31"/>
  <c r="M48" i="31" s="1"/>
  <c r="B48" i="31"/>
  <c r="K47" i="31"/>
  <c r="J47" i="31"/>
  <c r="I47" i="31"/>
  <c r="M47" i="31" s="1"/>
  <c r="B47" i="31"/>
  <c r="T46" i="31"/>
  <c r="R46" i="31"/>
  <c r="U46" i="31" s="1"/>
  <c r="M46" i="31"/>
  <c r="J46" i="31"/>
  <c r="K46" i="31" s="1"/>
  <c r="I46" i="31"/>
  <c r="B46" i="31"/>
  <c r="M45" i="31"/>
  <c r="J45" i="31"/>
  <c r="K45" i="31" s="1"/>
  <c r="I45" i="31"/>
  <c r="B45" i="31"/>
  <c r="J44" i="31"/>
  <c r="K44" i="31" s="1"/>
  <c r="I44" i="31"/>
  <c r="M44" i="31" s="1"/>
  <c r="B44" i="31"/>
  <c r="M43" i="31"/>
  <c r="J43" i="31"/>
  <c r="K43" i="31" s="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K40" i="31"/>
  <c r="J40" i="31"/>
  <c r="I40" i="31"/>
  <c r="M40" i="31" s="1"/>
  <c r="B40" i="31"/>
  <c r="J39" i="31"/>
  <c r="K39" i="31" s="1"/>
  <c r="I39" i="31"/>
  <c r="M39" i="31" s="1"/>
  <c r="B39" i="31"/>
  <c r="K38" i="31"/>
  <c r="J38" i="3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A30" i="31" s="1"/>
  <c r="J30" i="31"/>
  <c r="K30" i="31" s="1"/>
  <c r="I30" i="3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K26" i="31"/>
  <c r="J26" i="31"/>
  <c r="I26" i="31"/>
  <c r="M26" i="31" s="1"/>
  <c r="A26" i="31" s="1"/>
  <c r="B26" i="31"/>
  <c r="M25" i="31"/>
  <c r="A25" i="31" s="1"/>
  <c r="J25" i="31"/>
  <c r="K25" i="31" s="1"/>
  <c r="I25" i="3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M22" i="31"/>
  <c r="A22" i="31" s="1"/>
  <c r="J22" i="31"/>
  <c r="K22" i="31" s="1"/>
  <c r="I22" i="31"/>
  <c r="B22" i="31"/>
  <c r="M21" i="31"/>
  <c r="A21" i="31" s="1"/>
  <c r="J21" i="31"/>
  <c r="K21" i="31" s="1"/>
  <c r="I21" i="3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K18" i="31"/>
  <c r="J18" i="31"/>
  <c r="I18" i="31"/>
  <c r="M18" i="31" s="1"/>
  <c r="A18" i="31" s="1"/>
  <c r="B18" i="31"/>
  <c r="J17" i="31"/>
  <c r="K17" i="31" s="1"/>
  <c r="I17" i="31"/>
  <c r="M17" i="31" s="1"/>
  <c r="A17" i="31" s="1"/>
  <c r="B17" i="31"/>
  <c r="K16" i="31"/>
  <c r="J16" i="3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M13" i="31"/>
  <c r="A13" i="31" s="1"/>
  <c r="J13" i="31"/>
  <c r="K13" i="31" s="1"/>
  <c r="I13" i="31"/>
  <c r="B13" i="31"/>
  <c r="AI12" i="31"/>
  <c r="AI16" i="31" s="1"/>
  <c r="K12" i="31"/>
  <c r="J12" i="3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J9" i="31"/>
  <c r="K9" i="31" s="1"/>
  <c r="I9" i="31"/>
  <c r="M9" i="31" s="1"/>
  <c r="A9" i="31" s="1"/>
  <c r="B9" i="31"/>
  <c r="M8" i="31"/>
  <c r="A8" i="31" s="1"/>
  <c r="J8" i="31"/>
  <c r="K8" i="31" s="1"/>
  <c r="I8" i="31"/>
  <c r="B8" i="31"/>
  <c r="M7" i="31"/>
  <c r="A7" i="31" s="1"/>
  <c r="L7" i="31"/>
  <c r="J7" i="31"/>
  <c r="K7" i="31" s="1"/>
  <c r="I7" i="31"/>
  <c r="B7" i="31"/>
  <c r="L6" i="31"/>
  <c r="K6" i="31"/>
  <c r="M6" i="31" s="1"/>
  <c r="A6" i="31" s="1"/>
  <c r="I6" i="31"/>
  <c r="B6" i="31"/>
  <c r="S20" i="20" s="1"/>
  <c r="T20" i="20" s="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K278" i="30"/>
  <c r="J278" i="30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K246" i="30"/>
  <c r="J246" i="30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K230" i="30"/>
  <c r="J230" i="30"/>
  <c r="I230" i="30"/>
  <c r="M230" i="30" s="1"/>
  <c r="J229" i="30"/>
  <c r="K229" i="30" s="1"/>
  <c r="I229" i="30"/>
  <c r="M229" i="30" s="1"/>
  <c r="K228" i="30"/>
  <c r="J228" i="30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K220" i="30"/>
  <c r="J220" i="30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M204" i="30"/>
  <c r="J204" i="30"/>
  <c r="K204" i="30" s="1"/>
  <c r="I204" i="30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M188" i="30"/>
  <c r="J188" i="30"/>
  <c r="K188" i="30" s="1"/>
  <c r="I188" i="30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K184" i="30"/>
  <c r="J184" i="30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K176" i="30"/>
  <c r="J176" i="30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M164" i="30"/>
  <c r="K164" i="30"/>
  <c r="J164" i="30"/>
  <c r="I164" i="30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K156" i="30"/>
  <c r="J156" i="30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M140" i="30"/>
  <c r="J140" i="30"/>
  <c r="K140" i="30" s="1"/>
  <c r="I140" i="30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K132" i="30"/>
  <c r="J132" i="30"/>
  <c r="I132" i="30"/>
  <c r="M132" i="30" s="1"/>
  <c r="J131" i="30"/>
  <c r="K131" i="30" s="1"/>
  <c r="I131" i="30"/>
  <c r="M131" i="30" s="1"/>
  <c r="J130" i="30"/>
  <c r="K130" i="30" s="1"/>
  <c r="I130" i="30"/>
  <c r="M130" i="30" s="1"/>
  <c r="K129" i="30"/>
  <c r="J129" i="30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M125" i="30"/>
  <c r="J125" i="30"/>
  <c r="K125" i="30" s="1"/>
  <c r="I125" i="30"/>
  <c r="J124" i="30"/>
  <c r="K124" i="30" s="1"/>
  <c r="I124" i="30"/>
  <c r="M124" i="30" s="1"/>
  <c r="M123" i="30"/>
  <c r="K123" i="30"/>
  <c r="J123" i="30"/>
  <c r="I123" i="30"/>
  <c r="K122" i="30"/>
  <c r="J122" i="30"/>
  <c r="I122" i="30"/>
  <c r="M122" i="30" s="1"/>
  <c r="M121" i="30"/>
  <c r="J121" i="30"/>
  <c r="K121" i="30" s="1"/>
  <c r="I121" i="30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K116" i="30"/>
  <c r="J116" i="30"/>
  <c r="I116" i="30"/>
  <c r="M116" i="30" s="1"/>
  <c r="J115" i="30"/>
  <c r="K115" i="30" s="1"/>
  <c r="I115" i="30"/>
  <c r="M115" i="30" s="1"/>
  <c r="J114" i="30"/>
  <c r="K114" i="30" s="1"/>
  <c r="I114" i="30"/>
  <c r="M114" i="30" s="1"/>
  <c r="K113" i="30"/>
  <c r="J113" i="30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M109" i="30"/>
  <c r="J109" i="30"/>
  <c r="K109" i="30" s="1"/>
  <c r="I109" i="30"/>
  <c r="J108" i="30"/>
  <c r="K108" i="30" s="1"/>
  <c r="I108" i="30"/>
  <c r="M108" i="30" s="1"/>
  <c r="M107" i="30"/>
  <c r="K107" i="30"/>
  <c r="J107" i="30"/>
  <c r="I107" i="30"/>
  <c r="K106" i="30"/>
  <c r="J106" i="30"/>
  <c r="I106" i="30"/>
  <c r="M106" i="30" s="1"/>
  <c r="M105" i="30"/>
  <c r="J105" i="30"/>
  <c r="K105" i="30" s="1"/>
  <c r="I105" i="30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K100" i="30"/>
  <c r="J100" i="30"/>
  <c r="I100" i="30"/>
  <c r="M100" i="30" s="1"/>
  <c r="J99" i="30"/>
  <c r="K99" i="30" s="1"/>
  <c r="I99" i="30"/>
  <c r="M99" i="30" s="1"/>
  <c r="J98" i="30"/>
  <c r="K98" i="30" s="1"/>
  <c r="I98" i="30"/>
  <c r="M98" i="30" s="1"/>
  <c r="K97" i="30"/>
  <c r="J97" i="30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M93" i="30"/>
  <c r="J93" i="30"/>
  <c r="K93" i="30" s="1"/>
  <c r="I93" i="30"/>
  <c r="J92" i="30"/>
  <c r="K92" i="30" s="1"/>
  <c r="I92" i="30"/>
  <c r="M92" i="30" s="1"/>
  <c r="M91" i="30"/>
  <c r="K91" i="30"/>
  <c r="J91" i="30"/>
  <c r="I91" i="30"/>
  <c r="K90" i="30"/>
  <c r="J90" i="30"/>
  <c r="I90" i="30"/>
  <c r="M90" i="30" s="1"/>
  <c r="M89" i="30"/>
  <c r="J89" i="30"/>
  <c r="K89" i="30" s="1"/>
  <c r="I89" i="30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K84" i="30"/>
  <c r="J84" i="30"/>
  <c r="I84" i="30"/>
  <c r="M84" i="30" s="1"/>
  <c r="J83" i="30"/>
  <c r="K83" i="30" s="1"/>
  <c r="I83" i="30"/>
  <c r="M83" i="30" s="1"/>
  <c r="J82" i="30"/>
  <c r="K82" i="30" s="1"/>
  <c r="I82" i="30"/>
  <c r="M82" i="30" s="1"/>
  <c r="K81" i="30"/>
  <c r="J81" i="30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M77" i="30"/>
  <c r="J77" i="30"/>
  <c r="K77" i="30" s="1"/>
  <c r="I77" i="30"/>
  <c r="J76" i="30"/>
  <c r="K76" i="30" s="1"/>
  <c r="I76" i="30"/>
  <c r="M76" i="30" s="1"/>
  <c r="M75" i="30"/>
  <c r="K75" i="30"/>
  <c r="J75" i="30"/>
  <c r="I75" i="30"/>
  <c r="K74" i="30"/>
  <c r="J74" i="30"/>
  <c r="I74" i="30"/>
  <c r="M74" i="30" s="1"/>
  <c r="M73" i="30"/>
  <c r="J73" i="30"/>
  <c r="K73" i="30" s="1"/>
  <c r="I73" i="30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M68" i="30"/>
  <c r="J68" i="30"/>
  <c r="K68" i="30" s="1"/>
  <c r="I68" i="30"/>
  <c r="J67" i="30"/>
  <c r="K67" i="30" s="1"/>
  <c r="I67" i="30"/>
  <c r="M67" i="30" s="1"/>
  <c r="M66" i="30"/>
  <c r="J66" i="30"/>
  <c r="K66" i="30" s="1"/>
  <c r="I66" i="30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K61" i="30"/>
  <c r="J61" i="30"/>
  <c r="I61" i="30"/>
  <c r="M61" i="30" s="1"/>
  <c r="B61" i="30"/>
  <c r="M60" i="30"/>
  <c r="K60" i="30"/>
  <c r="J60" i="30"/>
  <c r="I60" i="30"/>
  <c r="B60" i="30"/>
  <c r="J59" i="30"/>
  <c r="K59" i="30" s="1"/>
  <c r="I59" i="30"/>
  <c r="M59" i="30" s="1"/>
  <c r="B59" i="30"/>
  <c r="J58" i="30"/>
  <c r="K58" i="30" s="1"/>
  <c r="I58" i="30"/>
  <c r="M58" i="30" s="1"/>
  <c r="B58" i="30"/>
  <c r="K57" i="30"/>
  <c r="J57" i="30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M49" i="30"/>
  <c r="J49" i="30"/>
  <c r="K49" i="30" s="1"/>
  <c r="I49" i="30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M43" i="30"/>
  <c r="J43" i="30"/>
  <c r="K43" i="30" s="1"/>
  <c r="I43" i="30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K34" i="30"/>
  <c r="J34" i="30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J30" i="30"/>
  <c r="K30" i="30" s="1"/>
  <c r="I30" i="30"/>
  <c r="M30" i="30" s="1"/>
  <c r="A30" i="30" s="1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M20" i="30"/>
  <c r="A20" i="30" s="1"/>
  <c r="J20" i="30"/>
  <c r="K20" i="30" s="1"/>
  <c r="I20" i="30"/>
  <c r="B20" i="30"/>
  <c r="J19" i="30"/>
  <c r="K19" i="30" s="1"/>
  <c r="I19" i="30"/>
  <c r="M19" i="30" s="1"/>
  <c r="A19" i="30" s="1"/>
  <c r="B19" i="30"/>
  <c r="J18" i="30"/>
  <c r="K18" i="30" s="1"/>
  <c r="I18" i="30"/>
  <c r="M18" i="30" s="1"/>
  <c r="A18" i="30" s="1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AI16" i="30" s="1"/>
  <c r="J13" i="30"/>
  <c r="K13" i="30" s="1"/>
  <c r="I13" i="30"/>
  <c r="M13" i="30" s="1"/>
  <c r="A13" i="30" s="1"/>
  <c r="B13" i="30"/>
  <c r="AI12" i="30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Q19" i="13" s="1"/>
  <c r="R19" i="13" s="1"/>
  <c r="L8" i="30"/>
  <c r="J8" i="30"/>
  <c r="K8" i="30" s="1"/>
  <c r="I8" i="30"/>
  <c r="M8" i="30" s="1"/>
  <c r="A8" i="30" s="1"/>
  <c r="L7" i="30"/>
  <c r="K7" i="30"/>
  <c r="M7" i="30" s="1"/>
  <c r="A7" i="30" s="1"/>
  <c r="J7" i="30"/>
  <c r="I7" i="30"/>
  <c r="J6" i="30"/>
  <c r="K6" i="30" s="1"/>
  <c r="I6" i="30"/>
  <c r="K2" i="30"/>
  <c r="L6" i="30" s="1"/>
  <c r="J305" i="29"/>
  <c r="K305" i="29" s="1"/>
  <c r="I305" i="29"/>
  <c r="M305" i="29" s="1"/>
  <c r="M304" i="29"/>
  <c r="J304" i="29"/>
  <c r="K304" i="29" s="1"/>
  <c r="I304" i="29"/>
  <c r="J303" i="29"/>
  <c r="K303" i="29" s="1"/>
  <c r="I303" i="29"/>
  <c r="M303" i="29" s="1"/>
  <c r="J302" i="29"/>
  <c r="K302" i="29" s="1"/>
  <c r="I302" i="29"/>
  <c r="M302" i="29" s="1"/>
  <c r="M301" i="29"/>
  <c r="K301" i="29"/>
  <c r="J301" i="29"/>
  <c r="I301" i="29"/>
  <c r="J300" i="29"/>
  <c r="K300" i="29" s="1"/>
  <c r="I300" i="29"/>
  <c r="M300" i="29" s="1"/>
  <c r="J299" i="29"/>
  <c r="K299" i="29" s="1"/>
  <c r="I299" i="29"/>
  <c r="M299" i="29" s="1"/>
  <c r="M298" i="29"/>
  <c r="J298" i="29"/>
  <c r="K298" i="29" s="1"/>
  <c r="I298" i="29"/>
  <c r="J297" i="29"/>
  <c r="K297" i="29" s="1"/>
  <c r="I297" i="29"/>
  <c r="M297" i="29" s="1"/>
  <c r="M296" i="29"/>
  <c r="J296" i="29"/>
  <c r="K296" i="29" s="1"/>
  <c r="I296" i="29"/>
  <c r="K295" i="29"/>
  <c r="J295" i="29"/>
  <c r="I295" i="29"/>
  <c r="M295" i="29" s="1"/>
  <c r="M294" i="29"/>
  <c r="J294" i="29"/>
  <c r="K294" i="29" s="1"/>
  <c r="I294" i="29"/>
  <c r="J293" i="29"/>
  <c r="K293" i="29" s="1"/>
  <c r="I293" i="29"/>
  <c r="M293" i="29" s="1"/>
  <c r="J292" i="29"/>
  <c r="K292" i="29" s="1"/>
  <c r="I292" i="29"/>
  <c r="M292" i="29" s="1"/>
  <c r="M291" i="29"/>
  <c r="K291" i="29"/>
  <c r="J291" i="29"/>
  <c r="I291" i="29"/>
  <c r="J290" i="29"/>
  <c r="K290" i="29" s="1"/>
  <c r="I290" i="29"/>
  <c r="M290" i="29" s="1"/>
  <c r="K289" i="29"/>
  <c r="J289" i="29"/>
  <c r="I289" i="29"/>
  <c r="M289" i="29" s="1"/>
  <c r="M288" i="29"/>
  <c r="J288" i="29"/>
  <c r="K288" i="29" s="1"/>
  <c r="I288" i="29"/>
  <c r="J287" i="29"/>
  <c r="K287" i="29" s="1"/>
  <c r="I287" i="29"/>
  <c r="M287" i="29" s="1"/>
  <c r="J286" i="29"/>
  <c r="K286" i="29" s="1"/>
  <c r="I286" i="29"/>
  <c r="M286" i="29" s="1"/>
  <c r="M285" i="29"/>
  <c r="J285" i="29"/>
  <c r="K285" i="29" s="1"/>
  <c r="I285" i="29"/>
  <c r="J284" i="29"/>
  <c r="K284" i="29" s="1"/>
  <c r="I284" i="29"/>
  <c r="M284" i="29" s="1"/>
  <c r="M283" i="29"/>
  <c r="J283" i="29"/>
  <c r="K283" i="29" s="1"/>
  <c r="I283" i="29"/>
  <c r="J282" i="29"/>
  <c r="K282" i="29" s="1"/>
  <c r="I282" i="29"/>
  <c r="M282" i="29" s="1"/>
  <c r="M281" i="29"/>
  <c r="J281" i="29"/>
  <c r="K281" i="29" s="1"/>
  <c r="I281" i="29"/>
  <c r="J280" i="29"/>
  <c r="K280" i="29" s="1"/>
  <c r="I280" i="29"/>
  <c r="M280" i="29" s="1"/>
  <c r="K279" i="29"/>
  <c r="J279" i="29"/>
  <c r="I279" i="29"/>
  <c r="M279" i="29" s="1"/>
  <c r="M278" i="29"/>
  <c r="J278" i="29"/>
  <c r="K278" i="29" s="1"/>
  <c r="I278" i="29"/>
  <c r="J277" i="29"/>
  <c r="K277" i="29" s="1"/>
  <c r="I277" i="29"/>
  <c r="M277" i="29" s="1"/>
  <c r="J276" i="29"/>
  <c r="K276" i="29" s="1"/>
  <c r="I276" i="29"/>
  <c r="M276" i="29" s="1"/>
  <c r="M275" i="29"/>
  <c r="K275" i="29"/>
  <c r="J275" i="29"/>
  <c r="I275" i="29"/>
  <c r="J274" i="29"/>
  <c r="K274" i="29" s="1"/>
  <c r="I274" i="29"/>
  <c r="M274" i="29" s="1"/>
  <c r="M273" i="29"/>
  <c r="K273" i="29"/>
  <c r="J273" i="29"/>
  <c r="I273" i="29"/>
  <c r="J272" i="29"/>
  <c r="K272" i="29" s="1"/>
  <c r="I272" i="29"/>
  <c r="M272" i="29" s="1"/>
  <c r="M271" i="29"/>
  <c r="J271" i="29"/>
  <c r="K271" i="29" s="1"/>
  <c r="I271" i="29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M267" i="29"/>
  <c r="J267" i="29"/>
  <c r="K267" i="29" s="1"/>
  <c r="I267" i="29"/>
  <c r="J266" i="29"/>
  <c r="K266" i="29" s="1"/>
  <c r="I266" i="29"/>
  <c r="M266" i="29" s="1"/>
  <c r="M265" i="29"/>
  <c r="J265" i="29"/>
  <c r="K265" i="29" s="1"/>
  <c r="I265" i="29"/>
  <c r="J264" i="29"/>
  <c r="K264" i="29" s="1"/>
  <c r="I264" i="29"/>
  <c r="M264" i="29" s="1"/>
  <c r="M263" i="29"/>
  <c r="K263" i="29"/>
  <c r="J263" i="29"/>
  <c r="I263" i="29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K259" i="29"/>
  <c r="J259" i="29"/>
  <c r="I259" i="29"/>
  <c r="M259" i="29" s="1"/>
  <c r="J258" i="29"/>
  <c r="K258" i="29" s="1"/>
  <c r="I258" i="29"/>
  <c r="M258" i="29" s="1"/>
  <c r="M257" i="29"/>
  <c r="K257" i="29"/>
  <c r="J257" i="29"/>
  <c r="I257" i="29"/>
  <c r="J256" i="29"/>
  <c r="K256" i="29" s="1"/>
  <c r="I256" i="29"/>
  <c r="M256" i="29" s="1"/>
  <c r="M255" i="29"/>
  <c r="J255" i="29"/>
  <c r="K255" i="29" s="1"/>
  <c r="I255" i="29"/>
  <c r="J254" i="29"/>
  <c r="K254" i="29" s="1"/>
  <c r="I254" i="29"/>
  <c r="M254" i="29" s="1"/>
  <c r="K253" i="29"/>
  <c r="J253" i="29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K249" i="29"/>
  <c r="J249" i="29"/>
  <c r="I249" i="29"/>
  <c r="M249" i="29" s="1"/>
  <c r="M248" i="29"/>
  <c r="J248" i="29"/>
  <c r="K248" i="29" s="1"/>
  <c r="I248" i="29"/>
  <c r="K247" i="29"/>
  <c r="J247" i="29"/>
  <c r="I247" i="29"/>
  <c r="M247" i="29" s="1"/>
  <c r="M246" i="29"/>
  <c r="J246" i="29"/>
  <c r="K246" i="29" s="1"/>
  <c r="I246" i="29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M240" i="29"/>
  <c r="J240" i="29"/>
  <c r="K240" i="29" s="1"/>
  <c r="I240" i="29"/>
  <c r="K239" i="29"/>
  <c r="J239" i="29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M234" i="29"/>
  <c r="J234" i="29"/>
  <c r="K234" i="29" s="1"/>
  <c r="I234" i="29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M225" i="29"/>
  <c r="K225" i="29"/>
  <c r="J225" i="29"/>
  <c r="I225" i="29"/>
  <c r="J224" i="29"/>
  <c r="K224" i="29" s="1"/>
  <c r="I224" i="29"/>
  <c r="M224" i="29" s="1"/>
  <c r="M223" i="29"/>
  <c r="J223" i="29"/>
  <c r="K223" i="29" s="1"/>
  <c r="I223" i="29"/>
  <c r="J222" i="29"/>
  <c r="K222" i="29" s="1"/>
  <c r="I222" i="29"/>
  <c r="M222" i="29" s="1"/>
  <c r="K221" i="29"/>
  <c r="J221" i="29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K217" i="29"/>
  <c r="J217" i="29"/>
  <c r="I217" i="29"/>
  <c r="M217" i="29" s="1"/>
  <c r="M216" i="29"/>
  <c r="J216" i="29"/>
  <c r="K216" i="29" s="1"/>
  <c r="I216" i="29"/>
  <c r="J215" i="29"/>
  <c r="K215" i="29" s="1"/>
  <c r="I215" i="29"/>
  <c r="M215" i="29" s="1"/>
  <c r="M214" i="29"/>
  <c r="J214" i="29"/>
  <c r="K214" i="29" s="1"/>
  <c r="I214" i="29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M209" i="29"/>
  <c r="J209" i="29"/>
  <c r="K209" i="29" s="1"/>
  <c r="I209" i="29"/>
  <c r="J208" i="29"/>
  <c r="K208" i="29" s="1"/>
  <c r="I208" i="29"/>
  <c r="M208" i="29" s="1"/>
  <c r="K207" i="29"/>
  <c r="J207" i="29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M198" i="29"/>
  <c r="J198" i="29"/>
  <c r="K198" i="29" s="1"/>
  <c r="I198" i="29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K193" i="29"/>
  <c r="J193" i="29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K189" i="29"/>
  <c r="J189" i="29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M184" i="29"/>
  <c r="J184" i="29"/>
  <c r="K184" i="29" s="1"/>
  <c r="I184" i="29"/>
  <c r="K183" i="29"/>
  <c r="J183" i="29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M177" i="29"/>
  <c r="J177" i="29"/>
  <c r="K177" i="29" s="1"/>
  <c r="I177" i="29"/>
  <c r="J176" i="29"/>
  <c r="K176" i="29" s="1"/>
  <c r="I176" i="29"/>
  <c r="M176" i="29" s="1"/>
  <c r="M175" i="29"/>
  <c r="K175" i="29"/>
  <c r="J175" i="29"/>
  <c r="I175" i="29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M168" i="29"/>
  <c r="J168" i="29"/>
  <c r="K168" i="29" s="1"/>
  <c r="I168" i="29"/>
  <c r="J167" i="29"/>
  <c r="K167" i="29" s="1"/>
  <c r="I167" i="29"/>
  <c r="M167" i="29" s="1"/>
  <c r="M166" i="29"/>
  <c r="J166" i="29"/>
  <c r="K166" i="29" s="1"/>
  <c r="I166" i="29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M160" i="29"/>
  <c r="J160" i="29"/>
  <c r="K160" i="29" s="1"/>
  <c r="I160" i="29"/>
  <c r="M159" i="29"/>
  <c r="K159" i="29"/>
  <c r="J159" i="29"/>
  <c r="I159" i="29"/>
  <c r="J158" i="29"/>
  <c r="K158" i="29" s="1"/>
  <c r="I158" i="29"/>
  <c r="M158" i="29" s="1"/>
  <c r="K157" i="29"/>
  <c r="J157" i="29"/>
  <c r="I157" i="29"/>
  <c r="M157" i="29" s="1"/>
  <c r="J156" i="29"/>
  <c r="K156" i="29" s="1"/>
  <c r="I156" i="29"/>
  <c r="M156" i="29" s="1"/>
  <c r="J155" i="29"/>
  <c r="K155" i="29" s="1"/>
  <c r="I155" i="29"/>
  <c r="M155" i="29" s="1"/>
  <c r="M154" i="29"/>
  <c r="J154" i="29"/>
  <c r="K154" i="29" s="1"/>
  <c r="I154" i="29"/>
  <c r="K153" i="29"/>
  <c r="J153" i="29"/>
  <c r="I153" i="29"/>
  <c r="M153" i="29" s="1"/>
  <c r="J152" i="29"/>
  <c r="K152" i="29" s="1"/>
  <c r="I152" i="29"/>
  <c r="M152" i="29" s="1"/>
  <c r="K151" i="29"/>
  <c r="J151" i="29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M145" i="29"/>
  <c r="J145" i="29"/>
  <c r="K145" i="29" s="1"/>
  <c r="I145" i="29"/>
  <c r="M144" i="29"/>
  <c r="J144" i="29"/>
  <c r="K144" i="29" s="1"/>
  <c r="I144" i="29"/>
  <c r="K143" i="29"/>
  <c r="J143" i="29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M138" i="29"/>
  <c r="J138" i="29"/>
  <c r="K138" i="29" s="1"/>
  <c r="I138" i="29"/>
  <c r="J137" i="29"/>
  <c r="K137" i="29" s="1"/>
  <c r="I137" i="29"/>
  <c r="M137" i="29" s="1"/>
  <c r="M136" i="29"/>
  <c r="J136" i="29"/>
  <c r="K136" i="29" s="1"/>
  <c r="I136" i="29"/>
  <c r="J135" i="29"/>
  <c r="K135" i="29" s="1"/>
  <c r="I135" i="29"/>
  <c r="M135" i="29" s="1"/>
  <c r="M134" i="29"/>
  <c r="K134" i="29"/>
  <c r="J134" i="29"/>
  <c r="I134" i="29"/>
  <c r="J133" i="29"/>
  <c r="K133" i="29" s="1"/>
  <c r="I133" i="29"/>
  <c r="M133" i="29" s="1"/>
  <c r="M132" i="29"/>
  <c r="K132" i="29"/>
  <c r="J132" i="29"/>
  <c r="I132" i="29"/>
  <c r="J131" i="29"/>
  <c r="K131" i="29" s="1"/>
  <c r="I131" i="29"/>
  <c r="M131" i="29" s="1"/>
  <c r="M130" i="29"/>
  <c r="K130" i="29"/>
  <c r="J130" i="29"/>
  <c r="I130" i="29"/>
  <c r="J129" i="29"/>
  <c r="K129" i="29" s="1"/>
  <c r="I129" i="29"/>
  <c r="M129" i="29" s="1"/>
  <c r="M128" i="29"/>
  <c r="K128" i="29"/>
  <c r="J128" i="29"/>
  <c r="I128" i="29"/>
  <c r="J127" i="29"/>
  <c r="K127" i="29" s="1"/>
  <c r="I127" i="29"/>
  <c r="M127" i="29" s="1"/>
  <c r="M126" i="29"/>
  <c r="J126" i="29"/>
  <c r="K126" i="29" s="1"/>
  <c r="I126" i="29"/>
  <c r="K125" i="29"/>
  <c r="J125" i="29"/>
  <c r="I125" i="29"/>
  <c r="M125" i="29" s="1"/>
  <c r="K124" i="29"/>
  <c r="J124" i="29"/>
  <c r="I124" i="29"/>
  <c r="M124" i="29" s="1"/>
  <c r="J123" i="29"/>
  <c r="K123" i="29" s="1"/>
  <c r="I123" i="29"/>
  <c r="M123" i="29" s="1"/>
  <c r="J122" i="29"/>
  <c r="K122" i="29" s="1"/>
  <c r="I122" i="29"/>
  <c r="M122" i="29" s="1"/>
  <c r="K121" i="29"/>
  <c r="J121" i="29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K117" i="29"/>
  <c r="J117" i="29"/>
  <c r="I117" i="29"/>
  <c r="M117" i="29" s="1"/>
  <c r="K116" i="29"/>
  <c r="J116" i="29"/>
  <c r="I116" i="29"/>
  <c r="M116" i="29" s="1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M112" i="29"/>
  <c r="K112" i="29"/>
  <c r="J112" i="29"/>
  <c r="I112" i="29"/>
  <c r="K111" i="29"/>
  <c r="J111" i="29"/>
  <c r="I111" i="29"/>
  <c r="M111" i="29" s="1"/>
  <c r="M110" i="29"/>
  <c r="J110" i="29"/>
  <c r="K110" i="29" s="1"/>
  <c r="I110" i="29"/>
  <c r="K109" i="29"/>
  <c r="J109" i="29"/>
  <c r="I109" i="29"/>
  <c r="M109" i="29" s="1"/>
  <c r="K108" i="29"/>
  <c r="J108" i="29"/>
  <c r="I108" i="29"/>
  <c r="M108" i="29" s="1"/>
  <c r="J107" i="29"/>
  <c r="K107" i="29" s="1"/>
  <c r="I107" i="29"/>
  <c r="M107" i="29" s="1"/>
  <c r="J106" i="29"/>
  <c r="K106" i="29" s="1"/>
  <c r="I106" i="29"/>
  <c r="M106" i="29" s="1"/>
  <c r="K105" i="29"/>
  <c r="J105" i="29"/>
  <c r="I105" i="29"/>
  <c r="M105" i="29" s="1"/>
  <c r="J104" i="29"/>
  <c r="K104" i="29" s="1"/>
  <c r="I104" i="29"/>
  <c r="M104" i="29" s="1"/>
  <c r="J103" i="29"/>
  <c r="K103" i="29" s="1"/>
  <c r="I103" i="29"/>
  <c r="M103" i="29" s="1"/>
  <c r="K102" i="29"/>
  <c r="J102" i="29"/>
  <c r="I102" i="29"/>
  <c r="M102" i="29" s="1"/>
  <c r="K101" i="29"/>
  <c r="J101" i="29"/>
  <c r="I101" i="29"/>
  <c r="M101" i="29" s="1"/>
  <c r="K100" i="29"/>
  <c r="J100" i="29"/>
  <c r="I100" i="29"/>
  <c r="M100" i="29" s="1"/>
  <c r="J99" i="29"/>
  <c r="K99" i="29" s="1"/>
  <c r="I99" i="29"/>
  <c r="M99" i="29" s="1"/>
  <c r="M98" i="29"/>
  <c r="J98" i="29"/>
  <c r="K98" i="29" s="1"/>
  <c r="I98" i="29"/>
  <c r="K97" i="29"/>
  <c r="J97" i="29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M92" i="29"/>
  <c r="J92" i="29"/>
  <c r="K92" i="29" s="1"/>
  <c r="I92" i="29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M86" i="29"/>
  <c r="J86" i="29"/>
  <c r="K86" i="29" s="1"/>
  <c r="I86" i="29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M76" i="29"/>
  <c r="J76" i="29"/>
  <c r="K76" i="29" s="1"/>
  <c r="I76" i="29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M70" i="29"/>
  <c r="J70" i="29"/>
  <c r="K70" i="29" s="1"/>
  <c r="I70" i="29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M64" i="29"/>
  <c r="K64" i="29"/>
  <c r="J64" i="29"/>
  <c r="I64" i="29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K58" i="29"/>
  <c r="J58" i="29"/>
  <c r="I58" i="29"/>
  <c r="M58" i="29" s="1"/>
  <c r="B58" i="29"/>
  <c r="J57" i="29"/>
  <c r="K57" i="29" s="1"/>
  <c r="I57" i="29"/>
  <c r="M57" i="29" s="1"/>
  <c r="B57" i="29"/>
  <c r="M56" i="29"/>
  <c r="K56" i="29"/>
  <c r="J56" i="29"/>
  <c r="I56" i="29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K50" i="29"/>
  <c r="J50" i="29"/>
  <c r="I50" i="29"/>
  <c r="M50" i="29" s="1"/>
  <c r="B50" i="29"/>
  <c r="J49" i="29"/>
  <c r="K49" i="29" s="1"/>
  <c r="I49" i="29"/>
  <c r="M49" i="29" s="1"/>
  <c r="B49" i="29"/>
  <c r="M48" i="29"/>
  <c r="K48" i="29"/>
  <c r="J48" i="29"/>
  <c r="I48" i="29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K41" i="29"/>
  <c r="J41" i="29"/>
  <c r="I41" i="29"/>
  <c r="M41" i="29" s="1"/>
  <c r="B41" i="29"/>
  <c r="J40" i="29"/>
  <c r="K40" i="29" s="1"/>
  <c r="I40" i="29"/>
  <c r="M40" i="29" s="1"/>
  <c r="B40" i="29"/>
  <c r="K39" i="29"/>
  <c r="J39" i="29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K34" i="29"/>
  <c r="J34" i="29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K31" i="29"/>
  <c r="J31" i="29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K27" i="29"/>
  <c r="J27" i="29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K22" i="29"/>
  <c r="J22" i="29"/>
  <c r="I22" i="29"/>
  <c r="M22" i="29" s="1"/>
  <c r="A22" i="29" s="1"/>
  <c r="B22" i="29"/>
  <c r="J21" i="29"/>
  <c r="K21" i="29" s="1"/>
  <c r="I21" i="29"/>
  <c r="M21" i="29" s="1"/>
  <c r="A21" i="29" s="1"/>
  <c r="B21" i="29"/>
  <c r="K20" i="29"/>
  <c r="J20" i="29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M16" i="29"/>
  <c r="A16" i="29" s="1"/>
  <c r="J16" i="29"/>
  <c r="K16" i="29" s="1"/>
  <c r="I16" i="29"/>
  <c r="B16" i="29"/>
  <c r="J15" i="29"/>
  <c r="K15" i="29" s="1"/>
  <c r="I15" i="29"/>
  <c r="M15" i="29" s="1"/>
  <c r="A15" i="29" s="1"/>
  <c r="B15" i="29"/>
  <c r="AI14" i="29"/>
  <c r="K14" i="29"/>
  <c r="J14" i="29"/>
  <c r="I14" i="29"/>
  <c r="M14" i="29" s="1"/>
  <c r="A14" i="29" s="1"/>
  <c r="B14" i="29"/>
  <c r="AI13" i="29"/>
  <c r="AI16" i="29" s="1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J10" i="29"/>
  <c r="K10" i="29" s="1"/>
  <c r="I10" i="29"/>
  <c r="M10" i="29" s="1"/>
  <c r="A10" i="29" s="1"/>
  <c r="B10" i="29"/>
  <c r="O23" i="20" s="1"/>
  <c r="P23" i="20" s="1"/>
  <c r="J9" i="29"/>
  <c r="K9" i="29" s="1"/>
  <c r="I9" i="29"/>
  <c r="J8" i="29"/>
  <c r="K8" i="29" s="1"/>
  <c r="I8" i="29"/>
  <c r="J7" i="29"/>
  <c r="K7" i="29" s="1"/>
  <c r="I7" i="29"/>
  <c r="J6" i="29"/>
  <c r="K6" i="29" s="1"/>
  <c r="M6" i="29" s="1"/>
  <c r="A6" i="29" s="1"/>
  <c r="I6" i="29"/>
  <c r="K2" i="29"/>
  <c r="L6" i="29" s="1"/>
  <c r="B12" i="17"/>
  <c r="B11" i="17"/>
  <c r="B10" i="17"/>
  <c r="B9" i="17"/>
  <c r="B8" i="17"/>
  <c r="B7" i="17"/>
  <c r="B6" i="17"/>
  <c r="M9" i="35" l="1"/>
  <c r="A9" i="35" s="1"/>
  <c r="AU13" i="20"/>
  <c r="AT20" i="20"/>
  <c r="AU9" i="20"/>
  <c r="AT21" i="20"/>
  <c r="AU6" i="20"/>
  <c r="AT14" i="20"/>
  <c r="AT22" i="20"/>
  <c r="AU11" i="20"/>
  <c r="AT15" i="20"/>
  <c r="AT23" i="20"/>
  <c r="M6" i="35"/>
  <c r="A6" i="35" s="1"/>
  <c r="AU8" i="20" s="1"/>
  <c r="AU7" i="20"/>
  <c r="AT16" i="20"/>
  <c r="AU10" i="20"/>
  <c r="AT17" i="20"/>
  <c r="L8" i="35"/>
  <c r="M8" i="35" s="1"/>
  <c r="A8" i="35" s="1"/>
  <c r="M10" i="35"/>
  <c r="A10" i="35" s="1"/>
  <c r="T10" i="13"/>
  <c r="S17" i="13"/>
  <c r="T17" i="13" s="1"/>
  <c r="T12" i="20"/>
  <c r="S15" i="20"/>
  <c r="T15" i="20" s="1"/>
  <c r="S21" i="20"/>
  <c r="T21" i="20" s="1"/>
  <c r="T12" i="13"/>
  <c r="S18" i="13"/>
  <c r="T18" i="13" s="1"/>
  <c r="T6" i="20"/>
  <c r="S22" i="20"/>
  <c r="T22" i="20" s="1"/>
  <c r="T9" i="13"/>
  <c r="S19" i="13"/>
  <c r="T19" i="13" s="1"/>
  <c r="T10" i="20"/>
  <c r="S16" i="20"/>
  <c r="T16" i="20" s="1"/>
  <c r="S23" i="20"/>
  <c r="T23" i="20" s="1"/>
  <c r="S14" i="13"/>
  <c r="T14" i="13" s="1"/>
  <c r="S20" i="13"/>
  <c r="T20" i="13" s="1"/>
  <c r="T13" i="20"/>
  <c r="S17" i="20"/>
  <c r="T17" i="20" s="1"/>
  <c r="T8" i="13"/>
  <c r="S21" i="13"/>
  <c r="T21" i="13" s="1"/>
  <c r="T11" i="20"/>
  <c r="T6" i="13"/>
  <c r="S13" i="13"/>
  <c r="T13" i="13" s="1"/>
  <c r="S22" i="13"/>
  <c r="T22" i="13" s="1"/>
  <c r="T8" i="20"/>
  <c r="S18" i="20"/>
  <c r="T18" i="20" s="1"/>
  <c r="T11" i="13"/>
  <c r="S15" i="13"/>
  <c r="T15" i="13" s="1"/>
  <c r="S23" i="13"/>
  <c r="T23" i="13" s="1"/>
  <c r="T9" i="20"/>
  <c r="S19" i="20"/>
  <c r="T19" i="20" s="1"/>
  <c r="T7" i="13"/>
  <c r="S16" i="13"/>
  <c r="T16" i="13" s="1"/>
  <c r="T7" i="20"/>
  <c r="S14" i="20"/>
  <c r="T14" i="20" s="1"/>
  <c r="M6" i="30"/>
  <c r="A6" i="30" s="1"/>
  <c r="Q14" i="13"/>
  <c r="R14" i="13" s="1"/>
  <c r="Q20" i="13"/>
  <c r="R20" i="13" s="1"/>
  <c r="R10" i="20"/>
  <c r="Q15" i="20"/>
  <c r="R15" i="20" s="1"/>
  <c r="Q18" i="20"/>
  <c r="R18" i="20" s="1"/>
  <c r="Q22" i="20"/>
  <c r="R22" i="20" s="1"/>
  <c r="R8" i="13"/>
  <c r="Q21" i="13"/>
  <c r="R21" i="13" s="1"/>
  <c r="R13" i="20"/>
  <c r="R6" i="13"/>
  <c r="R13" i="13"/>
  <c r="Q22" i="13"/>
  <c r="R22" i="13" s="1"/>
  <c r="R11" i="20"/>
  <c r="Q19" i="20"/>
  <c r="R19" i="20" s="1"/>
  <c r="Q23" i="20"/>
  <c r="R23" i="20" s="1"/>
  <c r="R11" i="13"/>
  <c r="Q15" i="13"/>
  <c r="R15" i="13" s="1"/>
  <c r="Q23" i="13"/>
  <c r="R23" i="13" s="1"/>
  <c r="R8" i="20"/>
  <c r="Q16" i="20"/>
  <c r="R16" i="20" s="1"/>
  <c r="R7" i="13"/>
  <c r="Q16" i="13"/>
  <c r="R16" i="13" s="1"/>
  <c r="R9" i="20"/>
  <c r="Q20" i="20"/>
  <c r="R20" i="20" s="1"/>
  <c r="R10" i="13"/>
  <c r="Q17" i="13"/>
  <c r="R17" i="13" s="1"/>
  <c r="R7" i="20"/>
  <c r="Q17" i="20"/>
  <c r="R17" i="20" s="1"/>
  <c r="R12" i="13"/>
  <c r="Q18" i="13"/>
  <c r="R18" i="13" s="1"/>
  <c r="R12" i="20"/>
  <c r="Q14" i="20"/>
  <c r="R14" i="20" s="1"/>
  <c r="Q21" i="20"/>
  <c r="R21" i="20" s="1"/>
  <c r="Q9" i="13"/>
  <c r="R9" i="13" s="1"/>
  <c r="R6" i="20"/>
  <c r="P7" i="13"/>
  <c r="P16" i="13"/>
  <c r="P18" i="20"/>
  <c r="P10" i="13"/>
  <c r="O17" i="13"/>
  <c r="P17" i="13" s="1"/>
  <c r="P9" i="20"/>
  <c r="O21" i="20"/>
  <c r="P21" i="20" s="1"/>
  <c r="P18" i="13"/>
  <c r="P16" i="20"/>
  <c r="O9" i="13"/>
  <c r="P9" i="13" s="1"/>
  <c r="O19" i="13"/>
  <c r="P19" i="13" s="1"/>
  <c r="P12" i="20"/>
  <c r="O19" i="20"/>
  <c r="P19" i="20" s="1"/>
  <c r="P8" i="20"/>
  <c r="P7" i="20"/>
  <c r="O14" i="13"/>
  <c r="P14" i="13" s="1"/>
  <c r="O20" i="13"/>
  <c r="P20" i="13" s="1"/>
  <c r="P6" i="20"/>
  <c r="O14" i="20"/>
  <c r="P14" i="20" s="1"/>
  <c r="O22" i="20"/>
  <c r="P22" i="20" s="1"/>
  <c r="P8" i="13"/>
  <c r="O21" i="13"/>
  <c r="P21" i="13" s="1"/>
  <c r="P10" i="20"/>
  <c r="O17" i="20"/>
  <c r="P17" i="20" s="1"/>
  <c r="P12" i="13"/>
  <c r="P6" i="13"/>
  <c r="P13" i="13"/>
  <c r="O22" i="13"/>
  <c r="P22" i="13" s="1"/>
  <c r="P13" i="20"/>
  <c r="O20" i="20"/>
  <c r="P20" i="20" s="1"/>
  <c r="M9" i="29"/>
  <c r="A9" i="29" s="1"/>
  <c r="P11" i="13"/>
  <c r="O15" i="13"/>
  <c r="P15" i="13" s="1"/>
  <c r="O23" i="13"/>
  <c r="P23" i="13" s="1"/>
  <c r="P11" i="20"/>
  <c r="O15" i="20"/>
  <c r="P15" i="20" s="1"/>
  <c r="L7" i="36"/>
  <c r="L7" i="35"/>
  <c r="M7" i="35" s="1"/>
  <c r="A7" i="35" s="1"/>
  <c r="L6" i="35"/>
  <c r="L9" i="34"/>
  <c r="L8" i="34"/>
  <c r="L7" i="34"/>
  <c r="L9" i="32"/>
  <c r="L8" i="32"/>
  <c r="L8" i="29"/>
  <c r="M8" i="29" s="1"/>
  <c r="A8" i="29" s="1"/>
  <c r="L7" i="29"/>
  <c r="M7" i="29" s="1"/>
  <c r="A7" i="29" s="1"/>
  <c r="AU18" i="20" l="1"/>
  <c r="AU19" i="20"/>
  <c r="AU23" i="20"/>
  <c r="AU20" i="20"/>
  <c r="AU17" i="20"/>
  <c r="AU22" i="20"/>
  <c r="AU15" i="20"/>
  <c r="AU14" i="20"/>
  <c r="AU16" i="20"/>
  <c r="AU21" i="20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89" i="28"/>
  <c r="I6" i="14"/>
  <c r="B8" i="14"/>
  <c r="B7" i="14"/>
  <c r="B6" i="14"/>
  <c r="I6" i="19"/>
  <c r="I6" i="18"/>
  <c r="I6" i="17"/>
  <c r="I6" i="16"/>
  <c r="I6" i="15"/>
  <c r="B14" i="23"/>
  <c r="M23" i="20"/>
  <c r="K23" i="20"/>
  <c r="I23" i="20"/>
  <c r="J23" i="20" s="1"/>
  <c r="G23" i="20"/>
  <c r="M22" i="20"/>
  <c r="K22" i="20"/>
  <c r="I22" i="20"/>
  <c r="J22" i="20" s="1"/>
  <c r="G22" i="20"/>
  <c r="M21" i="20"/>
  <c r="K21" i="20"/>
  <c r="I21" i="20"/>
  <c r="J21" i="20" s="1"/>
  <c r="M20" i="20"/>
  <c r="K20" i="20"/>
  <c r="I20" i="20"/>
  <c r="J20" i="20" s="1"/>
  <c r="G20" i="20"/>
  <c r="M19" i="20"/>
  <c r="K19" i="20"/>
  <c r="I19" i="20"/>
  <c r="J19" i="20" s="1"/>
  <c r="G19" i="20"/>
  <c r="M18" i="20"/>
  <c r="K18" i="20"/>
  <c r="I18" i="20"/>
  <c r="J18" i="20" s="1"/>
  <c r="G18" i="20"/>
  <c r="M17" i="20"/>
  <c r="K17" i="20"/>
  <c r="I17" i="20"/>
  <c r="J17" i="20" s="1"/>
  <c r="G17" i="20"/>
  <c r="M16" i="20"/>
  <c r="K16" i="20"/>
  <c r="I16" i="20"/>
  <c r="J16" i="20" s="1"/>
  <c r="G16" i="20"/>
  <c r="M15" i="20"/>
  <c r="K15" i="20"/>
  <c r="I15" i="20"/>
  <c r="J15" i="20" s="1"/>
  <c r="M14" i="20"/>
  <c r="K14" i="20"/>
  <c r="I14" i="20"/>
  <c r="J14" i="20" s="1"/>
  <c r="U9" i="20"/>
  <c r="V9" i="20" s="1"/>
  <c r="M9" i="20"/>
  <c r="K9" i="20"/>
  <c r="I9" i="20"/>
  <c r="J9" i="20" s="1"/>
  <c r="G9" i="20"/>
  <c r="U8" i="20"/>
  <c r="M8" i="20"/>
  <c r="K8" i="20"/>
  <c r="I8" i="20"/>
  <c r="J8" i="20" s="1"/>
  <c r="G8" i="20"/>
  <c r="U12" i="20"/>
  <c r="M12" i="20"/>
  <c r="K12" i="20"/>
  <c r="I12" i="20"/>
  <c r="J12" i="20" s="1"/>
  <c r="G12" i="20"/>
  <c r="E12" i="20"/>
  <c r="U7" i="20"/>
  <c r="M7" i="20"/>
  <c r="K7" i="20"/>
  <c r="I7" i="20"/>
  <c r="J7" i="20" s="1"/>
  <c r="G7" i="20"/>
  <c r="E7" i="20"/>
  <c r="U10" i="20"/>
  <c r="M10" i="20"/>
  <c r="K10" i="20"/>
  <c r="I10" i="20"/>
  <c r="J10" i="20" s="1"/>
  <c r="G10" i="20"/>
  <c r="E10" i="20"/>
  <c r="U13" i="20"/>
  <c r="M13" i="20"/>
  <c r="K13" i="20"/>
  <c r="I13" i="20"/>
  <c r="G13" i="20"/>
  <c r="E13" i="20"/>
  <c r="U6" i="20"/>
  <c r="M6" i="20"/>
  <c r="K6" i="20"/>
  <c r="I6" i="20"/>
  <c r="J6" i="20" s="1"/>
  <c r="G6" i="20"/>
  <c r="H6" i="20" s="1"/>
  <c r="E6" i="20"/>
  <c r="U11" i="20"/>
  <c r="M11" i="20"/>
  <c r="K11" i="20"/>
  <c r="I11" i="20"/>
  <c r="J11" i="20" s="1"/>
  <c r="G11" i="20"/>
  <c r="E11" i="20"/>
  <c r="J305" i="28"/>
  <c r="K305" i="28" s="1"/>
  <c r="I305" i="28"/>
  <c r="N305" i="28" s="1"/>
  <c r="A305" i="28" s="1"/>
  <c r="J304" i="28"/>
  <c r="K304" i="28" s="1"/>
  <c r="I304" i="28"/>
  <c r="N304" i="28" s="1"/>
  <c r="A304" i="28" s="1"/>
  <c r="J303" i="28"/>
  <c r="K303" i="28" s="1"/>
  <c r="I303" i="28"/>
  <c r="N303" i="28" s="1"/>
  <c r="A303" i="28" s="1"/>
  <c r="J302" i="28"/>
  <c r="K302" i="28" s="1"/>
  <c r="I302" i="28"/>
  <c r="N302" i="28" s="1"/>
  <c r="A302" i="28" s="1"/>
  <c r="J301" i="28"/>
  <c r="K301" i="28" s="1"/>
  <c r="I301" i="28"/>
  <c r="J300" i="28"/>
  <c r="K300" i="28" s="1"/>
  <c r="I300" i="28"/>
  <c r="N300" i="28" s="1"/>
  <c r="A300" i="28" s="1"/>
  <c r="J299" i="28"/>
  <c r="K299" i="28" s="1"/>
  <c r="I299" i="28"/>
  <c r="N299" i="28" s="1"/>
  <c r="A299" i="28" s="1"/>
  <c r="J298" i="28"/>
  <c r="K298" i="28" s="1"/>
  <c r="I298" i="28"/>
  <c r="J297" i="28"/>
  <c r="K297" i="28" s="1"/>
  <c r="I297" i="28"/>
  <c r="N297" i="28" s="1"/>
  <c r="A297" i="28" s="1"/>
  <c r="J296" i="28"/>
  <c r="K296" i="28" s="1"/>
  <c r="I296" i="28"/>
  <c r="N296" i="28" s="1"/>
  <c r="A296" i="28" s="1"/>
  <c r="J295" i="28"/>
  <c r="K295" i="28" s="1"/>
  <c r="I295" i="28"/>
  <c r="N295" i="28" s="1"/>
  <c r="A295" i="28" s="1"/>
  <c r="J294" i="28"/>
  <c r="K294" i="28" s="1"/>
  <c r="I294" i="28"/>
  <c r="N294" i="28" s="1"/>
  <c r="A294" i="28" s="1"/>
  <c r="J293" i="28"/>
  <c r="K293" i="28" s="1"/>
  <c r="I293" i="28"/>
  <c r="J292" i="28"/>
  <c r="K292" i="28" s="1"/>
  <c r="I292" i="28"/>
  <c r="N292" i="28" s="1"/>
  <c r="A292" i="28" s="1"/>
  <c r="J291" i="28"/>
  <c r="K291" i="28" s="1"/>
  <c r="I291" i="28"/>
  <c r="N291" i="28" s="1"/>
  <c r="A291" i="28" s="1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N288" i="28" s="1"/>
  <c r="A288" i="28" s="1"/>
  <c r="J287" i="28"/>
  <c r="K287" i="28" s="1"/>
  <c r="I287" i="28"/>
  <c r="N287" i="28" s="1"/>
  <c r="A287" i="28" s="1"/>
  <c r="J286" i="28"/>
  <c r="K286" i="28" s="1"/>
  <c r="I286" i="28"/>
  <c r="N286" i="28" s="1"/>
  <c r="A286" i="28" s="1"/>
  <c r="J285" i="28"/>
  <c r="K285" i="28" s="1"/>
  <c r="I285" i="28"/>
  <c r="J284" i="28"/>
  <c r="K284" i="28" s="1"/>
  <c r="I284" i="28"/>
  <c r="N284" i="28" s="1"/>
  <c r="A284" i="28" s="1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N279" i="28" s="1"/>
  <c r="A279" i="28" s="1"/>
  <c r="J278" i="28"/>
  <c r="K278" i="28" s="1"/>
  <c r="I278" i="28"/>
  <c r="N278" i="28" s="1"/>
  <c r="A278" i="28" s="1"/>
  <c r="J277" i="28"/>
  <c r="K277" i="28" s="1"/>
  <c r="I277" i="28"/>
  <c r="J276" i="28"/>
  <c r="K276" i="28" s="1"/>
  <c r="I276" i="28"/>
  <c r="N276" i="28" s="1"/>
  <c r="A276" i="28" s="1"/>
  <c r="J275" i="28"/>
  <c r="K275" i="28" s="1"/>
  <c r="I275" i="28"/>
  <c r="N275" i="28" s="1"/>
  <c r="A275" i="28" s="1"/>
  <c r="J274" i="28"/>
  <c r="K274" i="28" s="1"/>
  <c r="I274" i="28"/>
  <c r="J273" i="28"/>
  <c r="K273" i="28" s="1"/>
  <c r="I273" i="28"/>
  <c r="N273" i="28" s="1"/>
  <c r="A273" i="28" s="1"/>
  <c r="J272" i="28"/>
  <c r="K272" i="28" s="1"/>
  <c r="I272" i="28"/>
  <c r="N272" i="28" s="1"/>
  <c r="A272" i="28" s="1"/>
  <c r="J271" i="28"/>
  <c r="K271" i="28" s="1"/>
  <c r="I271" i="28"/>
  <c r="N271" i="28" s="1"/>
  <c r="A271" i="28" s="1"/>
  <c r="J270" i="28"/>
  <c r="K270" i="28" s="1"/>
  <c r="I270" i="28"/>
  <c r="N270" i="28" s="1"/>
  <c r="A270" i="28" s="1"/>
  <c r="J269" i="28"/>
  <c r="K269" i="28" s="1"/>
  <c r="I269" i="28"/>
  <c r="J268" i="28"/>
  <c r="K268" i="28" s="1"/>
  <c r="I268" i="28"/>
  <c r="N268" i="28" s="1"/>
  <c r="A268" i="28" s="1"/>
  <c r="J267" i="28"/>
  <c r="K267" i="28" s="1"/>
  <c r="I267" i="28"/>
  <c r="N267" i="28" s="1"/>
  <c r="A267" i="28" s="1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N263" i="28" s="1"/>
  <c r="A263" i="28" s="1"/>
  <c r="J262" i="28"/>
  <c r="K262" i="28" s="1"/>
  <c r="I262" i="28"/>
  <c r="N262" i="28" s="1"/>
  <c r="A262" i="28" s="1"/>
  <c r="J261" i="28"/>
  <c r="K261" i="28" s="1"/>
  <c r="I261" i="28"/>
  <c r="J260" i="28"/>
  <c r="K260" i="28" s="1"/>
  <c r="I260" i="28"/>
  <c r="N260" i="28" s="1"/>
  <c r="A260" i="28" s="1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N256" i="28" s="1"/>
  <c r="A256" i="28" s="1"/>
  <c r="J255" i="28"/>
  <c r="K255" i="28" s="1"/>
  <c r="I255" i="28"/>
  <c r="N255" i="28" s="1"/>
  <c r="A255" i="28" s="1"/>
  <c r="J254" i="28"/>
  <c r="K254" i="28" s="1"/>
  <c r="I254" i="28"/>
  <c r="N254" i="28" s="1"/>
  <c r="A254" i="28" s="1"/>
  <c r="J253" i="28"/>
  <c r="K253" i="28" s="1"/>
  <c r="I253" i="28"/>
  <c r="J252" i="28"/>
  <c r="K252" i="28" s="1"/>
  <c r="I252" i="28"/>
  <c r="N252" i="28" s="1"/>
  <c r="A252" i="28" s="1"/>
  <c r="J251" i="28"/>
  <c r="K251" i="28" s="1"/>
  <c r="I251" i="28"/>
  <c r="N251" i="28" s="1"/>
  <c r="A251" i="28" s="1"/>
  <c r="J250" i="28"/>
  <c r="K250" i="28" s="1"/>
  <c r="I250" i="28"/>
  <c r="B250" i="28"/>
  <c r="J249" i="28"/>
  <c r="K249" i="28" s="1"/>
  <c r="I249" i="28"/>
  <c r="B249" i="28"/>
  <c r="J248" i="28"/>
  <c r="K248" i="28" s="1"/>
  <c r="I248" i="28"/>
  <c r="B248" i="28"/>
  <c r="J247" i="28"/>
  <c r="K247" i="28" s="1"/>
  <c r="I247" i="28"/>
  <c r="M247" i="28" s="1"/>
  <c r="B247" i="28"/>
  <c r="J246" i="28"/>
  <c r="K246" i="28" s="1"/>
  <c r="I246" i="28"/>
  <c r="B246" i="28"/>
  <c r="J245" i="28"/>
  <c r="K245" i="28" s="1"/>
  <c r="I245" i="28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B242" i="28"/>
  <c r="J241" i="28"/>
  <c r="K241" i="28" s="1"/>
  <c r="I241" i="28"/>
  <c r="M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M239" i="28" s="1"/>
  <c r="B239" i="28"/>
  <c r="J238" i="28"/>
  <c r="K238" i="28" s="1"/>
  <c r="I238" i="28"/>
  <c r="B238" i="28"/>
  <c r="J237" i="28"/>
  <c r="K237" i="28" s="1"/>
  <c r="I237" i="28"/>
  <c r="B237" i="28"/>
  <c r="J236" i="28"/>
  <c r="K236" i="28" s="1"/>
  <c r="I236" i="28"/>
  <c r="N236" i="28" s="1"/>
  <c r="A236" i="28" s="1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M233" i="28" s="1"/>
  <c r="B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M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M223" i="28" s="1"/>
  <c r="B223" i="28"/>
  <c r="J222" i="28"/>
  <c r="K222" i="28" s="1"/>
  <c r="I222" i="28"/>
  <c r="M222" i="28" s="1"/>
  <c r="B222" i="28"/>
  <c r="J221" i="28"/>
  <c r="K221" i="28" s="1"/>
  <c r="I221" i="28"/>
  <c r="N221" i="28" s="1"/>
  <c r="A221" i="28" s="1"/>
  <c r="B221" i="28"/>
  <c r="J220" i="28"/>
  <c r="K220" i="28" s="1"/>
  <c r="I220" i="28"/>
  <c r="N220" i="28" s="1"/>
  <c r="A220" i="28" s="1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M217" i="28" s="1"/>
  <c r="B217" i="28"/>
  <c r="J216" i="28"/>
  <c r="K216" i="28" s="1"/>
  <c r="I216" i="28"/>
  <c r="B216" i="28"/>
  <c r="J215" i="28"/>
  <c r="K215" i="28" s="1"/>
  <c r="I215" i="28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N212" i="28" s="1"/>
  <c r="A212" i="28" s="1"/>
  <c r="B212" i="28"/>
  <c r="J211" i="28"/>
  <c r="K211" i="28" s="1"/>
  <c r="I211" i="28"/>
  <c r="B211" i="28"/>
  <c r="J210" i="28"/>
  <c r="K210" i="28" s="1"/>
  <c r="I210" i="28"/>
  <c r="N210" i="28" s="1"/>
  <c r="A210" i="28" s="1"/>
  <c r="B210" i="28"/>
  <c r="J209" i="28"/>
  <c r="K209" i="28" s="1"/>
  <c r="I209" i="28"/>
  <c r="M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M206" i="28" s="1"/>
  <c r="B206" i="28"/>
  <c r="J205" i="28"/>
  <c r="K205" i="28" s="1"/>
  <c r="I205" i="28"/>
  <c r="N205" i="28" s="1"/>
  <c r="A205" i="28" s="1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N202" i="28" s="1"/>
  <c r="A202" i="28" s="1"/>
  <c r="B202" i="28"/>
  <c r="J201" i="28"/>
  <c r="K201" i="28" s="1"/>
  <c r="I201" i="28"/>
  <c r="M201" i="28" s="1"/>
  <c r="B201" i="28"/>
  <c r="J200" i="28"/>
  <c r="K200" i="28" s="1"/>
  <c r="I200" i="28"/>
  <c r="M200" i="28" s="1"/>
  <c r="B200" i="28"/>
  <c r="J199" i="28"/>
  <c r="K199" i="28" s="1"/>
  <c r="I199" i="28"/>
  <c r="B199" i="28"/>
  <c r="J198" i="28"/>
  <c r="K198" i="28" s="1"/>
  <c r="I198" i="28"/>
  <c r="N198" i="28" s="1"/>
  <c r="A198" i="28" s="1"/>
  <c r="B198" i="28"/>
  <c r="J197" i="28"/>
  <c r="K197" i="28" s="1"/>
  <c r="I197" i="28"/>
  <c r="N197" i="28" s="1"/>
  <c r="A197" i="28" s="1"/>
  <c r="B197" i="28"/>
  <c r="J196" i="28"/>
  <c r="K196" i="28" s="1"/>
  <c r="I196" i="28"/>
  <c r="N196" i="28" s="1"/>
  <c r="A196" i="28" s="1"/>
  <c r="B196" i="28"/>
  <c r="J195" i="28"/>
  <c r="K195" i="28" s="1"/>
  <c r="I195" i="28"/>
  <c r="M195" i="28" s="1"/>
  <c r="B195" i="28"/>
  <c r="J194" i="28"/>
  <c r="K194" i="28" s="1"/>
  <c r="I194" i="28"/>
  <c r="B194" i="28"/>
  <c r="J193" i="28"/>
  <c r="K193" i="28" s="1"/>
  <c r="I193" i="28"/>
  <c r="B193" i="28"/>
  <c r="J192" i="28"/>
  <c r="K192" i="28" s="1"/>
  <c r="I192" i="28"/>
  <c r="N192" i="28" s="1"/>
  <c r="A192" i="28" s="1"/>
  <c r="B192" i="28"/>
  <c r="J191" i="28"/>
  <c r="K191" i="28" s="1"/>
  <c r="I191" i="28"/>
  <c r="M191" i="28" s="1"/>
  <c r="B191" i="28"/>
  <c r="J190" i="28"/>
  <c r="K190" i="28" s="1"/>
  <c r="I190" i="28"/>
  <c r="N190" i="28" s="1"/>
  <c r="A190" i="28" s="1"/>
  <c r="B190" i="28"/>
  <c r="J189" i="28"/>
  <c r="K189" i="28" s="1"/>
  <c r="I189" i="28"/>
  <c r="N189" i="28" s="1"/>
  <c r="A189" i="28" s="1"/>
  <c r="B189" i="28"/>
  <c r="J188" i="28"/>
  <c r="K188" i="28" s="1"/>
  <c r="I188" i="28"/>
  <c r="N188" i="28" s="1"/>
  <c r="A188" i="28" s="1"/>
  <c r="B188" i="28"/>
  <c r="J187" i="28"/>
  <c r="K187" i="28" s="1"/>
  <c r="I187" i="28"/>
  <c r="B187" i="28"/>
  <c r="J186" i="28"/>
  <c r="K186" i="28" s="1"/>
  <c r="I186" i="28"/>
  <c r="N186" i="28" s="1"/>
  <c r="A186" i="28" s="1"/>
  <c r="B186" i="28"/>
  <c r="J185" i="28"/>
  <c r="K185" i="28" s="1"/>
  <c r="I185" i="28"/>
  <c r="B185" i="28"/>
  <c r="J184" i="28"/>
  <c r="K184" i="28" s="1"/>
  <c r="I184" i="28"/>
  <c r="N184" i="28" s="1"/>
  <c r="A184" i="28" s="1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N176" i="28" s="1"/>
  <c r="A176" i="28" s="1"/>
  <c r="B176" i="28"/>
  <c r="J175" i="28"/>
  <c r="K175" i="28" s="1"/>
  <c r="I175" i="28"/>
  <c r="M175" i="28" s="1"/>
  <c r="B175" i="28"/>
  <c r="J174" i="28"/>
  <c r="K174" i="28" s="1"/>
  <c r="I174" i="28"/>
  <c r="M174" i="28" s="1"/>
  <c r="B174" i="28"/>
  <c r="J173" i="28"/>
  <c r="K173" i="28" s="1"/>
  <c r="I173" i="28"/>
  <c r="B173" i="28"/>
  <c r="J172" i="28"/>
  <c r="K172" i="28" s="1"/>
  <c r="I172" i="28"/>
  <c r="N172" i="28" s="1"/>
  <c r="A172" i="28" s="1"/>
  <c r="B172" i="28"/>
  <c r="J171" i="28"/>
  <c r="K171" i="28" s="1"/>
  <c r="I171" i="28"/>
  <c r="B171" i="28"/>
  <c r="J170" i="28"/>
  <c r="K170" i="28" s="1"/>
  <c r="I170" i="28"/>
  <c r="B170" i="28"/>
  <c r="J169" i="28"/>
  <c r="K169" i="28" s="1"/>
  <c r="I169" i="28"/>
  <c r="M169" i="28" s="1"/>
  <c r="B169" i="28"/>
  <c r="J168" i="28"/>
  <c r="K168" i="28" s="1"/>
  <c r="I168" i="28"/>
  <c r="N168" i="28" s="1"/>
  <c r="A168" i="28" s="1"/>
  <c r="B168" i="28"/>
  <c r="J167" i="28"/>
  <c r="K167" i="28" s="1"/>
  <c r="I167" i="28"/>
  <c r="B167" i="28"/>
  <c r="J166" i="28"/>
  <c r="K166" i="28" s="1"/>
  <c r="I166" i="28"/>
  <c r="N166" i="28" s="1"/>
  <c r="A166" i="28" s="1"/>
  <c r="B166" i="28"/>
  <c r="J165" i="28"/>
  <c r="K165" i="28" s="1"/>
  <c r="I165" i="28"/>
  <c r="N165" i="28" s="1"/>
  <c r="A165" i="28" s="1"/>
  <c r="B165" i="28"/>
  <c r="J164" i="28"/>
  <c r="K164" i="28" s="1"/>
  <c r="I164" i="28"/>
  <c r="N164" i="28" s="1"/>
  <c r="A164" i="28" s="1"/>
  <c r="B164" i="28"/>
  <c r="J163" i="28"/>
  <c r="K163" i="28" s="1"/>
  <c r="I163" i="28"/>
  <c r="B163" i="28"/>
  <c r="J162" i="28"/>
  <c r="K162" i="28" s="1"/>
  <c r="I162" i="28"/>
  <c r="N162" i="28" s="1"/>
  <c r="A162" i="28" s="1"/>
  <c r="B162" i="28"/>
  <c r="J161" i="28"/>
  <c r="K161" i="28" s="1"/>
  <c r="I161" i="28"/>
  <c r="M161" i="28" s="1"/>
  <c r="B161" i="28"/>
  <c r="J160" i="28"/>
  <c r="K160" i="28" s="1"/>
  <c r="I160" i="28"/>
  <c r="N160" i="28" s="1"/>
  <c r="A160" i="28" s="1"/>
  <c r="B160" i="28"/>
  <c r="J159" i="28"/>
  <c r="K159" i="28" s="1"/>
  <c r="I159" i="28"/>
  <c r="M159" i="28" s="1"/>
  <c r="B159" i="28"/>
  <c r="J158" i="28"/>
  <c r="K158" i="28" s="1"/>
  <c r="I158" i="28"/>
  <c r="N158" i="28" s="1"/>
  <c r="A158" i="28" s="1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N152" i="28" s="1"/>
  <c r="A152" i="28" s="1"/>
  <c r="B152" i="28"/>
  <c r="J151" i="28"/>
  <c r="K151" i="28" s="1"/>
  <c r="I151" i="28"/>
  <c r="M151" i="28" s="1"/>
  <c r="B151" i="28"/>
  <c r="J150" i="28"/>
  <c r="K150" i="28" s="1"/>
  <c r="I150" i="28"/>
  <c r="N150" i="28" s="1"/>
  <c r="A150" i="28" s="1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M147" i="28" s="1"/>
  <c r="B147" i="28"/>
  <c r="J146" i="28"/>
  <c r="K146" i="28" s="1"/>
  <c r="I146" i="28"/>
  <c r="M146" i="28" s="1"/>
  <c r="B146" i="28"/>
  <c r="J145" i="28"/>
  <c r="K145" i="28" s="1"/>
  <c r="I145" i="28"/>
  <c r="B145" i="28"/>
  <c r="J144" i="28"/>
  <c r="K144" i="28" s="1"/>
  <c r="I144" i="28"/>
  <c r="N144" i="28" s="1"/>
  <c r="A144" i="28" s="1"/>
  <c r="B144" i="28"/>
  <c r="J143" i="28"/>
  <c r="K143" i="28" s="1"/>
  <c r="I143" i="28"/>
  <c r="B143" i="28"/>
  <c r="J142" i="28"/>
  <c r="K142" i="28" s="1"/>
  <c r="I142" i="28"/>
  <c r="B142" i="28"/>
  <c r="J141" i="28"/>
  <c r="K141" i="28" s="1"/>
  <c r="I141" i="28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B138" i="28"/>
  <c r="J137" i="28"/>
  <c r="K137" i="28" s="1"/>
  <c r="I137" i="28"/>
  <c r="B137" i="28"/>
  <c r="J136" i="28"/>
  <c r="K136" i="28" s="1"/>
  <c r="I136" i="28"/>
  <c r="B136" i="28"/>
  <c r="J135" i="28"/>
  <c r="K135" i="28" s="1"/>
  <c r="I135" i="28"/>
  <c r="M135" i="28" s="1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B132" i="28"/>
  <c r="J131" i="28"/>
  <c r="K131" i="28" s="1"/>
  <c r="I131" i="28"/>
  <c r="M131" i="28" s="1"/>
  <c r="B131" i="28"/>
  <c r="J130" i="28"/>
  <c r="K130" i="28" s="1"/>
  <c r="I130" i="28"/>
  <c r="N130" i="28" s="1"/>
  <c r="A130" i="28" s="1"/>
  <c r="B130" i="28"/>
  <c r="J129" i="28"/>
  <c r="K129" i="28" s="1"/>
  <c r="I129" i="28"/>
  <c r="B129" i="28"/>
  <c r="J128" i="28"/>
  <c r="K128" i="28" s="1"/>
  <c r="I128" i="28"/>
  <c r="B128" i="28"/>
  <c r="J127" i="28"/>
  <c r="K127" i="28" s="1"/>
  <c r="I127" i="28"/>
  <c r="N127" i="28" s="1"/>
  <c r="A127" i="28" s="1"/>
  <c r="B127" i="28"/>
  <c r="J126" i="28"/>
  <c r="K126" i="28" s="1"/>
  <c r="I126" i="28"/>
  <c r="M126" i="28" s="1"/>
  <c r="B126" i="28"/>
  <c r="J125" i="28"/>
  <c r="K125" i="28" s="1"/>
  <c r="I125" i="28"/>
  <c r="N125" i="28" s="1"/>
  <c r="A125" i="28" s="1"/>
  <c r="B125" i="28"/>
  <c r="J124" i="28"/>
  <c r="K124" i="28" s="1"/>
  <c r="I124" i="28"/>
  <c r="B124" i="28"/>
  <c r="J123" i="28"/>
  <c r="K123" i="28" s="1"/>
  <c r="I123" i="28"/>
  <c r="N123" i="28" s="1"/>
  <c r="A123" i="28" s="1"/>
  <c r="B123" i="28"/>
  <c r="J122" i="28"/>
  <c r="K122" i="28" s="1"/>
  <c r="I122" i="28"/>
  <c r="N122" i="28" s="1"/>
  <c r="A122" i="28" s="1"/>
  <c r="B122" i="28"/>
  <c r="J121" i="28"/>
  <c r="K121" i="28" s="1"/>
  <c r="I121" i="28"/>
  <c r="B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M118" i="28" s="1"/>
  <c r="B118" i="28"/>
  <c r="J117" i="28"/>
  <c r="K117" i="28" s="1"/>
  <c r="I117" i="28"/>
  <c r="M117" i="28" s="1"/>
  <c r="B117" i="28"/>
  <c r="J116" i="28"/>
  <c r="K116" i="28" s="1"/>
  <c r="I116" i="28"/>
  <c r="M116" i="28" s="1"/>
  <c r="B116" i="28"/>
  <c r="J115" i="28"/>
  <c r="K115" i="28" s="1"/>
  <c r="I115" i="28"/>
  <c r="B115" i="28"/>
  <c r="J114" i="28"/>
  <c r="K114" i="28" s="1"/>
  <c r="I114" i="28"/>
  <c r="N114" i="28" s="1"/>
  <c r="A114" i="28" s="1"/>
  <c r="B114" i="28"/>
  <c r="J113" i="28"/>
  <c r="K113" i="28" s="1"/>
  <c r="I113" i="28"/>
  <c r="B113" i="28"/>
  <c r="J112" i="28"/>
  <c r="K112" i="28" s="1"/>
  <c r="I112" i="28"/>
  <c r="B112" i="28"/>
  <c r="J111" i="28"/>
  <c r="K111" i="28" s="1"/>
  <c r="I111" i="28"/>
  <c r="N111" i="28" s="1"/>
  <c r="A111" i="28" s="1"/>
  <c r="B111" i="28"/>
  <c r="J110" i="28"/>
  <c r="K110" i="28" s="1"/>
  <c r="I110" i="28"/>
  <c r="M110" i="28" s="1"/>
  <c r="B110" i="28"/>
  <c r="J109" i="28"/>
  <c r="K109" i="28" s="1"/>
  <c r="I109" i="28"/>
  <c r="B109" i="28"/>
  <c r="J108" i="28"/>
  <c r="K108" i="28" s="1"/>
  <c r="I108" i="28"/>
  <c r="M108" i="28" s="1"/>
  <c r="B108" i="28"/>
  <c r="J107" i="28"/>
  <c r="K107" i="28" s="1"/>
  <c r="I107" i="28"/>
  <c r="N107" i="28" s="1"/>
  <c r="A107" i="28" s="1"/>
  <c r="B107" i="28"/>
  <c r="J106" i="28"/>
  <c r="K106" i="28" s="1"/>
  <c r="I106" i="28"/>
  <c r="N106" i="28" s="1"/>
  <c r="A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N103" i="28" s="1"/>
  <c r="A103" i="28" s="1"/>
  <c r="B103" i="28"/>
  <c r="J102" i="28"/>
  <c r="K102" i="28" s="1"/>
  <c r="I102" i="28"/>
  <c r="M102" i="28" s="1"/>
  <c r="B102" i="28"/>
  <c r="J101" i="28"/>
  <c r="K101" i="28" s="1"/>
  <c r="I101" i="28"/>
  <c r="N101" i="28" s="1"/>
  <c r="A101" i="28" s="1"/>
  <c r="B101" i="28"/>
  <c r="J100" i="28"/>
  <c r="K100" i="28" s="1"/>
  <c r="I100" i="28"/>
  <c r="B100" i="28"/>
  <c r="J99" i="28"/>
  <c r="K99" i="28" s="1"/>
  <c r="I99" i="28"/>
  <c r="B99" i="28"/>
  <c r="J98" i="28"/>
  <c r="K98" i="28" s="1"/>
  <c r="I98" i="28"/>
  <c r="N98" i="28" s="1"/>
  <c r="A98" i="28" s="1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B95" i="28"/>
  <c r="J94" i="28"/>
  <c r="K94" i="28" s="1"/>
  <c r="I94" i="28"/>
  <c r="B94" i="28"/>
  <c r="J93" i="28"/>
  <c r="K93" i="28" s="1"/>
  <c r="I93" i="28"/>
  <c r="N93" i="28" s="1"/>
  <c r="A93" i="28" s="1"/>
  <c r="B93" i="28"/>
  <c r="J92" i="28"/>
  <c r="K92" i="28" s="1"/>
  <c r="I92" i="28"/>
  <c r="M92" i="28" s="1"/>
  <c r="B92" i="28"/>
  <c r="J91" i="28"/>
  <c r="K91" i="28" s="1"/>
  <c r="I91" i="28"/>
  <c r="N91" i="28" s="1"/>
  <c r="A91" i="28" s="1"/>
  <c r="B91" i="28"/>
  <c r="J90" i="28"/>
  <c r="K90" i="28" s="1"/>
  <c r="I90" i="28"/>
  <c r="N90" i="28" s="1"/>
  <c r="A90" i="28" s="1"/>
  <c r="B90" i="28"/>
  <c r="J89" i="28"/>
  <c r="K89" i="28" s="1"/>
  <c r="I89" i="28"/>
  <c r="J88" i="28"/>
  <c r="K88" i="28" s="1"/>
  <c r="I88" i="28"/>
  <c r="J87" i="28"/>
  <c r="K87" i="28" s="1"/>
  <c r="I87" i="28"/>
  <c r="J86" i="28"/>
  <c r="K86" i="28" s="1"/>
  <c r="I86" i="28"/>
  <c r="M86" i="28" s="1"/>
  <c r="N86" i="28" s="1"/>
  <c r="A86" i="28" s="1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M78" i="28" s="1"/>
  <c r="N78" i="28" s="1"/>
  <c r="A78" i="28" s="1"/>
  <c r="J77" i="28"/>
  <c r="K77" i="28" s="1"/>
  <c r="I77" i="28"/>
  <c r="J76" i="28"/>
  <c r="K76" i="28" s="1"/>
  <c r="I76" i="28"/>
  <c r="M76" i="28" s="1"/>
  <c r="N76" i="28" s="1"/>
  <c r="A76" i="28" s="1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J70" i="28"/>
  <c r="K70" i="28" s="1"/>
  <c r="I70" i="28"/>
  <c r="M70" i="28" s="1"/>
  <c r="N70" i="28" s="1"/>
  <c r="A70" i="28" s="1"/>
  <c r="J69" i="28"/>
  <c r="K69" i="28" s="1"/>
  <c r="I69" i="28"/>
  <c r="J68" i="28"/>
  <c r="K68" i="28" s="1"/>
  <c r="I68" i="28"/>
  <c r="M68" i="28" s="1"/>
  <c r="N68" i="28" s="1"/>
  <c r="A68" i="28" s="1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J63" i="28"/>
  <c r="K63" i="28" s="1"/>
  <c r="I63" i="28"/>
  <c r="J62" i="28"/>
  <c r="K62" i="28" s="1"/>
  <c r="I62" i="28"/>
  <c r="M62" i="28" s="1"/>
  <c r="N62" i="28" s="1"/>
  <c r="A62" i="28" s="1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J57" i="28"/>
  <c r="K57" i="28" s="1"/>
  <c r="I57" i="28"/>
  <c r="J56" i="28"/>
  <c r="K56" i="28" s="1"/>
  <c r="I56" i="28"/>
  <c r="J55" i="28"/>
  <c r="K55" i="28" s="1"/>
  <c r="I55" i="28"/>
  <c r="J54" i="28"/>
  <c r="K54" i="28" s="1"/>
  <c r="I54" i="28"/>
  <c r="M54" i="28" s="1"/>
  <c r="N54" i="28" s="1"/>
  <c r="A54" i="28" s="1"/>
  <c r="J53" i="28"/>
  <c r="K53" i="28" s="1"/>
  <c r="I53" i="28"/>
  <c r="J52" i="28"/>
  <c r="K52" i="28" s="1"/>
  <c r="I52" i="28"/>
  <c r="M52" i="28" s="1"/>
  <c r="N52" i="28" s="1"/>
  <c r="A52" i="28" s="1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M43" i="28" s="1"/>
  <c r="J42" i="28"/>
  <c r="K42" i="28" s="1"/>
  <c r="I42" i="28"/>
  <c r="J41" i="28"/>
  <c r="K41" i="28" s="1"/>
  <c r="I41" i="28"/>
  <c r="J40" i="28"/>
  <c r="K40" i="28" s="1"/>
  <c r="I40" i="28"/>
  <c r="J39" i="28"/>
  <c r="K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M35" i="28" s="1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M29" i="28" s="1"/>
  <c r="N29" i="28" s="1"/>
  <c r="A29" i="28" s="1"/>
  <c r="J28" i="28"/>
  <c r="K28" i="28" s="1"/>
  <c r="I28" i="28"/>
  <c r="M28" i="28" s="1"/>
  <c r="N28" i="28" s="1"/>
  <c r="A28" i="28" s="1"/>
  <c r="J27" i="28"/>
  <c r="K27" i="28" s="1"/>
  <c r="I27" i="28"/>
  <c r="M27" i="28" s="1"/>
  <c r="N27" i="28" s="1"/>
  <c r="A27" i="28" s="1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M17" i="28" s="1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L7" i="28" s="1"/>
  <c r="J305" i="27"/>
  <c r="K305" i="27" s="1"/>
  <c r="I305" i="27"/>
  <c r="M305" i="27" s="1"/>
  <c r="M304" i="27"/>
  <c r="K304" i="27"/>
  <c r="J304" i="27"/>
  <c r="I304" i="27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M300" i="27"/>
  <c r="K300" i="27"/>
  <c r="J300" i="27"/>
  <c r="I300" i="27"/>
  <c r="J299" i="27"/>
  <c r="K299" i="27" s="1"/>
  <c r="I299" i="27"/>
  <c r="M299" i="27" s="1"/>
  <c r="J298" i="27"/>
  <c r="K298" i="27" s="1"/>
  <c r="I298" i="27"/>
  <c r="M298" i="27" s="1"/>
  <c r="J297" i="27"/>
  <c r="K297" i="27" s="1"/>
  <c r="I297" i="27"/>
  <c r="M297" i="27" s="1"/>
  <c r="M296" i="27"/>
  <c r="J296" i="27"/>
  <c r="K296" i="27" s="1"/>
  <c r="I296" i="27"/>
  <c r="J295" i="27"/>
  <c r="K295" i="27" s="1"/>
  <c r="I295" i="27"/>
  <c r="M295" i="27" s="1"/>
  <c r="M294" i="27"/>
  <c r="J294" i="27"/>
  <c r="K294" i="27" s="1"/>
  <c r="I294" i="27"/>
  <c r="J293" i="27"/>
  <c r="K293" i="27" s="1"/>
  <c r="I293" i="27"/>
  <c r="M293" i="27" s="1"/>
  <c r="J292" i="27"/>
  <c r="K292" i="27" s="1"/>
  <c r="I292" i="27"/>
  <c r="M292" i="27" s="1"/>
  <c r="J291" i="27"/>
  <c r="K291" i="27" s="1"/>
  <c r="I291" i="27"/>
  <c r="M291" i="27" s="1"/>
  <c r="J290" i="27"/>
  <c r="K290" i="27" s="1"/>
  <c r="I290" i="27"/>
  <c r="M290" i="27" s="1"/>
  <c r="J289" i="27"/>
  <c r="K289" i="27" s="1"/>
  <c r="I289" i="27"/>
  <c r="M289" i="27" s="1"/>
  <c r="M288" i="27"/>
  <c r="J288" i="27"/>
  <c r="K288" i="27" s="1"/>
  <c r="I288" i="27"/>
  <c r="J287" i="27"/>
  <c r="K287" i="27" s="1"/>
  <c r="I287" i="27"/>
  <c r="M287" i="27" s="1"/>
  <c r="M286" i="27"/>
  <c r="J286" i="27"/>
  <c r="K286" i="27" s="1"/>
  <c r="I286" i="27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J282" i="27"/>
  <c r="K282" i="27" s="1"/>
  <c r="I282" i="27"/>
  <c r="M282" i="27" s="1"/>
  <c r="J281" i="27"/>
  <c r="K281" i="27" s="1"/>
  <c r="I281" i="27"/>
  <c r="M281" i="27" s="1"/>
  <c r="M280" i="27"/>
  <c r="J280" i="27"/>
  <c r="K280" i="27" s="1"/>
  <c r="I280" i="27"/>
  <c r="J279" i="27"/>
  <c r="K279" i="27" s="1"/>
  <c r="I279" i="27"/>
  <c r="M279" i="27" s="1"/>
  <c r="M278" i="27"/>
  <c r="J278" i="27"/>
  <c r="K278" i="27" s="1"/>
  <c r="I278" i="27"/>
  <c r="J277" i="27"/>
  <c r="K277" i="27" s="1"/>
  <c r="I277" i="27"/>
  <c r="M277" i="27" s="1"/>
  <c r="J276" i="27"/>
  <c r="K276" i="27" s="1"/>
  <c r="I276" i="27"/>
  <c r="M276" i="27" s="1"/>
  <c r="J275" i="27"/>
  <c r="K275" i="27" s="1"/>
  <c r="I275" i="27"/>
  <c r="M275" i="27" s="1"/>
  <c r="J274" i="27"/>
  <c r="K274" i="27" s="1"/>
  <c r="I274" i="27"/>
  <c r="M274" i="27" s="1"/>
  <c r="J273" i="27"/>
  <c r="K273" i="27" s="1"/>
  <c r="I273" i="27"/>
  <c r="M273" i="27" s="1"/>
  <c r="M272" i="27"/>
  <c r="J272" i="27"/>
  <c r="K272" i="27" s="1"/>
  <c r="I272" i="27"/>
  <c r="J271" i="27"/>
  <c r="K271" i="27" s="1"/>
  <c r="I271" i="27"/>
  <c r="M271" i="27" s="1"/>
  <c r="M270" i="27"/>
  <c r="J270" i="27"/>
  <c r="K270" i="27" s="1"/>
  <c r="I270" i="27"/>
  <c r="J269" i="27"/>
  <c r="K269" i="27" s="1"/>
  <c r="I269" i="27"/>
  <c r="M269" i="27" s="1"/>
  <c r="J268" i="27"/>
  <c r="K268" i="27" s="1"/>
  <c r="I268" i="27"/>
  <c r="M268" i="27" s="1"/>
  <c r="J267" i="27"/>
  <c r="K267" i="27" s="1"/>
  <c r="I267" i="27"/>
  <c r="M267" i="27" s="1"/>
  <c r="J266" i="27"/>
  <c r="K266" i="27" s="1"/>
  <c r="I266" i="27"/>
  <c r="M266" i="27" s="1"/>
  <c r="J265" i="27"/>
  <c r="K265" i="27" s="1"/>
  <c r="I265" i="27"/>
  <c r="M265" i="27" s="1"/>
  <c r="M264" i="27"/>
  <c r="J264" i="27"/>
  <c r="K264" i="27" s="1"/>
  <c r="I264" i="27"/>
  <c r="J263" i="27"/>
  <c r="K263" i="27" s="1"/>
  <c r="I263" i="27"/>
  <c r="M263" i="27" s="1"/>
  <c r="M262" i="27"/>
  <c r="J262" i="27"/>
  <c r="K262" i="27" s="1"/>
  <c r="I262" i="27"/>
  <c r="J261" i="27"/>
  <c r="K261" i="27" s="1"/>
  <c r="I261" i="27"/>
  <c r="M261" i="27" s="1"/>
  <c r="J260" i="27"/>
  <c r="K260" i="27" s="1"/>
  <c r="I260" i="27"/>
  <c r="M260" i="27" s="1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M254" i="27"/>
  <c r="J254" i="27"/>
  <c r="K254" i="27" s="1"/>
  <c r="I254" i="27"/>
  <c r="J253" i="27"/>
  <c r="K253" i="27" s="1"/>
  <c r="I253" i="27"/>
  <c r="M253" i="27" s="1"/>
  <c r="J252" i="27"/>
  <c r="K252" i="27" s="1"/>
  <c r="I252" i="27"/>
  <c r="M252" i="27" s="1"/>
  <c r="J251" i="27"/>
  <c r="K251" i="27" s="1"/>
  <c r="I251" i="27"/>
  <c r="M251" i="27" s="1"/>
  <c r="J250" i="27"/>
  <c r="K250" i="27" s="1"/>
  <c r="I250" i="27"/>
  <c r="M250" i="27" s="1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J246" i="27"/>
  <c r="K246" i="27" s="1"/>
  <c r="I246" i="27"/>
  <c r="J245" i="27"/>
  <c r="K245" i="27" s="1"/>
  <c r="I245" i="27"/>
  <c r="M245" i="27" s="1"/>
  <c r="J244" i="27"/>
  <c r="K244" i="27" s="1"/>
  <c r="I244" i="27"/>
  <c r="M244" i="27" s="1"/>
  <c r="J243" i="27"/>
  <c r="K243" i="27" s="1"/>
  <c r="I243" i="27"/>
  <c r="M243" i="27" s="1"/>
  <c r="J242" i="27"/>
  <c r="K242" i="27" s="1"/>
  <c r="I242" i="27"/>
  <c r="M242" i="27" s="1"/>
  <c r="J241" i="27"/>
  <c r="K241" i="27" s="1"/>
  <c r="I241" i="27"/>
  <c r="M241" i="27" s="1"/>
  <c r="M240" i="27"/>
  <c r="J240" i="27"/>
  <c r="K240" i="27" s="1"/>
  <c r="I240" i="27"/>
  <c r="J239" i="27"/>
  <c r="K239" i="27" s="1"/>
  <c r="I239" i="27"/>
  <c r="M239" i="27" s="1"/>
  <c r="M238" i="27"/>
  <c r="J238" i="27"/>
  <c r="K238" i="27" s="1"/>
  <c r="I238" i="27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J232" i="27"/>
  <c r="K232" i="27" s="1"/>
  <c r="I232" i="27"/>
  <c r="M232" i="27" s="1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J227" i="27"/>
  <c r="K227" i="27" s="1"/>
  <c r="I227" i="27"/>
  <c r="M227" i="27" s="1"/>
  <c r="M226" i="27"/>
  <c r="J226" i="27"/>
  <c r="K226" i="27" s="1"/>
  <c r="I226" i="27"/>
  <c r="J225" i="27"/>
  <c r="K225" i="27" s="1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J219" i="27"/>
  <c r="K219" i="27" s="1"/>
  <c r="I219" i="27"/>
  <c r="M219" i="27" s="1"/>
  <c r="M218" i="27"/>
  <c r="J218" i="27"/>
  <c r="K218" i="27" s="1"/>
  <c r="I218" i="27"/>
  <c r="J217" i="27"/>
  <c r="K217" i="27" s="1"/>
  <c r="I217" i="27"/>
  <c r="M217" i="27" s="1"/>
  <c r="J216" i="27"/>
  <c r="K216" i="27" s="1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J212" i="27"/>
  <c r="K212" i="27" s="1"/>
  <c r="I212" i="27"/>
  <c r="M212" i="27" s="1"/>
  <c r="J211" i="27"/>
  <c r="K211" i="27" s="1"/>
  <c r="I211" i="27"/>
  <c r="M211" i="27" s="1"/>
  <c r="J210" i="27"/>
  <c r="K210" i="27" s="1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J203" i="27"/>
  <c r="K203" i="27" s="1"/>
  <c r="I203" i="27"/>
  <c r="M203" i="27" s="1"/>
  <c r="M202" i="27"/>
  <c r="J202" i="27"/>
  <c r="K202" i="27" s="1"/>
  <c r="I202" i="27"/>
  <c r="J201" i="27"/>
  <c r="K201" i="27" s="1"/>
  <c r="I201" i="27"/>
  <c r="M201" i="27" s="1"/>
  <c r="M200" i="27"/>
  <c r="J200" i="27"/>
  <c r="K200" i="27" s="1"/>
  <c r="I200" i="27"/>
  <c r="J199" i="27"/>
  <c r="K199" i="27" s="1"/>
  <c r="I199" i="27"/>
  <c r="M199" i="27" s="1"/>
  <c r="J198" i="27"/>
  <c r="K198" i="27" s="1"/>
  <c r="I198" i="27"/>
  <c r="M198" i="27" s="1"/>
  <c r="J197" i="27"/>
  <c r="K197" i="27" s="1"/>
  <c r="I197" i="27"/>
  <c r="M197" i="27" s="1"/>
  <c r="J196" i="27"/>
  <c r="K196" i="27" s="1"/>
  <c r="I196" i="27"/>
  <c r="M196" i="27" s="1"/>
  <c r="J195" i="27"/>
  <c r="K195" i="27" s="1"/>
  <c r="I195" i="27"/>
  <c r="M195" i="27" s="1"/>
  <c r="J194" i="27"/>
  <c r="K194" i="27" s="1"/>
  <c r="I194" i="27"/>
  <c r="M194" i="27" s="1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J190" i="27"/>
  <c r="K190" i="27" s="1"/>
  <c r="I190" i="27"/>
  <c r="M190" i="27" s="1"/>
  <c r="J189" i="27"/>
  <c r="K189" i="27" s="1"/>
  <c r="I189" i="27"/>
  <c r="M189" i="27" s="1"/>
  <c r="J188" i="27"/>
  <c r="K188" i="27" s="1"/>
  <c r="I188" i="27"/>
  <c r="M188" i="27" s="1"/>
  <c r="J187" i="27"/>
  <c r="K187" i="27" s="1"/>
  <c r="I187" i="27"/>
  <c r="M187" i="27" s="1"/>
  <c r="M186" i="27"/>
  <c r="J186" i="27"/>
  <c r="K186" i="27" s="1"/>
  <c r="I186" i="27"/>
  <c r="J185" i="27"/>
  <c r="K185" i="27" s="1"/>
  <c r="I185" i="27"/>
  <c r="M185" i="27" s="1"/>
  <c r="M184" i="27"/>
  <c r="J184" i="27"/>
  <c r="K184" i="27" s="1"/>
  <c r="I184" i="27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M168" i="27"/>
  <c r="J168" i="27"/>
  <c r="K168" i="27" s="1"/>
  <c r="I168" i="27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M162" i="27"/>
  <c r="J162" i="27"/>
  <c r="K162" i="27" s="1"/>
  <c r="I162" i="27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M156" i="27"/>
  <c r="J156" i="27"/>
  <c r="K156" i="27" s="1"/>
  <c r="I156" i="27"/>
  <c r="J155" i="27"/>
  <c r="K155" i="27" s="1"/>
  <c r="I155" i="27"/>
  <c r="M155" i="27" s="1"/>
  <c r="M154" i="27"/>
  <c r="J154" i="27"/>
  <c r="K154" i="27" s="1"/>
  <c r="I154" i="27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M148" i="27"/>
  <c r="J148" i="27"/>
  <c r="K148" i="27" s="1"/>
  <c r="I148" i="27"/>
  <c r="J147" i="27"/>
  <c r="K147" i="27" s="1"/>
  <c r="I147" i="27"/>
  <c r="M147" i="27" s="1"/>
  <c r="M146" i="27"/>
  <c r="J146" i="27"/>
  <c r="K146" i="27" s="1"/>
  <c r="I146" i="27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M140" i="27"/>
  <c r="J140" i="27"/>
  <c r="K140" i="27" s="1"/>
  <c r="I140" i="27"/>
  <c r="J139" i="27"/>
  <c r="K139" i="27" s="1"/>
  <c r="I139" i="27"/>
  <c r="M139" i="27" s="1"/>
  <c r="M138" i="27"/>
  <c r="J138" i="27"/>
  <c r="K138" i="27" s="1"/>
  <c r="I138" i="27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M132" i="27"/>
  <c r="J132" i="27"/>
  <c r="K132" i="27" s="1"/>
  <c r="I132" i="27"/>
  <c r="J131" i="27"/>
  <c r="K131" i="27" s="1"/>
  <c r="I131" i="27"/>
  <c r="M131" i="27" s="1"/>
  <c r="M130" i="27"/>
  <c r="J130" i="27"/>
  <c r="K130" i="27" s="1"/>
  <c r="I130" i="27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M124" i="27"/>
  <c r="J124" i="27"/>
  <c r="K124" i="27" s="1"/>
  <c r="I124" i="27"/>
  <c r="J123" i="27"/>
  <c r="K123" i="27" s="1"/>
  <c r="I123" i="27"/>
  <c r="M123" i="27" s="1"/>
  <c r="M122" i="27"/>
  <c r="J122" i="27"/>
  <c r="K122" i="27" s="1"/>
  <c r="I122" i="27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M116" i="27"/>
  <c r="J116" i="27"/>
  <c r="K116" i="27" s="1"/>
  <c r="I116" i="27"/>
  <c r="J115" i="27"/>
  <c r="K115" i="27" s="1"/>
  <c r="I115" i="27"/>
  <c r="M115" i="27" s="1"/>
  <c r="M114" i="27"/>
  <c r="J114" i="27"/>
  <c r="K114" i="27" s="1"/>
  <c r="I114" i="27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M108" i="27"/>
  <c r="J108" i="27"/>
  <c r="K108" i="27" s="1"/>
  <c r="I108" i="27"/>
  <c r="J107" i="27"/>
  <c r="K107" i="27" s="1"/>
  <c r="I107" i="27"/>
  <c r="M107" i="27" s="1"/>
  <c r="M106" i="27"/>
  <c r="J106" i="27"/>
  <c r="K106" i="27" s="1"/>
  <c r="I106" i="27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M100" i="27"/>
  <c r="J100" i="27"/>
  <c r="K100" i="27" s="1"/>
  <c r="I100" i="27"/>
  <c r="J99" i="27"/>
  <c r="K99" i="27" s="1"/>
  <c r="I99" i="27"/>
  <c r="M99" i="27" s="1"/>
  <c r="M98" i="27"/>
  <c r="J98" i="27"/>
  <c r="K98" i="27" s="1"/>
  <c r="I98" i="27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M92" i="27"/>
  <c r="J92" i="27"/>
  <c r="K92" i="27" s="1"/>
  <c r="I92" i="27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M84" i="27"/>
  <c r="J84" i="27"/>
  <c r="K84" i="27" s="1"/>
  <c r="I84" i="27"/>
  <c r="J83" i="27"/>
  <c r="K83" i="27" s="1"/>
  <c r="I83" i="27"/>
  <c r="M83" i="27" s="1"/>
  <c r="M82" i="27"/>
  <c r="J82" i="27"/>
  <c r="K82" i="27" s="1"/>
  <c r="I82" i="27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A78" i="27" s="1"/>
  <c r="J78" i="27"/>
  <c r="K78" i="27" s="1"/>
  <c r="I78" i="27"/>
  <c r="M77" i="27"/>
  <c r="A77" i="27" s="1"/>
  <c r="J77" i="27"/>
  <c r="K77" i="27" s="1"/>
  <c r="I77" i="27"/>
  <c r="J76" i="27"/>
  <c r="K76" i="27" s="1"/>
  <c r="I76" i="27"/>
  <c r="M76" i="27" s="1"/>
  <c r="A76" i="27" s="1"/>
  <c r="J75" i="27"/>
  <c r="K75" i="27" s="1"/>
  <c r="I75" i="27"/>
  <c r="M75" i="27" s="1"/>
  <c r="A75" i="27" s="1"/>
  <c r="K74" i="27"/>
  <c r="J74" i="27"/>
  <c r="I74" i="27"/>
  <c r="M74" i="27" s="1"/>
  <c r="A74" i="27" s="1"/>
  <c r="M73" i="27"/>
  <c r="A73" i="27" s="1"/>
  <c r="K73" i="27"/>
  <c r="J73" i="27"/>
  <c r="I73" i="27"/>
  <c r="K72" i="27"/>
  <c r="J72" i="27"/>
  <c r="I72" i="27"/>
  <c r="M72" i="27" s="1"/>
  <c r="A72" i="27" s="1"/>
  <c r="J71" i="27"/>
  <c r="K71" i="27" s="1"/>
  <c r="I71" i="27"/>
  <c r="M71" i="27" s="1"/>
  <c r="A71" i="27"/>
  <c r="J70" i="27"/>
  <c r="K70" i="27" s="1"/>
  <c r="I70" i="27"/>
  <c r="M70" i="27" s="1"/>
  <c r="A70" i="27" s="1"/>
  <c r="J69" i="27"/>
  <c r="K69" i="27" s="1"/>
  <c r="I69" i="27"/>
  <c r="M69" i="27" s="1"/>
  <c r="A69" i="27" s="1"/>
  <c r="J68" i="27"/>
  <c r="K68" i="27" s="1"/>
  <c r="I68" i="27"/>
  <c r="M68" i="27" s="1"/>
  <c r="A68" i="27" s="1"/>
  <c r="M67" i="27"/>
  <c r="A67" i="27" s="1"/>
  <c r="J67" i="27"/>
  <c r="K67" i="27" s="1"/>
  <c r="I67" i="27"/>
  <c r="J66" i="27"/>
  <c r="K66" i="27" s="1"/>
  <c r="I66" i="27"/>
  <c r="M66" i="27" s="1"/>
  <c r="A66" i="27" s="1"/>
  <c r="J65" i="27"/>
  <c r="K65" i="27" s="1"/>
  <c r="I65" i="27"/>
  <c r="M65" i="27" s="1"/>
  <c r="A65" i="27" s="1"/>
  <c r="B65" i="27"/>
  <c r="J64" i="27"/>
  <c r="K64" i="27" s="1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J59" i="27"/>
  <c r="K59" i="27" s="1"/>
  <c r="I59" i="27"/>
  <c r="M59" i="27" s="1"/>
  <c r="A59" i="27" s="1"/>
  <c r="B59" i="27"/>
  <c r="J58" i="27"/>
  <c r="K58" i="27" s="1"/>
  <c r="I58" i="27"/>
  <c r="M58" i="27" s="1"/>
  <c r="A58" i="27" s="1"/>
  <c r="B58" i="27"/>
  <c r="J57" i="27"/>
  <c r="K57" i="27" s="1"/>
  <c r="I57" i="27"/>
  <c r="M57" i="27" s="1"/>
  <c r="A57" i="27" s="1"/>
  <c r="B57" i="27"/>
  <c r="J56" i="27"/>
  <c r="K56" i="27" s="1"/>
  <c r="I56" i="27"/>
  <c r="M56" i="27" s="1"/>
  <c r="A56" i="27" s="1"/>
  <c r="B56" i="27"/>
  <c r="J55" i="27"/>
  <c r="K55" i="27" s="1"/>
  <c r="I55" i="27"/>
  <c r="M55" i="27" s="1"/>
  <c r="A55" i="27" s="1"/>
  <c r="B55" i="27"/>
  <c r="J54" i="27"/>
  <c r="K54" i="27" s="1"/>
  <c r="I54" i="27"/>
  <c r="M54" i="27" s="1"/>
  <c r="A54" i="27" s="1"/>
  <c r="B54" i="27"/>
  <c r="J53" i="27"/>
  <c r="K53" i="27" s="1"/>
  <c r="I53" i="27"/>
  <c r="M53" i="27" s="1"/>
  <c r="A53" i="27" s="1"/>
  <c r="B53" i="27"/>
  <c r="J52" i="27"/>
  <c r="K52" i="27" s="1"/>
  <c r="I52" i="27"/>
  <c r="M52" i="27" s="1"/>
  <c r="A52" i="27" s="1"/>
  <c r="B52" i="27"/>
  <c r="J51" i="27"/>
  <c r="K51" i="27" s="1"/>
  <c r="I51" i="27"/>
  <c r="M51" i="27" s="1"/>
  <c r="A51" i="27" s="1"/>
  <c r="B51" i="27"/>
  <c r="J50" i="27"/>
  <c r="K50" i="27" s="1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U46" i="27" s="1"/>
  <c r="K46" i="27"/>
  <c r="J46" i="27"/>
  <c r="I46" i="27"/>
  <c r="M46" i="27" s="1"/>
  <c r="A46" i="27" s="1"/>
  <c r="B46" i="27"/>
  <c r="K45" i="27"/>
  <c r="J45" i="27"/>
  <c r="I45" i="27"/>
  <c r="M45" i="27" s="1"/>
  <c r="A45" i="27" s="1"/>
  <c r="B45" i="27"/>
  <c r="J44" i="27"/>
  <c r="K44" i="27" s="1"/>
  <c r="I44" i="27"/>
  <c r="M44" i="27" s="1"/>
  <c r="B44" i="27"/>
  <c r="A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J41" i="27"/>
  <c r="K41" i="27" s="1"/>
  <c r="I41" i="27"/>
  <c r="M41" i="27" s="1"/>
  <c r="A41" i="27" s="1"/>
  <c r="B41" i="27"/>
  <c r="J40" i="27"/>
  <c r="K40" i="27" s="1"/>
  <c r="I40" i="27"/>
  <c r="M40" i="27" s="1"/>
  <c r="A40" i="27" s="1"/>
  <c r="B40" i="27"/>
  <c r="J39" i="27"/>
  <c r="K39" i="27" s="1"/>
  <c r="I39" i="27"/>
  <c r="M39" i="27" s="1"/>
  <c r="A39" i="27" s="1"/>
  <c r="B39" i="27"/>
  <c r="K38" i="27"/>
  <c r="J38" i="27"/>
  <c r="I38" i="27"/>
  <c r="M38" i="27" s="1"/>
  <c r="A38" i="27" s="1"/>
  <c r="B38" i="27"/>
  <c r="J37" i="27"/>
  <c r="K37" i="27" s="1"/>
  <c r="I37" i="27"/>
  <c r="M37" i="27" s="1"/>
  <c r="A37" i="27" s="1"/>
  <c r="B37" i="27"/>
  <c r="J36" i="27"/>
  <c r="K36" i="27" s="1"/>
  <c r="I36" i="27"/>
  <c r="M36" i="27" s="1"/>
  <c r="A36" i="27" s="1"/>
  <c r="B36" i="27"/>
  <c r="M35" i="27"/>
  <c r="A35" i="27" s="1"/>
  <c r="K35" i="27"/>
  <c r="J35" i="27"/>
  <c r="I35" i="27"/>
  <c r="B35" i="27"/>
  <c r="J34" i="27"/>
  <c r="K34" i="27" s="1"/>
  <c r="I34" i="27"/>
  <c r="M34" i="27" s="1"/>
  <c r="A34" i="27" s="1"/>
  <c r="B34" i="27"/>
  <c r="J33" i="27"/>
  <c r="K33" i="27" s="1"/>
  <c r="I33" i="27"/>
  <c r="M33" i="27" s="1"/>
  <c r="A33" i="27" s="1"/>
  <c r="B33" i="27"/>
  <c r="J32" i="27"/>
  <c r="K32" i="27" s="1"/>
  <c r="I32" i="27"/>
  <c r="M32" i="27" s="1"/>
  <c r="A32" i="27" s="1"/>
  <c r="B32" i="27"/>
  <c r="M31" i="27"/>
  <c r="K31" i="27"/>
  <c r="J31" i="27"/>
  <c r="I31" i="27"/>
  <c r="B31" i="27"/>
  <c r="A31" i="27"/>
  <c r="K30" i="27"/>
  <c r="J30" i="27"/>
  <c r="I30" i="27"/>
  <c r="M30" i="27" s="1"/>
  <c r="A30" i="27" s="1"/>
  <c r="B30" i="27"/>
  <c r="K29" i="27"/>
  <c r="J29" i="27"/>
  <c r="I29" i="27"/>
  <c r="M29" i="27" s="1"/>
  <c r="B29" i="27"/>
  <c r="A29" i="27"/>
  <c r="J28" i="27"/>
  <c r="K28" i="27" s="1"/>
  <c r="I28" i="27"/>
  <c r="M28" i="27" s="1"/>
  <c r="A28" i="27" s="1"/>
  <c r="B28" i="27"/>
  <c r="J27" i="27"/>
  <c r="K27" i="27" s="1"/>
  <c r="I27" i="27"/>
  <c r="M27" i="27" s="1"/>
  <c r="A27" i="27" s="1"/>
  <c r="B27" i="27"/>
  <c r="J26" i="27"/>
  <c r="K26" i="27" s="1"/>
  <c r="I26" i="27"/>
  <c r="M26" i="27" s="1"/>
  <c r="A26" i="27" s="1"/>
  <c r="B26" i="27"/>
  <c r="J25" i="27"/>
  <c r="K25" i="27" s="1"/>
  <c r="I25" i="27"/>
  <c r="M25" i="27" s="1"/>
  <c r="A25" i="27" s="1"/>
  <c r="B25" i="27"/>
  <c r="J24" i="27"/>
  <c r="K24" i="27" s="1"/>
  <c r="I24" i="27"/>
  <c r="M24" i="27" s="1"/>
  <c r="A24" i="27" s="1"/>
  <c r="B24" i="27"/>
  <c r="J23" i="27"/>
  <c r="K23" i="27" s="1"/>
  <c r="I23" i="27"/>
  <c r="M23" i="27" s="1"/>
  <c r="A23" i="27" s="1"/>
  <c r="B23" i="27"/>
  <c r="K22" i="27"/>
  <c r="J22" i="27"/>
  <c r="I22" i="27"/>
  <c r="M22" i="27" s="1"/>
  <c r="A22" i="27" s="1"/>
  <c r="B22" i="27"/>
  <c r="J21" i="27"/>
  <c r="K21" i="27" s="1"/>
  <c r="I21" i="27"/>
  <c r="M21" i="27" s="1"/>
  <c r="B21" i="27"/>
  <c r="A21" i="27"/>
  <c r="J20" i="27"/>
  <c r="K20" i="27" s="1"/>
  <c r="I20" i="27"/>
  <c r="M20" i="27" s="1"/>
  <c r="A20" i="27" s="1"/>
  <c r="B20" i="27"/>
  <c r="J19" i="27"/>
  <c r="K19" i="27" s="1"/>
  <c r="M19" i="27" s="1"/>
  <c r="A19" i="27" s="1"/>
  <c r="I19" i="27"/>
  <c r="B19" i="27"/>
  <c r="K18" i="27"/>
  <c r="J18" i="27"/>
  <c r="I18" i="27"/>
  <c r="B18" i="27"/>
  <c r="J17" i="27"/>
  <c r="K17" i="27" s="1"/>
  <c r="I17" i="27"/>
  <c r="M17" i="27" s="1"/>
  <c r="B17" i="27"/>
  <c r="A17" i="27"/>
  <c r="J16" i="27"/>
  <c r="K16" i="27" s="1"/>
  <c r="I16" i="27"/>
  <c r="B16" i="27"/>
  <c r="M15" i="27"/>
  <c r="A15" i="27" s="1"/>
  <c r="K15" i="27"/>
  <c r="J15" i="27"/>
  <c r="I15" i="27"/>
  <c r="B15" i="27"/>
  <c r="AI14" i="27"/>
  <c r="J14" i="27"/>
  <c r="K14" i="27" s="1"/>
  <c r="M14" i="27" s="1"/>
  <c r="A14" i="27" s="1"/>
  <c r="I14" i="27"/>
  <c r="B14" i="27"/>
  <c r="AI13" i="27"/>
  <c r="M13" i="27"/>
  <c r="A13" i="27" s="1"/>
  <c r="J13" i="27"/>
  <c r="K13" i="27" s="1"/>
  <c r="I13" i="27"/>
  <c r="B13" i="27"/>
  <c r="AI12" i="27"/>
  <c r="K12" i="27"/>
  <c r="J12" i="27"/>
  <c r="I12" i="27"/>
  <c r="B12" i="27"/>
  <c r="K11" i="27"/>
  <c r="J11" i="27"/>
  <c r="I11" i="27"/>
  <c r="B11" i="27"/>
  <c r="J10" i="27"/>
  <c r="K10" i="27" s="1"/>
  <c r="I10" i="27"/>
  <c r="B10" i="27"/>
  <c r="L9" i="27"/>
  <c r="K9" i="27"/>
  <c r="J9" i="27"/>
  <c r="I9" i="27"/>
  <c r="M9" i="27" s="1"/>
  <c r="A9" i="27" s="1"/>
  <c r="B9" i="27"/>
  <c r="K8" i="27"/>
  <c r="J8" i="27"/>
  <c r="I8" i="27"/>
  <c r="B8" i="27"/>
  <c r="L7" i="27"/>
  <c r="J7" i="27"/>
  <c r="K7" i="27" s="1"/>
  <c r="I7" i="27"/>
  <c r="B7" i="27"/>
  <c r="K6" i="27"/>
  <c r="J6" i="27"/>
  <c r="I6" i="27"/>
  <c r="M6" i="27" s="1"/>
  <c r="A6" i="27" s="1"/>
  <c r="B6" i="27"/>
  <c r="K2" i="27"/>
  <c r="L6" i="27" s="1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M300" i="26"/>
  <c r="J300" i="26"/>
  <c r="K300" i="26" s="1"/>
  <c r="I300" i="26"/>
  <c r="M299" i="26"/>
  <c r="J299" i="26"/>
  <c r="K299" i="26" s="1"/>
  <c r="I299" i="26"/>
  <c r="J298" i="26"/>
  <c r="K298" i="26" s="1"/>
  <c r="I298" i="26"/>
  <c r="M298" i="26" s="1"/>
  <c r="J297" i="26"/>
  <c r="K297" i="26" s="1"/>
  <c r="I297" i="26"/>
  <c r="M297" i="26" s="1"/>
  <c r="M296" i="26"/>
  <c r="J296" i="26"/>
  <c r="K296" i="26" s="1"/>
  <c r="I296" i="26"/>
  <c r="M295" i="26"/>
  <c r="J295" i="26"/>
  <c r="K295" i="26" s="1"/>
  <c r="I295" i="26"/>
  <c r="J294" i="26"/>
  <c r="K294" i="26" s="1"/>
  <c r="I294" i="26"/>
  <c r="M294" i="26" s="1"/>
  <c r="J293" i="26"/>
  <c r="K293" i="26" s="1"/>
  <c r="I293" i="26"/>
  <c r="M293" i="26" s="1"/>
  <c r="M292" i="26"/>
  <c r="J292" i="26"/>
  <c r="K292" i="26" s="1"/>
  <c r="I292" i="26"/>
  <c r="M291" i="26"/>
  <c r="J291" i="26"/>
  <c r="K291" i="26" s="1"/>
  <c r="I291" i="26"/>
  <c r="J290" i="26"/>
  <c r="K290" i="26" s="1"/>
  <c r="I290" i="26"/>
  <c r="M290" i="26" s="1"/>
  <c r="J289" i="26"/>
  <c r="K289" i="26" s="1"/>
  <c r="I289" i="26"/>
  <c r="M289" i="26" s="1"/>
  <c r="M288" i="26"/>
  <c r="J288" i="26"/>
  <c r="K288" i="26" s="1"/>
  <c r="I288" i="26"/>
  <c r="M287" i="26"/>
  <c r="J287" i="26"/>
  <c r="K287" i="26" s="1"/>
  <c r="I287" i="26"/>
  <c r="J286" i="26"/>
  <c r="K286" i="26" s="1"/>
  <c r="I286" i="26"/>
  <c r="M286" i="26" s="1"/>
  <c r="J285" i="26"/>
  <c r="K285" i="26" s="1"/>
  <c r="I285" i="26"/>
  <c r="M285" i="26" s="1"/>
  <c r="M284" i="26"/>
  <c r="J284" i="26"/>
  <c r="K284" i="26" s="1"/>
  <c r="I284" i="26"/>
  <c r="M283" i="26"/>
  <c r="J283" i="26"/>
  <c r="K283" i="26" s="1"/>
  <c r="I283" i="26"/>
  <c r="J282" i="26"/>
  <c r="K282" i="26" s="1"/>
  <c r="I282" i="26"/>
  <c r="M282" i="26" s="1"/>
  <c r="J281" i="26"/>
  <c r="K281" i="26" s="1"/>
  <c r="I281" i="26"/>
  <c r="M281" i="26" s="1"/>
  <c r="M280" i="26"/>
  <c r="J280" i="26"/>
  <c r="K280" i="26" s="1"/>
  <c r="I280" i="26"/>
  <c r="M279" i="26"/>
  <c r="J279" i="26"/>
  <c r="K279" i="26" s="1"/>
  <c r="I279" i="26"/>
  <c r="J278" i="26"/>
  <c r="K278" i="26" s="1"/>
  <c r="I278" i="26"/>
  <c r="M278" i="26" s="1"/>
  <c r="J277" i="26"/>
  <c r="K277" i="26" s="1"/>
  <c r="I277" i="26"/>
  <c r="M277" i="26" s="1"/>
  <c r="M276" i="26"/>
  <c r="J276" i="26"/>
  <c r="K276" i="26" s="1"/>
  <c r="I276" i="26"/>
  <c r="M275" i="26"/>
  <c r="J275" i="26"/>
  <c r="K275" i="26" s="1"/>
  <c r="I275" i="26"/>
  <c r="J274" i="26"/>
  <c r="K274" i="26" s="1"/>
  <c r="I274" i="26"/>
  <c r="M274" i="26" s="1"/>
  <c r="J273" i="26"/>
  <c r="K273" i="26" s="1"/>
  <c r="I273" i="26"/>
  <c r="M273" i="26" s="1"/>
  <c r="M272" i="26"/>
  <c r="J272" i="26"/>
  <c r="K272" i="26" s="1"/>
  <c r="I272" i="26"/>
  <c r="M271" i="26"/>
  <c r="J271" i="26"/>
  <c r="K271" i="26" s="1"/>
  <c r="I271" i="26"/>
  <c r="J270" i="26"/>
  <c r="K270" i="26" s="1"/>
  <c r="I270" i="26"/>
  <c r="M270" i="26" s="1"/>
  <c r="J269" i="26"/>
  <c r="K269" i="26" s="1"/>
  <c r="I269" i="26"/>
  <c r="M269" i="26" s="1"/>
  <c r="M268" i="26"/>
  <c r="J268" i="26"/>
  <c r="K268" i="26" s="1"/>
  <c r="I268" i="26"/>
  <c r="M267" i="26"/>
  <c r="J267" i="26"/>
  <c r="K267" i="26" s="1"/>
  <c r="I267" i="26"/>
  <c r="J266" i="26"/>
  <c r="K266" i="26" s="1"/>
  <c r="I266" i="26"/>
  <c r="M266" i="26" s="1"/>
  <c r="J265" i="26"/>
  <c r="K265" i="26" s="1"/>
  <c r="I265" i="26"/>
  <c r="M265" i="26" s="1"/>
  <c r="M264" i="26"/>
  <c r="J264" i="26"/>
  <c r="K264" i="26" s="1"/>
  <c r="I264" i="26"/>
  <c r="M263" i="26"/>
  <c r="J263" i="26"/>
  <c r="K263" i="26" s="1"/>
  <c r="I263" i="26"/>
  <c r="J262" i="26"/>
  <c r="K262" i="26" s="1"/>
  <c r="I262" i="26"/>
  <c r="M262" i="26" s="1"/>
  <c r="J261" i="26"/>
  <c r="K261" i="26" s="1"/>
  <c r="I261" i="26"/>
  <c r="M261" i="26" s="1"/>
  <c r="M260" i="26"/>
  <c r="J260" i="26"/>
  <c r="K260" i="26" s="1"/>
  <c r="I260" i="26"/>
  <c r="M259" i="26"/>
  <c r="J259" i="26"/>
  <c r="K259" i="26" s="1"/>
  <c r="I259" i="26"/>
  <c r="J258" i="26"/>
  <c r="K258" i="26" s="1"/>
  <c r="I258" i="26"/>
  <c r="M258" i="26" s="1"/>
  <c r="J257" i="26"/>
  <c r="K257" i="26" s="1"/>
  <c r="I257" i="26"/>
  <c r="M257" i="26" s="1"/>
  <c r="M256" i="26"/>
  <c r="J256" i="26"/>
  <c r="K256" i="26" s="1"/>
  <c r="I256" i="26"/>
  <c r="M255" i="26"/>
  <c r="J255" i="26"/>
  <c r="K255" i="26" s="1"/>
  <c r="I255" i="26"/>
  <c r="J254" i="26"/>
  <c r="K254" i="26" s="1"/>
  <c r="I254" i="26"/>
  <c r="M254" i="26" s="1"/>
  <c r="J253" i="26"/>
  <c r="K253" i="26" s="1"/>
  <c r="I253" i="26"/>
  <c r="M253" i="26" s="1"/>
  <c r="M252" i="26"/>
  <c r="J252" i="26"/>
  <c r="K252" i="26" s="1"/>
  <c r="I252" i="26"/>
  <c r="M251" i="26"/>
  <c r="J251" i="26"/>
  <c r="K251" i="26" s="1"/>
  <c r="I251" i="26"/>
  <c r="J250" i="26"/>
  <c r="K250" i="26" s="1"/>
  <c r="I250" i="26"/>
  <c r="M250" i="26" s="1"/>
  <c r="J249" i="26"/>
  <c r="K249" i="26" s="1"/>
  <c r="I249" i="26"/>
  <c r="M249" i="26" s="1"/>
  <c r="M248" i="26"/>
  <c r="J248" i="26"/>
  <c r="K248" i="26" s="1"/>
  <c r="I248" i="26"/>
  <c r="M247" i="26"/>
  <c r="J247" i="26"/>
  <c r="K247" i="26" s="1"/>
  <c r="I247" i="26"/>
  <c r="J246" i="26"/>
  <c r="K246" i="26" s="1"/>
  <c r="I246" i="26"/>
  <c r="M246" i="26" s="1"/>
  <c r="J245" i="26"/>
  <c r="K245" i="26" s="1"/>
  <c r="I245" i="26"/>
  <c r="M245" i="26" s="1"/>
  <c r="M244" i="26"/>
  <c r="J244" i="26"/>
  <c r="K244" i="26" s="1"/>
  <c r="I244" i="26"/>
  <c r="M243" i="26"/>
  <c r="J243" i="26"/>
  <c r="K243" i="26" s="1"/>
  <c r="I243" i="26"/>
  <c r="J242" i="26"/>
  <c r="K242" i="26" s="1"/>
  <c r="I242" i="26"/>
  <c r="M242" i="26" s="1"/>
  <c r="J241" i="26"/>
  <c r="K241" i="26" s="1"/>
  <c r="I241" i="26"/>
  <c r="M241" i="26" s="1"/>
  <c r="M240" i="26"/>
  <c r="J240" i="26"/>
  <c r="K240" i="26" s="1"/>
  <c r="I240" i="26"/>
  <c r="M239" i="26"/>
  <c r="J239" i="26"/>
  <c r="K239" i="26" s="1"/>
  <c r="I239" i="26"/>
  <c r="J238" i="26"/>
  <c r="K238" i="26" s="1"/>
  <c r="I238" i="26"/>
  <c r="M238" i="26" s="1"/>
  <c r="J237" i="26"/>
  <c r="K237" i="26" s="1"/>
  <c r="I237" i="26"/>
  <c r="M237" i="26" s="1"/>
  <c r="M236" i="26"/>
  <c r="J236" i="26"/>
  <c r="K236" i="26" s="1"/>
  <c r="I236" i="26"/>
  <c r="M235" i="26"/>
  <c r="J235" i="26"/>
  <c r="K235" i="26" s="1"/>
  <c r="I235" i="26"/>
  <c r="J234" i="26"/>
  <c r="K234" i="26" s="1"/>
  <c r="I234" i="26"/>
  <c r="M234" i="26" s="1"/>
  <c r="J233" i="26"/>
  <c r="K233" i="26" s="1"/>
  <c r="I233" i="26"/>
  <c r="M233" i="26" s="1"/>
  <c r="M232" i="26"/>
  <c r="J232" i="26"/>
  <c r="K232" i="26" s="1"/>
  <c r="I232" i="26"/>
  <c r="M231" i="26"/>
  <c r="J231" i="26"/>
  <c r="K231" i="26" s="1"/>
  <c r="I231" i="26"/>
  <c r="J230" i="26"/>
  <c r="K230" i="26" s="1"/>
  <c r="I230" i="26"/>
  <c r="M230" i="26" s="1"/>
  <c r="J229" i="26"/>
  <c r="K229" i="26" s="1"/>
  <c r="I229" i="26"/>
  <c r="M229" i="26" s="1"/>
  <c r="M228" i="26"/>
  <c r="J228" i="26"/>
  <c r="K228" i="26" s="1"/>
  <c r="I228" i="26"/>
  <c r="M227" i="26"/>
  <c r="J227" i="26"/>
  <c r="K227" i="26" s="1"/>
  <c r="I227" i="26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M221" i="26"/>
  <c r="J221" i="26"/>
  <c r="K221" i="26" s="1"/>
  <c r="I221" i="26"/>
  <c r="M220" i="26"/>
  <c r="J220" i="26"/>
  <c r="K220" i="26" s="1"/>
  <c r="I220" i="26"/>
  <c r="J219" i="26"/>
  <c r="K219" i="26" s="1"/>
  <c r="I219" i="26"/>
  <c r="M219" i="26" s="1"/>
  <c r="J218" i="26"/>
  <c r="K218" i="26" s="1"/>
  <c r="I218" i="26"/>
  <c r="M218" i="26" s="1"/>
  <c r="M217" i="26"/>
  <c r="J217" i="26"/>
  <c r="K217" i="26" s="1"/>
  <c r="I217" i="26"/>
  <c r="J216" i="26"/>
  <c r="K216" i="26" s="1"/>
  <c r="I216" i="26"/>
  <c r="M216" i="26" s="1"/>
  <c r="J215" i="26"/>
  <c r="K215" i="26" s="1"/>
  <c r="I215" i="26"/>
  <c r="M215" i="26" s="1"/>
  <c r="M214" i="26"/>
  <c r="J214" i="26"/>
  <c r="K214" i="26" s="1"/>
  <c r="I214" i="26"/>
  <c r="J213" i="26"/>
  <c r="K213" i="26" s="1"/>
  <c r="I213" i="26"/>
  <c r="M213" i="26" s="1"/>
  <c r="M212" i="26"/>
  <c r="J212" i="26"/>
  <c r="K212" i="26" s="1"/>
  <c r="I212" i="26"/>
  <c r="M211" i="26"/>
  <c r="J211" i="26"/>
  <c r="K211" i="26" s="1"/>
  <c r="I211" i="26"/>
  <c r="J210" i="26"/>
  <c r="K210" i="26" s="1"/>
  <c r="I210" i="26"/>
  <c r="M210" i="26" s="1"/>
  <c r="M209" i="26"/>
  <c r="J209" i="26"/>
  <c r="K209" i="26" s="1"/>
  <c r="I209" i="26"/>
  <c r="J208" i="26"/>
  <c r="K208" i="26" s="1"/>
  <c r="I208" i="26"/>
  <c r="M208" i="26" s="1"/>
  <c r="J207" i="26"/>
  <c r="K207" i="26" s="1"/>
  <c r="I207" i="26"/>
  <c r="M207" i="26" s="1"/>
  <c r="M206" i="26"/>
  <c r="J206" i="26"/>
  <c r="K206" i="26" s="1"/>
  <c r="I206" i="26"/>
  <c r="M205" i="26"/>
  <c r="J205" i="26"/>
  <c r="K205" i="26" s="1"/>
  <c r="I205" i="26"/>
  <c r="M204" i="26"/>
  <c r="J204" i="26"/>
  <c r="K204" i="26" s="1"/>
  <c r="I204" i="26"/>
  <c r="J203" i="26"/>
  <c r="K203" i="26" s="1"/>
  <c r="I203" i="26"/>
  <c r="M203" i="26" s="1"/>
  <c r="J202" i="26"/>
  <c r="K202" i="26" s="1"/>
  <c r="I202" i="26"/>
  <c r="M202" i="26" s="1"/>
  <c r="M201" i="26"/>
  <c r="J201" i="26"/>
  <c r="K201" i="26" s="1"/>
  <c r="I201" i="26"/>
  <c r="J200" i="26"/>
  <c r="K200" i="26" s="1"/>
  <c r="I200" i="26"/>
  <c r="M200" i="26" s="1"/>
  <c r="M199" i="26"/>
  <c r="J199" i="26"/>
  <c r="K199" i="26" s="1"/>
  <c r="I199" i="26"/>
  <c r="M198" i="26"/>
  <c r="J198" i="26"/>
  <c r="K198" i="26" s="1"/>
  <c r="I198" i="26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M185" i="26"/>
  <c r="J185" i="26"/>
  <c r="K185" i="26" s="1"/>
  <c r="I185" i="26"/>
  <c r="J184" i="26"/>
  <c r="K184" i="26" s="1"/>
  <c r="I184" i="26"/>
  <c r="M184" i="26" s="1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M179" i="26"/>
  <c r="J179" i="26"/>
  <c r="K179" i="26" s="1"/>
  <c r="I179" i="26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M173" i="26"/>
  <c r="J173" i="26"/>
  <c r="K173" i="26" s="1"/>
  <c r="I173" i="26"/>
  <c r="M172" i="26"/>
  <c r="J172" i="26"/>
  <c r="K172" i="26" s="1"/>
  <c r="I172" i="26"/>
  <c r="J171" i="26"/>
  <c r="K171" i="26" s="1"/>
  <c r="I171" i="26"/>
  <c r="M171" i="26" s="1"/>
  <c r="J170" i="26"/>
  <c r="K170" i="26" s="1"/>
  <c r="I170" i="26"/>
  <c r="M170" i="26" s="1"/>
  <c r="M169" i="26"/>
  <c r="J169" i="26"/>
  <c r="K169" i="26" s="1"/>
  <c r="I169" i="26"/>
  <c r="J168" i="26"/>
  <c r="K168" i="26" s="1"/>
  <c r="I168" i="26"/>
  <c r="M168" i="26" s="1"/>
  <c r="M167" i="26"/>
  <c r="J167" i="26"/>
  <c r="K167" i="26" s="1"/>
  <c r="I167" i="26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M163" i="26"/>
  <c r="J163" i="26"/>
  <c r="K163" i="26" s="1"/>
  <c r="I163" i="26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M157" i="26"/>
  <c r="J157" i="26"/>
  <c r="K157" i="26" s="1"/>
  <c r="I157" i="26"/>
  <c r="M156" i="26"/>
  <c r="J156" i="26"/>
  <c r="K156" i="26" s="1"/>
  <c r="I156" i="26"/>
  <c r="J155" i="26"/>
  <c r="K155" i="26" s="1"/>
  <c r="I155" i="26"/>
  <c r="M155" i="26" s="1"/>
  <c r="J154" i="26"/>
  <c r="K154" i="26" s="1"/>
  <c r="I154" i="26"/>
  <c r="M154" i="26" s="1"/>
  <c r="M153" i="26"/>
  <c r="J153" i="26"/>
  <c r="K153" i="26" s="1"/>
  <c r="I153" i="26"/>
  <c r="J152" i="26"/>
  <c r="K152" i="26" s="1"/>
  <c r="I152" i="26"/>
  <c r="M152" i="26" s="1"/>
  <c r="M151" i="26"/>
  <c r="J151" i="26"/>
  <c r="K151" i="26" s="1"/>
  <c r="I151" i="26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M147" i="26"/>
  <c r="J147" i="26"/>
  <c r="K147" i="26" s="1"/>
  <c r="I147" i="26"/>
  <c r="J146" i="26"/>
  <c r="K146" i="26" s="1"/>
  <c r="I146" i="26"/>
  <c r="M146" i="26" s="1"/>
  <c r="M145" i="26"/>
  <c r="J145" i="26"/>
  <c r="K145" i="26" s="1"/>
  <c r="I145" i="26"/>
  <c r="J144" i="26"/>
  <c r="K144" i="26" s="1"/>
  <c r="I144" i="26"/>
  <c r="M144" i="26" s="1"/>
  <c r="J143" i="26"/>
  <c r="K143" i="26" s="1"/>
  <c r="I143" i="26"/>
  <c r="M143" i="26" s="1"/>
  <c r="M142" i="26"/>
  <c r="J142" i="26"/>
  <c r="K142" i="26" s="1"/>
  <c r="I142" i="26"/>
  <c r="M141" i="26"/>
  <c r="J141" i="26"/>
  <c r="K141" i="26" s="1"/>
  <c r="I141" i="26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M135" i="26"/>
  <c r="J135" i="26"/>
  <c r="K135" i="26" s="1"/>
  <c r="I135" i="26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M131" i="26"/>
  <c r="J131" i="26"/>
  <c r="K131" i="26" s="1"/>
  <c r="I131" i="26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M124" i="26"/>
  <c r="J124" i="26"/>
  <c r="K124" i="26" s="1"/>
  <c r="I124" i="26"/>
  <c r="J123" i="26"/>
  <c r="K123" i="26" s="1"/>
  <c r="I123" i="26"/>
  <c r="M123" i="26" s="1"/>
  <c r="J122" i="26"/>
  <c r="K122" i="26" s="1"/>
  <c r="I122" i="26"/>
  <c r="M122" i="26" s="1"/>
  <c r="M121" i="26"/>
  <c r="J121" i="26"/>
  <c r="K121" i="26" s="1"/>
  <c r="I121" i="26"/>
  <c r="J120" i="26"/>
  <c r="K120" i="26" s="1"/>
  <c r="I120" i="26"/>
  <c r="M120" i="26" s="1"/>
  <c r="M119" i="26"/>
  <c r="J119" i="26"/>
  <c r="K119" i="26" s="1"/>
  <c r="I119" i="26"/>
  <c r="M118" i="26"/>
  <c r="J118" i="26"/>
  <c r="K118" i="26" s="1"/>
  <c r="I118" i="26"/>
  <c r="J117" i="26"/>
  <c r="K117" i="26" s="1"/>
  <c r="I117" i="26"/>
  <c r="M117" i="26" s="1"/>
  <c r="M116" i="26"/>
  <c r="J116" i="26"/>
  <c r="K116" i="26" s="1"/>
  <c r="I116" i="26"/>
  <c r="M115" i="26"/>
  <c r="J115" i="26"/>
  <c r="K115" i="26" s="1"/>
  <c r="I115" i="26"/>
  <c r="J114" i="26"/>
  <c r="K114" i="26" s="1"/>
  <c r="I114" i="26"/>
  <c r="M114" i="26" s="1"/>
  <c r="M113" i="26"/>
  <c r="J113" i="26"/>
  <c r="K113" i="26" s="1"/>
  <c r="I113" i="26"/>
  <c r="J112" i="26"/>
  <c r="K112" i="26" s="1"/>
  <c r="I112" i="26"/>
  <c r="M112" i="26" s="1"/>
  <c r="J111" i="26"/>
  <c r="K111" i="26" s="1"/>
  <c r="I111" i="26"/>
  <c r="M111" i="26" s="1"/>
  <c r="M110" i="26"/>
  <c r="J110" i="26"/>
  <c r="K110" i="26" s="1"/>
  <c r="I110" i="26"/>
  <c r="M109" i="26"/>
  <c r="J109" i="26"/>
  <c r="K109" i="26" s="1"/>
  <c r="I109" i="26"/>
  <c r="M108" i="26"/>
  <c r="J108" i="26"/>
  <c r="K108" i="26" s="1"/>
  <c r="I108" i="26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M101" i="26"/>
  <c r="J101" i="26"/>
  <c r="K101" i="26" s="1"/>
  <c r="I101" i="26"/>
  <c r="M100" i="26"/>
  <c r="J100" i="26"/>
  <c r="K100" i="26" s="1"/>
  <c r="I100" i="26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M85" i="26"/>
  <c r="J85" i="26"/>
  <c r="K85" i="26" s="1"/>
  <c r="I85" i="26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M69" i="26"/>
  <c r="J69" i="26"/>
  <c r="K69" i="26" s="1"/>
  <c r="I69" i="26"/>
  <c r="M68" i="26"/>
  <c r="J68" i="26"/>
  <c r="K68" i="26" s="1"/>
  <c r="I68" i="26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J62" i="26"/>
  <c r="K62" i="26" s="1"/>
  <c r="I62" i="26"/>
  <c r="M62" i="26" s="1"/>
  <c r="B62" i="26"/>
  <c r="J61" i="26"/>
  <c r="K61" i="26" s="1"/>
  <c r="I61" i="26"/>
  <c r="M61" i="26" s="1"/>
  <c r="B61" i="26"/>
  <c r="J60" i="26"/>
  <c r="K60" i="26" s="1"/>
  <c r="I60" i="26"/>
  <c r="M60" i="26" s="1"/>
  <c r="B60" i="26"/>
  <c r="J59" i="26"/>
  <c r="K59" i="26" s="1"/>
  <c r="I59" i="26"/>
  <c r="M59" i="26" s="1"/>
  <c r="B59" i="26"/>
  <c r="J58" i="26"/>
  <c r="K58" i="26" s="1"/>
  <c r="I58" i="26"/>
  <c r="M58" i="26" s="1"/>
  <c r="B58" i="26"/>
  <c r="J57" i="26"/>
  <c r="K57" i="26" s="1"/>
  <c r="I57" i="26"/>
  <c r="M57" i="26" s="1"/>
  <c r="B57" i="26"/>
  <c r="J56" i="26"/>
  <c r="K56" i="26" s="1"/>
  <c r="I56" i="26"/>
  <c r="M56" i="26" s="1"/>
  <c r="B56" i="26"/>
  <c r="M55" i="26"/>
  <c r="J55" i="26"/>
  <c r="K55" i="26" s="1"/>
  <c r="I55" i="26"/>
  <c r="B55" i="26"/>
  <c r="M54" i="26"/>
  <c r="K54" i="26"/>
  <c r="J54" i="26"/>
  <c r="I54" i="26"/>
  <c r="B54" i="26"/>
  <c r="J53" i="26"/>
  <c r="K53" i="26" s="1"/>
  <c r="I53" i="26"/>
  <c r="M53" i="26" s="1"/>
  <c r="B53" i="26"/>
  <c r="J52" i="26"/>
  <c r="K52" i="26" s="1"/>
  <c r="I52" i="26"/>
  <c r="M52" i="26" s="1"/>
  <c r="B52" i="26"/>
  <c r="M51" i="26"/>
  <c r="K51" i="26"/>
  <c r="J51" i="26"/>
  <c r="I51" i="26"/>
  <c r="B51" i="26"/>
  <c r="K50" i="26"/>
  <c r="J50" i="26"/>
  <c r="I50" i="26"/>
  <c r="M50" i="26" s="1"/>
  <c r="B50" i="26"/>
  <c r="M49" i="26"/>
  <c r="J49" i="26"/>
  <c r="K49" i="26" s="1"/>
  <c r="I49" i="26"/>
  <c r="B49" i="26"/>
  <c r="J48" i="26"/>
  <c r="K48" i="26" s="1"/>
  <c r="I48" i="26"/>
  <c r="M48" i="26" s="1"/>
  <c r="B48" i="26"/>
  <c r="M47" i="26"/>
  <c r="K47" i="26"/>
  <c r="J47" i="26"/>
  <c r="I47" i="26"/>
  <c r="B47" i="26"/>
  <c r="U46" i="26"/>
  <c r="T46" i="26"/>
  <c r="R46" i="26"/>
  <c r="M46" i="26"/>
  <c r="K46" i="26"/>
  <c r="J46" i="26"/>
  <c r="I46" i="26"/>
  <c r="B46" i="26"/>
  <c r="K45" i="26"/>
  <c r="J45" i="26"/>
  <c r="I45" i="26"/>
  <c r="M45" i="26" s="1"/>
  <c r="B45" i="26"/>
  <c r="J44" i="26"/>
  <c r="K44" i="26" s="1"/>
  <c r="I44" i="26"/>
  <c r="M44" i="26" s="1"/>
  <c r="B44" i="26"/>
  <c r="J43" i="26"/>
  <c r="K43" i="26" s="1"/>
  <c r="I43" i="26"/>
  <c r="M43" i="26" s="1"/>
  <c r="B43" i="26"/>
  <c r="J42" i="26"/>
  <c r="K42" i="26" s="1"/>
  <c r="I42" i="26"/>
  <c r="M42" i="26" s="1"/>
  <c r="B42" i="26"/>
  <c r="J41" i="26"/>
  <c r="K41" i="26" s="1"/>
  <c r="I41" i="26"/>
  <c r="M41" i="26" s="1"/>
  <c r="B41" i="26"/>
  <c r="M40" i="26"/>
  <c r="J40" i="26"/>
  <c r="K40" i="26" s="1"/>
  <c r="I40" i="26"/>
  <c r="B40" i="26"/>
  <c r="J39" i="26"/>
  <c r="K39" i="26" s="1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K36" i="26"/>
  <c r="J36" i="26"/>
  <c r="I36" i="26"/>
  <c r="M36" i="26" s="1"/>
  <c r="A36" i="26" s="1"/>
  <c r="B36" i="26"/>
  <c r="K35" i="26"/>
  <c r="J35" i="26"/>
  <c r="I35" i="26"/>
  <c r="M35" i="26" s="1"/>
  <c r="A35" i="26" s="1"/>
  <c r="B35" i="26"/>
  <c r="K34" i="26"/>
  <c r="J34" i="26"/>
  <c r="I34" i="26"/>
  <c r="M34" i="26" s="1"/>
  <c r="A34" i="26" s="1"/>
  <c r="B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J31" i="26"/>
  <c r="K31" i="26" s="1"/>
  <c r="I31" i="26"/>
  <c r="M31" i="26" s="1"/>
  <c r="A31" i="26" s="1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M27" i="26"/>
  <c r="A27" i="26" s="1"/>
  <c r="K27" i="26"/>
  <c r="J27" i="26"/>
  <c r="I27" i="26"/>
  <c r="B27" i="26"/>
  <c r="J26" i="26"/>
  <c r="K26" i="26" s="1"/>
  <c r="I26" i="26"/>
  <c r="M26" i="26" s="1"/>
  <c r="A26" i="26" s="1"/>
  <c r="B26" i="26"/>
  <c r="J25" i="26"/>
  <c r="K25" i="26" s="1"/>
  <c r="I25" i="26"/>
  <c r="M25" i="26" s="1"/>
  <c r="B25" i="26"/>
  <c r="A25" i="26"/>
  <c r="K24" i="26"/>
  <c r="J24" i="26"/>
  <c r="I24" i="26"/>
  <c r="M24" i="26" s="1"/>
  <c r="B24" i="26"/>
  <c r="A24" i="26"/>
  <c r="K23" i="26"/>
  <c r="J23" i="26"/>
  <c r="I23" i="26"/>
  <c r="M23" i="26" s="1"/>
  <c r="A23" i="26" s="1"/>
  <c r="B23" i="26"/>
  <c r="J22" i="26"/>
  <c r="K22" i="26" s="1"/>
  <c r="I22" i="26"/>
  <c r="M22" i="26" s="1"/>
  <c r="B22" i="26"/>
  <c r="A22" i="26"/>
  <c r="J21" i="26"/>
  <c r="K21" i="26" s="1"/>
  <c r="I21" i="26"/>
  <c r="M21" i="26" s="1"/>
  <c r="A21" i="26" s="1"/>
  <c r="B21" i="26"/>
  <c r="J20" i="26"/>
  <c r="K20" i="26" s="1"/>
  <c r="I20" i="26"/>
  <c r="M20" i="26" s="1"/>
  <c r="A20" i="26" s="1"/>
  <c r="B20" i="26"/>
  <c r="K19" i="26"/>
  <c r="J19" i="26"/>
  <c r="I19" i="26"/>
  <c r="M19" i="26" s="1"/>
  <c r="A19" i="26" s="1"/>
  <c r="B19" i="26"/>
  <c r="J18" i="26"/>
  <c r="K18" i="26" s="1"/>
  <c r="I18" i="26"/>
  <c r="M18" i="26" s="1"/>
  <c r="A18" i="26" s="1"/>
  <c r="B18" i="26"/>
  <c r="M17" i="26"/>
  <c r="A17" i="26" s="1"/>
  <c r="K17" i="26"/>
  <c r="J17" i="26"/>
  <c r="I17" i="26"/>
  <c r="B17" i="26"/>
  <c r="J16" i="26"/>
  <c r="K16" i="26" s="1"/>
  <c r="I16" i="26"/>
  <c r="M16" i="26" s="1"/>
  <c r="A16" i="26" s="1"/>
  <c r="B16" i="26"/>
  <c r="J15" i="26"/>
  <c r="K15" i="26" s="1"/>
  <c r="I15" i="26"/>
  <c r="M15" i="26" s="1"/>
  <c r="A15" i="26" s="1"/>
  <c r="B15" i="26"/>
  <c r="AI14" i="26"/>
  <c r="J14" i="26"/>
  <c r="K14" i="26" s="1"/>
  <c r="I14" i="26"/>
  <c r="M14" i="26" s="1"/>
  <c r="A14" i="26" s="1"/>
  <c r="B14" i="26"/>
  <c r="AI13" i="26"/>
  <c r="J13" i="26"/>
  <c r="K13" i="26" s="1"/>
  <c r="I13" i="26"/>
  <c r="M13" i="26" s="1"/>
  <c r="A13" i="26" s="1"/>
  <c r="B13" i="26"/>
  <c r="AI12" i="26"/>
  <c r="AI16" i="26" s="1"/>
  <c r="J12" i="26"/>
  <c r="K12" i="26" s="1"/>
  <c r="I12" i="26"/>
  <c r="B12" i="26"/>
  <c r="M11" i="26"/>
  <c r="A11" i="26" s="1"/>
  <c r="K11" i="26"/>
  <c r="J11" i="26"/>
  <c r="I11" i="26"/>
  <c r="B11" i="26"/>
  <c r="J10" i="26"/>
  <c r="K10" i="26" s="1"/>
  <c r="I10" i="26"/>
  <c r="B10" i="26"/>
  <c r="J9" i="26"/>
  <c r="K9" i="26" s="1"/>
  <c r="I9" i="26"/>
  <c r="B9" i="26"/>
  <c r="J8" i="26"/>
  <c r="K8" i="26" s="1"/>
  <c r="I8" i="26"/>
  <c r="B8" i="26"/>
  <c r="J7" i="26"/>
  <c r="K7" i="26" s="1"/>
  <c r="I7" i="26"/>
  <c r="B7" i="26"/>
  <c r="J6" i="26"/>
  <c r="K6" i="26" s="1"/>
  <c r="I6" i="26"/>
  <c r="B6" i="26"/>
  <c r="K2" i="26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M251" i="25"/>
  <c r="J251" i="25"/>
  <c r="K251" i="25" s="1"/>
  <c r="I251" i="25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M167" i="25"/>
  <c r="J167" i="25"/>
  <c r="K167" i="25" s="1"/>
  <c r="I167" i="25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M149" i="25"/>
  <c r="J149" i="25"/>
  <c r="K149" i="25" s="1"/>
  <c r="I149" i="25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M145" i="25"/>
  <c r="J145" i="25"/>
  <c r="K145" i="25" s="1"/>
  <c r="I145" i="25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M119" i="25"/>
  <c r="J119" i="25"/>
  <c r="K119" i="25" s="1"/>
  <c r="I119" i="25"/>
  <c r="J118" i="25"/>
  <c r="K118" i="25" s="1"/>
  <c r="I118" i="25"/>
  <c r="M118" i="25" s="1"/>
  <c r="M117" i="25"/>
  <c r="J117" i="25"/>
  <c r="K117" i="25" s="1"/>
  <c r="I117" i="25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M103" i="25"/>
  <c r="J103" i="25"/>
  <c r="K103" i="25" s="1"/>
  <c r="I103" i="25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M69" i="25"/>
  <c r="J69" i="25"/>
  <c r="K69" i="25" s="1"/>
  <c r="I69" i="25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J63" i="25"/>
  <c r="K63" i="25" s="1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B60" i="25"/>
  <c r="J59" i="25"/>
  <c r="K59" i="25" s="1"/>
  <c r="I59" i="25"/>
  <c r="M59" i="25" s="1"/>
  <c r="B59" i="25"/>
  <c r="J58" i="25"/>
  <c r="K58" i="25" s="1"/>
  <c r="I58" i="25"/>
  <c r="M58" i="25" s="1"/>
  <c r="B58" i="25"/>
  <c r="J57" i="25"/>
  <c r="K57" i="25" s="1"/>
  <c r="I57" i="25"/>
  <c r="M57" i="25" s="1"/>
  <c r="B57" i="25"/>
  <c r="J56" i="25"/>
  <c r="K56" i="25" s="1"/>
  <c r="I56" i="25"/>
  <c r="M56" i="25" s="1"/>
  <c r="B56" i="25"/>
  <c r="M55" i="25"/>
  <c r="J55" i="25"/>
  <c r="K55" i="25" s="1"/>
  <c r="I55" i="25"/>
  <c r="B55" i="25"/>
  <c r="J54" i="25"/>
  <c r="K54" i="25" s="1"/>
  <c r="I54" i="25"/>
  <c r="M54" i="25" s="1"/>
  <c r="B54" i="25"/>
  <c r="J53" i="25"/>
  <c r="K53" i="25" s="1"/>
  <c r="I53" i="25"/>
  <c r="M53" i="25" s="1"/>
  <c r="B53" i="25"/>
  <c r="J52" i="25"/>
  <c r="K52" i="25" s="1"/>
  <c r="I52" i="25"/>
  <c r="M52" i="25" s="1"/>
  <c r="B52" i="25"/>
  <c r="J51" i="25"/>
  <c r="K51" i="25" s="1"/>
  <c r="I51" i="25"/>
  <c r="M51" i="25" s="1"/>
  <c r="B51" i="25"/>
  <c r="J50" i="25"/>
  <c r="K50" i="25" s="1"/>
  <c r="I50" i="25"/>
  <c r="M50" i="25" s="1"/>
  <c r="B50" i="25"/>
  <c r="J49" i="25"/>
  <c r="K49" i="25" s="1"/>
  <c r="I49" i="25"/>
  <c r="M49" i="25" s="1"/>
  <c r="B49" i="25"/>
  <c r="J48" i="25"/>
  <c r="K48" i="25" s="1"/>
  <c r="I48" i="25"/>
  <c r="M48" i="25" s="1"/>
  <c r="B48" i="25"/>
  <c r="J47" i="25"/>
  <c r="K47" i="25" s="1"/>
  <c r="I47" i="25"/>
  <c r="M47" i="25" s="1"/>
  <c r="B47" i="25"/>
  <c r="T46" i="25"/>
  <c r="R46" i="25"/>
  <c r="J46" i="25"/>
  <c r="K46" i="25" s="1"/>
  <c r="I46" i="25"/>
  <c r="M46" i="25" s="1"/>
  <c r="B46" i="25"/>
  <c r="J45" i="25"/>
  <c r="K45" i="25" s="1"/>
  <c r="I45" i="25"/>
  <c r="M45" i="25" s="1"/>
  <c r="B45" i="25"/>
  <c r="J44" i="25"/>
  <c r="K44" i="25" s="1"/>
  <c r="I44" i="25"/>
  <c r="M44" i="25" s="1"/>
  <c r="B44" i="25"/>
  <c r="J43" i="25"/>
  <c r="K43" i="25" s="1"/>
  <c r="I43" i="25"/>
  <c r="M43" i="25" s="1"/>
  <c r="B43" i="25"/>
  <c r="J42" i="25"/>
  <c r="K42" i="25" s="1"/>
  <c r="I42" i="25"/>
  <c r="M42" i="25" s="1"/>
  <c r="B42" i="25"/>
  <c r="J41" i="25"/>
  <c r="K41" i="25" s="1"/>
  <c r="I41" i="25"/>
  <c r="M41" i="25" s="1"/>
  <c r="B41" i="25"/>
  <c r="J40" i="25"/>
  <c r="K40" i="25" s="1"/>
  <c r="I40" i="25"/>
  <c r="M40" i="25" s="1"/>
  <c r="B40" i="25"/>
  <c r="J39" i="25"/>
  <c r="K39" i="25" s="1"/>
  <c r="I39" i="25"/>
  <c r="M39" i="25" s="1"/>
  <c r="B39" i="25"/>
  <c r="M38" i="25"/>
  <c r="J38" i="25"/>
  <c r="K38" i="25" s="1"/>
  <c r="I38" i="25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B20" i="25"/>
  <c r="A20" i="25"/>
  <c r="J19" i="25"/>
  <c r="K19" i="25" s="1"/>
  <c r="I19" i="25"/>
  <c r="M19" i="25" s="1"/>
  <c r="A19" i="25" s="1"/>
  <c r="B19" i="25"/>
  <c r="J18" i="25"/>
  <c r="K18" i="25" s="1"/>
  <c r="M18" i="25" s="1"/>
  <c r="A18" i="25" s="1"/>
  <c r="I18" i="25"/>
  <c r="B18" i="25"/>
  <c r="J17" i="25"/>
  <c r="K17" i="25" s="1"/>
  <c r="I17" i="25"/>
  <c r="M17" i="25" s="1"/>
  <c r="A17" i="25" s="1"/>
  <c r="B17" i="25"/>
  <c r="J16" i="25"/>
  <c r="K16" i="25" s="1"/>
  <c r="M16" i="25" s="1"/>
  <c r="A16" i="25" s="1"/>
  <c r="I16" i="25"/>
  <c r="B16" i="25"/>
  <c r="J15" i="25"/>
  <c r="K15" i="25" s="1"/>
  <c r="I15" i="25"/>
  <c r="M15" i="25" s="1"/>
  <c r="A15" i="25" s="1"/>
  <c r="B15" i="25"/>
  <c r="AI14" i="25"/>
  <c r="J14" i="25"/>
  <c r="K14" i="25" s="1"/>
  <c r="I14" i="25"/>
  <c r="B14" i="25"/>
  <c r="AI13" i="25"/>
  <c r="J13" i="25"/>
  <c r="K13" i="25" s="1"/>
  <c r="I13" i="25"/>
  <c r="M13" i="25" s="1"/>
  <c r="A13" i="25" s="1"/>
  <c r="B13" i="25"/>
  <c r="AI12" i="25"/>
  <c r="AI16" i="25" s="1"/>
  <c r="J12" i="25"/>
  <c r="K12" i="25" s="1"/>
  <c r="I12" i="25"/>
  <c r="M12" i="25" s="1"/>
  <c r="A12" i="25" s="1"/>
  <c r="B12" i="25"/>
  <c r="J11" i="25"/>
  <c r="K11" i="25" s="1"/>
  <c r="I11" i="25"/>
  <c r="B11" i="25"/>
  <c r="K10" i="25"/>
  <c r="J10" i="25"/>
  <c r="I10" i="25"/>
  <c r="B10" i="25"/>
  <c r="J9" i="25"/>
  <c r="K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B6" i="25"/>
  <c r="AH14" i="20" s="1"/>
  <c r="K2" i="25"/>
  <c r="K305" i="24"/>
  <c r="J305" i="24"/>
  <c r="I305" i="24"/>
  <c r="M305" i="24" s="1"/>
  <c r="J304" i="24"/>
  <c r="K304" i="24" s="1"/>
  <c r="I304" i="24"/>
  <c r="M304" i="24" s="1"/>
  <c r="M303" i="24"/>
  <c r="K303" i="24"/>
  <c r="J303" i="24"/>
  <c r="I303" i="24"/>
  <c r="J302" i="24"/>
  <c r="K302" i="24" s="1"/>
  <c r="I302" i="24"/>
  <c r="M302" i="24" s="1"/>
  <c r="M301" i="24"/>
  <c r="J301" i="24"/>
  <c r="K301" i="24" s="1"/>
  <c r="I301" i="24"/>
  <c r="K300" i="24"/>
  <c r="J300" i="24"/>
  <c r="I300" i="24"/>
  <c r="M300" i="24" s="1"/>
  <c r="J299" i="24"/>
  <c r="K299" i="24" s="1"/>
  <c r="I299" i="24"/>
  <c r="M299" i="24" s="1"/>
  <c r="K298" i="24"/>
  <c r="J298" i="24"/>
  <c r="I298" i="24"/>
  <c r="M298" i="24" s="1"/>
  <c r="J297" i="24"/>
  <c r="K297" i="24" s="1"/>
  <c r="I297" i="24"/>
  <c r="M297" i="24" s="1"/>
  <c r="K296" i="24"/>
  <c r="J296" i="24"/>
  <c r="I296" i="24"/>
  <c r="M296" i="24" s="1"/>
  <c r="J295" i="24"/>
  <c r="K295" i="24" s="1"/>
  <c r="I295" i="24"/>
  <c r="M295" i="24" s="1"/>
  <c r="K294" i="24"/>
  <c r="J294" i="24"/>
  <c r="I294" i="24"/>
  <c r="M294" i="24" s="1"/>
  <c r="J293" i="24"/>
  <c r="K293" i="24" s="1"/>
  <c r="I293" i="24"/>
  <c r="M293" i="24" s="1"/>
  <c r="K292" i="24"/>
  <c r="J292" i="24"/>
  <c r="I292" i="24"/>
  <c r="M292" i="24" s="1"/>
  <c r="J291" i="24"/>
  <c r="K291" i="24" s="1"/>
  <c r="I291" i="24"/>
  <c r="M291" i="24" s="1"/>
  <c r="K290" i="24"/>
  <c r="J290" i="24"/>
  <c r="I290" i="24"/>
  <c r="M290" i="24" s="1"/>
  <c r="J289" i="24"/>
  <c r="K289" i="24" s="1"/>
  <c r="I289" i="24"/>
  <c r="M289" i="24" s="1"/>
  <c r="K288" i="24"/>
  <c r="J288" i="24"/>
  <c r="I288" i="24"/>
  <c r="M288" i="24" s="1"/>
  <c r="J287" i="24"/>
  <c r="K287" i="24" s="1"/>
  <c r="I287" i="24"/>
  <c r="M287" i="24" s="1"/>
  <c r="K286" i="24"/>
  <c r="J286" i="24"/>
  <c r="I286" i="24"/>
  <c r="M286" i="24" s="1"/>
  <c r="J285" i="24"/>
  <c r="K285" i="24" s="1"/>
  <c r="I285" i="24"/>
  <c r="M285" i="24" s="1"/>
  <c r="K284" i="24"/>
  <c r="J284" i="24"/>
  <c r="I284" i="24"/>
  <c r="M284" i="24" s="1"/>
  <c r="J283" i="24"/>
  <c r="K283" i="24" s="1"/>
  <c r="I283" i="24"/>
  <c r="M283" i="24" s="1"/>
  <c r="K282" i="24"/>
  <c r="J282" i="24"/>
  <c r="I282" i="24"/>
  <c r="M282" i="24" s="1"/>
  <c r="J281" i="24"/>
  <c r="K281" i="24" s="1"/>
  <c r="I281" i="24"/>
  <c r="M281" i="24" s="1"/>
  <c r="K280" i="24"/>
  <c r="J280" i="24"/>
  <c r="I280" i="24"/>
  <c r="M280" i="24" s="1"/>
  <c r="J279" i="24"/>
  <c r="K279" i="24" s="1"/>
  <c r="I279" i="24"/>
  <c r="M279" i="24" s="1"/>
  <c r="K278" i="24"/>
  <c r="J278" i="24"/>
  <c r="I278" i="24"/>
  <c r="M278" i="24" s="1"/>
  <c r="J277" i="24"/>
  <c r="K277" i="24" s="1"/>
  <c r="I277" i="24"/>
  <c r="M277" i="24" s="1"/>
  <c r="K276" i="24"/>
  <c r="J276" i="24"/>
  <c r="I276" i="24"/>
  <c r="M276" i="24" s="1"/>
  <c r="J275" i="24"/>
  <c r="K275" i="24" s="1"/>
  <c r="I275" i="24"/>
  <c r="M275" i="24" s="1"/>
  <c r="J274" i="24"/>
  <c r="K274" i="24" s="1"/>
  <c r="I274" i="24"/>
  <c r="M274" i="24" s="1"/>
  <c r="K273" i="24"/>
  <c r="J273" i="24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K269" i="24"/>
  <c r="J269" i="24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K265" i="24"/>
  <c r="J265" i="24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K261" i="24"/>
  <c r="J261" i="24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K257" i="24"/>
  <c r="J257" i="24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K253" i="24"/>
  <c r="J253" i="24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K249" i="24"/>
  <c r="J249" i="24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K245" i="24"/>
  <c r="J245" i="24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K241" i="24"/>
  <c r="J241" i="24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K237" i="24"/>
  <c r="J237" i="24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K233" i="24"/>
  <c r="J233" i="24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K229" i="24"/>
  <c r="J229" i="24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K225" i="24"/>
  <c r="J225" i="24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K221" i="24"/>
  <c r="J221" i="24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K217" i="24"/>
  <c r="J217" i="24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K213" i="24"/>
  <c r="J213" i="24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K209" i="24"/>
  <c r="J209" i="24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K205" i="24"/>
  <c r="J205" i="24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K201" i="24"/>
  <c r="J201" i="24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K197" i="24"/>
  <c r="J197" i="24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K193" i="24"/>
  <c r="J193" i="24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K189" i="24"/>
  <c r="J189" i="24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K185" i="24"/>
  <c r="J185" i="24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K181" i="24"/>
  <c r="J181" i="24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K177" i="24"/>
  <c r="J177" i="24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K173" i="24"/>
  <c r="J173" i="24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K169" i="24"/>
  <c r="J169" i="24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K165" i="24"/>
  <c r="J165" i="24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K161" i="24"/>
  <c r="J161" i="24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K157" i="24"/>
  <c r="J157" i="24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K153" i="24"/>
  <c r="J153" i="24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K149" i="24"/>
  <c r="J149" i="24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K145" i="24"/>
  <c r="J145" i="24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K141" i="24"/>
  <c r="J141" i="24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K137" i="24"/>
  <c r="J137" i="24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K133" i="24"/>
  <c r="J133" i="24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K129" i="24"/>
  <c r="J129" i="24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K125" i="24"/>
  <c r="J125" i="24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K121" i="24"/>
  <c r="J121" i="24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K117" i="24"/>
  <c r="J117" i="24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K113" i="24"/>
  <c r="J113" i="24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K109" i="24"/>
  <c r="J109" i="24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K105" i="24"/>
  <c r="J105" i="24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K101" i="24"/>
  <c r="J101" i="24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K97" i="24"/>
  <c r="J97" i="24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K93" i="24"/>
  <c r="J93" i="24"/>
  <c r="I93" i="24"/>
  <c r="M93" i="24" s="1"/>
  <c r="J92" i="24"/>
  <c r="K92" i="24" s="1"/>
  <c r="I92" i="24"/>
  <c r="M92" i="24" s="1"/>
  <c r="K91" i="24"/>
  <c r="J91" i="24"/>
  <c r="I91" i="24"/>
  <c r="M91" i="24" s="1"/>
  <c r="J90" i="24"/>
  <c r="K90" i="24" s="1"/>
  <c r="I90" i="24"/>
  <c r="M90" i="24" s="1"/>
  <c r="K89" i="24"/>
  <c r="J89" i="24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K85" i="24"/>
  <c r="J85" i="24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K81" i="24"/>
  <c r="J81" i="24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K77" i="24"/>
  <c r="J77" i="24"/>
  <c r="I77" i="24"/>
  <c r="M77" i="24" s="1"/>
  <c r="J76" i="24"/>
  <c r="K76" i="24" s="1"/>
  <c r="I76" i="24"/>
  <c r="M76" i="24" s="1"/>
  <c r="K75" i="24"/>
  <c r="J75" i="24"/>
  <c r="I75" i="24"/>
  <c r="M75" i="24" s="1"/>
  <c r="J74" i="24"/>
  <c r="K74" i="24" s="1"/>
  <c r="I74" i="24"/>
  <c r="M74" i="24" s="1"/>
  <c r="K73" i="24"/>
  <c r="J73" i="24"/>
  <c r="I73" i="24"/>
  <c r="M73" i="24" s="1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K69" i="24"/>
  <c r="J69" i="24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K65" i="24"/>
  <c r="J65" i="24"/>
  <c r="I65" i="24"/>
  <c r="M65" i="24" s="1"/>
  <c r="B65" i="24"/>
  <c r="K64" i="24"/>
  <c r="J64" i="24"/>
  <c r="I64" i="24"/>
  <c r="M64" i="24" s="1"/>
  <c r="B64" i="24"/>
  <c r="M63" i="24"/>
  <c r="K63" i="24"/>
  <c r="J63" i="24"/>
  <c r="I63" i="24"/>
  <c r="B63" i="24"/>
  <c r="M62" i="24"/>
  <c r="J62" i="24"/>
  <c r="K62" i="24" s="1"/>
  <c r="I62" i="24"/>
  <c r="B62" i="24"/>
  <c r="J61" i="24"/>
  <c r="K61" i="24" s="1"/>
  <c r="I61" i="24"/>
  <c r="M61" i="24" s="1"/>
  <c r="B61" i="24"/>
  <c r="M60" i="24"/>
  <c r="J60" i="24"/>
  <c r="K60" i="24" s="1"/>
  <c r="I60" i="24"/>
  <c r="B60" i="24"/>
  <c r="K59" i="24"/>
  <c r="J59" i="24"/>
  <c r="I59" i="24"/>
  <c r="M59" i="24" s="1"/>
  <c r="B59" i="24"/>
  <c r="M58" i="24"/>
  <c r="J58" i="24"/>
  <c r="K58" i="24" s="1"/>
  <c r="I58" i="24"/>
  <c r="B58" i="24"/>
  <c r="J57" i="24"/>
  <c r="K57" i="24" s="1"/>
  <c r="I57" i="24"/>
  <c r="M57" i="24" s="1"/>
  <c r="B57" i="24"/>
  <c r="K56" i="24"/>
  <c r="J56" i="24"/>
  <c r="I56" i="24"/>
  <c r="M56" i="24" s="1"/>
  <c r="B56" i="24"/>
  <c r="M55" i="24"/>
  <c r="K55" i="24"/>
  <c r="J55" i="24"/>
  <c r="I55" i="24"/>
  <c r="B55" i="24"/>
  <c r="M54" i="24"/>
  <c r="J54" i="24"/>
  <c r="K54" i="24" s="1"/>
  <c r="I54" i="24"/>
  <c r="B54" i="24"/>
  <c r="J53" i="24"/>
  <c r="K53" i="24" s="1"/>
  <c r="I53" i="24"/>
  <c r="M53" i="24" s="1"/>
  <c r="B53" i="24"/>
  <c r="M52" i="24"/>
  <c r="J52" i="24"/>
  <c r="K52" i="24" s="1"/>
  <c r="I52" i="24"/>
  <c r="B52" i="24"/>
  <c r="M51" i="24"/>
  <c r="K51" i="24"/>
  <c r="J51" i="24"/>
  <c r="I51" i="24"/>
  <c r="B51" i="24"/>
  <c r="J50" i="24"/>
  <c r="K50" i="24" s="1"/>
  <c r="I50" i="24"/>
  <c r="M50" i="24" s="1"/>
  <c r="B50" i="24"/>
  <c r="M49" i="24"/>
  <c r="K49" i="24"/>
  <c r="J49" i="24"/>
  <c r="I49" i="24"/>
  <c r="B49" i="24"/>
  <c r="J48" i="24"/>
  <c r="K48" i="24" s="1"/>
  <c r="I48" i="24"/>
  <c r="M48" i="24" s="1"/>
  <c r="B48" i="24"/>
  <c r="M47" i="24"/>
  <c r="K47" i="24"/>
  <c r="J47" i="24"/>
  <c r="I47" i="24"/>
  <c r="B47" i="24"/>
  <c r="T46" i="24"/>
  <c r="R46" i="24"/>
  <c r="U46" i="24" s="1"/>
  <c r="M46" i="24"/>
  <c r="K46" i="24"/>
  <c r="J46" i="24"/>
  <c r="I46" i="24"/>
  <c r="B46" i="24"/>
  <c r="M45" i="24"/>
  <c r="J45" i="24"/>
  <c r="K45" i="24" s="1"/>
  <c r="I45" i="24"/>
  <c r="B45" i="24"/>
  <c r="J44" i="24"/>
  <c r="K44" i="24" s="1"/>
  <c r="I44" i="24"/>
  <c r="M44" i="24" s="1"/>
  <c r="B44" i="24"/>
  <c r="M43" i="24"/>
  <c r="J43" i="24"/>
  <c r="K43" i="24" s="1"/>
  <c r="I43" i="24"/>
  <c r="B43" i="24"/>
  <c r="K42" i="24"/>
  <c r="J42" i="24"/>
  <c r="I42" i="24"/>
  <c r="M42" i="24" s="1"/>
  <c r="B42" i="24"/>
  <c r="M41" i="24"/>
  <c r="K41" i="24"/>
  <c r="J41" i="24"/>
  <c r="I41" i="24"/>
  <c r="B41" i="24"/>
  <c r="K40" i="24"/>
  <c r="J40" i="24"/>
  <c r="I40" i="24"/>
  <c r="M40" i="24" s="1"/>
  <c r="B40" i="24"/>
  <c r="K39" i="24"/>
  <c r="J39" i="24"/>
  <c r="I39" i="24"/>
  <c r="M39" i="24" s="1"/>
  <c r="B39" i="24"/>
  <c r="M38" i="24"/>
  <c r="K38" i="24"/>
  <c r="J38" i="24"/>
  <c r="I38" i="24"/>
  <c r="B38" i="24"/>
  <c r="K37" i="24"/>
  <c r="J37" i="24"/>
  <c r="I37" i="24"/>
  <c r="M37" i="24" s="1"/>
  <c r="A37" i="24" s="1"/>
  <c r="B37" i="24"/>
  <c r="K36" i="24"/>
  <c r="J36" i="24"/>
  <c r="I36" i="24"/>
  <c r="M36" i="24" s="1"/>
  <c r="B36" i="24"/>
  <c r="A36" i="24"/>
  <c r="K35" i="24"/>
  <c r="J35" i="24"/>
  <c r="I35" i="24"/>
  <c r="M35" i="24" s="1"/>
  <c r="A35" i="24" s="1"/>
  <c r="B35" i="24"/>
  <c r="M34" i="24"/>
  <c r="K34" i="24"/>
  <c r="J34" i="24"/>
  <c r="I34" i="24"/>
  <c r="B34" i="24"/>
  <c r="A34" i="24"/>
  <c r="J33" i="24"/>
  <c r="K33" i="24" s="1"/>
  <c r="I33" i="24"/>
  <c r="M33" i="24" s="1"/>
  <c r="A33" i="24" s="1"/>
  <c r="B33" i="24"/>
  <c r="K32" i="24"/>
  <c r="J32" i="24"/>
  <c r="I32" i="24"/>
  <c r="M32" i="24" s="1"/>
  <c r="A32" i="24" s="1"/>
  <c r="B32" i="24"/>
  <c r="J31" i="24"/>
  <c r="K31" i="24" s="1"/>
  <c r="I31" i="24"/>
  <c r="M31" i="24" s="1"/>
  <c r="A31" i="24" s="1"/>
  <c r="B31" i="24"/>
  <c r="M30" i="24"/>
  <c r="A30" i="24" s="1"/>
  <c r="K30" i="24"/>
  <c r="J30" i="24"/>
  <c r="I30" i="24"/>
  <c r="B30" i="24"/>
  <c r="M29" i="24"/>
  <c r="A29" i="24" s="1"/>
  <c r="J29" i="24"/>
  <c r="K29" i="24" s="1"/>
  <c r="I29" i="24"/>
  <c r="B29" i="24"/>
  <c r="J28" i="24"/>
  <c r="K28" i="24" s="1"/>
  <c r="I28" i="24"/>
  <c r="M28" i="24" s="1"/>
  <c r="B28" i="24"/>
  <c r="A28" i="24"/>
  <c r="M27" i="24"/>
  <c r="A27" i="24" s="1"/>
  <c r="J27" i="24"/>
  <c r="K27" i="24" s="1"/>
  <c r="I27" i="24"/>
  <c r="B27" i="24"/>
  <c r="M26" i="24"/>
  <c r="K26" i="24"/>
  <c r="J26" i="24"/>
  <c r="I26" i="24"/>
  <c r="B26" i="24"/>
  <c r="A26" i="24"/>
  <c r="K25" i="24"/>
  <c r="J25" i="24"/>
  <c r="I25" i="24"/>
  <c r="M25" i="24" s="1"/>
  <c r="A25" i="24" s="1"/>
  <c r="B25" i="24"/>
  <c r="K24" i="24"/>
  <c r="J24" i="24"/>
  <c r="I24" i="24"/>
  <c r="M24" i="24" s="1"/>
  <c r="B24" i="24"/>
  <c r="A24" i="24"/>
  <c r="J23" i="24"/>
  <c r="K23" i="24" s="1"/>
  <c r="I23" i="24"/>
  <c r="M23" i="24" s="1"/>
  <c r="A23" i="24" s="1"/>
  <c r="B23" i="24"/>
  <c r="M22" i="24"/>
  <c r="J22" i="24"/>
  <c r="K22" i="24" s="1"/>
  <c r="I22" i="24"/>
  <c r="B22" i="24"/>
  <c r="A22" i="24"/>
  <c r="M21" i="24"/>
  <c r="A21" i="24" s="1"/>
  <c r="K21" i="24"/>
  <c r="J21" i="24"/>
  <c r="I21" i="24"/>
  <c r="B21" i="24"/>
  <c r="J20" i="24"/>
  <c r="K20" i="24" s="1"/>
  <c r="I20" i="24"/>
  <c r="M20" i="24" s="1"/>
  <c r="A20" i="24" s="1"/>
  <c r="B20" i="24"/>
  <c r="J19" i="24"/>
  <c r="K19" i="24" s="1"/>
  <c r="I19" i="24"/>
  <c r="M19" i="24" s="1"/>
  <c r="B19" i="24"/>
  <c r="A19" i="24"/>
  <c r="M18" i="24"/>
  <c r="A18" i="24" s="1"/>
  <c r="K18" i="24"/>
  <c r="J18" i="24"/>
  <c r="I18" i="24"/>
  <c r="B18" i="24"/>
  <c r="K17" i="24"/>
  <c r="J17" i="24"/>
  <c r="I17" i="24"/>
  <c r="M17" i="24" s="1"/>
  <c r="A17" i="24" s="1"/>
  <c r="B17" i="24"/>
  <c r="J16" i="24"/>
  <c r="K16" i="24" s="1"/>
  <c r="I16" i="24"/>
  <c r="M16" i="24" s="1"/>
  <c r="A16" i="24" s="1"/>
  <c r="B16" i="24"/>
  <c r="J15" i="24"/>
  <c r="K15" i="24" s="1"/>
  <c r="I15" i="24"/>
  <c r="M15" i="24" s="1"/>
  <c r="A15" i="24" s="1"/>
  <c r="B15" i="24"/>
  <c r="AI14" i="24"/>
  <c r="J14" i="24"/>
  <c r="K14" i="24" s="1"/>
  <c r="I14" i="24"/>
  <c r="M14" i="24" s="1"/>
  <c r="A14" i="24" s="1"/>
  <c r="B14" i="24"/>
  <c r="AI13" i="24"/>
  <c r="M13" i="24"/>
  <c r="K13" i="24"/>
  <c r="J13" i="24"/>
  <c r="I13" i="24"/>
  <c r="B13" i="24"/>
  <c r="A13" i="24"/>
  <c r="AI12" i="24"/>
  <c r="M12" i="24"/>
  <c r="J12" i="24"/>
  <c r="K12" i="24" s="1"/>
  <c r="I12" i="24"/>
  <c r="B12" i="24"/>
  <c r="A12" i="24"/>
  <c r="M11" i="24"/>
  <c r="A11" i="24" s="1"/>
  <c r="K11" i="24"/>
  <c r="J11" i="24"/>
  <c r="I11" i="24"/>
  <c r="B11" i="24"/>
  <c r="J10" i="24"/>
  <c r="K10" i="24" s="1"/>
  <c r="I10" i="24"/>
  <c r="M10" i="24" s="1"/>
  <c r="A10" i="24" s="1"/>
  <c r="B10" i="24"/>
  <c r="J9" i="24"/>
  <c r="K9" i="24" s="1"/>
  <c r="I9" i="24"/>
  <c r="M9" i="24" s="1"/>
  <c r="A9" i="24" s="1"/>
  <c r="B9" i="24"/>
  <c r="M8" i="24"/>
  <c r="A8" i="24" s="1"/>
  <c r="L8" i="24"/>
  <c r="J8" i="24"/>
  <c r="K8" i="24" s="1"/>
  <c r="I8" i="24"/>
  <c r="B8" i="24"/>
  <c r="M7" i="24"/>
  <c r="A7" i="24" s="1"/>
  <c r="L7" i="24"/>
  <c r="K7" i="24"/>
  <c r="J7" i="24"/>
  <c r="I7" i="24"/>
  <c r="B7" i="24"/>
  <c r="M6" i="24"/>
  <c r="A6" i="24" s="1"/>
  <c r="L6" i="24"/>
  <c r="K6" i="24"/>
  <c r="J6" i="24"/>
  <c r="I6" i="24"/>
  <c r="B6" i="24"/>
  <c r="K2" i="24"/>
  <c r="L9" i="24" s="1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J48" i="23"/>
  <c r="K48" i="23" s="1"/>
  <c r="I48" i="23"/>
  <c r="M48" i="23" s="1"/>
  <c r="B48" i="23"/>
  <c r="J47" i="23"/>
  <c r="K47" i="23" s="1"/>
  <c r="I47" i="23"/>
  <c r="M47" i="23" s="1"/>
  <c r="B47" i="23"/>
  <c r="T46" i="23"/>
  <c r="R46" i="23"/>
  <c r="J46" i="23"/>
  <c r="K46" i="23" s="1"/>
  <c r="I46" i="23"/>
  <c r="M46" i="23" s="1"/>
  <c r="B46" i="23"/>
  <c r="J45" i="23"/>
  <c r="K45" i="23" s="1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A37" i="23" s="1"/>
  <c r="B37" i="23"/>
  <c r="J36" i="23"/>
  <c r="K36" i="23" s="1"/>
  <c r="I36" i="23"/>
  <c r="M36" i="23" s="1"/>
  <c r="B36" i="23"/>
  <c r="A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A33" i="23" s="1"/>
  <c r="B33" i="23"/>
  <c r="J32" i="23"/>
  <c r="K32" i="23" s="1"/>
  <c r="I32" i="23"/>
  <c r="M32" i="23" s="1"/>
  <c r="B32" i="23"/>
  <c r="A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J25" i="23"/>
  <c r="K25" i="23" s="1"/>
  <c r="I25" i="23"/>
  <c r="M25" i="23" s="1"/>
  <c r="A25" i="23" s="1"/>
  <c r="B25" i="23"/>
  <c r="J24" i="23"/>
  <c r="K24" i="23" s="1"/>
  <c r="I24" i="23"/>
  <c r="M24" i="23" s="1"/>
  <c r="A24" i="23" s="1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J16" i="23"/>
  <c r="K16" i="23" s="1"/>
  <c r="I16" i="23"/>
  <c r="M16" i="23" s="1"/>
  <c r="A16" i="23" s="1"/>
  <c r="B16" i="23"/>
  <c r="J15" i="23"/>
  <c r="K15" i="23" s="1"/>
  <c r="I15" i="23"/>
  <c r="M15" i="23" s="1"/>
  <c r="A15" i="23" s="1"/>
  <c r="B15" i="23"/>
  <c r="AI14" i="23"/>
  <c r="J14" i="23"/>
  <c r="K14" i="23" s="1"/>
  <c r="I14" i="23"/>
  <c r="M14" i="23" s="1"/>
  <c r="A14" i="23" s="1"/>
  <c r="AI13" i="23"/>
  <c r="J13" i="23"/>
  <c r="K13" i="23" s="1"/>
  <c r="I13" i="23"/>
  <c r="M13" i="23" s="1"/>
  <c r="A13" i="23" s="1"/>
  <c r="B13" i="23"/>
  <c r="AI12" i="23"/>
  <c r="AI16" i="23" s="1"/>
  <c r="J12" i="23"/>
  <c r="K12" i="23" s="1"/>
  <c r="I12" i="23"/>
  <c r="M12" i="23" s="1"/>
  <c r="A12" i="23" s="1"/>
  <c r="B12" i="23"/>
  <c r="J11" i="23"/>
  <c r="K11" i="23" s="1"/>
  <c r="I11" i="23"/>
  <c r="M11" i="23" s="1"/>
  <c r="B11" i="23"/>
  <c r="A11" i="23"/>
  <c r="J10" i="23"/>
  <c r="K10" i="23" s="1"/>
  <c r="I10" i="23"/>
  <c r="M10" i="23" s="1"/>
  <c r="A10" i="23" s="1"/>
  <c r="B10" i="23"/>
  <c r="K9" i="23"/>
  <c r="I9" i="23"/>
  <c r="B9" i="23"/>
  <c r="K8" i="23"/>
  <c r="I8" i="23"/>
  <c r="B8" i="23"/>
  <c r="K7" i="23"/>
  <c r="I7" i="23"/>
  <c r="B7" i="23"/>
  <c r="K6" i="23"/>
  <c r="I6" i="23"/>
  <c r="B6" i="23"/>
  <c r="AB14" i="20" s="1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K305" i="22"/>
  <c r="J305" i="22"/>
  <c r="I305" i="22"/>
  <c r="M305" i="22" s="1"/>
  <c r="K304" i="22"/>
  <c r="J304" i="22"/>
  <c r="I304" i="22"/>
  <c r="M304" i="22" s="1"/>
  <c r="K303" i="22"/>
  <c r="J303" i="22"/>
  <c r="I303" i="22"/>
  <c r="M303" i="22" s="1"/>
  <c r="K302" i="22"/>
  <c r="J302" i="22"/>
  <c r="I302" i="22"/>
  <c r="M302" i="22" s="1"/>
  <c r="K301" i="22"/>
  <c r="J301" i="22"/>
  <c r="I301" i="22"/>
  <c r="M301" i="22" s="1"/>
  <c r="K300" i="22"/>
  <c r="J300" i="22"/>
  <c r="I300" i="22"/>
  <c r="M300" i="22" s="1"/>
  <c r="K299" i="22"/>
  <c r="J299" i="22"/>
  <c r="I299" i="22"/>
  <c r="M299" i="22" s="1"/>
  <c r="K298" i="22"/>
  <c r="J298" i="22"/>
  <c r="I298" i="22"/>
  <c r="M298" i="22" s="1"/>
  <c r="M297" i="22"/>
  <c r="K297" i="22"/>
  <c r="J297" i="22"/>
  <c r="I297" i="22"/>
  <c r="K296" i="22"/>
  <c r="J296" i="22"/>
  <c r="I296" i="22"/>
  <c r="M296" i="22" s="1"/>
  <c r="M295" i="22"/>
  <c r="K295" i="22"/>
  <c r="J295" i="22"/>
  <c r="I295" i="22"/>
  <c r="K294" i="22"/>
  <c r="J294" i="22"/>
  <c r="I294" i="22"/>
  <c r="M294" i="22" s="1"/>
  <c r="M293" i="22"/>
  <c r="K293" i="22"/>
  <c r="J293" i="22"/>
  <c r="I293" i="22"/>
  <c r="J292" i="22"/>
  <c r="K292" i="22" s="1"/>
  <c r="I292" i="22"/>
  <c r="M292" i="22" s="1"/>
  <c r="K291" i="22"/>
  <c r="J291" i="22"/>
  <c r="I291" i="22"/>
  <c r="M291" i="22" s="1"/>
  <c r="J290" i="22"/>
  <c r="K290" i="22" s="1"/>
  <c r="I290" i="22"/>
  <c r="M290" i="22" s="1"/>
  <c r="K289" i="22"/>
  <c r="J289" i="22"/>
  <c r="I289" i="22"/>
  <c r="M289" i="22" s="1"/>
  <c r="J288" i="22"/>
  <c r="K288" i="22" s="1"/>
  <c r="I288" i="22"/>
  <c r="M288" i="22" s="1"/>
  <c r="M287" i="22"/>
  <c r="K287" i="22"/>
  <c r="J287" i="22"/>
  <c r="I287" i="22"/>
  <c r="J286" i="22"/>
  <c r="K286" i="22" s="1"/>
  <c r="I286" i="22"/>
  <c r="M286" i="22" s="1"/>
  <c r="M285" i="22"/>
  <c r="K285" i="22"/>
  <c r="J285" i="22"/>
  <c r="I285" i="22"/>
  <c r="J284" i="22"/>
  <c r="K284" i="22" s="1"/>
  <c r="I284" i="22"/>
  <c r="M284" i="22" s="1"/>
  <c r="K283" i="22"/>
  <c r="J283" i="22"/>
  <c r="I283" i="22"/>
  <c r="M283" i="22" s="1"/>
  <c r="J282" i="22"/>
  <c r="K282" i="22" s="1"/>
  <c r="I282" i="22"/>
  <c r="M282" i="22" s="1"/>
  <c r="K281" i="22"/>
  <c r="J281" i="22"/>
  <c r="I281" i="22"/>
  <c r="M281" i="22" s="1"/>
  <c r="J280" i="22"/>
  <c r="K280" i="22" s="1"/>
  <c r="I280" i="22"/>
  <c r="M280" i="22" s="1"/>
  <c r="M279" i="22"/>
  <c r="J279" i="22"/>
  <c r="K279" i="22" s="1"/>
  <c r="I279" i="22"/>
  <c r="J278" i="22"/>
  <c r="K278" i="22" s="1"/>
  <c r="I278" i="22"/>
  <c r="M278" i="22" s="1"/>
  <c r="M277" i="22"/>
  <c r="J277" i="22"/>
  <c r="K277" i="22" s="1"/>
  <c r="I277" i="22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K273" i="22"/>
  <c r="J273" i="22"/>
  <c r="I273" i="22"/>
  <c r="M273" i="22" s="1"/>
  <c r="J272" i="22"/>
  <c r="K272" i="22" s="1"/>
  <c r="I272" i="22"/>
  <c r="M272" i="22" s="1"/>
  <c r="M271" i="22"/>
  <c r="J271" i="22"/>
  <c r="K271" i="22" s="1"/>
  <c r="I271" i="22"/>
  <c r="J270" i="22"/>
  <c r="K270" i="22" s="1"/>
  <c r="I270" i="22"/>
  <c r="M270" i="22" s="1"/>
  <c r="M269" i="22"/>
  <c r="J269" i="22"/>
  <c r="K269" i="22" s="1"/>
  <c r="I269" i="22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M263" i="22"/>
  <c r="J263" i="22"/>
  <c r="K263" i="22" s="1"/>
  <c r="I263" i="22"/>
  <c r="J262" i="22"/>
  <c r="K262" i="22" s="1"/>
  <c r="I262" i="22"/>
  <c r="M262" i="22" s="1"/>
  <c r="M261" i="22"/>
  <c r="J261" i="22"/>
  <c r="K261" i="22" s="1"/>
  <c r="I261" i="22"/>
  <c r="J260" i="22"/>
  <c r="K260" i="22" s="1"/>
  <c r="I260" i="22"/>
  <c r="M260" i="22" s="1"/>
  <c r="M259" i="22"/>
  <c r="J259" i="22"/>
  <c r="K259" i="22" s="1"/>
  <c r="I259" i="22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M255" i="22"/>
  <c r="J255" i="22"/>
  <c r="K255" i="22" s="1"/>
  <c r="I255" i="22"/>
  <c r="J254" i="22"/>
  <c r="K254" i="22" s="1"/>
  <c r="I254" i="22"/>
  <c r="M254" i="22" s="1"/>
  <c r="M253" i="22"/>
  <c r="J253" i="22"/>
  <c r="K253" i="22" s="1"/>
  <c r="I253" i="22"/>
  <c r="J252" i="22"/>
  <c r="K252" i="22" s="1"/>
  <c r="I252" i="22"/>
  <c r="M252" i="22" s="1"/>
  <c r="M251" i="22"/>
  <c r="J251" i="22"/>
  <c r="K251" i="22" s="1"/>
  <c r="I251" i="22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M247" i="22"/>
  <c r="J247" i="22"/>
  <c r="K247" i="22" s="1"/>
  <c r="I247" i="22"/>
  <c r="J246" i="22"/>
  <c r="K246" i="22" s="1"/>
  <c r="I246" i="22"/>
  <c r="M246" i="22" s="1"/>
  <c r="M245" i="22"/>
  <c r="J245" i="22"/>
  <c r="K245" i="22" s="1"/>
  <c r="I245" i="22"/>
  <c r="J244" i="22"/>
  <c r="K244" i="22" s="1"/>
  <c r="I244" i="22"/>
  <c r="M244" i="22" s="1"/>
  <c r="M243" i="22"/>
  <c r="J243" i="22"/>
  <c r="K243" i="22" s="1"/>
  <c r="I243" i="22"/>
  <c r="J242" i="22"/>
  <c r="K242" i="22" s="1"/>
  <c r="I242" i="22"/>
  <c r="M242" i="22" s="1"/>
  <c r="J241" i="22"/>
  <c r="K241" i="22" s="1"/>
  <c r="I241" i="22"/>
  <c r="M241" i="22" s="1"/>
  <c r="M240" i="22"/>
  <c r="J240" i="22"/>
  <c r="K240" i="22" s="1"/>
  <c r="I240" i="22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K236" i="22"/>
  <c r="J236" i="22"/>
  <c r="I236" i="22"/>
  <c r="M236" i="22" s="1"/>
  <c r="J235" i="22"/>
  <c r="K235" i="22" s="1"/>
  <c r="I235" i="22"/>
  <c r="M235" i="22" s="1"/>
  <c r="K234" i="22"/>
  <c r="J234" i="22"/>
  <c r="I234" i="22"/>
  <c r="M234" i="22" s="1"/>
  <c r="J233" i="22"/>
  <c r="K233" i="22" s="1"/>
  <c r="I233" i="22"/>
  <c r="M233" i="22" s="1"/>
  <c r="K232" i="22"/>
  <c r="J232" i="22"/>
  <c r="I232" i="22"/>
  <c r="M232" i="22" s="1"/>
  <c r="J231" i="22"/>
  <c r="K231" i="22" s="1"/>
  <c r="I231" i="22"/>
  <c r="M231" i="22" s="1"/>
  <c r="K230" i="22"/>
  <c r="J230" i="22"/>
  <c r="I230" i="22"/>
  <c r="M230" i="22" s="1"/>
  <c r="J229" i="22"/>
  <c r="K229" i="22" s="1"/>
  <c r="I229" i="22"/>
  <c r="M229" i="22" s="1"/>
  <c r="K228" i="22"/>
  <c r="J228" i="22"/>
  <c r="I228" i="22"/>
  <c r="M228" i="22" s="1"/>
  <c r="J227" i="22"/>
  <c r="K227" i="22" s="1"/>
  <c r="I227" i="22"/>
  <c r="M227" i="22" s="1"/>
  <c r="K226" i="22"/>
  <c r="J226" i="22"/>
  <c r="I226" i="22"/>
  <c r="M226" i="22" s="1"/>
  <c r="J225" i="22"/>
  <c r="K225" i="22" s="1"/>
  <c r="I225" i="22"/>
  <c r="M225" i="22" s="1"/>
  <c r="K224" i="22"/>
  <c r="J224" i="22"/>
  <c r="I224" i="22"/>
  <c r="M224" i="22" s="1"/>
  <c r="J223" i="22"/>
  <c r="K223" i="22" s="1"/>
  <c r="I223" i="22"/>
  <c r="M223" i="22" s="1"/>
  <c r="K222" i="22"/>
  <c r="J222" i="22"/>
  <c r="I222" i="22"/>
  <c r="M222" i="22" s="1"/>
  <c r="J221" i="22"/>
  <c r="K221" i="22" s="1"/>
  <c r="I221" i="22"/>
  <c r="M221" i="22" s="1"/>
  <c r="K220" i="22"/>
  <c r="J220" i="22"/>
  <c r="I220" i="22"/>
  <c r="M220" i="22" s="1"/>
  <c r="J219" i="22"/>
  <c r="K219" i="22" s="1"/>
  <c r="I219" i="22"/>
  <c r="M219" i="22" s="1"/>
  <c r="K218" i="22"/>
  <c r="J218" i="22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K214" i="22"/>
  <c r="J214" i="22"/>
  <c r="I214" i="22"/>
  <c r="M214" i="22" s="1"/>
  <c r="J213" i="22"/>
  <c r="K213" i="22" s="1"/>
  <c r="I213" i="22"/>
  <c r="M213" i="22" s="1"/>
  <c r="K212" i="22"/>
  <c r="J212" i="22"/>
  <c r="I212" i="22"/>
  <c r="M212" i="22" s="1"/>
  <c r="J211" i="22"/>
  <c r="K211" i="22" s="1"/>
  <c r="I211" i="22"/>
  <c r="M211" i="22" s="1"/>
  <c r="K210" i="22"/>
  <c r="J210" i="22"/>
  <c r="I210" i="22"/>
  <c r="M210" i="22" s="1"/>
  <c r="J209" i="22"/>
  <c r="K209" i="22" s="1"/>
  <c r="I209" i="22"/>
  <c r="M209" i="22" s="1"/>
  <c r="K208" i="22"/>
  <c r="J208" i="22"/>
  <c r="I208" i="22"/>
  <c r="M208" i="22" s="1"/>
  <c r="J207" i="22"/>
  <c r="K207" i="22" s="1"/>
  <c r="I207" i="22"/>
  <c r="M207" i="22" s="1"/>
  <c r="K206" i="22"/>
  <c r="J206" i="22"/>
  <c r="I206" i="22"/>
  <c r="M206" i="22" s="1"/>
  <c r="J205" i="22"/>
  <c r="K205" i="22" s="1"/>
  <c r="I205" i="22"/>
  <c r="M205" i="22" s="1"/>
  <c r="K204" i="22"/>
  <c r="J204" i="22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K200" i="22"/>
  <c r="J200" i="22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K188" i="22"/>
  <c r="J188" i="22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K184" i="22"/>
  <c r="J184" i="22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K176" i="22"/>
  <c r="J176" i="22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K172" i="22"/>
  <c r="J172" i="22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K168" i="22"/>
  <c r="J168" i="22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K156" i="22"/>
  <c r="J156" i="22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K152" i="22"/>
  <c r="J152" i="22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K144" i="22"/>
  <c r="J144" i="22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K140" i="22"/>
  <c r="J140" i="22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K136" i="22"/>
  <c r="J136" i="22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K128" i="22"/>
  <c r="J128" i="22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K112" i="22"/>
  <c r="J112" i="22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K108" i="22"/>
  <c r="J108" i="22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K104" i="22"/>
  <c r="J104" i="22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K96" i="22"/>
  <c r="J96" i="22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K92" i="22"/>
  <c r="J92" i="22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K88" i="22"/>
  <c r="J88" i="22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K84" i="22"/>
  <c r="J84" i="22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K80" i="22"/>
  <c r="J80" i="22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K76" i="22"/>
  <c r="J76" i="22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K72" i="22"/>
  <c r="J72" i="22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M59" i="22"/>
  <c r="K59" i="22"/>
  <c r="J59" i="22"/>
  <c r="I59" i="22"/>
  <c r="B59" i="22"/>
  <c r="J58" i="22"/>
  <c r="K58" i="22" s="1"/>
  <c r="I58" i="22"/>
  <c r="M58" i="22" s="1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K55" i="22"/>
  <c r="J55" i="22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K51" i="22"/>
  <c r="J51" i="22"/>
  <c r="I51" i="22"/>
  <c r="B51" i="22"/>
  <c r="M50" i="22"/>
  <c r="J50" i="22"/>
  <c r="K50" i="22" s="1"/>
  <c r="I50" i="22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M45" i="22"/>
  <c r="J45" i="22"/>
  <c r="K45" i="22" s="1"/>
  <c r="I45" i="22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K42" i="22"/>
  <c r="J42" i="22"/>
  <c r="I42" i="22"/>
  <c r="B42" i="22"/>
  <c r="M41" i="22"/>
  <c r="J41" i="22"/>
  <c r="K41" i="22" s="1"/>
  <c r="I41" i="22"/>
  <c r="B41" i="22"/>
  <c r="J40" i="22"/>
  <c r="K40" i="22" s="1"/>
  <c r="I40" i="22"/>
  <c r="M40" i="22" s="1"/>
  <c r="B40" i="22"/>
  <c r="M39" i="22"/>
  <c r="K39" i="22"/>
  <c r="J39" i="22"/>
  <c r="I39" i="22"/>
  <c r="B39" i="22"/>
  <c r="M38" i="22"/>
  <c r="K38" i="22"/>
  <c r="J38" i="22"/>
  <c r="I38" i="22"/>
  <c r="B38" i="22"/>
  <c r="M37" i="22"/>
  <c r="A37" i="22" s="1"/>
  <c r="J37" i="22"/>
  <c r="K37" i="22" s="1"/>
  <c r="I37" i="22"/>
  <c r="B37" i="22"/>
  <c r="M36" i="22"/>
  <c r="K36" i="22"/>
  <c r="J36" i="22"/>
  <c r="I36" i="22"/>
  <c r="B36" i="22"/>
  <c r="A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M32" i="22"/>
  <c r="A32" i="22" s="1"/>
  <c r="J32" i="22"/>
  <c r="K32" i="22" s="1"/>
  <c r="I32" i="22"/>
  <c r="B32" i="22"/>
  <c r="M31" i="22"/>
  <c r="A31" i="22" s="1"/>
  <c r="J31" i="22"/>
  <c r="K31" i="22" s="1"/>
  <c r="I31" i="22"/>
  <c r="B31" i="22"/>
  <c r="K30" i="22"/>
  <c r="J30" i="22"/>
  <c r="I30" i="22"/>
  <c r="M30" i="22" s="1"/>
  <c r="B30" i="22"/>
  <c r="A30" i="22"/>
  <c r="M29" i="22"/>
  <c r="A29" i="22" s="1"/>
  <c r="J29" i="22"/>
  <c r="K29" i="22" s="1"/>
  <c r="I29" i="22"/>
  <c r="B29" i="22"/>
  <c r="M28" i="22"/>
  <c r="K28" i="22"/>
  <c r="J28" i="22"/>
  <c r="I28" i="22"/>
  <c r="B28" i="22"/>
  <c r="A28" i="22"/>
  <c r="M27" i="22"/>
  <c r="A27" i="22" s="1"/>
  <c r="J27" i="22"/>
  <c r="K27" i="22" s="1"/>
  <c r="I27" i="22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K22" i="22"/>
  <c r="J22" i="22"/>
  <c r="I22" i="22"/>
  <c r="M22" i="22" s="1"/>
  <c r="B22" i="22"/>
  <c r="A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M19" i="22"/>
  <c r="A19" i="22" s="1"/>
  <c r="J19" i="22"/>
  <c r="K19" i="22" s="1"/>
  <c r="I19" i="22"/>
  <c r="B19" i="22"/>
  <c r="J18" i="22"/>
  <c r="K18" i="22" s="1"/>
  <c r="I18" i="22"/>
  <c r="M18" i="22" s="1"/>
  <c r="B18" i="22"/>
  <c r="A18" i="22"/>
  <c r="M17" i="22"/>
  <c r="A17" i="22" s="1"/>
  <c r="J17" i="22"/>
  <c r="K17" i="22" s="1"/>
  <c r="I17" i="22"/>
  <c r="B17" i="22"/>
  <c r="AI16" i="22"/>
  <c r="M16" i="22"/>
  <c r="K16" i="22"/>
  <c r="J16" i="22"/>
  <c r="I16" i="22"/>
  <c r="B16" i="22"/>
  <c r="A16" i="22"/>
  <c r="J15" i="22"/>
  <c r="K15" i="22" s="1"/>
  <c r="I15" i="22"/>
  <c r="M15" i="22" s="1"/>
  <c r="A15" i="22" s="1"/>
  <c r="B15" i="22"/>
  <c r="AI14" i="22"/>
  <c r="M14" i="22"/>
  <c r="A14" i="22" s="1"/>
  <c r="J14" i="22"/>
  <c r="K14" i="22" s="1"/>
  <c r="I14" i="22"/>
  <c r="B14" i="22"/>
  <c r="AI13" i="22"/>
  <c r="K13" i="22"/>
  <c r="J13" i="22"/>
  <c r="I13" i="22"/>
  <c r="M13" i="22" s="1"/>
  <c r="A13" i="22" s="1"/>
  <c r="B13" i="22"/>
  <c r="AI12" i="22"/>
  <c r="K12" i="22"/>
  <c r="J12" i="22"/>
  <c r="I12" i="22"/>
  <c r="M12" i="22" s="1"/>
  <c r="A12" i="22" s="1"/>
  <c r="B12" i="22"/>
  <c r="M11" i="22"/>
  <c r="A11" i="22" s="1"/>
  <c r="J11" i="22"/>
  <c r="K11" i="22" s="1"/>
  <c r="I11" i="22"/>
  <c r="B11" i="22"/>
  <c r="M10" i="22"/>
  <c r="K10" i="22"/>
  <c r="J10" i="22"/>
  <c r="I10" i="22"/>
  <c r="B10" i="22"/>
  <c r="A10" i="22"/>
  <c r="K9" i="22"/>
  <c r="J9" i="22"/>
  <c r="I9" i="22"/>
  <c r="M9" i="22" s="1"/>
  <c r="A9" i="22" s="1"/>
  <c r="B9" i="22"/>
  <c r="M8" i="22"/>
  <c r="A8" i="22" s="1"/>
  <c r="J8" i="22"/>
  <c r="K8" i="22" s="1"/>
  <c r="I8" i="22"/>
  <c r="B8" i="22"/>
  <c r="K7" i="22"/>
  <c r="J7" i="22"/>
  <c r="I7" i="22"/>
  <c r="M7" i="22" s="1"/>
  <c r="A7" i="22" s="1"/>
  <c r="B7" i="22"/>
  <c r="J6" i="22"/>
  <c r="K6" i="22" s="1"/>
  <c r="I6" i="22"/>
  <c r="M6" i="22" s="1"/>
  <c r="B6" i="22"/>
  <c r="A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J305" i="21"/>
  <c r="K305" i="21" s="1"/>
  <c r="I305" i="21"/>
  <c r="K304" i="21"/>
  <c r="J304" i="21"/>
  <c r="I304" i="21"/>
  <c r="M304" i="21" s="1"/>
  <c r="M303" i="21"/>
  <c r="K303" i="21"/>
  <c r="J303" i="21"/>
  <c r="I303" i="21"/>
  <c r="J302" i="21"/>
  <c r="K302" i="21" s="1"/>
  <c r="I302" i="21"/>
  <c r="M302" i="21" s="1"/>
  <c r="M301" i="21"/>
  <c r="J301" i="21"/>
  <c r="K301" i="21" s="1"/>
  <c r="I301" i="21"/>
  <c r="K300" i="21"/>
  <c r="J300" i="21"/>
  <c r="I300" i="21"/>
  <c r="M300" i="21" s="1"/>
  <c r="M299" i="21"/>
  <c r="K299" i="21"/>
  <c r="J299" i="21"/>
  <c r="I299" i="21"/>
  <c r="J298" i="21"/>
  <c r="K298" i="21" s="1"/>
  <c r="I298" i="21"/>
  <c r="M298" i="21" s="1"/>
  <c r="M297" i="21"/>
  <c r="J297" i="21"/>
  <c r="K297" i="21" s="1"/>
  <c r="I297" i="21"/>
  <c r="K296" i="21"/>
  <c r="J296" i="21"/>
  <c r="I296" i="21"/>
  <c r="M296" i="21" s="1"/>
  <c r="M295" i="21"/>
  <c r="K295" i="21"/>
  <c r="J295" i="21"/>
  <c r="I295" i="21"/>
  <c r="J294" i="21"/>
  <c r="K294" i="21" s="1"/>
  <c r="I294" i="21"/>
  <c r="M294" i="21" s="1"/>
  <c r="M293" i="21"/>
  <c r="J293" i="21"/>
  <c r="K293" i="21" s="1"/>
  <c r="I293" i="21"/>
  <c r="K292" i="21"/>
  <c r="J292" i="21"/>
  <c r="I292" i="21"/>
  <c r="M292" i="21" s="1"/>
  <c r="M291" i="21"/>
  <c r="K291" i="21"/>
  <c r="J291" i="21"/>
  <c r="I291" i="21"/>
  <c r="J290" i="21"/>
  <c r="K290" i="21" s="1"/>
  <c r="I290" i="21"/>
  <c r="M290" i="21" s="1"/>
  <c r="M289" i="21"/>
  <c r="J289" i="21"/>
  <c r="K289" i="21" s="1"/>
  <c r="I289" i="21"/>
  <c r="K288" i="21"/>
  <c r="J288" i="21"/>
  <c r="I288" i="21"/>
  <c r="M288" i="21" s="1"/>
  <c r="M287" i="21"/>
  <c r="K287" i="21"/>
  <c r="J287" i="21"/>
  <c r="I287" i="21"/>
  <c r="J286" i="21"/>
  <c r="K286" i="21" s="1"/>
  <c r="I286" i="21"/>
  <c r="M286" i="21" s="1"/>
  <c r="M285" i="21"/>
  <c r="J285" i="21"/>
  <c r="K285" i="21" s="1"/>
  <c r="I285" i="21"/>
  <c r="K284" i="21"/>
  <c r="J284" i="21"/>
  <c r="I284" i="21"/>
  <c r="M284" i="21" s="1"/>
  <c r="M283" i="21"/>
  <c r="K283" i="21"/>
  <c r="J283" i="21"/>
  <c r="I283" i="21"/>
  <c r="J282" i="21"/>
  <c r="K282" i="21" s="1"/>
  <c r="I282" i="21"/>
  <c r="M282" i="21" s="1"/>
  <c r="M281" i="21"/>
  <c r="J281" i="21"/>
  <c r="K281" i="21" s="1"/>
  <c r="I281" i="21"/>
  <c r="K280" i="21"/>
  <c r="J280" i="21"/>
  <c r="I280" i="21"/>
  <c r="M280" i="21" s="1"/>
  <c r="M279" i="21"/>
  <c r="K279" i="21"/>
  <c r="J279" i="21"/>
  <c r="I279" i="21"/>
  <c r="J278" i="21"/>
  <c r="K278" i="21" s="1"/>
  <c r="I278" i="21"/>
  <c r="M278" i="21" s="1"/>
  <c r="M277" i="21"/>
  <c r="J277" i="21"/>
  <c r="K277" i="21" s="1"/>
  <c r="I277" i="21"/>
  <c r="K276" i="21"/>
  <c r="J276" i="21"/>
  <c r="I276" i="21"/>
  <c r="M276" i="21" s="1"/>
  <c r="M275" i="21"/>
  <c r="K275" i="21"/>
  <c r="J275" i="21"/>
  <c r="I275" i="21"/>
  <c r="J274" i="21"/>
  <c r="K274" i="21" s="1"/>
  <c r="I274" i="21"/>
  <c r="M274" i="21" s="1"/>
  <c r="M273" i="21"/>
  <c r="J273" i="21"/>
  <c r="K273" i="21" s="1"/>
  <c r="I273" i="21"/>
  <c r="K272" i="21"/>
  <c r="J272" i="21"/>
  <c r="I272" i="21"/>
  <c r="M272" i="21" s="1"/>
  <c r="M271" i="21"/>
  <c r="K271" i="21"/>
  <c r="J271" i="21"/>
  <c r="I271" i="21"/>
  <c r="J270" i="21"/>
  <c r="K270" i="21" s="1"/>
  <c r="I270" i="21"/>
  <c r="M270" i="21" s="1"/>
  <c r="M269" i="21"/>
  <c r="J269" i="21"/>
  <c r="K269" i="21" s="1"/>
  <c r="I269" i="21"/>
  <c r="K268" i="21"/>
  <c r="J268" i="21"/>
  <c r="I268" i="21"/>
  <c r="M268" i="21" s="1"/>
  <c r="M267" i="21"/>
  <c r="K267" i="21"/>
  <c r="J267" i="21"/>
  <c r="I267" i="21"/>
  <c r="J266" i="21"/>
  <c r="K266" i="21" s="1"/>
  <c r="I266" i="21"/>
  <c r="M266" i="21" s="1"/>
  <c r="M265" i="21"/>
  <c r="J265" i="21"/>
  <c r="K265" i="21" s="1"/>
  <c r="I265" i="21"/>
  <c r="K264" i="21"/>
  <c r="J264" i="21"/>
  <c r="I264" i="21"/>
  <c r="M264" i="21" s="1"/>
  <c r="M263" i="21"/>
  <c r="K263" i="21"/>
  <c r="J263" i="21"/>
  <c r="I263" i="21"/>
  <c r="J262" i="21"/>
  <c r="K262" i="21" s="1"/>
  <c r="I262" i="21"/>
  <c r="M262" i="21" s="1"/>
  <c r="M261" i="21"/>
  <c r="J261" i="21"/>
  <c r="K261" i="21" s="1"/>
  <c r="I261" i="21"/>
  <c r="K260" i="21"/>
  <c r="J260" i="21"/>
  <c r="I260" i="21"/>
  <c r="M260" i="21" s="1"/>
  <c r="M259" i="21"/>
  <c r="K259" i="21"/>
  <c r="J259" i="21"/>
  <c r="I259" i="21"/>
  <c r="J258" i="21"/>
  <c r="K258" i="21" s="1"/>
  <c r="I258" i="21"/>
  <c r="M258" i="21" s="1"/>
  <c r="M257" i="21"/>
  <c r="J257" i="21"/>
  <c r="K257" i="21" s="1"/>
  <c r="I257" i="21"/>
  <c r="K256" i="21"/>
  <c r="J256" i="21"/>
  <c r="I256" i="21"/>
  <c r="M256" i="21" s="1"/>
  <c r="M255" i="21"/>
  <c r="K255" i="21"/>
  <c r="J255" i="21"/>
  <c r="I255" i="21"/>
  <c r="J254" i="21"/>
  <c r="K254" i="21" s="1"/>
  <c r="I254" i="21"/>
  <c r="M254" i="21" s="1"/>
  <c r="M253" i="21"/>
  <c r="J253" i="21"/>
  <c r="K253" i="21" s="1"/>
  <c r="I253" i="21"/>
  <c r="K252" i="21"/>
  <c r="J252" i="21"/>
  <c r="I252" i="21"/>
  <c r="M252" i="21" s="1"/>
  <c r="M251" i="21"/>
  <c r="K251" i="21"/>
  <c r="J251" i="21"/>
  <c r="I251" i="21"/>
  <c r="J250" i="21"/>
  <c r="K250" i="21" s="1"/>
  <c r="I250" i="21"/>
  <c r="M250" i="21" s="1"/>
  <c r="M249" i="21"/>
  <c r="J249" i="21"/>
  <c r="K249" i="21" s="1"/>
  <c r="I249" i="21"/>
  <c r="K248" i="21"/>
  <c r="J248" i="21"/>
  <c r="I248" i="21"/>
  <c r="M248" i="21" s="1"/>
  <c r="M247" i="21"/>
  <c r="K247" i="21"/>
  <c r="J247" i="21"/>
  <c r="I247" i="21"/>
  <c r="J246" i="21"/>
  <c r="K246" i="21" s="1"/>
  <c r="I246" i="21"/>
  <c r="M246" i="21" s="1"/>
  <c r="M245" i="21"/>
  <c r="J245" i="21"/>
  <c r="K245" i="21" s="1"/>
  <c r="I245" i="21"/>
  <c r="K244" i="21"/>
  <c r="J244" i="21"/>
  <c r="I244" i="21"/>
  <c r="M244" i="21" s="1"/>
  <c r="M243" i="21"/>
  <c r="K243" i="21"/>
  <c r="J243" i="21"/>
  <c r="I243" i="21"/>
  <c r="J242" i="21"/>
  <c r="K242" i="21" s="1"/>
  <c r="I242" i="21"/>
  <c r="M242" i="21" s="1"/>
  <c r="M241" i="21"/>
  <c r="J241" i="21"/>
  <c r="K241" i="21" s="1"/>
  <c r="I241" i="21"/>
  <c r="K240" i="21"/>
  <c r="J240" i="21"/>
  <c r="I240" i="21"/>
  <c r="M240" i="21" s="1"/>
  <c r="K239" i="21"/>
  <c r="J239" i="21"/>
  <c r="I239" i="21"/>
  <c r="M239" i="21" s="1"/>
  <c r="J238" i="21"/>
  <c r="K238" i="21" s="1"/>
  <c r="I238" i="21"/>
  <c r="M238" i="21" s="1"/>
  <c r="M237" i="21"/>
  <c r="J237" i="21"/>
  <c r="K237" i="21" s="1"/>
  <c r="I237" i="21"/>
  <c r="K236" i="21"/>
  <c r="J236" i="21"/>
  <c r="I236" i="21"/>
  <c r="M236" i="21" s="1"/>
  <c r="K235" i="21"/>
  <c r="J235" i="21"/>
  <c r="I235" i="21"/>
  <c r="M235" i="21" s="1"/>
  <c r="J234" i="21"/>
  <c r="K234" i="21" s="1"/>
  <c r="I234" i="21"/>
  <c r="M234" i="21" s="1"/>
  <c r="M233" i="21"/>
  <c r="J233" i="21"/>
  <c r="K233" i="21" s="1"/>
  <c r="I233" i="21"/>
  <c r="K232" i="21"/>
  <c r="J232" i="21"/>
  <c r="I232" i="21"/>
  <c r="M232" i="21" s="1"/>
  <c r="K231" i="21"/>
  <c r="J231" i="21"/>
  <c r="I231" i="21"/>
  <c r="M231" i="21" s="1"/>
  <c r="J230" i="21"/>
  <c r="K230" i="21" s="1"/>
  <c r="I230" i="21"/>
  <c r="M230" i="21" s="1"/>
  <c r="M229" i="21"/>
  <c r="J229" i="21"/>
  <c r="K229" i="21" s="1"/>
  <c r="I229" i="21"/>
  <c r="K228" i="21"/>
  <c r="J228" i="21"/>
  <c r="I228" i="21"/>
  <c r="M228" i="21" s="1"/>
  <c r="M227" i="21"/>
  <c r="K227" i="21"/>
  <c r="J227" i="21"/>
  <c r="I227" i="21"/>
  <c r="J226" i="21"/>
  <c r="K226" i="21" s="1"/>
  <c r="I226" i="21"/>
  <c r="M226" i="21" s="1"/>
  <c r="M225" i="21"/>
  <c r="J225" i="21"/>
  <c r="K225" i="21" s="1"/>
  <c r="I225" i="21"/>
  <c r="K224" i="21"/>
  <c r="J224" i="21"/>
  <c r="I224" i="21"/>
  <c r="M224" i="21" s="1"/>
  <c r="K223" i="21"/>
  <c r="J223" i="21"/>
  <c r="I223" i="21"/>
  <c r="M223" i="21" s="1"/>
  <c r="J222" i="21"/>
  <c r="K222" i="21" s="1"/>
  <c r="I222" i="21"/>
  <c r="M222" i="21" s="1"/>
  <c r="M221" i="21"/>
  <c r="J221" i="21"/>
  <c r="K221" i="21" s="1"/>
  <c r="I221" i="21"/>
  <c r="K220" i="21"/>
  <c r="J220" i="21"/>
  <c r="I220" i="21"/>
  <c r="M220" i="21" s="1"/>
  <c r="K219" i="21"/>
  <c r="J219" i="21"/>
  <c r="I219" i="21"/>
  <c r="M219" i="21" s="1"/>
  <c r="J218" i="21"/>
  <c r="K218" i="21" s="1"/>
  <c r="I218" i="21"/>
  <c r="M218" i="21" s="1"/>
  <c r="M217" i="21"/>
  <c r="J217" i="21"/>
  <c r="K217" i="21" s="1"/>
  <c r="I217" i="21"/>
  <c r="K216" i="21"/>
  <c r="J216" i="21"/>
  <c r="I216" i="21"/>
  <c r="M216" i="21" s="1"/>
  <c r="K215" i="21"/>
  <c r="J215" i="21"/>
  <c r="I215" i="21"/>
  <c r="M215" i="21" s="1"/>
  <c r="J214" i="21"/>
  <c r="K214" i="21" s="1"/>
  <c r="I214" i="21"/>
  <c r="M214" i="21" s="1"/>
  <c r="M213" i="21"/>
  <c r="J213" i="21"/>
  <c r="K213" i="21" s="1"/>
  <c r="I213" i="21"/>
  <c r="K212" i="21"/>
  <c r="J212" i="21"/>
  <c r="I212" i="21"/>
  <c r="M212" i="21" s="1"/>
  <c r="M211" i="21"/>
  <c r="K211" i="21"/>
  <c r="J211" i="21"/>
  <c r="I211" i="21"/>
  <c r="J210" i="21"/>
  <c r="K210" i="21" s="1"/>
  <c r="I210" i="21"/>
  <c r="M210" i="21" s="1"/>
  <c r="M209" i="21"/>
  <c r="J209" i="21"/>
  <c r="K209" i="21" s="1"/>
  <c r="I209" i="21"/>
  <c r="K208" i="21"/>
  <c r="J208" i="21"/>
  <c r="I208" i="21"/>
  <c r="M208" i="21" s="1"/>
  <c r="K207" i="21"/>
  <c r="J207" i="21"/>
  <c r="I207" i="21"/>
  <c r="M207" i="21" s="1"/>
  <c r="J206" i="21"/>
  <c r="K206" i="21" s="1"/>
  <c r="I206" i="21"/>
  <c r="M206" i="21" s="1"/>
  <c r="M205" i="21"/>
  <c r="J205" i="21"/>
  <c r="K205" i="21" s="1"/>
  <c r="I205" i="21"/>
  <c r="K204" i="21"/>
  <c r="J204" i="21"/>
  <c r="I204" i="21"/>
  <c r="M204" i="21" s="1"/>
  <c r="K203" i="21"/>
  <c r="J203" i="21"/>
  <c r="I203" i="21"/>
  <c r="M203" i="21" s="1"/>
  <c r="J202" i="21"/>
  <c r="K202" i="21" s="1"/>
  <c r="I202" i="21"/>
  <c r="M202" i="21" s="1"/>
  <c r="M201" i="21"/>
  <c r="J201" i="21"/>
  <c r="K201" i="21" s="1"/>
  <c r="I201" i="21"/>
  <c r="K200" i="21"/>
  <c r="J200" i="21"/>
  <c r="I200" i="21"/>
  <c r="M200" i="21" s="1"/>
  <c r="K199" i="21"/>
  <c r="J199" i="21"/>
  <c r="I199" i="21"/>
  <c r="M199" i="21" s="1"/>
  <c r="J198" i="21"/>
  <c r="K198" i="21" s="1"/>
  <c r="I198" i="21"/>
  <c r="M198" i="21" s="1"/>
  <c r="M197" i="21"/>
  <c r="J197" i="21"/>
  <c r="K197" i="21" s="1"/>
  <c r="I197" i="21"/>
  <c r="M196" i="21"/>
  <c r="J196" i="21"/>
  <c r="K196" i="21" s="1"/>
  <c r="I196" i="21"/>
  <c r="M195" i="21"/>
  <c r="J195" i="21"/>
  <c r="K195" i="21" s="1"/>
  <c r="I195" i="21"/>
  <c r="M194" i="21"/>
  <c r="J194" i="21"/>
  <c r="K194" i="21" s="1"/>
  <c r="I194" i="21"/>
  <c r="M193" i="21"/>
  <c r="J193" i="21"/>
  <c r="K193" i="21" s="1"/>
  <c r="I193" i="21"/>
  <c r="M192" i="21"/>
  <c r="J192" i="21"/>
  <c r="K192" i="21" s="1"/>
  <c r="I192" i="21"/>
  <c r="M191" i="21"/>
  <c r="J191" i="21"/>
  <c r="K191" i="21" s="1"/>
  <c r="I191" i="21"/>
  <c r="M190" i="21"/>
  <c r="J190" i="21"/>
  <c r="K190" i="21" s="1"/>
  <c r="I190" i="21"/>
  <c r="M189" i="21"/>
  <c r="J189" i="21"/>
  <c r="K189" i="21" s="1"/>
  <c r="I189" i="21"/>
  <c r="M188" i="21"/>
  <c r="J188" i="21"/>
  <c r="K188" i="21" s="1"/>
  <c r="I188" i="21"/>
  <c r="M187" i="21"/>
  <c r="J187" i="21"/>
  <c r="K187" i="21" s="1"/>
  <c r="I187" i="21"/>
  <c r="M186" i="21"/>
  <c r="J186" i="21"/>
  <c r="K186" i="21" s="1"/>
  <c r="I186" i="21"/>
  <c r="M185" i="21"/>
  <c r="J185" i="21"/>
  <c r="K185" i="21" s="1"/>
  <c r="I185" i="21"/>
  <c r="M184" i="21"/>
  <c r="J184" i="21"/>
  <c r="K184" i="21" s="1"/>
  <c r="I184" i="21"/>
  <c r="M183" i="21"/>
  <c r="J183" i="21"/>
  <c r="K183" i="21" s="1"/>
  <c r="I183" i="21"/>
  <c r="M182" i="21"/>
  <c r="J182" i="21"/>
  <c r="K182" i="21" s="1"/>
  <c r="I182" i="21"/>
  <c r="M181" i="21"/>
  <c r="J181" i="21"/>
  <c r="K181" i="21" s="1"/>
  <c r="I181" i="21"/>
  <c r="M180" i="21"/>
  <c r="J180" i="21"/>
  <c r="K180" i="21" s="1"/>
  <c r="I180" i="21"/>
  <c r="M179" i="21"/>
  <c r="J179" i="21"/>
  <c r="K179" i="21" s="1"/>
  <c r="I179" i="21"/>
  <c r="M178" i="21"/>
  <c r="J178" i="21"/>
  <c r="K178" i="21" s="1"/>
  <c r="I178" i="21"/>
  <c r="M177" i="21"/>
  <c r="J177" i="21"/>
  <c r="K177" i="21" s="1"/>
  <c r="I177" i="21"/>
  <c r="M176" i="21"/>
  <c r="J176" i="21"/>
  <c r="K176" i="21" s="1"/>
  <c r="I176" i="21"/>
  <c r="M175" i="21"/>
  <c r="J175" i="21"/>
  <c r="K175" i="21" s="1"/>
  <c r="I175" i="21"/>
  <c r="M174" i="21"/>
  <c r="J174" i="21"/>
  <c r="K174" i="21" s="1"/>
  <c r="I174" i="21"/>
  <c r="M173" i="21"/>
  <c r="J173" i="21"/>
  <c r="K173" i="21" s="1"/>
  <c r="I173" i="21"/>
  <c r="M172" i="21"/>
  <c r="J172" i="21"/>
  <c r="K172" i="21" s="1"/>
  <c r="I172" i="21"/>
  <c r="M171" i="21"/>
  <c r="J171" i="21"/>
  <c r="K171" i="21" s="1"/>
  <c r="I171" i="21"/>
  <c r="M170" i="21"/>
  <c r="J170" i="21"/>
  <c r="K170" i="21" s="1"/>
  <c r="I170" i="21"/>
  <c r="M169" i="21"/>
  <c r="J169" i="21"/>
  <c r="K169" i="21" s="1"/>
  <c r="I169" i="21"/>
  <c r="M168" i="21"/>
  <c r="J168" i="21"/>
  <c r="K168" i="21" s="1"/>
  <c r="I168" i="21"/>
  <c r="M167" i="21"/>
  <c r="J167" i="21"/>
  <c r="K167" i="21" s="1"/>
  <c r="I167" i="21"/>
  <c r="M166" i="21"/>
  <c r="J166" i="21"/>
  <c r="K166" i="21" s="1"/>
  <c r="I166" i="21"/>
  <c r="M165" i="21"/>
  <c r="J165" i="21"/>
  <c r="K165" i="21" s="1"/>
  <c r="I165" i="21"/>
  <c r="M164" i="21"/>
  <c r="J164" i="21"/>
  <c r="K164" i="21" s="1"/>
  <c r="I164" i="21"/>
  <c r="M163" i="21"/>
  <c r="J163" i="21"/>
  <c r="K163" i="21" s="1"/>
  <c r="I163" i="21"/>
  <c r="M162" i="21"/>
  <c r="J162" i="21"/>
  <c r="K162" i="21" s="1"/>
  <c r="I162" i="21"/>
  <c r="M161" i="21"/>
  <c r="J161" i="21"/>
  <c r="K161" i="21" s="1"/>
  <c r="I161" i="21"/>
  <c r="M160" i="21"/>
  <c r="J160" i="21"/>
  <c r="K160" i="21" s="1"/>
  <c r="I160" i="21"/>
  <c r="M159" i="21"/>
  <c r="J159" i="21"/>
  <c r="K159" i="21" s="1"/>
  <c r="I159" i="21"/>
  <c r="M158" i="21"/>
  <c r="J158" i="21"/>
  <c r="K158" i="21" s="1"/>
  <c r="I158" i="21"/>
  <c r="M157" i="21"/>
  <c r="J157" i="21"/>
  <c r="K157" i="21" s="1"/>
  <c r="I157" i="21"/>
  <c r="M156" i="21"/>
  <c r="J156" i="21"/>
  <c r="K156" i="21" s="1"/>
  <c r="I156" i="21"/>
  <c r="M155" i="21"/>
  <c r="J155" i="21"/>
  <c r="K155" i="21" s="1"/>
  <c r="I155" i="21"/>
  <c r="M154" i="21"/>
  <c r="J154" i="21"/>
  <c r="K154" i="21" s="1"/>
  <c r="I154" i="21"/>
  <c r="M153" i="21"/>
  <c r="J153" i="21"/>
  <c r="K153" i="21" s="1"/>
  <c r="I153" i="21"/>
  <c r="M152" i="21"/>
  <c r="J152" i="21"/>
  <c r="K152" i="21" s="1"/>
  <c r="I152" i="21"/>
  <c r="M151" i="21"/>
  <c r="J151" i="21"/>
  <c r="K151" i="21" s="1"/>
  <c r="I151" i="21"/>
  <c r="M150" i="21"/>
  <c r="J150" i="21"/>
  <c r="K150" i="21" s="1"/>
  <c r="I150" i="21"/>
  <c r="M149" i="21"/>
  <c r="J149" i="21"/>
  <c r="K149" i="21" s="1"/>
  <c r="I149" i="21"/>
  <c r="M148" i="21"/>
  <c r="J148" i="21"/>
  <c r="K148" i="21" s="1"/>
  <c r="I148" i="21"/>
  <c r="M147" i="21"/>
  <c r="J147" i="21"/>
  <c r="K147" i="21" s="1"/>
  <c r="I147" i="21"/>
  <c r="M146" i="21"/>
  <c r="J146" i="21"/>
  <c r="K146" i="21" s="1"/>
  <c r="I146" i="21"/>
  <c r="M145" i="21"/>
  <c r="J145" i="21"/>
  <c r="K145" i="21" s="1"/>
  <c r="I145" i="21"/>
  <c r="M144" i="21"/>
  <c r="J144" i="21"/>
  <c r="K144" i="21" s="1"/>
  <c r="I144" i="21"/>
  <c r="M143" i="21"/>
  <c r="J143" i="21"/>
  <c r="K143" i="21" s="1"/>
  <c r="I143" i="21"/>
  <c r="M142" i="21"/>
  <c r="J142" i="21"/>
  <c r="K142" i="21" s="1"/>
  <c r="I142" i="21"/>
  <c r="M141" i="21"/>
  <c r="J141" i="21"/>
  <c r="K141" i="21" s="1"/>
  <c r="I141" i="21"/>
  <c r="M140" i="21"/>
  <c r="J140" i="21"/>
  <c r="K140" i="21" s="1"/>
  <c r="I140" i="21"/>
  <c r="M139" i="21"/>
  <c r="J139" i="21"/>
  <c r="K139" i="21" s="1"/>
  <c r="I139" i="21"/>
  <c r="M138" i="21"/>
  <c r="J138" i="21"/>
  <c r="K138" i="21" s="1"/>
  <c r="I138" i="21"/>
  <c r="M137" i="21"/>
  <c r="J137" i="21"/>
  <c r="K137" i="21" s="1"/>
  <c r="I137" i="21"/>
  <c r="M136" i="21"/>
  <c r="J136" i="21"/>
  <c r="K136" i="21" s="1"/>
  <c r="I136" i="21"/>
  <c r="M135" i="21"/>
  <c r="J135" i="21"/>
  <c r="K135" i="21" s="1"/>
  <c r="I135" i="21"/>
  <c r="M134" i="21"/>
  <c r="J134" i="21"/>
  <c r="K134" i="21" s="1"/>
  <c r="I134" i="21"/>
  <c r="M133" i="21"/>
  <c r="J133" i="21"/>
  <c r="K133" i="21" s="1"/>
  <c r="I133" i="21"/>
  <c r="M132" i="21"/>
  <c r="J132" i="21"/>
  <c r="K132" i="21" s="1"/>
  <c r="I132" i="21"/>
  <c r="M131" i="21"/>
  <c r="J131" i="21"/>
  <c r="K131" i="21" s="1"/>
  <c r="I131" i="21"/>
  <c r="M130" i="21"/>
  <c r="J130" i="21"/>
  <c r="K130" i="21" s="1"/>
  <c r="I130" i="21"/>
  <c r="M129" i="21"/>
  <c r="J129" i="21"/>
  <c r="K129" i="21" s="1"/>
  <c r="I129" i="21"/>
  <c r="M128" i="21"/>
  <c r="J128" i="21"/>
  <c r="K128" i="21" s="1"/>
  <c r="I128" i="21"/>
  <c r="M127" i="21"/>
  <c r="J127" i="21"/>
  <c r="K127" i="21" s="1"/>
  <c r="I127" i="21"/>
  <c r="M126" i="21"/>
  <c r="J126" i="21"/>
  <c r="K126" i="21" s="1"/>
  <c r="I126" i="21"/>
  <c r="M125" i="21"/>
  <c r="J125" i="21"/>
  <c r="K125" i="21" s="1"/>
  <c r="I125" i="21"/>
  <c r="M124" i="21"/>
  <c r="J124" i="21"/>
  <c r="K124" i="21" s="1"/>
  <c r="I124" i="21"/>
  <c r="M123" i="21"/>
  <c r="J123" i="21"/>
  <c r="K123" i="21" s="1"/>
  <c r="I123" i="21"/>
  <c r="M122" i="21"/>
  <c r="J122" i="21"/>
  <c r="K122" i="21" s="1"/>
  <c r="I122" i="21"/>
  <c r="M121" i="21"/>
  <c r="J121" i="21"/>
  <c r="K121" i="21" s="1"/>
  <c r="I121" i="21"/>
  <c r="M120" i="21"/>
  <c r="J120" i="21"/>
  <c r="K120" i="21" s="1"/>
  <c r="I120" i="21"/>
  <c r="M119" i="21"/>
  <c r="J119" i="21"/>
  <c r="K119" i="21" s="1"/>
  <c r="I119" i="21"/>
  <c r="M118" i="21"/>
  <c r="J118" i="21"/>
  <c r="K118" i="21" s="1"/>
  <c r="I118" i="21"/>
  <c r="M117" i="21"/>
  <c r="J117" i="21"/>
  <c r="K117" i="21" s="1"/>
  <c r="I117" i="21"/>
  <c r="M116" i="21"/>
  <c r="J116" i="21"/>
  <c r="K116" i="21" s="1"/>
  <c r="I116" i="21"/>
  <c r="M115" i="21"/>
  <c r="J115" i="21"/>
  <c r="K115" i="21" s="1"/>
  <c r="I115" i="21"/>
  <c r="M114" i="21"/>
  <c r="J114" i="21"/>
  <c r="K114" i="21" s="1"/>
  <c r="I114" i="21"/>
  <c r="M113" i="21"/>
  <c r="J113" i="21"/>
  <c r="K113" i="21" s="1"/>
  <c r="I113" i="21"/>
  <c r="M112" i="21"/>
  <c r="J112" i="21"/>
  <c r="K112" i="21" s="1"/>
  <c r="I112" i="21"/>
  <c r="M111" i="21"/>
  <c r="J111" i="21"/>
  <c r="K111" i="21" s="1"/>
  <c r="I111" i="21"/>
  <c r="M110" i="21"/>
  <c r="J110" i="21"/>
  <c r="K110" i="21" s="1"/>
  <c r="I110" i="21"/>
  <c r="M109" i="21"/>
  <c r="J109" i="21"/>
  <c r="K109" i="21" s="1"/>
  <c r="I109" i="21"/>
  <c r="M108" i="21"/>
  <c r="J108" i="21"/>
  <c r="K108" i="21" s="1"/>
  <c r="I108" i="21"/>
  <c r="M107" i="21"/>
  <c r="J107" i="21"/>
  <c r="K107" i="21" s="1"/>
  <c r="I107" i="21"/>
  <c r="M106" i="21"/>
  <c r="J106" i="21"/>
  <c r="K106" i="21" s="1"/>
  <c r="I106" i="21"/>
  <c r="M105" i="21"/>
  <c r="J105" i="21"/>
  <c r="K105" i="21" s="1"/>
  <c r="I105" i="21"/>
  <c r="M104" i="21"/>
  <c r="J104" i="21"/>
  <c r="K104" i="21" s="1"/>
  <c r="I104" i="21"/>
  <c r="M103" i="21"/>
  <c r="J103" i="21"/>
  <c r="K103" i="21" s="1"/>
  <c r="I103" i="21"/>
  <c r="M102" i="21"/>
  <c r="J102" i="21"/>
  <c r="K102" i="21" s="1"/>
  <c r="I102" i="21"/>
  <c r="M101" i="21"/>
  <c r="J101" i="21"/>
  <c r="K101" i="21" s="1"/>
  <c r="I101" i="21"/>
  <c r="M100" i="21"/>
  <c r="J100" i="21"/>
  <c r="K100" i="21" s="1"/>
  <c r="I100" i="21"/>
  <c r="M99" i="21"/>
  <c r="J99" i="21"/>
  <c r="K99" i="21" s="1"/>
  <c r="I99" i="21"/>
  <c r="M98" i="21"/>
  <c r="J98" i="21"/>
  <c r="K98" i="21" s="1"/>
  <c r="I98" i="21"/>
  <c r="M97" i="21"/>
  <c r="J97" i="21"/>
  <c r="K97" i="21" s="1"/>
  <c r="I97" i="21"/>
  <c r="M96" i="21"/>
  <c r="J96" i="21"/>
  <c r="K96" i="21" s="1"/>
  <c r="I96" i="21"/>
  <c r="M95" i="21"/>
  <c r="J95" i="21"/>
  <c r="K95" i="21" s="1"/>
  <c r="I95" i="21"/>
  <c r="M94" i="21"/>
  <c r="J94" i="21"/>
  <c r="K94" i="21" s="1"/>
  <c r="I94" i="21"/>
  <c r="M93" i="21"/>
  <c r="J93" i="21"/>
  <c r="K93" i="21" s="1"/>
  <c r="I93" i="21"/>
  <c r="M92" i="21"/>
  <c r="J92" i="21"/>
  <c r="K92" i="21" s="1"/>
  <c r="I92" i="21"/>
  <c r="M91" i="21"/>
  <c r="J91" i="21"/>
  <c r="K91" i="21" s="1"/>
  <c r="I91" i="21"/>
  <c r="M90" i="21"/>
  <c r="J90" i="21"/>
  <c r="K90" i="21" s="1"/>
  <c r="I90" i="21"/>
  <c r="M89" i="21"/>
  <c r="J89" i="21"/>
  <c r="K89" i="21" s="1"/>
  <c r="I89" i="21"/>
  <c r="M88" i="21"/>
  <c r="J88" i="21"/>
  <c r="K88" i="21" s="1"/>
  <c r="I88" i="21"/>
  <c r="M87" i="21"/>
  <c r="J87" i="21"/>
  <c r="K87" i="21" s="1"/>
  <c r="I87" i="21"/>
  <c r="M86" i="21"/>
  <c r="J86" i="21"/>
  <c r="K86" i="21" s="1"/>
  <c r="I86" i="21"/>
  <c r="M85" i="21"/>
  <c r="J85" i="21"/>
  <c r="K85" i="21" s="1"/>
  <c r="I85" i="21"/>
  <c r="M84" i="21"/>
  <c r="J84" i="21"/>
  <c r="K84" i="21" s="1"/>
  <c r="I84" i="21"/>
  <c r="M83" i="21"/>
  <c r="J83" i="21"/>
  <c r="K83" i="21" s="1"/>
  <c r="I83" i="21"/>
  <c r="M82" i="21"/>
  <c r="J82" i="21"/>
  <c r="K82" i="21" s="1"/>
  <c r="I82" i="21"/>
  <c r="M81" i="21"/>
  <c r="J81" i="21"/>
  <c r="K81" i="21" s="1"/>
  <c r="I81" i="21"/>
  <c r="M80" i="21"/>
  <c r="J80" i="21"/>
  <c r="K80" i="21" s="1"/>
  <c r="I80" i="21"/>
  <c r="M79" i="21"/>
  <c r="J79" i="21"/>
  <c r="K79" i="21" s="1"/>
  <c r="I79" i="21"/>
  <c r="M78" i="21"/>
  <c r="J78" i="21"/>
  <c r="K78" i="21" s="1"/>
  <c r="I78" i="21"/>
  <c r="M77" i="21"/>
  <c r="J77" i="21"/>
  <c r="K77" i="21" s="1"/>
  <c r="I77" i="21"/>
  <c r="M76" i="21"/>
  <c r="J76" i="21"/>
  <c r="K76" i="21" s="1"/>
  <c r="I76" i="21"/>
  <c r="M75" i="21"/>
  <c r="J75" i="21"/>
  <c r="K75" i="21" s="1"/>
  <c r="I75" i="21"/>
  <c r="M74" i="21"/>
  <c r="J74" i="21"/>
  <c r="K74" i="21" s="1"/>
  <c r="I74" i="21"/>
  <c r="M73" i="21"/>
  <c r="J73" i="21"/>
  <c r="K73" i="21" s="1"/>
  <c r="I73" i="21"/>
  <c r="M72" i="21"/>
  <c r="J72" i="21"/>
  <c r="K72" i="21" s="1"/>
  <c r="I72" i="21"/>
  <c r="M71" i="21"/>
  <c r="J71" i="21"/>
  <c r="K71" i="21" s="1"/>
  <c r="I71" i="21"/>
  <c r="M70" i="21"/>
  <c r="J70" i="21"/>
  <c r="K70" i="21" s="1"/>
  <c r="I70" i="21"/>
  <c r="M69" i="21"/>
  <c r="J69" i="21"/>
  <c r="K69" i="21" s="1"/>
  <c r="I69" i="21"/>
  <c r="M68" i="21"/>
  <c r="J68" i="21"/>
  <c r="K68" i="21" s="1"/>
  <c r="I68" i="21"/>
  <c r="M67" i="21"/>
  <c r="J67" i="21"/>
  <c r="K67" i="21" s="1"/>
  <c r="I67" i="21"/>
  <c r="M66" i="21"/>
  <c r="J66" i="21"/>
  <c r="K66" i="21" s="1"/>
  <c r="I66" i="21"/>
  <c r="M65" i="21"/>
  <c r="J65" i="21"/>
  <c r="K65" i="21" s="1"/>
  <c r="I65" i="21"/>
  <c r="B65" i="21"/>
  <c r="K64" i="21"/>
  <c r="J64" i="21"/>
  <c r="I64" i="21"/>
  <c r="M64" i="21" s="1"/>
  <c r="B64" i="21"/>
  <c r="M63" i="21"/>
  <c r="J63" i="21"/>
  <c r="K63" i="21" s="1"/>
  <c r="I63" i="21"/>
  <c r="B63" i="21"/>
  <c r="K62" i="21"/>
  <c r="J62" i="21"/>
  <c r="I62" i="21"/>
  <c r="M62" i="21" s="1"/>
  <c r="B62" i="21"/>
  <c r="M61" i="21"/>
  <c r="J61" i="21"/>
  <c r="K61" i="21" s="1"/>
  <c r="I61" i="21"/>
  <c r="B61" i="21"/>
  <c r="K60" i="21"/>
  <c r="J60" i="21"/>
  <c r="I60" i="21"/>
  <c r="M60" i="21" s="1"/>
  <c r="B60" i="21"/>
  <c r="M59" i="21"/>
  <c r="J59" i="21"/>
  <c r="K59" i="21" s="1"/>
  <c r="I59" i="21"/>
  <c r="B59" i="21"/>
  <c r="K58" i="21"/>
  <c r="J58" i="21"/>
  <c r="I58" i="21"/>
  <c r="M58" i="21" s="1"/>
  <c r="B58" i="21"/>
  <c r="M57" i="21"/>
  <c r="J57" i="21"/>
  <c r="K57" i="21" s="1"/>
  <c r="I57" i="21"/>
  <c r="B57" i="21"/>
  <c r="K56" i="21"/>
  <c r="J56" i="21"/>
  <c r="I56" i="21"/>
  <c r="M56" i="21" s="1"/>
  <c r="B56" i="21"/>
  <c r="M55" i="21"/>
  <c r="J55" i="21"/>
  <c r="K55" i="21" s="1"/>
  <c r="I55" i="21"/>
  <c r="B55" i="21"/>
  <c r="K54" i="21"/>
  <c r="J54" i="21"/>
  <c r="I54" i="21"/>
  <c r="M54" i="21" s="1"/>
  <c r="B54" i="21"/>
  <c r="M53" i="21"/>
  <c r="J53" i="21"/>
  <c r="K53" i="21" s="1"/>
  <c r="I53" i="21"/>
  <c r="B53" i="21"/>
  <c r="K52" i="21"/>
  <c r="J52" i="21"/>
  <c r="I52" i="21"/>
  <c r="M52" i="21" s="1"/>
  <c r="B52" i="21"/>
  <c r="M51" i="21"/>
  <c r="J51" i="21"/>
  <c r="K51" i="21" s="1"/>
  <c r="I51" i="21"/>
  <c r="B51" i="21"/>
  <c r="K50" i="21"/>
  <c r="J50" i="21"/>
  <c r="I50" i="21"/>
  <c r="M50" i="21" s="1"/>
  <c r="B50" i="21"/>
  <c r="M49" i="21"/>
  <c r="J49" i="21"/>
  <c r="K49" i="21" s="1"/>
  <c r="I49" i="21"/>
  <c r="B49" i="21"/>
  <c r="K48" i="21"/>
  <c r="J48" i="21"/>
  <c r="I48" i="21"/>
  <c r="M48" i="21" s="1"/>
  <c r="B48" i="21"/>
  <c r="M47" i="21"/>
  <c r="J47" i="21"/>
  <c r="K47" i="21" s="1"/>
  <c r="I47" i="21"/>
  <c r="B47" i="21"/>
  <c r="T46" i="21"/>
  <c r="U46" i="21" s="1"/>
  <c r="R46" i="21"/>
  <c r="M46" i="21"/>
  <c r="J46" i="21"/>
  <c r="K46" i="21" s="1"/>
  <c r="I46" i="21"/>
  <c r="B46" i="21"/>
  <c r="K45" i="21"/>
  <c r="J45" i="21"/>
  <c r="I45" i="21"/>
  <c r="M45" i="21" s="1"/>
  <c r="B45" i="21"/>
  <c r="M44" i="21"/>
  <c r="J44" i="21"/>
  <c r="K44" i="21" s="1"/>
  <c r="I44" i="21"/>
  <c r="B44" i="21"/>
  <c r="K43" i="21"/>
  <c r="J43" i="21"/>
  <c r="I43" i="21"/>
  <c r="M43" i="21" s="1"/>
  <c r="B43" i="21"/>
  <c r="M42" i="21"/>
  <c r="J42" i="21"/>
  <c r="K42" i="21" s="1"/>
  <c r="I42" i="21"/>
  <c r="B42" i="21"/>
  <c r="K41" i="21"/>
  <c r="J41" i="21"/>
  <c r="I41" i="21"/>
  <c r="M41" i="21" s="1"/>
  <c r="B41" i="21"/>
  <c r="M40" i="21"/>
  <c r="J40" i="21"/>
  <c r="K40" i="21" s="1"/>
  <c r="I40" i="21"/>
  <c r="B40" i="21"/>
  <c r="K39" i="21"/>
  <c r="J39" i="21"/>
  <c r="I39" i="21"/>
  <c r="M39" i="21" s="1"/>
  <c r="B39" i="21"/>
  <c r="M38" i="21"/>
  <c r="J38" i="21"/>
  <c r="K38" i="21" s="1"/>
  <c r="I38" i="21"/>
  <c r="B38" i="21"/>
  <c r="K37" i="21"/>
  <c r="J37" i="21"/>
  <c r="I37" i="21"/>
  <c r="M37" i="21" s="1"/>
  <c r="A37" i="21" s="1"/>
  <c r="B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K34" i="21"/>
  <c r="J34" i="21"/>
  <c r="I34" i="21"/>
  <c r="M34" i="21" s="1"/>
  <c r="A34" i="21" s="1"/>
  <c r="B34" i="21"/>
  <c r="K33" i="21"/>
  <c r="J33" i="21"/>
  <c r="I33" i="21"/>
  <c r="M33" i="21" s="1"/>
  <c r="A33" i="21" s="1"/>
  <c r="B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K30" i="21"/>
  <c r="J30" i="21"/>
  <c r="I30" i="21"/>
  <c r="M30" i="21" s="1"/>
  <c r="A30" i="21" s="1"/>
  <c r="B30" i="21"/>
  <c r="K29" i="21"/>
  <c r="J29" i="21"/>
  <c r="I29" i="21"/>
  <c r="M29" i="21" s="1"/>
  <c r="A29" i="21" s="1"/>
  <c r="B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K26" i="21"/>
  <c r="J26" i="21"/>
  <c r="I26" i="21"/>
  <c r="M26" i="21" s="1"/>
  <c r="A26" i="21" s="1"/>
  <c r="B26" i="21"/>
  <c r="K25" i="21"/>
  <c r="J25" i="21"/>
  <c r="I25" i="21"/>
  <c r="M25" i="21" s="1"/>
  <c r="A25" i="21" s="1"/>
  <c r="B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K22" i="21"/>
  <c r="J22" i="21"/>
  <c r="I22" i="21"/>
  <c r="M22" i="21" s="1"/>
  <c r="A22" i="21" s="1"/>
  <c r="B22" i="21"/>
  <c r="K21" i="21"/>
  <c r="J21" i="21"/>
  <c r="I21" i="21"/>
  <c r="M21" i="21" s="1"/>
  <c r="A21" i="21" s="1"/>
  <c r="B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K18" i="21"/>
  <c r="J18" i="21"/>
  <c r="I18" i="21"/>
  <c r="M18" i="21" s="1"/>
  <c r="A18" i="21" s="1"/>
  <c r="B18" i="21"/>
  <c r="K17" i="21"/>
  <c r="J17" i="21"/>
  <c r="I17" i="21"/>
  <c r="M17" i="21" s="1"/>
  <c r="A17" i="21" s="1"/>
  <c r="B17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K14" i="21"/>
  <c r="J14" i="21"/>
  <c r="I14" i="21"/>
  <c r="M14" i="21" s="1"/>
  <c r="A14" i="21" s="1"/>
  <c r="B14" i="21"/>
  <c r="AI13" i="21"/>
  <c r="M13" i="21"/>
  <c r="A13" i="21" s="1"/>
  <c r="J13" i="21"/>
  <c r="K13" i="21" s="1"/>
  <c r="I13" i="21"/>
  <c r="B13" i="21"/>
  <c r="AI12" i="21"/>
  <c r="AI16" i="21" s="1"/>
  <c r="K12" i="21"/>
  <c r="J12" i="21"/>
  <c r="I12" i="21"/>
  <c r="M12" i="21" s="1"/>
  <c r="A12" i="21" s="1"/>
  <c r="B12" i="21"/>
  <c r="K11" i="21"/>
  <c r="J11" i="21"/>
  <c r="I11" i="21"/>
  <c r="M11" i="21" s="1"/>
  <c r="A11" i="21" s="1"/>
  <c r="B11" i="21"/>
  <c r="K10" i="21"/>
  <c r="J10" i="21"/>
  <c r="I10" i="21"/>
  <c r="M10" i="21" s="1"/>
  <c r="A10" i="21" s="1"/>
  <c r="B10" i="21"/>
  <c r="L9" i="21"/>
  <c r="J9" i="21"/>
  <c r="K9" i="21" s="1"/>
  <c r="I9" i="21"/>
  <c r="M9" i="21" s="1"/>
  <c r="A9" i="21" s="1"/>
  <c r="B9" i="21"/>
  <c r="K8" i="21"/>
  <c r="J8" i="21"/>
  <c r="I8" i="21"/>
  <c r="M8" i="21" s="1"/>
  <c r="A8" i="21" s="1"/>
  <c r="B8" i="21"/>
  <c r="M7" i="21"/>
  <c r="L7" i="21"/>
  <c r="J7" i="21"/>
  <c r="K7" i="21" s="1"/>
  <c r="I7" i="21"/>
  <c r="B7" i="21"/>
  <c r="A7" i="21"/>
  <c r="M6" i="21"/>
  <c r="K6" i="21"/>
  <c r="J6" i="21"/>
  <c r="I6" i="21"/>
  <c r="B6" i="21"/>
  <c r="A6" i="21"/>
  <c r="K2" i="21"/>
  <c r="L6" i="21" s="1"/>
  <c r="AX23" i="20" a="1"/>
  <c r="AX23" i="20" s="1"/>
  <c r="AL23" i="20"/>
  <c r="AJ23" i="20"/>
  <c r="AF23" i="20"/>
  <c r="AG23" i="20" s="1"/>
  <c r="BD23" i="20" s="1"/>
  <c r="AB23" i="20"/>
  <c r="AC23" i="20" s="1"/>
  <c r="BC23" i="20" s="1"/>
  <c r="Z23" i="20"/>
  <c r="X23" i="20"/>
  <c r="Y23" i="20" s="1"/>
  <c r="BA23" i="20" s="1"/>
  <c r="A23" i="20"/>
  <c r="AX22" i="20" a="1"/>
  <c r="AX22" i="20" s="1"/>
  <c r="AL22" i="20"/>
  <c r="AJ22" i="20"/>
  <c r="AF22" i="20"/>
  <c r="AG22" i="20" s="1"/>
  <c r="BD22" i="20" s="1"/>
  <c r="Z22" i="20"/>
  <c r="X22" i="20"/>
  <c r="Y22" i="20" s="1"/>
  <c r="BA22" i="20" s="1"/>
  <c r="A22" i="20"/>
  <c r="AX21" i="20" a="1"/>
  <c r="AX21" i="20" s="1"/>
  <c r="AL21" i="20"/>
  <c r="AJ21" i="20"/>
  <c r="AF21" i="20"/>
  <c r="AG21" i="20" s="1"/>
  <c r="BD21" i="20" s="1"/>
  <c r="Z21" i="20"/>
  <c r="AA21" i="20" s="1"/>
  <c r="BB21" i="20" s="1"/>
  <c r="X21" i="20"/>
  <c r="Y21" i="20" s="1"/>
  <c r="BA21" i="20" s="1"/>
  <c r="A21" i="20"/>
  <c r="AX20" i="20" a="1"/>
  <c r="AX20" i="20" s="1"/>
  <c r="AL20" i="20"/>
  <c r="AJ20" i="20"/>
  <c r="AF20" i="20"/>
  <c r="AG20" i="20" s="1"/>
  <c r="BD20" i="20" s="1"/>
  <c r="Z20" i="20"/>
  <c r="AA20" i="20" s="1"/>
  <c r="BB20" i="20" s="1"/>
  <c r="X20" i="20"/>
  <c r="A20" i="20"/>
  <c r="AX19" i="20" a="1"/>
  <c r="AX19" i="20" s="1"/>
  <c r="AL19" i="20"/>
  <c r="AJ19" i="20"/>
  <c r="AF19" i="20"/>
  <c r="AG19" i="20" s="1"/>
  <c r="BD19" i="20" s="1"/>
  <c r="Z19" i="20"/>
  <c r="AA19" i="20" s="1"/>
  <c r="BB19" i="20" s="1"/>
  <c r="X19" i="20"/>
  <c r="Y19" i="20" s="1"/>
  <c r="BA19" i="20" s="1"/>
  <c r="A19" i="20"/>
  <c r="AX18" i="20" a="1"/>
  <c r="AX18" i="20" s="1"/>
  <c r="AL18" i="20"/>
  <c r="AJ18" i="20"/>
  <c r="AF18" i="20"/>
  <c r="AG18" i="20" s="1"/>
  <c r="BD18" i="20" s="1"/>
  <c r="Z18" i="20"/>
  <c r="AA18" i="20" s="1"/>
  <c r="BB18" i="20" s="1"/>
  <c r="X18" i="20"/>
  <c r="Y18" i="20" s="1"/>
  <c r="BA18" i="20" s="1"/>
  <c r="A18" i="20"/>
  <c r="AX17" i="20" a="1"/>
  <c r="AX17" i="20" s="1"/>
  <c r="AL17" i="20"/>
  <c r="AJ17" i="20"/>
  <c r="AF17" i="20"/>
  <c r="AG17" i="20" s="1"/>
  <c r="BD17" i="20" s="1"/>
  <c r="Z17" i="20"/>
  <c r="AA17" i="20" s="1"/>
  <c r="BB17" i="20" s="1"/>
  <c r="X17" i="20"/>
  <c r="Y17" i="20" s="1"/>
  <c r="BA17" i="20" s="1"/>
  <c r="A17" i="20"/>
  <c r="AX16" i="20" a="1"/>
  <c r="AX16" i="20" s="1"/>
  <c r="AL16" i="20"/>
  <c r="AJ16" i="20"/>
  <c r="AF16" i="20"/>
  <c r="AG16" i="20" s="1"/>
  <c r="BD16" i="20" s="1"/>
  <c r="Z16" i="20"/>
  <c r="AA16" i="20" s="1"/>
  <c r="BB16" i="20" s="1"/>
  <c r="X16" i="20"/>
  <c r="A16" i="20"/>
  <c r="AX15" i="20" a="1"/>
  <c r="AX15" i="20" s="1"/>
  <c r="AL15" i="20"/>
  <c r="AJ15" i="20"/>
  <c r="AF15" i="20"/>
  <c r="AG15" i="20" s="1"/>
  <c r="BD15" i="20" s="1"/>
  <c r="Z15" i="20"/>
  <c r="AA15" i="20" s="1"/>
  <c r="BB15" i="20" s="1"/>
  <c r="X15" i="20"/>
  <c r="Y15" i="20" s="1"/>
  <c r="BA15" i="20" s="1"/>
  <c r="A15" i="20"/>
  <c r="AX14" i="20" a="1"/>
  <c r="AX14" i="20" s="1"/>
  <c r="AL14" i="20"/>
  <c r="AJ14" i="20"/>
  <c r="AF14" i="20"/>
  <c r="AG14" i="20" s="1"/>
  <c r="BD14" i="20" s="1"/>
  <c r="Z14" i="20"/>
  <c r="AA14" i="20" s="1"/>
  <c r="BB14" i="20" s="1"/>
  <c r="X14" i="20"/>
  <c r="Y14" i="20" s="1"/>
  <c r="BA14" i="20" s="1"/>
  <c r="A14" i="20"/>
  <c r="AX9" i="20" a="1"/>
  <c r="AX9" i="20" s="1"/>
  <c r="AL9" i="20"/>
  <c r="AJ9" i="20"/>
  <c r="AF9" i="20"/>
  <c r="AG9" i="20" s="1"/>
  <c r="Z9" i="20"/>
  <c r="AA9" i="20" s="1"/>
  <c r="X9" i="20"/>
  <c r="Y9" i="20" s="1"/>
  <c r="A9" i="20"/>
  <c r="AX8" i="20" a="1"/>
  <c r="AX8" i="20" s="1"/>
  <c r="AL8" i="20"/>
  <c r="AJ8" i="20"/>
  <c r="AF8" i="20"/>
  <c r="AG8" i="20" s="1"/>
  <c r="Z8" i="20"/>
  <c r="AA8" i="20" s="1"/>
  <c r="X8" i="20"/>
  <c r="A8" i="20"/>
  <c r="AX12" i="20" a="1"/>
  <c r="AX12" i="20" s="1"/>
  <c r="AL12" i="20"/>
  <c r="AJ12" i="20"/>
  <c r="AH12" i="20"/>
  <c r="AF12" i="20"/>
  <c r="AG12" i="20" s="1"/>
  <c r="AB12" i="20"/>
  <c r="Z12" i="20"/>
  <c r="AA12" i="20" s="1"/>
  <c r="X12" i="20"/>
  <c r="Y12" i="20" s="1"/>
  <c r="A12" i="20"/>
  <c r="AX7" i="20" a="1"/>
  <c r="AX7" i="20" s="1"/>
  <c r="AL7" i="20"/>
  <c r="AJ7" i="20"/>
  <c r="AH7" i="20"/>
  <c r="AF7" i="20"/>
  <c r="AG7" i="20" s="1"/>
  <c r="AB7" i="20"/>
  <c r="Z7" i="20"/>
  <c r="AA7" i="20" s="1"/>
  <c r="X7" i="20"/>
  <c r="Y7" i="20" s="1"/>
  <c r="A7" i="20"/>
  <c r="AX10" i="20" a="1"/>
  <c r="AX10" i="20" s="1"/>
  <c r="AL10" i="20"/>
  <c r="AJ10" i="20"/>
  <c r="AH10" i="20"/>
  <c r="AF10" i="20"/>
  <c r="AG10" i="20" s="1"/>
  <c r="AB10" i="20"/>
  <c r="Z10" i="20"/>
  <c r="AA10" i="20" s="1"/>
  <c r="X10" i="20"/>
  <c r="Y10" i="20" s="1"/>
  <c r="A10" i="20"/>
  <c r="AX13" i="20" a="1"/>
  <c r="AX13" i="20" s="1"/>
  <c r="AL13" i="20"/>
  <c r="AJ13" i="20"/>
  <c r="AH13" i="20"/>
  <c r="AF13" i="20"/>
  <c r="AG13" i="20" s="1"/>
  <c r="AB13" i="20"/>
  <c r="Z13" i="20"/>
  <c r="AA13" i="20" s="1"/>
  <c r="X13" i="20"/>
  <c r="A13" i="20"/>
  <c r="AX6" i="20" a="1"/>
  <c r="AX6" i="20" s="1"/>
  <c r="AL6" i="20"/>
  <c r="AJ6" i="20"/>
  <c r="AH6" i="20"/>
  <c r="AF6" i="20"/>
  <c r="AG6" i="20" s="1"/>
  <c r="AB6" i="20"/>
  <c r="Z6" i="20"/>
  <c r="AA6" i="20" s="1"/>
  <c r="X6" i="20"/>
  <c r="Y6" i="20" s="1"/>
  <c r="A6" i="20"/>
  <c r="AX11" i="20" a="1"/>
  <c r="AX11" i="20" s="1"/>
  <c r="AL11" i="20"/>
  <c r="AJ11" i="20"/>
  <c r="AH11" i="20"/>
  <c r="AF11" i="20"/>
  <c r="AG11" i="20" s="1"/>
  <c r="AB11" i="20"/>
  <c r="Z11" i="20"/>
  <c r="AA11" i="20" s="1"/>
  <c r="BB6" i="20" s="1"/>
  <c r="X11" i="20"/>
  <c r="Y11" i="20" s="1"/>
  <c r="A11" i="20"/>
  <c r="U11" i="13"/>
  <c r="U6" i="13"/>
  <c r="U10" i="13"/>
  <c r="U12" i="13"/>
  <c r="U7" i="13"/>
  <c r="M6" i="13"/>
  <c r="M11" i="13"/>
  <c r="M10" i="13"/>
  <c r="M9" i="13"/>
  <c r="M12" i="13"/>
  <c r="M7" i="13"/>
  <c r="K6" i="13"/>
  <c r="K9" i="13"/>
  <c r="K7" i="13"/>
  <c r="B15" i="17"/>
  <c r="B14" i="17"/>
  <c r="B13" i="17"/>
  <c r="K12" i="13"/>
  <c r="K10" i="13"/>
  <c r="I12" i="13"/>
  <c r="I7" i="13"/>
  <c r="I9" i="13"/>
  <c r="I11" i="13"/>
  <c r="I10" i="13"/>
  <c r="I6" i="13"/>
  <c r="G12" i="13"/>
  <c r="G7" i="13"/>
  <c r="G9" i="13"/>
  <c r="G10" i="13"/>
  <c r="G6" i="13"/>
  <c r="E12" i="13"/>
  <c r="E7" i="13"/>
  <c r="E9" i="13"/>
  <c r="E11" i="13"/>
  <c r="J305" i="19"/>
  <c r="J304" i="19"/>
  <c r="J303" i="19"/>
  <c r="J302" i="19"/>
  <c r="J301" i="19"/>
  <c r="J300" i="19"/>
  <c r="J299" i="19"/>
  <c r="J298" i="19"/>
  <c r="K298" i="19" s="1"/>
  <c r="J297" i="19"/>
  <c r="K297" i="19" s="1"/>
  <c r="J296" i="19"/>
  <c r="J295" i="19"/>
  <c r="J294" i="19"/>
  <c r="J293" i="19"/>
  <c r="J292" i="19"/>
  <c r="J291" i="19"/>
  <c r="J290" i="19"/>
  <c r="K290" i="19" s="1"/>
  <c r="J289" i="19"/>
  <c r="K289" i="19" s="1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K273" i="19" s="1"/>
  <c r="J272" i="19"/>
  <c r="J271" i="19"/>
  <c r="J270" i="19"/>
  <c r="J269" i="19"/>
  <c r="J268" i="19"/>
  <c r="J267" i="19"/>
  <c r="J266" i="19"/>
  <c r="K266" i="19" s="1"/>
  <c r="J265" i="19"/>
  <c r="K265" i="19" s="1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K250" i="19" s="1"/>
  <c r="J249" i="19"/>
  <c r="K249" i="19" s="1"/>
  <c r="J248" i="19"/>
  <c r="J247" i="19"/>
  <c r="J246" i="19"/>
  <c r="J245" i="19"/>
  <c r="J244" i="19"/>
  <c r="J243" i="19"/>
  <c r="J242" i="19"/>
  <c r="K242" i="19" s="1"/>
  <c r="J241" i="19"/>
  <c r="K241" i="19" s="1"/>
  <c r="J240" i="19"/>
  <c r="J239" i="19"/>
  <c r="J238" i="19"/>
  <c r="J237" i="19"/>
  <c r="J236" i="19"/>
  <c r="J235" i="19"/>
  <c r="J234" i="19"/>
  <c r="K234" i="19" s="1"/>
  <c r="J233" i="19"/>
  <c r="K233" i="19" s="1"/>
  <c r="J232" i="19"/>
  <c r="J231" i="19"/>
  <c r="J230" i="19"/>
  <c r="J229" i="19"/>
  <c r="J228" i="19"/>
  <c r="J227" i="19"/>
  <c r="J226" i="19"/>
  <c r="K226" i="19" s="1"/>
  <c r="J225" i="19"/>
  <c r="K225" i="19" s="1"/>
  <c r="J224" i="19"/>
  <c r="J223" i="19"/>
  <c r="J222" i="19"/>
  <c r="J221" i="19"/>
  <c r="J220" i="19"/>
  <c r="J219" i="19"/>
  <c r="J218" i="19"/>
  <c r="J217" i="19"/>
  <c r="K217" i="19" s="1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K201" i="19" s="1"/>
  <c r="J200" i="19"/>
  <c r="J199" i="19"/>
  <c r="J198" i="19"/>
  <c r="J197" i="19"/>
  <c r="J196" i="19"/>
  <c r="J195" i="19"/>
  <c r="J194" i="19"/>
  <c r="K194" i="19" s="1"/>
  <c r="J193" i="19"/>
  <c r="K193" i="19" s="1"/>
  <c r="J192" i="19"/>
  <c r="J191" i="19"/>
  <c r="J190" i="19"/>
  <c r="J189" i="19"/>
  <c r="J188" i="19"/>
  <c r="J187" i="19"/>
  <c r="J186" i="19"/>
  <c r="K186" i="19" s="1"/>
  <c r="J185" i="19"/>
  <c r="K185" i="19" s="1"/>
  <c r="J184" i="19"/>
  <c r="J183" i="19"/>
  <c r="J182" i="19"/>
  <c r="J181" i="19"/>
  <c r="J180" i="19"/>
  <c r="J179" i="19"/>
  <c r="J178" i="19"/>
  <c r="K178" i="19" s="1"/>
  <c r="J177" i="19"/>
  <c r="K177" i="19" s="1"/>
  <c r="J176" i="19"/>
  <c r="J175" i="19"/>
  <c r="J174" i="19"/>
  <c r="J173" i="19"/>
  <c r="J172" i="19"/>
  <c r="J171" i="19"/>
  <c r="J170" i="19"/>
  <c r="K170" i="19" s="1"/>
  <c r="J169" i="19"/>
  <c r="K169" i="19" s="1"/>
  <c r="J168" i="19"/>
  <c r="J167" i="19"/>
  <c r="J166" i="19"/>
  <c r="J165" i="19"/>
  <c r="J164" i="19"/>
  <c r="J163" i="19"/>
  <c r="J162" i="19"/>
  <c r="K162" i="19" s="1"/>
  <c r="J161" i="19"/>
  <c r="K161" i="19" s="1"/>
  <c r="J160" i="19"/>
  <c r="J159" i="19"/>
  <c r="J158" i="19"/>
  <c r="J157" i="19"/>
  <c r="J156" i="19"/>
  <c r="J155" i="19"/>
  <c r="J154" i="19"/>
  <c r="K154" i="19" s="1"/>
  <c r="J153" i="19"/>
  <c r="K153" i="19" s="1"/>
  <c r="J152" i="19"/>
  <c r="J151" i="19"/>
  <c r="J150" i="19"/>
  <c r="J149" i="19"/>
  <c r="J148" i="19"/>
  <c r="J147" i="19"/>
  <c r="J146" i="19"/>
  <c r="J145" i="19"/>
  <c r="K145" i="19" s="1"/>
  <c r="J144" i="19"/>
  <c r="J143" i="19"/>
  <c r="J142" i="19"/>
  <c r="J141" i="19"/>
  <c r="J140" i="19"/>
  <c r="J139" i="19"/>
  <c r="J138" i="19"/>
  <c r="K138" i="19" s="1"/>
  <c r="J137" i="19"/>
  <c r="K137" i="19" s="1"/>
  <c r="J136" i="19"/>
  <c r="J135" i="19"/>
  <c r="J134" i="19"/>
  <c r="J133" i="19"/>
  <c r="J132" i="19"/>
  <c r="J131" i="19"/>
  <c r="J130" i="19"/>
  <c r="K130" i="19" s="1"/>
  <c r="J129" i="19"/>
  <c r="K129" i="19" s="1"/>
  <c r="J128" i="19"/>
  <c r="J127" i="19"/>
  <c r="J126" i="19"/>
  <c r="J125" i="19"/>
  <c r="J124" i="19"/>
  <c r="J123" i="19"/>
  <c r="J122" i="19"/>
  <c r="K122" i="19" s="1"/>
  <c r="J121" i="19"/>
  <c r="K121" i="19" s="1"/>
  <c r="J120" i="19"/>
  <c r="J119" i="19"/>
  <c r="J118" i="19"/>
  <c r="J117" i="19"/>
  <c r="J116" i="19"/>
  <c r="J115" i="19"/>
  <c r="J114" i="19"/>
  <c r="K114" i="19" s="1"/>
  <c r="J113" i="19"/>
  <c r="K113" i="19" s="1"/>
  <c r="J112" i="19"/>
  <c r="J111" i="19"/>
  <c r="J110" i="19"/>
  <c r="J109" i="19"/>
  <c r="J108" i="19"/>
  <c r="J107" i="19"/>
  <c r="J106" i="19"/>
  <c r="K106" i="19" s="1"/>
  <c r="J105" i="19"/>
  <c r="K105" i="19" s="1"/>
  <c r="J104" i="19"/>
  <c r="J103" i="19"/>
  <c r="J102" i="19"/>
  <c r="J101" i="19"/>
  <c r="J100" i="19"/>
  <c r="J99" i="19"/>
  <c r="J98" i="19"/>
  <c r="K98" i="19" s="1"/>
  <c r="J97" i="19"/>
  <c r="K97" i="19" s="1"/>
  <c r="J96" i="19"/>
  <c r="J95" i="19"/>
  <c r="J94" i="19"/>
  <c r="J93" i="19"/>
  <c r="J92" i="19"/>
  <c r="J91" i="19"/>
  <c r="J90" i="19"/>
  <c r="K90" i="19" s="1"/>
  <c r="J89" i="19"/>
  <c r="K89" i="19" s="1"/>
  <c r="J88" i="19"/>
  <c r="J87" i="19"/>
  <c r="J86" i="19"/>
  <c r="J85" i="19"/>
  <c r="J84" i="19"/>
  <c r="J83" i="19"/>
  <c r="J82" i="19"/>
  <c r="J81" i="19"/>
  <c r="K81" i="19" s="1"/>
  <c r="J80" i="19"/>
  <c r="J79" i="19"/>
  <c r="J78" i="19"/>
  <c r="J77" i="19"/>
  <c r="J76" i="19"/>
  <c r="J75" i="19"/>
  <c r="J74" i="19"/>
  <c r="K74" i="19" s="1"/>
  <c r="J73" i="19"/>
  <c r="K73" i="19" s="1"/>
  <c r="J72" i="19"/>
  <c r="J71" i="19"/>
  <c r="J70" i="19"/>
  <c r="J69" i="19"/>
  <c r="J68" i="19"/>
  <c r="J67" i="19"/>
  <c r="J66" i="19"/>
  <c r="K66" i="19" s="1"/>
  <c r="J65" i="19"/>
  <c r="K65" i="19" s="1"/>
  <c r="J64" i="19"/>
  <c r="J63" i="19"/>
  <c r="J62" i="19"/>
  <c r="J61" i="19"/>
  <c r="J60" i="19"/>
  <c r="J59" i="19"/>
  <c r="J58" i="19"/>
  <c r="K58" i="19" s="1"/>
  <c r="J57" i="19"/>
  <c r="K57" i="19" s="1"/>
  <c r="J56" i="19"/>
  <c r="J55" i="19"/>
  <c r="J54" i="19"/>
  <c r="J53" i="19"/>
  <c r="J52" i="19"/>
  <c r="J51" i="19"/>
  <c r="J50" i="19"/>
  <c r="K50" i="19" s="1"/>
  <c r="J49" i="19"/>
  <c r="K49" i="19" s="1"/>
  <c r="J48" i="19"/>
  <c r="J47" i="19"/>
  <c r="J46" i="19"/>
  <c r="J45" i="19"/>
  <c r="J44" i="19"/>
  <c r="J43" i="19"/>
  <c r="J42" i="19"/>
  <c r="K42" i="19" s="1"/>
  <c r="J41" i="19"/>
  <c r="K41" i="19" s="1"/>
  <c r="J40" i="19"/>
  <c r="J39" i="19"/>
  <c r="J38" i="19"/>
  <c r="J37" i="19"/>
  <c r="J36" i="19"/>
  <c r="J35" i="19"/>
  <c r="J34" i="19"/>
  <c r="K34" i="19" s="1"/>
  <c r="J33" i="19"/>
  <c r="K33" i="19" s="1"/>
  <c r="J32" i="19"/>
  <c r="J31" i="19"/>
  <c r="J30" i="19"/>
  <c r="J29" i="19"/>
  <c r="K29" i="19" s="1"/>
  <c r="J28" i="19"/>
  <c r="J27" i="19"/>
  <c r="J26" i="19"/>
  <c r="K26" i="19" s="1"/>
  <c r="J25" i="19"/>
  <c r="K25" i="19" s="1"/>
  <c r="J24" i="19"/>
  <c r="J23" i="19"/>
  <c r="J22" i="19"/>
  <c r="J21" i="19"/>
  <c r="J20" i="19"/>
  <c r="J19" i="19"/>
  <c r="J18" i="19"/>
  <c r="K18" i="19" s="1"/>
  <c r="J17" i="19"/>
  <c r="K17" i="19" s="1"/>
  <c r="J16" i="19"/>
  <c r="J15" i="19"/>
  <c r="J14" i="19"/>
  <c r="J13" i="19"/>
  <c r="K13" i="19" s="1"/>
  <c r="J12" i="19"/>
  <c r="J11" i="19"/>
  <c r="J10" i="19"/>
  <c r="K10" i="19" s="1"/>
  <c r="J9" i="19"/>
  <c r="K9" i="19" s="1"/>
  <c r="J8" i="19"/>
  <c r="K8" i="19" s="1"/>
  <c r="J7" i="19"/>
  <c r="K14" i="19"/>
  <c r="K21" i="19"/>
  <c r="K30" i="19"/>
  <c r="K37" i="19"/>
  <c r="K38" i="19"/>
  <c r="K46" i="19"/>
  <c r="K53" i="19"/>
  <c r="K54" i="19"/>
  <c r="K62" i="19"/>
  <c r="K70" i="19"/>
  <c r="K77" i="19"/>
  <c r="K78" i="19"/>
  <c r="K85" i="19"/>
  <c r="K93" i="19"/>
  <c r="K94" i="19"/>
  <c r="K101" i="19"/>
  <c r="K102" i="19"/>
  <c r="K110" i="19"/>
  <c r="K118" i="19"/>
  <c r="K126" i="19"/>
  <c r="K134" i="19"/>
  <c r="K141" i="19"/>
  <c r="K142" i="19"/>
  <c r="K149" i="19"/>
  <c r="K150" i="19"/>
  <c r="K157" i="19"/>
  <c r="K158" i="19"/>
  <c r="K165" i="19"/>
  <c r="K166" i="19"/>
  <c r="K173" i="19"/>
  <c r="K182" i="19"/>
  <c r="K190" i="19"/>
  <c r="K198" i="19"/>
  <c r="K205" i="19"/>
  <c r="K206" i="19"/>
  <c r="K213" i="19"/>
  <c r="K214" i="19"/>
  <c r="K221" i="19"/>
  <c r="K222" i="19"/>
  <c r="K230" i="19"/>
  <c r="K237" i="19"/>
  <c r="K238" i="19"/>
  <c r="K245" i="19"/>
  <c r="K246" i="19"/>
  <c r="K253" i="19"/>
  <c r="K254" i="19"/>
  <c r="K261" i="19"/>
  <c r="K269" i="19"/>
  <c r="K270" i="19"/>
  <c r="K277" i="19"/>
  <c r="K278" i="19"/>
  <c r="K286" i="19"/>
  <c r="K293" i="19"/>
  <c r="K294" i="19"/>
  <c r="K301" i="19"/>
  <c r="K302" i="19"/>
  <c r="K258" i="19"/>
  <c r="K146" i="19"/>
  <c r="K82" i="19"/>
  <c r="J305" i="18"/>
  <c r="J304" i="18"/>
  <c r="J303" i="18"/>
  <c r="K303" i="18" s="1"/>
  <c r="J302" i="18"/>
  <c r="J301" i="18"/>
  <c r="J300" i="18"/>
  <c r="J299" i="18"/>
  <c r="J298" i="18"/>
  <c r="K298" i="18" s="1"/>
  <c r="J297" i="18"/>
  <c r="J296" i="18"/>
  <c r="J295" i="18"/>
  <c r="K295" i="18" s="1"/>
  <c r="J294" i="18"/>
  <c r="J293" i="18"/>
  <c r="J292" i="18"/>
  <c r="J291" i="18"/>
  <c r="J290" i="18"/>
  <c r="K290" i="18" s="1"/>
  <c r="J289" i="18"/>
  <c r="J288" i="18"/>
  <c r="J287" i="18"/>
  <c r="K287" i="18" s="1"/>
  <c r="J286" i="18"/>
  <c r="J285" i="18"/>
  <c r="J284" i="18"/>
  <c r="J283" i="18"/>
  <c r="J282" i="18"/>
  <c r="K282" i="18" s="1"/>
  <c r="J281" i="18"/>
  <c r="J280" i="18"/>
  <c r="J279" i="18"/>
  <c r="K279" i="18" s="1"/>
  <c r="J278" i="18"/>
  <c r="J277" i="18"/>
  <c r="J276" i="18"/>
  <c r="J275" i="18"/>
  <c r="J274" i="18"/>
  <c r="J273" i="18"/>
  <c r="J272" i="18"/>
  <c r="J271" i="18"/>
  <c r="K271" i="18" s="1"/>
  <c r="J270" i="18"/>
  <c r="J269" i="18"/>
  <c r="J268" i="18"/>
  <c r="J267" i="18"/>
  <c r="J266" i="18"/>
  <c r="K266" i="18" s="1"/>
  <c r="J265" i="18"/>
  <c r="J264" i="18"/>
  <c r="J263" i="18"/>
  <c r="K263" i="18" s="1"/>
  <c r="J262" i="18"/>
  <c r="J261" i="18"/>
  <c r="J260" i="18"/>
  <c r="J259" i="18"/>
  <c r="J258" i="18"/>
  <c r="K258" i="18" s="1"/>
  <c r="J257" i="18"/>
  <c r="J256" i="18"/>
  <c r="J255" i="18"/>
  <c r="K255" i="18" s="1"/>
  <c r="J254" i="18"/>
  <c r="J253" i="18"/>
  <c r="J252" i="18"/>
  <c r="J251" i="18"/>
  <c r="J250" i="18"/>
  <c r="K250" i="18" s="1"/>
  <c r="J249" i="18"/>
  <c r="J248" i="18"/>
  <c r="J247" i="18"/>
  <c r="K247" i="18" s="1"/>
  <c r="J246" i="18"/>
  <c r="J245" i="18"/>
  <c r="J244" i="18"/>
  <c r="J243" i="18"/>
  <c r="J242" i="18"/>
  <c r="K242" i="18" s="1"/>
  <c r="J241" i="18"/>
  <c r="J240" i="18"/>
  <c r="J239" i="18"/>
  <c r="K239" i="18" s="1"/>
  <c r="J238" i="18"/>
  <c r="J237" i="18"/>
  <c r="J236" i="18"/>
  <c r="J235" i="18"/>
  <c r="J234" i="18"/>
  <c r="K234" i="18" s="1"/>
  <c r="J233" i="18"/>
  <c r="J232" i="18"/>
  <c r="J231" i="18"/>
  <c r="K231" i="18" s="1"/>
  <c r="J230" i="18"/>
  <c r="J229" i="18"/>
  <c r="J228" i="18"/>
  <c r="J227" i="18"/>
  <c r="J226" i="18"/>
  <c r="K226" i="18" s="1"/>
  <c r="J225" i="18"/>
  <c r="J224" i="18"/>
  <c r="J223" i="18"/>
  <c r="K223" i="18" s="1"/>
  <c r="J222" i="18"/>
  <c r="J221" i="18"/>
  <c r="J220" i="18"/>
  <c r="J219" i="18"/>
  <c r="J218" i="18"/>
  <c r="J217" i="18"/>
  <c r="J216" i="18"/>
  <c r="J215" i="18"/>
  <c r="K215" i="18" s="1"/>
  <c r="J214" i="18"/>
  <c r="J213" i="18"/>
  <c r="J212" i="18"/>
  <c r="J211" i="18"/>
  <c r="J210" i="18"/>
  <c r="K210" i="18" s="1"/>
  <c r="J209" i="18"/>
  <c r="J208" i="18"/>
  <c r="J207" i="18"/>
  <c r="K207" i="18" s="1"/>
  <c r="J206" i="18"/>
  <c r="J205" i="18"/>
  <c r="J204" i="18"/>
  <c r="J203" i="18"/>
  <c r="J202" i="18"/>
  <c r="J201" i="18"/>
  <c r="J200" i="18"/>
  <c r="J199" i="18"/>
  <c r="K199" i="18" s="1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K183" i="18" s="1"/>
  <c r="J182" i="18"/>
  <c r="J181" i="18"/>
  <c r="J180" i="18"/>
  <c r="J179" i="18"/>
  <c r="J178" i="18"/>
  <c r="K178" i="18" s="1"/>
  <c r="J177" i="18"/>
  <c r="J176" i="18"/>
  <c r="J175" i="18"/>
  <c r="K175" i="18" s="1"/>
  <c r="J174" i="18"/>
  <c r="J173" i="18"/>
  <c r="J172" i="18"/>
  <c r="J171" i="18"/>
  <c r="J170" i="18"/>
  <c r="K170" i="18" s="1"/>
  <c r="J169" i="18"/>
  <c r="J168" i="18"/>
  <c r="J167" i="18"/>
  <c r="K167" i="18" s="1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K151" i="18" s="1"/>
  <c r="J150" i="18"/>
  <c r="J149" i="18"/>
  <c r="J148" i="18"/>
  <c r="J147" i="18"/>
  <c r="J146" i="18"/>
  <c r="K146" i="18" s="1"/>
  <c r="J145" i="18"/>
  <c r="J144" i="18"/>
  <c r="J143" i="18"/>
  <c r="K143" i="18" s="1"/>
  <c r="J142" i="18"/>
  <c r="J141" i="18"/>
  <c r="J140" i="18"/>
  <c r="J139" i="18"/>
  <c r="J138" i="18"/>
  <c r="J137" i="18"/>
  <c r="J136" i="18"/>
  <c r="J135" i="18"/>
  <c r="K135" i="18" s="1"/>
  <c r="J134" i="18"/>
  <c r="J133" i="18"/>
  <c r="J132" i="18"/>
  <c r="J131" i="18"/>
  <c r="J130" i="18"/>
  <c r="K130" i="18" s="1"/>
  <c r="J129" i="18"/>
  <c r="J128" i="18"/>
  <c r="J127" i="18"/>
  <c r="K127" i="18" s="1"/>
  <c r="J126" i="18"/>
  <c r="J125" i="18"/>
  <c r="J124" i="18"/>
  <c r="J123" i="18"/>
  <c r="J122" i="18"/>
  <c r="K122" i="18" s="1"/>
  <c r="J121" i="18"/>
  <c r="J120" i="18"/>
  <c r="J119" i="18"/>
  <c r="K119" i="18" s="1"/>
  <c r="J118" i="18"/>
  <c r="J117" i="18"/>
  <c r="J116" i="18"/>
  <c r="J115" i="18"/>
  <c r="J114" i="18"/>
  <c r="K114" i="18" s="1"/>
  <c r="J113" i="18"/>
  <c r="J112" i="18"/>
  <c r="J111" i="18"/>
  <c r="K111" i="18" s="1"/>
  <c r="J110" i="18"/>
  <c r="K110" i="18" s="1"/>
  <c r="J109" i="18"/>
  <c r="J108" i="18"/>
  <c r="J107" i="18"/>
  <c r="J106" i="18"/>
  <c r="K106" i="18" s="1"/>
  <c r="J105" i="18"/>
  <c r="J104" i="18"/>
  <c r="J103" i="18"/>
  <c r="K103" i="18" s="1"/>
  <c r="J102" i="18"/>
  <c r="K102" i="18" s="1"/>
  <c r="J101" i="18"/>
  <c r="J100" i="18"/>
  <c r="J99" i="18"/>
  <c r="J98" i="18"/>
  <c r="K98" i="18" s="1"/>
  <c r="J97" i="18"/>
  <c r="J96" i="18"/>
  <c r="J95" i="18"/>
  <c r="K95" i="18" s="1"/>
  <c r="J94" i="18"/>
  <c r="J93" i="18"/>
  <c r="J92" i="18"/>
  <c r="J91" i="18"/>
  <c r="J90" i="18"/>
  <c r="K90" i="18" s="1"/>
  <c r="J89" i="18"/>
  <c r="J88" i="18"/>
  <c r="J87" i="18"/>
  <c r="K87" i="18" s="1"/>
  <c r="J86" i="18"/>
  <c r="J85" i="18"/>
  <c r="J84" i="18"/>
  <c r="J83" i="18"/>
  <c r="J82" i="18"/>
  <c r="K82" i="18" s="1"/>
  <c r="J81" i="18"/>
  <c r="J80" i="18"/>
  <c r="J79" i="18"/>
  <c r="K79" i="18" s="1"/>
  <c r="J78" i="18"/>
  <c r="J77" i="18"/>
  <c r="J76" i="18"/>
  <c r="J75" i="18"/>
  <c r="J74" i="18"/>
  <c r="K74" i="18" s="1"/>
  <c r="J73" i="18"/>
  <c r="J72" i="18"/>
  <c r="J71" i="18"/>
  <c r="K71" i="18" s="1"/>
  <c r="J70" i="18"/>
  <c r="K70" i="18" s="1"/>
  <c r="J69" i="18"/>
  <c r="J68" i="18"/>
  <c r="J67" i="18"/>
  <c r="J66" i="18"/>
  <c r="K66" i="18" s="1"/>
  <c r="J65" i="18"/>
  <c r="J64" i="18"/>
  <c r="J63" i="18"/>
  <c r="K63" i="18" s="1"/>
  <c r="J62" i="18"/>
  <c r="K62" i="18" s="1"/>
  <c r="J61" i="18"/>
  <c r="J60" i="18"/>
  <c r="J59" i="18"/>
  <c r="J58" i="18"/>
  <c r="K58" i="18" s="1"/>
  <c r="J57" i="18"/>
  <c r="J56" i="18"/>
  <c r="J55" i="18"/>
  <c r="K55" i="18" s="1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J41" i="18"/>
  <c r="J40" i="18"/>
  <c r="J39" i="18"/>
  <c r="K39" i="18" s="1"/>
  <c r="J38" i="18"/>
  <c r="K38" i="18" s="1"/>
  <c r="J37" i="18"/>
  <c r="J36" i="18"/>
  <c r="J35" i="18"/>
  <c r="J34" i="18"/>
  <c r="K34" i="18" s="1"/>
  <c r="J33" i="18"/>
  <c r="J32" i="18"/>
  <c r="J31" i="18"/>
  <c r="J30" i="18"/>
  <c r="K30" i="18" s="1"/>
  <c r="J29" i="18"/>
  <c r="J28" i="18"/>
  <c r="J27" i="18"/>
  <c r="J26" i="18"/>
  <c r="K26" i="18" s="1"/>
  <c r="J25" i="18"/>
  <c r="J24" i="18"/>
  <c r="J23" i="18"/>
  <c r="K23" i="18" s="1"/>
  <c r="J22" i="18"/>
  <c r="K22" i="18" s="1"/>
  <c r="J21" i="18"/>
  <c r="J20" i="18"/>
  <c r="J19" i="18"/>
  <c r="J18" i="18"/>
  <c r="K18" i="18" s="1"/>
  <c r="J17" i="18"/>
  <c r="J16" i="18"/>
  <c r="J15" i="18"/>
  <c r="K15" i="18" s="1"/>
  <c r="J14" i="18"/>
  <c r="J13" i="18"/>
  <c r="J12" i="18"/>
  <c r="J11" i="18"/>
  <c r="J10" i="18"/>
  <c r="K10" i="18" s="1"/>
  <c r="J9" i="18"/>
  <c r="J8" i="18"/>
  <c r="J7" i="18"/>
  <c r="K7" i="18" s="1"/>
  <c r="K14" i="18"/>
  <c r="K54" i="18"/>
  <c r="K86" i="18"/>
  <c r="K94" i="18"/>
  <c r="K118" i="18"/>
  <c r="K126" i="18"/>
  <c r="K134" i="18"/>
  <c r="K150" i="18"/>
  <c r="K158" i="18"/>
  <c r="K166" i="18"/>
  <c r="K174" i="18"/>
  <c r="K182" i="18"/>
  <c r="K190" i="18"/>
  <c r="K198" i="18"/>
  <c r="K206" i="18"/>
  <c r="K214" i="18"/>
  <c r="K222" i="18"/>
  <c r="K230" i="18"/>
  <c r="K238" i="18"/>
  <c r="K246" i="18"/>
  <c r="K254" i="18"/>
  <c r="K262" i="18"/>
  <c r="K270" i="18"/>
  <c r="K278" i="18"/>
  <c r="K286" i="18"/>
  <c r="K294" i="18"/>
  <c r="K302" i="18"/>
  <c r="K274" i="18"/>
  <c r="K202" i="18"/>
  <c r="K138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K45" i="17" s="1"/>
  <c r="J44" i="17"/>
  <c r="J43" i="17"/>
  <c r="J42" i="17"/>
  <c r="K42" i="17" s="1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K29" i="17" s="1"/>
  <c r="J28" i="17"/>
  <c r="J27" i="17"/>
  <c r="J26" i="17"/>
  <c r="K26" i="17" s="1"/>
  <c r="J25" i="17"/>
  <c r="J24" i="17"/>
  <c r="J23" i="17"/>
  <c r="J22" i="17"/>
  <c r="J21" i="17"/>
  <c r="K21" i="17" s="1"/>
  <c r="J20" i="17"/>
  <c r="J19" i="17"/>
  <c r="J18" i="17"/>
  <c r="K18" i="17" s="1"/>
  <c r="J17" i="17"/>
  <c r="J16" i="17"/>
  <c r="J15" i="17"/>
  <c r="J14" i="17"/>
  <c r="J13" i="17"/>
  <c r="K13" i="17" s="1"/>
  <c r="J12" i="17"/>
  <c r="J11" i="17"/>
  <c r="J10" i="17"/>
  <c r="K10" i="17" s="1"/>
  <c r="J9" i="17"/>
  <c r="J8" i="17"/>
  <c r="J7" i="17"/>
  <c r="K14" i="17"/>
  <c r="K22" i="17"/>
  <c r="K30" i="17"/>
  <c r="K37" i="17"/>
  <c r="K38" i="17"/>
  <c r="K46" i="17"/>
  <c r="K54" i="17"/>
  <c r="K61" i="17"/>
  <c r="K69" i="17"/>
  <c r="K70" i="17"/>
  <c r="K77" i="17"/>
  <c r="K78" i="17"/>
  <c r="K85" i="17"/>
  <c r="K86" i="17"/>
  <c r="K93" i="17"/>
  <c r="K94" i="17"/>
  <c r="K101" i="17"/>
  <c r="K102" i="17"/>
  <c r="K109" i="17"/>
  <c r="K110" i="17"/>
  <c r="K117" i="17"/>
  <c r="K118" i="17"/>
  <c r="K125" i="17"/>
  <c r="K126" i="17"/>
  <c r="K134" i="17"/>
  <c r="K142" i="17"/>
  <c r="K149" i="17"/>
  <c r="K150" i="17"/>
  <c r="K157" i="17"/>
  <c r="K158" i="17"/>
  <c r="K166" i="17"/>
  <c r="K174" i="17"/>
  <c r="K182" i="17"/>
  <c r="K190" i="17"/>
  <c r="K198" i="17"/>
  <c r="K206" i="17"/>
  <c r="K214" i="17"/>
  <c r="K222" i="17"/>
  <c r="K230" i="17"/>
  <c r="K238" i="17"/>
  <c r="K246" i="17"/>
  <c r="K254" i="17"/>
  <c r="K262" i="17"/>
  <c r="K270" i="17"/>
  <c r="K278" i="17"/>
  <c r="K286" i="17"/>
  <c r="K294" i="17"/>
  <c r="K302" i="17"/>
  <c r="J305" i="16"/>
  <c r="J304" i="16"/>
  <c r="K304" i="16" s="1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K290" i="16" s="1"/>
  <c r="J289" i="16"/>
  <c r="J288" i="16"/>
  <c r="K288" i="16" s="1"/>
  <c r="J287" i="16"/>
  <c r="J286" i="16"/>
  <c r="J285" i="16"/>
  <c r="J284" i="16"/>
  <c r="J283" i="16"/>
  <c r="J282" i="16"/>
  <c r="K282" i="16" s="1"/>
  <c r="J281" i="16"/>
  <c r="J280" i="16"/>
  <c r="K280" i="16" s="1"/>
  <c r="J279" i="16"/>
  <c r="J278" i="16"/>
  <c r="J277" i="16"/>
  <c r="J276" i="16"/>
  <c r="K276" i="16" s="1"/>
  <c r="J275" i="16"/>
  <c r="J274" i="16"/>
  <c r="K274" i="16" s="1"/>
  <c r="J273" i="16"/>
  <c r="J272" i="16"/>
  <c r="K272" i="16" s="1"/>
  <c r="J271" i="16"/>
  <c r="J270" i="16"/>
  <c r="J269" i="16"/>
  <c r="J268" i="16"/>
  <c r="K268" i="16" s="1"/>
  <c r="J267" i="16"/>
  <c r="J266" i="16"/>
  <c r="K266" i="16" s="1"/>
  <c r="J265" i="16"/>
  <c r="J264" i="16"/>
  <c r="K264" i="16" s="1"/>
  <c r="J263" i="16"/>
  <c r="J262" i="16"/>
  <c r="J261" i="16"/>
  <c r="J260" i="16"/>
  <c r="K260" i="16" s="1"/>
  <c r="J259" i="16"/>
  <c r="J258" i="16"/>
  <c r="K258" i="16" s="1"/>
  <c r="J257" i="16"/>
  <c r="J256" i="16"/>
  <c r="K256" i="16" s="1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K240" i="16" s="1"/>
  <c r="J239" i="16"/>
  <c r="J238" i="16"/>
  <c r="J237" i="16"/>
  <c r="J236" i="16"/>
  <c r="K236" i="16" s="1"/>
  <c r="J235" i="16"/>
  <c r="J234" i="16"/>
  <c r="K234" i="16" s="1"/>
  <c r="J233" i="16"/>
  <c r="J232" i="16"/>
  <c r="K232" i="16" s="1"/>
  <c r="J231" i="16"/>
  <c r="J230" i="16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K216" i="16" s="1"/>
  <c r="J215" i="16"/>
  <c r="J214" i="16"/>
  <c r="J213" i="16"/>
  <c r="J212" i="16"/>
  <c r="K212" i="16" s="1"/>
  <c r="J211" i="16"/>
  <c r="J210" i="16"/>
  <c r="J209" i="16"/>
  <c r="J208" i="16"/>
  <c r="K208" i="16" s="1"/>
  <c r="J207" i="16"/>
  <c r="J206" i="16"/>
  <c r="J205" i="16"/>
  <c r="J204" i="16"/>
  <c r="K204" i="16" s="1"/>
  <c r="J203" i="16"/>
  <c r="J202" i="16"/>
  <c r="K202" i="16" s="1"/>
  <c r="J201" i="16"/>
  <c r="J200" i="16"/>
  <c r="J199" i="16"/>
  <c r="J198" i="16"/>
  <c r="J197" i="16"/>
  <c r="J196" i="16"/>
  <c r="J195" i="16"/>
  <c r="J194" i="16"/>
  <c r="J193" i="16"/>
  <c r="J192" i="16"/>
  <c r="K192" i="16" s="1"/>
  <c r="J191" i="16"/>
  <c r="J190" i="16"/>
  <c r="J189" i="16"/>
  <c r="J188" i="16"/>
  <c r="K188" i="16" s="1"/>
  <c r="J187" i="16"/>
  <c r="J186" i="16"/>
  <c r="K186" i="16" s="1"/>
  <c r="J185" i="16"/>
  <c r="J184" i="16"/>
  <c r="K184" i="16" s="1"/>
  <c r="J183" i="16"/>
  <c r="J182" i="16"/>
  <c r="J181" i="16"/>
  <c r="J180" i="16"/>
  <c r="J179" i="16"/>
  <c r="J178" i="16"/>
  <c r="K178" i="16" s="1"/>
  <c r="J177" i="16"/>
  <c r="J176" i="16"/>
  <c r="K176" i="16" s="1"/>
  <c r="J175" i="16"/>
  <c r="J174" i="16"/>
  <c r="J173" i="16"/>
  <c r="J172" i="16"/>
  <c r="K172" i="16" s="1"/>
  <c r="J171" i="16"/>
  <c r="J170" i="16"/>
  <c r="K170" i="16" s="1"/>
  <c r="J169" i="16"/>
  <c r="J168" i="16"/>
  <c r="K168" i="16" s="1"/>
  <c r="J167" i="16"/>
  <c r="J166" i="16"/>
  <c r="J165" i="16"/>
  <c r="J164" i="16"/>
  <c r="K164" i="16" s="1"/>
  <c r="J163" i="16"/>
  <c r="J162" i="16"/>
  <c r="K162" i="16" s="1"/>
  <c r="J161" i="16"/>
  <c r="J160" i="16"/>
  <c r="K160" i="16" s="1"/>
  <c r="J159" i="16"/>
  <c r="J158" i="16"/>
  <c r="J157" i="16"/>
  <c r="J156" i="16"/>
  <c r="K156" i="16" s="1"/>
  <c r="J155" i="16"/>
  <c r="J154" i="16"/>
  <c r="K154" i="16" s="1"/>
  <c r="J153" i="16"/>
  <c r="J152" i="16"/>
  <c r="K152" i="16" s="1"/>
  <c r="J151" i="16"/>
  <c r="J150" i="16"/>
  <c r="J149" i="16"/>
  <c r="J148" i="16"/>
  <c r="K148" i="16" s="1"/>
  <c r="J147" i="16"/>
  <c r="J146" i="16"/>
  <c r="J145" i="16"/>
  <c r="J144" i="16"/>
  <c r="K144" i="16" s="1"/>
  <c r="J143" i="16"/>
  <c r="J142" i="16"/>
  <c r="J141" i="16"/>
  <c r="J140" i="16"/>
  <c r="K140" i="16" s="1"/>
  <c r="J139" i="16"/>
  <c r="J138" i="16"/>
  <c r="K138" i="16" s="1"/>
  <c r="J137" i="16"/>
  <c r="J136" i="16"/>
  <c r="K136" i="16" s="1"/>
  <c r="J135" i="16"/>
  <c r="J134" i="16"/>
  <c r="J133" i="16"/>
  <c r="J132" i="16"/>
  <c r="J131" i="16"/>
  <c r="J130" i="16"/>
  <c r="J129" i="16"/>
  <c r="J128" i="16"/>
  <c r="K128" i="16" s="1"/>
  <c r="J127" i="16"/>
  <c r="J126" i="16"/>
  <c r="J125" i="16"/>
  <c r="J124" i="16"/>
  <c r="K124" i="16" s="1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K112" i="16" s="1"/>
  <c r="J111" i="16"/>
  <c r="J110" i="16"/>
  <c r="J109" i="16"/>
  <c r="J108" i="16"/>
  <c r="K108" i="16" s="1"/>
  <c r="J107" i="16"/>
  <c r="J106" i="16"/>
  <c r="K106" i="16" s="1"/>
  <c r="J105" i="16"/>
  <c r="J104" i="16"/>
  <c r="K104" i="16" s="1"/>
  <c r="J103" i="16"/>
  <c r="J102" i="16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K88" i="16" s="1"/>
  <c r="J87" i="16"/>
  <c r="J86" i="16"/>
  <c r="J85" i="16"/>
  <c r="J84" i="16"/>
  <c r="K84" i="16" s="1"/>
  <c r="J83" i="16"/>
  <c r="J82" i="16"/>
  <c r="J81" i="16"/>
  <c r="J80" i="16"/>
  <c r="K80" i="16" s="1"/>
  <c r="J79" i="16"/>
  <c r="J78" i="16"/>
  <c r="J77" i="16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K64" i="16" s="1"/>
  <c r="J63" i="16"/>
  <c r="J62" i="16"/>
  <c r="J61" i="16"/>
  <c r="J60" i="16"/>
  <c r="K60" i="16" s="1"/>
  <c r="J59" i="16"/>
  <c r="J58" i="16"/>
  <c r="K58" i="16" s="1"/>
  <c r="J57" i="16"/>
  <c r="J56" i="16"/>
  <c r="K56" i="16" s="1"/>
  <c r="J55" i="16"/>
  <c r="J54" i="16"/>
  <c r="J53" i="16"/>
  <c r="J52" i="16"/>
  <c r="K52" i="16" s="1"/>
  <c r="J51" i="16"/>
  <c r="J50" i="16"/>
  <c r="K50" i="16" s="1"/>
  <c r="J49" i="16"/>
  <c r="J48" i="16"/>
  <c r="K48" i="16" s="1"/>
  <c r="J47" i="16"/>
  <c r="J46" i="16"/>
  <c r="J45" i="16"/>
  <c r="J44" i="16"/>
  <c r="K44" i="16" s="1"/>
  <c r="J43" i="16"/>
  <c r="J42" i="16"/>
  <c r="K42" i="16" s="1"/>
  <c r="J41" i="16"/>
  <c r="J40" i="16"/>
  <c r="K40" i="16" s="1"/>
  <c r="J39" i="16"/>
  <c r="J38" i="16"/>
  <c r="J37" i="16"/>
  <c r="J36" i="16"/>
  <c r="K36" i="16" s="1"/>
  <c r="J35" i="16"/>
  <c r="J34" i="16"/>
  <c r="K34" i="16" s="1"/>
  <c r="J33" i="16"/>
  <c r="J32" i="16"/>
  <c r="K32" i="16" s="1"/>
  <c r="J31" i="16"/>
  <c r="J30" i="16"/>
  <c r="J29" i="16"/>
  <c r="J28" i="16"/>
  <c r="K28" i="16" s="1"/>
  <c r="J27" i="16"/>
  <c r="J26" i="16"/>
  <c r="K26" i="16" s="1"/>
  <c r="J25" i="16"/>
  <c r="J24" i="16"/>
  <c r="K24" i="16" s="1"/>
  <c r="J23" i="16"/>
  <c r="J22" i="16"/>
  <c r="J21" i="16"/>
  <c r="J20" i="16"/>
  <c r="K20" i="16" s="1"/>
  <c r="J19" i="16"/>
  <c r="J18" i="16"/>
  <c r="K18" i="16" s="1"/>
  <c r="J17" i="16"/>
  <c r="J16" i="16"/>
  <c r="K16" i="16" s="1"/>
  <c r="J15" i="16"/>
  <c r="J14" i="16"/>
  <c r="J13" i="16"/>
  <c r="J12" i="16"/>
  <c r="K12" i="16" s="1"/>
  <c r="J11" i="16"/>
  <c r="J10" i="16"/>
  <c r="K10" i="16" s="1"/>
  <c r="J9" i="16"/>
  <c r="J8" i="16"/>
  <c r="K8" i="16" s="1"/>
  <c r="J7" i="16"/>
  <c r="K30" i="16"/>
  <c r="K38" i="16"/>
  <c r="K54" i="16"/>
  <c r="K62" i="16"/>
  <c r="K78" i="16"/>
  <c r="K86" i="16"/>
  <c r="K94" i="16"/>
  <c r="K102" i="16"/>
  <c r="K110" i="16"/>
  <c r="K118" i="16"/>
  <c r="K126" i="16"/>
  <c r="K134" i="16"/>
  <c r="K142" i="16"/>
  <c r="K150" i="16"/>
  <c r="K158" i="16"/>
  <c r="K166" i="16"/>
  <c r="K174" i="16"/>
  <c r="K182" i="16"/>
  <c r="K190" i="16"/>
  <c r="K198" i="16"/>
  <c r="K206" i="16"/>
  <c r="K214" i="16"/>
  <c r="K222" i="16"/>
  <c r="K230" i="16"/>
  <c r="K238" i="16"/>
  <c r="K254" i="16"/>
  <c r="K262" i="16"/>
  <c r="K270" i="16"/>
  <c r="K278" i="16"/>
  <c r="K286" i="16"/>
  <c r="K302" i="16"/>
  <c r="J6" i="19"/>
  <c r="J6" i="18"/>
  <c r="J6" i="17"/>
  <c r="J6" i="16"/>
  <c r="J305" i="15"/>
  <c r="J304" i="15"/>
  <c r="J303" i="15"/>
  <c r="K303" i="15" s="1"/>
  <c r="J302" i="15"/>
  <c r="K302" i="15" s="1"/>
  <c r="J301" i="15"/>
  <c r="J300" i="15"/>
  <c r="K300" i="15" s="1"/>
  <c r="J299" i="15"/>
  <c r="J298" i="15"/>
  <c r="K298" i="15" s="1"/>
  <c r="J297" i="15"/>
  <c r="J296" i="15"/>
  <c r="K296" i="15" s="1"/>
  <c r="J295" i="15"/>
  <c r="K295" i="15" s="1"/>
  <c r="J294" i="15"/>
  <c r="K294" i="15" s="1"/>
  <c r="J293" i="15"/>
  <c r="J292" i="15"/>
  <c r="J291" i="15"/>
  <c r="K291" i="15" s="1"/>
  <c r="J290" i="15"/>
  <c r="K290" i="15" s="1"/>
  <c r="J289" i="15"/>
  <c r="J288" i="15"/>
  <c r="K288" i="15" s="1"/>
  <c r="J287" i="15"/>
  <c r="K287" i="15" s="1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K279" i="15" s="1"/>
  <c r="J278" i="15"/>
  <c r="K278" i="15" s="1"/>
  <c r="J277" i="15"/>
  <c r="J276" i="15"/>
  <c r="K276" i="15" s="1"/>
  <c r="J275" i="15"/>
  <c r="J274" i="15"/>
  <c r="J273" i="15"/>
  <c r="J272" i="15"/>
  <c r="K272" i="15" s="1"/>
  <c r="J271" i="15"/>
  <c r="K271" i="15" s="1"/>
  <c r="J270" i="15"/>
  <c r="K270" i="15" s="1"/>
  <c r="J269" i="15"/>
  <c r="J268" i="15"/>
  <c r="K268" i="15" s="1"/>
  <c r="J267" i="15"/>
  <c r="J266" i="15"/>
  <c r="K266" i="15" s="1"/>
  <c r="J265" i="15"/>
  <c r="J264" i="15"/>
  <c r="J263" i="15"/>
  <c r="K263" i="15" s="1"/>
  <c r="J262" i="15"/>
  <c r="K262" i="15" s="1"/>
  <c r="J261" i="15"/>
  <c r="J260" i="15"/>
  <c r="K260" i="15" s="1"/>
  <c r="J259" i="15"/>
  <c r="J258" i="15"/>
  <c r="J257" i="15"/>
  <c r="J256" i="15"/>
  <c r="K256" i="15" s="1"/>
  <c r="J255" i="15"/>
  <c r="J254" i="15"/>
  <c r="K254" i="15" s="1"/>
  <c r="J253" i="15"/>
  <c r="J252" i="15"/>
  <c r="K252" i="15" s="1"/>
  <c r="J251" i="15"/>
  <c r="K251" i="15" s="1"/>
  <c r="J250" i="15"/>
  <c r="J249" i="15"/>
  <c r="K249" i="15" s="1"/>
  <c r="J248" i="15"/>
  <c r="K248" i="15" s="1"/>
  <c r="J247" i="15"/>
  <c r="K247" i="15" s="1"/>
  <c r="J246" i="15"/>
  <c r="K246" i="15" s="1"/>
  <c r="J245" i="15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K238" i="15" s="1"/>
  <c r="J237" i="15"/>
  <c r="J236" i="15"/>
  <c r="K236" i="15" s="1"/>
  <c r="J235" i="15"/>
  <c r="J234" i="15"/>
  <c r="K234" i="15" s="1"/>
  <c r="J233" i="15"/>
  <c r="K233" i="15" s="1"/>
  <c r="J232" i="15"/>
  <c r="K232" i="15" s="1"/>
  <c r="J231" i="15"/>
  <c r="K231" i="15" s="1"/>
  <c r="J230" i="15"/>
  <c r="K230" i="15" s="1"/>
  <c r="J229" i="15"/>
  <c r="J228" i="15"/>
  <c r="K228" i="15" s="1"/>
  <c r="J227" i="15"/>
  <c r="J226" i="15"/>
  <c r="K226" i="15" s="1"/>
  <c r="J225" i="15"/>
  <c r="J224" i="15"/>
  <c r="J223" i="15"/>
  <c r="K223" i="15" s="1"/>
  <c r="J222" i="15"/>
  <c r="J221" i="15"/>
  <c r="J220" i="15"/>
  <c r="K220" i="15" s="1"/>
  <c r="J219" i="15"/>
  <c r="J218" i="15"/>
  <c r="K218" i="15" s="1"/>
  <c r="J217" i="15"/>
  <c r="J216" i="15"/>
  <c r="K216" i="15" s="1"/>
  <c r="J215" i="15"/>
  <c r="K215" i="15" s="1"/>
  <c r="J214" i="15"/>
  <c r="K214" i="15" s="1"/>
  <c r="J213" i="15"/>
  <c r="J212" i="15"/>
  <c r="J211" i="15"/>
  <c r="K211" i="15" s="1"/>
  <c r="J210" i="15"/>
  <c r="K210" i="15" s="1"/>
  <c r="J209" i="15"/>
  <c r="J208" i="15"/>
  <c r="K208" i="15" s="1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J194" i="15"/>
  <c r="K194" i="15" s="1"/>
  <c r="J193" i="15"/>
  <c r="J192" i="15"/>
  <c r="K192" i="15" s="1"/>
  <c r="J191" i="15"/>
  <c r="J190" i="15"/>
  <c r="K190" i="15" s="1"/>
  <c r="J189" i="15"/>
  <c r="J188" i="15"/>
  <c r="J187" i="15"/>
  <c r="K187" i="15" s="1"/>
  <c r="J186" i="15"/>
  <c r="K186" i="15" s="1"/>
  <c r="J185" i="15"/>
  <c r="J184" i="15"/>
  <c r="K184" i="15" s="1"/>
  <c r="J183" i="15"/>
  <c r="K183" i="15" s="1"/>
  <c r="J182" i="15"/>
  <c r="K182" i="15" s="1"/>
  <c r="J181" i="15"/>
  <c r="J180" i="15"/>
  <c r="K180" i="15" s="1"/>
  <c r="J179" i="15"/>
  <c r="K179" i="15" s="1"/>
  <c r="J178" i="15"/>
  <c r="K178" i="15" s="1"/>
  <c r="J177" i="15"/>
  <c r="K177" i="15" s="1"/>
  <c r="J176" i="15"/>
  <c r="J175" i="15"/>
  <c r="J174" i="15"/>
  <c r="K174" i="15" s="1"/>
  <c r="J173" i="15"/>
  <c r="J172" i="15"/>
  <c r="K172" i="15" s="1"/>
  <c r="J171" i="15"/>
  <c r="J170" i="15"/>
  <c r="J169" i="15"/>
  <c r="K169" i="15" s="1"/>
  <c r="J168" i="15"/>
  <c r="K168" i="15" s="1"/>
  <c r="J167" i="15"/>
  <c r="K167" i="15" s="1"/>
  <c r="J166" i="15"/>
  <c r="K166" i="15" s="1"/>
  <c r="J165" i="15"/>
  <c r="J164" i="15"/>
  <c r="K164" i="15" s="1"/>
  <c r="J163" i="15"/>
  <c r="J162" i="15"/>
  <c r="K162" i="15" s="1"/>
  <c r="J161" i="15"/>
  <c r="J160" i="15"/>
  <c r="J159" i="15"/>
  <c r="K159" i="15" s="1"/>
  <c r="J158" i="15"/>
  <c r="K158" i="15" s="1"/>
  <c r="J157" i="15"/>
  <c r="J156" i="15"/>
  <c r="J155" i="15"/>
  <c r="K155" i="15" s="1"/>
  <c r="J154" i="15"/>
  <c r="K154" i="15" s="1"/>
  <c r="J153" i="15"/>
  <c r="K153" i="15" s="1"/>
  <c r="J152" i="15"/>
  <c r="J151" i="15"/>
  <c r="J150" i="15"/>
  <c r="K150" i="15" s="1"/>
  <c r="J149" i="15"/>
  <c r="J148" i="15"/>
  <c r="K148" i="15" s="1"/>
  <c r="J147" i="15"/>
  <c r="J146" i="15"/>
  <c r="K146" i="15" s="1"/>
  <c r="J145" i="15"/>
  <c r="K145" i="15" s="1"/>
  <c r="J144" i="15"/>
  <c r="K144" i="15" s="1"/>
  <c r="J143" i="15"/>
  <c r="K143" i="15" s="1"/>
  <c r="J142" i="15"/>
  <c r="K142" i="15" s="1"/>
  <c r="J141" i="15"/>
  <c r="J140" i="15"/>
  <c r="K140" i="15" s="1"/>
  <c r="J139" i="15"/>
  <c r="J138" i="15"/>
  <c r="K138" i="15" s="1"/>
  <c r="J137" i="15"/>
  <c r="J136" i="15"/>
  <c r="J135" i="15"/>
  <c r="K135" i="15" s="1"/>
  <c r="J134" i="15"/>
  <c r="K134" i="15" s="1"/>
  <c r="J133" i="15"/>
  <c r="J132" i="15"/>
  <c r="J131" i="15"/>
  <c r="J130" i="15"/>
  <c r="K130" i="15" s="1"/>
  <c r="J129" i="15"/>
  <c r="J128" i="15"/>
  <c r="K128" i="15" s="1"/>
  <c r="J127" i="15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K120" i="15" s="1"/>
  <c r="J119" i="15"/>
  <c r="K119" i="15" s="1"/>
  <c r="J118" i="15"/>
  <c r="K118" i="15" s="1"/>
  <c r="J117" i="15"/>
  <c r="J116" i="15"/>
  <c r="K116" i="15" s="1"/>
  <c r="J115" i="15"/>
  <c r="K115" i="15" s="1"/>
  <c r="J114" i="15"/>
  <c r="K114" i="15" s="1"/>
  <c r="J113" i="15"/>
  <c r="K113" i="15" s="1"/>
  <c r="J112" i="15"/>
  <c r="J111" i="15"/>
  <c r="J110" i="15"/>
  <c r="K110" i="15" s="1"/>
  <c r="J109" i="15"/>
  <c r="J108" i="15"/>
  <c r="K108" i="15" s="1"/>
  <c r="J107" i="15"/>
  <c r="J106" i="15"/>
  <c r="K106" i="15" s="1"/>
  <c r="J105" i="15"/>
  <c r="K105" i="15" s="1"/>
  <c r="J104" i="15"/>
  <c r="K104" i="15" s="1"/>
  <c r="J103" i="15"/>
  <c r="K103" i="15" s="1"/>
  <c r="J102" i="15"/>
  <c r="K102" i="15" s="1"/>
  <c r="J101" i="15"/>
  <c r="J100" i="15"/>
  <c r="K100" i="15" s="1"/>
  <c r="J99" i="15"/>
  <c r="J98" i="15"/>
  <c r="J97" i="15"/>
  <c r="J96" i="15"/>
  <c r="J95" i="15"/>
  <c r="K95" i="15" s="1"/>
  <c r="J94" i="15"/>
  <c r="J93" i="15"/>
  <c r="J92" i="15"/>
  <c r="K92" i="15" s="1"/>
  <c r="J91" i="15"/>
  <c r="J90" i="15"/>
  <c r="K90" i="15" s="1"/>
  <c r="J89" i="15"/>
  <c r="J88" i="15"/>
  <c r="K88" i="15" s="1"/>
  <c r="J87" i="15"/>
  <c r="K87" i="15" s="1"/>
  <c r="J86" i="15"/>
  <c r="K86" i="15" s="1"/>
  <c r="J85" i="15"/>
  <c r="J84" i="15"/>
  <c r="K84" i="15" s="1"/>
  <c r="J83" i="15"/>
  <c r="J82" i="15"/>
  <c r="K82" i="15" s="1"/>
  <c r="J81" i="15"/>
  <c r="J80" i="15"/>
  <c r="J79" i="15"/>
  <c r="K79" i="15" s="1"/>
  <c r="J78" i="15"/>
  <c r="K78" i="15" s="1"/>
  <c r="J77" i="15"/>
  <c r="J76" i="15"/>
  <c r="K76" i="15" s="1"/>
  <c r="J75" i="15"/>
  <c r="J74" i="15"/>
  <c r="K74" i="15" s="1"/>
  <c r="J73" i="15"/>
  <c r="J72" i="15"/>
  <c r="K72" i="15" s="1"/>
  <c r="J71" i="15"/>
  <c r="J70" i="15"/>
  <c r="K70" i="15" s="1"/>
  <c r="J69" i="15"/>
  <c r="J68" i="15"/>
  <c r="K68" i="15" s="1"/>
  <c r="J67" i="15"/>
  <c r="K67" i="15" s="1"/>
  <c r="J66" i="15"/>
  <c r="K66" i="15" s="1"/>
  <c r="J65" i="15"/>
  <c r="J64" i="15"/>
  <c r="K64" i="15" s="1"/>
  <c r="J63" i="15"/>
  <c r="K63" i="15" s="1"/>
  <c r="J62" i="15"/>
  <c r="K62" i="15" s="1"/>
  <c r="J61" i="15"/>
  <c r="J60" i="15"/>
  <c r="K60" i="15" s="1"/>
  <c r="J59" i="15"/>
  <c r="J58" i="15"/>
  <c r="K58" i="15" s="1"/>
  <c r="J57" i="15"/>
  <c r="K57" i="15" s="1"/>
  <c r="J56" i="15"/>
  <c r="J55" i="15"/>
  <c r="K55" i="15" s="1"/>
  <c r="J54" i="15"/>
  <c r="K54" i="15" s="1"/>
  <c r="J53" i="15"/>
  <c r="J52" i="15"/>
  <c r="K52" i="15" s="1"/>
  <c r="J51" i="15"/>
  <c r="K51" i="15" s="1"/>
  <c r="J50" i="15"/>
  <c r="K50" i="15" s="1"/>
  <c r="J49" i="15"/>
  <c r="K49" i="15" s="1"/>
  <c r="J48" i="15"/>
  <c r="K48" i="15" s="1"/>
  <c r="J47" i="15"/>
  <c r="J46" i="15"/>
  <c r="K46" i="15" s="1"/>
  <c r="J45" i="15"/>
  <c r="J44" i="15"/>
  <c r="K44" i="15" s="1"/>
  <c r="J43" i="15"/>
  <c r="K43" i="15" s="1"/>
  <c r="J42" i="15"/>
  <c r="K42" i="15" s="1"/>
  <c r="J41" i="15"/>
  <c r="J40" i="15"/>
  <c r="K40" i="15" s="1"/>
  <c r="J39" i="15"/>
  <c r="K39" i="15" s="1"/>
  <c r="J38" i="15"/>
  <c r="K38" i="15" s="1"/>
  <c r="J37" i="15"/>
  <c r="J36" i="15"/>
  <c r="K36" i="15" s="1"/>
  <c r="J35" i="15"/>
  <c r="J34" i="15"/>
  <c r="K34" i="15" s="1"/>
  <c r="J33" i="15"/>
  <c r="K33" i="15" s="1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K25" i="15" s="1"/>
  <c r="J24" i="15"/>
  <c r="K24" i="15" s="1"/>
  <c r="J23" i="15"/>
  <c r="J22" i="15"/>
  <c r="K22" i="15" s="1"/>
  <c r="J21" i="15"/>
  <c r="J20" i="15"/>
  <c r="K20" i="15" s="1"/>
  <c r="J19" i="15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J10" i="15"/>
  <c r="K10" i="15" s="1"/>
  <c r="J9" i="15"/>
  <c r="J8" i="15"/>
  <c r="J7" i="15"/>
  <c r="K7" i="15" s="1"/>
  <c r="K21" i="15"/>
  <c r="K29" i="15"/>
  <c r="K45" i="15"/>
  <c r="K61" i="15"/>
  <c r="K69" i="15"/>
  <c r="K77" i="15"/>
  <c r="K85" i="15"/>
  <c r="K93" i="15"/>
  <c r="K94" i="15"/>
  <c r="K101" i="15"/>
  <c r="K109" i="15"/>
  <c r="K117" i="15"/>
  <c r="K125" i="15"/>
  <c r="K133" i="15"/>
  <c r="K141" i="15"/>
  <c r="K165" i="15"/>
  <c r="K173" i="15"/>
  <c r="K181" i="15"/>
  <c r="K189" i="15"/>
  <c r="K197" i="15"/>
  <c r="K205" i="15"/>
  <c r="K221" i="15"/>
  <c r="K222" i="15"/>
  <c r="K229" i="15"/>
  <c r="K237" i="15"/>
  <c r="K245" i="15"/>
  <c r="K253" i="15"/>
  <c r="K261" i="15"/>
  <c r="K269" i="15"/>
  <c r="K277" i="15"/>
  <c r="K285" i="15"/>
  <c r="K274" i="15"/>
  <c r="K258" i="15"/>
  <c r="K170" i="15"/>
  <c r="K98" i="15"/>
  <c r="J6" i="15"/>
  <c r="K2" i="15"/>
  <c r="A23" i="13"/>
  <c r="A22" i="13"/>
  <c r="A21" i="13"/>
  <c r="A20" i="13"/>
  <c r="A19" i="13"/>
  <c r="A18" i="13"/>
  <c r="A17" i="13"/>
  <c r="A16" i="13"/>
  <c r="A15" i="13"/>
  <c r="A13" i="13"/>
  <c r="A8" i="13"/>
  <c r="A14" i="13"/>
  <c r="A12" i="13"/>
  <c r="A7" i="13"/>
  <c r="A9" i="13"/>
  <c r="A11" i="13"/>
  <c r="A6" i="13"/>
  <c r="A10" i="13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K300" i="14" s="1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K276" i="14" s="1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K264" i="14" s="1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K252" i="14" s="1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K228" i="14" s="1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K204" i="14" s="1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K180" i="14" s="1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K168" i="14" s="1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K156" i="14" s="1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K144" i="14" s="1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K132" i="14" s="1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K120" i="14" s="1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K108" i="14" s="1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K96" i="14" s="1"/>
  <c r="J95" i="14"/>
  <c r="J94" i="14"/>
  <c r="J93" i="14"/>
  <c r="J92" i="14"/>
  <c r="J91" i="14"/>
  <c r="J90" i="14"/>
  <c r="J89" i="14"/>
  <c r="J88" i="14"/>
  <c r="J87" i="14"/>
  <c r="J86" i="14"/>
  <c r="J85" i="14"/>
  <c r="J84" i="14"/>
  <c r="K84" i="14" s="1"/>
  <c r="J83" i="14"/>
  <c r="J82" i="14"/>
  <c r="J81" i="14"/>
  <c r="J80" i="14"/>
  <c r="J79" i="14"/>
  <c r="J78" i="14"/>
  <c r="J77" i="14"/>
  <c r="J76" i="14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J63" i="14"/>
  <c r="J62" i="14"/>
  <c r="J61" i="14"/>
  <c r="J60" i="14"/>
  <c r="K60" i="14" s="1"/>
  <c r="J59" i="14"/>
  <c r="J58" i="14"/>
  <c r="J57" i="14"/>
  <c r="J56" i="14"/>
  <c r="J55" i="14"/>
  <c r="J54" i="14"/>
  <c r="J53" i="14"/>
  <c r="J52" i="14"/>
  <c r="J51" i="14"/>
  <c r="J50" i="14"/>
  <c r="J49" i="14"/>
  <c r="J48" i="14"/>
  <c r="K48" i="14" s="1"/>
  <c r="J47" i="14"/>
  <c r="J46" i="14"/>
  <c r="J45" i="14"/>
  <c r="J44" i="14"/>
  <c r="J43" i="14"/>
  <c r="J42" i="14"/>
  <c r="J41" i="14"/>
  <c r="J40" i="14"/>
  <c r="J39" i="14"/>
  <c r="J38" i="14"/>
  <c r="J37" i="14"/>
  <c r="J36" i="14"/>
  <c r="K36" i="14" s="1"/>
  <c r="J35" i="14"/>
  <c r="J34" i="14"/>
  <c r="J33" i="14"/>
  <c r="J32" i="14"/>
  <c r="J31" i="14"/>
  <c r="J30" i="14"/>
  <c r="J29" i="14"/>
  <c r="J28" i="14"/>
  <c r="J27" i="14"/>
  <c r="J26" i="14"/>
  <c r="J25" i="14"/>
  <c r="J24" i="14"/>
  <c r="K24" i="14" s="1"/>
  <c r="J23" i="14"/>
  <c r="J22" i="14"/>
  <c r="J21" i="14"/>
  <c r="J20" i="14"/>
  <c r="J19" i="14"/>
  <c r="J18" i="14"/>
  <c r="J17" i="14"/>
  <c r="J16" i="14"/>
  <c r="J15" i="14"/>
  <c r="J14" i="14"/>
  <c r="J13" i="14"/>
  <c r="J12" i="14"/>
  <c r="K12" i="14" s="1"/>
  <c r="J11" i="14"/>
  <c r="J10" i="14"/>
  <c r="J9" i="14"/>
  <c r="J8" i="14"/>
  <c r="J7" i="14"/>
  <c r="J6" i="14"/>
  <c r="K305" i="19"/>
  <c r="I305" i="19"/>
  <c r="K304" i="19"/>
  <c r="I304" i="19"/>
  <c r="K303" i="19"/>
  <c r="I303" i="19"/>
  <c r="I302" i="19"/>
  <c r="I301" i="19"/>
  <c r="K300" i="19"/>
  <c r="I300" i="19"/>
  <c r="K299" i="19"/>
  <c r="I299" i="19"/>
  <c r="I298" i="19"/>
  <c r="I297" i="19"/>
  <c r="M297" i="19" s="1"/>
  <c r="K296" i="19"/>
  <c r="I296" i="19"/>
  <c r="K295" i="19"/>
  <c r="I295" i="19"/>
  <c r="M295" i="19" s="1"/>
  <c r="I294" i="19"/>
  <c r="I293" i="19"/>
  <c r="K292" i="19"/>
  <c r="I292" i="19"/>
  <c r="K291" i="19"/>
  <c r="I291" i="19"/>
  <c r="I290" i="19"/>
  <c r="I289" i="19"/>
  <c r="K288" i="19"/>
  <c r="I288" i="19"/>
  <c r="K287" i="19"/>
  <c r="I287" i="19"/>
  <c r="I286" i="19"/>
  <c r="K285" i="19"/>
  <c r="I285" i="19"/>
  <c r="K284" i="19"/>
  <c r="I284" i="19"/>
  <c r="M284" i="19" s="1"/>
  <c r="K283" i="19"/>
  <c r="I283" i="19"/>
  <c r="I282" i="19"/>
  <c r="M282" i="19" s="1"/>
  <c r="K281" i="19"/>
  <c r="I281" i="19"/>
  <c r="K280" i="19"/>
  <c r="I280" i="19"/>
  <c r="K279" i="19"/>
  <c r="I279" i="19"/>
  <c r="I278" i="19"/>
  <c r="I277" i="19"/>
  <c r="K276" i="19"/>
  <c r="I276" i="19"/>
  <c r="K275" i="19"/>
  <c r="I275" i="19"/>
  <c r="I274" i="19"/>
  <c r="I273" i="19"/>
  <c r="M273" i="19" s="1"/>
  <c r="K272" i="19"/>
  <c r="I272" i="19"/>
  <c r="K271" i="19"/>
  <c r="I271" i="19"/>
  <c r="M271" i="19" s="1"/>
  <c r="I270" i="19"/>
  <c r="I269" i="19"/>
  <c r="K268" i="19"/>
  <c r="I268" i="19"/>
  <c r="K267" i="19"/>
  <c r="I267" i="19"/>
  <c r="I266" i="19"/>
  <c r="I265" i="19"/>
  <c r="K264" i="19"/>
  <c r="I264" i="19"/>
  <c r="K263" i="19"/>
  <c r="I263" i="19"/>
  <c r="K262" i="19"/>
  <c r="I262" i="19"/>
  <c r="I261" i="19"/>
  <c r="K260" i="19"/>
  <c r="I260" i="19"/>
  <c r="M260" i="19" s="1"/>
  <c r="K259" i="19"/>
  <c r="I259" i="19"/>
  <c r="I258" i="19"/>
  <c r="M258" i="19" s="1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I249" i="19"/>
  <c r="M249" i="19" s="1"/>
  <c r="K248" i="19"/>
  <c r="I248" i="19"/>
  <c r="K247" i="19"/>
  <c r="I247" i="19"/>
  <c r="M247" i="19" s="1"/>
  <c r="I246" i="19"/>
  <c r="I245" i="19"/>
  <c r="K244" i="19"/>
  <c r="I244" i="19"/>
  <c r="K243" i="19"/>
  <c r="I243" i="19"/>
  <c r="I242" i="19"/>
  <c r="I241" i="19"/>
  <c r="K240" i="19"/>
  <c r="I240" i="19"/>
  <c r="K239" i="19"/>
  <c r="I239" i="19"/>
  <c r="I238" i="19"/>
  <c r="I237" i="19"/>
  <c r="K236" i="19"/>
  <c r="I236" i="19"/>
  <c r="M236" i="19" s="1"/>
  <c r="K235" i="19"/>
  <c r="I235" i="19"/>
  <c r="I234" i="19"/>
  <c r="M234" i="19" s="1"/>
  <c r="I233" i="19"/>
  <c r="K232" i="19"/>
  <c r="I232" i="19"/>
  <c r="K231" i="19"/>
  <c r="I231" i="19"/>
  <c r="I230" i="19"/>
  <c r="K229" i="19"/>
  <c r="I229" i="19"/>
  <c r="K228" i="19"/>
  <c r="I228" i="19"/>
  <c r="K227" i="19"/>
  <c r="I227" i="19"/>
  <c r="I226" i="19"/>
  <c r="I225" i="19"/>
  <c r="M225" i="19" s="1"/>
  <c r="K224" i="19"/>
  <c r="I224" i="19"/>
  <c r="K223" i="19"/>
  <c r="I223" i="19"/>
  <c r="M223" i="19" s="1"/>
  <c r="I222" i="19"/>
  <c r="I221" i="19"/>
  <c r="K220" i="19"/>
  <c r="I220" i="19"/>
  <c r="K219" i="19"/>
  <c r="I219" i="19"/>
  <c r="K218" i="19"/>
  <c r="I218" i="19"/>
  <c r="I217" i="19"/>
  <c r="K216" i="19"/>
  <c r="I216" i="19"/>
  <c r="K215" i="19"/>
  <c r="I215" i="19"/>
  <c r="I214" i="19"/>
  <c r="I213" i="19"/>
  <c r="K212" i="19"/>
  <c r="I212" i="19"/>
  <c r="M212" i="19" s="1"/>
  <c r="K211" i="19"/>
  <c r="I211" i="19"/>
  <c r="I210" i="19"/>
  <c r="M210" i="19" s="1"/>
  <c r="K209" i="19"/>
  <c r="I209" i="19"/>
  <c r="K208" i="19"/>
  <c r="I208" i="19"/>
  <c r="K207" i="19"/>
  <c r="I207" i="19"/>
  <c r="I206" i="19"/>
  <c r="I205" i="19"/>
  <c r="K204" i="19"/>
  <c r="I204" i="19"/>
  <c r="K203" i="19"/>
  <c r="I203" i="19"/>
  <c r="I202" i="19"/>
  <c r="I201" i="19"/>
  <c r="M201" i="19" s="1"/>
  <c r="K200" i="19"/>
  <c r="I200" i="19"/>
  <c r="K199" i="19"/>
  <c r="I199" i="19"/>
  <c r="M199" i="19" s="1"/>
  <c r="I198" i="19"/>
  <c r="K197" i="19"/>
  <c r="I197" i="19"/>
  <c r="K196" i="19"/>
  <c r="I196" i="19"/>
  <c r="K195" i="19"/>
  <c r="I195" i="19"/>
  <c r="I194" i="19"/>
  <c r="I193" i="19"/>
  <c r="K192" i="19"/>
  <c r="I192" i="19"/>
  <c r="K191" i="19"/>
  <c r="I191" i="19"/>
  <c r="I190" i="19"/>
  <c r="K189" i="19"/>
  <c r="I189" i="19"/>
  <c r="K188" i="19"/>
  <c r="I188" i="19"/>
  <c r="M188" i="19" s="1"/>
  <c r="K187" i="19"/>
  <c r="I187" i="19"/>
  <c r="I186" i="19"/>
  <c r="M186" i="19" s="1"/>
  <c r="I185" i="19"/>
  <c r="K184" i="19"/>
  <c r="I184" i="19"/>
  <c r="K183" i="19"/>
  <c r="I183" i="19"/>
  <c r="I182" i="19"/>
  <c r="K181" i="19"/>
  <c r="I181" i="19"/>
  <c r="K180" i="19"/>
  <c r="I180" i="19"/>
  <c r="K179" i="19"/>
  <c r="I179" i="19"/>
  <c r="I178" i="19"/>
  <c r="I177" i="19"/>
  <c r="M177" i="19" s="1"/>
  <c r="K176" i="19"/>
  <c r="I176" i="19"/>
  <c r="M176" i="19" s="1"/>
  <c r="K175" i="19"/>
  <c r="I175" i="19"/>
  <c r="M175" i="19" s="1"/>
  <c r="K174" i="19"/>
  <c r="I174" i="19"/>
  <c r="M174" i="19" s="1"/>
  <c r="I173" i="19"/>
  <c r="K172" i="19"/>
  <c r="I172" i="19"/>
  <c r="K171" i="19"/>
  <c r="I171" i="19"/>
  <c r="I170" i="19"/>
  <c r="I169" i="19"/>
  <c r="K168" i="19"/>
  <c r="I168" i="19"/>
  <c r="K167" i="19"/>
  <c r="I167" i="19"/>
  <c r="I166" i="19"/>
  <c r="I165" i="19"/>
  <c r="M165" i="19" s="1"/>
  <c r="K164" i="19"/>
  <c r="I164" i="19"/>
  <c r="M164" i="19" s="1"/>
  <c r="K163" i="19"/>
  <c r="I163" i="19"/>
  <c r="M163" i="19" s="1"/>
  <c r="I162" i="19"/>
  <c r="M162" i="19" s="1"/>
  <c r="I161" i="19"/>
  <c r="K160" i="19"/>
  <c r="I160" i="19"/>
  <c r="K159" i="19"/>
  <c r="I159" i="19"/>
  <c r="I158" i="19"/>
  <c r="I157" i="19"/>
  <c r="K156" i="19"/>
  <c r="I156" i="19"/>
  <c r="K155" i="19"/>
  <c r="I155" i="19"/>
  <c r="I154" i="19"/>
  <c r="I153" i="19"/>
  <c r="M153" i="19" s="1"/>
  <c r="K152" i="19"/>
  <c r="I152" i="19"/>
  <c r="K151" i="19"/>
  <c r="I151" i="19"/>
  <c r="M151" i="19" s="1"/>
  <c r="I150" i="19"/>
  <c r="M150" i="19" s="1"/>
  <c r="I149" i="19"/>
  <c r="K148" i="19"/>
  <c r="I148" i="19"/>
  <c r="K147" i="19"/>
  <c r="I147" i="19"/>
  <c r="I146" i="19"/>
  <c r="I145" i="19"/>
  <c r="K144" i="19"/>
  <c r="I144" i="19"/>
  <c r="K143" i="19"/>
  <c r="I143" i="19"/>
  <c r="I142" i="19"/>
  <c r="I141" i="19"/>
  <c r="M141" i="19" s="1"/>
  <c r="K140" i="19"/>
  <c r="I140" i="19"/>
  <c r="K139" i="19"/>
  <c r="I139" i="19"/>
  <c r="M139" i="19" s="1"/>
  <c r="I138" i="19"/>
  <c r="M138" i="19" s="1"/>
  <c r="I137" i="19"/>
  <c r="K136" i="19"/>
  <c r="I136" i="19"/>
  <c r="K135" i="19"/>
  <c r="I135" i="19"/>
  <c r="I134" i="19"/>
  <c r="K133" i="19"/>
  <c r="I133" i="19"/>
  <c r="K132" i="19"/>
  <c r="I132" i="19"/>
  <c r="K131" i="19"/>
  <c r="I131" i="19"/>
  <c r="I130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I121" i="19"/>
  <c r="K120" i="19"/>
  <c r="I120" i="19"/>
  <c r="K119" i="19"/>
  <c r="I119" i="19"/>
  <c r="I118" i="19"/>
  <c r="K117" i="19"/>
  <c r="I117" i="19"/>
  <c r="K116" i="19"/>
  <c r="I116" i="19"/>
  <c r="K115" i="19"/>
  <c r="I115" i="19"/>
  <c r="I114" i="19"/>
  <c r="I113" i="19"/>
  <c r="K112" i="19"/>
  <c r="I112" i="19"/>
  <c r="K111" i="19"/>
  <c r="I111" i="19"/>
  <c r="I110" i="19"/>
  <c r="K109" i="19"/>
  <c r="I109" i="19"/>
  <c r="K108" i="19"/>
  <c r="I108" i="19"/>
  <c r="K107" i="19"/>
  <c r="I107" i="19"/>
  <c r="I106" i="19"/>
  <c r="I105" i="19"/>
  <c r="K104" i="19"/>
  <c r="I104" i="19"/>
  <c r="K103" i="19"/>
  <c r="I103" i="19"/>
  <c r="I102" i="19"/>
  <c r="I101" i="19"/>
  <c r="K100" i="19"/>
  <c r="I100" i="19"/>
  <c r="M100" i="19" s="1"/>
  <c r="K99" i="19"/>
  <c r="I99" i="19"/>
  <c r="M99" i="19" s="1"/>
  <c r="I98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I89" i="19"/>
  <c r="K88" i="19"/>
  <c r="I88" i="19"/>
  <c r="M88" i="19" s="1"/>
  <c r="K87" i="19"/>
  <c r="I87" i="19"/>
  <c r="M87" i="19" s="1"/>
  <c r="K86" i="19"/>
  <c r="I86" i="19"/>
  <c r="I85" i="19"/>
  <c r="K84" i="19"/>
  <c r="I84" i="19"/>
  <c r="K83" i="19"/>
  <c r="I83" i="19"/>
  <c r="I82" i="19"/>
  <c r="I81" i="19"/>
  <c r="K80" i="19"/>
  <c r="I80" i="19"/>
  <c r="K79" i="19"/>
  <c r="I79" i="19"/>
  <c r="I78" i="19"/>
  <c r="I77" i="19"/>
  <c r="K76" i="19"/>
  <c r="I76" i="19"/>
  <c r="M76" i="19" s="1"/>
  <c r="K75" i="19"/>
  <c r="I75" i="19"/>
  <c r="M75" i="19" s="1"/>
  <c r="I74" i="19"/>
  <c r="I73" i="19"/>
  <c r="K72" i="19"/>
  <c r="I72" i="19"/>
  <c r="K71" i="19"/>
  <c r="I71" i="19"/>
  <c r="I70" i="19"/>
  <c r="K69" i="19"/>
  <c r="I69" i="19"/>
  <c r="K68" i="19"/>
  <c r="I68" i="19"/>
  <c r="K67" i="19"/>
  <c r="I67" i="19"/>
  <c r="I66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B59" i="19"/>
  <c r="I58" i="19"/>
  <c r="B58" i="19"/>
  <c r="I57" i="19"/>
  <c r="B57" i="19"/>
  <c r="K56" i="19"/>
  <c r="I56" i="19"/>
  <c r="B56" i="19"/>
  <c r="K55" i="19"/>
  <c r="I55" i="19"/>
  <c r="M55" i="19" s="1"/>
  <c r="B55" i="19"/>
  <c r="I54" i="19"/>
  <c r="M54" i="19" s="1"/>
  <c r="B54" i="19"/>
  <c r="I53" i="19"/>
  <c r="B53" i="19"/>
  <c r="K52" i="19"/>
  <c r="I52" i="19"/>
  <c r="B52" i="19"/>
  <c r="K51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I41" i="19"/>
  <c r="B41" i="19"/>
  <c r="K40" i="19"/>
  <c r="I40" i="19"/>
  <c r="M40" i="19" s="1"/>
  <c r="B40" i="19"/>
  <c r="K39" i="19"/>
  <c r="I39" i="19"/>
  <c r="M39" i="19" s="1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I30" i="19"/>
  <c r="B30" i="19"/>
  <c r="I29" i="19"/>
  <c r="M29" i="19" s="1"/>
  <c r="B29" i="19"/>
  <c r="K28" i="19"/>
  <c r="I28" i="19"/>
  <c r="M28" i="19" s="1"/>
  <c r="B28" i="19"/>
  <c r="K27" i="19"/>
  <c r="I27" i="19"/>
  <c r="M27" i="19" s="1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I17" i="19"/>
  <c r="M17" i="19" s="1"/>
  <c r="B17" i="19"/>
  <c r="K16" i="19"/>
  <c r="I16" i="19"/>
  <c r="B16" i="19"/>
  <c r="K15" i="19"/>
  <c r="I15" i="19"/>
  <c r="B15" i="19"/>
  <c r="AJ14" i="19"/>
  <c r="I14" i="19"/>
  <c r="AJ13" i="19"/>
  <c r="I13" i="19"/>
  <c r="M13" i="19" s="1"/>
  <c r="AJ12" i="19"/>
  <c r="K12" i="19"/>
  <c r="I12" i="19"/>
  <c r="K11" i="19"/>
  <c r="I11" i="19"/>
  <c r="U21" i="20"/>
  <c r="I10" i="19"/>
  <c r="I9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M30" i="18" s="1"/>
  <c r="A30" i="18" s="1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K25" i="18"/>
  <c r="I25" i="18"/>
  <c r="B25" i="18"/>
  <c r="K24" i="18"/>
  <c r="I24" i="18"/>
  <c r="B24" i="18"/>
  <c r="I23" i="18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B19" i="18"/>
  <c r="I18" i="18"/>
  <c r="M18" i="18" s="1"/>
  <c r="B18" i="18"/>
  <c r="K17" i="18"/>
  <c r="I17" i="18"/>
  <c r="B17" i="18"/>
  <c r="K16" i="18"/>
  <c r="I16" i="18"/>
  <c r="M16" i="18" s="1"/>
  <c r="A16" i="18" s="1"/>
  <c r="B16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K11" i="18"/>
  <c r="I11" i="18"/>
  <c r="M11" i="18" s="1"/>
  <c r="A11" i="18"/>
  <c r="I10" i="18"/>
  <c r="M10" i="18" s="1"/>
  <c r="K9" i="18"/>
  <c r="I9" i="18"/>
  <c r="K8" i="18"/>
  <c r="I8" i="18"/>
  <c r="I7" i="18"/>
  <c r="K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M28" i="17" s="1"/>
  <c r="A28" i="17" s="1"/>
  <c r="B28" i="17"/>
  <c r="K27" i="17"/>
  <c r="I27" i="17"/>
  <c r="M27" i="17" s="1"/>
  <c r="A27" i="17" s="1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B22" i="17"/>
  <c r="I21" i="17"/>
  <c r="M21" i="17" s="1"/>
  <c r="A21" i="17" s="1"/>
  <c r="B21" i="17"/>
  <c r="K20" i="17"/>
  <c r="I20" i="17"/>
  <c r="B20" i="17"/>
  <c r="K19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AI14" i="17"/>
  <c r="I14" i="17"/>
  <c r="M14" i="17" s="1"/>
  <c r="A14" i="17" s="1"/>
  <c r="AI13" i="17"/>
  <c r="I13" i="17"/>
  <c r="AI12" i="17"/>
  <c r="AI16" i="17" s="1"/>
  <c r="K12" i="17"/>
  <c r="I12" i="17"/>
  <c r="K11" i="17"/>
  <c r="I11" i="17"/>
  <c r="M11" i="17" s="1"/>
  <c r="A11" i="17" s="1"/>
  <c r="I10" i="17"/>
  <c r="M10" i="17" s="1"/>
  <c r="K9" i="17"/>
  <c r="I9" i="17"/>
  <c r="K8" i="17"/>
  <c r="I8" i="17"/>
  <c r="K7" i="17"/>
  <c r="I7" i="17"/>
  <c r="K6" i="17"/>
  <c r="K2" i="17"/>
  <c r="K305" i="16"/>
  <c r="I305" i="16"/>
  <c r="M305" i="16" s="1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I272" i="16"/>
  <c r="M272" i="16" s="1"/>
  <c r="K271" i="16"/>
  <c r="I271" i="16"/>
  <c r="M271" i="16" s="1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K237" i="16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I216" i="16"/>
  <c r="M216" i="16" s="1"/>
  <c r="K215" i="16"/>
  <c r="I215" i="16"/>
  <c r="M215" i="16" s="1"/>
  <c r="I214" i="16"/>
  <c r="M214" i="16" s="1"/>
  <c r="K213" i="16"/>
  <c r="I213" i="16"/>
  <c r="M213" i="16" s="1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I192" i="16"/>
  <c r="M192" i="16" s="1"/>
  <c r="K191" i="16"/>
  <c r="I191" i="16"/>
  <c r="M191" i="16" s="1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I144" i="16"/>
  <c r="M144" i="16" s="1"/>
  <c r="K143" i="16"/>
  <c r="I143" i="16"/>
  <c r="M143" i="16" s="1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I128" i="16"/>
  <c r="M128" i="16" s="1"/>
  <c r="K127" i="16"/>
  <c r="I127" i="16"/>
  <c r="M127" i="16" s="1"/>
  <c r="I126" i="16"/>
  <c r="M126" i="16" s="1"/>
  <c r="K125" i="16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K83" i="16"/>
  <c r="I83" i="16"/>
  <c r="M83" i="16" s="1"/>
  <c r="K82" i="16"/>
  <c r="I82" i="16"/>
  <c r="M82" i="16" s="1"/>
  <c r="K81" i="16"/>
  <c r="I81" i="16"/>
  <c r="M81" i="16" s="1"/>
  <c r="I80" i="16"/>
  <c r="M80" i="16" s="1"/>
  <c r="K79" i="16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I36" i="16"/>
  <c r="B36" i="16"/>
  <c r="K35" i="16"/>
  <c r="I35" i="16"/>
  <c r="B35" i="16"/>
  <c r="I34" i="16"/>
  <c r="M34" i="16" s="1"/>
  <c r="B34" i="16"/>
  <c r="K33" i="16"/>
  <c r="I33" i="16"/>
  <c r="M33" i="16" s="1"/>
  <c r="B33" i="16"/>
  <c r="I32" i="16"/>
  <c r="B32" i="16"/>
  <c r="K31" i="16"/>
  <c r="I31" i="16"/>
  <c r="M31" i="16" s="1"/>
  <c r="B31" i="16"/>
  <c r="I30" i="16"/>
  <c r="M30" i="16" s="1"/>
  <c r="B30" i="16"/>
  <c r="K29" i="16"/>
  <c r="I29" i="16"/>
  <c r="B29" i="16"/>
  <c r="I28" i="16"/>
  <c r="M28" i="16" s="1"/>
  <c r="B28" i="16"/>
  <c r="K27" i="16"/>
  <c r="I27" i="16"/>
  <c r="B27" i="16"/>
  <c r="I26" i="16"/>
  <c r="M26" i="16" s="1"/>
  <c r="B26" i="16"/>
  <c r="K25" i="16"/>
  <c r="I25" i="16"/>
  <c r="M25" i="16" s="1"/>
  <c r="B25" i="16"/>
  <c r="I24" i="16"/>
  <c r="M24" i="16" s="1"/>
  <c r="B24" i="16"/>
  <c r="K23" i="16"/>
  <c r="I23" i="16"/>
  <c r="B23" i="16"/>
  <c r="K22" i="16"/>
  <c r="I22" i="16"/>
  <c r="M22" i="16" s="1"/>
  <c r="B22" i="16"/>
  <c r="K21" i="16"/>
  <c r="I21" i="16"/>
  <c r="M21" i="16" s="1"/>
  <c r="A21" i="16" s="1"/>
  <c r="B21" i="16"/>
  <c r="I20" i="16"/>
  <c r="B20" i="16"/>
  <c r="K19" i="16"/>
  <c r="I19" i="16"/>
  <c r="B19" i="16"/>
  <c r="I18" i="16"/>
  <c r="M18" i="16" s="1"/>
  <c r="B18" i="16"/>
  <c r="K17" i="16"/>
  <c r="I17" i="16"/>
  <c r="M17" i="16" s="1"/>
  <c r="A17" i="16" s="1"/>
  <c r="B17" i="16"/>
  <c r="I16" i="16"/>
  <c r="M16" i="16" s="1"/>
  <c r="A16" i="16" s="1"/>
  <c r="B16" i="16"/>
  <c r="K15" i="16"/>
  <c r="I15" i="16"/>
  <c r="M15" i="16" s="1"/>
  <c r="A15" i="16" s="1"/>
  <c r="B15" i="16"/>
  <c r="AI14" i="16"/>
  <c r="K14" i="16"/>
  <c r="I14" i="16"/>
  <c r="M14" i="16" s="1"/>
  <c r="A14" i="16" s="1"/>
  <c r="B14" i="16"/>
  <c r="AI13" i="16"/>
  <c r="K13" i="16"/>
  <c r="I13" i="16"/>
  <c r="M13" i="16" s="1"/>
  <c r="A13" i="16" s="1"/>
  <c r="B13" i="16"/>
  <c r="AI12" i="16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I8" i="16"/>
  <c r="K7" i="16"/>
  <c r="I7" i="16"/>
  <c r="K6" i="16"/>
  <c r="K2" i="16"/>
  <c r="L7" i="16" s="1"/>
  <c r="K305" i="15"/>
  <c r="I305" i="15"/>
  <c r="M305" i="15" s="1"/>
  <c r="K304" i="15"/>
  <c r="I304" i="15"/>
  <c r="M304" i="15" s="1"/>
  <c r="I303" i="15"/>
  <c r="M303" i="15" s="1"/>
  <c r="I302" i="15"/>
  <c r="M302" i="15" s="1"/>
  <c r="K301" i="15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K293" i="15"/>
  <c r="I293" i="15"/>
  <c r="M293" i="15" s="1"/>
  <c r="K292" i="15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I287" i="15"/>
  <c r="M287" i="15" s="1"/>
  <c r="I286" i="15"/>
  <c r="M286" i="15" s="1"/>
  <c r="I285" i="15"/>
  <c r="M285" i="15" s="1"/>
  <c r="K284" i="15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I261" i="15"/>
  <c r="M261" i="15" s="1"/>
  <c r="I260" i="15"/>
  <c r="M260" i="15" s="1"/>
  <c r="K259" i="15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I253" i="15"/>
  <c r="M253" i="15" s="1"/>
  <c r="I252" i="15"/>
  <c r="M252" i="15" s="1"/>
  <c r="I251" i="15"/>
  <c r="M251" i="15" s="1"/>
  <c r="K250" i="15"/>
  <c r="I250" i="15"/>
  <c r="M250" i="15" s="1"/>
  <c r="I249" i="15"/>
  <c r="M249" i="15" s="1"/>
  <c r="I248" i="15"/>
  <c r="M248" i="15" s="1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I237" i="15"/>
  <c r="M237" i="15" s="1"/>
  <c r="I236" i="15"/>
  <c r="M236" i="15" s="1"/>
  <c r="K235" i="15"/>
  <c r="I235" i="15"/>
  <c r="M235" i="15" s="1"/>
  <c r="I234" i="15"/>
  <c r="M234" i="15" s="1"/>
  <c r="I233" i="15"/>
  <c r="M233" i="15" s="1"/>
  <c r="I232" i="15"/>
  <c r="M232" i="15" s="1"/>
  <c r="I231" i="15"/>
  <c r="M231" i="15" s="1"/>
  <c r="I230" i="15"/>
  <c r="M230" i="15" s="1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I216" i="15"/>
  <c r="M216" i="15" s="1"/>
  <c r="I215" i="15"/>
  <c r="M215" i="15" s="1"/>
  <c r="I214" i="15"/>
  <c r="M214" i="15" s="1"/>
  <c r="K213" i="15"/>
  <c r="I213" i="15"/>
  <c r="M213" i="15" s="1"/>
  <c r="K212" i="15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I197" i="15"/>
  <c r="M197" i="15" s="1"/>
  <c r="K196" i="15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I173" i="15"/>
  <c r="M173" i="15" s="1"/>
  <c r="I172" i="15"/>
  <c r="M172" i="15" s="1"/>
  <c r="K171" i="15"/>
  <c r="I171" i="15"/>
  <c r="M171" i="15" s="1"/>
  <c r="I170" i="15"/>
  <c r="M170" i="15" s="1"/>
  <c r="I169" i="15"/>
  <c r="M169" i="15" s="1"/>
  <c r="I168" i="15"/>
  <c r="M168" i="15" s="1"/>
  <c r="I167" i="15"/>
  <c r="M167" i="15" s="1"/>
  <c r="I166" i="15"/>
  <c r="M166" i="15" s="1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I145" i="15"/>
  <c r="M145" i="15" s="1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K132" i="15"/>
  <c r="I132" i="15"/>
  <c r="M132" i="15" s="1"/>
  <c r="K131" i="15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K107" i="15"/>
  <c r="I107" i="15"/>
  <c r="M107" i="15" s="1"/>
  <c r="I106" i="15"/>
  <c r="M106" i="15" s="1"/>
  <c r="I105" i="15"/>
  <c r="M105" i="15" s="1"/>
  <c r="I104" i="15"/>
  <c r="M104" i="15" s="1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I88" i="15"/>
  <c r="M88" i="15" s="1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I39" i="15"/>
  <c r="M39" i="15" s="1"/>
  <c r="B39" i="15"/>
  <c r="I38" i="15"/>
  <c r="M38" i="15" s="1"/>
  <c r="B38" i="15"/>
  <c r="K37" i="15"/>
  <c r="I37" i="15"/>
  <c r="B37" i="15"/>
  <c r="I36" i="15"/>
  <c r="B36" i="15"/>
  <c r="K35" i="15"/>
  <c r="I35" i="15"/>
  <c r="M35" i="15" s="1"/>
  <c r="A35" i="15" s="1"/>
  <c r="B35" i="15"/>
  <c r="I34" i="15"/>
  <c r="M34" i="15" s="1"/>
  <c r="A34" i="15" s="1"/>
  <c r="B34" i="15"/>
  <c r="I33" i="15"/>
  <c r="B33" i="15"/>
  <c r="K32" i="15"/>
  <c r="I32" i="15"/>
  <c r="M32" i="15" s="1"/>
  <c r="A32" i="15" s="1"/>
  <c r="B32" i="15"/>
  <c r="I31" i="15"/>
  <c r="B31" i="15"/>
  <c r="I30" i="15"/>
  <c r="B30" i="15"/>
  <c r="I29" i="15"/>
  <c r="B29" i="15"/>
  <c r="I28" i="15"/>
  <c r="B28" i="15"/>
  <c r="I27" i="15"/>
  <c r="B27" i="15"/>
  <c r="I26" i="15"/>
  <c r="M26" i="15" s="1"/>
  <c r="A26" i="15" s="1"/>
  <c r="B26" i="15"/>
  <c r="I25" i="15"/>
  <c r="B25" i="15"/>
  <c r="I24" i="15"/>
  <c r="B24" i="15"/>
  <c r="K23" i="15"/>
  <c r="I23" i="15"/>
  <c r="M23" i="15" s="1"/>
  <c r="A23" i="15" s="1"/>
  <c r="B23" i="15"/>
  <c r="I22" i="15"/>
  <c r="M22" i="15" s="1"/>
  <c r="A22" i="15" s="1"/>
  <c r="B22" i="15"/>
  <c r="I21" i="15"/>
  <c r="B21" i="15"/>
  <c r="I20" i="15"/>
  <c r="M20" i="15" s="1"/>
  <c r="A20" i="15" s="1"/>
  <c r="B20" i="15"/>
  <c r="K19" i="15"/>
  <c r="I19" i="15"/>
  <c r="B19" i="15"/>
  <c r="I18" i="15"/>
  <c r="M18" i="15" s="1"/>
  <c r="B18" i="15"/>
  <c r="K17" i="15"/>
  <c r="I17" i="15"/>
  <c r="B17" i="15"/>
  <c r="K16" i="15"/>
  <c r="I16" i="15"/>
  <c r="B16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I12" i="15"/>
  <c r="B12" i="15"/>
  <c r="K11" i="15"/>
  <c r="I11" i="15"/>
  <c r="B11" i="15"/>
  <c r="I10" i="15"/>
  <c r="M10" i="15" s="1"/>
  <c r="G14" i="20"/>
  <c r="K9" i="15"/>
  <c r="I9" i="15"/>
  <c r="K8" i="15"/>
  <c r="I8" i="15"/>
  <c r="M8" i="15" s="1"/>
  <c r="I7" i="15"/>
  <c r="K6" i="15"/>
  <c r="G11" i="13"/>
  <c r="L8" i="15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I36" i="14"/>
  <c r="B36" i="14"/>
  <c r="K35" i="14"/>
  <c r="I35" i="14"/>
  <c r="M35" i="14" s="1"/>
  <c r="A35" i="14" s="1"/>
  <c r="B35" i="14"/>
  <c r="K34" i="14"/>
  <c r="I34" i="14"/>
  <c r="M34" i="14" s="1"/>
  <c r="B34" i="14"/>
  <c r="K33" i="14"/>
  <c r="I33" i="14"/>
  <c r="M33" i="14" s="1"/>
  <c r="A33" i="14" s="1"/>
  <c r="B33" i="14"/>
  <c r="K32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M29" i="14" s="1"/>
  <c r="A29" i="14" s="1"/>
  <c r="B29" i="14"/>
  <c r="K28" i="14"/>
  <c r="I28" i="14"/>
  <c r="B28" i="14"/>
  <c r="K27" i="14"/>
  <c r="I27" i="14"/>
  <c r="M27" i="14" s="1"/>
  <c r="A27" i="14" s="1"/>
  <c r="B27" i="14"/>
  <c r="K26" i="14"/>
  <c r="I26" i="14"/>
  <c r="B26" i="14"/>
  <c r="K25" i="14"/>
  <c r="I25" i="14"/>
  <c r="M25" i="14" s="1"/>
  <c r="A25" i="14" s="1"/>
  <c r="B25" i="14"/>
  <c r="I24" i="14"/>
  <c r="B24" i="14"/>
  <c r="K23" i="14"/>
  <c r="I23" i="14"/>
  <c r="M23" i="14" s="1"/>
  <c r="A23" i="14" s="1"/>
  <c r="B23" i="14"/>
  <c r="K22" i="14"/>
  <c r="I22" i="14"/>
  <c r="B22" i="14"/>
  <c r="K21" i="14"/>
  <c r="I21" i="14"/>
  <c r="M21" i="14" s="1"/>
  <c r="A21" i="14" s="1"/>
  <c r="B21" i="14"/>
  <c r="K20" i="14"/>
  <c r="I20" i="14"/>
  <c r="B20" i="14"/>
  <c r="K19" i="14"/>
  <c r="I19" i="14"/>
  <c r="M19" i="14" s="1"/>
  <c r="A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B16" i="14"/>
  <c r="K15" i="14"/>
  <c r="I15" i="14"/>
  <c r="M15" i="14" s="1"/>
  <c r="A15" i="14" s="1"/>
  <c r="B15" i="14"/>
  <c r="AI14" i="14"/>
  <c r="K14" i="14"/>
  <c r="I14" i="14"/>
  <c r="M14" i="14" s="1"/>
  <c r="B14" i="14"/>
  <c r="A14" i="14"/>
  <c r="AI13" i="14"/>
  <c r="K13" i="14"/>
  <c r="I13" i="14"/>
  <c r="M13" i="14" s="1"/>
  <c r="B13" i="14"/>
  <c r="A13" i="14"/>
  <c r="AI12" i="14"/>
  <c r="AI16" i="14" s="1"/>
  <c r="I12" i="14"/>
  <c r="B12" i="14"/>
  <c r="K11" i="14"/>
  <c r="I11" i="14"/>
  <c r="M11" i="14" s="1"/>
  <c r="A11" i="14" s="1"/>
  <c r="B11" i="14"/>
  <c r="K10" i="14"/>
  <c r="I10" i="14"/>
  <c r="M10" i="14" s="1"/>
  <c r="K9" i="14"/>
  <c r="I9" i="14"/>
  <c r="M9" i="14" s="1"/>
  <c r="A9" i="14" s="1"/>
  <c r="B9" i="14"/>
  <c r="K8" i="14"/>
  <c r="I8" i="14"/>
  <c r="K7" i="14"/>
  <c r="I7" i="14"/>
  <c r="E10" i="13"/>
  <c r="K6" i="14"/>
  <c r="E6" i="13"/>
  <c r="K2" i="14"/>
  <c r="M9" i="19" l="1"/>
  <c r="U18" i="20"/>
  <c r="U23" i="20"/>
  <c r="U15" i="20"/>
  <c r="U20" i="20"/>
  <c r="V20" i="20" s="1"/>
  <c r="U17" i="20"/>
  <c r="U22" i="20"/>
  <c r="U14" i="20"/>
  <c r="U19" i="20"/>
  <c r="V19" i="20" s="1"/>
  <c r="U9" i="13"/>
  <c r="U16" i="20"/>
  <c r="BB11" i="20"/>
  <c r="N10" i="20"/>
  <c r="N17" i="20"/>
  <c r="N21" i="20"/>
  <c r="N6" i="20"/>
  <c r="BB13" i="20"/>
  <c r="BD13" i="20"/>
  <c r="BD11" i="20"/>
  <c r="BD8" i="20"/>
  <c r="L18" i="20"/>
  <c r="L17" i="20"/>
  <c r="L12" i="20"/>
  <c r="L21" i="20"/>
  <c r="M19" i="28"/>
  <c r="N19" i="28" s="1"/>
  <c r="A19" i="28" s="1"/>
  <c r="M20" i="28"/>
  <c r="N20" i="28"/>
  <c r="A20" i="28" s="1"/>
  <c r="M44" i="28"/>
  <c r="M75" i="28"/>
  <c r="N75" i="28" s="1"/>
  <c r="A75" i="28" s="1"/>
  <c r="M83" i="28"/>
  <c r="N83" i="28" s="1"/>
  <c r="A83" i="28" s="1"/>
  <c r="M84" i="28"/>
  <c r="N84" i="28" s="1"/>
  <c r="A84" i="28" s="1"/>
  <c r="M94" i="28"/>
  <c r="N94" i="28"/>
  <c r="A94" i="28" s="1"/>
  <c r="N95" i="28"/>
  <c r="A95" i="28" s="1"/>
  <c r="M95" i="28"/>
  <c r="N99" i="28"/>
  <c r="A99" i="28" s="1"/>
  <c r="M99" i="28"/>
  <c r="N100" i="28"/>
  <c r="A100" i="28" s="1"/>
  <c r="M100" i="28"/>
  <c r="M109" i="28"/>
  <c r="N109" i="28"/>
  <c r="A109" i="28" s="1"/>
  <c r="N115" i="28"/>
  <c r="A115" i="28" s="1"/>
  <c r="M115" i="28"/>
  <c r="N124" i="28"/>
  <c r="A124" i="28" s="1"/>
  <c r="M124" i="28"/>
  <c r="N132" i="28"/>
  <c r="A132" i="28" s="1"/>
  <c r="M132" i="28"/>
  <c r="N134" i="28"/>
  <c r="A134" i="28" s="1"/>
  <c r="M134" i="28"/>
  <c r="N136" i="28"/>
  <c r="A136" i="28" s="1"/>
  <c r="M136" i="28"/>
  <c r="N138" i="28"/>
  <c r="A138" i="28" s="1"/>
  <c r="M138" i="28"/>
  <c r="M142" i="28"/>
  <c r="N142" i="28"/>
  <c r="A142" i="28" s="1"/>
  <c r="M143" i="28"/>
  <c r="N143" i="28"/>
  <c r="A143" i="28" s="1"/>
  <c r="N148" i="28"/>
  <c r="A148" i="28" s="1"/>
  <c r="M148" i="28"/>
  <c r="M154" i="28"/>
  <c r="N154" i="28"/>
  <c r="A154" i="28" s="1"/>
  <c r="M155" i="28"/>
  <c r="N155" i="28"/>
  <c r="A155" i="28" s="1"/>
  <c r="M171" i="28"/>
  <c r="N171" i="28"/>
  <c r="A171" i="28" s="1"/>
  <c r="M177" i="28"/>
  <c r="N177" i="28"/>
  <c r="A177" i="28" s="1"/>
  <c r="N178" i="28"/>
  <c r="A178" i="28" s="1"/>
  <c r="M178" i="28"/>
  <c r="M179" i="28"/>
  <c r="N179" i="28"/>
  <c r="A179" i="28" s="1"/>
  <c r="N180" i="28"/>
  <c r="A180" i="28" s="1"/>
  <c r="M180" i="28"/>
  <c r="N182" i="28"/>
  <c r="A182" i="28" s="1"/>
  <c r="M182" i="28"/>
  <c r="M185" i="28"/>
  <c r="N185" i="28"/>
  <c r="A185" i="28" s="1"/>
  <c r="M193" i="28"/>
  <c r="N193" i="28"/>
  <c r="A193" i="28" s="1"/>
  <c r="N194" i="28"/>
  <c r="A194" i="28" s="1"/>
  <c r="M194" i="28"/>
  <c r="M203" i="28"/>
  <c r="N203" i="28"/>
  <c r="A203" i="28" s="1"/>
  <c r="M211" i="28"/>
  <c r="N211" i="28"/>
  <c r="A211" i="28" s="1"/>
  <c r="M214" i="28"/>
  <c r="N214" i="28"/>
  <c r="A214" i="28" s="1"/>
  <c r="N216" i="28"/>
  <c r="A216" i="28" s="1"/>
  <c r="M216" i="28"/>
  <c r="M219" i="28"/>
  <c r="N219" i="28"/>
  <c r="A219" i="28" s="1"/>
  <c r="M227" i="28"/>
  <c r="N227" i="28"/>
  <c r="A227" i="28" s="1"/>
  <c r="M230" i="28"/>
  <c r="N230" i="28"/>
  <c r="A230" i="28" s="1"/>
  <c r="N232" i="28"/>
  <c r="A232" i="28" s="1"/>
  <c r="M232" i="28"/>
  <c r="M235" i="28"/>
  <c r="N235" i="28"/>
  <c r="A235" i="28" s="1"/>
  <c r="N238" i="28"/>
  <c r="A238" i="28" s="1"/>
  <c r="M238" i="28"/>
  <c r="M244" i="28"/>
  <c r="N244" i="28"/>
  <c r="A244" i="28" s="1"/>
  <c r="N246" i="28"/>
  <c r="A246" i="28" s="1"/>
  <c r="M246" i="28"/>
  <c r="N248" i="28"/>
  <c r="A248" i="28" s="1"/>
  <c r="M248" i="28"/>
  <c r="M249" i="28"/>
  <c r="N249" i="28"/>
  <c r="A249" i="28" s="1"/>
  <c r="N250" i="28"/>
  <c r="A250" i="28" s="1"/>
  <c r="M250" i="28"/>
  <c r="N253" i="28"/>
  <c r="A253" i="28" s="1"/>
  <c r="M253" i="28"/>
  <c r="N258" i="28"/>
  <c r="A258" i="28" s="1"/>
  <c r="M258" i="28"/>
  <c r="N261" i="28"/>
  <c r="A261" i="28" s="1"/>
  <c r="M261" i="28"/>
  <c r="N266" i="28"/>
  <c r="A266" i="28" s="1"/>
  <c r="M266" i="28"/>
  <c r="N269" i="28"/>
  <c r="A269" i="28" s="1"/>
  <c r="M269" i="28"/>
  <c r="N274" i="28"/>
  <c r="A274" i="28" s="1"/>
  <c r="M274" i="28"/>
  <c r="N277" i="28"/>
  <c r="A277" i="28" s="1"/>
  <c r="M277" i="28"/>
  <c r="N282" i="28"/>
  <c r="A282" i="28" s="1"/>
  <c r="M282" i="28"/>
  <c r="N285" i="28"/>
  <c r="A285" i="28" s="1"/>
  <c r="M285" i="28"/>
  <c r="N290" i="28"/>
  <c r="A290" i="28" s="1"/>
  <c r="M290" i="28"/>
  <c r="N293" i="28"/>
  <c r="A293" i="28" s="1"/>
  <c r="M293" i="28"/>
  <c r="N298" i="28"/>
  <c r="A298" i="28" s="1"/>
  <c r="M298" i="28"/>
  <c r="N301" i="28"/>
  <c r="A301" i="28" s="1"/>
  <c r="M301" i="28"/>
  <c r="BB9" i="20"/>
  <c r="BB12" i="20"/>
  <c r="BD12" i="20"/>
  <c r="L8" i="23"/>
  <c r="L6" i="23"/>
  <c r="M6" i="23"/>
  <c r="A6" i="23" s="1"/>
  <c r="BA6" i="20"/>
  <c r="BD10" i="20"/>
  <c r="BD7" i="20"/>
  <c r="BB10" i="20"/>
  <c r="H9" i="20"/>
  <c r="H11" i="20"/>
  <c r="H22" i="20"/>
  <c r="G15" i="20"/>
  <c r="H15" i="20" s="1"/>
  <c r="H16" i="20"/>
  <c r="H18" i="20"/>
  <c r="H10" i="20"/>
  <c r="G21" i="20"/>
  <c r="H21" i="20" s="1"/>
  <c r="E23" i="20"/>
  <c r="F23" i="20" s="1"/>
  <c r="E22" i="20"/>
  <c r="F22" i="20" s="1"/>
  <c r="E21" i="20"/>
  <c r="F21" i="20" s="1"/>
  <c r="E20" i="20"/>
  <c r="F20" i="20" s="1"/>
  <c r="E19" i="20"/>
  <c r="F19" i="20" s="1"/>
  <c r="E18" i="20"/>
  <c r="F18" i="20" s="1"/>
  <c r="E17" i="20"/>
  <c r="F17" i="20" s="1"/>
  <c r="E16" i="20"/>
  <c r="F16" i="20" s="1"/>
  <c r="E15" i="20"/>
  <c r="F15" i="20" s="1"/>
  <c r="E14" i="20"/>
  <c r="F14" i="20" s="1"/>
  <c r="E9" i="20"/>
  <c r="F9" i="20" s="1"/>
  <c r="E8" i="20"/>
  <c r="F8" i="20" s="1"/>
  <c r="F13" i="20"/>
  <c r="F10" i="20"/>
  <c r="F12" i="20"/>
  <c r="BD9" i="20"/>
  <c r="BA7" i="20"/>
  <c r="BB7" i="20"/>
  <c r="BD6" i="20"/>
  <c r="BB8" i="20"/>
  <c r="M15" i="28"/>
  <c r="N44" i="28"/>
  <c r="A44" i="28" s="1"/>
  <c r="N92" i="28"/>
  <c r="A92" i="28" s="1"/>
  <c r="N108" i="28"/>
  <c r="A108" i="28" s="1"/>
  <c r="N117" i="28"/>
  <c r="A117" i="28" s="1"/>
  <c r="M150" i="28"/>
  <c r="M152" i="28"/>
  <c r="N201" i="28"/>
  <c r="A201" i="28" s="1"/>
  <c r="M262" i="28"/>
  <c r="M278" i="28"/>
  <c r="M294" i="28"/>
  <c r="L6" i="28"/>
  <c r="N126" i="28"/>
  <c r="A126" i="28" s="1"/>
  <c r="M166" i="28"/>
  <c r="M198" i="28"/>
  <c r="M212" i="28"/>
  <c r="N225" i="28"/>
  <c r="A225" i="28" s="1"/>
  <c r="N233" i="28"/>
  <c r="A233" i="28" s="1"/>
  <c r="M257" i="28"/>
  <c r="M273" i="28"/>
  <c r="M289" i="28"/>
  <c r="M67" i="28"/>
  <c r="N67" i="28" s="1"/>
  <c r="A67" i="28" s="1"/>
  <c r="M93" i="28"/>
  <c r="N102" i="28"/>
  <c r="A102" i="28" s="1"/>
  <c r="N159" i="28"/>
  <c r="A159" i="28" s="1"/>
  <c r="M190" i="28"/>
  <c r="M202" i="28"/>
  <c r="N206" i="28"/>
  <c r="A206" i="28" s="1"/>
  <c r="M208" i="28"/>
  <c r="M254" i="28"/>
  <c r="M270" i="28"/>
  <c r="M286" i="28"/>
  <c r="M302" i="28"/>
  <c r="M51" i="28"/>
  <c r="M59" i="28"/>
  <c r="M85" i="28"/>
  <c r="N85" i="28" s="1"/>
  <c r="A85" i="28" s="1"/>
  <c r="M127" i="28"/>
  <c r="N139" i="28"/>
  <c r="A139" i="28" s="1"/>
  <c r="N217" i="28"/>
  <c r="A217" i="28" s="1"/>
  <c r="M265" i="28"/>
  <c r="M281" i="28"/>
  <c r="M297" i="28"/>
  <c r="M14" i="25"/>
  <c r="A14" i="25" s="1"/>
  <c r="AH17" i="20"/>
  <c r="M10" i="25"/>
  <c r="A10" i="25" s="1"/>
  <c r="AB16" i="20"/>
  <c r="AC16" i="20" s="1"/>
  <c r="BC16" i="20" s="1"/>
  <c r="AB17" i="20"/>
  <c r="AC17" i="20" s="1"/>
  <c r="BC17" i="20" s="1"/>
  <c r="AB19" i="20"/>
  <c r="AC19" i="20" s="1"/>
  <c r="BC19" i="20" s="1"/>
  <c r="U46" i="23"/>
  <c r="M8" i="23"/>
  <c r="A8" i="23" s="1"/>
  <c r="AC7" i="20" s="1"/>
  <c r="AB20" i="20"/>
  <c r="AC20" i="20" s="1"/>
  <c r="BC20" i="20" s="1"/>
  <c r="AB18" i="20"/>
  <c r="AC18" i="20" s="1"/>
  <c r="BC18" i="20" s="1"/>
  <c r="AB21" i="20"/>
  <c r="AC21" i="20" s="1"/>
  <c r="BC21" i="20" s="1"/>
  <c r="AB22" i="20"/>
  <c r="AC22" i="20" s="1"/>
  <c r="BC22" i="20" s="1"/>
  <c r="AB15" i="20"/>
  <c r="AC15" i="20" s="1"/>
  <c r="BC15" i="20" s="1"/>
  <c r="AC6" i="20"/>
  <c r="AB8" i="20"/>
  <c r="AC8" i="20" s="1"/>
  <c r="AB9" i="20"/>
  <c r="AC9" i="20" s="1"/>
  <c r="M7" i="28"/>
  <c r="N7" i="28" s="1"/>
  <c r="A7" i="28" s="1"/>
  <c r="M36" i="28"/>
  <c r="N36" i="28" s="1"/>
  <c r="A36" i="28" s="1"/>
  <c r="M60" i="28"/>
  <c r="N60" i="28" s="1"/>
  <c r="A60" i="28" s="1"/>
  <c r="N110" i="28"/>
  <c r="A110" i="28" s="1"/>
  <c r="N116" i="28"/>
  <c r="A116" i="28" s="1"/>
  <c r="M119" i="28"/>
  <c r="M123" i="28"/>
  <c r="N131" i="28"/>
  <c r="A131" i="28" s="1"/>
  <c r="N146" i="28"/>
  <c r="A146" i="28" s="1"/>
  <c r="M156" i="28"/>
  <c r="M158" i="28"/>
  <c r="M165" i="28"/>
  <c r="N174" i="28"/>
  <c r="A174" i="28" s="1"/>
  <c r="M176" i="28"/>
  <c r="M192" i="28"/>
  <c r="N200" i="28"/>
  <c r="A200" i="28" s="1"/>
  <c r="M205" i="28"/>
  <c r="M210" i="28"/>
  <c r="M213" i="28"/>
  <c r="N222" i="28"/>
  <c r="A222" i="28" s="1"/>
  <c r="M224" i="28"/>
  <c r="M236" i="28"/>
  <c r="N241" i="28"/>
  <c r="A241" i="28" s="1"/>
  <c r="N243" i="28"/>
  <c r="A243" i="28" s="1"/>
  <c r="M197" i="28"/>
  <c r="M10" i="28"/>
  <c r="N10" i="28" s="1"/>
  <c r="A10" i="28" s="1"/>
  <c r="M45" i="28"/>
  <c r="N45" i="28" s="1"/>
  <c r="A45" i="28" s="1"/>
  <c r="M69" i="28"/>
  <c r="N69" i="28" s="1"/>
  <c r="A69" i="28" s="1"/>
  <c r="M77" i="28"/>
  <c r="N77" i="28" s="1"/>
  <c r="A77" i="28" s="1"/>
  <c r="M79" i="28"/>
  <c r="N79" i="28" s="1"/>
  <c r="A79" i="28" s="1"/>
  <c r="M101" i="28"/>
  <c r="N118" i="28"/>
  <c r="A118" i="28" s="1"/>
  <c r="M125" i="28"/>
  <c r="M130" i="28"/>
  <c r="N135" i="28"/>
  <c r="A135" i="28" s="1"/>
  <c r="M160" i="28"/>
  <c r="M164" i="28"/>
  <c r="M184" i="28"/>
  <c r="N191" i="28"/>
  <c r="A191" i="28" s="1"/>
  <c r="M204" i="28"/>
  <c r="M228" i="28"/>
  <c r="M240" i="28"/>
  <c r="M251" i="28"/>
  <c r="M255" i="28"/>
  <c r="M259" i="28"/>
  <c r="M263" i="28"/>
  <c r="M267" i="28"/>
  <c r="M271" i="28"/>
  <c r="M275" i="28"/>
  <c r="M279" i="28"/>
  <c r="M283" i="28"/>
  <c r="M287" i="28"/>
  <c r="M291" i="28"/>
  <c r="M295" i="28"/>
  <c r="M299" i="28"/>
  <c r="M303" i="28"/>
  <c r="M37" i="28"/>
  <c r="N37" i="28" s="1"/>
  <c r="A37" i="28" s="1"/>
  <c r="M61" i="28"/>
  <c r="N61" i="28" s="1"/>
  <c r="A61" i="28" s="1"/>
  <c r="M71" i="28"/>
  <c r="N71" i="28" s="1"/>
  <c r="A71" i="28" s="1"/>
  <c r="M87" i="28"/>
  <c r="N87" i="28" s="1"/>
  <c r="A87" i="28" s="1"/>
  <c r="M91" i="28"/>
  <c r="M111" i="28"/>
  <c r="M140" i="28"/>
  <c r="N147" i="28"/>
  <c r="A147" i="28" s="1"/>
  <c r="M188" i="28"/>
  <c r="M196" i="28"/>
  <c r="N209" i="28"/>
  <c r="A209" i="28" s="1"/>
  <c r="N17" i="28"/>
  <c r="A17" i="28" s="1"/>
  <c r="M53" i="28"/>
  <c r="N53" i="28" s="1"/>
  <c r="A53" i="28" s="1"/>
  <c r="M103" i="28"/>
  <c r="M107" i="28"/>
  <c r="M144" i="28"/>
  <c r="N151" i="28"/>
  <c r="A151" i="28" s="1"/>
  <c r="M168" i="28"/>
  <c r="M172" i="28"/>
  <c r="N195" i="28"/>
  <c r="A195" i="28" s="1"/>
  <c r="M220" i="28"/>
  <c r="M252" i="28"/>
  <c r="M256" i="28"/>
  <c r="M260" i="28"/>
  <c r="M264" i="28"/>
  <c r="M268" i="28"/>
  <c r="M272" i="28"/>
  <c r="M276" i="28"/>
  <c r="M280" i="28"/>
  <c r="M284" i="28"/>
  <c r="M288" i="28"/>
  <c r="M292" i="28"/>
  <c r="M296" i="28"/>
  <c r="M300" i="28"/>
  <c r="M304" i="28"/>
  <c r="AM17" i="20"/>
  <c r="BG17" i="20" s="1"/>
  <c r="AM22" i="20"/>
  <c r="BG22" i="20" s="1"/>
  <c r="AM6" i="20"/>
  <c r="AM8" i="20"/>
  <c r="AM9" i="20"/>
  <c r="AM13" i="20"/>
  <c r="AM14" i="20"/>
  <c r="BG14" i="20" s="1"/>
  <c r="AM15" i="20"/>
  <c r="BG15" i="20" s="1"/>
  <c r="AM16" i="20"/>
  <c r="BG16" i="20" s="1"/>
  <c r="AM10" i="20"/>
  <c r="AM7" i="20"/>
  <c r="AM18" i="20"/>
  <c r="BG18" i="20" s="1"/>
  <c r="AM19" i="20"/>
  <c r="BG19" i="20" s="1"/>
  <c r="AM23" i="20"/>
  <c r="BG23" i="20" s="1"/>
  <c r="AM20" i="20"/>
  <c r="BG20" i="20" s="1"/>
  <c r="AM11" i="20"/>
  <c r="AM12" i="20"/>
  <c r="AM21" i="20"/>
  <c r="BG21" i="20" s="1"/>
  <c r="AK23" i="20"/>
  <c r="BF23" i="20" s="1"/>
  <c r="AK6" i="20"/>
  <c r="AH15" i="20"/>
  <c r="AH18" i="20"/>
  <c r="AH21" i="20"/>
  <c r="AI6" i="20"/>
  <c r="U46" i="25"/>
  <c r="AH16" i="20"/>
  <c r="AH19" i="20"/>
  <c r="AH8" i="20"/>
  <c r="AH23" i="20"/>
  <c r="AH9" i="20"/>
  <c r="AH20" i="20"/>
  <c r="AH22" i="20"/>
  <c r="AC11" i="20"/>
  <c r="AC14" i="20"/>
  <c r="BC14" i="20" s="1"/>
  <c r="L7" i="23"/>
  <c r="M7" i="23" s="1"/>
  <c r="A7" i="23" s="1"/>
  <c r="AC10" i="20" s="1"/>
  <c r="L9" i="23"/>
  <c r="M9" i="23" s="1"/>
  <c r="A9" i="23" s="1"/>
  <c r="AC12" i="20"/>
  <c r="AC13" i="20"/>
  <c r="AA22" i="20"/>
  <c r="BB22" i="20" s="1"/>
  <c r="Y20" i="20"/>
  <c r="BA20" i="20" s="1"/>
  <c r="Y13" i="20"/>
  <c r="Y8" i="20"/>
  <c r="BA11" i="20" s="1"/>
  <c r="Y16" i="20"/>
  <c r="BA16" i="20" s="1"/>
  <c r="L6" i="22"/>
  <c r="L9" i="22"/>
  <c r="N242" i="28"/>
  <c r="A242" i="28" s="1"/>
  <c r="M242" i="28"/>
  <c r="L7" i="22"/>
  <c r="AA23" i="20"/>
  <c r="BB23" i="20" s="1"/>
  <c r="L8" i="21"/>
  <c r="L8" i="22"/>
  <c r="M11" i="25"/>
  <c r="A11" i="25" s="1"/>
  <c r="L9" i="25"/>
  <c r="M9" i="25" s="1"/>
  <c r="A9" i="25" s="1"/>
  <c r="L6" i="25"/>
  <c r="M6" i="25" s="1"/>
  <c r="A6" i="25" s="1"/>
  <c r="L7" i="25"/>
  <c r="M7" i="25" s="1"/>
  <c r="A7" i="25" s="1"/>
  <c r="L8" i="25"/>
  <c r="M8" i="25" s="1"/>
  <c r="A8" i="25" s="1"/>
  <c r="AI11" i="20" s="1"/>
  <c r="AI16" i="24"/>
  <c r="M12" i="26"/>
  <c r="A12" i="26" s="1"/>
  <c r="M9" i="26"/>
  <c r="A9" i="26" s="1"/>
  <c r="M8" i="27"/>
  <c r="A8" i="27" s="1"/>
  <c r="L6" i="26"/>
  <c r="M6" i="26" s="1"/>
  <c r="A6" i="26" s="1"/>
  <c r="AK13" i="20" s="1"/>
  <c r="L7" i="26"/>
  <c r="M7" i="26" s="1"/>
  <c r="A7" i="26" s="1"/>
  <c r="L8" i="26"/>
  <c r="M8" i="26" s="1"/>
  <c r="A8" i="26" s="1"/>
  <c r="L9" i="26"/>
  <c r="M10" i="26"/>
  <c r="A10" i="26" s="1"/>
  <c r="M10" i="27"/>
  <c r="A10" i="27" s="1"/>
  <c r="M12" i="27"/>
  <c r="A12" i="27" s="1"/>
  <c r="N234" i="28"/>
  <c r="A234" i="28" s="1"/>
  <c r="M234" i="28"/>
  <c r="M7" i="27"/>
  <c r="A7" i="27" s="1"/>
  <c r="M32" i="28"/>
  <c r="N32" i="28" s="1"/>
  <c r="A32" i="28" s="1"/>
  <c r="AI16" i="27"/>
  <c r="M11" i="27"/>
  <c r="A11" i="27" s="1"/>
  <c r="M18" i="28"/>
  <c r="N18" i="28" s="1"/>
  <c r="A18" i="28" s="1"/>
  <c r="M16" i="27"/>
  <c r="A16" i="27" s="1"/>
  <c r="M18" i="27"/>
  <c r="A18" i="27" s="1"/>
  <c r="M14" i="28"/>
  <c r="N14" i="28" s="1"/>
  <c r="A14" i="28" s="1"/>
  <c r="L8" i="27"/>
  <c r="M21" i="28"/>
  <c r="N21" i="28" s="1"/>
  <c r="A21" i="28" s="1"/>
  <c r="M72" i="28"/>
  <c r="N72" i="28" s="1"/>
  <c r="A72" i="28" s="1"/>
  <c r="N137" i="28"/>
  <c r="A137" i="28" s="1"/>
  <c r="M137" i="28"/>
  <c r="M16" i="28"/>
  <c r="N16" i="28" s="1"/>
  <c r="A16" i="28" s="1"/>
  <c r="M30" i="28"/>
  <c r="N30" i="28" s="1"/>
  <c r="A30" i="28" s="1"/>
  <c r="M57" i="28"/>
  <c r="N57" i="28" s="1"/>
  <c r="A57" i="28" s="1"/>
  <c r="N112" i="28"/>
  <c r="A112" i="28" s="1"/>
  <c r="M112" i="28"/>
  <c r="N121" i="28"/>
  <c r="A121" i="28" s="1"/>
  <c r="M121" i="28"/>
  <c r="N129" i="28"/>
  <c r="A129" i="28" s="1"/>
  <c r="M129" i="28"/>
  <c r="M65" i="28"/>
  <c r="N65" i="28" s="1"/>
  <c r="A65" i="28" s="1"/>
  <c r="N97" i="28"/>
  <c r="A97" i="28" s="1"/>
  <c r="M97" i="28"/>
  <c r="M6" i="28"/>
  <c r="N6" i="28" s="1"/>
  <c r="A6" i="28" s="1"/>
  <c r="M81" i="28"/>
  <c r="N81" i="28" s="1"/>
  <c r="A81" i="28" s="1"/>
  <c r="M13" i="28"/>
  <c r="N13" i="28" s="1"/>
  <c r="A13" i="28" s="1"/>
  <c r="M25" i="28"/>
  <c r="N25" i="28" s="1"/>
  <c r="A25" i="28" s="1"/>
  <c r="N149" i="28"/>
  <c r="A149" i="28" s="1"/>
  <c r="M149" i="28"/>
  <c r="M163" i="28"/>
  <c r="N163" i="28"/>
  <c r="A163" i="28" s="1"/>
  <c r="N181" i="28"/>
  <c r="A181" i="28" s="1"/>
  <c r="M181" i="28"/>
  <c r="N237" i="28"/>
  <c r="A237" i="28" s="1"/>
  <c r="M237" i="28"/>
  <c r="N35" i="28"/>
  <c r="A35" i="28" s="1"/>
  <c r="M38" i="28"/>
  <c r="N38" i="28" s="1"/>
  <c r="A38" i="28" s="1"/>
  <c r="M40" i="28"/>
  <c r="N40" i="28" s="1"/>
  <c r="A40" i="28" s="1"/>
  <c r="N89" i="28"/>
  <c r="A89" i="28" s="1"/>
  <c r="M89" i="28"/>
  <c r="N104" i="28"/>
  <c r="A104" i="28" s="1"/>
  <c r="M104" i="28"/>
  <c r="N141" i="28"/>
  <c r="A141" i="28" s="1"/>
  <c r="M141" i="28"/>
  <c r="N170" i="28"/>
  <c r="A170" i="28" s="1"/>
  <c r="M170" i="28"/>
  <c r="M33" i="28"/>
  <c r="N33" i="28" s="1"/>
  <c r="A33" i="28" s="1"/>
  <c r="M48" i="28"/>
  <c r="N48" i="28" s="1"/>
  <c r="A48" i="28" s="1"/>
  <c r="M80" i="28"/>
  <c r="N80" i="28" s="1"/>
  <c r="A80" i="28" s="1"/>
  <c r="N113" i="28"/>
  <c r="A113" i="28" s="1"/>
  <c r="M113" i="28"/>
  <c r="N153" i="28"/>
  <c r="A153" i="28" s="1"/>
  <c r="M153" i="28"/>
  <c r="N229" i="28"/>
  <c r="A229" i="28" s="1"/>
  <c r="M229" i="28"/>
  <c r="L9" i="28"/>
  <c r="M9" i="28" s="1"/>
  <c r="N9" i="28" s="1"/>
  <c r="A9" i="28" s="1"/>
  <c r="L8" i="28"/>
  <c r="M8" i="28" s="1"/>
  <c r="N8" i="28" s="1"/>
  <c r="A8" i="28" s="1"/>
  <c r="N43" i="28"/>
  <c r="A43" i="28" s="1"/>
  <c r="M46" i="28"/>
  <c r="N46" i="28" s="1"/>
  <c r="A46" i="28" s="1"/>
  <c r="M56" i="28"/>
  <c r="N56" i="28" s="1"/>
  <c r="A56" i="28" s="1"/>
  <c r="M73" i="28"/>
  <c r="N73" i="28" s="1"/>
  <c r="A73" i="28" s="1"/>
  <c r="N96" i="28"/>
  <c r="A96" i="28" s="1"/>
  <c r="M96" i="28"/>
  <c r="N133" i="28"/>
  <c r="A133" i="28" s="1"/>
  <c r="M133" i="28"/>
  <c r="M167" i="28"/>
  <c r="N167" i="28"/>
  <c r="A167" i="28" s="1"/>
  <c r="M187" i="28"/>
  <c r="N187" i="28"/>
  <c r="A187" i="28" s="1"/>
  <c r="M12" i="28"/>
  <c r="N12" i="28" s="1"/>
  <c r="A12" i="28" s="1"/>
  <c r="N15" i="28"/>
  <c r="A15" i="28" s="1"/>
  <c r="M41" i="28"/>
  <c r="N41" i="28" s="1"/>
  <c r="A41" i="28" s="1"/>
  <c r="N51" i="28"/>
  <c r="A51" i="28" s="1"/>
  <c r="AY23" i="20" s="1"/>
  <c r="N120" i="28"/>
  <c r="A120" i="28" s="1"/>
  <c r="M120" i="28"/>
  <c r="N128" i="28"/>
  <c r="A128" i="28" s="1"/>
  <c r="M128" i="28"/>
  <c r="N145" i="28"/>
  <c r="A145" i="28" s="1"/>
  <c r="M145" i="28"/>
  <c r="M11" i="28"/>
  <c r="N11" i="28" s="1"/>
  <c r="A11" i="28" s="1"/>
  <c r="M22" i="28"/>
  <c r="N22" i="28" s="1"/>
  <c r="A22" i="28" s="1"/>
  <c r="M24" i="28"/>
  <c r="N24" i="28" s="1"/>
  <c r="A24" i="28" s="1"/>
  <c r="M49" i="28"/>
  <c r="N49" i="28" s="1"/>
  <c r="A49" i="28" s="1"/>
  <c r="N59" i="28"/>
  <c r="A59" i="28" s="1"/>
  <c r="M64" i="28"/>
  <c r="N64" i="28" s="1"/>
  <c r="A64" i="28" s="1"/>
  <c r="M88" i="28"/>
  <c r="N88" i="28" s="1"/>
  <c r="A88" i="28" s="1"/>
  <c r="AY11" i="20" s="1"/>
  <c r="N105" i="28"/>
  <c r="A105" i="28" s="1"/>
  <c r="M105" i="28"/>
  <c r="N157" i="28"/>
  <c r="A157" i="28" s="1"/>
  <c r="M157" i="28"/>
  <c r="N173" i="28"/>
  <c r="A173" i="28" s="1"/>
  <c r="M173" i="28"/>
  <c r="M26" i="28"/>
  <c r="N26" i="28" s="1"/>
  <c r="A26" i="28" s="1"/>
  <c r="M34" i="28"/>
  <c r="N34" i="28" s="1"/>
  <c r="A34" i="28" s="1"/>
  <c r="M42" i="28"/>
  <c r="N42" i="28" s="1"/>
  <c r="A42" i="28" s="1"/>
  <c r="M50" i="28"/>
  <c r="N50" i="28" s="1"/>
  <c r="A50" i="28" s="1"/>
  <c r="M58" i="28"/>
  <c r="N58" i="28" s="1"/>
  <c r="A58" i="28" s="1"/>
  <c r="M66" i="28"/>
  <c r="N66" i="28" s="1"/>
  <c r="A66" i="28" s="1"/>
  <c r="M74" i="28"/>
  <c r="N74" i="28" s="1"/>
  <c r="A74" i="28" s="1"/>
  <c r="M82" i="28"/>
  <c r="N82" i="28" s="1"/>
  <c r="A82" i="28" s="1"/>
  <c r="M90" i="28"/>
  <c r="M98" i="28"/>
  <c r="M106" i="28"/>
  <c r="M114" i="28"/>
  <c r="M122" i="28"/>
  <c r="N161" i="28"/>
  <c r="A161" i="28" s="1"/>
  <c r="N226" i="28"/>
  <c r="A226" i="28" s="1"/>
  <c r="M226" i="28"/>
  <c r="M23" i="28"/>
  <c r="N23" i="28" s="1"/>
  <c r="A23" i="28" s="1"/>
  <c r="M31" i="28"/>
  <c r="N31" i="28" s="1"/>
  <c r="A31" i="28" s="1"/>
  <c r="M39" i="28"/>
  <c r="N39" i="28" s="1"/>
  <c r="A39" i="28" s="1"/>
  <c r="M47" i="28"/>
  <c r="N47" i="28" s="1"/>
  <c r="A47" i="28" s="1"/>
  <c r="M55" i="28"/>
  <c r="N55" i="28" s="1"/>
  <c r="A55" i="28" s="1"/>
  <c r="M63" i="28"/>
  <c r="N63" i="28" s="1"/>
  <c r="A63" i="28" s="1"/>
  <c r="N175" i="28"/>
  <c r="A175" i="28" s="1"/>
  <c r="N218" i="28"/>
  <c r="A218" i="28" s="1"/>
  <c r="M218" i="28"/>
  <c r="M221" i="28"/>
  <c r="N245" i="28"/>
  <c r="A245" i="28" s="1"/>
  <c r="M245" i="28"/>
  <c r="M162" i="28"/>
  <c r="N169" i="28"/>
  <c r="A169" i="28" s="1"/>
  <c r="N183" i="28"/>
  <c r="A183" i="28" s="1"/>
  <c r="M186" i="28"/>
  <c r="M189" i="28"/>
  <c r="M199" i="28"/>
  <c r="N199" i="28"/>
  <c r="A199" i="28" s="1"/>
  <c r="M207" i="28"/>
  <c r="N207" i="28"/>
  <c r="A207" i="28" s="1"/>
  <c r="M215" i="28"/>
  <c r="N215" i="28"/>
  <c r="A215" i="28" s="1"/>
  <c r="N223" i="28"/>
  <c r="A223" i="28" s="1"/>
  <c r="N231" i="28"/>
  <c r="A231" i="28" s="1"/>
  <c r="N239" i="28"/>
  <c r="A239" i="28" s="1"/>
  <c r="N247" i="28"/>
  <c r="A247" i="28" s="1"/>
  <c r="M305" i="28"/>
  <c r="U14" i="13"/>
  <c r="U8" i="13"/>
  <c r="U13" i="13"/>
  <c r="U15" i="13"/>
  <c r="U16" i="13"/>
  <c r="U17" i="13"/>
  <c r="U18" i="13"/>
  <c r="U19" i="13"/>
  <c r="U20" i="13"/>
  <c r="U21" i="13"/>
  <c r="U22" i="13"/>
  <c r="U23" i="13"/>
  <c r="M14" i="13"/>
  <c r="M8" i="13"/>
  <c r="M13" i="13"/>
  <c r="M15" i="13"/>
  <c r="M16" i="13"/>
  <c r="M17" i="13"/>
  <c r="M18" i="13"/>
  <c r="M19" i="13"/>
  <c r="M20" i="13"/>
  <c r="M21" i="13"/>
  <c r="M22" i="13"/>
  <c r="M23" i="13"/>
  <c r="L8" i="14"/>
  <c r="M8" i="14" s="1"/>
  <c r="A8" i="14" s="1"/>
  <c r="F7" i="20" s="1"/>
  <c r="L7" i="14"/>
  <c r="L6" i="14"/>
  <c r="M6" i="14"/>
  <c r="A6" i="14"/>
  <c r="F6" i="20" s="1"/>
  <c r="M7" i="14"/>
  <c r="E23" i="13"/>
  <c r="F23" i="13" s="1"/>
  <c r="E22" i="13"/>
  <c r="F22" i="13" s="1"/>
  <c r="E21" i="13"/>
  <c r="F21" i="13" s="1"/>
  <c r="E20" i="13"/>
  <c r="F20" i="13" s="1"/>
  <c r="E19" i="13"/>
  <c r="F19" i="13" s="1"/>
  <c r="E18" i="13"/>
  <c r="F18" i="13" s="1"/>
  <c r="E17" i="13"/>
  <c r="F17" i="13" s="1"/>
  <c r="E16" i="13"/>
  <c r="F16" i="13" s="1"/>
  <c r="E15" i="13"/>
  <c r="F15" i="13" s="1"/>
  <c r="E13" i="13"/>
  <c r="F13" i="13" s="1"/>
  <c r="E8" i="13"/>
  <c r="F8" i="13" s="1"/>
  <c r="E14" i="13"/>
  <c r="F14" i="13" s="1"/>
  <c r="M12" i="14"/>
  <c r="A12" i="14" s="1"/>
  <c r="M16" i="14"/>
  <c r="A16" i="14" s="1"/>
  <c r="M20" i="14"/>
  <c r="A20" i="14" s="1"/>
  <c r="M22" i="14"/>
  <c r="A22" i="14" s="1"/>
  <c r="M24" i="14"/>
  <c r="A24" i="14" s="1"/>
  <c r="M26" i="14"/>
  <c r="A26" i="14" s="1"/>
  <c r="M28" i="14"/>
  <c r="A28" i="14" s="1"/>
  <c r="M30" i="14"/>
  <c r="A30" i="14" s="1"/>
  <c r="M32" i="14"/>
  <c r="A32" i="14" s="1"/>
  <c r="M36" i="14"/>
  <c r="A36" i="14" s="1"/>
  <c r="G23" i="13"/>
  <c r="H23" i="13" s="1"/>
  <c r="G22" i="13"/>
  <c r="H22" i="13" s="1"/>
  <c r="G21" i="13"/>
  <c r="G20" i="13"/>
  <c r="G19" i="13"/>
  <c r="H19" i="13" s="1"/>
  <c r="G18" i="13"/>
  <c r="H18" i="13" s="1"/>
  <c r="G17" i="13"/>
  <c r="G16" i="13"/>
  <c r="H16" i="13" s="1"/>
  <c r="G15" i="13"/>
  <c r="H15" i="13" s="1"/>
  <c r="G13" i="13"/>
  <c r="H13" i="13" s="1"/>
  <c r="G8" i="13"/>
  <c r="G14" i="13"/>
  <c r="H14" i="13" s="1"/>
  <c r="M9" i="15"/>
  <c r="A9" i="15" s="1"/>
  <c r="H10" i="13" s="1"/>
  <c r="M11" i="15"/>
  <c r="A11" i="15" s="1"/>
  <c r="M12" i="15"/>
  <c r="A12" i="15" s="1"/>
  <c r="AI16" i="15"/>
  <c r="M14" i="15"/>
  <c r="A14" i="15" s="1"/>
  <c r="M15" i="15"/>
  <c r="A15" i="15" s="1"/>
  <c r="M16" i="15"/>
  <c r="A16" i="15" s="1"/>
  <c r="M17" i="15"/>
  <c r="A17" i="15" s="1"/>
  <c r="M19" i="15"/>
  <c r="A19" i="15" s="1"/>
  <c r="M21" i="15"/>
  <c r="A21" i="15" s="1"/>
  <c r="M24" i="15"/>
  <c r="A24" i="15" s="1"/>
  <c r="M25" i="15"/>
  <c r="A25" i="15" s="1"/>
  <c r="M27" i="15"/>
  <c r="A27" i="15" s="1"/>
  <c r="M28" i="15"/>
  <c r="A28" i="15" s="1"/>
  <c r="M29" i="15"/>
  <c r="A29" i="15" s="1"/>
  <c r="M30" i="15"/>
  <c r="A30" i="15" s="1"/>
  <c r="M31" i="15"/>
  <c r="A31" i="15" s="1"/>
  <c r="M33" i="15"/>
  <c r="A33" i="15" s="1"/>
  <c r="M36" i="15"/>
  <c r="A36" i="15" s="1"/>
  <c r="M37" i="15"/>
  <c r="A37" i="15" s="1"/>
  <c r="U46" i="15"/>
  <c r="M7" i="16"/>
  <c r="I23" i="13"/>
  <c r="J23" i="13" s="1"/>
  <c r="I22" i="13"/>
  <c r="J22" i="13" s="1"/>
  <c r="I21" i="13"/>
  <c r="J21" i="13" s="1"/>
  <c r="I20" i="13"/>
  <c r="J20" i="13" s="1"/>
  <c r="I19" i="13"/>
  <c r="J19" i="13" s="1"/>
  <c r="I18" i="13"/>
  <c r="J18" i="13" s="1"/>
  <c r="I17" i="13"/>
  <c r="J17" i="13" s="1"/>
  <c r="I16" i="13"/>
  <c r="J16" i="13" s="1"/>
  <c r="I15" i="13"/>
  <c r="J15" i="13" s="1"/>
  <c r="I13" i="13"/>
  <c r="J13" i="13" s="1"/>
  <c r="I8" i="13"/>
  <c r="J8" i="13" s="1"/>
  <c r="I14" i="13"/>
  <c r="J14" i="13" s="1"/>
  <c r="L7" i="17"/>
  <c r="M7" i="17" s="1"/>
  <c r="A7" i="17" s="1"/>
  <c r="L10" i="13" s="1"/>
  <c r="L8" i="17"/>
  <c r="M8" i="17" s="1"/>
  <c r="A8" i="17" s="1"/>
  <c r="L6" i="17"/>
  <c r="M6" i="17" s="1"/>
  <c r="A6" i="17" s="1"/>
  <c r="M9" i="17"/>
  <c r="A9" i="17" s="1"/>
  <c r="M12" i="17"/>
  <c r="A12" i="17" s="1"/>
  <c r="M13" i="17"/>
  <c r="A13" i="17" s="1"/>
  <c r="M15" i="17"/>
  <c r="A15" i="17" s="1"/>
  <c r="M17" i="17"/>
  <c r="A17" i="17" s="1"/>
  <c r="M19" i="17"/>
  <c r="A19" i="17" s="1"/>
  <c r="M20" i="17"/>
  <c r="A20" i="17" s="1"/>
  <c r="M22" i="17"/>
  <c r="A22" i="17" s="1"/>
  <c r="M23" i="17"/>
  <c r="A23" i="17" s="1"/>
  <c r="M25" i="17"/>
  <c r="A25" i="17" s="1"/>
  <c r="M30" i="17"/>
  <c r="A30" i="17" s="1"/>
  <c r="M32" i="17"/>
  <c r="A32" i="17" s="1"/>
  <c r="M36" i="17"/>
  <c r="A36" i="17" s="1"/>
  <c r="M7" i="18"/>
  <c r="M9" i="18"/>
  <c r="A9" i="18" s="1"/>
  <c r="N12" i="20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U46" i="18"/>
  <c r="L6" i="19"/>
  <c r="L7" i="19"/>
  <c r="M6" i="19"/>
  <c r="N6" i="19" s="1"/>
  <c r="M7" i="19"/>
  <c r="M10" i="19"/>
  <c r="N10" i="19"/>
  <c r="M11" i="19"/>
  <c r="N11" i="19"/>
  <c r="V21" i="20" s="1"/>
  <c r="N12" i="19"/>
  <c r="M12" i="19"/>
  <c r="M14" i="19"/>
  <c r="N14" i="19"/>
  <c r="N15" i="19"/>
  <c r="A15" i="19" s="1"/>
  <c r="M15" i="19"/>
  <c r="N16" i="19"/>
  <c r="A16" i="19" s="1"/>
  <c r="M16" i="19"/>
  <c r="M18" i="19"/>
  <c r="N18" i="19"/>
  <c r="A18" i="19" s="1"/>
  <c r="M19" i="19"/>
  <c r="N19" i="19"/>
  <c r="A19" i="19" s="1"/>
  <c r="N20" i="19"/>
  <c r="A20" i="19" s="1"/>
  <c r="M20" i="19"/>
  <c r="N21" i="19"/>
  <c r="A21" i="19" s="1"/>
  <c r="M21" i="19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30" i="19"/>
  <c r="N30" i="19"/>
  <c r="A30" i="19" s="1"/>
  <c r="M31" i="19"/>
  <c r="N31" i="19"/>
  <c r="A31" i="19" s="1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N41" i="19"/>
  <c r="A41" i="19" s="1"/>
  <c r="M41" i="19"/>
  <c r="M42" i="19"/>
  <c r="N42" i="19"/>
  <c r="A42" i="19" s="1"/>
  <c r="M43" i="19"/>
  <c r="N43" i="19"/>
  <c r="A43" i="19" s="1"/>
  <c r="N44" i="19"/>
  <c r="A44" i="19" s="1"/>
  <c r="M44" i="19"/>
  <c r="M45" i="19"/>
  <c r="N45" i="19"/>
  <c r="A45" i="19" s="1"/>
  <c r="N46" i="19"/>
  <c r="A46" i="19" s="1"/>
  <c r="M46" i="19"/>
  <c r="V46" i="19"/>
  <c r="N47" i="19"/>
  <c r="A47" i="19" s="1"/>
  <c r="M47" i="19"/>
  <c r="M48" i="19"/>
  <c r="N48" i="19"/>
  <c r="A48" i="19" s="1"/>
  <c r="N49" i="19"/>
  <c r="A49" i="19" s="1"/>
  <c r="M49" i="19"/>
  <c r="M50" i="19"/>
  <c r="N50" i="19"/>
  <c r="A50" i="19" s="1"/>
  <c r="M51" i="19"/>
  <c r="N51" i="19"/>
  <c r="A51" i="19" s="1"/>
  <c r="M52" i="19"/>
  <c r="N52" i="19"/>
  <c r="A52" i="19" s="1"/>
  <c r="N53" i="19"/>
  <c r="A53" i="19" s="1"/>
  <c r="M53" i="19"/>
  <c r="N56" i="19"/>
  <c r="A56" i="19" s="1"/>
  <c r="M56" i="19"/>
  <c r="M57" i="19"/>
  <c r="N57" i="19"/>
  <c r="A57" i="19" s="1"/>
  <c r="M58" i="19"/>
  <c r="N58" i="19"/>
  <c r="A58" i="19" s="1"/>
  <c r="N59" i="19"/>
  <c r="A59" i="19" s="1"/>
  <c r="M59" i="19"/>
  <c r="M60" i="19"/>
  <c r="N60" i="19"/>
  <c r="A60" i="19" s="1"/>
  <c r="N61" i="19"/>
  <c r="A61" i="19" s="1"/>
  <c r="M61" i="19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N69" i="19"/>
  <c r="A69" i="19" s="1"/>
  <c r="M69" i="19"/>
  <c r="M70" i="19"/>
  <c r="N70" i="19"/>
  <c r="A70" i="19" s="1"/>
  <c r="M71" i="19"/>
  <c r="N71" i="19"/>
  <c r="A71" i="19" s="1"/>
  <c r="M72" i="19"/>
  <c r="N72" i="19"/>
  <c r="A72" i="19" s="1"/>
  <c r="M73" i="19"/>
  <c r="N73" i="19"/>
  <c r="A73" i="19" s="1"/>
  <c r="N74" i="19"/>
  <c r="A74" i="19" s="1"/>
  <c r="M74" i="19"/>
  <c r="M77" i="19"/>
  <c r="N77" i="19"/>
  <c r="A77" i="19" s="1"/>
  <c r="M78" i="19"/>
  <c r="N78" i="19"/>
  <c r="A78" i="19" s="1"/>
  <c r="M79" i="19"/>
  <c r="N79" i="19"/>
  <c r="A79" i="19" s="1"/>
  <c r="N80" i="19"/>
  <c r="A80" i="19" s="1"/>
  <c r="M80" i="19"/>
  <c r="N81" i="19"/>
  <c r="A81" i="19" s="1"/>
  <c r="M81" i="19"/>
  <c r="M82" i="19"/>
  <c r="N82" i="19"/>
  <c r="A82" i="19" s="1"/>
  <c r="M83" i="19"/>
  <c r="N83" i="19"/>
  <c r="A83" i="19" s="1"/>
  <c r="M84" i="19"/>
  <c r="N84" i="19"/>
  <c r="A84" i="19" s="1"/>
  <c r="M85" i="19"/>
  <c r="N85" i="19"/>
  <c r="A85" i="19" s="1"/>
  <c r="N86" i="19"/>
  <c r="A86" i="19" s="1"/>
  <c r="M86" i="19"/>
  <c r="M89" i="19"/>
  <c r="N89" i="19"/>
  <c r="A89" i="19" s="1"/>
  <c r="M90" i="19"/>
  <c r="N90" i="19"/>
  <c r="A90" i="19" s="1"/>
  <c r="M91" i="19"/>
  <c r="N91" i="19"/>
  <c r="A91" i="19" s="1"/>
  <c r="N92" i="19"/>
  <c r="A92" i="19" s="1"/>
  <c r="M92" i="19"/>
  <c r="N93" i="19"/>
  <c r="A93" i="19" s="1"/>
  <c r="M93" i="19"/>
  <c r="M94" i="19"/>
  <c r="N94" i="19"/>
  <c r="A94" i="19" s="1"/>
  <c r="M95" i="19"/>
  <c r="N95" i="19"/>
  <c r="A95" i="19" s="1"/>
  <c r="M96" i="19"/>
  <c r="N96" i="19"/>
  <c r="A96" i="19" s="1"/>
  <c r="M97" i="19"/>
  <c r="N97" i="19"/>
  <c r="A97" i="19" s="1"/>
  <c r="N98" i="19"/>
  <c r="A98" i="19" s="1"/>
  <c r="M98" i="19"/>
  <c r="M101" i="19"/>
  <c r="N101" i="19"/>
  <c r="A101" i="19" s="1"/>
  <c r="M102" i="19"/>
  <c r="N102" i="19"/>
  <c r="A102" i="19" s="1"/>
  <c r="M103" i="19"/>
  <c r="N103" i="19"/>
  <c r="A103" i="19" s="1"/>
  <c r="N104" i="19"/>
  <c r="A104" i="19" s="1"/>
  <c r="M104" i="19"/>
  <c r="M105" i="19"/>
  <c r="N105" i="19"/>
  <c r="A105" i="19" s="1"/>
  <c r="M106" i="19"/>
  <c r="N106" i="19"/>
  <c r="A106" i="19" s="1"/>
  <c r="M107" i="19"/>
  <c r="N107" i="19"/>
  <c r="A107" i="19" s="1"/>
  <c r="M108" i="19"/>
  <c r="N108" i="19"/>
  <c r="A108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0" i="19"/>
  <c r="N120" i="19"/>
  <c r="A120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2" i="19"/>
  <c r="N132" i="19"/>
  <c r="A132" i="19" s="1"/>
  <c r="M133" i="19"/>
  <c r="N133" i="19"/>
  <c r="A133" i="19" s="1"/>
  <c r="M134" i="19"/>
  <c r="N134" i="19"/>
  <c r="A134" i="19" s="1"/>
  <c r="M135" i="19"/>
  <c r="N135" i="19"/>
  <c r="A135" i="19" s="1"/>
  <c r="M136" i="19"/>
  <c r="N136" i="19"/>
  <c r="A136" i="19" s="1"/>
  <c r="N137" i="19"/>
  <c r="A137" i="19" s="1"/>
  <c r="M137" i="19"/>
  <c r="N140" i="19"/>
  <c r="A140" i="19" s="1"/>
  <c r="M140" i="19"/>
  <c r="M142" i="19"/>
  <c r="N142" i="19"/>
  <c r="A142" i="19" s="1"/>
  <c r="N143" i="19"/>
  <c r="A143" i="19" s="1"/>
  <c r="M143" i="19"/>
  <c r="N144" i="19"/>
  <c r="A144" i="19" s="1"/>
  <c r="M144" i="19"/>
  <c r="N145" i="19"/>
  <c r="A145" i="19" s="1"/>
  <c r="M145" i="19"/>
  <c r="M146" i="19"/>
  <c r="N146" i="19"/>
  <c r="A146" i="19" s="1"/>
  <c r="N147" i="19"/>
  <c r="A147" i="19" s="1"/>
  <c r="M147" i="19"/>
  <c r="M148" i="19"/>
  <c r="N148" i="19"/>
  <c r="A148" i="19" s="1"/>
  <c r="N149" i="19"/>
  <c r="A149" i="19" s="1"/>
  <c r="M149" i="19"/>
  <c r="N152" i="19"/>
  <c r="A152" i="19" s="1"/>
  <c r="M152" i="19"/>
  <c r="M154" i="19"/>
  <c r="N154" i="19"/>
  <c r="A154" i="19" s="1"/>
  <c r="N155" i="19"/>
  <c r="A155" i="19" s="1"/>
  <c r="M155" i="19"/>
  <c r="N156" i="19"/>
  <c r="A156" i="19" s="1"/>
  <c r="M156" i="19"/>
  <c r="N157" i="19"/>
  <c r="A157" i="19" s="1"/>
  <c r="M157" i="19"/>
  <c r="M158" i="19"/>
  <c r="N158" i="19"/>
  <c r="A158" i="19" s="1"/>
  <c r="N159" i="19"/>
  <c r="A159" i="19" s="1"/>
  <c r="M159" i="19"/>
  <c r="M160" i="19"/>
  <c r="N160" i="19"/>
  <c r="A160" i="19" s="1"/>
  <c r="N161" i="19"/>
  <c r="A161" i="19" s="1"/>
  <c r="M161" i="19"/>
  <c r="M166" i="19"/>
  <c r="N166" i="19"/>
  <c r="A166" i="19" s="1"/>
  <c r="N167" i="19"/>
  <c r="A167" i="19" s="1"/>
  <c r="M167" i="19"/>
  <c r="N168" i="19"/>
  <c r="A168" i="19" s="1"/>
  <c r="M168" i="19"/>
  <c r="N169" i="19"/>
  <c r="A169" i="19" s="1"/>
  <c r="M169" i="19"/>
  <c r="M170" i="19"/>
  <c r="N170" i="19"/>
  <c r="A170" i="19" s="1"/>
  <c r="N171" i="19"/>
  <c r="A171" i="19" s="1"/>
  <c r="M171" i="19"/>
  <c r="M172" i="19"/>
  <c r="N172" i="19"/>
  <c r="A172" i="19" s="1"/>
  <c r="N173" i="19"/>
  <c r="A173" i="19" s="1"/>
  <c r="M173" i="19"/>
  <c r="M178" i="19"/>
  <c r="N178" i="19"/>
  <c r="A178" i="19" s="1"/>
  <c r="N179" i="19"/>
  <c r="A179" i="19" s="1"/>
  <c r="M179" i="19"/>
  <c r="N180" i="19"/>
  <c r="A180" i="19" s="1"/>
  <c r="M180" i="19"/>
  <c r="N181" i="19"/>
  <c r="A181" i="19" s="1"/>
  <c r="M181" i="19"/>
  <c r="M182" i="19"/>
  <c r="N182" i="19"/>
  <c r="A182" i="19" s="1"/>
  <c r="N183" i="19"/>
  <c r="A183" i="19" s="1"/>
  <c r="M183" i="19"/>
  <c r="M184" i="19"/>
  <c r="N184" i="19"/>
  <c r="A184" i="19" s="1"/>
  <c r="N185" i="19"/>
  <c r="A185" i="19" s="1"/>
  <c r="M185" i="19"/>
  <c r="N187" i="19"/>
  <c r="A187" i="19" s="1"/>
  <c r="M187" i="19"/>
  <c r="N189" i="19"/>
  <c r="A189" i="19" s="1"/>
  <c r="M189" i="19"/>
  <c r="M190" i="19"/>
  <c r="N190" i="19"/>
  <c r="A190" i="19" s="1"/>
  <c r="N191" i="19"/>
  <c r="A191" i="19" s="1"/>
  <c r="M191" i="19"/>
  <c r="N192" i="19"/>
  <c r="A192" i="19" s="1"/>
  <c r="M192" i="19"/>
  <c r="N193" i="19"/>
  <c r="A193" i="19" s="1"/>
  <c r="M193" i="19"/>
  <c r="M194" i="19"/>
  <c r="N194" i="19"/>
  <c r="A194" i="19" s="1"/>
  <c r="N195" i="19"/>
  <c r="A195" i="19" s="1"/>
  <c r="M195" i="19"/>
  <c r="M196" i="19"/>
  <c r="N196" i="19"/>
  <c r="A196" i="19" s="1"/>
  <c r="N197" i="19"/>
  <c r="A197" i="19" s="1"/>
  <c r="M197" i="19"/>
  <c r="N198" i="19"/>
  <c r="A198" i="19" s="1"/>
  <c r="M198" i="19"/>
  <c r="N200" i="19"/>
  <c r="A200" i="19" s="1"/>
  <c r="M200" i="19"/>
  <c r="M202" i="19"/>
  <c r="N202" i="19"/>
  <c r="A202" i="19" s="1"/>
  <c r="N203" i="19"/>
  <c r="A203" i="19" s="1"/>
  <c r="M203" i="19"/>
  <c r="N204" i="19"/>
  <c r="A204" i="19" s="1"/>
  <c r="M204" i="19"/>
  <c r="N205" i="19"/>
  <c r="A205" i="19" s="1"/>
  <c r="M205" i="19"/>
  <c r="M206" i="19"/>
  <c r="N206" i="19"/>
  <c r="A206" i="19" s="1"/>
  <c r="N207" i="19"/>
  <c r="A207" i="19" s="1"/>
  <c r="M207" i="19"/>
  <c r="M208" i="19"/>
  <c r="N208" i="19"/>
  <c r="A208" i="19" s="1"/>
  <c r="N209" i="19"/>
  <c r="A209" i="19" s="1"/>
  <c r="M209" i="19"/>
  <c r="N211" i="19"/>
  <c r="A211" i="19" s="1"/>
  <c r="M211" i="19"/>
  <c r="N213" i="19"/>
  <c r="A213" i="19" s="1"/>
  <c r="M213" i="19"/>
  <c r="M214" i="19"/>
  <c r="N214" i="19"/>
  <c r="A214" i="19" s="1"/>
  <c r="N215" i="19"/>
  <c r="A215" i="19" s="1"/>
  <c r="M215" i="19"/>
  <c r="N216" i="19"/>
  <c r="A216" i="19" s="1"/>
  <c r="M216" i="19"/>
  <c r="N217" i="19"/>
  <c r="A217" i="19" s="1"/>
  <c r="M217" i="19"/>
  <c r="M218" i="19"/>
  <c r="N218" i="19"/>
  <c r="A218" i="19" s="1"/>
  <c r="N219" i="19"/>
  <c r="A219" i="19" s="1"/>
  <c r="M219" i="19"/>
  <c r="M220" i="19"/>
  <c r="N220" i="19"/>
  <c r="A220" i="19" s="1"/>
  <c r="N221" i="19"/>
  <c r="A221" i="19" s="1"/>
  <c r="M221" i="19"/>
  <c r="N222" i="19"/>
  <c r="A222" i="19" s="1"/>
  <c r="M222" i="19"/>
  <c r="N224" i="19"/>
  <c r="A224" i="19" s="1"/>
  <c r="M224" i="19"/>
  <c r="M226" i="19"/>
  <c r="N226" i="19"/>
  <c r="A226" i="19" s="1"/>
  <c r="N227" i="19"/>
  <c r="A227" i="19" s="1"/>
  <c r="M227" i="19"/>
  <c r="N228" i="19"/>
  <c r="A228" i="19" s="1"/>
  <c r="M228" i="19"/>
  <c r="N229" i="19"/>
  <c r="A229" i="19" s="1"/>
  <c r="M229" i="19"/>
  <c r="M230" i="19"/>
  <c r="N230" i="19"/>
  <c r="A230" i="19" s="1"/>
  <c r="N231" i="19"/>
  <c r="A231" i="19" s="1"/>
  <c r="M231" i="19"/>
  <c r="M232" i="19"/>
  <c r="N232" i="19"/>
  <c r="A232" i="19" s="1"/>
  <c r="N233" i="19"/>
  <c r="A233" i="19" s="1"/>
  <c r="M233" i="19"/>
  <c r="N235" i="19"/>
  <c r="A235" i="19" s="1"/>
  <c r="M235" i="19"/>
  <c r="N237" i="19"/>
  <c r="A237" i="19" s="1"/>
  <c r="M237" i="19"/>
  <c r="M238" i="19"/>
  <c r="N238" i="19"/>
  <c r="A238" i="19" s="1"/>
  <c r="N239" i="19"/>
  <c r="A239" i="19" s="1"/>
  <c r="M239" i="19"/>
  <c r="N240" i="19"/>
  <c r="A240" i="19" s="1"/>
  <c r="M240" i="19"/>
  <c r="N241" i="19"/>
  <c r="A241" i="19" s="1"/>
  <c r="M241" i="19"/>
  <c r="M242" i="19"/>
  <c r="N242" i="19"/>
  <c r="A242" i="19" s="1"/>
  <c r="N243" i="19"/>
  <c r="A243" i="19" s="1"/>
  <c r="M243" i="19"/>
  <c r="M244" i="19"/>
  <c r="N244" i="19"/>
  <c r="A244" i="19" s="1"/>
  <c r="N245" i="19"/>
  <c r="A245" i="19" s="1"/>
  <c r="M245" i="19"/>
  <c r="N246" i="19"/>
  <c r="A246" i="19" s="1"/>
  <c r="M246" i="19"/>
  <c r="N248" i="19"/>
  <c r="A248" i="19" s="1"/>
  <c r="M248" i="19"/>
  <c r="M250" i="19"/>
  <c r="N250" i="19"/>
  <c r="A250" i="19" s="1"/>
  <c r="N251" i="19"/>
  <c r="A251" i="19" s="1"/>
  <c r="M251" i="19"/>
  <c r="N252" i="19"/>
  <c r="A252" i="19" s="1"/>
  <c r="M252" i="19"/>
  <c r="N253" i="19"/>
  <c r="A253" i="19" s="1"/>
  <c r="M253" i="19"/>
  <c r="M254" i="19"/>
  <c r="N254" i="19"/>
  <c r="A254" i="19" s="1"/>
  <c r="N255" i="19"/>
  <c r="A255" i="19" s="1"/>
  <c r="M255" i="19"/>
  <c r="M256" i="19"/>
  <c r="N256" i="19"/>
  <c r="A256" i="19" s="1"/>
  <c r="N257" i="19"/>
  <c r="A257" i="19" s="1"/>
  <c r="M257" i="19"/>
  <c r="N259" i="19"/>
  <c r="A259" i="19" s="1"/>
  <c r="M259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M266" i="19"/>
  <c r="N266" i="19"/>
  <c r="A266" i="19" s="1"/>
  <c r="N267" i="19"/>
  <c r="A267" i="19" s="1"/>
  <c r="M267" i="19"/>
  <c r="M268" i="19"/>
  <c r="N268" i="19"/>
  <c r="A268" i="19" s="1"/>
  <c r="N269" i="19"/>
  <c r="A269" i="19" s="1"/>
  <c r="M269" i="19"/>
  <c r="N270" i="19"/>
  <c r="A270" i="19" s="1"/>
  <c r="M270" i="19"/>
  <c r="N272" i="19"/>
  <c r="A272" i="19" s="1"/>
  <c r="M272" i="19"/>
  <c r="M274" i="19"/>
  <c r="N274" i="19"/>
  <c r="A274" i="19" s="1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M280" i="19"/>
  <c r="N280" i="19"/>
  <c r="A280" i="19" s="1"/>
  <c r="N281" i="19"/>
  <c r="A281" i="19" s="1"/>
  <c r="M281" i="19"/>
  <c r="N283" i="19"/>
  <c r="A283" i="19" s="1"/>
  <c r="M283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M290" i="19"/>
  <c r="N290" i="19"/>
  <c r="A290" i="19" s="1"/>
  <c r="N291" i="19"/>
  <c r="A291" i="19" s="1"/>
  <c r="M291" i="19"/>
  <c r="M292" i="19"/>
  <c r="N292" i="19"/>
  <c r="A292" i="19" s="1"/>
  <c r="N293" i="19"/>
  <c r="A293" i="19" s="1"/>
  <c r="M293" i="19"/>
  <c r="M294" i="19"/>
  <c r="N294" i="19"/>
  <c r="A294" i="19" s="1"/>
  <c r="M296" i="19"/>
  <c r="N296" i="19"/>
  <c r="A296" i="19" s="1"/>
  <c r="M298" i="19"/>
  <c r="N298" i="19"/>
  <c r="A298" i="19" s="1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J7" i="13"/>
  <c r="J12" i="13"/>
  <c r="K11" i="13"/>
  <c r="L12" i="13"/>
  <c r="K14" i="13"/>
  <c r="K8" i="13"/>
  <c r="K13" i="13"/>
  <c r="K15" i="13"/>
  <c r="K16" i="13"/>
  <c r="K17" i="13"/>
  <c r="L17" i="13" s="1"/>
  <c r="K18" i="13"/>
  <c r="L18" i="13" s="1"/>
  <c r="K19" i="13"/>
  <c r="K20" i="13"/>
  <c r="K21" i="13"/>
  <c r="K22" i="13"/>
  <c r="K23" i="13"/>
  <c r="M23" i="16"/>
  <c r="A23" i="16" s="1"/>
  <c r="M32" i="16"/>
  <c r="A32" i="16" s="1"/>
  <c r="M9" i="16"/>
  <c r="A9" i="16" s="1"/>
  <c r="J10" i="13" s="1"/>
  <c r="A24" i="16"/>
  <c r="A30" i="16"/>
  <c r="A33" i="16"/>
  <c r="M19" i="16"/>
  <c r="A19" i="16" s="1"/>
  <c r="M27" i="16"/>
  <c r="A27" i="16" s="1"/>
  <c r="M35" i="16"/>
  <c r="A35" i="16" s="1"/>
  <c r="A31" i="16"/>
  <c r="M20" i="16"/>
  <c r="A20" i="16" s="1"/>
  <c r="M36" i="16"/>
  <c r="A36" i="16" s="1"/>
  <c r="A11" i="16"/>
  <c r="A22" i="16"/>
  <c r="L8" i="16"/>
  <c r="M8" i="16" s="1"/>
  <c r="A8" i="16" s="1"/>
  <c r="J11" i="13" s="1"/>
  <c r="A25" i="16"/>
  <c r="A28" i="16"/>
  <c r="M29" i="16"/>
  <c r="A29" i="16" s="1"/>
  <c r="M37" i="16"/>
  <c r="A37" i="16" s="1"/>
  <c r="A10" i="18"/>
  <c r="N18" i="20" s="1"/>
  <c r="A34" i="18"/>
  <c r="A26" i="18"/>
  <c r="A18" i="18"/>
  <c r="A10" i="17"/>
  <c r="L23" i="20" s="1"/>
  <c r="A34" i="16"/>
  <c r="A26" i="16"/>
  <c r="A18" i="16"/>
  <c r="H14" i="20"/>
  <c r="A18" i="15"/>
  <c r="H12" i="13"/>
  <c r="H6" i="13"/>
  <c r="A34" i="14"/>
  <c r="F9" i="13"/>
  <c r="A18" i="14"/>
  <c r="F7" i="13"/>
  <c r="F12" i="13"/>
  <c r="F6" i="13"/>
  <c r="A7" i="18"/>
  <c r="L7" i="15"/>
  <c r="M7" i="15" s="1"/>
  <c r="A7" i="15" s="1"/>
  <c r="A7" i="14"/>
  <c r="N223" i="19"/>
  <c r="A223" i="19" s="1"/>
  <c r="A8" i="15"/>
  <c r="H11" i="13" s="1"/>
  <c r="L6" i="15"/>
  <c r="M6" i="15" s="1"/>
  <c r="A7" i="16"/>
  <c r="J6" i="13" s="1"/>
  <c r="AI16" i="16"/>
  <c r="L6" i="16"/>
  <c r="N55" i="19"/>
  <c r="A55" i="19" s="1"/>
  <c r="N99" i="19"/>
  <c r="A99" i="19" s="1"/>
  <c r="L8" i="18"/>
  <c r="M8" i="18" s="1"/>
  <c r="A8" i="18" s="1"/>
  <c r="L6" i="18"/>
  <c r="M6" i="18" s="1"/>
  <c r="A6" i="18"/>
  <c r="N11" i="20" s="1"/>
  <c r="N28" i="19"/>
  <c r="A28" i="19" s="1"/>
  <c r="N75" i="19"/>
  <c r="A75" i="19" s="1"/>
  <c r="N100" i="19"/>
  <c r="A100" i="19" s="1"/>
  <c r="N29" i="19"/>
  <c r="A29" i="19" s="1"/>
  <c r="N76" i="19"/>
  <c r="A76" i="19" s="1"/>
  <c r="N234" i="19"/>
  <c r="A234" i="19" s="1"/>
  <c r="N225" i="19"/>
  <c r="A225" i="19" s="1"/>
  <c r="N17" i="19"/>
  <c r="A17" i="19" s="1"/>
  <c r="N39" i="19"/>
  <c r="A39" i="19" s="1"/>
  <c r="N87" i="19"/>
  <c r="A87" i="19" s="1"/>
  <c r="N141" i="19"/>
  <c r="A141" i="19" s="1"/>
  <c r="N27" i="19"/>
  <c r="A27" i="19" s="1"/>
  <c r="N174" i="19"/>
  <c r="A174" i="19" s="1"/>
  <c r="N13" i="19"/>
  <c r="N54" i="19"/>
  <c r="A54" i="19" s="1"/>
  <c r="N88" i="19"/>
  <c r="A88" i="19" s="1"/>
  <c r="N9" i="19"/>
  <c r="N188" i="19"/>
  <c r="A188" i="19" s="1"/>
  <c r="N271" i="19"/>
  <c r="A271" i="19" s="1"/>
  <c r="N7" i="19"/>
  <c r="V7" i="13" s="1"/>
  <c r="AJ16" i="19"/>
  <c r="N40" i="19"/>
  <c r="A40" i="19" s="1"/>
  <c r="N236" i="19"/>
  <c r="A236" i="19" s="1"/>
  <c r="N153" i="19"/>
  <c r="A153" i="19" s="1"/>
  <c r="L8" i="19"/>
  <c r="N138" i="19"/>
  <c r="A138" i="19" s="1"/>
  <c r="N162" i="19"/>
  <c r="A162" i="19" s="1"/>
  <c r="N201" i="19"/>
  <c r="A201" i="19" s="1"/>
  <c r="N210" i="19"/>
  <c r="A210" i="19" s="1"/>
  <c r="N284" i="19"/>
  <c r="A284" i="19" s="1"/>
  <c r="N150" i="19"/>
  <c r="A150" i="19" s="1"/>
  <c r="N247" i="19"/>
  <c r="A247" i="19" s="1"/>
  <c r="N260" i="19"/>
  <c r="A260" i="19" s="1"/>
  <c r="N295" i="19"/>
  <c r="A295" i="19" s="1"/>
  <c r="N175" i="19"/>
  <c r="A175" i="19" s="1"/>
  <c r="N139" i="19"/>
  <c r="A139" i="19" s="1"/>
  <c r="N163" i="19"/>
  <c r="A163" i="19" s="1"/>
  <c r="N151" i="19"/>
  <c r="A151" i="19" s="1"/>
  <c r="N176" i="19"/>
  <c r="A176" i="19" s="1"/>
  <c r="N282" i="19"/>
  <c r="A282" i="19" s="1"/>
  <c r="N258" i="19"/>
  <c r="A258" i="19" s="1"/>
  <c r="N164" i="19"/>
  <c r="A164" i="19" s="1"/>
  <c r="N177" i="19"/>
  <c r="A177" i="19" s="1"/>
  <c r="N199" i="19"/>
  <c r="A199" i="19" s="1"/>
  <c r="N212" i="19"/>
  <c r="A212" i="19" s="1"/>
  <c r="N249" i="19"/>
  <c r="A249" i="19" s="1"/>
  <c r="N186" i="19"/>
  <c r="A186" i="19" s="1"/>
  <c r="N297" i="19"/>
  <c r="A297" i="19" s="1"/>
  <c r="N165" i="19"/>
  <c r="A165" i="19" s="1"/>
  <c r="N273" i="19"/>
  <c r="A273" i="19" s="1"/>
  <c r="BA8" i="20" l="1"/>
  <c r="V14" i="20"/>
  <c r="V15" i="20"/>
  <c r="V13" i="20"/>
  <c r="V7" i="20"/>
  <c r="V12" i="20"/>
  <c r="V11" i="20"/>
  <c r="V8" i="20"/>
  <c r="V23" i="20"/>
  <c r="V22" i="20"/>
  <c r="V18" i="20"/>
  <c r="V16" i="20"/>
  <c r="V17" i="20"/>
  <c r="BG9" i="20"/>
  <c r="BA13" i="20"/>
  <c r="N16" i="20"/>
  <c r="N20" i="20"/>
  <c r="N19" i="20"/>
  <c r="N15" i="20"/>
  <c r="N14" i="20"/>
  <c r="N9" i="20"/>
  <c r="N13" i="20"/>
  <c r="N7" i="20"/>
  <c r="N8" i="20"/>
  <c r="N23" i="20"/>
  <c r="N22" i="20"/>
  <c r="BG11" i="20"/>
  <c r="BC11" i="20"/>
  <c r="BG13" i="20"/>
  <c r="BC13" i="20"/>
  <c r="BA12" i="20"/>
  <c r="L11" i="20"/>
  <c r="L7" i="20"/>
  <c r="L7" i="13"/>
  <c r="L6" i="13"/>
  <c r="L6" i="20"/>
  <c r="L9" i="13"/>
  <c r="L16" i="20"/>
  <c r="L10" i="20"/>
  <c r="L16" i="13"/>
  <c r="L19" i="20"/>
  <c r="L14" i="20"/>
  <c r="L20" i="20"/>
  <c r="L22" i="13"/>
  <c r="L13" i="13"/>
  <c r="L13" i="20"/>
  <c r="L15" i="20"/>
  <c r="L15" i="13"/>
  <c r="L8" i="13"/>
  <c r="L9" i="20"/>
  <c r="L20" i="13"/>
  <c r="L14" i="13"/>
  <c r="L8" i="20"/>
  <c r="L23" i="13"/>
  <c r="L21" i="13"/>
  <c r="L19" i="13"/>
  <c r="L22" i="20"/>
  <c r="BA10" i="20"/>
  <c r="AY15" i="20"/>
  <c r="AY12" i="20"/>
  <c r="AY10" i="20"/>
  <c r="BG6" i="20"/>
  <c r="BC6" i="20"/>
  <c r="BC8" i="20"/>
  <c r="BG12" i="20"/>
  <c r="BC12" i="20"/>
  <c r="BG10" i="20"/>
  <c r="BC10" i="20"/>
  <c r="H7" i="13"/>
  <c r="H7" i="20"/>
  <c r="H17" i="13"/>
  <c r="H19" i="20"/>
  <c r="H17" i="20"/>
  <c r="H8" i="20"/>
  <c r="H9" i="13"/>
  <c r="H20" i="13"/>
  <c r="H12" i="20"/>
  <c r="H23" i="20"/>
  <c r="H8" i="13"/>
  <c r="H21" i="13"/>
  <c r="H13" i="20"/>
  <c r="H20" i="20"/>
  <c r="F10" i="13"/>
  <c r="F11" i="20"/>
  <c r="F11" i="13"/>
  <c r="V6" i="13"/>
  <c r="V6" i="20"/>
  <c r="BC9" i="20"/>
  <c r="BA9" i="20"/>
  <c r="BG8" i="20"/>
  <c r="BG7" i="20"/>
  <c r="BC7" i="20"/>
  <c r="AI17" i="20"/>
  <c r="BE17" i="20" s="1"/>
  <c r="AI21" i="20"/>
  <c r="BE21" i="20" s="1"/>
  <c r="AI9" i="20"/>
  <c r="AI8" i="20"/>
  <c r="AY6" i="20"/>
  <c r="AK18" i="20"/>
  <c r="BF18" i="20" s="1"/>
  <c r="AK8" i="20"/>
  <c r="AK11" i="20"/>
  <c r="AK22" i="20"/>
  <c r="BF22" i="20" s="1"/>
  <c r="AK7" i="20"/>
  <c r="AK9" i="20"/>
  <c r="BF13" i="20" s="1"/>
  <c r="AK16" i="20"/>
  <c r="BF16" i="20" s="1"/>
  <c r="AK21" i="20"/>
  <c r="BF21" i="20" s="1"/>
  <c r="AK15" i="20"/>
  <c r="BF15" i="20" s="1"/>
  <c r="AK20" i="20"/>
  <c r="BF20" i="20" s="1"/>
  <c r="AK19" i="20"/>
  <c r="BF19" i="20" s="1"/>
  <c r="AK14" i="20"/>
  <c r="BF14" i="20" s="1"/>
  <c r="AK17" i="20"/>
  <c r="BF17" i="20" s="1"/>
  <c r="AK12" i="20"/>
  <c r="AK10" i="20"/>
  <c r="AI22" i="20"/>
  <c r="BE22" i="20" s="1"/>
  <c r="AI20" i="20"/>
  <c r="BE20" i="20" s="1"/>
  <c r="AI12" i="20"/>
  <c r="AI23" i="20"/>
  <c r="BE23" i="20" s="1"/>
  <c r="AI14" i="20"/>
  <c r="BE14" i="20" s="1"/>
  <c r="AI13" i="20"/>
  <c r="AI18" i="20"/>
  <c r="BE18" i="20" s="1"/>
  <c r="AI7" i="20"/>
  <c r="BE7" i="20" s="1"/>
  <c r="AI19" i="20"/>
  <c r="BE19" i="20" s="1"/>
  <c r="AI15" i="20"/>
  <c r="BE15" i="20" s="1"/>
  <c r="AI10" i="20"/>
  <c r="AI16" i="20"/>
  <c r="BE16" i="20" s="1"/>
  <c r="AY13" i="20"/>
  <c r="AY19" i="20"/>
  <c r="AY22" i="20"/>
  <c r="AY16" i="20"/>
  <c r="AY18" i="20"/>
  <c r="AY20" i="20"/>
  <c r="AY21" i="20"/>
  <c r="AY17" i="20"/>
  <c r="AY9" i="20"/>
  <c r="AY7" i="20"/>
  <c r="AY14" i="20"/>
  <c r="AY8" i="20"/>
  <c r="V11" i="13"/>
  <c r="V12" i="13"/>
  <c r="V9" i="13"/>
  <c r="V23" i="13"/>
  <c r="V22" i="13"/>
  <c r="V21" i="13"/>
  <c r="V20" i="13"/>
  <c r="V19" i="13"/>
  <c r="V18" i="13"/>
  <c r="V17" i="13"/>
  <c r="V16" i="13"/>
  <c r="V15" i="13"/>
  <c r="V13" i="13"/>
  <c r="V8" i="13"/>
  <c r="V14" i="13"/>
  <c r="N6" i="13"/>
  <c r="N11" i="13"/>
  <c r="N10" i="13"/>
  <c r="N9" i="13"/>
  <c r="N12" i="13"/>
  <c r="N7" i="13"/>
  <c r="N23" i="13"/>
  <c r="N22" i="13"/>
  <c r="N21" i="13"/>
  <c r="N20" i="13"/>
  <c r="N19" i="13"/>
  <c r="N18" i="13"/>
  <c r="N17" i="13"/>
  <c r="N16" i="13"/>
  <c r="N15" i="13"/>
  <c r="N13" i="13"/>
  <c r="N8" i="13"/>
  <c r="N14" i="13"/>
  <c r="M8" i="19"/>
  <c r="N8" i="19" s="1"/>
  <c r="L11" i="13"/>
  <c r="M6" i="16"/>
  <c r="A6" i="16" s="1"/>
  <c r="D17" i="20" l="1"/>
  <c r="D9" i="20"/>
  <c r="D14" i="20"/>
  <c r="D22" i="20"/>
  <c r="V10" i="13"/>
  <c r="D10" i="13" s="1"/>
  <c r="V10" i="20"/>
  <c r="D10" i="20" s="1"/>
  <c r="D12" i="20"/>
  <c r="D20" i="20"/>
  <c r="D19" i="20"/>
  <c r="D15" i="20"/>
  <c r="D8" i="20"/>
  <c r="D23" i="20"/>
  <c r="D16" i="20"/>
  <c r="D7" i="20"/>
  <c r="D6" i="20"/>
  <c r="D11" i="20"/>
  <c r="D18" i="20"/>
  <c r="BF9" i="20"/>
  <c r="D21" i="20"/>
  <c r="BF6" i="20"/>
  <c r="BE6" i="20"/>
  <c r="D19" i="13"/>
  <c r="D7" i="13"/>
  <c r="D12" i="13"/>
  <c r="BE13" i="20"/>
  <c r="BE9" i="20"/>
  <c r="BE11" i="20"/>
  <c r="BF12" i="20"/>
  <c r="D18" i="13"/>
  <c r="D20" i="13"/>
  <c r="D6" i="13"/>
  <c r="D13" i="13"/>
  <c r="D14" i="13"/>
  <c r="D22" i="13"/>
  <c r="D17" i="13"/>
  <c r="D15" i="13"/>
  <c r="D16" i="13"/>
  <c r="D11" i="13"/>
  <c r="D23" i="13"/>
  <c r="D21" i="13"/>
  <c r="D8" i="13"/>
  <c r="BE12" i="20"/>
  <c r="BF11" i="20"/>
  <c r="BF10" i="20"/>
  <c r="BF7" i="20"/>
  <c r="BE10" i="20"/>
  <c r="J9" i="13"/>
  <c r="D9" i="13" s="1"/>
  <c r="J13" i="20"/>
  <c r="D13" i="20" s="1"/>
  <c r="BE8" i="20"/>
  <c r="BF8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<sst xmlns="http://schemas.openxmlformats.org/spreadsheetml/2006/main" count="1386" uniqueCount="303">
  <si>
    <t>Dołączył/a do kategorii w tym roku</t>
  </si>
  <si>
    <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</si>
  <si>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</si>
  <si>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 xml:space="preserve">Kat. 4 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</si>
  <si>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</si>
  <si>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</si>
  <si>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</si>
  <si>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</si>
  <si>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</si>
  <si>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</si>
  <si>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</si>
  <si>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</si>
  <si>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</si>
  <si>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</si>
  <si>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</si>
  <si>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</si>
  <si>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</si>
  <si>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</si>
  <si>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</si>
  <si>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BORKOWSKI Andrzej</t>
  </si>
  <si>
    <t>ADAMCZEWSKI Wojciech</t>
  </si>
  <si>
    <t>JUSZKIEWICZ Piotr</t>
  </si>
  <si>
    <t>WYLĘGAŁA Jerzy</t>
  </si>
  <si>
    <t>FURMANIAK Andrzej</t>
  </si>
  <si>
    <t>NOWAKOWSKI Andrzej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</si>
  <si>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</si>
  <si>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</si>
  <si>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</si>
  <si>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</si>
  <si>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</si>
  <si>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</si>
  <si>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</si>
  <si>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14.01.2023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</si>
  <si>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</si>
  <si>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</si>
  <si>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</si>
  <si>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</si>
  <si>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</si>
  <si>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</si>
  <si>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</si>
  <si>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</si>
  <si>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</si>
  <si>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</si>
  <si>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</si>
  <si>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</si>
  <si>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AZS AWF WARSZAWA</t>
  </si>
  <si>
    <t>POL</t>
  </si>
  <si>
    <t>WKS KOLEJARZ WROCŁAW.</t>
  </si>
  <si>
    <t>Alex Toruń</t>
  </si>
  <si>
    <t>x</t>
  </si>
  <si>
    <t>9k3</t>
  </si>
  <si>
    <t>MKS KUSY SZCZECIN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</si>
  <si>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</si>
  <si>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</si>
  <si>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</si>
  <si>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</si>
  <si>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</si>
  <si>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</si>
  <si>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</si>
  <si>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</si>
  <si>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ST. POLSKICH WETERANÓW SZERMIERKI</t>
  </si>
  <si>
    <t>NIEPOŁOMICE</t>
  </si>
  <si>
    <t>17.06.2023</t>
  </si>
  <si>
    <t>UIJTING Henh</t>
  </si>
  <si>
    <t xml:space="preserve"> NED</t>
  </si>
  <si>
    <t xml:space="preserve"> POL</t>
  </si>
  <si>
    <t>SCHOLZ Jurgen</t>
  </si>
  <si>
    <t xml:space="preserve"> GER</t>
  </si>
  <si>
    <t>OPOLE</t>
  </si>
  <si>
    <t>23-24.10.2023</t>
  </si>
  <si>
    <t>KS CRACOVIA 1906.</t>
  </si>
  <si>
    <t>GDAŃSK</t>
  </si>
  <si>
    <t>28.10.2023</t>
  </si>
  <si>
    <t>TS Alex Toruń</t>
  </si>
  <si>
    <t> POL</t>
  </si>
  <si>
    <t>AZS AWF POZNAŃ</t>
  </si>
  <si>
    <t>KS Cracovia 1906</t>
  </si>
  <si>
    <t>KRAKÓW</t>
  </si>
  <si>
    <t>18-19.11.2023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</si>
  <si>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</si>
  <si>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</si>
  <si>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</si>
  <si>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</si>
  <si>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</si>
  <si>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Kat.4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</si>
  <si>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</si>
  <si>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</si>
  <si>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</si>
  <si>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</si>
  <si>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</si>
  <si>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</si>
  <si>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</si>
  <si>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</si>
  <si>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</si>
  <si>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</si>
  <si>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</si>
  <si>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</si>
  <si>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</si>
  <si>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</si>
  <si>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RUTECKI Bogdan</t>
  </si>
  <si>
    <t>KOLLAR Gabriel</t>
  </si>
  <si>
    <t>Bonus za podium</t>
  </si>
  <si>
    <t>Guildford</t>
  </si>
  <si>
    <t>07.01.2023</t>
  </si>
  <si>
    <t>Kiev/Santander</t>
  </si>
  <si>
    <t>25.02.2023</t>
  </si>
  <si>
    <t>Gdańsk</t>
  </si>
  <si>
    <t>15-16.04.2023</t>
  </si>
  <si>
    <t>Paryż</t>
  </si>
  <si>
    <t>Budapest</t>
  </si>
  <si>
    <t>16-17.09.2023</t>
  </si>
  <si>
    <t>Turku</t>
  </si>
  <si>
    <t>24.09.2023</t>
  </si>
  <si>
    <t>Madrid</t>
  </si>
  <si>
    <t>11.11.2023</t>
  </si>
  <si>
    <t>Terni</t>
  </si>
  <si>
    <t>16.12.2023</t>
  </si>
  <si>
    <t>06.01.2024</t>
  </si>
  <si>
    <t>Stockholm (SWE)</t>
  </si>
  <si>
    <t>24.02.2024</t>
  </si>
  <si>
    <t>Graz</t>
  </si>
  <si>
    <t>23.03.2024</t>
  </si>
  <si>
    <t>Gdańsk (POL)</t>
  </si>
  <si>
    <t>6-7.04.2024</t>
  </si>
  <si>
    <t>Ateny (GRE)</t>
  </si>
  <si>
    <t>27.04.2024</t>
  </si>
  <si>
    <t>Thionville</t>
  </si>
  <si>
    <t xml:space="preserve"> IMREH </t>
  </si>
  <si>
    <t xml:space="preserve"> LASZLO </t>
  </si>
  <si>
    <t xml:space="preserve">  HUN  </t>
  </si>
  <si>
    <t xml:space="preserve">  </t>
  </si>
  <si>
    <t xml:space="preserve"> SOKOLOV </t>
  </si>
  <si>
    <t xml:space="preserve"> VIKTOR </t>
  </si>
  <si>
    <t xml:space="preserve">  UKR  </t>
  </si>
  <si>
    <t xml:space="preserve"> DAMAS FLORES </t>
  </si>
  <si>
    <t xml:space="preserve"> JUAN FERNANDO </t>
  </si>
  <si>
    <t xml:space="preserve">  ESP  </t>
  </si>
  <si>
    <t xml:space="preserve"> DELACOUR </t>
  </si>
  <si>
    <t xml:space="preserve"> PATRICK </t>
  </si>
  <si>
    <t xml:space="preserve">  FRA  </t>
  </si>
  <si>
    <t xml:space="preserve"> NOEL </t>
  </si>
  <si>
    <t xml:space="preserve"> JEAN-LOUIS </t>
  </si>
  <si>
    <t xml:space="preserve"> PFULG </t>
  </si>
  <si>
    <t xml:space="preserve"> PHILIPPE </t>
  </si>
  <si>
    <t xml:space="preserve">  SUI  </t>
  </si>
  <si>
    <t xml:space="preserve"> SCHOELSS </t>
  </si>
  <si>
    <t xml:space="preserve"> MICHAEL </t>
  </si>
  <si>
    <t xml:space="preserve">  GER  </t>
  </si>
  <si>
    <t xml:space="preserve"> OSWALD </t>
  </si>
  <si>
    <t xml:space="preserve"> GERD </t>
  </si>
  <si>
    <t xml:space="preserve"> MARINO </t>
  </si>
  <si>
    <t xml:space="preserve"> GIUSEPPE AMEDEO </t>
  </si>
  <si>
    <t xml:space="preserve">  ITA  </t>
  </si>
  <si>
    <t xml:space="preserve"> SCHWARTZ </t>
  </si>
  <si>
    <t xml:space="preserve"> ELLIOTT </t>
  </si>
  <si>
    <t xml:space="preserve">  ISR  </t>
  </si>
  <si>
    <t xml:space="preserve"> BRADBURY </t>
  </si>
  <si>
    <t xml:space="preserve">  GBR  </t>
  </si>
  <si>
    <t xml:space="preserve"> UIJTING </t>
  </si>
  <si>
    <t xml:space="preserve"> HENK </t>
  </si>
  <si>
    <t xml:space="preserve">  NED  </t>
  </si>
  <si>
    <t xml:space="preserve"> BEEKHUIZEN </t>
  </si>
  <si>
    <t xml:space="preserve"> GERRIT </t>
  </si>
  <si>
    <t xml:space="preserve"> KUEHN </t>
  </si>
  <si>
    <t xml:space="preserve"> NORBERT </t>
  </si>
  <si>
    <t xml:space="preserve"> SUCHANEK </t>
  </si>
  <si>
    <t xml:space="preserve"> WINFRIED </t>
  </si>
  <si>
    <t xml:space="preserve"> SCHOLZ </t>
  </si>
  <si>
    <t xml:space="preserve"> JURGEN </t>
  </si>
  <si>
    <t xml:space="preserve"> RINGEISSEN </t>
  </si>
  <si>
    <t xml:space="preserve"> FRANCOIS </t>
  </si>
  <si>
    <t xml:space="preserve"> VILLEDIEU </t>
  </si>
  <si>
    <t xml:space="preserve"> PIERRE </t>
  </si>
  <si>
    <t xml:space="preserve"> DUCHENE </t>
  </si>
  <si>
    <t xml:space="preserve"> MARC </t>
  </si>
  <si>
    <t xml:space="preserve"> OSBALDESTON </t>
  </si>
  <si>
    <t xml:space="preserve"> WILLIAM </t>
  </si>
  <si>
    <t xml:space="preserve"> MOREL MARECHAL </t>
  </si>
  <si>
    <t xml:space="preserve"> CHRISTIAN </t>
  </si>
  <si>
    <t xml:space="preserve"> HENSEL </t>
  </si>
  <si>
    <t xml:space="preserve"> WERNER </t>
  </si>
  <si>
    <t xml:space="preserve"> VALAR </t>
  </si>
  <si>
    <t xml:space="preserve"> PETER </t>
  </si>
  <si>
    <t xml:space="preserve"> AMANRICH </t>
  </si>
  <si>
    <t xml:space="preserve"> FRANÇOIS </t>
  </si>
  <si>
    <t xml:space="preserve"> BREEDVELT </t>
  </si>
  <si>
    <t xml:space="preserve"> JOOP </t>
  </si>
  <si>
    <t xml:space="preserve"> VON BRANDIS </t>
  </si>
  <si>
    <t xml:space="preserve"> CORDT </t>
  </si>
  <si>
    <t xml:space="preserve">  NOR  </t>
  </si>
  <si>
    <t xml:space="preserve"> BROWN </t>
  </si>
  <si>
    <t xml:space="preserve"> ANDREW </t>
  </si>
  <si>
    <t xml:space="preserve"> CAUSTON </t>
  </si>
  <si>
    <t xml:space="preserve"> BRIAN </t>
  </si>
  <si>
    <t xml:space="preserve"> LORAUX </t>
  </si>
  <si>
    <t xml:space="preserve"> JEAN-FRANCOIS </t>
  </si>
  <si>
    <t xml:space="preserve"> KUCERA </t>
  </si>
  <si>
    <t xml:space="preserve"> JAN </t>
  </si>
  <si>
    <t xml:space="preserve">  CZE  </t>
  </si>
  <si>
    <t xml:space="preserve"> MENCK </t>
  </si>
  <si>
    <t xml:space="preserve"> ROGER </t>
  </si>
  <si>
    <t xml:space="preserve"> SVENSSON </t>
  </si>
  <si>
    <t xml:space="preserve"> PER </t>
  </si>
  <si>
    <t xml:space="preserve">  SWE  </t>
  </si>
  <si>
    <t xml:space="preserve"> PASMANS </t>
  </si>
  <si>
    <t xml:space="preserve"> LEO </t>
  </si>
  <si>
    <t xml:space="preserve">  BEL  </t>
  </si>
  <si>
    <t xml:space="preserve"> REETMEYER </t>
  </si>
  <si>
    <t xml:space="preserve"> HENRY </t>
  </si>
  <si>
    <t xml:space="preserve"> SCHIOCHET </t>
  </si>
  <si>
    <t xml:space="preserve"> LIPTAK </t>
  </si>
  <si>
    <t xml:space="preserve"> GYORGY </t>
  </si>
  <si>
    <t xml:space="preserve"> MION </t>
  </si>
  <si>
    <t xml:space="preserve"> JEAN-PIERRE </t>
  </si>
  <si>
    <t xml:space="preserve"> RYNES </t>
  </si>
  <si>
    <t xml:space="preserve"> FRANTISEK </t>
  </si>
  <si>
    <t xml:space="preserve"> MERKY </t>
  </si>
  <si>
    <t xml:space="preserve"> THOMAS </t>
  </si>
  <si>
    <t xml:space="preserve"> LEGROS </t>
  </si>
  <si>
    <t xml:space="preserve"> ERIC </t>
  </si>
  <si>
    <t xml:space="preserve"> FERTE </t>
  </si>
  <si>
    <t xml:space="preserve"> DOMINIQUE </t>
  </si>
  <si>
    <t xml:space="preserve"> BERHAULT MERCIER </t>
  </si>
  <si>
    <t xml:space="preserve"> JEAN PAUL </t>
  </si>
  <si>
    <t xml:space="preserve"> KOLLAR </t>
  </si>
  <si>
    <t xml:space="preserve"> GABRIEL </t>
  </si>
  <si>
    <t xml:space="preserve">  SVK  </t>
  </si>
  <si>
    <t xml:space="preserve"> GUIGOT </t>
  </si>
  <si>
    <t xml:space="preserve"> GERARD </t>
  </si>
  <si>
    <t xml:space="preserve"> HERVE </t>
  </si>
  <si>
    <t xml:space="preserve"> VAN DER GRINTEN </t>
  </si>
  <si>
    <t xml:space="preserve"> TOON </t>
  </si>
  <si>
    <t xml:space="preserve"> RAGG </t>
  </si>
  <si>
    <t xml:space="preserve"> GIANLUCA </t>
  </si>
  <si>
    <t xml:space="preserve"> VARNAY </t>
  </si>
  <si>
    <t xml:space="preserve"> ERNO </t>
  </si>
  <si>
    <t xml:space="preserve"> PFISTER </t>
  </si>
  <si>
    <t xml:space="preserve"> MICHEL </t>
  </si>
  <si>
    <t xml:space="preserve"> PRECHTL </t>
  </si>
  <si>
    <t xml:space="preserve"> HANNS </t>
  </si>
  <si>
    <t xml:space="preserve"> SHAPIRA </t>
  </si>
  <si>
    <t xml:space="preserve"> EMMANUEL </t>
  </si>
  <si>
    <t xml:space="preserve"> HEINZE </t>
  </si>
  <si>
    <t xml:space="preserve"> GERHARD </t>
  </si>
  <si>
    <t xml:space="preserve"> PHELPS </t>
  </si>
  <si>
    <t xml:space="preserve"> ROBERT </t>
  </si>
  <si>
    <t xml:space="preserve"> DE WIJN </t>
  </si>
  <si>
    <t xml:space="preserve"> DUFAU </t>
  </si>
  <si>
    <t xml:space="preserve"> BERNARD </t>
  </si>
  <si>
    <t xml:space="preserve"> MARANGES </t>
  </si>
  <si>
    <t xml:space="preserve"> JEAN-LUC </t>
  </si>
  <si>
    <t xml:space="preserve"> PRETOT </t>
  </si>
  <si>
    <t xml:space="preserve"> JEAN-PAUL </t>
  </si>
  <si>
    <t xml:space="preserve"> RIFFONNEAU </t>
  </si>
  <si>
    <t xml:space="preserve"> GUY </t>
  </si>
  <si>
    <t xml:space="preserve"> FACINA </t>
  </si>
  <si>
    <t xml:space="preserve"> ALAIN </t>
  </si>
  <si>
    <t xml:space="preserve"> KACHUR </t>
  </si>
  <si>
    <t xml:space="preserve"> BRUNO </t>
  </si>
  <si>
    <t xml:space="preserve"> NIZARD </t>
  </si>
  <si>
    <t xml:space="preserve"> JEAN CLAUDE </t>
  </si>
  <si>
    <t xml:space="preserve"> BLIN </t>
  </si>
  <si>
    <t xml:space="preserve"> RAOUL </t>
  </si>
  <si>
    <t xml:space="preserve"> COUTROT </t>
  </si>
  <si>
    <t xml:space="preserve"> CUNEO </t>
  </si>
  <si>
    <t xml:space="preserve"> JEAN </t>
  </si>
  <si>
    <t xml:space="preserve"> PAUL </t>
  </si>
  <si>
    <t xml:space="preserve"> GRAHAM </t>
  </si>
  <si>
    <t xml:space="preserve"> HARDEN </t>
  </si>
  <si>
    <t xml:space="preserve"> GELLER </t>
  </si>
  <si>
    <t xml:space="preserve"> GIORA </t>
  </si>
  <si>
    <t xml:space="preserve"> VITSAS </t>
  </si>
  <si>
    <t xml:space="preserve"> JANNIS </t>
  </si>
  <si>
    <t xml:space="preserve"> TOROK </t>
  </si>
  <si>
    <t xml:space="preserve"> GABOR </t>
  </si>
  <si>
    <t xml:space="preserve"> LEGALL </t>
  </si>
  <si>
    <t xml:space="preserve"> PLATRET </t>
  </si>
  <si>
    <t xml:space="preserve"> WOLTERSDORF </t>
  </si>
  <si>
    <t xml:space="preserve"> FRIEDRICH </t>
  </si>
  <si>
    <t xml:space="preserve"> LYNCH </t>
  </si>
  <si>
    <t xml:space="preserve">  IRL  </t>
  </si>
  <si>
    <t xml:space="preserve"> AUSSEDAT </t>
  </si>
  <si>
    <t xml:space="preserve"> BENEDEK </t>
  </si>
  <si>
    <t xml:space="preserve"> DEZSO </t>
  </si>
  <si>
    <t xml:space="preserve"> VAN AGTMAEL </t>
  </si>
  <si>
    <t xml:space="preserve"> VISSER </t>
  </si>
  <si>
    <t xml:space="preserve"> HANS </t>
  </si>
  <si>
    <t xml:space="preserve"> MILLET </t>
  </si>
  <si>
    <t xml:space="preserve"> GINESTET </t>
  </si>
  <si>
    <t xml:space="preserve"> MOREIRA </t>
  </si>
  <si>
    <t xml:space="preserve"> ARTUR </t>
  </si>
  <si>
    <t xml:space="preserve">  POR  </t>
  </si>
  <si>
    <t xml:space="preserve"> SCHOENSIEGEL </t>
  </si>
  <si>
    <t xml:space="preserve"> FONSECA SANTOS </t>
  </si>
  <si>
    <t xml:space="preserve"> FREDERICO </t>
  </si>
  <si>
    <t xml:space="preserve"> BAIER </t>
  </si>
  <si>
    <t xml:space="preserve"> ECKHARD </t>
  </si>
  <si>
    <t>SPAŁA</t>
  </si>
  <si>
    <t>27.01.2024</t>
  </si>
  <si>
    <t>WARSZAWA</t>
  </si>
  <si>
    <t>2-3.03.2024</t>
  </si>
  <si>
    <t>KS AZS AWFIS GDAŃSK</t>
  </si>
  <si>
    <t>22.06.2024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</si>
</sst>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rgb="FFFF0000"/>
      <name val="Agency FB"/>
      <family val="2"/>
    </font>
    <font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96">
    <xf numFmtId="0" fontId="0" fillId="0" borderId="0" xfId="0"/>
    <xf numFmtId="0" fontId="8" fillId="3" borderId="0" xfId="1" applyAlignment="1">
      <alignment horizontal="center" vertical="center" wrapText="1"/>
    </xf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3" fillId="5" borderId="0" xfId="0" applyFont="1" applyFill="1"/>
    <xf numFmtId="0" fontId="12" fillId="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7" borderId="11" xfId="0" applyFont="1" applyFill="1" applyBorder="1" applyAlignment="1">
      <alignment horizontal="left"/>
    </xf>
    <xf numFmtId="0" fontId="14" fillId="7" borderId="13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 vertic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7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5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11" fillId="12" borderId="1" xfId="3" applyFont="1" applyBorder="1" applyAlignment="1">
      <alignment horizontal="center" vertical="center" wrapText="1"/>
    </xf>
    <xf numFmtId="0" fontId="11" fillId="12" borderId="9" xfId="3" applyFont="1" applyBorder="1" applyAlignment="1">
      <alignment horizontal="center" vertical="center" wrapText="1"/>
    </xf>
    <xf numFmtId="2" fontId="26" fillId="7" borderId="12" xfId="0" applyNumberFormat="1" applyFont="1" applyFill="1" applyBorder="1" applyAlignment="1">
      <alignment horizontal="center" vertical="center"/>
    </xf>
    <xf numFmtId="2" fontId="26" fillId="7" borderId="16" xfId="0" applyNumberFormat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2" fontId="15" fillId="7" borderId="12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4" xfId="0" applyNumberFormat="1" applyFont="1" applyFill="1" applyBorder="1" applyAlignment="1">
      <alignment horizontal="center" vertical="center"/>
    </xf>
    <xf numFmtId="2" fontId="15" fillId="7" borderId="16" xfId="0" applyNumberFormat="1" applyFont="1" applyFill="1" applyBorder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28" fillId="7" borderId="18" xfId="0" applyFont="1" applyFill="1" applyBorder="1" applyAlignment="1">
      <alignment horizontal="center" vertical="center"/>
    </xf>
    <xf numFmtId="0" fontId="18" fillId="7" borderId="0" xfId="0" applyFont="1" applyFill="1" applyAlignment="1">
      <alignment vertical="center" wrapText="1"/>
    </xf>
    <xf numFmtId="0" fontId="0" fillId="13" borderId="0" xfId="0" applyFill="1" applyAlignment="1">
      <alignment horizontal="left"/>
    </xf>
    <xf numFmtId="0" fontId="23" fillId="14" borderId="0" xfId="0" applyFont="1" applyFill="1"/>
    <xf numFmtId="0" fontId="3" fillId="12" borderId="11" xfId="3" applyBorder="1" applyAlignment="1">
      <alignment horizontal="left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3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0" fillId="16" borderId="0" xfId="0" applyFill="1" applyAlignment="1">
      <alignment vertical="center" wrapText="1"/>
    </xf>
    <xf numFmtId="0" fontId="3" fillId="12" borderId="0" xfId="3" applyAlignment="1">
      <alignment horizontal="center" vertical="center"/>
    </xf>
    <xf numFmtId="0" fontId="3" fillId="12" borderId="0" xfId="3" applyAlignment="1">
      <alignment vertical="center" wrapText="1"/>
    </xf>
    <xf numFmtId="1" fontId="3" fillId="12" borderId="0" xfId="3" applyNumberFormat="1" applyAlignment="1">
      <alignment horizontal="center" vertic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1" fillId="12" borderId="18" xfId="3" applyFont="1" applyBorder="1" applyAlignment="1">
      <alignment horizontal="center" vertical="center"/>
    </xf>
    <xf numFmtId="0" fontId="9" fillId="8" borderId="0" xfId="8" applyFill="1"/>
    <xf numFmtId="0" fontId="7" fillId="16" borderId="11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1" fillId="12" borderId="27" xfId="3" applyFont="1" applyBorder="1" applyAlignment="1">
      <alignment horizontal="center" vertical="center"/>
    </xf>
    <xf numFmtId="0" fontId="11" fillId="12" borderId="28" xfId="3" applyFont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0" fillId="15" borderId="25" xfId="0" applyFill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0" fontId="9" fillId="13" borderId="0" xfId="8" applyFill="1" applyBorder="1" applyAlignment="1"/>
    <xf numFmtId="0" fontId="0" fillId="13" borderId="0" xfId="0" applyFill="1" applyAlignment="1">
      <alignment horizontal="left"/>
    </xf>
    <xf numFmtId="0" fontId="29" fillId="8" borderId="0" xfId="5" applyFont="1" applyFill="1" applyAlignment="1">
      <alignment horizontal="center" vertical="center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C840075-760D-47F9-A0F9-79B6FF43EE23}"/>
    <cellStyle name="Normal 2 2" xfId="4" xr:uid="{5903DA2B-3DC2-409A-91BB-D139E98B9B92}"/>
    <cellStyle name="Normal 2 2 2" xfId="5" xr:uid="{0EFDA329-D428-4191-80D7-AA7632272C1E}"/>
    <cellStyle name="Normal 2 2 2 2" xfId="6" xr:uid="{3B1C9157-4650-4F80-9CDA-3693912D67CD}"/>
    <cellStyle name="Normal 2 2 2 3" xfId="7" xr:uid="{535CDA64-04AE-4E92-A329-9C5AD20C8A9A}"/>
    <cellStyle name="Normalny" xfId="0" builtinId="0"/>
  </cellStyles>
  <dxfs count="3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97D0DD2B597A430EA39683D4F58928CB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1BC2C09C82E43E09BA7EED8E10BD288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FA5B4F930DEB457C92D3D0FD4FCCE84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8552A7B623A1413D915EEC858B14525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F988164D07A8447C8265BA625F42A0BD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AD8A3C03500A45CA84D2642F0BC6CA2D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E12EAF17078E464DBF888ABF11E48D7A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59F66960EF884184AD8C92CC1EE5576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A2728782F6B54681898ED1835D95C90A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index.php?lang=en&amp;Organisme=santanderfencing&amp;Event=evf_epee_circuit_santander&amp;Compe=m_tf_v4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ehv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t_em_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4fence.it/FIS/Risultati/2023-12-17-16_Terni_(TR)_-_3_Prova_Circuito_Naz.le_Master/index.php?a=SP&amp;s=M&amp;c=9&amp;f=clafinal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fencingtimelive.com/events/results/2B4DC27C31304187925F265515F029F6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engarde-service.com/competition/sthlm/efv2024/emv4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epeev4" TargetMode="External"/><Relationship Id="rId1" Type="http://schemas.openxmlformats.org/officeDocument/2006/relationships/hyperlink" Target="https://engarde-service.com/competition/e3f/efcv/womensabre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EB51-6C25-4E70-B866-869950A5F785}">
  <sheetPr codeName="Arkusz1"/>
  <dimension ref="A1:AA39"/>
  <sheetViews>
    <sheetView tabSelected="1" workbookViewId="0">
      <selection activeCell="B9" sqref="B9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5.875" customWidth="1"/>
  </cols>
  <sheetData>
    <row r="1" spans="1:27" ht="14.3" thickBot="1" x14ac:dyDescent="0.3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3.95" customHeight="1" thickTop="1" x14ac:dyDescent="0.25">
      <c r="A2" s="4"/>
      <c r="B2" s="2" t="s">
        <v>0</v>
      </c>
      <c r="C2" s="4"/>
      <c r="D2" s="134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X2" s="262" t="s">
        <v>2</v>
      </c>
      <c r="Y2" s="263"/>
      <c r="Z2" s="263"/>
      <c r="AA2" s="264"/>
    </row>
    <row r="3" spans="1:27" ht="13.6" x14ac:dyDescent="0.25">
      <c r="A3" s="4"/>
      <c r="B3" s="4"/>
      <c r="C3" s="4"/>
      <c r="D3" s="6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65"/>
      <c r="Y3" s="266"/>
      <c r="Z3" s="266"/>
      <c r="AA3" s="267"/>
    </row>
    <row r="4" spans="1:27" ht="24.8" customHeight="1" thickBot="1" x14ac:dyDescent="0.25">
      <c r="A4" s="257" t="s">
        <v>4</v>
      </c>
      <c r="B4" s="259" t="s">
        <v>5</v>
      </c>
      <c r="C4" s="259" t="s">
        <v>6</v>
      </c>
      <c r="D4" s="259" t="s">
        <v>7</v>
      </c>
      <c r="E4" s="255" t="s">
        <v>8</v>
      </c>
      <c r="F4" s="256"/>
      <c r="G4" s="255" t="s">
        <v>9</v>
      </c>
      <c r="H4" s="256"/>
      <c r="I4" s="255" t="s">
        <v>10</v>
      </c>
      <c r="J4" s="256"/>
      <c r="K4" s="255" t="s">
        <v>11</v>
      </c>
      <c r="L4" s="256"/>
      <c r="M4" s="255" t="s">
        <v>12</v>
      </c>
      <c r="N4" s="256"/>
      <c r="O4" s="255" t="s">
        <v>13</v>
      </c>
      <c r="P4" s="256"/>
      <c r="Q4" s="255" t="s">
        <v>14</v>
      </c>
      <c r="R4" s="256"/>
      <c r="S4" s="255" t="s">
        <v>15</v>
      </c>
      <c r="T4" s="256"/>
      <c r="U4" s="255" t="s">
        <v>16</v>
      </c>
      <c r="V4" s="256"/>
      <c r="X4" s="268"/>
      <c r="Y4" s="269"/>
      <c r="Z4" s="269"/>
      <c r="AA4" s="270"/>
    </row>
    <row r="5" spans="1:27" ht="18" customHeight="1" thickTop="1" x14ac:dyDescent="0.2">
      <c r="A5" s="258"/>
      <c r="B5" s="260"/>
      <c r="C5" s="260"/>
      <c r="D5" s="261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7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3" t="s">
        <v>17</v>
      </c>
      <c r="V5" s="7" t="s">
        <v>18</v>
      </c>
    </row>
    <row r="6" spans="1:27" ht="14.95" customHeight="1" x14ac:dyDescent="0.25">
      <c r="A6" s="8">
        <f>ROW()-5</f>
        <v>1</v>
      </c>
      <c r="B6" s="9" t="s">
        <v>20</v>
      </c>
      <c r="C6" s="67"/>
      <c r="D6" s="125">
        <f>SUM(F6,H6,J6,L6,N6,P6,R6,T6,V6)-SUM(SMALL((F6,H6,J6,L6,N6,P6,R6,T6),1),SMALL((F6,H6,J6,L6,N6,P6,R6,T6),2))</f>
        <v>408.94480803974977</v>
      </c>
      <c r="E6" s="10">
        <f>_xlfn.XLOOKUP($B6,'GP1'!$C$6:$C$55,'GP1'!$B$6:$B$55,"")</f>
        <v>1</v>
      </c>
      <c r="F6" s="126">
        <f>_xlfn.XLOOKUP(E6,'GP1'!$B$6:$B$55,'GP1'!$A$6:$A$55,0)</f>
        <v>82.980246132766666</v>
      </c>
      <c r="G6" s="12">
        <f>_xlfn.XLOOKUP($B6,'GP2'!$C$6:$C$55,'GP2'!$B$6:$B$55,"")</f>
        <v>1</v>
      </c>
      <c r="H6" s="127">
        <f>_xlfn.XLOOKUP(G6,'GP2'!$B$6:$B$55,'GP2'!$A$6:$A$55,0)</f>
        <v>59</v>
      </c>
      <c r="I6" s="10" t="str">
        <f>_xlfn.XLOOKUP($B6,'GP3'!$C$6:$C$55,'GP3'!$B$6:$B$55,"")</f>
        <v/>
      </c>
      <c r="J6" s="126">
        <f>_xlfn.XLOOKUP(I6,'GP3'!$B$6:$B$55,'GP3'!$A$6:$A$55,0)</f>
        <v>0</v>
      </c>
      <c r="K6" s="10">
        <f>_xlfn.XLOOKUP($B6,'GP4'!$C$6:$C$55,'GP4'!$B$6:$B$55,"")</f>
        <v>3</v>
      </c>
      <c r="L6" s="126">
        <f>_xlfn.XLOOKUP(K6,'GP4'!$B$6:$B$55,'GP4'!$A$6:$A$55,0)</f>
        <v>15.930621888236271</v>
      </c>
      <c r="M6" s="10">
        <f>_xlfn.XLOOKUP($B6,'GP5'!$C$6:$C$55,'GP5'!$B$6:$B$55,"")</f>
        <v>2</v>
      </c>
      <c r="N6" s="128">
        <f>_xlfn.XLOOKUP(M6,'GP5'!$B$6:$B$55,'GP5'!$A$6:$A$55,0)</f>
        <v>45.024406311809194</v>
      </c>
      <c r="O6" s="10" t="str">
        <f>_xlfn.XLOOKUP($B6,'GP6'!$C$6:$C$55,'GP6'!$B$6:$B$55,"")</f>
        <v/>
      </c>
      <c r="P6" s="128">
        <f>_xlfn.XLOOKUP(O6,'GP6'!$B$6:$B$55,'GP6'!$A$6:$A$55,0)</f>
        <v>0</v>
      </c>
      <c r="Q6" s="10">
        <f>_xlfn.XLOOKUP($B6,'GP7'!$C$6:$C$55,'GP7'!$B$6:$B$55,"")</f>
        <v>1</v>
      </c>
      <c r="R6" s="128">
        <f>_xlfn.XLOOKUP(Q6,'GP7'!$B$6:$B$55,'GP7'!$A$6:$A$55,0)</f>
        <v>82.980246132766666</v>
      </c>
      <c r="S6" s="10">
        <f>_xlfn.XLOOKUP($B6,'GP8'!$C$6:$C$55,'GP8'!$B$6:$B$55,"")</f>
        <v>1</v>
      </c>
      <c r="T6" s="128">
        <f>_xlfn.XLOOKUP(S6,'GP8'!$B$6:$B$55,'GP8'!$A$6:$A$55,0)</f>
        <v>69</v>
      </c>
      <c r="U6" s="10">
        <f>_xlfn.XLOOKUP(B6,MPW!C$6:C$55,MPW!B$6:B$55,"")</f>
        <v>2</v>
      </c>
      <c r="V6" s="128">
        <f>_xlfn.XLOOKUP(U6,MPW!B$6:B$55,MPW!A$6:A$55,0)</f>
        <v>54.029287574171029</v>
      </c>
    </row>
    <row r="7" spans="1:27" ht="14.95" customHeight="1" x14ac:dyDescent="0.25">
      <c r="A7" s="8">
        <f>ROW()-5</f>
        <v>2</v>
      </c>
      <c r="B7" s="9" t="s">
        <v>19</v>
      </c>
      <c r="C7" s="11"/>
      <c r="D7" s="125">
        <f>SUM(F7,H7,J7,L7,N7,P7,R7,T7,V7)-SUM(SMALL((F7,H7,J7,L7,N7,P7,R7,T7),1),SMALL((F7,H7,J7,L7,N7,P7,R7,T7),2))</f>
        <v>308.97318658177738</v>
      </c>
      <c r="E7" s="10">
        <f>_xlfn.XLOOKUP($B7,'GP1'!$C$6:$C$55,'GP1'!$B$6:$B$55,"")</f>
        <v>3</v>
      </c>
      <c r="F7" s="126">
        <f>_xlfn.XLOOKUP(E7,'GP1'!$B$6:$B$55,'GP1'!$A$6:$A$55,0)</f>
        <v>5.3267487109222245</v>
      </c>
      <c r="G7" s="12">
        <f>_xlfn.XLOOKUP($B7,'GP2'!$C$6:$C$55,'GP2'!$B$6:$B$55,"")</f>
        <v>2</v>
      </c>
      <c r="H7" s="127">
        <f>_xlfn.XLOOKUP(G7,'GP2'!$B$6:$B$55,'GP2'!$A$6:$A$55,0)</f>
        <v>45.024406311809194</v>
      </c>
      <c r="I7" s="12">
        <f>_xlfn.XLOOKUP($B7,'GP3'!$C$6:$C$55,'GP3'!$B$6:$B$55,"")</f>
        <v>2</v>
      </c>
      <c r="J7" s="127">
        <f>_xlfn.XLOOKUP(I7,'GP3'!$B$6:$B$55,'GP3'!$A$6:$A$55,0)</f>
        <v>45.024406311809194</v>
      </c>
      <c r="K7" s="12">
        <f>_xlfn.XLOOKUP($B7,'GP4'!$C$6:$C$55,'GP4'!$B$6:$B$55,"")</f>
        <v>1</v>
      </c>
      <c r="L7" s="127">
        <f>_xlfn.XLOOKUP(K7,'GP4'!$B$6:$B$55,'GP4'!$A$6:$A$55,0)</f>
        <v>84.286609467713788</v>
      </c>
      <c r="M7" s="12">
        <f>_xlfn.XLOOKUP($B7,'GP5'!$C$6:$C$55,'GP5'!$B$6:$B$55,"")</f>
        <v>1</v>
      </c>
      <c r="N7" s="129">
        <f>_xlfn.XLOOKUP(M7,'GP5'!$B$6:$B$55,'GP5'!$A$6:$A$55,0)</f>
        <v>84.286609467713788</v>
      </c>
      <c r="O7" s="12">
        <f>_xlfn.XLOOKUP($B7,'GP6'!$C$6:$C$55,'GP6'!$B$6:$B$55,"")</f>
        <v>2</v>
      </c>
      <c r="P7" s="129">
        <f>_xlfn.XLOOKUP(O7,'GP6'!$B$6:$B$55,'GP6'!$A$6:$A$55,0)</f>
        <v>45.024406311809194</v>
      </c>
      <c r="Q7" s="12" t="str">
        <f>_xlfn.XLOOKUP($B7,'GP7'!$C$6:$C$55,'GP7'!$B$6:$B$55,"")</f>
        <v/>
      </c>
      <c r="R7" s="129">
        <f>_xlfn.XLOOKUP(Q7,'GP7'!$B$6:$B$55,'GP7'!$A$6:$A$55,0)</f>
        <v>0</v>
      </c>
      <c r="S7" s="12" t="str">
        <f>_xlfn.XLOOKUP($B7,'GP8'!$C$6:$C$55,'GP8'!$B$6:$B$55,"")</f>
        <v/>
      </c>
      <c r="T7" s="129">
        <f>_xlfn.XLOOKUP(S7,'GP8'!$B$6:$B$55,'GP8'!$A$6:$A$55,0)</f>
        <v>0</v>
      </c>
      <c r="U7" s="12" t="str">
        <f>_xlfn.XLOOKUP(B7,MPW!C$6:C$55,MPW!B$6:B$55,"")</f>
        <v/>
      </c>
      <c r="V7" s="129" t="str">
        <f>_xlfn.XLOOKUP(U7,MPW!B$6:B$55,MPW!A$6:A$55,0)</f>
        <v/>
      </c>
    </row>
    <row r="8" spans="1:27" ht="14.95" customHeight="1" x14ac:dyDescent="0.25">
      <c r="A8" s="8">
        <f>ROW()-5</f>
        <v>3</v>
      </c>
      <c r="B8" s="135" t="s">
        <v>21</v>
      </c>
      <c r="C8" s="11"/>
      <c r="D8" s="125">
        <f>SUM(F8,H8,J8,L8,N8,P8,R8,T8,V8)-SUM(SMALL((F8,H8,J8,L8,N8,P8,R8,T8),1),SMALL((F8,H8,J8,L8,N8,P8,R8,T8),2))</f>
        <v>172.49107231383908</v>
      </c>
      <c r="E8" s="10" t="str">
        <f>_xlfn.XLOOKUP($B8,'GP1'!$C$6:$C$55,'GP1'!$B$6:$B$55,"")</f>
        <v>9k3</v>
      </c>
      <c r="F8" s="126">
        <f>_xlfn.XLOOKUP(E8,'GP1'!$B$6:$B$55,'GP1'!$A$6:$A$55,0)</f>
        <v>3.2421170374730792</v>
      </c>
      <c r="G8" s="12" t="str">
        <f>_xlfn.XLOOKUP($B8,'GP2'!$C$6:$C$55,'GP2'!$B$6:$B$55,"")</f>
        <v>9k3</v>
      </c>
      <c r="H8" s="127">
        <f>_xlfn.XLOOKUP(G8,'GP2'!$B$6:$B$55,'GP2'!$A$6:$A$55,0)</f>
        <v>1</v>
      </c>
      <c r="I8" s="12" t="str">
        <f>_xlfn.XLOOKUP($B8,'GP3'!$C$6:$C$55,'GP3'!$B$6:$B$55,"")</f>
        <v/>
      </c>
      <c r="J8" s="127">
        <f>_xlfn.XLOOKUP(I8,'GP3'!$B$6:$B$55,'GP3'!$A$6:$A$55,0)</f>
        <v>0</v>
      </c>
      <c r="K8" s="12">
        <f>_xlfn.XLOOKUP($B8,'GP4'!$C$6:$C$55,'GP4'!$B$6:$B$55,"")</f>
        <v>2</v>
      </c>
      <c r="L8" s="127">
        <f>_xlfn.XLOOKUP(K8,'GP4'!$B$6:$B$55,'GP4'!$A$6:$A$55,0)</f>
        <v>45.024406311809194</v>
      </c>
      <c r="M8" s="12" t="str">
        <f>_xlfn.XLOOKUP($B8,'GP5'!$C$6:$C$55,'GP5'!$B$6:$B$55,"")</f>
        <v/>
      </c>
      <c r="N8" s="129">
        <f>_xlfn.XLOOKUP(M8,'GP5'!$B$6:$B$55,'GP5'!$A$6:$A$55,0)</f>
        <v>0</v>
      </c>
      <c r="O8" s="12">
        <f>_xlfn.XLOOKUP($B8,'GP6'!$C$6:$C$55,'GP6'!$B$6:$B$55,"")</f>
        <v>1</v>
      </c>
      <c r="P8" s="129">
        <f>_xlfn.XLOOKUP(O8,'GP6'!$B$6:$B$55,'GP6'!$A$6:$A$55,0)</f>
        <v>84.286609467713788</v>
      </c>
      <c r="Q8" s="12">
        <f>_xlfn.XLOOKUP($B8,'GP7'!$C$6:$C$55,'GP7'!$B$6:$B$55,"")</f>
        <v>2</v>
      </c>
      <c r="R8" s="129">
        <f>_xlfn.XLOOKUP(Q8,'GP7'!$B$6:$B$55,'GP7'!$A$6:$A$55,0)</f>
        <v>37.73793949684304</v>
      </c>
      <c r="S8" s="12" t="str">
        <f>_xlfn.XLOOKUP($B8,'GP8'!$C$6:$C$55,'GP8'!$B$6:$B$55,"")</f>
        <v/>
      </c>
      <c r="T8" s="129">
        <f>_xlfn.XLOOKUP(S8,'GP8'!$B$6:$B$55,'GP8'!$A$6:$A$55,0)</f>
        <v>0</v>
      </c>
      <c r="U8" s="12">
        <f>_xlfn.XLOOKUP(B8,MPW!C$6:C$55,MPW!B$6:B$55,"")</f>
        <v>4</v>
      </c>
      <c r="V8" s="129">
        <f>_xlfn.XLOOKUP(U8,MPW!B$6:B$55,MPW!A$6:A$55,0)</f>
        <v>1.2</v>
      </c>
    </row>
    <row r="9" spans="1:27" ht="14.95" customHeight="1" x14ac:dyDescent="0.25">
      <c r="A9" s="8">
        <f>ROW()-5</f>
        <v>4</v>
      </c>
      <c r="B9" s="9" t="s">
        <v>99</v>
      </c>
      <c r="C9" s="11"/>
      <c r="D9" s="125">
        <f>SUM(F9,H9,J9,L9,N9,P9,R9,T9,V9)-SUM(SMALL((F9,H9,J9,L9,N9,P9,R9,T9),1),SMALL((F9,H9,J9,L9,N9,P9,R9,T9),2))</f>
        <v>101.14393136125655</v>
      </c>
      <c r="E9" s="10" t="str">
        <f>_xlfn.XLOOKUP($B9,'GP1'!$C$6:$C$55,'GP1'!$B$6:$B$55,"")</f>
        <v/>
      </c>
      <c r="F9" s="126">
        <f>_xlfn.XLOOKUP(E9,'GP1'!$B$6:$B$55,'GP1'!$A$6:$A$55,0)</f>
        <v>0</v>
      </c>
      <c r="G9" s="12" t="str">
        <f>_xlfn.XLOOKUP($B9,'GP2'!$C$6:$C$55,'GP2'!$B$6:$B$55,"")</f>
        <v/>
      </c>
      <c r="H9" s="127">
        <f>_xlfn.XLOOKUP(G9,'GP2'!$B$6:$B$55,'GP2'!$A$6:$A$55,0)</f>
        <v>0</v>
      </c>
      <c r="I9" s="12" t="str">
        <f>_xlfn.XLOOKUP($B9,'GP3'!$C$6:$C$55,'GP3'!$B$6:$B$55,"")</f>
        <v/>
      </c>
      <c r="J9" s="127">
        <f>_xlfn.XLOOKUP(I9,'GP3'!$B$6:$B$55,'GP3'!$A$6:$A$55,0)</f>
        <v>0</v>
      </c>
      <c r="K9" s="12" t="str">
        <f>_xlfn.XLOOKUP($B9,'GP4'!$C$6:$C$55,'GP4'!$B$6:$B$55,"")</f>
        <v/>
      </c>
      <c r="L9" s="127">
        <f>_xlfn.XLOOKUP(K9,'GP4'!$B$6:$B$55,'GP4'!$A$6:$A$55,0)</f>
        <v>0</v>
      </c>
      <c r="M9" s="12" t="str">
        <f>_xlfn.XLOOKUP($B9,'GP5'!$C$6:$C$55,'GP5'!$B$6:$B$55,"")</f>
        <v/>
      </c>
      <c r="N9" s="129">
        <f>_xlfn.XLOOKUP(M9,'GP5'!$B$6:$B$55,'GP5'!$A$6:$A$55,0)</f>
        <v>0</v>
      </c>
      <c r="O9" s="12" t="str">
        <f>_xlfn.XLOOKUP($B9,'GP6'!$C$6:$C$55,'GP6'!$B$6:$B$55,"")</f>
        <v/>
      </c>
      <c r="P9" s="129">
        <f>_xlfn.XLOOKUP(O9,'GP6'!$B$6:$B$55,'GP6'!$A$6:$A$55,0)</f>
        <v>0</v>
      </c>
      <c r="Q9" s="12" t="str">
        <f>_xlfn.XLOOKUP($B9,'GP7'!$C$6:$C$55,'GP7'!$B$6:$B$55,"")</f>
        <v/>
      </c>
      <c r="R9" s="129">
        <f>_xlfn.XLOOKUP(Q9,'GP7'!$B$6:$B$55,'GP7'!$A$6:$A$55,0)</f>
        <v>0</v>
      </c>
      <c r="S9" s="12" t="str">
        <f>_xlfn.XLOOKUP($B9,'GP8'!$C$6:$C$55,'GP8'!$B$6:$B$55,"")</f>
        <v/>
      </c>
      <c r="T9" s="129">
        <f>_xlfn.XLOOKUP(S9,'GP8'!$B$6:$B$55,'GP8'!$A$6:$A$55,0)</f>
        <v>0</v>
      </c>
      <c r="U9" s="12">
        <f>_xlfn.XLOOKUP(B9,MPW!C$6:C$55,MPW!B$6:B$55,"")</f>
        <v>1</v>
      </c>
      <c r="V9" s="129">
        <f>_xlfn.XLOOKUP(U9,MPW!B$6:B$55,MPW!A$6:A$55,0)</f>
        <v>101.14393136125655</v>
      </c>
    </row>
    <row r="10" spans="1:27" ht="14.95" customHeight="1" x14ac:dyDescent="0.25">
      <c r="A10" s="8">
        <f>ROW()-5</f>
        <v>5</v>
      </c>
      <c r="B10" s="9" t="s">
        <v>23</v>
      </c>
      <c r="C10" s="68"/>
      <c r="D10" s="125">
        <f>SUM(F10,H10,J10,L10,N10,P10,R10,T10,V10)-SUM(SMALL((F10,H10,J10,L10,N10,P10,R10,T10),1),SMALL((F10,H10,J10,L10,N10,P10,R10,T10),2))</f>
        <v>58.304738753278286</v>
      </c>
      <c r="E10" s="10" t="str">
        <f>_xlfn.XLOOKUP($B10,'GP1'!$C$6:$C$55,'GP1'!$B$6:$B$55,"")</f>
        <v/>
      </c>
      <c r="F10" s="126">
        <f>_xlfn.XLOOKUP(E10,'GP1'!$B$6:$B$55,'GP1'!$A$6:$A$55,0)</f>
        <v>0</v>
      </c>
      <c r="G10" s="12">
        <f>_xlfn.XLOOKUP($B10,'GP2'!$C$6:$C$55,'GP2'!$B$6:$B$55,"")</f>
        <v>4</v>
      </c>
      <c r="H10" s="127">
        <f>_xlfn.XLOOKUP(G10,'GP2'!$B$6:$B$55,'GP2'!$A$6:$A$55,0)</f>
        <v>1</v>
      </c>
      <c r="I10" s="12">
        <f>_xlfn.XLOOKUP($B10,'GP3'!$C$6:$C$55,'GP3'!$B$6:$B$55,"")</f>
        <v>4</v>
      </c>
      <c r="J10" s="127">
        <f>_xlfn.XLOOKUP(I10,'GP3'!$B$6:$B$55,'GP3'!$A$6:$A$55,0)</f>
        <v>1</v>
      </c>
      <c r="K10" s="12" t="str">
        <f>_xlfn.XLOOKUP($B10,'GP4'!$C$6:$C$55,'GP4'!$B$6:$B$55,"")</f>
        <v/>
      </c>
      <c r="L10" s="127">
        <f>_xlfn.XLOOKUP(K10,'GP4'!$B$6:$B$55,'GP4'!$A$6:$A$55,0)</f>
        <v>0</v>
      </c>
      <c r="M10" s="12">
        <f>_xlfn.XLOOKUP($B10,'GP5'!$C$6:$C$55,'GP5'!$B$6:$B$55,"")</f>
        <v>3</v>
      </c>
      <c r="N10" s="129">
        <f>_xlfn.XLOOKUP(M10,'GP5'!$B$6:$B$55,'GP5'!$A$6:$A$55,0)</f>
        <v>15.930621888236271</v>
      </c>
      <c r="O10" s="12">
        <f>_xlfn.XLOOKUP($B10,'GP6'!$C$6:$C$55,'GP6'!$B$6:$B$55,"")</f>
        <v>3</v>
      </c>
      <c r="P10" s="129">
        <f>_xlfn.XLOOKUP(O10,'GP6'!$B$6:$B$55,'GP6'!$A$6:$A$55,0)</f>
        <v>15.930621888236271</v>
      </c>
      <c r="Q10" s="12">
        <f>_xlfn.XLOOKUP($B10,'GP7'!$C$6:$C$55,'GP7'!$B$6:$B$55,"")</f>
        <v>3</v>
      </c>
      <c r="R10" s="129">
        <f>_xlfn.XLOOKUP(Q10,'GP7'!$B$6:$B$55,'GP7'!$A$6:$A$55,0)</f>
        <v>5.3267487109222245</v>
      </c>
      <c r="S10" s="12" t="str">
        <f>_xlfn.XLOOKUP($B10,'GP8'!$C$6:$C$55,'GP8'!$B$6:$B$55,"")</f>
        <v/>
      </c>
      <c r="T10" s="129">
        <f>_xlfn.XLOOKUP(S10,'GP8'!$B$6:$B$55,'GP8'!$A$6:$A$55,0)</f>
        <v>0</v>
      </c>
      <c r="U10" s="12">
        <f>_xlfn.XLOOKUP(B10,MPW!C$6:C$55,MPW!B$6:B$55,"")</f>
        <v>3</v>
      </c>
      <c r="V10" s="129">
        <f>_xlfn.XLOOKUP(U10,MPW!B$6:B$55,MPW!A$6:A$55,0)</f>
        <v>19.116746265883524</v>
      </c>
    </row>
    <row r="11" spans="1:27" ht="14.95" customHeight="1" x14ac:dyDescent="0.25">
      <c r="A11" s="8">
        <f>ROW()-5</f>
        <v>6</v>
      </c>
      <c r="B11" s="254" t="s">
        <v>22</v>
      </c>
      <c r="C11" s="11"/>
      <c r="D11" s="125">
        <f>SUM(F11,H11,J11,L11,N11,P11,R11,T11,V11)-SUM(SMALL((F11,H11,J11,L11,N11,P11,R11,T11),1),SMALL((F11,H11,J11,L11,N11,P11,R11,T11),2))</f>
        <v>53.668561385079315</v>
      </c>
      <c r="E11" s="10">
        <f>_xlfn.XLOOKUP($B11,'GP1'!$C$6:$C$55,'GP1'!$B$6:$B$55,"")</f>
        <v>2</v>
      </c>
      <c r="F11" s="126">
        <f>_xlfn.XLOOKUP(E11,'GP1'!$B$6:$B$55,'GP1'!$A$6:$A$55,0)</f>
        <v>37.73793949684304</v>
      </c>
      <c r="G11" s="12">
        <f>_xlfn.XLOOKUP($B11,'GP2'!$C$6:$C$55,'GP2'!$B$6:$B$55,"")</f>
        <v>3</v>
      </c>
      <c r="H11" s="127">
        <f>_xlfn.XLOOKUP(G11,'GP2'!$B$6:$B$55,'GP2'!$A$6:$A$55,0)</f>
        <v>15.930621888236271</v>
      </c>
      <c r="I11" s="12" t="str">
        <f>_xlfn.XLOOKUP($B11,'GP3'!$C$6:$C$55,'GP3'!$B$6:$B$55,"")</f>
        <v/>
      </c>
      <c r="J11" s="127">
        <f>_xlfn.XLOOKUP(I11,'GP3'!$B$6:$B$55,'GP3'!$A$6:$A$55,0)</f>
        <v>0</v>
      </c>
      <c r="K11" s="12" t="str">
        <f>_xlfn.XLOOKUP($B11,'GP4'!$C$6:$C$55,'GP4'!$B$6:$B$55,"")</f>
        <v/>
      </c>
      <c r="L11" s="127">
        <f>_xlfn.XLOOKUP(K11,'GP4'!$B$6:$B$55,'GP4'!$A$6:$A$55,0)</f>
        <v>0</v>
      </c>
      <c r="M11" s="12" t="str">
        <f>_xlfn.XLOOKUP($B11,'GP5'!$C$6:$C$55,'GP5'!$B$6:$B$55,"")</f>
        <v/>
      </c>
      <c r="N11" s="129">
        <f>_xlfn.XLOOKUP(M11,'GP5'!$B$6:$B$55,'GP5'!$A$6:$A$55,0)</f>
        <v>0</v>
      </c>
      <c r="O11" s="12" t="str">
        <f>_xlfn.XLOOKUP($B11,'GP6'!$C$6:$C$55,'GP6'!$B$6:$B$55,"")</f>
        <v/>
      </c>
      <c r="P11" s="129">
        <f>_xlfn.XLOOKUP(O11,'GP6'!$B$6:$B$55,'GP6'!$A$6:$A$55,0)</f>
        <v>0</v>
      </c>
      <c r="Q11" s="12" t="str">
        <f>_xlfn.XLOOKUP($B11,'GP7'!$C$6:$C$55,'GP7'!$B$6:$B$55,"")</f>
        <v/>
      </c>
      <c r="R11" s="129">
        <f>_xlfn.XLOOKUP(Q11,'GP7'!$B$6:$B$55,'GP7'!$A$6:$A$55,0)</f>
        <v>0</v>
      </c>
      <c r="S11" s="12" t="str">
        <f>_xlfn.XLOOKUP($B11,'GP8'!$C$6:$C$55,'GP8'!$B$6:$B$55,"")</f>
        <v/>
      </c>
      <c r="T11" s="129">
        <f>_xlfn.XLOOKUP(S11,'GP8'!$B$6:$B$55,'GP8'!$A$6:$A$55,0)</f>
        <v>0</v>
      </c>
      <c r="U11" s="12" t="str">
        <f>_xlfn.XLOOKUP(B11,MPW!C$6:C$55,MPW!B$6:B$55,"")</f>
        <v/>
      </c>
      <c r="V11" s="129" t="str">
        <f>_xlfn.XLOOKUP(U11,MPW!B$6:B$55,MPW!A$6:A$55,0)</f>
        <v/>
      </c>
    </row>
    <row r="12" spans="1:27" ht="14.95" customHeight="1" x14ac:dyDescent="0.25">
      <c r="A12" s="8">
        <f>ROW()-5</f>
        <v>7</v>
      </c>
      <c r="B12" s="9" t="s">
        <v>24</v>
      </c>
      <c r="C12" s="11"/>
      <c r="D12" s="125">
        <f>SUM(F12,H12,J12,L12,N12,P12,R12,T12,V12)-SUM(SMALL((F12,H12,J12,L12,N12,P12,R12,T12),1),SMALL((F12,H12,J12,L12,N12,P12,R12,T12),2))</f>
        <v>3</v>
      </c>
      <c r="E12" s="10" t="str">
        <f>_xlfn.XLOOKUP($B12,'GP1'!$C$6:$C$55,'GP1'!$B$6:$B$55,"")</f>
        <v/>
      </c>
      <c r="F12" s="126">
        <f>_xlfn.XLOOKUP(E12,'GP1'!$B$6:$B$55,'GP1'!$A$6:$A$55,0)</f>
        <v>0</v>
      </c>
      <c r="G12" s="12" t="str">
        <f>_xlfn.XLOOKUP($B12,'GP2'!$C$6:$C$55,'GP2'!$B$6:$B$55,"")</f>
        <v/>
      </c>
      <c r="H12" s="127">
        <f>_xlfn.XLOOKUP(G12,'GP2'!$B$6:$B$55,'GP2'!$A$6:$A$55,0)</f>
        <v>0</v>
      </c>
      <c r="I12" s="12" t="str">
        <f>_xlfn.XLOOKUP($B12,'GP3'!$C$6:$C$55,'GP3'!$B$6:$B$55,"")</f>
        <v/>
      </c>
      <c r="J12" s="127">
        <f>_xlfn.XLOOKUP(I12,'GP3'!$B$6:$B$55,'GP3'!$A$6:$A$55,0)</f>
        <v>0</v>
      </c>
      <c r="K12" s="12">
        <f>_xlfn.XLOOKUP($B12,'GP4'!$C$6:$C$55,'GP4'!$B$6:$B$55,"")</f>
        <v>4</v>
      </c>
      <c r="L12" s="127">
        <f>_xlfn.XLOOKUP(K12,'GP4'!$B$6:$B$55,'GP4'!$A$6:$A$55,0)</f>
        <v>1</v>
      </c>
      <c r="M12" s="12">
        <f>_xlfn.XLOOKUP($B12,'GP5'!$C$6:$C$55,'GP5'!$B$6:$B$55,"")</f>
        <v>4</v>
      </c>
      <c r="N12" s="129">
        <f>_xlfn.XLOOKUP(M12,'GP5'!$B$6:$B$55,'GP5'!$A$6:$A$55,0)</f>
        <v>1</v>
      </c>
      <c r="O12" s="12">
        <f>_xlfn.XLOOKUP($B12,'GP6'!$C$6:$C$55,'GP6'!$B$6:$B$55,"")</f>
        <v>4</v>
      </c>
      <c r="P12" s="129">
        <f>_xlfn.XLOOKUP(O12,'GP6'!$B$6:$B$55,'GP6'!$A$6:$A$55,0)</f>
        <v>1</v>
      </c>
      <c r="Q12" s="12" t="str">
        <f>_xlfn.XLOOKUP($B12,'GP7'!$C$6:$C$55,'GP7'!$B$6:$B$55,"")</f>
        <v/>
      </c>
      <c r="R12" s="129">
        <f>_xlfn.XLOOKUP(Q12,'GP7'!$B$6:$B$55,'GP7'!$A$6:$A$55,0)</f>
        <v>0</v>
      </c>
      <c r="S12" s="12" t="str">
        <f>_xlfn.XLOOKUP($B12,'GP8'!$C$6:$C$55,'GP8'!$B$6:$B$55,"")</f>
        <v/>
      </c>
      <c r="T12" s="129">
        <f>_xlfn.XLOOKUP(S12,'GP8'!$B$6:$B$55,'GP8'!$A$6:$A$55,0)</f>
        <v>0</v>
      </c>
      <c r="U12" s="12" t="str">
        <f>_xlfn.XLOOKUP(B12,MPW!C$6:C$55,MPW!B$6:B$55,"")</f>
        <v/>
      </c>
      <c r="V12" s="129" t="str">
        <f>_xlfn.XLOOKUP(U12,MPW!B$6:B$55,MPW!A$6:A$55,0)</f>
        <v/>
      </c>
    </row>
    <row r="13" spans="1:27" ht="14.95" customHeight="1" x14ac:dyDescent="0.25">
      <c r="A13" s="8">
        <f>ROW()-5</f>
        <v>8</v>
      </c>
      <c r="B13" s="253"/>
      <c r="C13" s="11"/>
      <c r="D13" s="125">
        <f>SUM(F13,H13,J13,L13,N13,P13,R13,T13,V13)-SUM(SMALL((F13,H13,J13,L13,N13,P13,R13,T13),1),SMALL((F13,H13,J13,L13,N13,P13,R13,T13),2))</f>
        <v>0</v>
      </c>
      <c r="E13" s="10" t="str">
        <f>_xlfn.XLOOKUP($B13,'GP1'!$C$6:$C$55,'GP1'!$B$6:$B$55,"")</f>
        <v/>
      </c>
      <c r="F13" s="126">
        <f>_xlfn.XLOOKUP(E13,'GP1'!$B$6:$B$55,'GP1'!$A$6:$A$55,0)</f>
        <v>0</v>
      </c>
      <c r="G13" s="12" t="str">
        <f>_xlfn.XLOOKUP($B13,'GP2'!$C$6:$C$55,'GP2'!$B$6:$B$55,"")</f>
        <v/>
      </c>
      <c r="H13" s="127">
        <f>_xlfn.XLOOKUP(G13,'GP2'!$B$6:$B$55,'GP2'!$A$6:$A$55,0)</f>
        <v>0</v>
      </c>
      <c r="I13" s="12" t="str">
        <f>_xlfn.XLOOKUP($B13,'GP3'!$C$6:$C$55,'GP3'!$B$6:$B$55,"")</f>
        <v/>
      </c>
      <c r="J13" s="127">
        <f>_xlfn.XLOOKUP(I13,'GP3'!$B$6:$B$55,'GP3'!$A$6:$A$55,0)</f>
        <v>0</v>
      </c>
      <c r="K13" s="12" t="str">
        <f>_xlfn.XLOOKUP($B13,'GP4'!$C$6:$C$55,'GP4'!$B$6:$B$55,"")</f>
        <v/>
      </c>
      <c r="L13" s="127">
        <f>_xlfn.XLOOKUP(K13,'GP4'!$B$6:$B$55,'GP4'!$A$6:$A$55,0)</f>
        <v>0</v>
      </c>
      <c r="M13" s="12" t="str">
        <f>_xlfn.XLOOKUP($B13,'GP5'!$C$6:$C$55,'GP5'!$B$6:$B$55,"")</f>
        <v/>
      </c>
      <c r="N13" s="129">
        <f>_xlfn.XLOOKUP(M13,'GP5'!$B$6:$B$55,'GP5'!$A$6:$A$55,0)</f>
        <v>0</v>
      </c>
      <c r="O13" s="12" t="str">
        <f>_xlfn.XLOOKUP($B13,'GP6'!$C$6:$C$55,'GP6'!$B$6:$B$55,"")</f>
        <v/>
      </c>
      <c r="P13" s="129">
        <f>_xlfn.XLOOKUP(O13,'GP6'!$B$6:$B$55,'GP6'!$A$6:$A$55,0)</f>
        <v>0</v>
      </c>
      <c r="Q13" s="12" t="str">
        <f>_xlfn.XLOOKUP($B13,'GP7'!$C$6:$C$55,'GP7'!$B$6:$B$55,"")</f>
        <v/>
      </c>
      <c r="R13" s="129">
        <f>_xlfn.XLOOKUP(Q13,'GP7'!$B$6:$B$55,'GP7'!$A$6:$A$55,0)</f>
        <v>0</v>
      </c>
      <c r="S13" s="12" t="str">
        <f>_xlfn.XLOOKUP($B13,'GP8'!$C$6:$C$55,'GP8'!$B$6:$B$55,"")</f>
        <v/>
      </c>
      <c r="T13" s="129">
        <f>_xlfn.XLOOKUP(S13,'GP8'!$B$6:$B$55,'GP8'!$A$6:$A$55,0)</f>
        <v>0</v>
      </c>
      <c r="U13" s="12" t="str">
        <f>_xlfn.XLOOKUP(B13,MPW!C$6:C$55,MPW!B$6:B$55,"")</f>
        <v/>
      </c>
      <c r="V13" s="129" t="str">
        <f>_xlfn.XLOOKUP(U13,MPW!B$6:B$55,MPW!A$6:A$55,0)</f>
        <v/>
      </c>
    </row>
    <row r="14" spans="1:27" ht="14.95" customHeight="1" x14ac:dyDescent="0.25">
      <c r="A14" s="8">
        <f>ROW()-5</f>
        <v>9</v>
      </c>
      <c r="B14" s="9"/>
      <c r="C14" s="11"/>
      <c r="D14" s="125">
        <f>SUM(F14,H14,J14,L14,N14,P14,R14,T14,V14)-SUM(SMALL((F14,H14,J14,L14,N14,P14,R14,T14),1),SMALL((F14,H14,J14,L14,N14,P14,R14,T14),2))</f>
        <v>0</v>
      </c>
      <c r="E14" s="10" t="str">
        <f>_xlfn.XLOOKUP($B14,'GP1'!$C$6:$C$55,'GP1'!$B$6:$B$55,"")</f>
        <v/>
      </c>
      <c r="F14" s="126">
        <f>_xlfn.XLOOKUP(E14,'GP1'!$B$6:$B$55,'GP1'!$A$6:$A$55,0)</f>
        <v>0</v>
      </c>
      <c r="G14" s="12" t="str">
        <f>_xlfn.XLOOKUP($B14,'GP2'!$C$6:$C$55,'GP2'!$B$6:$B$55,"")</f>
        <v/>
      </c>
      <c r="H14" s="127">
        <f>_xlfn.XLOOKUP(G14,'GP2'!$B$6:$B$55,'GP2'!$A$6:$A$55,0)</f>
        <v>0</v>
      </c>
      <c r="I14" s="12" t="str">
        <f>_xlfn.XLOOKUP($B14,'GP3'!$C$6:$C$55,'GP3'!$B$6:$B$55,"")</f>
        <v/>
      </c>
      <c r="J14" s="127">
        <f>_xlfn.XLOOKUP(I14,'GP3'!$B$6:$B$55,'GP3'!$A$6:$A$55,0)</f>
        <v>0</v>
      </c>
      <c r="K14" s="12" t="str">
        <f>_xlfn.XLOOKUP($B14,'GP4'!$C$6:$C$55,'GP4'!$B$6:$B$55,"")</f>
        <v/>
      </c>
      <c r="L14" s="127">
        <f>_xlfn.XLOOKUP(K14,'GP4'!$B$6:$B$55,'GP4'!$A$6:$A$55,0)</f>
        <v>0</v>
      </c>
      <c r="M14" s="12" t="str">
        <f>_xlfn.XLOOKUP($B14,'GP5'!$C$6:$C$55,'GP5'!$B$6:$B$55,"")</f>
        <v/>
      </c>
      <c r="N14" s="129">
        <f>_xlfn.XLOOKUP(M14,'GP5'!$B$6:$B$55,'GP5'!$A$6:$A$55,0)</f>
        <v>0</v>
      </c>
      <c r="O14" s="12" t="str">
        <f>_xlfn.XLOOKUP($B14,'GP6'!$C$6:$C$55,'GP6'!$B$6:$B$55,"")</f>
        <v/>
      </c>
      <c r="P14" s="129">
        <f>_xlfn.XLOOKUP(O14,'GP6'!$B$6:$B$55,'GP6'!$A$6:$A$55,0)</f>
        <v>0</v>
      </c>
      <c r="Q14" s="12" t="str">
        <f>_xlfn.XLOOKUP($B14,'GP7'!$C$6:$C$55,'GP7'!$B$6:$B$55,"")</f>
        <v/>
      </c>
      <c r="R14" s="129">
        <f>_xlfn.XLOOKUP(Q14,'GP7'!$B$6:$B$55,'GP7'!$A$6:$A$55,0)</f>
        <v>0</v>
      </c>
      <c r="S14" s="12" t="str">
        <f>_xlfn.XLOOKUP($B14,'GP8'!$C$6:$C$55,'GP8'!$B$6:$B$55,"")</f>
        <v/>
      </c>
      <c r="T14" s="129">
        <f>_xlfn.XLOOKUP(S14,'GP8'!$B$6:$B$55,'GP8'!$A$6:$A$55,0)</f>
        <v>0</v>
      </c>
      <c r="U14" s="12" t="str">
        <f>_xlfn.XLOOKUP(B14,MPW!C$6:C$55,MPW!B$6:B$55,"")</f>
        <v/>
      </c>
      <c r="V14" s="129" t="str">
        <f>_xlfn.XLOOKUP(U14,MPW!B$6:B$55,MPW!A$6:A$55,0)</f>
        <v/>
      </c>
    </row>
    <row r="15" spans="1:27" ht="14.95" customHeight="1" x14ac:dyDescent="0.25">
      <c r="A15" s="8">
        <f>ROW()-5</f>
        <v>10</v>
      </c>
      <c r="B15" s="9"/>
      <c r="C15" s="11"/>
      <c r="D15" s="125">
        <f>SUM(F15,H15,J15,L15,N15,P15,R15,T15,V15)-SUM(SMALL((F15,H15,J15,L15,N15,P15,R15,T15),1),SMALL((F15,H15,J15,L15,N15,P15,R15,T15),2))</f>
        <v>0</v>
      </c>
      <c r="E15" s="10" t="str">
        <f>_xlfn.XLOOKUP($B15,'GP1'!$C$6:$C$55,'GP1'!$B$6:$B$55,"")</f>
        <v/>
      </c>
      <c r="F15" s="126">
        <f>_xlfn.XLOOKUP(E15,'GP1'!$B$6:$B$55,'GP1'!$A$6:$A$55,0)</f>
        <v>0</v>
      </c>
      <c r="G15" s="12" t="str">
        <f>_xlfn.XLOOKUP($B15,'GP2'!$C$6:$C$55,'GP2'!$B$6:$B$55,"")</f>
        <v/>
      </c>
      <c r="H15" s="127">
        <f>_xlfn.XLOOKUP(G15,'GP2'!$B$6:$B$55,'GP2'!$A$6:$A$55,0)</f>
        <v>0</v>
      </c>
      <c r="I15" s="12" t="str">
        <f>_xlfn.XLOOKUP($B15,'GP3'!$C$6:$C$55,'GP3'!$B$6:$B$55,"")</f>
        <v/>
      </c>
      <c r="J15" s="127">
        <f>_xlfn.XLOOKUP(I15,'GP3'!$B$6:$B$55,'GP3'!$A$6:$A$55,0)</f>
        <v>0</v>
      </c>
      <c r="K15" s="12" t="str">
        <f>_xlfn.XLOOKUP($B15,'GP4'!$C$6:$C$55,'GP4'!$B$6:$B$55,"")</f>
        <v/>
      </c>
      <c r="L15" s="127">
        <f>_xlfn.XLOOKUP(K15,'GP4'!$B$6:$B$55,'GP4'!$A$6:$A$55,0)</f>
        <v>0</v>
      </c>
      <c r="M15" s="12" t="str">
        <f>_xlfn.XLOOKUP($B15,'GP5'!$C$6:$C$55,'GP5'!$B$6:$B$55,"")</f>
        <v/>
      </c>
      <c r="N15" s="129">
        <f>_xlfn.XLOOKUP(M15,'GP5'!$B$6:$B$55,'GP5'!$A$6:$A$55,0)</f>
        <v>0</v>
      </c>
      <c r="O15" s="12" t="str">
        <f>_xlfn.XLOOKUP($B15,'GP6'!$C$6:$C$55,'GP6'!$B$6:$B$55,"")</f>
        <v/>
      </c>
      <c r="P15" s="129">
        <f>_xlfn.XLOOKUP(O15,'GP6'!$B$6:$B$55,'GP6'!$A$6:$A$55,0)</f>
        <v>0</v>
      </c>
      <c r="Q15" s="12" t="str">
        <f>_xlfn.XLOOKUP($B15,'GP7'!$C$6:$C$55,'GP7'!$B$6:$B$55,"")</f>
        <v/>
      </c>
      <c r="R15" s="129">
        <f>_xlfn.XLOOKUP(Q15,'GP7'!$B$6:$B$55,'GP7'!$A$6:$A$55,0)</f>
        <v>0</v>
      </c>
      <c r="S15" s="12" t="str">
        <f>_xlfn.XLOOKUP($B15,'GP8'!$C$6:$C$55,'GP8'!$B$6:$B$55,"")</f>
        <v/>
      </c>
      <c r="T15" s="129">
        <f>_xlfn.XLOOKUP(S15,'GP8'!$B$6:$B$55,'GP8'!$A$6:$A$55,0)</f>
        <v>0</v>
      </c>
      <c r="U15" s="12" t="str">
        <f>_xlfn.XLOOKUP(B15,MPW!C$6:C$55,MPW!B$6:B$55,"")</f>
        <v/>
      </c>
      <c r="V15" s="129" t="str">
        <f>_xlfn.XLOOKUP(U15,MPW!B$6:B$55,MPW!A$6:A$55,0)</f>
        <v/>
      </c>
    </row>
    <row r="16" spans="1:27" ht="14.95" customHeight="1" x14ac:dyDescent="0.25">
      <c r="A16" s="8">
        <f>ROW()-5</f>
        <v>11</v>
      </c>
      <c r="B16" s="9"/>
      <c r="C16" s="11"/>
      <c r="D16" s="125">
        <f>SUM(F16,H16,J16,L16,N16,P16,R16,T16,V16)-SUM(SMALL((F16,H16,J16,L16,N16,P16,R16,T16),1),SMALL((F16,H16,J16,L16,N16,P16,R16,T16),2))</f>
        <v>0</v>
      </c>
      <c r="E16" s="10" t="str">
        <f>_xlfn.XLOOKUP($B16,'GP1'!$C$6:$C$55,'GP1'!$B$6:$B$55,"")</f>
        <v/>
      </c>
      <c r="F16" s="126">
        <f>_xlfn.XLOOKUP(E16,'GP1'!$B$6:$B$55,'GP1'!$A$6:$A$55,0)</f>
        <v>0</v>
      </c>
      <c r="G16" s="12" t="str">
        <f>_xlfn.XLOOKUP($B16,'GP2'!$C$6:$C$55,'GP2'!$B$6:$B$55,"")</f>
        <v/>
      </c>
      <c r="H16" s="127">
        <f>_xlfn.XLOOKUP(G16,'GP2'!$B$6:$B$55,'GP2'!$A$6:$A$55,0)</f>
        <v>0</v>
      </c>
      <c r="I16" s="12" t="str">
        <f>_xlfn.XLOOKUP($B16,'GP3'!$C$6:$C$55,'GP3'!$B$6:$B$55,"")</f>
        <v/>
      </c>
      <c r="J16" s="127">
        <f>_xlfn.XLOOKUP(I16,'GP3'!$B$6:$B$55,'GP3'!$A$6:$A$55,0)</f>
        <v>0</v>
      </c>
      <c r="K16" s="12" t="str">
        <f>_xlfn.XLOOKUP($B16,'GP4'!$C$6:$C$55,'GP4'!$B$6:$B$55,"")</f>
        <v/>
      </c>
      <c r="L16" s="127">
        <f>_xlfn.XLOOKUP(K16,'GP4'!$B$6:$B$55,'GP4'!$A$6:$A$55,0)</f>
        <v>0</v>
      </c>
      <c r="M16" s="12" t="str">
        <f>_xlfn.XLOOKUP($B16,'GP5'!$C$6:$C$55,'GP5'!$B$6:$B$55,"")</f>
        <v/>
      </c>
      <c r="N16" s="129">
        <f>_xlfn.XLOOKUP(M16,'GP5'!$B$6:$B$55,'GP5'!$A$6:$A$55,0)</f>
        <v>0</v>
      </c>
      <c r="O16" s="12" t="str">
        <f>_xlfn.XLOOKUP($B16,'GP6'!$C$6:$C$55,'GP6'!$B$6:$B$55,"")</f>
        <v/>
      </c>
      <c r="P16" s="129">
        <f>_xlfn.XLOOKUP(O16,'GP6'!$B$6:$B$55,'GP6'!$A$6:$A$55,0)</f>
        <v>0</v>
      </c>
      <c r="Q16" s="12" t="str">
        <f>_xlfn.XLOOKUP($B16,'GP7'!$C$6:$C$55,'GP7'!$B$6:$B$55,"")</f>
        <v/>
      </c>
      <c r="R16" s="129">
        <f>_xlfn.XLOOKUP(Q16,'GP7'!$B$6:$B$55,'GP7'!$A$6:$A$55,0)</f>
        <v>0</v>
      </c>
      <c r="S16" s="12" t="str">
        <f>_xlfn.XLOOKUP($B16,'GP8'!$C$6:$C$55,'GP8'!$B$6:$B$55,"")</f>
        <v/>
      </c>
      <c r="T16" s="129">
        <f>_xlfn.XLOOKUP(S16,'GP8'!$B$6:$B$55,'GP8'!$A$6:$A$55,0)</f>
        <v>0</v>
      </c>
      <c r="U16" s="12" t="str">
        <f>_xlfn.XLOOKUP(B16,MPW!C$6:C$55,MPW!B$6:B$55,"")</f>
        <v/>
      </c>
      <c r="V16" s="129" t="str">
        <f>_xlfn.XLOOKUP(U16,MPW!B$6:B$55,MPW!A$6:A$55,0)</f>
        <v/>
      </c>
    </row>
    <row r="17" spans="1:22" ht="14.95" customHeight="1" x14ac:dyDescent="0.25">
      <c r="A17" s="8">
        <f>ROW()-5</f>
        <v>12</v>
      </c>
      <c r="B17" s="9"/>
      <c r="C17" s="11"/>
      <c r="D17" s="125">
        <f>SUM(F17,H17,J17,L17,N17,P17,R17,T17,V17)-SUM(SMALL((F17,H17,J17,L17,N17,P17,R17,T17),1),SMALL((F17,H17,J17,L17,N17,P17,R17,T17),2))</f>
        <v>0</v>
      </c>
      <c r="E17" s="10" t="str">
        <f>_xlfn.XLOOKUP($B17,'GP1'!$C$6:$C$55,'GP1'!$B$6:$B$55,"")</f>
        <v/>
      </c>
      <c r="F17" s="126">
        <f>_xlfn.XLOOKUP(E17,'GP1'!$B$6:$B$55,'GP1'!$A$6:$A$55,0)</f>
        <v>0</v>
      </c>
      <c r="G17" s="12" t="str">
        <f>_xlfn.XLOOKUP($B17,'GP2'!$C$6:$C$55,'GP2'!$B$6:$B$55,"")</f>
        <v/>
      </c>
      <c r="H17" s="127">
        <f>_xlfn.XLOOKUP(G17,'GP2'!$B$6:$B$55,'GP2'!$A$6:$A$55,0)</f>
        <v>0</v>
      </c>
      <c r="I17" s="12" t="str">
        <f>_xlfn.XLOOKUP($B17,'GP3'!$C$6:$C$55,'GP3'!$B$6:$B$55,"")</f>
        <v/>
      </c>
      <c r="J17" s="127">
        <f>_xlfn.XLOOKUP(I17,'GP3'!$B$6:$B$55,'GP3'!$A$6:$A$55,0)</f>
        <v>0</v>
      </c>
      <c r="K17" s="12" t="str">
        <f>_xlfn.XLOOKUP($B17,'GP4'!$C$6:$C$55,'GP4'!$B$6:$B$55,"")</f>
        <v/>
      </c>
      <c r="L17" s="127">
        <f>_xlfn.XLOOKUP(K17,'GP4'!$B$6:$B$55,'GP4'!$A$6:$A$55,0)</f>
        <v>0</v>
      </c>
      <c r="M17" s="12" t="str">
        <f>_xlfn.XLOOKUP($B17,'GP5'!$C$6:$C$55,'GP5'!$B$6:$B$55,"")</f>
        <v/>
      </c>
      <c r="N17" s="129">
        <f>_xlfn.XLOOKUP(M17,'GP5'!$B$6:$B$55,'GP5'!$A$6:$A$55,0)</f>
        <v>0</v>
      </c>
      <c r="O17" s="12" t="str">
        <f>_xlfn.XLOOKUP($B17,'GP6'!$C$6:$C$55,'GP6'!$B$6:$B$55,"")</f>
        <v/>
      </c>
      <c r="P17" s="129">
        <f>_xlfn.XLOOKUP(O17,'GP6'!$B$6:$B$55,'GP6'!$A$6:$A$55,0)</f>
        <v>0</v>
      </c>
      <c r="Q17" s="12" t="str">
        <f>_xlfn.XLOOKUP($B17,'GP7'!$C$6:$C$55,'GP7'!$B$6:$B$55,"")</f>
        <v/>
      </c>
      <c r="R17" s="129">
        <f>_xlfn.XLOOKUP(Q17,'GP7'!$B$6:$B$55,'GP7'!$A$6:$A$55,0)</f>
        <v>0</v>
      </c>
      <c r="S17" s="12" t="str">
        <f>_xlfn.XLOOKUP($B17,'GP8'!$C$6:$C$55,'GP8'!$B$6:$B$55,"")</f>
        <v/>
      </c>
      <c r="T17" s="129">
        <f>_xlfn.XLOOKUP(S17,'GP8'!$B$6:$B$55,'GP8'!$A$6:$A$55,0)</f>
        <v>0</v>
      </c>
      <c r="U17" s="12" t="str">
        <f>_xlfn.XLOOKUP(B17,MPW!C$6:C$55,MPW!B$6:B$55,"")</f>
        <v/>
      </c>
      <c r="V17" s="129" t="str">
        <f>_xlfn.XLOOKUP(U17,MPW!B$6:B$55,MPW!A$6:A$55,0)</f>
        <v/>
      </c>
    </row>
    <row r="18" spans="1:22" ht="14.95" customHeight="1" x14ac:dyDescent="0.25">
      <c r="A18" s="8">
        <f>ROW()-5</f>
        <v>13</v>
      </c>
      <c r="B18" s="9"/>
      <c r="C18" s="11"/>
      <c r="D18" s="125">
        <f>SUM(F18,H18,J18,L18,N18,P18,R18,T18,V18)-SUM(SMALL((F18,H18,J18,L18,N18,P18,R18,T18),1),SMALL((F18,H18,J18,L18,N18,P18,R18,T18),2))</f>
        <v>0</v>
      </c>
      <c r="E18" s="10" t="str">
        <f>_xlfn.XLOOKUP($B18,'GP1'!$C$6:$C$55,'GP1'!$B$6:$B$55,"")</f>
        <v/>
      </c>
      <c r="F18" s="126">
        <f>_xlfn.XLOOKUP(E18,'GP1'!$B$6:$B$55,'GP1'!$A$6:$A$55,0)</f>
        <v>0</v>
      </c>
      <c r="G18" s="12" t="str">
        <f>_xlfn.XLOOKUP($B18,'GP2'!$C$6:$C$55,'GP2'!$B$6:$B$55,"")</f>
        <v/>
      </c>
      <c r="H18" s="127">
        <f>_xlfn.XLOOKUP(G18,'GP2'!$B$6:$B$55,'GP2'!$A$6:$A$55,0)</f>
        <v>0</v>
      </c>
      <c r="I18" s="12" t="str">
        <f>_xlfn.XLOOKUP($B18,'GP3'!$C$6:$C$55,'GP3'!$B$6:$B$55,"")</f>
        <v/>
      </c>
      <c r="J18" s="127">
        <f>_xlfn.XLOOKUP(I18,'GP3'!$B$6:$B$55,'GP3'!$A$6:$A$55,0)</f>
        <v>0</v>
      </c>
      <c r="K18" s="12" t="str">
        <f>_xlfn.XLOOKUP($B18,'GP4'!$C$6:$C$55,'GP4'!$B$6:$B$55,"")</f>
        <v/>
      </c>
      <c r="L18" s="127">
        <f>_xlfn.XLOOKUP(K18,'GP4'!$B$6:$B$55,'GP4'!$A$6:$A$55,0)</f>
        <v>0</v>
      </c>
      <c r="M18" s="12" t="str">
        <f>_xlfn.XLOOKUP($B18,'GP5'!$C$6:$C$55,'GP5'!$B$6:$B$55,"")</f>
        <v/>
      </c>
      <c r="N18" s="129">
        <f>_xlfn.XLOOKUP(M18,'GP5'!$B$6:$B$55,'GP5'!$A$6:$A$55,0)</f>
        <v>0</v>
      </c>
      <c r="O18" s="12" t="str">
        <f>_xlfn.XLOOKUP($B18,'GP6'!$C$6:$C$55,'GP6'!$B$6:$B$55,"")</f>
        <v/>
      </c>
      <c r="P18" s="129">
        <f>_xlfn.XLOOKUP(O18,'GP6'!$B$6:$B$55,'GP6'!$A$6:$A$55,0)</f>
        <v>0</v>
      </c>
      <c r="Q18" s="12" t="str">
        <f>_xlfn.XLOOKUP($B18,'GP7'!$C$6:$C$55,'GP7'!$B$6:$B$55,"")</f>
        <v/>
      </c>
      <c r="R18" s="129">
        <f>_xlfn.XLOOKUP(Q18,'GP7'!$B$6:$B$55,'GP7'!$A$6:$A$55,0)</f>
        <v>0</v>
      </c>
      <c r="S18" s="12" t="str">
        <f>_xlfn.XLOOKUP($B18,'GP8'!$C$6:$C$55,'GP8'!$B$6:$B$55,"")</f>
        <v/>
      </c>
      <c r="T18" s="129">
        <f>_xlfn.XLOOKUP(S18,'GP8'!$B$6:$B$55,'GP8'!$A$6:$A$55,0)</f>
        <v>0</v>
      </c>
      <c r="U18" s="12" t="str">
        <f>_xlfn.XLOOKUP(B18,MPW!C$6:C$55,MPW!B$6:B$55,"")</f>
        <v/>
      </c>
      <c r="V18" s="129" t="str">
        <f>_xlfn.XLOOKUP(U18,MPW!B$6:B$55,MPW!A$6:A$55,0)</f>
        <v/>
      </c>
    </row>
    <row r="19" spans="1:22" ht="14.95" customHeight="1" x14ac:dyDescent="0.25">
      <c r="A19" s="8">
        <f>ROW()-5</f>
        <v>14</v>
      </c>
      <c r="B19" s="9"/>
      <c r="C19" s="11"/>
      <c r="D19" s="125">
        <f>SUM(F19,H19,J19,L19,N19,P19,R19,T19,V19)-SUM(SMALL((F19,H19,J19,L19,N19,P19,R19,T19),1),SMALL((F19,H19,J19,L19,N19,P19,R19,T19),2))</f>
        <v>0</v>
      </c>
      <c r="E19" s="10" t="str">
        <f>_xlfn.XLOOKUP($B19,'GP1'!$C$6:$C$55,'GP1'!$B$6:$B$55,"")</f>
        <v/>
      </c>
      <c r="F19" s="126">
        <f>_xlfn.XLOOKUP(E19,'GP1'!$B$6:$B$55,'GP1'!$A$6:$A$55,0)</f>
        <v>0</v>
      </c>
      <c r="G19" s="12" t="str">
        <f>_xlfn.XLOOKUP($B19,'GP2'!$C$6:$C$55,'GP2'!$B$6:$B$55,"")</f>
        <v/>
      </c>
      <c r="H19" s="127">
        <f>_xlfn.XLOOKUP(G19,'GP2'!$B$6:$B$55,'GP2'!$A$6:$A$55,0)</f>
        <v>0</v>
      </c>
      <c r="I19" s="12" t="str">
        <f>_xlfn.XLOOKUP($B19,'GP3'!$C$6:$C$55,'GP3'!$B$6:$B$55,"")</f>
        <v/>
      </c>
      <c r="J19" s="127">
        <f>_xlfn.XLOOKUP(I19,'GP3'!$B$6:$B$55,'GP3'!$A$6:$A$55,0)</f>
        <v>0</v>
      </c>
      <c r="K19" s="12" t="str">
        <f>_xlfn.XLOOKUP($B19,'GP4'!$C$6:$C$55,'GP4'!$B$6:$B$55,"")</f>
        <v/>
      </c>
      <c r="L19" s="127">
        <f>_xlfn.XLOOKUP(K19,'GP4'!$B$6:$B$55,'GP4'!$A$6:$A$55,0)</f>
        <v>0</v>
      </c>
      <c r="M19" s="12" t="str">
        <f>_xlfn.XLOOKUP($B19,'GP5'!$C$6:$C$55,'GP5'!$B$6:$B$55,"")</f>
        <v/>
      </c>
      <c r="N19" s="129">
        <f>_xlfn.XLOOKUP(M19,'GP5'!$B$6:$B$55,'GP5'!$A$6:$A$55,0)</f>
        <v>0</v>
      </c>
      <c r="O19" s="12" t="str">
        <f>_xlfn.XLOOKUP($B19,'GP6'!$C$6:$C$55,'GP6'!$B$6:$B$55,"")</f>
        <v/>
      </c>
      <c r="P19" s="129">
        <f>_xlfn.XLOOKUP(O19,'GP6'!$B$6:$B$55,'GP6'!$A$6:$A$55,0)</f>
        <v>0</v>
      </c>
      <c r="Q19" s="12" t="str">
        <f>_xlfn.XLOOKUP($B19,'GP7'!$C$6:$C$55,'GP7'!$B$6:$B$55,"")</f>
        <v/>
      </c>
      <c r="R19" s="129">
        <f>_xlfn.XLOOKUP(Q19,'GP7'!$B$6:$B$55,'GP7'!$A$6:$A$55,0)</f>
        <v>0</v>
      </c>
      <c r="S19" s="12" t="str">
        <f>_xlfn.XLOOKUP($B19,'GP8'!$C$6:$C$55,'GP8'!$B$6:$B$55,"")</f>
        <v/>
      </c>
      <c r="T19" s="129">
        <f>_xlfn.XLOOKUP(S19,'GP8'!$B$6:$B$55,'GP8'!$A$6:$A$55,0)</f>
        <v>0</v>
      </c>
      <c r="U19" s="12" t="str">
        <f>_xlfn.XLOOKUP(B19,MPW!C$6:C$55,MPW!B$6:B$55,"")</f>
        <v/>
      </c>
      <c r="V19" s="129" t="str">
        <f>_xlfn.XLOOKUP(U19,MPW!B$6:B$55,MPW!A$6:A$55,0)</f>
        <v/>
      </c>
    </row>
    <row r="20" spans="1:22" ht="14.95" customHeight="1" x14ac:dyDescent="0.25">
      <c r="A20" s="8">
        <f>ROW()-5</f>
        <v>15</v>
      </c>
      <c r="B20" s="9"/>
      <c r="C20" s="11"/>
      <c r="D20" s="125">
        <f>SUM(F20,H20,J20,L20,N20,P20,R20,T20,V20)-SUM(SMALL((F20,H20,J20,L20,N20,P20,R20,T20),1),SMALL((F20,H20,J20,L20,N20,P20,R20,T20),2))</f>
        <v>0</v>
      </c>
      <c r="E20" s="10" t="str">
        <f>_xlfn.XLOOKUP($B20,'GP1'!$C$6:$C$55,'GP1'!$B$6:$B$55,"")</f>
        <v/>
      </c>
      <c r="F20" s="126">
        <f>_xlfn.XLOOKUP(E20,'GP1'!$B$6:$B$55,'GP1'!$A$6:$A$55,0)</f>
        <v>0</v>
      </c>
      <c r="G20" s="12" t="str">
        <f>_xlfn.XLOOKUP($B20,'GP2'!$C$6:$C$55,'GP2'!$B$6:$B$55,"")</f>
        <v/>
      </c>
      <c r="H20" s="127">
        <f>_xlfn.XLOOKUP(G20,'GP2'!$B$6:$B$55,'GP2'!$A$6:$A$55,0)</f>
        <v>0</v>
      </c>
      <c r="I20" s="12" t="str">
        <f>_xlfn.XLOOKUP($B20,'GP3'!$C$6:$C$55,'GP3'!$B$6:$B$55,"")</f>
        <v/>
      </c>
      <c r="J20" s="127">
        <f>_xlfn.XLOOKUP(I20,'GP3'!$B$6:$B$55,'GP3'!$A$6:$A$55,0)</f>
        <v>0</v>
      </c>
      <c r="K20" s="12" t="str">
        <f>_xlfn.XLOOKUP($B20,'GP4'!$C$6:$C$55,'GP4'!$B$6:$B$55,"")</f>
        <v/>
      </c>
      <c r="L20" s="127">
        <f>_xlfn.XLOOKUP(K20,'GP4'!$B$6:$B$55,'GP4'!$A$6:$A$55,0)</f>
        <v>0</v>
      </c>
      <c r="M20" s="12" t="str">
        <f>_xlfn.XLOOKUP($B20,'GP5'!$C$6:$C$55,'GP5'!$B$6:$B$55,"")</f>
        <v/>
      </c>
      <c r="N20" s="129">
        <f>_xlfn.XLOOKUP(M20,'GP5'!$B$6:$B$55,'GP5'!$A$6:$A$55,0)</f>
        <v>0</v>
      </c>
      <c r="O20" s="12" t="str">
        <f>_xlfn.XLOOKUP($B20,'GP6'!$C$6:$C$55,'GP6'!$B$6:$B$55,"")</f>
        <v/>
      </c>
      <c r="P20" s="129">
        <f>_xlfn.XLOOKUP(O20,'GP6'!$B$6:$B$55,'GP6'!$A$6:$A$55,0)</f>
        <v>0</v>
      </c>
      <c r="Q20" s="12" t="str">
        <f>_xlfn.XLOOKUP($B20,'GP7'!$C$6:$C$55,'GP7'!$B$6:$B$55,"")</f>
        <v/>
      </c>
      <c r="R20" s="129">
        <f>_xlfn.XLOOKUP(Q20,'GP7'!$B$6:$B$55,'GP7'!$A$6:$A$55,0)</f>
        <v>0</v>
      </c>
      <c r="S20" s="12" t="str">
        <f>_xlfn.XLOOKUP($B20,'GP8'!$C$6:$C$55,'GP8'!$B$6:$B$55,"")</f>
        <v/>
      </c>
      <c r="T20" s="129">
        <f>_xlfn.XLOOKUP(S20,'GP8'!$B$6:$B$55,'GP8'!$A$6:$A$55,0)</f>
        <v>0</v>
      </c>
      <c r="U20" s="12" t="str">
        <f>_xlfn.XLOOKUP(B20,MPW!C$6:C$55,MPW!B$6:B$55,"")</f>
        <v/>
      </c>
      <c r="V20" s="129" t="str">
        <f>_xlfn.XLOOKUP(U20,MPW!B$6:B$55,MPW!A$6:A$55,0)</f>
        <v/>
      </c>
    </row>
    <row r="21" spans="1:22" ht="14.95" customHeight="1" x14ac:dyDescent="0.25">
      <c r="A21" s="8">
        <f>ROW()-5</f>
        <v>16</v>
      </c>
      <c r="B21" s="9"/>
      <c r="C21" s="11"/>
      <c r="D21" s="125">
        <f>SUM(F21,H21,J21,L21,N21,P21,R21,T21,V21)-SUM(SMALL((F21,H21,J21,L21,N21,P21,R21,T21),1),SMALL((F21,H21,J21,L21,N21,P21,R21,T21),2))</f>
        <v>0</v>
      </c>
      <c r="E21" s="10" t="str">
        <f>_xlfn.XLOOKUP($B21,'GP1'!$C$6:$C$55,'GP1'!$B$6:$B$55,"")</f>
        <v/>
      </c>
      <c r="F21" s="126">
        <f>_xlfn.XLOOKUP(E21,'GP1'!$B$6:$B$55,'GP1'!$A$6:$A$55,0)</f>
        <v>0</v>
      </c>
      <c r="G21" s="12" t="str">
        <f>_xlfn.XLOOKUP($B21,'GP2'!$C$6:$C$55,'GP2'!$B$6:$B$55,"")</f>
        <v/>
      </c>
      <c r="H21" s="127">
        <f>_xlfn.XLOOKUP(G21,'GP2'!$B$6:$B$55,'GP2'!$A$6:$A$55,0)</f>
        <v>0</v>
      </c>
      <c r="I21" s="12" t="str">
        <f>_xlfn.XLOOKUP($B21,'GP3'!$C$6:$C$55,'GP3'!$B$6:$B$55,"")</f>
        <v/>
      </c>
      <c r="J21" s="127">
        <f>_xlfn.XLOOKUP(I21,'GP3'!$B$6:$B$55,'GP3'!$A$6:$A$55,0)</f>
        <v>0</v>
      </c>
      <c r="K21" s="12" t="str">
        <f>_xlfn.XLOOKUP($B21,'GP4'!$C$6:$C$55,'GP4'!$B$6:$B$55,"")</f>
        <v/>
      </c>
      <c r="L21" s="127">
        <f>_xlfn.XLOOKUP(K21,'GP4'!$B$6:$B$55,'GP4'!$A$6:$A$55,0)</f>
        <v>0</v>
      </c>
      <c r="M21" s="12" t="str">
        <f>_xlfn.XLOOKUP($B21,'GP5'!$C$6:$C$55,'GP5'!$B$6:$B$55,"")</f>
        <v/>
      </c>
      <c r="N21" s="129">
        <f>_xlfn.XLOOKUP(M21,'GP5'!$B$6:$B$55,'GP5'!$A$6:$A$55,0)</f>
        <v>0</v>
      </c>
      <c r="O21" s="12" t="str">
        <f>_xlfn.XLOOKUP($B21,'GP6'!$C$6:$C$55,'GP6'!$B$6:$B$55,"")</f>
        <v/>
      </c>
      <c r="P21" s="129">
        <f>_xlfn.XLOOKUP(O21,'GP6'!$B$6:$B$55,'GP6'!$A$6:$A$55,0)</f>
        <v>0</v>
      </c>
      <c r="Q21" s="12" t="str">
        <f>_xlfn.XLOOKUP($B21,'GP7'!$C$6:$C$55,'GP7'!$B$6:$B$55,"")</f>
        <v/>
      </c>
      <c r="R21" s="129">
        <f>_xlfn.XLOOKUP(Q21,'GP7'!$B$6:$B$55,'GP7'!$A$6:$A$55,0)</f>
        <v>0</v>
      </c>
      <c r="S21" s="12" t="str">
        <f>_xlfn.XLOOKUP($B21,'GP8'!$C$6:$C$55,'GP8'!$B$6:$B$55,"")</f>
        <v/>
      </c>
      <c r="T21" s="129">
        <f>_xlfn.XLOOKUP(S21,'GP8'!$B$6:$B$55,'GP8'!$A$6:$A$55,0)</f>
        <v>0</v>
      </c>
      <c r="U21" s="12" t="str">
        <f>_xlfn.XLOOKUP(B21,MPW!C$6:C$55,MPW!B$6:B$55,"")</f>
        <v/>
      </c>
      <c r="V21" s="129" t="str">
        <f>_xlfn.XLOOKUP(U21,MPW!B$6:B$55,MPW!A$6:A$55,0)</f>
        <v/>
      </c>
    </row>
    <row r="22" spans="1:22" ht="14.95" customHeight="1" x14ac:dyDescent="0.25">
      <c r="A22" s="8">
        <f>ROW()-5</f>
        <v>17</v>
      </c>
      <c r="B22" s="9"/>
      <c r="C22" s="11"/>
      <c r="D22" s="125">
        <f>SUM(F22,H22,J22,L22,N22,P22,R22,T22,V22)-SUM(SMALL((F22,H22,J22,L22,N22,P22,R22,T22),1),SMALL((F22,H22,J22,L22,N22,P22,R22,T22),2))</f>
        <v>0</v>
      </c>
      <c r="E22" s="10" t="str">
        <f>_xlfn.XLOOKUP($B22,'GP1'!$C$6:$C$55,'GP1'!$B$6:$B$55,"")</f>
        <v/>
      </c>
      <c r="F22" s="126">
        <f>_xlfn.XLOOKUP(E22,'GP1'!$B$6:$B$55,'GP1'!$A$6:$A$55,0)</f>
        <v>0</v>
      </c>
      <c r="G22" s="12" t="str">
        <f>_xlfn.XLOOKUP($B22,'GP2'!$C$6:$C$55,'GP2'!$B$6:$B$55,"")</f>
        <v/>
      </c>
      <c r="H22" s="127">
        <f>_xlfn.XLOOKUP(G22,'GP2'!$B$6:$B$55,'GP2'!$A$6:$A$55,0)</f>
        <v>0</v>
      </c>
      <c r="I22" s="12" t="str">
        <f>_xlfn.XLOOKUP($B22,'GP3'!$C$6:$C$55,'GP3'!$B$6:$B$55,"")</f>
        <v/>
      </c>
      <c r="J22" s="127">
        <f>_xlfn.XLOOKUP(I22,'GP3'!$B$6:$B$55,'GP3'!$A$6:$A$55,0)</f>
        <v>0</v>
      </c>
      <c r="K22" s="12" t="str">
        <f>_xlfn.XLOOKUP($B22,'GP4'!$C$6:$C$55,'GP4'!$B$6:$B$55,"")</f>
        <v/>
      </c>
      <c r="L22" s="127">
        <f>_xlfn.XLOOKUP(K22,'GP4'!$B$6:$B$55,'GP4'!$A$6:$A$55,0)</f>
        <v>0</v>
      </c>
      <c r="M22" s="12" t="str">
        <f>_xlfn.XLOOKUP($B22,'GP5'!$C$6:$C$55,'GP5'!$B$6:$B$55,"")</f>
        <v/>
      </c>
      <c r="N22" s="129">
        <f>_xlfn.XLOOKUP(M22,'GP5'!$B$6:$B$55,'GP5'!$A$6:$A$55,0)</f>
        <v>0</v>
      </c>
      <c r="O22" s="12" t="str">
        <f>_xlfn.XLOOKUP($B22,'GP6'!$C$6:$C$55,'GP6'!$B$6:$B$55,"")</f>
        <v/>
      </c>
      <c r="P22" s="129">
        <f>_xlfn.XLOOKUP(O22,'GP6'!$B$6:$B$55,'GP6'!$A$6:$A$55,0)</f>
        <v>0</v>
      </c>
      <c r="Q22" s="12" t="str">
        <f>_xlfn.XLOOKUP($B22,'GP7'!$C$6:$C$55,'GP7'!$B$6:$B$55,"")</f>
        <v/>
      </c>
      <c r="R22" s="129">
        <f>_xlfn.XLOOKUP(Q22,'GP7'!$B$6:$B$55,'GP7'!$A$6:$A$55,0)</f>
        <v>0</v>
      </c>
      <c r="S22" s="12" t="str">
        <f>_xlfn.XLOOKUP($B22,'GP8'!$C$6:$C$55,'GP8'!$B$6:$B$55,"")</f>
        <v/>
      </c>
      <c r="T22" s="129">
        <f>_xlfn.XLOOKUP(S22,'GP8'!$B$6:$B$55,'GP8'!$A$6:$A$55,0)</f>
        <v>0</v>
      </c>
      <c r="U22" s="12" t="str">
        <f>_xlfn.XLOOKUP(B22,MPW!C$6:C$55,MPW!B$6:B$55,"")</f>
        <v/>
      </c>
      <c r="V22" s="129" t="str">
        <f>_xlfn.XLOOKUP(U22,MPW!B$6:B$55,MPW!A$6:A$55,0)</f>
        <v/>
      </c>
    </row>
    <row r="23" spans="1:22" ht="14.95" customHeight="1" x14ac:dyDescent="0.25">
      <c r="A23" s="8">
        <f>ROW()-5</f>
        <v>18</v>
      </c>
      <c r="B23" s="9"/>
      <c r="C23" s="11"/>
      <c r="D23" s="125">
        <f>SUM(F23,H23,J23,L23,N23,P23,R23,T23,V23)-SUM(SMALL((F23,H23,J23,L23,N23,P23,R23,T23),1),SMALL((F23,H23,J23,L23,N23,P23,R23,T23),2))</f>
        <v>0</v>
      </c>
      <c r="E23" s="10" t="str">
        <f>_xlfn.XLOOKUP($B23,'GP1'!$C$6:$C$55,'GP1'!$B$6:$B$55,"")</f>
        <v/>
      </c>
      <c r="F23" s="126">
        <f>_xlfn.XLOOKUP(E23,'GP1'!$B$6:$B$55,'GP1'!$A$6:$A$55,0)</f>
        <v>0</v>
      </c>
      <c r="G23" s="12" t="str">
        <f>_xlfn.XLOOKUP($B23,'GP2'!$C$6:$C$55,'GP2'!$B$6:$B$55,"")</f>
        <v/>
      </c>
      <c r="H23" s="127">
        <f>_xlfn.XLOOKUP(G23,'GP2'!$B$6:$B$55,'GP2'!$A$6:$A$55,0)</f>
        <v>0</v>
      </c>
      <c r="I23" s="12" t="str">
        <f>_xlfn.XLOOKUP($B23,'GP3'!$C$6:$C$55,'GP3'!$B$6:$B$55,"")</f>
        <v/>
      </c>
      <c r="J23" s="127">
        <f>_xlfn.XLOOKUP(I23,'GP3'!$B$6:$B$55,'GP3'!$A$6:$A$55,0)</f>
        <v>0</v>
      </c>
      <c r="K23" s="12" t="str">
        <f>_xlfn.XLOOKUP($B23,'GP4'!$C$6:$C$55,'GP4'!$B$6:$B$55,"")</f>
        <v/>
      </c>
      <c r="L23" s="127">
        <f>_xlfn.XLOOKUP(K23,'GP4'!$B$6:$B$55,'GP4'!$A$6:$A$55,0)</f>
        <v>0</v>
      </c>
      <c r="M23" s="12" t="str">
        <f>_xlfn.XLOOKUP($B23,'GP5'!$C$6:$C$55,'GP5'!$B$6:$B$55,"")</f>
        <v/>
      </c>
      <c r="N23" s="129">
        <f>_xlfn.XLOOKUP(M23,'GP5'!$B$6:$B$55,'GP5'!$A$6:$A$55,0)</f>
        <v>0</v>
      </c>
      <c r="O23" s="12" t="str">
        <f>_xlfn.XLOOKUP($B23,'GP6'!$C$6:$C$55,'GP6'!$B$6:$B$55,"")</f>
        <v/>
      </c>
      <c r="P23" s="129">
        <f>_xlfn.XLOOKUP(O23,'GP6'!$B$6:$B$55,'GP6'!$A$6:$A$55,0)</f>
        <v>0</v>
      </c>
      <c r="Q23" s="12" t="str">
        <f>_xlfn.XLOOKUP($B23,'GP7'!$C$6:$C$55,'GP7'!$B$6:$B$55,"")</f>
        <v/>
      </c>
      <c r="R23" s="129">
        <f>_xlfn.XLOOKUP(Q23,'GP7'!$B$6:$B$55,'GP7'!$A$6:$A$55,0)</f>
        <v>0</v>
      </c>
      <c r="S23" s="12" t="str">
        <f>_xlfn.XLOOKUP($B23,'GP8'!$C$6:$C$55,'GP8'!$B$6:$B$55,"")</f>
        <v/>
      </c>
      <c r="T23" s="129">
        <f>_xlfn.XLOOKUP(S23,'GP8'!$B$6:$B$55,'GP8'!$A$6:$A$55,0)</f>
        <v>0</v>
      </c>
      <c r="U23" s="12" t="str">
        <f>_xlfn.XLOOKUP(B23,MPW!C$6:C$55,MPW!B$6:B$55,"")</f>
        <v/>
      </c>
      <c r="V23" s="129" t="str">
        <f>_xlfn.XLOOKUP(U23,MPW!B$6:B$55,MPW!A$6:A$55,0)</f>
        <v/>
      </c>
    </row>
    <row r="24" spans="1:22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25CEEB51-6C25-4E70-B866-869950A5F785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6" priority="4" operator="equal">
      <formula>3</formula>
    </cfRule>
    <cfRule type="cellIs" dxfId="35" priority="5" operator="equal">
      <formula>2</formula>
    </cfRule>
    <cfRule type="cellIs" dxfId="34" priority="6" operator="equal">
      <formula>1</formula>
    </cfRule>
  </conditionalFormatting>
  <conditionalFormatting sqref="D6:V23">
    <cfRule type="cellIs" dxfId="33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29D9-95BB-45C9-9247-6D16FEA30AF1}">
  <sheetPr codeName="Arkusz2">
    <tabColor rgb="FF92D050"/>
  </sheetPr>
  <dimension ref="A1:AL467"/>
  <sheetViews>
    <sheetView workbookViewId="0">
      <selection activeCell="C14" sqref="C14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25</v>
      </c>
      <c r="I1" s="16" t="s">
        <v>26</v>
      </c>
      <c r="J1" s="16" t="s">
        <v>27</v>
      </c>
      <c r="K1" s="17" t="s">
        <v>28</v>
      </c>
      <c r="L1" s="18"/>
      <c r="M1" s="18"/>
    </row>
    <row r="2" spans="1:36" ht="14.3" customHeight="1" x14ac:dyDescent="0.25">
      <c r="A2" s="14"/>
      <c r="B2" s="20" t="s">
        <v>29</v>
      </c>
      <c r="C2" s="271" t="s">
        <v>30</v>
      </c>
      <c r="D2" s="271"/>
      <c r="E2" s="21"/>
      <c r="F2" s="21"/>
      <c r="G2" s="21"/>
      <c r="H2" s="22">
        <v>3</v>
      </c>
      <c r="I2" s="23">
        <v>50</v>
      </c>
      <c r="J2" s="23">
        <v>10</v>
      </c>
      <c r="K2" s="66">
        <f>3*H2^(1/3)</f>
        <v>4.3267487109222245</v>
      </c>
      <c r="L2" s="18"/>
      <c r="M2" s="18"/>
    </row>
    <row r="3" spans="1:36" ht="14.3" customHeight="1" x14ac:dyDescent="0.25">
      <c r="A3" s="14"/>
      <c r="B3" s="25" t="s">
        <v>31</v>
      </c>
      <c r="C3" s="272" t="s">
        <v>32</v>
      </c>
      <c r="D3" s="27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30" t="s">
        <v>39</v>
      </c>
      <c r="I5" s="31" t="s">
        <v>40</v>
      </c>
      <c r="J5" s="32" t="s">
        <v>41</v>
      </c>
      <c r="K5" s="31" t="s">
        <v>42</v>
      </c>
      <c r="L5" s="31" t="s">
        <v>43</v>
      </c>
      <c r="M5" s="30" t="s">
        <v>44</v>
      </c>
    </row>
    <row r="6" spans="1:36" ht="14.45" customHeight="1" x14ac:dyDescent="0.25">
      <c r="A6" s="33">
        <f>M6</f>
        <v>82.980246132766666</v>
      </c>
      <c r="B6" s="34">
        <f t="shared" ref="B6:B65" si="0">IF(H6&gt;$H$2,"",(ROW()-5))</f>
        <v>1</v>
      </c>
      <c r="C6" s="35" t="s">
        <v>20</v>
      </c>
      <c r="D6" s="35" t="s">
        <v>45</v>
      </c>
      <c r="E6" s="35"/>
      <c r="F6" s="35" t="s">
        <v>46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12.980246132766673</v>
      </c>
      <c r="M6" s="38">
        <f t="shared" ref="M6:M69" si="2">IF(I6&lt;&gt;"",K6+I6+L6,0)</f>
        <v>82.980246132766666</v>
      </c>
    </row>
    <row r="7" spans="1:36" ht="14.45" customHeight="1" x14ac:dyDescent="0.25">
      <c r="A7" s="39">
        <f t="shared" ref="A7:A37" si="3">M7</f>
        <v>37.73793949684304</v>
      </c>
      <c r="B7" s="40">
        <f t="shared" si="0"/>
        <v>2</v>
      </c>
      <c r="C7" s="41" t="s">
        <v>22</v>
      </c>
      <c r="D7" s="41" t="s">
        <v>47</v>
      </c>
      <c r="E7" s="41"/>
      <c r="F7" s="41" t="s">
        <v>46</v>
      </c>
      <c r="G7" s="28"/>
      <c r="H7" s="42">
        <v>2</v>
      </c>
      <c r="I7" s="43">
        <f t="shared" ref="I7:I69" si="4">IF(H7&lt;$H$2+1,($I$2-($I$2-1)*(LOG(H7)/LOG($H$2))),"")</f>
        <v>19.084442074998588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8.6534974218444489</v>
      </c>
      <c r="M7" s="44">
        <f t="shared" si="2"/>
        <v>37.73793949684304</v>
      </c>
    </row>
    <row r="8" spans="1:36" ht="14.45" customHeight="1" x14ac:dyDescent="0.25">
      <c r="A8" s="33">
        <f t="shared" si="3"/>
        <v>5.3267487109222245</v>
      </c>
      <c r="B8" s="34">
        <f t="shared" si="0"/>
        <v>3</v>
      </c>
      <c r="C8" s="35" t="s">
        <v>19</v>
      </c>
      <c r="D8" s="35" t="s">
        <v>48</v>
      </c>
      <c r="E8" s="35"/>
      <c r="F8" s="35"/>
      <c r="G8" s="28"/>
      <c r="H8" s="36">
        <v>3</v>
      </c>
      <c r="I8" s="37">
        <f t="shared" si="4"/>
        <v>1</v>
      </c>
      <c r="J8" s="36">
        <f t="shared" si="5"/>
        <v>0</v>
      </c>
      <c r="K8" s="36">
        <f t="shared" si="1"/>
        <v>0</v>
      </c>
      <c r="L8" s="38">
        <f>K2</f>
        <v>4.3267487109222245</v>
      </c>
      <c r="M8" s="38">
        <f t="shared" si="2"/>
        <v>5.3267487109222245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0</v>
      </c>
      <c r="K9" s="42">
        <f t="shared" si="1"/>
        <v>0</v>
      </c>
      <c r="L9" s="44"/>
      <c r="M9" s="44">
        <f t="shared" si="2"/>
        <v>0</v>
      </c>
      <c r="V9" s="45"/>
      <c r="Z9" s="46"/>
      <c r="AA9" s="46"/>
      <c r="AG9" s="47"/>
      <c r="AH9" s="19" t="s">
        <v>49</v>
      </c>
      <c r="AI9" s="19">
        <v>23</v>
      </c>
    </row>
    <row r="10" spans="1:36" ht="14.45" customHeight="1" x14ac:dyDescent="0.25">
      <c r="A10" s="212">
        <v>3.2421170374730792</v>
      </c>
      <c r="B10" s="251" t="s">
        <v>50</v>
      </c>
      <c r="C10" s="213" t="s">
        <v>21</v>
      </c>
      <c r="D10" s="213" t="s">
        <v>51</v>
      </c>
      <c r="E10" s="213"/>
      <c r="F10" s="211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1"/>
        <v>-10</v>
      </c>
      <c r="L10" s="36"/>
      <c r="M10" s="38">
        <f t="shared" si="2"/>
        <v>0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1"/>
        <v>-10</v>
      </c>
      <c r="L11" s="42"/>
      <c r="M11" s="44">
        <f t="shared" si="2"/>
        <v>0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1"/>
        <v>-10</v>
      </c>
      <c r="L12" s="36"/>
      <c r="M12" s="38">
        <f t="shared" si="2"/>
        <v>0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1"/>
        <v>-10</v>
      </c>
      <c r="L13" s="42"/>
      <c r="M13" s="44">
        <f t="shared" si="2"/>
        <v>0</v>
      </c>
      <c r="X13" s="45"/>
      <c r="AG13" s="47"/>
      <c r="AH13" s="19" t="s">
        <v>55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1"/>
        <v>-20</v>
      </c>
      <c r="L14" s="36"/>
      <c r="M14" s="38">
        <f t="shared" si="2"/>
        <v>0</v>
      </c>
      <c r="X14" s="51"/>
      <c r="Z14" s="46"/>
      <c r="AA14" s="46"/>
      <c r="AG14" s="47"/>
      <c r="AH14" s="19" t="s">
        <v>56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1"/>
        <v>-20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1"/>
        <v>-20</v>
      </c>
      <c r="L16" s="36"/>
      <c r="M16" s="38">
        <f t="shared" si="2"/>
        <v>0</v>
      </c>
      <c r="R16" s="52"/>
      <c r="Z16" s="46"/>
      <c r="AA16" s="46"/>
      <c r="AH16" s="53" t="s">
        <v>57</v>
      </c>
      <c r="AI16" s="19">
        <f>AI11-AI12*AI13/AI14</f>
        <v>9.6393909380186855</v>
      </c>
      <c r="AJ16" s="19" t="s">
        <v>58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1"/>
        <v>-20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1"/>
        <v>-20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1"/>
        <v>-20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1"/>
        <v>-20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1"/>
        <v>-20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1"/>
        <v>-30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1"/>
        <v>-30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1"/>
        <v>-30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1"/>
        <v>-30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1"/>
        <v>-30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1"/>
        <v>-30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1"/>
        <v>-30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1"/>
        <v>-30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1"/>
        <v>-30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1"/>
        <v>-30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1"/>
        <v>-30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1"/>
        <v>-30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1"/>
        <v>-30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1"/>
        <v>-30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1"/>
        <v>-30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1"/>
        <v>-30</v>
      </c>
      <c r="L37" s="42"/>
      <c r="M37" s="44">
        <f t="shared" si="2"/>
        <v>0</v>
      </c>
    </row>
    <row r="38" spans="1:21" x14ac:dyDescent="0.25">
      <c r="A38" s="50"/>
      <c r="B38" s="34" t="str">
        <f t="shared" si="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1"/>
        <v>-40</v>
      </c>
      <c r="L38" s="36"/>
      <c r="M38" s="38">
        <f t="shared" si="2"/>
        <v>0</v>
      </c>
    </row>
    <row r="39" spans="1:21" x14ac:dyDescent="0.25">
      <c r="A39" s="49"/>
      <c r="B39" s="40" t="str">
        <f t="shared" si="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1"/>
        <v>-40</v>
      </c>
      <c r="L39" s="42"/>
      <c r="M39" s="44">
        <f t="shared" si="2"/>
        <v>0</v>
      </c>
    </row>
    <row r="40" spans="1:21" x14ac:dyDescent="0.25">
      <c r="A40" s="50"/>
      <c r="B40" s="34" t="str">
        <f t="shared" si="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1"/>
        <v>-40</v>
      </c>
      <c r="L40" s="36"/>
      <c r="M40" s="38">
        <f t="shared" si="2"/>
        <v>0</v>
      </c>
    </row>
    <row r="41" spans="1:21" x14ac:dyDescent="0.25">
      <c r="A41" s="49"/>
      <c r="B41" s="40" t="str">
        <f t="shared" si="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1"/>
        <v>-40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1"/>
        <v>-40</v>
      </c>
      <c r="L42" s="36"/>
      <c r="M42" s="38">
        <f t="shared" si="2"/>
        <v>0</v>
      </c>
    </row>
    <row r="43" spans="1:21" x14ac:dyDescent="0.25">
      <c r="A43" s="49"/>
      <c r="B43" s="40" t="str">
        <f t="shared" si="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1"/>
        <v>-40</v>
      </c>
      <c r="L43" s="42"/>
      <c r="M43" s="44">
        <f t="shared" si="2"/>
        <v>0</v>
      </c>
    </row>
    <row r="44" spans="1:21" x14ac:dyDescent="0.25">
      <c r="A44" s="50"/>
      <c r="B44" s="34" t="str">
        <f t="shared" si="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1"/>
        <v>-40</v>
      </c>
      <c r="L44" s="36"/>
      <c r="M44" s="38">
        <f t="shared" si="2"/>
        <v>0</v>
      </c>
    </row>
    <row r="45" spans="1:21" x14ac:dyDescent="0.25">
      <c r="A45" s="49"/>
      <c r="B45" s="40" t="str">
        <f t="shared" si="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1"/>
        <v>-40</v>
      </c>
      <c r="L45" s="42"/>
      <c r="M45" s="44">
        <f t="shared" si="2"/>
        <v>0</v>
      </c>
    </row>
    <row r="46" spans="1:21" x14ac:dyDescent="0.25">
      <c r="A46" s="50"/>
      <c r="B46" s="34" t="str">
        <f t="shared" si="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1"/>
        <v>-40</v>
      </c>
      <c r="L46" s="36"/>
      <c r="M46" s="38">
        <f t="shared" si="2"/>
        <v>0</v>
      </c>
      <c r="R46" s="14">
        <f>LOG($H$2,2)</f>
        <v>1.5849625007211563</v>
      </c>
      <c r="T46" s="19">
        <f>LOG(H38,2)</f>
        <v>5.0443941193584534</v>
      </c>
      <c r="U46" s="19">
        <f>R46-T46</f>
        <v>-3.4594316186372973</v>
      </c>
    </row>
    <row r="47" spans="1:21" x14ac:dyDescent="0.25">
      <c r="A47" s="49"/>
      <c r="B47" s="40" t="str">
        <f t="shared" si="0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1"/>
        <v>-40</v>
      </c>
      <c r="L47" s="42"/>
      <c r="M47" s="44">
        <f t="shared" si="2"/>
        <v>0</v>
      </c>
    </row>
    <row r="48" spans="1:21" x14ac:dyDescent="0.25">
      <c r="A48" s="50"/>
      <c r="B48" s="34" t="str">
        <f t="shared" si="0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1"/>
        <v>-40</v>
      </c>
      <c r="L48" s="36"/>
      <c r="M48" s="38">
        <f t="shared" si="2"/>
        <v>0</v>
      </c>
    </row>
    <row r="49" spans="1:13" x14ac:dyDescent="0.25">
      <c r="A49" s="49"/>
      <c r="B49" s="40" t="str">
        <f t="shared" si="0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1"/>
        <v>-40</v>
      </c>
      <c r="L49" s="42"/>
      <c r="M49" s="44">
        <f t="shared" si="2"/>
        <v>0</v>
      </c>
    </row>
    <row r="50" spans="1:13" x14ac:dyDescent="0.25">
      <c r="A50" s="50"/>
      <c r="B50" s="34" t="str">
        <f t="shared" si="0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1"/>
        <v>-40</v>
      </c>
      <c r="L50" s="36"/>
      <c r="M50" s="38">
        <f t="shared" si="2"/>
        <v>0</v>
      </c>
    </row>
    <row r="51" spans="1:13" x14ac:dyDescent="0.25">
      <c r="A51" s="49"/>
      <c r="B51" s="40" t="str">
        <f t="shared" si="0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1"/>
        <v>-40</v>
      </c>
      <c r="L51" s="42"/>
      <c r="M51" s="44">
        <f t="shared" si="2"/>
        <v>0</v>
      </c>
    </row>
    <row r="52" spans="1:13" x14ac:dyDescent="0.25">
      <c r="A52" s="50"/>
      <c r="B52" s="34" t="str">
        <f t="shared" si="0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1"/>
        <v>-40</v>
      </c>
      <c r="L52" s="36"/>
      <c r="M52" s="38">
        <f t="shared" si="2"/>
        <v>0</v>
      </c>
    </row>
    <row r="53" spans="1:13" x14ac:dyDescent="0.25">
      <c r="A53" s="49"/>
      <c r="B53" s="40" t="str">
        <f t="shared" si="0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1"/>
        <v>-40</v>
      </c>
      <c r="L53" s="42"/>
      <c r="M53" s="44">
        <f t="shared" si="2"/>
        <v>0</v>
      </c>
    </row>
    <row r="54" spans="1:13" x14ac:dyDescent="0.25">
      <c r="A54" s="50"/>
      <c r="B54" s="34" t="str">
        <f t="shared" si="0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1"/>
        <v>-40</v>
      </c>
      <c r="L54" s="36"/>
      <c r="M54" s="38">
        <f t="shared" si="2"/>
        <v>0</v>
      </c>
    </row>
    <row r="55" spans="1:13" x14ac:dyDescent="0.25">
      <c r="A55" s="49"/>
      <c r="B55" s="40" t="str">
        <f t="shared" si="0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1"/>
        <v>-40</v>
      </c>
      <c r="L55" s="42"/>
      <c r="M55" s="44">
        <f t="shared" si="2"/>
        <v>0</v>
      </c>
    </row>
    <row r="56" spans="1:13" x14ac:dyDescent="0.25">
      <c r="A56" s="50"/>
      <c r="B56" s="34" t="str">
        <f t="shared" si="0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1"/>
        <v>-40</v>
      </c>
      <c r="L56" s="36"/>
      <c r="M56" s="38">
        <f t="shared" si="2"/>
        <v>0</v>
      </c>
    </row>
    <row r="57" spans="1:13" x14ac:dyDescent="0.25">
      <c r="A57" s="49"/>
      <c r="B57" s="40" t="str">
        <f t="shared" si="0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1"/>
        <v>-40</v>
      </c>
      <c r="L57" s="42"/>
      <c r="M57" s="44">
        <f t="shared" si="2"/>
        <v>0</v>
      </c>
    </row>
    <row r="58" spans="1:13" x14ac:dyDescent="0.25">
      <c r="A58" s="50"/>
      <c r="B58" s="34" t="str">
        <f t="shared" si="0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1"/>
        <v>-40</v>
      </c>
      <c r="L58" s="36"/>
      <c r="M58" s="38">
        <f t="shared" si="2"/>
        <v>0</v>
      </c>
    </row>
    <row r="59" spans="1:13" x14ac:dyDescent="0.25">
      <c r="A59" s="49"/>
      <c r="B59" s="40" t="str">
        <f t="shared" si="0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1"/>
        <v>-40</v>
      </c>
      <c r="L59" s="42"/>
      <c r="M59" s="44">
        <f t="shared" si="2"/>
        <v>0</v>
      </c>
    </row>
    <row r="60" spans="1:13" x14ac:dyDescent="0.25">
      <c r="A60" s="50"/>
      <c r="B60" s="34" t="str">
        <f t="shared" si="0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1"/>
        <v>-40</v>
      </c>
      <c r="L60" s="36"/>
      <c r="M60" s="38">
        <f t="shared" si="2"/>
        <v>0</v>
      </c>
    </row>
    <row r="61" spans="1:13" x14ac:dyDescent="0.25">
      <c r="A61" s="49"/>
      <c r="B61" s="40" t="str">
        <f t="shared" si="0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1"/>
        <v>-40</v>
      </c>
      <c r="L61" s="42"/>
      <c r="M61" s="44">
        <f t="shared" si="2"/>
        <v>0</v>
      </c>
    </row>
    <row r="62" spans="1:13" x14ac:dyDescent="0.25">
      <c r="A62" s="50"/>
      <c r="B62" s="34" t="str">
        <f t="shared" si="0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1"/>
        <v>-40</v>
      </c>
      <c r="L62" s="36"/>
      <c r="M62" s="38">
        <f t="shared" si="2"/>
        <v>0</v>
      </c>
    </row>
    <row r="63" spans="1:13" x14ac:dyDescent="0.25">
      <c r="A63" s="49"/>
      <c r="B63" s="40" t="str">
        <f t="shared" si="0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1"/>
        <v>-40</v>
      </c>
      <c r="L63" s="42"/>
      <c r="M63" s="44">
        <f t="shared" si="2"/>
        <v>0</v>
      </c>
    </row>
    <row r="64" spans="1:13" x14ac:dyDescent="0.25">
      <c r="A64" s="50"/>
      <c r="B64" s="34" t="str">
        <f t="shared" si="0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1"/>
        <v>-40</v>
      </c>
      <c r="L64" s="36"/>
      <c r="M64" s="38">
        <f t="shared" si="2"/>
        <v>0</v>
      </c>
    </row>
    <row r="65" spans="1:13" x14ac:dyDescent="0.25">
      <c r="A65" s="49"/>
      <c r="B65" s="40" t="str">
        <f t="shared" si="0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1"/>
        <v>-40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1"/>
        <v>-40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1"/>
        <v>-40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1"/>
        <v>-40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1"/>
        <v>-40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5"/>
        <v>-5</v>
      </c>
      <c r="K70" s="36">
        <f t="shared" ref="K70:K133" si="7">J70*$J$2</f>
        <v>-50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134" si="9">INT(LOG($H$2,2))-ROUNDUP(LOG(H71,2),0)+IF(OR($H$2=1,$H$2=2,$H$2=4,$H$2=8,$H$2=16,$H$2=32,$H$2=64,$H$2=128,$H$2=256),0,1)</f>
        <v>-5</v>
      </c>
      <c r="K71" s="36">
        <f t="shared" si="7"/>
        <v>-50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-5</v>
      </c>
      <c r="K72" s="36">
        <f t="shared" si="7"/>
        <v>-50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-5</v>
      </c>
      <c r="K73" s="36">
        <f t="shared" si="7"/>
        <v>-50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-5</v>
      </c>
      <c r="K74" s="36">
        <f t="shared" si="7"/>
        <v>-50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-5</v>
      </c>
      <c r="K75" s="36">
        <f t="shared" si="7"/>
        <v>-50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-5</v>
      </c>
      <c r="K76" s="36">
        <f t="shared" si="7"/>
        <v>-50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-5</v>
      </c>
      <c r="K77" s="36">
        <f t="shared" si="7"/>
        <v>-50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-5</v>
      </c>
      <c r="K78" s="36">
        <f t="shared" si="7"/>
        <v>-50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-5</v>
      </c>
      <c r="K79" s="36">
        <f t="shared" si="7"/>
        <v>-50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-5</v>
      </c>
      <c r="K80" s="36">
        <f t="shared" si="7"/>
        <v>-50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-5</v>
      </c>
      <c r="K81" s="36">
        <f t="shared" si="7"/>
        <v>-50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-5</v>
      </c>
      <c r="K82" s="36">
        <f t="shared" si="7"/>
        <v>-50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-5</v>
      </c>
      <c r="K83" s="36">
        <f t="shared" si="7"/>
        <v>-50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-5</v>
      </c>
      <c r="K84" s="36">
        <f t="shared" si="7"/>
        <v>-50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-5</v>
      </c>
      <c r="K85" s="36">
        <f t="shared" si="7"/>
        <v>-50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-5</v>
      </c>
      <c r="K86" s="36">
        <f t="shared" si="7"/>
        <v>-50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-5</v>
      </c>
      <c r="K87" s="36">
        <f t="shared" si="7"/>
        <v>-50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-5</v>
      </c>
      <c r="K88" s="36">
        <f t="shared" si="7"/>
        <v>-50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-5</v>
      </c>
      <c r="K89" s="36">
        <f t="shared" si="7"/>
        <v>-50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-5</v>
      </c>
      <c r="K90" s="36">
        <f t="shared" si="7"/>
        <v>-50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-5</v>
      </c>
      <c r="K91" s="36">
        <f t="shared" si="7"/>
        <v>-50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-5</v>
      </c>
      <c r="K92" s="36">
        <f t="shared" si="7"/>
        <v>-50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-5</v>
      </c>
      <c r="K93" s="36">
        <f t="shared" si="7"/>
        <v>-50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-5</v>
      </c>
      <c r="K94" s="36">
        <f t="shared" si="7"/>
        <v>-50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-5</v>
      </c>
      <c r="K95" s="36">
        <f t="shared" si="7"/>
        <v>-50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si="9"/>
        <v>-5</v>
      </c>
      <c r="K96" s="36">
        <f t="shared" si="7"/>
        <v>-50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9"/>
        <v>-5</v>
      </c>
      <c r="K97" s="36">
        <f t="shared" si="7"/>
        <v>-50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9"/>
        <v>-5</v>
      </c>
      <c r="K98" s="36">
        <f t="shared" si="7"/>
        <v>-50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9"/>
        <v>-5</v>
      </c>
      <c r="K99" s="36">
        <f t="shared" si="7"/>
        <v>-50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9"/>
        <v>-5</v>
      </c>
      <c r="K100" s="36">
        <f t="shared" si="7"/>
        <v>-50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9"/>
        <v>-5</v>
      </c>
      <c r="K101" s="36">
        <f t="shared" si="7"/>
        <v>-50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9"/>
        <v>-5</v>
      </c>
      <c r="K102" s="36">
        <f t="shared" si="7"/>
        <v>-50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9"/>
        <v>-5</v>
      </c>
      <c r="K103" s="36">
        <f t="shared" si="7"/>
        <v>-50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9"/>
        <v>-5</v>
      </c>
      <c r="K104" s="36">
        <f t="shared" si="7"/>
        <v>-50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9"/>
        <v>-5</v>
      </c>
      <c r="K105" s="36">
        <f t="shared" si="7"/>
        <v>-50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9"/>
        <v>-5</v>
      </c>
      <c r="K106" s="36">
        <f t="shared" si="7"/>
        <v>-50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9"/>
        <v>-5</v>
      </c>
      <c r="K107" s="36">
        <f t="shared" si="7"/>
        <v>-50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9"/>
        <v>-5</v>
      </c>
      <c r="K108" s="36">
        <f t="shared" si="7"/>
        <v>-50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9"/>
        <v>-5</v>
      </c>
      <c r="K109" s="36">
        <f t="shared" si="7"/>
        <v>-50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9"/>
        <v>-5</v>
      </c>
      <c r="K110" s="36">
        <f t="shared" si="7"/>
        <v>-50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9"/>
        <v>-5</v>
      </c>
      <c r="K111" s="36">
        <f t="shared" si="7"/>
        <v>-50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9"/>
        <v>-5</v>
      </c>
      <c r="K112" s="36">
        <f t="shared" si="7"/>
        <v>-50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9"/>
        <v>-5</v>
      </c>
      <c r="K113" s="36">
        <f t="shared" si="7"/>
        <v>-50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9"/>
        <v>-5</v>
      </c>
      <c r="K114" s="36">
        <f t="shared" si="7"/>
        <v>-50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9"/>
        <v>-5</v>
      </c>
      <c r="K115" s="36">
        <f t="shared" si="7"/>
        <v>-50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9"/>
        <v>-5</v>
      </c>
      <c r="K116" s="36">
        <f t="shared" si="7"/>
        <v>-50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9"/>
        <v>-5</v>
      </c>
      <c r="K117" s="36">
        <f t="shared" si="7"/>
        <v>-50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9"/>
        <v>-5</v>
      </c>
      <c r="K118" s="36">
        <f t="shared" si="7"/>
        <v>-50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9"/>
        <v>-5</v>
      </c>
      <c r="K119" s="36">
        <f t="shared" si="7"/>
        <v>-50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9"/>
        <v>-5</v>
      </c>
      <c r="K120" s="36">
        <f t="shared" si="7"/>
        <v>-50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9"/>
        <v>-5</v>
      </c>
      <c r="K121" s="36">
        <f t="shared" si="7"/>
        <v>-50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9"/>
        <v>-5</v>
      </c>
      <c r="K122" s="36">
        <f t="shared" si="7"/>
        <v>-50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9"/>
        <v>-5</v>
      </c>
      <c r="K123" s="36">
        <f t="shared" si="7"/>
        <v>-50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9"/>
        <v>-5</v>
      </c>
      <c r="K124" s="36">
        <f t="shared" si="7"/>
        <v>-50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9"/>
        <v>-5</v>
      </c>
      <c r="K125" s="36">
        <f t="shared" si="7"/>
        <v>-50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9"/>
        <v>-5</v>
      </c>
      <c r="K126" s="36">
        <f t="shared" si="7"/>
        <v>-50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9"/>
        <v>-5</v>
      </c>
      <c r="K127" s="36">
        <f t="shared" si="7"/>
        <v>-50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9"/>
        <v>-5</v>
      </c>
      <c r="K128" s="36">
        <f t="shared" si="7"/>
        <v>-50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9"/>
        <v>-5</v>
      </c>
      <c r="K129" s="36">
        <f t="shared" si="7"/>
        <v>-50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9"/>
        <v>-5</v>
      </c>
      <c r="K130" s="36">
        <f t="shared" si="7"/>
        <v>-50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9"/>
        <v>-5</v>
      </c>
      <c r="K131" s="36">
        <f t="shared" si="7"/>
        <v>-50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9"/>
        <v>-5</v>
      </c>
      <c r="K132" s="36">
        <f t="shared" si="7"/>
        <v>-50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9"/>
        <v>-5</v>
      </c>
      <c r="K133" s="36">
        <f t="shared" si="7"/>
        <v>-50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>
        <f t="shared" si="9"/>
        <v>-6</v>
      </c>
      <c r="K134" s="36">
        <f t="shared" ref="K134:K197" si="11">J134*$J$2</f>
        <v>-60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>
        <f t="shared" ref="J135:J198" si="13">INT(LOG($H$2,2))-ROUNDUP(LOG(H135,2),0)+IF(OR($H$2=1,$H$2=2,$H$2=4,$H$2=8,$H$2=16,$H$2=32,$H$2=64,$H$2=128,$H$2=256),0,1)</f>
        <v>-6</v>
      </c>
      <c r="K135" s="36">
        <f t="shared" si="11"/>
        <v>-60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>
        <f t="shared" si="13"/>
        <v>-6</v>
      </c>
      <c r="K136" s="36">
        <f t="shared" si="11"/>
        <v>-60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>
        <f t="shared" si="13"/>
        <v>-6</v>
      </c>
      <c r="K137" s="36">
        <f t="shared" si="11"/>
        <v>-60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>
        <f t="shared" si="13"/>
        <v>-6</v>
      </c>
      <c r="K138" s="36">
        <f t="shared" si="11"/>
        <v>-60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>
        <f t="shared" si="13"/>
        <v>-6</v>
      </c>
      <c r="K139" s="36">
        <f t="shared" si="11"/>
        <v>-60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>
        <f t="shared" si="13"/>
        <v>-6</v>
      </c>
      <c r="K140" s="36">
        <f t="shared" si="11"/>
        <v>-60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>
        <f t="shared" si="13"/>
        <v>-6</v>
      </c>
      <c r="K141" s="36">
        <f t="shared" si="11"/>
        <v>-60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>
        <f t="shared" si="13"/>
        <v>-6</v>
      </c>
      <c r="K142" s="36">
        <f t="shared" si="11"/>
        <v>-60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>
        <f t="shared" si="13"/>
        <v>-6</v>
      </c>
      <c r="K143" s="36">
        <f t="shared" si="11"/>
        <v>-60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>
        <f t="shared" si="13"/>
        <v>-6</v>
      </c>
      <c r="K144" s="36">
        <f t="shared" si="11"/>
        <v>-60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>
        <f t="shared" si="13"/>
        <v>-6</v>
      </c>
      <c r="K145" s="36">
        <f t="shared" si="11"/>
        <v>-60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>
        <f t="shared" si="13"/>
        <v>-6</v>
      </c>
      <c r="K146" s="36">
        <f t="shared" si="11"/>
        <v>-60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>
        <f t="shared" si="13"/>
        <v>-6</v>
      </c>
      <c r="K147" s="36">
        <f t="shared" si="11"/>
        <v>-60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>
        <f t="shared" si="13"/>
        <v>-6</v>
      </c>
      <c r="K148" s="36">
        <f t="shared" si="11"/>
        <v>-60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>
        <f t="shared" si="13"/>
        <v>-6</v>
      </c>
      <c r="K149" s="36">
        <f t="shared" si="11"/>
        <v>-60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>
        <f t="shared" si="13"/>
        <v>-6</v>
      </c>
      <c r="K150" s="36">
        <f t="shared" si="11"/>
        <v>-60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>
        <f t="shared" si="13"/>
        <v>-6</v>
      </c>
      <c r="K151" s="36">
        <f t="shared" si="11"/>
        <v>-60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>
        <f t="shared" si="13"/>
        <v>-6</v>
      </c>
      <c r="K152" s="36">
        <f t="shared" si="11"/>
        <v>-60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>
        <f t="shared" si="13"/>
        <v>-6</v>
      </c>
      <c r="K153" s="36">
        <f t="shared" si="11"/>
        <v>-60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>
        <f t="shared" si="13"/>
        <v>-6</v>
      </c>
      <c r="K154" s="36">
        <f t="shared" si="11"/>
        <v>-60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>
        <f t="shared" si="13"/>
        <v>-6</v>
      </c>
      <c r="K155" s="36">
        <f t="shared" si="11"/>
        <v>-60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>
        <f t="shared" si="13"/>
        <v>-6</v>
      </c>
      <c r="K156" s="36">
        <f t="shared" si="11"/>
        <v>-60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>
        <f t="shared" si="13"/>
        <v>-6</v>
      </c>
      <c r="K157" s="36">
        <f t="shared" si="11"/>
        <v>-60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>
        <f t="shared" si="13"/>
        <v>-6</v>
      </c>
      <c r="K158" s="36">
        <f t="shared" si="11"/>
        <v>-60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>
        <f t="shared" si="13"/>
        <v>-6</v>
      </c>
      <c r="K159" s="36">
        <f t="shared" si="11"/>
        <v>-60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>
        <f t="shared" si="13"/>
        <v>-6</v>
      </c>
      <c r="K160" s="36">
        <f t="shared" si="11"/>
        <v>-60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>
        <f t="shared" si="13"/>
        <v>-6</v>
      </c>
      <c r="K161" s="36">
        <f t="shared" si="11"/>
        <v>-60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>
        <f t="shared" si="13"/>
        <v>-6</v>
      </c>
      <c r="K162" s="36">
        <f t="shared" si="11"/>
        <v>-60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>
        <f t="shared" si="13"/>
        <v>-6</v>
      </c>
      <c r="K163" s="36">
        <f t="shared" si="11"/>
        <v>-60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>
        <f t="shared" si="13"/>
        <v>-6</v>
      </c>
      <c r="K164" s="36">
        <f t="shared" si="11"/>
        <v>-60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>
        <f t="shared" si="13"/>
        <v>-6</v>
      </c>
      <c r="K165" s="36">
        <f t="shared" si="11"/>
        <v>-60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>
        <f t="shared" si="13"/>
        <v>-6</v>
      </c>
      <c r="K166" s="36">
        <f t="shared" si="11"/>
        <v>-60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>
        <f t="shared" si="13"/>
        <v>-6</v>
      </c>
      <c r="K167" s="36">
        <f t="shared" si="11"/>
        <v>-60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>
        <f t="shared" si="13"/>
        <v>-6</v>
      </c>
      <c r="K168" s="36">
        <f t="shared" si="11"/>
        <v>-60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>
        <f t="shared" si="13"/>
        <v>-6</v>
      </c>
      <c r="K169" s="36">
        <f t="shared" si="11"/>
        <v>-60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>
        <f t="shared" si="13"/>
        <v>-6</v>
      </c>
      <c r="K170" s="36">
        <f t="shared" si="11"/>
        <v>-60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>
        <f t="shared" si="13"/>
        <v>-6</v>
      </c>
      <c r="K171" s="36">
        <f t="shared" si="11"/>
        <v>-60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>
        <f t="shared" si="13"/>
        <v>-6</v>
      </c>
      <c r="K172" s="36">
        <f t="shared" si="11"/>
        <v>-60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>
        <f t="shared" si="13"/>
        <v>-6</v>
      </c>
      <c r="K173" s="36">
        <f t="shared" si="11"/>
        <v>-60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>
        <f t="shared" si="13"/>
        <v>-6</v>
      </c>
      <c r="K174" s="36">
        <f t="shared" si="11"/>
        <v>-60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>
        <f t="shared" si="13"/>
        <v>-6</v>
      </c>
      <c r="K175" s="36">
        <f t="shared" si="11"/>
        <v>-60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>
        <f t="shared" si="13"/>
        <v>-6</v>
      </c>
      <c r="K176" s="36">
        <f t="shared" si="11"/>
        <v>-60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>
        <f t="shared" si="13"/>
        <v>-6</v>
      </c>
      <c r="K177" s="36">
        <f t="shared" si="11"/>
        <v>-60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>
        <f t="shared" si="13"/>
        <v>-6</v>
      </c>
      <c r="K178" s="36">
        <f t="shared" si="11"/>
        <v>-60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>
        <f t="shared" si="13"/>
        <v>-6</v>
      </c>
      <c r="K179" s="36">
        <f t="shared" si="11"/>
        <v>-60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>
        <f t="shared" si="13"/>
        <v>-6</v>
      </c>
      <c r="K180" s="36">
        <f t="shared" si="11"/>
        <v>-60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>
        <f t="shared" si="13"/>
        <v>-6</v>
      </c>
      <c r="K181" s="36">
        <f t="shared" si="11"/>
        <v>-60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>
        <f t="shared" si="13"/>
        <v>-6</v>
      </c>
      <c r="K182" s="36">
        <f t="shared" si="11"/>
        <v>-60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>
        <f t="shared" si="13"/>
        <v>-6</v>
      </c>
      <c r="K183" s="36">
        <f t="shared" si="11"/>
        <v>-60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>
        <f t="shared" si="13"/>
        <v>-6</v>
      </c>
      <c r="K184" s="36">
        <f t="shared" si="11"/>
        <v>-60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>
        <f t="shared" si="13"/>
        <v>-6</v>
      </c>
      <c r="K185" s="36">
        <f t="shared" si="11"/>
        <v>-60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>
        <f t="shared" si="13"/>
        <v>-6</v>
      </c>
      <c r="K186" s="36">
        <f t="shared" si="11"/>
        <v>-60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>
        <f t="shared" si="13"/>
        <v>-6</v>
      </c>
      <c r="K187" s="36">
        <f t="shared" si="11"/>
        <v>-60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>
        <f t="shared" si="13"/>
        <v>-6</v>
      </c>
      <c r="K188" s="36">
        <f t="shared" si="11"/>
        <v>-60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>
        <f t="shared" si="13"/>
        <v>-6</v>
      </c>
      <c r="K189" s="36">
        <f t="shared" si="11"/>
        <v>-60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>
        <f t="shared" si="13"/>
        <v>-6</v>
      </c>
      <c r="K190" s="36">
        <f t="shared" si="11"/>
        <v>-60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>
        <f t="shared" si="13"/>
        <v>-6</v>
      </c>
      <c r="K191" s="36">
        <f t="shared" si="11"/>
        <v>-60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>
        <f t="shared" si="13"/>
        <v>-6</v>
      </c>
      <c r="K192" s="36">
        <f t="shared" si="11"/>
        <v>-60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>
        <f t="shared" si="13"/>
        <v>-6</v>
      </c>
      <c r="K193" s="36">
        <f t="shared" si="11"/>
        <v>-60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>
        <f t="shared" si="13"/>
        <v>-6</v>
      </c>
      <c r="K194" s="36">
        <f t="shared" si="11"/>
        <v>-60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>
        <f t="shared" si="13"/>
        <v>-6</v>
      </c>
      <c r="K195" s="36">
        <f t="shared" si="11"/>
        <v>-60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>
        <f t="shared" si="13"/>
        <v>-6</v>
      </c>
      <c r="K196" s="36">
        <f t="shared" si="11"/>
        <v>-60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>
        <f t="shared" si="13"/>
        <v>-6</v>
      </c>
      <c r="K197" s="36">
        <f t="shared" si="11"/>
        <v>-60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>
        <f t="shared" si="13"/>
        <v>-6</v>
      </c>
      <c r="K198" s="36">
        <f t="shared" ref="K198:K261" si="15">J198*$J$2</f>
        <v>-60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>
        <f t="shared" ref="J199:J262" si="17">INT(LOG($H$2,2))-ROUNDUP(LOG(H199,2),0)+IF(OR($H$2=1,$H$2=2,$H$2=4,$H$2=8,$H$2=16,$H$2=32,$H$2=64,$H$2=128,$H$2=256),0,1)</f>
        <v>-6</v>
      </c>
      <c r="K199" s="36">
        <f t="shared" si="15"/>
        <v>-60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>
        <f t="shared" si="17"/>
        <v>-6</v>
      </c>
      <c r="K200" s="36">
        <f t="shared" si="15"/>
        <v>-60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>
        <f t="shared" si="17"/>
        <v>-6</v>
      </c>
      <c r="K201" s="36">
        <f t="shared" si="15"/>
        <v>-60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>
        <f t="shared" si="17"/>
        <v>-6</v>
      </c>
      <c r="K202" s="36">
        <f t="shared" si="15"/>
        <v>-60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>
        <f t="shared" si="17"/>
        <v>-6</v>
      </c>
      <c r="K203" s="36">
        <f t="shared" si="15"/>
        <v>-60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>
        <f t="shared" si="17"/>
        <v>-6</v>
      </c>
      <c r="K204" s="36">
        <f t="shared" si="15"/>
        <v>-60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>
        <f t="shared" si="17"/>
        <v>-6</v>
      </c>
      <c r="K205" s="36">
        <f t="shared" si="15"/>
        <v>-60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>
        <f t="shared" si="17"/>
        <v>-6</v>
      </c>
      <c r="K206" s="36">
        <f t="shared" si="15"/>
        <v>-60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>
        <f t="shared" si="17"/>
        <v>-6</v>
      </c>
      <c r="K207" s="36">
        <f t="shared" si="15"/>
        <v>-60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>
        <f t="shared" si="17"/>
        <v>-6</v>
      </c>
      <c r="K208" s="36">
        <f t="shared" si="15"/>
        <v>-60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>
        <f t="shared" si="17"/>
        <v>-6</v>
      </c>
      <c r="K209" s="36">
        <f t="shared" si="15"/>
        <v>-60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>
        <f t="shared" si="17"/>
        <v>-6</v>
      </c>
      <c r="K210" s="36">
        <f t="shared" si="15"/>
        <v>-60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>
        <f t="shared" si="17"/>
        <v>-6</v>
      </c>
      <c r="K211" s="36">
        <f t="shared" si="15"/>
        <v>-60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>
        <f t="shared" si="17"/>
        <v>-6</v>
      </c>
      <c r="K212" s="36">
        <f t="shared" si="15"/>
        <v>-60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>
        <f t="shared" si="17"/>
        <v>-6</v>
      </c>
      <c r="K213" s="36">
        <f t="shared" si="15"/>
        <v>-60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>
        <f t="shared" si="17"/>
        <v>-6</v>
      </c>
      <c r="K214" s="36">
        <f t="shared" si="15"/>
        <v>-60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>
        <f t="shared" si="17"/>
        <v>-6</v>
      </c>
      <c r="K215" s="36">
        <f t="shared" si="15"/>
        <v>-60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>
        <f t="shared" si="17"/>
        <v>-6</v>
      </c>
      <c r="K216" s="36">
        <f t="shared" si="15"/>
        <v>-60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>
        <f t="shared" si="17"/>
        <v>-6</v>
      </c>
      <c r="K217" s="36">
        <f t="shared" si="15"/>
        <v>-60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>
        <f t="shared" si="17"/>
        <v>-6</v>
      </c>
      <c r="K218" s="36">
        <f t="shared" si="15"/>
        <v>-60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>
        <f t="shared" si="17"/>
        <v>-6</v>
      </c>
      <c r="K219" s="36">
        <f t="shared" si="15"/>
        <v>-60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>
        <f t="shared" si="17"/>
        <v>-6</v>
      </c>
      <c r="K220" s="36">
        <f t="shared" si="15"/>
        <v>-60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>
        <f t="shared" si="17"/>
        <v>-6</v>
      </c>
      <c r="K221" s="36">
        <f t="shared" si="15"/>
        <v>-60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>
        <f t="shared" si="17"/>
        <v>-6</v>
      </c>
      <c r="K222" s="36">
        <f t="shared" si="15"/>
        <v>-60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>
        <f t="shared" si="17"/>
        <v>-6</v>
      </c>
      <c r="K223" s="36">
        <f t="shared" si="15"/>
        <v>-60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>
        <f t="shared" si="17"/>
        <v>-6</v>
      </c>
      <c r="K224" s="36">
        <f t="shared" si="15"/>
        <v>-60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>
        <f t="shared" si="17"/>
        <v>-6</v>
      </c>
      <c r="K225" s="36">
        <f t="shared" si="15"/>
        <v>-60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>
        <f t="shared" si="17"/>
        <v>-6</v>
      </c>
      <c r="K226" s="36">
        <f t="shared" si="15"/>
        <v>-60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>
        <f t="shared" si="17"/>
        <v>-6</v>
      </c>
      <c r="K227" s="36">
        <f t="shared" si="15"/>
        <v>-60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>
        <f t="shared" si="17"/>
        <v>-6</v>
      </c>
      <c r="K228" s="36">
        <f t="shared" si="15"/>
        <v>-60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>
        <f t="shared" si="17"/>
        <v>-6</v>
      </c>
      <c r="K229" s="36">
        <f t="shared" si="15"/>
        <v>-60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>
        <f t="shared" si="17"/>
        <v>-6</v>
      </c>
      <c r="K230" s="36">
        <f t="shared" si="15"/>
        <v>-60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>
        <f t="shared" si="17"/>
        <v>-6</v>
      </c>
      <c r="K231" s="36">
        <f t="shared" si="15"/>
        <v>-60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>
        <f t="shared" si="17"/>
        <v>-6</v>
      </c>
      <c r="K232" s="36">
        <f t="shared" si="15"/>
        <v>-60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>
        <f t="shared" si="17"/>
        <v>-6</v>
      </c>
      <c r="K233" s="36">
        <f t="shared" si="15"/>
        <v>-60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>
        <f t="shared" si="17"/>
        <v>-6</v>
      </c>
      <c r="K234" s="36">
        <f t="shared" si="15"/>
        <v>-60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>
        <f t="shared" si="17"/>
        <v>-6</v>
      </c>
      <c r="K235" s="36">
        <f t="shared" si="15"/>
        <v>-60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>
        <f t="shared" si="17"/>
        <v>-6</v>
      </c>
      <c r="K236" s="36">
        <f t="shared" si="15"/>
        <v>-60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>
        <f t="shared" si="17"/>
        <v>-6</v>
      </c>
      <c r="K237" s="36">
        <f t="shared" si="15"/>
        <v>-60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>
        <f t="shared" si="17"/>
        <v>-6</v>
      </c>
      <c r="K238" s="36">
        <f t="shared" si="15"/>
        <v>-60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>
        <f t="shared" si="17"/>
        <v>-6</v>
      </c>
      <c r="K239" s="36">
        <f t="shared" si="15"/>
        <v>-60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>
        <f t="shared" si="17"/>
        <v>-6</v>
      </c>
      <c r="K240" s="36">
        <f t="shared" si="15"/>
        <v>-60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>
        <f t="shared" si="17"/>
        <v>-6</v>
      </c>
      <c r="K241" s="36">
        <f t="shared" si="15"/>
        <v>-60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>
        <f t="shared" si="17"/>
        <v>-6</v>
      </c>
      <c r="K242" s="36">
        <f t="shared" si="15"/>
        <v>-60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>
        <f t="shared" si="17"/>
        <v>-6</v>
      </c>
      <c r="K243" s="36">
        <f t="shared" si="15"/>
        <v>-60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>
        <f t="shared" si="17"/>
        <v>-6</v>
      </c>
      <c r="K244" s="36">
        <f t="shared" si="15"/>
        <v>-60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>
        <f t="shared" si="17"/>
        <v>-6</v>
      </c>
      <c r="K245" s="36">
        <f t="shared" si="15"/>
        <v>-60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>
        <f t="shared" si="17"/>
        <v>-6</v>
      </c>
      <c r="K246" s="36">
        <f t="shared" si="15"/>
        <v>-60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>
        <f t="shared" si="17"/>
        <v>-6</v>
      </c>
      <c r="K247" s="36">
        <f t="shared" si="15"/>
        <v>-60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>
        <f t="shared" si="17"/>
        <v>-6</v>
      </c>
      <c r="K248" s="36">
        <f t="shared" si="15"/>
        <v>-60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>
        <f t="shared" si="17"/>
        <v>-6</v>
      </c>
      <c r="K249" s="36">
        <f t="shared" si="15"/>
        <v>-60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>
        <f t="shared" si="17"/>
        <v>-6</v>
      </c>
      <c r="K250" s="36">
        <f t="shared" si="15"/>
        <v>-60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>
        <f t="shared" si="17"/>
        <v>-6</v>
      </c>
      <c r="K251" s="36">
        <f t="shared" si="15"/>
        <v>-60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>
        <f t="shared" si="17"/>
        <v>-6</v>
      </c>
      <c r="K252" s="36">
        <f t="shared" si="15"/>
        <v>-60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>
        <f t="shared" si="17"/>
        <v>-6</v>
      </c>
      <c r="K253" s="36">
        <f t="shared" si="15"/>
        <v>-60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>
        <f t="shared" si="17"/>
        <v>-6</v>
      </c>
      <c r="K254" s="36">
        <f t="shared" si="15"/>
        <v>-60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>
        <f t="shared" si="17"/>
        <v>-6</v>
      </c>
      <c r="K255" s="36">
        <f t="shared" si="15"/>
        <v>-60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>
        <f t="shared" si="17"/>
        <v>-6</v>
      </c>
      <c r="K256" s="36">
        <f t="shared" si="15"/>
        <v>-60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>
        <f t="shared" si="17"/>
        <v>-6</v>
      </c>
      <c r="K257" s="36">
        <f t="shared" si="15"/>
        <v>-60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>
        <f t="shared" si="17"/>
        <v>-6</v>
      </c>
      <c r="K258" s="36">
        <f t="shared" si="15"/>
        <v>-60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>
        <f t="shared" si="17"/>
        <v>-6</v>
      </c>
      <c r="K259" s="36">
        <f t="shared" si="15"/>
        <v>-60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>
        <f t="shared" si="17"/>
        <v>-6</v>
      </c>
      <c r="K260" s="36">
        <f t="shared" si="15"/>
        <v>-60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>
        <f t="shared" si="17"/>
        <v>-6</v>
      </c>
      <c r="K261" s="36">
        <f t="shared" si="15"/>
        <v>-60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>
        <f t="shared" si="17"/>
        <v>-7</v>
      </c>
      <c r="K262" s="36">
        <f t="shared" ref="K262:K305" si="19">J262*$J$2</f>
        <v>-70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>
        <f t="shared" ref="J263:J326" si="21">INT(LOG($H$2,2))-ROUNDUP(LOG(H263,2),0)+IF(OR($H$2=1,$H$2=2,$H$2=4,$H$2=8,$H$2=16,$H$2=32,$H$2=64,$H$2=128,$H$2=256),0,1)</f>
        <v>-7</v>
      </c>
      <c r="K263" s="36">
        <f t="shared" si="19"/>
        <v>-70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>
        <f t="shared" si="21"/>
        <v>-7</v>
      </c>
      <c r="K264" s="36">
        <f t="shared" si="19"/>
        <v>-70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>
        <f t="shared" si="21"/>
        <v>-7</v>
      </c>
      <c r="K265" s="36">
        <f t="shared" si="19"/>
        <v>-70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>
        <f t="shared" si="21"/>
        <v>-7</v>
      </c>
      <c r="K266" s="36">
        <f t="shared" si="19"/>
        <v>-70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>
        <f t="shared" si="21"/>
        <v>-7</v>
      </c>
      <c r="K267" s="36">
        <f t="shared" si="19"/>
        <v>-70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>
        <f t="shared" si="21"/>
        <v>-7</v>
      </c>
      <c r="K268" s="36">
        <f t="shared" si="19"/>
        <v>-70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>
        <f t="shared" si="21"/>
        <v>-7</v>
      </c>
      <c r="K269" s="36">
        <f t="shared" si="19"/>
        <v>-70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>
        <f t="shared" si="21"/>
        <v>-7</v>
      </c>
      <c r="K270" s="36">
        <f t="shared" si="19"/>
        <v>-70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>
        <f t="shared" si="21"/>
        <v>-7</v>
      </c>
      <c r="K271" s="36">
        <f t="shared" si="19"/>
        <v>-70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>
        <f t="shared" si="21"/>
        <v>-7</v>
      </c>
      <c r="K272" s="36">
        <f t="shared" si="19"/>
        <v>-70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>
        <f t="shared" si="21"/>
        <v>-7</v>
      </c>
      <c r="K273" s="36">
        <f t="shared" si="19"/>
        <v>-70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>
        <f t="shared" si="21"/>
        <v>-7</v>
      </c>
      <c r="K274" s="36">
        <f t="shared" si="19"/>
        <v>-70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>
        <f t="shared" si="21"/>
        <v>-7</v>
      </c>
      <c r="K275" s="36">
        <f t="shared" si="19"/>
        <v>-70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>
        <f t="shared" si="21"/>
        <v>-7</v>
      </c>
      <c r="K276" s="36">
        <f t="shared" si="19"/>
        <v>-70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>
        <f t="shared" si="21"/>
        <v>-7</v>
      </c>
      <c r="K277" s="36">
        <f t="shared" si="19"/>
        <v>-70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>
        <f t="shared" si="21"/>
        <v>-7</v>
      </c>
      <c r="K278" s="36">
        <f t="shared" si="19"/>
        <v>-70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>
        <f t="shared" si="21"/>
        <v>-7</v>
      </c>
      <c r="K279" s="36">
        <f t="shared" si="19"/>
        <v>-70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>
        <f t="shared" si="21"/>
        <v>-7</v>
      </c>
      <c r="K280" s="36">
        <f t="shared" si="19"/>
        <v>-70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>
        <f t="shared" si="21"/>
        <v>-7</v>
      </c>
      <c r="K281" s="36">
        <f t="shared" si="19"/>
        <v>-70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>
        <f t="shared" si="21"/>
        <v>-7</v>
      </c>
      <c r="K282" s="36">
        <f t="shared" si="19"/>
        <v>-70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>
        <f t="shared" si="21"/>
        <v>-7</v>
      </c>
      <c r="K283" s="36">
        <f t="shared" si="19"/>
        <v>-70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>
        <f t="shared" si="21"/>
        <v>-7</v>
      </c>
      <c r="K284" s="36">
        <f t="shared" si="19"/>
        <v>-70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>
        <f t="shared" si="21"/>
        <v>-7</v>
      </c>
      <c r="K285" s="36">
        <f t="shared" si="19"/>
        <v>-70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>
        <f t="shared" si="21"/>
        <v>-7</v>
      </c>
      <c r="K286" s="36">
        <f t="shared" si="19"/>
        <v>-70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>
        <f t="shared" si="21"/>
        <v>-7</v>
      </c>
      <c r="K287" s="36">
        <f t="shared" si="19"/>
        <v>-70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>
        <f t="shared" si="21"/>
        <v>-7</v>
      </c>
      <c r="K288" s="36">
        <f t="shared" si="19"/>
        <v>-70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>
        <f t="shared" si="21"/>
        <v>-7</v>
      </c>
      <c r="K289" s="36">
        <f t="shared" si="19"/>
        <v>-70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>
        <f t="shared" si="21"/>
        <v>-7</v>
      </c>
      <c r="K290" s="36">
        <f t="shared" si="19"/>
        <v>-70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>
        <f t="shared" si="21"/>
        <v>-7</v>
      </c>
      <c r="K291" s="36">
        <f t="shared" si="19"/>
        <v>-70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>
        <f t="shared" si="21"/>
        <v>-7</v>
      </c>
      <c r="K292" s="36">
        <f t="shared" si="19"/>
        <v>-70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>
        <f t="shared" si="21"/>
        <v>-7</v>
      </c>
      <c r="K293" s="36">
        <f t="shared" si="19"/>
        <v>-70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>
        <f t="shared" si="21"/>
        <v>-7</v>
      </c>
      <c r="K294" s="36">
        <f t="shared" si="19"/>
        <v>-70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>
        <f t="shared" si="21"/>
        <v>-7</v>
      </c>
      <c r="K295" s="36">
        <f t="shared" si="19"/>
        <v>-70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>
        <f t="shared" si="21"/>
        <v>-7</v>
      </c>
      <c r="K296" s="36">
        <f t="shared" si="19"/>
        <v>-70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>
        <f t="shared" si="21"/>
        <v>-7</v>
      </c>
      <c r="K297" s="36">
        <f t="shared" si="19"/>
        <v>-70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>
        <f t="shared" si="21"/>
        <v>-7</v>
      </c>
      <c r="K298" s="36">
        <f t="shared" si="19"/>
        <v>-70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>
        <f t="shared" si="21"/>
        <v>-7</v>
      </c>
      <c r="K299" s="36">
        <f t="shared" si="19"/>
        <v>-70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>
        <f t="shared" si="21"/>
        <v>-7</v>
      </c>
      <c r="K300" s="36">
        <f t="shared" si="19"/>
        <v>-70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>
        <f t="shared" si="21"/>
        <v>-7</v>
      </c>
      <c r="K301" s="36">
        <f t="shared" si="19"/>
        <v>-70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>
        <f t="shared" si="21"/>
        <v>-7</v>
      </c>
      <c r="K302" s="36">
        <f t="shared" si="19"/>
        <v>-70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>
        <f t="shared" si="21"/>
        <v>-7</v>
      </c>
      <c r="K303" s="36">
        <f t="shared" si="19"/>
        <v>-70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>
        <f t="shared" si="21"/>
        <v>-7</v>
      </c>
      <c r="K304" s="36">
        <f t="shared" si="19"/>
        <v>-70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>
        <f t="shared" si="21"/>
        <v>-7</v>
      </c>
      <c r="K305" s="36">
        <f t="shared" si="19"/>
        <v>-70</v>
      </c>
      <c r="L305" s="36"/>
      <c r="M305" s="38">
        <f t="shared" si="20"/>
        <v>0</v>
      </c>
    </row>
    <row r="306" spans="1:16" x14ac:dyDescent="0.25">
      <c r="A306" s="59"/>
      <c r="J306" s="60" t="e">
        <f t="shared" si="21"/>
        <v>#NUM!</v>
      </c>
    </row>
    <row r="307" spans="1:16" x14ac:dyDescent="0.25">
      <c r="J307" s="60" t="e">
        <f t="shared" si="21"/>
        <v>#NUM!</v>
      </c>
    </row>
    <row r="308" spans="1:16" x14ac:dyDescent="0.25">
      <c r="J308" s="60" t="e">
        <f t="shared" si="21"/>
        <v>#NUM!</v>
      </c>
    </row>
    <row r="309" spans="1:16" x14ac:dyDescent="0.25">
      <c r="J309" s="60" t="e">
        <f t="shared" si="21"/>
        <v>#NUM!</v>
      </c>
    </row>
    <row r="310" spans="1:16" x14ac:dyDescent="0.25">
      <c r="J310" s="60" t="e">
        <f t="shared" si="21"/>
        <v>#NUM!</v>
      </c>
    </row>
    <row r="311" spans="1:16" x14ac:dyDescent="0.25">
      <c r="J311" s="60" t="e">
        <f t="shared" si="21"/>
        <v>#NUM!</v>
      </c>
    </row>
    <row r="312" spans="1:16" x14ac:dyDescent="0.25">
      <c r="J312" s="60" t="e">
        <f t="shared" si="21"/>
        <v>#NUM!</v>
      </c>
    </row>
    <row r="313" spans="1:16" x14ac:dyDescent="0.25">
      <c r="J313" s="60" t="e">
        <f t="shared" si="21"/>
        <v>#NUM!</v>
      </c>
    </row>
    <row r="314" spans="1:16" x14ac:dyDescent="0.25">
      <c r="J314" s="60" t="e">
        <f t="shared" si="21"/>
        <v>#NUM!</v>
      </c>
      <c r="L314" s="62"/>
      <c r="P314" s="52"/>
    </row>
    <row r="315" spans="1:16" x14ac:dyDescent="0.25">
      <c r="J315" s="60" t="e">
        <f t="shared" si="21"/>
        <v>#NUM!</v>
      </c>
      <c r="L315" s="62"/>
      <c r="P315" s="52"/>
    </row>
    <row r="316" spans="1:16" x14ac:dyDescent="0.25">
      <c r="J316" s="60" t="e">
        <f t="shared" si="21"/>
        <v>#NUM!</v>
      </c>
      <c r="L316" s="62"/>
      <c r="P316" s="52"/>
    </row>
    <row r="317" spans="1:16" x14ac:dyDescent="0.25">
      <c r="J317" s="60" t="e">
        <f t="shared" si="21"/>
        <v>#NUM!</v>
      </c>
      <c r="L317" s="62"/>
      <c r="P317" s="52"/>
    </row>
    <row r="318" spans="1:16" x14ac:dyDescent="0.25">
      <c r="J318" s="60" t="e">
        <f t="shared" si="21"/>
        <v>#NUM!</v>
      </c>
    </row>
    <row r="319" spans="1:16" x14ac:dyDescent="0.25">
      <c r="J319" s="60" t="e">
        <f t="shared" si="21"/>
        <v>#NUM!</v>
      </c>
    </row>
    <row r="320" spans="1:16" x14ac:dyDescent="0.25">
      <c r="J320" s="60" t="e">
        <f t="shared" si="21"/>
        <v>#NUM!</v>
      </c>
    </row>
    <row r="321" spans="10:10" x14ac:dyDescent="0.25">
      <c r="J321" s="60" t="e">
        <f t="shared" si="21"/>
        <v>#NUM!</v>
      </c>
    </row>
    <row r="322" spans="10:10" x14ac:dyDescent="0.25">
      <c r="J322" s="60" t="e">
        <f t="shared" si="21"/>
        <v>#NUM!</v>
      </c>
    </row>
    <row r="323" spans="10:10" x14ac:dyDescent="0.25">
      <c r="J323" s="60" t="e">
        <f t="shared" si="21"/>
        <v>#NUM!</v>
      </c>
    </row>
    <row r="324" spans="10:10" x14ac:dyDescent="0.25">
      <c r="J324" s="60" t="e">
        <f t="shared" si="21"/>
        <v>#NUM!</v>
      </c>
    </row>
    <row r="325" spans="10:10" x14ac:dyDescent="0.25">
      <c r="J325" s="60" t="e">
        <f t="shared" si="21"/>
        <v>#NUM!</v>
      </c>
    </row>
    <row r="326" spans="10:10" x14ac:dyDescent="0.25">
      <c r="J326" s="60" t="e">
        <f t="shared" si="21"/>
        <v>#NUM!</v>
      </c>
    </row>
    <row r="327" spans="10:10" x14ac:dyDescent="0.25">
      <c r="J327" s="60" t="e">
        <f t="shared" ref="J327:J390" si="22">INT(LOG($H$2,2))-ROUNDUP(LOG(H327,2),0)+IF(OR($H$2=1,$H$2=2,$H$2=4,$H$2=8,$H$2=16,$H$2=32,$H$2=64,$H$2=128,$H$2=256),0,1)</f>
        <v>#NUM!</v>
      </c>
    </row>
    <row r="328" spans="10:10" x14ac:dyDescent="0.25">
      <c r="J328" s="60" t="e">
        <f t="shared" si="22"/>
        <v>#NUM!</v>
      </c>
    </row>
    <row r="329" spans="10:10" x14ac:dyDescent="0.25">
      <c r="J329" s="60" t="e">
        <f t="shared" si="22"/>
        <v>#NUM!</v>
      </c>
    </row>
    <row r="330" spans="10:10" x14ac:dyDescent="0.25">
      <c r="J330" s="60" t="e">
        <f t="shared" si="22"/>
        <v>#NUM!</v>
      </c>
    </row>
    <row r="331" spans="10:10" x14ac:dyDescent="0.25">
      <c r="J331" s="60" t="e">
        <f t="shared" si="22"/>
        <v>#NUM!</v>
      </c>
    </row>
    <row r="332" spans="10:10" x14ac:dyDescent="0.25">
      <c r="J332" s="60" t="e">
        <f t="shared" si="22"/>
        <v>#NUM!</v>
      </c>
    </row>
    <row r="333" spans="10:10" x14ac:dyDescent="0.25">
      <c r="J333" s="60" t="e">
        <f t="shared" si="22"/>
        <v>#NUM!</v>
      </c>
    </row>
    <row r="334" spans="10:10" x14ac:dyDescent="0.25">
      <c r="J334" s="60" t="e">
        <f t="shared" si="22"/>
        <v>#NUM!</v>
      </c>
    </row>
    <row r="335" spans="10:10" x14ac:dyDescent="0.25">
      <c r="J335" s="60" t="e">
        <f t="shared" si="22"/>
        <v>#NUM!</v>
      </c>
    </row>
    <row r="336" spans="10:10" x14ac:dyDescent="0.25">
      <c r="J336" s="60" t="e">
        <f t="shared" si="22"/>
        <v>#NUM!</v>
      </c>
    </row>
    <row r="337" spans="10:10" x14ac:dyDescent="0.25">
      <c r="J337" s="60" t="e">
        <f t="shared" si="22"/>
        <v>#NUM!</v>
      </c>
    </row>
    <row r="338" spans="10:10" x14ac:dyDescent="0.25">
      <c r="J338" s="60" t="e">
        <f t="shared" si="22"/>
        <v>#NUM!</v>
      </c>
    </row>
    <row r="339" spans="10:10" x14ac:dyDescent="0.25">
      <c r="J339" s="60" t="e">
        <f t="shared" si="22"/>
        <v>#NUM!</v>
      </c>
    </row>
    <row r="340" spans="10:10" x14ac:dyDescent="0.25">
      <c r="J340" s="60" t="e">
        <f t="shared" si="22"/>
        <v>#NUM!</v>
      </c>
    </row>
    <row r="341" spans="10:10" x14ac:dyDescent="0.25">
      <c r="J341" s="60" t="e">
        <f t="shared" si="22"/>
        <v>#NUM!</v>
      </c>
    </row>
    <row r="342" spans="10:10" x14ac:dyDescent="0.25">
      <c r="J342" s="60" t="e">
        <f t="shared" si="22"/>
        <v>#NUM!</v>
      </c>
    </row>
    <row r="343" spans="10:10" x14ac:dyDescent="0.25">
      <c r="J343" s="60" t="e">
        <f t="shared" si="22"/>
        <v>#NUM!</v>
      </c>
    </row>
    <row r="344" spans="10:10" x14ac:dyDescent="0.25">
      <c r="J344" s="60" t="e">
        <f t="shared" si="22"/>
        <v>#NUM!</v>
      </c>
    </row>
    <row r="345" spans="10:10" x14ac:dyDescent="0.25">
      <c r="J345" s="60" t="e">
        <f t="shared" si="22"/>
        <v>#NUM!</v>
      </c>
    </row>
    <row r="346" spans="10:10" x14ac:dyDescent="0.25">
      <c r="J346" s="60" t="e">
        <f t="shared" si="22"/>
        <v>#NUM!</v>
      </c>
    </row>
    <row r="347" spans="10:10" x14ac:dyDescent="0.25">
      <c r="J347" s="60" t="e">
        <f t="shared" si="22"/>
        <v>#NUM!</v>
      </c>
    </row>
    <row r="348" spans="10:10" x14ac:dyDescent="0.25">
      <c r="J348" s="60" t="e">
        <f t="shared" si="22"/>
        <v>#NUM!</v>
      </c>
    </row>
    <row r="349" spans="10:10" x14ac:dyDescent="0.25">
      <c r="J349" s="60" t="e">
        <f t="shared" si="22"/>
        <v>#NUM!</v>
      </c>
    </row>
    <row r="350" spans="10:10" x14ac:dyDescent="0.25">
      <c r="J350" s="60" t="e">
        <f t="shared" si="22"/>
        <v>#NUM!</v>
      </c>
    </row>
    <row r="351" spans="10:10" x14ac:dyDescent="0.25">
      <c r="J351" s="60" t="e">
        <f t="shared" si="22"/>
        <v>#NUM!</v>
      </c>
    </row>
    <row r="352" spans="10:10" x14ac:dyDescent="0.25">
      <c r="J352" s="60" t="e">
        <f t="shared" si="22"/>
        <v>#NUM!</v>
      </c>
    </row>
    <row r="353" spans="10:10" x14ac:dyDescent="0.25">
      <c r="J353" s="60" t="e">
        <f t="shared" si="22"/>
        <v>#NUM!</v>
      </c>
    </row>
    <row r="354" spans="10:10" x14ac:dyDescent="0.25">
      <c r="J354" s="60" t="e">
        <f t="shared" si="22"/>
        <v>#NUM!</v>
      </c>
    </row>
    <row r="355" spans="10:10" x14ac:dyDescent="0.25">
      <c r="J355" s="60" t="e">
        <f t="shared" si="22"/>
        <v>#NUM!</v>
      </c>
    </row>
    <row r="356" spans="10:10" x14ac:dyDescent="0.25">
      <c r="J356" s="60" t="e">
        <f t="shared" si="22"/>
        <v>#NUM!</v>
      </c>
    </row>
    <row r="357" spans="10:10" x14ac:dyDescent="0.25">
      <c r="J357" s="60" t="e">
        <f t="shared" si="22"/>
        <v>#NUM!</v>
      </c>
    </row>
    <row r="358" spans="10:10" x14ac:dyDescent="0.25">
      <c r="J358" s="60" t="e">
        <f t="shared" si="22"/>
        <v>#NUM!</v>
      </c>
    </row>
    <row r="359" spans="10:10" x14ac:dyDescent="0.25">
      <c r="J359" s="60" t="e">
        <f t="shared" si="22"/>
        <v>#NUM!</v>
      </c>
    </row>
    <row r="360" spans="10:10" x14ac:dyDescent="0.25">
      <c r="J360" s="60" t="e">
        <f t="shared" si="22"/>
        <v>#NUM!</v>
      </c>
    </row>
    <row r="361" spans="10:10" x14ac:dyDescent="0.25">
      <c r="J361" s="60" t="e">
        <f t="shared" si="22"/>
        <v>#NUM!</v>
      </c>
    </row>
    <row r="362" spans="10:10" x14ac:dyDescent="0.25">
      <c r="J362" s="60" t="e">
        <f t="shared" si="22"/>
        <v>#NUM!</v>
      </c>
    </row>
    <row r="363" spans="10:10" x14ac:dyDescent="0.25">
      <c r="J363" s="60" t="e">
        <f t="shared" si="22"/>
        <v>#NUM!</v>
      </c>
    </row>
    <row r="364" spans="10:10" x14ac:dyDescent="0.25">
      <c r="J364" s="60" t="e">
        <f t="shared" si="22"/>
        <v>#NUM!</v>
      </c>
    </row>
    <row r="365" spans="10:10" x14ac:dyDescent="0.25">
      <c r="J365" s="60" t="e">
        <f t="shared" si="22"/>
        <v>#NUM!</v>
      </c>
    </row>
    <row r="366" spans="10:10" x14ac:dyDescent="0.25">
      <c r="J366" s="60" t="e">
        <f t="shared" si="22"/>
        <v>#NUM!</v>
      </c>
    </row>
    <row r="367" spans="10:10" x14ac:dyDescent="0.25">
      <c r="J367" s="60" t="e">
        <f t="shared" si="22"/>
        <v>#NUM!</v>
      </c>
    </row>
    <row r="368" spans="10:10" x14ac:dyDescent="0.25">
      <c r="J368" s="60" t="e">
        <f t="shared" si="22"/>
        <v>#NUM!</v>
      </c>
    </row>
    <row r="369" spans="10:10" x14ac:dyDescent="0.25">
      <c r="J369" s="60" t="e">
        <f t="shared" si="22"/>
        <v>#NUM!</v>
      </c>
    </row>
    <row r="370" spans="10:10" x14ac:dyDescent="0.25">
      <c r="J370" s="60" t="e">
        <f t="shared" si="22"/>
        <v>#NUM!</v>
      </c>
    </row>
    <row r="371" spans="10:10" x14ac:dyDescent="0.25">
      <c r="J371" s="60" t="e">
        <f t="shared" si="22"/>
        <v>#NUM!</v>
      </c>
    </row>
    <row r="372" spans="10:10" x14ac:dyDescent="0.25">
      <c r="J372" s="60" t="e">
        <f t="shared" si="22"/>
        <v>#NUM!</v>
      </c>
    </row>
    <row r="373" spans="10:10" x14ac:dyDescent="0.25">
      <c r="J373" s="60" t="e">
        <f t="shared" si="22"/>
        <v>#NUM!</v>
      </c>
    </row>
    <row r="374" spans="10:10" x14ac:dyDescent="0.25">
      <c r="J374" s="60" t="e">
        <f t="shared" si="22"/>
        <v>#NUM!</v>
      </c>
    </row>
    <row r="375" spans="10:10" x14ac:dyDescent="0.25">
      <c r="J375" s="60" t="e">
        <f t="shared" si="22"/>
        <v>#NUM!</v>
      </c>
    </row>
    <row r="376" spans="10:10" x14ac:dyDescent="0.25">
      <c r="J376" s="60" t="e">
        <f t="shared" si="22"/>
        <v>#NUM!</v>
      </c>
    </row>
    <row r="377" spans="10:10" x14ac:dyDescent="0.25">
      <c r="J377" s="60" t="e">
        <f t="shared" si="22"/>
        <v>#NUM!</v>
      </c>
    </row>
    <row r="378" spans="10:10" x14ac:dyDescent="0.25">
      <c r="J378" s="60" t="e">
        <f t="shared" si="22"/>
        <v>#NUM!</v>
      </c>
    </row>
    <row r="379" spans="10:10" x14ac:dyDescent="0.25">
      <c r="J379" s="60" t="e">
        <f t="shared" si="22"/>
        <v>#NUM!</v>
      </c>
    </row>
    <row r="380" spans="10:10" x14ac:dyDescent="0.25">
      <c r="J380" s="60" t="e">
        <f t="shared" si="22"/>
        <v>#NUM!</v>
      </c>
    </row>
    <row r="381" spans="10:10" x14ac:dyDescent="0.25">
      <c r="J381" s="60" t="e">
        <f t="shared" si="22"/>
        <v>#NUM!</v>
      </c>
    </row>
    <row r="382" spans="10:10" x14ac:dyDescent="0.25">
      <c r="J382" s="60" t="e">
        <f t="shared" si="22"/>
        <v>#NUM!</v>
      </c>
    </row>
    <row r="383" spans="10:10" x14ac:dyDescent="0.25">
      <c r="J383" s="60" t="e">
        <f t="shared" si="22"/>
        <v>#NUM!</v>
      </c>
    </row>
    <row r="384" spans="10:10" x14ac:dyDescent="0.25">
      <c r="J384" s="60" t="e">
        <f t="shared" si="22"/>
        <v>#NUM!</v>
      </c>
    </row>
    <row r="385" spans="10:10" x14ac:dyDescent="0.25">
      <c r="J385" s="60" t="e">
        <f t="shared" si="22"/>
        <v>#NUM!</v>
      </c>
    </row>
    <row r="386" spans="10:10" x14ac:dyDescent="0.25">
      <c r="J386" s="60" t="e">
        <f t="shared" si="22"/>
        <v>#NUM!</v>
      </c>
    </row>
    <row r="387" spans="10:10" x14ac:dyDescent="0.25">
      <c r="J387" s="60" t="e">
        <f t="shared" si="22"/>
        <v>#NUM!</v>
      </c>
    </row>
    <row r="388" spans="10:10" x14ac:dyDescent="0.25">
      <c r="J388" s="60" t="e">
        <f t="shared" si="22"/>
        <v>#NUM!</v>
      </c>
    </row>
    <row r="389" spans="10:10" x14ac:dyDescent="0.25">
      <c r="J389" s="60" t="e">
        <f t="shared" si="22"/>
        <v>#NUM!</v>
      </c>
    </row>
    <row r="390" spans="10:10" x14ac:dyDescent="0.25">
      <c r="J390" s="60" t="e">
        <f t="shared" si="22"/>
        <v>#NUM!</v>
      </c>
    </row>
    <row r="391" spans="10:10" x14ac:dyDescent="0.25">
      <c r="J391" s="60" t="e">
        <f t="shared" ref="J391:J454" si="23">INT(LOG($H$2,2))-ROUNDUP(LOG(H391,2),0)+IF(OR($H$2=1,$H$2=2,$H$2=4,$H$2=8,$H$2=16,$H$2=32,$H$2=64,$H$2=128,$H$2=256),0,1)</f>
        <v>#NUM!</v>
      </c>
    </row>
    <row r="392" spans="10:10" x14ac:dyDescent="0.25">
      <c r="J392" s="60" t="e">
        <f t="shared" si="23"/>
        <v>#NUM!</v>
      </c>
    </row>
    <row r="393" spans="10:10" x14ac:dyDescent="0.25">
      <c r="J393" s="60" t="e">
        <f t="shared" si="23"/>
        <v>#NUM!</v>
      </c>
    </row>
    <row r="394" spans="10:10" x14ac:dyDescent="0.25">
      <c r="J394" s="60" t="e">
        <f t="shared" si="23"/>
        <v>#NUM!</v>
      </c>
    </row>
    <row r="395" spans="10:10" x14ac:dyDescent="0.25">
      <c r="J395" s="60" t="e">
        <f t="shared" si="23"/>
        <v>#NUM!</v>
      </c>
    </row>
    <row r="396" spans="10:10" x14ac:dyDescent="0.25">
      <c r="J396" s="60" t="e">
        <f t="shared" si="23"/>
        <v>#NUM!</v>
      </c>
    </row>
    <row r="397" spans="10:10" x14ac:dyDescent="0.25">
      <c r="J397" s="60" t="e">
        <f t="shared" si="23"/>
        <v>#NUM!</v>
      </c>
    </row>
    <row r="398" spans="10:10" x14ac:dyDescent="0.25">
      <c r="J398" s="60" t="e">
        <f t="shared" si="23"/>
        <v>#NUM!</v>
      </c>
    </row>
    <row r="399" spans="10:10" x14ac:dyDescent="0.25">
      <c r="J399" s="60" t="e">
        <f t="shared" si="23"/>
        <v>#NUM!</v>
      </c>
    </row>
    <row r="400" spans="10:10" x14ac:dyDescent="0.25">
      <c r="J400" s="60" t="e">
        <f t="shared" si="23"/>
        <v>#NUM!</v>
      </c>
    </row>
    <row r="401" spans="10:10" x14ac:dyDescent="0.25">
      <c r="J401" s="60" t="e">
        <f t="shared" si="23"/>
        <v>#NUM!</v>
      </c>
    </row>
    <row r="402" spans="10:10" x14ac:dyDescent="0.25">
      <c r="J402" s="60" t="e">
        <f t="shared" si="23"/>
        <v>#NUM!</v>
      </c>
    </row>
    <row r="403" spans="10:10" x14ac:dyDescent="0.25">
      <c r="J403" s="60" t="e">
        <f t="shared" si="23"/>
        <v>#NUM!</v>
      </c>
    </row>
    <row r="404" spans="10:10" x14ac:dyDescent="0.25">
      <c r="J404" s="60" t="e">
        <f t="shared" si="23"/>
        <v>#NUM!</v>
      </c>
    </row>
    <row r="405" spans="10:10" x14ac:dyDescent="0.25">
      <c r="J405" s="60" t="e">
        <f t="shared" si="23"/>
        <v>#NUM!</v>
      </c>
    </row>
    <row r="406" spans="10:10" x14ac:dyDescent="0.25">
      <c r="J406" s="60" t="e">
        <f t="shared" si="23"/>
        <v>#NUM!</v>
      </c>
    </row>
    <row r="407" spans="10:10" x14ac:dyDescent="0.25">
      <c r="J407" s="60" t="e">
        <f t="shared" si="23"/>
        <v>#NUM!</v>
      </c>
    </row>
    <row r="408" spans="10:10" x14ac:dyDescent="0.25">
      <c r="J408" s="60" t="e">
        <f t="shared" si="23"/>
        <v>#NUM!</v>
      </c>
    </row>
    <row r="409" spans="10:10" x14ac:dyDescent="0.25">
      <c r="J409" s="60" t="e">
        <f t="shared" si="23"/>
        <v>#NUM!</v>
      </c>
    </row>
    <row r="410" spans="10:10" x14ac:dyDescent="0.25">
      <c r="J410" s="60" t="e">
        <f t="shared" si="23"/>
        <v>#NUM!</v>
      </c>
    </row>
    <row r="411" spans="10:10" x14ac:dyDescent="0.25">
      <c r="J411" s="60" t="e">
        <f t="shared" si="23"/>
        <v>#NUM!</v>
      </c>
    </row>
    <row r="412" spans="10:10" x14ac:dyDescent="0.25">
      <c r="J412" s="60" t="e">
        <f t="shared" si="23"/>
        <v>#NUM!</v>
      </c>
    </row>
    <row r="413" spans="10:10" x14ac:dyDescent="0.25">
      <c r="J413" s="60" t="e">
        <f t="shared" si="23"/>
        <v>#NUM!</v>
      </c>
    </row>
    <row r="414" spans="10:10" x14ac:dyDescent="0.25">
      <c r="J414" s="60" t="e">
        <f t="shared" si="23"/>
        <v>#NUM!</v>
      </c>
    </row>
    <row r="415" spans="10:10" x14ac:dyDescent="0.25">
      <c r="J415" s="60" t="e">
        <f t="shared" si="23"/>
        <v>#NUM!</v>
      </c>
    </row>
    <row r="416" spans="10:10" x14ac:dyDescent="0.25">
      <c r="J416" s="60" t="e">
        <f t="shared" si="23"/>
        <v>#NUM!</v>
      </c>
    </row>
    <row r="417" spans="10:10" x14ac:dyDescent="0.25">
      <c r="J417" s="60" t="e">
        <f t="shared" si="23"/>
        <v>#NUM!</v>
      </c>
    </row>
    <row r="418" spans="10:10" x14ac:dyDescent="0.25">
      <c r="J418" s="60" t="e">
        <f t="shared" si="23"/>
        <v>#NUM!</v>
      </c>
    </row>
    <row r="419" spans="10:10" x14ac:dyDescent="0.25">
      <c r="J419" s="60" t="e">
        <f t="shared" si="23"/>
        <v>#NUM!</v>
      </c>
    </row>
    <row r="420" spans="10:10" x14ac:dyDescent="0.25">
      <c r="J420" s="60" t="e">
        <f t="shared" si="23"/>
        <v>#NUM!</v>
      </c>
    </row>
    <row r="421" spans="10:10" x14ac:dyDescent="0.25">
      <c r="J421" s="60" t="e">
        <f t="shared" si="23"/>
        <v>#NUM!</v>
      </c>
    </row>
    <row r="422" spans="10:10" x14ac:dyDescent="0.25">
      <c r="J422" s="60" t="e">
        <f t="shared" si="23"/>
        <v>#NUM!</v>
      </c>
    </row>
    <row r="423" spans="10:10" x14ac:dyDescent="0.25">
      <c r="J423" s="60" t="e">
        <f t="shared" si="23"/>
        <v>#NUM!</v>
      </c>
    </row>
    <row r="424" spans="10:10" x14ac:dyDescent="0.25">
      <c r="J424" s="60" t="e">
        <f t="shared" si="23"/>
        <v>#NUM!</v>
      </c>
    </row>
    <row r="425" spans="10:10" x14ac:dyDescent="0.25">
      <c r="J425" s="60" t="e">
        <f t="shared" si="23"/>
        <v>#NUM!</v>
      </c>
    </row>
    <row r="426" spans="10:10" x14ac:dyDescent="0.25">
      <c r="J426" s="60" t="e">
        <f t="shared" si="23"/>
        <v>#NUM!</v>
      </c>
    </row>
    <row r="427" spans="10:10" x14ac:dyDescent="0.25">
      <c r="J427" s="60" t="e">
        <f t="shared" si="23"/>
        <v>#NUM!</v>
      </c>
    </row>
    <row r="428" spans="10:10" x14ac:dyDescent="0.25">
      <c r="J428" s="60" t="e">
        <f t="shared" si="23"/>
        <v>#NUM!</v>
      </c>
    </row>
    <row r="429" spans="10:10" x14ac:dyDescent="0.25">
      <c r="J429" s="60" t="e">
        <f t="shared" si="23"/>
        <v>#NUM!</v>
      </c>
    </row>
    <row r="430" spans="10:10" x14ac:dyDescent="0.25">
      <c r="J430" s="60" t="e">
        <f t="shared" si="23"/>
        <v>#NUM!</v>
      </c>
    </row>
    <row r="431" spans="10:10" x14ac:dyDescent="0.25">
      <c r="J431" s="60" t="e">
        <f t="shared" si="23"/>
        <v>#NUM!</v>
      </c>
    </row>
    <row r="432" spans="10:10" x14ac:dyDescent="0.25">
      <c r="J432" s="60" t="e">
        <f t="shared" si="23"/>
        <v>#NUM!</v>
      </c>
    </row>
    <row r="433" spans="10:10" x14ac:dyDescent="0.25">
      <c r="J433" s="60" t="e">
        <f t="shared" si="23"/>
        <v>#NUM!</v>
      </c>
    </row>
    <row r="434" spans="10:10" x14ac:dyDescent="0.25">
      <c r="J434" s="60" t="e">
        <f t="shared" si="23"/>
        <v>#NUM!</v>
      </c>
    </row>
    <row r="435" spans="10:10" x14ac:dyDescent="0.25">
      <c r="J435" s="60" t="e">
        <f t="shared" si="23"/>
        <v>#NUM!</v>
      </c>
    </row>
    <row r="436" spans="10:10" x14ac:dyDescent="0.25">
      <c r="J436" s="60" t="e">
        <f t="shared" si="23"/>
        <v>#NUM!</v>
      </c>
    </row>
    <row r="437" spans="10:10" x14ac:dyDescent="0.25">
      <c r="J437" s="60" t="e">
        <f t="shared" si="23"/>
        <v>#NUM!</v>
      </c>
    </row>
    <row r="438" spans="10:10" x14ac:dyDescent="0.25">
      <c r="J438" s="60" t="e">
        <f t="shared" si="23"/>
        <v>#NUM!</v>
      </c>
    </row>
    <row r="439" spans="10:10" x14ac:dyDescent="0.25">
      <c r="J439" s="60" t="e">
        <f t="shared" si="23"/>
        <v>#NUM!</v>
      </c>
    </row>
    <row r="440" spans="10:10" x14ac:dyDescent="0.25">
      <c r="J440" s="60" t="e">
        <f t="shared" si="23"/>
        <v>#NUM!</v>
      </c>
    </row>
    <row r="441" spans="10:10" x14ac:dyDescent="0.25">
      <c r="J441" s="60" t="e">
        <f t="shared" si="23"/>
        <v>#NUM!</v>
      </c>
    </row>
    <row r="442" spans="10:10" x14ac:dyDescent="0.25">
      <c r="J442" s="60" t="e">
        <f t="shared" si="23"/>
        <v>#NUM!</v>
      </c>
    </row>
    <row r="443" spans="10:10" x14ac:dyDescent="0.25">
      <c r="J443" s="60" t="e">
        <f t="shared" si="23"/>
        <v>#NUM!</v>
      </c>
    </row>
    <row r="444" spans="10:10" x14ac:dyDescent="0.25">
      <c r="J444" s="60" t="e">
        <f t="shared" si="23"/>
        <v>#NUM!</v>
      </c>
    </row>
    <row r="445" spans="10:10" x14ac:dyDescent="0.25">
      <c r="J445" s="60" t="e">
        <f t="shared" si="23"/>
        <v>#NUM!</v>
      </c>
    </row>
    <row r="446" spans="10:10" x14ac:dyDescent="0.25">
      <c r="J446" s="60" t="e">
        <f t="shared" si="23"/>
        <v>#NUM!</v>
      </c>
    </row>
    <row r="447" spans="10:10" x14ac:dyDescent="0.25">
      <c r="J447" s="60" t="e">
        <f t="shared" si="23"/>
        <v>#NUM!</v>
      </c>
    </row>
    <row r="448" spans="10:10" x14ac:dyDescent="0.25">
      <c r="J448" s="60" t="e">
        <f t="shared" si="23"/>
        <v>#NUM!</v>
      </c>
    </row>
    <row r="449" spans="10:10" x14ac:dyDescent="0.25">
      <c r="J449" s="60" t="e">
        <f t="shared" si="23"/>
        <v>#NUM!</v>
      </c>
    </row>
    <row r="450" spans="10:10" x14ac:dyDescent="0.25">
      <c r="J450" s="60" t="e">
        <f t="shared" si="23"/>
        <v>#NUM!</v>
      </c>
    </row>
    <row r="451" spans="10:10" x14ac:dyDescent="0.25">
      <c r="J451" s="60" t="e">
        <f t="shared" si="23"/>
        <v>#NUM!</v>
      </c>
    </row>
    <row r="452" spans="10:10" x14ac:dyDescent="0.25">
      <c r="J452" s="60" t="e">
        <f t="shared" si="23"/>
        <v>#NUM!</v>
      </c>
    </row>
    <row r="453" spans="10:10" x14ac:dyDescent="0.25">
      <c r="J453" s="60" t="e">
        <f t="shared" si="23"/>
        <v>#NUM!</v>
      </c>
    </row>
    <row r="454" spans="10:10" x14ac:dyDescent="0.25">
      <c r="J454" s="60" t="e">
        <f t="shared" si="23"/>
        <v>#NUM!</v>
      </c>
    </row>
    <row r="455" spans="10:10" x14ac:dyDescent="0.25">
      <c r="J455" s="60" t="e">
        <f t="shared" ref="J455:J467" si="24">INT(LOG($H$2,2))-ROUNDUP(LOG(H455,2),0)+IF(OR($H$2=1,$H$2=2,$H$2=4,$H$2=8,$H$2=16,$H$2=32,$H$2=64,$H$2=128,$H$2=256),0,1)</f>
        <v>#NUM!</v>
      </c>
    </row>
    <row r="456" spans="10:10" x14ac:dyDescent="0.25">
      <c r="J456" s="60" t="e">
        <f t="shared" si="24"/>
        <v>#NUM!</v>
      </c>
    </row>
    <row r="457" spans="10:10" x14ac:dyDescent="0.25">
      <c r="J457" s="60" t="e">
        <f t="shared" si="24"/>
        <v>#NUM!</v>
      </c>
    </row>
    <row r="458" spans="10:10" x14ac:dyDescent="0.25">
      <c r="J458" s="60" t="e">
        <f t="shared" si="24"/>
        <v>#NUM!</v>
      </c>
    </row>
    <row r="459" spans="10:10" x14ac:dyDescent="0.25">
      <c r="J459" s="60" t="e">
        <f t="shared" si="24"/>
        <v>#NUM!</v>
      </c>
    </row>
    <row r="460" spans="10:10" x14ac:dyDescent="0.25">
      <c r="J460" s="60" t="e">
        <f t="shared" si="24"/>
        <v>#NUM!</v>
      </c>
    </row>
    <row r="461" spans="10:10" x14ac:dyDescent="0.25">
      <c r="J461" s="60" t="e">
        <f t="shared" si="24"/>
        <v>#NUM!</v>
      </c>
    </row>
    <row r="462" spans="10:10" x14ac:dyDescent="0.25">
      <c r="J462" s="60" t="e">
        <f t="shared" si="24"/>
        <v>#NUM!</v>
      </c>
    </row>
    <row r="463" spans="10:10" x14ac:dyDescent="0.25">
      <c r="J463" s="60" t="e">
        <f t="shared" si="24"/>
        <v>#NUM!</v>
      </c>
    </row>
    <row r="464" spans="10:10" x14ac:dyDescent="0.25">
      <c r="J464" s="60" t="e">
        <f t="shared" si="24"/>
        <v>#NUM!</v>
      </c>
    </row>
    <row r="465" spans="10:10" x14ac:dyDescent="0.25">
      <c r="J465" s="60" t="e">
        <f t="shared" si="24"/>
        <v>#NUM!</v>
      </c>
    </row>
    <row r="466" spans="10:10" x14ac:dyDescent="0.25">
      <c r="J466" s="60" t="e">
        <f t="shared" si="24"/>
        <v>#NUM!</v>
      </c>
    </row>
    <row r="467" spans="10:10" x14ac:dyDescent="0.25">
      <c r="J467" s="60" t="e">
        <f t="shared" si="24"/>
        <v>#NUM!</v>
      </c>
    </row>
  </sheetData>
  <mergeCells count="2">
    <mergeCell ref="C2:D2"/>
    <mergeCell ref="C3:D3"/>
  </mergeCells>
  <conditionalFormatting sqref="J9:K305">
    <cfRule type="cellIs" dxfId="32" priority="1" operator="lessThanOrEqual">
      <formula>0</formula>
    </cfRule>
  </conditionalFormatting>
  <hyperlinks>
    <hyperlink ref="C2:D2" r:id="rId1" display="PABIANICE" xr:uid="{B917FBDA-A904-4AE8-AD4D-9CEF1C56E2E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85E27-8658-48AA-A27D-C870DEFC334C}">
  <sheetPr codeName="Arkusz3">
    <tabColor rgb="FF92D050"/>
  </sheetPr>
  <dimension ref="A1:AL317"/>
  <sheetViews>
    <sheetView workbookViewId="0">
      <selection activeCell="C23" sqref="C2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32.1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25</v>
      </c>
      <c r="I1" s="16" t="s">
        <v>26</v>
      </c>
      <c r="J1" s="16" t="s">
        <v>27</v>
      </c>
      <c r="K1" s="17" t="s">
        <v>28</v>
      </c>
      <c r="L1" s="18"/>
      <c r="M1" s="18"/>
    </row>
    <row r="2" spans="1:36" x14ac:dyDescent="0.25">
      <c r="A2" s="14"/>
      <c r="B2" s="20" t="s">
        <v>29</v>
      </c>
      <c r="C2" s="271" t="s">
        <v>59</v>
      </c>
      <c r="D2" s="271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18"/>
      <c r="M2" s="18"/>
    </row>
    <row r="3" spans="1:36" x14ac:dyDescent="0.25">
      <c r="A3" s="14"/>
      <c r="B3" s="25" t="s">
        <v>31</v>
      </c>
      <c r="C3" s="272">
        <v>45019</v>
      </c>
      <c r="D3" s="27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30" t="s">
        <v>39</v>
      </c>
      <c r="I5" s="31" t="s">
        <v>40</v>
      </c>
      <c r="J5" s="32" t="s">
        <v>41</v>
      </c>
      <c r="K5" s="31" t="s">
        <v>42</v>
      </c>
      <c r="L5" s="31" t="s">
        <v>43</v>
      </c>
      <c r="M5" s="30" t="s">
        <v>44</v>
      </c>
    </row>
    <row r="6" spans="1:36" ht="14.45" customHeight="1" x14ac:dyDescent="0.25">
      <c r="A6" s="33">
        <v>59</v>
      </c>
      <c r="B6" s="34">
        <v>1</v>
      </c>
      <c r="C6" s="35" t="s">
        <v>20</v>
      </c>
      <c r="D6" s="35" t="s">
        <v>45</v>
      </c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0">J6*$J$2</f>
        <v>20</v>
      </c>
      <c r="L6" s="38">
        <f>3*K2</f>
        <v>14.286609467713795</v>
      </c>
      <c r="M6" s="38">
        <f t="shared" ref="M6:M69" si="1">IF(I6&lt;&gt;"",K6+I6+L6,0)</f>
        <v>84.286609467713788</v>
      </c>
    </row>
    <row r="7" spans="1:36" ht="14.45" customHeight="1" x14ac:dyDescent="0.25">
      <c r="A7" s="39">
        <f t="shared" ref="A7:A37" si="2">M7</f>
        <v>45.024406311809194</v>
      </c>
      <c r="B7" s="40">
        <v>2</v>
      </c>
      <c r="C7" s="41" t="s">
        <v>19</v>
      </c>
      <c r="D7" s="41" t="s">
        <v>48</v>
      </c>
      <c r="E7" s="41"/>
      <c r="F7" s="41"/>
      <c r="G7" s="28"/>
      <c r="H7" s="42">
        <v>2</v>
      </c>
      <c r="I7" s="43">
        <f t="shared" ref="I7:I69" si="3">IF(H7&lt;$H$2+1,($I$2-($I$2-1)*(LOG(H7)/LOG($H$2))),"")</f>
        <v>25.5</v>
      </c>
      <c r="J7" s="42">
        <f t="shared" ref="J7:J70" si="4">INT(LOG($H$2,2))-ROUNDUP(LOG(H7,2),0)+IF(OR($H$2=1,$H$2=2,$H$2=4,$H$2=8,$H$2=16,$H$2=32,$H$2=64,$H$2=128,$H$2=256),0,1)</f>
        <v>1</v>
      </c>
      <c r="K7" s="42">
        <f t="shared" si="0"/>
        <v>10</v>
      </c>
      <c r="L7" s="44">
        <f>2*K2</f>
        <v>9.5244063118091962</v>
      </c>
      <c r="M7" s="44">
        <f t="shared" si="1"/>
        <v>45.024406311809194</v>
      </c>
    </row>
    <row r="8" spans="1:36" ht="14.45" customHeight="1" x14ac:dyDescent="0.25">
      <c r="A8" s="33">
        <f t="shared" si="2"/>
        <v>15.930621888236271</v>
      </c>
      <c r="B8" s="34">
        <v>3</v>
      </c>
      <c r="C8" s="35" t="s">
        <v>22</v>
      </c>
      <c r="D8" s="35" t="s">
        <v>47</v>
      </c>
      <c r="E8" s="35"/>
      <c r="F8" s="35"/>
      <c r="G8" s="28"/>
      <c r="H8" s="36">
        <v>3</v>
      </c>
      <c r="I8" s="37">
        <f t="shared" si="3"/>
        <v>11.168418732331673</v>
      </c>
      <c r="J8" s="36">
        <f t="shared" si="4"/>
        <v>0</v>
      </c>
      <c r="K8" s="36">
        <f t="shared" si="0"/>
        <v>0</v>
      </c>
      <c r="L8" s="38">
        <f>K2</f>
        <v>4.7622031559045981</v>
      </c>
      <c r="M8" s="38">
        <f t="shared" si="1"/>
        <v>15.930621888236271</v>
      </c>
    </row>
    <row r="9" spans="1:36" ht="14.45" customHeight="1" x14ac:dyDescent="0.25">
      <c r="A9" s="39">
        <f t="shared" si="2"/>
        <v>1</v>
      </c>
      <c r="B9" s="40">
        <v>4</v>
      </c>
      <c r="C9" s="41" t="s">
        <v>23</v>
      </c>
      <c r="D9" s="41" t="s">
        <v>60</v>
      </c>
      <c r="E9" s="41"/>
      <c r="F9" s="41"/>
      <c r="G9" s="28"/>
      <c r="H9" s="42">
        <v>4</v>
      </c>
      <c r="I9" s="43">
        <f t="shared" si="3"/>
        <v>1</v>
      </c>
      <c r="J9" s="42">
        <f t="shared" si="4"/>
        <v>0</v>
      </c>
      <c r="K9" s="42">
        <f t="shared" si="0"/>
        <v>0</v>
      </c>
      <c r="L9" s="44"/>
      <c r="M9" s="44">
        <f t="shared" si="1"/>
        <v>1</v>
      </c>
      <c r="V9" s="45"/>
      <c r="Z9" s="46"/>
      <c r="AA9" s="46"/>
      <c r="AG9" s="47"/>
      <c r="AH9" s="19" t="s">
        <v>49</v>
      </c>
      <c r="AI9" s="19">
        <v>23</v>
      </c>
    </row>
    <row r="10" spans="1:36" ht="14.45" customHeight="1" x14ac:dyDescent="0.25">
      <c r="A10" s="214">
        <v>1</v>
      </c>
      <c r="B10" s="251" t="s">
        <v>50</v>
      </c>
      <c r="C10" s="213" t="s">
        <v>21</v>
      </c>
      <c r="D10" s="213" t="s">
        <v>51</v>
      </c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-1</v>
      </c>
      <c r="K10" s="36">
        <f t="shared" si="0"/>
        <v>-10</v>
      </c>
      <c r="L10" s="36"/>
      <c r="M10" s="38">
        <f t="shared" si="1"/>
        <v>0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2"/>
        <v>0</v>
      </c>
      <c r="B11" s="40" t="str">
        <f t="shared" ref="B11:B13" si="5">IF(H11&gt;$H$2,"",(ROW()-5))</f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-1</v>
      </c>
      <c r="K11" s="42">
        <f t="shared" si="0"/>
        <v>-10</v>
      </c>
      <c r="L11" s="42"/>
      <c r="M11" s="44">
        <f t="shared" si="1"/>
        <v>0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-1</v>
      </c>
      <c r="K12" s="36">
        <f t="shared" si="0"/>
        <v>-10</v>
      </c>
      <c r="L12" s="36"/>
      <c r="M12" s="38">
        <f t="shared" si="1"/>
        <v>0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-1</v>
      </c>
      <c r="K13" s="42">
        <f t="shared" si="0"/>
        <v>-10</v>
      </c>
      <c r="L13" s="42"/>
      <c r="M13" s="44">
        <f t="shared" si="1"/>
        <v>0</v>
      </c>
      <c r="X13" s="45"/>
      <c r="AG13" s="47"/>
      <c r="AH13" s="19" t="s">
        <v>55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-2</v>
      </c>
      <c r="K14" s="36">
        <f t="shared" si="0"/>
        <v>-20</v>
      </c>
      <c r="L14" s="36"/>
      <c r="M14" s="38">
        <f t="shared" si="1"/>
        <v>0</v>
      </c>
      <c r="X14" s="51"/>
      <c r="Z14" s="46"/>
      <c r="AA14" s="46"/>
      <c r="AG14" s="47"/>
      <c r="AH14" s="19" t="s">
        <v>56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-2</v>
      </c>
      <c r="K15" s="42">
        <f t="shared" si="0"/>
        <v>-20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-2</v>
      </c>
      <c r="K16" s="36">
        <f t="shared" si="0"/>
        <v>-20</v>
      </c>
      <c r="L16" s="36"/>
      <c r="M16" s="38">
        <f t="shared" si="1"/>
        <v>0</v>
      </c>
      <c r="R16" s="52"/>
      <c r="Z16" s="46"/>
      <c r="AA16" s="46"/>
      <c r="AH16" s="53" t="s">
        <v>57</v>
      </c>
      <c r="AI16" s="19">
        <f>AI11-AI12*AI13/AI14</f>
        <v>9.6393909380186855</v>
      </c>
      <c r="AJ16" s="19" t="s">
        <v>58</v>
      </c>
    </row>
    <row r="17" spans="1:19" x14ac:dyDescent="0.25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-2</v>
      </c>
      <c r="K17" s="42">
        <f t="shared" si="0"/>
        <v>-20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-2</v>
      </c>
      <c r="K18" s="36">
        <f t="shared" si="0"/>
        <v>-20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-2</v>
      </c>
      <c r="K19" s="42">
        <f t="shared" si="0"/>
        <v>-20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-2</v>
      </c>
      <c r="K20" s="36">
        <f t="shared" si="0"/>
        <v>-20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-2</v>
      </c>
      <c r="K21" s="42">
        <f t="shared" si="0"/>
        <v>-20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-3</v>
      </c>
      <c r="K22" s="36">
        <f t="shared" si="0"/>
        <v>-30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-3</v>
      </c>
      <c r="K23" s="42">
        <f t="shared" si="0"/>
        <v>-30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-3</v>
      </c>
      <c r="K24" s="36">
        <f t="shared" si="0"/>
        <v>-30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-3</v>
      </c>
      <c r="K25" s="42">
        <f t="shared" si="0"/>
        <v>-30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-3</v>
      </c>
      <c r="K26" s="36">
        <f t="shared" si="0"/>
        <v>-30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-3</v>
      </c>
      <c r="K27" s="42">
        <f t="shared" si="0"/>
        <v>-30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-3</v>
      </c>
      <c r="K28" s="36">
        <f t="shared" si="0"/>
        <v>-30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-3</v>
      </c>
      <c r="K29" s="42">
        <f t="shared" si="0"/>
        <v>-30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-3</v>
      </c>
      <c r="K30" s="36">
        <f t="shared" si="0"/>
        <v>-30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-3</v>
      </c>
      <c r="K31" s="42">
        <f t="shared" si="0"/>
        <v>-30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-3</v>
      </c>
      <c r="K32" s="36">
        <f t="shared" si="0"/>
        <v>-30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-3</v>
      </c>
      <c r="K33" s="42">
        <f t="shared" si="0"/>
        <v>-30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-3</v>
      </c>
      <c r="K34" s="36">
        <f t="shared" si="0"/>
        <v>-30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-3</v>
      </c>
      <c r="K35" s="42">
        <f t="shared" si="0"/>
        <v>-30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-3</v>
      </c>
      <c r="K36" s="36">
        <f t="shared" si="0"/>
        <v>-30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-3</v>
      </c>
      <c r="K37" s="42">
        <f t="shared" si="0"/>
        <v>-30</v>
      </c>
      <c r="L37" s="42"/>
      <c r="M37" s="44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-4</v>
      </c>
      <c r="K38" s="36">
        <f t="shared" si="0"/>
        <v>-40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-4</v>
      </c>
      <c r="K39" s="42">
        <f t="shared" si="0"/>
        <v>-40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-4</v>
      </c>
      <c r="K40" s="36">
        <f t="shared" si="0"/>
        <v>-40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-4</v>
      </c>
      <c r="K41" s="42">
        <f t="shared" si="0"/>
        <v>-40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-4</v>
      </c>
      <c r="K42" s="36">
        <f t="shared" si="0"/>
        <v>-40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-4</v>
      </c>
      <c r="K43" s="42">
        <f t="shared" si="0"/>
        <v>-40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-4</v>
      </c>
      <c r="K44" s="36">
        <f t="shared" si="0"/>
        <v>-40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-4</v>
      </c>
      <c r="K45" s="42">
        <f t="shared" si="0"/>
        <v>-40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-4</v>
      </c>
      <c r="K46" s="36">
        <f t="shared" si="0"/>
        <v>-40</v>
      </c>
      <c r="L46" s="36"/>
      <c r="M46" s="38">
        <f t="shared" si="1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-4</v>
      </c>
      <c r="K47" s="42">
        <f t="shared" si="0"/>
        <v>-40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-4</v>
      </c>
      <c r="K48" s="36">
        <f t="shared" si="0"/>
        <v>-40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-4</v>
      </c>
      <c r="K49" s="42">
        <f t="shared" si="0"/>
        <v>-40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-4</v>
      </c>
      <c r="K50" s="36">
        <f t="shared" si="0"/>
        <v>-40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-4</v>
      </c>
      <c r="K51" s="42">
        <f t="shared" si="0"/>
        <v>-40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-4</v>
      </c>
      <c r="K52" s="36">
        <f t="shared" si="0"/>
        <v>-40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-4</v>
      </c>
      <c r="K53" s="42">
        <f t="shared" si="0"/>
        <v>-40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-4</v>
      </c>
      <c r="K54" s="36">
        <f t="shared" si="0"/>
        <v>-40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-4</v>
      </c>
      <c r="K55" s="42">
        <f t="shared" si="0"/>
        <v>-40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-4</v>
      </c>
      <c r="K56" s="36">
        <f t="shared" si="0"/>
        <v>-40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-4</v>
      </c>
      <c r="K57" s="42">
        <f t="shared" si="0"/>
        <v>-40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-4</v>
      </c>
      <c r="K58" s="36">
        <f t="shared" si="0"/>
        <v>-40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-4</v>
      </c>
      <c r="K59" s="42">
        <f t="shared" si="0"/>
        <v>-40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-4</v>
      </c>
      <c r="K60" s="36">
        <f t="shared" si="0"/>
        <v>-40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-4</v>
      </c>
      <c r="K61" s="42">
        <f t="shared" si="0"/>
        <v>-40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-4</v>
      </c>
      <c r="K62" s="36">
        <f t="shared" si="0"/>
        <v>-40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-4</v>
      </c>
      <c r="K63" s="42">
        <f t="shared" si="0"/>
        <v>-40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-4</v>
      </c>
      <c r="K64" s="36">
        <f t="shared" si="0"/>
        <v>-40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-4</v>
      </c>
      <c r="K65" s="42">
        <f t="shared" si="0"/>
        <v>-40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-4</v>
      </c>
      <c r="K66" s="36">
        <f t="shared" si="0"/>
        <v>-40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-4</v>
      </c>
      <c r="K67" s="36">
        <f t="shared" si="0"/>
        <v>-40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-4</v>
      </c>
      <c r="K68" s="36">
        <f t="shared" si="0"/>
        <v>-40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-4</v>
      </c>
      <c r="K69" s="36">
        <f t="shared" si="0"/>
        <v>-40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105BAE36-71F5-48A1-A741-16158048347D}">
      <formula1>#REF!</formula1>
    </dataValidation>
  </dataValidations>
  <hyperlinks>
    <hyperlink ref="C2:D2" r:id="rId1" display="TORUŃ" xr:uid="{7DF871CE-F53B-4266-8B42-E303E734B4E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A5A3-9E8A-4132-864A-4F82ECB08F82}">
  <sheetPr codeName="Arkusz4">
    <tabColor rgb="FF92D050"/>
  </sheetPr>
  <dimension ref="A1:AL317"/>
  <sheetViews>
    <sheetView workbookViewId="0">
      <selection activeCell="C10" sqref="C1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25</v>
      </c>
      <c r="I1" s="16" t="s">
        <v>26</v>
      </c>
      <c r="J1" s="16" t="s">
        <v>27</v>
      </c>
      <c r="K1" s="17" t="s">
        <v>28</v>
      </c>
      <c r="L1" s="18"/>
      <c r="M1" s="18"/>
    </row>
    <row r="2" spans="1:36" x14ac:dyDescent="0.25">
      <c r="A2" s="14"/>
      <c r="B2" s="20" t="s">
        <v>29</v>
      </c>
      <c r="C2" s="271" t="s">
        <v>61</v>
      </c>
      <c r="D2" s="271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18"/>
      <c r="M2" s="18"/>
    </row>
    <row r="3" spans="1:36" x14ac:dyDescent="0.25">
      <c r="A3" s="14"/>
      <c r="B3" s="25" t="s">
        <v>31</v>
      </c>
      <c r="C3" s="272" t="s">
        <v>62</v>
      </c>
      <c r="D3" s="27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30" t="s">
        <v>39</v>
      </c>
      <c r="I5" s="31" t="s">
        <v>40</v>
      </c>
      <c r="J5" s="32" t="s">
        <v>41</v>
      </c>
      <c r="K5" s="31" t="s">
        <v>42</v>
      </c>
      <c r="L5" s="31" t="s">
        <v>43</v>
      </c>
      <c r="M5" s="30" t="s">
        <v>44</v>
      </c>
    </row>
    <row r="6" spans="1:36" ht="14.45" customHeight="1" x14ac:dyDescent="0.25">
      <c r="A6" s="33">
        <f>M6</f>
        <v>84.286609467713788</v>
      </c>
      <c r="B6" s="131">
        <v>1</v>
      </c>
      <c r="C6" s="132" t="s">
        <v>63</v>
      </c>
      <c r="D6" s="132"/>
      <c r="E6" s="132"/>
      <c r="F6" s="132" t="s">
        <v>64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0">J6*$J$2</f>
        <v>20</v>
      </c>
      <c r="L6" s="38">
        <f>3*K2</f>
        <v>14.286609467713795</v>
      </c>
      <c r="M6" s="38">
        <f t="shared" ref="M6:M69" si="1">IF(I6&lt;&gt;"",K6+I6+L6,0)</f>
        <v>84.286609467713788</v>
      </c>
    </row>
    <row r="7" spans="1:36" ht="14.45" customHeight="1" x14ac:dyDescent="0.25">
      <c r="A7" s="39">
        <f t="shared" ref="A7:A37" si="2">M7</f>
        <v>45.024406311809194</v>
      </c>
      <c r="B7" s="40">
        <v>2</v>
      </c>
      <c r="C7" s="41" t="s">
        <v>19</v>
      </c>
      <c r="D7" s="41" t="s">
        <v>48</v>
      </c>
      <c r="E7" s="41"/>
      <c r="F7" s="41" t="s">
        <v>65</v>
      </c>
      <c r="G7" s="28"/>
      <c r="H7" s="42">
        <v>2</v>
      </c>
      <c r="I7" s="43">
        <f t="shared" ref="I7:I69" si="3">IF(H7&lt;$H$2+1,($I$2-($I$2-1)*(LOG(H7)/LOG($H$2))),"")</f>
        <v>25.5</v>
      </c>
      <c r="J7" s="42">
        <f t="shared" ref="J7:J70" si="4">INT(LOG($H$2,2))-ROUNDUP(LOG(H7,2),0)+IF(OR($H$2=1,$H$2=2,$H$2=4,$H$2=8,$H$2=16,$H$2=32,$H$2=64,$H$2=128,$H$2=256),0,1)</f>
        <v>1</v>
      </c>
      <c r="K7" s="42">
        <f t="shared" si="0"/>
        <v>10</v>
      </c>
      <c r="L7" s="44">
        <f>2*K2</f>
        <v>9.5244063118091962</v>
      </c>
      <c r="M7" s="44">
        <f t="shared" si="1"/>
        <v>45.024406311809194</v>
      </c>
    </row>
    <row r="8" spans="1:36" ht="14.45" customHeight="1" x14ac:dyDescent="0.25">
      <c r="A8" s="33">
        <f t="shared" si="2"/>
        <v>15.930621888236271</v>
      </c>
      <c r="B8" s="131">
        <v>3</v>
      </c>
      <c r="C8" s="132" t="s">
        <v>66</v>
      </c>
      <c r="D8" s="132"/>
      <c r="E8" s="132"/>
      <c r="F8" s="132" t="s">
        <v>67</v>
      </c>
      <c r="G8" s="28"/>
      <c r="H8" s="36">
        <v>3</v>
      </c>
      <c r="I8" s="37">
        <f t="shared" si="3"/>
        <v>11.168418732331673</v>
      </c>
      <c r="J8" s="36">
        <f t="shared" si="4"/>
        <v>0</v>
      </c>
      <c r="K8" s="36">
        <f t="shared" si="0"/>
        <v>0</v>
      </c>
      <c r="L8" s="38">
        <f>K2</f>
        <v>4.7622031559045981</v>
      </c>
      <c r="M8" s="38">
        <f t="shared" si="1"/>
        <v>15.930621888236271</v>
      </c>
    </row>
    <row r="9" spans="1:36" ht="14.45" customHeight="1" x14ac:dyDescent="0.25">
      <c r="A9" s="39">
        <f t="shared" si="2"/>
        <v>1</v>
      </c>
      <c r="B9" s="40">
        <v>4</v>
      </c>
      <c r="C9" s="41" t="s">
        <v>23</v>
      </c>
      <c r="D9" s="41" t="s">
        <v>60</v>
      </c>
      <c r="E9" s="41"/>
      <c r="F9" s="41" t="s">
        <v>65</v>
      </c>
      <c r="G9" s="28"/>
      <c r="H9" s="42">
        <v>4</v>
      </c>
      <c r="I9" s="43">
        <f t="shared" si="3"/>
        <v>1</v>
      </c>
      <c r="J9" s="42">
        <f t="shared" si="4"/>
        <v>0</v>
      </c>
      <c r="K9" s="42">
        <f t="shared" si="0"/>
        <v>0</v>
      </c>
      <c r="L9" s="44"/>
      <c r="M9" s="44">
        <f t="shared" si="1"/>
        <v>1</v>
      </c>
      <c r="V9" s="45"/>
      <c r="Z9" s="46"/>
      <c r="AA9" s="46"/>
      <c r="AG9" s="47"/>
      <c r="AH9" s="19" t="s">
        <v>49</v>
      </c>
      <c r="AI9" s="19">
        <v>23</v>
      </c>
    </row>
    <row r="10" spans="1:36" ht="14.45" customHeight="1" x14ac:dyDescent="0.25">
      <c r="A10" s="33">
        <f t="shared" si="2"/>
        <v>0</v>
      </c>
      <c r="B10" s="34" t="str">
        <f t="shared" ref="B10:B13" si="5">IF(H10&gt;$H$2,"",(ROW()-5))</f>
        <v/>
      </c>
      <c r="C10" s="35"/>
      <c r="D10" s="35"/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-1</v>
      </c>
      <c r="K10" s="36">
        <f t="shared" si="0"/>
        <v>-10</v>
      </c>
      <c r="L10" s="36"/>
      <c r="M10" s="38">
        <f t="shared" si="1"/>
        <v>0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2"/>
        <v>0</v>
      </c>
      <c r="B11" s="40" t="str">
        <f t="shared" si="5"/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-1</v>
      </c>
      <c r="K11" s="42">
        <f t="shared" si="0"/>
        <v>-10</v>
      </c>
      <c r="L11" s="42"/>
      <c r="M11" s="44">
        <f t="shared" si="1"/>
        <v>0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-1</v>
      </c>
      <c r="K12" s="36">
        <f t="shared" si="0"/>
        <v>-10</v>
      </c>
      <c r="L12" s="36"/>
      <c r="M12" s="38">
        <f t="shared" si="1"/>
        <v>0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-1</v>
      </c>
      <c r="K13" s="42">
        <f t="shared" si="0"/>
        <v>-10</v>
      </c>
      <c r="L13" s="42"/>
      <c r="M13" s="44">
        <f t="shared" si="1"/>
        <v>0</v>
      </c>
      <c r="X13" s="45"/>
      <c r="AG13" s="47"/>
      <c r="AH13" s="19" t="s">
        <v>55</v>
      </c>
      <c r="AI13" s="19">
        <f>LOG(AI9)</f>
        <v>1.3617278360175928</v>
      </c>
    </row>
    <row r="14" spans="1:36" x14ac:dyDescent="0.25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-2</v>
      </c>
      <c r="K14" s="36">
        <f t="shared" si="0"/>
        <v>-20</v>
      </c>
      <c r="L14" s="36"/>
      <c r="M14" s="38">
        <f t="shared" si="1"/>
        <v>0</v>
      </c>
      <c r="X14" s="51"/>
      <c r="Z14" s="46"/>
      <c r="AA14" s="46"/>
      <c r="AG14" s="47"/>
      <c r="AH14" s="19" t="s">
        <v>56</v>
      </c>
      <c r="AI14" s="19">
        <f>LOG(AI10)</f>
        <v>1.6532125137753437</v>
      </c>
    </row>
    <row r="15" spans="1:36" x14ac:dyDescent="0.25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-2</v>
      </c>
      <c r="K15" s="42">
        <f t="shared" si="0"/>
        <v>-20</v>
      </c>
      <c r="L15" s="42"/>
      <c r="M15" s="44">
        <f t="shared" si="1"/>
        <v>0</v>
      </c>
      <c r="X15" s="45"/>
      <c r="Z15" s="46"/>
      <c r="AA15" s="46"/>
    </row>
    <row r="16" spans="1:36" x14ac:dyDescent="0.25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-2</v>
      </c>
      <c r="K16" s="36">
        <f t="shared" si="0"/>
        <v>-20</v>
      </c>
      <c r="L16" s="36"/>
      <c r="M16" s="38">
        <f t="shared" si="1"/>
        <v>0</v>
      </c>
      <c r="R16" s="52"/>
      <c r="Z16" s="46"/>
      <c r="AA16" s="46"/>
      <c r="AH16" s="53" t="s">
        <v>57</v>
      </c>
      <c r="AI16" s="19">
        <f>AI11-AI12*AI13/AI14</f>
        <v>9.6393909380186855</v>
      </c>
      <c r="AJ16" s="19" t="s">
        <v>58</v>
      </c>
    </row>
    <row r="17" spans="1:19" x14ac:dyDescent="0.25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-2</v>
      </c>
      <c r="K17" s="42">
        <f t="shared" si="0"/>
        <v>-20</v>
      </c>
      <c r="L17" s="42"/>
      <c r="M17" s="44">
        <f t="shared" si="1"/>
        <v>0</v>
      </c>
    </row>
    <row r="18" spans="1:19" x14ac:dyDescent="0.25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-2</v>
      </c>
      <c r="K18" s="36">
        <f t="shared" si="0"/>
        <v>-20</v>
      </c>
      <c r="L18" s="36"/>
      <c r="M18" s="38">
        <f t="shared" si="1"/>
        <v>0</v>
      </c>
    </row>
    <row r="19" spans="1:19" x14ac:dyDescent="0.25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-2</v>
      </c>
      <c r="K19" s="42">
        <f t="shared" si="0"/>
        <v>-20</v>
      </c>
      <c r="L19" s="42"/>
      <c r="M19" s="44">
        <f t="shared" si="1"/>
        <v>0</v>
      </c>
    </row>
    <row r="20" spans="1:19" x14ac:dyDescent="0.25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-2</v>
      </c>
      <c r="K20" s="36">
        <f t="shared" si="0"/>
        <v>-20</v>
      </c>
      <c r="L20" s="36"/>
      <c r="M20" s="38">
        <f t="shared" si="1"/>
        <v>0</v>
      </c>
      <c r="R20" s="54"/>
      <c r="S20" s="55"/>
    </row>
    <row r="21" spans="1:19" x14ac:dyDescent="0.25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-2</v>
      </c>
      <c r="K21" s="42">
        <f t="shared" si="0"/>
        <v>-20</v>
      </c>
      <c r="L21" s="42"/>
      <c r="M21" s="44">
        <f t="shared" si="1"/>
        <v>0</v>
      </c>
    </row>
    <row r="22" spans="1:19" x14ac:dyDescent="0.25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-3</v>
      </c>
      <c r="K22" s="36">
        <f t="shared" si="0"/>
        <v>-30</v>
      </c>
      <c r="L22" s="36"/>
      <c r="M22" s="38">
        <f t="shared" si="1"/>
        <v>0</v>
      </c>
    </row>
    <row r="23" spans="1:19" x14ac:dyDescent="0.25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-3</v>
      </c>
      <c r="K23" s="42">
        <f t="shared" si="0"/>
        <v>-30</v>
      </c>
      <c r="L23" s="42"/>
      <c r="M23" s="44">
        <f t="shared" si="1"/>
        <v>0</v>
      </c>
    </row>
    <row r="24" spans="1:19" x14ac:dyDescent="0.25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-3</v>
      </c>
      <c r="K24" s="36">
        <f t="shared" si="0"/>
        <v>-30</v>
      </c>
      <c r="L24" s="36"/>
      <c r="M24" s="38">
        <f t="shared" si="1"/>
        <v>0</v>
      </c>
      <c r="R24" s="54"/>
      <c r="S24" s="55"/>
    </row>
    <row r="25" spans="1:19" x14ac:dyDescent="0.25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-3</v>
      </c>
      <c r="K25" s="42">
        <f t="shared" si="0"/>
        <v>-30</v>
      </c>
      <c r="L25" s="42"/>
      <c r="M25" s="44">
        <f t="shared" si="1"/>
        <v>0</v>
      </c>
    </row>
    <row r="26" spans="1:19" x14ac:dyDescent="0.25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-3</v>
      </c>
      <c r="K26" s="36">
        <f t="shared" si="0"/>
        <v>-30</v>
      </c>
      <c r="L26" s="36"/>
      <c r="M26" s="38">
        <f t="shared" si="1"/>
        <v>0</v>
      </c>
    </row>
    <row r="27" spans="1:19" x14ac:dyDescent="0.25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-3</v>
      </c>
      <c r="K27" s="42">
        <f t="shared" si="0"/>
        <v>-30</v>
      </c>
      <c r="L27" s="42"/>
      <c r="M27" s="44">
        <f t="shared" si="1"/>
        <v>0</v>
      </c>
    </row>
    <row r="28" spans="1:19" x14ac:dyDescent="0.25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-3</v>
      </c>
      <c r="K28" s="36">
        <f t="shared" si="0"/>
        <v>-30</v>
      </c>
      <c r="L28" s="36"/>
      <c r="M28" s="38">
        <f t="shared" si="1"/>
        <v>0</v>
      </c>
      <c r="R28" s="54"/>
      <c r="S28" s="55"/>
    </row>
    <row r="29" spans="1:19" x14ac:dyDescent="0.25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-3</v>
      </c>
      <c r="K29" s="42">
        <f t="shared" si="0"/>
        <v>-30</v>
      </c>
      <c r="L29" s="42"/>
      <c r="M29" s="44">
        <f t="shared" si="1"/>
        <v>0</v>
      </c>
    </row>
    <row r="30" spans="1:19" x14ac:dyDescent="0.25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-3</v>
      </c>
      <c r="K30" s="36">
        <f t="shared" si="0"/>
        <v>-30</v>
      </c>
      <c r="L30" s="36"/>
      <c r="M30" s="38">
        <f t="shared" si="1"/>
        <v>0</v>
      </c>
    </row>
    <row r="31" spans="1:19" x14ac:dyDescent="0.25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-3</v>
      </c>
      <c r="K31" s="42">
        <f t="shared" si="0"/>
        <v>-30</v>
      </c>
      <c r="L31" s="42"/>
      <c r="M31" s="44">
        <f t="shared" si="1"/>
        <v>0</v>
      </c>
    </row>
    <row r="32" spans="1:19" x14ac:dyDescent="0.25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-3</v>
      </c>
      <c r="K32" s="36">
        <f t="shared" si="0"/>
        <v>-30</v>
      </c>
      <c r="L32" s="36"/>
      <c r="M32" s="38">
        <f t="shared" si="1"/>
        <v>0</v>
      </c>
      <c r="R32" s="54"/>
      <c r="S32" s="55"/>
    </row>
    <row r="33" spans="1:21" x14ac:dyDescent="0.25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-3</v>
      </c>
      <c r="K33" s="42">
        <f t="shared" si="0"/>
        <v>-30</v>
      </c>
      <c r="L33" s="42"/>
      <c r="M33" s="44">
        <f t="shared" si="1"/>
        <v>0</v>
      </c>
    </row>
    <row r="34" spans="1:21" x14ac:dyDescent="0.25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-3</v>
      </c>
      <c r="K34" s="36">
        <f t="shared" si="0"/>
        <v>-30</v>
      </c>
      <c r="L34" s="36"/>
      <c r="M34" s="38">
        <f t="shared" si="1"/>
        <v>0</v>
      </c>
    </row>
    <row r="35" spans="1:21" x14ac:dyDescent="0.25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-3</v>
      </c>
      <c r="K35" s="42">
        <f t="shared" si="0"/>
        <v>-30</v>
      </c>
      <c r="L35" s="42"/>
      <c r="M35" s="44">
        <f t="shared" si="1"/>
        <v>0</v>
      </c>
    </row>
    <row r="36" spans="1:21" x14ac:dyDescent="0.25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-3</v>
      </c>
      <c r="K36" s="36">
        <f t="shared" si="0"/>
        <v>-30</v>
      </c>
      <c r="L36" s="36"/>
      <c r="M36" s="38">
        <f t="shared" si="1"/>
        <v>0</v>
      </c>
      <c r="R36" s="54"/>
      <c r="S36" s="55"/>
    </row>
    <row r="37" spans="1:21" x14ac:dyDescent="0.25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-3</v>
      </c>
      <c r="K37" s="42">
        <f t="shared" si="0"/>
        <v>-30</v>
      </c>
      <c r="L37" s="42"/>
      <c r="M37" s="44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-4</v>
      </c>
      <c r="K38" s="36">
        <f t="shared" si="0"/>
        <v>-40</v>
      </c>
      <c r="L38" s="36"/>
      <c r="M38" s="38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-4</v>
      </c>
      <c r="K39" s="42">
        <f t="shared" si="0"/>
        <v>-40</v>
      </c>
      <c r="L39" s="42"/>
      <c r="M39" s="44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-4</v>
      </c>
      <c r="K40" s="36">
        <f t="shared" si="0"/>
        <v>-40</v>
      </c>
      <c r="L40" s="36"/>
      <c r="M40" s="38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-4</v>
      </c>
      <c r="K41" s="42">
        <f t="shared" si="0"/>
        <v>-40</v>
      </c>
      <c r="L41" s="42"/>
      <c r="M41" s="44">
        <f t="shared" si="1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-4</v>
      </c>
      <c r="K42" s="36">
        <f t="shared" si="0"/>
        <v>-40</v>
      </c>
      <c r="L42" s="36"/>
      <c r="M42" s="38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-4</v>
      </c>
      <c r="K43" s="42">
        <f t="shared" si="0"/>
        <v>-40</v>
      </c>
      <c r="L43" s="42"/>
      <c r="M43" s="44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-4</v>
      </c>
      <c r="K44" s="36">
        <f t="shared" si="0"/>
        <v>-40</v>
      </c>
      <c r="L44" s="36"/>
      <c r="M44" s="38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-4</v>
      </c>
      <c r="K45" s="42">
        <f t="shared" si="0"/>
        <v>-40</v>
      </c>
      <c r="L45" s="42"/>
      <c r="M45" s="44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-4</v>
      </c>
      <c r="K46" s="36">
        <f t="shared" si="0"/>
        <v>-40</v>
      </c>
      <c r="L46" s="36"/>
      <c r="M46" s="38">
        <f t="shared" si="1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-4</v>
      </c>
      <c r="K47" s="42">
        <f t="shared" si="0"/>
        <v>-40</v>
      </c>
      <c r="L47" s="42"/>
      <c r="M47" s="44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-4</v>
      </c>
      <c r="K48" s="36">
        <f t="shared" si="0"/>
        <v>-40</v>
      </c>
      <c r="L48" s="36"/>
      <c r="M48" s="38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-4</v>
      </c>
      <c r="K49" s="42">
        <f t="shared" si="0"/>
        <v>-40</v>
      </c>
      <c r="L49" s="42"/>
      <c r="M49" s="44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-4</v>
      </c>
      <c r="K50" s="36">
        <f t="shared" si="0"/>
        <v>-40</v>
      </c>
      <c r="L50" s="36"/>
      <c r="M50" s="38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-4</v>
      </c>
      <c r="K51" s="42">
        <f t="shared" si="0"/>
        <v>-40</v>
      </c>
      <c r="L51" s="42"/>
      <c r="M51" s="44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-4</v>
      </c>
      <c r="K52" s="36">
        <f t="shared" si="0"/>
        <v>-40</v>
      </c>
      <c r="L52" s="36"/>
      <c r="M52" s="38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-4</v>
      </c>
      <c r="K53" s="42">
        <f t="shared" si="0"/>
        <v>-40</v>
      </c>
      <c r="L53" s="42"/>
      <c r="M53" s="44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-4</v>
      </c>
      <c r="K54" s="36">
        <f t="shared" si="0"/>
        <v>-40</v>
      </c>
      <c r="L54" s="36"/>
      <c r="M54" s="38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-4</v>
      </c>
      <c r="K55" s="42">
        <f t="shared" si="0"/>
        <v>-40</v>
      </c>
      <c r="L55" s="42"/>
      <c r="M55" s="44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-4</v>
      </c>
      <c r="K56" s="36">
        <f t="shared" si="0"/>
        <v>-40</v>
      </c>
      <c r="L56" s="36"/>
      <c r="M56" s="38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-4</v>
      </c>
      <c r="K57" s="42">
        <f t="shared" si="0"/>
        <v>-40</v>
      </c>
      <c r="L57" s="42"/>
      <c r="M57" s="44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-4</v>
      </c>
      <c r="K58" s="36">
        <f t="shared" si="0"/>
        <v>-40</v>
      </c>
      <c r="L58" s="36"/>
      <c r="M58" s="38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-4</v>
      </c>
      <c r="K59" s="42">
        <f t="shared" si="0"/>
        <v>-40</v>
      </c>
      <c r="L59" s="42"/>
      <c r="M59" s="44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-4</v>
      </c>
      <c r="K60" s="36">
        <f t="shared" si="0"/>
        <v>-40</v>
      </c>
      <c r="L60" s="36"/>
      <c r="M60" s="38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-4</v>
      </c>
      <c r="K61" s="42">
        <f t="shared" si="0"/>
        <v>-40</v>
      </c>
      <c r="L61" s="42"/>
      <c r="M61" s="44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-4</v>
      </c>
      <c r="K62" s="36">
        <f t="shared" si="0"/>
        <v>-40</v>
      </c>
      <c r="L62" s="36"/>
      <c r="M62" s="38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-4</v>
      </c>
      <c r="K63" s="42">
        <f t="shared" si="0"/>
        <v>-40</v>
      </c>
      <c r="L63" s="42"/>
      <c r="M63" s="44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-4</v>
      </c>
      <c r="K64" s="36">
        <f t="shared" si="0"/>
        <v>-40</v>
      </c>
      <c r="L64" s="36"/>
      <c r="M64" s="38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-4</v>
      </c>
      <c r="K65" s="42">
        <f t="shared" si="0"/>
        <v>-40</v>
      </c>
      <c r="L65" s="42"/>
      <c r="M65" s="44">
        <f t="shared" si="1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-4</v>
      </c>
      <c r="K66" s="36">
        <f t="shared" si="0"/>
        <v>-40</v>
      </c>
      <c r="L66" s="36"/>
      <c r="M66" s="38">
        <f t="shared" si="1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-4</v>
      </c>
      <c r="K67" s="36">
        <f t="shared" si="0"/>
        <v>-40</v>
      </c>
      <c r="L67" s="36"/>
      <c r="M67" s="38">
        <f t="shared" si="1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-4</v>
      </c>
      <c r="K68" s="36">
        <f t="shared" si="0"/>
        <v>-40</v>
      </c>
      <c r="L68" s="36"/>
      <c r="M68" s="38">
        <f t="shared" si="1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-4</v>
      </c>
      <c r="K69" s="36">
        <f t="shared" si="0"/>
        <v>-40</v>
      </c>
      <c r="L69" s="36"/>
      <c r="M69" s="38">
        <f t="shared" si="1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69B1EF09-E598-4BEF-8706-9AFAE75E181F}">
      <formula1>#REF!</formula1>
    </dataValidation>
  </dataValidations>
  <hyperlinks>
    <hyperlink ref="C2:D2" r:id="rId1" display="NIEPOŁOMICE" xr:uid="{A5132759-E1EB-463E-A87B-109146F9D013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F5C6-2EA5-4368-8563-E288AA9EEA02}">
  <sheetPr codeName="Arkusz5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25</v>
      </c>
      <c r="I1" s="16" t="s">
        <v>26</v>
      </c>
      <c r="J1" s="16" t="s">
        <v>27</v>
      </c>
      <c r="K1" s="17" t="s">
        <v>28</v>
      </c>
      <c r="L1" s="18"/>
      <c r="M1" s="18"/>
    </row>
    <row r="2" spans="1:36" ht="14.45" customHeight="1" x14ac:dyDescent="0.25">
      <c r="A2" s="14"/>
      <c r="B2" s="20" t="s">
        <v>29</v>
      </c>
      <c r="C2" s="271" t="s">
        <v>68</v>
      </c>
      <c r="D2" s="271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18"/>
      <c r="M2" s="18"/>
    </row>
    <row r="3" spans="1:36" ht="14.45" customHeight="1" x14ac:dyDescent="0.25">
      <c r="A3" s="14"/>
      <c r="B3" s="25" t="s">
        <v>31</v>
      </c>
      <c r="C3" s="272" t="s">
        <v>69</v>
      </c>
      <c r="D3" s="27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30" t="s">
        <v>39</v>
      </c>
      <c r="I5" s="31" t="s">
        <v>40</v>
      </c>
      <c r="J5" s="32" t="s">
        <v>41</v>
      </c>
      <c r="K5" s="31" t="s">
        <v>42</v>
      </c>
      <c r="L5" s="31" t="s">
        <v>43</v>
      </c>
      <c r="M5" s="30" t="s">
        <v>44</v>
      </c>
    </row>
    <row r="6" spans="1:36" ht="14.45" customHeight="1" x14ac:dyDescent="0.25">
      <c r="A6" s="33">
        <f>M6</f>
        <v>84.286609467713788</v>
      </c>
      <c r="B6" s="34">
        <f t="shared" ref="B6:B15" si="0">IF(H6&gt;$H$2,"",(ROW()-5))</f>
        <v>1</v>
      </c>
      <c r="C6" s="35" t="s">
        <v>19</v>
      </c>
      <c r="D6" s="35" t="s">
        <v>48</v>
      </c>
      <c r="E6" s="35"/>
      <c r="F6" s="35" t="s">
        <v>65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14.286609467713795</v>
      </c>
      <c r="M6" s="38">
        <f t="shared" ref="M6:M69" si="2">IF(I6&lt;&gt;"",K6+I6+L6,0)</f>
        <v>84.286609467713788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21</v>
      </c>
      <c r="D7" s="41" t="s">
        <v>60</v>
      </c>
      <c r="E7" s="41"/>
      <c r="F7" s="41" t="s">
        <v>65</v>
      </c>
      <c r="G7" s="28"/>
      <c r="H7" s="42">
        <v>2</v>
      </c>
      <c r="I7" s="43">
        <f t="shared" ref="I7:I69" si="4">IF(H7&lt;$H$2+1,($I$2-($I$2-1)*(LOG(H7)/LOG($H$2))),"")</f>
        <v>25.5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9.5244063118091962</v>
      </c>
      <c r="M7" s="44">
        <f t="shared" si="2"/>
        <v>45.024406311809194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20</v>
      </c>
      <c r="D8" s="35" t="s">
        <v>45</v>
      </c>
      <c r="E8" s="35"/>
      <c r="F8" s="35" t="s">
        <v>65</v>
      </c>
      <c r="G8" s="28"/>
      <c r="H8" s="36">
        <v>3</v>
      </c>
      <c r="I8" s="37">
        <f t="shared" si="4"/>
        <v>11.168418732331673</v>
      </c>
      <c r="J8" s="36">
        <f t="shared" si="5"/>
        <v>0</v>
      </c>
      <c r="K8" s="36">
        <f t="shared" si="1"/>
        <v>0</v>
      </c>
      <c r="L8" s="38">
        <f>K2</f>
        <v>4.7622031559045981</v>
      </c>
      <c r="M8" s="38">
        <f t="shared" si="2"/>
        <v>15.930621888236271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24</v>
      </c>
      <c r="D9" s="41" t="s">
        <v>70</v>
      </c>
      <c r="E9" s="41"/>
      <c r="F9" s="41"/>
      <c r="G9" s="28"/>
      <c r="H9" s="42">
        <v>4</v>
      </c>
      <c r="I9" s="43">
        <f t="shared" si="4"/>
        <v>1</v>
      </c>
      <c r="J9" s="42">
        <f t="shared" si="5"/>
        <v>0</v>
      </c>
      <c r="K9" s="42">
        <f t="shared" si="1"/>
        <v>0</v>
      </c>
      <c r="L9" s="44"/>
      <c r="M9" s="44">
        <f t="shared" si="2"/>
        <v>1</v>
      </c>
      <c r="V9" s="45"/>
      <c r="Z9" s="46"/>
      <c r="AA9" s="46"/>
      <c r="AG9" s="47"/>
      <c r="AH9" s="19" t="s">
        <v>49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1"/>
        <v>-10</v>
      </c>
      <c r="L10" s="36"/>
      <c r="M10" s="38">
        <f t="shared" si="2"/>
        <v>0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1"/>
        <v>-10</v>
      </c>
      <c r="L11" s="42"/>
      <c r="M11" s="44">
        <f t="shared" si="2"/>
        <v>0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1"/>
        <v>-10</v>
      </c>
      <c r="L12" s="36"/>
      <c r="M12" s="38">
        <f t="shared" si="2"/>
        <v>0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1"/>
        <v>-10</v>
      </c>
      <c r="L13" s="42"/>
      <c r="M13" s="44">
        <f t="shared" si="2"/>
        <v>0</v>
      </c>
      <c r="X13" s="45"/>
      <c r="AG13" s="47"/>
      <c r="AH13" s="19" t="s">
        <v>55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1"/>
        <v>-20</v>
      </c>
      <c r="L14" s="36"/>
      <c r="M14" s="38">
        <f t="shared" si="2"/>
        <v>0</v>
      </c>
      <c r="X14" s="51"/>
      <c r="Z14" s="46"/>
      <c r="AA14" s="46"/>
      <c r="AG14" s="47"/>
      <c r="AH14" s="19" t="s">
        <v>56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1"/>
        <v>-20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ref="B16:B65" si="6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1"/>
        <v>-20</v>
      </c>
      <c r="L16" s="36"/>
      <c r="M16" s="38">
        <f t="shared" si="2"/>
        <v>0</v>
      </c>
      <c r="R16" s="52"/>
      <c r="Z16" s="46"/>
      <c r="AA16" s="46"/>
      <c r="AH16" s="53" t="s">
        <v>57</v>
      </c>
      <c r="AI16" s="19">
        <f>AI11-AI12*AI13/AI14</f>
        <v>9.6393909380186855</v>
      </c>
      <c r="AJ16" s="19" t="s">
        <v>58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1"/>
        <v>-20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1"/>
        <v>-20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1"/>
        <v>-20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1"/>
        <v>-20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1"/>
        <v>-20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1"/>
        <v>-30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1"/>
        <v>-30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1"/>
        <v>-30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1"/>
        <v>-30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1"/>
        <v>-30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1"/>
        <v>-30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1"/>
        <v>-30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1"/>
        <v>-30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1"/>
        <v>-30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1"/>
        <v>-30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1"/>
        <v>-30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1"/>
        <v>-30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1"/>
        <v>-30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1"/>
        <v>-30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1"/>
        <v>-30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1"/>
        <v>-30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1"/>
        <v>-40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1"/>
        <v>-40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1"/>
        <v>-40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1"/>
        <v>-40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1"/>
        <v>-40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1"/>
        <v>-40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1"/>
        <v>-40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1"/>
        <v>-40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1"/>
        <v>-40</v>
      </c>
      <c r="L46" s="36"/>
      <c r="M46" s="38">
        <f t="shared" si="2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1"/>
        <v>-40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1"/>
        <v>-40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1"/>
        <v>-40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1"/>
        <v>-40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1"/>
        <v>-40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1"/>
        <v>-40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1"/>
        <v>-40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1"/>
        <v>-40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1"/>
        <v>-40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1"/>
        <v>-40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1"/>
        <v>-40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1"/>
        <v>-40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1"/>
        <v>-40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1"/>
        <v>-40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1"/>
        <v>-40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1"/>
        <v>-40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1"/>
        <v>-40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1"/>
        <v>-40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1"/>
        <v>-40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1"/>
        <v>-40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1"/>
        <v>-40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1"/>
        <v>-40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1"/>
        <v>-40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312F1438-30CD-49C9-A6A5-BC4F409E0A60}">
      <formula1>#REF!</formula1>
    </dataValidation>
  </dataValidations>
  <hyperlinks>
    <hyperlink ref="C2:D2" r:id="rId1" location="today" display="OPOLE" xr:uid="{E5E5F7B1-23B0-4254-A9C3-B5AD8940927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B398-AE89-47E9-88FC-D6181777ED87}">
  <sheetPr codeName="Arkusz6">
    <tabColor rgb="FF92D050"/>
  </sheetPr>
  <dimension ref="A1:AL317"/>
  <sheetViews>
    <sheetView workbookViewId="0">
      <selection activeCell="D23" sqref="D23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25</v>
      </c>
      <c r="I1" s="16" t="s">
        <v>26</v>
      </c>
      <c r="J1" s="16" t="s">
        <v>27</v>
      </c>
      <c r="K1" s="17" t="s">
        <v>28</v>
      </c>
      <c r="L1" s="18"/>
      <c r="M1" s="18"/>
    </row>
    <row r="2" spans="1:36" x14ac:dyDescent="0.25">
      <c r="A2" s="14"/>
      <c r="B2" s="20" t="s">
        <v>29</v>
      </c>
      <c r="C2" s="271" t="s">
        <v>71</v>
      </c>
      <c r="D2" s="271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18"/>
      <c r="M2" s="18"/>
    </row>
    <row r="3" spans="1:36" ht="14.3" customHeight="1" x14ac:dyDescent="0.25">
      <c r="A3" s="14"/>
      <c r="B3" s="25" t="s">
        <v>31</v>
      </c>
      <c r="C3" s="272" t="s">
        <v>72</v>
      </c>
      <c r="D3" s="272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30" t="s">
        <v>39</v>
      </c>
      <c r="I5" s="31" t="s">
        <v>40</v>
      </c>
      <c r="J5" s="32" t="s">
        <v>41</v>
      </c>
      <c r="K5" s="31" t="s">
        <v>42</v>
      </c>
      <c r="L5" s="31" t="s">
        <v>43</v>
      </c>
      <c r="M5" s="30" t="s">
        <v>44</v>
      </c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19</v>
      </c>
      <c r="D6" s="35" t="s">
        <v>73</v>
      </c>
      <c r="E6" s="35"/>
      <c r="F6" s="35" t="s">
        <v>74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14.286609467713795</v>
      </c>
      <c r="M6" s="38">
        <f t="shared" ref="M6:M69" si="2">IF(I6&lt;&gt;"",K6+I6+L6,0)</f>
        <v>84.286609467713788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20</v>
      </c>
      <c r="D7" s="41" t="s">
        <v>45</v>
      </c>
      <c r="E7" s="41"/>
      <c r="F7" s="41" t="s">
        <v>74</v>
      </c>
      <c r="G7" s="28"/>
      <c r="H7" s="42">
        <v>2</v>
      </c>
      <c r="I7" s="43">
        <f t="shared" ref="I7:I69" si="4">IF(H7&lt;$H$2+1,($I$2-($I$2-1)*(LOG(H7)/LOG($H$2))),"")</f>
        <v>25.5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9.5244063118091962</v>
      </c>
      <c r="M7" s="44">
        <f t="shared" si="2"/>
        <v>45.024406311809194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23</v>
      </c>
      <c r="D8" s="35" t="s">
        <v>75</v>
      </c>
      <c r="E8" s="35"/>
      <c r="F8" s="35" t="s">
        <v>74</v>
      </c>
      <c r="G8" s="28"/>
      <c r="H8" s="36">
        <v>3</v>
      </c>
      <c r="I8" s="37">
        <f t="shared" si="4"/>
        <v>11.168418732331673</v>
      </c>
      <c r="J8" s="36">
        <f t="shared" si="5"/>
        <v>0</v>
      </c>
      <c r="K8" s="36">
        <f t="shared" si="1"/>
        <v>0</v>
      </c>
      <c r="L8" s="38">
        <f>K2</f>
        <v>4.7622031559045981</v>
      </c>
      <c r="M8" s="38">
        <f t="shared" si="2"/>
        <v>15.930621888236271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24</v>
      </c>
      <c r="D9" s="41" t="s">
        <v>76</v>
      </c>
      <c r="E9" s="41"/>
      <c r="F9" s="41" t="s">
        <v>74</v>
      </c>
      <c r="G9" s="28"/>
      <c r="H9" s="42">
        <v>4</v>
      </c>
      <c r="I9" s="43">
        <f t="shared" si="4"/>
        <v>1</v>
      </c>
      <c r="J9" s="42">
        <f t="shared" si="5"/>
        <v>0</v>
      </c>
      <c r="K9" s="42">
        <f t="shared" si="1"/>
        <v>0</v>
      </c>
      <c r="L9" s="44"/>
      <c r="M9" s="44">
        <f t="shared" si="2"/>
        <v>1</v>
      </c>
      <c r="V9" s="45"/>
      <c r="Z9" s="46"/>
      <c r="AA9" s="46"/>
      <c r="AG9" s="47"/>
      <c r="AH9" s="19" t="s">
        <v>49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1"/>
        <v>-10</v>
      </c>
      <c r="L10" s="36"/>
      <c r="M10" s="38">
        <f t="shared" si="2"/>
        <v>0</v>
      </c>
      <c r="V10" s="45"/>
      <c r="Z10" s="46"/>
      <c r="AA10" s="46"/>
      <c r="AG10" s="47"/>
      <c r="AH10" s="19" t="s">
        <v>52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1"/>
        <v>-10</v>
      </c>
      <c r="L11" s="42"/>
      <c r="M11" s="44">
        <f t="shared" si="2"/>
        <v>0</v>
      </c>
      <c r="V11" s="48"/>
      <c r="Z11" s="46"/>
      <c r="AA11" s="46"/>
      <c r="AG11" s="47"/>
      <c r="AH11" s="19" t="s">
        <v>53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1"/>
        <v>-10</v>
      </c>
      <c r="L12" s="36"/>
      <c r="M12" s="38">
        <f t="shared" si="2"/>
        <v>0</v>
      </c>
      <c r="Z12" s="46"/>
      <c r="AA12" s="46"/>
      <c r="AG12" s="47"/>
      <c r="AH12" s="19" t="s">
        <v>54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1"/>
        <v>-10</v>
      </c>
      <c r="L13" s="42"/>
      <c r="M13" s="44">
        <f t="shared" si="2"/>
        <v>0</v>
      </c>
      <c r="X13" s="45"/>
      <c r="AG13" s="47"/>
      <c r="AH13" s="19" t="s">
        <v>55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1"/>
        <v>-20</v>
      </c>
      <c r="L14" s="36"/>
      <c r="M14" s="38">
        <f t="shared" si="2"/>
        <v>0</v>
      </c>
      <c r="X14" s="51"/>
      <c r="Z14" s="46"/>
      <c r="AA14" s="46"/>
      <c r="AG14" s="47"/>
      <c r="AH14" s="19" t="s">
        <v>56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1"/>
        <v>-20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1"/>
        <v>-20</v>
      </c>
      <c r="L16" s="36"/>
      <c r="M16" s="38">
        <f t="shared" si="2"/>
        <v>0</v>
      </c>
      <c r="R16" s="52"/>
      <c r="Z16" s="46"/>
      <c r="AA16" s="46"/>
      <c r="AH16" s="53" t="s">
        <v>57</v>
      </c>
      <c r="AI16" s="19">
        <f>AI11-AI12*AI13/AI14</f>
        <v>9.6393909380186855</v>
      </c>
      <c r="AJ16" s="19" t="s">
        <v>58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1"/>
        <v>-20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1"/>
        <v>-20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1"/>
        <v>-20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1"/>
        <v>-20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1"/>
        <v>-20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1"/>
        <v>-30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1"/>
        <v>-30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1"/>
        <v>-30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1"/>
        <v>-30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1"/>
        <v>-30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1"/>
        <v>-30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1"/>
        <v>-30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1"/>
        <v>-30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1"/>
        <v>-30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1"/>
        <v>-30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1"/>
        <v>-30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1"/>
        <v>-30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1"/>
        <v>-30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1"/>
        <v>-30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1"/>
        <v>-30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1"/>
        <v>-30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1"/>
        <v>-40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1"/>
        <v>-40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1"/>
        <v>-40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1"/>
        <v>-40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1"/>
        <v>-40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1"/>
        <v>-40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1"/>
        <v>-40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1"/>
        <v>-40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1"/>
        <v>-40</v>
      </c>
      <c r="L46" s="36"/>
      <c r="M46" s="38">
        <f t="shared" si="2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1"/>
        <v>-40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1"/>
        <v>-40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1"/>
        <v>-40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1"/>
        <v>-40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1"/>
        <v>-40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1"/>
        <v>-40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1"/>
        <v>-40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1"/>
        <v>-40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1"/>
        <v>-40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1"/>
        <v>-40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1"/>
        <v>-40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1"/>
        <v>-40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1"/>
        <v>-40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1"/>
        <v>-40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1"/>
        <v>-40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1"/>
        <v>-40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1"/>
        <v>-40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1"/>
        <v>-40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1"/>
        <v>-40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1"/>
        <v>-40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1"/>
        <v>-40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1"/>
        <v>-40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1"/>
        <v>-40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F1C1DF2B-6F5E-4162-9C69-163813712DB3}">
      <formula1>#REF!</formula1>
    </dataValidation>
  </dataValidations>
  <hyperlinks>
    <hyperlink ref="C2:D2" r:id="rId1" display="GDAŃSK" xr:uid="{2235F246-E66E-4A62-B910-29D4DCC4DF6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BB72-AA8C-4705-9A03-F8171F0D8F63}">
  <sheetPr codeName="Arkusz7">
    <tabColor rgb="FF92D050"/>
  </sheetPr>
  <dimension ref="A1:AL317"/>
  <sheetViews>
    <sheetView workbookViewId="0">
      <selection activeCell="C21" sqref="C21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69"/>
    <col min="9" max="9" width="11" style="169" customWidth="1"/>
    <col min="10" max="10" width="15.25" style="169" customWidth="1"/>
    <col min="11" max="11" width="8.75" style="169" customWidth="1"/>
    <col min="12" max="12" width="11" style="169" customWidth="1"/>
    <col min="13" max="13" width="11.75" style="170" customWidth="1"/>
    <col min="14" max="15" width="13.875" style="136" customWidth="1"/>
    <col min="16" max="18" width="8.875" style="136"/>
    <col min="19" max="20" width="8.875" style="141"/>
    <col min="21" max="21" width="12.125" style="141" customWidth="1"/>
    <col min="22" max="22" width="27.375" style="141" customWidth="1"/>
    <col min="23" max="38" width="8.875" style="141"/>
    <col min="39" max="16384" width="8.875" style="167"/>
  </cols>
  <sheetData>
    <row r="1" spans="1:36" x14ac:dyDescent="0.25">
      <c r="A1" s="136"/>
      <c r="B1" s="136"/>
      <c r="C1" s="136"/>
      <c r="D1" s="136"/>
      <c r="E1" s="136"/>
      <c r="F1" s="136"/>
      <c r="G1" s="136"/>
      <c r="H1" s="137" t="s">
        <v>25</v>
      </c>
      <c r="I1" s="138" t="s">
        <v>26</v>
      </c>
      <c r="J1" s="138" t="s">
        <v>27</v>
      </c>
      <c r="K1" s="139" t="s">
        <v>28</v>
      </c>
      <c r="L1" s="140"/>
      <c r="M1" s="140"/>
    </row>
    <row r="2" spans="1:36" ht="14.45" customHeight="1" x14ac:dyDescent="0.25">
      <c r="A2" s="136"/>
      <c r="B2" s="20" t="s">
        <v>29</v>
      </c>
      <c r="C2" s="271" t="s">
        <v>77</v>
      </c>
      <c r="D2" s="271"/>
      <c r="E2" s="21"/>
      <c r="F2" s="21"/>
      <c r="G2" s="21"/>
      <c r="H2" s="142">
        <v>4</v>
      </c>
      <c r="I2" s="143">
        <v>50</v>
      </c>
      <c r="J2" s="143">
        <v>10</v>
      </c>
      <c r="K2" s="144">
        <f>3*H2^(1/3)</f>
        <v>4.7622031559045981</v>
      </c>
      <c r="L2" s="140"/>
      <c r="M2" s="140"/>
    </row>
    <row r="3" spans="1:36" ht="14.45" customHeight="1" x14ac:dyDescent="0.25">
      <c r="A3" s="136"/>
      <c r="B3" s="145" t="s">
        <v>31</v>
      </c>
      <c r="C3" s="272" t="s">
        <v>78</v>
      </c>
      <c r="D3" s="272"/>
      <c r="E3" s="26"/>
      <c r="F3" s="26"/>
      <c r="G3" s="26"/>
      <c r="H3" s="140"/>
      <c r="I3" s="140"/>
      <c r="J3" s="146"/>
      <c r="K3" s="140"/>
      <c r="L3" s="140"/>
      <c r="M3" s="14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40"/>
      <c r="I4" s="140"/>
      <c r="J4" s="146"/>
      <c r="K4" s="140"/>
      <c r="L4" s="140"/>
      <c r="M4" s="140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47" t="s">
        <v>39</v>
      </c>
      <c r="I5" s="148" t="s">
        <v>40</v>
      </c>
      <c r="J5" s="149" t="s">
        <v>41</v>
      </c>
      <c r="K5" s="148" t="s">
        <v>42</v>
      </c>
      <c r="L5" s="148" t="s">
        <v>43</v>
      </c>
      <c r="M5" s="147" t="s">
        <v>44</v>
      </c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21</v>
      </c>
      <c r="D6" s="35" t="s">
        <v>60</v>
      </c>
      <c r="E6" s="35" t="s">
        <v>74</v>
      </c>
      <c r="F6" s="35"/>
      <c r="G6" s="28"/>
      <c r="H6" s="150">
        <v>1</v>
      </c>
      <c r="I6" s="151">
        <f>IF(H2=1,50,IF(H6&lt;$H$2+1,($I$2-($I$2-1)*(LOG(H6)/LOG($H$2))),""))</f>
        <v>50</v>
      </c>
      <c r="J6" s="150">
        <f>INT(LOG($H$2,2))-ROUNDUP(LOG(H6,2),0)+IF(OR($H$2=1,$H$2=2,$H$2=4,$H$2=8,$H$2=16,$H$2=32,$H$2=64,$H$2=128,$H$2=256),0,1)</f>
        <v>2</v>
      </c>
      <c r="K6" s="150">
        <f t="shared" ref="K6:K69" si="1">J6*$J$2</f>
        <v>20</v>
      </c>
      <c r="L6" s="152">
        <f>3*K2</f>
        <v>14.286609467713795</v>
      </c>
      <c r="M6" s="152">
        <f t="shared" ref="M6:M69" si="2">IF(I6&lt;&gt;"",K6+I6+L6,0)</f>
        <v>84.286609467713788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19</v>
      </c>
      <c r="D7" s="41" t="s">
        <v>48</v>
      </c>
      <c r="E7" s="41" t="s">
        <v>74</v>
      </c>
      <c r="F7" s="41"/>
      <c r="G7" s="28"/>
      <c r="H7" s="153">
        <v>2</v>
      </c>
      <c r="I7" s="154">
        <f t="shared" ref="I7:I70" si="4">IF(H7&lt;$H$2+1,($I$2-($I$2-1)*(LOG(H7)/LOG($H$2))),"")</f>
        <v>25.5</v>
      </c>
      <c r="J7" s="153">
        <f t="shared" ref="J7:J70" si="5">INT(LOG($H$2,2))-ROUNDUP(LOG(H7,2),0)+IF(OR($H$2=1,$H$2=2,$H$2=4,$H$2=8,$H$2=16,$H$2=32,$H$2=64,$H$2=128,$H$2=256),0,1)</f>
        <v>1</v>
      </c>
      <c r="K7" s="153">
        <f t="shared" si="1"/>
        <v>10</v>
      </c>
      <c r="L7" s="155">
        <f>2*K2</f>
        <v>9.5244063118091962</v>
      </c>
      <c r="M7" s="155">
        <f t="shared" si="2"/>
        <v>45.024406311809194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23</v>
      </c>
      <c r="D8" s="35" t="s">
        <v>75</v>
      </c>
      <c r="E8" s="35" t="s">
        <v>74</v>
      </c>
      <c r="F8" s="35"/>
      <c r="G8" s="28"/>
      <c r="H8" s="150">
        <v>3</v>
      </c>
      <c r="I8" s="151">
        <f t="shared" si="4"/>
        <v>11.168418732331673</v>
      </c>
      <c r="J8" s="150">
        <f t="shared" si="5"/>
        <v>0</v>
      </c>
      <c r="K8" s="150">
        <f t="shared" si="1"/>
        <v>0</v>
      </c>
      <c r="L8" s="152">
        <f>K2</f>
        <v>4.7622031559045981</v>
      </c>
      <c r="M8" s="152">
        <f t="shared" si="2"/>
        <v>15.930621888236271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24</v>
      </c>
      <c r="D9" s="41" t="s">
        <v>70</v>
      </c>
      <c r="E9" s="41" t="s">
        <v>74</v>
      </c>
      <c r="F9" s="41"/>
      <c r="G9" s="28"/>
      <c r="H9" s="153">
        <v>4</v>
      </c>
      <c r="I9" s="154">
        <f t="shared" si="4"/>
        <v>1</v>
      </c>
      <c r="J9" s="153">
        <f t="shared" si="5"/>
        <v>0</v>
      </c>
      <c r="K9" s="153">
        <f t="shared" si="1"/>
        <v>0</v>
      </c>
      <c r="L9" s="155"/>
      <c r="M9" s="155">
        <f t="shared" si="2"/>
        <v>1</v>
      </c>
      <c r="V9" s="156"/>
      <c r="Z9" s="157"/>
      <c r="AA9" s="157"/>
      <c r="AG9" s="158"/>
      <c r="AH9" s="141" t="s">
        <v>49</v>
      </c>
      <c r="AI9" s="141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50">
        <v>5</v>
      </c>
      <c r="I10" s="151" t="str">
        <f t="shared" si="4"/>
        <v/>
      </c>
      <c r="J10" s="150">
        <f t="shared" si="5"/>
        <v>-1</v>
      </c>
      <c r="K10" s="150">
        <f t="shared" si="1"/>
        <v>-10</v>
      </c>
      <c r="L10" s="150"/>
      <c r="M10" s="152">
        <f t="shared" si="2"/>
        <v>0</v>
      </c>
      <c r="V10" s="156"/>
      <c r="Z10" s="157"/>
      <c r="AA10" s="157"/>
      <c r="AG10" s="158"/>
      <c r="AH10" s="141" t="s">
        <v>52</v>
      </c>
      <c r="AI10" s="141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53">
        <v>6</v>
      </c>
      <c r="I11" s="154" t="str">
        <f t="shared" si="4"/>
        <v/>
      </c>
      <c r="J11" s="153">
        <f t="shared" si="5"/>
        <v>-1</v>
      </c>
      <c r="K11" s="153">
        <f t="shared" si="1"/>
        <v>-10</v>
      </c>
      <c r="L11" s="153"/>
      <c r="M11" s="155">
        <f t="shared" si="2"/>
        <v>0</v>
      </c>
      <c r="V11" s="159"/>
      <c r="Z11" s="157"/>
      <c r="AA11" s="157"/>
      <c r="AG11" s="158"/>
      <c r="AH11" s="141" t="s">
        <v>53</v>
      </c>
      <c r="AI11" s="141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50">
        <v>7</v>
      </c>
      <c r="I12" s="151" t="str">
        <f t="shared" si="4"/>
        <v/>
      </c>
      <c r="J12" s="150">
        <f t="shared" si="5"/>
        <v>-1</v>
      </c>
      <c r="K12" s="150">
        <f t="shared" si="1"/>
        <v>-10</v>
      </c>
      <c r="L12" s="150"/>
      <c r="M12" s="152">
        <f t="shared" si="2"/>
        <v>0</v>
      </c>
      <c r="Z12" s="157"/>
      <c r="AA12" s="157"/>
      <c r="AG12" s="158"/>
      <c r="AH12" s="141" t="s">
        <v>54</v>
      </c>
      <c r="AI12" s="141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53">
        <v>8</v>
      </c>
      <c r="I13" s="154" t="str">
        <f t="shared" si="4"/>
        <v/>
      </c>
      <c r="J13" s="153">
        <f t="shared" si="5"/>
        <v>-1</v>
      </c>
      <c r="K13" s="153">
        <f t="shared" si="1"/>
        <v>-10</v>
      </c>
      <c r="L13" s="153"/>
      <c r="M13" s="155">
        <f t="shared" si="2"/>
        <v>0</v>
      </c>
      <c r="X13" s="156"/>
      <c r="AG13" s="158"/>
      <c r="AH13" s="141" t="s">
        <v>55</v>
      </c>
      <c r="AI13" s="141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50">
        <v>9</v>
      </c>
      <c r="I14" s="151" t="str">
        <f t="shared" si="4"/>
        <v/>
      </c>
      <c r="J14" s="150">
        <f t="shared" si="5"/>
        <v>-2</v>
      </c>
      <c r="K14" s="150">
        <f t="shared" si="1"/>
        <v>-20</v>
      </c>
      <c r="L14" s="150"/>
      <c r="M14" s="152">
        <f t="shared" si="2"/>
        <v>0</v>
      </c>
      <c r="X14" s="160"/>
      <c r="Z14" s="157"/>
      <c r="AA14" s="157"/>
      <c r="AG14" s="158"/>
      <c r="AH14" s="141" t="s">
        <v>56</v>
      </c>
      <c r="AI14" s="141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53">
        <v>10</v>
      </c>
      <c r="I15" s="154" t="str">
        <f t="shared" si="4"/>
        <v/>
      </c>
      <c r="J15" s="153">
        <f t="shared" si="5"/>
        <v>-2</v>
      </c>
      <c r="K15" s="153">
        <f t="shared" si="1"/>
        <v>-20</v>
      </c>
      <c r="L15" s="153"/>
      <c r="M15" s="155">
        <f t="shared" si="2"/>
        <v>0</v>
      </c>
      <c r="X15" s="156"/>
      <c r="Z15" s="157"/>
      <c r="AA15" s="157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50">
        <v>11</v>
      </c>
      <c r="I16" s="151" t="str">
        <f t="shared" si="4"/>
        <v/>
      </c>
      <c r="J16" s="150">
        <f t="shared" si="5"/>
        <v>-2</v>
      </c>
      <c r="K16" s="150">
        <f t="shared" si="1"/>
        <v>-20</v>
      </c>
      <c r="L16" s="150"/>
      <c r="M16" s="152">
        <f t="shared" si="2"/>
        <v>0</v>
      </c>
      <c r="R16" s="161"/>
      <c r="Z16" s="157"/>
      <c r="AA16" s="157"/>
      <c r="AH16" s="162" t="s">
        <v>57</v>
      </c>
      <c r="AI16" s="141">
        <f>AI11-AI12*AI13/AI14</f>
        <v>9.6393909380186855</v>
      </c>
      <c r="AJ16" s="141" t="s">
        <v>58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53">
        <v>12</v>
      </c>
      <c r="I17" s="154" t="str">
        <f t="shared" si="4"/>
        <v/>
      </c>
      <c r="J17" s="153">
        <f t="shared" si="5"/>
        <v>-2</v>
      </c>
      <c r="K17" s="153">
        <f t="shared" si="1"/>
        <v>-20</v>
      </c>
      <c r="L17" s="153"/>
      <c r="M17" s="155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50">
        <v>13</v>
      </c>
      <c r="I18" s="151" t="str">
        <f t="shared" si="4"/>
        <v/>
      </c>
      <c r="J18" s="150">
        <f t="shared" si="5"/>
        <v>-2</v>
      </c>
      <c r="K18" s="150">
        <f t="shared" si="1"/>
        <v>-20</v>
      </c>
      <c r="L18" s="150"/>
      <c r="M18" s="152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53">
        <v>14</v>
      </c>
      <c r="I19" s="154" t="str">
        <f t="shared" si="4"/>
        <v/>
      </c>
      <c r="J19" s="153">
        <f t="shared" si="5"/>
        <v>-2</v>
      </c>
      <c r="K19" s="153">
        <f t="shared" si="1"/>
        <v>-20</v>
      </c>
      <c r="L19" s="153"/>
      <c r="M19" s="155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50">
        <v>15</v>
      </c>
      <c r="I20" s="151" t="str">
        <f t="shared" si="4"/>
        <v/>
      </c>
      <c r="J20" s="150">
        <f t="shared" si="5"/>
        <v>-2</v>
      </c>
      <c r="K20" s="150">
        <f t="shared" si="1"/>
        <v>-20</v>
      </c>
      <c r="L20" s="150"/>
      <c r="M20" s="152">
        <f t="shared" si="2"/>
        <v>0</v>
      </c>
      <c r="R20" s="163"/>
      <c r="S20" s="164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53">
        <v>16</v>
      </c>
      <c r="I21" s="154" t="str">
        <f t="shared" si="4"/>
        <v/>
      </c>
      <c r="J21" s="153">
        <f t="shared" si="5"/>
        <v>-2</v>
      </c>
      <c r="K21" s="153">
        <f t="shared" si="1"/>
        <v>-20</v>
      </c>
      <c r="L21" s="153"/>
      <c r="M21" s="155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50">
        <v>17</v>
      </c>
      <c r="I22" s="151" t="str">
        <f t="shared" si="4"/>
        <v/>
      </c>
      <c r="J22" s="150">
        <f t="shared" si="5"/>
        <v>-3</v>
      </c>
      <c r="K22" s="150">
        <f t="shared" si="1"/>
        <v>-30</v>
      </c>
      <c r="L22" s="150"/>
      <c r="M22" s="152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53">
        <v>18</v>
      </c>
      <c r="I23" s="154" t="str">
        <f t="shared" si="4"/>
        <v/>
      </c>
      <c r="J23" s="153">
        <f t="shared" si="5"/>
        <v>-3</v>
      </c>
      <c r="K23" s="153">
        <f t="shared" si="1"/>
        <v>-30</v>
      </c>
      <c r="L23" s="153"/>
      <c r="M23" s="155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50">
        <v>19</v>
      </c>
      <c r="I24" s="151" t="str">
        <f t="shared" si="4"/>
        <v/>
      </c>
      <c r="J24" s="150">
        <f t="shared" si="5"/>
        <v>-3</v>
      </c>
      <c r="K24" s="150">
        <f t="shared" si="1"/>
        <v>-30</v>
      </c>
      <c r="L24" s="150"/>
      <c r="M24" s="152">
        <f t="shared" si="2"/>
        <v>0</v>
      </c>
      <c r="R24" s="163"/>
      <c r="S24" s="164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53">
        <v>20</v>
      </c>
      <c r="I25" s="154" t="str">
        <f t="shared" si="4"/>
        <v/>
      </c>
      <c r="J25" s="153">
        <f t="shared" si="5"/>
        <v>-3</v>
      </c>
      <c r="K25" s="153">
        <f t="shared" si="1"/>
        <v>-30</v>
      </c>
      <c r="L25" s="153"/>
      <c r="M25" s="155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50">
        <v>21</v>
      </c>
      <c r="I26" s="151" t="str">
        <f t="shared" si="4"/>
        <v/>
      </c>
      <c r="J26" s="150">
        <f t="shared" si="5"/>
        <v>-3</v>
      </c>
      <c r="K26" s="150">
        <f t="shared" si="1"/>
        <v>-30</v>
      </c>
      <c r="L26" s="150"/>
      <c r="M26" s="152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53">
        <v>22</v>
      </c>
      <c r="I27" s="154" t="str">
        <f t="shared" si="4"/>
        <v/>
      </c>
      <c r="J27" s="153">
        <f t="shared" si="5"/>
        <v>-3</v>
      </c>
      <c r="K27" s="153">
        <f t="shared" si="1"/>
        <v>-30</v>
      </c>
      <c r="L27" s="153"/>
      <c r="M27" s="155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50">
        <v>23</v>
      </c>
      <c r="I28" s="151" t="str">
        <f t="shared" si="4"/>
        <v/>
      </c>
      <c r="J28" s="150">
        <f t="shared" si="5"/>
        <v>-3</v>
      </c>
      <c r="K28" s="150">
        <f t="shared" si="1"/>
        <v>-30</v>
      </c>
      <c r="L28" s="150"/>
      <c r="M28" s="152">
        <f t="shared" si="2"/>
        <v>0</v>
      </c>
      <c r="R28" s="163"/>
      <c r="S28" s="164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36"/>
      <c r="H29" s="153">
        <v>24</v>
      </c>
      <c r="I29" s="154" t="str">
        <f t="shared" si="4"/>
        <v/>
      </c>
      <c r="J29" s="153">
        <f t="shared" si="5"/>
        <v>-3</v>
      </c>
      <c r="K29" s="153">
        <f t="shared" si="1"/>
        <v>-30</v>
      </c>
      <c r="L29" s="153"/>
      <c r="M29" s="155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36"/>
      <c r="H30" s="150">
        <v>25</v>
      </c>
      <c r="I30" s="151" t="str">
        <f t="shared" si="4"/>
        <v/>
      </c>
      <c r="J30" s="150">
        <f t="shared" si="5"/>
        <v>-3</v>
      </c>
      <c r="K30" s="150">
        <f t="shared" si="1"/>
        <v>-30</v>
      </c>
      <c r="L30" s="150"/>
      <c r="M30" s="152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36"/>
      <c r="H31" s="153">
        <v>26</v>
      </c>
      <c r="I31" s="154" t="str">
        <f t="shared" si="4"/>
        <v/>
      </c>
      <c r="J31" s="153">
        <f t="shared" si="5"/>
        <v>-3</v>
      </c>
      <c r="K31" s="153">
        <f t="shared" si="1"/>
        <v>-30</v>
      </c>
      <c r="L31" s="153"/>
      <c r="M31" s="155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36"/>
      <c r="H32" s="150">
        <v>27</v>
      </c>
      <c r="I32" s="151" t="str">
        <f t="shared" si="4"/>
        <v/>
      </c>
      <c r="J32" s="150">
        <f t="shared" si="5"/>
        <v>-3</v>
      </c>
      <c r="K32" s="150">
        <f t="shared" si="1"/>
        <v>-30</v>
      </c>
      <c r="L32" s="150"/>
      <c r="M32" s="152">
        <f t="shared" si="2"/>
        <v>0</v>
      </c>
      <c r="R32" s="163"/>
      <c r="S32" s="164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36"/>
      <c r="H33" s="153">
        <v>28</v>
      </c>
      <c r="I33" s="154" t="str">
        <f t="shared" si="4"/>
        <v/>
      </c>
      <c r="J33" s="153">
        <f t="shared" si="5"/>
        <v>-3</v>
      </c>
      <c r="K33" s="153">
        <f t="shared" si="1"/>
        <v>-30</v>
      </c>
      <c r="L33" s="153"/>
      <c r="M33" s="155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36"/>
      <c r="H34" s="150">
        <v>29</v>
      </c>
      <c r="I34" s="151" t="str">
        <f t="shared" si="4"/>
        <v/>
      </c>
      <c r="J34" s="150">
        <f t="shared" si="5"/>
        <v>-3</v>
      </c>
      <c r="K34" s="150">
        <f t="shared" si="1"/>
        <v>-30</v>
      </c>
      <c r="L34" s="150"/>
      <c r="M34" s="152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36"/>
      <c r="H35" s="153">
        <v>30</v>
      </c>
      <c r="I35" s="154" t="str">
        <f t="shared" si="4"/>
        <v/>
      </c>
      <c r="J35" s="153">
        <f t="shared" si="5"/>
        <v>-3</v>
      </c>
      <c r="K35" s="153">
        <f t="shared" si="1"/>
        <v>-30</v>
      </c>
      <c r="L35" s="153"/>
      <c r="M35" s="155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36"/>
      <c r="H36" s="150">
        <v>31</v>
      </c>
      <c r="I36" s="151" t="str">
        <f t="shared" si="4"/>
        <v/>
      </c>
      <c r="J36" s="150">
        <f t="shared" si="5"/>
        <v>-3</v>
      </c>
      <c r="K36" s="150">
        <f t="shared" si="1"/>
        <v>-30</v>
      </c>
      <c r="L36" s="150"/>
      <c r="M36" s="152">
        <f t="shared" si="2"/>
        <v>0</v>
      </c>
      <c r="R36" s="163"/>
      <c r="S36" s="164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36"/>
      <c r="H37" s="153">
        <v>32</v>
      </c>
      <c r="I37" s="154" t="str">
        <f t="shared" si="4"/>
        <v/>
      </c>
      <c r="J37" s="153">
        <f t="shared" si="5"/>
        <v>-3</v>
      </c>
      <c r="K37" s="153">
        <f t="shared" si="1"/>
        <v>-30</v>
      </c>
      <c r="L37" s="153"/>
      <c r="M37" s="155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36"/>
      <c r="H38" s="150">
        <v>33</v>
      </c>
      <c r="I38" s="151" t="str">
        <f t="shared" si="4"/>
        <v/>
      </c>
      <c r="J38" s="150">
        <f t="shared" si="5"/>
        <v>-4</v>
      </c>
      <c r="K38" s="150">
        <f t="shared" si="1"/>
        <v>-40</v>
      </c>
      <c r="L38" s="150"/>
      <c r="M38" s="152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36"/>
      <c r="H39" s="153">
        <v>34</v>
      </c>
      <c r="I39" s="154" t="str">
        <f t="shared" si="4"/>
        <v/>
      </c>
      <c r="J39" s="153">
        <f t="shared" si="5"/>
        <v>-4</v>
      </c>
      <c r="K39" s="153">
        <f t="shared" si="1"/>
        <v>-40</v>
      </c>
      <c r="L39" s="153"/>
      <c r="M39" s="155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36"/>
      <c r="H40" s="150">
        <v>35</v>
      </c>
      <c r="I40" s="151" t="str">
        <f t="shared" si="4"/>
        <v/>
      </c>
      <c r="J40" s="150">
        <f t="shared" si="5"/>
        <v>-4</v>
      </c>
      <c r="K40" s="150">
        <f t="shared" si="1"/>
        <v>-40</v>
      </c>
      <c r="L40" s="150"/>
      <c r="M40" s="152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36"/>
      <c r="H41" s="153">
        <v>36</v>
      </c>
      <c r="I41" s="154" t="str">
        <f t="shared" si="4"/>
        <v/>
      </c>
      <c r="J41" s="153">
        <f t="shared" si="5"/>
        <v>-4</v>
      </c>
      <c r="K41" s="153">
        <f t="shared" si="1"/>
        <v>-40</v>
      </c>
      <c r="L41" s="153"/>
      <c r="M41" s="155">
        <f t="shared" si="2"/>
        <v>0</v>
      </c>
      <c r="S41" s="165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36"/>
      <c r="H42" s="150">
        <v>37</v>
      </c>
      <c r="I42" s="151" t="str">
        <f t="shared" si="4"/>
        <v/>
      </c>
      <c r="J42" s="150">
        <f t="shared" si="5"/>
        <v>-4</v>
      </c>
      <c r="K42" s="150">
        <f t="shared" si="1"/>
        <v>-40</v>
      </c>
      <c r="L42" s="150"/>
      <c r="M42" s="152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36"/>
      <c r="H43" s="153">
        <v>38</v>
      </c>
      <c r="I43" s="154" t="str">
        <f t="shared" si="4"/>
        <v/>
      </c>
      <c r="J43" s="153">
        <f t="shared" si="5"/>
        <v>-4</v>
      </c>
      <c r="K43" s="153">
        <f t="shared" si="1"/>
        <v>-40</v>
      </c>
      <c r="L43" s="153"/>
      <c r="M43" s="155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36"/>
      <c r="H44" s="150">
        <v>39</v>
      </c>
      <c r="I44" s="151" t="str">
        <f t="shared" si="4"/>
        <v/>
      </c>
      <c r="J44" s="150">
        <f t="shared" si="5"/>
        <v>-4</v>
      </c>
      <c r="K44" s="150">
        <f t="shared" si="1"/>
        <v>-40</v>
      </c>
      <c r="L44" s="150"/>
      <c r="M44" s="152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36"/>
      <c r="H45" s="153">
        <v>40</v>
      </c>
      <c r="I45" s="154" t="str">
        <f t="shared" si="4"/>
        <v/>
      </c>
      <c r="J45" s="153">
        <f t="shared" si="5"/>
        <v>-4</v>
      </c>
      <c r="K45" s="153">
        <f t="shared" si="1"/>
        <v>-40</v>
      </c>
      <c r="L45" s="153"/>
      <c r="M45" s="155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36"/>
      <c r="H46" s="150">
        <v>41</v>
      </c>
      <c r="I46" s="151" t="str">
        <f t="shared" si="4"/>
        <v/>
      </c>
      <c r="J46" s="150">
        <f t="shared" si="5"/>
        <v>-4</v>
      </c>
      <c r="K46" s="150">
        <f t="shared" si="1"/>
        <v>-40</v>
      </c>
      <c r="L46" s="150"/>
      <c r="M46" s="152">
        <f t="shared" si="2"/>
        <v>0</v>
      </c>
      <c r="R46" s="136">
        <f>LOG($H$2,2)</f>
        <v>2</v>
      </c>
      <c r="T46" s="141">
        <f>LOG(H38,2)</f>
        <v>5.0443941193584534</v>
      </c>
      <c r="U46" s="141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36"/>
      <c r="H47" s="153">
        <v>42</v>
      </c>
      <c r="I47" s="154" t="str">
        <f t="shared" si="4"/>
        <v/>
      </c>
      <c r="J47" s="153">
        <f t="shared" si="5"/>
        <v>-4</v>
      </c>
      <c r="K47" s="153">
        <f t="shared" si="1"/>
        <v>-40</v>
      </c>
      <c r="L47" s="153"/>
      <c r="M47" s="155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36"/>
      <c r="H48" s="150">
        <v>43</v>
      </c>
      <c r="I48" s="151" t="str">
        <f t="shared" si="4"/>
        <v/>
      </c>
      <c r="J48" s="150">
        <f t="shared" si="5"/>
        <v>-4</v>
      </c>
      <c r="K48" s="150">
        <f t="shared" si="1"/>
        <v>-40</v>
      </c>
      <c r="L48" s="150"/>
      <c r="M48" s="152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36"/>
      <c r="H49" s="153">
        <v>44</v>
      </c>
      <c r="I49" s="154" t="str">
        <f t="shared" si="4"/>
        <v/>
      </c>
      <c r="J49" s="153">
        <f t="shared" si="5"/>
        <v>-4</v>
      </c>
      <c r="K49" s="153">
        <f t="shared" si="1"/>
        <v>-40</v>
      </c>
      <c r="L49" s="153"/>
      <c r="M49" s="155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36"/>
      <c r="H50" s="150">
        <v>45</v>
      </c>
      <c r="I50" s="151" t="str">
        <f t="shared" si="4"/>
        <v/>
      </c>
      <c r="J50" s="150">
        <f t="shared" si="5"/>
        <v>-4</v>
      </c>
      <c r="K50" s="150">
        <f t="shared" si="1"/>
        <v>-40</v>
      </c>
      <c r="L50" s="150"/>
      <c r="M50" s="152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36"/>
      <c r="H51" s="153">
        <v>46</v>
      </c>
      <c r="I51" s="154" t="str">
        <f t="shared" si="4"/>
        <v/>
      </c>
      <c r="J51" s="153">
        <f t="shared" si="5"/>
        <v>-4</v>
      </c>
      <c r="K51" s="153">
        <f t="shared" si="1"/>
        <v>-40</v>
      </c>
      <c r="L51" s="153"/>
      <c r="M51" s="155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36"/>
      <c r="H52" s="150">
        <v>47</v>
      </c>
      <c r="I52" s="151" t="str">
        <f t="shared" si="4"/>
        <v/>
      </c>
      <c r="J52" s="150">
        <f t="shared" si="5"/>
        <v>-4</v>
      </c>
      <c r="K52" s="150">
        <f t="shared" si="1"/>
        <v>-40</v>
      </c>
      <c r="L52" s="150"/>
      <c r="M52" s="152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36"/>
      <c r="H53" s="153">
        <v>48</v>
      </c>
      <c r="I53" s="154" t="str">
        <f t="shared" si="4"/>
        <v/>
      </c>
      <c r="J53" s="153">
        <f t="shared" si="5"/>
        <v>-4</v>
      </c>
      <c r="K53" s="153">
        <f t="shared" si="1"/>
        <v>-40</v>
      </c>
      <c r="L53" s="153"/>
      <c r="M53" s="155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36"/>
      <c r="H54" s="150">
        <v>49</v>
      </c>
      <c r="I54" s="151" t="str">
        <f t="shared" si="4"/>
        <v/>
      </c>
      <c r="J54" s="150">
        <f t="shared" si="5"/>
        <v>-4</v>
      </c>
      <c r="K54" s="150">
        <f t="shared" si="1"/>
        <v>-40</v>
      </c>
      <c r="L54" s="150"/>
      <c r="M54" s="152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36"/>
      <c r="H55" s="153">
        <v>50</v>
      </c>
      <c r="I55" s="154" t="str">
        <f t="shared" si="4"/>
        <v/>
      </c>
      <c r="J55" s="153">
        <f t="shared" si="5"/>
        <v>-4</v>
      </c>
      <c r="K55" s="153">
        <f t="shared" si="1"/>
        <v>-40</v>
      </c>
      <c r="L55" s="153"/>
      <c r="M55" s="155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36"/>
      <c r="H56" s="150">
        <v>51</v>
      </c>
      <c r="I56" s="151" t="str">
        <f t="shared" si="4"/>
        <v/>
      </c>
      <c r="J56" s="150">
        <f t="shared" si="5"/>
        <v>-4</v>
      </c>
      <c r="K56" s="150">
        <f t="shared" si="1"/>
        <v>-40</v>
      </c>
      <c r="L56" s="150"/>
      <c r="M56" s="152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36"/>
      <c r="H57" s="153">
        <v>52</v>
      </c>
      <c r="I57" s="154" t="str">
        <f t="shared" si="4"/>
        <v/>
      </c>
      <c r="J57" s="153">
        <f t="shared" si="5"/>
        <v>-4</v>
      </c>
      <c r="K57" s="153">
        <f t="shared" si="1"/>
        <v>-40</v>
      </c>
      <c r="L57" s="153"/>
      <c r="M57" s="155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36"/>
      <c r="H58" s="150">
        <v>53</v>
      </c>
      <c r="I58" s="151" t="str">
        <f t="shared" si="4"/>
        <v/>
      </c>
      <c r="J58" s="150">
        <f t="shared" si="5"/>
        <v>-4</v>
      </c>
      <c r="K58" s="150">
        <f t="shared" si="1"/>
        <v>-40</v>
      </c>
      <c r="L58" s="150"/>
      <c r="M58" s="152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36"/>
      <c r="H59" s="153">
        <v>54</v>
      </c>
      <c r="I59" s="154" t="str">
        <f t="shared" si="4"/>
        <v/>
      </c>
      <c r="J59" s="153">
        <f t="shared" si="5"/>
        <v>-4</v>
      </c>
      <c r="K59" s="153">
        <f t="shared" si="1"/>
        <v>-40</v>
      </c>
      <c r="L59" s="153"/>
      <c r="M59" s="155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36"/>
      <c r="H60" s="150">
        <v>55</v>
      </c>
      <c r="I60" s="151" t="str">
        <f t="shared" si="4"/>
        <v/>
      </c>
      <c r="J60" s="150">
        <f t="shared" si="5"/>
        <v>-4</v>
      </c>
      <c r="K60" s="150">
        <f t="shared" si="1"/>
        <v>-40</v>
      </c>
      <c r="L60" s="150"/>
      <c r="M60" s="152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36"/>
      <c r="H61" s="153">
        <v>56</v>
      </c>
      <c r="I61" s="154" t="str">
        <f t="shared" si="4"/>
        <v/>
      </c>
      <c r="J61" s="153">
        <f t="shared" si="5"/>
        <v>-4</v>
      </c>
      <c r="K61" s="153">
        <f t="shared" si="1"/>
        <v>-40</v>
      </c>
      <c r="L61" s="153"/>
      <c r="M61" s="155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36"/>
      <c r="H62" s="150">
        <v>57</v>
      </c>
      <c r="I62" s="151" t="str">
        <f t="shared" si="4"/>
        <v/>
      </c>
      <c r="J62" s="150">
        <f t="shared" si="5"/>
        <v>-4</v>
      </c>
      <c r="K62" s="150">
        <f t="shared" si="1"/>
        <v>-40</v>
      </c>
      <c r="L62" s="150"/>
      <c r="M62" s="152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36"/>
      <c r="H63" s="153">
        <v>58</v>
      </c>
      <c r="I63" s="154" t="str">
        <f t="shared" si="4"/>
        <v/>
      </c>
      <c r="J63" s="153">
        <f t="shared" si="5"/>
        <v>-4</v>
      </c>
      <c r="K63" s="153">
        <f t="shared" si="1"/>
        <v>-40</v>
      </c>
      <c r="L63" s="153"/>
      <c r="M63" s="155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36"/>
      <c r="H64" s="150">
        <v>59</v>
      </c>
      <c r="I64" s="151" t="str">
        <f t="shared" si="4"/>
        <v/>
      </c>
      <c r="J64" s="150">
        <f t="shared" si="5"/>
        <v>-4</v>
      </c>
      <c r="K64" s="150">
        <f t="shared" si="1"/>
        <v>-40</v>
      </c>
      <c r="L64" s="150"/>
      <c r="M64" s="152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36"/>
      <c r="H65" s="153">
        <v>60</v>
      </c>
      <c r="I65" s="154" t="str">
        <f t="shared" si="4"/>
        <v/>
      </c>
      <c r="J65" s="153">
        <f t="shared" si="5"/>
        <v>-4</v>
      </c>
      <c r="K65" s="153">
        <f t="shared" si="1"/>
        <v>-40</v>
      </c>
      <c r="L65" s="153"/>
      <c r="M65" s="155">
        <f t="shared" si="2"/>
        <v>0</v>
      </c>
    </row>
    <row r="66" spans="1:13" x14ac:dyDescent="0.25">
      <c r="A66" s="166"/>
      <c r="B66" s="34"/>
      <c r="G66" s="136"/>
      <c r="H66" s="150">
        <v>61</v>
      </c>
      <c r="I66" s="151" t="str">
        <f t="shared" si="4"/>
        <v/>
      </c>
      <c r="J66" s="150">
        <f t="shared" si="5"/>
        <v>-4</v>
      </c>
      <c r="K66" s="150">
        <f t="shared" si="1"/>
        <v>-40</v>
      </c>
      <c r="L66" s="150"/>
      <c r="M66" s="152">
        <f t="shared" si="2"/>
        <v>0</v>
      </c>
    </row>
    <row r="67" spans="1:13" x14ac:dyDescent="0.25">
      <c r="A67" s="166"/>
      <c r="B67" s="40"/>
      <c r="G67" s="136"/>
      <c r="H67" s="150">
        <v>62</v>
      </c>
      <c r="I67" s="151" t="str">
        <f t="shared" si="4"/>
        <v/>
      </c>
      <c r="J67" s="150">
        <f t="shared" si="5"/>
        <v>-4</v>
      </c>
      <c r="K67" s="150">
        <f t="shared" si="1"/>
        <v>-40</v>
      </c>
      <c r="L67" s="150"/>
      <c r="M67" s="152">
        <f t="shared" si="2"/>
        <v>0</v>
      </c>
    </row>
    <row r="68" spans="1:13" x14ac:dyDescent="0.25">
      <c r="A68" s="166"/>
      <c r="B68" s="34"/>
      <c r="G68" s="136"/>
      <c r="H68" s="150">
        <v>63</v>
      </c>
      <c r="I68" s="151" t="str">
        <f t="shared" si="4"/>
        <v/>
      </c>
      <c r="J68" s="150">
        <f t="shared" si="5"/>
        <v>-4</v>
      </c>
      <c r="K68" s="150">
        <f t="shared" si="1"/>
        <v>-40</v>
      </c>
      <c r="L68" s="150"/>
      <c r="M68" s="152">
        <f t="shared" si="2"/>
        <v>0</v>
      </c>
    </row>
    <row r="69" spans="1:13" x14ac:dyDescent="0.25">
      <c r="A69" s="166"/>
      <c r="B69" s="40"/>
      <c r="G69" s="136"/>
      <c r="H69" s="150">
        <v>64</v>
      </c>
      <c r="I69" s="151" t="str">
        <f t="shared" si="4"/>
        <v/>
      </c>
      <c r="J69" s="150">
        <f t="shared" si="5"/>
        <v>-4</v>
      </c>
      <c r="K69" s="150">
        <f t="shared" si="1"/>
        <v>-40</v>
      </c>
      <c r="L69" s="150"/>
      <c r="M69" s="152">
        <f t="shared" si="2"/>
        <v>0</v>
      </c>
    </row>
    <row r="70" spans="1:13" x14ac:dyDescent="0.25">
      <c r="A70" s="166"/>
      <c r="G70" s="136"/>
      <c r="H70" s="150">
        <v>65</v>
      </c>
      <c r="I70" s="151" t="str">
        <f t="shared" si="4"/>
        <v/>
      </c>
      <c r="J70" s="150">
        <f t="shared" si="5"/>
        <v>-5</v>
      </c>
      <c r="K70" s="150">
        <f t="shared" ref="K70:K133" si="7">J70*$J$2</f>
        <v>-50</v>
      </c>
      <c r="L70" s="150"/>
      <c r="M70" s="152">
        <f t="shared" ref="M70:M133" si="8">IF(I70&lt;&gt;"",K70+I70+L70,0)</f>
        <v>0</v>
      </c>
    </row>
    <row r="71" spans="1:13" x14ac:dyDescent="0.25">
      <c r="A71" s="166"/>
      <c r="G71" s="136"/>
      <c r="H71" s="150">
        <v>66</v>
      </c>
      <c r="I71" s="151" t="str">
        <f t="shared" ref="I71:I134" si="9">IF(H71&lt;$H$2+1,($I$2-($I$2-1)*(LOG(H71)/LOG($H$2))),"")</f>
        <v/>
      </c>
      <c r="J71" s="150">
        <f t="shared" ref="J71:J134" si="10">INT(LOG($H$2,2))-ROUNDUP(LOG(H71,2),0)+IF(OR($H$2=1,$H$2=2,$H$2=4,$H$2=8,$H$2=16,$H$2=32,$H$2=64,$H$2=128,$H$2=256),0,1)</f>
        <v>-5</v>
      </c>
      <c r="K71" s="150">
        <f t="shared" si="7"/>
        <v>-50</v>
      </c>
      <c r="L71" s="150"/>
      <c r="M71" s="152">
        <f t="shared" si="8"/>
        <v>0</v>
      </c>
    </row>
    <row r="72" spans="1:13" x14ac:dyDescent="0.25">
      <c r="A72" s="166"/>
      <c r="G72" s="136"/>
      <c r="H72" s="150">
        <v>67</v>
      </c>
      <c r="I72" s="151" t="str">
        <f t="shared" si="9"/>
        <v/>
      </c>
      <c r="J72" s="150">
        <f t="shared" si="10"/>
        <v>-5</v>
      </c>
      <c r="K72" s="150">
        <f t="shared" si="7"/>
        <v>-50</v>
      </c>
      <c r="L72" s="150"/>
      <c r="M72" s="152">
        <f t="shared" si="8"/>
        <v>0</v>
      </c>
    </row>
    <row r="73" spans="1:13" x14ac:dyDescent="0.25">
      <c r="A73" s="166"/>
      <c r="G73" s="136"/>
      <c r="H73" s="150">
        <v>68</v>
      </c>
      <c r="I73" s="151" t="str">
        <f t="shared" si="9"/>
        <v/>
      </c>
      <c r="J73" s="150">
        <f t="shared" si="10"/>
        <v>-5</v>
      </c>
      <c r="K73" s="150">
        <f t="shared" si="7"/>
        <v>-50</v>
      </c>
      <c r="L73" s="150"/>
      <c r="M73" s="152">
        <f t="shared" si="8"/>
        <v>0</v>
      </c>
    </row>
    <row r="74" spans="1:13" x14ac:dyDescent="0.25">
      <c r="A74" s="166"/>
      <c r="G74" s="136"/>
      <c r="H74" s="150">
        <v>69</v>
      </c>
      <c r="I74" s="151" t="str">
        <f t="shared" si="9"/>
        <v/>
      </c>
      <c r="J74" s="150">
        <f t="shared" si="10"/>
        <v>-5</v>
      </c>
      <c r="K74" s="150">
        <f t="shared" si="7"/>
        <v>-50</v>
      </c>
      <c r="L74" s="150"/>
      <c r="M74" s="152">
        <f t="shared" si="8"/>
        <v>0</v>
      </c>
    </row>
    <row r="75" spans="1:13" x14ac:dyDescent="0.25">
      <c r="A75" s="166"/>
      <c r="G75" s="136"/>
      <c r="H75" s="150">
        <v>70</v>
      </c>
      <c r="I75" s="151" t="str">
        <f t="shared" si="9"/>
        <v/>
      </c>
      <c r="J75" s="150">
        <f t="shared" si="10"/>
        <v>-5</v>
      </c>
      <c r="K75" s="150">
        <f t="shared" si="7"/>
        <v>-50</v>
      </c>
      <c r="L75" s="150"/>
      <c r="M75" s="152">
        <f t="shared" si="8"/>
        <v>0</v>
      </c>
    </row>
    <row r="76" spans="1:13" x14ac:dyDescent="0.25">
      <c r="A76" s="166"/>
      <c r="G76" s="136"/>
      <c r="H76" s="150">
        <v>71</v>
      </c>
      <c r="I76" s="151" t="str">
        <f t="shared" si="9"/>
        <v/>
      </c>
      <c r="J76" s="150">
        <f t="shared" si="10"/>
        <v>-5</v>
      </c>
      <c r="K76" s="150">
        <f t="shared" si="7"/>
        <v>-50</v>
      </c>
      <c r="L76" s="150"/>
      <c r="M76" s="152">
        <f t="shared" si="8"/>
        <v>0</v>
      </c>
    </row>
    <row r="77" spans="1:13" x14ac:dyDescent="0.25">
      <c r="A77" s="166"/>
      <c r="G77" s="136"/>
      <c r="H77" s="150">
        <v>72</v>
      </c>
      <c r="I77" s="151" t="str">
        <f t="shared" si="9"/>
        <v/>
      </c>
      <c r="J77" s="150">
        <f t="shared" si="10"/>
        <v>-5</v>
      </c>
      <c r="K77" s="150">
        <f t="shared" si="7"/>
        <v>-50</v>
      </c>
      <c r="L77" s="150"/>
      <c r="M77" s="152">
        <f t="shared" si="8"/>
        <v>0</v>
      </c>
    </row>
    <row r="78" spans="1:13" x14ac:dyDescent="0.25">
      <c r="A78" s="166"/>
      <c r="G78" s="136"/>
      <c r="H78" s="150">
        <v>73</v>
      </c>
      <c r="I78" s="151" t="str">
        <f t="shared" si="9"/>
        <v/>
      </c>
      <c r="J78" s="150">
        <f t="shared" si="10"/>
        <v>-5</v>
      </c>
      <c r="K78" s="150">
        <f t="shared" si="7"/>
        <v>-50</v>
      </c>
      <c r="L78" s="150"/>
      <c r="M78" s="152">
        <f t="shared" si="8"/>
        <v>0</v>
      </c>
    </row>
    <row r="79" spans="1:13" x14ac:dyDescent="0.25">
      <c r="A79" s="166"/>
      <c r="G79" s="136"/>
      <c r="H79" s="150">
        <v>74</v>
      </c>
      <c r="I79" s="151" t="str">
        <f t="shared" si="9"/>
        <v/>
      </c>
      <c r="J79" s="150">
        <f t="shared" si="10"/>
        <v>-5</v>
      </c>
      <c r="K79" s="150">
        <f t="shared" si="7"/>
        <v>-50</v>
      </c>
      <c r="L79" s="150"/>
      <c r="M79" s="152">
        <f t="shared" si="8"/>
        <v>0</v>
      </c>
    </row>
    <row r="80" spans="1:13" x14ac:dyDescent="0.25">
      <c r="A80" s="166"/>
      <c r="G80" s="136"/>
      <c r="H80" s="150">
        <v>75</v>
      </c>
      <c r="I80" s="151" t="str">
        <f t="shared" si="9"/>
        <v/>
      </c>
      <c r="J80" s="150">
        <f t="shared" si="10"/>
        <v>-5</v>
      </c>
      <c r="K80" s="150">
        <f t="shared" si="7"/>
        <v>-50</v>
      </c>
      <c r="L80" s="150"/>
      <c r="M80" s="152">
        <f t="shared" si="8"/>
        <v>0</v>
      </c>
    </row>
    <row r="81" spans="1:13" x14ac:dyDescent="0.25">
      <c r="A81" s="166"/>
      <c r="G81" s="136"/>
      <c r="H81" s="150">
        <v>76</v>
      </c>
      <c r="I81" s="151" t="str">
        <f t="shared" si="9"/>
        <v/>
      </c>
      <c r="J81" s="150">
        <f t="shared" si="10"/>
        <v>-5</v>
      </c>
      <c r="K81" s="150">
        <f t="shared" si="7"/>
        <v>-50</v>
      </c>
      <c r="L81" s="150"/>
      <c r="M81" s="152">
        <f t="shared" si="8"/>
        <v>0</v>
      </c>
    </row>
    <row r="82" spans="1:13" x14ac:dyDescent="0.25">
      <c r="A82" s="166"/>
      <c r="G82" s="136"/>
      <c r="H82" s="150">
        <v>77</v>
      </c>
      <c r="I82" s="151" t="str">
        <f t="shared" si="9"/>
        <v/>
      </c>
      <c r="J82" s="150">
        <f t="shared" si="10"/>
        <v>-5</v>
      </c>
      <c r="K82" s="150">
        <f t="shared" si="7"/>
        <v>-50</v>
      </c>
      <c r="L82" s="150"/>
      <c r="M82" s="152">
        <f t="shared" si="8"/>
        <v>0</v>
      </c>
    </row>
    <row r="83" spans="1:13" x14ac:dyDescent="0.25">
      <c r="A83" s="166"/>
      <c r="G83" s="136"/>
      <c r="H83" s="150">
        <v>78</v>
      </c>
      <c r="I83" s="151" t="str">
        <f t="shared" si="9"/>
        <v/>
      </c>
      <c r="J83" s="150">
        <f t="shared" si="10"/>
        <v>-5</v>
      </c>
      <c r="K83" s="150">
        <f t="shared" si="7"/>
        <v>-50</v>
      </c>
      <c r="L83" s="150"/>
      <c r="M83" s="152">
        <f t="shared" si="8"/>
        <v>0</v>
      </c>
    </row>
    <row r="84" spans="1:13" x14ac:dyDescent="0.25">
      <c r="A84" s="166"/>
      <c r="G84" s="136"/>
      <c r="H84" s="150">
        <v>79</v>
      </c>
      <c r="I84" s="151" t="str">
        <f t="shared" si="9"/>
        <v/>
      </c>
      <c r="J84" s="150">
        <f t="shared" si="10"/>
        <v>-5</v>
      </c>
      <c r="K84" s="150">
        <f t="shared" si="7"/>
        <v>-50</v>
      </c>
      <c r="L84" s="150"/>
      <c r="M84" s="152">
        <f t="shared" si="8"/>
        <v>0</v>
      </c>
    </row>
    <row r="85" spans="1:13" x14ac:dyDescent="0.25">
      <c r="A85" s="166"/>
      <c r="G85" s="136"/>
      <c r="H85" s="150">
        <v>80</v>
      </c>
      <c r="I85" s="151" t="str">
        <f t="shared" si="9"/>
        <v/>
      </c>
      <c r="J85" s="150">
        <f t="shared" si="10"/>
        <v>-5</v>
      </c>
      <c r="K85" s="150">
        <f t="shared" si="7"/>
        <v>-50</v>
      </c>
      <c r="L85" s="150"/>
      <c r="M85" s="152">
        <f t="shared" si="8"/>
        <v>0</v>
      </c>
    </row>
    <row r="86" spans="1:13" x14ac:dyDescent="0.25">
      <c r="A86" s="166"/>
      <c r="G86" s="136"/>
      <c r="H86" s="150">
        <v>81</v>
      </c>
      <c r="I86" s="151" t="str">
        <f t="shared" si="9"/>
        <v/>
      </c>
      <c r="J86" s="150">
        <f t="shared" si="10"/>
        <v>-5</v>
      </c>
      <c r="K86" s="150">
        <f t="shared" si="7"/>
        <v>-50</v>
      </c>
      <c r="L86" s="150"/>
      <c r="M86" s="152">
        <f t="shared" si="8"/>
        <v>0</v>
      </c>
    </row>
    <row r="87" spans="1:13" x14ac:dyDescent="0.25">
      <c r="A87" s="166"/>
      <c r="G87" s="136"/>
      <c r="H87" s="150">
        <v>82</v>
      </c>
      <c r="I87" s="151" t="str">
        <f t="shared" si="9"/>
        <v/>
      </c>
      <c r="J87" s="150">
        <f t="shared" si="10"/>
        <v>-5</v>
      </c>
      <c r="K87" s="150">
        <f t="shared" si="7"/>
        <v>-50</v>
      </c>
      <c r="L87" s="150"/>
      <c r="M87" s="152">
        <f t="shared" si="8"/>
        <v>0</v>
      </c>
    </row>
    <row r="88" spans="1:13" x14ac:dyDescent="0.25">
      <c r="A88" s="166"/>
      <c r="G88" s="136"/>
      <c r="H88" s="150">
        <v>83</v>
      </c>
      <c r="I88" s="151" t="str">
        <f t="shared" si="9"/>
        <v/>
      </c>
      <c r="J88" s="150">
        <f t="shared" si="10"/>
        <v>-5</v>
      </c>
      <c r="K88" s="150">
        <f t="shared" si="7"/>
        <v>-50</v>
      </c>
      <c r="L88" s="150"/>
      <c r="M88" s="152">
        <f t="shared" si="8"/>
        <v>0</v>
      </c>
    </row>
    <row r="89" spans="1:13" x14ac:dyDescent="0.25">
      <c r="A89" s="166"/>
      <c r="G89" s="136"/>
      <c r="H89" s="150">
        <v>84</v>
      </c>
      <c r="I89" s="151" t="str">
        <f t="shared" si="9"/>
        <v/>
      </c>
      <c r="J89" s="150">
        <f t="shared" si="10"/>
        <v>-5</v>
      </c>
      <c r="K89" s="150">
        <f t="shared" si="7"/>
        <v>-50</v>
      </c>
      <c r="L89" s="150"/>
      <c r="M89" s="152">
        <f t="shared" si="8"/>
        <v>0</v>
      </c>
    </row>
    <row r="90" spans="1:13" x14ac:dyDescent="0.25">
      <c r="A90" s="166"/>
      <c r="G90" s="136"/>
      <c r="H90" s="150">
        <v>85</v>
      </c>
      <c r="I90" s="151" t="str">
        <f t="shared" si="9"/>
        <v/>
      </c>
      <c r="J90" s="150">
        <f t="shared" si="10"/>
        <v>-5</v>
      </c>
      <c r="K90" s="150">
        <f t="shared" si="7"/>
        <v>-50</v>
      </c>
      <c r="L90" s="150"/>
      <c r="M90" s="152">
        <f t="shared" si="8"/>
        <v>0</v>
      </c>
    </row>
    <row r="91" spans="1:13" x14ac:dyDescent="0.25">
      <c r="A91" s="166"/>
      <c r="G91" s="136"/>
      <c r="H91" s="150">
        <v>86</v>
      </c>
      <c r="I91" s="151" t="str">
        <f t="shared" si="9"/>
        <v/>
      </c>
      <c r="J91" s="150">
        <f t="shared" si="10"/>
        <v>-5</v>
      </c>
      <c r="K91" s="150">
        <f t="shared" si="7"/>
        <v>-50</v>
      </c>
      <c r="L91" s="150"/>
      <c r="M91" s="152">
        <f t="shared" si="8"/>
        <v>0</v>
      </c>
    </row>
    <row r="92" spans="1:13" x14ac:dyDescent="0.25">
      <c r="A92" s="166"/>
      <c r="G92" s="136"/>
      <c r="H92" s="150">
        <v>87</v>
      </c>
      <c r="I92" s="151" t="str">
        <f t="shared" si="9"/>
        <v/>
      </c>
      <c r="J92" s="150">
        <f t="shared" si="10"/>
        <v>-5</v>
      </c>
      <c r="K92" s="150">
        <f t="shared" si="7"/>
        <v>-50</v>
      </c>
      <c r="L92" s="150"/>
      <c r="M92" s="152">
        <f t="shared" si="8"/>
        <v>0</v>
      </c>
    </row>
    <row r="93" spans="1:13" x14ac:dyDescent="0.25">
      <c r="A93" s="166"/>
      <c r="G93" s="136"/>
      <c r="H93" s="150">
        <v>88</v>
      </c>
      <c r="I93" s="151" t="str">
        <f t="shared" si="9"/>
        <v/>
      </c>
      <c r="J93" s="150">
        <f t="shared" si="10"/>
        <v>-5</v>
      </c>
      <c r="K93" s="150">
        <f t="shared" si="7"/>
        <v>-50</v>
      </c>
      <c r="L93" s="150"/>
      <c r="M93" s="152">
        <f t="shared" si="8"/>
        <v>0</v>
      </c>
    </row>
    <row r="94" spans="1:13" x14ac:dyDescent="0.25">
      <c r="A94" s="166"/>
      <c r="G94" s="136"/>
      <c r="H94" s="150">
        <v>89</v>
      </c>
      <c r="I94" s="151" t="str">
        <f t="shared" si="9"/>
        <v/>
      </c>
      <c r="J94" s="150">
        <f t="shared" si="10"/>
        <v>-5</v>
      </c>
      <c r="K94" s="150">
        <f t="shared" si="7"/>
        <v>-50</v>
      </c>
      <c r="L94" s="150"/>
      <c r="M94" s="152">
        <f t="shared" si="8"/>
        <v>0</v>
      </c>
    </row>
    <row r="95" spans="1:13" x14ac:dyDescent="0.25">
      <c r="A95" s="166"/>
      <c r="G95" s="136"/>
      <c r="H95" s="150">
        <v>90</v>
      </c>
      <c r="I95" s="151" t="str">
        <f t="shared" si="9"/>
        <v/>
      </c>
      <c r="J95" s="150">
        <f t="shared" si="10"/>
        <v>-5</v>
      </c>
      <c r="K95" s="150">
        <f t="shared" si="7"/>
        <v>-50</v>
      </c>
      <c r="L95" s="150"/>
      <c r="M95" s="152">
        <f t="shared" si="8"/>
        <v>0</v>
      </c>
    </row>
    <row r="96" spans="1:13" x14ac:dyDescent="0.25">
      <c r="A96" s="166"/>
      <c r="G96" s="136"/>
      <c r="H96" s="150">
        <v>91</v>
      </c>
      <c r="I96" s="151" t="str">
        <f t="shared" si="9"/>
        <v/>
      </c>
      <c r="J96" s="150">
        <f t="shared" si="10"/>
        <v>-5</v>
      </c>
      <c r="K96" s="150">
        <f t="shared" si="7"/>
        <v>-50</v>
      </c>
      <c r="L96" s="150"/>
      <c r="M96" s="152">
        <f t="shared" si="8"/>
        <v>0</v>
      </c>
    </row>
    <row r="97" spans="1:13" x14ac:dyDescent="0.25">
      <c r="A97" s="166"/>
      <c r="G97" s="136"/>
      <c r="H97" s="150">
        <v>92</v>
      </c>
      <c r="I97" s="151" t="str">
        <f t="shared" si="9"/>
        <v/>
      </c>
      <c r="J97" s="150">
        <f t="shared" si="10"/>
        <v>-5</v>
      </c>
      <c r="K97" s="150">
        <f t="shared" si="7"/>
        <v>-50</v>
      </c>
      <c r="L97" s="150"/>
      <c r="M97" s="152">
        <f t="shared" si="8"/>
        <v>0</v>
      </c>
    </row>
    <row r="98" spans="1:13" x14ac:dyDescent="0.25">
      <c r="A98" s="166"/>
      <c r="G98" s="136"/>
      <c r="H98" s="150">
        <v>93</v>
      </c>
      <c r="I98" s="151" t="str">
        <f t="shared" si="9"/>
        <v/>
      </c>
      <c r="J98" s="150">
        <f t="shared" si="10"/>
        <v>-5</v>
      </c>
      <c r="K98" s="150">
        <f t="shared" si="7"/>
        <v>-50</v>
      </c>
      <c r="L98" s="150"/>
      <c r="M98" s="152">
        <f t="shared" si="8"/>
        <v>0</v>
      </c>
    </row>
    <row r="99" spans="1:13" x14ac:dyDescent="0.25">
      <c r="A99" s="166"/>
      <c r="G99" s="136"/>
      <c r="H99" s="150">
        <v>94</v>
      </c>
      <c r="I99" s="151" t="str">
        <f t="shared" si="9"/>
        <v/>
      </c>
      <c r="J99" s="150">
        <f t="shared" si="10"/>
        <v>-5</v>
      </c>
      <c r="K99" s="150">
        <f t="shared" si="7"/>
        <v>-50</v>
      </c>
      <c r="L99" s="150"/>
      <c r="M99" s="152">
        <f t="shared" si="8"/>
        <v>0</v>
      </c>
    </row>
    <row r="100" spans="1:13" x14ac:dyDescent="0.25">
      <c r="A100" s="166"/>
      <c r="G100" s="136"/>
      <c r="H100" s="150">
        <v>95</v>
      </c>
      <c r="I100" s="151" t="str">
        <f t="shared" si="9"/>
        <v/>
      </c>
      <c r="J100" s="150">
        <f t="shared" si="10"/>
        <v>-5</v>
      </c>
      <c r="K100" s="150">
        <f t="shared" si="7"/>
        <v>-50</v>
      </c>
      <c r="L100" s="150"/>
      <c r="M100" s="152">
        <f t="shared" si="8"/>
        <v>0</v>
      </c>
    </row>
    <row r="101" spans="1:13" x14ac:dyDescent="0.25">
      <c r="A101" s="166"/>
      <c r="G101" s="136"/>
      <c r="H101" s="150">
        <v>96</v>
      </c>
      <c r="I101" s="151" t="str">
        <f t="shared" si="9"/>
        <v/>
      </c>
      <c r="J101" s="150">
        <f t="shared" si="10"/>
        <v>-5</v>
      </c>
      <c r="K101" s="150">
        <f t="shared" si="7"/>
        <v>-50</v>
      </c>
      <c r="L101" s="150"/>
      <c r="M101" s="152">
        <f t="shared" si="8"/>
        <v>0</v>
      </c>
    </row>
    <row r="102" spans="1:13" x14ac:dyDescent="0.25">
      <c r="A102" s="166"/>
      <c r="G102" s="136"/>
      <c r="H102" s="150">
        <v>97</v>
      </c>
      <c r="I102" s="151" t="str">
        <f t="shared" si="9"/>
        <v/>
      </c>
      <c r="J102" s="150">
        <f t="shared" si="10"/>
        <v>-5</v>
      </c>
      <c r="K102" s="150">
        <f t="shared" si="7"/>
        <v>-50</v>
      </c>
      <c r="L102" s="150"/>
      <c r="M102" s="152">
        <f t="shared" si="8"/>
        <v>0</v>
      </c>
    </row>
    <row r="103" spans="1:13" x14ac:dyDescent="0.25">
      <c r="A103" s="166"/>
      <c r="G103" s="136"/>
      <c r="H103" s="150">
        <v>98</v>
      </c>
      <c r="I103" s="151" t="str">
        <f t="shared" si="9"/>
        <v/>
      </c>
      <c r="J103" s="150">
        <f t="shared" si="10"/>
        <v>-5</v>
      </c>
      <c r="K103" s="150">
        <f t="shared" si="7"/>
        <v>-50</v>
      </c>
      <c r="L103" s="150"/>
      <c r="M103" s="152">
        <f t="shared" si="8"/>
        <v>0</v>
      </c>
    </row>
    <row r="104" spans="1:13" x14ac:dyDescent="0.25">
      <c r="A104" s="166"/>
      <c r="G104" s="136"/>
      <c r="H104" s="150">
        <v>99</v>
      </c>
      <c r="I104" s="151" t="str">
        <f t="shared" si="9"/>
        <v/>
      </c>
      <c r="J104" s="150">
        <f t="shared" si="10"/>
        <v>-5</v>
      </c>
      <c r="K104" s="150">
        <f t="shared" si="7"/>
        <v>-50</v>
      </c>
      <c r="L104" s="150"/>
      <c r="M104" s="152">
        <f t="shared" si="8"/>
        <v>0</v>
      </c>
    </row>
    <row r="105" spans="1:13" x14ac:dyDescent="0.25">
      <c r="A105" s="166"/>
      <c r="G105" s="136"/>
      <c r="H105" s="150">
        <v>100</v>
      </c>
      <c r="I105" s="151" t="str">
        <f t="shared" si="9"/>
        <v/>
      </c>
      <c r="J105" s="150">
        <f t="shared" si="10"/>
        <v>-5</v>
      </c>
      <c r="K105" s="150">
        <f t="shared" si="7"/>
        <v>-50</v>
      </c>
      <c r="L105" s="150"/>
      <c r="M105" s="152">
        <f t="shared" si="8"/>
        <v>0</v>
      </c>
    </row>
    <row r="106" spans="1:13" x14ac:dyDescent="0.25">
      <c r="A106" s="166"/>
      <c r="G106" s="136"/>
      <c r="H106" s="150">
        <v>101</v>
      </c>
      <c r="I106" s="151" t="str">
        <f t="shared" si="9"/>
        <v/>
      </c>
      <c r="J106" s="150">
        <f t="shared" si="10"/>
        <v>-5</v>
      </c>
      <c r="K106" s="150">
        <f t="shared" si="7"/>
        <v>-50</v>
      </c>
      <c r="L106" s="150"/>
      <c r="M106" s="152">
        <f t="shared" si="8"/>
        <v>0</v>
      </c>
    </row>
    <row r="107" spans="1:13" x14ac:dyDescent="0.25">
      <c r="A107" s="166"/>
      <c r="G107" s="136"/>
      <c r="H107" s="150">
        <v>102</v>
      </c>
      <c r="I107" s="151" t="str">
        <f t="shared" si="9"/>
        <v/>
      </c>
      <c r="J107" s="150">
        <f t="shared" si="10"/>
        <v>-5</v>
      </c>
      <c r="K107" s="150">
        <f t="shared" si="7"/>
        <v>-50</v>
      </c>
      <c r="L107" s="150"/>
      <c r="M107" s="152">
        <f t="shared" si="8"/>
        <v>0</v>
      </c>
    </row>
    <row r="108" spans="1:13" x14ac:dyDescent="0.25">
      <c r="A108" s="166"/>
      <c r="G108" s="136"/>
      <c r="H108" s="150">
        <v>103</v>
      </c>
      <c r="I108" s="151" t="str">
        <f t="shared" si="9"/>
        <v/>
      </c>
      <c r="J108" s="150">
        <f t="shared" si="10"/>
        <v>-5</v>
      </c>
      <c r="K108" s="150">
        <f t="shared" si="7"/>
        <v>-50</v>
      </c>
      <c r="L108" s="150"/>
      <c r="M108" s="152">
        <f t="shared" si="8"/>
        <v>0</v>
      </c>
    </row>
    <row r="109" spans="1:13" x14ac:dyDescent="0.25">
      <c r="A109" s="166"/>
      <c r="G109" s="136"/>
      <c r="H109" s="150">
        <v>104</v>
      </c>
      <c r="I109" s="151" t="str">
        <f t="shared" si="9"/>
        <v/>
      </c>
      <c r="J109" s="150">
        <f t="shared" si="10"/>
        <v>-5</v>
      </c>
      <c r="K109" s="150">
        <f t="shared" si="7"/>
        <v>-50</v>
      </c>
      <c r="L109" s="150"/>
      <c r="M109" s="152">
        <f t="shared" si="8"/>
        <v>0</v>
      </c>
    </row>
    <row r="110" spans="1:13" x14ac:dyDescent="0.25">
      <c r="A110" s="166"/>
      <c r="G110" s="136"/>
      <c r="H110" s="150">
        <v>105</v>
      </c>
      <c r="I110" s="151" t="str">
        <f t="shared" si="9"/>
        <v/>
      </c>
      <c r="J110" s="150">
        <f t="shared" si="10"/>
        <v>-5</v>
      </c>
      <c r="K110" s="150">
        <f t="shared" si="7"/>
        <v>-50</v>
      </c>
      <c r="L110" s="150"/>
      <c r="M110" s="152">
        <f t="shared" si="8"/>
        <v>0</v>
      </c>
    </row>
    <row r="111" spans="1:13" x14ac:dyDescent="0.25">
      <c r="A111" s="166"/>
      <c r="G111" s="136"/>
      <c r="H111" s="150">
        <v>106</v>
      </c>
      <c r="I111" s="151" t="str">
        <f t="shared" si="9"/>
        <v/>
      </c>
      <c r="J111" s="150">
        <f t="shared" si="10"/>
        <v>-5</v>
      </c>
      <c r="K111" s="150">
        <f t="shared" si="7"/>
        <v>-50</v>
      </c>
      <c r="L111" s="150"/>
      <c r="M111" s="152">
        <f t="shared" si="8"/>
        <v>0</v>
      </c>
    </row>
    <row r="112" spans="1:13" x14ac:dyDescent="0.25">
      <c r="A112" s="166"/>
      <c r="G112" s="136"/>
      <c r="H112" s="150">
        <v>107</v>
      </c>
      <c r="I112" s="151" t="str">
        <f t="shared" si="9"/>
        <v/>
      </c>
      <c r="J112" s="150">
        <f t="shared" si="10"/>
        <v>-5</v>
      </c>
      <c r="K112" s="150">
        <f t="shared" si="7"/>
        <v>-50</v>
      </c>
      <c r="L112" s="150"/>
      <c r="M112" s="152">
        <f t="shared" si="8"/>
        <v>0</v>
      </c>
    </row>
    <row r="113" spans="1:13" x14ac:dyDescent="0.25">
      <c r="A113" s="166"/>
      <c r="G113" s="136"/>
      <c r="H113" s="150">
        <v>108</v>
      </c>
      <c r="I113" s="151" t="str">
        <f t="shared" si="9"/>
        <v/>
      </c>
      <c r="J113" s="150">
        <f t="shared" si="10"/>
        <v>-5</v>
      </c>
      <c r="K113" s="150">
        <f t="shared" si="7"/>
        <v>-50</v>
      </c>
      <c r="L113" s="150"/>
      <c r="M113" s="152">
        <f t="shared" si="8"/>
        <v>0</v>
      </c>
    </row>
    <row r="114" spans="1:13" x14ac:dyDescent="0.25">
      <c r="A114" s="166"/>
      <c r="G114" s="136"/>
      <c r="H114" s="150">
        <v>109</v>
      </c>
      <c r="I114" s="151" t="str">
        <f t="shared" si="9"/>
        <v/>
      </c>
      <c r="J114" s="150">
        <f t="shared" si="10"/>
        <v>-5</v>
      </c>
      <c r="K114" s="150">
        <f t="shared" si="7"/>
        <v>-50</v>
      </c>
      <c r="L114" s="150"/>
      <c r="M114" s="152">
        <f t="shared" si="8"/>
        <v>0</v>
      </c>
    </row>
    <row r="115" spans="1:13" x14ac:dyDescent="0.25">
      <c r="A115" s="166"/>
      <c r="G115" s="136"/>
      <c r="H115" s="150">
        <v>110</v>
      </c>
      <c r="I115" s="151" t="str">
        <f t="shared" si="9"/>
        <v/>
      </c>
      <c r="J115" s="150">
        <f t="shared" si="10"/>
        <v>-5</v>
      </c>
      <c r="K115" s="150">
        <f t="shared" si="7"/>
        <v>-50</v>
      </c>
      <c r="L115" s="150"/>
      <c r="M115" s="152">
        <f t="shared" si="8"/>
        <v>0</v>
      </c>
    </row>
    <row r="116" spans="1:13" x14ac:dyDescent="0.25">
      <c r="A116" s="166"/>
      <c r="G116" s="136"/>
      <c r="H116" s="150">
        <v>111</v>
      </c>
      <c r="I116" s="151" t="str">
        <f t="shared" si="9"/>
        <v/>
      </c>
      <c r="J116" s="150">
        <f t="shared" si="10"/>
        <v>-5</v>
      </c>
      <c r="K116" s="150">
        <f t="shared" si="7"/>
        <v>-50</v>
      </c>
      <c r="L116" s="150"/>
      <c r="M116" s="152">
        <f t="shared" si="8"/>
        <v>0</v>
      </c>
    </row>
    <row r="117" spans="1:13" x14ac:dyDescent="0.25">
      <c r="A117" s="166"/>
      <c r="G117" s="136"/>
      <c r="H117" s="150">
        <v>112</v>
      </c>
      <c r="I117" s="151" t="str">
        <f t="shared" si="9"/>
        <v/>
      </c>
      <c r="J117" s="150">
        <f t="shared" si="10"/>
        <v>-5</v>
      </c>
      <c r="K117" s="150">
        <f t="shared" si="7"/>
        <v>-50</v>
      </c>
      <c r="L117" s="150"/>
      <c r="M117" s="152">
        <f t="shared" si="8"/>
        <v>0</v>
      </c>
    </row>
    <row r="118" spans="1:13" x14ac:dyDescent="0.25">
      <c r="A118" s="166"/>
      <c r="G118" s="136"/>
      <c r="H118" s="150">
        <v>113</v>
      </c>
      <c r="I118" s="151" t="str">
        <f t="shared" si="9"/>
        <v/>
      </c>
      <c r="J118" s="150">
        <f t="shared" si="10"/>
        <v>-5</v>
      </c>
      <c r="K118" s="150">
        <f t="shared" si="7"/>
        <v>-50</v>
      </c>
      <c r="L118" s="150"/>
      <c r="M118" s="152">
        <f t="shared" si="8"/>
        <v>0</v>
      </c>
    </row>
    <row r="119" spans="1:13" x14ac:dyDescent="0.25">
      <c r="A119" s="166"/>
      <c r="G119" s="136"/>
      <c r="H119" s="150">
        <v>114</v>
      </c>
      <c r="I119" s="151" t="str">
        <f t="shared" si="9"/>
        <v/>
      </c>
      <c r="J119" s="150">
        <f t="shared" si="10"/>
        <v>-5</v>
      </c>
      <c r="K119" s="150">
        <f t="shared" si="7"/>
        <v>-50</v>
      </c>
      <c r="L119" s="150"/>
      <c r="M119" s="152">
        <f t="shared" si="8"/>
        <v>0</v>
      </c>
    </row>
    <row r="120" spans="1:13" x14ac:dyDescent="0.25">
      <c r="A120" s="166"/>
      <c r="G120" s="136"/>
      <c r="H120" s="150">
        <v>115</v>
      </c>
      <c r="I120" s="151" t="str">
        <f t="shared" si="9"/>
        <v/>
      </c>
      <c r="J120" s="150">
        <f t="shared" si="10"/>
        <v>-5</v>
      </c>
      <c r="K120" s="150">
        <f t="shared" si="7"/>
        <v>-50</v>
      </c>
      <c r="L120" s="150"/>
      <c r="M120" s="152">
        <f t="shared" si="8"/>
        <v>0</v>
      </c>
    </row>
    <row r="121" spans="1:13" x14ac:dyDescent="0.25">
      <c r="A121" s="166"/>
      <c r="G121" s="136"/>
      <c r="H121" s="150">
        <v>116</v>
      </c>
      <c r="I121" s="151" t="str">
        <f t="shared" si="9"/>
        <v/>
      </c>
      <c r="J121" s="150">
        <f t="shared" si="10"/>
        <v>-5</v>
      </c>
      <c r="K121" s="150">
        <f t="shared" si="7"/>
        <v>-50</v>
      </c>
      <c r="L121" s="150"/>
      <c r="M121" s="152">
        <f t="shared" si="8"/>
        <v>0</v>
      </c>
    </row>
    <row r="122" spans="1:13" x14ac:dyDescent="0.25">
      <c r="A122" s="166"/>
      <c r="G122" s="136"/>
      <c r="H122" s="150">
        <v>117</v>
      </c>
      <c r="I122" s="151" t="str">
        <f t="shared" si="9"/>
        <v/>
      </c>
      <c r="J122" s="150">
        <f t="shared" si="10"/>
        <v>-5</v>
      </c>
      <c r="K122" s="150">
        <f t="shared" si="7"/>
        <v>-50</v>
      </c>
      <c r="L122" s="150"/>
      <c r="M122" s="152">
        <f t="shared" si="8"/>
        <v>0</v>
      </c>
    </row>
    <row r="123" spans="1:13" x14ac:dyDescent="0.25">
      <c r="A123" s="166"/>
      <c r="G123" s="136"/>
      <c r="H123" s="150">
        <v>118</v>
      </c>
      <c r="I123" s="151" t="str">
        <f t="shared" si="9"/>
        <v/>
      </c>
      <c r="J123" s="150">
        <f t="shared" si="10"/>
        <v>-5</v>
      </c>
      <c r="K123" s="150">
        <f t="shared" si="7"/>
        <v>-50</v>
      </c>
      <c r="L123" s="150"/>
      <c r="M123" s="152">
        <f t="shared" si="8"/>
        <v>0</v>
      </c>
    </row>
    <row r="124" spans="1:13" x14ac:dyDescent="0.25">
      <c r="A124" s="166"/>
      <c r="G124" s="136"/>
      <c r="H124" s="150">
        <v>119</v>
      </c>
      <c r="I124" s="151" t="str">
        <f t="shared" si="9"/>
        <v/>
      </c>
      <c r="J124" s="150">
        <f t="shared" si="10"/>
        <v>-5</v>
      </c>
      <c r="K124" s="150">
        <f t="shared" si="7"/>
        <v>-50</v>
      </c>
      <c r="L124" s="150"/>
      <c r="M124" s="152">
        <f t="shared" si="8"/>
        <v>0</v>
      </c>
    </row>
    <row r="125" spans="1:13" x14ac:dyDescent="0.25">
      <c r="A125" s="166"/>
      <c r="G125" s="136"/>
      <c r="H125" s="150">
        <v>120</v>
      </c>
      <c r="I125" s="151" t="str">
        <f t="shared" si="9"/>
        <v/>
      </c>
      <c r="J125" s="150">
        <f t="shared" si="10"/>
        <v>-5</v>
      </c>
      <c r="K125" s="150">
        <f t="shared" si="7"/>
        <v>-50</v>
      </c>
      <c r="L125" s="150"/>
      <c r="M125" s="152">
        <f t="shared" si="8"/>
        <v>0</v>
      </c>
    </row>
    <row r="126" spans="1:13" x14ac:dyDescent="0.25">
      <c r="A126" s="166"/>
      <c r="G126" s="136"/>
      <c r="H126" s="150">
        <v>121</v>
      </c>
      <c r="I126" s="151" t="str">
        <f t="shared" si="9"/>
        <v/>
      </c>
      <c r="J126" s="150">
        <f t="shared" si="10"/>
        <v>-5</v>
      </c>
      <c r="K126" s="150">
        <f t="shared" si="7"/>
        <v>-50</v>
      </c>
      <c r="L126" s="150"/>
      <c r="M126" s="152">
        <f t="shared" si="8"/>
        <v>0</v>
      </c>
    </row>
    <row r="127" spans="1:13" x14ac:dyDescent="0.25">
      <c r="A127" s="166"/>
      <c r="G127" s="136"/>
      <c r="H127" s="150">
        <v>122</v>
      </c>
      <c r="I127" s="151" t="str">
        <f t="shared" si="9"/>
        <v/>
      </c>
      <c r="J127" s="150">
        <f t="shared" si="10"/>
        <v>-5</v>
      </c>
      <c r="K127" s="150">
        <f t="shared" si="7"/>
        <v>-50</v>
      </c>
      <c r="L127" s="150"/>
      <c r="M127" s="152">
        <f t="shared" si="8"/>
        <v>0</v>
      </c>
    </row>
    <row r="128" spans="1:13" x14ac:dyDescent="0.25">
      <c r="A128" s="166"/>
      <c r="G128" s="136"/>
      <c r="H128" s="150">
        <v>123</v>
      </c>
      <c r="I128" s="151" t="str">
        <f t="shared" si="9"/>
        <v/>
      </c>
      <c r="J128" s="150">
        <f t="shared" si="10"/>
        <v>-5</v>
      </c>
      <c r="K128" s="150">
        <f t="shared" si="7"/>
        <v>-50</v>
      </c>
      <c r="L128" s="150"/>
      <c r="M128" s="152">
        <f t="shared" si="8"/>
        <v>0</v>
      </c>
    </row>
    <row r="129" spans="1:13" x14ac:dyDescent="0.25">
      <c r="A129" s="166"/>
      <c r="G129" s="136"/>
      <c r="H129" s="150">
        <v>124</v>
      </c>
      <c r="I129" s="151" t="str">
        <f t="shared" si="9"/>
        <v/>
      </c>
      <c r="J129" s="150">
        <f t="shared" si="10"/>
        <v>-5</v>
      </c>
      <c r="K129" s="150">
        <f t="shared" si="7"/>
        <v>-50</v>
      </c>
      <c r="L129" s="150"/>
      <c r="M129" s="152">
        <f t="shared" si="8"/>
        <v>0</v>
      </c>
    </row>
    <row r="130" spans="1:13" x14ac:dyDescent="0.25">
      <c r="A130" s="166"/>
      <c r="G130" s="136"/>
      <c r="H130" s="150">
        <v>125</v>
      </c>
      <c r="I130" s="151" t="str">
        <f t="shared" si="9"/>
        <v/>
      </c>
      <c r="J130" s="150">
        <f t="shared" si="10"/>
        <v>-5</v>
      </c>
      <c r="K130" s="150">
        <f t="shared" si="7"/>
        <v>-50</v>
      </c>
      <c r="L130" s="150"/>
      <c r="M130" s="152">
        <f t="shared" si="8"/>
        <v>0</v>
      </c>
    </row>
    <row r="131" spans="1:13" x14ac:dyDescent="0.25">
      <c r="A131" s="166"/>
      <c r="G131" s="136"/>
      <c r="H131" s="150">
        <v>126</v>
      </c>
      <c r="I131" s="151" t="str">
        <f t="shared" si="9"/>
        <v/>
      </c>
      <c r="J131" s="150">
        <f t="shared" si="10"/>
        <v>-5</v>
      </c>
      <c r="K131" s="150">
        <f t="shared" si="7"/>
        <v>-50</v>
      </c>
      <c r="L131" s="150"/>
      <c r="M131" s="152">
        <f t="shared" si="8"/>
        <v>0</v>
      </c>
    </row>
    <row r="132" spans="1:13" x14ac:dyDescent="0.25">
      <c r="A132" s="166"/>
      <c r="G132" s="136"/>
      <c r="H132" s="150">
        <v>127</v>
      </c>
      <c r="I132" s="151" t="str">
        <f t="shared" si="9"/>
        <v/>
      </c>
      <c r="J132" s="150">
        <f t="shared" si="10"/>
        <v>-5</v>
      </c>
      <c r="K132" s="150">
        <f t="shared" si="7"/>
        <v>-50</v>
      </c>
      <c r="L132" s="150"/>
      <c r="M132" s="152">
        <f t="shared" si="8"/>
        <v>0</v>
      </c>
    </row>
    <row r="133" spans="1:13" x14ac:dyDescent="0.25">
      <c r="A133" s="166"/>
      <c r="G133" s="136"/>
      <c r="H133" s="150">
        <v>128</v>
      </c>
      <c r="I133" s="151" t="str">
        <f t="shared" si="9"/>
        <v/>
      </c>
      <c r="J133" s="150">
        <f t="shared" si="10"/>
        <v>-5</v>
      </c>
      <c r="K133" s="150">
        <f t="shared" si="7"/>
        <v>-50</v>
      </c>
      <c r="L133" s="150"/>
      <c r="M133" s="152">
        <f t="shared" si="8"/>
        <v>0</v>
      </c>
    </row>
    <row r="134" spans="1:13" x14ac:dyDescent="0.25">
      <c r="A134" s="166"/>
      <c r="G134" s="136"/>
      <c r="H134" s="150">
        <v>129</v>
      </c>
      <c r="I134" s="151" t="str">
        <f t="shared" si="9"/>
        <v/>
      </c>
      <c r="J134" s="150">
        <f t="shared" si="10"/>
        <v>-6</v>
      </c>
      <c r="K134" s="150">
        <f t="shared" ref="K134:K197" si="11">J134*$J$2</f>
        <v>-60</v>
      </c>
      <c r="L134" s="150"/>
      <c r="M134" s="152">
        <f t="shared" ref="M134:M197" si="12">IF(I134&lt;&gt;"",K134+I134+L134,0)</f>
        <v>0</v>
      </c>
    </row>
    <row r="135" spans="1:13" x14ac:dyDescent="0.25">
      <c r="A135" s="166"/>
      <c r="G135" s="136"/>
      <c r="H135" s="150">
        <v>130</v>
      </c>
      <c r="I135" s="151" t="str">
        <f t="shared" ref="I135:I198" si="13">IF(H135&lt;$H$2+1,($I$2-($I$2-1)*(LOG(H135)/LOG($H$2))),"")</f>
        <v/>
      </c>
      <c r="J135" s="150">
        <f t="shared" ref="J135:J198" si="14">INT(LOG($H$2,2))-ROUNDUP(LOG(H135,2),0)+IF(OR($H$2=1,$H$2=2,$H$2=4,$H$2=8,$H$2=16,$H$2=32,$H$2=64,$H$2=128,$H$2=256),0,1)</f>
        <v>-6</v>
      </c>
      <c r="K135" s="150">
        <f t="shared" si="11"/>
        <v>-60</v>
      </c>
      <c r="L135" s="150"/>
      <c r="M135" s="152">
        <f t="shared" si="12"/>
        <v>0</v>
      </c>
    </row>
    <row r="136" spans="1:13" x14ac:dyDescent="0.25">
      <c r="A136" s="166"/>
      <c r="G136" s="136"/>
      <c r="H136" s="150">
        <v>131</v>
      </c>
      <c r="I136" s="151" t="str">
        <f t="shared" si="13"/>
        <v/>
      </c>
      <c r="J136" s="150">
        <f t="shared" si="14"/>
        <v>-6</v>
      </c>
      <c r="K136" s="150">
        <f t="shared" si="11"/>
        <v>-60</v>
      </c>
      <c r="L136" s="150"/>
      <c r="M136" s="152">
        <f t="shared" si="12"/>
        <v>0</v>
      </c>
    </row>
    <row r="137" spans="1:13" x14ac:dyDescent="0.25">
      <c r="A137" s="166"/>
      <c r="G137" s="136"/>
      <c r="H137" s="150">
        <v>132</v>
      </c>
      <c r="I137" s="151" t="str">
        <f t="shared" si="13"/>
        <v/>
      </c>
      <c r="J137" s="150">
        <f t="shared" si="14"/>
        <v>-6</v>
      </c>
      <c r="K137" s="150">
        <f t="shared" si="11"/>
        <v>-60</v>
      </c>
      <c r="L137" s="150"/>
      <c r="M137" s="152">
        <f t="shared" si="12"/>
        <v>0</v>
      </c>
    </row>
    <row r="138" spans="1:13" x14ac:dyDescent="0.25">
      <c r="A138" s="166"/>
      <c r="G138" s="136"/>
      <c r="H138" s="150">
        <v>133</v>
      </c>
      <c r="I138" s="151" t="str">
        <f t="shared" si="13"/>
        <v/>
      </c>
      <c r="J138" s="150">
        <f t="shared" si="14"/>
        <v>-6</v>
      </c>
      <c r="K138" s="150">
        <f t="shared" si="11"/>
        <v>-60</v>
      </c>
      <c r="L138" s="150"/>
      <c r="M138" s="152">
        <f t="shared" si="12"/>
        <v>0</v>
      </c>
    </row>
    <row r="139" spans="1:13" x14ac:dyDescent="0.25">
      <c r="A139" s="166"/>
      <c r="G139" s="136"/>
      <c r="H139" s="150">
        <v>134</v>
      </c>
      <c r="I139" s="151" t="str">
        <f t="shared" si="13"/>
        <v/>
      </c>
      <c r="J139" s="150">
        <f t="shared" si="14"/>
        <v>-6</v>
      </c>
      <c r="K139" s="150">
        <f t="shared" si="11"/>
        <v>-60</v>
      </c>
      <c r="L139" s="150"/>
      <c r="M139" s="152">
        <f t="shared" si="12"/>
        <v>0</v>
      </c>
    </row>
    <row r="140" spans="1:13" x14ac:dyDescent="0.25">
      <c r="A140" s="166"/>
      <c r="G140" s="136"/>
      <c r="H140" s="150">
        <v>135</v>
      </c>
      <c r="I140" s="151" t="str">
        <f t="shared" si="13"/>
        <v/>
      </c>
      <c r="J140" s="150">
        <f t="shared" si="14"/>
        <v>-6</v>
      </c>
      <c r="K140" s="150">
        <f t="shared" si="11"/>
        <v>-60</v>
      </c>
      <c r="L140" s="150"/>
      <c r="M140" s="152">
        <f t="shared" si="12"/>
        <v>0</v>
      </c>
    </row>
    <row r="141" spans="1:13" x14ac:dyDescent="0.25">
      <c r="A141" s="166"/>
      <c r="G141" s="136"/>
      <c r="H141" s="150">
        <v>136</v>
      </c>
      <c r="I141" s="151" t="str">
        <f t="shared" si="13"/>
        <v/>
      </c>
      <c r="J141" s="150">
        <f t="shared" si="14"/>
        <v>-6</v>
      </c>
      <c r="K141" s="150">
        <f t="shared" si="11"/>
        <v>-60</v>
      </c>
      <c r="L141" s="150"/>
      <c r="M141" s="152">
        <f t="shared" si="12"/>
        <v>0</v>
      </c>
    </row>
    <row r="142" spans="1:13" x14ac:dyDescent="0.25">
      <c r="A142" s="166"/>
      <c r="G142" s="136"/>
      <c r="H142" s="150">
        <v>137</v>
      </c>
      <c r="I142" s="151" t="str">
        <f t="shared" si="13"/>
        <v/>
      </c>
      <c r="J142" s="150">
        <f t="shared" si="14"/>
        <v>-6</v>
      </c>
      <c r="K142" s="150">
        <f t="shared" si="11"/>
        <v>-60</v>
      </c>
      <c r="L142" s="150"/>
      <c r="M142" s="152">
        <f t="shared" si="12"/>
        <v>0</v>
      </c>
    </row>
    <row r="143" spans="1:13" x14ac:dyDescent="0.25">
      <c r="A143" s="166"/>
      <c r="G143" s="136"/>
      <c r="H143" s="150">
        <v>138</v>
      </c>
      <c r="I143" s="151" t="str">
        <f t="shared" si="13"/>
        <v/>
      </c>
      <c r="J143" s="150">
        <f t="shared" si="14"/>
        <v>-6</v>
      </c>
      <c r="K143" s="150">
        <f t="shared" si="11"/>
        <v>-60</v>
      </c>
      <c r="L143" s="150"/>
      <c r="M143" s="152">
        <f t="shared" si="12"/>
        <v>0</v>
      </c>
    </row>
    <row r="144" spans="1:13" x14ac:dyDescent="0.25">
      <c r="A144" s="166"/>
      <c r="G144" s="136"/>
      <c r="H144" s="150">
        <v>139</v>
      </c>
      <c r="I144" s="151" t="str">
        <f t="shared" si="13"/>
        <v/>
      </c>
      <c r="J144" s="150">
        <f t="shared" si="14"/>
        <v>-6</v>
      </c>
      <c r="K144" s="150">
        <f t="shared" si="11"/>
        <v>-60</v>
      </c>
      <c r="L144" s="150"/>
      <c r="M144" s="152">
        <f t="shared" si="12"/>
        <v>0</v>
      </c>
    </row>
    <row r="145" spans="1:13" x14ac:dyDescent="0.25">
      <c r="A145" s="166"/>
      <c r="G145" s="136"/>
      <c r="H145" s="150">
        <v>140</v>
      </c>
      <c r="I145" s="151" t="str">
        <f t="shared" si="13"/>
        <v/>
      </c>
      <c r="J145" s="150">
        <f t="shared" si="14"/>
        <v>-6</v>
      </c>
      <c r="K145" s="150">
        <f t="shared" si="11"/>
        <v>-60</v>
      </c>
      <c r="L145" s="150"/>
      <c r="M145" s="152">
        <f t="shared" si="12"/>
        <v>0</v>
      </c>
    </row>
    <row r="146" spans="1:13" x14ac:dyDescent="0.25">
      <c r="A146" s="166"/>
      <c r="G146" s="136"/>
      <c r="H146" s="150">
        <v>141</v>
      </c>
      <c r="I146" s="151" t="str">
        <f t="shared" si="13"/>
        <v/>
      </c>
      <c r="J146" s="150">
        <f t="shared" si="14"/>
        <v>-6</v>
      </c>
      <c r="K146" s="150">
        <f t="shared" si="11"/>
        <v>-60</v>
      </c>
      <c r="L146" s="150"/>
      <c r="M146" s="152">
        <f t="shared" si="12"/>
        <v>0</v>
      </c>
    </row>
    <row r="147" spans="1:13" x14ac:dyDescent="0.25">
      <c r="A147" s="166"/>
      <c r="G147" s="136"/>
      <c r="H147" s="150">
        <v>142</v>
      </c>
      <c r="I147" s="151" t="str">
        <f t="shared" si="13"/>
        <v/>
      </c>
      <c r="J147" s="150">
        <f t="shared" si="14"/>
        <v>-6</v>
      </c>
      <c r="K147" s="150">
        <f t="shared" si="11"/>
        <v>-60</v>
      </c>
      <c r="L147" s="150"/>
      <c r="M147" s="152">
        <f t="shared" si="12"/>
        <v>0</v>
      </c>
    </row>
    <row r="148" spans="1:13" x14ac:dyDescent="0.25">
      <c r="A148" s="166"/>
      <c r="G148" s="136"/>
      <c r="H148" s="150">
        <v>143</v>
      </c>
      <c r="I148" s="151" t="str">
        <f t="shared" si="13"/>
        <v/>
      </c>
      <c r="J148" s="150">
        <f t="shared" si="14"/>
        <v>-6</v>
      </c>
      <c r="K148" s="150">
        <f t="shared" si="11"/>
        <v>-60</v>
      </c>
      <c r="L148" s="150"/>
      <c r="M148" s="152">
        <f t="shared" si="12"/>
        <v>0</v>
      </c>
    </row>
    <row r="149" spans="1:13" x14ac:dyDescent="0.25">
      <c r="A149" s="166"/>
      <c r="G149" s="136"/>
      <c r="H149" s="150">
        <v>144</v>
      </c>
      <c r="I149" s="151" t="str">
        <f t="shared" si="13"/>
        <v/>
      </c>
      <c r="J149" s="150">
        <f t="shared" si="14"/>
        <v>-6</v>
      </c>
      <c r="K149" s="150">
        <f t="shared" si="11"/>
        <v>-60</v>
      </c>
      <c r="L149" s="150"/>
      <c r="M149" s="152">
        <f t="shared" si="12"/>
        <v>0</v>
      </c>
    </row>
    <row r="150" spans="1:13" x14ac:dyDescent="0.25">
      <c r="A150" s="166"/>
      <c r="G150" s="136"/>
      <c r="H150" s="150">
        <v>145</v>
      </c>
      <c r="I150" s="151" t="str">
        <f t="shared" si="13"/>
        <v/>
      </c>
      <c r="J150" s="150">
        <f t="shared" si="14"/>
        <v>-6</v>
      </c>
      <c r="K150" s="150">
        <f t="shared" si="11"/>
        <v>-60</v>
      </c>
      <c r="L150" s="150"/>
      <c r="M150" s="152">
        <f t="shared" si="12"/>
        <v>0</v>
      </c>
    </row>
    <row r="151" spans="1:13" x14ac:dyDescent="0.25">
      <c r="A151" s="166"/>
      <c r="G151" s="136"/>
      <c r="H151" s="150">
        <v>146</v>
      </c>
      <c r="I151" s="151" t="str">
        <f t="shared" si="13"/>
        <v/>
      </c>
      <c r="J151" s="150">
        <f t="shared" si="14"/>
        <v>-6</v>
      </c>
      <c r="K151" s="150">
        <f t="shared" si="11"/>
        <v>-60</v>
      </c>
      <c r="L151" s="150"/>
      <c r="M151" s="152">
        <f t="shared" si="12"/>
        <v>0</v>
      </c>
    </row>
    <row r="152" spans="1:13" x14ac:dyDescent="0.25">
      <c r="A152" s="166"/>
      <c r="G152" s="136"/>
      <c r="H152" s="150">
        <v>147</v>
      </c>
      <c r="I152" s="151" t="str">
        <f t="shared" si="13"/>
        <v/>
      </c>
      <c r="J152" s="150">
        <f t="shared" si="14"/>
        <v>-6</v>
      </c>
      <c r="K152" s="150">
        <f t="shared" si="11"/>
        <v>-60</v>
      </c>
      <c r="L152" s="150"/>
      <c r="M152" s="152">
        <f t="shared" si="12"/>
        <v>0</v>
      </c>
    </row>
    <row r="153" spans="1:13" x14ac:dyDescent="0.25">
      <c r="A153" s="166"/>
      <c r="G153" s="136"/>
      <c r="H153" s="150">
        <v>148</v>
      </c>
      <c r="I153" s="151" t="str">
        <f t="shared" si="13"/>
        <v/>
      </c>
      <c r="J153" s="150">
        <f t="shared" si="14"/>
        <v>-6</v>
      </c>
      <c r="K153" s="150">
        <f t="shared" si="11"/>
        <v>-60</v>
      </c>
      <c r="L153" s="150"/>
      <c r="M153" s="152">
        <f t="shared" si="12"/>
        <v>0</v>
      </c>
    </row>
    <row r="154" spans="1:13" x14ac:dyDescent="0.25">
      <c r="A154" s="166"/>
      <c r="G154" s="136"/>
      <c r="H154" s="150">
        <v>149</v>
      </c>
      <c r="I154" s="151" t="str">
        <f t="shared" si="13"/>
        <v/>
      </c>
      <c r="J154" s="150">
        <f t="shared" si="14"/>
        <v>-6</v>
      </c>
      <c r="K154" s="150">
        <f t="shared" si="11"/>
        <v>-60</v>
      </c>
      <c r="L154" s="150"/>
      <c r="M154" s="152">
        <f t="shared" si="12"/>
        <v>0</v>
      </c>
    </row>
    <row r="155" spans="1:13" x14ac:dyDescent="0.25">
      <c r="A155" s="166"/>
      <c r="G155" s="136"/>
      <c r="H155" s="150">
        <v>150</v>
      </c>
      <c r="I155" s="151" t="str">
        <f t="shared" si="13"/>
        <v/>
      </c>
      <c r="J155" s="150">
        <f t="shared" si="14"/>
        <v>-6</v>
      </c>
      <c r="K155" s="150">
        <f t="shared" si="11"/>
        <v>-60</v>
      </c>
      <c r="L155" s="150"/>
      <c r="M155" s="152">
        <f t="shared" si="12"/>
        <v>0</v>
      </c>
    </row>
    <row r="156" spans="1:13" x14ac:dyDescent="0.25">
      <c r="A156" s="166"/>
      <c r="G156" s="136"/>
      <c r="H156" s="150">
        <v>151</v>
      </c>
      <c r="I156" s="151" t="str">
        <f t="shared" si="13"/>
        <v/>
      </c>
      <c r="J156" s="150">
        <f t="shared" si="14"/>
        <v>-6</v>
      </c>
      <c r="K156" s="150">
        <f t="shared" si="11"/>
        <v>-60</v>
      </c>
      <c r="L156" s="150"/>
      <c r="M156" s="152">
        <f t="shared" si="12"/>
        <v>0</v>
      </c>
    </row>
    <row r="157" spans="1:13" x14ac:dyDescent="0.25">
      <c r="A157" s="166"/>
      <c r="G157" s="136"/>
      <c r="H157" s="150">
        <v>152</v>
      </c>
      <c r="I157" s="151" t="str">
        <f t="shared" si="13"/>
        <v/>
      </c>
      <c r="J157" s="150">
        <f t="shared" si="14"/>
        <v>-6</v>
      </c>
      <c r="K157" s="150">
        <f t="shared" si="11"/>
        <v>-60</v>
      </c>
      <c r="L157" s="150"/>
      <c r="M157" s="152">
        <f t="shared" si="12"/>
        <v>0</v>
      </c>
    </row>
    <row r="158" spans="1:13" x14ac:dyDescent="0.25">
      <c r="A158" s="166"/>
      <c r="G158" s="136"/>
      <c r="H158" s="150">
        <v>153</v>
      </c>
      <c r="I158" s="151" t="str">
        <f t="shared" si="13"/>
        <v/>
      </c>
      <c r="J158" s="150">
        <f t="shared" si="14"/>
        <v>-6</v>
      </c>
      <c r="K158" s="150">
        <f t="shared" si="11"/>
        <v>-60</v>
      </c>
      <c r="L158" s="150"/>
      <c r="M158" s="152">
        <f t="shared" si="12"/>
        <v>0</v>
      </c>
    </row>
    <row r="159" spans="1:13" x14ac:dyDescent="0.25">
      <c r="A159" s="166"/>
      <c r="G159" s="136"/>
      <c r="H159" s="150">
        <v>154</v>
      </c>
      <c r="I159" s="151" t="str">
        <f t="shared" si="13"/>
        <v/>
      </c>
      <c r="J159" s="150">
        <f t="shared" si="14"/>
        <v>-6</v>
      </c>
      <c r="K159" s="150">
        <f t="shared" si="11"/>
        <v>-60</v>
      </c>
      <c r="L159" s="150"/>
      <c r="M159" s="152">
        <f t="shared" si="12"/>
        <v>0</v>
      </c>
    </row>
    <row r="160" spans="1:13" x14ac:dyDescent="0.25">
      <c r="A160" s="166"/>
      <c r="G160" s="136"/>
      <c r="H160" s="150">
        <v>155</v>
      </c>
      <c r="I160" s="151" t="str">
        <f t="shared" si="13"/>
        <v/>
      </c>
      <c r="J160" s="150">
        <f t="shared" si="14"/>
        <v>-6</v>
      </c>
      <c r="K160" s="150">
        <f t="shared" si="11"/>
        <v>-60</v>
      </c>
      <c r="L160" s="150"/>
      <c r="M160" s="152">
        <f t="shared" si="12"/>
        <v>0</v>
      </c>
    </row>
    <row r="161" spans="1:13" x14ac:dyDescent="0.25">
      <c r="A161" s="166"/>
      <c r="G161" s="136"/>
      <c r="H161" s="150">
        <v>156</v>
      </c>
      <c r="I161" s="151" t="str">
        <f t="shared" si="13"/>
        <v/>
      </c>
      <c r="J161" s="150">
        <f t="shared" si="14"/>
        <v>-6</v>
      </c>
      <c r="K161" s="150">
        <f t="shared" si="11"/>
        <v>-60</v>
      </c>
      <c r="L161" s="150"/>
      <c r="M161" s="152">
        <f t="shared" si="12"/>
        <v>0</v>
      </c>
    </row>
    <row r="162" spans="1:13" x14ac:dyDescent="0.25">
      <c r="A162" s="166"/>
      <c r="G162" s="136"/>
      <c r="H162" s="150">
        <v>157</v>
      </c>
      <c r="I162" s="151" t="str">
        <f t="shared" si="13"/>
        <v/>
      </c>
      <c r="J162" s="150">
        <f t="shared" si="14"/>
        <v>-6</v>
      </c>
      <c r="K162" s="150">
        <f t="shared" si="11"/>
        <v>-60</v>
      </c>
      <c r="L162" s="150"/>
      <c r="M162" s="152">
        <f t="shared" si="12"/>
        <v>0</v>
      </c>
    </row>
    <row r="163" spans="1:13" x14ac:dyDescent="0.25">
      <c r="A163" s="166"/>
      <c r="G163" s="136"/>
      <c r="H163" s="150">
        <v>158</v>
      </c>
      <c r="I163" s="151" t="str">
        <f t="shared" si="13"/>
        <v/>
      </c>
      <c r="J163" s="150">
        <f t="shared" si="14"/>
        <v>-6</v>
      </c>
      <c r="K163" s="150">
        <f t="shared" si="11"/>
        <v>-60</v>
      </c>
      <c r="L163" s="150"/>
      <c r="M163" s="152">
        <f t="shared" si="12"/>
        <v>0</v>
      </c>
    </row>
    <row r="164" spans="1:13" x14ac:dyDescent="0.25">
      <c r="A164" s="166"/>
      <c r="G164" s="136"/>
      <c r="H164" s="150">
        <v>159</v>
      </c>
      <c r="I164" s="151" t="str">
        <f t="shared" si="13"/>
        <v/>
      </c>
      <c r="J164" s="150">
        <f t="shared" si="14"/>
        <v>-6</v>
      </c>
      <c r="K164" s="150">
        <f t="shared" si="11"/>
        <v>-60</v>
      </c>
      <c r="L164" s="150"/>
      <c r="M164" s="152">
        <f t="shared" si="12"/>
        <v>0</v>
      </c>
    </row>
    <row r="165" spans="1:13" x14ac:dyDescent="0.25">
      <c r="A165" s="166"/>
      <c r="G165" s="136"/>
      <c r="H165" s="150">
        <v>160</v>
      </c>
      <c r="I165" s="151" t="str">
        <f t="shared" si="13"/>
        <v/>
      </c>
      <c r="J165" s="150">
        <f t="shared" si="14"/>
        <v>-6</v>
      </c>
      <c r="K165" s="150">
        <f t="shared" si="11"/>
        <v>-60</v>
      </c>
      <c r="L165" s="150"/>
      <c r="M165" s="152">
        <f t="shared" si="12"/>
        <v>0</v>
      </c>
    </row>
    <row r="166" spans="1:13" x14ac:dyDescent="0.25">
      <c r="A166" s="166"/>
      <c r="G166" s="136"/>
      <c r="H166" s="150">
        <v>161</v>
      </c>
      <c r="I166" s="151" t="str">
        <f t="shared" si="13"/>
        <v/>
      </c>
      <c r="J166" s="150">
        <f t="shared" si="14"/>
        <v>-6</v>
      </c>
      <c r="K166" s="150">
        <f t="shared" si="11"/>
        <v>-60</v>
      </c>
      <c r="L166" s="150"/>
      <c r="M166" s="152">
        <f t="shared" si="12"/>
        <v>0</v>
      </c>
    </row>
    <row r="167" spans="1:13" x14ac:dyDescent="0.25">
      <c r="A167" s="166"/>
      <c r="G167" s="136"/>
      <c r="H167" s="150">
        <v>162</v>
      </c>
      <c r="I167" s="151" t="str">
        <f t="shared" si="13"/>
        <v/>
      </c>
      <c r="J167" s="150">
        <f t="shared" si="14"/>
        <v>-6</v>
      </c>
      <c r="K167" s="150">
        <f t="shared" si="11"/>
        <v>-60</v>
      </c>
      <c r="L167" s="150"/>
      <c r="M167" s="152">
        <f t="shared" si="12"/>
        <v>0</v>
      </c>
    </row>
    <row r="168" spans="1:13" x14ac:dyDescent="0.25">
      <c r="A168" s="166"/>
      <c r="G168" s="136"/>
      <c r="H168" s="150">
        <v>163</v>
      </c>
      <c r="I168" s="151" t="str">
        <f t="shared" si="13"/>
        <v/>
      </c>
      <c r="J168" s="150">
        <f t="shared" si="14"/>
        <v>-6</v>
      </c>
      <c r="K168" s="150">
        <f t="shared" si="11"/>
        <v>-60</v>
      </c>
      <c r="L168" s="150"/>
      <c r="M168" s="152">
        <f t="shared" si="12"/>
        <v>0</v>
      </c>
    </row>
    <row r="169" spans="1:13" x14ac:dyDescent="0.25">
      <c r="A169" s="166"/>
      <c r="G169" s="136"/>
      <c r="H169" s="150">
        <v>164</v>
      </c>
      <c r="I169" s="151" t="str">
        <f t="shared" si="13"/>
        <v/>
      </c>
      <c r="J169" s="150">
        <f t="shared" si="14"/>
        <v>-6</v>
      </c>
      <c r="K169" s="150">
        <f t="shared" si="11"/>
        <v>-60</v>
      </c>
      <c r="L169" s="150"/>
      <c r="M169" s="152">
        <f t="shared" si="12"/>
        <v>0</v>
      </c>
    </row>
    <row r="170" spans="1:13" x14ac:dyDescent="0.25">
      <c r="A170" s="166"/>
      <c r="G170" s="136"/>
      <c r="H170" s="150">
        <v>165</v>
      </c>
      <c r="I170" s="151" t="str">
        <f t="shared" si="13"/>
        <v/>
      </c>
      <c r="J170" s="150">
        <f t="shared" si="14"/>
        <v>-6</v>
      </c>
      <c r="K170" s="150">
        <f t="shared" si="11"/>
        <v>-60</v>
      </c>
      <c r="L170" s="150"/>
      <c r="M170" s="152">
        <f t="shared" si="12"/>
        <v>0</v>
      </c>
    </row>
    <row r="171" spans="1:13" x14ac:dyDescent="0.25">
      <c r="A171" s="166"/>
      <c r="G171" s="136"/>
      <c r="H171" s="150">
        <v>166</v>
      </c>
      <c r="I171" s="151" t="str">
        <f t="shared" si="13"/>
        <v/>
      </c>
      <c r="J171" s="150">
        <f t="shared" si="14"/>
        <v>-6</v>
      </c>
      <c r="K171" s="150">
        <f t="shared" si="11"/>
        <v>-60</v>
      </c>
      <c r="L171" s="150"/>
      <c r="M171" s="152">
        <f t="shared" si="12"/>
        <v>0</v>
      </c>
    </row>
    <row r="172" spans="1:13" x14ac:dyDescent="0.25">
      <c r="A172" s="166"/>
      <c r="G172" s="136"/>
      <c r="H172" s="150">
        <v>167</v>
      </c>
      <c r="I172" s="151" t="str">
        <f t="shared" si="13"/>
        <v/>
      </c>
      <c r="J172" s="150">
        <f t="shared" si="14"/>
        <v>-6</v>
      </c>
      <c r="K172" s="150">
        <f t="shared" si="11"/>
        <v>-60</v>
      </c>
      <c r="L172" s="150"/>
      <c r="M172" s="152">
        <f t="shared" si="12"/>
        <v>0</v>
      </c>
    </row>
    <row r="173" spans="1:13" x14ac:dyDescent="0.25">
      <c r="A173" s="166"/>
      <c r="G173" s="136"/>
      <c r="H173" s="150">
        <v>168</v>
      </c>
      <c r="I173" s="151" t="str">
        <f t="shared" si="13"/>
        <v/>
      </c>
      <c r="J173" s="150">
        <f t="shared" si="14"/>
        <v>-6</v>
      </c>
      <c r="K173" s="150">
        <f t="shared" si="11"/>
        <v>-60</v>
      </c>
      <c r="L173" s="150"/>
      <c r="M173" s="152">
        <f t="shared" si="12"/>
        <v>0</v>
      </c>
    </row>
    <row r="174" spans="1:13" x14ac:dyDescent="0.25">
      <c r="A174" s="166"/>
      <c r="G174" s="136"/>
      <c r="H174" s="150">
        <v>169</v>
      </c>
      <c r="I174" s="151" t="str">
        <f t="shared" si="13"/>
        <v/>
      </c>
      <c r="J174" s="150">
        <f t="shared" si="14"/>
        <v>-6</v>
      </c>
      <c r="K174" s="150">
        <f t="shared" si="11"/>
        <v>-60</v>
      </c>
      <c r="L174" s="150"/>
      <c r="M174" s="152">
        <f t="shared" si="12"/>
        <v>0</v>
      </c>
    </row>
    <row r="175" spans="1:13" x14ac:dyDescent="0.25">
      <c r="A175" s="166"/>
      <c r="G175" s="136"/>
      <c r="H175" s="150">
        <v>170</v>
      </c>
      <c r="I175" s="151" t="str">
        <f t="shared" si="13"/>
        <v/>
      </c>
      <c r="J175" s="150">
        <f t="shared" si="14"/>
        <v>-6</v>
      </c>
      <c r="K175" s="150">
        <f t="shared" si="11"/>
        <v>-60</v>
      </c>
      <c r="L175" s="150"/>
      <c r="M175" s="152">
        <f t="shared" si="12"/>
        <v>0</v>
      </c>
    </row>
    <row r="176" spans="1:13" x14ac:dyDescent="0.25">
      <c r="A176" s="166"/>
      <c r="G176" s="136"/>
      <c r="H176" s="150">
        <v>171</v>
      </c>
      <c r="I176" s="151" t="str">
        <f t="shared" si="13"/>
        <v/>
      </c>
      <c r="J176" s="150">
        <f t="shared" si="14"/>
        <v>-6</v>
      </c>
      <c r="K176" s="150">
        <f t="shared" si="11"/>
        <v>-60</v>
      </c>
      <c r="L176" s="150"/>
      <c r="M176" s="152">
        <f t="shared" si="12"/>
        <v>0</v>
      </c>
    </row>
    <row r="177" spans="1:13" x14ac:dyDescent="0.25">
      <c r="A177" s="166"/>
      <c r="G177" s="136"/>
      <c r="H177" s="150">
        <v>172</v>
      </c>
      <c r="I177" s="151" t="str">
        <f t="shared" si="13"/>
        <v/>
      </c>
      <c r="J177" s="150">
        <f t="shared" si="14"/>
        <v>-6</v>
      </c>
      <c r="K177" s="150">
        <f t="shared" si="11"/>
        <v>-60</v>
      </c>
      <c r="L177" s="150"/>
      <c r="M177" s="152">
        <f t="shared" si="12"/>
        <v>0</v>
      </c>
    </row>
    <row r="178" spans="1:13" x14ac:dyDescent="0.25">
      <c r="A178" s="166"/>
      <c r="G178" s="136"/>
      <c r="H178" s="150">
        <v>173</v>
      </c>
      <c r="I178" s="151" t="str">
        <f t="shared" si="13"/>
        <v/>
      </c>
      <c r="J178" s="150">
        <f t="shared" si="14"/>
        <v>-6</v>
      </c>
      <c r="K178" s="150">
        <f t="shared" si="11"/>
        <v>-60</v>
      </c>
      <c r="L178" s="150"/>
      <c r="M178" s="152">
        <f t="shared" si="12"/>
        <v>0</v>
      </c>
    </row>
    <row r="179" spans="1:13" x14ac:dyDescent="0.25">
      <c r="A179" s="166"/>
      <c r="G179" s="136"/>
      <c r="H179" s="150">
        <v>174</v>
      </c>
      <c r="I179" s="151" t="str">
        <f t="shared" si="13"/>
        <v/>
      </c>
      <c r="J179" s="150">
        <f t="shared" si="14"/>
        <v>-6</v>
      </c>
      <c r="K179" s="150">
        <f t="shared" si="11"/>
        <v>-60</v>
      </c>
      <c r="L179" s="150"/>
      <c r="M179" s="152">
        <f t="shared" si="12"/>
        <v>0</v>
      </c>
    </row>
    <row r="180" spans="1:13" x14ac:dyDescent="0.25">
      <c r="A180" s="166"/>
      <c r="G180" s="136"/>
      <c r="H180" s="150">
        <v>175</v>
      </c>
      <c r="I180" s="151" t="str">
        <f t="shared" si="13"/>
        <v/>
      </c>
      <c r="J180" s="150">
        <f t="shared" si="14"/>
        <v>-6</v>
      </c>
      <c r="K180" s="150">
        <f t="shared" si="11"/>
        <v>-60</v>
      </c>
      <c r="L180" s="150"/>
      <c r="M180" s="152">
        <f t="shared" si="12"/>
        <v>0</v>
      </c>
    </row>
    <row r="181" spans="1:13" x14ac:dyDescent="0.25">
      <c r="A181" s="166"/>
      <c r="G181" s="136"/>
      <c r="H181" s="150">
        <v>176</v>
      </c>
      <c r="I181" s="151" t="str">
        <f t="shared" si="13"/>
        <v/>
      </c>
      <c r="J181" s="150">
        <f t="shared" si="14"/>
        <v>-6</v>
      </c>
      <c r="K181" s="150">
        <f t="shared" si="11"/>
        <v>-60</v>
      </c>
      <c r="L181" s="150"/>
      <c r="M181" s="152">
        <f t="shared" si="12"/>
        <v>0</v>
      </c>
    </row>
    <row r="182" spans="1:13" x14ac:dyDescent="0.25">
      <c r="A182" s="166"/>
      <c r="G182" s="136"/>
      <c r="H182" s="150">
        <v>177</v>
      </c>
      <c r="I182" s="151" t="str">
        <f t="shared" si="13"/>
        <v/>
      </c>
      <c r="J182" s="150">
        <f t="shared" si="14"/>
        <v>-6</v>
      </c>
      <c r="K182" s="150">
        <f t="shared" si="11"/>
        <v>-60</v>
      </c>
      <c r="L182" s="150"/>
      <c r="M182" s="152">
        <f t="shared" si="12"/>
        <v>0</v>
      </c>
    </row>
    <row r="183" spans="1:13" x14ac:dyDescent="0.25">
      <c r="A183" s="166"/>
      <c r="G183" s="136"/>
      <c r="H183" s="150">
        <v>178</v>
      </c>
      <c r="I183" s="151" t="str">
        <f t="shared" si="13"/>
        <v/>
      </c>
      <c r="J183" s="150">
        <f t="shared" si="14"/>
        <v>-6</v>
      </c>
      <c r="K183" s="150">
        <f t="shared" si="11"/>
        <v>-60</v>
      </c>
      <c r="L183" s="150"/>
      <c r="M183" s="152">
        <f t="shared" si="12"/>
        <v>0</v>
      </c>
    </row>
    <row r="184" spans="1:13" x14ac:dyDescent="0.25">
      <c r="A184" s="166"/>
      <c r="G184" s="136"/>
      <c r="H184" s="150">
        <v>179</v>
      </c>
      <c r="I184" s="151" t="str">
        <f t="shared" si="13"/>
        <v/>
      </c>
      <c r="J184" s="150">
        <f t="shared" si="14"/>
        <v>-6</v>
      </c>
      <c r="K184" s="150">
        <f t="shared" si="11"/>
        <v>-60</v>
      </c>
      <c r="L184" s="150"/>
      <c r="M184" s="152">
        <f t="shared" si="12"/>
        <v>0</v>
      </c>
    </row>
    <row r="185" spans="1:13" x14ac:dyDescent="0.25">
      <c r="A185" s="166"/>
      <c r="G185" s="136"/>
      <c r="H185" s="150">
        <v>180</v>
      </c>
      <c r="I185" s="151" t="str">
        <f t="shared" si="13"/>
        <v/>
      </c>
      <c r="J185" s="150">
        <f t="shared" si="14"/>
        <v>-6</v>
      </c>
      <c r="K185" s="150">
        <f t="shared" si="11"/>
        <v>-60</v>
      </c>
      <c r="L185" s="150"/>
      <c r="M185" s="152">
        <f t="shared" si="12"/>
        <v>0</v>
      </c>
    </row>
    <row r="186" spans="1:13" x14ac:dyDescent="0.25">
      <c r="A186" s="166"/>
      <c r="G186" s="136"/>
      <c r="H186" s="150">
        <v>181</v>
      </c>
      <c r="I186" s="151" t="str">
        <f t="shared" si="13"/>
        <v/>
      </c>
      <c r="J186" s="150">
        <f t="shared" si="14"/>
        <v>-6</v>
      </c>
      <c r="K186" s="150">
        <f t="shared" si="11"/>
        <v>-60</v>
      </c>
      <c r="L186" s="150"/>
      <c r="M186" s="152">
        <f t="shared" si="12"/>
        <v>0</v>
      </c>
    </row>
    <row r="187" spans="1:13" x14ac:dyDescent="0.25">
      <c r="A187" s="166"/>
      <c r="G187" s="136"/>
      <c r="H187" s="150">
        <v>182</v>
      </c>
      <c r="I187" s="151" t="str">
        <f t="shared" si="13"/>
        <v/>
      </c>
      <c r="J187" s="150">
        <f t="shared" si="14"/>
        <v>-6</v>
      </c>
      <c r="K187" s="150">
        <f t="shared" si="11"/>
        <v>-60</v>
      </c>
      <c r="L187" s="150"/>
      <c r="M187" s="152">
        <f t="shared" si="12"/>
        <v>0</v>
      </c>
    </row>
    <row r="188" spans="1:13" x14ac:dyDescent="0.25">
      <c r="A188" s="166"/>
      <c r="G188" s="136"/>
      <c r="H188" s="150">
        <v>183</v>
      </c>
      <c r="I188" s="151" t="str">
        <f t="shared" si="13"/>
        <v/>
      </c>
      <c r="J188" s="150">
        <f t="shared" si="14"/>
        <v>-6</v>
      </c>
      <c r="K188" s="150">
        <f t="shared" si="11"/>
        <v>-60</v>
      </c>
      <c r="L188" s="150"/>
      <c r="M188" s="152">
        <f t="shared" si="12"/>
        <v>0</v>
      </c>
    </row>
    <row r="189" spans="1:13" x14ac:dyDescent="0.25">
      <c r="A189" s="166"/>
      <c r="G189" s="136"/>
      <c r="H189" s="150">
        <v>184</v>
      </c>
      <c r="I189" s="151" t="str">
        <f t="shared" si="13"/>
        <v/>
      </c>
      <c r="J189" s="150">
        <f t="shared" si="14"/>
        <v>-6</v>
      </c>
      <c r="K189" s="150">
        <f t="shared" si="11"/>
        <v>-60</v>
      </c>
      <c r="L189" s="150"/>
      <c r="M189" s="152">
        <f t="shared" si="12"/>
        <v>0</v>
      </c>
    </row>
    <row r="190" spans="1:13" x14ac:dyDescent="0.25">
      <c r="A190" s="166"/>
      <c r="G190" s="136"/>
      <c r="H190" s="150">
        <v>185</v>
      </c>
      <c r="I190" s="151" t="str">
        <f t="shared" si="13"/>
        <v/>
      </c>
      <c r="J190" s="150">
        <f t="shared" si="14"/>
        <v>-6</v>
      </c>
      <c r="K190" s="150">
        <f t="shared" si="11"/>
        <v>-60</v>
      </c>
      <c r="L190" s="150"/>
      <c r="M190" s="152">
        <f t="shared" si="12"/>
        <v>0</v>
      </c>
    </row>
    <row r="191" spans="1:13" x14ac:dyDescent="0.25">
      <c r="A191" s="166"/>
      <c r="G191" s="136"/>
      <c r="H191" s="150">
        <v>186</v>
      </c>
      <c r="I191" s="151" t="str">
        <f t="shared" si="13"/>
        <v/>
      </c>
      <c r="J191" s="150">
        <f t="shared" si="14"/>
        <v>-6</v>
      </c>
      <c r="K191" s="150">
        <f t="shared" si="11"/>
        <v>-60</v>
      </c>
      <c r="L191" s="150"/>
      <c r="M191" s="152">
        <f t="shared" si="12"/>
        <v>0</v>
      </c>
    </row>
    <row r="192" spans="1:13" x14ac:dyDescent="0.25">
      <c r="A192" s="166"/>
      <c r="G192" s="136"/>
      <c r="H192" s="150">
        <v>187</v>
      </c>
      <c r="I192" s="151" t="str">
        <f t="shared" si="13"/>
        <v/>
      </c>
      <c r="J192" s="150">
        <f t="shared" si="14"/>
        <v>-6</v>
      </c>
      <c r="K192" s="150">
        <f t="shared" si="11"/>
        <v>-60</v>
      </c>
      <c r="L192" s="150"/>
      <c r="M192" s="152">
        <f t="shared" si="12"/>
        <v>0</v>
      </c>
    </row>
    <row r="193" spans="1:13" x14ac:dyDescent="0.25">
      <c r="A193" s="166"/>
      <c r="G193" s="136"/>
      <c r="H193" s="150">
        <v>188</v>
      </c>
      <c r="I193" s="151" t="str">
        <f t="shared" si="13"/>
        <v/>
      </c>
      <c r="J193" s="150">
        <f t="shared" si="14"/>
        <v>-6</v>
      </c>
      <c r="K193" s="150">
        <f t="shared" si="11"/>
        <v>-60</v>
      </c>
      <c r="L193" s="150"/>
      <c r="M193" s="152">
        <f t="shared" si="12"/>
        <v>0</v>
      </c>
    </row>
    <row r="194" spans="1:13" x14ac:dyDescent="0.25">
      <c r="A194" s="166"/>
      <c r="G194" s="136"/>
      <c r="H194" s="150">
        <v>189</v>
      </c>
      <c r="I194" s="151" t="str">
        <f t="shared" si="13"/>
        <v/>
      </c>
      <c r="J194" s="150">
        <f t="shared" si="14"/>
        <v>-6</v>
      </c>
      <c r="K194" s="150">
        <f t="shared" si="11"/>
        <v>-60</v>
      </c>
      <c r="L194" s="150"/>
      <c r="M194" s="152">
        <f t="shared" si="12"/>
        <v>0</v>
      </c>
    </row>
    <row r="195" spans="1:13" x14ac:dyDescent="0.25">
      <c r="A195" s="166"/>
      <c r="G195" s="136"/>
      <c r="H195" s="150">
        <v>190</v>
      </c>
      <c r="I195" s="151" t="str">
        <f t="shared" si="13"/>
        <v/>
      </c>
      <c r="J195" s="150">
        <f t="shared" si="14"/>
        <v>-6</v>
      </c>
      <c r="K195" s="150">
        <f t="shared" si="11"/>
        <v>-60</v>
      </c>
      <c r="L195" s="150"/>
      <c r="M195" s="152">
        <f t="shared" si="12"/>
        <v>0</v>
      </c>
    </row>
    <row r="196" spans="1:13" x14ac:dyDescent="0.25">
      <c r="A196" s="166"/>
      <c r="G196" s="136"/>
      <c r="H196" s="150">
        <v>191</v>
      </c>
      <c r="I196" s="151" t="str">
        <f t="shared" si="13"/>
        <v/>
      </c>
      <c r="J196" s="150">
        <f t="shared" si="14"/>
        <v>-6</v>
      </c>
      <c r="K196" s="150">
        <f t="shared" si="11"/>
        <v>-60</v>
      </c>
      <c r="L196" s="150"/>
      <c r="M196" s="152">
        <f t="shared" si="12"/>
        <v>0</v>
      </c>
    </row>
    <row r="197" spans="1:13" x14ac:dyDescent="0.25">
      <c r="A197" s="166"/>
      <c r="G197" s="136"/>
      <c r="H197" s="150">
        <v>192</v>
      </c>
      <c r="I197" s="151" t="str">
        <f t="shared" si="13"/>
        <v/>
      </c>
      <c r="J197" s="150">
        <f t="shared" si="14"/>
        <v>-6</v>
      </c>
      <c r="K197" s="150">
        <f t="shared" si="11"/>
        <v>-60</v>
      </c>
      <c r="L197" s="150"/>
      <c r="M197" s="152">
        <f t="shared" si="12"/>
        <v>0</v>
      </c>
    </row>
    <row r="198" spans="1:13" x14ac:dyDescent="0.25">
      <c r="A198" s="166"/>
      <c r="G198" s="136"/>
      <c r="H198" s="150">
        <v>193</v>
      </c>
      <c r="I198" s="151" t="str">
        <f t="shared" si="13"/>
        <v/>
      </c>
      <c r="J198" s="150">
        <f t="shared" si="14"/>
        <v>-6</v>
      </c>
      <c r="K198" s="150">
        <f t="shared" ref="K198:K261" si="15">J198*$J$2</f>
        <v>-60</v>
      </c>
      <c r="L198" s="150"/>
      <c r="M198" s="152">
        <f t="shared" ref="M198:M261" si="16">IF(I198&lt;&gt;"",K198+I198+L198,0)</f>
        <v>0</v>
      </c>
    </row>
    <row r="199" spans="1:13" x14ac:dyDescent="0.25">
      <c r="A199" s="166"/>
      <c r="G199" s="136"/>
      <c r="H199" s="150">
        <v>194</v>
      </c>
      <c r="I199" s="151" t="str">
        <f t="shared" ref="I199:I262" si="17">IF(H199&lt;$H$2+1,($I$2-($I$2-1)*(LOG(H199)/LOG($H$2))),"")</f>
        <v/>
      </c>
      <c r="J199" s="150">
        <f t="shared" ref="J199:J262" si="18">INT(LOG($H$2,2))-ROUNDUP(LOG(H199,2),0)+IF(OR($H$2=1,$H$2=2,$H$2=4,$H$2=8,$H$2=16,$H$2=32,$H$2=64,$H$2=128,$H$2=256),0,1)</f>
        <v>-6</v>
      </c>
      <c r="K199" s="150">
        <f t="shared" si="15"/>
        <v>-60</v>
      </c>
      <c r="L199" s="150"/>
      <c r="M199" s="152">
        <f t="shared" si="16"/>
        <v>0</v>
      </c>
    </row>
    <row r="200" spans="1:13" x14ac:dyDescent="0.25">
      <c r="A200" s="166"/>
      <c r="G200" s="136"/>
      <c r="H200" s="150">
        <v>195</v>
      </c>
      <c r="I200" s="151" t="str">
        <f t="shared" si="17"/>
        <v/>
      </c>
      <c r="J200" s="150">
        <f t="shared" si="18"/>
        <v>-6</v>
      </c>
      <c r="K200" s="150">
        <f t="shared" si="15"/>
        <v>-60</v>
      </c>
      <c r="L200" s="150"/>
      <c r="M200" s="152">
        <f t="shared" si="16"/>
        <v>0</v>
      </c>
    </row>
    <row r="201" spans="1:13" x14ac:dyDescent="0.25">
      <c r="A201" s="166"/>
      <c r="G201" s="136"/>
      <c r="H201" s="150">
        <v>196</v>
      </c>
      <c r="I201" s="151" t="str">
        <f t="shared" si="17"/>
        <v/>
      </c>
      <c r="J201" s="150">
        <f t="shared" si="18"/>
        <v>-6</v>
      </c>
      <c r="K201" s="150">
        <f t="shared" si="15"/>
        <v>-60</v>
      </c>
      <c r="L201" s="150"/>
      <c r="M201" s="152">
        <f t="shared" si="16"/>
        <v>0</v>
      </c>
    </row>
    <row r="202" spans="1:13" x14ac:dyDescent="0.25">
      <c r="A202" s="166"/>
      <c r="G202" s="136"/>
      <c r="H202" s="150">
        <v>197</v>
      </c>
      <c r="I202" s="151" t="str">
        <f t="shared" si="17"/>
        <v/>
      </c>
      <c r="J202" s="150">
        <f t="shared" si="18"/>
        <v>-6</v>
      </c>
      <c r="K202" s="150">
        <f t="shared" si="15"/>
        <v>-60</v>
      </c>
      <c r="L202" s="150"/>
      <c r="M202" s="152">
        <f t="shared" si="16"/>
        <v>0</v>
      </c>
    </row>
    <row r="203" spans="1:13" x14ac:dyDescent="0.25">
      <c r="A203" s="166"/>
      <c r="G203" s="136"/>
      <c r="H203" s="150">
        <v>198</v>
      </c>
      <c r="I203" s="151" t="str">
        <f t="shared" si="17"/>
        <v/>
      </c>
      <c r="J203" s="150">
        <f t="shared" si="18"/>
        <v>-6</v>
      </c>
      <c r="K203" s="150">
        <f t="shared" si="15"/>
        <v>-60</v>
      </c>
      <c r="L203" s="150"/>
      <c r="M203" s="152">
        <f t="shared" si="16"/>
        <v>0</v>
      </c>
    </row>
    <row r="204" spans="1:13" x14ac:dyDescent="0.25">
      <c r="A204" s="166"/>
      <c r="G204" s="136"/>
      <c r="H204" s="150">
        <v>199</v>
      </c>
      <c r="I204" s="151" t="str">
        <f t="shared" si="17"/>
        <v/>
      </c>
      <c r="J204" s="150">
        <f t="shared" si="18"/>
        <v>-6</v>
      </c>
      <c r="K204" s="150">
        <f t="shared" si="15"/>
        <v>-60</v>
      </c>
      <c r="L204" s="150"/>
      <c r="M204" s="152">
        <f t="shared" si="16"/>
        <v>0</v>
      </c>
    </row>
    <row r="205" spans="1:13" x14ac:dyDescent="0.25">
      <c r="A205" s="166"/>
      <c r="G205" s="136"/>
      <c r="H205" s="150">
        <v>200</v>
      </c>
      <c r="I205" s="151" t="str">
        <f t="shared" si="17"/>
        <v/>
      </c>
      <c r="J205" s="150">
        <f t="shared" si="18"/>
        <v>-6</v>
      </c>
      <c r="K205" s="150">
        <f t="shared" si="15"/>
        <v>-60</v>
      </c>
      <c r="L205" s="150"/>
      <c r="M205" s="152">
        <f t="shared" si="16"/>
        <v>0</v>
      </c>
    </row>
    <row r="206" spans="1:13" x14ac:dyDescent="0.25">
      <c r="A206" s="166"/>
      <c r="G206" s="136"/>
      <c r="H206" s="150">
        <v>201</v>
      </c>
      <c r="I206" s="151" t="str">
        <f t="shared" si="17"/>
        <v/>
      </c>
      <c r="J206" s="150">
        <f t="shared" si="18"/>
        <v>-6</v>
      </c>
      <c r="K206" s="150">
        <f t="shared" si="15"/>
        <v>-60</v>
      </c>
      <c r="L206" s="150"/>
      <c r="M206" s="152">
        <f t="shared" si="16"/>
        <v>0</v>
      </c>
    </row>
    <row r="207" spans="1:13" x14ac:dyDescent="0.25">
      <c r="A207" s="166"/>
      <c r="G207" s="136"/>
      <c r="H207" s="150">
        <v>202</v>
      </c>
      <c r="I207" s="151" t="str">
        <f t="shared" si="17"/>
        <v/>
      </c>
      <c r="J207" s="150">
        <f t="shared" si="18"/>
        <v>-6</v>
      </c>
      <c r="K207" s="150">
        <f t="shared" si="15"/>
        <v>-60</v>
      </c>
      <c r="L207" s="150"/>
      <c r="M207" s="152">
        <f t="shared" si="16"/>
        <v>0</v>
      </c>
    </row>
    <row r="208" spans="1:13" x14ac:dyDescent="0.25">
      <c r="A208" s="166"/>
      <c r="G208" s="136"/>
      <c r="H208" s="150">
        <v>203</v>
      </c>
      <c r="I208" s="151" t="str">
        <f t="shared" si="17"/>
        <v/>
      </c>
      <c r="J208" s="150">
        <f t="shared" si="18"/>
        <v>-6</v>
      </c>
      <c r="K208" s="150">
        <f t="shared" si="15"/>
        <v>-60</v>
      </c>
      <c r="L208" s="150"/>
      <c r="M208" s="152">
        <f t="shared" si="16"/>
        <v>0</v>
      </c>
    </row>
    <row r="209" spans="1:13" x14ac:dyDescent="0.25">
      <c r="A209" s="166"/>
      <c r="G209" s="136"/>
      <c r="H209" s="150">
        <v>204</v>
      </c>
      <c r="I209" s="151" t="str">
        <f t="shared" si="17"/>
        <v/>
      </c>
      <c r="J209" s="150">
        <f t="shared" si="18"/>
        <v>-6</v>
      </c>
      <c r="K209" s="150">
        <f t="shared" si="15"/>
        <v>-60</v>
      </c>
      <c r="L209" s="150"/>
      <c r="M209" s="152">
        <f t="shared" si="16"/>
        <v>0</v>
      </c>
    </row>
    <row r="210" spans="1:13" x14ac:dyDescent="0.25">
      <c r="A210" s="166"/>
      <c r="G210" s="136"/>
      <c r="H210" s="150">
        <v>205</v>
      </c>
      <c r="I210" s="151" t="str">
        <f t="shared" si="17"/>
        <v/>
      </c>
      <c r="J210" s="150">
        <f t="shared" si="18"/>
        <v>-6</v>
      </c>
      <c r="K210" s="150">
        <f t="shared" si="15"/>
        <v>-60</v>
      </c>
      <c r="L210" s="150"/>
      <c r="M210" s="152">
        <f t="shared" si="16"/>
        <v>0</v>
      </c>
    </row>
    <row r="211" spans="1:13" x14ac:dyDescent="0.25">
      <c r="A211" s="166"/>
      <c r="G211" s="136"/>
      <c r="H211" s="150">
        <v>206</v>
      </c>
      <c r="I211" s="151" t="str">
        <f t="shared" si="17"/>
        <v/>
      </c>
      <c r="J211" s="150">
        <f t="shared" si="18"/>
        <v>-6</v>
      </c>
      <c r="K211" s="150">
        <f t="shared" si="15"/>
        <v>-60</v>
      </c>
      <c r="L211" s="150"/>
      <c r="M211" s="152">
        <f t="shared" si="16"/>
        <v>0</v>
      </c>
    </row>
    <row r="212" spans="1:13" x14ac:dyDescent="0.25">
      <c r="A212" s="166"/>
      <c r="G212" s="136"/>
      <c r="H212" s="150">
        <v>207</v>
      </c>
      <c r="I212" s="151" t="str">
        <f t="shared" si="17"/>
        <v/>
      </c>
      <c r="J212" s="150">
        <f t="shared" si="18"/>
        <v>-6</v>
      </c>
      <c r="K212" s="150">
        <f t="shared" si="15"/>
        <v>-60</v>
      </c>
      <c r="L212" s="150"/>
      <c r="M212" s="152">
        <f t="shared" si="16"/>
        <v>0</v>
      </c>
    </row>
    <row r="213" spans="1:13" x14ac:dyDescent="0.25">
      <c r="A213" s="166"/>
      <c r="G213" s="136"/>
      <c r="H213" s="150">
        <v>208</v>
      </c>
      <c r="I213" s="151" t="str">
        <f t="shared" si="17"/>
        <v/>
      </c>
      <c r="J213" s="150">
        <f t="shared" si="18"/>
        <v>-6</v>
      </c>
      <c r="K213" s="150">
        <f t="shared" si="15"/>
        <v>-60</v>
      </c>
      <c r="L213" s="150"/>
      <c r="M213" s="152">
        <f t="shared" si="16"/>
        <v>0</v>
      </c>
    </row>
    <row r="214" spans="1:13" x14ac:dyDescent="0.25">
      <c r="A214" s="166"/>
      <c r="G214" s="136"/>
      <c r="H214" s="150">
        <v>209</v>
      </c>
      <c r="I214" s="151" t="str">
        <f t="shared" si="17"/>
        <v/>
      </c>
      <c r="J214" s="150">
        <f t="shared" si="18"/>
        <v>-6</v>
      </c>
      <c r="K214" s="150">
        <f t="shared" si="15"/>
        <v>-60</v>
      </c>
      <c r="L214" s="150"/>
      <c r="M214" s="152">
        <f t="shared" si="16"/>
        <v>0</v>
      </c>
    </row>
    <row r="215" spans="1:13" x14ac:dyDescent="0.25">
      <c r="A215" s="166"/>
      <c r="G215" s="136"/>
      <c r="H215" s="150">
        <v>210</v>
      </c>
      <c r="I215" s="151" t="str">
        <f t="shared" si="17"/>
        <v/>
      </c>
      <c r="J215" s="150">
        <f t="shared" si="18"/>
        <v>-6</v>
      </c>
      <c r="K215" s="150">
        <f t="shared" si="15"/>
        <v>-60</v>
      </c>
      <c r="L215" s="150"/>
      <c r="M215" s="152">
        <f t="shared" si="16"/>
        <v>0</v>
      </c>
    </row>
    <row r="216" spans="1:13" x14ac:dyDescent="0.25">
      <c r="A216" s="166"/>
      <c r="G216" s="136"/>
      <c r="H216" s="150">
        <v>211</v>
      </c>
      <c r="I216" s="151" t="str">
        <f t="shared" si="17"/>
        <v/>
      </c>
      <c r="J216" s="150">
        <f t="shared" si="18"/>
        <v>-6</v>
      </c>
      <c r="K216" s="150">
        <f t="shared" si="15"/>
        <v>-60</v>
      </c>
      <c r="L216" s="150"/>
      <c r="M216" s="152">
        <f t="shared" si="16"/>
        <v>0</v>
      </c>
    </row>
    <row r="217" spans="1:13" x14ac:dyDescent="0.25">
      <c r="A217" s="166"/>
      <c r="G217" s="136"/>
      <c r="H217" s="150">
        <v>212</v>
      </c>
      <c r="I217" s="151" t="str">
        <f t="shared" si="17"/>
        <v/>
      </c>
      <c r="J217" s="150">
        <f t="shared" si="18"/>
        <v>-6</v>
      </c>
      <c r="K217" s="150">
        <f t="shared" si="15"/>
        <v>-60</v>
      </c>
      <c r="L217" s="150"/>
      <c r="M217" s="152">
        <f t="shared" si="16"/>
        <v>0</v>
      </c>
    </row>
    <row r="218" spans="1:13" x14ac:dyDescent="0.25">
      <c r="A218" s="166"/>
      <c r="G218" s="136"/>
      <c r="H218" s="150">
        <v>213</v>
      </c>
      <c r="I218" s="151" t="str">
        <f t="shared" si="17"/>
        <v/>
      </c>
      <c r="J218" s="150">
        <f t="shared" si="18"/>
        <v>-6</v>
      </c>
      <c r="K218" s="150">
        <f t="shared" si="15"/>
        <v>-60</v>
      </c>
      <c r="L218" s="150"/>
      <c r="M218" s="152">
        <f t="shared" si="16"/>
        <v>0</v>
      </c>
    </row>
    <row r="219" spans="1:13" x14ac:dyDescent="0.25">
      <c r="A219" s="166"/>
      <c r="G219" s="136"/>
      <c r="H219" s="150">
        <v>214</v>
      </c>
      <c r="I219" s="151" t="str">
        <f t="shared" si="17"/>
        <v/>
      </c>
      <c r="J219" s="150">
        <f t="shared" si="18"/>
        <v>-6</v>
      </c>
      <c r="K219" s="150">
        <f t="shared" si="15"/>
        <v>-60</v>
      </c>
      <c r="L219" s="150"/>
      <c r="M219" s="152">
        <f t="shared" si="16"/>
        <v>0</v>
      </c>
    </row>
    <row r="220" spans="1:13" x14ac:dyDescent="0.25">
      <c r="A220" s="166"/>
      <c r="G220" s="136"/>
      <c r="H220" s="150">
        <v>215</v>
      </c>
      <c r="I220" s="151" t="str">
        <f t="shared" si="17"/>
        <v/>
      </c>
      <c r="J220" s="150">
        <f t="shared" si="18"/>
        <v>-6</v>
      </c>
      <c r="K220" s="150">
        <f t="shared" si="15"/>
        <v>-60</v>
      </c>
      <c r="L220" s="150"/>
      <c r="M220" s="152">
        <f t="shared" si="16"/>
        <v>0</v>
      </c>
    </row>
    <row r="221" spans="1:13" x14ac:dyDescent="0.25">
      <c r="A221" s="166"/>
      <c r="G221" s="136"/>
      <c r="H221" s="150">
        <v>216</v>
      </c>
      <c r="I221" s="151" t="str">
        <f t="shared" si="17"/>
        <v/>
      </c>
      <c r="J221" s="150">
        <f t="shared" si="18"/>
        <v>-6</v>
      </c>
      <c r="K221" s="150">
        <f t="shared" si="15"/>
        <v>-60</v>
      </c>
      <c r="L221" s="150"/>
      <c r="M221" s="152">
        <f t="shared" si="16"/>
        <v>0</v>
      </c>
    </row>
    <row r="222" spans="1:13" x14ac:dyDescent="0.25">
      <c r="A222" s="166"/>
      <c r="G222" s="136"/>
      <c r="H222" s="150">
        <v>217</v>
      </c>
      <c r="I222" s="151" t="str">
        <f t="shared" si="17"/>
        <v/>
      </c>
      <c r="J222" s="150">
        <f t="shared" si="18"/>
        <v>-6</v>
      </c>
      <c r="K222" s="150">
        <f t="shared" si="15"/>
        <v>-60</v>
      </c>
      <c r="L222" s="150"/>
      <c r="M222" s="152">
        <f t="shared" si="16"/>
        <v>0</v>
      </c>
    </row>
    <row r="223" spans="1:13" x14ac:dyDescent="0.25">
      <c r="A223" s="166"/>
      <c r="G223" s="136"/>
      <c r="H223" s="150">
        <v>218</v>
      </c>
      <c r="I223" s="151" t="str">
        <f t="shared" si="17"/>
        <v/>
      </c>
      <c r="J223" s="150">
        <f t="shared" si="18"/>
        <v>-6</v>
      </c>
      <c r="K223" s="150">
        <f t="shared" si="15"/>
        <v>-60</v>
      </c>
      <c r="L223" s="150"/>
      <c r="M223" s="152">
        <f t="shared" si="16"/>
        <v>0</v>
      </c>
    </row>
    <row r="224" spans="1:13" x14ac:dyDescent="0.25">
      <c r="A224" s="166"/>
      <c r="G224" s="136"/>
      <c r="H224" s="150">
        <v>219</v>
      </c>
      <c r="I224" s="151" t="str">
        <f t="shared" si="17"/>
        <v/>
      </c>
      <c r="J224" s="150">
        <f t="shared" si="18"/>
        <v>-6</v>
      </c>
      <c r="K224" s="150">
        <f t="shared" si="15"/>
        <v>-60</v>
      </c>
      <c r="L224" s="150"/>
      <c r="M224" s="152">
        <f t="shared" si="16"/>
        <v>0</v>
      </c>
    </row>
    <row r="225" spans="1:13" x14ac:dyDescent="0.25">
      <c r="A225" s="166"/>
      <c r="G225" s="136"/>
      <c r="H225" s="150">
        <v>220</v>
      </c>
      <c r="I225" s="151" t="str">
        <f t="shared" si="17"/>
        <v/>
      </c>
      <c r="J225" s="150">
        <f t="shared" si="18"/>
        <v>-6</v>
      </c>
      <c r="K225" s="150">
        <f t="shared" si="15"/>
        <v>-60</v>
      </c>
      <c r="L225" s="150"/>
      <c r="M225" s="152">
        <f t="shared" si="16"/>
        <v>0</v>
      </c>
    </row>
    <row r="226" spans="1:13" x14ac:dyDescent="0.25">
      <c r="A226" s="166"/>
      <c r="G226" s="136"/>
      <c r="H226" s="150">
        <v>221</v>
      </c>
      <c r="I226" s="151" t="str">
        <f t="shared" si="17"/>
        <v/>
      </c>
      <c r="J226" s="150">
        <f t="shared" si="18"/>
        <v>-6</v>
      </c>
      <c r="K226" s="150">
        <f t="shared" si="15"/>
        <v>-60</v>
      </c>
      <c r="L226" s="150"/>
      <c r="M226" s="152">
        <f t="shared" si="16"/>
        <v>0</v>
      </c>
    </row>
    <row r="227" spans="1:13" x14ac:dyDescent="0.25">
      <c r="A227" s="166"/>
      <c r="G227" s="136"/>
      <c r="H227" s="150">
        <v>222</v>
      </c>
      <c r="I227" s="151" t="str">
        <f t="shared" si="17"/>
        <v/>
      </c>
      <c r="J227" s="150">
        <f t="shared" si="18"/>
        <v>-6</v>
      </c>
      <c r="K227" s="150">
        <f t="shared" si="15"/>
        <v>-60</v>
      </c>
      <c r="L227" s="150"/>
      <c r="M227" s="152">
        <f t="shared" si="16"/>
        <v>0</v>
      </c>
    </row>
    <row r="228" spans="1:13" x14ac:dyDescent="0.25">
      <c r="A228" s="166"/>
      <c r="G228" s="136"/>
      <c r="H228" s="150">
        <v>223</v>
      </c>
      <c r="I228" s="151" t="str">
        <f t="shared" si="17"/>
        <v/>
      </c>
      <c r="J228" s="150">
        <f t="shared" si="18"/>
        <v>-6</v>
      </c>
      <c r="K228" s="150">
        <f t="shared" si="15"/>
        <v>-60</v>
      </c>
      <c r="L228" s="150"/>
      <c r="M228" s="152">
        <f t="shared" si="16"/>
        <v>0</v>
      </c>
    </row>
    <row r="229" spans="1:13" x14ac:dyDescent="0.25">
      <c r="A229" s="166"/>
      <c r="G229" s="136"/>
      <c r="H229" s="150">
        <v>224</v>
      </c>
      <c r="I229" s="151" t="str">
        <f t="shared" si="17"/>
        <v/>
      </c>
      <c r="J229" s="150">
        <f t="shared" si="18"/>
        <v>-6</v>
      </c>
      <c r="K229" s="150">
        <f t="shared" si="15"/>
        <v>-60</v>
      </c>
      <c r="L229" s="150"/>
      <c r="M229" s="152">
        <f t="shared" si="16"/>
        <v>0</v>
      </c>
    </row>
    <row r="230" spans="1:13" x14ac:dyDescent="0.25">
      <c r="A230" s="166"/>
      <c r="G230" s="136"/>
      <c r="H230" s="150">
        <v>225</v>
      </c>
      <c r="I230" s="151" t="str">
        <f t="shared" si="17"/>
        <v/>
      </c>
      <c r="J230" s="150">
        <f t="shared" si="18"/>
        <v>-6</v>
      </c>
      <c r="K230" s="150">
        <f t="shared" si="15"/>
        <v>-60</v>
      </c>
      <c r="L230" s="150"/>
      <c r="M230" s="152">
        <f t="shared" si="16"/>
        <v>0</v>
      </c>
    </row>
    <row r="231" spans="1:13" x14ac:dyDescent="0.25">
      <c r="A231" s="166"/>
      <c r="G231" s="136"/>
      <c r="H231" s="150">
        <v>226</v>
      </c>
      <c r="I231" s="151" t="str">
        <f t="shared" si="17"/>
        <v/>
      </c>
      <c r="J231" s="150">
        <f t="shared" si="18"/>
        <v>-6</v>
      </c>
      <c r="K231" s="150">
        <f t="shared" si="15"/>
        <v>-60</v>
      </c>
      <c r="L231" s="150"/>
      <c r="M231" s="152">
        <f t="shared" si="16"/>
        <v>0</v>
      </c>
    </row>
    <row r="232" spans="1:13" x14ac:dyDescent="0.25">
      <c r="A232" s="166"/>
      <c r="G232" s="136"/>
      <c r="H232" s="150">
        <v>227</v>
      </c>
      <c r="I232" s="151" t="str">
        <f t="shared" si="17"/>
        <v/>
      </c>
      <c r="J232" s="150">
        <f t="shared" si="18"/>
        <v>-6</v>
      </c>
      <c r="K232" s="150">
        <f t="shared" si="15"/>
        <v>-60</v>
      </c>
      <c r="L232" s="150"/>
      <c r="M232" s="152">
        <f t="shared" si="16"/>
        <v>0</v>
      </c>
    </row>
    <row r="233" spans="1:13" x14ac:dyDescent="0.25">
      <c r="A233" s="166"/>
      <c r="G233" s="136"/>
      <c r="H233" s="150">
        <v>228</v>
      </c>
      <c r="I233" s="151" t="str">
        <f t="shared" si="17"/>
        <v/>
      </c>
      <c r="J233" s="150">
        <f t="shared" si="18"/>
        <v>-6</v>
      </c>
      <c r="K233" s="150">
        <f t="shared" si="15"/>
        <v>-60</v>
      </c>
      <c r="L233" s="150"/>
      <c r="M233" s="152">
        <f t="shared" si="16"/>
        <v>0</v>
      </c>
    </row>
    <row r="234" spans="1:13" x14ac:dyDescent="0.25">
      <c r="A234" s="166"/>
      <c r="G234" s="136"/>
      <c r="H234" s="150">
        <v>229</v>
      </c>
      <c r="I234" s="151" t="str">
        <f t="shared" si="17"/>
        <v/>
      </c>
      <c r="J234" s="150">
        <f t="shared" si="18"/>
        <v>-6</v>
      </c>
      <c r="K234" s="150">
        <f t="shared" si="15"/>
        <v>-60</v>
      </c>
      <c r="L234" s="150"/>
      <c r="M234" s="152">
        <f t="shared" si="16"/>
        <v>0</v>
      </c>
    </row>
    <row r="235" spans="1:13" x14ac:dyDescent="0.25">
      <c r="A235" s="166"/>
      <c r="G235" s="136"/>
      <c r="H235" s="150">
        <v>230</v>
      </c>
      <c r="I235" s="151" t="str">
        <f t="shared" si="17"/>
        <v/>
      </c>
      <c r="J235" s="150">
        <f t="shared" si="18"/>
        <v>-6</v>
      </c>
      <c r="K235" s="150">
        <f t="shared" si="15"/>
        <v>-60</v>
      </c>
      <c r="L235" s="150"/>
      <c r="M235" s="152">
        <f t="shared" si="16"/>
        <v>0</v>
      </c>
    </row>
    <row r="236" spans="1:13" x14ac:dyDescent="0.25">
      <c r="A236" s="166"/>
      <c r="G236" s="136"/>
      <c r="H236" s="150">
        <v>231</v>
      </c>
      <c r="I236" s="151" t="str">
        <f t="shared" si="17"/>
        <v/>
      </c>
      <c r="J236" s="150">
        <f t="shared" si="18"/>
        <v>-6</v>
      </c>
      <c r="K236" s="150">
        <f t="shared" si="15"/>
        <v>-60</v>
      </c>
      <c r="L236" s="150"/>
      <c r="M236" s="152">
        <f t="shared" si="16"/>
        <v>0</v>
      </c>
    </row>
    <row r="237" spans="1:13" x14ac:dyDescent="0.25">
      <c r="A237" s="166"/>
      <c r="G237" s="136"/>
      <c r="H237" s="150">
        <v>232</v>
      </c>
      <c r="I237" s="151" t="str">
        <f t="shared" si="17"/>
        <v/>
      </c>
      <c r="J237" s="150">
        <f t="shared" si="18"/>
        <v>-6</v>
      </c>
      <c r="K237" s="150">
        <f t="shared" si="15"/>
        <v>-60</v>
      </c>
      <c r="L237" s="150"/>
      <c r="M237" s="152">
        <f t="shared" si="16"/>
        <v>0</v>
      </c>
    </row>
    <row r="238" spans="1:13" x14ac:dyDescent="0.25">
      <c r="A238" s="166"/>
      <c r="G238" s="136"/>
      <c r="H238" s="150">
        <v>233</v>
      </c>
      <c r="I238" s="151" t="str">
        <f t="shared" si="17"/>
        <v/>
      </c>
      <c r="J238" s="150">
        <f t="shared" si="18"/>
        <v>-6</v>
      </c>
      <c r="K238" s="150">
        <f t="shared" si="15"/>
        <v>-60</v>
      </c>
      <c r="L238" s="150"/>
      <c r="M238" s="152">
        <f t="shared" si="16"/>
        <v>0</v>
      </c>
    </row>
    <row r="239" spans="1:13" x14ac:dyDescent="0.25">
      <c r="A239" s="166"/>
      <c r="G239" s="136"/>
      <c r="H239" s="150">
        <v>234</v>
      </c>
      <c r="I239" s="151" t="str">
        <f t="shared" si="17"/>
        <v/>
      </c>
      <c r="J239" s="150">
        <f t="shared" si="18"/>
        <v>-6</v>
      </c>
      <c r="K239" s="150">
        <f t="shared" si="15"/>
        <v>-60</v>
      </c>
      <c r="L239" s="150"/>
      <c r="M239" s="152">
        <f t="shared" si="16"/>
        <v>0</v>
      </c>
    </row>
    <row r="240" spans="1:13" x14ac:dyDescent="0.25">
      <c r="A240" s="166"/>
      <c r="G240" s="136"/>
      <c r="H240" s="150">
        <v>235</v>
      </c>
      <c r="I240" s="151" t="str">
        <f t="shared" si="17"/>
        <v/>
      </c>
      <c r="J240" s="150">
        <f t="shared" si="18"/>
        <v>-6</v>
      </c>
      <c r="K240" s="150">
        <f t="shared" si="15"/>
        <v>-60</v>
      </c>
      <c r="L240" s="150"/>
      <c r="M240" s="152">
        <f t="shared" si="16"/>
        <v>0</v>
      </c>
    </row>
    <row r="241" spans="1:13" x14ac:dyDescent="0.25">
      <c r="A241" s="166"/>
      <c r="G241" s="136"/>
      <c r="H241" s="150">
        <v>236</v>
      </c>
      <c r="I241" s="151" t="str">
        <f t="shared" si="17"/>
        <v/>
      </c>
      <c r="J241" s="150">
        <f t="shared" si="18"/>
        <v>-6</v>
      </c>
      <c r="K241" s="150">
        <f t="shared" si="15"/>
        <v>-60</v>
      </c>
      <c r="L241" s="150"/>
      <c r="M241" s="152">
        <f t="shared" si="16"/>
        <v>0</v>
      </c>
    </row>
    <row r="242" spans="1:13" x14ac:dyDescent="0.25">
      <c r="A242" s="166"/>
      <c r="G242" s="136"/>
      <c r="H242" s="150">
        <v>237</v>
      </c>
      <c r="I242" s="151" t="str">
        <f t="shared" si="17"/>
        <v/>
      </c>
      <c r="J242" s="150">
        <f t="shared" si="18"/>
        <v>-6</v>
      </c>
      <c r="K242" s="150">
        <f t="shared" si="15"/>
        <v>-60</v>
      </c>
      <c r="L242" s="150"/>
      <c r="M242" s="152">
        <f t="shared" si="16"/>
        <v>0</v>
      </c>
    </row>
    <row r="243" spans="1:13" x14ac:dyDescent="0.25">
      <c r="A243" s="166"/>
      <c r="G243" s="136"/>
      <c r="H243" s="150">
        <v>238</v>
      </c>
      <c r="I243" s="151" t="str">
        <f t="shared" si="17"/>
        <v/>
      </c>
      <c r="J243" s="150">
        <f t="shared" si="18"/>
        <v>-6</v>
      </c>
      <c r="K243" s="150">
        <f t="shared" si="15"/>
        <v>-60</v>
      </c>
      <c r="L243" s="150"/>
      <c r="M243" s="152">
        <f t="shared" si="16"/>
        <v>0</v>
      </c>
    </row>
    <row r="244" spans="1:13" x14ac:dyDescent="0.25">
      <c r="A244" s="166"/>
      <c r="G244" s="136"/>
      <c r="H244" s="150">
        <v>239</v>
      </c>
      <c r="I244" s="151" t="str">
        <f t="shared" si="17"/>
        <v/>
      </c>
      <c r="J244" s="150">
        <f t="shared" si="18"/>
        <v>-6</v>
      </c>
      <c r="K244" s="150">
        <f t="shared" si="15"/>
        <v>-60</v>
      </c>
      <c r="L244" s="150"/>
      <c r="M244" s="152">
        <f t="shared" si="16"/>
        <v>0</v>
      </c>
    </row>
    <row r="245" spans="1:13" x14ac:dyDescent="0.25">
      <c r="A245" s="166"/>
      <c r="G245" s="136"/>
      <c r="H245" s="150">
        <v>240</v>
      </c>
      <c r="I245" s="151" t="str">
        <f t="shared" si="17"/>
        <v/>
      </c>
      <c r="J245" s="150">
        <f t="shared" si="18"/>
        <v>-6</v>
      </c>
      <c r="K245" s="150">
        <f t="shared" si="15"/>
        <v>-60</v>
      </c>
      <c r="L245" s="150"/>
      <c r="M245" s="152">
        <f t="shared" si="16"/>
        <v>0</v>
      </c>
    </row>
    <row r="246" spans="1:13" x14ac:dyDescent="0.25">
      <c r="A246" s="166"/>
      <c r="G246" s="136"/>
      <c r="H246" s="150">
        <v>241</v>
      </c>
      <c r="I246" s="151" t="str">
        <f t="shared" si="17"/>
        <v/>
      </c>
      <c r="J246" s="150">
        <f t="shared" si="18"/>
        <v>-6</v>
      </c>
      <c r="K246" s="150">
        <f t="shared" si="15"/>
        <v>-60</v>
      </c>
      <c r="L246" s="150"/>
      <c r="M246" s="152">
        <f t="shared" si="16"/>
        <v>0</v>
      </c>
    </row>
    <row r="247" spans="1:13" x14ac:dyDescent="0.25">
      <c r="A247" s="166"/>
      <c r="G247" s="136"/>
      <c r="H247" s="150">
        <v>242</v>
      </c>
      <c r="I247" s="151" t="str">
        <f t="shared" si="17"/>
        <v/>
      </c>
      <c r="J247" s="150">
        <f t="shared" si="18"/>
        <v>-6</v>
      </c>
      <c r="K247" s="150">
        <f t="shared" si="15"/>
        <v>-60</v>
      </c>
      <c r="L247" s="150"/>
      <c r="M247" s="152">
        <f t="shared" si="16"/>
        <v>0</v>
      </c>
    </row>
    <row r="248" spans="1:13" x14ac:dyDescent="0.25">
      <c r="A248" s="166"/>
      <c r="G248" s="136"/>
      <c r="H248" s="150">
        <v>243</v>
      </c>
      <c r="I248" s="151" t="str">
        <f t="shared" si="17"/>
        <v/>
      </c>
      <c r="J248" s="150">
        <f t="shared" si="18"/>
        <v>-6</v>
      </c>
      <c r="K248" s="150">
        <f t="shared" si="15"/>
        <v>-60</v>
      </c>
      <c r="L248" s="150"/>
      <c r="M248" s="152">
        <f t="shared" si="16"/>
        <v>0</v>
      </c>
    </row>
    <row r="249" spans="1:13" x14ac:dyDescent="0.25">
      <c r="A249" s="166"/>
      <c r="G249" s="136"/>
      <c r="H249" s="150">
        <v>244</v>
      </c>
      <c r="I249" s="151" t="str">
        <f t="shared" si="17"/>
        <v/>
      </c>
      <c r="J249" s="150">
        <f t="shared" si="18"/>
        <v>-6</v>
      </c>
      <c r="K249" s="150">
        <f t="shared" si="15"/>
        <v>-60</v>
      </c>
      <c r="L249" s="150"/>
      <c r="M249" s="152">
        <f t="shared" si="16"/>
        <v>0</v>
      </c>
    </row>
    <row r="250" spans="1:13" x14ac:dyDescent="0.25">
      <c r="A250" s="166"/>
      <c r="G250" s="136"/>
      <c r="H250" s="150">
        <v>245</v>
      </c>
      <c r="I250" s="151" t="str">
        <f t="shared" si="17"/>
        <v/>
      </c>
      <c r="J250" s="150">
        <f t="shared" si="18"/>
        <v>-6</v>
      </c>
      <c r="K250" s="150">
        <f t="shared" si="15"/>
        <v>-60</v>
      </c>
      <c r="L250" s="150"/>
      <c r="M250" s="152">
        <f t="shared" si="16"/>
        <v>0</v>
      </c>
    </row>
    <row r="251" spans="1:13" x14ac:dyDescent="0.25">
      <c r="A251" s="166"/>
      <c r="G251" s="136"/>
      <c r="H251" s="150">
        <v>246</v>
      </c>
      <c r="I251" s="151" t="str">
        <f t="shared" si="17"/>
        <v/>
      </c>
      <c r="J251" s="150">
        <f t="shared" si="18"/>
        <v>-6</v>
      </c>
      <c r="K251" s="150">
        <f t="shared" si="15"/>
        <v>-60</v>
      </c>
      <c r="L251" s="150"/>
      <c r="M251" s="152">
        <f t="shared" si="16"/>
        <v>0</v>
      </c>
    </row>
    <row r="252" spans="1:13" x14ac:dyDescent="0.25">
      <c r="A252" s="166"/>
      <c r="G252" s="136"/>
      <c r="H252" s="150">
        <v>247</v>
      </c>
      <c r="I252" s="151" t="str">
        <f t="shared" si="17"/>
        <v/>
      </c>
      <c r="J252" s="150">
        <f t="shared" si="18"/>
        <v>-6</v>
      </c>
      <c r="K252" s="150">
        <f t="shared" si="15"/>
        <v>-60</v>
      </c>
      <c r="L252" s="150"/>
      <c r="M252" s="152">
        <f t="shared" si="16"/>
        <v>0</v>
      </c>
    </row>
    <row r="253" spans="1:13" x14ac:dyDescent="0.25">
      <c r="A253" s="166"/>
      <c r="G253" s="136"/>
      <c r="H253" s="150">
        <v>248</v>
      </c>
      <c r="I253" s="151" t="str">
        <f t="shared" si="17"/>
        <v/>
      </c>
      <c r="J253" s="150">
        <f t="shared" si="18"/>
        <v>-6</v>
      </c>
      <c r="K253" s="150">
        <f t="shared" si="15"/>
        <v>-60</v>
      </c>
      <c r="L253" s="150"/>
      <c r="M253" s="152">
        <f t="shared" si="16"/>
        <v>0</v>
      </c>
    </row>
    <row r="254" spans="1:13" x14ac:dyDescent="0.25">
      <c r="A254" s="166"/>
      <c r="G254" s="136"/>
      <c r="H254" s="150">
        <v>249</v>
      </c>
      <c r="I254" s="151" t="str">
        <f t="shared" si="17"/>
        <v/>
      </c>
      <c r="J254" s="150">
        <f t="shared" si="18"/>
        <v>-6</v>
      </c>
      <c r="K254" s="150">
        <f t="shared" si="15"/>
        <v>-60</v>
      </c>
      <c r="L254" s="150"/>
      <c r="M254" s="152">
        <f t="shared" si="16"/>
        <v>0</v>
      </c>
    </row>
    <row r="255" spans="1:13" x14ac:dyDescent="0.25">
      <c r="A255" s="166"/>
      <c r="G255" s="136"/>
      <c r="H255" s="150">
        <v>250</v>
      </c>
      <c r="I255" s="151" t="str">
        <f t="shared" si="17"/>
        <v/>
      </c>
      <c r="J255" s="150">
        <f t="shared" si="18"/>
        <v>-6</v>
      </c>
      <c r="K255" s="150">
        <f t="shared" si="15"/>
        <v>-60</v>
      </c>
      <c r="L255" s="150"/>
      <c r="M255" s="152">
        <f t="shared" si="16"/>
        <v>0</v>
      </c>
    </row>
    <row r="256" spans="1:13" x14ac:dyDescent="0.25">
      <c r="A256" s="166"/>
      <c r="G256" s="136"/>
      <c r="H256" s="150">
        <v>251</v>
      </c>
      <c r="I256" s="151" t="str">
        <f t="shared" si="17"/>
        <v/>
      </c>
      <c r="J256" s="150">
        <f t="shared" si="18"/>
        <v>-6</v>
      </c>
      <c r="K256" s="150">
        <f t="shared" si="15"/>
        <v>-60</v>
      </c>
      <c r="L256" s="150"/>
      <c r="M256" s="152">
        <f t="shared" si="16"/>
        <v>0</v>
      </c>
    </row>
    <row r="257" spans="1:13" x14ac:dyDescent="0.25">
      <c r="A257" s="166"/>
      <c r="G257" s="136"/>
      <c r="H257" s="150">
        <v>252</v>
      </c>
      <c r="I257" s="151" t="str">
        <f t="shared" si="17"/>
        <v/>
      </c>
      <c r="J257" s="150">
        <f t="shared" si="18"/>
        <v>-6</v>
      </c>
      <c r="K257" s="150">
        <f t="shared" si="15"/>
        <v>-60</v>
      </c>
      <c r="L257" s="150"/>
      <c r="M257" s="152">
        <f t="shared" si="16"/>
        <v>0</v>
      </c>
    </row>
    <row r="258" spans="1:13" x14ac:dyDescent="0.25">
      <c r="A258" s="166"/>
      <c r="G258" s="136"/>
      <c r="H258" s="150">
        <v>253</v>
      </c>
      <c r="I258" s="151" t="str">
        <f t="shared" si="17"/>
        <v/>
      </c>
      <c r="J258" s="150">
        <f t="shared" si="18"/>
        <v>-6</v>
      </c>
      <c r="K258" s="150">
        <f t="shared" si="15"/>
        <v>-60</v>
      </c>
      <c r="L258" s="150"/>
      <c r="M258" s="152">
        <f t="shared" si="16"/>
        <v>0</v>
      </c>
    </row>
    <row r="259" spans="1:13" x14ac:dyDescent="0.25">
      <c r="A259" s="166"/>
      <c r="G259" s="136"/>
      <c r="H259" s="150">
        <v>254</v>
      </c>
      <c r="I259" s="151" t="str">
        <f t="shared" si="17"/>
        <v/>
      </c>
      <c r="J259" s="150">
        <f t="shared" si="18"/>
        <v>-6</v>
      </c>
      <c r="K259" s="150">
        <f t="shared" si="15"/>
        <v>-60</v>
      </c>
      <c r="L259" s="150"/>
      <c r="M259" s="152">
        <f t="shared" si="16"/>
        <v>0</v>
      </c>
    </row>
    <row r="260" spans="1:13" x14ac:dyDescent="0.25">
      <c r="A260" s="166"/>
      <c r="G260" s="136"/>
      <c r="H260" s="150">
        <v>255</v>
      </c>
      <c r="I260" s="151" t="str">
        <f t="shared" si="17"/>
        <v/>
      </c>
      <c r="J260" s="150">
        <f t="shared" si="18"/>
        <v>-6</v>
      </c>
      <c r="K260" s="150">
        <f t="shared" si="15"/>
        <v>-60</v>
      </c>
      <c r="L260" s="150"/>
      <c r="M260" s="152">
        <f t="shared" si="16"/>
        <v>0</v>
      </c>
    </row>
    <row r="261" spans="1:13" x14ac:dyDescent="0.25">
      <c r="A261" s="166"/>
      <c r="G261" s="136"/>
      <c r="H261" s="150">
        <v>256</v>
      </c>
      <c r="I261" s="151" t="str">
        <f t="shared" si="17"/>
        <v/>
      </c>
      <c r="J261" s="150">
        <f t="shared" si="18"/>
        <v>-6</v>
      </c>
      <c r="K261" s="150">
        <f t="shared" si="15"/>
        <v>-60</v>
      </c>
      <c r="L261" s="150"/>
      <c r="M261" s="152">
        <f t="shared" si="16"/>
        <v>0</v>
      </c>
    </row>
    <row r="262" spans="1:13" x14ac:dyDescent="0.25">
      <c r="A262" s="166"/>
      <c r="G262" s="136"/>
      <c r="H262" s="150">
        <v>257</v>
      </c>
      <c r="I262" s="151" t="str">
        <f t="shared" si="17"/>
        <v/>
      </c>
      <c r="J262" s="150">
        <f t="shared" si="18"/>
        <v>-7</v>
      </c>
      <c r="K262" s="150">
        <f t="shared" ref="K262:K305" si="19">J262*$J$2</f>
        <v>-70</v>
      </c>
      <c r="L262" s="150"/>
      <c r="M262" s="152">
        <f t="shared" ref="M262:M305" si="20">IF(I262&lt;&gt;"",K262+I262+L262,0)</f>
        <v>0</v>
      </c>
    </row>
    <row r="263" spans="1:13" x14ac:dyDescent="0.25">
      <c r="A263" s="166"/>
      <c r="G263" s="136"/>
      <c r="H263" s="150">
        <v>258</v>
      </c>
      <c r="I263" s="151" t="str">
        <f t="shared" ref="I263:I305" si="21">IF(H263&lt;$H$2+1,($I$2-($I$2-1)*(LOG(H263)/LOG($H$2))),"")</f>
        <v/>
      </c>
      <c r="J263" s="150">
        <f t="shared" ref="J263:J305" si="22">INT(LOG($H$2,2))-ROUNDUP(LOG(H263,2),0)+IF(OR($H$2=1,$H$2=2,$H$2=4,$H$2=8,$H$2=16,$H$2=32,$H$2=64,$H$2=128,$H$2=256),0,1)</f>
        <v>-7</v>
      </c>
      <c r="K263" s="150">
        <f t="shared" si="19"/>
        <v>-70</v>
      </c>
      <c r="L263" s="150"/>
      <c r="M263" s="152">
        <f t="shared" si="20"/>
        <v>0</v>
      </c>
    </row>
    <row r="264" spans="1:13" x14ac:dyDescent="0.25">
      <c r="A264" s="166"/>
      <c r="G264" s="136"/>
      <c r="H264" s="150">
        <v>259</v>
      </c>
      <c r="I264" s="151" t="str">
        <f t="shared" si="21"/>
        <v/>
      </c>
      <c r="J264" s="150">
        <f t="shared" si="22"/>
        <v>-7</v>
      </c>
      <c r="K264" s="150">
        <f t="shared" si="19"/>
        <v>-70</v>
      </c>
      <c r="L264" s="150"/>
      <c r="M264" s="152">
        <f t="shared" si="20"/>
        <v>0</v>
      </c>
    </row>
    <row r="265" spans="1:13" x14ac:dyDescent="0.25">
      <c r="A265" s="166"/>
      <c r="G265" s="136"/>
      <c r="H265" s="150">
        <v>260</v>
      </c>
      <c r="I265" s="151" t="str">
        <f t="shared" si="21"/>
        <v/>
      </c>
      <c r="J265" s="150">
        <f t="shared" si="22"/>
        <v>-7</v>
      </c>
      <c r="K265" s="150">
        <f t="shared" si="19"/>
        <v>-70</v>
      </c>
      <c r="L265" s="150"/>
      <c r="M265" s="152">
        <f t="shared" si="20"/>
        <v>0</v>
      </c>
    </row>
    <row r="266" spans="1:13" x14ac:dyDescent="0.25">
      <c r="A266" s="166"/>
      <c r="G266" s="136"/>
      <c r="H266" s="150">
        <v>261</v>
      </c>
      <c r="I266" s="151" t="str">
        <f t="shared" si="21"/>
        <v/>
      </c>
      <c r="J266" s="150">
        <f t="shared" si="22"/>
        <v>-7</v>
      </c>
      <c r="K266" s="150">
        <f t="shared" si="19"/>
        <v>-70</v>
      </c>
      <c r="L266" s="150"/>
      <c r="M266" s="152">
        <f t="shared" si="20"/>
        <v>0</v>
      </c>
    </row>
    <row r="267" spans="1:13" x14ac:dyDescent="0.25">
      <c r="A267" s="166"/>
      <c r="G267" s="136"/>
      <c r="H267" s="150">
        <v>262</v>
      </c>
      <c r="I267" s="151" t="str">
        <f t="shared" si="21"/>
        <v/>
      </c>
      <c r="J267" s="150">
        <f t="shared" si="22"/>
        <v>-7</v>
      </c>
      <c r="K267" s="150">
        <f t="shared" si="19"/>
        <v>-70</v>
      </c>
      <c r="L267" s="150"/>
      <c r="M267" s="152">
        <f t="shared" si="20"/>
        <v>0</v>
      </c>
    </row>
    <row r="268" spans="1:13" x14ac:dyDescent="0.25">
      <c r="A268" s="166"/>
      <c r="G268" s="136"/>
      <c r="H268" s="150">
        <v>263</v>
      </c>
      <c r="I268" s="151" t="str">
        <f t="shared" si="21"/>
        <v/>
      </c>
      <c r="J268" s="150">
        <f t="shared" si="22"/>
        <v>-7</v>
      </c>
      <c r="K268" s="150">
        <f t="shared" si="19"/>
        <v>-70</v>
      </c>
      <c r="L268" s="150"/>
      <c r="M268" s="152">
        <f t="shared" si="20"/>
        <v>0</v>
      </c>
    </row>
    <row r="269" spans="1:13" x14ac:dyDescent="0.25">
      <c r="A269" s="166"/>
      <c r="G269" s="136"/>
      <c r="H269" s="150">
        <v>264</v>
      </c>
      <c r="I269" s="151" t="str">
        <f t="shared" si="21"/>
        <v/>
      </c>
      <c r="J269" s="150">
        <f t="shared" si="22"/>
        <v>-7</v>
      </c>
      <c r="K269" s="150">
        <f t="shared" si="19"/>
        <v>-70</v>
      </c>
      <c r="L269" s="150"/>
      <c r="M269" s="152">
        <f t="shared" si="20"/>
        <v>0</v>
      </c>
    </row>
    <row r="270" spans="1:13" x14ac:dyDescent="0.25">
      <c r="A270" s="166"/>
      <c r="G270" s="136"/>
      <c r="H270" s="150">
        <v>265</v>
      </c>
      <c r="I270" s="151" t="str">
        <f t="shared" si="21"/>
        <v/>
      </c>
      <c r="J270" s="150">
        <f t="shared" si="22"/>
        <v>-7</v>
      </c>
      <c r="K270" s="150">
        <f t="shared" si="19"/>
        <v>-70</v>
      </c>
      <c r="L270" s="150"/>
      <c r="M270" s="152">
        <f t="shared" si="20"/>
        <v>0</v>
      </c>
    </row>
    <row r="271" spans="1:13" x14ac:dyDescent="0.25">
      <c r="A271" s="166"/>
      <c r="G271" s="136"/>
      <c r="H271" s="150">
        <v>266</v>
      </c>
      <c r="I271" s="151" t="str">
        <f t="shared" si="21"/>
        <v/>
      </c>
      <c r="J271" s="150">
        <f t="shared" si="22"/>
        <v>-7</v>
      </c>
      <c r="K271" s="150">
        <f t="shared" si="19"/>
        <v>-70</v>
      </c>
      <c r="L271" s="150"/>
      <c r="M271" s="152">
        <f t="shared" si="20"/>
        <v>0</v>
      </c>
    </row>
    <row r="272" spans="1:13" x14ac:dyDescent="0.25">
      <c r="A272" s="166"/>
      <c r="G272" s="136"/>
      <c r="H272" s="150">
        <v>267</v>
      </c>
      <c r="I272" s="151" t="str">
        <f t="shared" si="21"/>
        <v/>
      </c>
      <c r="J272" s="150">
        <f t="shared" si="22"/>
        <v>-7</v>
      </c>
      <c r="K272" s="150">
        <f t="shared" si="19"/>
        <v>-70</v>
      </c>
      <c r="L272" s="150"/>
      <c r="M272" s="152">
        <f t="shared" si="20"/>
        <v>0</v>
      </c>
    </row>
    <row r="273" spans="1:13" x14ac:dyDescent="0.25">
      <c r="A273" s="166"/>
      <c r="G273" s="136"/>
      <c r="H273" s="150">
        <v>268</v>
      </c>
      <c r="I273" s="151" t="str">
        <f t="shared" si="21"/>
        <v/>
      </c>
      <c r="J273" s="150">
        <f t="shared" si="22"/>
        <v>-7</v>
      </c>
      <c r="K273" s="150">
        <f t="shared" si="19"/>
        <v>-70</v>
      </c>
      <c r="L273" s="150"/>
      <c r="M273" s="152">
        <f t="shared" si="20"/>
        <v>0</v>
      </c>
    </row>
    <row r="274" spans="1:13" x14ac:dyDescent="0.25">
      <c r="A274" s="166"/>
      <c r="G274" s="136"/>
      <c r="H274" s="150">
        <v>269</v>
      </c>
      <c r="I274" s="151" t="str">
        <f t="shared" si="21"/>
        <v/>
      </c>
      <c r="J274" s="150">
        <f t="shared" si="22"/>
        <v>-7</v>
      </c>
      <c r="K274" s="150">
        <f t="shared" si="19"/>
        <v>-70</v>
      </c>
      <c r="L274" s="150"/>
      <c r="M274" s="152">
        <f t="shared" si="20"/>
        <v>0</v>
      </c>
    </row>
    <row r="275" spans="1:13" x14ac:dyDescent="0.25">
      <c r="A275" s="166"/>
      <c r="G275" s="136"/>
      <c r="H275" s="150">
        <v>270</v>
      </c>
      <c r="I275" s="151" t="str">
        <f t="shared" si="21"/>
        <v/>
      </c>
      <c r="J275" s="150">
        <f t="shared" si="22"/>
        <v>-7</v>
      </c>
      <c r="K275" s="150">
        <f t="shared" si="19"/>
        <v>-70</v>
      </c>
      <c r="L275" s="150"/>
      <c r="M275" s="152">
        <f t="shared" si="20"/>
        <v>0</v>
      </c>
    </row>
    <row r="276" spans="1:13" x14ac:dyDescent="0.25">
      <c r="A276" s="166"/>
      <c r="G276" s="136"/>
      <c r="H276" s="150">
        <v>271</v>
      </c>
      <c r="I276" s="151" t="str">
        <f t="shared" si="21"/>
        <v/>
      </c>
      <c r="J276" s="150">
        <f t="shared" si="22"/>
        <v>-7</v>
      </c>
      <c r="K276" s="150">
        <f t="shared" si="19"/>
        <v>-70</v>
      </c>
      <c r="L276" s="150"/>
      <c r="M276" s="152">
        <f t="shared" si="20"/>
        <v>0</v>
      </c>
    </row>
    <row r="277" spans="1:13" x14ac:dyDescent="0.25">
      <c r="A277" s="166"/>
      <c r="G277" s="136"/>
      <c r="H277" s="150">
        <v>272</v>
      </c>
      <c r="I277" s="151" t="str">
        <f t="shared" si="21"/>
        <v/>
      </c>
      <c r="J277" s="150">
        <f t="shared" si="22"/>
        <v>-7</v>
      </c>
      <c r="K277" s="150">
        <f t="shared" si="19"/>
        <v>-70</v>
      </c>
      <c r="L277" s="150"/>
      <c r="M277" s="152">
        <f t="shared" si="20"/>
        <v>0</v>
      </c>
    </row>
    <row r="278" spans="1:13" x14ac:dyDescent="0.25">
      <c r="A278" s="166"/>
      <c r="G278" s="136"/>
      <c r="H278" s="150">
        <v>273</v>
      </c>
      <c r="I278" s="151" t="str">
        <f t="shared" si="21"/>
        <v/>
      </c>
      <c r="J278" s="150">
        <f t="shared" si="22"/>
        <v>-7</v>
      </c>
      <c r="K278" s="150">
        <f t="shared" si="19"/>
        <v>-70</v>
      </c>
      <c r="L278" s="150"/>
      <c r="M278" s="152">
        <f t="shared" si="20"/>
        <v>0</v>
      </c>
    </row>
    <row r="279" spans="1:13" x14ac:dyDescent="0.25">
      <c r="A279" s="166"/>
      <c r="G279" s="136"/>
      <c r="H279" s="150">
        <v>274</v>
      </c>
      <c r="I279" s="151" t="str">
        <f t="shared" si="21"/>
        <v/>
      </c>
      <c r="J279" s="150">
        <f t="shared" si="22"/>
        <v>-7</v>
      </c>
      <c r="K279" s="150">
        <f t="shared" si="19"/>
        <v>-70</v>
      </c>
      <c r="L279" s="150"/>
      <c r="M279" s="152">
        <f t="shared" si="20"/>
        <v>0</v>
      </c>
    </row>
    <row r="280" spans="1:13" x14ac:dyDescent="0.25">
      <c r="A280" s="166"/>
      <c r="G280" s="136"/>
      <c r="H280" s="150">
        <v>275</v>
      </c>
      <c r="I280" s="151" t="str">
        <f t="shared" si="21"/>
        <v/>
      </c>
      <c r="J280" s="150">
        <f t="shared" si="22"/>
        <v>-7</v>
      </c>
      <c r="K280" s="150">
        <f t="shared" si="19"/>
        <v>-70</v>
      </c>
      <c r="L280" s="150"/>
      <c r="M280" s="152">
        <f t="shared" si="20"/>
        <v>0</v>
      </c>
    </row>
    <row r="281" spans="1:13" x14ac:dyDescent="0.25">
      <c r="A281" s="166"/>
      <c r="G281" s="136"/>
      <c r="H281" s="150">
        <v>276</v>
      </c>
      <c r="I281" s="151" t="str">
        <f t="shared" si="21"/>
        <v/>
      </c>
      <c r="J281" s="150">
        <f t="shared" si="22"/>
        <v>-7</v>
      </c>
      <c r="K281" s="150">
        <f t="shared" si="19"/>
        <v>-70</v>
      </c>
      <c r="L281" s="150"/>
      <c r="M281" s="152">
        <f t="shared" si="20"/>
        <v>0</v>
      </c>
    </row>
    <row r="282" spans="1:13" x14ac:dyDescent="0.25">
      <c r="A282" s="166"/>
      <c r="G282" s="136"/>
      <c r="H282" s="150">
        <v>277</v>
      </c>
      <c r="I282" s="151" t="str">
        <f t="shared" si="21"/>
        <v/>
      </c>
      <c r="J282" s="150">
        <f t="shared" si="22"/>
        <v>-7</v>
      </c>
      <c r="K282" s="150">
        <f t="shared" si="19"/>
        <v>-70</v>
      </c>
      <c r="L282" s="150"/>
      <c r="M282" s="152">
        <f t="shared" si="20"/>
        <v>0</v>
      </c>
    </row>
    <row r="283" spans="1:13" x14ac:dyDescent="0.25">
      <c r="A283" s="166"/>
      <c r="G283" s="136"/>
      <c r="H283" s="150">
        <v>278</v>
      </c>
      <c r="I283" s="151" t="str">
        <f t="shared" si="21"/>
        <v/>
      </c>
      <c r="J283" s="150">
        <f t="shared" si="22"/>
        <v>-7</v>
      </c>
      <c r="K283" s="150">
        <f t="shared" si="19"/>
        <v>-70</v>
      </c>
      <c r="L283" s="150"/>
      <c r="M283" s="152">
        <f t="shared" si="20"/>
        <v>0</v>
      </c>
    </row>
    <row r="284" spans="1:13" x14ac:dyDescent="0.25">
      <c r="A284" s="166"/>
      <c r="G284" s="136"/>
      <c r="H284" s="150">
        <v>279</v>
      </c>
      <c r="I284" s="151" t="str">
        <f t="shared" si="21"/>
        <v/>
      </c>
      <c r="J284" s="150">
        <f t="shared" si="22"/>
        <v>-7</v>
      </c>
      <c r="K284" s="150">
        <f t="shared" si="19"/>
        <v>-70</v>
      </c>
      <c r="L284" s="150"/>
      <c r="M284" s="152">
        <f t="shared" si="20"/>
        <v>0</v>
      </c>
    </row>
    <row r="285" spans="1:13" x14ac:dyDescent="0.25">
      <c r="A285" s="166"/>
      <c r="G285" s="136"/>
      <c r="H285" s="150">
        <v>280</v>
      </c>
      <c r="I285" s="151" t="str">
        <f t="shared" si="21"/>
        <v/>
      </c>
      <c r="J285" s="150">
        <f t="shared" si="22"/>
        <v>-7</v>
      </c>
      <c r="K285" s="150">
        <f t="shared" si="19"/>
        <v>-70</v>
      </c>
      <c r="L285" s="150"/>
      <c r="M285" s="152">
        <f t="shared" si="20"/>
        <v>0</v>
      </c>
    </row>
    <row r="286" spans="1:13" x14ac:dyDescent="0.25">
      <c r="A286" s="166"/>
      <c r="G286" s="136"/>
      <c r="H286" s="150">
        <v>281</v>
      </c>
      <c r="I286" s="151" t="str">
        <f t="shared" si="21"/>
        <v/>
      </c>
      <c r="J286" s="150">
        <f t="shared" si="22"/>
        <v>-7</v>
      </c>
      <c r="K286" s="150">
        <f t="shared" si="19"/>
        <v>-70</v>
      </c>
      <c r="L286" s="150"/>
      <c r="M286" s="152">
        <f t="shared" si="20"/>
        <v>0</v>
      </c>
    </row>
    <row r="287" spans="1:13" x14ac:dyDescent="0.25">
      <c r="A287" s="166"/>
      <c r="G287" s="136"/>
      <c r="H287" s="150">
        <v>282</v>
      </c>
      <c r="I287" s="151" t="str">
        <f t="shared" si="21"/>
        <v/>
      </c>
      <c r="J287" s="150">
        <f t="shared" si="22"/>
        <v>-7</v>
      </c>
      <c r="K287" s="150">
        <f t="shared" si="19"/>
        <v>-70</v>
      </c>
      <c r="L287" s="150"/>
      <c r="M287" s="152">
        <f t="shared" si="20"/>
        <v>0</v>
      </c>
    </row>
    <row r="288" spans="1:13" x14ac:dyDescent="0.25">
      <c r="A288" s="166"/>
      <c r="G288" s="136"/>
      <c r="H288" s="150">
        <v>283</v>
      </c>
      <c r="I288" s="151" t="str">
        <f t="shared" si="21"/>
        <v/>
      </c>
      <c r="J288" s="150">
        <f t="shared" si="22"/>
        <v>-7</v>
      </c>
      <c r="K288" s="150">
        <f t="shared" si="19"/>
        <v>-70</v>
      </c>
      <c r="L288" s="150"/>
      <c r="M288" s="152">
        <f t="shared" si="20"/>
        <v>0</v>
      </c>
    </row>
    <row r="289" spans="1:13" x14ac:dyDescent="0.25">
      <c r="A289" s="166"/>
      <c r="G289" s="136"/>
      <c r="H289" s="150">
        <v>284</v>
      </c>
      <c r="I289" s="151" t="str">
        <f t="shared" si="21"/>
        <v/>
      </c>
      <c r="J289" s="150">
        <f t="shared" si="22"/>
        <v>-7</v>
      </c>
      <c r="K289" s="150">
        <f t="shared" si="19"/>
        <v>-70</v>
      </c>
      <c r="L289" s="150"/>
      <c r="M289" s="152">
        <f t="shared" si="20"/>
        <v>0</v>
      </c>
    </row>
    <row r="290" spans="1:13" x14ac:dyDescent="0.25">
      <c r="A290" s="166"/>
      <c r="G290" s="136"/>
      <c r="H290" s="150">
        <v>285</v>
      </c>
      <c r="I290" s="151" t="str">
        <f t="shared" si="21"/>
        <v/>
      </c>
      <c r="J290" s="150">
        <f t="shared" si="22"/>
        <v>-7</v>
      </c>
      <c r="K290" s="150">
        <f t="shared" si="19"/>
        <v>-70</v>
      </c>
      <c r="L290" s="150"/>
      <c r="M290" s="152">
        <f t="shared" si="20"/>
        <v>0</v>
      </c>
    </row>
    <row r="291" spans="1:13" x14ac:dyDescent="0.25">
      <c r="A291" s="166"/>
      <c r="G291" s="136"/>
      <c r="H291" s="150">
        <v>286</v>
      </c>
      <c r="I291" s="151" t="str">
        <f t="shared" si="21"/>
        <v/>
      </c>
      <c r="J291" s="150">
        <f t="shared" si="22"/>
        <v>-7</v>
      </c>
      <c r="K291" s="150">
        <f t="shared" si="19"/>
        <v>-70</v>
      </c>
      <c r="L291" s="150"/>
      <c r="M291" s="152">
        <f t="shared" si="20"/>
        <v>0</v>
      </c>
    </row>
    <row r="292" spans="1:13" x14ac:dyDescent="0.25">
      <c r="A292" s="166"/>
      <c r="G292" s="136"/>
      <c r="H292" s="150">
        <v>287</v>
      </c>
      <c r="I292" s="151" t="str">
        <f t="shared" si="21"/>
        <v/>
      </c>
      <c r="J292" s="150">
        <f t="shared" si="22"/>
        <v>-7</v>
      </c>
      <c r="K292" s="150">
        <f t="shared" si="19"/>
        <v>-70</v>
      </c>
      <c r="L292" s="150"/>
      <c r="M292" s="152">
        <f t="shared" si="20"/>
        <v>0</v>
      </c>
    </row>
    <row r="293" spans="1:13" x14ac:dyDescent="0.25">
      <c r="A293" s="166"/>
      <c r="G293" s="136"/>
      <c r="H293" s="150">
        <v>288</v>
      </c>
      <c r="I293" s="151" t="str">
        <f t="shared" si="21"/>
        <v/>
      </c>
      <c r="J293" s="150">
        <f t="shared" si="22"/>
        <v>-7</v>
      </c>
      <c r="K293" s="150">
        <f t="shared" si="19"/>
        <v>-70</v>
      </c>
      <c r="L293" s="150"/>
      <c r="M293" s="152">
        <f t="shared" si="20"/>
        <v>0</v>
      </c>
    </row>
    <row r="294" spans="1:13" x14ac:dyDescent="0.25">
      <c r="A294" s="166"/>
      <c r="G294" s="136"/>
      <c r="H294" s="150">
        <v>289</v>
      </c>
      <c r="I294" s="151" t="str">
        <f t="shared" si="21"/>
        <v/>
      </c>
      <c r="J294" s="150">
        <f t="shared" si="22"/>
        <v>-7</v>
      </c>
      <c r="K294" s="150">
        <f t="shared" si="19"/>
        <v>-70</v>
      </c>
      <c r="L294" s="150"/>
      <c r="M294" s="152">
        <f t="shared" si="20"/>
        <v>0</v>
      </c>
    </row>
    <row r="295" spans="1:13" x14ac:dyDescent="0.25">
      <c r="A295" s="166"/>
      <c r="G295" s="136"/>
      <c r="H295" s="150">
        <v>290</v>
      </c>
      <c r="I295" s="151" t="str">
        <f t="shared" si="21"/>
        <v/>
      </c>
      <c r="J295" s="150">
        <f t="shared" si="22"/>
        <v>-7</v>
      </c>
      <c r="K295" s="150">
        <f t="shared" si="19"/>
        <v>-70</v>
      </c>
      <c r="L295" s="150"/>
      <c r="M295" s="152">
        <f t="shared" si="20"/>
        <v>0</v>
      </c>
    </row>
    <row r="296" spans="1:13" x14ac:dyDescent="0.25">
      <c r="A296" s="166"/>
      <c r="G296" s="136"/>
      <c r="H296" s="150">
        <v>291</v>
      </c>
      <c r="I296" s="151" t="str">
        <f t="shared" si="21"/>
        <v/>
      </c>
      <c r="J296" s="150">
        <f t="shared" si="22"/>
        <v>-7</v>
      </c>
      <c r="K296" s="150">
        <f t="shared" si="19"/>
        <v>-70</v>
      </c>
      <c r="L296" s="150"/>
      <c r="M296" s="152">
        <f t="shared" si="20"/>
        <v>0</v>
      </c>
    </row>
    <row r="297" spans="1:13" x14ac:dyDescent="0.25">
      <c r="A297" s="166"/>
      <c r="G297" s="136"/>
      <c r="H297" s="150">
        <v>292</v>
      </c>
      <c r="I297" s="151" t="str">
        <f t="shared" si="21"/>
        <v/>
      </c>
      <c r="J297" s="150">
        <f t="shared" si="22"/>
        <v>-7</v>
      </c>
      <c r="K297" s="150">
        <f t="shared" si="19"/>
        <v>-70</v>
      </c>
      <c r="L297" s="150"/>
      <c r="M297" s="152">
        <f t="shared" si="20"/>
        <v>0</v>
      </c>
    </row>
    <row r="298" spans="1:13" x14ac:dyDescent="0.25">
      <c r="A298" s="166"/>
      <c r="G298" s="136"/>
      <c r="H298" s="150">
        <v>293</v>
      </c>
      <c r="I298" s="151" t="str">
        <f t="shared" si="21"/>
        <v/>
      </c>
      <c r="J298" s="150">
        <f t="shared" si="22"/>
        <v>-7</v>
      </c>
      <c r="K298" s="150">
        <f t="shared" si="19"/>
        <v>-70</v>
      </c>
      <c r="L298" s="150"/>
      <c r="M298" s="152">
        <f t="shared" si="20"/>
        <v>0</v>
      </c>
    </row>
    <row r="299" spans="1:13" x14ac:dyDescent="0.25">
      <c r="A299" s="166"/>
      <c r="G299" s="136"/>
      <c r="H299" s="150">
        <v>294</v>
      </c>
      <c r="I299" s="151" t="str">
        <f t="shared" si="21"/>
        <v/>
      </c>
      <c r="J299" s="150">
        <f t="shared" si="22"/>
        <v>-7</v>
      </c>
      <c r="K299" s="150">
        <f t="shared" si="19"/>
        <v>-70</v>
      </c>
      <c r="L299" s="150"/>
      <c r="M299" s="152">
        <f t="shared" si="20"/>
        <v>0</v>
      </c>
    </row>
    <row r="300" spans="1:13" x14ac:dyDescent="0.25">
      <c r="A300" s="166"/>
      <c r="G300" s="136"/>
      <c r="H300" s="150">
        <v>295</v>
      </c>
      <c r="I300" s="151" t="str">
        <f t="shared" si="21"/>
        <v/>
      </c>
      <c r="J300" s="150">
        <f t="shared" si="22"/>
        <v>-7</v>
      </c>
      <c r="K300" s="150">
        <f t="shared" si="19"/>
        <v>-70</v>
      </c>
      <c r="L300" s="150"/>
      <c r="M300" s="152">
        <f t="shared" si="20"/>
        <v>0</v>
      </c>
    </row>
    <row r="301" spans="1:13" x14ac:dyDescent="0.25">
      <c r="A301" s="166"/>
      <c r="G301" s="136"/>
      <c r="H301" s="150">
        <v>296</v>
      </c>
      <c r="I301" s="151" t="str">
        <f t="shared" si="21"/>
        <v/>
      </c>
      <c r="J301" s="150">
        <f t="shared" si="22"/>
        <v>-7</v>
      </c>
      <c r="K301" s="150">
        <f t="shared" si="19"/>
        <v>-70</v>
      </c>
      <c r="L301" s="150"/>
      <c r="M301" s="152">
        <f t="shared" si="20"/>
        <v>0</v>
      </c>
    </row>
    <row r="302" spans="1:13" x14ac:dyDescent="0.25">
      <c r="A302" s="166"/>
      <c r="G302" s="136"/>
      <c r="H302" s="150">
        <v>297</v>
      </c>
      <c r="I302" s="151" t="str">
        <f t="shared" si="21"/>
        <v/>
      </c>
      <c r="J302" s="150">
        <f t="shared" si="22"/>
        <v>-7</v>
      </c>
      <c r="K302" s="150">
        <f t="shared" si="19"/>
        <v>-70</v>
      </c>
      <c r="L302" s="150"/>
      <c r="M302" s="152">
        <f t="shared" si="20"/>
        <v>0</v>
      </c>
    </row>
    <row r="303" spans="1:13" x14ac:dyDescent="0.25">
      <c r="A303" s="166"/>
      <c r="G303" s="136"/>
      <c r="H303" s="150">
        <v>298</v>
      </c>
      <c r="I303" s="151" t="str">
        <f t="shared" si="21"/>
        <v/>
      </c>
      <c r="J303" s="150">
        <f t="shared" si="22"/>
        <v>-7</v>
      </c>
      <c r="K303" s="150">
        <f t="shared" si="19"/>
        <v>-70</v>
      </c>
      <c r="L303" s="150"/>
      <c r="M303" s="152">
        <f t="shared" si="20"/>
        <v>0</v>
      </c>
    </row>
    <row r="304" spans="1:13" x14ac:dyDescent="0.25">
      <c r="A304" s="166"/>
      <c r="G304" s="136"/>
      <c r="H304" s="150">
        <v>299</v>
      </c>
      <c r="I304" s="151" t="str">
        <f t="shared" si="21"/>
        <v/>
      </c>
      <c r="J304" s="150">
        <f t="shared" si="22"/>
        <v>-7</v>
      </c>
      <c r="K304" s="150">
        <f t="shared" si="19"/>
        <v>-70</v>
      </c>
      <c r="L304" s="150"/>
      <c r="M304" s="152">
        <f t="shared" si="20"/>
        <v>0</v>
      </c>
    </row>
    <row r="305" spans="1:16" x14ac:dyDescent="0.25">
      <c r="A305" s="166"/>
      <c r="G305" s="136"/>
      <c r="H305" s="150">
        <v>300</v>
      </c>
      <c r="I305" s="151" t="str">
        <f t="shared" si="21"/>
        <v/>
      </c>
      <c r="J305" s="150">
        <f t="shared" si="22"/>
        <v>-7</v>
      </c>
      <c r="K305" s="150">
        <f t="shared" si="19"/>
        <v>-70</v>
      </c>
      <c r="L305" s="150"/>
      <c r="M305" s="152">
        <f t="shared" si="20"/>
        <v>0</v>
      </c>
    </row>
    <row r="306" spans="1:16" x14ac:dyDescent="0.25">
      <c r="A306" s="168"/>
    </row>
    <row r="314" spans="1:16" x14ac:dyDescent="0.25">
      <c r="L314" s="171"/>
      <c r="P314" s="161"/>
    </row>
    <row r="315" spans="1:16" x14ac:dyDescent="0.25">
      <c r="L315" s="171"/>
      <c r="P315" s="161"/>
    </row>
    <row r="316" spans="1:16" x14ac:dyDescent="0.25">
      <c r="L316" s="171"/>
      <c r="P316" s="161"/>
    </row>
    <row r="317" spans="1:16" x14ac:dyDescent="0.25">
      <c r="L317" s="171"/>
      <c r="P317" s="161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disablePrompts="1" count="1">
    <dataValidation type="list" allowBlank="1" showInputMessage="1" showErrorMessage="1" sqref="C38:C69" xr:uid="{0F7C2CC4-6A1C-4D9D-9E40-CEA4E57EB771}">
      <formula1>#REF!</formula1>
    </dataValidation>
  </dataValidations>
  <hyperlinks>
    <hyperlink ref="C2:D2" r:id="rId1" display="KRAKÓW" xr:uid="{4DE6473F-A76E-4C87-9455-04A02A8B8488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48E1-424A-499E-85E6-39159973322D}">
  <sheetPr codeName="Arkusz8">
    <tabColor rgb="FF92D050"/>
  </sheetPr>
  <dimension ref="A1:AL317"/>
  <sheetViews>
    <sheetView workbookViewId="0">
      <selection activeCell="E23" sqref="E23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69"/>
    <col min="9" max="9" width="11" style="169" customWidth="1"/>
    <col min="10" max="10" width="15.25" style="169" customWidth="1"/>
    <col min="11" max="11" width="8.75" style="169" customWidth="1"/>
    <col min="12" max="12" width="11" style="169" customWidth="1"/>
    <col min="13" max="13" width="11.75" style="170" customWidth="1"/>
    <col min="14" max="15" width="13.875" style="136" customWidth="1"/>
    <col min="16" max="18" width="8.875" style="136"/>
    <col min="19" max="20" width="8.875" style="141"/>
    <col min="21" max="21" width="12.125" style="141" customWidth="1"/>
    <col min="22" max="22" width="27.375" style="141" customWidth="1"/>
    <col min="23" max="38" width="8.875" style="141"/>
    <col min="39" max="16384" width="8.875" style="167"/>
  </cols>
  <sheetData>
    <row r="1" spans="1:36" x14ac:dyDescent="0.25">
      <c r="A1" s="136"/>
      <c r="B1" s="136"/>
      <c r="C1" s="136"/>
      <c r="D1" s="136"/>
      <c r="E1" s="136"/>
      <c r="F1" s="136"/>
      <c r="G1" s="136"/>
      <c r="H1" s="137" t="s">
        <v>25</v>
      </c>
      <c r="I1" s="138" t="s">
        <v>26</v>
      </c>
      <c r="J1" s="138" t="s">
        <v>27</v>
      </c>
      <c r="K1" s="139" t="s">
        <v>28</v>
      </c>
      <c r="L1" s="140"/>
      <c r="M1" s="140"/>
    </row>
    <row r="2" spans="1:36" ht="14.45" customHeight="1" x14ac:dyDescent="0.25">
      <c r="A2" s="136"/>
      <c r="B2" s="20" t="s">
        <v>29</v>
      </c>
      <c r="C2" s="271" t="s">
        <v>297</v>
      </c>
      <c r="D2" s="271"/>
      <c r="E2" s="21"/>
      <c r="F2" s="21"/>
      <c r="G2" s="21"/>
      <c r="H2" s="142">
        <v>3</v>
      </c>
      <c r="I2" s="143">
        <v>50</v>
      </c>
      <c r="J2" s="143">
        <v>10</v>
      </c>
      <c r="K2" s="144">
        <f>3*H2^(1/3)</f>
        <v>4.3267487109222245</v>
      </c>
      <c r="L2" s="140"/>
      <c r="M2" s="140"/>
    </row>
    <row r="3" spans="1:36" ht="14.45" customHeight="1" x14ac:dyDescent="0.25">
      <c r="A3" s="136"/>
      <c r="B3" s="145" t="s">
        <v>31</v>
      </c>
      <c r="C3" s="272" t="s">
        <v>298</v>
      </c>
      <c r="D3" s="272"/>
      <c r="E3" s="26"/>
      <c r="F3" s="26"/>
      <c r="G3" s="26"/>
      <c r="H3" s="140"/>
      <c r="I3" s="140"/>
      <c r="J3" s="146"/>
      <c r="K3" s="140"/>
      <c r="L3" s="140"/>
      <c r="M3" s="14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40"/>
      <c r="I4" s="140"/>
      <c r="J4" s="146"/>
      <c r="K4" s="140"/>
      <c r="L4" s="140"/>
      <c r="M4" s="140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47" t="s">
        <v>39</v>
      </c>
      <c r="I5" s="148" t="s">
        <v>40</v>
      </c>
      <c r="J5" s="149" t="s">
        <v>41</v>
      </c>
      <c r="K5" s="148" t="s">
        <v>42</v>
      </c>
      <c r="L5" s="148" t="s">
        <v>43</v>
      </c>
      <c r="M5" s="147" t="s">
        <v>44</v>
      </c>
    </row>
    <row r="6" spans="1:36" ht="14.45" customHeight="1" x14ac:dyDescent="0.25">
      <c r="A6" s="33">
        <f>M6</f>
        <v>82.980246132766666</v>
      </c>
      <c r="B6" s="34">
        <v>1</v>
      </c>
      <c r="C6" s="35" t="s">
        <v>20</v>
      </c>
      <c r="D6" s="35" t="s">
        <v>45</v>
      </c>
      <c r="E6" s="35"/>
      <c r="F6" s="35"/>
      <c r="G6" s="28"/>
      <c r="H6" s="150">
        <v>1</v>
      </c>
      <c r="I6" s="151">
        <f>IF(H2=1,50,IF(H6&lt;$H$2+1,($I$2-($I$2-1)*(LOG(H6)/LOG($H$2))),""))</f>
        <v>50</v>
      </c>
      <c r="J6" s="150">
        <f>INT(LOG($H$2,2))-ROUNDUP(LOG(H6,2),0)+IF(OR($H$2=1,$H$2=2,$H$2=4,$H$2=8,$H$2=16,$H$2=32,$H$2=64,$H$2=128,$H$2=256),0,1)</f>
        <v>2</v>
      </c>
      <c r="K6" s="150">
        <f t="shared" ref="K6:K69" si="0">J6*$J$2</f>
        <v>20</v>
      </c>
      <c r="L6" s="152">
        <f>3*K2</f>
        <v>12.980246132766673</v>
      </c>
      <c r="M6" s="152">
        <f t="shared" ref="M6:M69" si="1">IF(I6&lt;&gt;"",K6+I6+L6,0)</f>
        <v>82.980246132766666</v>
      </c>
    </row>
    <row r="7" spans="1:36" ht="14.45" customHeight="1" x14ac:dyDescent="0.25">
      <c r="A7" s="39">
        <f t="shared" ref="A7:A37" si="2">M7</f>
        <v>37.73793949684304</v>
      </c>
      <c r="B7" s="40">
        <v>2</v>
      </c>
      <c r="C7" s="41" t="s">
        <v>21</v>
      </c>
      <c r="D7" s="41" t="s">
        <v>60</v>
      </c>
      <c r="E7" s="41"/>
      <c r="F7" s="41"/>
      <c r="G7" s="28"/>
      <c r="H7" s="153">
        <v>2</v>
      </c>
      <c r="I7" s="154">
        <f t="shared" ref="I7:I70" si="3">IF(H7&lt;$H$2+1,($I$2-($I$2-1)*(LOG(H7)/LOG($H$2))),"")</f>
        <v>19.084442074998588</v>
      </c>
      <c r="J7" s="153">
        <f t="shared" ref="J7:J70" si="4">INT(LOG($H$2,2))-ROUNDUP(LOG(H7,2),0)+IF(OR($H$2=1,$H$2=2,$H$2=4,$H$2=8,$H$2=16,$H$2=32,$H$2=64,$H$2=128,$H$2=256),0,1)</f>
        <v>1</v>
      </c>
      <c r="K7" s="153">
        <f t="shared" si="0"/>
        <v>10</v>
      </c>
      <c r="L7" s="155">
        <f>2*K2</f>
        <v>8.6534974218444489</v>
      </c>
      <c r="M7" s="155">
        <f t="shared" si="1"/>
        <v>37.73793949684304</v>
      </c>
    </row>
    <row r="8" spans="1:36" ht="14.45" customHeight="1" x14ac:dyDescent="0.25">
      <c r="A8" s="33">
        <f t="shared" si="2"/>
        <v>5.3267487109222245</v>
      </c>
      <c r="B8" s="34">
        <v>3</v>
      </c>
      <c r="C8" s="35" t="s">
        <v>23</v>
      </c>
      <c r="D8" s="35" t="s">
        <v>75</v>
      </c>
      <c r="E8" s="35"/>
      <c r="F8" s="35"/>
      <c r="G8" s="28"/>
      <c r="H8" s="150">
        <v>3</v>
      </c>
      <c r="I8" s="151">
        <f t="shared" si="3"/>
        <v>1</v>
      </c>
      <c r="J8" s="150">
        <f t="shared" si="4"/>
        <v>0</v>
      </c>
      <c r="K8" s="150">
        <f t="shared" si="0"/>
        <v>0</v>
      </c>
      <c r="L8" s="152">
        <f>K2</f>
        <v>4.3267487109222245</v>
      </c>
      <c r="M8" s="152">
        <f t="shared" si="1"/>
        <v>5.3267487109222245</v>
      </c>
    </row>
    <row r="9" spans="1:36" ht="14.45" customHeight="1" x14ac:dyDescent="0.25">
      <c r="A9" s="39">
        <f t="shared" si="2"/>
        <v>0</v>
      </c>
      <c r="B9" s="40" t="str">
        <f t="shared" ref="B9:B13" si="5">IF(H9&gt;$H$2,"",(ROW()-5))</f>
        <v/>
      </c>
      <c r="C9" s="41"/>
      <c r="D9" s="41"/>
      <c r="E9" s="41"/>
      <c r="F9" s="41"/>
      <c r="G9" s="28"/>
      <c r="H9" s="153">
        <v>4</v>
      </c>
      <c r="I9" s="154" t="str">
        <f t="shared" si="3"/>
        <v/>
      </c>
      <c r="J9" s="153">
        <f t="shared" si="4"/>
        <v>0</v>
      </c>
      <c r="K9" s="153">
        <f t="shared" si="0"/>
        <v>0</v>
      </c>
      <c r="L9" s="155"/>
      <c r="M9" s="155">
        <f t="shared" si="1"/>
        <v>0</v>
      </c>
      <c r="V9" s="156"/>
      <c r="Z9" s="157"/>
      <c r="AA9" s="157"/>
      <c r="AG9" s="158"/>
      <c r="AH9" s="141" t="s">
        <v>49</v>
      </c>
      <c r="AI9" s="141">
        <v>23</v>
      </c>
    </row>
    <row r="10" spans="1:36" ht="14.45" customHeight="1" x14ac:dyDescent="0.25">
      <c r="A10" s="33">
        <f t="shared" si="2"/>
        <v>0</v>
      </c>
      <c r="B10" s="34" t="str">
        <f t="shared" si="5"/>
        <v/>
      </c>
      <c r="C10" s="35"/>
      <c r="D10" s="35"/>
      <c r="E10" s="35"/>
      <c r="F10" s="35"/>
      <c r="G10" s="28"/>
      <c r="H10" s="150">
        <v>5</v>
      </c>
      <c r="I10" s="151" t="str">
        <f t="shared" si="3"/>
        <v/>
      </c>
      <c r="J10" s="150">
        <f t="shared" si="4"/>
        <v>-1</v>
      </c>
      <c r="K10" s="150">
        <f t="shared" si="0"/>
        <v>-10</v>
      </c>
      <c r="L10" s="150"/>
      <c r="M10" s="152">
        <f t="shared" si="1"/>
        <v>0</v>
      </c>
      <c r="V10" s="156"/>
      <c r="Z10" s="157"/>
      <c r="AA10" s="157"/>
      <c r="AG10" s="158"/>
      <c r="AH10" s="141" t="s">
        <v>52</v>
      </c>
      <c r="AI10" s="141">
        <v>45</v>
      </c>
    </row>
    <row r="11" spans="1:36" ht="14.45" customHeight="1" x14ac:dyDescent="0.25">
      <c r="A11" s="39">
        <f t="shared" si="2"/>
        <v>0</v>
      </c>
      <c r="B11" s="40" t="str">
        <f t="shared" si="5"/>
        <v/>
      </c>
      <c r="C11" s="41"/>
      <c r="D11" s="41"/>
      <c r="E11" s="41"/>
      <c r="F11" s="41"/>
      <c r="G11" s="28"/>
      <c r="H11" s="153">
        <v>6</v>
      </c>
      <c r="I11" s="154" t="str">
        <f t="shared" si="3"/>
        <v/>
      </c>
      <c r="J11" s="153">
        <f t="shared" si="4"/>
        <v>-1</v>
      </c>
      <c r="K11" s="153">
        <f t="shared" si="0"/>
        <v>-10</v>
      </c>
      <c r="L11" s="153"/>
      <c r="M11" s="155">
        <f t="shared" si="1"/>
        <v>0</v>
      </c>
      <c r="V11" s="159"/>
      <c r="Z11" s="157"/>
      <c r="AA11" s="157"/>
      <c r="AG11" s="158"/>
      <c r="AH11" s="141" t="s">
        <v>53</v>
      </c>
      <c r="AI11" s="141">
        <v>50</v>
      </c>
    </row>
    <row r="12" spans="1:36" ht="14.45" customHeight="1" x14ac:dyDescent="0.25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150">
        <v>7</v>
      </c>
      <c r="I12" s="151" t="str">
        <f t="shared" si="3"/>
        <v/>
      </c>
      <c r="J12" s="150">
        <f t="shared" si="4"/>
        <v>-1</v>
      </c>
      <c r="K12" s="150">
        <f t="shared" si="0"/>
        <v>-10</v>
      </c>
      <c r="L12" s="150"/>
      <c r="M12" s="152">
        <f t="shared" si="1"/>
        <v>0</v>
      </c>
      <c r="Z12" s="157"/>
      <c r="AA12" s="157"/>
      <c r="AG12" s="158"/>
      <c r="AH12" s="141" t="s">
        <v>54</v>
      </c>
      <c r="AI12" s="141">
        <f>AI11-1</f>
        <v>49</v>
      </c>
    </row>
    <row r="13" spans="1:36" ht="14.45" customHeight="1" x14ac:dyDescent="0.25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153">
        <v>8</v>
      </c>
      <c r="I13" s="154" t="str">
        <f t="shared" si="3"/>
        <v/>
      </c>
      <c r="J13" s="153">
        <f t="shared" si="4"/>
        <v>-1</v>
      </c>
      <c r="K13" s="153">
        <f t="shared" si="0"/>
        <v>-10</v>
      </c>
      <c r="L13" s="153"/>
      <c r="M13" s="155">
        <f t="shared" si="1"/>
        <v>0</v>
      </c>
      <c r="X13" s="156"/>
      <c r="AG13" s="158"/>
      <c r="AH13" s="141" t="s">
        <v>55</v>
      </c>
      <c r="AI13" s="141">
        <f>LOG(AI9)</f>
        <v>1.3617278360175928</v>
      </c>
    </row>
    <row r="14" spans="1:36" x14ac:dyDescent="0.25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50">
        <v>9</v>
      </c>
      <c r="I14" s="151" t="str">
        <f t="shared" si="3"/>
        <v/>
      </c>
      <c r="J14" s="150">
        <f t="shared" si="4"/>
        <v>-2</v>
      </c>
      <c r="K14" s="150">
        <f t="shared" si="0"/>
        <v>-20</v>
      </c>
      <c r="L14" s="150"/>
      <c r="M14" s="152">
        <f t="shared" si="1"/>
        <v>0</v>
      </c>
      <c r="X14" s="160"/>
      <c r="Z14" s="157"/>
      <c r="AA14" s="157"/>
      <c r="AG14" s="158"/>
      <c r="AH14" s="141" t="s">
        <v>56</v>
      </c>
      <c r="AI14" s="141">
        <f>LOG(AI10)</f>
        <v>1.6532125137753437</v>
      </c>
    </row>
    <row r="15" spans="1:36" x14ac:dyDescent="0.25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53">
        <v>10</v>
      </c>
      <c r="I15" s="154" t="str">
        <f t="shared" si="3"/>
        <v/>
      </c>
      <c r="J15" s="153">
        <f t="shared" si="4"/>
        <v>-2</v>
      </c>
      <c r="K15" s="153">
        <f t="shared" si="0"/>
        <v>-20</v>
      </c>
      <c r="L15" s="153"/>
      <c r="M15" s="155">
        <f t="shared" si="1"/>
        <v>0</v>
      </c>
      <c r="X15" s="156"/>
      <c r="Z15" s="157"/>
      <c r="AA15" s="157"/>
    </row>
    <row r="16" spans="1:36" x14ac:dyDescent="0.25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150">
        <v>11</v>
      </c>
      <c r="I16" s="151" t="str">
        <f t="shared" si="3"/>
        <v/>
      </c>
      <c r="J16" s="150">
        <f t="shared" si="4"/>
        <v>-2</v>
      </c>
      <c r="K16" s="150">
        <f t="shared" si="0"/>
        <v>-20</v>
      </c>
      <c r="L16" s="150"/>
      <c r="M16" s="152">
        <f t="shared" si="1"/>
        <v>0</v>
      </c>
      <c r="R16" s="161"/>
      <c r="Z16" s="157"/>
      <c r="AA16" s="157"/>
      <c r="AH16" s="162" t="s">
        <v>57</v>
      </c>
      <c r="AI16" s="141">
        <f>AI11-AI12*AI13/AI14</f>
        <v>9.6393909380186855</v>
      </c>
      <c r="AJ16" s="141" t="s">
        <v>58</v>
      </c>
    </row>
    <row r="17" spans="1:19" x14ac:dyDescent="0.25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153">
        <v>12</v>
      </c>
      <c r="I17" s="154" t="str">
        <f t="shared" si="3"/>
        <v/>
      </c>
      <c r="J17" s="153">
        <f t="shared" si="4"/>
        <v>-2</v>
      </c>
      <c r="K17" s="153">
        <f t="shared" si="0"/>
        <v>-20</v>
      </c>
      <c r="L17" s="153"/>
      <c r="M17" s="155">
        <f t="shared" si="1"/>
        <v>0</v>
      </c>
    </row>
    <row r="18" spans="1:19" x14ac:dyDescent="0.25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150">
        <v>13</v>
      </c>
      <c r="I18" s="151" t="str">
        <f t="shared" si="3"/>
        <v/>
      </c>
      <c r="J18" s="150">
        <f t="shared" si="4"/>
        <v>-2</v>
      </c>
      <c r="K18" s="150">
        <f t="shared" si="0"/>
        <v>-20</v>
      </c>
      <c r="L18" s="150"/>
      <c r="M18" s="152">
        <f t="shared" si="1"/>
        <v>0</v>
      </c>
    </row>
    <row r="19" spans="1:19" x14ac:dyDescent="0.25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153">
        <v>14</v>
      </c>
      <c r="I19" s="154" t="str">
        <f t="shared" si="3"/>
        <v/>
      </c>
      <c r="J19" s="153">
        <f t="shared" si="4"/>
        <v>-2</v>
      </c>
      <c r="K19" s="153">
        <f t="shared" si="0"/>
        <v>-20</v>
      </c>
      <c r="L19" s="153"/>
      <c r="M19" s="155">
        <f t="shared" si="1"/>
        <v>0</v>
      </c>
    </row>
    <row r="20" spans="1:19" x14ac:dyDescent="0.25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150">
        <v>15</v>
      </c>
      <c r="I20" s="151" t="str">
        <f t="shared" si="3"/>
        <v/>
      </c>
      <c r="J20" s="150">
        <f t="shared" si="4"/>
        <v>-2</v>
      </c>
      <c r="K20" s="150">
        <f t="shared" si="0"/>
        <v>-20</v>
      </c>
      <c r="L20" s="150"/>
      <c r="M20" s="152">
        <f t="shared" si="1"/>
        <v>0</v>
      </c>
      <c r="R20" s="163"/>
      <c r="S20" s="164"/>
    </row>
    <row r="21" spans="1:19" x14ac:dyDescent="0.25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153">
        <v>16</v>
      </c>
      <c r="I21" s="154" t="str">
        <f t="shared" si="3"/>
        <v/>
      </c>
      <c r="J21" s="153">
        <f t="shared" si="4"/>
        <v>-2</v>
      </c>
      <c r="K21" s="153">
        <f t="shared" si="0"/>
        <v>-20</v>
      </c>
      <c r="L21" s="153"/>
      <c r="M21" s="155">
        <f t="shared" si="1"/>
        <v>0</v>
      </c>
    </row>
    <row r="22" spans="1:19" x14ac:dyDescent="0.25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150">
        <v>17</v>
      </c>
      <c r="I22" s="151" t="str">
        <f t="shared" si="3"/>
        <v/>
      </c>
      <c r="J22" s="150">
        <f t="shared" si="4"/>
        <v>-3</v>
      </c>
      <c r="K22" s="150">
        <f t="shared" si="0"/>
        <v>-30</v>
      </c>
      <c r="L22" s="150"/>
      <c r="M22" s="152">
        <f t="shared" si="1"/>
        <v>0</v>
      </c>
    </row>
    <row r="23" spans="1:19" x14ac:dyDescent="0.25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153">
        <v>18</v>
      </c>
      <c r="I23" s="154" t="str">
        <f t="shared" si="3"/>
        <v/>
      </c>
      <c r="J23" s="153">
        <f t="shared" si="4"/>
        <v>-3</v>
      </c>
      <c r="K23" s="153">
        <f t="shared" si="0"/>
        <v>-30</v>
      </c>
      <c r="L23" s="153"/>
      <c r="M23" s="155">
        <f t="shared" si="1"/>
        <v>0</v>
      </c>
    </row>
    <row r="24" spans="1:19" x14ac:dyDescent="0.25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150">
        <v>19</v>
      </c>
      <c r="I24" s="151" t="str">
        <f t="shared" si="3"/>
        <v/>
      </c>
      <c r="J24" s="150">
        <f t="shared" si="4"/>
        <v>-3</v>
      </c>
      <c r="K24" s="150">
        <f t="shared" si="0"/>
        <v>-30</v>
      </c>
      <c r="L24" s="150"/>
      <c r="M24" s="152">
        <f t="shared" si="1"/>
        <v>0</v>
      </c>
      <c r="R24" s="163"/>
      <c r="S24" s="164"/>
    </row>
    <row r="25" spans="1:19" x14ac:dyDescent="0.25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153">
        <v>20</v>
      </c>
      <c r="I25" s="154" t="str">
        <f t="shared" si="3"/>
        <v/>
      </c>
      <c r="J25" s="153">
        <f t="shared" si="4"/>
        <v>-3</v>
      </c>
      <c r="K25" s="153">
        <f t="shared" si="0"/>
        <v>-30</v>
      </c>
      <c r="L25" s="153"/>
      <c r="M25" s="155">
        <f t="shared" si="1"/>
        <v>0</v>
      </c>
    </row>
    <row r="26" spans="1:19" x14ac:dyDescent="0.25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150">
        <v>21</v>
      </c>
      <c r="I26" s="151" t="str">
        <f t="shared" si="3"/>
        <v/>
      </c>
      <c r="J26" s="150">
        <f t="shared" si="4"/>
        <v>-3</v>
      </c>
      <c r="K26" s="150">
        <f t="shared" si="0"/>
        <v>-30</v>
      </c>
      <c r="L26" s="150"/>
      <c r="M26" s="152">
        <f t="shared" si="1"/>
        <v>0</v>
      </c>
    </row>
    <row r="27" spans="1:19" x14ac:dyDescent="0.25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153">
        <v>22</v>
      </c>
      <c r="I27" s="154" t="str">
        <f t="shared" si="3"/>
        <v/>
      </c>
      <c r="J27" s="153">
        <f t="shared" si="4"/>
        <v>-3</v>
      </c>
      <c r="K27" s="153">
        <f t="shared" si="0"/>
        <v>-30</v>
      </c>
      <c r="L27" s="153"/>
      <c r="M27" s="155">
        <f t="shared" si="1"/>
        <v>0</v>
      </c>
    </row>
    <row r="28" spans="1:19" x14ac:dyDescent="0.25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150">
        <v>23</v>
      </c>
      <c r="I28" s="151" t="str">
        <f t="shared" si="3"/>
        <v/>
      </c>
      <c r="J28" s="150">
        <f t="shared" si="4"/>
        <v>-3</v>
      </c>
      <c r="K28" s="150">
        <f t="shared" si="0"/>
        <v>-30</v>
      </c>
      <c r="L28" s="150"/>
      <c r="M28" s="152">
        <f t="shared" si="1"/>
        <v>0</v>
      </c>
      <c r="R28" s="163"/>
      <c r="S28" s="164"/>
    </row>
    <row r="29" spans="1:19" x14ac:dyDescent="0.25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36"/>
      <c r="H29" s="153">
        <v>24</v>
      </c>
      <c r="I29" s="154" t="str">
        <f t="shared" si="3"/>
        <v/>
      </c>
      <c r="J29" s="153">
        <f t="shared" si="4"/>
        <v>-3</v>
      </c>
      <c r="K29" s="153">
        <f t="shared" si="0"/>
        <v>-30</v>
      </c>
      <c r="L29" s="153"/>
      <c r="M29" s="155">
        <f t="shared" si="1"/>
        <v>0</v>
      </c>
    </row>
    <row r="30" spans="1:19" x14ac:dyDescent="0.25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36"/>
      <c r="H30" s="150">
        <v>25</v>
      </c>
      <c r="I30" s="151" t="str">
        <f t="shared" si="3"/>
        <v/>
      </c>
      <c r="J30" s="150">
        <f t="shared" si="4"/>
        <v>-3</v>
      </c>
      <c r="K30" s="150">
        <f t="shared" si="0"/>
        <v>-30</v>
      </c>
      <c r="L30" s="150"/>
      <c r="M30" s="152">
        <f t="shared" si="1"/>
        <v>0</v>
      </c>
    </row>
    <row r="31" spans="1:19" x14ac:dyDescent="0.25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36"/>
      <c r="H31" s="153">
        <v>26</v>
      </c>
      <c r="I31" s="154" t="str">
        <f t="shared" si="3"/>
        <v/>
      </c>
      <c r="J31" s="153">
        <f t="shared" si="4"/>
        <v>-3</v>
      </c>
      <c r="K31" s="153">
        <f t="shared" si="0"/>
        <v>-30</v>
      </c>
      <c r="L31" s="153"/>
      <c r="M31" s="155">
        <f t="shared" si="1"/>
        <v>0</v>
      </c>
    </row>
    <row r="32" spans="1:19" x14ac:dyDescent="0.25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36"/>
      <c r="H32" s="150">
        <v>27</v>
      </c>
      <c r="I32" s="151" t="str">
        <f t="shared" si="3"/>
        <v/>
      </c>
      <c r="J32" s="150">
        <f t="shared" si="4"/>
        <v>-3</v>
      </c>
      <c r="K32" s="150">
        <f t="shared" si="0"/>
        <v>-30</v>
      </c>
      <c r="L32" s="150"/>
      <c r="M32" s="152">
        <f t="shared" si="1"/>
        <v>0</v>
      </c>
      <c r="R32" s="163"/>
      <c r="S32" s="164"/>
    </row>
    <row r="33" spans="1:21" x14ac:dyDescent="0.25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36"/>
      <c r="H33" s="153">
        <v>28</v>
      </c>
      <c r="I33" s="154" t="str">
        <f t="shared" si="3"/>
        <v/>
      </c>
      <c r="J33" s="153">
        <f t="shared" si="4"/>
        <v>-3</v>
      </c>
      <c r="K33" s="153">
        <f t="shared" si="0"/>
        <v>-30</v>
      </c>
      <c r="L33" s="153"/>
      <c r="M33" s="155">
        <f t="shared" si="1"/>
        <v>0</v>
      </c>
    </row>
    <row r="34" spans="1:21" x14ac:dyDescent="0.25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36"/>
      <c r="H34" s="150">
        <v>29</v>
      </c>
      <c r="I34" s="151" t="str">
        <f t="shared" si="3"/>
        <v/>
      </c>
      <c r="J34" s="150">
        <f t="shared" si="4"/>
        <v>-3</v>
      </c>
      <c r="K34" s="150">
        <f t="shared" si="0"/>
        <v>-30</v>
      </c>
      <c r="L34" s="150"/>
      <c r="M34" s="152">
        <f t="shared" si="1"/>
        <v>0</v>
      </c>
    </row>
    <row r="35" spans="1:21" x14ac:dyDescent="0.25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36"/>
      <c r="H35" s="153">
        <v>30</v>
      </c>
      <c r="I35" s="154" t="str">
        <f t="shared" si="3"/>
        <v/>
      </c>
      <c r="J35" s="153">
        <f t="shared" si="4"/>
        <v>-3</v>
      </c>
      <c r="K35" s="153">
        <f t="shared" si="0"/>
        <v>-30</v>
      </c>
      <c r="L35" s="153"/>
      <c r="M35" s="155">
        <f t="shared" si="1"/>
        <v>0</v>
      </c>
    </row>
    <row r="36" spans="1:21" x14ac:dyDescent="0.25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36"/>
      <c r="H36" s="150">
        <v>31</v>
      </c>
      <c r="I36" s="151" t="str">
        <f t="shared" si="3"/>
        <v/>
      </c>
      <c r="J36" s="150">
        <f t="shared" si="4"/>
        <v>-3</v>
      </c>
      <c r="K36" s="150">
        <f t="shared" si="0"/>
        <v>-30</v>
      </c>
      <c r="L36" s="150"/>
      <c r="M36" s="152">
        <f t="shared" si="1"/>
        <v>0</v>
      </c>
      <c r="R36" s="163"/>
      <c r="S36" s="164"/>
    </row>
    <row r="37" spans="1:21" x14ac:dyDescent="0.25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36"/>
      <c r="H37" s="153">
        <v>32</v>
      </c>
      <c r="I37" s="154" t="str">
        <f t="shared" si="3"/>
        <v/>
      </c>
      <c r="J37" s="153">
        <f t="shared" si="4"/>
        <v>-3</v>
      </c>
      <c r="K37" s="153">
        <f t="shared" si="0"/>
        <v>-30</v>
      </c>
      <c r="L37" s="153"/>
      <c r="M37" s="155">
        <f t="shared" si="1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36"/>
      <c r="H38" s="150">
        <v>33</v>
      </c>
      <c r="I38" s="151" t="str">
        <f t="shared" si="3"/>
        <v/>
      </c>
      <c r="J38" s="150">
        <f t="shared" si="4"/>
        <v>-4</v>
      </c>
      <c r="K38" s="150">
        <f t="shared" si="0"/>
        <v>-40</v>
      </c>
      <c r="L38" s="150"/>
      <c r="M38" s="152">
        <f t="shared" si="1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36"/>
      <c r="H39" s="153">
        <v>34</v>
      </c>
      <c r="I39" s="154" t="str">
        <f t="shared" si="3"/>
        <v/>
      </c>
      <c r="J39" s="153">
        <f t="shared" si="4"/>
        <v>-4</v>
      </c>
      <c r="K39" s="153">
        <f t="shared" si="0"/>
        <v>-40</v>
      </c>
      <c r="L39" s="153"/>
      <c r="M39" s="155">
        <f t="shared" si="1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36"/>
      <c r="H40" s="150">
        <v>35</v>
      </c>
      <c r="I40" s="151" t="str">
        <f t="shared" si="3"/>
        <v/>
      </c>
      <c r="J40" s="150">
        <f t="shared" si="4"/>
        <v>-4</v>
      </c>
      <c r="K40" s="150">
        <f t="shared" si="0"/>
        <v>-40</v>
      </c>
      <c r="L40" s="150"/>
      <c r="M40" s="152">
        <f t="shared" si="1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36"/>
      <c r="H41" s="153">
        <v>36</v>
      </c>
      <c r="I41" s="154" t="str">
        <f t="shared" si="3"/>
        <v/>
      </c>
      <c r="J41" s="153">
        <f t="shared" si="4"/>
        <v>-4</v>
      </c>
      <c r="K41" s="153">
        <f t="shared" si="0"/>
        <v>-40</v>
      </c>
      <c r="L41" s="153"/>
      <c r="M41" s="155">
        <f t="shared" si="1"/>
        <v>0</v>
      </c>
      <c r="S41" s="165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36"/>
      <c r="H42" s="150">
        <v>37</v>
      </c>
      <c r="I42" s="151" t="str">
        <f t="shared" si="3"/>
        <v/>
      </c>
      <c r="J42" s="150">
        <f t="shared" si="4"/>
        <v>-4</v>
      </c>
      <c r="K42" s="150">
        <f t="shared" si="0"/>
        <v>-40</v>
      </c>
      <c r="L42" s="150"/>
      <c r="M42" s="152">
        <f t="shared" si="1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36"/>
      <c r="H43" s="153">
        <v>38</v>
      </c>
      <c r="I43" s="154" t="str">
        <f t="shared" si="3"/>
        <v/>
      </c>
      <c r="J43" s="153">
        <f t="shared" si="4"/>
        <v>-4</v>
      </c>
      <c r="K43" s="153">
        <f t="shared" si="0"/>
        <v>-40</v>
      </c>
      <c r="L43" s="153"/>
      <c r="M43" s="155">
        <f t="shared" si="1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36"/>
      <c r="H44" s="150">
        <v>39</v>
      </c>
      <c r="I44" s="151" t="str">
        <f t="shared" si="3"/>
        <v/>
      </c>
      <c r="J44" s="150">
        <f t="shared" si="4"/>
        <v>-4</v>
      </c>
      <c r="K44" s="150">
        <f t="shared" si="0"/>
        <v>-40</v>
      </c>
      <c r="L44" s="150"/>
      <c r="M44" s="152">
        <f t="shared" si="1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36"/>
      <c r="H45" s="153">
        <v>40</v>
      </c>
      <c r="I45" s="154" t="str">
        <f t="shared" si="3"/>
        <v/>
      </c>
      <c r="J45" s="153">
        <f t="shared" si="4"/>
        <v>-4</v>
      </c>
      <c r="K45" s="153">
        <f t="shared" si="0"/>
        <v>-40</v>
      </c>
      <c r="L45" s="153"/>
      <c r="M45" s="155">
        <f t="shared" si="1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36"/>
      <c r="H46" s="150">
        <v>41</v>
      </c>
      <c r="I46" s="151" t="str">
        <f t="shared" si="3"/>
        <v/>
      </c>
      <c r="J46" s="150">
        <f t="shared" si="4"/>
        <v>-4</v>
      </c>
      <c r="K46" s="150">
        <f t="shared" si="0"/>
        <v>-40</v>
      </c>
      <c r="L46" s="150"/>
      <c r="M46" s="152">
        <f t="shared" si="1"/>
        <v>0</v>
      </c>
      <c r="R46" s="136">
        <f>LOG($H$2,2)</f>
        <v>1.5849625007211563</v>
      </c>
      <c r="T46" s="141">
        <f>LOG(H38,2)</f>
        <v>5.0443941193584534</v>
      </c>
      <c r="U46" s="141">
        <f>R46-T46</f>
        <v>-3.4594316186372973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36"/>
      <c r="H47" s="153">
        <v>42</v>
      </c>
      <c r="I47" s="154" t="str">
        <f t="shared" si="3"/>
        <v/>
      </c>
      <c r="J47" s="153">
        <f t="shared" si="4"/>
        <v>-4</v>
      </c>
      <c r="K47" s="153">
        <f t="shared" si="0"/>
        <v>-40</v>
      </c>
      <c r="L47" s="153"/>
      <c r="M47" s="155">
        <f t="shared" si="1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36"/>
      <c r="H48" s="150">
        <v>43</v>
      </c>
      <c r="I48" s="151" t="str">
        <f t="shared" si="3"/>
        <v/>
      </c>
      <c r="J48" s="150">
        <f t="shared" si="4"/>
        <v>-4</v>
      </c>
      <c r="K48" s="150">
        <f t="shared" si="0"/>
        <v>-40</v>
      </c>
      <c r="L48" s="150"/>
      <c r="M48" s="152">
        <f t="shared" si="1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36"/>
      <c r="H49" s="153">
        <v>44</v>
      </c>
      <c r="I49" s="154" t="str">
        <f t="shared" si="3"/>
        <v/>
      </c>
      <c r="J49" s="153">
        <f t="shared" si="4"/>
        <v>-4</v>
      </c>
      <c r="K49" s="153">
        <f t="shared" si="0"/>
        <v>-40</v>
      </c>
      <c r="L49" s="153"/>
      <c r="M49" s="155">
        <f t="shared" si="1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36"/>
      <c r="H50" s="150">
        <v>45</v>
      </c>
      <c r="I50" s="151" t="str">
        <f t="shared" si="3"/>
        <v/>
      </c>
      <c r="J50" s="150">
        <f t="shared" si="4"/>
        <v>-4</v>
      </c>
      <c r="K50" s="150">
        <f t="shared" si="0"/>
        <v>-40</v>
      </c>
      <c r="L50" s="150"/>
      <c r="M50" s="152">
        <f t="shared" si="1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36"/>
      <c r="H51" s="153">
        <v>46</v>
      </c>
      <c r="I51" s="154" t="str">
        <f t="shared" si="3"/>
        <v/>
      </c>
      <c r="J51" s="153">
        <f t="shared" si="4"/>
        <v>-4</v>
      </c>
      <c r="K51" s="153">
        <f t="shared" si="0"/>
        <v>-40</v>
      </c>
      <c r="L51" s="153"/>
      <c r="M51" s="155">
        <f t="shared" si="1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36"/>
      <c r="H52" s="150">
        <v>47</v>
      </c>
      <c r="I52" s="151" t="str">
        <f t="shared" si="3"/>
        <v/>
      </c>
      <c r="J52" s="150">
        <f t="shared" si="4"/>
        <v>-4</v>
      </c>
      <c r="K52" s="150">
        <f t="shared" si="0"/>
        <v>-40</v>
      </c>
      <c r="L52" s="150"/>
      <c r="M52" s="152">
        <f t="shared" si="1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36"/>
      <c r="H53" s="153">
        <v>48</v>
      </c>
      <c r="I53" s="154" t="str">
        <f t="shared" si="3"/>
        <v/>
      </c>
      <c r="J53" s="153">
        <f t="shared" si="4"/>
        <v>-4</v>
      </c>
      <c r="K53" s="153">
        <f t="shared" si="0"/>
        <v>-40</v>
      </c>
      <c r="L53" s="153"/>
      <c r="M53" s="155">
        <f t="shared" si="1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36"/>
      <c r="H54" s="150">
        <v>49</v>
      </c>
      <c r="I54" s="151" t="str">
        <f t="shared" si="3"/>
        <v/>
      </c>
      <c r="J54" s="150">
        <f t="shared" si="4"/>
        <v>-4</v>
      </c>
      <c r="K54" s="150">
        <f t="shared" si="0"/>
        <v>-40</v>
      </c>
      <c r="L54" s="150"/>
      <c r="M54" s="152">
        <f t="shared" si="1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36"/>
      <c r="H55" s="153">
        <v>50</v>
      </c>
      <c r="I55" s="154" t="str">
        <f t="shared" si="3"/>
        <v/>
      </c>
      <c r="J55" s="153">
        <f t="shared" si="4"/>
        <v>-4</v>
      </c>
      <c r="K55" s="153">
        <f t="shared" si="0"/>
        <v>-40</v>
      </c>
      <c r="L55" s="153"/>
      <c r="M55" s="155">
        <f t="shared" si="1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36"/>
      <c r="H56" s="150">
        <v>51</v>
      </c>
      <c r="I56" s="151" t="str">
        <f t="shared" si="3"/>
        <v/>
      </c>
      <c r="J56" s="150">
        <f t="shared" si="4"/>
        <v>-4</v>
      </c>
      <c r="K56" s="150">
        <f t="shared" si="0"/>
        <v>-40</v>
      </c>
      <c r="L56" s="150"/>
      <c r="M56" s="152">
        <f t="shared" si="1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36"/>
      <c r="H57" s="153">
        <v>52</v>
      </c>
      <c r="I57" s="154" t="str">
        <f t="shared" si="3"/>
        <v/>
      </c>
      <c r="J57" s="153">
        <f t="shared" si="4"/>
        <v>-4</v>
      </c>
      <c r="K57" s="153">
        <f t="shared" si="0"/>
        <v>-40</v>
      </c>
      <c r="L57" s="153"/>
      <c r="M57" s="155">
        <f t="shared" si="1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36"/>
      <c r="H58" s="150">
        <v>53</v>
      </c>
      <c r="I58" s="151" t="str">
        <f t="shared" si="3"/>
        <v/>
      </c>
      <c r="J58" s="150">
        <f t="shared" si="4"/>
        <v>-4</v>
      </c>
      <c r="K58" s="150">
        <f t="shared" si="0"/>
        <v>-40</v>
      </c>
      <c r="L58" s="150"/>
      <c r="M58" s="152">
        <f t="shared" si="1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36"/>
      <c r="H59" s="153">
        <v>54</v>
      </c>
      <c r="I59" s="154" t="str">
        <f t="shared" si="3"/>
        <v/>
      </c>
      <c r="J59" s="153">
        <f t="shared" si="4"/>
        <v>-4</v>
      </c>
      <c r="K59" s="153">
        <f t="shared" si="0"/>
        <v>-40</v>
      </c>
      <c r="L59" s="153"/>
      <c r="M59" s="155">
        <f t="shared" si="1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36"/>
      <c r="H60" s="150">
        <v>55</v>
      </c>
      <c r="I60" s="151" t="str">
        <f t="shared" si="3"/>
        <v/>
      </c>
      <c r="J60" s="150">
        <f t="shared" si="4"/>
        <v>-4</v>
      </c>
      <c r="K60" s="150">
        <f t="shared" si="0"/>
        <v>-40</v>
      </c>
      <c r="L60" s="150"/>
      <c r="M60" s="152">
        <f t="shared" si="1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36"/>
      <c r="H61" s="153">
        <v>56</v>
      </c>
      <c r="I61" s="154" t="str">
        <f t="shared" si="3"/>
        <v/>
      </c>
      <c r="J61" s="153">
        <f t="shared" si="4"/>
        <v>-4</v>
      </c>
      <c r="K61" s="153">
        <f t="shared" si="0"/>
        <v>-40</v>
      </c>
      <c r="L61" s="153"/>
      <c r="M61" s="155">
        <f t="shared" si="1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36"/>
      <c r="H62" s="150">
        <v>57</v>
      </c>
      <c r="I62" s="151" t="str">
        <f t="shared" si="3"/>
        <v/>
      </c>
      <c r="J62" s="150">
        <f t="shared" si="4"/>
        <v>-4</v>
      </c>
      <c r="K62" s="150">
        <f t="shared" si="0"/>
        <v>-40</v>
      </c>
      <c r="L62" s="150"/>
      <c r="M62" s="152">
        <f t="shared" si="1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36"/>
      <c r="H63" s="153">
        <v>58</v>
      </c>
      <c r="I63" s="154" t="str">
        <f t="shared" si="3"/>
        <v/>
      </c>
      <c r="J63" s="153">
        <f t="shared" si="4"/>
        <v>-4</v>
      </c>
      <c r="K63" s="153">
        <f t="shared" si="0"/>
        <v>-40</v>
      </c>
      <c r="L63" s="153"/>
      <c r="M63" s="155">
        <f t="shared" si="1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36"/>
      <c r="H64" s="150">
        <v>59</v>
      </c>
      <c r="I64" s="151" t="str">
        <f t="shared" si="3"/>
        <v/>
      </c>
      <c r="J64" s="150">
        <f t="shared" si="4"/>
        <v>-4</v>
      </c>
      <c r="K64" s="150">
        <f t="shared" si="0"/>
        <v>-40</v>
      </c>
      <c r="L64" s="150"/>
      <c r="M64" s="152">
        <f t="shared" si="1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36"/>
      <c r="H65" s="153">
        <v>60</v>
      </c>
      <c r="I65" s="154" t="str">
        <f t="shared" si="3"/>
        <v/>
      </c>
      <c r="J65" s="153">
        <f t="shared" si="4"/>
        <v>-4</v>
      </c>
      <c r="K65" s="153">
        <f t="shared" si="0"/>
        <v>-40</v>
      </c>
      <c r="L65" s="153"/>
      <c r="M65" s="155">
        <f t="shared" si="1"/>
        <v>0</v>
      </c>
    </row>
    <row r="66" spans="1:13" x14ac:dyDescent="0.25">
      <c r="A66" s="166"/>
      <c r="B66" s="34"/>
      <c r="G66" s="136"/>
      <c r="H66" s="150">
        <v>61</v>
      </c>
      <c r="I66" s="151" t="str">
        <f t="shared" si="3"/>
        <v/>
      </c>
      <c r="J66" s="150">
        <f t="shared" si="4"/>
        <v>-4</v>
      </c>
      <c r="K66" s="150">
        <f t="shared" si="0"/>
        <v>-40</v>
      </c>
      <c r="L66" s="150"/>
      <c r="M66" s="152">
        <f t="shared" si="1"/>
        <v>0</v>
      </c>
    </row>
    <row r="67" spans="1:13" x14ac:dyDescent="0.25">
      <c r="A67" s="166"/>
      <c r="B67" s="40"/>
      <c r="G67" s="136"/>
      <c r="H67" s="150">
        <v>62</v>
      </c>
      <c r="I67" s="151" t="str">
        <f t="shared" si="3"/>
        <v/>
      </c>
      <c r="J67" s="150">
        <f t="shared" si="4"/>
        <v>-4</v>
      </c>
      <c r="K67" s="150">
        <f t="shared" si="0"/>
        <v>-40</v>
      </c>
      <c r="L67" s="150"/>
      <c r="M67" s="152">
        <f t="shared" si="1"/>
        <v>0</v>
      </c>
    </row>
    <row r="68" spans="1:13" x14ac:dyDescent="0.25">
      <c r="A68" s="166"/>
      <c r="B68" s="34"/>
      <c r="G68" s="136"/>
      <c r="H68" s="150">
        <v>63</v>
      </c>
      <c r="I68" s="151" t="str">
        <f t="shared" si="3"/>
        <v/>
      </c>
      <c r="J68" s="150">
        <f t="shared" si="4"/>
        <v>-4</v>
      </c>
      <c r="K68" s="150">
        <f t="shared" si="0"/>
        <v>-40</v>
      </c>
      <c r="L68" s="150"/>
      <c r="M68" s="152">
        <f t="shared" si="1"/>
        <v>0</v>
      </c>
    </row>
    <row r="69" spans="1:13" x14ac:dyDescent="0.25">
      <c r="A69" s="166"/>
      <c r="B69" s="40"/>
      <c r="G69" s="136"/>
      <c r="H69" s="150">
        <v>64</v>
      </c>
      <c r="I69" s="151" t="str">
        <f t="shared" si="3"/>
        <v/>
      </c>
      <c r="J69" s="150">
        <f t="shared" si="4"/>
        <v>-4</v>
      </c>
      <c r="K69" s="150">
        <f t="shared" si="0"/>
        <v>-40</v>
      </c>
      <c r="L69" s="150"/>
      <c r="M69" s="152">
        <f t="shared" si="1"/>
        <v>0</v>
      </c>
    </row>
    <row r="70" spans="1:13" x14ac:dyDescent="0.25">
      <c r="A70" s="166"/>
      <c r="G70" s="136"/>
      <c r="H70" s="150">
        <v>65</v>
      </c>
      <c r="I70" s="151" t="str">
        <f t="shared" si="3"/>
        <v/>
      </c>
      <c r="J70" s="150">
        <f t="shared" si="4"/>
        <v>-5</v>
      </c>
      <c r="K70" s="150">
        <f t="shared" ref="K70:K133" si="7">J70*$J$2</f>
        <v>-50</v>
      </c>
      <c r="L70" s="150"/>
      <c r="M70" s="152">
        <f t="shared" ref="M70:M133" si="8">IF(I70&lt;&gt;"",K70+I70+L70,0)</f>
        <v>0</v>
      </c>
    </row>
    <row r="71" spans="1:13" x14ac:dyDescent="0.25">
      <c r="A71" s="166"/>
      <c r="G71" s="136"/>
      <c r="H71" s="150">
        <v>66</v>
      </c>
      <c r="I71" s="151" t="str">
        <f t="shared" ref="I71:I134" si="9">IF(H71&lt;$H$2+1,($I$2-($I$2-1)*(LOG(H71)/LOG($H$2))),"")</f>
        <v/>
      </c>
      <c r="J71" s="150">
        <f t="shared" ref="J71:J134" si="10">INT(LOG($H$2,2))-ROUNDUP(LOG(H71,2),0)+IF(OR($H$2=1,$H$2=2,$H$2=4,$H$2=8,$H$2=16,$H$2=32,$H$2=64,$H$2=128,$H$2=256),0,1)</f>
        <v>-5</v>
      </c>
      <c r="K71" s="150">
        <f t="shared" si="7"/>
        <v>-50</v>
      </c>
      <c r="L71" s="150"/>
      <c r="M71" s="152">
        <f t="shared" si="8"/>
        <v>0</v>
      </c>
    </row>
    <row r="72" spans="1:13" x14ac:dyDescent="0.25">
      <c r="A72" s="166"/>
      <c r="G72" s="136"/>
      <c r="H72" s="150">
        <v>67</v>
      </c>
      <c r="I72" s="151" t="str">
        <f t="shared" si="9"/>
        <v/>
      </c>
      <c r="J72" s="150">
        <f t="shared" si="10"/>
        <v>-5</v>
      </c>
      <c r="K72" s="150">
        <f t="shared" si="7"/>
        <v>-50</v>
      </c>
      <c r="L72" s="150"/>
      <c r="M72" s="152">
        <f t="shared" si="8"/>
        <v>0</v>
      </c>
    </row>
    <row r="73" spans="1:13" x14ac:dyDescent="0.25">
      <c r="A73" s="166"/>
      <c r="G73" s="136"/>
      <c r="H73" s="150">
        <v>68</v>
      </c>
      <c r="I73" s="151" t="str">
        <f t="shared" si="9"/>
        <v/>
      </c>
      <c r="J73" s="150">
        <f t="shared" si="10"/>
        <v>-5</v>
      </c>
      <c r="K73" s="150">
        <f t="shared" si="7"/>
        <v>-50</v>
      </c>
      <c r="L73" s="150"/>
      <c r="M73" s="152">
        <f t="shared" si="8"/>
        <v>0</v>
      </c>
    </row>
    <row r="74" spans="1:13" x14ac:dyDescent="0.25">
      <c r="A74" s="166"/>
      <c r="G74" s="136"/>
      <c r="H74" s="150">
        <v>69</v>
      </c>
      <c r="I74" s="151" t="str">
        <f t="shared" si="9"/>
        <v/>
      </c>
      <c r="J74" s="150">
        <f t="shared" si="10"/>
        <v>-5</v>
      </c>
      <c r="K74" s="150">
        <f t="shared" si="7"/>
        <v>-50</v>
      </c>
      <c r="L74" s="150"/>
      <c r="M74" s="152">
        <f t="shared" si="8"/>
        <v>0</v>
      </c>
    </row>
    <row r="75" spans="1:13" x14ac:dyDescent="0.25">
      <c r="A75" s="166"/>
      <c r="G75" s="136"/>
      <c r="H75" s="150">
        <v>70</v>
      </c>
      <c r="I75" s="151" t="str">
        <f t="shared" si="9"/>
        <v/>
      </c>
      <c r="J75" s="150">
        <f t="shared" si="10"/>
        <v>-5</v>
      </c>
      <c r="K75" s="150">
        <f t="shared" si="7"/>
        <v>-50</v>
      </c>
      <c r="L75" s="150"/>
      <c r="M75" s="152">
        <f t="shared" si="8"/>
        <v>0</v>
      </c>
    </row>
    <row r="76" spans="1:13" x14ac:dyDescent="0.25">
      <c r="A76" s="166"/>
      <c r="G76" s="136"/>
      <c r="H76" s="150">
        <v>71</v>
      </c>
      <c r="I76" s="151" t="str">
        <f t="shared" si="9"/>
        <v/>
      </c>
      <c r="J76" s="150">
        <f t="shared" si="10"/>
        <v>-5</v>
      </c>
      <c r="K76" s="150">
        <f t="shared" si="7"/>
        <v>-50</v>
      </c>
      <c r="L76" s="150"/>
      <c r="M76" s="152">
        <f t="shared" si="8"/>
        <v>0</v>
      </c>
    </row>
    <row r="77" spans="1:13" x14ac:dyDescent="0.25">
      <c r="A77" s="166"/>
      <c r="G77" s="136"/>
      <c r="H77" s="150">
        <v>72</v>
      </c>
      <c r="I77" s="151" t="str">
        <f t="shared" si="9"/>
        <v/>
      </c>
      <c r="J77" s="150">
        <f t="shared" si="10"/>
        <v>-5</v>
      </c>
      <c r="K77" s="150">
        <f t="shared" si="7"/>
        <v>-50</v>
      </c>
      <c r="L77" s="150"/>
      <c r="M77" s="152">
        <f t="shared" si="8"/>
        <v>0</v>
      </c>
    </row>
    <row r="78" spans="1:13" x14ac:dyDescent="0.25">
      <c r="A78" s="166"/>
      <c r="G78" s="136"/>
      <c r="H78" s="150">
        <v>73</v>
      </c>
      <c r="I78" s="151" t="str">
        <f t="shared" si="9"/>
        <v/>
      </c>
      <c r="J78" s="150">
        <f t="shared" si="10"/>
        <v>-5</v>
      </c>
      <c r="K78" s="150">
        <f t="shared" si="7"/>
        <v>-50</v>
      </c>
      <c r="L78" s="150"/>
      <c r="M78" s="152">
        <f t="shared" si="8"/>
        <v>0</v>
      </c>
    </row>
    <row r="79" spans="1:13" x14ac:dyDescent="0.25">
      <c r="A79" s="166"/>
      <c r="G79" s="136"/>
      <c r="H79" s="150">
        <v>74</v>
      </c>
      <c r="I79" s="151" t="str">
        <f t="shared" si="9"/>
        <v/>
      </c>
      <c r="J79" s="150">
        <f t="shared" si="10"/>
        <v>-5</v>
      </c>
      <c r="K79" s="150">
        <f t="shared" si="7"/>
        <v>-50</v>
      </c>
      <c r="L79" s="150"/>
      <c r="M79" s="152">
        <f t="shared" si="8"/>
        <v>0</v>
      </c>
    </row>
    <row r="80" spans="1:13" x14ac:dyDescent="0.25">
      <c r="A80" s="166"/>
      <c r="G80" s="136"/>
      <c r="H80" s="150">
        <v>75</v>
      </c>
      <c r="I80" s="151" t="str">
        <f t="shared" si="9"/>
        <v/>
      </c>
      <c r="J80" s="150">
        <f t="shared" si="10"/>
        <v>-5</v>
      </c>
      <c r="K80" s="150">
        <f t="shared" si="7"/>
        <v>-50</v>
      </c>
      <c r="L80" s="150"/>
      <c r="M80" s="152">
        <f t="shared" si="8"/>
        <v>0</v>
      </c>
    </row>
    <row r="81" spans="1:13" x14ac:dyDescent="0.25">
      <c r="A81" s="166"/>
      <c r="G81" s="136"/>
      <c r="H81" s="150">
        <v>76</v>
      </c>
      <c r="I81" s="151" t="str">
        <f t="shared" si="9"/>
        <v/>
      </c>
      <c r="J81" s="150">
        <f t="shared" si="10"/>
        <v>-5</v>
      </c>
      <c r="K81" s="150">
        <f t="shared" si="7"/>
        <v>-50</v>
      </c>
      <c r="L81" s="150"/>
      <c r="M81" s="152">
        <f t="shared" si="8"/>
        <v>0</v>
      </c>
    </row>
    <row r="82" spans="1:13" x14ac:dyDescent="0.25">
      <c r="A82" s="166"/>
      <c r="G82" s="136"/>
      <c r="H82" s="150">
        <v>77</v>
      </c>
      <c r="I82" s="151" t="str">
        <f t="shared" si="9"/>
        <v/>
      </c>
      <c r="J82" s="150">
        <f t="shared" si="10"/>
        <v>-5</v>
      </c>
      <c r="K82" s="150">
        <f t="shared" si="7"/>
        <v>-50</v>
      </c>
      <c r="L82" s="150"/>
      <c r="M82" s="152">
        <f t="shared" si="8"/>
        <v>0</v>
      </c>
    </row>
    <row r="83" spans="1:13" x14ac:dyDescent="0.25">
      <c r="A83" s="166"/>
      <c r="G83" s="136"/>
      <c r="H83" s="150">
        <v>78</v>
      </c>
      <c r="I83" s="151" t="str">
        <f t="shared" si="9"/>
        <v/>
      </c>
      <c r="J83" s="150">
        <f t="shared" si="10"/>
        <v>-5</v>
      </c>
      <c r="K83" s="150">
        <f t="shared" si="7"/>
        <v>-50</v>
      </c>
      <c r="L83" s="150"/>
      <c r="M83" s="152">
        <f t="shared" si="8"/>
        <v>0</v>
      </c>
    </row>
    <row r="84" spans="1:13" x14ac:dyDescent="0.25">
      <c r="A84" s="166"/>
      <c r="G84" s="136"/>
      <c r="H84" s="150">
        <v>79</v>
      </c>
      <c r="I84" s="151" t="str">
        <f t="shared" si="9"/>
        <v/>
      </c>
      <c r="J84" s="150">
        <f t="shared" si="10"/>
        <v>-5</v>
      </c>
      <c r="K84" s="150">
        <f t="shared" si="7"/>
        <v>-50</v>
      </c>
      <c r="L84" s="150"/>
      <c r="M84" s="152">
        <f t="shared" si="8"/>
        <v>0</v>
      </c>
    </row>
    <row r="85" spans="1:13" x14ac:dyDescent="0.25">
      <c r="A85" s="166"/>
      <c r="G85" s="136"/>
      <c r="H85" s="150">
        <v>80</v>
      </c>
      <c r="I85" s="151" t="str">
        <f t="shared" si="9"/>
        <v/>
      </c>
      <c r="J85" s="150">
        <f t="shared" si="10"/>
        <v>-5</v>
      </c>
      <c r="K85" s="150">
        <f t="shared" si="7"/>
        <v>-50</v>
      </c>
      <c r="L85" s="150"/>
      <c r="M85" s="152">
        <f t="shared" si="8"/>
        <v>0</v>
      </c>
    </row>
    <row r="86" spans="1:13" x14ac:dyDescent="0.25">
      <c r="A86" s="166"/>
      <c r="G86" s="136"/>
      <c r="H86" s="150">
        <v>81</v>
      </c>
      <c r="I86" s="151" t="str">
        <f t="shared" si="9"/>
        <v/>
      </c>
      <c r="J86" s="150">
        <f t="shared" si="10"/>
        <v>-5</v>
      </c>
      <c r="K86" s="150">
        <f t="shared" si="7"/>
        <v>-50</v>
      </c>
      <c r="L86" s="150"/>
      <c r="M86" s="152">
        <f t="shared" si="8"/>
        <v>0</v>
      </c>
    </row>
    <row r="87" spans="1:13" x14ac:dyDescent="0.25">
      <c r="A87" s="166"/>
      <c r="G87" s="136"/>
      <c r="H87" s="150">
        <v>82</v>
      </c>
      <c r="I87" s="151" t="str">
        <f t="shared" si="9"/>
        <v/>
      </c>
      <c r="J87" s="150">
        <f t="shared" si="10"/>
        <v>-5</v>
      </c>
      <c r="K87" s="150">
        <f t="shared" si="7"/>
        <v>-50</v>
      </c>
      <c r="L87" s="150"/>
      <c r="M87" s="152">
        <f t="shared" si="8"/>
        <v>0</v>
      </c>
    </row>
    <row r="88" spans="1:13" x14ac:dyDescent="0.25">
      <c r="A88" s="166"/>
      <c r="G88" s="136"/>
      <c r="H88" s="150">
        <v>83</v>
      </c>
      <c r="I88" s="151" t="str">
        <f t="shared" si="9"/>
        <v/>
      </c>
      <c r="J88" s="150">
        <f t="shared" si="10"/>
        <v>-5</v>
      </c>
      <c r="K88" s="150">
        <f t="shared" si="7"/>
        <v>-50</v>
      </c>
      <c r="L88" s="150"/>
      <c r="M88" s="152">
        <f t="shared" si="8"/>
        <v>0</v>
      </c>
    </row>
    <row r="89" spans="1:13" x14ac:dyDescent="0.25">
      <c r="A89" s="166"/>
      <c r="G89" s="136"/>
      <c r="H89" s="150">
        <v>84</v>
      </c>
      <c r="I89" s="151" t="str">
        <f t="shared" si="9"/>
        <v/>
      </c>
      <c r="J89" s="150">
        <f t="shared" si="10"/>
        <v>-5</v>
      </c>
      <c r="K89" s="150">
        <f t="shared" si="7"/>
        <v>-50</v>
      </c>
      <c r="L89" s="150"/>
      <c r="M89" s="152">
        <f t="shared" si="8"/>
        <v>0</v>
      </c>
    </row>
    <row r="90" spans="1:13" x14ac:dyDescent="0.25">
      <c r="A90" s="166"/>
      <c r="G90" s="136"/>
      <c r="H90" s="150">
        <v>85</v>
      </c>
      <c r="I90" s="151" t="str">
        <f t="shared" si="9"/>
        <v/>
      </c>
      <c r="J90" s="150">
        <f t="shared" si="10"/>
        <v>-5</v>
      </c>
      <c r="K90" s="150">
        <f t="shared" si="7"/>
        <v>-50</v>
      </c>
      <c r="L90" s="150"/>
      <c r="M90" s="152">
        <f t="shared" si="8"/>
        <v>0</v>
      </c>
    </row>
    <row r="91" spans="1:13" x14ac:dyDescent="0.25">
      <c r="A91" s="166"/>
      <c r="G91" s="136"/>
      <c r="H91" s="150">
        <v>86</v>
      </c>
      <c r="I91" s="151" t="str">
        <f t="shared" si="9"/>
        <v/>
      </c>
      <c r="J91" s="150">
        <f t="shared" si="10"/>
        <v>-5</v>
      </c>
      <c r="K91" s="150">
        <f t="shared" si="7"/>
        <v>-50</v>
      </c>
      <c r="L91" s="150"/>
      <c r="M91" s="152">
        <f t="shared" si="8"/>
        <v>0</v>
      </c>
    </row>
    <row r="92" spans="1:13" x14ac:dyDescent="0.25">
      <c r="A92" s="166"/>
      <c r="G92" s="136"/>
      <c r="H92" s="150">
        <v>87</v>
      </c>
      <c r="I92" s="151" t="str">
        <f t="shared" si="9"/>
        <v/>
      </c>
      <c r="J92" s="150">
        <f t="shared" si="10"/>
        <v>-5</v>
      </c>
      <c r="K92" s="150">
        <f t="shared" si="7"/>
        <v>-50</v>
      </c>
      <c r="L92" s="150"/>
      <c r="M92" s="152">
        <f t="shared" si="8"/>
        <v>0</v>
      </c>
    </row>
    <row r="93" spans="1:13" x14ac:dyDescent="0.25">
      <c r="A93" s="166"/>
      <c r="G93" s="136"/>
      <c r="H93" s="150">
        <v>88</v>
      </c>
      <c r="I93" s="151" t="str">
        <f t="shared" si="9"/>
        <v/>
      </c>
      <c r="J93" s="150">
        <f t="shared" si="10"/>
        <v>-5</v>
      </c>
      <c r="K93" s="150">
        <f t="shared" si="7"/>
        <v>-50</v>
      </c>
      <c r="L93" s="150"/>
      <c r="M93" s="152">
        <f t="shared" si="8"/>
        <v>0</v>
      </c>
    </row>
    <row r="94" spans="1:13" x14ac:dyDescent="0.25">
      <c r="A94" s="166"/>
      <c r="G94" s="136"/>
      <c r="H94" s="150">
        <v>89</v>
      </c>
      <c r="I94" s="151" t="str">
        <f t="shared" si="9"/>
        <v/>
      </c>
      <c r="J94" s="150">
        <f t="shared" si="10"/>
        <v>-5</v>
      </c>
      <c r="K94" s="150">
        <f t="shared" si="7"/>
        <v>-50</v>
      </c>
      <c r="L94" s="150"/>
      <c r="M94" s="152">
        <f t="shared" si="8"/>
        <v>0</v>
      </c>
    </row>
    <row r="95" spans="1:13" x14ac:dyDescent="0.25">
      <c r="A95" s="166"/>
      <c r="G95" s="136"/>
      <c r="H95" s="150">
        <v>90</v>
      </c>
      <c r="I95" s="151" t="str">
        <f t="shared" si="9"/>
        <v/>
      </c>
      <c r="J95" s="150">
        <f t="shared" si="10"/>
        <v>-5</v>
      </c>
      <c r="K95" s="150">
        <f t="shared" si="7"/>
        <v>-50</v>
      </c>
      <c r="L95" s="150"/>
      <c r="M95" s="152">
        <f t="shared" si="8"/>
        <v>0</v>
      </c>
    </row>
    <row r="96" spans="1:13" x14ac:dyDescent="0.25">
      <c r="A96" s="166"/>
      <c r="G96" s="136"/>
      <c r="H96" s="150">
        <v>91</v>
      </c>
      <c r="I96" s="151" t="str">
        <f t="shared" si="9"/>
        <v/>
      </c>
      <c r="J96" s="150">
        <f t="shared" si="10"/>
        <v>-5</v>
      </c>
      <c r="K96" s="150">
        <f t="shared" si="7"/>
        <v>-50</v>
      </c>
      <c r="L96" s="150"/>
      <c r="M96" s="152">
        <f t="shared" si="8"/>
        <v>0</v>
      </c>
    </row>
    <row r="97" spans="1:13" x14ac:dyDescent="0.25">
      <c r="A97" s="166"/>
      <c r="G97" s="136"/>
      <c r="H97" s="150">
        <v>92</v>
      </c>
      <c r="I97" s="151" t="str">
        <f t="shared" si="9"/>
        <v/>
      </c>
      <c r="J97" s="150">
        <f t="shared" si="10"/>
        <v>-5</v>
      </c>
      <c r="K97" s="150">
        <f t="shared" si="7"/>
        <v>-50</v>
      </c>
      <c r="L97" s="150"/>
      <c r="M97" s="152">
        <f t="shared" si="8"/>
        <v>0</v>
      </c>
    </row>
    <row r="98" spans="1:13" x14ac:dyDescent="0.25">
      <c r="A98" s="166"/>
      <c r="G98" s="136"/>
      <c r="H98" s="150">
        <v>93</v>
      </c>
      <c r="I98" s="151" t="str">
        <f t="shared" si="9"/>
        <v/>
      </c>
      <c r="J98" s="150">
        <f t="shared" si="10"/>
        <v>-5</v>
      </c>
      <c r="K98" s="150">
        <f t="shared" si="7"/>
        <v>-50</v>
      </c>
      <c r="L98" s="150"/>
      <c r="M98" s="152">
        <f t="shared" si="8"/>
        <v>0</v>
      </c>
    </row>
    <row r="99" spans="1:13" x14ac:dyDescent="0.25">
      <c r="A99" s="166"/>
      <c r="G99" s="136"/>
      <c r="H99" s="150">
        <v>94</v>
      </c>
      <c r="I99" s="151" t="str">
        <f t="shared" si="9"/>
        <v/>
      </c>
      <c r="J99" s="150">
        <f t="shared" si="10"/>
        <v>-5</v>
      </c>
      <c r="K99" s="150">
        <f t="shared" si="7"/>
        <v>-50</v>
      </c>
      <c r="L99" s="150"/>
      <c r="M99" s="152">
        <f t="shared" si="8"/>
        <v>0</v>
      </c>
    </row>
    <row r="100" spans="1:13" x14ac:dyDescent="0.25">
      <c r="A100" s="166"/>
      <c r="G100" s="136"/>
      <c r="H100" s="150">
        <v>95</v>
      </c>
      <c r="I100" s="151" t="str">
        <f t="shared" si="9"/>
        <v/>
      </c>
      <c r="J100" s="150">
        <f t="shared" si="10"/>
        <v>-5</v>
      </c>
      <c r="K100" s="150">
        <f t="shared" si="7"/>
        <v>-50</v>
      </c>
      <c r="L100" s="150"/>
      <c r="M100" s="152">
        <f t="shared" si="8"/>
        <v>0</v>
      </c>
    </row>
    <row r="101" spans="1:13" x14ac:dyDescent="0.25">
      <c r="A101" s="166"/>
      <c r="G101" s="136"/>
      <c r="H101" s="150">
        <v>96</v>
      </c>
      <c r="I101" s="151" t="str">
        <f t="shared" si="9"/>
        <v/>
      </c>
      <c r="J101" s="150">
        <f t="shared" si="10"/>
        <v>-5</v>
      </c>
      <c r="K101" s="150">
        <f t="shared" si="7"/>
        <v>-50</v>
      </c>
      <c r="L101" s="150"/>
      <c r="M101" s="152">
        <f t="shared" si="8"/>
        <v>0</v>
      </c>
    </row>
    <row r="102" spans="1:13" x14ac:dyDescent="0.25">
      <c r="A102" s="166"/>
      <c r="G102" s="136"/>
      <c r="H102" s="150">
        <v>97</v>
      </c>
      <c r="I102" s="151" t="str">
        <f t="shared" si="9"/>
        <v/>
      </c>
      <c r="J102" s="150">
        <f t="shared" si="10"/>
        <v>-5</v>
      </c>
      <c r="K102" s="150">
        <f t="shared" si="7"/>
        <v>-50</v>
      </c>
      <c r="L102" s="150"/>
      <c r="M102" s="152">
        <f t="shared" si="8"/>
        <v>0</v>
      </c>
    </row>
    <row r="103" spans="1:13" x14ac:dyDescent="0.25">
      <c r="A103" s="166"/>
      <c r="G103" s="136"/>
      <c r="H103" s="150">
        <v>98</v>
      </c>
      <c r="I103" s="151" t="str">
        <f t="shared" si="9"/>
        <v/>
      </c>
      <c r="J103" s="150">
        <f t="shared" si="10"/>
        <v>-5</v>
      </c>
      <c r="K103" s="150">
        <f t="shared" si="7"/>
        <v>-50</v>
      </c>
      <c r="L103" s="150"/>
      <c r="M103" s="152">
        <f t="shared" si="8"/>
        <v>0</v>
      </c>
    </row>
    <row r="104" spans="1:13" x14ac:dyDescent="0.25">
      <c r="A104" s="166"/>
      <c r="G104" s="136"/>
      <c r="H104" s="150">
        <v>99</v>
      </c>
      <c r="I104" s="151" t="str">
        <f t="shared" si="9"/>
        <v/>
      </c>
      <c r="J104" s="150">
        <f t="shared" si="10"/>
        <v>-5</v>
      </c>
      <c r="K104" s="150">
        <f t="shared" si="7"/>
        <v>-50</v>
      </c>
      <c r="L104" s="150"/>
      <c r="M104" s="152">
        <f t="shared" si="8"/>
        <v>0</v>
      </c>
    </row>
    <row r="105" spans="1:13" x14ac:dyDescent="0.25">
      <c r="A105" s="166"/>
      <c r="G105" s="136"/>
      <c r="H105" s="150">
        <v>100</v>
      </c>
      <c r="I105" s="151" t="str">
        <f t="shared" si="9"/>
        <v/>
      </c>
      <c r="J105" s="150">
        <f t="shared" si="10"/>
        <v>-5</v>
      </c>
      <c r="K105" s="150">
        <f t="shared" si="7"/>
        <v>-50</v>
      </c>
      <c r="L105" s="150"/>
      <c r="M105" s="152">
        <f t="shared" si="8"/>
        <v>0</v>
      </c>
    </row>
    <row r="106" spans="1:13" x14ac:dyDescent="0.25">
      <c r="A106" s="166"/>
      <c r="G106" s="136"/>
      <c r="H106" s="150">
        <v>101</v>
      </c>
      <c r="I106" s="151" t="str">
        <f t="shared" si="9"/>
        <v/>
      </c>
      <c r="J106" s="150">
        <f t="shared" si="10"/>
        <v>-5</v>
      </c>
      <c r="K106" s="150">
        <f t="shared" si="7"/>
        <v>-50</v>
      </c>
      <c r="L106" s="150"/>
      <c r="M106" s="152">
        <f t="shared" si="8"/>
        <v>0</v>
      </c>
    </row>
    <row r="107" spans="1:13" x14ac:dyDescent="0.25">
      <c r="A107" s="166"/>
      <c r="G107" s="136"/>
      <c r="H107" s="150">
        <v>102</v>
      </c>
      <c r="I107" s="151" t="str">
        <f t="shared" si="9"/>
        <v/>
      </c>
      <c r="J107" s="150">
        <f t="shared" si="10"/>
        <v>-5</v>
      </c>
      <c r="K107" s="150">
        <f t="shared" si="7"/>
        <v>-50</v>
      </c>
      <c r="L107" s="150"/>
      <c r="M107" s="152">
        <f t="shared" si="8"/>
        <v>0</v>
      </c>
    </row>
    <row r="108" spans="1:13" x14ac:dyDescent="0.25">
      <c r="A108" s="166"/>
      <c r="G108" s="136"/>
      <c r="H108" s="150">
        <v>103</v>
      </c>
      <c r="I108" s="151" t="str">
        <f t="shared" si="9"/>
        <v/>
      </c>
      <c r="J108" s="150">
        <f t="shared" si="10"/>
        <v>-5</v>
      </c>
      <c r="K108" s="150">
        <f t="shared" si="7"/>
        <v>-50</v>
      </c>
      <c r="L108" s="150"/>
      <c r="M108" s="152">
        <f t="shared" si="8"/>
        <v>0</v>
      </c>
    </row>
    <row r="109" spans="1:13" x14ac:dyDescent="0.25">
      <c r="A109" s="166"/>
      <c r="G109" s="136"/>
      <c r="H109" s="150">
        <v>104</v>
      </c>
      <c r="I109" s="151" t="str">
        <f t="shared" si="9"/>
        <v/>
      </c>
      <c r="J109" s="150">
        <f t="shared" si="10"/>
        <v>-5</v>
      </c>
      <c r="K109" s="150">
        <f t="shared" si="7"/>
        <v>-50</v>
      </c>
      <c r="L109" s="150"/>
      <c r="M109" s="152">
        <f t="shared" si="8"/>
        <v>0</v>
      </c>
    </row>
    <row r="110" spans="1:13" x14ac:dyDescent="0.25">
      <c r="A110" s="166"/>
      <c r="G110" s="136"/>
      <c r="H110" s="150">
        <v>105</v>
      </c>
      <c r="I110" s="151" t="str">
        <f t="shared" si="9"/>
        <v/>
      </c>
      <c r="J110" s="150">
        <f t="shared" si="10"/>
        <v>-5</v>
      </c>
      <c r="K110" s="150">
        <f t="shared" si="7"/>
        <v>-50</v>
      </c>
      <c r="L110" s="150"/>
      <c r="M110" s="152">
        <f t="shared" si="8"/>
        <v>0</v>
      </c>
    </row>
    <row r="111" spans="1:13" x14ac:dyDescent="0.25">
      <c r="A111" s="166"/>
      <c r="G111" s="136"/>
      <c r="H111" s="150">
        <v>106</v>
      </c>
      <c r="I111" s="151" t="str">
        <f t="shared" si="9"/>
        <v/>
      </c>
      <c r="J111" s="150">
        <f t="shared" si="10"/>
        <v>-5</v>
      </c>
      <c r="K111" s="150">
        <f t="shared" si="7"/>
        <v>-50</v>
      </c>
      <c r="L111" s="150"/>
      <c r="M111" s="152">
        <f t="shared" si="8"/>
        <v>0</v>
      </c>
    </row>
    <row r="112" spans="1:13" x14ac:dyDescent="0.25">
      <c r="A112" s="166"/>
      <c r="G112" s="136"/>
      <c r="H112" s="150">
        <v>107</v>
      </c>
      <c r="I112" s="151" t="str">
        <f t="shared" si="9"/>
        <v/>
      </c>
      <c r="J112" s="150">
        <f t="shared" si="10"/>
        <v>-5</v>
      </c>
      <c r="K112" s="150">
        <f t="shared" si="7"/>
        <v>-50</v>
      </c>
      <c r="L112" s="150"/>
      <c r="M112" s="152">
        <f t="shared" si="8"/>
        <v>0</v>
      </c>
    </row>
    <row r="113" spans="1:13" x14ac:dyDescent="0.25">
      <c r="A113" s="166"/>
      <c r="G113" s="136"/>
      <c r="H113" s="150">
        <v>108</v>
      </c>
      <c r="I113" s="151" t="str">
        <f t="shared" si="9"/>
        <v/>
      </c>
      <c r="J113" s="150">
        <f t="shared" si="10"/>
        <v>-5</v>
      </c>
      <c r="K113" s="150">
        <f t="shared" si="7"/>
        <v>-50</v>
      </c>
      <c r="L113" s="150"/>
      <c r="M113" s="152">
        <f t="shared" si="8"/>
        <v>0</v>
      </c>
    </row>
    <row r="114" spans="1:13" x14ac:dyDescent="0.25">
      <c r="A114" s="166"/>
      <c r="G114" s="136"/>
      <c r="H114" s="150">
        <v>109</v>
      </c>
      <c r="I114" s="151" t="str">
        <f t="shared" si="9"/>
        <v/>
      </c>
      <c r="J114" s="150">
        <f t="shared" si="10"/>
        <v>-5</v>
      </c>
      <c r="K114" s="150">
        <f t="shared" si="7"/>
        <v>-50</v>
      </c>
      <c r="L114" s="150"/>
      <c r="M114" s="152">
        <f t="shared" si="8"/>
        <v>0</v>
      </c>
    </row>
    <row r="115" spans="1:13" x14ac:dyDescent="0.25">
      <c r="A115" s="166"/>
      <c r="G115" s="136"/>
      <c r="H115" s="150">
        <v>110</v>
      </c>
      <c r="I115" s="151" t="str">
        <f t="shared" si="9"/>
        <v/>
      </c>
      <c r="J115" s="150">
        <f t="shared" si="10"/>
        <v>-5</v>
      </c>
      <c r="K115" s="150">
        <f t="shared" si="7"/>
        <v>-50</v>
      </c>
      <c r="L115" s="150"/>
      <c r="M115" s="152">
        <f t="shared" si="8"/>
        <v>0</v>
      </c>
    </row>
    <row r="116" spans="1:13" x14ac:dyDescent="0.25">
      <c r="A116" s="166"/>
      <c r="G116" s="136"/>
      <c r="H116" s="150">
        <v>111</v>
      </c>
      <c r="I116" s="151" t="str">
        <f t="shared" si="9"/>
        <v/>
      </c>
      <c r="J116" s="150">
        <f t="shared" si="10"/>
        <v>-5</v>
      </c>
      <c r="K116" s="150">
        <f t="shared" si="7"/>
        <v>-50</v>
      </c>
      <c r="L116" s="150"/>
      <c r="M116" s="152">
        <f t="shared" si="8"/>
        <v>0</v>
      </c>
    </row>
    <row r="117" spans="1:13" x14ac:dyDescent="0.25">
      <c r="A117" s="166"/>
      <c r="G117" s="136"/>
      <c r="H117" s="150">
        <v>112</v>
      </c>
      <c r="I117" s="151" t="str">
        <f t="shared" si="9"/>
        <v/>
      </c>
      <c r="J117" s="150">
        <f t="shared" si="10"/>
        <v>-5</v>
      </c>
      <c r="K117" s="150">
        <f t="shared" si="7"/>
        <v>-50</v>
      </c>
      <c r="L117" s="150"/>
      <c r="M117" s="152">
        <f t="shared" si="8"/>
        <v>0</v>
      </c>
    </row>
    <row r="118" spans="1:13" x14ac:dyDescent="0.25">
      <c r="A118" s="166"/>
      <c r="G118" s="136"/>
      <c r="H118" s="150">
        <v>113</v>
      </c>
      <c r="I118" s="151" t="str">
        <f t="shared" si="9"/>
        <v/>
      </c>
      <c r="J118" s="150">
        <f t="shared" si="10"/>
        <v>-5</v>
      </c>
      <c r="K118" s="150">
        <f t="shared" si="7"/>
        <v>-50</v>
      </c>
      <c r="L118" s="150"/>
      <c r="M118" s="152">
        <f t="shared" si="8"/>
        <v>0</v>
      </c>
    </row>
    <row r="119" spans="1:13" x14ac:dyDescent="0.25">
      <c r="A119" s="166"/>
      <c r="G119" s="136"/>
      <c r="H119" s="150">
        <v>114</v>
      </c>
      <c r="I119" s="151" t="str">
        <f t="shared" si="9"/>
        <v/>
      </c>
      <c r="J119" s="150">
        <f t="shared" si="10"/>
        <v>-5</v>
      </c>
      <c r="K119" s="150">
        <f t="shared" si="7"/>
        <v>-50</v>
      </c>
      <c r="L119" s="150"/>
      <c r="M119" s="152">
        <f t="shared" si="8"/>
        <v>0</v>
      </c>
    </row>
    <row r="120" spans="1:13" x14ac:dyDescent="0.25">
      <c r="A120" s="166"/>
      <c r="G120" s="136"/>
      <c r="H120" s="150">
        <v>115</v>
      </c>
      <c r="I120" s="151" t="str">
        <f t="shared" si="9"/>
        <v/>
      </c>
      <c r="J120" s="150">
        <f t="shared" si="10"/>
        <v>-5</v>
      </c>
      <c r="K120" s="150">
        <f t="shared" si="7"/>
        <v>-50</v>
      </c>
      <c r="L120" s="150"/>
      <c r="M120" s="152">
        <f t="shared" si="8"/>
        <v>0</v>
      </c>
    </row>
    <row r="121" spans="1:13" x14ac:dyDescent="0.25">
      <c r="A121" s="166"/>
      <c r="G121" s="136"/>
      <c r="H121" s="150">
        <v>116</v>
      </c>
      <c r="I121" s="151" t="str">
        <f t="shared" si="9"/>
        <v/>
      </c>
      <c r="J121" s="150">
        <f t="shared" si="10"/>
        <v>-5</v>
      </c>
      <c r="K121" s="150">
        <f t="shared" si="7"/>
        <v>-50</v>
      </c>
      <c r="L121" s="150"/>
      <c r="M121" s="152">
        <f t="shared" si="8"/>
        <v>0</v>
      </c>
    </row>
    <row r="122" spans="1:13" x14ac:dyDescent="0.25">
      <c r="A122" s="166"/>
      <c r="G122" s="136"/>
      <c r="H122" s="150">
        <v>117</v>
      </c>
      <c r="I122" s="151" t="str">
        <f t="shared" si="9"/>
        <v/>
      </c>
      <c r="J122" s="150">
        <f t="shared" si="10"/>
        <v>-5</v>
      </c>
      <c r="K122" s="150">
        <f t="shared" si="7"/>
        <v>-50</v>
      </c>
      <c r="L122" s="150"/>
      <c r="M122" s="152">
        <f t="shared" si="8"/>
        <v>0</v>
      </c>
    </row>
    <row r="123" spans="1:13" x14ac:dyDescent="0.25">
      <c r="A123" s="166"/>
      <c r="G123" s="136"/>
      <c r="H123" s="150">
        <v>118</v>
      </c>
      <c r="I123" s="151" t="str">
        <f t="shared" si="9"/>
        <v/>
      </c>
      <c r="J123" s="150">
        <f t="shared" si="10"/>
        <v>-5</v>
      </c>
      <c r="K123" s="150">
        <f t="shared" si="7"/>
        <v>-50</v>
      </c>
      <c r="L123" s="150"/>
      <c r="M123" s="152">
        <f t="shared" si="8"/>
        <v>0</v>
      </c>
    </row>
    <row r="124" spans="1:13" x14ac:dyDescent="0.25">
      <c r="A124" s="166"/>
      <c r="G124" s="136"/>
      <c r="H124" s="150">
        <v>119</v>
      </c>
      <c r="I124" s="151" t="str">
        <f t="shared" si="9"/>
        <v/>
      </c>
      <c r="J124" s="150">
        <f t="shared" si="10"/>
        <v>-5</v>
      </c>
      <c r="K124" s="150">
        <f t="shared" si="7"/>
        <v>-50</v>
      </c>
      <c r="L124" s="150"/>
      <c r="M124" s="152">
        <f t="shared" si="8"/>
        <v>0</v>
      </c>
    </row>
    <row r="125" spans="1:13" x14ac:dyDescent="0.25">
      <c r="A125" s="166"/>
      <c r="G125" s="136"/>
      <c r="H125" s="150">
        <v>120</v>
      </c>
      <c r="I125" s="151" t="str">
        <f t="shared" si="9"/>
        <v/>
      </c>
      <c r="J125" s="150">
        <f t="shared" si="10"/>
        <v>-5</v>
      </c>
      <c r="K125" s="150">
        <f t="shared" si="7"/>
        <v>-50</v>
      </c>
      <c r="L125" s="150"/>
      <c r="M125" s="152">
        <f t="shared" si="8"/>
        <v>0</v>
      </c>
    </row>
    <row r="126" spans="1:13" x14ac:dyDescent="0.25">
      <c r="A126" s="166"/>
      <c r="G126" s="136"/>
      <c r="H126" s="150">
        <v>121</v>
      </c>
      <c r="I126" s="151" t="str">
        <f t="shared" si="9"/>
        <v/>
      </c>
      <c r="J126" s="150">
        <f t="shared" si="10"/>
        <v>-5</v>
      </c>
      <c r="K126" s="150">
        <f t="shared" si="7"/>
        <v>-50</v>
      </c>
      <c r="L126" s="150"/>
      <c r="M126" s="152">
        <f t="shared" si="8"/>
        <v>0</v>
      </c>
    </row>
    <row r="127" spans="1:13" x14ac:dyDescent="0.25">
      <c r="A127" s="166"/>
      <c r="G127" s="136"/>
      <c r="H127" s="150">
        <v>122</v>
      </c>
      <c r="I127" s="151" t="str">
        <f t="shared" si="9"/>
        <v/>
      </c>
      <c r="J127" s="150">
        <f t="shared" si="10"/>
        <v>-5</v>
      </c>
      <c r="K127" s="150">
        <f t="shared" si="7"/>
        <v>-50</v>
      </c>
      <c r="L127" s="150"/>
      <c r="M127" s="152">
        <f t="shared" si="8"/>
        <v>0</v>
      </c>
    </row>
    <row r="128" spans="1:13" x14ac:dyDescent="0.25">
      <c r="A128" s="166"/>
      <c r="G128" s="136"/>
      <c r="H128" s="150">
        <v>123</v>
      </c>
      <c r="I128" s="151" t="str">
        <f t="shared" si="9"/>
        <v/>
      </c>
      <c r="J128" s="150">
        <f t="shared" si="10"/>
        <v>-5</v>
      </c>
      <c r="K128" s="150">
        <f t="shared" si="7"/>
        <v>-50</v>
      </c>
      <c r="L128" s="150"/>
      <c r="M128" s="152">
        <f t="shared" si="8"/>
        <v>0</v>
      </c>
    </row>
    <row r="129" spans="1:13" x14ac:dyDescent="0.25">
      <c r="A129" s="166"/>
      <c r="G129" s="136"/>
      <c r="H129" s="150">
        <v>124</v>
      </c>
      <c r="I129" s="151" t="str">
        <f t="shared" si="9"/>
        <v/>
      </c>
      <c r="J129" s="150">
        <f t="shared" si="10"/>
        <v>-5</v>
      </c>
      <c r="K129" s="150">
        <f t="shared" si="7"/>
        <v>-50</v>
      </c>
      <c r="L129" s="150"/>
      <c r="M129" s="152">
        <f t="shared" si="8"/>
        <v>0</v>
      </c>
    </row>
    <row r="130" spans="1:13" x14ac:dyDescent="0.25">
      <c r="A130" s="166"/>
      <c r="G130" s="136"/>
      <c r="H130" s="150">
        <v>125</v>
      </c>
      <c r="I130" s="151" t="str">
        <f t="shared" si="9"/>
        <v/>
      </c>
      <c r="J130" s="150">
        <f t="shared" si="10"/>
        <v>-5</v>
      </c>
      <c r="K130" s="150">
        <f t="shared" si="7"/>
        <v>-50</v>
      </c>
      <c r="L130" s="150"/>
      <c r="M130" s="152">
        <f t="shared" si="8"/>
        <v>0</v>
      </c>
    </row>
    <row r="131" spans="1:13" x14ac:dyDescent="0.25">
      <c r="A131" s="166"/>
      <c r="G131" s="136"/>
      <c r="H131" s="150">
        <v>126</v>
      </c>
      <c r="I131" s="151" t="str">
        <f t="shared" si="9"/>
        <v/>
      </c>
      <c r="J131" s="150">
        <f t="shared" si="10"/>
        <v>-5</v>
      </c>
      <c r="K131" s="150">
        <f t="shared" si="7"/>
        <v>-50</v>
      </c>
      <c r="L131" s="150"/>
      <c r="M131" s="152">
        <f t="shared" si="8"/>
        <v>0</v>
      </c>
    </row>
    <row r="132" spans="1:13" x14ac:dyDescent="0.25">
      <c r="A132" s="166"/>
      <c r="G132" s="136"/>
      <c r="H132" s="150">
        <v>127</v>
      </c>
      <c r="I132" s="151" t="str">
        <f t="shared" si="9"/>
        <v/>
      </c>
      <c r="J132" s="150">
        <f t="shared" si="10"/>
        <v>-5</v>
      </c>
      <c r="K132" s="150">
        <f t="shared" si="7"/>
        <v>-50</v>
      </c>
      <c r="L132" s="150"/>
      <c r="M132" s="152">
        <f t="shared" si="8"/>
        <v>0</v>
      </c>
    </row>
    <row r="133" spans="1:13" x14ac:dyDescent="0.25">
      <c r="A133" s="166"/>
      <c r="G133" s="136"/>
      <c r="H133" s="150">
        <v>128</v>
      </c>
      <c r="I133" s="151" t="str">
        <f t="shared" si="9"/>
        <v/>
      </c>
      <c r="J133" s="150">
        <f t="shared" si="10"/>
        <v>-5</v>
      </c>
      <c r="K133" s="150">
        <f t="shared" si="7"/>
        <v>-50</v>
      </c>
      <c r="L133" s="150"/>
      <c r="M133" s="152">
        <f t="shared" si="8"/>
        <v>0</v>
      </c>
    </row>
    <row r="134" spans="1:13" x14ac:dyDescent="0.25">
      <c r="A134" s="166"/>
      <c r="G134" s="136"/>
      <c r="H134" s="150">
        <v>129</v>
      </c>
      <c r="I134" s="151" t="str">
        <f t="shared" si="9"/>
        <v/>
      </c>
      <c r="J134" s="150">
        <f t="shared" si="10"/>
        <v>-6</v>
      </c>
      <c r="K134" s="150">
        <f t="shared" ref="K134:K197" si="11">J134*$J$2</f>
        <v>-60</v>
      </c>
      <c r="L134" s="150"/>
      <c r="M134" s="152">
        <f t="shared" ref="M134:M197" si="12">IF(I134&lt;&gt;"",K134+I134+L134,0)</f>
        <v>0</v>
      </c>
    </row>
    <row r="135" spans="1:13" x14ac:dyDescent="0.25">
      <c r="A135" s="166"/>
      <c r="G135" s="136"/>
      <c r="H135" s="150">
        <v>130</v>
      </c>
      <c r="I135" s="151" t="str">
        <f t="shared" ref="I135:I198" si="13">IF(H135&lt;$H$2+1,($I$2-($I$2-1)*(LOG(H135)/LOG($H$2))),"")</f>
        <v/>
      </c>
      <c r="J135" s="150">
        <f t="shared" ref="J135:J198" si="14">INT(LOG($H$2,2))-ROUNDUP(LOG(H135,2),0)+IF(OR($H$2=1,$H$2=2,$H$2=4,$H$2=8,$H$2=16,$H$2=32,$H$2=64,$H$2=128,$H$2=256),0,1)</f>
        <v>-6</v>
      </c>
      <c r="K135" s="150">
        <f t="shared" si="11"/>
        <v>-60</v>
      </c>
      <c r="L135" s="150"/>
      <c r="M135" s="152">
        <f t="shared" si="12"/>
        <v>0</v>
      </c>
    </row>
    <row r="136" spans="1:13" x14ac:dyDescent="0.25">
      <c r="A136" s="166"/>
      <c r="G136" s="136"/>
      <c r="H136" s="150">
        <v>131</v>
      </c>
      <c r="I136" s="151" t="str">
        <f t="shared" si="13"/>
        <v/>
      </c>
      <c r="J136" s="150">
        <f t="shared" si="14"/>
        <v>-6</v>
      </c>
      <c r="K136" s="150">
        <f t="shared" si="11"/>
        <v>-60</v>
      </c>
      <c r="L136" s="150"/>
      <c r="M136" s="152">
        <f t="shared" si="12"/>
        <v>0</v>
      </c>
    </row>
    <row r="137" spans="1:13" x14ac:dyDescent="0.25">
      <c r="A137" s="166"/>
      <c r="G137" s="136"/>
      <c r="H137" s="150">
        <v>132</v>
      </c>
      <c r="I137" s="151" t="str">
        <f t="shared" si="13"/>
        <v/>
      </c>
      <c r="J137" s="150">
        <f t="shared" si="14"/>
        <v>-6</v>
      </c>
      <c r="K137" s="150">
        <f t="shared" si="11"/>
        <v>-60</v>
      </c>
      <c r="L137" s="150"/>
      <c r="M137" s="152">
        <f t="shared" si="12"/>
        <v>0</v>
      </c>
    </row>
    <row r="138" spans="1:13" x14ac:dyDescent="0.25">
      <c r="A138" s="166"/>
      <c r="G138" s="136"/>
      <c r="H138" s="150">
        <v>133</v>
      </c>
      <c r="I138" s="151" t="str">
        <f t="shared" si="13"/>
        <v/>
      </c>
      <c r="J138" s="150">
        <f t="shared" si="14"/>
        <v>-6</v>
      </c>
      <c r="K138" s="150">
        <f t="shared" si="11"/>
        <v>-60</v>
      </c>
      <c r="L138" s="150"/>
      <c r="M138" s="152">
        <f t="shared" si="12"/>
        <v>0</v>
      </c>
    </row>
    <row r="139" spans="1:13" x14ac:dyDescent="0.25">
      <c r="A139" s="166"/>
      <c r="G139" s="136"/>
      <c r="H139" s="150">
        <v>134</v>
      </c>
      <c r="I139" s="151" t="str">
        <f t="shared" si="13"/>
        <v/>
      </c>
      <c r="J139" s="150">
        <f t="shared" si="14"/>
        <v>-6</v>
      </c>
      <c r="K139" s="150">
        <f t="shared" si="11"/>
        <v>-60</v>
      </c>
      <c r="L139" s="150"/>
      <c r="M139" s="152">
        <f t="shared" si="12"/>
        <v>0</v>
      </c>
    </row>
    <row r="140" spans="1:13" x14ac:dyDescent="0.25">
      <c r="A140" s="166"/>
      <c r="G140" s="136"/>
      <c r="H140" s="150">
        <v>135</v>
      </c>
      <c r="I140" s="151" t="str">
        <f t="shared" si="13"/>
        <v/>
      </c>
      <c r="J140" s="150">
        <f t="shared" si="14"/>
        <v>-6</v>
      </c>
      <c r="K140" s="150">
        <f t="shared" si="11"/>
        <v>-60</v>
      </c>
      <c r="L140" s="150"/>
      <c r="M140" s="152">
        <f t="shared" si="12"/>
        <v>0</v>
      </c>
    </row>
    <row r="141" spans="1:13" x14ac:dyDescent="0.25">
      <c r="A141" s="166"/>
      <c r="G141" s="136"/>
      <c r="H141" s="150">
        <v>136</v>
      </c>
      <c r="I141" s="151" t="str">
        <f t="shared" si="13"/>
        <v/>
      </c>
      <c r="J141" s="150">
        <f t="shared" si="14"/>
        <v>-6</v>
      </c>
      <c r="K141" s="150">
        <f t="shared" si="11"/>
        <v>-60</v>
      </c>
      <c r="L141" s="150"/>
      <c r="M141" s="152">
        <f t="shared" si="12"/>
        <v>0</v>
      </c>
    </row>
    <row r="142" spans="1:13" x14ac:dyDescent="0.25">
      <c r="A142" s="166"/>
      <c r="G142" s="136"/>
      <c r="H142" s="150">
        <v>137</v>
      </c>
      <c r="I142" s="151" t="str">
        <f t="shared" si="13"/>
        <v/>
      </c>
      <c r="J142" s="150">
        <f t="shared" si="14"/>
        <v>-6</v>
      </c>
      <c r="K142" s="150">
        <f t="shared" si="11"/>
        <v>-60</v>
      </c>
      <c r="L142" s="150"/>
      <c r="M142" s="152">
        <f t="shared" si="12"/>
        <v>0</v>
      </c>
    </row>
    <row r="143" spans="1:13" x14ac:dyDescent="0.25">
      <c r="A143" s="166"/>
      <c r="G143" s="136"/>
      <c r="H143" s="150">
        <v>138</v>
      </c>
      <c r="I143" s="151" t="str">
        <f t="shared" si="13"/>
        <v/>
      </c>
      <c r="J143" s="150">
        <f t="shared" si="14"/>
        <v>-6</v>
      </c>
      <c r="K143" s="150">
        <f t="shared" si="11"/>
        <v>-60</v>
      </c>
      <c r="L143" s="150"/>
      <c r="M143" s="152">
        <f t="shared" si="12"/>
        <v>0</v>
      </c>
    </row>
    <row r="144" spans="1:13" x14ac:dyDescent="0.25">
      <c r="A144" s="166"/>
      <c r="G144" s="136"/>
      <c r="H144" s="150">
        <v>139</v>
      </c>
      <c r="I144" s="151" t="str">
        <f t="shared" si="13"/>
        <v/>
      </c>
      <c r="J144" s="150">
        <f t="shared" si="14"/>
        <v>-6</v>
      </c>
      <c r="K144" s="150">
        <f t="shared" si="11"/>
        <v>-60</v>
      </c>
      <c r="L144" s="150"/>
      <c r="M144" s="152">
        <f t="shared" si="12"/>
        <v>0</v>
      </c>
    </row>
    <row r="145" spans="1:13" x14ac:dyDescent="0.25">
      <c r="A145" s="166"/>
      <c r="G145" s="136"/>
      <c r="H145" s="150">
        <v>140</v>
      </c>
      <c r="I145" s="151" t="str">
        <f t="shared" si="13"/>
        <v/>
      </c>
      <c r="J145" s="150">
        <f t="shared" si="14"/>
        <v>-6</v>
      </c>
      <c r="K145" s="150">
        <f t="shared" si="11"/>
        <v>-60</v>
      </c>
      <c r="L145" s="150"/>
      <c r="M145" s="152">
        <f t="shared" si="12"/>
        <v>0</v>
      </c>
    </row>
    <row r="146" spans="1:13" x14ac:dyDescent="0.25">
      <c r="A146" s="166"/>
      <c r="G146" s="136"/>
      <c r="H146" s="150">
        <v>141</v>
      </c>
      <c r="I146" s="151" t="str">
        <f t="shared" si="13"/>
        <v/>
      </c>
      <c r="J146" s="150">
        <f t="shared" si="14"/>
        <v>-6</v>
      </c>
      <c r="K146" s="150">
        <f t="shared" si="11"/>
        <v>-60</v>
      </c>
      <c r="L146" s="150"/>
      <c r="M146" s="152">
        <f t="shared" si="12"/>
        <v>0</v>
      </c>
    </row>
    <row r="147" spans="1:13" x14ac:dyDescent="0.25">
      <c r="A147" s="166"/>
      <c r="G147" s="136"/>
      <c r="H147" s="150">
        <v>142</v>
      </c>
      <c r="I147" s="151" t="str">
        <f t="shared" si="13"/>
        <v/>
      </c>
      <c r="J147" s="150">
        <f t="shared" si="14"/>
        <v>-6</v>
      </c>
      <c r="K147" s="150">
        <f t="shared" si="11"/>
        <v>-60</v>
      </c>
      <c r="L147" s="150"/>
      <c r="M147" s="152">
        <f t="shared" si="12"/>
        <v>0</v>
      </c>
    </row>
    <row r="148" spans="1:13" x14ac:dyDescent="0.25">
      <c r="A148" s="166"/>
      <c r="G148" s="136"/>
      <c r="H148" s="150">
        <v>143</v>
      </c>
      <c r="I148" s="151" t="str">
        <f t="shared" si="13"/>
        <v/>
      </c>
      <c r="J148" s="150">
        <f t="shared" si="14"/>
        <v>-6</v>
      </c>
      <c r="K148" s="150">
        <f t="shared" si="11"/>
        <v>-60</v>
      </c>
      <c r="L148" s="150"/>
      <c r="M148" s="152">
        <f t="shared" si="12"/>
        <v>0</v>
      </c>
    </row>
    <row r="149" spans="1:13" x14ac:dyDescent="0.25">
      <c r="A149" s="166"/>
      <c r="G149" s="136"/>
      <c r="H149" s="150">
        <v>144</v>
      </c>
      <c r="I149" s="151" t="str">
        <f t="shared" si="13"/>
        <v/>
      </c>
      <c r="J149" s="150">
        <f t="shared" si="14"/>
        <v>-6</v>
      </c>
      <c r="K149" s="150">
        <f t="shared" si="11"/>
        <v>-60</v>
      </c>
      <c r="L149" s="150"/>
      <c r="M149" s="152">
        <f t="shared" si="12"/>
        <v>0</v>
      </c>
    </row>
    <row r="150" spans="1:13" x14ac:dyDescent="0.25">
      <c r="A150" s="166"/>
      <c r="G150" s="136"/>
      <c r="H150" s="150">
        <v>145</v>
      </c>
      <c r="I150" s="151" t="str">
        <f t="shared" si="13"/>
        <v/>
      </c>
      <c r="J150" s="150">
        <f t="shared" si="14"/>
        <v>-6</v>
      </c>
      <c r="K150" s="150">
        <f t="shared" si="11"/>
        <v>-60</v>
      </c>
      <c r="L150" s="150"/>
      <c r="M150" s="152">
        <f t="shared" si="12"/>
        <v>0</v>
      </c>
    </row>
    <row r="151" spans="1:13" x14ac:dyDescent="0.25">
      <c r="A151" s="166"/>
      <c r="G151" s="136"/>
      <c r="H151" s="150">
        <v>146</v>
      </c>
      <c r="I151" s="151" t="str">
        <f t="shared" si="13"/>
        <v/>
      </c>
      <c r="J151" s="150">
        <f t="shared" si="14"/>
        <v>-6</v>
      </c>
      <c r="K151" s="150">
        <f t="shared" si="11"/>
        <v>-60</v>
      </c>
      <c r="L151" s="150"/>
      <c r="M151" s="152">
        <f t="shared" si="12"/>
        <v>0</v>
      </c>
    </row>
    <row r="152" spans="1:13" x14ac:dyDescent="0.25">
      <c r="A152" s="166"/>
      <c r="G152" s="136"/>
      <c r="H152" s="150">
        <v>147</v>
      </c>
      <c r="I152" s="151" t="str">
        <f t="shared" si="13"/>
        <v/>
      </c>
      <c r="J152" s="150">
        <f t="shared" si="14"/>
        <v>-6</v>
      </c>
      <c r="K152" s="150">
        <f t="shared" si="11"/>
        <v>-60</v>
      </c>
      <c r="L152" s="150"/>
      <c r="M152" s="152">
        <f t="shared" si="12"/>
        <v>0</v>
      </c>
    </row>
    <row r="153" spans="1:13" x14ac:dyDescent="0.25">
      <c r="A153" s="166"/>
      <c r="G153" s="136"/>
      <c r="H153" s="150">
        <v>148</v>
      </c>
      <c r="I153" s="151" t="str">
        <f t="shared" si="13"/>
        <v/>
      </c>
      <c r="J153" s="150">
        <f t="shared" si="14"/>
        <v>-6</v>
      </c>
      <c r="K153" s="150">
        <f t="shared" si="11"/>
        <v>-60</v>
      </c>
      <c r="L153" s="150"/>
      <c r="M153" s="152">
        <f t="shared" si="12"/>
        <v>0</v>
      </c>
    </row>
    <row r="154" spans="1:13" x14ac:dyDescent="0.25">
      <c r="A154" s="166"/>
      <c r="G154" s="136"/>
      <c r="H154" s="150">
        <v>149</v>
      </c>
      <c r="I154" s="151" t="str">
        <f t="shared" si="13"/>
        <v/>
      </c>
      <c r="J154" s="150">
        <f t="shared" si="14"/>
        <v>-6</v>
      </c>
      <c r="K154" s="150">
        <f t="shared" si="11"/>
        <v>-60</v>
      </c>
      <c r="L154" s="150"/>
      <c r="M154" s="152">
        <f t="shared" si="12"/>
        <v>0</v>
      </c>
    </row>
    <row r="155" spans="1:13" x14ac:dyDescent="0.25">
      <c r="A155" s="166"/>
      <c r="G155" s="136"/>
      <c r="H155" s="150">
        <v>150</v>
      </c>
      <c r="I155" s="151" t="str">
        <f t="shared" si="13"/>
        <v/>
      </c>
      <c r="J155" s="150">
        <f t="shared" si="14"/>
        <v>-6</v>
      </c>
      <c r="K155" s="150">
        <f t="shared" si="11"/>
        <v>-60</v>
      </c>
      <c r="L155" s="150"/>
      <c r="M155" s="152">
        <f t="shared" si="12"/>
        <v>0</v>
      </c>
    </row>
    <row r="156" spans="1:13" x14ac:dyDescent="0.25">
      <c r="A156" s="166"/>
      <c r="G156" s="136"/>
      <c r="H156" s="150">
        <v>151</v>
      </c>
      <c r="I156" s="151" t="str">
        <f t="shared" si="13"/>
        <v/>
      </c>
      <c r="J156" s="150">
        <f t="shared" si="14"/>
        <v>-6</v>
      </c>
      <c r="K156" s="150">
        <f t="shared" si="11"/>
        <v>-60</v>
      </c>
      <c r="L156" s="150"/>
      <c r="M156" s="152">
        <f t="shared" si="12"/>
        <v>0</v>
      </c>
    </row>
    <row r="157" spans="1:13" x14ac:dyDescent="0.25">
      <c r="A157" s="166"/>
      <c r="G157" s="136"/>
      <c r="H157" s="150">
        <v>152</v>
      </c>
      <c r="I157" s="151" t="str">
        <f t="shared" si="13"/>
        <v/>
      </c>
      <c r="J157" s="150">
        <f t="shared" si="14"/>
        <v>-6</v>
      </c>
      <c r="K157" s="150">
        <f t="shared" si="11"/>
        <v>-60</v>
      </c>
      <c r="L157" s="150"/>
      <c r="M157" s="152">
        <f t="shared" si="12"/>
        <v>0</v>
      </c>
    </row>
    <row r="158" spans="1:13" x14ac:dyDescent="0.25">
      <c r="A158" s="166"/>
      <c r="G158" s="136"/>
      <c r="H158" s="150">
        <v>153</v>
      </c>
      <c r="I158" s="151" t="str">
        <f t="shared" si="13"/>
        <v/>
      </c>
      <c r="J158" s="150">
        <f t="shared" si="14"/>
        <v>-6</v>
      </c>
      <c r="K158" s="150">
        <f t="shared" si="11"/>
        <v>-60</v>
      </c>
      <c r="L158" s="150"/>
      <c r="M158" s="152">
        <f t="shared" si="12"/>
        <v>0</v>
      </c>
    </row>
    <row r="159" spans="1:13" x14ac:dyDescent="0.25">
      <c r="A159" s="166"/>
      <c r="G159" s="136"/>
      <c r="H159" s="150">
        <v>154</v>
      </c>
      <c r="I159" s="151" t="str">
        <f t="shared" si="13"/>
        <v/>
      </c>
      <c r="J159" s="150">
        <f t="shared" si="14"/>
        <v>-6</v>
      </c>
      <c r="K159" s="150">
        <f t="shared" si="11"/>
        <v>-60</v>
      </c>
      <c r="L159" s="150"/>
      <c r="M159" s="152">
        <f t="shared" si="12"/>
        <v>0</v>
      </c>
    </row>
    <row r="160" spans="1:13" x14ac:dyDescent="0.25">
      <c r="A160" s="166"/>
      <c r="G160" s="136"/>
      <c r="H160" s="150">
        <v>155</v>
      </c>
      <c r="I160" s="151" t="str">
        <f t="shared" si="13"/>
        <v/>
      </c>
      <c r="J160" s="150">
        <f t="shared" si="14"/>
        <v>-6</v>
      </c>
      <c r="K160" s="150">
        <f t="shared" si="11"/>
        <v>-60</v>
      </c>
      <c r="L160" s="150"/>
      <c r="M160" s="152">
        <f t="shared" si="12"/>
        <v>0</v>
      </c>
    </row>
    <row r="161" spans="1:13" x14ac:dyDescent="0.25">
      <c r="A161" s="166"/>
      <c r="G161" s="136"/>
      <c r="H161" s="150">
        <v>156</v>
      </c>
      <c r="I161" s="151" t="str">
        <f t="shared" si="13"/>
        <v/>
      </c>
      <c r="J161" s="150">
        <f t="shared" si="14"/>
        <v>-6</v>
      </c>
      <c r="K161" s="150">
        <f t="shared" si="11"/>
        <v>-60</v>
      </c>
      <c r="L161" s="150"/>
      <c r="M161" s="152">
        <f t="shared" si="12"/>
        <v>0</v>
      </c>
    </row>
    <row r="162" spans="1:13" x14ac:dyDescent="0.25">
      <c r="A162" s="166"/>
      <c r="G162" s="136"/>
      <c r="H162" s="150">
        <v>157</v>
      </c>
      <c r="I162" s="151" t="str">
        <f t="shared" si="13"/>
        <v/>
      </c>
      <c r="J162" s="150">
        <f t="shared" si="14"/>
        <v>-6</v>
      </c>
      <c r="K162" s="150">
        <f t="shared" si="11"/>
        <v>-60</v>
      </c>
      <c r="L162" s="150"/>
      <c r="M162" s="152">
        <f t="shared" si="12"/>
        <v>0</v>
      </c>
    </row>
    <row r="163" spans="1:13" x14ac:dyDescent="0.25">
      <c r="A163" s="166"/>
      <c r="G163" s="136"/>
      <c r="H163" s="150">
        <v>158</v>
      </c>
      <c r="I163" s="151" t="str">
        <f t="shared" si="13"/>
        <v/>
      </c>
      <c r="J163" s="150">
        <f t="shared" si="14"/>
        <v>-6</v>
      </c>
      <c r="K163" s="150">
        <f t="shared" si="11"/>
        <v>-60</v>
      </c>
      <c r="L163" s="150"/>
      <c r="M163" s="152">
        <f t="shared" si="12"/>
        <v>0</v>
      </c>
    </row>
    <row r="164" spans="1:13" x14ac:dyDescent="0.25">
      <c r="A164" s="166"/>
      <c r="G164" s="136"/>
      <c r="H164" s="150">
        <v>159</v>
      </c>
      <c r="I164" s="151" t="str">
        <f t="shared" si="13"/>
        <v/>
      </c>
      <c r="J164" s="150">
        <f t="shared" si="14"/>
        <v>-6</v>
      </c>
      <c r="K164" s="150">
        <f t="shared" si="11"/>
        <v>-60</v>
      </c>
      <c r="L164" s="150"/>
      <c r="M164" s="152">
        <f t="shared" si="12"/>
        <v>0</v>
      </c>
    </row>
    <row r="165" spans="1:13" x14ac:dyDescent="0.25">
      <c r="A165" s="166"/>
      <c r="G165" s="136"/>
      <c r="H165" s="150">
        <v>160</v>
      </c>
      <c r="I165" s="151" t="str">
        <f t="shared" si="13"/>
        <v/>
      </c>
      <c r="J165" s="150">
        <f t="shared" si="14"/>
        <v>-6</v>
      </c>
      <c r="K165" s="150">
        <f t="shared" si="11"/>
        <v>-60</v>
      </c>
      <c r="L165" s="150"/>
      <c r="M165" s="152">
        <f t="shared" si="12"/>
        <v>0</v>
      </c>
    </row>
    <row r="166" spans="1:13" x14ac:dyDescent="0.25">
      <c r="A166" s="166"/>
      <c r="G166" s="136"/>
      <c r="H166" s="150">
        <v>161</v>
      </c>
      <c r="I166" s="151" t="str">
        <f t="shared" si="13"/>
        <v/>
      </c>
      <c r="J166" s="150">
        <f t="shared" si="14"/>
        <v>-6</v>
      </c>
      <c r="K166" s="150">
        <f t="shared" si="11"/>
        <v>-60</v>
      </c>
      <c r="L166" s="150"/>
      <c r="M166" s="152">
        <f t="shared" si="12"/>
        <v>0</v>
      </c>
    </row>
    <row r="167" spans="1:13" x14ac:dyDescent="0.25">
      <c r="A167" s="166"/>
      <c r="G167" s="136"/>
      <c r="H167" s="150">
        <v>162</v>
      </c>
      <c r="I167" s="151" t="str">
        <f t="shared" si="13"/>
        <v/>
      </c>
      <c r="J167" s="150">
        <f t="shared" si="14"/>
        <v>-6</v>
      </c>
      <c r="K167" s="150">
        <f t="shared" si="11"/>
        <v>-60</v>
      </c>
      <c r="L167" s="150"/>
      <c r="M167" s="152">
        <f t="shared" si="12"/>
        <v>0</v>
      </c>
    </row>
    <row r="168" spans="1:13" x14ac:dyDescent="0.25">
      <c r="A168" s="166"/>
      <c r="G168" s="136"/>
      <c r="H168" s="150">
        <v>163</v>
      </c>
      <c r="I168" s="151" t="str">
        <f t="shared" si="13"/>
        <v/>
      </c>
      <c r="J168" s="150">
        <f t="shared" si="14"/>
        <v>-6</v>
      </c>
      <c r="K168" s="150">
        <f t="shared" si="11"/>
        <v>-60</v>
      </c>
      <c r="L168" s="150"/>
      <c r="M168" s="152">
        <f t="shared" si="12"/>
        <v>0</v>
      </c>
    </row>
    <row r="169" spans="1:13" x14ac:dyDescent="0.25">
      <c r="A169" s="166"/>
      <c r="G169" s="136"/>
      <c r="H169" s="150">
        <v>164</v>
      </c>
      <c r="I169" s="151" t="str">
        <f t="shared" si="13"/>
        <v/>
      </c>
      <c r="J169" s="150">
        <f t="shared" si="14"/>
        <v>-6</v>
      </c>
      <c r="K169" s="150">
        <f t="shared" si="11"/>
        <v>-60</v>
      </c>
      <c r="L169" s="150"/>
      <c r="M169" s="152">
        <f t="shared" si="12"/>
        <v>0</v>
      </c>
    </row>
    <row r="170" spans="1:13" x14ac:dyDescent="0.25">
      <c r="A170" s="166"/>
      <c r="G170" s="136"/>
      <c r="H170" s="150">
        <v>165</v>
      </c>
      <c r="I170" s="151" t="str">
        <f t="shared" si="13"/>
        <v/>
      </c>
      <c r="J170" s="150">
        <f t="shared" si="14"/>
        <v>-6</v>
      </c>
      <c r="K170" s="150">
        <f t="shared" si="11"/>
        <v>-60</v>
      </c>
      <c r="L170" s="150"/>
      <c r="M170" s="152">
        <f t="shared" si="12"/>
        <v>0</v>
      </c>
    </row>
    <row r="171" spans="1:13" x14ac:dyDescent="0.25">
      <c r="A171" s="166"/>
      <c r="G171" s="136"/>
      <c r="H171" s="150">
        <v>166</v>
      </c>
      <c r="I171" s="151" t="str">
        <f t="shared" si="13"/>
        <v/>
      </c>
      <c r="J171" s="150">
        <f t="shared" si="14"/>
        <v>-6</v>
      </c>
      <c r="K171" s="150">
        <f t="shared" si="11"/>
        <v>-60</v>
      </c>
      <c r="L171" s="150"/>
      <c r="M171" s="152">
        <f t="shared" si="12"/>
        <v>0</v>
      </c>
    </row>
    <row r="172" spans="1:13" x14ac:dyDescent="0.25">
      <c r="A172" s="166"/>
      <c r="G172" s="136"/>
      <c r="H172" s="150">
        <v>167</v>
      </c>
      <c r="I172" s="151" t="str">
        <f t="shared" si="13"/>
        <v/>
      </c>
      <c r="J172" s="150">
        <f t="shared" si="14"/>
        <v>-6</v>
      </c>
      <c r="K172" s="150">
        <f t="shared" si="11"/>
        <v>-60</v>
      </c>
      <c r="L172" s="150"/>
      <c r="M172" s="152">
        <f t="shared" si="12"/>
        <v>0</v>
      </c>
    </row>
    <row r="173" spans="1:13" x14ac:dyDescent="0.25">
      <c r="A173" s="166"/>
      <c r="G173" s="136"/>
      <c r="H173" s="150">
        <v>168</v>
      </c>
      <c r="I173" s="151" t="str">
        <f t="shared" si="13"/>
        <v/>
      </c>
      <c r="J173" s="150">
        <f t="shared" si="14"/>
        <v>-6</v>
      </c>
      <c r="K173" s="150">
        <f t="shared" si="11"/>
        <v>-60</v>
      </c>
      <c r="L173" s="150"/>
      <c r="M173" s="152">
        <f t="shared" si="12"/>
        <v>0</v>
      </c>
    </row>
    <row r="174" spans="1:13" x14ac:dyDescent="0.25">
      <c r="A174" s="166"/>
      <c r="G174" s="136"/>
      <c r="H174" s="150">
        <v>169</v>
      </c>
      <c r="I174" s="151" t="str">
        <f t="shared" si="13"/>
        <v/>
      </c>
      <c r="J174" s="150">
        <f t="shared" si="14"/>
        <v>-6</v>
      </c>
      <c r="K174" s="150">
        <f t="shared" si="11"/>
        <v>-60</v>
      </c>
      <c r="L174" s="150"/>
      <c r="M174" s="152">
        <f t="shared" si="12"/>
        <v>0</v>
      </c>
    </row>
    <row r="175" spans="1:13" x14ac:dyDescent="0.25">
      <c r="A175" s="166"/>
      <c r="G175" s="136"/>
      <c r="H175" s="150">
        <v>170</v>
      </c>
      <c r="I175" s="151" t="str">
        <f t="shared" si="13"/>
        <v/>
      </c>
      <c r="J175" s="150">
        <f t="shared" si="14"/>
        <v>-6</v>
      </c>
      <c r="K175" s="150">
        <f t="shared" si="11"/>
        <v>-60</v>
      </c>
      <c r="L175" s="150"/>
      <c r="M175" s="152">
        <f t="shared" si="12"/>
        <v>0</v>
      </c>
    </row>
    <row r="176" spans="1:13" x14ac:dyDescent="0.25">
      <c r="A176" s="166"/>
      <c r="G176" s="136"/>
      <c r="H176" s="150">
        <v>171</v>
      </c>
      <c r="I176" s="151" t="str">
        <f t="shared" si="13"/>
        <v/>
      </c>
      <c r="J176" s="150">
        <f t="shared" si="14"/>
        <v>-6</v>
      </c>
      <c r="K176" s="150">
        <f t="shared" si="11"/>
        <v>-60</v>
      </c>
      <c r="L176" s="150"/>
      <c r="M176" s="152">
        <f t="shared" si="12"/>
        <v>0</v>
      </c>
    </row>
    <row r="177" spans="1:13" x14ac:dyDescent="0.25">
      <c r="A177" s="166"/>
      <c r="G177" s="136"/>
      <c r="H177" s="150">
        <v>172</v>
      </c>
      <c r="I177" s="151" t="str">
        <f t="shared" si="13"/>
        <v/>
      </c>
      <c r="J177" s="150">
        <f t="shared" si="14"/>
        <v>-6</v>
      </c>
      <c r="K177" s="150">
        <f t="shared" si="11"/>
        <v>-60</v>
      </c>
      <c r="L177" s="150"/>
      <c r="M177" s="152">
        <f t="shared" si="12"/>
        <v>0</v>
      </c>
    </row>
    <row r="178" spans="1:13" x14ac:dyDescent="0.25">
      <c r="A178" s="166"/>
      <c r="G178" s="136"/>
      <c r="H178" s="150">
        <v>173</v>
      </c>
      <c r="I178" s="151" t="str">
        <f t="shared" si="13"/>
        <v/>
      </c>
      <c r="J178" s="150">
        <f t="shared" si="14"/>
        <v>-6</v>
      </c>
      <c r="K178" s="150">
        <f t="shared" si="11"/>
        <v>-60</v>
      </c>
      <c r="L178" s="150"/>
      <c r="M178" s="152">
        <f t="shared" si="12"/>
        <v>0</v>
      </c>
    </row>
    <row r="179" spans="1:13" x14ac:dyDescent="0.25">
      <c r="A179" s="166"/>
      <c r="G179" s="136"/>
      <c r="H179" s="150">
        <v>174</v>
      </c>
      <c r="I179" s="151" t="str">
        <f t="shared" si="13"/>
        <v/>
      </c>
      <c r="J179" s="150">
        <f t="shared" si="14"/>
        <v>-6</v>
      </c>
      <c r="K179" s="150">
        <f t="shared" si="11"/>
        <v>-60</v>
      </c>
      <c r="L179" s="150"/>
      <c r="M179" s="152">
        <f t="shared" si="12"/>
        <v>0</v>
      </c>
    </row>
    <row r="180" spans="1:13" x14ac:dyDescent="0.25">
      <c r="A180" s="166"/>
      <c r="G180" s="136"/>
      <c r="H180" s="150">
        <v>175</v>
      </c>
      <c r="I180" s="151" t="str">
        <f t="shared" si="13"/>
        <v/>
      </c>
      <c r="J180" s="150">
        <f t="shared" si="14"/>
        <v>-6</v>
      </c>
      <c r="K180" s="150">
        <f t="shared" si="11"/>
        <v>-60</v>
      </c>
      <c r="L180" s="150"/>
      <c r="M180" s="152">
        <f t="shared" si="12"/>
        <v>0</v>
      </c>
    </row>
    <row r="181" spans="1:13" x14ac:dyDescent="0.25">
      <c r="A181" s="166"/>
      <c r="G181" s="136"/>
      <c r="H181" s="150">
        <v>176</v>
      </c>
      <c r="I181" s="151" t="str">
        <f t="shared" si="13"/>
        <v/>
      </c>
      <c r="J181" s="150">
        <f t="shared" si="14"/>
        <v>-6</v>
      </c>
      <c r="K181" s="150">
        <f t="shared" si="11"/>
        <v>-60</v>
      </c>
      <c r="L181" s="150"/>
      <c r="M181" s="152">
        <f t="shared" si="12"/>
        <v>0</v>
      </c>
    </row>
    <row r="182" spans="1:13" x14ac:dyDescent="0.25">
      <c r="A182" s="166"/>
      <c r="G182" s="136"/>
      <c r="H182" s="150">
        <v>177</v>
      </c>
      <c r="I182" s="151" t="str">
        <f t="shared" si="13"/>
        <v/>
      </c>
      <c r="J182" s="150">
        <f t="shared" si="14"/>
        <v>-6</v>
      </c>
      <c r="K182" s="150">
        <f t="shared" si="11"/>
        <v>-60</v>
      </c>
      <c r="L182" s="150"/>
      <c r="M182" s="152">
        <f t="shared" si="12"/>
        <v>0</v>
      </c>
    </row>
    <row r="183" spans="1:13" x14ac:dyDescent="0.25">
      <c r="A183" s="166"/>
      <c r="G183" s="136"/>
      <c r="H183" s="150">
        <v>178</v>
      </c>
      <c r="I183" s="151" t="str">
        <f t="shared" si="13"/>
        <v/>
      </c>
      <c r="J183" s="150">
        <f t="shared" si="14"/>
        <v>-6</v>
      </c>
      <c r="K183" s="150">
        <f t="shared" si="11"/>
        <v>-60</v>
      </c>
      <c r="L183" s="150"/>
      <c r="M183" s="152">
        <f t="shared" si="12"/>
        <v>0</v>
      </c>
    </row>
    <row r="184" spans="1:13" x14ac:dyDescent="0.25">
      <c r="A184" s="166"/>
      <c r="G184" s="136"/>
      <c r="H184" s="150">
        <v>179</v>
      </c>
      <c r="I184" s="151" t="str">
        <f t="shared" si="13"/>
        <v/>
      </c>
      <c r="J184" s="150">
        <f t="shared" si="14"/>
        <v>-6</v>
      </c>
      <c r="K184" s="150">
        <f t="shared" si="11"/>
        <v>-60</v>
      </c>
      <c r="L184" s="150"/>
      <c r="M184" s="152">
        <f t="shared" si="12"/>
        <v>0</v>
      </c>
    </row>
    <row r="185" spans="1:13" x14ac:dyDescent="0.25">
      <c r="A185" s="166"/>
      <c r="G185" s="136"/>
      <c r="H185" s="150">
        <v>180</v>
      </c>
      <c r="I185" s="151" t="str">
        <f t="shared" si="13"/>
        <v/>
      </c>
      <c r="J185" s="150">
        <f t="shared" si="14"/>
        <v>-6</v>
      </c>
      <c r="K185" s="150">
        <f t="shared" si="11"/>
        <v>-60</v>
      </c>
      <c r="L185" s="150"/>
      <c r="M185" s="152">
        <f t="shared" si="12"/>
        <v>0</v>
      </c>
    </row>
    <row r="186" spans="1:13" x14ac:dyDescent="0.25">
      <c r="A186" s="166"/>
      <c r="G186" s="136"/>
      <c r="H186" s="150">
        <v>181</v>
      </c>
      <c r="I186" s="151" t="str">
        <f t="shared" si="13"/>
        <v/>
      </c>
      <c r="J186" s="150">
        <f t="shared" si="14"/>
        <v>-6</v>
      </c>
      <c r="K186" s="150">
        <f t="shared" si="11"/>
        <v>-60</v>
      </c>
      <c r="L186" s="150"/>
      <c r="M186" s="152">
        <f t="shared" si="12"/>
        <v>0</v>
      </c>
    </row>
    <row r="187" spans="1:13" x14ac:dyDescent="0.25">
      <c r="A187" s="166"/>
      <c r="G187" s="136"/>
      <c r="H187" s="150">
        <v>182</v>
      </c>
      <c r="I187" s="151" t="str">
        <f t="shared" si="13"/>
        <v/>
      </c>
      <c r="J187" s="150">
        <f t="shared" si="14"/>
        <v>-6</v>
      </c>
      <c r="K187" s="150">
        <f t="shared" si="11"/>
        <v>-60</v>
      </c>
      <c r="L187" s="150"/>
      <c r="M187" s="152">
        <f t="shared" si="12"/>
        <v>0</v>
      </c>
    </row>
    <row r="188" spans="1:13" x14ac:dyDescent="0.25">
      <c r="A188" s="166"/>
      <c r="G188" s="136"/>
      <c r="H188" s="150">
        <v>183</v>
      </c>
      <c r="I188" s="151" t="str">
        <f t="shared" si="13"/>
        <v/>
      </c>
      <c r="J188" s="150">
        <f t="shared" si="14"/>
        <v>-6</v>
      </c>
      <c r="K188" s="150">
        <f t="shared" si="11"/>
        <v>-60</v>
      </c>
      <c r="L188" s="150"/>
      <c r="M188" s="152">
        <f t="shared" si="12"/>
        <v>0</v>
      </c>
    </row>
    <row r="189" spans="1:13" x14ac:dyDescent="0.25">
      <c r="A189" s="166"/>
      <c r="G189" s="136"/>
      <c r="H189" s="150">
        <v>184</v>
      </c>
      <c r="I189" s="151" t="str">
        <f t="shared" si="13"/>
        <v/>
      </c>
      <c r="J189" s="150">
        <f t="shared" si="14"/>
        <v>-6</v>
      </c>
      <c r="K189" s="150">
        <f t="shared" si="11"/>
        <v>-60</v>
      </c>
      <c r="L189" s="150"/>
      <c r="M189" s="152">
        <f t="shared" si="12"/>
        <v>0</v>
      </c>
    </row>
    <row r="190" spans="1:13" x14ac:dyDescent="0.25">
      <c r="A190" s="166"/>
      <c r="G190" s="136"/>
      <c r="H190" s="150">
        <v>185</v>
      </c>
      <c r="I190" s="151" t="str">
        <f t="shared" si="13"/>
        <v/>
      </c>
      <c r="J190" s="150">
        <f t="shared" si="14"/>
        <v>-6</v>
      </c>
      <c r="K190" s="150">
        <f t="shared" si="11"/>
        <v>-60</v>
      </c>
      <c r="L190" s="150"/>
      <c r="M190" s="152">
        <f t="shared" si="12"/>
        <v>0</v>
      </c>
    </row>
    <row r="191" spans="1:13" x14ac:dyDescent="0.25">
      <c r="A191" s="166"/>
      <c r="G191" s="136"/>
      <c r="H191" s="150">
        <v>186</v>
      </c>
      <c r="I191" s="151" t="str">
        <f t="shared" si="13"/>
        <v/>
      </c>
      <c r="J191" s="150">
        <f t="shared" si="14"/>
        <v>-6</v>
      </c>
      <c r="K191" s="150">
        <f t="shared" si="11"/>
        <v>-60</v>
      </c>
      <c r="L191" s="150"/>
      <c r="M191" s="152">
        <f t="shared" si="12"/>
        <v>0</v>
      </c>
    </row>
    <row r="192" spans="1:13" x14ac:dyDescent="0.25">
      <c r="A192" s="166"/>
      <c r="G192" s="136"/>
      <c r="H192" s="150">
        <v>187</v>
      </c>
      <c r="I192" s="151" t="str">
        <f t="shared" si="13"/>
        <v/>
      </c>
      <c r="J192" s="150">
        <f t="shared" si="14"/>
        <v>-6</v>
      </c>
      <c r="K192" s="150">
        <f t="shared" si="11"/>
        <v>-60</v>
      </c>
      <c r="L192" s="150"/>
      <c r="M192" s="152">
        <f t="shared" si="12"/>
        <v>0</v>
      </c>
    </row>
    <row r="193" spans="1:13" x14ac:dyDescent="0.25">
      <c r="A193" s="166"/>
      <c r="G193" s="136"/>
      <c r="H193" s="150">
        <v>188</v>
      </c>
      <c r="I193" s="151" t="str">
        <f t="shared" si="13"/>
        <v/>
      </c>
      <c r="J193" s="150">
        <f t="shared" si="14"/>
        <v>-6</v>
      </c>
      <c r="K193" s="150">
        <f t="shared" si="11"/>
        <v>-60</v>
      </c>
      <c r="L193" s="150"/>
      <c r="M193" s="152">
        <f t="shared" si="12"/>
        <v>0</v>
      </c>
    </row>
    <row r="194" spans="1:13" x14ac:dyDescent="0.25">
      <c r="A194" s="166"/>
      <c r="G194" s="136"/>
      <c r="H194" s="150">
        <v>189</v>
      </c>
      <c r="I194" s="151" t="str">
        <f t="shared" si="13"/>
        <v/>
      </c>
      <c r="J194" s="150">
        <f t="shared" si="14"/>
        <v>-6</v>
      </c>
      <c r="K194" s="150">
        <f t="shared" si="11"/>
        <v>-60</v>
      </c>
      <c r="L194" s="150"/>
      <c r="M194" s="152">
        <f t="shared" si="12"/>
        <v>0</v>
      </c>
    </row>
    <row r="195" spans="1:13" x14ac:dyDescent="0.25">
      <c r="A195" s="166"/>
      <c r="G195" s="136"/>
      <c r="H195" s="150">
        <v>190</v>
      </c>
      <c r="I195" s="151" t="str">
        <f t="shared" si="13"/>
        <v/>
      </c>
      <c r="J195" s="150">
        <f t="shared" si="14"/>
        <v>-6</v>
      </c>
      <c r="K195" s="150">
        <f t="shared" si="11"/>
        <v>-60</v>
      </c>
      <c r="L195" s="150"/>
      <c r="M195" s="152">
        <f t="shared" si="12"/>
        <v>0</v>
      </c>
    </row>
    <row r="196" spans="1:13" x14ac:dyDescent="0.25">
      <c r="A196" s="166"/>
      <c r="G196" s="136"/>
      <c r="H196" s="150">
        <v>191</v>
      </c>
      <c r="I196" s="151" t="str">
        <f t="shared" si="13"/>
        <v/>
      </c>
      <c r="J196" s="150">
        <f t="shared" si="14"/>
        <v>-6</v>
      </c>
      <c r="K196" s="150">
        <f t="shared" si="11"/>
        <v>-60</v>
      </c>
      <c r="L196" s="150"/>
      <c r="M196" s="152">
        <f t="shared" si="12"/>
        <v>0</v>
      </c>
    </row>
    <row r="197" spans="1:13" x14ac:dyDescent="0.25">
      <c r="A197" s="166"/>
      <c r="G197" s="136"/>
      <c r="H197" s="150">
        <v>192</v>
      </c>
      <c r="I197" s="151" t="str">
        <f t="shared" si="13"/>
        <v/>
      </c>
      <c r="J197" s="150">
        <f t="shared" si="14"/>
        <v>-6</v>
      </c>
      <c r="K197" s="150">
        <f t="shared" si="11"/>
        <v>-60</v>
      </c>
      <c r="L197" s="150"/>
      <c r="M197" s="152">
        <f t="shared" si="12"/>
        <v>0</v>
      </c>
    </row>
    <row r="198" spans="1:13" x14ac:dyDescent="0.25">
      <c r="A198" s="166"/>
      <c r="G198" s="136"/>
      <c r="H198" s="150">
        <v>193</v>
      </c>
      <c r="I198" s="151" t="str">
        <f t="shared" si="13"/>
        <v/>
      </c>
      <c r="J198" s="150">
        <f t="shared" si="14"/>
        <v>-6</v>
      </c>
      <c r="K198" s="150">
        <f t="shared" ref="K198:K261" si="15">J198*$J$2</f>
        <v>-60</v>
      </c>
      <c r="L198" s="150"/>
      <c r="M198" s="152">
        <f t="shared" ref="M198:M261" si="16">IF(I198&lt;&gt;"",K198+I198+L198,0)</f>
        <v>0</v>
      </c>
    </row>
    <row r="199" spans="1:13" x14ac:dyDescent="0.25">
      <c r="A199" s="166"/>
      <c r="G199" s="136"/>
      <c r="H199" s="150">
        <v>194</v>
      </c>
      <c r="I199" s="151" t="str">
        <f t="shared" ref="I199:I262" si="17">IF(H199&lt;$H$2+1,($I$2-($I$2-1)*(LOG(H199)/LOG($H$2))),"")</f>
        <v/>
      </c>
      <c r="J199" s="150">
        <f t="shared" ref="J199:J262" si="18">INT(LOG($H$2,2))-ROUNDUP(LOG(H199,2),0)+IF(OR($H$2=1,$H$2=2,$H$2=4,$H$2=8,$H$2=16,$H$2=32,$H$2=64,$H$2=128,$H$2=256),0,1)</f>
        <v>-6</v>
      </c>
      <c r="K199" s="150">
        <f t="shared" si="15"/>
        <v>-60</v>
      </c>
      <c r="L199" s="150"/>
      <c r="M199" s="152">
        <f t="shared" si="16"/>
        <v>0</v>
      </c>
    </row>
    <row r="200" spans="1:13" x14ac:dyDescent="0.25">
      <c r="A200" s="166"/>
      <c r="G200" s="136"/>
      <c r="H200" s="150">
        <v>195</v>
      </c>
      <c r="I200" s="151" t="str">
        <f t="shared" si="17"/>
        <v/>
      </c>
      <c r="J200" s="150">
        <f t="shared" si="18"/>
        <v>-6</v>
      </c>
      <c r="K200" s="150">
        <f t="shared" si="15"/>
        <v>-60</v>
      </c>
      <c r="L200" s="150"/>
      <c r="M200" s="152">
        <f t="shared" si="16"/>
        <v>0</v>
      </c>
    </row>
    <row r="201" spans="1:13" x14ac:dyDescent="0.25">
      <c r="A201" s="166"/>
      <c r="G201" s="136"/>
      <c r="H201" s="150">
        <v>196</v>
      </c>
      <c r="I201" s="151" t="str">
        <f t="shared" si="17"/>
        <v/>
      </c>
      <c r="J201" s="150">
        <f t="shared" si="18"/>
        <v>-6</v>
      </c>
      <c r="K201" s="150">
        <f t="shared" si="15"/>
        <v>-60</v>
      </c>
      <c r="L201" s="150"/>
      <c r="M201" s="152">
        <f t="shared" si="16"/>
        <v>0</v>
      </c>
    </row>
    <row r="202" spans="1:13" x14ac:dyDescent="0.25">
      <c r="A202" s="166"/>
      <c r="G202" s="136"/>
      <c r="H202" s="150">
        <v>197</v>
      </c>
      <c r="I202" s="151" t="str">
        <f t="shared" si="17"/>
        <v/>
      </c>
      <c r="J202" s="150">
        <f t="shared" si="18"/>
        <v>-6</v>
      </c>
      <c r="K202" s="150">
        <f t="shared" si="15"/>
        <v>-60</v>
      </c>
      <c r="L202" s="150"/>
      <c r="M202" s="152">
        <f t="shared" si="16"/>
        <v>0</v>
      </c>
    </row>
    <row r="203" spans="1:13" x14ac:dyDescent="0.25">
      <c r="A203" s="166"/>
      <c r="G203" s="136"/>
      <c r="H203" s="150">
        <v>198</v>
      </c>
      <c r="I203" s="151" t="str">
        <f t="shared" si="17"/>
        <v/>
      </c>
      <c r="J203" s="150">
        <f t="shared" si="18"/>
        <v>-6</v>
      </c>
      <c r="K203" s="150">
        <f t="shared" si="15"/>
        <v>-60</v>
      </c>
      <c r="L203" s="150"/>
      <c r="M203" s="152">
        <f t="shared" si="16"/>
        <v>0</v>
      </c>
    </row>
    <row r="204" spans="1:13" x14ac:dyDescent="0.25">
      <c r="A204" s="166"/>
      <c r="G204" s="136"/>
      <c r="H204" s="150">
        <v>199</v>
      </c>
      <c r="I204" s="151" t="str">
        <f t="shared" si="17"/>
        <v/>
      </c>
      <c r="J204" s="150">
        <f t="shared" si="18"/>
        <v>-6</v>
      </c>
      <c r="K204" s="150">
        <f t="shared" si="15"/>
        <v>-60</v>
      </c>
      <c r="L204" s="150"/>
      <c r="M204" s="152">
        <f t="shared" si="16"/>
        <v>0</v>
      </c>
    </row>
    <row r="205" spans="1:13" x14ac:dyDescent="0.25">
      <c r="A205" s="166"/>
      <c r="G205" s="136"/>
      <c r="H205" s="150">
        <v>200</v>
      </c>
      <c r="I205" s="151" t="str">
        <f t="shared" si="17"/>
        <v/>
      </c>
      <c r="J205" s="150">
        <f t="shared" si="18"/>
        <v>-6</v>
      </c>
      <c r="K205" s="150">
        <f t="shared" si="15"/>
        <v>-60</v>
      </c>
      <c r="L205" s="150"/>
      <c r="M205" s="152">
        <f t="shared" si="16"/>
        <v>0</v>
      </c>
    </row>
    <row r="206" spans="1:13" x14ac:dyDescent="0.25">
      <c r="A206" s="166"/>
      <c r="G206" s="136"/>
      <c r="H206" s="150">
        <v>201</v>
      </c>
      <c r="I206" s="151" t="str">
        <f t="shared" si="17"/>
        <v/>
      </c>
      <c r="J206" s="150">
        <f t="shared" si="18"/>
        <v>-6</v>
      </c>
      <c r="K206" s="150">
        <f t="shared" si="15"/>
        <v>-60</v>
      </c>
      <c r="L206" s="150"/>
      <c r="M206" s="152">
        <f t="shared" si="16"/>
        <v>0</v>
      </c>
    </row>
    <row r="207" spans="1:13" x14ac:dyDescent="0.25">
      <c r="A207" s="166"/>
      <c r="G207" s="136"/>
      <c r="H207" s="150">
        <v>202</v>
      </c>
      <c r="I207" s="151" t="str">
        <f t="shared" si="17"/>
        <v/>
      </c>
      <c r="J207" s="150">
        <f t="shared" si="18"/>
        <v>-6</v>
      </c>
      <c r="K207" s="150">
        <f t="shared" si="15"/>
        <v>-60</v>
      </c>
      <c r="L207" s="150"/>
      <c r="M207" s="152">
        <f t="shared" si="16"/>
        <v>0</v>
      </c>
    </row>
    <row r="208" spans="1:13" x14ac:dyDescent="0.25">
      <c r="A208" s="166"/>
      <c r="G208" s="136"/>
      <c r="H208" s="150">
        <v>203</v>
      </c>
      <c r="I208" s="151" t="str">
        <f t="shared" si="17"/>
        <v/>
      </c>
      <c r="J208" s="150">
        <f t="shared" si="18"/>
        <v>-6</v>
      </c>
      <c r="K208" s="150">
        <f t="shared" si="15"/>
        <v>-60</v>
      </c>
      <c r="L208" s="150"/>
      <c r="M208" s="152">
        <f t="shared" si="16"/>
        <v>0</v>
      </c>
    </row>
    <row r="209" spans="1:13" x14ac:dyDescent="0.25">
      <c r="A209" s="166"/>
      <c r="G209" s="136"/>
      <c r="H209" s="150">
        <v>204</v>
      </c>
      <c r="I209" s="151" t="str">
        <f t="shared" si="17"/>
        <v/>
      </c>
      <c r="J209" s="150">
        <f t="shared" si="18"/>
        <v>-6</v>
      </c>
      <c r="K209" s="150">
        <f t="shared" si="15"/>
        <v>-60</v>
      </c>
      <c r="L209" s="150"/>
      <c r="M209" s="152">
        <f t="shared" si="16"/>
        <v>0</v>
      </c>
    </row>
    <row r="210" spans="1:13" x14ac:dyDescent="0.25">
      <c r="A210" s="166"/>
      <c r="G210" s="136"/>
      <c r="H210" s="150">
        <v>205</v>
      </c>
      <c r="I210" s="151" t="str">
        <f t="shared" si="17"/>
        <v/>
      </c>
      <c r="J210" s="150">
        <f t="shared" si="18"/>
        <v>-6</v>
      </c>
      <c r="K210" s="150">
        <f t="shared" si="15"/>
        <v>-60</v>
      </c>
      <c r="L210" s="150"/>
      <c r="M210" s="152">
        <f t="shared" si="16"/>
        <v>0</v>
      </c>
    </row>
    <row r="211" spans="1:13" x14ac:dyDescent="0.25">
      <c r="A211" s="166"/>
      <c r="G211" s="136"/>
      <c r="H211" s="150">
        <v>206</v>
      </c>
      <c r="I211" s="151" t="str">
        <f t="shared" si="17"/>
        <v/>
      </c>
      <c r="J211" s="150">
        <f t="shared" si="18"/>
        <v>-6</v>
      </c>
      <c r="K211" s="150">
        <f t="shared" si="15"/>
        <v>-60</v>
      </c>
      <c r="L211" s="150"/>
      <c r="M211" s="152">
        <f t="shared" si="16"/>
        <v>0</v>
      </c>
    </row>
    <row r="212" spans="1:13" x14ac:dyDescent="0.25">
      <c r="A212" s="166"/>
      <c r="G212" s="136"/>
      <c r="H212" s="150">
        <v>207</v>
      </c>
      <c r="I212" s="151" t="str">
        <f t="shared" si="17"/>
        <v/>
      </c>
      <c r="J212" s="150">
        <f t="shared" si="18"/>
        <v>-6</v>
      </c>
      <c r="K212" s="150">
        <f t="shared" si="15"/>
        <v>-60</v>
      </c>
      <c r="L212" s="150"/>
      <c r="M212" s="152">
        <f t="shared" si="16"/>
        <v>0</v>
      </c>
    </row>
    <row r="213" spans="1:13" x14ac:dyDescent="0.25">
      <c r="A213" s="166"/>
      <c r="G213" s="136"/>
      <c r="H213" s="150">
        <v>208</v>
      </c>
      <c r="I213" s="151" t="str">
        <f t="shared" si="17"/>
        <v/>
      </c>
      <c r="J213" s="150">
        <f t="shared" si="18"/>
        <v>-6</v>
      </c>
      <c r="K213" s="150">
        <f t="shared" si="15"/>
        <v>-60</v>
      </c>
      <c r="L213" s="150"/>
      <c r="M213" s="152">
        <f t="shared" si="16"/>
        <v>0</v>
      </c>
    </row>
    <row r="214" spans="1:13" x14ac:dyDescent="0.25">
      <c r="A214" s="166"/>
      <c r="G214" s="136"/>
      <c r="H214" s="150">
        <v>209</v>
      </c>
      <c r="I214" s="151" t="str">
        <f t="shared" si="17"/>
        <v/>
      </c>
      <c r="J214" s="150">
        <f t="shared" si="18"/>
        <v>-6</v>
      </c>
      <c r="K214" s="150">
        <f t="shared" si="15"/>
        <v>-60</v>
      </c>
      <c r="L214" s="150"/>
      <c r="M214" s="152">
        <f t="shared" si="16"/>
        <v>0</v>
      </c>
    </row>
    <row r="215" spans="1:13" x14ac:dyDescent="0.25">
      <c r="A215" s="166"/>
      <c r="G215" s="136"/>
      <c r="H215" s="150">
        <v>210</v>
      </c>
      <c r="I215" s="151" t="str">
        <f t="shared" si="17"/>
        <v/>
      </c>
      <c r="J215" s="150">
        <f t="shared" si="18"/>
        <v>-6</v>
      </c>
      <c r="K215" s="150">
        <f t="shared" si="15"/>
        <v>-60</v>
      </c>
      <c r="L215" s="150"/>
      <c r="M215" s="152">
        <f t="shared" si="16"/>
        <v>0</v>
      </c>
    </row>
    <row r="216" spans="1:13" x14ac:dyDescent="0.25">
      <c r="A216" s="166"/>
      <c r="G216" s="136"/>
      <c r="H216" s="150">
        <v>211</v>
      </c>
      <c r="I216" s="151" t="str">
        <f t="shared" si="17"/>
        <v/>
      </c>
      <c r="J216" s="150">
        <f t="shared" si="18"/>
        <v>-6</v>
      </c>
      <c r="K216" s="150">
        <f t="shared" si="15"/>
        <v>-60</v>
      </c>
      <c r="L216" s="150"/>
      <c r="M216" s="152">
        <f t="shared" si="16"/>
        <v>0</v>
      </c>
    </row>
    <row r="217" spans="1:13" x14ac:dyDescent="0.25">
      <c r="A217" s="166"/>
      <c r="G217" s="136"/>
      <c r="H217" s="150">
        <v>212</v>
      </c>
      <c r="I217" s="151" t="str">
        <f t="shared" si="17"/>
        <v/>
      </c>
      <c r="J217" s="150">
        <f t="shared" si="18"/>
        <v>-6</v>
      </c>
      <c r="K217" s="150">
        <f t="shared" si="15"/>
        <v>-60</v>
      </c>
      <c r="L217" s="150"/>
      <c r="M217" s="152">
        <f t="shared" si="16"/>
        <v>0</v>
      </c>
    </row>
    <row r="218" spans="1:13" x14ac:dyDescent="0.25">
      <c r="A218" s="166"/>
      <c r="G218" s="136"/>
      <c r="H218" s="150">
        <v>213</v>
      </c>
      <c r="I218" s="151" t="str">
        <f t="shared" si="17"/>
        <v/>
      </c>
      <c r="J218" s="150">
        <f t="shared" si="18"/>
        <v>-6</v>
      </c>
      <c r="K218" s="150">
        <f t="shared" si="15"/>
        <v>-60</v>
      </c>
      <c r="L218" s="150"/>
      <c r="M218" s="152">
        <f t="shared" si="16"/>
        <v>0</v>
      </c>
    </row>
    <row r="219" spans="1:13" x14ac:dyDescent="0.25">
      <c r="A219" s="166"/>
      <c r="G219" s="136"/>
      <c r="H219" s="150">
        <v>214</v>
      </c>
      <c r="I219" s="151" t="str">
        <f t="shared" si="17"/>
        <v/>
      </c>
      <c r="J219" s="150">
        <f t="shared" si="18"/>
        <v>-6</v>
      </c>
      <c r="K219" s="150">
        <f t="shared" si="15"/>
        <v>-60</v>
      </c>
      <c r="L219" s="150"/>
      <c r="M219" s="152">
        <f t="shared" si="16"/>
        <v>0</v>
      </c>
    </row>
    <row r="220" spans="1:13" x14ac:dyDescent="0.25">
      <c r="A220" s="166"/>
      <c r="G220" s="136"/>
      <c r="H220" s="150">
        <v>215</v>
      </c>
      <c r="I220" s="151" t="str">
        <f t="shared" si="17"/>
        <v/>
      </c>
      <c r="J220" s="150">
        <f t="shared" si="18"/>
        <v>-6</v>
      </c>
      <c r="K220" s="150">
        <f t="shared" si="15"/>
        <v>-60</v>
      </c>
      <c r="L220" s="150"/>
      <c r="M220" s="152">
        <f t="shared" si="16"/>
        <v>0</v>
      </c>
    </row>
    <row r="221" spans="1:13" x14ac:dyDescent="0.25">
      <c r="A221" s="166"/>
      <c r="G221" s="136"/>
      <c r="H221" s="150">
        <v>216</v>
      </c>
      <c r="I221" s="151" t="str">
        <f t="shared" si="17"/>
        <v/>
      </c>
      <c r="J221" s="150">
        <f t="shared" si="18"/>
        <v>-6</v>
      </c>
      <c r="K221" s="150">
        <f t="shared" si="15"/>
        <v>-60</v>
      </c>
      <c r="L221" s="150"/>
      <c r="M221" s="152">
        <f t="shared" si="16"/>
        <v>0</v>
      </c>
    </row>
    <row r="222" spans="1:13" x14ac:dyDescent="0.25">
      <c r="A222" s="166"/>
      <c r="G222" s="136"/>
      <c r="H222" s="150">
        <v>217</v>
      </c>
      <c r="I222" s="151" t="str">
        <f t="shared" si="17"/>
        <v/>
      </c>
      <c r="J222" s="150">
        <f t="shared" si="18"/>
        <v>-6</v>
      </c>
      <c r="K222" s="150">
        <f t="shared" si="15"/>
        <v>-60</v>
      </c>
      <c r="L222" s="150"/>
      <c r="M222" s="152">
        <f t="shared" si="16"/>
        <v>0</v>
      </c>
    </row>
    <row r="223" spans="1:13" x14ac:dyDescent="0.25">
      <c r="A223" s="166"/>
      <c r="G223" s="136"/>
      <c r="H223" s="150">
        <v>218</v>
      </c>
      <c r="I223" s="151" t="str">
        <f t="shared" si="17"/>
        <v/>
      </c>
      <c r="J223" s="150">
        <f t="shared" si="18"/>
        <v>-6</v>
      </c>
      <c r="K223" s="150">
        <f t="shared" si="15"/>
        <v>-60</v>
      </c>
      <c r="L223" s="150"/>
      <c r="M223" s="152">
        <f t="shared" si="16"/>
        <v>0</v>
      </c>
    </row>
    <row r="224" spans="1:13" x14ac:dyDescent="0.25">
      <c r="A224" s="166"/>
      <c r="G224" s="136"/>
      <c r="H224" s="150">
        <v>219</v>
      </c>
      <c r="I224" s="151" t="str">
        <f t="shared" si="17"/>
        <v/>
      </c>
      <c r="J224" s="150">
        <f t="shared" si="18"/>
        <v>-6</v>
      </c>
      <c r="K224" s="150">
        <f t="shared" si="15"/>
        <v>-60</v>
      </c>
      <c r="L224" s="150"/>
      <c r="M224" s="152">
        <f t="shared" si="16"/>
        <v>0</v>
      </c>
    </row>
    <row r="225" spans="1:13" x14ac:dyDescent="0.25">
      <c r="A225" s="166"/>
      <c r="G225" s="136"/>
      <c r="H225" s="150">
        <v>220</v>
      </c>
      <c r="I225" s="151" t="str">
        <f t="shared" si="17"/>
        <v/>
      </c>
      <c r="J225" s="150">
        <f t="shared" si="18"/>
        <v>-6</v>
      </c>
      <c r="K225" s="150">
        <f t="shared" si="15"/>
        <v>-60</v>
      </c>
      <c r="L225" s="150"/>
      <c r="M225" s="152">
        <f t="shared" si="16"/>
        <v>0</v>
      </c>
    </row>
    <row r="226" spans="1:13" x14ac:dyDescent="0.25">
      <c r="A226" s="166"/>
      <c r="G226" s="136"/>
      <c r="H226" s="150">
        <v>221</v>
      </c>
      <c r="I226" s="151" t="str">
        <f t="shared" si="17"/>
        <v/>
      </c>
      <c r="J226" s="150">
        <f t="shared" si="18"/>
        <v>-6</v>
      </c>
      <c r="K226" s="150">
        <f t="shared" si="15"/>
        <v>-60</v>
      </c>
      <c r="L226" s="150"/>
      <c r="M226" s="152">
        <f t="shared" si="16"/>
        <v>0</v>
      </c>
    </row>
    <row r="227" spans="1:13" x14ac:dyDescent="0.25">
      <c r="A227" s="166"/>
      <c r="G227" s="136"/>
      <c r="H227" s="150">
        <v>222</v>
      </c>
      <c r="I227" s="151" t="str">
        <f t="shared" si="17"/>
        <v/>
      </c>
      <c r="J227" s="150">
        <f t="shared" si="18"/>
        <v>-6</v>
      </c>
      <c r="K227" s="150">
        <f t="shared" si="15"/>
        <v>-60</v>
      </c>
      <c r="L227" s="150"/>
      <c r="M227" s="152">
        <f t="shared" si="16"/>
        <v>0</v>
      </c>
    </row>
    <row r="228" spans="1:13" x14ac:dyDescent="0.25">
      <c r="A228" s="166"/>
      <c r="G228" s="136"/>
      <c r="H228" s="150">
        <v>223</v>
      </c>
      <c r="I228" s="151" t="str">
        <f t="shared" si="17"/>
        <v/>
      </c>
      <c r="J228" s="150">
        <f t="shared" si="18"/>
        <v>-6</v>
      </c>
      <c r="K228" s="150">
        <f t="shared" si="15"/>
        <v>-60</v>
      </c>
      <c r="L228" s="150"/>
      <c r="M228" s="152">
        <f t="shared" si="16"/>
        <v>0</v>
      </c>
    </row>
    <row r="229" spans="1:13" x14ac:dyDescent="0.25">
      <c r="A229" s="166"/>
      <c r="G229" s="136"/>
      <c r="H229" s="150">
        <v>224</v>
      </c>
      <c r="I229" s="151" t="str">
        <f t="shared" si="17"/>
        <v/>
      </c>
      <c r="J229" s="150">
        <f t="shared" si="18"/>
        <v>-6</v>
      </c>
      <c r="K229" s="150">
        <f t="shared" si="15"/>
        <v>-60</v>
      </c>
      <c r="L229" s="150"/>
      <c r="M229" s="152">
        <f t="shared" si="16"/>
        <v>0</v>
      </c>
    </row>
    <row r="230" spans="1:13" x14ac:dyDescent="0.25">
      <c r="A230" s="166"/>
      <c r="G230" s="136"/>
      <c r="H230" s="150">
        <v>225</v>
      </c>
      <c r="I230" s="151" t="str">
        <f t="shared" si="17"/>
        <v/>
      </c>
      <c r="J230" s="150">
        <f t="shared" si="18"/>
        <v>-6</v>
      </c>
      <c r="K230" s="150">
        <f t="shared" si="15"/>
        <v>-60</v>
      </c>
      <c r="L230" s="150"/>
      <c r="M230" s="152">
        <f t="shared" si="16"/>
        <v>0</v>
      </c>
    </row>
    <row r="231" spans="1:13" x14ac:dyDescent="0.25">
      <c r="A231" s="166"/>
      <c r="G231" s="136"/>
      <c r="H231" s="150">
        <v>226</v>
      </c>
      <c r="I231" s="151" t="str">
        <f t="shared" si="17"/>
        <v/>
      </c>
      <c r="J231" s="150">
        <f t="shared" si="18"/>
        <v>-6</v>
      </c>
      <c r="K231" s="150">
        <f t="shared" si="15"/>
        <v>-60</v>
      </c>
      <c r="L231" s="150"/>
      <c r="M231" s="152">
        <f t="shared" si="16"/>
        <v>0</v>
      </c>
    </row>
    <row r="232" spans="1:13" x14ac:dyDescent="0.25">
      <c r="A232" s="166"/>
      <c r="G232" s="136"/>
      <c r="H232" s="150">
        <v>227</v>
      </c>
      <c r="I232" s="151" t="str">
        <f t="shared" si="17"/>
        <v/>
      </c>
      <c r="J232" s="150">
        <f t="shared" si="18"/>
        <v>-6</v>
      </c>
      <c r="K232" s="150">
        <f t="shared" si="15"/>
        <v>-60</v>
      </c>
      <c r="L232" s="150"/>
      <c r="M232" s="152">
        <f t="shared" si="16"/>
        <v>0</v>
      </c>
    </row>
    <row r="233" spans="1:13" x14ac:dyDescent="0.25">
      <c r="A233" s="166"/>
      <c r="G233" s="136"/>
      <c r="H233" s="150">
        <v>228</v>
      </c>
      <c r="I233" s="151" t="str">
        <f t="shared" si="17"/>
        <v/>
      </c>
      <c r="J233" s="150">
        <f t="shared" si="18"/>
        <v>-6</v>
      </c>
      <c r="K233" s="150">
        <f t="shared" si="15"/>
        <v>-60</v>
      </c>
      <c r="L233" s="150"/>
      <c r="M233" s="152">
        <f t="shared" si="16"/>
        <v>0</v>
      </c>
    </row>
    <row r="234" spans="1:13" x14ac:dyDescent="0.25">
      <c r="A234" s="166"/>
      <c r="G234" s="136"/>
      <c r="H234" s="150">
        <v>229</v>
      </c>
      <c r="I234" s="151" t="str">
        <f t="shared" si="17"/>
        <v/>
      </c>
      <c r="J234" s="150">
        <f t="shared" si="18"/>
        <v>-6</v>
      </c>
      <c r="K234" s="150">
        <f t="shared" si="15"/>
        <v>-60</v>
      </c>
      <c r="L234" s="150"/>
      <c r="M234" s="152">
        <f t="shared" si="16"/>
        <v>0</v>
      </c>
    </row>
    <row r="235" spans="1:13" x14ac:dyDescent="0.25">
      <c r="A235" s="166"/>
      <c r="G235" s="136"/>
      <c r="H235" s="150">
        <v>230</v>
      </c>
      <c r="I235" s="151" t="str">
        <f t="shared" si="17"/>
        <v/>
      </c>
      <c r="J235" s="150">
        <f t="shared" si="18"/>
        <v>-6</v>
      </c>
      <c r="K235" s="150">
        <f t="shared" si="15"/>
        <v>-60</v>
      </c>
      <c r="L235" s="150"/>
      <c r="M235" s="152">
        <f t="shared" si="16"/>
        <v>0</v>
      </c>
    </row>
    <row r="236" spans="1:13" x14ac:dyDescent="0.25">
      <c r="A236" s="166"/>
      <c r="G236" s="136"/>
      <c r="H236" s="150">
        <v>231</v>
      </c>
      <c r="I236" s="151" t="str">
        <f t="shared" si="17"/>
        <v/>
      </c>
      <c r="J236" s="150">
        <f t="shared" si="18"/>
        <v>-6</v>
      </c>
      <c r="K236" s="150">
        <f t="shared" si="15"/>
        <v>-60</v>
      </c>
      <c r="L236" s="150"/>
      <c r="M236" s="152">
        <f t="shared" si="16"/>
        <v>0</v>
      </c>
    </row>
    <row r="237" spans="1:13" x14ac:dyDescent="0.25">
      <c r="A237" s="166"/>
      <c r="G237" s="136"/>
      <c r="H237" s="150">
        <v>232</v>
      </c>
      <c r="I237" s="151" t="str">
        <f t="shared" si="17"/>
        <v/>
      </c>
      <c r="J237" s="150">
        <f t="shared" si="18"/>
        <v>-6</v>
      </c>
      <c r="K237" s="150">
        <f t="shared" si="15"/>
        <v>-60</v>
      </c>
      <c r="L237" s="150"/>
      <c r="M237" s="152">
        <f t="shared" si="16"/>
        <v>0</v>
      </c>
    </row>
    <row r="238" spans="1:13" x14ac:dyDescent="0.25">
      <c r="A238" s="166"/>
      <c r="G238" s="136"/>
      <c r="H238" s="150">
        <v>233</v>
      </c>
      <c r="I238" s="151" t="str">
        <f t="shared" si="17"/>
        <v/>
      </c>
      <c r="J238" s="150">
        <f t="shared" si="18"/>
        <v>-6</v>
      </c>
      <c r="K238" s="150">
        <f t="shared" si="15"/>
        <v>-60</v>
      </c>
      <c r="L238" s="150"/>
      <c r="M238" s="152">
        <f t="shared" si="16"/>
        <v>0</v>
      </c>
    </row>
    <row r="239" spans="1:13" x14ac:dyDescent="0.25">
      <c r="A239" s="166"/>
      <c r="G239" s="136"/>
      <c r="H239" s="150">
        <v>234</v>
      </c>
      <c r="I239" s="151" t="str">
        <f t="shared" si="17"/>
        <v/>
      </c>
      <c r="J239" s="150">
        <f t="shared" si="18"/>
        <v>-6</v>
      </c>
      <c r="K239" s="150">
        <f t="shared" si="15"/>
        <v>-60</v>
      </c>
      <c r="L239" s="150"/>
      <c r="M239" s="152">
        <f t="shared" si="16"/>
        <v>0</v>
      </c>
    </row>
    <row r="240" spans="1:13" x14ac:dyDescent="0.25">
      <c r="A240" s="166"/>
      <c r="G240" s="136"/>
      <c r="H240" s="150">
        <v>235</v>
      </c>
      <c r="I240" s="151" t="str">
        <f t="shared" si="17"/>
        <v/>
      </c>
      <c r="J240" s="150">
        <f t="shared" si="18"/>
        <v>-6</v>
      </c>
      <c r="K240" s="150">
        <f t="shared" si="15"/>
        <v>-60</v>
      </c>
      <c r="L240" s="150"/>
      <c r="M240" s="152">
        <f t="shared" si="16"/>
        <v>0</v>
      </c>
    </row>
    <row r="241" spans="1:13" x14ac:dyDescent="0.25">
      <c r="A241" s="166"/>
      <c r="G241" s="136"/>
      <c r="H241" s="150">
        <v>236</v>
      </c>
      <c r="I241" s="151" t="str">
        <f t="shared" si="17"/>
        <v/>
      </c>
      <c r="J241" s="150">
        <f t="shared" si="18"/>
        <v>-6</v>
      </c>
      <c r="K241" s="150">
        <f t="shared" si="15"/>
        <v>-60</v>
      </c>
      <c r="L241" s="150"/>
      <c r="M241" s="152">
        <f t="shared" si="16"/>
        <v>0</v>
      </c>
    </row>
    <row r="242" spans="1:13" x14ac:dyDescent="0.25">
      <c r="A242" s="166"/>
      <c r="G242" s="136"/>
      <c r="H242" s="150">
        <v>237</v>
      </c>
      <c r="I242" s="151" t="str">
        <f t="shared" si="17"/>
        <v/>
      </c>
      <c r="J242" s="150">
        <f t="shared" si="18"/>
        <v>-6</v>
      </c>
      <c r="K242" s="150">
        <f t="shared" si="15"/>
        <v>-60</v>
      </c>
      <c r="L242" s="150"/>
      <c r="M242" s="152">
        <f t="shared" si="16"/>
        <v>0</v>
      </c>
    </row>
    <row r="243" spans="1:13" x14ac:dyDescent="0.25">
      <c r="A243" s="166"/>
      <c r="G243" s="136"/>
      <c r="H243" s="150">
        <v>238</v>
      </c>
      <c r="I243" s="151" t="str">
        <f t="shared" si="17"/>
        <v/>
      </c>
      <c r="J243" s="150">
        <f t="shared" si="18"/>
        <v>-6</v>
      </c>
      <c r="K243" s="150">
        <f t="shared" si="15"/>
        <v>-60</v>
      </c>
      <c r="L243" s="150"/>
      <c r="M243" s="152">
        <f t="shared" si="16"/>
        <v>0</v>
      </c>
    </row>
    <row r="244" spans="1:13" x14ac:dyDescent="0.25">
      <c r="A244" s="166"/>
      <c r="G244" s="136"/>
      <c r="H244" s="150">
        <v>239</v>
      </c>
      <c r="I244" s="151" t="str">
        <f t="shared" si="17"/>
        <v/>
      </c>
      <c r="J244" s="150">
        <f t="shared" si="18"/>
        <v>-6</v>
      </c>
      <c r="K244" s="150">
        <f t="shared" si="15"/>
        <v>-60</v>
      </c>
      <c r="L244" s="150"/>
      <c r="M244" s="152">
        <f t="shared" si="16"/>
        <v>0</v>
      </c>
    </row>
    <row r="245" spans="1:13" x14ac:dyDescent="0.25">
      <c r="A245" s="166"/>
      <c r="G245" s="136"/>
      <c r="H245" s="150">
        <v>240</v>
      </c>
      <c r="I245" s="151" t="str">
        <f t="shared" si="17"/>
        <v/>
      </c>
      <c r="J245" s="150">
        <f t="shared" si="18"/>
        <v>-6</v>
      </c>
      <c r="K245" s="150">
        <f t="shared" si="15"/>
        <v>-60</v>
      </c>
      <c r="L245" s="150"/>
      <c r="M245" s="152">
        <f t="shared" si="16"/>
        <v>0</v>
      </c>
    </row>
    <row r="246" spans="1:13" x14ac:dyDescent="0.25">
      <c r="A246" s="166"/>
      <c r="G246" s="136"/>
      <c r="H246" s="150">
        <v>241</v>
      </c>
      <c r="I246" s="151" t="str">
        <f t="shared" si="17"/>
        <v/>
      </c>
      <c r="J246" s="150">
        <f t="shared" si="18"/>
        <v>-6</v>
      </c>
      <c r="K246" s="150">
        <f t="shared" si="15"/>
        <v>-60</v>
      </c>
      <c r="L246" s="150"/>
      <c r="M246" s="152">
        <f t="shared" si="16"/>
        <v>0</v>
      </c>
    </row>
    <row r="247" spans="1:13" x14ac:dyDescent="0.25">
      <c r="A247" s="166"/>
      <c r="G247" s="136"/>
      <c r="H247" s="150">
        <v>242</v>
      </c>
      <c r="I247" s="151" t="str">
        <f t="shared" si="17"/>
        <v/>
      </c>
      <c r="J247" s="150">
        <f t="shared" si="18"/>
        <v>-6</v>
      </c>
      <c r="K247" s="150">
        <f t="shared" si="15"/>
        <v>-60</v>
      </c>
      <c r="L247" s="150"/>
      <c r="M247" s="152">
        <f t="shared" si="16"/>
        <v>0</v>
      </c>
    </row>
    <row r="248" spans="1:13" x14ac:dyDescent="0.25">
      <c r="A248" s="166"/>
      <c r="G248" s="136"/>
      <c r="H248" s="150">
        <v>243</v>
      </c>
      <c r="I248" s="151" t="str">
        <f t="shared" si="17"/>
        <v/>
      </c>
      <c r="J248" s="150">
        <f t="shared" si="18"/>
        <v>-6</v>
      </c>
      <c r="K248" s="150">
        <f t="shared" si="15"/>
        <v>-60</v>
      </c>
      <c r="L248" s="150"/>
      <c r="M248" s="152">
        <f t="shared" si="16"/>
        <v>0</v>
      </c>
    </row>
    <row r="249" spans="1:13" x14ac:dyDescent="0.25">
      <c r="A249" s="166"/>
      <c r="G249" s="136"/>
      <c r="H249" s="150">
        <v>244</v>
      </c>
      <c r="I249" s="151" t="str">
        <f t="shared" si="17"/>
        <v/>
      </c>
      <c r="J249" s="150">
        <f t="shared" si="18"/>
        <v>-6</v>
      </c>
      <c r="K249" s="150">
        <f t="shared" si="15"/>
        <v>-60</v>
      </c>
      <c r="L249" s="150"/>
      <c r="M249" s="152">
        <f t="shared" si="16"/>
        <v>0</v>
      </c>
    </row>
    <row r="250" spans="1:13" x14ac:dyDescent="0.25">
      <c r="A250" s="166"/>
      <c r="G250" s="136"/>
      <c r="H250" s="150">
        <v>245</v>
      </c>
      <c r="I250" s="151" t="str">
        <f t="shared" si="17"/>
        <v/>
      </c>
      <c r="J250" s="150">
        <f t="shared" si="18"/>
        <v>-6</v>
      </c>
      <c r="K250" s="150">
        <f t="shared" si="15"/>
        <v>-60</v>
      </c>
      <c r="L250" s="150"/>
      <c r="M250" s="152">
        <f t="shared" si="16"/>
        <v>0</v>
      </c>
    </row>
    <row r="251" spans="1:13" x14ac:dyDescent="0.25">
      <c r="A251" s="166"/>
      <c r="G251" s="136"/>
      <c r="H251" s="150">
        <v>246</v>
      </c>
      <c r="I251" s="151" t="str">
        <f t="shared" si="17"/>
        <v/>
      </c>
      <c r="J251" s="150">
        <f t="shared" si="18"/>
        <v>-6</v>
      </c>
      <c r="K251" s="150">
        <f t="shared" si="15"/>
        <v>-60</v>
      </c>
      <c r="L251" s="150"/>
      <c r="M251" s="152">
        <f t="shared" si="16"/>
        <v>0</v>
      </c>
    </row>
    <row r="252" spans="1:13" x14ac:dyDescent="0.25">
      <c r="A252" s="166"/>
      <c r="G252" s="136"/>
      <c r="H252" s="150">
        <v>247</v>
      </c>
      <c r="I252" s="151" t="str">
        <f t="shared" si="17"/>
        <v/>
      </c>
      <c r="J252" s="150">
        <f t="shared" si="18"/>
        <v>-6</v>
      </c>
      <c r="K252" s="150">
        <f t="shared" si="15"/>
        <v>-60</v>
      </c>
      <c r="L252" s="150"/>
      <c r="M252" s="152">
        <f t="shared" si="16"/>
        <v>0</v>
      </c>
    </row>
    <row r="253" spans="1:13" x14ac:dyDescent="0.25">
      <c r="A253" s="166"/>
      <c r="G253" s="136"/>
      <c r="H253" s="150">
        <v>248</v>
      </c>
      <c r="I253" s="151" t="str">
        <f t="shared" si="17"/>
        <v/>
      </c>
      <c r="J253" s="150">
        <f t="shared" si="18"/>
        <v>-6</v>
      </c>
      <c r="K253" s="150">
        <f t="shared" si="15"/>
        <v>-60</v>
      </c>
      <c r="L253" s="150"/>
      <c r="M253" s="152">
        <f t="shared" si="16"/>
        <v>0</v>
      </c>
    </row>
    <row r="254" spans="1:13" x14ac:dyDescent="0.25">
      <c r="A254" s="166"/>
      <c r="G254" s="136"/>
      <c r="H254" s="150">
        <v>249</v>
      </c>
      <c r="I254" s="151" t="str">
        <f t="shared" si="17"/>
        <v/>
      </c>
      <c r="J254" s="150">
        <f t="shared" si="18"/>
        <v>-6</v>
      </c>
      <c r="K254" s="150">
        <f t="shared" si="15"/>
        <v>-60</v>
      </c>
      <c r="L254" s="150"/>
      <c r="M254" s="152">
        <f t="shared" si="16"/>
        <v>0</v>
      </c>
    </row>
    <row r="255" spans="1:13" x14ac:dyDescent="0.25">
      <c r="A255" s="166"/>
      <c r="G255" s="136"/>
      <c r="H255" s="150">
        <v>250</v>
      </c>
      <c r="I255" s="151" t="str">
        <f t="shared" si="17"/>
        <v/>
      </c>
      <c r="J255" s="150">
        <f t="shared" si="18"/>
        <v>-6</v>
      </c>
      <c r="K255" s="150">
        <f t="shared" si="15"/>
        <v>-60</v>
      </c>
      <c r="L255" s="150"/>
      <c r="M255" s="152">
        <f t="shared" si="16"/>
        <v>0</v>
      </c>
    </row>
    <row r="256" spans="1:13" x14ac:dyDescent="0.25">
      <c r="A256" s="166"/>
      <c r="G256" s="136"/>
      <c r="H256" s="150">
        <v>251</v>
      </c>
      <c r="I256" s="151" t="str">
        <f t="shared" si="17"/>
        <v/>
      </c>
      <c r="J256" s="150">
        <f t="shared" si="18"/>
        <v>-6</v>
      </c>
      <c r="K256" s="150">
        <f t="shared" si="15"/>
        <v>-60</v>
      </c>
      <c r="L256" s="150"/>
      <c r="M256" s="152">
        <f t="shared" si="16"/>
        <v>0</v>
      </c>
    </row>
    <row r="257" spans="1:13" x14ac:dyDescent="0.25">
      <c r="A257" s="166"/>
      <c r="G257" s="136"/>
      <c r="H257" s="150">
        <v>252</v>
      </c>
      <c r="I257" s="151" t="str">
        <f t="shared" si="17"/>
        <v/>
      </c>
      <c r="J257" s="150">
        <f t="shared" si="18"/>
        <v>-6</v>
      </c>
      <c r="K257" s="150">
        <f t="shared" si="15"/>
        <v>-60</v>
      </c>
      <c r="L257" s="150"/>
      <c r="M257" s="152">
        <f t="shared" si="16"/>
        <v>0</v>
      </c>
    </row>
    <row r="258" spans="1:13" x14ac:dyDescent="0.25">
      <c r="A258" s="166"/>
      <c r="G258" s="136"/>
      <c r="H258" s="150">
        <v>253</v>
      </c>
      <c r="I258" s="151" t="str">
        <f t="shared" si="17"/>
        <v/>
      </c>
      <c r="J258" s="150">
        <f t="shared" si="18"/>
        <v>-6</v>
      </c>
      <c r="K258" s="150">
        <f t="shared" si="15"/>
        <v>-60</v>
      </c>
      <c r="L258" s="150"/>
      <c r="M258" s="152">
        <f t="shared" si="16"/>
        <v>0</v>
      </c>
    </row>
    <row r="259" spans="1:13" x14ac:dyDescent="0.25">
      <c r="A259" s="166"/>
      <c r="G259" s="136"/>
      <c r="H259" s="150">
        <v>254</v>
      </c>
      <c r="I259" s="151" t="str">
        <f t="shared" si="17"/>
        <v/>
      </c>
      <c r="J259" s="150">
        <f t="shared" si="18"/>
        <v>-6</v>
      </c>
      <c r="K259" s="150">
        <f t="shared" si="15"/>
        <v>-60</v>
      </c>
      <c r="L259" s="150"/>
      <c r="M259" s="152">
        <f t="shared" si="16"/>
        <v>0</v>
      </c>
    </row>
    <row r="260" spans="1:13" x14ac:dyDescent="0.25">
      <c r="A260" s="166"/>
      <c r="G260" s="136"/>
      <c r="H260" s="150">
        <v>255</v>
      </c>
      <c r="I260" s="151" t="str">
        <f t="shared" si="17"/>
        <v/>
      </c>
      <c r="J260" s="150">
        <f t="shared" si="18"/>
        <v>-6</v>
      </c>
      <c r="K260" s="150">
        <f t="shared" si="15"/>
        <v>-60</v>
      </c>
      <c r="L260" s="150"/>
      <c r="M260" s="152">
        <f t="shared" si="16"/>
        <v>0</v>
      </c>
    </row>
    <row r="261" spans="1:13" x14ac:dyDescent="0.25">
      <c r="A261" s="166"/>
      <c r="G261" s="136"/>
      <c r="H261" s="150">
        <v>256</v>
      </c>
      <c r="I261" s="151" t="str">
        <f t="shared" si="17"/>
        <v/>
      </c>
      <c r="J261" s="150">
        <f t="shared" si="18"/>
        <v>-6</v>
      </c>
      <c r="K261" s="150">
        <f t="shared" si="15"/>
        <v>-60</v>
      </c>
      <c r="L261" s="150"/>
      <c r="M261" s="152">
        <f t="shared" si="16"/>
        <v>0</v>
      </c>
    </row>
    <row r="262" spans="1:13" x14ac:dyDescent="0.25">
      <c r="A262" s="166"/>
      <c r="G262" s="136"/>
      <c r="H262" s="150">
        <v>257</v>
      </c>
      <c r="I262" s="151" t="str">
        <f t="shared" si="17"/>
        <v/>
      </c>
      <c r="J262" s="150">
        <f t="shared" si="18"/>
        <v>-7</v>
      </c>
      <c r="K262" s="150">
        <f t="shared" ref="K262:K305" si="19">J262*$J$2</f>
        <v>-70</v>
      </c>
      <c r="L262" s="150"/>
      <c r="M262" s="152">
        <f t="shared" ref="M262:M305" si="20">IF(I262&lt;&gt;"",K262+I262+L262,0)</f>
        <v>0</v>
      </c>
    </row>
    <row r="263" spans="1:13" x14ac:dyDescent="0.25">
      <c r="A263" s="166"/>
      <c r="G263" s="136"/>
      <c r="H263" s="150">
        <v>258</v>
      </c>
      <c r="I263" s="151" t="str">
        <f t="shared" ref="I263:I305" si="21">IF(H263&lt;$H$2+1,($I$2-($I$2-1)*(LOG(H263)/LOG($H$2))),"")</f>
        <v/>
      </c>
      <c r="J263" s="150">
        <f t="shared" ref="J263:J305" si="22">INT(LOG($H$2,2))-ROUNDUP(LOG(H263,2),0)+IF(OR($H$2=1,$H$2=2,$H$2=4,$H$2=8,$H$2=16,$H$2=32,$H$2=64,$H$2=128,$H$2=256),0,1)</f>
        <v>-7</v>
      </c>
      <c r="K263" s="150">
        <f t="shared" si="19"/>
        <v>-70</v>
      </c>
      <c r="L263" s="150"/>
      <c r="M263" s="152">
        <f t="shared" si="20"/>
        <v>0</v>
      </c>
    </row>
    <row r="264" spans="1:13" x14ac:dyDescent="0.25">
      <c r="A264" s="166"/>
      <c r="G264" s="136"/>
      <c r="H264" s="150">
        <v>259</v>
      </c>
      <c r="I264" s="151" t="str">
        <f t="shared" si="21"/>
        <v/>
      </c>
      <c r="J264" s="150">
        <f t="shared" si="22"/>
        <v>-7</v>
      </c>
      <c r="K264" s="150">
        <f t="shared" si="19"/>
        <v>-70</v>
      </c>
      <c r="L264" s="150"/>
      <c r="M264" s="152">
        <f t="shared" si="20"/>
        <v>0</v>
      </c>
    </row>
    <row r="265" spans="1:13" x14ac:dyDescent="0.25">
      <c r="A265" s="166"/>
      <c r="G265" s="136"/>
      <c r="H265" s="150">
        <v>260</v>
      </c>
      <c r="I265" s="151" t="str">
        <f t="shared" si="21"/>
        <v/>
      </c>
      <c r="J265" s="150">
        <f t="shared" si="22"/>
        <v>-7</v>
      </c>
      <c r="K265" s="150">
        <f t="shared" si="19"/>
        <v>-70</v>
      </c>
      <c r="L265" s="150"/>
      <c r="M265" s="152">
        <f t="shared" si="20"/>
        <v>0</v>
      </c>
    </row>
    <row r="266" spans="1:13" x14ac:dyDescent="0.25">
      <c r="A266" s="166"/>
      <c r="G266" s="136"/>
      <c r="H266" s="150">
        <v>261</v>
      </c>
      <c r="I266" s="151" t="str">
        <f t="shared" si="21"/>
        <v/>
      </c>
      <c r="J266" s="150">
        <f t="shared" si="22"/>
        <v>-7</v>
      </c>
      <c r="K266" s="150">
        <f t="shared" si="19"/>
        <v>-70</v>
      </c>
      <c r="L266" s="150"/>
      <c r="M266" s="152">
        <f t="shared" si="20"/>
        <v>0</v>
      </c>
    </row>
    <row r="267" spans="1:13" x14ac:dyDescent="0.25">
      <c r="A267" s="166"/>
      <c r="G267" s="136"/>
      <c r="H267" s="150">
        <v>262</v>
      </c>
      <c r="I267" s="151" t="str">
        <f t="shared" si="21"/>
        <v/>
      </c>
      <c r="J267" s="150">
        <f t="shared" si="22"/>
        <v>-7</v>
      </c>
      <c r="K267" s="150">
        <f t="shared" si="19"/>
        <v>-70</v>
      </c>
      <c r="L267" s="150"/>
      <c r="M267" s="152">
        <f t="shared" si="20"/>
        <v>0</v>
      </c>
    </row>
    <row r="268" spans="1:13" x14ac:dyDescent="0.25">
      <c r="A268" s="166"/>
      <c r="G268" s="136"/>
      <c r="H268" s="150">
        <v>263</v>
      </c>
      <c r="I268" s="151" t="str">
        <f t="shared" si="21"/>
        <v/>
      </c>
      <c r="J268" s="150">
        <f t="shared" si="22"/>
        <v>-7</v>
      </c>
      <c r="K268" s="150">
        <f t="shared" si="19"/>
        <v>-70</v>
      </c>
      <c r="L268" s="150"/>
      <c r="M268" s="152">
        <f t="shared" si="20"/>
        <v>0</v>
      </c>
    </row>
    <row r="269" spans="1:13" x14ac:dyDescent="0.25">
      <c r="A269" s="166"/>
      <c r="G269" s="136"/>
      <c r="H269" s="150">
        <v>264</v>
      </c>
      <c r="I269" s="151" t="str">
        <f t="shared" si="21"/>
        <v/>
      </c>
      <c r="J269" s="150">
        <f t="shared" si="22"/>
        <v>-7</v>
      </c>
      <c r="K269" s="150">
        <f t="shared" si="19"/>
        <v>-70</v>
      </c>
      <c r="L269" s="150"/>
      <c r="M269" s="152">
        <f t="shared" si="20"/>
        <v>0</v>
      </c>
    </row>
    <row r="270" spans="1:13" x14ac:dyDescent="0.25">
      <c r="A270" s="166"/>
      <c r="G270" s="136"/>
      <c r="H270" s="150">
        <v>265</v>
      </c>
      <c r="I270" s="151" t="str">
        <f t="shared" si="21"/>
        <v/>
      </c>
      <c r="J270" s="150">
        <f t="shared" si="22"/>
        <v>-7</v>
      </c>
      <c r="K270" s="150">
        <f t="shared" si="19"/>
        <v>-70</v>
      </c>
      <c r="L270" s="150"/>
      <c r="M270" s="152">
        <f t="shared" si="20"/>
        <v>0</v>
      </c>
    </row>
    <row r="271" spans="1:13" x14ac:dyDescent="0.25">
      <c r="A271" s="166"/>
      <c r="G271" s="136"/>
      <c r="H271" s="150">
        <v>266</v>
      </c>
      <c r="I271" s="151" t="str">
        <f t="shared" si="21"/>
        <v/>
      </c>
      <c r="J271" s="150">
        <f t="shared" si="22"/>
        <v>-7</v>
      </c>
      <c r="K271" s="150">
        <f t="shared" si="19"/>
        <v>-70</v>
      </c>
      <c r="L271" s="150"/>
      <c r="M271" s="152">
        <f t="shared" si="20"/>
        <v>0</v>
      </c>
    </row>
    <row r="272" spans="1:13" x14ac:dyDescent="0.25">
      <c r="A272" s="166"/>
      <c r="G272" s="136"/>
      <c r="H272" s="150">
        <v>267</v>
      </c>
      <c r="I272" s="151" t="str">
        <f t="shared" si="21"/>
        <v/>
      </c>
      <c r="J272" s="150">
        <f t="shared" si="22"/>
        <v>-7</v>
      </c>
      <c r="K272" s="150">
        <f t="shared" si="19"/>
        <v>-70</v>
      </c>
      <c r="L272" s="150"/>
      <c r="M272" s="152">
        <f t="shared" si="20"/>
        <v>0</v>
      </c>
    </row>
    <row r="273" spans="1:13" x14ac:dyDescent="0.25">
      <c r="A273" s="166"/>
      <c r="G273" s="136"/>
      <c r="H273" s="150">
        <v>268</v>
      </c>
      <c r="I273" s="151" t="str">
        <f t="shared" si="21"/>
        <v/>
      </c>
      <c r="J273" s="150">
        <f t="shared" si="22"/>
        <v>-7</v>
      </c>
      <c r="K273" s="150">
        <f t="shared" si="19"/>
        <v>-70</v>
      </c>
      <c r="L273" s="150"/>
      <c r="M273" s="152">
        <f t="shared" si="20"/>
        <v>0</v>
      </c>
    </row>
    <row r="274" spans="1:13" x14ac:dyDescent="0.25">
      <c r="A274" s="166"/>
      <c r="G274" s="136"/>
      <c r="H274" s="150">
        <v>269</v>
      </c>
      <c r="I274" s="151" t="str">
        <f t="shared" si="21"/>
        <v/>
      </c>
      <c r="J274" s="150">
        <f t="shared" si="22"/>
        <v>-7</v>
      </c>
      <c r="K274" s="150">
        <f t="shared" si="19"/>
        <v>-70</v>
      </c>
      <c r="L274" s="150"/>
      <c r="M274" s="152">
        <f t="shared" si="20"/>
        <v>0</v>
      </c>
    </row>
    <row r="275" spans="1:13" x14ac:dyDescent="0.25">
      <c r="A275" s="166"/>
      <c r="G275" s="136"/>
      <c r="H275" s="150">
        <v>270</v>
      </c>
      <c r="I275" s="151" t="str">
        <f t="shared" si="21"/>
        <v/>
      </c>
      <c r="J275" s="150">
        <f t="shared" si="22"/>
        <v>-7</v>
      </c>
      <c r="K275" s="150">
        <f t="shared" si="19"/>
        <v>-70</v>
      </c>
      <c r="L275" s="150"/>
      <c r="M275" s="152">
        <f t="shared" si="20"/>
        <v>0</v>
      </c>
    </row>
    <row r="276" spans="1:13" x14ac:dyDescent="0.25">
      <c r="A276" s="166"/>
      <c r="G276" s="136"/>
      <c r="H276" s="150">
        <v>271</v>
      </c>
      <c r="I276" s="151" t="str">
        <f t="shared" si="21"/>
        <v/>
      </c>
      <c r="J276" s="150">
        <f t="shared" si="22"/>
        <v>-7</v>
      </c>
      <c r="K276" s="150">
        <f t="shared" si="19"/>
        <v>-70</v>
      </c>
      <c r="L276" s="150"/>
      <c r="M276" s="152">
        <f t="shared" si="20"/>
        <v>0</v>
      </c>
    </row>
    <row r="277" spans="1:13" x14ac:dyDescent="0.25">
      <c r="A277" s="166"/>
      <c r="G277" s="136"/>
      <c r="H277" s="150">
        <v>272</v>
      </c>
      <c r="I277" s="151" t="str">
        <f t="shared" si="21"/>
        <v/>
      </c>
      <c r="J277" s="150">
        <f t="shared" si="22"/>
        <v>-7</v>
      </c>
      <c r="K277" s="150">
        <f t="shared" si="19"/>
        <v>-70</v>
      </c>
      <c r="L277" s="150"/>
      <c r="M277" s="152">
        <f t="shared" si="20"/>
        <v>0</v>
      </c>
    </row>
    <row r="278" spans="1:13" x14ac:dyDescent="0.25">
      <c r="A278" s="166"/>
      <c r="G278" s="136"/>
      <c r="H278" s="150">
        <v>273</v>
      </c>
      <c r="I278" s="151" t="str">
        <f t="shared" si="21"/>
        <v/>
      </c>
      <c r="J278" s="150">
        <f t="shared" si="22"/>
        <v>-7</v>
      </c>
      <c r="K278" s="150">
        <f t="shared" si="19"/>
        <v>-70</v>
      </c>
      <c r="L278" s="150"/>
      <c r="M278" s="152">
        <f t="shared" si="20"/>
        <v>0</v>
      </c>
    </row>
    <row r="279" spans="1:13" x14ac:dyDescent="0.25">
      <c r="A279" s="166"/>
      <c r="G279" s="136"/>
      <c r="H279" s="150">
        <v>274</v>
      </c>
      <c r="I279" s="151" t="str">
        <f t="shared" si="21"/>
        <v/>
      </c>
      <c r="J279" s="150">
        <f t="shared" si="22"/>
        <v>-7</v>
      </c>
      <c r="K279" s="150">
        <f t="shared" si="19"/>
        <v>-70</v>
      </c>
      <c r="L279" s="150"/>
      <c r="M279" s="152">
        <f t="shared" si="20"/>
        <v>0</v>
      </c>
    </row>
    <row r="280" spans="1:13" x14ac:dyDescent="0.25">
      <c r="A280" s="166"/>
      <c r="G280" s="136"/>
      <c r="H280" s="150">
        <v>275</v>
      </c>
      <c r="I280" s="151" t="str">
        <f t="shared" si="21"/>
        <v/>
      </c>
      <c r="J280" s="150">
        <f t="shared" si="22"/>
        <v>-7</v>
      </c>
      <c r="K280" s="150">
        <f t="shared" si="19"/>
        <v>-70</v>
      </c>
      <c r="L280" s="150"/>
      <c r="M280" s="152">
        <f t="shared" si="20"/>
        <v>0</v>
      </c>
    </row>
    <row r="281" spans="1:13" x14ac:dyDescent="0.25">
      <c r="A281" s="166"/>
      <c r="G281" s="136"/>
      <c r="H281" s="150">
        <v>276</v>
      </c>
      <c r="I281" s="151" t="str">
        <f t="shared" si="21"/>
        <v/>
      </c>
      <c r="J281" s="150">
        <f t="shared" si="22"/>
        <v>-7</v>
      </c>
      <c r="K281" s="150">
        <f t="shared" si="19"/>
        <v>-70</v>
      </c>
      <c r="L281" s="150"/>
      <c r="M281" s="152">
        <f t="shared" si="20"/>
        <v>0</v>
      </c>
    </row>
    <row r="282" spans="1:13" x14ac:dyDescent="0.25">
      <c r="A282" s="166"/>
      <c r="G282" s="136"/>
      <c r="H282" s="150">
        <v>277</v>
      </c>
      <c r="I282" s="151" t="str">
        <f t="shared" si="21"/>
        <v/>
      </c>
      <c r="J282" s="150">
        <f t="shared" si="22"/>
        <v>-7</v>
      </c>
      <c r="K282" s="150">
        <f t="shared" si="19"/>
        <v>-70</v>
      </c>
      <c r="L282" s="150"/>
      <c r="M282" s="152">
        <f t="shared" si="20"/>
        <v>0</v>
      </c>
    </row>
    <row r="283" spans="1:13" x14ac:dyDescent="0.25">
      <c r="A283" s="166"/>
      <c r="G283" s="136"/>
      <c r="H283" s="150">
        <v>278</v>
      </c>
      <c r="I283" s="151" t="str">
        <f t="shared" si="21"/>
        <v/>
      </c>
      <c r="J283" s="150">
        <f t="shared" si="22"/>
        <v>-7</v>
      </c>
      <c r="K283" s="150">
        <f t="shared" si="19"/>
        <v>-70</v>
      </c>
      <c r="L283" s="150"/>
      <c r="M283" s="152">
        <f t="shared" si="20"/>
        <v>0</v>
      </c>
    </row>
    <row r="284" spans="1:13" x14ac:dyDescent="0.25">
      <c r="A284" s="166"/>
      <c r="G284" s="136"/>
      <c r="H284" s="150">
        <v>279</v>
      </c>
      <c r="I284" s="151" t="str">
        <f t="shared" si="21"/>
        <v/>
      </c>
      <c r="J284" s="150">
        <f t="shared" si="22"/>
        <v>-7</v>
      </c>
      <c r="K284" s="150">
        <f t="shared" si="19"/>
        <v>-70</v>
      </c>
      <c r="L284" s="150"/>
      <c r="M284" s="152">
        <f t="shared" si="20"/>
        <v>0</v>
      </c>
    </row>
    <row r="285" spans="1:13" x14ac:dyDescent="0.25">
      <c r="A285" s="166"/>
      <c r="G285" s="136"/>
      <c r="H285" s="150">
        <v>280</v>
      </c>
      <c r="I285" s="151" t="str">
        <f t="shared" si="21"/>
        <v/>
      </c>
      <c r="J285" s="150">
        <f t="shared" si="22"/>
        <v>-7</v>
      </c>
      <c r="K285" s="150">
        <f t="shared" si="19"/>
        <v>-70</v>
      </c>
      <c r="L285" s="150"/>
      <c r="M285" s="152">
        <f t="shared" si="20"/>
        <v>0</v>
      </c>
    </row>
    <row r="286" spans="1:13" x14ac:dyDescent="0.25">
      <c r="A286" s="166"/>
      <c r="G286" s="136"/>
      <c r="H286" s="150">
        <v>281</v>
      </c>
      <c r="I286" s="151" t="str">
        <f t="shared" si="21"/>
        <v/>
      </c>
      <c r="J286" s="150">
        <f t="shared" si="22"/>
        <v>-7</v>
      </c>
      <c r="K286" s="150">
        <f t="shared" si="19"/>
        <v>-70</v>
      </c>
      <c r="L286" s="150"/>
      <c r="M286" s="152">
        <f t="shared" si="20"/>
        <v>0</v>
      </c>
    </row>
    <row r="287" spans="1:13" x14ac:dyDescent="0.25">
      <c r="A287" s="166"/>
      <c r="G287" s="136"/>
      <c r="H287" s="150">
        <v>282</v>
      </c>
      <c r="I287" s="151" t="str">
        <f t="shared" si="21"/>
        <v/>
      </c>
      <c r="J287" s="150">
        <f t="shared" si="22"/>
        <v>-7</v>
      </c>
      <c r="K287" s="150">
        <f t="shared" si="19"/>
        <v>-70</v>
      </c>
      <c r="L287" s="150"/>
      <c r="M287" s="152">
        <f t="shared" si="20"/>
        <v>0</v>
      </c>
    </row>
    <row r="288" spans="1:13" x14ac:dyDescent="0.25">
      <c r="A288" s="166"/>
      <c r="G288" s="136"/>
      <c r="H288" s="150">
        <v>283</v>
      </c>
      <c r="I288" s="151" t="str">
        <f t="shared" si="21"/>
        <v/>
      </c>
      <c r="J288" s="150">
        <f t="shared" si="22"/>
        <v>-7</v>
      </c>
      <c r="K288" s="150">
        <f t="shared" si="19"/>
        <v>-70</v>
      </c>
      <c r="L288" s="150"/>
      <c r="M288" s="152">
        <f t="shared" si="20"/>
        <v>0</v>
      </c>
    </row>
    <row r="289" spans="1:13" x14ac:dyDescent="0.25">
      <c r="A289" s="166"/>
      <c r="G289" s="136"/>
      <c r="H289" s="150">
        <v>284</v>
      </c>
      <c r="I289" s="151" t="str">
        <f t="shared" si="21"/>
        <v/>
      </c>
      <c r="J289" s="150">
        <f t="shared" si="22"/>
        <v>-7</v>
      </c>
      <c r="K289" s="150">
        <f t="shared" si="19"/>
        <v>-70</v>
      </c>
      <c r="L289" s="150"/>
      <c r="M289" s="152">
        <f t="shared" si="20"/>
        <v>0</v>
      </c>
    </row>
    <row r="290" spans="1:13" x14ac:dyDescent="0.25">
      <c r="A290" s="166"/>
      <c r="G290" s="136"/>
      <c r="H290" s="150">
        <v>285</v>
      </c>
      <c r="I290" s="151" t="str">
        <f t="shared" si="21"/>
        <v/>
      </c>
      <c r="J290" s="150">
        <f t="shared" si="22"/>
        <v>-7</v>
      </c>
      <c r="K290" s="150">
        <f t="shared" si="19"/>
        <v>-70</v>
      </c>
      <c r="L290" s="150"/>
      <c r="M290" s="152">
        <f t="shared" si="20"/>
        <v>0</v>
      </c>
    </row>
    <row r="291" spans="1:13" x14ac:dyDescent="0.25">
      <c r="A291" s="166"/>
      <c r="G291" s="136"/>
      <c r="H291" s="150">
        <v>286</v>
      </c>
      <c r="I291" s="151" t="str">
        <f t="shared" si="21"/>
        <v/>
      </c>
      <c r="J291" s="150">
        <f t="shared" si="22"/>
        <v>-7</v>
      </c>
      <c r="K291" s="150">
        <f t="shared" si="19"/>
        <v>-70</v>
      </c>
      <c r="L291" s="150"/>
      <c r="M291" s="152">
        <f t="shared" si="20"/>
        <v>0</v>
      </c>
    </row>
    <row r="292" spans="1:13" x14ac:dyDescent="0.25">
      <c r="A292" s="166"/>
      <c r="G292" s="136"/>
      <c r="H292" s="150">
        <v>287</v>
      </c>
      <c r="I292" s="151" t="str">
        <f t="shared" si="21"/>
        <v/>
      </c>
      <c r="J292" s="150">
        <f t="shared" si="22"/>
        <v>-7</v>
      </c>
      <c r="K292" s="150">
        <f t="shared" si="19"/>
        <v>-70</v>
      </c>
      <c r="L292" s="150"/>
      <c r="M292" s="152">
        <f t="shared" si="20"/>
        <v>0</v>
      </c>
    </row>
    <row r="293" spans="1:13" x14ac:dyDescent="0.25">
      <c r="A293" s="166"/>
      <c r="G293" s="136"/>
      <c r="H293" s="150">
        <v>288</v>
      </c>
      <c r="I293" s="151" t="str">
        <f t="shared" si="21"/>
        <v/>
      </c>
      <c r="J293" s="150">
        <f t="shared" si="22"/>
        <v>-7</v>
      </c>
      <c r="K293" s="150">
        <f t="shared" si="19"/>
        <v>-70</v>
      </c>
      <c r="L293" s="150"/>
      <c r="M293" s="152">
        <f t="shared" si="20"/>
        <v>0</v>
      </c>
    </row>
    <row r="294" spans="1:13" x14ac:dyDescent="0.25">
      <c r="A294" s="166"/>
      <c r="G294" s="136"/>
      <c r="H294" s="150">
        <v>289</v>
      </c>
      <c r="I294" s="151" t="str">
        <f t="shared" si="21"/>
        <v/>
      </c>
      <c r="J294" s="150">
        <f t="shared" si="22"/>
        <v>-7</v>
      </c>
      <c r="K294" s="150">
        <f t="shared" si="19"/>
        <v>-70</v>
      </c>
      <c r="L294" s="150"/>
      <c r="M294" s="152">
        <f t="shared" si="20"/>
        <v>0</v>
      </c>
    </row>
    <row r="295" spans="1:13" x14ac:dyDescent="0.25">
      <c r="A295" s="166"/>
      <c r="G295" s="136"/>
      <c r="H295" s="150">
        <v>290</v>
      </c>
      <c r="I295" s="151" t="str">
        <f t="shared" si="21"/>
        <v/>
      </c>
      <c r="J295" s="150">
        <f t="shared" si="22"/>
        <v>-7</v>
      </c>
      <c r="K295" s="150">
        <f t="shared" si="19"/>
        <v>-70</v>
      </c>
      <c r="L295" s="150"/>
      <c r="M295" s="152">
        <f t="shared" si="20"/>
        <v>0</v>
      </c>
    </row>
    <row r="296" spans="1:13" x14ac:dyDescent="0.25">
      <c r="A296" s="166"/>
      <c r="G296" s="136"/>
      <c r="H296" s="150">
        <v>291</v>
      </c>
      <c r="I296" s="151" t="str">
        <f t="shared" si="21"/>
        <v/>
      </c>
      <c r="J296" s="150">
        <f t="shared" si="22"/>
        <v>-7</v>
      </c>
      <c r="K296" s="150">
        <f t="shared" si="19"/>
        <v>-70</v>
      </c>
      <c r="L296" s="150"/>
      <c r="M296" s="152">
        <f t="shared" si="20"/>
        <v>0</v>
      </c>
    </row>
    <row r="297" spans="1:13" x14ac:dyDescent="0.25">
      <c r="A297" s="166"/>
      <c r="G297" s="136"/>
      <c r="H297" s="150">
        <v>292</v>
      </c>
      <c r="I297" s="151" t="str">
        <f t="shared" si="21"/>
        <v/>
      </c>
      <c r="J297" s="150">
        <f t="shared" si="22"/>
        <v>-7</v>
      </c>
      <c r="K297" s="150">
        <f t="shared" si="19"/>
        <v>-70</v>
      </c>
      <c r="L297" s="150"/>
      <c r="M297" s="152">
        <f t="shared" si="20"/>
        <v>0</v>
      </c>
    </row>
    <row r="298" spans="1:13" x14ac:dyDescent="0.25">
      <c r="A298" s="166"/>
      <c r="G298" s="136"/>
      <c r="H298" s="150">
        <v>293</v>
      </c>
      <c r="I298" s="151" t="str">
        <f t="shared" si="21"/>
        <v/>
      </c>
      <c r="J298" s="150">
        <f t="shared" si="22"/>
        <v>-7</v>
      </c>
      <c r="K298" s="150">
        <f t="shared" si="19"/>
        <v>-70</v>
      </c>
      <c r="L298" s="150"/>
      <c r="M298" s="152">
        <f t="shared" si="20"/>
        <v>0</v>
      </c>
    </row>
    <row r="299" spans="1:13" x14ac:dyDescent="0.25">
      <c r="A299" s="166"/>
      <c r="G299" s="136"/>
      <c r="H299" s="150">
        <v>294</v>
      </c>
      <c r="I299" s="151" t="str">
        <f t="shared" si="21"/>
        <v/>
      </c>
      <c r="J299" s="150">
        <f t="shared" si="22"/>
        <v>-7</v>
      </c>
      <c r="K299" s="150">
        <f t="shared" si="19"/>
        <v>-70</v>
      </c>
      <c r="L299" s="150"/>
      <c r="M299" s="152">
        <f t="shared" si="20"/>
        <v>0</v>
      </c>
    </row>
    <row r="300" spans="1:13" x14ac:dyDescent="0.25">
      <c r="A300" s="166"/>
      <c r="G300" s="136"/>
      <c r="H300" s="150">
        <v>295</v>
      </c>
      <c r="I300" s="151" t="str">
        <f t="shared" si="21"/>
        <v/>
      </c>
      <c r="J300" s="150">
        <f t="shared" si="22"/>
        <v>-7</v>
      </c>
      <c r="K300" s="150">
        <f t="shared" si="19"/>
        <v>-70</v>
      </c>
      <c r="L300" s="150"/>
      <c r="M300" s="152">
        <f t="shared" si="20"/>
        <v>0</v>
      </c>
    </row>
    <row r="301" spans="1:13" x14ac:dyDescent="0.25">
      <c r="A301" s="166"/>
      <c r="G301" s="136"/>
      <c r="H301" s="150">
        <v>296</v>
      </c>
      <c r="I301" s="151" t="str">
        <f t="shared" si="21"/>
        <v/>
      </c>
      <c r="J301" s="150">
        <f t="shared" si="22"/>
        <v>-7</v>
      </c>
      <c r="K301" s="150">
        <f t="shared" si="19"/>
        <v>-70</v>
      </c>
      <c r="L301" s="150"/>
      <c r="M301" s="152">
        <f t="shared" si="20"/>
        <v>0</v>
      </c>
    </row>
    <row r="302" spans="1:13" x14ac:dyDescent="0.25">
      <c r="A302" s="166"/>
      <c r="G302" s="136"/>
      <c r="H302" s="150">
        <v>297</v>
      </c>
      <c r="I302" s="151" t="str">
        <f t="shared" si="21"/>
        <v/>
      </c>
      <c r="J302" s="150">
        <f t="shared" si="22"/>
        <v>-7</v>
      </c>
      <c r="K302" s="150">
        <f t="shared" si="19"/>
        <v>-70</v>
      </c>
      <c r="L302" s="150"/>
      <c r="M302" s="152">
        <f t="shared" si="20"/>
        <v>0</v>
      </c>
    </row>
    <row r="303" spans="1:13" x14ac:dyDescent="0.25">
      <c r="A303" s="166"/>
      <c r="G303" s="136"/>
      <c r="H303" s="150">
        <v>298</v>
      </c>
      <c r="I303" s="151" t="str">
        <f t="shared" si="21"/>
        <v/>
      </c>
      <c r="J303" s="150">
        <f t="shared" si="22"/>
        <v>-7</v>
      </c>
      <c r="K303" s="150">
        <f t="shared" si="19"/>
        <v>-70</v>
      </c>
      <c r="L303" s="150"/>
      <c r="M303" s="152">
        <f t="shared" si="20"/>
        <v>0</v>
      </c>
    </row>
    <row r="304" spans="1:13" x14ac:dyDescent="0.25">
      <c r="A304" s="166"/>
      <c r="G304" s="136"/>
      <c r="H304" s="150">
        <v>299</v>
      </c>
      <c r="I304" s="151" t="str">
        <f t="shared" si="21"/>
        <v/>
      </c>
      <c r="J304" s="150">
        <f t="shared" si="22"/>
        <v>-7</v>
      </c>
      <c r="K304" s="150">
        <f t="shared" si="19"/>
        <v>-70</v>
      </c>
      <c r="L304" s="150"/>
      <c r="M304" s="152">
        <f t="shared" si="20"/>
        <v>0</v>
      </c>
    </row>
    <row r="305" spans="1:16" x14ac:dyDescent="0.25">
      <c r="A305" s="166"/>
      <c r="G305" s="136"/>
      <c r="H305" s="150">
        <v>300</v>
      </c>
      <c r="I305" s="151" t="str">
        <f t="shared" si="21"/>
        <v/>
      </c>
      <c r="J305" s="150">
        <f t="shared" si="22"/>
        <v>-7</v>
      </c>
      <c r="K305" s="150">
        <f t="shared" si="19"/>
        <v>-70</v>
      </c>
      <c r="L305" s="150"/>
      <c r="M305" s="152">
        <f t="shared" si="20"/>
        <v>0</v>
      </c>
    </row>
    <row r="306" spans="1:16" x14ac:dyDescent="0.25">
      <c r="A306" s="168"/>
    </row>
    <row r="314" spans="1:16" x14ac:dyDescent="0.25">
      <c r="L314" s="171"/>
      <c r="P314" s="161"/>
    </row>
    <row r="315" spans="1:16" x14ac:dyDescent="0.25">
      <c r="L315" s="171"/>
      <c r="P315" s="161"/>
    </row>
    <row r="316" spans="1:16" x14ac:dyDescent="0.25">
      <c r="L316" s="171"/>
      <c r="P316" s="161"/>
    </row>
    <row r="317" spans="1:16" x14ac:dyDescent="0.25">
      <c r="L317" s="171"/>
      <c r="P317" s="161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B79253B7-D9AB-49D8-9E1E-D711A111592C}">
      <formula1>#REF!</formula1>
    </dataValidation>
  </dataValidations>
  <hyperlinks>
    <hyperlink ref="C2:D2" r:id="rId1" display="SPAŁA" xr:uid="{A1556DCE-42DD-4AD2-91AC-6E0AC0395DCD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04509-8EB2-46B0-9439-5BD0DF6A8382}">
  <sheetPr codeName="Arkusz9">
    <tabColor rgb="FF92D050"/>
  </sheetPr>
  <dimension ref="A1:AL317"/>
  <sheetViews>
    <sheetView workbookViewId="0">
      <selection activeCell="C11" sqref="C11"/>
    </sheetView>
  </sheetViews>
  <sheetFormatPr defaultColWidth="8.875" defaultRowHeight="14.3" x14ac:dyDescent="0.25"/>
  <cols>
    <col min="1" max="1" width="8" style="167" customWidth="1"/>
    <col min="2" max="2" width="8.25" style="167" customWidth="1"/>
    <col min="3" max="3" width="34.75" style="167" customWidth="1"/>
    <col min="4" max="4" width="11.25" style="167" customWidth="1"/>
    <col min="5" max="6" width="8.875" style="167"/>
    <col min="7" max="7" width="0.875" style="167" customWidth="1"/>
    <col min="8" max="8" width="8.875" style="169"/>
    <col min="9" max="9" width="11" style="169" customWidth="1"/>
    <col min="10" max="10" width="15.25" style="169" customWidth="1"/>
    <col min="11" max="11" width="8.75" style="169" customWidth="1"/>
    <col min="12" max="12" width="11" style="169" customWidth="1"/>
    <col min="13" max="13" width="11.75" style="170" customWidth="1"/>
    <col min="14" max="15" width="13.875" style="136" customWidth="1"/>
    <col min="16" max="18" width="8.875" style="136"/>
    <col min="19" max="20" width="8.875" style="141"/>
    <col min="21" max="21" width="12.125" style="141" customWidth="1"/>
    <col min="22" max="22" width="27.375" style="141" customWidth="1"/>
    <col min="23" max="38" width="8.875" style="141"/>
    <col min="39" max="16384" width="8.875" style="167"/>
  </cols>
  <sheetData>
    <row r="1" spans="1:36" x14ac:dyDescent="0.25">
      <c r="A1" s="136"/>
      <c r="B1" s="136"/>
      <c r="C1" s="136"/>
      <c r="D1" s="136"/>
      <c r="E1" s="136"/>
      <c r="F1" s="136"/>
      <c r="G1" s="136"/>
      <c r="H1" s="137" t="s">
        <v>25</v>
      </c>
      <c r="I1" s="138" t="s">
        <v>26</v>
      </c>
      <c r="J1" s="138" t="s">
        <v>27</v>
      </c>
      <c r="K1" s="139" t="s">
        <v>28</v>
      </c>
      <c r="L1" s="140"/>
      <c r="M1" s="140"/>
    </row>
    <row r="2" spans="1:36" ht="14.45" customHeight="1" x14ac:dyDescent="0.25">
      <c r="A2" s="136"/>
      <c r="B2" s="20" t="s">
        <v>29</v>
      </c>
      <c r="C2" s="271" t="s">
        <v>61</v>
      </c>
      <c r="D2" s="271"/>
      <c r="E2" s="21"/>
      <c r="F2" s="21"/>
      <c r="G2" s="21"/>
      <c r="H2" s="142">
        <v>1</v>
      </c>
      <c r="I2" s="143">
        <v>50</v>
      </c>
      <c r="J2" s="143">
        <v>10</v>
      </c>
      <c r="K2" s="144">
        <f>3*H2^(1/3)</f>
        <v>3</v>
      </c>
      <c r="L2" s="140"/>
      <c r="M2" s="140"/>
    </row>
    <row r="3" spans="1:36" ht="14.45" customHeight="1" x14ac:dyDescent="0.25">
      <c r="A3" s="136"/>
      <c r="B3" s="145" t="s">
        <v>31</v>
      </c>
      <c r="C3" s="272" t="s">
        <v>302</v>
      </c>
      <c r="D3" s="272"/>
      <c r="E3" s="26"/>
      <c r="F3" s="26"/>
      <c r="G3" s="26"/>
      <c r="H3" s="140"/>
      <c r="I3" s="140"/>
      <c r="J3" s="146"/>
      <c r="K3" s="140"/>
      <c r="L3" s="140"/>
      <c r="M3" s="140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40"/>
      <c r="I4" s="140"/>
      <c r="J4" s="146"/>
      <c r="K4" s="140"/>
      <c r="L4" s="140"/>
      <c r="M4" s="140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47" t="s">
        <v>39</v>
      </c>
      <c r="I5" s="148" t="s">
        <v>40</v>
      </c>
      <c r="J5" s="149" t="s">
        <v>41</v>
      </c>
      <c r="K5" s="148" t="s">
        <v>42</v>
      </c>
      <c r="L5" s="148" t="s">
        <v>43</v>
      </c>
      <c r="M5" s="147" t="s">
        <v>44</v>
      </c>
    </row>
    <row r="6" spans="1:36" ht="14.45" customHeight="1" x14ac:dyDescent="0.25">
      <c r="A6" s="33">
        <f>M6</f>
        <v>69</v>
      </c>
      <c r="B6" s="34">
        <f t="shared" ref="B6:B13" si="0">IF(H6&gt;$H$2,"",(ROW()-5))</f>
        <v>1</v>
      </c>
      <c r="C6" s="35" t="s">
        <v>20</v>
      </c>
      <c r="D6" s="35"/>
      <c r="E6" s="35"/>
      <c r="F6" s="35"/>
      <c r="G6" s="28"/>
      <c r="H6" s="150">
        <v>1</v>
      </c>
      <c r="I6" s="151">
        <f>IF(H2=1,50,IF(H6&lt;$H$2+1,($I$2-($I$2-1)*(LOG(H6)/LOG($H$2))),""))</f>
        <v>50</v>
      </c>
      <c r="J6" s="295">
        <v>1</v>
      </c>
      <c r="K6" s="150">
        <f t="shared" ref="K6:K69" si="1">J6*$J$2</f>
        <v>10</v>
      </c>
      <c r="L6" s="152">
        <f>3*K2</f>
        <v>9</v>
      </c>
      <c r="M6" s="152">
        <f t="shared" ref="M6:M69" si="2">IF(I6&lt;&gt;"",K6+I6+L6,0)</f>
        <v>69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153">
        <v>2</v>
      </c>
      <c r="I7" s="154" t="str">
        <f t="shared" ref="I7:I70" si="4">IF(H7&lt;$H$2+1,($I$2-($I$2-1)*(LOG(H7)/LOG($H$2))),"")</f>
        <v/>
      </c>
      <c r="J7" s="153">
        <f t="shared" ref="J7:J70" si="5">INT(LOG($H$2,2))-ROUNDUP(LOG(H7,2),0)+IF(OR($H$2=1,$H$2=2,$H$2=4,$H$2=8,$H$2=16,$H$2=32,$H$2=64,$H$2=128,$H$2=256),0,1)</f>
        <v>-1</v>
      </c>
      <c r="K7" s="153">
        <f t="shared" si="1"/>
        <v>-10</v>
      </c>
      <c r="L7" s="155">
        <f>2*K2</f>
        <v>6</v>
      </c>
      <c r="M7" s="155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150">
        <v>3</v>
      </c>
      <c r="I8" s="151" t="str">
        <f t="shared" si="4"/>
        <v/>
      </c>
      <c r="J8" s="150">
        <f t="shared" si="5"/>
        <v>-2</v>
      </c>
      <c r="K8" s="150">
        <f t="shared" si="1"/>
        <v>-20</v>
      </c>
      <c r="L8" s="152">
        <f>K2</f>
        <v>3</v>
      </c>
      <c r="M8" s="152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53">
        <v>4</v>
      </c>
      <c r="I9" s="154" t="str">
        <f t="shared" si="4"/>
        <v/>
      </c>
      <c r="J9" s="153">
        <f t="shared" si="5"/>
        <v>-2</v>
      </c>
      <c r="K9" s="153">
        <f t="shared" si="1"/>
        <v>-20</v>
      </c>
      <c r="L9" s="155"/>
      <c r="M9" s="155">
        <f t="shared" si="2"/>
        <v>0</v>
      </c>
      <c r="V9" s="156"/>
      <c r="Z9" s="157"/>
      <c r="AA9" s="157"/>
      <c r="AG9" s="158"/>
      <c r="AH9" s="141" t="s">
        <v>49</v>
      </c>
      <c r="AI9" s="141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50">
        <v>5</v>
      </c>
      <c r="I10" s="151" t="str">
        <f t="shared" si="4"/>
        <v/>
      </c>
      <c r="J10" s="150">
        <f t="shared" si="5"/>
        <v>-3</v>
      </c>
      <c r="K10" s="150">
        <f t="shared" si="1"/>
        <v>-30</v>
      </c>
      <c r="L10" s="150"/>
      <c r="M10" s="152">
        <f t="shared" si="2"/>
        <v>0</v>
      </c>
      <c r="V10" s="156"/>
      <c r="Z10" s="157"/>
      <c r="AA10" s="157"/>
      <c r="AG10" s="158"/>
      <c r="AH10" s="141" t="s">
        <v>52</v>
      </c>
      <c r="AI10" s="141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53">
        <v>6</v>
      </c>
      <c r="I11" s="154" t="str">
        <f t="shared" si="4"/>
        <v/>
      </c>
      <c r="J11" s="153">
        <f t="shared" si="5"/>
        <v>-3</v>
      </c>
      <c r="K11" s="153">
        <f t="shared" si="1"/>
        <v>-30</v>
      </c>
      <c r="L11" s="153"/>
      <c r="M11" s="155">
        <f t="shared" si="2"/>
        <v>0</v>
      </c>
      <c r="V11" s="159"/>
      <c r="Z11" s="157"/>
      <c r="AA11" s="157"/>
      <c r="AG11" s="158"/>
      <c r="AH11" s="141" t="s">
        <v>53</v>
      </c>
      <c r="AI11" s="141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50">
        <v>7</v>
      </c>
      <c r="I12" s="151" t="str">
        <f t="shared" si="4"/>
        <v/>
      </c>
      <c r="J12" s="150">
        <f t="shared" si="5"/>
        <v>-3</v>
      </c>
      <c r="K12" s="150">
        <f t="shared" si="1"/>
        <v>-30</v>
      </c>
      <c r="L12" s="150"/>
      <c r="M12" s="152">
        <f t="shared" si="2"/>
        <v>0</v>
      </c>
      <c r="Z12" s="157"/>
      <c r="AA12" s="157"/>
      <c r="AG12" s="158"/>
      <c r="AH12" s="141" t="s">
        <v>54</v>
      </c>
      <c r="AI12" s="141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53">
        <v>8</v>
      </c>
      <c r="I13" s="154" t="str">
        <f t="shared" si="4"/>
        <v/>
      </c>
      <c r="J13" s="153">
        <f t="shared" si="5"/>
        <v>-3</v>
      </c>
      <c r="K13" s="153">
        <f t="shared" si="1"/>
        <v>-30</v>
      </c>
      <c r="L13" s="153"/>
      <c r="M13" s="155">
        <f t="shared" si="2"/>
        <v>0</v>
      </c>
      <c r="X13" s="156"/>
      <c r="AG13" s="158"/>
      <c r="AH13" s="141" t="s">
        <v>55</v>
      </c>
      <c r="AI13" s="141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50">
        <v>9</v>
      </c>
      <c r="I14" s="151" t="str">
        <f t="shared" si="4"/>
        <v/>
      </c>
      <c r="J14" s="150">
        <f t="shared" si="5"/>
        <v>-4</v>
      </c>
      <c r="K14" s="150">
        <f t="shared" si="1"/>
        <v>-40</v>
      </c>
      <c r="L14" s="150"/>
      <c r="M14" s="152">
        <f t="shared" si="2"/>
        <v>0</v>
      </c>
      <c r="X14" s="160"/>
      <c r="Z14" s="157"/>
      <c r="AA14" s="157"/>
      <c r="AG14" s="158"/>
      <c r="AH14" s="141" t="s">
        <v>56</v>
      </c>
      <c r="AI14" s="141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53">
        <v>10</v>
      </c>
      <c r="I15" s="154" t="str">
        <f t="shared" si="4"/>
        <v/>
      </c>
      <c r="J15" s="153">
        <f t="shared" si="5"/>
        <v>-4</v>
      </c>
      <c r="K15" s="153">
        <f t="shared" si="1"/>
        <v>-40</v>
      </c>
      <c r="L15" s="153"/>
      <c r="M15" s="155">
        <f t="shared" si="2"/>
        <v>0</v>
      </c>
      <c r="X15" s="156"/>
      <c r="Z15" s="157"/>
      <c r="AA15" s="157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50">
        <v>11</v>
      </c>
      <c r="I16" s="151" t="str">
        <f t="shared" si="4"/>
        <v/>
      </c>
      <c r="J16" s="150">
        <f t="shared" si="5"/>
        <v>-4</v>
      </c>
      <c r="K16" s="150">
        <f t="shared" si="1"/>
        <v>-40</v>
      </c>
      <c r="L16" s="150"/>
      <c r="M16" s="152">
        <f t="shared" si="2"/>
        <v>0</v>
      </c>
      <c r="R16" s="161"/>
      <c r="Z16" s="157"/>
      <c r="AA16" s="157"/>
      <c r="AH16" s="162" t="s">
        <v>57</v>
      </c>
      <c r="AI16" s="141">
        <f>AI11-AI12*AI13/AI14</f>
        <v>9.6393909380186855</v>
      </c>
      <c r="AJ16" s="141" t="s">
        <v>58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53">
        <v>12</v>
      </c>
      <c r="I17" s="154" t="str">
        <f t="shared" si="4"/>
        <v/>
      </c>
      <c r="J17" s="153">
        <f t="shared" si="5"/>
        <v>-4</v>
      </c>
      <c r="K17" s="153">
        <f t="shared" si="1"/>
        <v>-40</v>
      </c>
      <c r="L17" s="153"/>
      <c r="M17" s="155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50">
        <v>13</v>
      </c>
      <c r="I18" s="151" t="str">
        <f t="shared" si="4"/>
        <v/>
      </c>
      <c r="J18" s="150">
        <f t="shared" si="5"/>
        <v>-4</v>
      </c>
      <c r="K18" s="150">
        <f t="shared" si="1"/>
        <v>-40</v>
      </c>
      <c r="L18" s="150"/>
      <c r="M18" s="152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53">
        <v>14</v>
      </c>
      <c r="I19" s="154" t="str">
        <f t="shared" si="4"/>
        <v/>
      </c>
      <c r="J19" s="153">
        <f t="shared" si="5"/>
        <v>-4</v>
      </c>
      <c r="K19" s="153">
        <f t="shared" si="1"/>
        <v>-40</v>
      </c>
      <c r="L19" s="153"/>
      <c r="M19" s="155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50">
        <v>15</v>
      </c>
      <c r="I20" s="151" t="str">
        <f t="shared" si="4"/>
        <v/>
      </c>
      <c r="J20" s="150">
        <f t="shared" si="5"/>
        <v>-4</v>
      </c>
      <c r="K20" s="150">
        <f t="shared" si="1"/>
        <v>-40</v>
      </c>
      <c r="L20" s="150"/>
      <c r="M20" s="152">
        <f t="shared" si="2"/>
        <v>0</v>
      </c>
      <c r="R20" s="163"/>
      <c r="S20" s="164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53">
        <v>16</v>
      </c>
      <c r="I21" s="154" t="str">
        <f t="shared" si="4"/>
        <v/>
      </c>
      <c r="J21" s="153">
        <f t="shared" si="5"/>
        <v>-4</v>
      </c>
      <c r="K21" s="153">
        <f t="shared" si="1"/>
        <v>-40</v>
      </c>
      <c r="L21" s="153"/>
      <c r="M21" s="155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50">
        <v>17</v>
      </c>
      <c r="I22" s="151" t="str">
        <f t="shared" si="4"/>
        <v/>
      </c>
      <c r="J22" s="150">
        <f t="shared" si="5"/>
        <v>-5</v>
      </c>
      <c r="K22" s="150">
        <f t="shared" si="1"/>
        <v>-50</v>
      </c>
      <c r="L22" s="150"/>
      <c r="M22" s="152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53">
        <v>18</v>
      </c>
      <c r="I23" s="154" t="str">
        <f t="shared" si="4"/>
        <v/>
      </c>
      <c r="J23" s="153">
        <f t="shared" si="5"/>
        <v>-5</v>
      </c>
      <c r="K23" s="153">
        <f t="shared" si="1"/>
        <v>-50</v>
      </c>
      <c r="L23" s="153"/>
      <c r="M23" s="155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50">
        <v>19</v>
      </c>
      <c r="I24" s="151" t="str">
        <f t="shared" si="4"/>
        <v/>
      </c>
      <c r="J24" s="150">
        <f t="shared" si="5"/>
        <v>-5</v>
      </c>
      <c r="K24" s="150">
        <f t="shared" si="1"/>
        <v>-50</v>
      </c>
      <c r="L24" s="150"/>
      <c r="M24" s="152">
        <f t="shared" si="2"/>
        <v>0</v>
      </c>
      <c r="R24" s="163"/>
      <c r="S24" s="164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53">
        <v>20</v>
      </c>
      <c r="I25" s="154" t="str">
        <f t="shared" si="4"/>
        <v/>
      </c>
      <c r="J25" s="153">
        <f t="shared" si="5"/>
        <v>-5</v>
      </c>
      <c r="K25" s="153">
        <f t="shared" si="1"/>
        <v>-50</v>
      </c>
      <c r="L25" s="153"/>
      <c r="M25" s="155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50">
        <v>21</v>
      </c>
      <c r="I26" s="151" t="str">
        <f t="shared" si="4"/>
        <v/>
      </c>
      <c r="J26" s="150">
        <f t="shared" si="5"/>
        <v>-5</v>
      </c>
      <c r="K26" s="150">
        <f t="shared" si="1"/>
        <v>-50</v>
      </c>
      <c r="L26" s="150"/>
      <c r="M26" s="152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53">
        <v>22</v>
      </c>
      <c r="I27" s="154" t="str">
        <f t="shared" si="4"/>
        <v/>
      </c>
      <c r="J27" s="153">
        <f t="shared" si="5"/>
        <v>-5</v>
      </c>
      <c r="K27" s="153">
        <f t="shared" si="1"/>
        <v>-50</v>
      </c>
      <c r="L27" s="153"/>
      <c r="M27" s="155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50">
        <v>23</v>
      </c>
      <c r="I28" s="151" t="str">
        <f t="shared" si="4"/>
        <v/>
      </c>
      <c r="J28" s="150">
        <f t="shared" si="5"/>
        <v>-5</v>
      </c>
      <c r="K28" s="150">
        <f t="shared" si="1"/>
        <v>-50</v>
      </c>
      <c r="L28" s="150"/>
      <c r="M28" s="152">
        <f t="shared" si="2"/>
        <v>0</v>
      </c>
      <c r="R28" s="163"/>
      <c r="S28" s="164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36"/>
      <c r="H29" s="153">
        <v>24</v>
      </c>
      <c r="I29" s="154" t="str">
        <f t="shared" si="4"/>
        <v/>
      </c>
      <c r="J29" s="153">
        <f t="shared" si="5"/>
        <v>-5</v>
      </c>
      <c r="K29" s="153">
        <f t="shared" si="1"/>
        <v>-50</v>
      </c>
      <c r="L29" s="153"/>
      <c r="M29" s="155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36"/>
      <c r="H30" s="150">
        <v>25</v>
      </c>
      <c r="I30" s="151" t="str">
        <f t="shared" si="4"/>
        <v/>
      </c>
      <c r="J30" s="150">
        <f t="shared" si="5"/>
        <v>-5</v>
      </c>
      <c r="K30" s="150">
        <f t="shared" si="1"/>
        <v>-50</v>
      </c>
      <c r="L30" s="150"/>
      <c r="M30" s="152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36"/>
      <c r="H31" s="153">
        <v>26</v>
      </c>
      <c r="I31" s="154" t="str">
        <f t="shared" si="4"/>
        <v/>
      </c>
      <c r="J31" s="153">
        <f t="shared" si="5"/>
        <v>-5</v>
      </c>
      <c r="K31" s="153">
        <f t="shared" si="1"/>
        <v>-50</v>
      </c>
      <c r="L31" s="153"/>
      <c r="M31" s="155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36"/>
      <c r="H32" s="150">
        <v>27</v>
      </c>
      <c r="I32" s="151" t="str">
        <f t="shared" si="4"/>
        <v/>
      </c>
      <c r="J32" s="150">
        <f t="shared" si="5"/>
        <v>-5</v>
      </c>
      <c r="K32" s="150">
        <f t="shared" si="1"/>
        <v>-50</v>
      </c>
      <c r="L32" s="150"/>
      <c r="M32" s="152">
        <f t="shared" si="2"/>
        <v>0</v>
      </c>
      <c r="R32" s="163"/>
      <c r="S32" s="164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36"/>
      <c r="H33" s="153">
        <v>28</v>
      </c>
      <c r="I33" s="154" t="str">
        <f t="shared" si="4"/>
        <v/>
      </c>
      <c r="J33" s="153">
        <f t="shared" si="5"/>
        <v>-5</v>
      </c>
      <c r="K33" s="153">
        <f t="shared" si="1"/>
        <v>-50</v>
      </c>
      <c r="L33" s="153"/>
      <c r="M33" s="155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36"/>
      <c r="H34" s="150">
        <v>29</v>
      </c>
      <c r="I34" s="151" t="str">
        <f t="shared" si="4"/>
        <v/>
      </c>
      <c r="J34" s="150">
        <f t="shared" si="5"/>
        <v>-5</v>
      </c>
      <c r="K34" s="150">
        <f t="shared" si="1"/>
        <v>-50</v>
      </c>
      <c r="L34" s="150"/>
      <c r="M34" s="152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36"/>
      <c r="H35" s="153">
        <v>30</v>
      </c>
      <c r="I35" s="154" t="str">
        <f t="shared" si="4"/>
        <v/>
      </c>
      <c r="J35" s="153">
        <f t="shared" si="5"/>
        <v>-5</v>
      </c>
      <c r="K35" s="153">
        <f t="shared" si="1"/>
        <v>-50</v>
      </c>
      <c r="L35" s="153"/>
      <c r="M35" s="155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36"/>
      <c r="H36" s="150">
        <v>31</v>
      </c>
      <c r="I36" s="151" t="str">
        <f t="shared" si="4"/>
        <v/>
      </c>
      <c r="J36" s="150">
        <f t="shared" si="5"/>
        <v>-5</v>
      </c>
      <c r="K36" s="150">
        <f t="shared" si="1"/>
        <v>-50</v>
      </c>
      <c r="L36" s="150"/>
      <c r="M36" s="152">
        <f t="shared" si="2"/>
        <v>0</v>
      </c>
      <c r="R36" s="163"/>
      <c r="S36" s="164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36"/>
      <c r="H37" s="153">
        <v>32</v>
      </c>
      <c r="I37" s="154" t="str">
        <f t="shared" si="4"/>
        <v/>
      </c>
      <c r="J37" s="153">
        <f t="shared" si="5"/>
        <v>-5</v>
      </c>
      <c r="K37" s="153">
        <f t="shared" si="1"/>
        <v>-50</v>
      </c>
      <c r="L37" s="153"/>
      <c r="M37" s="155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36"/>
      <c r="H38" s="150">
        <v>33</v>
      </c>
      <c r="I38" s="151" t="str">
        <f t="shared" si="4"/>
        <v/>
      </c>
      <c r="J38" s="150">
        <f t="shared" si="5"/>
        <v>-6</v>
      </c>
      <c r="K38" s="150">
        <f t="shared" si="1"/>
        <v>-60</v>
      </c>
      <c r="L38" s="150"/>
      <c r="M38" s="152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36"/>
      <c r="H39" s="153">
        <v>34</v>
      </c>
      <c r="I39" s="154" t="str">
        <f t="shared" si="4"/>
        <v/>
      </c>
      <c r="J39" s="153">
        <f t="shared" si="5"/>
        <v>-6</v>
      </c>
      <c r="K39" s="153">
        <f t="shared" si="1"/>
        <v>-60</v>
      </c>
      <c r="L39" s="153"/>
      <c r="M39" s="155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36"/>
      <c r="H40" s="150">
        <v>35</v>
      </c>
      <c r="I40" s="151" t="str">
        <f t="shared" si="4"/>
        <v/>
      </c>
      <c r="J40" s="150">
        <f t="shared" si="5"/>
        <v>-6</v>
      </c>
      <c r="K40" s="150">
        <f t="shared" si="1"/>
        <v>-60</v>
      </c>
      <c r="L40" s="150"/>
      <c r="M40" s="152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36"/>
      <c r="H41" s="153">
        <v>36</v>
      </c>
      <c r="I41" s="154" t="str">
        <f t="shared" si="4"/>
        <v/>
      </c>
      <c r="J41" s="153">
        <f t="shared" si="5"/>
        <v>-6</v>
      </c>
      <c r="K41" s="153">
        <f t="shared" si="1"/>
        <v>-60</v>
      </c>
      <c r="L41" s="153"/>
      <c r="M41" s="155">
        <f t="shared" si="2"/>
        <v>0</v>
      </c>
      <c r="S41" s="165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36"/>
      <c r="H42" s="150">
        <v>37</v>
      </c>
      <c r="I42" s="151" t="str">
        <f t="shared" si="4"/>
        <v/>
      </c>
      <c r="J42" s="150">
        <f t="shared" si="5"/>
        <v>-6</v>
      </c>
      <c r="K42" s="150">
        <f t="shared" si="1"/>
        <v>-60</v>
      </c>
      <c r="L42" s="150"/>
      <c r="M42" s="152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36"/>
      <c r="H43" s="153">
        <v>38</v>
      </c>
      <c r="I43" s="154" t="str">
        <f t="shared" si="4"/>
        <v/>
      </c>
      <c r="J43" s="153">
        <f t="shared" si="5"/>
        <v>-6</v>
      </c>
      <c r="K43" s="153">
        <f t="shared" si="1"/>
        <v>-60</v>
      </c>
      <c r="L43" s="153"/>
      <c r="M43" s="155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36"/>
      <c r="H44" s="150">
        <v>39</v>
      </c>
      <c r="I44" s="151" t="str">
        <f t="shared" si="4"/>
        <v/>
      </c>
      <c r="J44" s="150">
        <f t="shared" si="5"/>
        <v>-6</v>
      </c>
      <c r="K44" s="150">
        <f t="shared" si="1"/>
        <v>-60</v>
      </c>
      <c r="L44" s="150"/>
      <c r="M44" s="152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36"/>
      <c r="H45" s="153">
        <v>40</v>
      </c>
      <c r="I45" s="154" t="str">
        <f t="shared" si="4"/>
        <v/>
      </c>
      <c r="J45" s="153">
        <f t="shared" si="5"/>
        <v>-6</v>
      </c>
      <c r="K45" s="153">
        <f t="shared" si="1"/>
        <v>-60</v>
      </c>
      <c r="L45" s="153"/>
      <c r="M45" s="155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36"/>
      <c r="H46" s="150">
        <v>41</v>
      </c>
      <c r="I46" s="151" t="str">
        <f t="shared" si="4"/>
        <v/>
      </c>
      <c r="J46" s="150">
        <f t="shared" si="5"/>
        <v>-6</v>
      </c>
      <c r="K46" s="150">
        <f t="shared" si="1"/>
        <v>-60</v>
      </c>
      <c r="L46" s="150"/>
      <c r="M46" s="152">
        <f t="shared" si="2"/>
        <v>0</v>
      </c>
      <c r="R46" s="136">
        <f>LOG($H$2,2)</f>
        <v>0</v>
      </c>
      <c r="T46" s="141">
        <f>LOG(H38,2)</f>
        <v>5.0443941193584534</v>
      </c>
      <c r="U46" s="141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36"/>
      <c r="H47" s="153">
        <v>42</v>
      </c>
      <c r="I47" s="154" t="str">
        <f t="shared" si="4"/>
        <v/>
      </c>
      <c r="J47" s="153">
        <f t="shared" si="5"/>
        <v>-6</v>
      </c>
      <c r="K47" s="153">
        <f t="shared" si="1"/>
        <v>-60</v>
      </c>
      <c r="L47" s="153"/>
      <c r="M47" s="155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36"/>
      <c r="H48" s="150">
        <v>43</v>
      </c>
      <c r="I48" s="151" t="str">
        <f t="shared" si="4"/>
        <v/>
      </c>
      <c r="J48" s="150">
        <f t="shared" si="5"/>
        <v>-6</v>
      </c>
      <c r="K48" s="150">
        <f t="shared" si="1"/>
        <v>-60</v>
      </c>
      <c r="L48" s="150"/>
      <c r="M48" s="152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36"/>
      <c r="H49" s="153">
        <v>44</v>
      </c>
      <c r="I49" s="154" t="str">
        <f t="shared" si="4"/>
        <v/>
      </c>
      <c r="J49" s="153">
        <f t="shared" si="5"/>
        <v>-6</v>
      </c>
      <c r="K49" s="153">
        <f t="shared" si="1"/>
        <v>-60</v>
      </c>
      <c r="L49" s="153"/>
      <c r="M49" s="155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36"/>
      <c r="H50" s="150">
        <v>45</v>
      </c>
      <c r="I50" s="151" t="str">
        <f t="shared" si="4"/>
        <v/>
      </c>
      <c r="J50" s="150">
        <f t="shared" si="5"/>
        <v>-6</v>
      </c>
      <c r="K50" s="150">
        <f t="shared" si="1"/>
        <v>-60</v>
      </c>
      <c r="L50" s="150"/>
      <c r="M50" s="152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36"/>
      <c r="H51" s="153">
        <v>46</v>
      </c>
      <c r="I51" s="154" t="str">
        <f t="shared" si="4"/>
        <v/>
      </c>
      <c r="J51" s="153">
        <f t="shared" si="5"/>
        <v>-6</v>
      </c>
      <c r="K51" s="153">
        <f t="shared" si="1"/>
        <v>-60</v>
      </c>
      <c r="L51" s="153"/>
      <c r="M51" s="155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36"/>
      <c r="H52" s="150">
        <v>47</v>
      </c>
      <c r="I52" s="151" t="str">
        <f t="shared" si="4"/>
        <v/>
      </c>
      <c r="J52" s="150">
        <f t="shared" si="5"/>
        <v>-6</v>
      </c>
      <c r="K52" s="150">
        <f t="shared" si="1"/>
        <v>-60</v>
      </c>
      <c r="L52" s="150"/>
      <c r="M52" s="152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36"/>
      <c r="H53" s="153">
        <v>48</v>
      </c>
      <c r="I53" s="154" t="str">
        <f t="shared" si="4"/>
        <v/>
      </c>
      <c r="J53" s="153">
        <f t="shared" si="5"/>
        <v>-6</v>
      </c>
      <c r="K53" s="153">
        <f t="shared" si="1"/>
        <v>-60</v>
      </c>
      <c r="L53" s="153"/>
      <c r="M53" s="155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36"/>
      <c r="H54" s="150">
        <v>49</v>
      </c>
      <c r="I54" s="151" t="str">
        <f t="shared" si="4"/>
        <v/>
      </c>
      <c r="J54" s="150">
        <f t="shared" si="5"/>
        <v>-6</v>
      </c>
      <c r="K54" s="150">
        <f t="shared" si="1"/>
        <v>-60</v>
      </c>
      <c r="L54" s="150"/>
      <c r="M54" s="152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36"/>
      <c r="H55" s="153">
        <v>50</v>
      </c>
      <c r="I55" s="154" t="str">
        <f t="shared" si="4"/>
        <v/>
      </c>
      <c r="J55" s="153">
        <f t="shared" si="5"/>
        <v>-6</v>
      </c>
      <c r="K55" s="153">
        <f t="shared" si="1"/>
        <v>-60</v>
      </c>
      <c r="L55" s="153"/>
      <c r="M55" s="155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36"/>
      <c r="H56" s="150">
        <v>51</v>
      </c>
      <c r="I56" s="151" t="str">
        <f t="shared" si="4"/>
        <v/>
      </c>
      <c r="J56" s="150">
        <f t="shared" si="5"/>
        <v>-6</v>
      </c>
      <c r="K56" s="150">
        <f t="shared" si="1"/>
        <v>-60</v>
      </c>
      <c r="L56" s="150"/>
      <c r="M56" s="152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36"/>
      <c r="H57" s="153">
        <v>52</v>
      </c>
      <c r="I57" s="154" t="str">
        <f t="shared" si="4"/>
        <v/>
      </c>
      <c r="J57" s="153">
        <f t="shared" si="5"/>
        <v>-6</v>
      </c>
      <c r="K57" s="153">
        <f t="shared" si="1"/>
        <v>-60</v>
      </c>
      <c r="L57" s="153"/>
      <c r="M57" s="155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36"/>
      <c r="H58" s="150">
        <v>53</v>
      </c>
      <c r="I58" s="151" t="str">
        <f t="shared" si="4"/>
        <v/>
      </c>
      <c r="J58" s="150">
        <f t="shared" si="5"/>
        <v>-6</v>
      </c>
      <c r="K58" s="150">
        <f t="shared" si="1"/>
        <v>-60</v>
      </c>
      <c r="L58" s="150"/>
      <c r="M58" s="152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36"/>
      <c r="H59" s="153">
        <v>54</v>
      </c>
      <c r="I59" s="154" t="str">
        <f t="shared" si="4"/>
        <v/>
      </c>
      <c r="J59" s="153">
        <f t="shared" si="5"/>
        <v>-6</v>
      </c>
      <c r="K59" s="153">
        <f t="shared" si="1"/>
        <v>-60</v>
      </c>
      <c r="L59" s="153"/>
      <c r="M59" s="155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36"/>
      <c r="H60" s="150">
        <v>55</v>
      </c>
      <c r="I60" s="151" t="str">
        <f t="shared" si="4"/>
        <v/>
      </c>
      <c r="J60" s="150">
        <f t="shared" si="5"/>
        <v>-6</v>
      </c>
      <c r="K60" s="150">
        <f t="shared" si="1"/>
        <v>-60</v>
      </c>
      <c r="L60" s="150"/>
      <c r="M60" s="152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36"/>
      <c r="H61" s="153">
        <v>56</v>
      </c>
      <c r="I61" s="154" t="str">
        <f t="shared" si="4"/>
        <v/>
      </c>
      <c r="J61" s="153">
        <f t="shared" si="5"/>
        <v>-6</v>
      </c>
      <c r="K61" s="153">
        <f t="shared" si="1"/>
        <v>-60</v>
      </c>
      <c r="L61" s="153"/>
      <c r="M61" s="155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36"/>
      <c r="H62" s="150">
        <v>57</v>
      </c>
      <c r="I62" s="151" t="str">
        <f t="shared" si="4"/>
        <v/>
      </c>
      <c r="J62" s="150">
        <f t="shared" si="5"/>
        <v>-6</v>
      </c>
      <c r="K62" s="150">
        <f t="shared" si="1"/>
        <v>-60</v>
      </c>
      <c r="L62" s="150"/>
      <c r="M62" s="152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36"/>
      <c r="H63" s="153">
        <v>58</v>
      </c>
      <c r="I63" s="154" t="str">
        <f t="shared" si="4"/>
        <v/>
      </c>
      <c r="J63" s="153">
        <f t="shared" si="5"/>
        <v>-6</v>
      </c>
      <c r="K63" s="153">
        <f t="shared" si="1"/>
        <v>-60</v>
      </c>
      <c r="L63" s="153"/>
      <c r="M63" s="155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36"/>
      <c r="H64" s="150">
        <v>59</v>
      </c>
      <c r="I64" s="151" t="str">
        <f t="shared" si="4"/>
        <v/>
      </c>
      <c r="J64" s="150">
        <f t="shared" si="5"/>
        <v>-6</v>
      </c>
      <c r="K64" s="150">
        <f t="shared" si="1"/>
        <v>-60</v>
      </c>
      <c r="L64" s="150"/>
      <c r="M64" s="152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36"/>
      <c r="H65" s="153">
        <v>60</v>
      </c>
      <c r="I65" s="154" t="str">
        <f t="shared" si="4"/>
        <v/>
      </c>
      <c r="J65" s="153">
        <f t="shared" si="5"/>
        <v>-6</v>
      </c>
      <c r="K65" s="153">
        <f t="shared" si="1"/>
        <v>-60</v>
      </c>
      <c r="L65" s="153"/>
      <c r="M65" s="155">
        <f t="shared" si="2"/>
        <v>0</v>
      </c>
    </row>
    <row r="66" spans="1:13" x14ac:dyDescent="0.25">
      <c r="A66" s="166"/>
      <c r="B66" s="34"/>
      <c r="G66" s="136"/>
      <c r="H66" s="150">
        <v>61</v>
      </c>
      <c r="I66" s="151" t="str">
        <f t="shared" si="4"/>
        <v/>
      </c>
      <c r="J66" s="150">
        <f t="shared" si="5"/>
        <v>-6</v>
      </c>
      <c r="K66" s="150">
        <f t="shared" si="1"/>
        <v>-60</v>
      </c>
      <c r="L66" s="150"/>
      <c r="M66" s="152">
        <f t="shared" si="2"/>
        <v>0</v>
      </c>
    </row>
    <row r="67" spans="1:13" x14ac:dyDescent="0.25">
      <c r="A67" s="166"/>
      <c r="B67" s="40"/>
      <c r="G67" s="136"/>
      <c r="H67" s="150">
        <v>62</v>
      </c>
      <c r="I67" s="151" t="str">
        <f t="shared" si="4"/>
        <v/>
      </c>
      <c r="J67" s="150">
        <f t="shared" si="5"/>
        <v>-6</v>
      </c>
      <c r="K67" s="150">
        <f t="shared" si="1"/>
        <v>-60</v>
      </c>
      <c r="L67" s="150"/>
      <c r="M67" s="152">
        <f t="shared" si="2"/>
        <v>0</v>
      </c>
    </row>
    <row r="68" spans="1:13" x14ac:dyDescent="0.25">
      <c r="A68" s="166"/>
      <c r="B68" s="34"/>
      <c r="G68" s="136"/>
      <c r="H68" s="150">
        <v>63</v>
      </c>
      <c r="I68" s="151" t="str">
        <f t="shared" si="4"/>
        <v/>
      </c>
      <c r="J68" s="150">
        <f t="shared" si="5"/>
        <v>-6</v>
      </c>
      <c r="K68" s="150">
        <f t="shared" si="1"/>
        <v>-60</v>
      </c>
      <c r="L68" s="150"/>
      <c r="M68" s="152">
        <f t="shared" si="2"/>
        <v>0</v>
      </c>
    </row>
    <row r="69" spans="1:13" x14ac:dyDescent="0.25">
      <c r="A69" s="166"/>
      <c r="B69" s="40"/>
      <c r="G69" s="136"/>
      <c r="H69" s="150">
        <v>64</v>
      </c>
      <c r="I69" s="151" t="str">
        <f t="shared" si="4"/>
        <v/>
      </c>
      <c r="J69" s="150">
        <f t="shared" si="5"/>
        <v>-6</v>
      </c>
      <c r="K69" s="150">
        <f t="shared" si="1"/>
        <v>-60</v>
      </c>
      <c r="L69" s="150"/>
      <c r="M69" s="152">
        <f t="shared" si="2"/>
        <v>0</v>
      </c>
    </row>
    <row r="70" spans="1:13" x14ac:dyDescent="0.25">
      <c r="A70" s="166"/>
      <c r="G70" s="136"/>
      <c r="H70" s="150">
        <v>65</v>
      </c>
      <c r="I70" s="151" t="str">
        <f t="shared" si="4"/>
        <v/>
      </c>
      <c r="J70" s="150">
        <f t="shared" si="5"/>
        <v>-7</v>
      </c>
      <c r="K70" s="150">
        <f t="shared" ref="K70:K133" si="7">J70*$J$2</f>
        <v>-70</v>
      </c>
      <c r="L70" s="150"/>
      <c r="M70" s="152">
        <f t="shared" ref="M70:M133" si="8">IF(I70&lt;&gt;"",K70+I70+L70,0)</f>
        <v>0</v>
      </c>
    </row>
    <row r="71" spans="1:13" x14ac:dyDescent="0.25">
      <c r="A71" s="166"/>
      <c r="G71" s="136"/>
      <c r="H71" s="150">
        <v>66</v>
      </c>
      <c r="I71" s="151" t="str">
        <f t="shared" ref="I71:I134" si="9">IF(H71&lt;$H$2+1,($I$2-($I$2-1)*(LOG(H71)/LOG($H$2))),"")</f>
        <v/>
      </c>
      <c r="J71" s="150">
        <f t="shared" ref="J71:J134" si="10">INT(LOG($H$2,2))-ROUNDUP(LOG(H71,2),0)+IF(OR($H$2=1,$H$2=2,$H$2=4,$H$2=8,$H$2=16,$H$2=32,$H$2=64,$H$2=128,$H$2=256),0,1)</f>
        <v>-7</v>
      </c>
      <c r="K71" s="150">
        <f t="shared" si="7"/>
        <v>-70</v>
      </c>
      <c r="L71" s="150"/>
      <c r="M71" s="152">
        <f t="shared" si="8"/>
        <v>0</v>
      </c>
    </row>
    <row r="72" spans="1:13" x14ac:dyDescent="0.25">
      <c r="A72" s="166"/>
      <c r="G72" s="136"/>
      <c r="H72" s="150">
        <v>67</v>
      </c>
      <c r="I72" s="151" t="str">
        <f t="shared" si="9"/>
        <v/>
      </c>
      <c r="J72" s="150">
        <f t="shared" si="10"/>
        <v>-7</v>
      </c>
      <c r="K72" s="150">
        <f t="shared" si="7"/>
        <v>-70</v>
      </c>
      <c r="L72" s="150"/>
      <c r="M72" s="152">
        <f t="shared" si="8"/>
        <v>0</v>
      </c>
    </row>
    <row r="73" spans="1:13" x14ac:dyDescent="0.25">
      <c r="A73" s="166"/>
      <c r="G73" s="136"/>
      <c r="H73" s="150">
        <v>68</v>
      </c>
      <c r="I73" s="151" t="str">
        <f t="shared" si="9"/>
        <v/>
      </c>
      <c r="J73" s="150">
        <f t="shared" si="10"/>
        <v>-7</v>
      </c>
      <c r="K73" s="150">
        <f t="shared" si="7"/>
        <v>-70</v>
      </c>
      <c r="L73" s="150"/>
      <c r="M73" s="152">
        <f t="shared" si="8"/>
        <v>0</v>
      </c>
    </row>
    <row r="74" spans="1:13" x14ac:dyDescent="0.25">
      <c r="A74" s="166"/>
      <c r="G74" s="136"/>
      <c r="H74" s="150">
        <v>69</v>
      </c>
      <c r="I74" s="151" t="str">
        <f t="shared" si="9"/>
        <v/>
      </c>
      <c r="J74" s="150">
        <f t="shared" si="10"/>
        <v>-7</v>
      </c>
      <c r="K74" s="150">
        <f t="shared" si="7"/>
        <v>-70</v>
      </c>
      <c r="L74" s="150"/>
      <c r="M74" s="152">
        <f t="shared" si="8"/>
        <v>0</v>
      </c>
    </row>
    <row r="75" spans="1:13" x14ac:dyDescent="0.25">
      <c r="A75" s="166"/>
      <c r="G75" s="136"/>
      <c r="H75" s="150">
        <v>70</v>
      </c>
      <c r="I75" s="151" t="str">
        <f t="shared" si="9"/>
        <v/>
      </c>
      <c r="J75" s="150">
        <f t="shared" si="10"/>
        <v>-7</v>
      </c>
      <c r="K75" s="150">
        <f t="shared" si="7"/>
        <v>-70</v>
      </c>
      <c r="L75" s="150"/>
      <c r="M75" s="152">
        <f t="shared" si="8"/>
        <v>0</v>
      </c>
    </row>
    <row r="76" spans="1:13" x14ac:dyDescent="0.25">
      <c r="A76" s="166"/>
      <c r="G76" s="136"/>
      <c r="H76" s="150">
        <v>71</v>
      </c>
      <c r="I76" s="151" t="str">
        <f t="shared" si="9"/>
        <v/>
      </c>
      <c r="J76" s="150">
        <f t="shared" si="10"/>
        <v>-7</v>
      </c>
      <c r="K76" s="150">
        <f t="shared" si="7"/>
        <v>-70</v>
      </c>
      <c r="L76" s="150"/>
      <c r="M76" s="152">
        <f t="shared" si="8"/>
        <v>0</v>
      </c>
    </row>
    <row r="77" spans="1:13" x14ac:dyDescent="0.25">
      <c r="A77" s="166"/>
      <c r="G77" s="136"/>
      <c r="H77" s="150">
        <v>72</v>
      </c>
      <c r="I77" s="151" t="str">
        <f t="shared" si="9"/>
        <v/>
      </c>
      <c r="J77" s="150">
        <f t="shared" si="10"/>
        <v>-7</v>
      </c>
      <c r="K77" s="150">
        <f t="shared" si="7"/>
        <v>-70</v>
      </c>
      <c r="L77" s="150"/>
      <c r="M77" s="152">
        <f t="shared" si="8"/>
        <v>0</v>
      </c>
    </row>
    <row r="78" spans="1:13" x14ac:dyDescent="0.25">
      <c r="A78" s="166"/>
      <c r="G78" s="136"/>
      <c r="H78" s="150">
        <v>73</v>
      </c>
      <c r="I78" s="151" t="str">
        <f t="shared" si="9"/>
        <v/>
      </c>
      <c r="J78" s="150">
        <f t="shared" si="10"/>
        <v>-7</v>
      </c>
      <c r="K78" s="150">
        <f t="shared" si="7"/>
        <v>-70</v>
      </c>
      <c r="L78" s="150"/>
      <c r="M78" s="152">
        <f t="shared" si="8"/>
        <v>0</v>
      </c>
    </row>
    <row r="79" spans="1:13" x14ac:dyDescent="0.25">
      <c r="A79" s="166"/>
      <c r="G79" s="136"/>
      <c r="H79" s="150">
        <v>74</v>
      </c>
      <c r="I79" s="151" t="str">
        <f t="shared" si="9"/>
        <v/>
      </c>
      <c r="J79" s="150">
        <f t="shared" si="10"/>
        <v>-7</v>
      </c>
      <c r="K79" s="150">
        <f t="shared" si="7"/>
        <v>-70</v>
      </c>
      <c r="L79" s="150"/>
      <c r="M79" s="152">
        <f t="shared" si="8"/>
        <v>0</v>
      </c>
    </row>
    <row r="80" spans="1:13" x14ac:dyDescent="0.25">
      <c r="A80" s="166"/>
      <c r="G80" s="136"/>
      <c r="H80" s="150">
        <v>75</v>
      </c>
      <c r="I80" s="151" t="str">
        <f t="shared" si="9"/>
        <v/>
      </c>
      <c r="J80" s="150">
        <f t="shared" si="10"/>
        <v>-7</v>
      </c>
      <c r="K80" s="150">
        <f t="shared" si="7"/>
        <v>-70</v>
      </c>
      <c r="L80" s="150"/>
      <c r="M80" s="152">
        <f t="shared" si="8"/>
        <v>0</v>
      </c>
    </row>
    <row r="81" spans="1:13" x14ac:dyDescent="0.25">
      <c r="A81" s="166"/>
      <c r="G81" s="136"/>
      <c r="H81" s="150">
        <v>76</v>
      </c>
      <c r="I81" s="151" t="str">
        <f t="shared" si="9"/>
        <v/>
      </c>
      <c r="J81" s="150">
        <f t="shared" si="10"/>
        <v>-7</v>
      </c>
      <c r="K81" s="150">
        <f t="shared" si="7"/>
        <v>-70</v>
      </c>
      <c r="L81" s="150"/>
      <c r="M81" s="152">
        <f t="shared" si="8"/>
        <v>0</v>
      </c>
    </row>
    <row r="82" spans="1:13" x14ac:dyDescent="0.25">
      <c r="A82" s="166"/>
      <c r="G82" s="136"/>
      <c r="H82" s="150">
        <v>77</v>
      </c>
      <c r="I82" s="151" t="str">
        <f t="shared" si="9"/>
        <v/>
      </c>
      <c r="J82" s="150">
        <f t="shared" si="10"/>
        <v>-7</v>
      </c>
      <c r="K82" s="150">
        <f t="shared" si="7"/>
        <v>-70</v>
      </c>
      <c r="L82" s="150"/>
      <c r="M82" s="152">
        <f t="shared" si="8"/>
        <v>0</v>
      </c>
    </row>
    <row r="83" spans="1:13" x14ac:dyDescent="0.25">
      <c r="A83" s="166"/>
      <c r="G83" s="136"/>
      <c r="H83" s="150">
        <v>78</v>
      </c>
      <c r="I83" s="151" t="str">
        <f t="shared" si="9"/>
        <v/>
      </c>
      <c r="J83" s="150">
        <f t="shared" si="10"/>
        <v>-7</v>
      </c>
      <c r="K83" s="150">
        <f t="shared" si="7"/>
        <v>-70</v>
      </c>
      <c r="L83" s="150"/>
      <c r="M83" s="152">
        <f t="shared" si="8"/>
        <v>0</v>
      </c>
    </row>
    <row r="84" spans="1:13" x14ac:dyDescent="0.25">
      <c r="A84" s="166"/>
      <c r="G84" s="136"/>
      <c r="H84" s="150">
        <v>79</v>
      </c>
      <c r="I84" s="151" t="str">
        <f t="shared" si="9"/>
        <v/>
      </c>
      <c r="J84" s="150">
        <f t="shared" si="10"/>
        <v>-7</v>
      </c>
      <c r="K84" s="150">
        <f t="shared" si="7"/>
        <v>-70</v>
      </c>
      <c r="L84" s="150"/>
      <c r="M84" s="152">
        <f t="shared" si="8"/>
        <v>0</v>
      </c>
    </row>
    <row r="85" spans="1:13" x14ac:dyDescent="0.25">
      <c r="A85" s="166"/>
      <c r="G85" s="136"/>
      <c r="H85" s="150">
        <v>80</v>
      </c>
      <c r="I85" s="151" t="str">
        <f t="shared" si="9"/>
        <v/>
      </c>
      <c r="J85" s="150">
        <f t="shared" si="10"/>
        <v>-7</v>
      </c>
      <c r="K85" s="150">
        <f t="shared" si="7"/>
        <v>-70</v>
      </c>
      <c r="L85" s="150"/>
      <c r="M85" s="152">
        <f t="shared" si="8"/>
        <v>0</v>
      </c>
    </row>
    <row r="86" spans="1:13" x14ac:dyDescent="0.25">
      <c r="A86" s="166"/>
      <c r="G86" s="136"/>
      <c r="H86" s="150">
        <v>81</v>
      </c>
      <c r="I86" s="151" t="str">
        <f t="shared" si="9"/>
        <v/>
      </c>
      <c r="J86" s="150">
        <f t="shared" si="10"/>
        <v>-7</v>
      </c>
      <c r="K86" s="150">
        <f t="shared" si="7"/>
        <v>-70</v>
      </c>
      <c r="L86" s="150"/>
      <c r="M86" s="152">
        <f t="shared" si="8"/>
        <v>0</v>
      </c>
    </row>
    <row r="87" spans="1:13" x14ac:dyDescent="0.25">
      <c r="A87" s="166"/>
      <c r="G87" s="136"/>
      <c r="H87" s="150">
        <v>82</v>
      </c>
      <c r="I87" s="151" t="str">
        <f t="shared" si="9"/>
        <v/>
      </c>
      <c r="J87" s="150">
        <f t="shared" si="10"/>
        <v>-7</v>
      </c>
      <c r="K87" s="150">
        <f t="shared" si="7"/>
        <v>-70</v>
      </c>
      <c r="L87" s="150"/>
      <c r="M87" s="152">
        <f t="shared" si="8"/>
        <v>0</v>
      </c>
    </row>
    <row r="88" spans="1:13" x14ac:dyDescent="0.25">
      <c r="A88" s="166"/>
      <c r="G88" s="136"/>
      <c r="H88" s="150">
        <v>83</v>
      </c>
      <c r="I88" s="151" t="str">
        <f t="shared" si="9"/>
        <v/>
      </c>
      <c r="J88" s="150">
        <f t="shared" si="10"/>
        <v>-7</v>
      </c>
      <c r="K88" s="150">
        <f t="shared" si="7"/>
        <v>-70</v>
      </c>
      <c r="L88" s="150"/>
      <c r="M88" s="152">
        <f t="shared" si="8"/>
        <v>0</v>
      </c>
    </row>
    <row r="89" spans="1:13" x14ac:dyDescent="0.25">
      <c r="A89" s="166"/>
      <c r="G89" s="136"/>
      <c r="H89" s="150">
        <v>84</v>
      </c>
      <c r="I89" s="151" t="str">
        <f t="shared" si="9"/>
        <v/>
      </c>
      <c r="J89" s="150">
        <f t="shared" si="10"/>
        <v>-7</v>
      </c>
      <c r="K89" s="150">
        <f t="shared" si="7"/>
        <v>-70</v>
      </c>
      <c r="L89" s="150"/>
      <c r="M89" s="152">
        <f t="shared" si="8"/>
        <v>0</v>
      </c>
    </row>
    <row r="90" spans="1:13" x14ac:dyDescent="0.25">
      <c r="A90" s="166"/>
      <c r="G90" s="136"/>
      <c r="H90" s="150">
        <v>85</v>
      </c>
      <c r="I90" s="151" t="str">
        <f t="shared" si="9"/>
        <v/>
      </c>
      <c r="J90" s="150">
        <f t="shared" si="10"/>
        <v>-7</v>
      </c>
      <c r="K90" s="150">
        <f t="shared" si="7"/>
        <v>-70</v>
      </c>
      <c r="L90" s="150"/>
      <c r="M90" s="152">
        <f t="shared" si="8"/>
        <v>0</v>
      </c>
    </row>
    <row r="91" spans="1:13" x14ac:dyDescent="0.25">
      <c r="A91" s="166"/>
      <c r="G91" s="136"/>
      <c r="H91" s="150">
        <v>86</v>
      </c>
      <c r="I91" s="151" t="str">
        <f t="shared" si="9"/>
        <v/>
      </c>
      <c r="J91" s="150">
        <f t="shared" si="10"/>
        <v>-7</v>
      </c>
      <c r="K91" s="150">
        <f t="shared" si="7"/>
        <v>-70</v>
      </c>
      <c r="L91" s="150"/>
      <c r="M91" s="152">
        <f t="shared" si="8"/>
        <v>0</v>
      </c>
    </row>
    <row r="92" spans="1:13" x14ac:dyDescent="0.25">
      <c r="A92" s="166"/>
      <c r="G92" s="136"/>
      <c r="H92" s="150">
        <v>87</v>
      </c>
      <c r="I92" s="151" t="str">
        <f t="shared" si="9"/>
        <v/>
      </c>
      <c r="J92" s="150">
        <f t="shared" si="10"/>
        <v>-7</v>
      </c>
      <c r="K92" s="150">
        <f t="shared" si="7"/>
        <v>-70</v>
      </c>
      <c r="L92" s="150"/>
      <c r="M92" s="152">
        <f t="shared" si="8"/>
        <v>0</v>
      </c>
    </row>
    <row r="93" spans="1:13" x14ac:dyDescent="0.25">
      <c r="A93" s="166"/>
      <c r="G93" s="136"/>
      <c r="H93" s="150">
        <v>88</v>
      </c>
      <c r="I93" s="151" t="str">
        <f t="shared" si="9"/>
        <v/>
      </c>
      <c r="J93" s="150">
        <f t="shared" si="10"/>
        <v>-7</v>
      </c>
      <c r="K93" s="150">
        <f t="shared" si="7"/>
        <v>-70</v>
      </c>
      <c r="L93" s="150"/>
      <c r="M93" s="152">
        <f t="shared" si="8"/>
        <v>0</v>
      </c>
    </row>
    <row r="94" spans="1:13" x14ac:dyDescent="0.25">
      <c r="A94" s="166"/>
      <c r="G94" s="136"/>
      <c r="H94" s="150">
        <v>89</v>
      </c>
      <c r="I94" s="151" t="str">
        <f t="shared" si="9"/>
        <v/>
      </c>
      <c r="J94" s="150">
        <f t="shared" si="10"/>
        <v>-7</v>
      </c>
      <c r="K94" s="150">
        <f t="shared" si="7"/>
        <v>-70</v>
      </c>
      <c r="L94" s="150"/>
      <c r="M94" s="152">
        <f t="shared" si="8"/>
        <v>0</v>
      </c>
    </row>
    <row r="95" spans="1:13" x14ac:dyDescent="0.25">
      <c r="A95" s="166"/>
      <c r="G95" s="136"/>
      <c r="H95" s="150">
        <v>90</v>
      </c>
      <c r="I95" s="151" t="str">
        <f t="shared" si="9"/>
        <v/>
      </c>
      <c r="J95" s="150">
        <f t="shared" si="10"/>
        <v>-7</v>
      </c>
      <c r="K95" s="150">
        <f t="shared" si="7"/>
        <v>-70</v>
      </c>
      <c r="L95" s="150"/>
      <c r="M95" s="152">
        <f t="shared" si="8"/>
        <v>0</v>
      </c>
    </row>
    <row r="96" spans="1:13" x14ac:dyDescent="0.25">
      <c r="A96" s="166"/>
      <c r="G96" s="136"/>
      <c r="H96" s="150">
        <v>91</v>
      </c>
      <c r="I96" s="151" t="str">
        <f t="shared" si="9"/>
        <v/>
      </c>
      <c r="J96" s="150">
        <f t="shared" si="10"/>
        <v>-7</v>
      </c>
      <c r="K96" s="150">
        <f t="shared" si="7"/>
        <v>-70</v>
      </c>
      <c r="L96" s="150"/>
      <c r="M96" s="152">
        <f t="shared" si="8"/>
        <v>0</v>
      </c>
    </row>
    <row r="97" spans="1:13" x14ac:dyDescent="0.25">
      <c r="A97" s="166"/>
      <c r="G97" s="136"/>
      <c r="H97" s="150">
        <v>92</v>
      </c>
      <c r="I97" s="151" t="str">
        <f t="shared" si="9"/>
        <v/>
      </c>
      <c r="J97" s="150">
        <f t="shared" si="10"/>
        <v>-7</v>
      </c>
      <c r="K97" s="150">
        <f t="shared" si="7"/>
        <v>-70</v>
      </c>
      <c r="L97" s="150"/>
      <c r="M97" s="152">
        <f t="shared" si="8"/>
        <v>0</v>
      </c>
    </row>
    <row r="98" spans="1:13" x14ac:dyDescent="0.25">
      <c r="A98" s="166"/>
      <c r="G98" s="136"/>
      <c r="H98" s="150">
        <v>93</v>
      </c>
      <c r="I98" s="151" t="str">
        <f t="shared" si="9"/>
        <v/>
      </c>
      <c r="J98" s="150">
        <f t="shared" si="10"/>
        <v>-7</v>
      </c>
      <c r="K98" s="150">
        <f t="shared" si="7"/>
        <v>-70</v>
      </c>
      <c r="L98" s="150"/>
      <c r="M98" s="152">
        <f t="shared" si="8"/>
        <v>0</v>
      </c>
    </row>
    <row r="99" spans="1:13" x14ac:dyDescent="0.25">
      <c r="A99" s="166"/>
      <c r="G99" s="136"/>
      <c r="H99" s="150">
        <v>94</v>
      </c>
      <c r="I99" s="151" t="str">
        <f t="shared" si="9"/>
        <v/>
      </c>
      <c r="J99" s="150">
        <f t="shared" si="10"/>
        <v>-7</v>
      </c>
      <c r="K99" s="150">
        <f t="shared" si="7"/>
        <v>-70</v>
      </c>
      <c r="L99" s="150"/>
      <c r="M99" s="152">
        <f t="shared" si="8"/>
        <v>0</v>
      </c>
    </row>
    <row r="100" spans="1:13" x14ac:dyDescent="0.25">
      <c r="A100" s="166"/>
      <c r="G100" s="136"/>
      <c r="H100" s="150">
        <v>95</v>
      </c>
      <c r="I100" s="151" t="str">
        <f t="shared" si="9"/>
        <v/>
      </c>
      <c r="J100" s="150">
        <f t="shared" si="10"/>
        <v>-7</v>
      </c>
      <c r="K100" s="150">
        <f t="shared" si="7"/>
        <v>-70</v>
      </c>
      <c r="L100" s="150"/>
      <c r="M100" s="152">
        <f t="shared" si="8"/>
        <v>0</v>
      </c>
    </row>
    <row r="101" spans="1:13" x14ac:dyDescent="0.25">
      <c r="A101" s="166"/>
      <c r="G101" s="136"/>
      <c r="H101" s="150">
        <v>96</v>
      </c>
      <c r="I101" s="151" t="str">
        <f t="shared" si="9"/>
        <v/>
      </c>
      <c r="J101" s="150">
        <f t="shared" si="10"/>
        <v>-7</v>
      </c>
      <c r="K101" s="150">
        <f t="shared" si="7"/>
        <v>-70</v>
      </c>
      <c r="L101" s="150"/>
      <c r="M101" s="152">
        <f t="shared" si="8"/>
        <v>0</v>
      </c>
    </row>
    <row r="102" spans="1:13" x14ac:dyDescent="0.25">
      <c r="A102" s="166"/>
      <c r="G102" s="136"/>
      <c r="H102" s="150">
        <v>97</v>
      </c>
      <c r="I102" s="151" t="str">
        <f t="shared" si="9"/>
        <v/>
      </c>
      <c r="J102" s="150">
        <f t="shared" si="10"/>
        <v>-7</v>
      </c>
      <c r="K102" s="150">
        <f t="shared" si="7"/>
        <v>-70</v>
      </c>
      <c r="L102" s="150"/>
      <c r="M102" s="152">
        <f t="shared" si="8"/>
        <v>0</v>
      </c>
    </row>
    <row r="103" spans="1:13" x14ac:dyDescent="0.25">
      <c r="A103" s="166"/>
      <c r="G103" s="136"/>
      <c r="H103" s="150">
        <v>98</v>
      </c>
      <c r="I103" s="151" t="str">
        <f t="shared" si="9"/>
        <v/>
      </c>
      <c r="J103" s="150">
        <f t="shared" si="10"/>
        <v>-7</v>
      </c>
      <c r="K103" s="150">
        <f t="shared" si="7"/>
        <v>-70</v>
      </c>
      <c r="L103" s="150"/>
      <c r="M103" s="152">
        <f t="shared" si="8"/>
        <v>0</v>
      </c>
    </row>
    <row r="104" spans="1:13" x14ac:dyDescent="0.25">
      <c r="A104" s="166"/>
      <c r="G104" s="136"/>
      <c r="H104" s="150">
        <v>99</v>
      </c>
      <c r="I104" s="151" t="str">
        <f t="shared" si="9"/>
        <v/>
      </c>
      <c r="J104" s="150">
        <f t="shared" si="10"/>
        <v>-7</v>
      </c>
      <c r="K104" s="150">
        <f t="shared" si="7"/>
        <v>-70</v>
      </c>
      <c r="L104" s="150"/>
      <c r="M104" s="152">
        <f t="shared" si="8"/>
        <v>0</v>
      </c>
    </row>
    <row r="105" spans="1:13" x14ac:dyDescent="0.25">
      <c r="A105" s="166"/>
      <c r="G105" s="136"/>
      <c r="H105" s="150">
        <v>100</v>
      </c>
      <c r="I105" s="151" t="str">
        <f t="shared" si="9"/>
        <v/>
      </c>
      <c r="J105" s="150">
        <f t="shared" si="10"/>
        <v>-7</v>
      </c>
      <c r="K105" s="150">
        <f t="shared" si="7"/>
        <v>-70</v>
      </c>
      <c r="L105" s="150"/>
      <c r="M105" s="152">
        <f t="shared" si="8"/>
        <v>0</v>
      </c>
    </row>
    <row r="106" spans="1:13" x14ac:dyDescent="0.25">
      <c r="A106" s="166"/>
      <c r="G106" s="136"/>
      <c r="H106" s="150">
        <v>101</v>
      </c>
      <c r="I106" s="151" t="str">
        <f t="shared" si="9"/>
        <v/>
      </c>
      <c r="J106" s="150">
        <f t="shared" si="10"/>
        <v>-7</v>
      </c>
      <c r="K106" s="150">
        <f t="shared" si="7"/>
        <v>-70</v>
      </c>
      <c r="L106" s="150"/>
      <c r="M106" s="152">
        <f t="shared" si="8"/>
        <v>0</v>
      </c>
    </row>
    <row r="107" spans="1:13" x14ac:dyDescent="0.25">
      <c r="A107" s="166"/>
      <c r="G107" s="136"/>
      <c r="H107" s="150">
        <v>102</v>
      </c>
      <c r="I107" s="151" t="str">
        <f t="shared" si="9"/>
        <v/>
      </c>
      <c r="J107" s="150">
        <f t="shared" si="10"/>
        <v>-7</v>
      </c>
      <c r="K107" s="150">
        <f t="shared" si="7"/>
        <v>-70</v>
      </c>
      <c r="L107" s="150"/>
      <c r="M107" s="152">
        <f t="shared" si="8"/>
        <v>0</v>
      </c>
    </row>
    <row r="108" spans="1:13" x14ac:dyDescent="0.25">
      <c r="A108" s="166"/>
      <c r="G108" s="136"/>
      <c r="H108" s="150">
        <v>103</v>
      </c>
      <c r="I108" s="151" t="str">
        <f t="shared" si="9"/>
        <v/>
      </c>
      <c r="J108" s="150">
        <f t="shared" si="10"/>
        <v>-7</v>
      </c>
      <c r="K108" s="150">
        <f t="shared" si="7"/>
        <v>-70</v>
      </c>
      <c r="L108" s="150"/>
      <c r="M108" s="152">
        <f t="shared" si="8"/>
        <v>0</v>
      </c>
    </row>
    <row r="109" spans="1:13" x14ac:dyDescent="0.25">
      <c r="A109" s="166"/>
      <c r="G109" s="136"/>
      <c r="H109" s="150">
        <v>104</v>
      </c>
      <c r="I109" s="151" t="str">
        <f t="shared" si="9"/>
        <v/>
      </c>
      <c r="J109" s="150">
        <f t="shared" si="10"/>
        <v>-7</v>
      </c>
      <c r="K109" s="150">
        <f t="shared" si="7"/>
        <v>-70</v>
      </c>
      <c r="L109" s="150"/>
      <c r="M109" s="152">
        <f t="shared" si="8"/>
        <v>0</v>
      </c>
    </row>
    <row r="110" spans="1:13" x14ac:dyDescent="0.25">
      <c r="A110" s="166"/>
      <c r="G110" s="136"/>
      <c r="H110" s="150">
        <v>105</v>
      </c>
      <c r="I110" s="151" t="str">
        <f t="shared" si="9"/>
        <v/>
      </c>
      <c r="J110" s="150">
        <f t="shared" si="10"/>
        <v>-7</v>
      </c>
      <c r="K110" s="150">
        <f t="shared" si="7"/>
        <v>-70</v>
      </c>
      <c r="L110" s="150"/>
      <c r="M110" s="152">
        <f t="shared" si="8"/>
        <v>0</v>
      </c>
    </row>
    <row r="111" spans="1:13" x14ac:dyDescent="0.25">
      <c r="A111" s="166"/>
      <c r="G111" s="136"/>
      <c r="H111" s="150">
        <v>106</v>
      </c>
      <c r="I111" s="151" t="str">
        <f t="shared" si="9"/>
        <v/>
      </c>
      <c r="J111" s="150">
        <f t="shared" si="10"/>
        <v>-7</v>
      </c>
      <c r="K111" s="150">
        <f t="shared" si="7"/>
        <v>-70</v>
      </c>
      <c r="L111" s="150"/>
      <c r="M111" s="152">
        <f t="shared" si="8"/>
        <v>0</v>
      </c>
    </row>
    <row r="112" spans="1:13" x14ac:dyDescent="0.25">
      <c r="A112" s="166"/>
      <c r="G112" s="136"/>
      <c r="H112" s="150">
        <v>107</v>
      </c>
      <c r="I112" s="151" t="str">
        <f t="shared" si="9"/>
        <v/>
      </c>
      <c r="J112" s="150">
        <f t="shared" si="10"/>
        <v>-7</v>
      </c>
      <c r="K112" s="150">
        <f t="shared" si="7"/>
        <v>-70</v>
      </c>
      <c r="L112" s="150"/>
      <c r="M112" s="152">
        <f t="shared" si="8"/>
        <v>0</v>
      </c>
    </row>
    <row r="113" spans="1:13" x14ac:dyDescent="0.25">
      <c r="A113" s="166"/>
      <c r="G113" s="136"/>
      <c r="H113" s="150">
        <v>108</v>
      </c>
      <c r="I113" s="151" t="str">
        <f t="shared" si="9"/>
        <v/>
      </c>
      <c r="J113" s="150">
        <f t="shared" si="10"/>
        <v>-7</v>
      </c>
      <c r="K113" s="150">
        <f t="shared" si="7"/>
        <v>-70</v>
      </c>
      <c r="L113" s="150"/>
      <c r="M113" s="152">
        <f t="shared" si="8"/>
        <v>0</v>
      </c>
    </row>
    <row r="114" spans="1:13" x14ac:dyDescent="0.25">
      <c r="A114" s="166"/>
      <c r="G114" s="136"/>
      <c r="H114" s="150">
        <v>109</v>
      </c>
      <c r="I114" s="151" t="str">
        <f t="shared" si="9"/>
        <v/>
      </c>
      <c r="J114" s="150">
        <f t="shared" si="10"/>
        <v>-7</v>
      </c>
      <c r="K114" s="150">
        <f t="shared" si="7"/>
        <v>-70</v>
      </c>
      <c r="L114" s="150"/>
      <c r="M114" s="152">
        <f t="shared" si="8"/>
        <v>0</v>
      </c>
    </row>
    <row r="115" spans="1:13" x14ac:dyDescent="0.25">
      <c r="A115" s="166"/>
      <c r="G115" s="136"/>
      <c r="H115" s="150">
        <v>110</v>
      </c>
      <c r="I115" s="151" t="str">
        <f t="shared" si="9"/>
        <v/>
      </c>
      <c r="J115" s="150">
        <f t="shared" si="10"/>
        <v>-7</v>
      </c>
      <c r="K115" s="150">
        <f t="shared" si="7"/>
        <v>-70</v>
      </c>
      <c r="L115" s="150"/>
      <c r="M115" s="152">
        <f t="shared" si="8"/>
        <v>0</v>
      </c>
    </row>
    <row r="116" spans="1:13" x14ac:dyDescent="0.25">
      <c r="A116" s="166"/>
      <c r="G116" s="136"/>
      <c r="H116" s="150">
        <v>111</v>
      </c>
      <c r="I116" s="151" t="str">
        <f t="shared" si="9"/>
        <v/>
      </c>
      <c r="J116" s="150">
        <f t="shared" si="10"/>
        <v>-7</v>
      </c>
      <c r="K116" s="150">
        <f t="shared" si="7"/>
        <v>-70</v>
      </c>
      <c r="L116" s="150"/>
      <c r="M116" s="152">
        <f t="shared" si="8"/>
        <v>0</v>
      </c>
    </row>
    <row r="117" spans="1:13" x14ac:dyDescent="0.25">
      <c r="A117" s="166"/>
      <c r="G117" s="136"/>
      <c r="H117" s="150">
        <v>112</v>
      </c>
      <c r="I117" s="151" t="str">
        <f t="shared" si="9"/>
        <v/>
      </c>
      <c r="J117" s="150">
        <f t="shared" si="10"/>
        <v>-7</v>
      </c>
      <c r="K117" s="150">
        <f t="shared" si="7"/>
        <v>-70</v>
      </c>
      <c r="L117" s="150"/>
      <c r="M117" s="152">
        <f t="shared" si="8"/>
        <v>0</v>
      </c>
    </row>
    <row r="118" spans="1:13" x14ac:dyDescent="0.25">
      <c r="A118" s="166"/>
      <c r="G118" s="136"/>
      <c r="H118" s="150">
        <v>113</v>
      </c>
      <c r="I118" s="151" t="str">
        <f t="shared" si="9"/>
        <v/>
      </c>
      <c r="J118" s="150">
        <f t="shared" si="10"/>
        <v>-7</v>
      </c>
      <c r="K118" s="150">
        <f t="shared" si="7"/>
        <v>-70</v>
      </c>
      <c r="L118" s="150"/>
      <c r="M118" s="152">
        <f t="shared" si="8"/>
        <v>0</v>
      </c>
    </row>
    <row r="119" spans="1:13" x14ac:dyDescent="0.25">
      <c r="A119" s="166"/>
      <c r="G119" s="136"/>
      <c r="H119" s="150">
        <v>114</v>
      </c>
      <c r="I119" s="151" t="str">
        <f t="shared" si="9"/>
        <v/>
      </c>
      <c r="J119" s="150">
        <f t="shared" si="10"/>
        <v>-7</v>
      </c>
      <c r="K119" s="150">
        <f t="shared" si="7"/>
        <v>-70</v>
      </c>
      <c r="L119" s="150"/>
      <c r="M119" s="152">
        <f t="shared" si="8"/>
        <v>0</v>
      </c>
    </row>
    <row r="120" spans="1:13" x14ac:dyDescent="0.25">
      <c r="A120" s="166"/>
      <c r="G120" s="136"/>
      <c r="H120" s="150">
        <v>115</v>
      </c>
      <c r="I120" s="151" t="str">
        <f t="shared" si="9"/>
        <v/>
      </c>
      <c r="J120" s="150">
        <f t="shared" si="10"/>
        <v>-7</v>
      </c>
      <c r="K120" s="150">
        <f t="shared" si="7"/>
        <v>-70</v>
      </c>
      <c r="L120" s="150"/>
      <c r="M120" s="152">
        <f t="shared" si="8"/>
        <v>0</v>
      </c>
    </row>
    <row r="121" spans="1:13" x14ac:dyDescent="0.25">
      <c r="A121" s="166"/>
      <c r="G121" s="136"/>
      <c r="H121" s="150">
        <v>116</v>
      </c>
      <c r="I121" s="151" t="str">
        <f t="shared" si="9"/>
        <v/>
      </c>
      <c r="J121" s="150">
        <f t="shared" si="10"/>
        <v>-7</v>
      </c>
      <c r="K121" s="150">
        <f t="shared" si="7"/>
        <v>-70</v>
      </c>
      <c r="L121" s="150"/>
      <c r="M121" s="152">
        <f t="shared" si="8"/>
        <v>0</v>
      </c>
    </row>
    <row r="122" spans="1:13" x14ac:dyDescent="0.25">
      <c r="A122" s="166"/>
      <c r="G122" s="136"/>
      <c r="H122" s="150">
        <v>117</v>
      </c>
      <c r="I122" s="151" t="str">
        <f t="shared" si="9"/>
        <v/>
      </c>
      <c r="J122" s="150">
        <f t="shared" si="10"/>
        <v>-7</v>
      </c>
      <c r="K122" s="150">
        <f t="shared" si="7"/>
        <v>-70</v>
      </c>
      <c r="L122" s="150"/>
      <c r="M122" s="152">
        <f t="shared" si="8"/>
        <v>0</v>
      </c>
    </row>
    <row r="123" spans="1:13" x14ac:dyDescent="0.25">
      <c r="A123" s="166"/>
      <c r="G123" s="136"/>
      <c r="H123" s="150">
        <v>118</v>
      </c>
      <c r="I123" s="151" t="str">
        <f t="shared" si="9"/>
        <v/>
      </c>
      <c r="J123" s="150">
        <f t="shared" si="10"/>
        <v>-7</v>
      </c>
      <c r="K123" s="150">
        <f t="shared" si="7"/>
        <v>-70</v>
      </c>
      <c r="L123" s="150"/>
      <c r="M123" s="152">
        <f t="shared" si="8"/>
        <v>0</v>
      </c>
    </row>
    <row r="124" spans="1:13" x14ac:dyDescent="0.25">
      <c r="A124" s="166"/>
      <c r="G124" s="136"/>
      <c r="H124" s="150">
        <v>119</v>
      </c>
      <c r="I124" s="151" t="str">
        <f t="shared" si="9"/>
        <v/>
      </c>
      <c r="J124" s="150">
        <f t="shared" si="10"/>
        <v>-7</v>
      </c>
      <c r="K124" s="150">
        <f t="shared" si="7"/>
        <v>-70</v>
      </c>
      <c r="L124" s="150"/>
      <c r="M124" s="152">
        <f t="shared" si="8"/>
        <v>0</v>
      </c>
    </row>
    <row r="125" spans="1:13" x14ac:dyDescent="0.25">
      <c r="A125" s="166"/>
      <c r="G125" s="136"/>
      <c r="H125" s="150">
        <v>120</v>
      </c>
      <c r="I125" s="151" t="str">
        <f t="shared" si="9"/>
        <v/>
      </c>
      <c r="J125" s="150">
        <f t="shared" si="10"/>
        <v>-7</v>
      </c>
      <c r="K125" s="150">
        <f t="shared" si="7"/>
        <v>-70</v>
      </c>
      <c r="L125" s="150"/>
      <c r="M125" s="152">
        <f t="shared" si="8"/>
        <v>0</v>
      </c>
    </row>
    <row r="126" spans="1:13" x14ac:dyDescent="0.25">
      <c r="A126" s="166"/>
      <c r="G126" s="136"/>
      <c r="H126" s="150">
        <v>121</v>
      </c>
      <c r="I126" s="151" t="str">
        <f t="shared" si="9"/>
        <v/>
      </c>
      <c r="J126" s="150">
        <f t="shared" si="10"/>
        <v>-7</v>
      </c>
      <c r="K126" s="150">
        <f t="shared" si="7"/>
        <v>-70</v>
      </c>
      <c r="L126" s="150"/>
      <c r="M126" s="152">
        <f t="shared" si="8"/>
        <v>0</v>
      </c>
    </row>
    <row r="127" spans="1:13" x14ac:dyDescent="0.25">
      <c r="A127" s="166"/>
      <c r="G127" s="136"/>
      <c r="H127" s="150">
        <v>122</v>
      </c>
      <c r="I127" s="151" t="str">
        <f t="shared" si="9"/>
        <v/>
      </c>
      <c r="J127" s="150">
        <f t="shared" si="10"/>
        <v>-7</v>
      </c>
      <c r="K127" s="150">
        <f t="shared" si="7"/>
        <v>-70</v>
      </c>
      <c r="L127" s="150"/>
      <c r="M127" s="152">
        <f t="shared" si="8"/>
        <v>0</v>
      </c>
    </row>
    <row r="128" spans="1:13" x14ac:dyDescent="0.25">
      <c r="A128" s="166"/>
      <c r="G128" s="136"/>
      <c r="H128" s="150">
        <v>123</v>
      </c>
      <c r="I128" s="151" t="str">
        <f t="shared" si="9"/>
        <v/>
      </c>
      <c r="J128" s="150">
        <f t="shared" si="10"/>
        <v>-7</v>
      </c>
      <c r="K128" s="150">
        <f t="shared" si="7"/>
        <v>-70</v>
      </c>
      <c r="L128" s="150"/>
      <c r="M128" s="152">
        <f t="shared" si="8"/>
        <v>0</v>
      </c>
    </row>
    <row r="129" spans="1:13" x14ac:dyDescent="0.25">
      <c r="A129" s="166"/>
      <c r="G129" s="136"/>
      <c r="H129" s="150">
        <v>124</v>
      </c>
      <c r="I129" s="151" t="str">
        <f t="shared" si="9"/>
        <v/>
      </c>
      <c r="J129" s="150">
        <f t="shared" si="10"/>
        <v>-7</v>
      </c>
      <c r="K129" s="150">
        <f t="shared" si="7"/>
        <v>-70</v>
      </c>
      <c r="L129" s="150"/>
      <c r="M129" s="152">
        <f t="shared" si="8"/>
        <v>0</v>
      </c>
    </row>
    <row r="130" spans="1:13" x14ac:dyDescent="0.25">
      <c r="A130" s="166"/>
      <c r="G130" s="136"/>
      <c r="H130" s="150">
        <v>125</v>
      </c>
      <c r="I130" s="151" t="str">
        <f t="shared" si="9"/>
        <v/>
      </c>
      <c r="J130" s="150">
        <f t="shared" si="10"/>
        <v>-7</v>
      </c>
      <c r="K130" s="150">
        <f t="shared" si="7"/>
        <v>-70</v>
      </c>
      <c r="L130" s="150"/>
      <c r="M130" s="152">
        <f t="shared" si="8"/>
        <v>0</v>
      </c>
    </row>
    <row r="131" spans="1:13" x14ac:dyDescent="0.25">
      <c r="A131" s="166"/>
      <c r="G131" s="136"/>
      <c r="H131" s="150">
        <v>126</v>
      </c>
      <c r="I131" s="151" t="str">
        <f t="shared" si="9"/>
        <v/>
      </c>
      <c r="J131" s="150">
        <f t="shared" si="10"/>
        <v>-7</v>
      </c>
      <c r="K131" s="150">
        <f t="shared" si="7"/>
        <v>-70</v>
      </c>
      <c r="L131" s="150"/>
      <c r="M131" s="152">
        <f t="shared" si="8"/>
        <v>0</v>
      </c>
    </row>
    <row r="132" spans="1:13" x14ac:dyDescent="0.25">
      <c r="A132" s="166"/>
      <c r="G132" s="136"/>
      <c r="H132" s="150">
        <v>127</v>
      </c>
      <c r="I132" s="151" t="str">
        <f t="shared" si="9"/>
        <v/>
      </c>
      <c r="J132" s="150">
        <f t="shared" si="10"/>
        <v>-7</v>
      </c>
      <c r="K132" s="150">
        <f t="shared" si="7"/>
        <v>-70</v>
      </c>
      <c r="L132" s="150"/>
      <c r="M132" s="152">
        <f t="shared" si="8"/>
        <v>0</v>
      </c>
    </row>
    <row r="133" spans="1:13" x14ac:dyDescent="0.25">
      <c r="A133" s="166"/>
      <c r="G133" s="136"/>
      <c r="H133" s="150">
        <v>128</v>
      </c>
      <c r="I133" s="151" t="str">
        <f t="shared" si="9"/>
        <v/>
      </c>
      <c r="J133" s="150">
        <f t="shared" si="10"/>
        <v>-7</v>
      </c>
      <c r="K133" s="150">
        <f t="shared" si="7"/>
        <v>-70</v>
      </c>
      <c r="L133" s="150"/>
      <c r="M133" s="152">
        <f t="shared" si="8"/>
        <v>0</v>
      </c>
    </row>
    <row r="134" spans="1:13" x14ac:dyDescent="0.25">
      <c r="A134" s="166"/>
      <c r="G134" s="136"/>
      <c r="H134" s="150">
        <v>129</v>
      </c>
      <c r="I134" s="151" t="str">
        <f t="shared" si="9"/>
        <v/>
      </c>
      <c r="J134" s="150">
        <f t="shared" si="10"/>
        <v>-8</v>
      </c>
      <c r="K134" s="150">
        <f t="shared" ref="K134:K197" si="11">J134*$J$2</f>
        <v>-80</v>
      </c>
      <c r="L134" s="150"/>
      <c r="M134" s="152">
        <f t="shared" ref="M134:M197" si="12">IF(I134&lt;&gt;"",K134+I134+L134,0)</f>
        <v>0</v>
      </c>
    </row>
    <row r="135" spans="1:13" x14ac:dyDescent="0.25">
      <c r="A135" s="166"/>
      <c r="G135" s="136"/>
      <c r="H135" s="150">
        <v>130</v>
      </c>
      <c r="I135" s="151" t="str">
        <f t="shared" ref="I135:I198" si="13">IF(H135&lt;$H$2+1,($I$2-($I$2-1)*(LOG(H135)/LOG($H$2))),"")</f>
        <v/>
      </c>
      <c r="J135" s="150">
        <f t="shared" ref="J135:J198" si="14">INT(LOG($H$2,2))-ROUNDUP(LOG(H135,2),0)+IF(OR($H$2=1,$H$2=2,$H$2=4,$H$2=8,$H$2=16,$H$2=32,$H$2=64,$H$2=128,$H$2=256),0,1)</f>
        <v>-8</v>
      </c>
      <c r="K135" s="150">
        <f t="shared" si="11"/>
        <v>-80</v>
      </c>
      <c r="L135" s="150"/>
      <c r="M135" s="152">
        <f t="shared" si="12"/>
        <v>0</v>
      </c>
    </row>
    <row r="136" spans="1:13" x14ac:dyDescent="0.25">
      <c r="A136" s="166"/>
      <c r="G136" s="136"/>
      <c r="H136" s="150">
        <v>131</v>
      </c>
      <c r="I136" s="151" t="str">
        <f t="shared" si="13"/>
        <v/>
      </c>
      <c r="J136" s="150">
        <f t="shared" si="14"/>
        <v>-8</v>
      </c>
      <c r="K136" s="150">
        <f t="shared" si="11"/>
        <v>-80</v>
      </c>
      <c r="L136" s="150"/>
      <c r="M136" s="152">
        <f t="shared" si="12"/>
        <v>0</v>
      </c>
    </row>
    <row r="137" spans="1:13" x14ac:dyDescent="0.25">
      <c r="A137" s="166"/>
      <c r="G137" s="136"/>
      <c r="H137" s="150">
        <v>132</v>
      </c>
      <c r="I137" s="151" t="str">
        <f t="shared" si="13"/>
        <v/>
      </c>
      <c r="J137" s="150">
        <f t="shared" si="14"/>
        <v>-8</v>
      </c>
      <c r="K137" s="150">
        <f t="shared" si="11"/>
        <v>-80</v>
      </c>
      <c r="L137" s="150"/>
      <c r="M137" s="152">
        <f t="shared" si="12"/>
        <v>0</v>
      </c>
    </row>
    <row r="138" spans="1:13" x14ac:dyDescent="0.25">
      <c r="A138" s="166"/>
      <c r="G138" s="136"/>
      <c r="H138" s="150">
        <v>133</v>
      </c>
      <c r="I138" s="151" t="str">
        <f t="shared" si="13"/>
        <v/>
      </c>
      <c r="J138" s="150">
        <f t="shared" si="14"/>
        <v>-8</v>
      </c>
      <c r="K138" s="150">
        <f t="shared" si="11"/>
        <v>-80</v>
      </c>
      <c r="L138" s="150"/>
      <c r="M138" s="152">
        <f t="shared" si="12"/>
        <v>0</v>
      </c>
    </row>
    <row r="139" spans="1:13" x14ac:dyDescent="0.25">
      <c r="A139" s="166"/>
      <c r="G139" s="136"/>
      <c r="H139" s="150">
        <v>134</v>
      </c>
      <c r="I139" s="151" t="str">
        <f t="shared" si="13"/>
        <v/>
      </c>
      <c r="J139" s="150">
        <f t="shared" si="14"/>
        <v>-8</v>
      </c>
      <c r="K139" s="150">
        <f t="shared" si="11"/>
        <v>-80</v>
      </c>
      <c r="L139" s="150"/>
      <c r="M139" s="152">
        <f t="shared" si="12"/>
        <v>0</v>
      </c>
    </row>
    <row r="140" spans="1:13" x14ac:dyDescent="0.25">
      <c r="A140" s="166"/>
      <c r="G140" s="136"/>
      <c r="H140" s="150">
        <v>135</v>
      </c>
      <c r="I140" s="151" t="str">
        <f t="shared" si="13"/>
        <v/>
      </c>
      <c r="J140" s="150">
        <f t="shared" si="14"/>
        <v>-8</v>
      </c>
      <c r="K140" s="150">
        <f t="shared" si="11"/>
        <v>-80</v>
      </c>
      <c r="L140" s="150"/>
      <c r="M140" s="152">
        <f t="shared" si="12"/>
        <v>0</v>
      </c>
    </row>
    <row r="141" spans="1:13" x14ac:dyDescent="0.25">
      <c r="A141" s="166"/>
      <c r="G141" s="136"/>
      <c r="H141" s="150">
        <v>136</v>
      </c>
      <c r="I141" s="151" t="str">
        <f t="shared" si="13"/>
        <v/>
      </c>
      <c r="J141" s="150">
        <f t="shared" si="14"/>
        <v>-8</v>
      </c>
      <c r="K141" s="150">
        <f t="shared" si="11"/>
        <v>-80</v>
      </c>
      <c r="L141" s="150"/>
      <c r="M141" s="152">
        <f t="shared" si="12"/>
        <v>0</v>
      </c>
    </row>
    <row r="142" spans="1:13" x14ac:dyDescent="0.25">
      <c r="A142" s="166"/>
      <c r="G142" s="136"/>
      <c r="H142" s="150">
        <v>137</v>
      </c>
      <c r="I142" s="151" t="str">
        <f t="shared" si="13"/>
        <v/>
      </c>
      <c r="J142" s="150">
        <f t="shared" si="14"/>
        <v>-8</v>
      </c>
      <c r="K142" s="150">
        <f t="shared" si="11"/>
        <v>-80</v>
      </c>
      <c r="L142" s="150"/>
      <c r="M142" s="152">
        <f t="shared" si="12"/>
        <v>0</v>
      </c>
    </row>
    <row r="143" spans="1:13" x14ac:dyDescent="0.25">
      <c r="A143" s="166"/>
      <c r="G143" s="136"/>
      <c r="H143" s="150">
        <v>138</v>
      </c>
      <c r="I143" s="151" t="str">
        <f t="shared" si="13"/>
        <v/>
      </c>
      <c r="J143" s="150">
        <f t="shared" si="14"/>
        <v>-8</v>
      </c>
      <c r="K143" s="150">
        <f t="shared" si="11"/>
        <v>-80</v>
      </c>
      <c r="L143" s="150"/>
      <c r="M143" s="152">
        <f t="shared" si="12"/>
        <v>0</v>
      </c>
    </row>
    <row r="144" spans="1:13" x14ac:dyDescent="0.25">
      <c r="A144" s="166"/>
      <c r="G144" s="136"/>
      <c r="H144" s="150">
        <v>139</v>
      </c>
      <c r="I144" s="151" t="str">
        <f t="shared" si="13"/>
        <v/>
      </c>
      <c r="J144" s="150">
        <f t="shared" si="14"/>
        <v>-8</v>
      </c>
      <c r="K144" s="150">
        <f t="shared" si="11"/>
        <v>-80</v>
      </c>
      <c r="L144" s="150"/>
      <c r="M144" s="152">
        <f t="shared" si="12"/>
        <v>0</v>
      </c>
    </row>
    <row r="145" spans="1:13" x14ac:dyDescent="0.25">
      <c r="A145" s="166"/>
      <c r="G145" s="136"/>
      <c r="H145" s="150">
        <v>140</v>
      </c>
      <c r="I145" s="151" t="str">
        <f t="shared" si="13"/>
        <v/>
      </c>
      <c r="J145" s="150">
        <f t="shared" si="14"/>
        <v>-8</v>
      </c>
      <c r="K145" s="150">
        <f t="shared" si="11"/>
        <v>-80</v>
      </c>
      <c r="L145" s="150"/>
      <c r="M145" s="152">
        <f t="shared" si="12"/>
        <v>0</v>
      </c>
    </row>
    <row r="146" spans="1:13" x14ac:dyDescent="0.25">
      <c r="A146" s="166"/>
      <c r="G146" s="136"/>
      <c r="H146" s="150">
        <v>141</v>
      </c>
      <c r="I146" s="151" t="str">
        <f t="shared" si="13"/>
        <v/>
      </c>
      <c r="J146" s="150">
        <f t="shared" si="14"/>
        <v>-8</v>
      </c>
      <c r="K146" s="150">
        <f t="shared" si="11"/>
        <v>-80</v>
      </c>
      <c r="L146" s="150"/>
      <c r="M146" s="152">
        <f t="shared" si="12"/>
        <v>0</v>
      </c>
    </row>
    <row r="147" spans="1:13" x14ac:dyDescent="0.25">
      <c r="A147" s="166"/>
      <c r="G147" s="136"/>
      <c r="H147" s="150">
        <v>142</v>
      </c>
      <c r="I147" s="151" t="str">
        <f t="shared" si="13"/>
        <v/>
      </c>
      <c r="J147" s="150">
        <f t="shared" si="14"/>
        <v>-8</v>
      </c>
      <c r="K147" s="150">
        <f t="shared" si="11"/>
        <v>-80</v>
      </c>
      <c r="L147" s="150"/>
      <c r="M147" s="152">
        <f t="shared" si="12"/>
        <v>0</v>
      </c>
    </row>
    <row r="148" spans="1:13" x14ac:dyDescent="0.25">
      <c r="A148" s="166"/>
      <c r="G148" s="136"/>
      <c r="H148" s="150">
        <v>143</v>
      </c>
      <c r="I148" s="151" t="str">
        <f t="shared" si="13"/>
        <v/>
      </c>
      <c r="J148" s="150">
        <f t="shared" si="14"/>
        <v>-8</v>
      </c>
      <c r="K148" s="150">
        <f t="shared" si="11"/>
        <v>-80</v>
      </c>
      <c r="L148" s="150"/>
      <c r="M148" s="152">
        <f t="shared" si="12"/>
        <v>0</v>
      </c>
    </row>
    <row r="149" spans="1:13" x14ac:dyDescent="0.25">
      <c r="A149" s="166"/>
      <c r="G149" s="136"/>
      <c r="H149" s="150">
        <v>144</v>
      </c>
      <c r="I149" s="151" t="str">
        <f t="shared" si="13"/>
        <v/>
      </c>
      <c r="J149" s="150">
        <f t="shared" si="14"/>
        <v>-8</v>
      </c>
      <c r="K149" s="150">
        <f t="shared" si="11"/>
        <v>-80</v>
      </c>
      <c r="L149" s="150"/>
      <c r="M149" s="152">
        <f t="shared" si="12"/>
        <v>0</v>
      </c>
    </row>
    <row r="150" spans="1:13" x14ac:dyDescent="0.25">
      <c r="A150" s="166"/>
      <c r="G150" s="136"/>
      <c r="H150" s="150">
        <v>145</v>
      </c>
      <c r="I150" s="151" t="str">
        <f t="shared" si="13"/>
        <v/>
      </c>
      <c r="J150" s="150">
        <f t="shared" si="14"/>
        <v>-8</v>
      </c>
      <c r="K150" s="150">
        <f t="shared" si="11"/>
        <v>-80</v>
      </c>
      <c r="L150" s="150"/>
      <c r="M150" s="152">
        <f t="shared" si="12"/>
        <v>0</v>
      </c>
    </row>
    <row r="151" spans="1:13" x14ac:dyDescent="0.25">
      <c r="A151" s="166"/>
      <c r="G151" s="136"/>
      <c r="H151" s="150">
        <v>146</v>
      </c>
      <c r="I151" s="151" t="str">
        <f t="shared" si="13"/>
        <v/>
      </c>
      <c r="J151" s="150">
        <f t="shared" si="14"/>
        <v>-8</v>
      </c>
      <c r="K151" s="150">
        <f t="shared" si="11"/>
        <v>-80</v>
      </c>
      <c r="L151" s="150"/>
      <c r="M151" s="152">
        <f t="shared" si="12"/>
        <v>0</v>
      </c>
    </row>
    <row r="152" spans="1:13" x14ac:dyDescent="0.25">
      <c r="A152" s="166"/>
      <c r="G152" s="136"/>
      <c r="H152" s="150">
        <v>147</v>
      </c>
      <c r="I152" s="151" t="str">
        <f t="shared" si="13"/>
        <v/>
      </c>
      <c r="J152" s="150">
        <f t="shared" si="14"/>
        <v>-8</v>
      </c>
      <c r="K152" s="150">
        <f t="shared" si="11"/>
        <v>-80</v>
      </c>
      <c r="L152" s="150"/>
      <c r="M152" s="152">
        <f t="shared" si="12"/>
        <v>0</v>
      </c>
    </row>
    <row r="153" spans="1:13" x14ac:dyDescent="0.25">
      <c r="A153" s="166"/>
      <c r="G153" s="136"/>
      <c r="H153" s="150">
        <v>148</v>
      </c>
      <c r="I153" s="151" t="str">
        <f t="shared" si="13"/>
        <v/>
      </c>
      <c r="J153" s="150">
        <f t="shared" si="14"/>
        <v>-8</v>
      </c>
      <c r="K153" s="150">
        <f t="shared" si="11"/>
        <v>-80</v>
      </c>
      <c r="L153" s="150"/>
      <c r="M153" s="152">
        <f t="shared" si="12"/>
        <v>0</v>
      </c>
    </row>
    <row r="154" spans="1:13" x14ac:dyDescent="0.25">
      <c r="A154" s="166"/>
      <c r="G154" s="136"/>
      <c r="H154" s="150">
        <v>149</v>
      </c>
      <c r="I154" s="151" t="str">
        <f t="shared" si="13"/>
        <v/>
      </c>
      <c r="J154" s="150">
        <f t="shared" si="14"/>
        <v>-8</v>
      </c>
      <c r="K154" s="150">
        <f t="shared" si="11"/>
        <v>-80</v>
      </c>
      <c r="L154" s="150"/>
      <c r="M154" s="152">
        <f t="shared" si="12"/>
        <v>0</v>
      </c>
    </row>
    <row r="155" spans="1:13" x14ac:dyDescent="0.25">
      <c r="A155" s="166"/>
      <c r="G155" s="136"/>
      <c r="H155" s="150">
        <v>150</v>
      </c>
      <c r="I155" s="151" t="str">
        <f t="shared" si="13"/>
        <v/>
      </c>
      <c r="J155" s="150">
        <f t="shared" si="14"/>
        <v>-8</v>
      </c>
      <c r="K155" s="150">
        <f t="shared" si="11"/>
        <v>-80</v>
      </c>
      <c r="L155" s="150"/>
      <c r="M155" s="152">
        <f t="shared" si="12"/>
        <v>0</v>
      </c>
    </row>
    <row r="156" spans="1:13" x14ac:dyDescent="0.25">
      <c r="A156" s="166"/>
      <c r="G156" s="136"/>
      <c r="H156" s="150">
        <v>151</v>
      </c>
      <c r="I156" s="151" t="str">
        <f t="shared" si="13"/>
        <v/>
      </c>
      <c r="J156" s="150">
        <f t="shared" si="14"/>
        <v>-8</v>
      </c>
      <c r="K156" s="150">
        <f t="shared" si="11"/>
        <v>-80</v>
      </c>
      <c r="L156" s="150"/>
      <c r="M156" s="152">
        <f t="shared" si="12"/>
        <v>0</v>
      </c>
    </row>
    <row r="157" spans="1:13" x14ac:dyDescent="0.25">
      <c r="A157" s="166"/>
      <c r="G157" s="136"/>
      <c r="H157" s="150">
        <v>152</v>
      </c>
      <c r="I157" s="151" t="str">
        <f t="shared" si="13"/>
        <v/>
      </c>
      <c r="J157" s="150">
        <f t="shared" si="14"/>
        <v>-8</v>
      </c>
      <c r="K157" s="150">
        <f t="shared" si="11"/>
        <v>-80</v>
      </c>
      <c r="L157" s="150"/>
      <c r="M157" s="152">
        <f t="shared" si="12"/>
        <v>0</v>
      </c>
    </row>
    <row r="158" spans="1:13" x14ac:dyDescent="0.25">
      <c r="A158" s="166"/>
      <c r="G158" s="136"/>
      <c r="H158" s="150">
        <v>153</v>
      </c>
      <c r="I158" s="151" t="str">
        <f t="shared" si="13"/>
        <v/>
      </c>
      <c r="J158" s="150">
        <f t="shared" si="14"/>
        <v>-8</v>
      </c>
      <c r="K158" s="150">
        <f t="shared" si="11"/>
        <v>-80</v>
      </c>
      <c r="L158" s="150"/>
      <c r="M158" s="152">
        <f t="shared" si="12"/>
        <v>0</v>
      </c>
    </row>
    <row r="159" spans="1:13" x14ac:dyDescent="0.25">
      <c r="A159" s="166"/>
      <c r="G159" s="136"/>
      <c r="H159" s="150">
        <v>154</v>
      </c>
      <c r="I159" s="151" t="str">
        <f t="shared" si="13"/>
        <v/>
      </c>
      <c r="J159" s="150">
        <f t="shared" si="14"/>
        <v>-8</v>
      </c>
      <c r="K159" s="150">
        <f t="shared" si="11"/>
        <v>-80</v>
      </c>
      <c r="L159" s="150"/>
      <c r="M159" s="152">
        <f t="shared" si="12"/>
        <v>0</v>
      </c>
    </row>
    <row r="160" spans="1:13" x14ac:dyDescent="0.25">
      <c r="A160" s="166"/>
      <c r="G160" s="136"/>
      <c r="H160" s="150">
        <v>155</v>
      </c>
      <c r="I160" s="151" t="str">
        <f t="shared" si="13"/>
        <v/>
      </c>
      <c r="J160" s="150">
        <f t="shared" si="14"/>
        <v>-8</v>
      </c>
      <c r="K160" s="150">
        <f t="shared" si="11"/>
        <v>-80</v>
      </c>
      <c r="L160" s="150"/>
      <c r="M160" s="152">
        <f t="shared" si="12"/>
        <v>0</v>
      </c>
    </row>
    <row r="161" spans="1:13" x14ac:dyDescent="0.25">
      <c r="A161" s="166"/>
      <c r="G161" s="136"/>
      <c r="H161" s="150">
        <v>156</v>
      </c>
      <c r="I161" s="151" t="str">
        <f t="shared" si="13"/>
        <v/>
      </c>
      <c r="J161" s="150">
        <f t="shared" si="14"/>
        <v>-8</v>
      </c>
      <c r="K161" s="150">
        <f t="shared" si="11"/>
        <v>-80</v>
      </c>
      <c r="L161" s="150"/>
      <c r="M161" s="152">
        <f t="shared" si="12"/>
        <v>0</v>
      </c>
    </row>
    <row r="162" spans="1:13" x14ac:dyDescent="0.25">
      <c r="A162" s="166"/>
      <c r="G162" s="136"/>
      <c r="H162" s="150">
        <v>157</v>
      </c>
      <c r="I162" s="151" t="str">
        <f t="shared" si="13"/>
        <v/>
      </c>
      <c r="J162" s="150">
        <f t="shared" si="14"/>
        <v>-8</v>
      </c>
      <c r="K162" s="150">
        <f t="shared" si="11"/>
        <v>-80</v>
      </c>
      <c r="L162" s="150"/>
      <c r="M162" s="152">
        <f t="shared" si="12"/>
        <v>0</v>
      </c>
    </row>
    <row r="163" spans="1:13" x14ac:dyDescent="0.25">
      <c r="A163" s="166"/>
      <c r="G163" s="136"/>
      <c r="H163" s="150">
        <v>158</v>
      </c>
      <c r="I163" s="151" t="str">
        <f t="shared" si="13"/>
        <v/>
      </c>
      <c r="J163" s="150">
        <f t="shared" si="14"/>
        <v>-8</v>
      </c>
      <c r="K163" s="150">
        <f t="shared" si="11"/>
        <v>-80</v>
      </c>
      <c r="L163" s="150"/>
      <c r="M163" s="152">
        <f t="shared" si="12"/>
        <v>0</v>
      </c>
    </row>
    <row r="164" spans="1:13" x14ac:dyDescent="0.25">
      <c r="A164" s="166"/>
      <c r="G164" s="136"/>
      <c r="H164" s="150">
        <v>159</v>
      </c>
      <c r="I164" s="151" t="str">
        <f t="shared" si="13"/>
        <v/>
      </c>
      <c r="J164" s="150">
        <f t="shared" si="14"/>
        <v>-8</v>
      </c>
      <c r="K164" s="150">
        <f t="shared" si="11"/>
        <v>-80</v>
      </c>
      <c r="L164" s="150"/>
      <c r="M164" s="152">
        <f t="shared" si="12"/>
        <v>0</v>
      </c>
    </row>
    <row r="165" spans="1:13" x14ac:dyDescent="0.25">
      <c r="A165" s="166"/>
      <c r="G165" s="136"/>
      <c r="H165" s="150">
        <v>160</v>
      </c>
      <c r="I165" s="151" t="str">
        <f t="shared" si="13"/>
        <v/>
      </c>
      <c r="J165" s="150">
        <f t="shared" si="14"/>
        <v>-8</v>
      </c>
      <c r="K165" s="150">
        <f t="shared" si="11"/>
        <v>-80</v>
      </c>
      <c r="L165" s="150"/>
      <c r="M165" s="152">
        <f t="shared" si="12"/>
        <v>0</v>
      </c>
    </row>
    <row r="166" spans="1:13" x14ac:dyDescent="0.25">
      <c r="A166" s="166"/>
      <c r="G166" s="136"/>
      <c r="H166" s="150">
        <v>161</v>
      </c>
      <c r="I166" s="151" t="str">
        <f t="shared" si="13"/>
        <v/>
      </c>
      <c r="J166" s="150">
        <f t="shared" si="14"/>
        <v>-8</v>
      </c>
      <c r="K166" s="150">
        <f t="shared" si="11"/>
        <v>-80</v>
      </c>
      <c r="L166" s="150"/>
      <c r="M166" s="152">
        <f t="shared" si="12"/>
        <v>0</v>
      </c>
    </row>
    <row r="167" spans="1:13" x14ac:dyDescent="0.25">
      <c r="A167" s="166"/>
      <c r="G167" s="136"/>
      <c r="H167" s="150">
        <v>162</v>
      </c>
      <c r="I167" s="151" t="str">
        <f t="shared" si="13"/>
        <v/>
      </c>
      <c r="J167" s="150">
        <f t="shared" si="14"/>
        <v>-8</v>
      </c>
      <c r="K167" s="150">
        <f t="shared" si="11"/>
        <v>-80</v>
      </c>
      <c r="L167" s="150"/>
      <c r="M167" s="152">
        <f t="shared" si="12"/>
        <v>0</v>
      </c>
    </row>
    <row r="168" spans="1:13" x14ac:dyDescent="0.25">
      <c r="A168" s="166"/>
      <c r="G168" s="136"/>
      <c r="H168" s="150">
        <v>163</v>
      </c>
      <c r="I168" s="151" t="str">
        <f t="shared" si="13"/>
        <v/>
      </c>
      <c r="J168" s="150">
        <f t="shared" si="14"/>
        <v>-8</v>
      </c>
      <c r="K168" s="150">
        <f t="shared" si="11"/>
        <v>-80</v>
      </c>
      <c r="L168" s="150"/>
      <c r="M168" s="152">
        <f t="shared" si="12"/>
        <v>0</v>
      </c>
    </row>
    <row r="169" spans="1:13" x14ac:dyDescent="0.25">
      <c r="A169" s="166"/>
      <c r="G169" s="136"/>
      <c r="H169" s="150">
        <v>164</v>
      </c>
      <c r="I169" s="151" t="str">
        <f t="shared" si="13"/>
        <v/>
      </c>
      <c r="J169" s="150">
        <f t="shared" si="14"/>
        <v>-8</v>
      </c>
      <c r="K169" s="150">
        <f t="shared" si="11"/>
        <v>-80</v>
      </c>
      <c r="L169" s="150"/>
      <c r="M169" s="152">
        <f t="shared" si="12"/>
        <v>0</v>
      </c>
    </row>
    <row r="170" spans="1:13" x14ac:dyDescent="0.25">
      <c r="A170" s="166"/>
      <c r="G170" s="136"/>
      <c r="H170" s="150">
        <v>165</v>
      </c>
      <c r="I170" s="151" t="str">
        <f t="shared" si="13"/>
        <v/>
      </c>
      <c r="J170" s="150">
        <f t="shared" si="14"/>
        <v>-8</v>
      </c>
      <c r="K170" s="150">
        <f t="shared" si="11"/>
        <v>-80</v>
      </c>
      <c r="L170" s="150"/>
      <c r="M170" s="152">
        <f t="shared" si="12"/>
        <v>0</v>
      </c>
    </row>
    <row r="171" spans="1:13" x14ac:dyDescent="0.25">
      <c r="A171" s="166"/>
      <c r="G171" s="136"/>
      <c r="H171" s="150">
        <v>166</v>
      </c>
      <c r="I171" s="151" t="str">
        <f t="shared" si="13"/>
        <v/>
      </c>
      <c r="J171" s="150">
        <f t="shared" si="14"/>
        <v>-8</v>
      </c>
      <c r="K171" s="150">
        <f t="shared" si="11"/>
        <v>-80</v>
      </c>
      <c r="L171" s="150"/>
      <c r="M171" s="152">
        <f t="shared" si="12"/>
        <v>0</v>
      </c>
    </row>
    <row r="172" spans="1:13" x14ac:dyDescent="0.25">
      <c r="A172" s="166"/>
      <c r="G172" s="136"/>
      <c r="H172" s="150">
        <v>167</v>
      </c>
      <c r="I172" s="151" t="str">
        <f t="shared" si="13"/>
        <v/>
      </c>
      <c r="J172" s="150">
        <f t="shared" si="14"/>
        <v>-8</v>
      </c>
      <c r="K172" s="150">
        <f t="shared" si="11"/>
        <v>-80</v>
      </c>
      <c r="L172" s="150"/>
      <c r="M172" s="152">
        <f t="shared" si="12"/>
        <v>0</v>
      </c>
    </row>
    <row r="173" spans="1:13" x14ac:dyDescent="0.25">
      <c r="A173" s="166"/>
      <c r="G173" s="136"/>
      <c r="H173" s="150">
        <v>168</v>
      </c>
      <c r="I173" s="151" t="str">
        <f t="shared" si="13"/>
        <v/>
      </c>
      <c r="J173" s="150">
        <f t="shared" si="14"/>
        <v>-8</v>
      </c>
      <c r="K173" s="150">
        <f t="shared" si="11"/>
        <v>-80</v>
      </c>
      <c r="L173" s="150"/>
      <c r="M173" s="152">
        <f t="shared" si="12"/>
        <v>0</v>
      </c>
    </row>
    <row r="174" spans="1:13" x14ac:dyDescent="0.25">
      <c r="A174" s="166"/>
      <c r="G174" s="136"/>
      <c r="H174" s="150">
        <v>169</v>
      </c>
      <c r="I174" s="151" t="str">
        <f t="shared" si="13"/>
        <v/>
      </c>
      <c r="J174" s="150">
        <f t="shared" si="14"/>
        <v>-8</v>
      </c>
      <c r="K174" s="150">
        <f t="shared" si="11"/>
        <v>-80</v>
      </c>
      <c r="L174" s="150"/>
      <c r="M174" s="152">
        <f t="shared" si="12"/>
        <v>0</v>
      </c>
    </row>
    <row r="175" spans="1:13" x14ac:dyDescent="0.25">
      <c r="A175" s="166"/>
      <c r="G175" s="136"/>
      <c r="H175" s="150">
        <v>170</v>
      </c>
      <c r="I175" s="151" t="str">
        <f t="shared" si="13"/>
        <v/>
      </c>
      <c r="J175" s="150">
        <f t="shared" si="14"/>
        <v>-8</v>
      </c>
      <c r="K175" s="150">
        <f t="shared" si="11"/>
        <v>-80</v>
      </c>
      <c r="L175" s="150"/>
      <c r="M175" s="152">
        <f t="shared" si="12"/>
        <v>0</v>
      </c>
    </row>
    <row r="176" spans="1:13" x14ac:dyDescent="0.25">
      <c r="A176" s="166"/>
      <c r="G176" s="136"/>
      <c r="H176" s="150">
        <v>171</v>
      </c>
      <c r="I176" s="151" t="str">
        <f t="shared" si="13"/>
        <v/>
      </c>
      <c r="J176" s="150">
        <f t="shared" si="14"/>
        <v>-8</v>
      </c>
      <c r="K176" s="150">
        <f t="shared" si="11"/>
        <v>-80</v>
      </c>
      <c r="L176" s="150"/>
      <c r="M176" s="152">
        <f t="shared" si="12"/>
        <v>0</v>
      </c>
    </row>
    <row r="177" spans="1:13" x14ac:dyDescent="0.25">
      <c r="A177" s="166"/>
      <c r="G177" s="136"/>
      <c r="H177" s="150">
        <v>172</v>
      </c>
      <c r="I177" s="151" t="str">
        <f t="shared" si="13"/>
        <v/>
      </c>
      <c r="J177" s="150">
        <f t="shared" si="14"/>
        <v>-8</v>
      </c>
      <c r="K177" s="150">
        <f t="shared" si="11"/>
        <v>-80</v>
      </c>
      <c r="L177" s="150"/>
      <c r="M177" s="152">
        <f t="shared" si="12"/>
        <v>0</v>
      </c>
    </row>
    <row r="178" spans="1:13" x14ac:dyDescent="0.25">
      <c r="A178" s="166"/>
      <c r="G178" s="136"/>
      <c r="H178" s="150">
        <v>173</v>
      </c>
      <c r="I178" s="151" t="str">
        <f t="shared" si="13"/>
        <v/>
      </c>
      <c r="J178" s="150">
        <f t="shared" si="14"/>
        <v>-8</v>
      </c>
      <c r="K178" s="150">
        <f t="shared" si="11"/>
        <v>-80</v>
      </c>
      <c r="L178" s="150"/>
      <c r="M178" s="152">
        <f t="shared" si="12"/>
        <v>0</v>
      </c>
    </row>
    <row r="179" spans="1:13" x14ac:dyDescent="0.25">
      <c r="A179" s="166"/>
      <c r="G179" s="136"/>
      <c r="H179" s="150">
        <v>174</v>
      </c>
      <c r="I179" s="151" t="str">
        <f t="shared" si="13"/>
        <v/>
      </c>
      <c r="J179" s="150">
        <f t="shared" si="14"/>
        <v>-8</v>
      </c>
      <c r="K179" s="150">
        <f t="shared" si="11"/>
        <v>-80</v>
      </c>
      <c r="L179" s="150"/>
      <c r="M179" s="152">
        <f t="shared" si="12"/>
        <v>0</v>
      </c>
    </row>
    <row r="180" spans="1:13" x14ac:dyDescent="0.25">
      <c r="A180" s="166"/>
      <c r="G180" s="136"/>
      <c r="H180" s="150">
        <v>175</v>
      </c>
      <c r="I180" s="151" t="str">
        <f t="shared" si="13"/>
        <v/>
      </c>
      <c r="J180" s="150">
        <f t="shared" si="14"/>
        <v>-8</v>
      </c>
      <c r="K180" s="150">
        <f t="shared" si="11"/>
        <v>-80</v>
      </c>
      <c r="L180" s="150"/>
      <c r="M180" s="152">
        <f t="shared" si="12"/>
        <v>0</v>
      </c>
    </row>
    <row r="181" spans="1:13" x14ac:dyDescent="0.25">
      <c r="A181" s="166"/>
      <c r="G181" s="136"/>
      <c r="H181" s="150">
        <v>176</v>
      </c>
      <c r="I181" s="151" t="str">
        <f t="shared" si="13"/>
        <v/>
      </c>
      <c r="J181" s="150">
        <f t="shared" si="14"/>
        <v>-8</v>
      </c>
      <c r="K181" s="150">
        <f t="shared" si="11"/>
        <v>-80</v>
      </c>
      <c r="L181" s="150"/>
      <c r="M181" s="152">
        <f t="shared" si="12"/>
        <v>0</v>
      </c>
    </row>
    <row r="182" spans="1:13" x14ac:dyDescent="0.25">
      <c r="A182" s="166"/>
      <c r="G182" s="136"/>
      <c r="H182" s="150">
        <v>177</v>
      </c>
      <c r="I182" s="151" t="str">
        <f t="shared" si="13"/>
        <v/>
      </c>
      <c r="J182" s="150">
        <f t="shared" si="14"/>
        <v>-8</v>
      </c>
      <c r="K182" s="150">
        <f t="shared" si="11"/>
        <v>-80</v>
      </c>
      <c r="L182" s="150"/>
      <c r="M182" s="152">
        <f t="shared" si="12"/>
        <v>0</v>
      </c>
    </row>
    <row r="183" spans="1:13" x14ac:dyDescent="0.25">
      <c r="A183" s="166"/>
      <c r="G183" s="136"/>
      <c r="H183" s="150">
        <v>178</v>
      </c>
      <c r="I183" s="151" t="str">
        <f t="shared" si="13"/>
        <v/>
      </c>
      <c r="J183" s="150">
        <f t="shared" si="14"/>
        <v>-8</v>
      </c>
      <c r="K183" s="150">
        <f t="shared" si="11"/>
        <v>-80</v>
      </c>
      <c r="L183" s="150"/>
      <c r="M183" s="152">
        <f t="shared" si="12"/>
        <v>0</v>
      </c>
    </row>
    <row r="184" spans="1:13" x14ac:dyDescent="0.25">
      <c r="A184" s="166"/>
      <c r="G184" s="136"/>
      <c r="H184" s="150">
        <v>179</v>
      </c>
      <c r="I184" s="151" t="str">
        <f t="shared" si="13"/>
        <v/>
      </c>
      <c r="J184" s="150">
        <f t="shared" si="14"/>
        <v>-8</v>
      </c>
      <c r="K184" s="150">
        <f t="shared" si="11"/>
        <v>-80</v>
      </c>
      <c r="L184" s="150"/>
      <c r="M184" s="152">
        <f t="shared" si="12"/>
        <v>0</v>
      </c>
    </row>
    <row r="185" spans="1:13" x14ac:dyDescent="0.25">
      <c r="A185" s="166"/>
      <c r="G185" s="136"/>
      <c r="H185" s="150">
        <v>180</v>
      </c>
      <c r="I185" s="151" t="str">
        <f t="shared" si="13"/>
        <v/>
      </c>
      <c r="J185" s="150">
        <f t="shared" si="14"/>
        <v>-8</v>
      </c>
      <c r="K185" s="150">
        <f t="shared" si="11"/>
        <v>-80</v>
      </c>
      <c r="L185" s="150"/>
      <c r="M185" s="152">
        <f t="shared" si="12"/>
        <v>0</v>
      </c>
    </row>
    <row r="186" spans="1:13" x14ac:dyDescent="0.25">
      <c r="A186" s="166"/>
      <c r="G186" s="136"/>
      <c r="H186" s="150">
        <v>181</v>
      </c>
      <c r="I186" s="151" t="str">
        <f t="shared" si="13"/>
        <v/>
      </c>
      <c r="J186" s="150">
        <f t="shared" si="14"/>
        <v>-8</v>
      </c>
      <c r="K186" s="150">
        <f t="shared" si="11"/>
        <v>-80</v>
      </c>
      <c r="L186" s="150"/>
      <c r="M186" s="152">
        <f t="shared" si="12"/>
        <v>0</v>
      </c>
    </row>
    <row r="187" spans="1:13" x14ac:dyDescent="0.25">
      <c r="A187" s="166"/>
      <c r="G187" s="136"/>
      <c r="H187" s="150">
        <v>182</v>
      </c>
      <c r="I187" s="151" t="str">
        <f t="shared" si="13"/>
        <v/>
      </c>
      <c r="J187" s="150">
        <f t="shared" si="14"/>
        <v>-8</v>
      </c>
      <c r="K187" s="150">
        <f t="shared" si="11"/>
        <v>-80</v>
      </c>
      <c r="L187" s="150"/>
      <c r="M187" s="152">
        <f t="shared" si="12"/>
        <v>0</v>
      </c>
    </row>
    <row r="188" spans="1:13" x14ac:dyDescent="0.25">
      <c r="A188" s="166"/>
      <c r="G188" s="136"/>
      <c r="H188" s="150">
        <v>183</v>
      </c>
      <c r="I188" s="151" t="str">
        <f t="shared" si="13"/>
        <v/>
      </c>
      <c r="J188" s="150">
        <f t="shared" si="14"/>
        <v>-8</v>
      </c>
      <c r="K188" s="150">
        <f t="shared" si="11"/>
        <v>-80</v>
      </c>
      <c r="L188" s="150"/>
      <c r="M188" s="152">
        <f t="shared" si="12"/>
        <v>0</v>
      </c>
    </row>
    <row r="189" spans="1:13" x14ac:dyDescent="0.25">
      <c r="A189" s="166"/>
      <c r="G189" s="136"/>
      <c r="H189" s="150">
        <v>184</v>
      </c>
      <c r="I189" s="151" t="str">
        <f t="shared" si="13"/>
        <v/>
      </c>
      <c r="J189" s="150">
        <f t="shared" si="14"/>
        <v>-8</v>
      </c>
      <c r="K189" s="150">
        <f t="shared" si="11"/>
        <v>-80</v>
      </c>
      <c r="L189" s="150"/>
      <c r="M189" s="152">
        <f t="shared" si="12"/>
        <v>0</v>
      </c>
    </row>
    <row r="190" spans="1:13" x14ac:dyDescent="0.25">
      <c r="A190" s="166"/>
      <c r="G190" s="136"/>
      <c r="H190" s="150">
        <v>185</v>
      </c>
      <c r="I190" s="151" t="str">
        <f t="shared" si="13"/>
        <v/>
      </c>
      <c r="J190" s="150">
        <f t="shared" si="14"/>
        <v>-8</v>
      </c>
      <c r="K190" s="150">
        <f t="shared" si="11"/>
        <v>-80</v>
      </c>
      <c r="L190" s="150"/>
      <c r="M190" s="152">
        <f t="shared" si="12"/>
        <v>0</v>
      </c>
    </row>
    <row r="191" spans="1:13" x14ac:dyDescent="0.25">
      <c r="A191" s="166"/>
      <c r="G191" s="136"/>
      <c r="H191" s="150">
        <v>186</v>
      </c>
      <c r="I191" s="151" t="str">
        <f t="shared" si="13"/>
        <v/>
      </c>
      <c r="J191" s="150">
        <f t="shared" si="14"/>
        <v>-8</v>
      </c>
      <c r="K191" s="150">
        <f t="shared" si="11"/>
        <v>-80</v>
      </c>
      <c r="L191" s="150"/>
      <c r="M191" s="152">
        <f t="shared" si="12"/>
        <v>0</v>
      </c>
    </row>
    <row r="192" spans="1:13" x14ac:dyDescent="0.25">
      <c r="A192" s="166"/>
      <c r="G192" s="136"/>
      <c r="H192" s="150">
        <v>187</v>
      </c>
      <c r="I192" s="151" t="str">
        <f t="shared" si="13"/>
        <v/>
      </c>
      <c r="J192" s="150">
        <f t="shared" si="14"/>
        <v>-8</v>
      </c>
      <c r="K192" s="150">
        <f t="shared" si="11"/>
        <v>-80</v>
      </c>
      <c r="L192" s="150"/>
      <c r="M192" s="152">
        <f t="shared" si="12"/>
        <v>0</v>
      </c>
    </row>
    <row r="193" spans="1:13" x14ac:dyDescent="0.25">
      <c r="A193" s="166"/>
      <c r="G193" s="136"/>
      <c r="H193" s="150">
        <v>188</v>
      </c>
      <c r="I193" s="151" t="str">
        <f t="shared" si="13"/>
        <v/>
      </c>
      <c r="J193" s="150">
        <f t="shared" si="14"/>
        <v>-8</v>
      </c>
      <c r="K193" s="150">
        <f t="shared" si="11"/>
        <v>-80</v>
      </c>
      <c r="L193" s="150"/>
      <c r="M193" s="152">
        <f t="shared" si="12"/>
        <v>0</v>
      </c>
    </row>
    <row r="194" spans="1:13" x14ac:dyDescent="0.25">
      <c r="A194" s="166"/>
      <c r="G194" s="136"/>
      <c r="H194" s="150">
        <v>189</v>
      </c>
      <c r="I194" s="151" t="str">
        <f t="shared" si="13"/>
        <v/>
      </c>
      <c r="J194" s="150">
        <f t="shared" si="14"/>
        <v>-8</v>
      </c>
      <c r="K194" s="150">
        <f t="shared" si="11"/>
        <v>-80</v>
      </c>
      <c r="L194" s="150"/>
      <c r="M194" s="152">
        <f t="shared" si="12"/>
        <v>0</v>
      </c>
    </row>
    <row r="195" spans="1:13" x14ac:dyDescent="0.25">
      <c r="A195" s="166"/>
      <c r="G195" s="136"/>
      <c r="H195" s="150">
        <v>190</v>
      </c>
      <c r="I195" s="151" t="str">
        <f t="shared" si="13"/>
        <v/>
      </c>
      <c r="J195" s="150">
        <f t="shared" si="14"/>
        <v>-8</v>
      </c>
      <c r="K195" s="150">
        <f t="shared" si="11"/>
        <v>-80</v>
      </c>
      <c r="L195" s="150"/>
      <c r="M195" s="152">
        <f t="shared" si="12"/>
        <v>0</v>
      </c>
    </row>
    <row r="196" spans="1:13" x14ac:dyDescent="0.25">
      <c r="A196" s="166"/>
      <c r="G196" s="136"/>
      <c r="H196" s="150">
        <v>191</v>
      </c>
      <c r="I196" s="151" t="str">
        <f t="shared" si="13"/>
        <v/>
      </c>
      <c r="J196" s="150">
        <f t="shared" si="14"/>
        <v>-8</v>
      </c>
      <c r="K196" s="150">
        <f t="shared" si="11"/>
        <v>-80</v>
      </c>
      <c r="L196" s="150"/>
      <c r="M196" s="152">
        <f t="shared" si="12"/>
        <v>0</v>
      </c>
    </row>
    <row r="197" spans="1:13" x14ac:dyDescent="0.25">
      <c r="A197" s="166"/>
      <c r="G197" s="136"/>
      <c r="H197" s="150">
        <v>192</v>
      </c>
      <c r="I197" s="151" t="str">
        <f t="shared" si="13"/>
        <v/>
      </c>
      <c r="J197" s="150">
        <f t="shared" si="14"/>
        <v>-8</v>
      </c>
      <c r="K197" s="150">
        <f t="shared" si="11"/>
        <v>-80</v>
      </c>
      <c r="L197" s="150"/>
      <c r="M197" s="152">
        <f t="shared" si="12"/>
        <v>0</v>
      </c>
    </row>
    <row r="198" spans="1:13" x14ac:dyDescent="0.25">
      <c r="A198" s="166"/>
      <c r="G198" s="136"/>
      <c r="H198" s="150">
        <v>193</v>
      </c>
      <c r="I198" s="151" t="str">
        <f t="shared" si="13"/>
        <v/>
      </c>
      <c r="J198" s="150">
        <f t="shared" si="14"/>
        <v>-8</v>
      </c>
      <c r="K198" s="150">
        <f t="shared" ref="K198:K261" si="15">J198*$J$2</f>
        <v>-80</v>
      </c>
      <c r="L198" s="150"/>
      <c r="M198" s="152">
        <f t="shared" ref="M198:M261" si="16">IF(I198&lt;&gt;"",K198+I198+L198,0)</f>
        <v>0</v>
      </c>
    </row>
    <row r="199" spans="1:13" x14ac:dyDescent="0.25">
      <c r="A199" s="166"/>
      <c r="G199" s="136"/>
      <c r="H199" s="150">
        <v>194</v>
      </c>
      <c r="I199" s="151" t="str">
        <f t="shared" ref="I199:I262" si="17">IF(H199&lt;$H$2+1,($I$2-($I$2-1)*(LOG(H199)/LOG($H$2))),"")</f>
        <v/>
      </c>
      <c r="J199" s="150">
        <f t="shared" ref="J199:J262" si="18">INT(LOG($H$2,2))-ROUNDUP(LOG(H199,2),0)+IF(OR($H$2=1,$H$2=2,$H$2=4,$H$2=8,$H$2=16,$H$2=32,$H$2=64,$H$2=128,$H$2=256),0,1)</f>
        <v>-8</v>
      </c>
      <c r="K199" s="150">
        <f t="shared" si="15"/>
        <v>-80</v>
      </c>
      <c r="L199" s="150"/>
      <c r="M199" s="152">
        <f t="shared" si="16"/>
        <v>0</v>
      </c>
    </row>
    <row r="200" spans="1:13" x14ac:dyDescent="0.25">
      <c r="A200" s="166"/>
      <c r="G200" s="136"/>
      <c r="H200" s="150">
        <v>195</v>
      </c>
      <c r="I200" s="151" t="str">
        <f t="shared" si="17"/>
        <v/>
      </c>
      <c r="J200" s="150">
        <f t="shared" si="18"/>
        <v>-8</v>
      </c>
      <c r="K200" s="150">
        <f t="shared" si="15"/>
        <v>-80</v>
      </c>
      <c r="L200" s="150"/>
      <c r="M200" s="152">
        <f t="shared" si="16"/>
        <v>0</v>
      </c>
    </row>
    <row r="201" spans="1:13" x14ac:dyDescent="0.25">
      <c r="A201" s="166"/>
      <c r="G201" s="136"/>
      <c r="H201" s="150">
        <v>196</v>
      </c>
      <c r="I201" s="151" t="str">
        <f t="shared" si="17"/>
        <v/>
      </c>
      <c r="J201" s="150">
        <f t="shared" si="18"/>
        <v>-8</v>
      </c>
      <c r="K201" s="150">
        <f t="shared" si="15"/>
        <v>-80</v>
      </c>
      <c r="L201" s="150"/>
      <c r="M201" s="152">
        <f t="shared" si="16"/>
        <v>0</v>
      </c>
    </row>
    <row r="202" spans="1:13" x14ac:dyDescent="0.25">
      <c r="A202" s="166"/>
      <c r="G202" s="136"/>
      <c r="H202" s="150">
        <v>197</v>
      </c>
      <c r="I202" s="151" t="str">
        <f t="shared" si="17"/>
        <v/>
      </c>
      <c r="J202" s="150">
        <f t="shared" si="18"/>
        <v>-8</v>
      </c>
      <c r="K202" s="150">
        <f t="shared" si="15"/>
        <v>-80</v>
      </c>
      <c r="L202" s="150"/>
      <c r="M202" s="152">
        <f t="shared" si="16"/>
        <v>0</v>
      </c>
    </row>
    <row r="203" spans="1:13" x14ac:dyDescent="0.25">
      <c r="A203" s="166"/>
      <c r="G203" s="136"/>
      <c r="H203" s="150">
        <v>198</v>
      </c>
      <c r="I203" s="151" t="str">
        <f t="shared" si="17"/>
        <v/>
      </c>
      <c r="J203" s="150">
        <f t="shared" si="18"/>
        <v>-8</v>
      </c>
      <c r="K203" s="150">
        <f t="shared" si="15"/>
        <v>-80</v>
      </c>
      <c r="L203" s="150"/>
      <c r="M203" s="152">
        <f t="shared" si="16"/>
        <v>0</v>
      </c>
    </row>
    <row r="204" spans="1:13" x14ac:dyDescent="0.25">
      <c r="A204" s="166"/>
      <c r="G204" s="136"/>
      <c r="H204" s="150">
        <v>199</v>
      </c>
      <c r="I204" s="151" t="str">
        <f t="shared" si="17"/>
        <v/>
      </c>
      <c r="J204" s="150">
        <f t="shared" si="18"/>
        <v>-8</v>
      </c>
      <c r="K204" s="150">
        <f t="shared" si="15"/>
        <v>-80</v>
      </c>
      <c r="L204" s="150"/>
      <c r="M204" s="152">
        <f t="shared" si="16"/>
        <v>0</v>
      </c>
    </row>
    <row r="205" spans="1:13" x14ac:dyDescent="0.25">
      <c r="A205" s="166"/>
      <c r="G205" s="136"/>
      <c r="H205" s="150">
        <v>200</v>
      </c>
      <c r="I205" s="151" t="str">
        <f t="shared" si="17"/>
        <v/>
      </c>
      <c r="J205" s="150">
        <f t="shared" si="18"/>
        <v>-8</v>
      </c>
      <c r="K205" s="150">
        <f t="shared" si="15"/>
        <v>-80</v>
      </c>
      <c r="L205" s="150"/>
      <c r="M205" s="152">
        <f t="shared" si="16"/>
        <v>0</v>
      </c>
    </row>
    <row r="206" spans="1:13" x14ac:dyDescent="0.25">
      <c r="A206" s="166"/>
      <c r="G206" s="136"/>
      <c r="H206" s="150">
        <v>201</v>
      </c>
      <c r="I206" s="151" t="str">
        <f t="shared" si="17"/>
        <v/>
      </c>
      <c r="J206" s="150">
        <f t="shared" si="18"/>
        <v>-8</v>
      </c>
      <c r="K206" s="150">
        <f t="shared" si="15"/>
        <v>-80</v>
      </c>
      <c r="L206" s="150"/>
      <c r="M206" s="152">
        <f t="shared" si="16"/>
        <v>0</v>
      </c>
    </row>
    <row r="207" spans="1:13" x14ac:dyDescent="0.25">
      <c r="A207" s="166"/>
      <c r="G207" s="136"/>
      <c r="H207" s="150">
        <v>202</v>
      </c>
      <c r="I207" s="151" t="str">
        <f t="shared" si="17"/>
        <v/>
      </c>
      <c r="J207" s="150">
        <f t="shared" si="18"/>
        <v>-8</v>
      </c>
      <c r="K207" s="150">
        <f t="shared" si="15"/>
        <v>-80</v>
      </c>
      <c r="L207" s="150"/>
      <c r="M207" s="152">
        <f t="shared" si="16"/>
        <v>0</v>
      </c>
    </row>
    <row r="208" spans="1:13" x14ac:dyDescent="0.25">
      <c r="A208" s="166"/>
      <c r="G208" s="136"/>
      <c r="H208" s="150">
        <v>203</v>
      </c>
      <c r="I208" s="151" t="str">
        <f t="shared" si="17"/>
        <v/>
      </c>
      <c r="J208" s="150">
        <f t="shared" si="18"/>
        <v>-8</v>
      </c>
      <c r="K208" s="150">
        <f t="shared" si="15"/>
        <v>-80</v>
      </c>
      <c r="L208" s="150"/>
      <c r="M208" s="152">
        <f t="shared" si="16"/>
        <v>0</v>
      </c>
    </row>
    <row r="209" spans="1:13" x14ac:dyDescent="0.25">
      <c r="A209" s="166"/>
      <c r="G209" s="136"/>
      <c r="H209" s="150">
        <v>204</v>
      </c>
      <c r="I209" s="151" t="str">
        <f t="shared" si="17"/>
        <v/>
      </c>
      <c r="J209" s="150">
        <f t="shared" si="18"/>
        <v>-8</v>
      </c>
      <c r="K209" s="150">
        <f t="shared" si="15"/>
        <v>-80</v>
      </c>
      <c r="L209" s="150"/>
      <c r="M209" s="152">
        <f t="shared" si="16"/>
        <v>0</v>
      </c>
    </row>
    <row r="210" spans="1:13" x14ac:dyDescent="0.25">
      <c r="A210" s="166"/>
      <c r="G210" s="136"/>
      <c r="H210" s="150">
        <v>205</v>
      </c>
      <c r="I210" s="151" t="str">
        <f t="shared" si="17"/>
        <v/>
      </c>
      <c r="J210" s="150">
        <f t="shared" si="18"/>
        <v>-8</v>
      </c>
      <c r="K210" s="150">
        <f t="shared" si="15"/>
        <v>-80</v>
      </c>
      <c r="L210" s="150"/>
      <c r="M210" s="152">
        <f t="shared" si="16"/>
        <v>0</v>
      </c>
    </row>
    <row r="211" spans="1:13" x14ac:dyDescent="0.25">
      <c r="A211" s="166"/>
      <c r="G211" s="136"/>
      <c r="H211" s="150">
        <v>206</v>
      </c>
      <c r="I211" s="151" t="str">
        <f t="shared" si="17"/>
        <v/>
      </c>
      <c r="J211" s="150">
        <f t="shared" si="18"/>
        <v>-8</v>
      </c>
      <c r="K211" s="150">
        <f t="shared" si="15"/>
        <v>-80</v>
      </c>
      <c r="L211" s="150"/>
      <c r="M211" s="152">
        <f t="shared" si="16"/>
        <v>0</v>
      </c>
    </row>
    <row r="212" spans="1:13" x14ac:dyDescent="0.25">
      <c r="A212" s="166"/>
      <c r="G212" s="136"/>
      <c r="H212" s="150">
        <v>207</v>
      </c>
      <c r="I212" s="151" t="str">
        <f t="shared" si="17"/>
        <v/>
      </c>
      <c r="J212" s="150">
        <f t="shared" si="18"/>
        <v>-8</v>
      </c>
      <c r="K212" s="150">
        <f t="shared" si="15"/>
        <v>-80</v>
      </c>
      <c r="L212" s="150"/>
      <c r="M212" s="152">
        <f t="shared" si="16"/>
        <v>0</v>
      </c>
    </row>
    <row r="213" spans="1:13" x14ac:dyDescent="0.25">
      <c r="A213" s="166"/>
      <c r="G213" s="136"/>
      <c r="H213" s="150">
        <v>208</v>
      </c>
      <c r="I213" s="151" t="str">
        <f t="shared" si="17"/>
        <v/>
      </c>
      <c r="J213" s="150">
        <f t="shared" si="18"/>
        <v>-8</v>
      </c>
      <c r="K213" s="150">
        <f t="shared" si="15"/>
        <v>-80</v>
      </c>
      <c r="L213" s="150"/>
      <c r="M213" s="152">
        <f t="shared" si="16"/>
        <v>0</v>
      </c>
    </row>
    <row r="214" spans="1:13" x14ac:dyDescent="0.25">
      <c r="A214" s="166"/>
      <c r="G214" s="136"/>
      <c r="H214" s="150">
        <v>209</v>
      </c>
      <c r="I214" s="151" t="str">
        <f t="shared" si="17"/>
        <v/>
      </c>
      <c r="J214" s="150">
        <f t="shared" si="18"/>
        <v>-8</v>
      </c>
      <c r="K214" s="150">
        <f t="shared" si="15"/>
        <v>-80</v>
      </c>
      <c r="L214" s="150"/>
      <c r="M214" s="152">
        <f t="shared" si="16"/>
        <v>0</v>
      </c>
    </row>
    <row r="215" spans="1:13" x14ac:dyDescent="0.25">
      <c r="A215" s="166"/>
      <c r="G215" s="136"/>
      <c r="H215" s="150">
        <v>210</v>
      </c>
      <c r="I215" s="151" t="str">
        <f t="shared" si="17"/>
        <v/>
      </c>
      <c r="J215" s="150">
        <f t="shared" si="18"/>
        <v>-8</v>
      </c>
      <c r="K215" s="150">
        <f t="shared" si="15"/>
        <v>-80</v>
      </c>
      <c r="L215" s="150"/>
      <c r="M215" s="152">
        <f t="shared" si="16"/>
        <v>0</v>
      </c>
    </row>
    <row r="216" spans="1:13" x14ac:dyDescent="0.25">
      <c r="A216" s="166"/>
      <c r="G216" s="136"/>
      <c r="H216" s="150">
        <v>211</v>
      </c>
      <c r="I216" s="151" t="str">
        <f t="shared" si="17"/>
        <v/>
      </c>
      <c r="J216" s="150">
        <f t="shared" si="18"/>
        <v>-8</v>
      </c>
      <c r="K216" s="150">
        <f t="shared" si="15"/>
        <v>-80</v>
      </c>
      <c r="L216" s="150"/>
      <c r="M216" s="152">
        <f t="shared" si="16"/>
        <v>0</v>
      </c>
    </row>
    <row r="217" spans="1:13" x14ac:dyDescent="0.25">
      <c r="A217" s="166"/>
      <c r="G217" s="136"/>
      <c r="H217" s="150">
        <v>212</v>
      </c>
      <c r="I217" s="151" t="str">
        <f t="shared" si="17"/>
        <v/>
      </c>
      <c r="J217" s="150">
        <f t="shared" si="18"/>
        <v>-8</v>
      </c>
      <c r="K217" s="150">
        <f t="shared" si="15"/>
        <v>-80</v>
      </c>
      <c r="L217" s="150"/>
      <c r="M217" s="152">
        <f t="shared" si="16"/>
        <v>0</v>
      </c>
    </row>
    <row r="218" spans="1:13" x14ac:dyDescent="0.25">
      <c r="A218" s="166"/>
      <c r="G218" s="136"/>
      <c r="H218" s="150">
        <v>213</v>
      </c>
      <c r="I218" s="151" t="str">
        <f t="shared" si="17"/>
        <v/>
      </c>
      <c r="J218" s="150">
        <f t="shared" si="18"/>
        <v>-8</v>
      </c>
      <c r="K218" s="150">
        <f t="shared" si="15"/>
        <v>-80</v>
      </c>
      <c r="L218" s="150"/>
      <c r="M218" s="152">
        <f t="shared" si="16"/>
        <v>0</v>
      </c>
    </row>
    <row r="219" spans="1:13" x14ac:dyDescent="0.25">
      <c r="A219" s="166"/>
      <c r="G219" s="136"/>
      <c r="H219" s="150">
        <v>214</v>
      </c>
      <c r="I219" s="151" t="str">
        <f t="shared" si="17"/>
        <v/>
      </c>
      <c r="J219" s="150">
        <f t="shared" si="18"/>
        <v>-8</v>
      </c>
      <c r="K219" s="150">
        <f t="shared" si="15"/>
        <v>-80</v>
      </c>
      <c r="L219" s="150"/>
      <c r="M219" s="152">
        <f t="shared" si="16"/>
        <v>0</v>
      </c>
    </row>
    <row r="220" spans="1:13" x14ac:dyDescent="0.25">
      <c r="A220" s="166"/>
      <c r="G220" s="136"/>
      <c r="H220" s="150">
        <v>215</v>
      </c>
      <c r="I220" s="151" t="str">
        <f t="shared" si="17"/>
        <v/>
      </c>
      <c r="J220" s="150">
        <f t="shared" si="18"/>
        <v>-8</v>
      </c>
      <c r="K220" s="150">
        <f t="shared" si="15"/>
        <v>-80</v>
      </c>
      <c r="L220" s="150"/>
      <c r="M220" s="152">
        <f t="shared" si="16"/>
        <v>0</v>
      </c>
    </row>
    <row r="221" spans="1:13" x14ac:dyDescent="0.25">
      <c r="A221" s="166"/>
      <c r="G221" s="136"/>
      <c r="H221" s="150">
        <v>216</v>
      </c>
      <c r="I221" s="151" t="str">
        <f t="shared" si="17"/>
        <v/>
      </c>
      <c r="J221" s="150">
        <f t="shared" si="18"/>
        <v>-8</v>
      </c>
      <c r="K221" s="150">
        <f t="shared" si="15"/>
        <v>-80</v>
      </c>
      <c r="L221" s="150"/>
      <c r="M221" s="152">
        <f t="shared" si="16"/>
        <v>0</v>
      </c>
    </row>
    <row r="222" spans="1:13" x14ac:dyDescent="0.25">
      <c r="A222" s="166"/>
      <c r="G222" s="136"/>
      <c r="H222" s="150">
        <v>217</v>
      </c>
      <c r="I222" s="151" t="str">
        <f t="shared" si="17"/>
        <v/>
      </c>
      <c r="J222" s="150">
        <f t="shared" si="18"/>
        <v>-8</v>
      </c>
      <c r="K222" s="150">
        <f t="shared" si="15"/>
        <v>-80</v>
      </c>
      <c r="L222" s="150"/>
      <c r="M222" s="152">
        <f t="shared" si="16"/>
        <v>0</v>
      </c>
    </row>
    <row r="223" spans="1:13" x14ac:dyDescent="0.25">
      <c r="A223" s="166"/>
      <c r="G223" s="136"/>
      <c r="H223" s="150">
        <v>218</v>
      </c>
      <c r="I223" s="151" t="str">
        <f t="shared" si="17"/>
        <v/>
      </c>
      <c r="J223" s="150">
        <f t="shared" si="18"/>
        <v>-8</v>
      </c>
      <c r="K223" s="150">
        <f t="shared" si="15"/>
        <v>-80</v>
      </c>
      <c r="L223" s="150"/>
      <c r="M223" s="152">
        <f t="shared" si="16"/>
        <v>0</v>
      </c>
    </row>
    <row r="224" spans="1:13" x14ac:dyDescent="0.25">
      <c r="A224" s="166"/>
      <c r="G224" s="136"/>
      <c r="H224" s="150">
        <v>219</v>
      </c>
      <c r="I224" s="151" t="str">
        <f t="shared" si="17"/>
        <v/>
      </c>
      <c r="J224" s="150">
        <f t="shared" si="18"/>
        <v>-8</v>
      </c>
      <c r="K224" s="150">
        <f t="shared" si="15"/>
        <v>-80</v>
      </c>
      <c r="L224" s="150"/>
      <c r="M224" s="152">
        <f t="shared" si="16"/>
        <v>0</v>
      </c>
    </row>
    <row r="225" spans="1:13" x14ac:dyDescent="0.25">
      <c r="A225" s="166"/>
      <c r="G225" s="136"/>
      <c r="H225" s="150">
        <v>220</v>
      </c>
      <c r="I225" s="151" t="str">
        <f t="shared" si="17"/>
        <v/>
      </c>
      <c r="J225" s="150">
        <f t="shared" si="18"/>
        <v>-8</v>
      </c>
      <c r="K225" s="150">
        <f t="shared" si="15"/>
        <v>-80</v>
      </c>
      <c r="L225" s="150"/>
      <c r="M225" s="152">
        <f t="shared" si="16"/>
        <v>0</v>
      </c>
    </row>
    <row r="226" spans="1:13" x14ac:dyDescent="0.25">
      <c r="A226" s="166"/>
      <c r="G226" s="136"/>
      <c r="H226" s="150">
        <v>221</v>
      </c>
      <c r="I226" s="151" t="str">
        <f t="shared" si="17"/>
        <v/>
      </c>
      <c r="J226" s="150">
        <f t="shared" si="18"/>
        <v>-8</v>
      </c>
      <c r="K226" s="150">
        <f t="shared" si="15"/>
        <v>-80</v>
      </c>
      <c r="L226" s="150"/>
      <c r="M226" s="152">
        <f t="shared" si="16"/>
        <v>0</v>
      </c>
    </row>
    <row r="227" spans="1:13" x14ac:dyDescent="0.25">
      <c r="A227" s="166"/>
      <c r="G227" s="136"/>
      <c r="H227" s="150">
        <v>222</v>
      </c>
      <c r="I227" s="151" t="str">
        <f t="shared" si="17"/>
        <v/>
      </c>
      <c r="J227" s="150">
        <f t="shared" si="18"/>
        <v>-8</v>
      </c>
      <c r="K227" s="150">
        <f t="shared" si="15"/>
        <v>-80</v>
      </c>
      <c r="L227" s="150"/>
      <c r="M227" s="152">
        <f t="shared" si="16"/>
        <v>0</v>
      </c>
    </row>
    <row r="228" spans="1:13" x14ac:dyDescent="0.25">
      <c r="A228" s="166"/>
      <c r="G228" s="136"/>
      <c r="H228" s="150">
        <v>223</v>
      </c>
      <c r="I228" s="151" t="str">
        <f t="shared" si="17"/>
        <v/>
      </c>
      <c r="J228" s="150">
        <f t="shared" si="18"/>
        <v>-8</v>
      </c>
      <c r="K228" s="150">
        <f t="shared" si="15"/>
        <v>-80</v>
      </c>
      <c r="L228" s="150"/>
      <c r="M228" s="152">
        <f t="shared" si="16"/>
        <v>0</v>
      </c>
    </row>
    <row r="229" spans="1:13" x14ac:dyDescent="0.25">
      <c r="A229" s="166"/>
      <c r="G229" s="136"/>
      <c r="H229" s="150">
        <v>224</v>
      </c>
      <c r="I229" s="151" t="str">
        <f t="shared" si="17"/>
        <v/>
      </c>
      <c r="J229" s="150">
        <f t="shared" si="18"/>
        <v>-8</v>
      </c>
      <c r="K229" s="150">
        <f t="shared" si="15"/>
        <v>-80</v>
      </c>
      <c r="L229" s="150"/>
      <c r="M229" s="152">
        <f t="shared" si="16"/>
        <v>0</v>
      </c>
    </row>
    <row r="230" spans="1:13" x14ac:dyDescent="0.25">
      <c r="A230" s="166"/>
      <c r="G230" s="136"/>
      <c r="H230" s="150">
        <v>225</v>
      </c>
      <c r="I230" s="151" t="str">
        <f t="shared" si="17"/>
        <v/>
      </c>
      <c r="J230" s="150">
        <f t="shared" si="18"/>
        <v>-8</v>
      </c>
      <c r="K230" s="150">
        <f t="shared" si="15"/>
        <v>-80</v>
      </c>
      <c r="L230" s="150"/>
      <c r="M230" s="152">
        <f t="shared" si="16"/>
        <v>0</v>
      </c>
    </row>
    <row r="231" spans="1:13" x14ac:dyDescent="0.25">
      <c r="A231" s="166"/>
      <c r="G231" s="136"/>
      <c r="H231" s="150">
        <v>226</v>
      </c>
      <c r="I231" s="151" t="str">
        <f t="shared" si="17"/>
        <v/>
      </c>
      <c r="J231" s="150">
        <f t="shared" si="18"/>
        <v>-8</v>
      </c>
      <c r="K231" s="150">
        <f t="shared" si="15"/>
        <v>-80</v>
      </c>
      <c r="L231" s="150"/>
      <c r="M231" s="152">
        <f t="shared" si="16"/>
        <v>0</v>
      </c>
    </row>
    <row r="232" spans="1:13" x14ac:dyDescent="0.25">
      <c r="A232" s="166"/>
      <c r="G232" s="136"/>
      <c r="H232" s="150">
        <v>227</v>
      </c>
      <c r="I232" s="151" t="str">
        <f t="shared" si="17"/>
        <v/>
      </c>
      <c r="J232" s="150">
        <f t="shared" si="18"/>
        <v>-8</v>
      </c>
      <c r="K232" s="150">
        <f t="shared" si="15"/>
        <v>-80</v>
      </c>
      <c r="L232" s="150"/>
      <c r="M232" s="152">
        <f t="shared" si="16"/>
        <v>0</v>
      </c>
    </row>
    <row r="233" spans="1:13" x14ac:dyDescent="0.25">
      <c r="A233" s="166"/>
      <c r="G233" s="136"/>
      <c r="H233" s="150">
        <v>228</v>
      </c>
      <c r="I233" s="151" t="str">
        <f t="shared" si="17"/>
        <v/>
      </c>
      <c r="J233" s="150">
        <f t="shared" si="18"/>
        <v>-8</v>
      </c>
      <c r="K233" s="150">
        <f t="shared" si="15"/>
        <v>-80</v>
      </c>
      <c r="L233" s="150"/>
      <c r="M233" s="152">
        <f t="shared" si="16"/>
        <v>0</v>
      </c>
    </row>
    <row r="234" spans="1:13" x14ac:dyDescent="0.25">
      <c r="A234" s="166"/>
      <c r="G234" s="136"/>
      <c r="H234" s="150">
        <v>229</v>
      </c>
      <c r="I234" s="151" t="str">
        <f t="shared" si="17"/>
        <v/>
      </c>
      <c r="J234" s="150">
        <f t="shared" si="18"/>
        <v>-8</v>
      </c>
      <c r="K234" s="150">
        <f t="shared" si="15"/>
        <v>-80</v>
      </c>
      <c r="L234" s="150"/>
      <c r="M234" s="152">
        <f t="shared" si="16"/>
        <v>0</v>
      </c>
    </row>
    <row r="235" spans="1:13" x14ac:dyDescent="0.25">
      <c r="A235" s="166"/>
      <c r="G235" s="136"/>
      <c r="H235" s="150">
        <v>230</v>
      </c>
      <c r="I235" s="151" t="str">
        <f t="shared" si="17"/>
        <v/>
      </c>
      <c r="J235" s="150">
        <f t="shared" si="18"/>
        <v>-8</v>
      </c>
      <c r="K235" s="150">
        <f t="shared" si="15"/>
        <v>-80</v>
      </c>
      <c r="L235" s="150"/>
      <c r="M235" s="152">
        <f t="shared" si="16"/>
        <v>0</v>
      </c>
    </row>
    <row r="236" spans="1:13" x14ac:dyDescent="0.25">
      <c r="A236" s="166"/>
      <c r="G236" s="136"/>
      <c r="H236" s="150">
        <v>231</v>
      </c>
      <c r="I236" s="151" t="str">
        <f t="shared" si="17"/>
        <v/>
      </c>
      <c r="J236" s="150">
        <f t="shared" si="18"/>
        <v>-8</v>
      </c>
      <c r="K236" s="150">
        <f t="shared" si="15"/>
        <v>-80</v>
      </c>
      <c r="L236" s="150"/>
      <c r="M236" s="152">
        <f t="shared" si="16"/>
        <v>0</v>
      </c>
    </row>
    <row r="237" spans="1:13" x14ac:dyDescent="0.25">
      <c r="A237" s="166"/>
      <c r="G237" s="136"/>
      <c r="H237" s="150">
        <v>232</v>
      </c>
      <c r="I237" s="151" t="str">
        <f t="shared" si="17"/>
        <v/>
      </c>
      <c r="J237" s="150">
        <f t="shared" si="18"/>
        <v>-8</v>
      </c>
      <c r="K237" s="150">
        <f t="shared" si="15"/>
        <v>-80</v>
      </c>
      <c r="L237" s="150"/>
      <c r="M237" s="152">
        <f t="shared" si="16"/>
        <v>0</v>
      </c>
    </row>
    <row r="238" spans="1:13" x14ac:dyDescent="0.25">
      <c r="A238" s="166"/>
      <c r="G238" s="136"/>
      <c r="H238" s="150">
        <v>233</v>
      </c>
      <c r="I238" s="151" t="str">
        <f t="shared" si="17"/>
        <v/>
      </c>
      <c r="J238" s="150">
        <f t="shared" si="18"/>
        <v>-8</v>
      </c>
      <c r="K238" s="150">
        <f t="shared" si="15"/>
        <v>-80</v>
      </c>
      <c r="L238" s="150"/>
      <c r="M238" s="152">
        <f t="shared" si="16"/>
        <v>0</v>
      </c>
    </row>
    <row r="239" spans="1:13" x14ac:dyDescent="0.25">
      <c r="A239" s="166"/>
      <c r="G239" s="136"/>
      <c r="H239" s="150">
        <v>234</v>
      </c>
      <c r="I239" s="151" t="str">
        <f t="shared" si="17"/>
        <v/>
      </c>
      <c r="J239" s="150">
        <f t="shared" si="18"/>
        <v>-8</v>
      </c>
      <c r="K239" s="150">
        <f t="shared" si="15"/>
        <v>-80</v>
      </c>
      <c r="L239" s="150"/>
      <c r="M239" s="152">
        <f t="shared" si="16"/>
        <v>0</v>
      </c>
    </row>
    <row r="240" spans="1:13" x14ac:dyDescent="0.25">
      <c r="A240" s="166"/>
      <c r="G240" s="136"/>
      <c r="H240" s="150">
        <v>235</v>
      </c>
      <c r="I240" s="151" t="str">
        <f t="shared" si="17"/>
        <v/>
      </c>
      <c r="J240" s="150">
        <f t="shared" si="18"/>
        <v>-8</v>
      </c>
      <c r="K240" s="150">
        <f t="shared" si="15"/>
        <v>-80</v>
      </c>
      <c r="L240" s="150"/>
      <c r="M240" s="152">
        <f t="shared" si="16"/>
        <v>0</v>
      </c>
    </row>
    <row r="241" spans="1:13" x14ac:dyDescent="0.25">
      <c r="A241" s="166"/>
      <c r="G241" s="136"/>
      <c r="H241" s="150">
        <v>236</v>
      </c>
      <c r="I241" s="151" t="str">
        <f t="shared" si="17"/>
        <v/>
      </c>
      <c r="J241" s="150">
        <f t="shared" si="18"/>
        <v>-8</v>
      </c>
      <c r="K241" s="150">
        <f t="shared" si="15"/>
        <v>-80</v>
      </c>
      <c r="L241" s="150"/>
      <c r="M241" s="152">
        <f t="shared" si="16"/>
        <v>0</v>
      </c>
    </row>
    <row r="242" spans="1:13" x14ac:dyDescent="0.25">
      <c r="A242" s="166"/>
      <c r="G242" s="136"/>
      <c r="H242" s="150">
        <v>237</v>
      </c>
      <c r="I242" s="151" t="str">
        <f t="shared" si="17"/>
        <v/>
      </c>
      <c r="J242" s="150">
        <f t="shared" si="18"/>
        <v>-8</v>
      </c>
      <c r="K242" s="150">
        <f t="shared" si="15"/>
        <v>-80</v>
      </c>
      <c r="L242" s="150"/>
      <c r="M242" s="152">
        <f t="shared" si="16"/>
        <v>0</v>
      </c>
    </row>
    <row r="243" spans="1:13" x14ac:dyDescent="0.25">
      <c r="A243" s="166"/>
      <c r="G243" s="136"/>
      <c r="H243" s="150">
        <v>238</v>
      </c>
      <c r="I243" s="151" t="str">
        <f t="shared" si="17"/>
        <v/>
      </c>
      <c r="J243" s="150">
        <f t="shared" si="18"/>
        <v>-8</v>
      </c>
      <c r="K243" s="150">
        <f t="shared" si="15"/>
        <v>-80</v>
      </c>
      <c r="L243" s="150"/>
      <c r="M243" s="152">
        <f t="shared" si="16"/>
        <v>0</v>
      </c>
    </row>
    <row r="244" spans="1:13" x14ac:dyDescent="0.25">
      <c r="A244" s="166"/>
      <c r="G244" s="136"/>
      <c r="H244" s="150">
        <v>239</v>
      </c>
      <c r="I244" s="151" t="str">
        <f t="shared" si="17"/>
        <v/>
      </c>
      <c r="J244" s="150">
        <f t="shared" si="18"/>
        <v>-8</v>
      </c>
      <c r="K244" s="150">
        <f t="shared" si="15"/>
        <v>-80</v>
      </c>
      <c r="L244" s="150"/>
      <c r="M244" s="152">
        <f t="shared" si="16"/>
        <v>0</v>
      </c>
    </row>
    <row r="245" spans="1:13" x14ac:dyDescent="0.25">
      <c r="A245" s="166"/>
      <c r="G245" s="136"/>
      <c r="H245" s="150">
        <v>240</v>
      </c>
      <c r="I245" s="151" t="str">
        <f t="shared" si="17"/>
        <v/>
      </c>
      <c r="J245" s="150">
        <f t="shared" si="18"/>
        <v>-8</v>
      </c>
      <c r="K245" s="150">
        <f t="shared" si="15"/>
        <v>-80</v>
      </c>
      <c r="L245" s="150"/>
      <c r="M245" s="152">
        <f t="shared" si="16"/>
        <v>0</v>
      </c>
    </row>
    <row r="246" spans="1:13" x14ac:dyDescent="0.25">
      <c r="A246" s="166"/>
      <c r="G246" s="136"/>
      <c r="H246" s="150">
        <v>241</v>
      </c>
      <c r="I246" s="151" t="str">
        <f t="shared" si="17"/>
        <v/>
      </c>
      <c r="J246" s="150">
        <f t="shared" si="18"/>
        <v>-8</v>
      </c>
      <c r="K246" s="150">
        <f t="shared" si="15"/>
        <v>-80</v>
      </c>
      <c r="L246" s="150"/>
      <c r="M246" s="152">
        <f t="shared" si="16"/>
        <v>0</v>
      </c>
    </row>
    <row r="247" spans="1:13" x14ac:dyDescent="0.25">
      <c r="A247" s="166"/>
      <c r="G247" s="136"/>
      <c r="H247" s="150">
        <v>242</v>
      </c>
      <c r="I247" s="151" t="str">
        <f t="shared" si="17"/>
        <v/>
      </c>
      <c r="J247" s="150">
        <f t="shared" si="18"/>
        <v>-8</v>
      </c>
      <c r="K247" s="150">
        <f t="shared" si="15"/>
        <v>-80</v>
      </c>
      <c r="L247" s="150"/>
      <c r="M247" s="152">
        <f t="shared" si="16"/>
        <v>0</v>
      </c>
    </row>
    <row r="248" spans="1:13" x14ac:dyDescent="0.25">
      <c r="A248" s="166"/>
      <c r="G248" s="136"/>
      <c r="H248" s="150">
        <v>243</v>
      </c>
      <c r="I248" s="151" t="str">
        <f t="shared" si="17"/>
        <v/>
      </c>
      <c r="J248" s="150">
        <f t="shared" si="18"/>
        <v>-8</v>
      </c>
      <c r="K248" s="150">
        <f t="shared" si="15"/>
        <v>-80</v>
      </c>
      <c r="L248" s="150"/>
      <c r="M248" s="152">
        <f t="shared" si="16"/>
        <v>0</v>
      </c>
    </row>
    <row r="249" spans="1:13" x14ac:dyDescent="0.25">
      <c r="A249" s="166"/>
      <c r="G249" s="136"/>
      <c r="H249" s="150">
        <v>244</v>
      </c>
      <c r="I249" s="151" t="str">
        <f t="shared" si="17"/>
        <v/>
      </c>
      <c r="J249" s="150">
        <f t="shared" si="18"/>
        <v>-8</v>
      </c>
      <c r="K249" s="150">
        <f t="shared" si="15"/>
        <v>-80</v>
      </c>
      <c r="L249" s="150"/>
      <c r="M249" s="152">
        <f t="shared" si="16"/>
        <v>0</v>
      </c>
    </row>
    <row r="250" spans="1:13" x14ac:dyDescent="0.25">
      <c r="A250" s="166"/>
      <c r="G250" s="136"/>
      <c r="H250" s="150">
        <v>245</v>
      </c>
      <c r="I250" s="151" t="str">
        <f t="shared" si="17"/>
        <v/>
      </c>
      <c r="J250" s="150">
        <f t="shared" si="18"/>
        <v>-8</v>
      </c>
      <c r="K250" s="150">
        <f t="shared" si="15"/>
        <v>-80</v>
      </c>
      <c r="L250" s="150"/>
      <c r="M250" s="152">
        <f t="shared" si="16"/>
        <v>0</v>
      </c>
    </row>
    <row r="251" spans="1:13" x14ac:dyDescent="0.25">
      <c r="A251" s="166"/>
      <c r="G251" s="136"/>
      <c r="H251" s="150">
        <v>246</v>
      </c>
      <c r="I251" s="151" t="str">
        <f t="shared" si="17"/>
        <v/>
      </c>
      <c r="J251" s="150">
        <f t="shared" si="18"/>
        <v>-8</v>
      </c>
      <c r="K251" s="150">
        <f t="shared" si="15"/>
        <v>-80</v>
      </c>
      <c r="L251" s="150"/>
      <c r="M251" s="152">
        <f t="shared" si="16"/>
        <v>0</v>
      </c>
    </row>
    <row r="252" spans="1:13" x14ac:dyDescent="0.25">
      <c r="A252" s="166"/>
      <c r="G252" s="136"/>
      <c r="H252" s="150">
        <v>247</v>
      </c>
      <c r="I252" s="151" t="str">
        <f t="shared" si="17"/>
        <v/>
      </c>
      <c r="J252" s="150">
        <f t="shared" si="18"/>
        <v>-8</v>
      </c>
      <c r="K252" s="150">
        <f t="shared" si="15"/>
        <v>-80</v>
      </c>
      <c r="L252" s="150"/>
      <c r="M252" s="152">
        <f t="shared" si="16"/>
        <v>0</v>
      </c>
    </row>
    <row r="253" spans="1:13" x14ac:dyDescent="0.25">
      <c r="A253" s="166"/>
      <c r="G253" s="136"/>
      <c r="H253" s="150">
        <v>248</v>
      </c>
      <c r="I253" s="151" t="str">
        <f t="shared" si="17"/>
        <v/>
      </c>
      <c r="J253" s="150">
        <f t="shared" si="18"/>
        <v>-8</v>
      </c>
      <c r="K253" s="150">
        <f t="shared" si="15"/>
        <v>-80</v>
      </c>
      <c r="L253" s="150"/>
      <c r="M253" s="152">
        <f t="shared" si="16"/>
        <v>0</v>
      </c>
    </row>
    <row r="254" spans="1:13" x14ac:dyDescent="0.25">
      <c r="A254" s="166"/>
      <c r="G254" s="136"/>
      <c r="H254" s="150">
        <v>249</v>
      </c>
      <c r="I254" s="151" t="str">
        <f t="shared" si="17"/>
        <v/>
      </c>
      <c r="J254" s="150">
        <f t="shared" si="18"/>
        <v>-8</v>
      </c>
      <c r="K254" s="150">
        <f t="shared" si="15"/>
        <v>-80</v>
      </c>
      <c r="L254" s="150"/>
      <c r="M254" s="152">
        <f t="shared" si="16"/>
        <v>0</v>
      </c>
    </row>
    <row r="255" spans="1:13" x14ac:dyDescent="0.25">
      <c r="A255" s="166"/>
      <c r="G255" s="136"/>
      <c r="H255" s="150">
        <v>250</v>
      </c>
      <c r="I255" s="151" t="str">
        <f t="shared" si="17"/>
        <v/>
      </c>
      <c r="J255" s="150">
        <f t="shared" si="18"/>
        <v>-8</v>
      </c>
      <c r="K255" s="150">
        <f t="shared" si="15"/>
        <v>-80</v>
      </c>
      <c r="L255" s="150"/>
      <c r="M255" s="152">
        <f t="shared" si="16"/>
        <v>0</v>
      </c>
    </row>
    <row r="256" spans="1:13" x14ac:dyDescent="0.25">
      <c r="A256" s="166"/>
      <c r="G256" s="136"/>
      <c r="H256" s="150">
        <v>251</v>
      </c>
      <c r="I256" s="151" t="str">
        <f t="shared" si="17"/>
        <v/>
      </c>
      <c r="J256" s="150">
        <f t="shared" si="18"/>
        <v>-8</v>
      </c>
      <c r="K256" s="150">
        <f t="shared" si="15"/>
        <v>-80</v>
      </c>
      <c r="L256" s="150"/>
      <c r="M256" s="152">
        <f t="shared" si="16"/>
        <v>0</v>
      </c>
    </row>
    <row r="257" spans="1:13" x14ac:dyDescent="0.25">
      <c r="A257" s="166"/>
      <c r="G257" s="136"/>
      <c r="H257" s="150">
        <v>252</v>
      </c>
      <c r="I257" s="151" t="str">
        <f t="shared" si="17"/>
        <v/>
      </c>
      <c r="J257" s="150">
        <f t="shared" si="18"/>
        <v>-8</v>
      </c>
      <c r="K257" s="150">
        <f t="shared" si="15"/>
        <v>-80</v>
      </c>
      <c r="L257" s="150"/>
      <c r="M257" s="152">
        <f t="shared" si="16"/>
        <v>0</v>
      </c>
    </row>
    <row r="258" spans="1:13" x14ac:dyDescent="0.25">
      <c r="A258" s="166"/>
      <c r="G258" s="136"/>
      <c r="H258" s="150">
        <v>253</v>
      </c>
      <c r="I258" s="151" t="str">
        <f t="shared" si="17"/>
        <v/>
      </c>
      <c r="J258" s="150">
        <f t="shared" si="18"/>
        <v>-8</v>
      </c>
      <c r="K258" s="150">
        <f t="shared" si="15"/>
        <v>-80</v>
      </c>
      <c r="L258" s="150"/>
      <c r="M258" s="152">
        <f t="shared" si="16"/>
        <v>0</v>
      </c>
    </row>
    <row r="259" spans="1:13" x14ac:dyDescent="0.25">
      <c r="A259" s="166"/>
      <c r="G259" s="136"/>
      <c r="H259" s="150">
        <v>254</v>
      </c>
      <c r="I259" s="151" t="str">
        <f t="shared" si="17"/>
        <v/>
      </c>
      <c r="J259" s="150">
        <f t="shared" si="18"/>
        <v>-8</v>
      </c>
      <c r="K259" s="150">
        <f t="shared" si="15"/>
        <v>-80</v>
      </c>
      <c r="L259" s="150"/>
      <c r="M259" s="152">
        <f t="shared" si="16"/>
        <v>0</v>
      </c>
    </row>
    <row r="260" spans="1:13" x14ac:dyDescent="0.25">
      <c r="A260" s="166"/>
      <c r="G260" s="136"/>
      <c r="H260" s="150">
        <v>255</v>
      </c>
      <c r="I260" s="151" t="str">
        <f t="shared" si="17"/>
        <v/>
      </c>
      <c r="J260" s="150">
        <f t="shared" si="18"/>
        <v>-8</v>
      </c>
      <c r="K260" s="150">
        <f t="shared" si="15"/>
        <v>-80</v>
      </c>
      <c r="L260" s="150"/>
      <c r="M260" s="152">
        <f t="shared" si="16"/>
        <v>0</v>
      </c>
    </row>
    <row r="261" spans="1:13" x14ac:dyDescent="0.25">
      <c r="A261" s="166"/>
      <c r="G261" s="136"/>
      <c r="H261" s="150">
        <v>256</v>
      </c>
      <c r="I261" s="151" t="str">
        <f t="shared" si="17"/>
        <v/>
      </c>
      <c r="J261" s="150">
        <f t="shared" si="18"/>
        <v>-8</v>
      </c>
      <c r="K261" s="150">
        <f t="shared" si="15"/>
        <v>-80</v>
      </c>
      <c r="L261" s="150"/>
      <c r="M261" s="152">
        <f t="shared" si="16"/>
        <v>0</v>
      </c>
    </row>
    <row r="262" spans="1:13" x14ac:dyDescent="0.25">
      <c r="A262" s="166"/>
      <c r="G262" s="136"/>
      <c r="H262" s="150">
        <v>257</v>
      </c>
      <c r="I262" s="151" t="str">
        <f t="shared" si="17"/>
        <v/>
      </c>
      <c r="J262" s="150">
        <f t="shared" si="18"/>
        <v>-9</v>
      </c>
      <c r="K262" s="150">
        <f t="shared" ref="K262:K305" si="19">J262*$J$2</f>
        <v>-90</v>
      </c>
      <c r="L262" s="150"/>
      <c r="M262" s="152">
        <f t="shared" ref="M262:M305" si="20">IF(I262&lt;&gt;"",K262+I262+L262,0)</f>
        <v>0</v>
      </c>
    </row>
    <row r="263" spans="1:13" x14ac:dyDescent="0.25">
      <c r="A263" s="166"/>
      <c r="G263" s="136"/>
      <c r="H263" s="150">
        <v>258</v>
      </c>
      <c r="I263" s="151" t="str">
        <f t="shared" ref="I263:I305" si="21">IF(H263&lt;$H$2+1,($I$2-($I$2-1)*(LOG(H263)/LOG($H$2))),"")</f>
        <v/>
      </c>
      <c r="J263" s="150">
        <f t="shared" ref="J263:J305" si="22">INT(LOG($H$2,2))-ROUNDUP(LOG(H263,2),0)+IF(OR($H$2=1,$H$2=2,$H$2=4,$H$2=8,$H$2=16,$H$2=32,$H$2=64,$H$2=128,$H$2=256),0,1)</f>
        <v>-9</v>
      </c>
      <c r="K263" s="150">
        <f t="shared" si="19"/>
        <v>-90</v>
      </c>
      <c r="L263" s="150"/>
      <c r="M263" s="152">
        <f t="shared" si="20"/>
        <v>0</v>
      </c>
    </row>
    <row r="264" spans="1:13" x14ac:dyDescent="0.25">
      <c r="A264" s="166"/>
      <c r="G264" s="136"/>
      <c r="H264" s="150">
        <v>259</v>
      </c>
      <c r="I264" s="151" t="str">
        <f t="shared" si="21"/>
        <v/>
      </c>
      <c r="J264" s="150">
        <f t="shared" si="22"/>
        <v>-9</v>
      </c>
      <c r="K264" s="150">
        <f t="shared" si="19"/>
        <v>-90</v>
      </c>
      <c r="L264" s="150"/>
      <c r="M264" s="152">
        <f t="shared" si="20"/>
        <v>0</v>
      </c>
    </row>
    <row r="265" spans="1:13" x14ac:dyDescent="0.25">
      <c r="A265" s="166"/>
      <c r="G265" s="136"/>
      <c r="H265" s="150">
        <v>260</v>
      </c>
      <c r="I265" s="151" t="str">
        <f t="shared" si="21"/>
        <v/>
      </c>
      <c r="J265" s="150">
        <f t="shared" si="22"/>
        <v>-9</v>
      </c>
      <c r="K265" s="150">
        <f t="shared" si="19"/>
        <v>-90</v>
      </c>
      <c r="L265" s="150"/>
      <c r="M265" s="152">
        <f t="shared" si="20"/>
        <v>0</v>
      </c>
    </row>
    <row r="266" spans="1:13" x14ac:dyDescent="0.25">
      <c r="A266" s="166"/>
      <c r="G266" s="136"/>
      <c r="H266" s="150">
        <v>261</v>
      </c>
      <c r="I266" s="151" t="str">
        <f t="shared" si="21"/>
        <v/>
      </c>
      <c r="J266" s="150">
        <f t="shared" si="22"/>
        <v>-9</v>
      </c>
      <c r="K266" s="150">
        <f t="shared" si="19"/>
        <v>-90</v>
      </c>
      <c r="L266" s="150"/>
      <c r="M266" s="152">
        <f t="shared" si="20"/>
        <v>0</v>
      </c>
    </row>
    <row r="267" spans="1:13" x14ac:dyDescent="0.25">
      <c r="A267" s="166"/>
      <c r="G267" s="136"/>
      <c r="H267" s="150">
        <v>262</v>
      </c>
      <c r="I267" s="151" t="str">
        <f t="shared" si="21"/>
        <v/>
      </c>
      <c r="J267" s="150">
        <f t="shared" si="22"/>
        <v>-9</v>
      </c>
      <c r="K267" s="150">
        <f t="shared" si="19"/>
        <v>-90</v>
      </c>
      <c r="L267" s="150"/>
      <c r="M267" s="152">
        <f t="shared" si="20"/>
        <v>0</v>
      </c>
    </row>
    <row r="268" spans="1:13" x14ac:dyDescent="0.25">
      <c r="A268" s="166"/>
      <c r="G268" s="136"/>
      <c r="H268" s="150">
        <v>263</v>
      </c>
      <c r="I268" s="151" t="str">
        <f t="shared" si="21"/>
        <v/>
      </c>
      <c r="J268" s="150">
        <f t="shared" si="22"/>
        <v>-9</v>
      </c>
      <c r="K268" s="150">
        <f t="shared" si="19"/>
        <v>-90</v>
      </c>
      <c r="L268" s="150"/>
      <c r="M268" s="152">
        <f t="shared" si="20"/>
        <v>0</v>
      </c>
    </row>
    <row r="269" spans="1:13" x14ac:dyDescent="0.25">
      <c r="A269" s="166"/>
      <c r="G269" s="136"/>
      <c r="H269" s="150">
        <v>264</v>
      </c>
      <c r="I269" s="151" t="str">
        <f t="shared" si="21"/>
        <v/>
      </c>
      <c r="J269" s="150">
        <f t="shared" si="22"/>
        <v>-9</v>
      </c>
      <c r="K269" s="150">
        <f t="shared" si="19"/>
        <v>-90</v>
      </c>
      <c r="L269" s="150"/>
      <c r="M269" s="152">
        <f t="shared" si="20"/>
        <v>0</v>
      </c>
    </row>
    <row r="270" spans="1:13" x14ac:dyDescent="0.25">
      <c r="A270" s="166"/>
      <c r="G270" s="136"/>
      <c r="H270" s="150">
        <v>265</v>
      </c>
      <c r="I270" s="151" t="str">
        <f t="shared" si="21"/>
        <v/>
      </c>
      <c r="J270" s="150">
        <f t="shared" si="22"/>
        <v>-9</v>
      </c>
      <c r="K270" s="150">
        <f t="shared" si="19"/>
        <v>-90</v>
      </c>
      <c r="L270" s="150"/>
      <c r="M270" s="152">
        <f t="shared" si="20"/>
        <v>0</v>
      </c>
    </row>
    <row r="271" spans="1:13" x14ac:dyDescent="0.25">
      <c r="A271" s="166"/>
      <c r="G271" s="136"/>
      <c r="H271" s="150">
        <v>266</v>
      </c>
      <c r="I271" s="151" t="str">
        <f t="shared" si="21"/>
        <v/>
      </c>
      <c r="J271" s="150">
        <f t="shared" si="22"/>
        <v>-9</v>
      </c>
      <c r="K271" s="150">
        <f t="shared" si="19"/>
        <v>-90</v>
      </c>
      <c r="L271" s="150"/>
      <c r="M271" s="152">
        <f t="shared" si="20"/>
        <v>0</v>
      </c>
    </row>
    <row r="272" spans="1:13" x14ac:dyDescent="0.25">
      <c r="A272" s="166"/>
      <c r="G272" s="136"/>
      <c r="H272" s="150">
        <v>267</v>
      </c>
      <c r="I272" s="151" t="str">
        <f t="shared" si="21"/>
        <v/>
      </c>
      <c r="J272" s="150">
        <f t="shared" si="22"/>
        <v>-9</v>
      </c>
      <c r="K272" s="150">
        <f t="shared" si="19"/>
        <v>-90</v>
      </c>
      <c r="L272" s="150"/>
      <c r="M272" s="152">
        <f t="shared" si="20"/>
        <v>0</v>
      </c>
    </row>
    <row r="273" spans="1:13" x14ac:dyDescent="0.25">
      <c r="A273" s="166"/>
      <c r="G273" s="136"/>
      <c r="H273" s="150">
        <v>268</v>
      </c>
      <c r="I273" s="151" t="str">
        <f t="shared" si="21"/>
        <v/>
      </c>
      <c r="J273" s="150">
        <f t="shared" si="22"/>
        <v>-9</v>
      </c>
      <c r="K273" s="150">
        <f t="shared" si="19"/>
        <v>-90</v>
      </c>
      <c r="L273" s="150"/>
      <c r="M273" s="152">
        <f t="shared" si="20"/>
        <v>0</v>
      </c>
    </row>
    <row r="274" spans="1:13" x14ac:dyDescent="0.25">
      <c r="A274" s="166"/>
      <c r="G274" s="136"/>
      <c r="H274" s="150">
        <v>269</v>
      </c>
      <c r="I274" s="151" t="str">
        <f t="shared" si="21"/>
        <v/>
      </c>
      <c r="J274" s="150">
        <f t="shared" si="22"/>
        <v>-9</v>
      </c>
      <c r="K274" s="150">
        <f t="shared" si="19"/>
        <v>-90</v>
      </c>
      <c r="L274" s="150"/>
      <c r="M274" s="152">
        <f t="shared" si="20"/>
        <v>0</v>
      </c>
    </row>
    <row r="275" spans="1:13" x14ac:dyDescent="0.25">
      <c r="A275" s="166"/>
      <c r="G275" s="136"/>
      <c r="H275" s="150">
        <v>270</v>
      </c>
      <c r="I275" s="151" t="str">
        <f t="shared" si="21"/>
        <v/>
      </c>
      <c r="J275" s="150">
        <f t="shared" si="22"/>
        <v>-9</v>
      </c>
      <c r="K275" s="150">
        <f t="shared" si="19"/>
        <v>-90</v>
      </c>
      <c r="L275" s="150"/>
      <c r="M275" s="152">
        <f t="shared" si="20"/>
        <v>0</v>
      </c>
    </row>
    <row r="276" spans="1:13" x14ac:dyDescent="0.25">
      <c r="A276" s="166"/>
      <c r="G276" s="136"/>
      <c r="H276" s="150">
        <v>271</v>
      </c>
      <c r="I276" s="151" t="str">
        <f t="shared" si="21"/>
        <v/>
      </c>
      <c r="J276" s="150">
        <f t="shared" si="22"/>
        <v>-9</v>
      </c>
      <c r="K276" s="150">
        <f t="shared" si="19"/>
        <v>-90</v>
      </c>
      <c r="L276" s="150"/>
      <c r="M276" s="152">
        <f t="shared" si="20"/>
        <v>0</v>
      </c>
    </row>
    <row r="277" spans="1:13" x14ac:dyDescent="0.25">
      <c r="A277" s="166"/>
      <c r="G277" s="136"/>
      <c r="H277" s="150">
        <v>272</v>
      </c>
      <c r="I277" s="151" t="str">
        <f t="shared" si="21"/>
        <v/>
      </c>
      <c r="J277" s="150">
        <f t="shared" si="22"/>
        <v>-9</v>
      </c>
      <c r="K277" s="150">
        <f t="shared" si="19"/>
        <v>-90</v>
      </c>
      <c r="L277" s="150"/>
      <c r="M277" s="152">
        <f t="shared" si="20"/>
        <v>0</v>
      </c>
    </row>
    <row r="278" spans="1:13" x14ac:dyDescent="0.25">
      <c r="A278" s="166"/>
      <c r="G278" s="136"/>
      <c r="H278" s="150">
        <v>273</v>
      </c>
      <c r="I278" s="151" t="str">
        <f t="shared" si="21"/>
        <v/>
      </c>
      <c r="J278" s="150">
        <f t="shared" si="22"/>
        <v>-9</v>
      </c>
      <c r="K278" s="150">
        <f t="shared" si="19"/>
        <v>-90</v>
      </c>
      <c r="L278" s="150"/>
      <c r="M278" s="152">
        <f t="shared" si="20"/>
        <v>0</v>
      </c>
    </row>
    <row r="279" spans="1:13" x14ac:dyDescent="0.25">
      <c r="A279" s="166"/>
      <c r="G279" s="136"/>
      <c r="H279" s="150">
        <v>274</v>
      </c>
      <c r="I279" s="151" t="str">
        <f t="shared" si="21"/>
        <v/>
      </c>
      <c r="J279" s="150">
        <f t="shared" si="22"/>
        <v>-9</v>
      </c>
      <c r="K279" s="150">
        <f t="shared" si="19"/>
        <v>-90</v>
      </c>
      <c r="L279" s="150"/>
      <c r="M279" s="152">
        <f t="shared" si="20"/>
        <v>0</v>
      </c>
    </row>
    <row r="280" spans="1:13" x14ac:dyDescent="0.25">
      <c r="A280" s="166"/>
      <c r="G280" s="136"/>
      <c r="H280" s="150">
        <v>275</v>
      </c>
      <c r="I280" s="151" t="str">
        <f t="shared" si="21"/>
        <v/>
      </c>
      <c r="J280" s="150">
        <f t="shared" si="22"/>
        <v>-9</v>
      </c>
      <c r="K280" s="150">
        <f t="shared" si="19"/>
        <v>-90</v>
      </c>
      <c r="L280" s="150"/>
      <c r="M280" s="152">
        <f t="shared" si="20"/>
        <v>0</v>
      </c>
    </row>
    <row r="281" spans="1:13" x14ac:dyDescent="0.25">
      <c r="A281" s="166"/>
      <c r="G281" s="136"/>
      <c r="H281" s="150">
        <v>276</v>
      </c>
      <c r="I281" s="151" t="str">
        <f t="shared" si="21"/>
        <v/>
      </c>
      <c r="J281" s="150">
        <f t="shared" si="22"/>
        <v>-9</v>
      </c>
      <c r="K281" s="150">
        <f t="shared" si="19"/>
        <v>-90</v>
      </c>
      <c r="L281" s="150"/>
      <c r="M281" s="152">
        <f t="shared" si="20"/>
        <v>0</v>
      </c>
    </row>
    <row r="282" spans="1:13" x14ac:dyDescent="0.25">
      <c r="A282" s="166"/>
      <c r="G282" s="136"/>
      <c r="H282" s="150">
        <v>277</v>
      </c>
      <c r="I282" s="151" t="str">
        <f t="shared" si="21"/>
        <v/>
      </c>
      <c r="J282" s="150">
        <f t="shared" si="22"/>
        <v>-9</v>
      </c>
      <c r="K282" s="150">
        <f t="shared" si="19"/>
        <v>-90</v>
      </c>
      <c r="L282" s="150"/>
      <c r="M282" s="152">
        <f t="shared" si="20"/>
        <v>0</v>
      </c>
    </row>
    <row r="283" spans="1:13" x14ac:dyDescent="0.25">
      <c r="A283" s="166"/>
      <c r="G283" s="136"/>
      <c r="H283" s="150">
        <v>278</v>
      </c>
      <c r="I283" s="151" t="str">
        <f t="shared" si="21"/>
        <v/>
      </c>
      <c r="J283" s="150">
        <f t="shared" si="22"/>
        <v>-9</v>
      </c>
      <c r="K283" s="150">
        <f t="shared" si="19"/>
        <v>-90</v>
      </c>
      <c r="L283" s="150"/>
      <c r="M283" s="152">
        <f t="shared" si="20"/>
        <v>0</v>
      </c>
    </row>
    <row r="284" spans="1:13" x14ac:dyDescent="0.25">
      <c r="A284" s="166"/>
      <c r="G284" s="136"/>
      <c r="H284" s="150">
        <v>279</v>
      </c>
      <c r="I284" s="151" t="str">
        <f t="shared" si="21"/>
        <v/>
      </c>
      <c r="J284" s="150">
        <f t="shared" si="22"/>
        <v>-9</v>
      </c>
      <c r="K284" s="150">
        <f t="shared" si="19"/>
        <v>-90</v>
      </c>
      <c r="L284" s="150"/>
      <c r="M284" s="152">
        <f t="shared" si="20"/>
        <v>0</v>
      </c>
    </row>
    <row r="285" spans="1:13" x14ac:dyDescent="0.25">
      <c r="A285" s="166"/>
      <c r="G285" s="136"/>
      <c r="H285" s="150">
        <v>280</v>
      </c>
      <c r="I285" s="151" t="str">
        <f t="shared" si="21"/>
        <v/>
      </c>
      <c r="J285" s="150">
        <f t="shared" si="22"/>
        <v>-9</v>
      </c>
      <c r="K285" s="150">
        <f t="shared" si="19"/>
        <v>-90</v>
      </c>
      <c r="L285" s="150"/>
      <c r="M285" s="152">
        <f t="shared" si="20"/>
        <v>0</v>
      </c>
    </row>
    <row r="286" spans="1:13" x14ac:dyDescent="0.25">
      <c r="A286" s="166"/>
      <c r="G286" s="136"/>
      <c r="H286" s="150">
        <v>281</v>
      </c>
      <c r="I286" s="151" t="str">
        <f t="shared" si="21"/>
        <v/>
      </c>
      <c r="J286" s="150">
        <f t="shared" si="22"/>
        <v>-9</v>
      </c>
      <c r="K286" s="150">
        <f t="shared" si="19"/>
        <v>-90</v>
      </c>
      <c r="L286" s="150"/>
      <c r="M286" s="152">
        <f t="shared" si="20"/>
        <v>0</v>
      </c>
    </row>
    <row r="287" spans="1:13" x14ac:dyDescent="0.25">
      <c r="A287" s="166"/>
      <c r="G287" s="136"/>
      <c r="H287" s="150">
        <v>282</v>
      </c>
      <c r="I287" s="151" t="str">
        <f t="shared" si="21"/>
        <v/>
      </c>
      <c r="J287" s="150">
        <f t="shared" si="22"/>
        <v>-9</v>
      </c>
      <c r="K287" s="150">
        <f t="shared" si="19"/>
        <v>-90</v>
      </c>
      <c r="L287" s="150"/>
      <c r="M287" s="152">
        <f t="shared" si="20"/>
        <v>0</v>
      </c>
    </row>
    <row r="288" spans="1:13" x14ac:dyDescent="0.25">
      <c r="A288" s="166"/>
      <c r="G288" s="136"/>
      <c r="H288" s="150">
        <v>283</v>
      </c>
      <c r="I288" s="151" t="str">
        <f t="shared" si="21"/>
        <v/>
      </c>
      <c r="J288" s="150">
        <f t="shared" si="22"/>
        <v>-9</v>
      </c>
      <c r="K288" s="150">
        <f t="shared" si="19"/>
        <v>-90</v>
      </c>
      <c r="L288" s="150"/>
      <c r="M288" s="152">
        <f t="shared" si="20"/>
        <v>0</v>
      </c>
    </row>
    <row r="289" spans="1:13" x14ac:dyDescent="0.25">
      <c r="A289" s="166"/>
      <c r="G289" s="136"/>
      <c r="H289" s="150">
        <v>284</v>
      </c>
      <c r="I289" s="151" t="str">
        <f t="shared" si="21"/>
        <v/>
      </c>
      <c r="J289" s="150">
        <f t="shared" si="22"/>
        <v>-9</v>
      </c>
      <c r="K289" s="150">
        <f t="shared" si="19"/>
        <v>-90</v>
      </c>
      <c r="L289" s="150"/>
      <c r="M289" s="152">
        <f t="shared" si="20"/>
        <v>0</v>
      </c>
    </row>
    <row r="290" spans="1:13" x14ac:dyDescent="0.25">
      <c r="A290" s="166"/>
      <c r="G290" s="136"/>
      <c r="H290" s="150">
        <v>285</v>
      </c>
      <c r="I290" s="151" t="str">
        <f t="shared" si="21"/>
        <v/>
      </c>
      <c r="J290" s="150">
        <f t="shared" si="22"/>
        <v>-9</v>
      </c>
      <c r="K290" s="150">
        <f t="shared" si="19"/>
        <v>-90</v>
      </c>
      <c r="L290" s="150"/>
      <c r="M290" s="152">
        <f t="shared" si="20"/>
        <v>0</v>
      </c>
    </row>
    <row r="291" spans="1:13" x14ac:dyDescent="0.25">
      <c r="A291" s="166"/>
      <c r="G291" s="136"/>
      <c r="H291" s="150">
        <v>286</v>
      </c>
      <c r="I291" s="151" t="str">
        <f t="shared" si="21"/>
        <v/>
      </c>
      <c r="J291" s="150">
        <f t="shared" si="22"/>
        <v>-9</v>
      </c>
      <c r="K291" s="150">
        <f t="shared" si="19"/>
        <v>-90</v>
      </c>
      <c r="L291" s="150"/>
      <c r="M291" s="152">
        <f t="shared" si="20"/>
        <v>0</v>
      </c>
    </row>
    <row r="292" spans="1:13" x14ac:dyDescent="0.25">
      <c r="A292" s="166"/>
      <c r="G292" s="136"/>
      <c r="H292" s="150">
        <v>287</v>
      </c>
      <c r="I292" s="151" t="str">
        <f t="shared" si="21"/>
        <v/>
      </c>
      <c r="J292" s="150">
        <f t="shared" si="22"/>
        <v>-9</v>
      </c>
      <c r="K292" s="150">
        <f t="shared" si="19"/>
        <v>-90</v>
      </c>
      <c r="L292" s="150"/>
      <c r="M292" s="152">
        <f t="shared" si="20"/>
        <v>0</v>
      </c>
    </row>
    <row r="293" spans="1:13" x14ac:dyDescent="0.25">
      <c r="A293" s="166"/>
      <c r="G293" s="136"/>
      <c r="H293" s="150">
        <v>288</v>
      </c>
      <c r="I293" s="151" t="str">
        <f t="shared" si="21"/>
        <v/>
      </c>
      <c r="J293" s="150">
        <f t="shared" si="22"/>
        <v>-9</v>
      </c>
      <c r="K293" s="150">
        <f t="shared" si="19"/>
        <v>-90</v>
      </c>
      <c r="L293" s="150"/>
      <c r="M293" s="152">
        <f t="shared" si="20"/>
        <v>0</v>
      </c>
    </row>
    <row r="294" spans="1:13" x14ac:dyDescent="0.25">
      <c r="A294" s="166"/>
      <c r="G294" s="136"/>
      <c r="H294" s="150">
        <v>289</v>
      </c>
      <c r="I294" s="151" t="str">
        <f t="shared" si="21"/>
        <v/>
      </c>
      <c r="J294" s="150">
        <f t="shared" si="22"/>
        <v>-9</v>
      </c>
      <c r="K294" s="150">
        <f t="shared" si="19"/>
        <v>-90</v>
      </c>
      <c r="L294" s="150"/>
      <c r="M294" s="152">
        <f t="shared" si="20"/>
        <v>0</v>
      </c>
    </row>
    <row r="295" spans="1:13" x14ac:dyDescent="0.25">
      <c r="A295" s="166"/>
      <c r="G295" s="136"/>
      <c r="H295" s="150">
        <v>290</v>
      </c>
      <c r="I295" s="151" t="str">
        <f t="shared" si="21"/>
        <v/>
      </c>
      <c r="J295" s="150">
        <f t="shared" si="22"/>
        <v>-9</v>
      </c>
      <c r="K295" s="150">
        <f t="shared" si="19"/>
        <v>-90</v>
      </c>
      <c r="L295" s="150"/>
      <c r="M295" s="152">
        <f t="shared" si="20"/>
        <v>0</v>
      </c>
    </row>
    <row r="296" spans="1:13" x14ac:dyDescent="0.25">
      <c r="A296" s="166"/>
      <c r="G296" s="136"/>
      <c r="H296" s="150">
        <v>291</v>
      </c>
      <c r="I296" s="151" t="str">
        <f t="shared" si="21"/>
        <v/>
      </c>
      <c r="J296" s="150">
        <f t="shared" si="22"/>
        <v>-9</v>
      </c>
      <c r="K296" s="150">
        <f t="shared" si="19"/>
        <v>-90</v>
      </c>
      <c r="L296" s="150"/>
      <c r="M296" s="152">
        <f t="shared" si="20"/>
        <v>0</v>
      </c>
    </row>
    <row r="297" spans="1:13" x14ac:dyDescent="0.25">
      <c r="A297" s="166"/>
      <c r="G297" s="136"/>
      <c r="H297" s="150">
        <v>292</v>
      </c>
      <c r="I297" s="151" t="str">
        <f t="shared" si="21"/>
        <v/>
      </c>
      <c r="J297" s="150">
        <f t="shared" si="22"/>
        <v>-9</v>
      </c>
      <c r="K297" s="150">
        <f t="shared" si="19"/>
        <v>-90</v>
      </c>
      <c r="L297" s="150"/>
      <c r="M297" s="152">
        <f t="shared" si="20"/>
        <v>0</v>
      </c>
    </row>
    <row r="298" spans="1:13" x14ac:dyDescent="0.25">
      <c r="A298" s="166"/>
      <c r="G298" s="136"/>
      <c r="H298" s="150">
        <v>293</v>
      </c>
      <c r="I298" s="151" t="str">
        <f t="shared" si="21"/>
        <v/>
      </c>
      <c r="J298" s="150">
        <f t="shared" si="22"/>
        <v>-9</v>
      </c>
      <c r="K298" s="150">
        <f t="shared" si="19"/>
        <v>-90</v>
      </c>
      <c r="L298" s="150"/>
      <c r="M298" s="152">
        <f t="shared" si="20"/>
        <v>0</v>
      </c>
    </row>
    <row r="299" spans="1:13" x14ac:dyDescent="0.25">
      <c r="A299" s="166"/>
      <c r="G299" s="136"/>
      <c r="H299" s="150">
        <v>294</v>
      </c>
      <c r="I299" s="151" t="str">
        <f t="shared" si="21"/>
        <v/>
      </c>
      <c r="J299" s="150">
        <f t="shared" si="22"/>
        <v>-9</v>
      </c>
      <c r="K299" s="150">
        <f t="shared" si="19"/>
        <v>-90</v>
      </c>
      <c r="L299" s="150"/>
      <c r="M299" s="152">
        <f t="shared" si="20"/>
        <v>0</v>
      </c>
    </row>
    <row r="300" spans="1:13" x14ac:dyDescent="0.25">
      <c r="A300" s="166"/>
      <c r="G300" s="136"/>
      <c r="H300" s="150">
        <v>295</v>
      </c>
      <c r="I300" s="151" t="str">
        <f t="shared" si="21"/>
        <v/>
      </c>
      <c r="J300" s="150">
        <f t="shared" si="22"/>
        <v>-9</v>
      </c>
      <c r="K300" s="150">
        <f t="shared" si="19"/>
        <v>-90</v>
      </c>
      <c r="L300" s="150"/>
      <c r="M300" s="152">
        <f t="shared" si="20"/>
        <v>0</v>
      </c>
    </row>
    <row r="301" spans="1:13" x14ac:dyDescent="0.25">
      <c r="A301" s="166"/>
      <c r="G301" s="136"/>
      <c r="H301" s="150">
        <v>296</v>
      </c>
      <c r="I301" s="151" t="str">
        <f t="shared" si="21"/>
        <v/>
      </c>
      <c r="J301" s="150">
        <f t="shared" si="22"/>
        <v>-9</v>
      </c>
      <c r="K301" s="150">
        <f t="shared" si="19"/>
        <v>-90</v>
      </c>
      <c r="L301" s="150"/>
      <c r="M301" s="152">
        <f t="shared" si="20"/>
        <v>0</v>
      </c>
    </row>
    <row r="302" spans="1:13" x14ac:dyDescent="0.25">
      <c r="A302" s="166"/>
      <c r="G302" s="136"/>
      <c r="H302" s="150">
        <v>297</v>
      </c>
      <c r="I302" s="151" t="str">
        <f t="shared" si="21"/>
        <v/>
      </c>
      <c r="J302" s="150">
        <f t="shared" si="22"/>
        <v>-9</v>
      </c>
      <c r="K302" s="150">
        <f t="shared" si="19"/>
        <v>-90</v>
      </c>
      <c r="L302" s="150"/>
      <c r="M302" s="152">
        <f t="shared" si="20"/>
        <v>0</v>
      </c>
    </row>
    <row r="303" spans="1:13" x14ac:dyDescent="0.25">
      <c r="A303" s="166"/>
      <c r="G303" s="136"/>
      <c r="H303" s="150">
        <v>298</v>
      </c>
      <c r="I303" s="151" t="str">
        <f t="shared" si="21"/>
        <v/>
      </c>
      <c r="J303" s="150">
        <f t="shared" si="22"/>
        <v>-9</v>
      </c>
      <c r="K303" s="150">
        <f t="shared" si="19"/>
        <v>-90</v>
      </c>
      <c r="L303" s="150"/>
      <c r="M303" s="152">
        <f t="shared" si="20"/>
        <v>0</v>
      </c>
    </row>
    <row r="304" spans="1:13" x14ac:dyDescent="0.25">
      <c r="A304" s="166"/>
      <c r="G304" s="136"/>
      <c r="H304" s="150">
        <v>299</v>
      </c>
      <c r="I304" s="151" t="str">
        <f t="shared" si="21"/>
        <v/>
      </c>
      <c r="J304" s="150">
        <f t="shared" si="22"/>
        <v>-9</v>
      </c>
      <c r="K304" s="150">
        <f t="shared" si="19"/>
        <v>-90</v>
      </c>
      <c r="L304" s="150"/>
      <c r="M304" s="152">
        <f t="shared" si="20"/>
        <v>0</v>
      </c>
    </row>
    <row r="305" spans="1:16" x14ac:dyDescent="0.25">
      <c r="A305" s="166"/>
      <c r="G305" s="136"/>
      <c r="H305" s="150">
        <v>300</v>
      </c>
      <c r="I305" s="151" t="str">
        <f t="shared" si="21"/>
        <v/>
      </c>
      <c r="J305" s="150">
        <f t="shared" si="22"/>
        <v>-9</v>
      </c>
      <c r="K305" s="150">
        <f t="shared" si="19"/>
        <v>-90</v>
      </c>
      <c r="L305" s="150"/>
      <c r="M305" s="152">
        <f t="shared" si="20"/>
        <v>0</v>
      </c>
    </row>
    <row r="306" spans="1:16" x14ac:dyDescent="0.25">
      <c r="A306" s="168"/>
    </row>
    <row r="314" spans="1:16" x14ac:dyDescent="0.25">
      <c r="L314" s="171"/>
      <c r="P314" s="161"/>
    </row>
    <row r="315" spans="1:16" x14ac:dyDescent="0.25">
      <c r="L315" s="171"/>
      <c r="P315" s="161"/>
    </row>
    <row r="316" spans="1:16" x14ac:dyDescent="0.25">
      <c r="L316" s="171"/>
      <c r="P316" s="161"/>
    </row>
    <row r="317" spans="1:16" x14ac:dyDescent="0.25">
      <c r="L317" s="171"/>
      <c r="P317" s="161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34328CF3-5D99-4441-8D50-CC8A77426A12}">
      <formula1>#REF!</formula1>
    </dataValidation>
  </dataValidations>
  <hyperlinks>
    <hyperlink ref="C2:D2" r:id="rId1" display="TBD" xr:uid="{C547E4D0-F71A-4722-B299-AF666EDB1E0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E746-6214-4AE6-BE6E-AF7892F62CAE}">
  <sheetPr codeName="Arkusz10">
    <tabColor rgb="FF92D050"/>
  </sheetPr>
  <dimension ref="A1:AM317"/>
  <sheetViews>
    <sheetView workbookViewId="0">
      <selection activeCell="C6" sqref="C6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25</v>
      </c>
      <c r="I1" s="16" t="s">
        <v>26</v>
      </c>
      <c r="J1" s="16" t="s">
        <v>27</v>
      </c>
      <c r="K1" s="17" t="s">
        <v>79</v>
      </c>
      <c r="L1" s="63" t="s">
        <v>80</v>
      </c>
      <c r="M1" s="64"/>
      <c r="N1" s="18"/>
    </row>
    <row r="2" spans="1:37" x14ac:dyDescent="0.25">
      <c r="A2" s="14"/>
      <c r="B2" s="20" t="s">
        <v>29</v>
      </c>
      <c r="C2" s="271" t="s">
        <v>299</v>
      </c>
      <c r="D2" s="271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65">
        <f>1.2</f>
        <v>1.2</v>
      </c>
      <c r="M2" s="18"/>
      <c r="N2" s="18"/>
    </row>
    <row r="3" spans="1:37" x14ac:dyDescent="0.25">
      <c r="A3" s="14"/>
      <c r="B3" s="25" t="s">
        <v>31</v>
      </c>
      <c r="C3" s="272" t="s">
        <v>300</v>
      </c>
      <c r="D3" s="272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30" t="s">
        <v>39</v>
      </c>
      <c r="I5" s="31" t="s">
        <v>40</v>
      </c>
      <c r="J5" s="32" t="s">
        <v>41</v>
      </c>
      <c r="K5" s="31" t="s">
        <v>42</v>
      </c>
      <c r="L5" s="31" t="s">
        <v>43</v>
      </c>
      <c r="M5" s="30" t="s">
        <v>44</v>
      </c>
      <c r="N5" s="30" t="s">
        <v>81</v>
      </c>
    </row>
    <row r="6" spans="1:37" ht="14.45" customHeight="1" x14ac:dyDescent="0.25">
      <c r="A6" s="33">
        <f t="shared" ref="A6:A14" si="0">N6</f>
        <v>101.14393136125655</v>
      </c>
      <c r="B6" s="34">
        <f t="shared" ref="B6:B14" si="1">IF(H6&gt;$H$2,"",(ROW()-5))</f>
        <v>1</v>
      </c>
      <c r="C6" s="35" t="s">
        <v>99</v>
      </c>
      <c r="D6" s="35" t="s">
        <v>301</v>
      </c>
      <c r="E6" s="35"/>
      <c r="F6" s="35" t="s">
        <v>65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2">J6*$J$2</f>
        <v>20</v>
      </c>
      <c r="L6" s="36">
        <f>3*K2</f>
        <v>14.286609467713795</v>
      </c>
      <c r="M6" s="38">
        <f t="shared" ref="M6:M69" si="3">IF(I6&lt;&gt;"",K6+I6+L6,0)</f>
        <v>84.286609467713788</v>
      </c>
      <c r="N6" s="38">
        <f>IF(I6&lt;&gt;"",M6*L$2,"")</f>
        <v>101.14393136125655</v>
      </c>
      <c r="AA6" s="46"/>
      <c r="AB6" s="46"/>
      <c r="AH6" s="47"/>
    </row>
    <row r="7" spans="1:37" ht="14.45" customHeight="1" x14ac:dyDescent="0.25">
      <c r="A7" s="39">
        <f t="shared" si="0"/>
        <v>54.029287574171029</v>
      </c>
      <c r="B7" s="40">
        <f t="shared" si="1"/>
        <v>2</v>
      </c>
      <c r="C7" s="41" t="s">
        <v>20</v>
      </c>
      <c r="D7" s="41" t="s">
        <v>45</v>
      </c>
      <c r="E7" s="41"/>
      <c r="F7" s="41" t="s">
        <v>65</v>
      </c>
      <c r="G7" s="28"/>
      <c r="H7" s="42">
        <v>2</v>
      </c>
      <c r="I7" s="43">
        <f t="shared" ref="I7:I69" si="4">IF(H7&lt;$H$2+1,($I$2-($I$2-1)*(LOG(H7)/LOG($H$2))),"")</f>
        <v>25.5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2"/>
        <v>10</v>
      </c>
      <c r="L7" s="44">
        <f>2*K2</f>
        <v>9.5244063118091962</v>
      </c>
      <c r="M7" s="44">
        <f t="shared" si="3"/>
        <v>45.024406311809194</v>
      </c>
      <c r="N7" s="44">
        <f t="shared" ref="N7:N70" si="6">IF(I7&lt;&gt;"",M7*L$2,"")</f>
        <v>54.029287574171029</v>
      </c>
    </row>
    <row r="8" spans="1:37" ht="14.45" customHeight="1" x14ac:dyDescent="0.25">
      <c r="A8" s="33">
        <f t="shared" si="0"/>
        <v>19.116746265883524</v>
      </c>
      <c r="B8" s="34">
        <f t="shared" si="1"/>
        <v>3</v>
      </c>
      <c r="C8" s="35" t="s">
        <v>23</v>
      </c>
      <c r="D8" s="35" t="s">
        <v>75</v>
      </c>
      <c r="E8" s="35"/>
      <c r="F8" s="35"/>
      <c r="G8" s="28"/>
      <c r="H8" s="36">
        <v>3</v>
      </c>
      <c r="I8" s="37">
        <f t="shared" si="4"/>
        <v>11.168418732331673</v>
      </c>
      <c r="J8" s="36">
        <f t="shared" si="5"/>
        <v>0</v>
      </c>
      <c r="K8" s="36">
        <f t="shared" si="2"/>
        <v>0</v>
      </c>
      <c r="L8" s="36">
        <f>K2</f>
        <v>4.7622031559045981</v>
      </c>
      <c r="M8" s="38">
        <f t="shared" si="3"/>
        <v>15.930621888236271</v>
      </c>
      <c r="N8" s="38">
        <f t="shared" si="6"/>
        <v>19.116746265883524</v>
      </c>
      <c r="AA8" s="46"/>
      <c r="AB8" s="46"/>
      <c r="AH8" s="47"/>
    </row>
    <row r="9" spans="1:37" ht="14.45" customHeight="1" x14ac:dyDescent="0.25">
      <c r="A9" s="39">
        <f t="shared" si="0"/>
        <v>1.2</v>
      </c>
      <c r="B9" s="40">
        <f t="shared" si="1"/>
        <v>4</v>
      </c>
      <c r="C9" s="41" t="s">
        <v>21</v>
      </c>
      <c r="D9" s="41" t="s">
        <v>60</v>
      </c>
      <c r="E9" s="41"/>
      <c r="F9" s="41" t="s">
        <v>65</v>
      </c>
      <c r="G9" s="28"/>
      <c r="H9" s="42">
        <v>4</v>
      </c>
      <c r="I9" s="43">
        <f t="shared" si="4"/>
        <v>1</v>
      </c>
      <c r="J9" s="42">
        <f t="shared" si="5"/>
        <v>0</v>
      </c>
      <c r="K9" s="42">
        <f t="shared" si="2"/>
        <v>0</v>
      </c>
      <c r="L9" s="44"/>
      <c r="M9" s="44">
        <f t="shared" si="3"/>
        <v>1</v>
      </c>
      <c r="N9" s="44">
        <f t="shared" si="6"/>
        <v>1.2</v>
      </c>
      <c r="AI9" s="19" t="s">
        <v>49</v>
      </c>
      <c r="AJ9" s="19">
        <v>23</v>
      </c>
    </row>
    <row r="10" spans="1:37" ht="14.45" customHeight="1" x14ac:dyDescent="0.25">
      <c r="A10" s="33" t="str">
        <f t="shared" si="0"/>
        <v/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2"/>
        <v>-10</v>
      </c>
      <c r="L10" s="36"/>
      <c r="M10" s="38">
        <f t="shared" si="3"/>
        <v>0</v>
      </c>
      <c r="N10" s="38" t="str">
        <f t="shared" si="6"/>
        <v/>
      </c>
      <c r="AA10" s="46"/>
      <c r="AB10" s="46"/>
      <c r="AH10" s="47"/>
      <c r="AI10" s="19" t="s">
        <v>52</v>
      </c>
      <c r="AJ10" s="19">
        <v>45</v>
      </c>
    </row>
    <row r="11" spans="1:37" ht="14.45" customHeight="1" x14ac:dyDescent="0.25">
      <c r="A11" s="39" t="str">
        <f t="shared" si="0"/>
        <v/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2"/>
        <v>-10</v>
      </c>
      <c r="L11" s="42"/>
      <c r="M11" s="44">
        <f t="shared" si="3"/>
        <v>0</v>
      </c>
      <c r="N11" s="44" t="str">
        <f t="shared" si="6"/>
        <v/>
      </c>
      <c r="W11" s="48"/>
      <c r="AA11" s="46"/>
      <c r="AB11" s="46"/>
      <c r="AH11" s="47"/>
      <c r="AI11" s="19" t="s">
        <v>53</v>
      </c>
      <c r="AJ11" s="19">
        <v>50</v>
      </c>
    </row>
    <row r="12" spans="1:37" ht="14.45" customHeight="1" x14ac:dyDescent="0.25">
      <c r="A12" s="33" t="str">
        <f t="shared" si="0"/>
        <v/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2"/>
        <v>-10</v>
      </c>
      <c r="L12" s="36"/>
      <c r="M12" s="38">
        <f t="shared" si="3"/>
        <v>0</v>
      </c>
      <c r="N12" s="38" t="str">
        <f t="shared" si="6"/>
        <v/>
      </c>
      <c r="AA12" s="46"/>
      <c r="AB12" s="46"/>
      <c r="AH12" s="47"/>
      <c r="AI12" s="19" t="s">
        <v>54</v>
      </c>
      <c r="AJ12" s="19">
        <f>AJ11-1</f>
        <v>49</v>
      </c>
    </row>
    <row r="13" spans="1:37" ht="14.45" customHeight="1" x14ac:dyDescent="0.25">
      <c r="A13" s="49" t="str">
        <f t="shared" si="0"/>
        <v/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2"/>
        <v>-10</v>
      </c>
      <c r="L13" s="42"/>
      <c r="M13" s="44">
        <f t="shared" si="3"/>
        <v>0</v>
      </c>
      <c r="N13" s="44" t="str">
        <f t="shared" si="6"/>
        <v/>
      </c>
      <c r="Y13" s="45"/>
      <c r="AH13" s="47"/>
      <c r="AI13" s="19" t="s">
        <v>55</v>
      </c>
      <c r="AJ13" s="19">
        <f>LOG(AJ9)</f>
        <v>1.3617278360175928</v>
      </c>
    </row>
    <row r="14" spans="1:37" x14ac:dyDescent="0.25">
      <c r="A14" s="50" t="str">
        <f t="shared" si="0"/>
        <v/>
      </c>
      <c r="B14" s="34" t="str">
        <f t="shared" si="1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2"/>
        <v>-20</v>
      </c>
      <c r="L14" s="36"/>
      <c r="M14" s="38">
        <f t="shared" si="3"/>
        <v>0</v>
      </c>
      <c r="N14" s="38" t="str">
        <f t="shared" si="6"/>
        <v/>
      </c>
      <c r="Y14" s="51"/>
      <c r="AA14" s="46"/>
      <c r="AB14" s="46"/>
      <c r="AH14" s="47"/>
      <c r="AI14" s="19" t="s">
        <v>56</v>
      </c>
      <c r="AJ14" s="19">
        <f>LOG(AJ10)</f>
        <v>1.6532125137753437</v>
      </c>
    </row>
    <row r="15" spans="1:37" x14ac:dyDescent="0.25">
      <c r="A15" s="49" t="str">
        <f t="shared" ref="A15:A70" si="7">N15</f>
        <v/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2"/>
        <v>-20</v>
      </c>
      <c r="L15" s="42"/>
      <c r="M15" s="44">
        <f t="shared" si="3"/>
        <v>0</v>
      </c>
      <c r="N15" s="44" t="str">
        <f t="shared" si="6"/>
        <v/>
      </c>
      <c r="Y15" s="45"/>
      <c r="AA15" s="46"/>
      <c r="AB15" s="46"/>
    </row>
    <row r="16" spans="1:37" x14ac:dyDescent="0.25">
      <c r="A16" s="50" t="str">
        <f t="shared" si="7"/>
        <v/>
      </c>
      <c r="B16" s="34" t="str">
        <f t="shared" si="8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2"/>
        <v>-20</v>
      </c>
      <c r="L16" s="36"/>
      <c r="M16" s="38">
        <f t="shared" si="3"/>
        <v>0</v>
      </c>
      <c r="N16" s="38" t="str">
        <f t="shared" si="6"/>
        <v/>
      </c>
      <c r="S16" s="52"/>
      <c r="AA16" s="46"/>
      <c r="AB16" s="46"/>
      <c r="AI16" s="53" t="s">
        <v>57</v>
      </c>
      <c r="AJ16" s="19">
        <f>AJ11-AJ12*AJ13/AJ14</f>
        <v>9.6393909380186855</v>
      </c>
      <c r="AK16" s="19" t="s">
        <v>58</v>
      </c>
    </row>
    <row r="17" spans="1:20" x14ac:dyDescent="0.25">
      <c r="A17" s="49" t="str">
        <f t="shared" si="7"/>
        <v/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2"/>
        <v>-20</v>
      </c>
      <c r="L17" s="42"/>
      <c r="M17" s="44">
        <f t="shared" si="3"/>
        <v>0</v>
      </c>
      <c r="N17" s="44" t="str">
        <f t="shared" si="6"/>
        <v/>
      </c>
    </row>
    <row r="18" spans="1:20" x14ac:dyDescent="0.25">
      <c r="A18" s="50" t="str">
        <f t="shared" si="7"/>
        <v/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2"/>
        <v>-20</v>
      </c>
      <c r="L18" s="36"/>
      <c r="M18" s="38">
        <f t="shared" si="3"/>
        <v>0</v>
      </c>
      <c r="N18" s="38" t="str">
        <f t="shared" si="6"/>
        <v/>
      </c>
    </row>
    <row r="19" spans="1:20" x14ac:dyDescent="0.25">
      <c r="A19" s="49" t="str">
        <f t="shared" si="7"/>
        <v/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2"/>
        <v>-20</v>
      </c>
      <c r="L19" s="42"/>
      <c r="M19" s="44">
        <f t="shared" si="3"/>
        <v>0</v>
      </c>
      <c r="N19" s="44" t="str">
        <f t="shared" si="6"/>
        <v/>
      </c>
    </row>
    <row r="20" spans="1:20" x14ac:dyDescent="0.25">
      <c r="A20" s="50" t="str">
        <f t="shared" si="7"/>
        <v/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2"/>
        <v>-20</v>
      </c>
      <c r="L20" s="36"/>
      <c r="M20" s="38">
        <f t="shared" si="3"/>
        <v>0</v>
      </c>
      <c r="N20" s="38" t="str">
        <f t="shared" si="6"/>
        <v/>
      </c>
      <c r="S20" s="54"/>
      <c r="T20" s="55"/>
    </row>
    <row r="21" spans="1:20" x14ac:dyDescent="0.25">
      <c r="A21" s="49" t="str">
        <f t="shared" si="7"/>
        <v/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2"/>
        <v>-20</v>
      </c>
      <c r="L21" s="42"/>
      <c r="M21" s="44">
        <f t="shared" si="3"/>
        <v>0</v>
      </c>
      <c r="N21" s="44" t="str">
        <f t="shared" si="6"/>
        <v/>
      </c>
    </row>
    <row r="22" spans="1:20" x14ac:dyDescent="0.25">
      <c r="A22" s="50" t="str">
        <f t="shared" si="7"/>
        <v/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2"/>
        <v>-30</v>
      </c>
      <c r="L22" s="36"/>
      <c r="M22" s="38">
        <f t="shared" si="3"/>
        <v>0</v>
      </c>
      <c r="N22" s="38" t="str">
        <f t="shared" si="6"/>
        <v/>
      </c>
    </row>
    <row r="23" spans="1:20" x14ac:dyDescent="0.25">
      <c r="A23" s="49" t="str">
        <f t="shared" si="7"/>
        <v/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2"/>
        <v>-30</v>
      </c>
      <c r="L23" s="42"/>
      <c r="M23" s="44">
        <f t="shared" si="3"/>
        <v>0</v>
      </c>
      <c r="N23" s="44" t="str">
        <f t="shared" si="6"/>
        <v/>
      </c>
    </row>
    <row r="24" spans="1:20" x14ac:dyDescent="0.25">
      <c r="A24" s="50" t="str">
        <f t="shared" si="7"/>
        <v/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2"/>
        <v>-30</v>
      </c>
      <c r="L24" s="36"/>
      <c r="M24" s="38">
        <f t="shared" si="3"/>
        <v>0</v>
      </c>
      <c r="N24" s="38" t="str">
        <f t="shared" si="6"/>
        <v/>
      </c>
      <c r="S24" s="54"/>
      <c r="T24" s="55"/>
    </row>
    <row r="25" spans="1:20" x14ac:dyDescent="0.25">
      <c r="A25" s="49" t="str">
        <f t="shared" si="7"/>
        <v/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2"/>
        <v>-30</v>
      </c>
      <c r="L25" s="42"/>
      <c r="M25" s="44">
        <f t="shared" si="3"/>
        <v>0</v>
      </c>
      <c r="N25" s="44" t="str">
        <f t="shared" si="6"/>
        <v/>
      </c>
    </row>
    <row r="26" spans="1:20" x14ac:dyDescent="0.25">
      <c r="A26" s="50" t="str">
        <f t="shared" si="7"/>
        <v/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2"/>
        <v>-30</v>
      </c>
      <c r="L26" s="36"/>
      <c r="M26" s="38">
        <f t="shared" si="3"/>
        <v>0</v>
      </c>
      <c r="N26" s="38" t="str">
        <f t="shared" si="6"/>
        <v/>
      </c>
    </row>
    <row r="27" spans="1:20" x14ac:dyDescent="0.25">
      <c r="A27" s="49" t="str">
        <f t="shared" si="7"/>
        <v/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2"/>
        <v>-30</v>
      </c>
      <c r="L27" s="42"/>
      <c r="M27" s="44">
        <f t="shared" si="3"/>
        <v>0</v>
      </c>
      <c r="N27" s="44" t="str">
        <f t="shared" si="6"/>
        <v/>
      </c>
    </row>
    <row r="28" spans="1:20" x14ac:dyDescent="0.25">
      <c r="A28" s="50" t="str">
        <f t="shared" si="7"/>
        <v/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2"/>
        <v>-30</v>
      </c>
      <c r="L28" s="36"/>
      <c r="M28" s="38">
        <f t="shared" si="3"/>
        <v>0</v>
      </c>
      <c r="N28" s="38" t="str">
        <f t="shared" si="6"/>
        <v/>
      </c>
      <c r="S28" s="54"/>
      <c r="T28" s="55"/>
    </row>
    <row r="29" spans="1:20" x14ac:dyDescent="0.25">
      <c r="A29" s="49" t="str">
        <f t="shared" si="7"/>
        <v/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2"/>
        <v>-30</v>
      </c>
      <c r="L29" s="42"/>
      <c r="M29" s="44">
        <f t="shared" si="3"/>
        <v>0</v>
      </c>
      <c r="N29" s="44" t="str">
        <f t="shared" si="6"/>
        <v/>
      </c>
    </row>
    <row r="30" spans="1:20" x14ac:dyDescent="0.25">
      <c r="A30" s="50" t="str">
        <f t="shared" si="7"/>
        <v/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2"/>
        <v>-30</v>
      </c>
      <c r="L30" s="36"/>
      <c r="M30" s="38">
        <f t="shared" si="3"/>
        <v>0</v>
      </c>
      <c r="N30" s="38" t="str">
        <f t="shared" si="6"/>
        <v/>
      </c>
    </row>
    <row r="31" spans="1:20" x14ac:dyDescent="0.25">
      <c r="A31" s="49" t="str">
        <f t="shared" si="7"/>
        <v/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2"/>
        <v>-30</v>
      </c>
      <c r="L31" s="42"/>
      <c r="M31" s="44">
        <f t="shared" si="3"/>
        <v>0</v>
      </c>
      <c r="N31" s="44" t="str">
        <f t="shared" si="6"/>
        <v/>
      </c>
    </row>
    <row r="32" spans="1:20" x14ac:dyDescent="0.25">
      <c r="A32" s="50" t="str">
        <f t="shared" si="7"/>
        <v/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2"/>
        <v>-30</v>
      </c>
      <c r="L32" s="36"/>
      <c r="M32" s="38">
        <f t="shared" si="3"/>
        <v>0</v>
      </c>
      <c r="N32" s="38" t="str">
        <f t="shared" si="6"/>
        <v/>
      </c>
      <c r="S32" s="54"/>
      <c r="T32" s="55"/>
    </row>
    <row r="33" spans="1:22" x14ac:dyDescent="0.25">
      <c r="A33" s="49" t="str">
        <f t="shared" si="7"/>
        <v/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2"/>
        <v>-30</v>
      </c>
      <c r="L33" s="42"/>
      <c r="M33" s="44">
        <f t="shared" si="3"/>
        <v>0</v>
      </c>
      <c r="N33" s="44" t="str">
        <f t="shared" si="6"/>
        <v/>
      </c>
    </row>
    <row r="34" spans="1:22" x14ac:dyDescent="0.25">
      <c r="A34" s="50" t="str">
        <f t="shared" si="7"/>
        <v/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2"/>
        <v>-30</v>
      </c>
      <c r="L34" s="36"/>
      <c r="M34" s="38">
        <f t="shared" si="3"/>
        <v>0</v>
      </c>
      <c r="N34" s="38" t="str">
        <f t="shared" si="6"/>
        <v/>
      </c>
    </row>
    <row r="35" spans="1:22" x14ac:dyDescent="0.25">
      <c r="A35" s="49" t="str">
        <f t="shared" si="7"/>
        <v/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2"/>
        <v>-30</v>
      </c>
      <c r="L35" s="42"/>
      <c r="M35" s="44">
        <f t="shared" si="3"/>
        <v>0</v>
      </c>
      <c r="N35" s="44" t="str">
        <f t="shared" si="6"/>
        <v/>
      </c>
    </row>
    <row r="36" spans="1:22" x14ac:dyDescent="0.25">
      <c r="A36" s="50" t="str">
        <f t="shared" si="7"/>
        <v/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2"/>
        <v>-30</v>
      </c>
      <c r="L36" s="36"/>
      <c r="M36" s="38">
        <f t="shared" si="3"/>
        <v>0</v>
      </c>
      <c r="N36" s="38" t="str">
        <f t="shared" si="6"/>
        <v/>
      </c>
      <c r="S36" s="54"/>
      <c r="T36" s="55"/>
    </row>
    <row r="37" spans="1:22" x14ac:dyDescent="0.25">
      <c r="A37" s="49" t="str">
        <f t="shared" si="7"/>
        <v/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2"/>
        <v>-30</v>
      </c>
      <c r="L37" s="42"/>
      <c r="M37" s="44">
        <f t="shared" si="3"/>
        <v>0</v>
      </c>
      <c r="N37" s="44" t="str">
        <f t="shared" si="6"/>
        <v/>
      </c>
    </row>
    <row r="38" spans="1:22" x14ac:dyDescent="0.25">
      <c r="A38" s="50" t="str">
        <f t="shared" si="7"/>
        <v/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2"/>
        <v>-40</v>
      </c>
      <c r="L38" s="36"/>
      <c r="M38" s="38">
        <f t="shared" si="3"/>
        <v>0</v>
      </c>
      <c r="N38" s="38" t="str">
        <f t="shared" si="6"/>
        <v/>
      </c>
    </row>
    <row r="39" spans="1:22" x14ac:dyDescent="0.25">
      <c r="A39" s="49" t="str">
        <f t="shared" si="7"/>
        <v/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2"/>
        <v>-40</v>
      </c>
      <c r="L39" s="42"/>
      <c r="M39" s="44">
        <f t="shared" si="3"/>
        <v>0</v>
      </c>
      <c r="N39" s="44" t="str">
        <f t="shared" si="6"/>
        <v/>
      </c>
    </row>
    <row r="40" spans="1:22" x14ac:dyDescent="0.25">
      <c r="A40" s="50" t="str">
        <f t="shared" si="7"/>
        <v/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2"/>
        <v>-40</v>
      </c>
      <c r="L40" s="36"/>
      <c r="M40" s="38">
        <f t="shared" si="3"/>
        <v>0</v>
      </c>
      <c r="N40" s="38" t="str">
        <f t="shared" si="6"/>
        <v/>
      </c>
    </row>
    <row r="41" spans="1:22" x14ac:dyDescent="0.25">
      <c r="A41" s="49" t="str">
        <f t="shared" si="7"/>
        <v/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2"/>
        <v>-40</v>
      </c>
      <c r="L41" s="42"/>
      <c r="M41" s="44">
        <f t="shared" si="3"/>
        <v>0</v>
      </c>
      <c r="N41" s="44" t="str">
        <f t="shared" si="6"/>
        <v/>
      </c>
      <c r="T41" s="56"/>
    </row>
    <row r="42" spans="1:22" x14ac:dyDescent="0.25">
      <c r="A42" s="50" t="str">
        <f t="shared" si="7"/>
        <v/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2"/>
        <v>-40</v>
      </c>
      <c r="L42" s="36"/>
      <c r="M42" s="38">
        <f t="shared" si="3"/>
        <v>0</v>
      </c>
      <c r="N42" s="38" t="str">
        <f t="shared" si="6"/>
        <v/>
      </c>
    </row>
    <row r="43" spans="1:22" x14ac:dyDescent="0.25">
      <c r="A43" s="49" t="str">
        <f t="shared" si="7"/>
        <v/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2"/>
        <v>-40</v>
      </c>
      <c r="L43" s="42"/>
      <c r="M43" s="44">
        <f t="shared" si="3"/>
        <v>0</v>
      </c>
      <c r="N43" s="44" t="str">
        <f t="shared" si="6"/>
        <v/>
      </c>
    </row>
    <row r="44" spans="1:22" x14ac:dyDescent="0.25">
      <c r="A44" s="50" t="str">
        <f t="shared" si="7"/>
        <v/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2"/>
        <v>-40</v>
      </c>
      <c r="L44" s="36"/>
      <c r="M44" s="38">
        <f t="shared" si="3"/>
        <v>0</v>
      </c>
      <c r="N44" s="38" t="str">
        <f t="shared" si="6"/>
        <v/>
      </c>
    </row>
    <row r="45" spans="1:22" x14ac:dyDescent="0.25">
      <c r="A45" s="49" t="str">
        <f t="shared" si="7"/>
        <v/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2"/>
        <v>-40</v>
      </c>
      <c r="L45" s="42"/>
      <c r="M45" s="44">
        <f t="shared" si="3"/>
        <v>0</v>
      </c>
      <c r="N45" s="44" t="str">
        <f t="shared" si="6"/>
        <v/>
      </c>
    </row>
    <row r="46" spans="1:22" x14ac:dyDescent="0.25">
      <c r="A46" s="50" t="str">
        <f t="shared" si="7"/>
        <v/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2"/>
        <v>-40</v>
      </c>
      <c r="L46" s="36"/>
      <c r="M46" s="38">
        <f t="shared" si="3"/>
        <v>0</v>
      </c>
      <c r="N46" s="38" t="str">
        <f t="shared" si="6"/>
        <v/>
      </c>
      <c r="S46" s="14">
        <f>LOG($H$2,2)</f>
        <v>2</v>
      </c>
      <c r="U46" s="19">
        <f>LOG(H38,2)</f>
        <v>5.0443941193584534</v>
      </c>
      <c r="V46" s="19">
        <f>S46-U46</f>
        <v>-3.0443941193584534</v>
      </c>
    </row>
    <row r="47" spans="1:22" x14ac:dyDescent="0.25">
      <c r="A47" s="49" t="str">
        <f t="shared" si="7"/>
        <v/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2"/>
        <v>-40</v>
      </c>
      <c r="L47" s="42"/>
      <c r="M47" s="44">
        <f t="shared" si="3"/>
        <v>0</v>
      </c>
      <c r="N47" s="44" t="str">
        <f t="shared" si="6"/>
        <v/>
      </c>
    </row>
    <row r="48" spans="1:22" x14ac:dyDescent="0.25">
      <c r="A48" s="50" t="str">
        <f t="shared" si="7"/>
        <v/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2"/>
        <v>-40</v>
      </c>
      <c r="L48" s="36"/>
      <c r="M48" s="38">
        <f t="shared" si="3"/>
        <v>0</v>
      </c>
      <c r="N48" s="38" t="str">
        <f t="shared" si="6"/>
        <v/>
      </c>
    </row>
    <row r="49" spans="1:14" x14ac:dyDescent="0.25">
      <c r="A49" s="49" t="str">
        <f t="shared" si="7"/>
        <v/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2"/>
        <v>-40</v>
      </c>
      <c r="L49" s="42"/>
      <c r="M49" s="44">
        <f t="shared" si="3"/>
        <v>0</v>
      </c>
      <c r="N49" s="44" t="str">
        <f t="shared" si="6"/>
        <v/>
      </c>
    </row>
    <row r="50" spans="1:14" x14ac:dyDescent="0.25">
      <c r="A50" s="50" t="str">
        <f t="shared" si="7"/>
        <v/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2"/>
        <v>-40</v>
      </c>
      <c r="L50" s="36"/>
      <c r="M50" s="38">
        <f t="shared" si="3"/>
        <v>0</v>
      </c>
      <c r="N50" s="38" t="str">
        <f t="shared" si="6"/>
        <v/>
      </c>
    </row>
    <row r="51" spans="1:14" x14ac:dyDescent="0.25">
      <c r="A51" s="49" t="str">
        <f t="shared" si="7"/>
        <v/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2"/>
        <v>-40</v>
      </c>
      <c r="L51" s="42"/>
      <c r="M51" s="44">
        <f t="shared" si="3"/>
        <v>0</v>
      </c>
      <c r="N51" s="44" t="str">
        <f t="shared" si="6"/>
        <v/>
      </c>
    </row>
    <row r="52" spans="1:14" x14ac:dyDescent="0.25">
      <c r="A52" s="50" t="str">
        <f t="shared" si="7"/>
        <v/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2"/>
        <v>-40</v>
      </c>
      <c r="L52" s="36"/>
      <c r="M52" s="38">
        <f t="shared" si="3"/>
        <v>0</v>
      </c>
      <c r="N52" s="38" t="str">
        <f t="shared" si="6"/>
        <v/>
      </c>
    </row>
    <row r="53" spans="1:14" x14ac:dyDescent="0.25">
      <c r="A53" s="49" t="str">
        <f t="shared" si="7"/>
        <v/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2"/>
        <v>-40</v>
      </c>
      <c r="L53" s="42"/>
      <c r="M53" s="44">
        <f t="shared" si="3"/>
        <v>0</v>
      </c>
      <c r="N53" s="44" t="str">
        <f t="shared" si="6"/>
        <v/>
      </c>
    </row>
    <row r="54" spans="1:14" x14ac:dyDescent="0.25">
      <c r="A54" s="50" t="str">
        <f t="shared" si="7"/>
        <v/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2"/>
        <v>-40</v>
      </c>
      <c r="L54" s="36"/>
      <c r="M54" s="38">
        <f t="shared" si="3"/>
        <v>0</v>
      </c>
      <c r="N54" s="38" t="str">
        <f t="shared" si="6"/>
        <v/>
      </c>
    </row>
    <row r="55" spans="1:14" x14ac:dyDescent="0.25">
      <c r="A55" s="49" t="str">
        <f t="shared" si="7"/>
        <v/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2"/>
        <v>-40</v>
      </c>
      <c r="L55" s="42"/>
      <c r="M55" s="44">
        <f t="shared" si="3"/>
        <v>0</v>
      </c>
      <c r="N55" s="44" t="str">
        <f t="shared" si="6"/>
        <v/>
      </c>
    </row>
    <row r="56" spans="1:14" x14ac:dyDescent="0.25">
      <c r="A56" s="50" t="str">
        <f t="shared" si="7"/>
        <v/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2"/>
        <v>-40</v>
      </c>
      <c r="L56" s="36"/>
      <c r="M56" s="38">
        <f t="shared" si="3"/>
        <v>0</v>
      </c>
      <c r="N56" s="38" t="str">
        <f t="shared" si="6"/>
        <v/>
      </c>
    </row>
    <row r="57" spans="1:14" x14ac:dyDescent="0.25">
      <c r="A57" s="49" t="str">
        <f t="shared" si="7"/>
        <v/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2"/>
        <v>-40</v>
      </c>
      <c r="L57" s="42"/>
      <c r="M57" s="44">
        <f t="shared" si="3"/>
        <v>0</v>
      </c>
      <c r="N57" s="44" t="str">
        <f t="shared" si="6"/>
        <v/>
      </c>
    </row>
    <row r="58" spans="1:14" x14ac:dyDescent="0.25">
      <c r="A58" s="50" t="str">
        <f t="shared" si="7"/>
        <v/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2"/>
        <v>-40</v>
      </c>
      <c r="L58" s="36"/>
      <c r="M58" s="38">
        <f t="shared" si="3"/>
        <v>0</v>
      </c>
      <c r="N58" s="38" t="str">
        <f t="shared" si="6"/>
        <v/>
      </c>
    </row>
    <row r="59" spans="1:14" x14ac:dyDescent="0.25">
      <c r="A59" s="49" t="str">
        <f t="shared" si="7"/>
        <v/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2"/>
        <v>-40</v>
      </c>
      <c r="L59" s="42"/>
      <c r="M59" s="44">
        <f t="shared" si="3"/>
        <v>0</v>
      </c>
      <c r="N59" s="44" t="str">
        <f t="shared" si="6"/>
        <v/>
      </c>
    </row>
    <row r="60" spans="1:14" x14ac:dyDescent="0.25">
      <c r="A60" s="50" t="str">
        <f t="shared" si="7"/>
        <v/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2"/>
        <v>-40</v>
      </c>
      <c r="L60" s="36"/>
      <c r="M60" s="38">
        <f t="shared" si="3"/>
        <v>0</v>
      </c>
      <c r="N60" s="38" t="str">
        <f t="shared" si="6"/>
        <v/>
      </c>
    </row>
    <row r="61" spans="1:14" x14ac:dyDescent="0.25">
      <c r="A61" s="49" t="str">
        <f t="shared" si="7"/>
        <v/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2"/>
        <v>-40</v>
      </c>
      <c r="L61" s="42"/>
      <c r="M61" s="44">
        <f t="shared" si="3"/>
        <v>0</v>
      </c>
      <c r="N61" s="44" t="str">
        <f t="shared" si="6"/>
        <v/>
      </c>
    </row>
    <row r="62" spans="1:14" x14ac:dyDescent="0.25">
      <c r="A62" s="50" t="str">
        <f t="shared" si="7"/>
        <v/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2"/>
        <v>-40</v>
      </c>
      <c r="L62" s="36"/>
      <c r="M62" s="38">
        <f t="shared" si="3"/>
        <v>0</v>
      </c>
      <c r="N62" s="38" t="str">
        <f t="shared" si="6"/>
        <v/>
      </c>
    </row>
    <row r="63" spans="1:14" x14ac:dyDescent="0.25">
      <c r="A63" s="49" t="str">
        <f t="shared" si="7"/>
        <v/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2"/>
        <v>-40</v>
      </c>
      <c r="L63" s="42"/>
      <c r="M63" s="44">
        <f t="shared" si="3"/>
        <v>0</v>
      </c>
      <c r="N63" s="44" t="str">
        <f t="shared" si="6"/>
        <v/>
      </c>
    </row>
    <row r="64" spans="1:14" x14ac:dyDescent="0.25">
      <c r="A64" s="50" t="str">
        <f t="shared" si="7"/>
        <v/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2"/>
        <v>-40</v>
      </c>
      <c r="L64" s="36"/>
      <c r="M64" s="38">
        <f t="shared" si="3"/>
        <v>0</v>
      </c>
      <c r="N64" s="38" t="str">
        <f t="shared" si="6"/>
        <v/>
      </c>
    </row>
    <row r="65" spans="1:14" x14ac:dyDescent="0.25">
      <c r="A65" s="49" t="str">
        <f t="shared" si="7"/>
        <v/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2"/>
        <v>-40</v>
      </c>
      <c r="L65" s="42"/>
      <c r="M65" s="44">
        <f t="shared" si="3"/>
        <v>0</v>
      </c>
      <c r="N65" s="44" t="str">
        <f t="shared" si="6"/>
        <v/>
      </c>
    </row>
    <row r="66" spans="1:14" x14ac:dyDescent="0.25">
      <c r="A66" s="57" t="str">
        <f t="shared" si="7"/>
        <v/>
      </c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2"/>
        <v>-40</v>
      </c>
      <c r="L66" s="36"/>
      <c r="M66" s="38">
        <f t="shared" si="3"/>
        <v>0</v>
      </c>
      <c r="N66" s="38" t="str">
        <f t="shared" si="6"/>
        <v/>
      </c>
    </row>
    <row r="67" spans="1:14" x14ac:dyDescent="0.25">
      <c r="A67" s="57" t="str">
        <f t="shared" si="7"/>
        <v/>
      </c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2"/>
        <v>-40</v>
      </c>
      <c r="L67" s="36"/>
      <c r="M67" s="38">
        <f t="shared" si="3"/>
        <v>0</v>
      </c>
      <c r="N67" s="38" t="str">
        <f t="shared" si="6"/>
        <v/>
      </c>
    </row>
    <row r="68" spans="1:14" x14ac:dyDescent="0.25">
      <c r="A68" s="57" t="str">
        <f t="shared" si="7"/>
        <v/>
      </c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2"/>
        <v>-40</v>
      </c>
      <c r="L68" s="36"/>
      <c r="M68" s="38">
        <f t="shared" si="3"/>
        <v>0</v>
      </c>
      <c r="N68" s="38" t="str">
        <f t="shared" si="6"/>
        <v/>
      </c>
    </row>
    <row r="69" spans="1:14" x14ac:dyDescent="0.25">
      <c r="A69" s="57" t="str">
        <f t="shared" si="7"/>
        <v/>
      </c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2"/>
        <v>-40</v>
      </c>
      <c r="L69" s="36"/>
      <c r="M69" s="38">
        <f t="shared" si="3"/>
        <v>0</v>
      </c>
      <c r="N69" s="38" t="str">
        <f t="shared" si="6"/>
        <v/>
      </c>
    </row>
    <row r="70" spans="1:14" x14ac:dyDescent="0.25">
      <c r="A70" s="57" t="str">
        <f t="shared" si="7"/>
        <v/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5"/>
        <v>-5</v>
      </c>
      <c r="K70" s="36">
        <f t="shared" ref="K70:K133" si="10">J70*$J$2</f>
        <v>-50</v>
      </c>
      <c r="L70" s="36"/>
      <c r="M70" s="38">
        <f t="shared" ref="M70:M133" si="11">IF(I70&lt;&gt;"",K70+I70+L70,0)</f>
        <v>0</v>
      </c>
      <c r="N70" s="38" t="str">
        <f t="shared" si="6"/>
        <v/>
      </c>
    </row>
    <row r="71" spans="1:14" x14ac:dyDescent="0.25">
      <c r="A71" s="57" t="str">
        <f t="shared" ref="A71:A134" si="12">N71</f>
        <v/>
      </c>
      <c r="G71" s="14"/>
      <c r="H71" s="36">
        <v>66</v>
      </c>
      <c r="I71" s="37" t="str">
        <f t="shared" si="9"/>
        <v/>
      </c>
      <c r="J71" s="36">
        <f t="shared" ref="J71:J134" si="13">INT(LOG($H$2,2))-ROUNDUP(LOG(H71,2),0)+IF(OR($H$2=1,$H$2=2,$H$2=4,$H$2=8,$H$2=16,$H$2=32,$H$2=64,$H$2=128,$H$2=256),0,1)</f>
        <v>-5</v>
      </c>
      <c r="K71" s="36">
        <f t="shared" si="10"/>
        <v>-50</v>
      </c>
      <c r="L71" s="36"/>
      <c r="M71" s="38">
        <f t="shared" si="11"/>
        <v>0</v>
      </c>
      <c r="N71" s="38" t="str">
        <f t="shared" ref="N71:N134" si="14">IF(I71&lt;&gt;"",M71*L$2,"")</f>
        <v/>
      </c>
    </row>
    <row r="72" spans="1:14" x14ac:dyDescent="0.25">
      <c r="A72" s="57" t="str">
        <f t="shared" si="12"/>
        <v/>
      </c>
      <c r="G72" s="14"/>
      <c r="H72" s="36">
        <v>67</v>
      </c>
      <c r="I72" s="37" t="str">
        <f t="shared" si="9"/>
        <v/>
      </c>
      <c r="J72" s="36">
        <f t="shared" si="13"/>
        <v>-5</v>
      </c>
      <c r="K72" s="36">
        <f t="shared" si="10"/>
        <v>-50</v>
      </c>
      <c r="L72" s="36"/>
      <c r="M72" s="38">
        <f t="shared" si="11"/>
        <v>0</v>
      </c>
      <c r="N72" s="38" t="str">
        <f t="shared" si="14"/>
        <v/>
      </c>
    </row>
    <row r="73" spans="1:14" x14ac:dyDescent="0.25">
      <c r="A73" s="57" t="str">
        <f t="shared" si="12"/>
        <v/>
      </c>
      <c r="G73" s="14"/>
      <c r="H73" s="36">
        <v>68</v>
      </c>
      <c r="I73" s="37" t="str">
        <f t="shared" si="9"/>
        <v/>
      </c>
      <c r="J73" s="36">
        <f t="shared" si="13"/>
        <v>-5</v>
      </c>
      <c r="K73" s="36">
        <f t="shared" si="10"/>
        <v>-50</v>
      </c>
      <c r="L73" s="36"/>
      <c r="M73" s="38">
        <f t="shared" si="11"/>
        <v>0</v>
      </c>
      <c r="N73" s="38" t="str">
        <f t="shared" si="14"/>
        <v/>
      </c>
    </row>
    <row r="74" spans="1:14" x14ac:dyDescent="0.25">
      <c r="A74" s="57" t="str">
        <f t="shared" si="12"/>
        <v/>
      </c>
      <c r="G74" s="14"/>
      <c r="H74" s="36">
        <v>69</v>
      </c>
      <c r="I74" s="37" t="str">
        <f t="shared" si="9"/>
        <v/>
      </c>
      <c r="J74" s="36">
        <f t="shared" si="13"/>
        <v>-5</v>
      </c>
      <c r="K74" s="36">
        <f t="shared" si="10"/>
        <v>-50</v>
      </c>
      <c r="L74" s="36"/>
      <c r="M74" s="38">
        <f t="shared" si="11"/>
        <v>0</v>
      </c>
      <c r="N74" s="38" t="str">
        <f t="shared" si="14"/>
        <v/>
      </c>
    </row>
    <row r="75" spans="1:14" x14ac:dyDescent="0.25">
      <c r="A75" s="57" t="str">
        <f t="shared" si="12"/>
        <v/>
      </c>
      <c r="G75" s="14"/>
      <c r="H75" s="36">
        <v>70</v>
      </c>
      <c r="I75" s="37" t="str">
        <f t="shared" si="9"/>
        <v/>
      </c>
      <c r="J75" s="36">
        <f t="shared" si="13"/>
        <v>-5</v>
      </c>
      <c r="K75" s="36">
        <f t="shared" si="10"/>
        <v>-50</v>
      </c>
      <c r="L75" s="36"/>
      <c r="M75" s="38">
        <f t="shared" si="11"/>
        <v>0</v>
      </c>
      <c r="N75" s="38" t="str">
        <f t="shared" si="14"/>
        <v/>
      </c>
    </row>
    <row r="76" spans="1:14" x14ac:dyDescent="0.25">
      <c r="A76" s="57" t="str">
        <f t="shared" si="12"/>
        <v/>
      </c>
      <c r="G76" s="14"/>
      <c r="H76" s="36">
        <v>71</v>
      </c>
      <c r="I76" s="37" t="str">
        <f t="shared" si="9"/>
        <v/>
      </c>
      <c r="J76" s="36">
        <f t="shared" si="13"/>
        <v>-5</v>
      </c>
      <c r="K76" s="36">
        <f t="shared" si="10"/>
        <v>-50</v>
      </c>
      <c r="L76" s="36"/>
      <c r="M76" s="38">
        <f t="shared" si="11"/>
        <v>0</v>
      </c>
      <c r="N76" s="38" t="str">
        <f t="shared" si="14"/>
        <v/>
      </c>
    </row>
    <row r="77" spans="1:14" x14ac:dyDescent="0.25">
      <c r="A77" s="57" t="str">
        <f t="shared" si="12"/>
        <v/>
      </c>
      <c r="G77" s="14"/>
      <c r="H77" s="36">
        <v>72</v>
      </c>
      <c r="I77" s="37" t="str">
        <f t="shared" si="9"/>
        <v/>
      </c>
      <c r="J77" s="36">
        <f t="shared" si="13"/>
        <v>-5</v>
      </c>
      <c r="K77" s="36">
        <f t="shared" si="10"/>
        <v>-50</v>
      </c>
      <c r="L77" s="36"/>
      <c r="M77" s="38">
        <f t="shared" si="11"/>
        <v>0</v>
      </c>
      <c r="N77" s="38" t="str">
        <f t="shared" si="14"/>
        <v/>
      </c>
    </row>
    <row r="78" spans="1:14" x14ac:dyDescent="0.25">
      <c r="A78" s="57" t="str">
        <f t="shared" si="12"/>
        <v/>
      </c>
      <c r="G78" s="14"/>
      <c r="H78" s="36">
        <v>73</v>
      </c>
      <c r="I78" s="37" t="str">
        <f t="shared" si="9"/>
        <v/>
      </c>
      <c r="J78" s="36">
        <f t="shared" si="13"/>
        <v>-5</v>
      </c>
      <c r="K78" s="36">
        <f t="shared" si="10"/>
        <v>-50</v>
      </c>
      <c r="L78" s="36"/>
      <c r="M78" s="38">
        <f t="shared" si="11"/>
        <v>0</v>
      </c>
      <c r="N78" s="38" t="str">
        <f t="shared" si="14"/>
        <v/>
      </c>
    </row>
    <row r="79" spans="1:14" x14ac:dyDescent="0.25">
      <c r="A79" s="57" t="str">
        <f t="shared" si="12"/>
        <v/>
      </c>
      <c r="G79" s="14"/>
      <c r="H79" s="36">
        <v>74</v>
      </c>
      <c r="I79" s="37" t="str">
        <f t="shared" si="9"/>
        <v/>
      </c>
      <c r="J79" s="36">
        <f t="shared" si="13"/>
        <v>-5</v>
      </c>
      <c r="K79" s="36">
        <f t="shared" si="10"/>
        <v>-50</v>
      </c>
      <c r="L79" s="36"/>
      <c r="M79" s="38">
        <f t="shared" si="11"/>
        <v>0</v>
      </c>
      <c r="N79" s="38" t="str">
        <f t="shared" si="14"/>
        <v/>
      </c>
    </row>
    <row r="80" spans="1:14" x14ac:dyDescent="0.25">
      <c r="A80" s="57" t="str">
        <f t="shared" si="12"/>
        <v/>
      </c>
      <c r="G80" s="14"/>
      <c r="H80" s="36">
        <v>75</v>
      </c>
      <c r="I80" s="37" t="str">
        <f t="shared" si="9"/>
        <v/>
      </c>
      <c r="J80" s="36">
        <f t="shared" si="13"/>
        <v>-5</v>
      </c>
      <c r="K80" s="36">
        <f t="shared" si="10"/>
        <v>-50</v>
      </c>
      <c r="L80" s="36"/>
      <c r="M80" s="38">
        <f t="shared" si="11"/>
        <v>0</v>
      </c>
      <c r="N80" s="38" t="str">
        <f t="shared" si="14"/>
        <v/>
      </c>
    </row>
    <row r="81" spans="1:14" x14ac:dyDescent="0.25">
      <c r="A81" s="57" t="str">
        <f t="shared" si="12"/>
        <v/>
      </c>
      <c r="G81" s="14"/>
      <c r="H81" s="36">
        <v>76</v>
      </c>
      <c r="I81" s="37" t="str">
        <f t="shared" si="9"/>
        <v/>
      </c>
      <c r="J81" s="36">
        <f t="shared" si="13"/>
        <v>-5</v>
      </c>
      <c r="K81" s="36">
        <f t="shared" si="10"/>
        <v>-50</v>
      </c>
      <c r="L81" s="36"/>
      <c r="M81" s="38">
        <f t="shared" si="11"/>
        <v>0</v>
      </c>
      <c r="N81" s="38" t="str">
        <f t="shared" si="14"/>
        <v/>
      </c>
    </row>
    <row r="82" spans="1:14" x14ac:dyDescent="0.25">
      <c r="A82" s="57" t="str">
        <f t="shared" si="12"/>
        <v/>
      </c>
      <c r="G82" s="14"/>
      <c r="H82" s="36">
        <v>77</v>
      </c>
      <c r="I82" s="37" t="str">
        <f t="shared" si="9"/>
        <v/>
      </c>
      <c r="J82" s="36">
        <f t="shared" si="13"/>
        <v>-5</v>
      </c>
      <c r="K82" s="36">
        <f t="shared" si="10"/>
        <v>-50</v>
      </c>
      <c r="L82" s="36"/>
      <c r="M82" s="38">
        <f t="shared" si="11"/>
        <v>0</v>
      </c>
      <c r="N82" s="38" t="str">
        <f t="shared" si="14"/>
        <v/>
      </c>
    </row>
    <row r="83" spans="1:14" x14ac:dyDescent="0.25">
      <c r="A83" s="57" t="str">
        <f t="shared" si="12"/>
        <v/>
      </c>
      <c r="G83" s="14"/>
      <c r="H83" s="36">
        <v>78</v>
      </c>
      <c r="I83" s="37" t="str">
        <f t="shared" si="9"/>
        <v/>
      </c>
      <c r="J83" s="36">
        <f t="shared" si="13"/>
        <v>-5</v>
      </c>
      <c r="K83" s="36">
        <f t="shared" si="10"/>
        <v>-50</v>
      </c>
      <c r="L83" s="36"/>
      <c r="M83" s="38">
        <f t="shared" si="11"/>
        <v>0</v>
      </c>
      <c r="N83" s="38" t="str">
        <f t="shared" si="14"/>
        <v/>
      </c>
    </row>
    <row r="84" spans="1:14" x14ac:dyDescent="0.25">
      <c r="A84" s="57" t="str">
        <f t="shared" si="12"/>
        <v/>
      </c>
      <c r="G84" s="14"/>
      <c r="H84" s="36">
        <v>79</v>
      </c>
      <c r="I84" s="37" t="str">
        <f t="shared" si="9"/>
        <v/>
      </c>
      <c r="J84" s="36">
        <f t="shared" si="13"/>
        <v>-5</v>
      </c>
      <c r="K84" s="36">
        <f t="shared" si="10"/>
        <v>-50</v>
      </c>
      <c r="L84" s="36"/>
      <c r="M84" s="38">
        <f t="shared" si="11"/>
        <v>0</v>
      </c>
      <c r="N84" s="38" t="str">
        <f t="shared" si="14"/>
        <v/>
      </c>
    </row>
    <row r="85" spans="1:14" x14ac:dyDescent="0.25">
      <c r="A85" s="57" t="str">
        <f t="shared" si="12"/>
        <v/>
      </c>
      <c r="G85" s="14"/>
      <c r="H85" s="36">
        <v>80</v>
      </c>
      <c r="I85" s="37" t="str">
        <f t="shared" si="9"/>
        <v/>
      </c>
      <c r="J85" s="36">
        <f t="shared" si="13"/>
        <v>-5</v>
      </c>
      <c r="K85" s="36">
        <f t="shared" si="10"/>
        <v>-50</v>
      </c>
      <c r="L85" s="36"/>
      <c r="M85" s="38">
        <f t="shared" si="11"/>
        <v>0</v>
      </c>
      <c r="N85" s="38" t="str">
        <f t="shared" si="14"/>
        <v/>
      </c>
    </row>
    <row r="86" spans="1:14" x14ac:dyDescent="0.25">
      <c r="A86" s="57" t="str">
        <f t="shared" si="12"/>
        <v/>
      </c>
      <c r="G86" s="14"/>
      <c r="H86" s="36">
        <v>81</v>
      </c>
      <c r="I86" s="37" t="str">
        <f t="shared" si="9"/>
        <v/>
      </c>
      <c r="J86" s="36">
        <f t="shared" si="13"/>
        <v>-5</v>
      </c>
      <c r="K86" s="36">
        <f t="shared" si="10"/>
        <v>-50</v>
      </c>
      <c r="L86" s="36"/>
      <c r="M86" s="38">
        <f t="shared" si="11"/>
        <v>0</v>
      </c>
      <c r="N86" s="38" t="str">
        <f t="shared" si="14"/>
        <v/>
      </c>
    </row>
    <row r="87" spans="1:14" x14ac:dyDescent="0.25">
      <c r="A87" s="57" t="str">
        <f t="shared" si="12"/>
        <v/>
      </c>
      <c r="G87" s="14"/>
      <c r="H87" s="36">
        <v>82</v>
      </c>
      <c r="I87" s="37" t="str">
        <f t="shared" si="9"/>
        <v/>
      </c>
      <c r="J87" s="36">
        <f t="shared" si="13"/>
        <v>-5</v>
      </c>
      <c r="K87" s="36">
        <f t="shared" si="10"/>
        <v>-50</v>
      </c>
      <c r="L87" s="36"/>
      <c r="M87" s="38">
        <f t="shared" si="11"/>
        <v>0</v>
      </c>
      <c r="N87" s="38" t="str">
        <f t="shared" si="14"/>
        <v/>
      </c>
    </row>
    <row r="88" spans="1:14" x14ac:dyDescent="0.25">
      <c r="A88" s="57" t="str">
        <f t="shared" si="12"/>
        <v/>
      </c>
      <c r="G88" s="14"/>
      <c r="H88" s="36">
        <v>83</v>
      </c>
      <c r="I88" s="37" t="str">
        <f t="shared" si="9"/>
        <v/>
      </c>
      <c r="J88" s="36">
        <f t="shared" si="13"/>
        <v>-5</v>
      </c>
      <c r="K88" s="36">
        <f t="shared" si="10"/>
        <v>-50</v>
      </c>
      <c r="L88" s="36"/>
      <c r="M88" s="38">
        <f t="shared" si="11"/>
        <v>0</v>
      </c>
      <c r="N88" s="38" t="str">
        <f t="shared" si="14"/>
        <v/>
      </c>
    </row>
    <row r="89" spans="1:14" x14ac:dyDescent="0.25">
      <c r="A89" s="57" t="str">
        <f t="shared" si="12"/>
        <v/>
      </c>
      <c r="G89" s="14"/>
      <c r="H89" s="36">
        <v>84</v>
      </c>
      <c r="I89" s="37" t="str">
        <f t="shared" si="9"/>
        <v/>
      </c>
      <c r="J89" s="36">
        <f t="shared" si="13"/>
        <v>-5</v>
      </c>
      <c r="K89" s="36">
        <f t="shared" si="10"/>
        <v>-50</v>
      </c>
      <c r="L89" s="36"/>
      <c r="M89" s="38">
        <f t="shared" si="11"/>
        <v>0</v>
      </c>
      <c r="N89" s="38" t="str">
        <f t="shared" si="14"/>
        <v/>
      </c>
    </row>
    <row r="90" spans="1:14" x14ac:dyDescent="0.25">
      <c r="A90" s="57" t="str">
        <f t="shared" si="12"/>
        <v/>
      </c>
      <c r="G90" s="14"/>
      <c r="H90" s="36">
        <v>85</v>
      </c>
      <c r="I90" s="37" t="str">
        <f t="shared" si="9"/>
        <v/>
      </c>
      <c r="J90" s="36">
        <f t="shared" si="13"/>
        <v>-5</v>
      </c>
      <c r="K90" s="36">
        <f t="shared" si="10"/>
        <v>-50</v>
      </c>
      <c r="L90" s="36"/>
      <c r="M90" s="38">
        <f t="shared" si="11"/>
        <v>0</v>
      </c>
      <c r="N90" s="38" t="str">
        <f t="shared" si="14"/>
        <v/>
      </c>
    </row>
    <row r="91" spans="1:14" x14ac:dyDescent="0.25">
      <c r="A91" s="57" t="str">
        <f t="shared" si="12"/>
        <v/>
      </c>
      <c r="G91" s="14"/>
      <c r="H91" s="36">
        <v>86</v>
      </c>
      <c r="I91" s="37" t="str">
        <f t="shared" si="9"/>
        <v/>
      </c>
      <c r="J91" s="36">
        <f t="shared" si="13"/>
        <v>-5</v>
      </c>
      <c r="K91" s="36">
        <f t="shared" si="10"/>
        <v>-50</v>
      </c>
      <c r="L91" s="36"/>
      <c r="M91" s="38">
        <f t="shared" si="11"/>
        <v>0</v>
      </c>
      <c r="N91" s="38" t="str">
        <f t="shared" si="14"/>
        <v/>
      </c>
    </row>
    <row r="92" spans="1:14" x14ac:dyDescent="0.25">
      <c r="A92" s="57" t="str">
        <f t="shared" si="12"/>
        <v/>
      </c>
      <c r="G92" s="14"/>
      <c r="H92" s="36">
        <v>87</v>
      </c>
      <c r="I92" s="37" t="str">
        <f t="shared" si="9"/>
        <v/>
      </c>
      <c r="J92" s="36">
        <f t="shared" si="13"/>
        <v>-5</v>
      </c>
      <c r="K92" s="36">
        <f t="shared" si="10"/>
        <v>-50</v>
      </c>
      <c r="L92" s="36"/>
      <c r="M92" s="38">
        <f t="shared" si="11"/>
        <v>0</v>
      </c>
      <c r="N92" s="38" t="str">
        <f t="shared" si="14"/>
        <v/>
      </c>
    </row>
    <row r="93" spans="1:14" x14ac:dyDescent="0.25">
      <c r="A93" s="57" t="str">
        <f t="shared" si="12"/>
        <v/>
      </c>
      <c r="G93" s="14"/>
      <c r="H93" s="36">
        <v>88</v>
      </c>
      <c r="I93" s="37" t="str">
        <f t="shared" si="9"/>
        <v/>
      </c>
      <c r="J93" s="36">
        <f t="shared" si="13"/>
        <v>-5</v>
      </c>
      <c r="K93" s="36">
        <f t="shared" si="10"/>
        <v>-50</v>
      </c>
      <c r="L93" s="36"/>
      <c r="M93" s="38">
        <f t="shared" si="11"/>
        <v>0</v>
      </c>
      <c r="N93" s="38" t="str">
        <f t="shared" si="14"/>
        <v/>
      </c>
    </row>
    <row r="94" spans="1:14" x14ac:dyDescent="0.25">
      <c r="A94" s="57" t="str">
        <f t="shared" si="12"/>
        <v/>
      </c>
      <c r="G94" s="14"/>
      <c r="H94" s="36">
        <v>89</v>
      </c>
      <c r="I94" s="37" t="str">
        <f t="shared" si="9"/>
        <v/>
      </c>
      <c r="J94" s="36">
        <f t="shared" si="13"/>
        <v>-5</v>
      </c>
      <c r="K94" s="36">
        <f t="shared" si="10"/>
        <v>-50</v>
      </c>
      <c r="L94" s="36"/>
      <c r="M94" s="38">
        <f t="shared" si="11"/>
        <v>0</v>
      </c>
      <c r="N94" s="38" t="str">
        <f t="shared" si="14"/>
        <v/>
      </c>
    </row>
    <row r="95" spans="1:14" x14ac:dyDescent="0.25">
      <c r="A95" s="57" t="str">
        <f t="shared" si="12"/>
        <v/>
      </c>
      <c r="G95" s="14"/>
      <c r="H95" s="36">
        <v>90</v>
      </c>
      <c r="I95" s="37" t="str">
        <f t="shared" si="9"/>
        <v/>
      </c>
      <c r="J95" s="36">
        <f t="shared" si="13"/>
        <v>-5</v>
      </c>
      <c r="K95" s="36">
        <f t="shared" si="10"/>
        <v>-50</v>
      </c>
      <c r="L95" s="36"/>
      <c r="M95" s="38">
        <f t="shared" si="11"/>
        <v>0</v>
      </c>
      <c r="N95" s="38" t="str">
        <f t="shared" si="14"/>
        <v/>
      </c>
    </row>
    <row r="96" spans="1:14" x14ac:dyDescent="0.25">
      <c r="A96" s="57" t="str">
        <f t="shared" si="12"/>
        <v/>
      </c>
      <c r="G96" s="14"/>
      <c r="H96" s="36">
        <v>91</v>
      </c>
      <c r="I96" s="37" t="str">
        <f t="shared" si="9"/>
        <v/>
      </c>
      <c r="J96" s="36">
        <f t="shared" si="13"/>
        <v>-5</v>
      </c>
      <c r="K96" s="36">
        <f t="shared" si="10"/>
        <v>-50</v>
      </c>
      <c r="L96" s="36"/>
      <c r="M96" s="38">
        <f t="shared" si="11"/>
        <v>0</v>
      </c>
      <c r="N96" s="38" t="str">
        <f t="shared" si="14"/>
        <v/>
      </c>
    </row>
    <row r="97" spans="1:14" x14ac:dyDescent="0.25">
      <c r="A97" s="57" t="str">
        <f t="shared" si="12"/>
        <v/>
      </c>
      <c r="G97" s="14"/>
      <c r="H97" s="36">
        <v>92</v>
      </c>
      <c r="I97" s="37" t="str">
        <f t="shared" si="9"/>
        <v/>
      </c>
      <c r="J97" s="36">
        <f t="shared" si="13"/>
        <v>-5</v>
      </c>
      <c r="K97" s="36">
        <f t="shared" si="10"/>
        <v>-50</v>
      </c>
      <c r="L97" s="36"/>
      <c r="M97" s="38">
        <f t="shared" si="11"/>
        <v>0</v>
      </c>
      <c r="N97" s="38" t="str">
        <f t="shared" si="14"/>
        <v/>
      </c>
    </row>
    <row r="98" spans="1:14" x14ac:dyDescent="0.25">
      <c r="A98" s="57" t="str">
        <f t="shared" si="12"/>
        <v/>
      </c>
      <c r="G98" s="14"/>
      <c r="H98" s="36">
        <v>93</v>
      </c>
      <c r="I98" s="37" t="str">
        <f t="shared" si="9"/>
        <v/>
      </c>
      <c r="J98" s="36">
        <f t="shared" si="13"/>
        <v>-5</v>
      </c>
      <c r="K98" s="36">
        <f t="shared" si="10"/>
        <v>-50</v>
      </c>
      <c r="L98" s="36"/>
      <c r="M98" s="38">
        <f t="shared" si="11"/>
        <v>0</v>
      </c>
      <c r="N98" s="38" t="str">
        <f t="shared" si="14"/>
        <v/>
      </c>
    </row>
    <row r="99" spans="1:14" x14ac:dyDescent="0.25">
      <c r="A99" s="57" t="str">
        <f t="shared" si="12"/>
        <v/>
      </c>
      <c r="G99" s="14"/>
      <c r="H99" s="36">
        <v>94</v>
      </c>
      <c r="I99" s="37" t="str">
        <f t="shared" si="9"/>
        <v/>
      </c>
      <c r="J99" s="36">
        <f t="shared" si="13"/>
        <v>-5</v>
      </c>
      <c r="K99" s="36">
        <f t="shared" si="10"/>
        <v>-50</v>
      </c>
      <c r="L99" s="36"/>
      <c r="M99" s="38">
        <f t="shared" si="11"/>
        <v>0</v>
      </c>
      <c r="N99" s="38" t="str">
        <f t="shared" si="14"/>
        <v/>
      </c>
    </row>
    <row r="100" spans="1:14" x14ac:dyDescent="0.25">
      <c r="A100" s="57" t="str">
        <f t="shared" si="12"/>
        <v/>
      </c>
      <c r="G100" s="14"/>
      <c r="H100" s="36">
        <v>95</v>
      </c>
      <c r="I100" s="37" t="str">
        <f t="shared" si="9"/>
        <v/>
      </c>
      <c r="J100" s="36">
        <f t="shared" si="13"/>
        <v>-5</v>
      </c>
      <c r="K100" s="36">
        <f t="shared" si="10"/>
        <v>-50</v>
      </c>
      <c r="L100" s="36"/>
      <c r="M100" s="38">
        <f t="shared" si="11"/>
        <v>0</v>
      </c>
      <c r="N100" s="38" t="str">
        <f t="shared" si="14"/>
        <v/>
      </c>
    </row>
    <row r="101" spans="1:14" x14ac:dyDescent="0.25">
      <c r="A101" s="57" t="str">
        <f t="shared" si="12"/>
        <v/>
      </c>
      <c r="G101" s="14"/>
      <c r="H101" s="36">
        <v>96</v>
      </c>
      <c r="I101" s="37" t="str">
        <f t="shared" si="9"/>
        <v/>
      </c>
      <c r="J101" s="36">
        <f t="shared" si="13"/>
        <v>-5</v>
      </c>
      <c r="K101" s="36">
        <f t="shared" si="10"/>
        <v>-50</v>
      </c>
      <c r="L101" s="36"/>
      <c r="M101" s="38">
        <f t="shared" si="11"/>
        <v>0</v>
      </c>
      <c r="N101" s="38" t="str">
        <f t="shared" si="14"/>
        <v/>
      </c>
    </row>
    <row r="102" spans="1:14" x14ac:dyDescent="0.25">
      <c r="A102" s="57" t="str">
        <f t="shared" si="12"/>
        <v/>
      </c>
      <c r="G102" s="14"/>
      <c r="H102" s="36">
        <v>97</v>
      </c>
      <c r="I102" s="37" t="str">
        <f t="shared" si="9"/>
        <v/>
      </c>
      <c r="J102" s="36">
        <f t="shared" si="13"/>
        <v>-5</v>
      </c>
      <c r="K102" s="36">
        <f t="shared" si="10"/>
        <v>-50</v>
      </c>
      <c r="L102" s="36"/>
      <c r="M102" s="38">
        <f t="shared" si="11"/>
        <v>0</v>
      </c>
      <c r="N102" s="38" t="str">
        <f t="shared" si="14"/>
        <v/>
      </c>
    </row>
    <row r="103" spans="1:14" x14ac:dyDescent="0.25">
      <c r="A103" s="57" t="str">
        <f t="shared" si="12"/>
        <v/>
      </c>
      <c r="G103" s="14"/>
      <c r="H103" s="36">
        <v>98</v>
      </c>
      <c r="I103" s="37" t="str">
        <f t="shared" si="9"/>
        <v/>
      </c>
      <c r="J103" s="36">
        <f t="shared" si="13"/>
        <v>-5</v>
      </c>
      <c r="K103" s="36">
        <f t="shared" si="10"/>
        <v>-50</v>
      </c>
      <c r="L103" s="36"/>
      <c r="M103" s="38">
        <f t="shared" si="11"/>
        <v>0</v>
      </c>
      <c r="N103" s="38" t="str">
        <f t="shared" si="14"/>
        <v/>
      </c>
    </row>
    <row r="104" spans="1:14" x14ac:dyDescent="0.25">
      <c r="A104" s="57" t="str">
        <f t="shared" si="12"/>
        <v/>
      </c>
      <c r="G104" s="14"/>
      <c r="H104" s="36">
        <v>99</v>
      </c>
      <c r="I104" s="37" t="str">
        <f t="shared" si="9"/>
        <v/>
      </c>
      <c r="J104" s="36">
        <f t="shared" si="13"/>
        <v>-5</v>
      </c>
      <c r="K104" s="36">
        <f t="shared" si="10"/>
        <v>-50</v>
      </c>
      <c r="L104" s="36"/>
      <c r="M104" s="38">
        <f t="shared" si="11"/>
        <v>0</v>
      </c>
      <c r="N104" s="38" t="str">
        <f t="shared" si="14"/>
        <v/>
      </c>
    </row>
    <row r="105" spans="1:14" x14ac:dyDescent="0.25">
      <c r="A105" s="57" t="str">
        <f t="shared" si="12"/>
        <v/>
      </c>
      <c r="G105" s="14"/>
      <c r="H105" s="36">
        <v>100</v>
      </c>
      <c r="I105" s="37" t="str">
        <f t="shared" si="9"/>
        <v/>
      </c>
      <c r="J105" s="36">
        <f t="shared" si="13"/>
        <v>-5</v>
      </c>
      <c r="K105" s="36">
        <f t="shared" si="10"/>
        <v>-50</v>
      </c>
      <c r="L105" s="36"/>
      <c r="M105" s="38">
        <f t="shared" si="11"/>
        <v>0</v>
      </c>
      <c r="N105" s="38" t="str">
        <f t="shared" si="14"/>
        <v/>
      </c>
    </row>
    <row r="106" spans="1:14" x14ac:dyDescent="0.25">
      <c r="A106" s="57" t="str">
        <f t="shared" si="12"/>
        <v/>
      </c>
      <c r="G106" s="14"/>
      <c r="H106" s="36">
        <v>101</v>
      </c>
      <c r="I106" s="37" t="str">
        <f t="shared" si="9"/>
        <v/>
      </c>
      <c r="J106" s="36">
        <f t="shared" si="13"/>
        <v>-5</v>
      </c>
      <c r="K106" s="36">
        <f t="shared" si="10"/>
        <v>-50</v>
      </c>
      <c r="L106" s="36"/>
      <c r="M106" s="38">
        <f t="shared" si="11"/>
        <v>0</v>
      </c>
      <c r="N106" s="38" t="str">
        <f t="shared" si="14"/>
        <v/>
      </c>
    </row>
    <row r="107" spans="1:14" x14ac:dyDescent="0.25">
      <c r="A107" s="57" t="str">
        <f t="shared" si="12"/>
        <v/>
      </c>
      <c r="G107" s="14"/>
      <c r="H107" s="36">
        <v>102</v>
      </c>
      <c r="I107" s="37" t="str">
        <f t="shared" si="9"/>
        <v/>
      </c>
      <c r="J107" s="36">
        <f t="shared" si="13"/>
        <v>-5</v>
      </c>
      <c r="K107" s="36">
        <f t="shared" si="10"/>
        <v>-50</v>
      </c>
      <c r="L107" s="36"/>
      <c r="M107" s="38">
        <f t="shared" si="11"/>
        <v>0</v>
      </c>
      <c r="N107" s="38" t="str">
        <f t="shared" si="14"/>
        <v/>
      </c>
    </row>
    <row r="108" spans="1:14" x14ac:dyDescent="0.25">
      <c r="A108" s="57" t="str">
        <f t="shared" si="12"/>
        <v/>
      </c>
      <c r="G108" s="14"/>
      <c r="H108" s="36">
        <v>103</v>
      </c>
      <c r="I108" s="37" t="str">
        <f t="shared" si="9"/>
        <v/>
      </c>
      <c r="J108" s="36">
        <f t="shared" si="13"/>
        <v>-5</v>
      </c>
      <c r="K108" s="36">
        <f t="shared" si="10"/>
        <v>-50</v>
      </c>
      <c r="L108" s="36"/>
      <c r="M108" s="38">
        <f t="shared" si="11"/>
        <v>0</v>
      </c>
      <c r="N108" s="38" t="str">
        <f t="shared" si="14"/>
        <v/>
      </c>
    </row>
    <row r="109" spans="1:14" x14ac:dyDescent="0.25">
      <c r="A109" s="57" t="str">
        <f t="shared" si="12"/>
        <v/>
      </c>
      <c r="G109" s="14"/>
      <c r="H109" s="36">
        <v>104</v>
      </c>
      <c r="I109" s="37" t="str">
        <f t="shared" si="9"/>
        <v/>
      </c>
      <c r="J109" s="36">
        <f t="shared" si="13"/>
        <v>-5</v>
      </c>
      <c r="K109" s="36">
        <f t="shared" si="10"/>
        <v>-50</v>
      </c>
      <c r="L109" s="36"/>
      <c r="M109" s="38">
        <f t="shared" si="11"/>
        <v>0</v>
      </c>
      <c r="N109" s="38" t="str">
        <f t="shared" si="14"/>
        <v/>
      </c>
    </row>
    <row r="110" spans="1:14" x14ac:dyDescent="0.25">
      <c r="A110" s="57" t="str">
        <f t="shared" si="12"/>
        <v/>
      </c>
      <c r="G110" s="14"/>
      <c r="H110" s="36">
        <v>105</v>
      </c>
      <c r="I110" s="37" t="str">
        <f t="shared" si="9"/>
        <v/>
      </c>
      <c r="J110" s="36">
        <f t="shared" si="13"/>
        <v>-5</v>
      </c>
      <c r="K110" s="36">
        <f t="shared" si="10"/>
        <v>-50</v>
      </c>
      <c r="L110" s="36"/>
      <c r="M110" s="38">
        <f t="shared" si="11"/>
        <v>0</v>
      </c>
      <c r="N110" s="38" t="str">
        <f t="shared" si="14"/>
        <v/>
      </c>
    </row>
    <row r="111" spans="1:14" x14ac:dyDescent="0.25">
      <c r="A111" s="57" t="str">
        <f t="shared" si="12"/>
        <v/>
      </c>
      <c r="G111" s="14"/>
      <c r="H111" s="36">
        <v>106</v>
      </c>
      <c r="I111" s="37" t="str">
        <f t="shared" si="9"/>
        <v/>
      </c>
      <c r="J111" s="36">
        <f t="shared" si="13"/>
        <v>-5</v>
      </c>
      <c r="K111" s="36">
        <f t="shared" si="10"/>
        <v>-50</v>
      </c>
      <c r="L111" s="36"/>
      <c r="M111" s="38">
        <f t="shared" si="11"/>
        <v>0</v>
      </c>
      <c r="N111" s="38" t="str">
        <f t="shared" si="14"/>
        <v/>
      </c>
    </row>
    <row r="112" spans="1:14" x14ac:dyDescent="0.25">
      <c r="A112" s="57" t="str">
        <f t="shared" si="12"/>
        <v/>
      </c>
      <c r="G112" s="14"/>
      <c r="H112" s="36">
        <v>107</v>
      </c>
      <c r="I112" s="37" t="str">
        <f t="shared" si="9"/>
        <v/>
      </c>
      <c r="J112" s="36">
        <f t="shared" si="13"/>
        <v>-5</v>
      </c>
      <c r="K112" s="36">
        <f t="shared" si="10"/>
        <v>-50</v>
      </c>
      <c r="L112" s="36"/>
      <c r="M112" s="38">
        <f t="shared" si="11"/>
        <v>0</v>
      </c>
      <c r="N112" s="38" t="str">
        <f t="shared" si="14"/>
        <v/>
      </c>
    </row>
    <row r="113" spans="1:14" x14ac:dyDescent="0.25">
      <c r="A113" s="57" t="str">
        <f t="shared" si="12"/>
        <v/>
      </c>
      <c r="G113" s="14"/>
      <c r="H113" s="36">
        <v>108</v>
      </c>
      <c r="I113" s="37" t="str">
        <f t="shared" si="9"/>
        <v/>
      </c>
      <c r="J113" s="36">
        <f t="shared" si="13"/>
        <v>-5</v>
      </c>
      <c r="K113" s="36">
        <f t="shared" si="10"/>
        <v>-50</v>
      </c>
      <c r="L113" s="36"/>
      <c r="M113" s="38">
        <f t="shared" si="11"/>
        <v>0</v>
      </c>
      <c r="N113" s="38" t="str">
        <f t="shared" si="14"/>
        <v/>
      </c>
    </row>
    <row r="114" spans="1:14" x14ac:dyDescent="0.25">
      <c r="A114" s="57" t="str">
        <f t="shared" si="12"/>
        <v/>
      </c>
      <c r="G114" s="14"/>
      <c r="H114" s="36">
        <v>109</v>
      </c>
      <c r="I114" s="37" t="str">
        <f t="shared" si="9"/>
        <v/>
      </c>
      <c r="J114" s="36">
        <f t="shared" si="13"/>
        <v>-5</v>
      </c>
      <c r="K114" s="36">
        <f t="shared" si="10"/>
        <v>-50</v>
      </c>
      <c r="L114" s="36"/>
      <c r="M114" s="38">
        <f t="shared" si="11"/>
        <v>0</v>
      </c>
      <c r="N114" s="38" t="str">
        <f t="shared" si="14"/>
        <v/>
      </c>
    </row>
    <row r="115" spans="1:14" x14ac:dyDescent="0.25">
      <c r="A115" s="57" t="str">
        <f t="shared" si="12"/>
        <v/>
      </c>
      <c r="G115" s="14"/>
      <c r="H115" s="36">
        <v>110</v>
      </c>
      <c r="I115" s="37" t="str">
        <f t="shared" si="9"/>
        <v/>
      </c>
      <c r="J115" s="36">
        <f t="shared" si="13"/>
        <v>-5</v>
      </c>
      <c r="K115" s="36">
        <f t="shared" si="10"/>
        <v>-50</v>
      </c>
      <c r="L115" s="36"/>
      <c r="M115" s="38">
        <f t="shared" si="11"/>
        <v>0</v>
      </c>
      <c r="N115" s="38" t="str">
        <f t="shared" si="14"/>
        <v/>
      </c>
    </row>
    <row r="116" spans="1:14" x14ac:dyDescent="0.25">
      <c r="A116" s="57" t="str">
        <f t="shared" si="12"/>
        <v/>
      </c>
      <c r="G116" s="14"/>
      <c r="H116" s="36">
        <v>111</v>
      </c>
      <c r="I116" s="37" t="str">
        <f t="shared" si="9"/>
        <v/>
      </c>
      <c r="J116" s="36">
        <f t="shared" si="13"/>
        <v>-5</v>
      </c>
      <c r="K116" s="36">
        <f t="shared" si="10"/>
        <v>-50</v>
      </c>
      <c r="L116" s="36"/>
      <c r="M116" s="38">
        <f t="shared" si="11"/>
        <v>0</v>
      </c>
      <c r="N116" s="38" t="str">
        <f t="shared" si="14"/>
        <v/>
      </c>
    </row>
    <row r="117" spans="1:14" x14ac:dyDescent="0.25">
      <c r="A117" s="57" t="str">
        <f t="shared" si="12"/>
        <v/>
      </c>
      <c r="G117" s="14"/>
      <c r="H117" s="36">
        <v>112</v>
      </c>
      <c r="I117" s="37" t="str">
        <f t="shared" si="9"/>
        <v/>
      </c>
      <c r="J117" s="36">
        <f t="shared" si="13"/>
        <v>-5</v>
      </c>
      <c r="K117" s="36">
        <f t="shared" si="10"/>
        <v>-50</v>
      </c>
      <c r="L117" s="36"/>
      <c r="M117" s="38">
        <f t="shared" si="11"/>
        <v>0</v>
      </c>
      <c r="N117" s="38" t="str">
        <f t="shared" si="14"/>
        <v/>
      </c>
    </row>
    <row r="118" spans="1:14" x14ac:dyDescent="0.25">
      <c r="A118" s="57" t="str">
        <f t="shared" si="12"/>
        <v/>
      </c>
      <c r="G118" s="14"/>
      <c r="H118" s="36">
        <v>113</v>
      </c>
      <c r="I118" s="37" t="str">
        <f t="shared" si="9"/>
        <v/>
      </c>
      <c r="J118" s="36">
        <f t="shared" si="13"/>
        <v>-5</v>
      </c>
      <c r="K118" s="36">
        <f t="shared" si="10"/>
        <v>-50</v>
      </c>
      <c r="L118" s="36"/>
      <c r="M118" s="38">
        <f t="shared" si="11"/>
        <v>0</v>
      </c>
      <c r="N118" s="38" t="str">
        <f t="shared" si="14"/>
        <v/>
      </c>
    </row>
    <row r="119" spans="1:14" x14ac:dyDescent="0.25">
      <c r="A119" s="57" t="str">
        <f t="shared" si="12"/>
        <v/>
      </c>
      <c r="G119" s="14"/>
      <c r="H119" s="36">
        <v>114</v>
      </c>
      <c r="I119" s="37" t="str">
        <f t="shared" si="9"/>
        <v/>
      </c>
      <c r="J119" s="36">
        <f t="shared" si="13"/>
        <v>-5</v>
      </c>
      <c r="K119" s="36">
        <f t="shared" si="10"/>
        <v>-50</v>
      </c>
      <c r="L119" s="36"/>
      <c r="M119" s="38">
        <f t="shared" si="11"/>
        <v>0</v>
      </c>
      <c r="N119" s="38" t="str">
        <f t="shared" si="14"/>
        <v/>
      </c>
    </row>
    <row r="120" spans="1:14" x14ac:dyDescent="0.25">
      <c r="A120" s="57" t="str">
        <f t="shared" si="12"/>
        <v/>
      </c>
      <c r="G120" s="14"/>
      <c r="H120" s="36">
        <v>115</v>
      </c>
      <c r="I120" s="37" t="str">
        <f t="shared" si="9"/>
        <v/>
      </c>
      <c r="J120" s="36">
        <f t="shared" si="13"/>
        <v>-5</v>
      </c>
      <c r="K120" s="36">
        <f t="shared" si="10"/>
        <v>-50</v>
      </c>
      <c r="L120" s="36"/>
      <c r="M120" s="38">
        <f t="shared" si="11"/>
        <v>0</v>
      </c>
      <c r="N120" s="38" t="str">
        <f t="shared" si="14"/>
        <v/>
      </c>
    </row>
    <row r="121" spans="1:14" x14ac:dyDescent="0.25">
      <c r="A121" s="57" t="str">
        <f t="shared" si="12"/>
        <v/>
      </c>
      <c r="G121" s="14"/>
      <c r="H121" s="36">
        <v>116</v>
      </c>
      <c r="I121" s="37" t="str">
        <f t="shared" si="9"/>
        <v/>
      </c>
      <c r="J121" s="36">
        <f t="shared" si="13"/>
        <v>-5</v>
      </c>
      <c r="K121" s="36">
        <f t="shared" si="10"/>
        <v>-50</v>
      </c>
      <c r="L121" s="36"/>
      <c r="M121" s="38">
        <f t="shared" si="11"/>
        <v>0</v>
      </c>
      <c r="N121" s="38" t="str">
        <f t="shared" si="14"/>
        <v/>
      </c>
    </row>
    <row r="122" spans="1:14" x14ac:dyDescent="0.25">
      <c r="A122" s="57" t="str">
        <f t="shared" si="12"/>
        <v/>
      </c>
      <c r="G122" s="14"/>
      <c r="H122" s="36">
        <v>117</v>
      </c>
      <c r="I122" s="37" t="str">
        <f t="shared" si="9"/>
        <v/>
      </c>
      <c r="J122" s="36">
        <f t="shared" si="13"/>
        <v>-5</v>
      </c>
      <c r="K122" s="36">
        <f t="shared" si="10"/>
        <v>-50</v>
      </c>
      <c r="L122" s="36"/>
      <c r="M122" s="38">
        <f t="shared" si="11"/>
        <v>0</v>
      </c>
      <c r="N122" s="38" t="str">
        <f t="shared" si="14"/>
        <v/>
      </c>
    </row>
    <row r="123" spans="1:14" x14ac:dyDescent="0.25">
      <c r="A123" s="57" t="str">
        <f t="shared" si="12"/>
        <v/>
      </c>
      <c r="G123" s="14"/>
      <c r="H123" s="36">
        <v>118</v>
      </c>
      <c r="I123" s="37" t="str">
        <f t="shared" si="9"/>
        <v/>
      </c>
      <c r="J123" s="36">
        <f t="shared" si="13"/>
        <v>-5</v>
      </c>
      <c r="K123" s="36">
        <f t="shared" si="10"/>
        <v>-50</v>
      </c>
      <c r="L123" s="36"/>
      <c r="M123" s="38">
        <f t="shared" si="11"/>
        <v>0</v>
      </c>
      <c r="N123" s="38" t="str">
        <f t="shared" si="14"/>
        <v/>
      </c>
    </row>
    <row r="124" spans="1:14" x14ac:dyDescent="0.25">
      <c r="A124" s="57" t="str">
        <f t="shared" si="12"/>
        <v/>
      </c>
      <c r="G124" s="14"/>
      <c r="H124" s="36">
        <v>119</v>
      </c>
      <c r="I124" s="37" t="str">
        <f t="shared" si="9"/>
        <v/>
      </c>
      <c r="J124" s="36">
        <f t="shared" si="13"/>
        <v>-5</v>
      </c>
      <c r="K124" s="36">
        <f t="shared" si="10"/>
        <v>-50</v>
      </c>
      <c r="L124" s="36"/>
      <c r="M124" s="38">
        <f t="shared" si="11"/>
        <v>0</v>
      </c>
      <c r="N124" s="38" t="str">
        <f t="shared" si="14"/>
        <v/>
      </c>
    </row>
    <row r="125" spans="1:14" x14ac:dyDescent="0.25">
      <c r="A125" s="57" t="str">
        <f t="shared" si="12"/>
        <v/>
      </c>
      <c r="G125" s="14"/>
      <c r="H125" s="36">
        <v>120</v>
      </c>
      <c r="I125" s="37" t="str">
        <f t="shared" si="9"/>
        <v/>
      </c>
      <c r="J125" s="36">
        <f t="shared" si="13"/>
        <v>-5</v>
      </c>
      <c r="K125" s="36">
        <f t="shared" si="10"/>
        <v>-50</v>
      </c>
      <c r="L125" s="36"/>
      <c r="M125" s="38">
        <f t="shared" si="11"/>
        <v>0</v>
      </c>
      <c r="N125" s="38" t="str">
        <f t="shared" si="14"/>
        <v/>
      </c>
    </row>
    <row r="126" spans="1:14" x14ac:dyDescent="0.25">
      <c r="A126" s="57" t="str">
        <f t="shared" si="12"/>
        <v/>
      </c>
      <c r="G126" s="14"/>
      <c r="H126" s="36">
        <v>121</v>
      </c>
      <c r="I126" s="37" t="str">
        <f t="shared" si="9"/>
        <v/>
      </c>
      <c r="J126" s="36">
        <f t="shared" si="13"/>
        <v>-5</v>
      </c>
      <c r="K126" s="36">
        <f t="shared" si="10"/>
        <v>-50</v>
      </c>
      <c r="L126" s="36"/>
      <c r="M126" s="38">
        <f t="shared" si="11"/>
        <v>0</v>
      </c>
      <c r="N126" s="38" t="str">
        <f t="shared" si="14"/>
        <v/>
      </c>
    </row>
    <row r="127" spans="1:14" x14ac:dyDescent="0.25">
      <c r="A127" s="57" t="str">
        <f t="shared" si="12"/>
        <v/>
      </c>
      <c r="G127" s="14"/>
      <c r="H127" s="36">
        <v>122</v>
      </c>
      <c r="I127" s="37" t="str">
        <f t="shared" si="9"/>
        <v/>
      </c>
      <c r="J127" s="36">
        <f t="shared" si="13"/>
        <v>-5</v>
      </c>
      <c r="K127" s="36">
        <f t="shared" si="10"/>
        <v>-50</v>
      </c>
      <c r="L127" s="36"/>
      <c r="M127" s="38">
        <f t="shared" si="11"/>
        <v>0</v>
      </c>
      <c r="N127" s="38" t="str">
        <f t="shared" si="14"/>
        <v/>
      </c>
    </row>
    <row r="128" spans="1:14" x14ac:dyDescent="0.25">
      <c r="A128" s="57" t="str">
        <f t="shared" si="12"/>
        <v/>
      </c>
      <c r="G128" s="14"/>
      <c r="H128" s="36">
        <v>123</v>
      </c>
      <c r="I128" s="37" t="str">
        <f t="shared" si="9"/>
        <v/>
      </c>
      <c r="J128" s="36">
        <f t="shared" si="13"/>
        <v>-5</v>
      </c>
      <c r="K128" s="36">
        <f t="shared" si="10"/>
        <v>-50</v>
      </c>
      <c r="L128" s="36"/>
      <c r="M128" s="38">
        <f t="shared" si="11"/>
        <v>0</v>
      </c>
      <c r="N128" s="38" t="str">
        <f t="shared" si="14"/>
        <v/>
      </c>
    </row>
    <row r="129" spans="1:14" x14ac:dyDescent="0.25">
      <c r="A129" s="57" t="str">
        <f t="shared" si="12"/>
        <v/>
      </c>
      <c r="G129" s="14"/>
      <c r="H129" s="36">
        <v>124</v>
      </c>
      <c r="I129" s="37" t="str">
        <f t="shared" si="9"/>
        <v/>
      </c>
      <c r="J129" s="36">
        <f t="shared" si="13"/>
        <v>-5</v>
      </c>
      <c r="K129" s="36">
        <f t="shared" si="10"/>
        <v>-50</v>
      </c>
      <c r="L129" s="36"/>
      <c r="M129" s="38">
        <f t="shared" si="11"/>
        <v>0</v>
      </c>
      <c r="N129" s="38" t="str">
        <f t="shared" si="14"/>
        <v/>
      </c>
    </row>
    <row r="130" spans="1:14" x14ac:dyDescent="0.25">
      <c r="A130" s="57" t="str">
        <f t="shared" si="12"/>
        <v/>
      </c>
      <c r="G130" s="14"/>
      <c r="H130" s="36">
        <v>125</v>
      </c>
      <c r="I130" s="37" t="str">
        <f t="shared" si="9"/>
        <v/>
      </c>
      <c r="J130" s="36">
        <f t="shared" si="13"/>
        <v>-5</v>
      </c>
      <c r="K130" s="36">
        <f t="shared" si="10"/>
        <v>-50</v>
      </c>
      <c r="L130" s="36"/>
      <c r="M130" s="38">
        <f t="shared" si="11"/>
        <v>0</v>
      </c>
      <c r="N130" s="38" t="str">
        <f t="shared" si="14"/>
        <v/>
      </c>
    </row>
    <row r="131" spans="1:14" x14ac:dyDescent="0.25">
      <c r="A131" s="57" t="str">
        <f t="shared" si="12"/>
        <v/>
      </c>
      <c r="G131" s="14"/>
      <c r="H131" s="36">
        <v>126</v>
      </c>
      <c r="I131" s="37" t="str">
        <f t="shared" si="9"/>
        <v/>
      </c>
      <c r="J131" s="36">
        <f t="shared" si="13"/>
        <v>-5</v>
      </c>
      <c r="K131" s="36">
        <f t="shared" si="10"/>
        <v>-50</v>
      </c>
      <c r="L131" s="36"/>
      <c r="M131" s="38">
        <f t="shared" si="11"/>
        <v>0</v>
      </c>
      <c r="N131" s="38" t="str">
        <f t="shared" si="14"/>
        <v/>
      </c>
    </row>
    <row r="132" spans="1:14" x14ac:dyDescent="0.25">
      <c r="A132" s="57" t="str">
        <f t="shared" si="12"/>
        <v/>
      </c>
      <c r="G132" s="14"/>
      <c r="H132" s="36">
        <v>127</v>
      </c>
      <c r="I132" s="37" t="str">
        <f t="shared" si="9"/>
        <v/>
      </c>
      <c r="J132" s="36">
        <f t="shared" si="13"/>
        <v>-5</v>
      </c>
      <c r="K132" s="36">
        <f t="shared" si="10"/>
        <v>-50</v>
      </c>
      <c r="L132" s="36"/>
      <c r="M132" s="38">
        <f t="shared" si="11"/>
        <v>0</v>
      </c>
      <c r="N132" s="38" t="str">
        <f t="shared" si="14"/>
        <v/>
      </c>
    </row>
    <row r="133" spans="1:14" x14ac:dyDescent="0.25">
      <c r="A133" s="57" t="str">
        <f t="shared" si="12"/>
        <v/>
      </c>
      <c r="G133" s="14"/>
      <c r="H133" s="36">
        <v>128</v>
      </c>
      <c r="I133" s="37" t="str">
        <f t="shared" si="9"/>
        <v/>
      </c>
      <c r="J133" s="36">
        <f t="shared" si="13"/>
        <v>-5</v>
      </c>
      <c r="K133" s="36">
        <f t="shared" si="10"/>
        <v>-50</v>
      </c>
      <c r="L133" s="36"/>
      <c r="M133" s="38">
        <f t="shared" si="11"/>
        <v>0</v>
      </c>
      <c r="N133" s="38" t="str">
        <f t="shared" si="14"/>
        <v/>
      </c>
    </row>
    <row r="134" spans="1:14" x14ac:dyDescent="0.25">
      <c r="A134" s="57" t="str">
        <f t="shared" si="12"/>
        <v/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3"/>
        <v>-6</v>
      </c>
      <c r="K134" s="36">
        <f t="shared" ref="K134:K197" si="16">J134*$J$2</f>
        <v>-60</v>
      </c>
      <c r="L134" s="36"/>
      <c r="M134" s="38">
        <f t="shared" ref="M134:M197" si="17">IF(I134&lt;&gt;"",K134+I134+L134,0)</f>
        <v>0</v>
      </c>
      <c r="N134" s="38" t="str">
        <f t="shared" si="14"/>
        <v/>
      </c>
    </row>
    <row r="135" spans="1:14" x14ac:dyDescent="0.25">
      <c r="A135" s="57" t="str">
        <f t="shared" ref="A135:A198" si="18">N135</f>
        <v/>
      </c>
      <c r="G135" s="14"/>
      <c r="H135" s="36">
        <v>130</v>
      </c>
      <c r="I135" s="37" t="str">
        <f t="shared" si="15"/>
        <v/>
      </c>
      <c r="J135" s="36">
        <f t="shared" ref="J135:J198" si="19">INT(LOG($H$2,2))-ROUNDUP(LOG(H135,2),0)+IF(OR($H$2=1,$H$2=2,$H$2=4,$H$2=8,$H$2=16,$H$2=32,$H$2=64,$H$2=128,$H$2=256),0,1)</f>
        <v>-6</v>
      </c>
      <c r="K135" s="36">
        <f t="shared" si="16"/>
        <v>-60</v>
      </c>
      <c r="L135" s="36"/>
      <c r="M135" s="38">
        <f t="shared" si="17"/>
        <v>0</v>
      </c>
      <c r="N135" s="38" t="str">
        <f t="shared" ref="N135:N198" si="20">IF(I135&lt;&gt;"",M135*L$2,"")</f>
        <v/>
      </c>
    </row>
    <row r="136" spans="1:14" x14ac:dyDescent="0.25">
      <c r="A136" s="57" t="str">
        <f t="shared" si="18"/>
        <v/>
      </c>
      <c r="G136" s="14"/>
      <c r="H136" s="36">
        <v>131</v>
      </c>
      <c r="I136" s="37" t="str">
        <f t="shared" si="15"/>
        <v/>
      </c>
      <c r="J136" s="36">
        <f t="shared" si="19"/>
        <v>-6</v>
      </c>
      <c r="K136" s="36">
        <f t="shared" si="16"/>
        <v>-60</v>
      </c>
      <c r="L136" s="36"/>
      <c r="M136" s="38">
        <f t="shared" si="17"/>
        <v>0</v>
      </c>
      <c r="N136" s="38" t="str">
        <f t="shared" si="20"/>
        <v/>
      </c>
    </row>
    <row r="137" spans="1:14" x14ac:dyDescent="0.25">
      <c r="A137" s="57" t="str">
        <f t="shared" si="18"/>
        <v/>
      </c>
      <c r="G137" s="14"/>
      <c r="H137" s="36">
        <v>132</v>
      </c>
      <c r="I137" s="37" t="str">
        <f t="shared" si="15"/>
        <v/>
      </c>
      <c r="J137" s="36">
        <f t="shared" si="19"/>
        <v>-6</v>
      </c>
      <c r="K137" s="36">
        <f t="shared" si="16"/>
        <v>-60</v>
      </c>
      <c r="L137" s="36"/>
      <c r="M137" s="38">
        <f t="shared" si="17"/>
        <v>0</v>
      </c>
      <c r="N137" s="38" t="str">
        <f t="shared" si="20"/>
        <v/>
      </c>
    </row>
    <row r="138" spans="1:14" x14ac:dyDescent="0.25">
      <c r="A138" s="57" t="str">
        <f t="shared" si="18"/>
        <v/>
      </c>
      <c r="G138" s="14"/>
      <c r="H138" s="36">
        <v>133</v>
      </c>
      <c r="I138" s="37" t="str">
        <f t="shared" si="15"/>
        <v/>
      </c>
      <c r="J138" s="36">
        <f t="shared" si="19"/>
        <v>-6</v>
      </c>
      <c r="K138" s="36">
        <f t="shared" si="16"/>
        <v>-60</v>
      </c>
      <c r="L138" s="36"/>
      <c r="M138" s="38">
        <f t="shared" si="17"/>
        <v>0</v>
      </c>
      <c r="N138" s="38" t="str">
        <f t="shared" si="20"/>
        <v/>
      </c>
    </row>
    <row r="139" spans="1:14" x14ac:dyDescent="0.25">
      <c r="A139" s="57" t="str">
        <f t="shared" si="18"/>
        <v/>
      </c>
      <c r="G139" s="14"/>
      <c r="H139" s="36">
        <v>134</v>
      </c>
      <c r="I139" s="37" t="str">
        <f t="shared" si="15"/>
        <v/>
      </c>
      <c r="J139" s="36">
        <f t="shared" si="19"/>
        <v>-6</v>
      </c>
      <c r="K139" s="36">
        <f t="shared" si="16"/>
        <v>-60</v>
      </c>
      <c r="L139" s="36"/>
      <c r="M139" s="38">
        <f t="shared" si="17"/>
        <v>0</v>
      </c>
      <c r="N139" s="38" t="str">
        <f t="shared" si="20"/>
        <v/>
      </c>
    </row>
    <row r="140" spans="1:14" x14ac:dyDescent="0.25">
      <c r="A140" s="57" t="str">
        <f t="shared" si="18"/>
        <v/>
      </c>
      <c r="G140" s="14"/>
      <c r="H140" s="36">
        <v>135</v>
      </c>
      <c r="I140" s="37" t="str">
        <f t="shared" si="15"/>
        <v/>
      </c>
      <c r="J140" s="36">
        <f t="shared" si="19"/>
        <v>-6</v>
      </c>
      <c r="K140" s="36">
        <f t="shared" si="16"/>
        <v>-60</v>
      </c>
      <c r="L140" s="36"/>
      <c r="M140" s="38">
        <f t="shared" si="17"/>
        <v>0</v>
      </c>
      <c r="N140" s="38" t="str">
        <f t="shared" si="20"/>
        <v/>
      </c>
    </row>
    <row r="141" spans="1:14" x14ac:dyDescent="0.25">
      <c r="A141" s="57" t="str">
        <f t="shared" si="18"/>
        <v/>
      </c>
      <c r="G141" s="14"/>
      <c r="H141" s="36">
        <v>136</v>
      </c>
      <c r="I141" s="37" t="str">
        <f t="shared" si="15"/>
        <v/>
      </c>
      <c r="J141" s="36">
        <f t="shared" si="19"/>
        <v>-6</v>
      </c>
      <c r="K141" s="36">
        <f t="shared" si="16"/>
        <v>-60</v>
      </c>
      <c r="L141" s="36"/>
      <c r="M141" s="38">
        <f t="shared" si="17"/>
        <v>0</v>
      </c>
      <c r="N141" s="38" t="str">
        <f t="shared" si="20"/>
        <v/>
      </c>
    </row>
    <row r="142" spans="1:14" x14ac:dyDescent="0.25">
      <c r="A142" s="57" t="str">
        <f t="shared" si="18"/>
        <v/>
      </c>
      <c r="G142" s="14"/>
      <c r="H142" s="36">
        <v>137</v>
      </c>
      <c r="I142" s="37" t="str">
        <f t="shared" si="15"/>
        <v/>
      </c>
      <c r="J142" s="36">
        <f t="shared" si="19"/>
        <v>-6</v>
      </c>
      <c r="K142" s="36">
        <f t="shared" si="16"/>
        <v>-60</v>
      </c>
      <c r="L142" s="36"/>
      <c r="M142" s="38">
        <f t="shared" si="17"/>
        <v>0</v>
      </c>
      <c r="N142" s="38" t="str">
        <f t="shared" si="20"/>
        <v/>
      </c>
    </row>
    <row r="143" spans="1:14" x14ac:dyDescent="0.25">
      <c r="A143" s="57" t="str">
        <f t="shared" si="18"/>
        <v/>
      </c>
      <c r="G143" s="14"/>
      <c r="H143" s="36">
        <v>138</v>
      </c>
      <c r="I143" s="37" t="str">
        <f t="shared" si="15"/>
        <v/>
      </c>
      <c r="J143" s="36">
        <f t="shared" si="19"/>
        <v>-6</v>
      </c>
      <c r="K143" s="36">
        <f t="shared" si="16"/>
        <v>-60</v>
      </c>
      <c r="L143" s="36"/>
      <c r="M143" s="38">
        <f t="shared" si="17"/>
        <v>0</v>
      </c>
      <c r="N143" s="38" t="str">
        <f t="shared" si="20"/>
        <v/>
      </c>
    </row>
    <row r="144" spans="1:14" x14ac:dyDescent="0.25">
      <c r="A144" s="57" t="str">
        <f t="shared" si="18"/>
        <v/>
      </c>
      <c r="G144" s="14"/>
      <c r="H144" s="36">
        <v>139</v>
      </c>
      <c r="I144" s="37" t="str">
        <f t="shared" si="15"/>
        <v/>
      </c>
      <c r="J144" s="36">
        <f t="shared" si="19"/>
        <v>-6</v>
      </c>
      <c r="K144" s="36">
        <f t="shared" si="16"/>
        <v>-60</v>
      </c>
      <c r="L144" s="36"/>
      <c r="M144" s="38">
        <f t="shared" si="17"/>
        <v>0</v>
      </c>
      <c r="N144" s="38" t="str">
        <f t="shared" si="20"/>
        <v/>
      </c>
    </row>
    <row r="145" spans="1:14" x14ac:dyDescent="0.25">
      <c r="A145" s="57" t="str">
        <f t="shared" si="18"/>
        <v/>
      </c>
      <c r="G145" s="14"/>
      <c r="H145" s="36">
        <v>140</v>
      </c>
      <c r="I145" s="37" t="str">
        <f t="shared" si="15"/>
        <v/>
      </c>
      <c r="J145" s="36">
        <f t="shared" si="19"/>
        <v>-6</v>
      </c>
      <c r="K145" s="36">
        <f t="shared" si="16"/>
        <v>-60</v>
      </c>
      <c r="L145" s="36"/>
      <c r="M145" s="38">
        <f t="shared" si="17"/>
        <v>0</v>
      </c>
      <c r="N145" s="38" t="str">
        <f t="shared" si="20"/>
        <v/>
      </c>
    </row>
    <row r="146" spans="1:14" x14ac:dyDescent="0.25">
      <c r="A146" s="57" t="str">
        <f t="shared" si="18"/>
        <v/>
      </c>
      <c r="G146" s="14"/>
      <c r="H146" s="36">
        <v>141</v>
      </c>
      <c r="I146" s="37" t="str">
        <f t="shared" si="15"/>
        <v/>
      </c>
      <c r="J146" s="36">
        <f t="shared" si="19"/>
        <v>-6</v>
      </c>
      <c r="K146" s="36">
        <f t="shared" si="16"/>
        <v>-60</v>
      </c>
      <c r="L146" s="36"/>
      <c r="M146" s="38">
        <f t="shared" si="17"/>
        <v>0</v>
      </c>
      <c r="N146" s="38" t="str">
        <f t="shared" si="20"/>
        <v/>
      </c>
    </row>
    <row r="147" spans="1:14" x14ac:dyDescent="0.25">
      <c r="A147" s="57" t="str">
        <f t="shared" si="18"/>
        <v/>
      </c>
      <c r="G147" s="14"/>
      <c r="H147" s="36">
        <v>142</v>
      </c>
      <c r="I147" s="37" t="str">
        <f t="shared" si="15"/>
        <v/>
      </c>
      <c r="J147" s="36">
        <f t="shared" si="19"/>
        <v>-6</v>
      </c>
      <c r="K147" s="36">
        <f t="shared" si="16"/>
        <v>-60</v>
      </c>
      <c r="L147" s="36"/>
      <c r="M147" s="38">
        <f t="shared" si="17"/>
        <v>0</v>
      </c>
      <c r="N147" s="38" t="str">
        <f t="shared" si="20"/>
        <v/>
      </c>
    </row>
    <row r="148" spans="1:14" x14ac:dyDescent="0.25">
      <c r="A148" s="57" t="str">
        <f t="shared" si="18"/>
        <v/>
      </c>
      <c r="G148" s="14"/>
      <c r="H148" s="36">
        <v>143</v>
      </c>
      <c r="I148" s="37" t="str">
        <f t="shared" si="15"/>
        <v/>
      </c>
      <c r="J148" s="36">
        <f t="shared" si="19"/>
        <v>-6</v>
      </c>
      <c r="K148" s="36">
        <f t="shared" si="16"/>
        <v>-60</v>
      </c>
      <c r="L148" s="36"/>
      <c r="M148" s="38">
        <f t="shared" si="17"/>
        <v>0</v>
      </c>
      <c r="N148" s="38" t="str">
        <f t="shared" si="20"/>
        <v/>
      </c>
    </row>
    <row r="149" spans="1:14" x14ac:dyDescent="0.25">
      <c r="A149" s="57" t="str">
        <f t="shared" si="18"/>
        <v/>
      </c>
      <c r="G149" s="14"/>
      <c r="H149" s="36">
        <v>144</v>
      </c>
      <c r="I149" s="37" t="str">
        <f t="shared" si="15"/>
        <v/>
      </c>
      <c r="J149" s="36">
        <f t="shared" si="19"/>
        <v>-6</v>
      </c>
      <c r="K149" s="36">
        <f t="shared" si="16"/>
        <v>-60</v>
      </c>
      <c r="L149" s="36"/>
      <c r="M149" s="38">
        <f t="shared" si="17"/>
        <v>0</v>
      </c>
      <c r="N149" s="38" t="str">
        <f t="shared" si="20"/>
        <v/>
      </c>
    </row>
    <row r="150" spans="1:14" x14ac:dyDescent="0.25">
      <c r="A150" s="57" t="str">
        <f t="shared" si="18"/>
        <v/>
      </c>
      <c r="G150" s="14"/>
      <c r="H150" s="36">
        <v>145</v>
      </c>
      <c r="I150" s="37" t="str">
        <f t="shared" si="15"/>
        <v/>
      </c>
      <c r="J150" s="36">
        <f t="shared" si="19"/>
        <v>-6</v>
      </c>
      <c r="K150" s="36">
        <f t="shared" si="16"/>
        <v>-60</v>
      </c>
      <c r="L150" s="36"/>
      <c r="M150" s="38">
        <f t="shared" si="17"/>
        <v>0</v>
      </c>
      <c r="N150" s="38" t="str">
        <f t="shared" si="20"/>
        <v/>
      </c>
    </row>
    <row r="151" spans="1:14" x14ac:dyDescent="0.25">
      <c r="A151" s="57" t="str">
        <f t="shared" si="18"/>
        <v/>
      </c>
      <c r="G151" s="14"/>
      <c r="H151" s="36">
        <v>146</v>
      </c>
      <c r="I151" s="37" t="str">
        <f t="shared" si="15"/>
        <v/>
      </c>
      <c r="J151" s="36">
        <f t="shared" si="19"/>
        <v>-6</v>
      </c>
      <c r="K151" s="36">
        <f t="shared" si="16"/>
        <v>-60</v>
      </c>
      <c r="L151" s="36"/>
      <c r="M151" s="38">
        <f t="shared" si="17"/>
        <v>0</v>
      </c>
      <c r="N151" s="38" t="str">
        <f t="shared" si="20"/>
        <v/>
      </c>
    </row>
    <row r="152" spans="1:14" x14ac:dyDescent="0.25">
      <c r="A152" s="57" t="str">
        <f t="shared" si="18"/>
        <v/>
      </c>
      <c r="G152" s="14"/>
      <c r="H152" s="36">
        <v>147</v>
      </c>
      <c r="I152" s="37" t="str">
        <f t="shared" si="15"/>
        <v/>
      </c>
      <c r="J152" s="36">
        <f t="shared" si="19"/>
        <v>-6</v>
      </c>
      <c r="K152" s="36">
        <f t="shared" si="16"/>
        <v>-60</v>
      </c>
      <c r="L152" s="36"/>
      <c r="M152" s="38">
        <f t="shared" si="17"/>
        <v>0</v>
      </c>
      <c r="N152" s="38" t="str">
        <f t="shared" si="20"/>
        <v/>
      </c>
    </row>
    <row r="153" spans="1:14" x14ac:dyDescent="0.25">
      <c r="A153" s="57" t="str">
        <f t="shared" si="18"/>
        <v/>
      </c>
      <c r="G153" s="14"/>
      <c r="H153" s="36">
        <v>148</v>
      </c>
      <c r="I153" s="37" t="str">
        <f t="shared" si="15"/>
        <v/>
      </c>
      <c r="J153" s="36">
        <f t="shared" si="19"/>
        <v>-6</v>
      </c>
      <c r="K153" s="36">
        <f t="shared" si="16"/>
        <v>-60</v>
      </c>
      <c r="L153" s="36"/>
      <c r="M153" s="38">
        <f t="shared" si="17"/>
        <v>0</v>
      </c>
      <c r="N153" s="38" t="str">
        <f t="shared" si="20"/>
        <v/>
      </c>
    </row>
    <row r="154" spans="1:14" x14ac:dyDescent="0.25">
      <c r="A154" s="57" t="str">
        <f t="shared" si="18"/>
        <v/>
      </c>
      <c r="G154" s="14"/>
      <c r="H154" s="36">
        <v>149</v>
      </c>
      <c r="I154" s="37" t="str">
        <f t="shared" si="15"/>
        <v/>
      </c>
      <c r="J154" s="36">
        <f t="shared" si="19"/>
        <v>-6</v>
      </c>
      <c r="K154" s="36">
        <f t="shared" si="16"/>
        <v>-60</v>
      </c>
      <c r="L154" s="36"/>
      <c r="M154" s="38">
        <f t="shared" si="17"/>
        <v>0</v>
      </c>
      <c r="N154" s="38" t="str">
        <f t="shared" si="20"/>
        <v/>
      </c>
    </row>
    <row r="155" spans="1:14" x14ac:dyDescent="0.25">
      <c r="A155" s="57" t="str">
        <f t="shared" si="18"/>
        <v/>
      </c>
      <c r="G155" s="14"/>
      <c r="H155" s="36">
        <v>150</v>
      </c>
      <c r="I155" s="37" t="str">
        <f t="shared" si="15"/>
        <v/>
      </c>
      <c r="J155" s="36">
        <f t="shared" si="19"/>
        <v>-6</v>
      </c>
      <c r="K155" s="36">
        <f t="shared" si="16"/>
        <v>-60</v>
      </c>
      <c r="L155" s="36"/>
      <c r="M155" s="38">
        <f t="shared" si="17"/>
        <v>0</v>
      </c>
      <c r="N155" s="38" t="str">
        <f t="shared" si="20"/>
        <v/>
      </c>
    </row>
    <row r="156" spans="1:14" x14ac:dyDescent="0.25">
      <c r="A156" s="57" t="str">
        <f t="shared" si="18"/>
        <v/>
      </c>
      <c r="G156" s="14"/>
      <c r="H156" s="36">
        <v>151</v>
      </c>
      <c r="I156" s="37" t="str">
        <f t="shared" si="15"/>
        <v/>
      </c>
      <c r="J156" s="36">
        <f t="shared" si="19"/>
        <v>-6</v>
      </c>
      <c r="K156" s="36">
        <f t="shared" si="16"/>
        <v>-60</v>
      </c>
      <c r="L156" s="36"/>
      <c r="M156" s="38">
        <f t="shared" si="17"/>
        <v>0</v>
      </c>
      <c r="N156" s="38" t="str">
        <f t="shared" si="20"/>
        <v/>
      </c>
    </row>
    <row r="157" spans="1:14" x14ac:dyDescent="0.25">
      <c r="A157" s="57" t="str">
        <f t="shared" si="18"/>
        <v/>
      </c>
      <c r="G157" s="14"/>
      <c r="H157" s="36">
        <v>152</v>
      </c>
      <c r="I157" s="37" t="str">
        <f t="shared" si="15"/>
        <v/>
      </c>
      <c r="J157" s="36">
        <f t="shared" si="19"/>
        <v>-6</v>
      </c>
      <c r="K157" s="36">
        <f t="shared" si="16"/>
        <v>-60</v>
      </c>
      <c r="L157" s="36"/>
      <c r="M157" s="38">
        <f t="shared" si="17"/>
        <v>0</v>
      </c>
      <c r="N157" s="38" t="str">
        <f t="shared" si="20"/>
        <v/>
      </c>
    </row>
    <row r="158" spans="1:14" x14ac:dyDescent="0.25">
      <c r="A158" s="57" t="str">
        <f t="shared" si="18"/>
        <v/>
      </c>
      <c r="G158" s="14"/>
      <c r="H158" s="36">
        <v>153</v>
      </c>
      <c r="I158" s="37" t="str">
        <f t="shared" si="15"/>
        <v/>
      </c>
      <c r="J158" s="36">
        <f t="shared" si="19"/>
        <v>-6</v>
      </c>
      <c r="K158" s="36">
        <f t="shared" si="16"/>
        <v>-60</v>
      </c>
      <c r="L158" s="36"/>
      <c r="M158" s="38">
        <f t="shared" si="17"/>
        <v>0</v>
      </c>
      <c r="N158" s="38" t="str">
        <f t="shared" si="20"/>
        <v/>
      </c>
    </row>
    <row r="159" spans="1:14" x14ac:dyDescent="0.25">
      <c r="A159" s="57" t="str">
        <f t="shared" si="18"/>
        <v/>
      </c>
      <c r="G159" s="14"/>
      <c r="H159" s="36">
        <v>154</v>
      </c>
      <c r="I159" s="37" t="str">
        <f t="shared" si="15"/>
        <v/>
      </c>
      <c r="J159" s="36">
        <f t="shared" si="19"/>
        <v>-6</v>
      </c>
      <c r="K159" s="36">
        <f t="shared" si="16"/>
        <v>-60</v>
      </c>
      <c r="L159" s="36"/>
      <c r="M159" s="38">
        <f t="shared" si="17"/>
        <v>0</v>
      </c>
      <c r="N159" s="38" t="str">
        <f t="shared" si="20"/>
        <v/>
      </c>
    </row>
    <row r="160" spans="1:14" x14ac:dyDescent="0.25">
      <c r="A160" s="57" t="str">
        <f t="shared" si="18"/>
        <v/>
      </c>
      <c r="G160" s="14"/>
      <c r="H160" s="36">
        <v>155</v>
      </c>
      <c r="I160" s="37" t="str">
        <f t="shared" si="15"/>
        <v/>
      </c>
      <c r="J160" s="36">
        <f t="shared" si="19"/>
        <v>-6</v>
      </c>
      <c r="K160" s="36">
        <f t="shared" si="16"/>
        <v>-60</v>
      </c>
      <c r="L160" s="36"/>
      <c r="M160" s="38">
        <f t="shared" si="17"/>
        <v>0</v>
      </c>
      <c r="N160" s="38" t="str">
        <f t="shared" si="20"/>
        <v/>
      </c>
    </row>
    <row r="161" spans="1:14" x14ac:dyDescent="0.25">
      <c r="A161" s="57" t="str">
        <f t="shared" si="18"/>
        <v/>
      </c>
      <c r="G161" s="14"/>
      <c r="H161" s="36">
        <v>156</v>
      </c>
      <c r="I161" s="37" t="str">
        <f t="shared" si="15"/>
        <v/>
      </c>
      <c r="J161" s="36">
        <f t="shared" si="19"/>
        <v>-6</v>
      </c>
      <c r="K161" s="36">
        <f t="shared" si="16"/>
        <v>-60</v>
      </c>
      <c r="L161" s="36"/>
      <c r="M161" s="38">
        <f t="shared" si="17"/>
        <v>0</v>
      </c>
      <c r="N161" s="38" t="str">
        <f t="shared" si="20"/>
        <v/>
      </c>
    </row>
    <row r="162" spans="1:14" x14ac:dyDescent="0.25">
      <c r="A162" s="57" t="str">
        <f t="shared" si="18"/>
        <v/>
      </c>
      <c r="G162" s="14"/>
      <c r="H162" s="36">
        <v>157</v>
      </c>
      <c r="I162" s="37" t="str">
        <f t="shared" si="15"/>
        <v/>
      </c>
      <c r="J162" s="36">
        <f t="shared" si="19"/>
        <v>-6</v>
      </c>
      <c r="K162" s="36">
        <f t="shared" si="16"/>
        <v>-60</v>
      </c>
      <c r="L162" s="36"/>
      <c r="M162" s="38">
        <f t="shared" si="17"/>
        <v>0</v>
      </c>
      <c r="N162" s="38" t="str">
        <f t="shared" si="20"/>
        <v/>
      </c>
    </row>
    <row r="163" spans="1:14" x14ac:dyDescent="0.25">
      <c r="A163" s="57" t="str">
        <f t="shared" si="18"/>
        <v/>
      </c>
      <c r="G163" s="14"/>
      <c r="H163" s="36">
        <v>158</v>
      </c>
      <c r="I163" s="37" t="str">
        <f t="shared" si="15"/>
        <v/>
      </c>
      <c r="J163" s="36">
        <f t="shared" si="19"/>
        <v>-6</v>
      </c>
      <c r="K163" s="36">
        <f t="shared" si="16"/>
        <v>-60</v>
      </c>
      <c r="L163" s="36"/>
      <c r="M163" s="38">
        <f t="shared" si="17"/>
        <v>0</v>
      </c>
      <c r="N163" s="38" t="str">
        <f t="shared" si="20"/>
        <v/>
      </c>
    </row>
    <row r="164" spans="1:14" x14ac:dyDescent="0.25">
      <c r="A164" s="57" t="str">
        <f t="shared" si="18"/>
        <v/>
      </c>
      <c r="G164" s="14"/>
      <c r="H164" s="36">
        <v>159</v>
      </c>
      <c r="I164" s="37" t="str">
        <f t="shared" si="15"/>
        <v/>
      </c>
      <c r="J164" s="36">
        <f t="shared" si="19"/>
        <v>-6</v>
      </c>
      <c r="K164" s="36">
        <f t="shared" si="16"/>
        <v>-60</v>
      </c>
      <c r="L164" s="36"/>
      <c r="M164" s="38">
        <f t="shared" si="17"/>
        <v>0</v>
      </c>
      <c r="N164" s="38" t="str">
        <f t="shared" si="20"/>
        <v/>
      </c>
    </row>
    <row r="165" spans="1:14" x14ac:dyDescent="0.25">
      <c r="A165" s="57" t="str">
        <f t="shared" si="18"/>
        <v/>
      </c>
      <c r="G165" s="14"/>
      <c r="H165" s="36">
        <v>160</v>
      </c>
      <c r="I165" s="37" t="str">
        <f t="shared" si="15"/>
        <v/>
      </c>
      <c r="J165" s="36">
        <f t="shared" si="19"/>
        <v>-6</v>
      </c>
      <c r="K165" s="36">
        <f t="shared" si="16"/>
        <v>-60</v>
      </c>
      <c r="L165" s="36"/>
      <c r="M165" s="38">
        <f t="shared" si="17"/>
        <v>0</v>
      </c>
      <c r="N165" s="38" t="str">
        <f t="shared" si="20"/>
        <v/>
      </c>
    </row>
    <row r="166" spans="1:14" x14ac:dyDescent="0.25">
      <c r="A166" s="57" t="str">
        <f t="shared" si="18"/>
        <v/>
      </c>
      <c r="G166" s="14"/>
      <c r="H166" s="36">
        <v>161</v>
      </c>
      <c r="I166" s="37" t="str">
        <f t="shared" si="15"/>
        <v/>
      </c>
      <c r="J166" s="36">
        <f t="shared" si="19"/>
        <v>-6</v>
      </c>
      <c r="K166" s="36">
        <f t="shared" si="16"/>
        <v>-60</v>
      </c>
      <c r="L166" s="36"/>
      <c r="M166" s="38">
        <f t="shared" si="17"/>
        <v>0</v>
      </c>
      <c r="N166" s="38" t="str">
        <f t="shared" si="20"/>
        <v/>
      </c>
    </row>
    <row r="167" spans="1:14" x14ac:dyDescent="0.25">
      <c r="A167" s="57" t="str">
        <f t="shared" si="18"/>
        <v/>
      </c>
      <c r="G167" s="14"/>
      <c r="H167" s="36">
        <v>162</v>
      </c>
      <c r="I167" s="37" t="str">
        <f t="shared" si="15"/>
        <v/>
      </c>
      <c r="J167" s="36">
        <f t="shared" si="19"/>
        <v>-6</v>
      </c>
      <c r="K167" s="36">
        <f t="shared" si="16"/>
        <v>-60</v>
      </c>
      <c r="L167" s="36"/>
      <c r="M167" s="38">
        <f t="shared" si="17"/>
        <v>0</v>
      </c>
      <c r="N167" s="38" t="str">
        <f t="shared" si="20"/>
        <v/>
      </c>
    </row>
    <row r="168" spans="1:14" x14ac:dyDescent="0.25">
      <c r="A168" s="57" t="str">
        <f t="shared" si="18"/>
        <v/>
      </c>
      <c r="G168" s="14"/>
      <c r="H168" s="36">
        <v>163</v>
      </c>
      <c r="I168" s="37" t="str">
        <f t="shared" si="15"/>
        <v/>
      </c>
      <c r="J168" s="36">
        <f t="shared" si="19"/>
        <v>-6</v>
      </c>
      <c r="K168" s="36">
        <f t="shared" si="16"/>
        <v>-60</v>
      </c>
      <c r="L168" s="36"/>
      <c r="M168" s="38">
        <f t="shared" si="17"/>
        <v>0</v>
      </c>
      <c r="N168" s="38" t="str">
        <f t="shared" si="20"/>
        <v/>
      </c>
    </row>
    <row r="169" spans="1:14" x14ac:dyDescent="0.25">
      <c r="A169" s="57" t="str">
        <f t="shared" si="18"/>
        <v/>
      </c>
      <c r="G169" s="14"/>
      <c r="H169" s="36">
        <v>164</v>
      </c>
      <c r="I169" s="37" t="str">
        <f t="shared" si="15"/>
        <v/>
      </c>
      <c r="J169" s="36">
        <f t="shared" si="19"/>
        <v>-6</v>
      </c>
      <c r="K169" s="36">
        <f t="shared" si="16"/>
        <v>-60</v>
      </c>
      <c r="L169" s="36"/>
      <c r="M169" s="38">
        <f t="shared" si="17"/>
        <v>0</v>
      </c>
      <c r="N169" s="38" t="str">
        <f t="shared" si="20"/>
        <v/>
      </c>
    </row>
    <row r="170" spans="1:14" x14ac:dyDescent="0.25">
      <c r="A170" s="57" t="str">
        <f t="shared" si="18"/>
        <v/>
      </c>
      <c r="G170" s="14"/>
      <c r="H170" s="36">
        <v>165</v>
      </c>
      <c r="I170" s="37" t="str">
        <f t="shared" si="15"/>
        <v/>
      </c>
      <c r="J170" s="36">
        <f t="shared" si="19"/>
        <v>-6</v>
      </c>
      <c r="K170" s="36">
        <f t="shared" si="16"/>
        <v>-60</v>
      </c>
      <c r="L170" s="36"/>
      <c r="M170" s="38">
        <f t="shared" si="17"/>
        <v>0</v>
      </c>
      <c r="N170" s="38" t="str">
        <f t="shared" si="20"/>
        <v/>
      </c>
    </row>
    <row r="171" spans="1:14" x14ac:dyDescent="0.25">
      <c r="A171" s="57" t="str">
        <f t="shared" si="18"/>
        <v/>
      </c>
      <c r="G171" s="14"/>
      <c r="H171" s="36">
        <v>166</v>
      </c>
      <c r="I171" s="37" t="str">
        <f t="shared" si="15"/>
        <v/>
      </c>
      <c r="J171" s="36">
        <f t="shared" si="19"/>
        <v>-6</v>
      </c>
      <c r="K171" s="36">
        <f t="shared" si="16"/>
        <v>-60</v>
      </c>
      <c r="L171" s="36"/>
      <c r="M171" s="38">
        <f t="shared" si="17"/>
        <v>0</v>
      </c>
      <c r="N171" s="38" t="str">
        <f t="shared" si="20"/>
        <v/>
      </c>
    </row>
    <row r="172" spans="1:14" x14ac:dyDescent="0.25">
      <c r="A172" s="57" t="str">
        <f t="shared" si="18"/>
        <v/>
      </c>
      <c r="G172" s="14"/>
      <c r="H172" s="36">
        <v>167</v>
      </c>
      <c r="I172" s="37" t="str">
        <f t="shared" si="15"/>
        <v/>
      </c>
      <c r="J172" s="36">
        <f t="shared" si="19"/>
        <v>-6</v>
      </c>
      <c r="K172" s="36">
        <f t="shared" si="16"/>
        <v>-60</v>
      </c>
      <c r="L172" s="36"/>
      <c r="M172" s="38">
        <f t="shared" si="17"/>
        <v>0</v>
      </c>
      <c r="N172" s="38" t="str">
        <f t="shared" si="20"/>
        <v/>
      </c>
    </row>
    <row r="173" spans="1:14" x14ac:dyDescent="0.25">
      <c r="A173" s="57" t="str">
        <f t="shared" si="18"/>
        <v/>
      </c>
      <c r="G173" s="14"/>
      <c r="H173" s="36">
        <v>168</v>
      </c>
      <c r="I173" s="37" t="str">
        <f t="shared" si="15"/>
        <v/>
      </c>
      <c r="J173" s="36">
        <f t="shared" si="19"/>
        <v>-6</v>
      </c>
      <c r="K173" s="36">
        <f t="shared" si="16"/>
        <v>-60</v>
      </c>
      <c r="L173" s="36"/>
      <c r="M173" s="38">
        <f t="shared" si="17"/>
        <v>0</v>
      </c>
      <c r="N173" s="38" t="str">
        <f t="shared" si="20"/>
        <v/>
      </c>
    </row>
    <row r="174" spans="1:14" x14ac:dyDescent="0.25">
      <c r="A174" s="57" t="str">
        <f t="shared" si="18"/>
        <v/>
      </c>
      <c r="G174" s="14"/>
      <c r="H174" s="36">
        <v>169</v>
      </c>
      <c r="I174" s="37" t="str">
        <f t="shared" si="15"/>
        <v/>
      </c>
      <c r="J174" s="36">
        <f t="shared" si="19"/>
        <v>-6</v>
      </c>
      <c r="K174" s="36">
        <f t="shared" si="16"/>
        <v>-60</v>
      </c>
      <c r="L174" s="36"/>
      <c r="M174" s="38">
        <f t="shared" si="17"/>
        <v>0</v>
      </c>
      <c r="N174" s="38" t="str">
        <f t="shared" si="20"/>
        <v/>
      </c>
    </row>
    <row r="175" spans="1:14" x14ac:dyDescent="0.25">
      <c r="A175" s="57" t="str">
        <f t="shared" si="18"/>
        <v/>
      </c>
      <c r="G175" s="14"/>
      <c r="H175" s="36">
        <v>170</v>
      </c>
      <c r="I175" s="37" t="str">
        <f t="shared" si="15"/>
        <v/>
      </c>
      <c r="J175" s="36">
        <f t="shared" si="19"/>
        <v>-6</v>
      </c>
      <c r="K175" s="36">
        <f t="shared" si="16"/>
        <v>-60</v>
      </c>
      <c r="L175" s="36"/>
      <c r="M175" s="38">
        <f t="shared" si="17"/>
        <v>0</v>
      </c>
      <c r="N175" s="38" t="str">
        <f t="shared" si="20"/>
        <v/>
      </c>
    </row>
    <row r="176" spans="1:14" x14ac:dyDescent="0.25">
      <c r="A176" s="57" t="str">
        <f t="shared" si="18"/>
        <v/>
      </c>
      <c r="G176" s="14"/>
      <c r="H176" s="36">
        <v>171</v>
      </c>
      <c r="I176" s="37" t="str">
        <f t="shared" si="15"/>
        <v/>
      </c>
      <c r="J176" s="36">
        <f t="shared" si="19"/>
        <v>-6</v>
      </c>
      <c r="K176" s="36">
        <f t="shared" si="16"/>
        <v>-60</v>
      </c>
      <c r="L176" s="36"/>
      <c r="M176" s="38">
        <f t="shared" si="17"/>
        <v>0</v>
      </c>
      <c r="N176" s="38" t="str">
        <f t="shared" si="20"/>
        <v/>
      </c>
    </row>
    <row r="177" spans="1:14" x14ac:dyDescent="0.25">
      <c r="A177" s="57" t="str">
        <f t="shared" si="18"/>
        <v/>
      </c>
      <c r="G177" s="14"/>
      <c r="H177" s="36">
        <v>172</v>
      </c>
      <c r="I177" s="37" t="str">
        <f t="shared" si="15"/>
        <v/>
      </c>
      <c r="J177" s="36">
        <f t="shared" si="19"/>
        <v>-6</v>
      </c>
      <c r="K177" s="36">
        <f t="shared" si="16"/>
        <v>-60</v>
      </c>
      <c r="L177" s="36"/>
      <c r="M177" s="38">
        <f t="shared" si="17"/>
        <v>0</v>
      </c>
      <c r="N177" s="38" t="str">
        <f t="shared" si="20"/>
        <v/>
      </c>
    </row>
    <row r="178" spans="1:14" x14ac:dyDescent="0.25">
      <c r="A178" s="57" t="str">
        <f t="shared" si="18"/>
        <v/>
      </c>
      <c r="G178" s="14"/>
      <c r="H178" s="36">
        <v>173</v>
      </c>
      <c r="I178" s="37" t="str">
        <f t="shared" si="15"/>
        <v/>
      </c>
      <c r="J178" s="36">
        <f t="shared" si="19"/>
        <v>-6</v>
      </c>
      <c r="K178" s="36">
        <f t="shared" si="16"/>
        <v>-60</v>
      </c>
      <c r="L178" s="36"/>
      <c r="M178" s="38">
        <f t="shared" si="17"/>
        <v>0</v>
      </c>
      <c r="N178" s="38" t="str">
        <f t="shared" si="20"/>
        <v/>
      </c>
    </row>
    <row r="179" spans="1:14" x14ac:dyDescent="0.25">
      <c r="A179" s="57" t="str">
        <f t="shared" si="18"/>
        <v/>
      </c>
      <c r="G179" s="14"/>
      <c r="H179" s="36">
        <v>174</v>
      </c>
      <c r="I179" s="37" t="str">
        <f t="shared" si="15"/>
        <v/>
      </c>
      <c r="J179" s="36">
        <f t="shared" si="19"/>
        <v>-6</v>
      </c>
      <c r="K179" s="36">
        <f t="shared" si="16"/>
        <v>-60</v>
      </c>
      <c r="L179" s="36"/>
      <c r="M179" s="38">
        <f t="shared" si="17"/>
        <v>0</v>
      </c>
      <c r="N179" s="38" t="str">
        <f t="shared" si="20"/>
        <v/>
      </c>
    </row>
    <row r="180" spans="1:14" x14ac:dyDescent="0.25">
      <c r="A180" s="57" t="str">
        <f t="shared" si="18"/>
        <v/>
      </c>
      <c r="G180" s="14"/>
      <c r="H180" s="36">
        <v>175</v>
      </c>
      <c r="I180" s="37" t="str">
        <f t="shared" si="15"/>
        <v/>
      </c>
      <c r="J180" s="36">
        <f t="shared" si="19"/>
        <v>-6</v>
      </c>
      <c r="K180" s="36">
        <f t="shared" si="16"/>
        <v>-60</v>
      </c>
      <c r="L180" s="36"/>
      <c r="M180" s="38">
        <f t="shared" si="17"/>
        <v>0</v>
      </c>
      <c r="N180" s="38" t="str">
        <f t="shared" si="20"/>
        <v/>
      </c>
    </row>
    <row r="181" spans="1:14" x14ac:dyDescent="0.25">
      <c r="A181" s="57" t="str">
        <f t="shared" si="18"/>
        <v/>
      </c>
      <c r="G181" s="14"/>
      <c r="H181" s="36">
        <v>176</v>
      </c>
      <c r="I181" s="37" t="str">
        <f t="shared" si="15"/>
        <v/>
      </c>
      <c r="J181" s="36">
        <f t="shared" si="19"/>
        <v>-6</v>
      </c>
      <c r="K181" s="36">
        <f t="shared" si="16"/>
        <v>-60</v>
      </c>
      <c r="L181" s="36"/>
      <c r="M181" s="38">
        <f t="shared" si="17"/>
        <v>0</v>
      </c>
      <c r="N181" s="38" t="str">
        <f t="shared" si="20"/>
        <v/>
      </c>
    </row>
    <row r="182" spans="1:14" x14ac:dyDescent="0.25">
      <c r="A182" s="57" t="str">
        <f t="shared" si="18"/>
        <v/>
      </c>
      <c r="G182" s="14"/>
      <c r="H182" s="36">
        <v>177</v>
      </c>
      <c r="I182" s="37" t="str">
        <f t="shared" si="15"/>
        <v/>
      </c>
      <c r="J182" s="36">
        <f t="shared" si="19"/>
        <v>-6</v>
      </c>
      <c r="K182" s="36">
        <f t="shared" si="16"/>
        <v>-60</v>
      </c>
      <c r="L182" s="36"/>
      <c r="M182" s="38">
        <f t="shared" si="17"/>
        <v>0</v>
      </c>
      <c r="N182" s="38" t="str">
        <f t="shared" si="20"/>
        <v/>
      </c>
    </row>
    <row r="183" spans="1:14" x14ac:dyDescent="0.25">
      <c r="A183" s="57" t="str">
        <f t="shared" si="18"/>
        <v/>
      </c>
      <c r="G183" s="14"/>
      <c r="H183" s="36">
        <v>178</v>
      </c>
      <c r="I183" s="37" t="str">
        <f t="shared" si="15"/>
        <v/>
      </c>
      <c r="J183" s="36">
        <f t="shared" si="19"/>
        <v>-6</v>
      </c>
      <c r="K183" s="36">
        <f t="shared" si="16"/>
        <v>-60</v>
      </c>
      <c r="L183" s="36"/>
      <c r="M183" s="38">
        <f t="shared" si="17"/>
        <v>0</v>
      </c>
      <c r="N183" s="38" t="str">
        <f t="shared" si="20"/>
        <v/>
      </c>
    </row>
    <row r="184" spans="1:14" x14ac:dyDescent="0.25">
      <c r="A184" s="57" t="str">
        <f t="shared" si="18"/>
        <v/>
      </c>
      <c r="G184" s="14"/>
      <c r="H184" s="36">
        <v>179</v>
      </c>
      <c r="I184" s="37" t="str">
        <f t="shared" si="15"/>
        <v/>
      </c>
      <c r="J184" s="36">
        <f t="shared" si="19"/>
        <v>-6</v>
      </c>
      <c r="K184" s="36">
        <f t="shared" si="16"/>
        <v>-60</v>
      </c>
      <c r="L184" s="36"/>
      <c r="M184" s="38">
        <f t="shared" si="17"/>
        <v>0</v>
      </c>
      <c r="N184" s="38" t="str">
        <f t="shared" si="20"/>
        <v/>
      </c>
    </row>
    <row r="185" spans="1:14" x14ac:dyDescent="0.25">
      <c r="A185" s="57" t="str">
        <f t="shared" si="18"/>
        <v/>
      </c>
      <c r="G185" s="14"/>
      <c r="H185" s="36">
        <v>180</v>
      </c>
      <c r="I185" s="37" t="str">
        <f t="shared" si="15"/>
        <v/>
      </c>
      <c r="J185" s="36">
        <f t="shared" si="19"/>
        <v>-6</v>
      </c>
      <c r="K185" s="36">
        <f t="shared" si="16"/>
        <v>-60</v>
      </c>
      <c r="L185" s="36"/>
      <c r="M185" s="38">
        <f t="shared" si="17"/>
        <v>0</v>
      </c>
      <c r="N185" s="38" t="str">
        <f t="shared" si="20"/>
        <v/>
      </c>
    </row>
    <row r="186" spans="1:14" x14ac:dyDescent="0.25">
      <c r="A186" s="57" t="str">
        <f t="shared" si="18"/>
        <v/>
      </c>
      <c r="G186" s="14"/>
      <c r="H186" s="36">
        <v>181</v>
      </c>
      <c r="I186" s="37" t="str">
        <f t="shared" si="15"/>
        <v/>
      </c>
      <c r="J186" s="36">
        <f t="shared" si="19"/>
        <v>-6</v>
      </c>
      <c r="K186" s="36">
        <f t="shared" si="16"/>
        <v>-60</v>
      </c>
      <c r="L186" s="36"/>
      <c r="M186" s="38">
        <f t="shared" si="17"/>
        <v>0</v>
      </c>
      <c r="N186" s="38" t="str">
        <f t="shared" si="20"/>
        <v/>
      </c>
    </row>
    <row r="187" spans="1:14" x14ac:dyDescent="0.25">
      <c r="A187" s="57" t="str">
        <f t="shared" si="18"/>
        <v/>
      </c>
      <c r="G187" s="14"/>
      <c r="H187" s="36">
        <v>182</v>
      </c>
      <c r="I187" s="37" t="str">
        <f t="shared" si="15"/>
        <v/>
      </c>
      <c r="J187" s="36">
        <f t="shared" si="19"/>
        <v>-6</v>
      </c>
      <c r="K187" s="36">
        <f t="shared" si="16"/>
        <v>-60</v>
      </c>
      <c r="L187" s="36"/>
      <c r="M187" s="38">
        <f t="shared" si="17"/>
        <v>0</v>
      </c>
      <c r="N187" s="38" t="str">
        <f t="shared" si="20"/>
        <v/>
      </c>
    </row>
    <row r="188" spans="1:14" x14ac:dyDescent="0.25">
      <c r="A188" s="57" t="str">
        <f t="shared" si="18"/>
        <v/>
      </c>
      <c r="G188" s="14"/>
      <c r="H188" s="36">
        <v>183</v>
      </c>
      <c r="I188" s="37" t="str">
        <f t="shared" si="15"/>
        <v/>
      </c>
      <c r="J188" s="36">
        <f t="shared" si="19"/>
        <v>-6</v>
      </c>
      <c r="K188" s="36">
        <f t="shared" si="16"/>
        <v>-60</v>
      </c>
      <c r="L188" s="36"/>
      <c r="M188" s="38">
        <f t="shared" si="17"/>
        <v>0</v>
      </c>
      <c r="N188" s="38" t="str">
        <f t="shared" si="20"/>
        <v/>
      </c>
    </row>
    <row r="189" spans="1:14" x14ac:dyDescent="0.25">
      <c r="A189" s="57" t="str">
        <f t="shared" si="18"/>
        <v/>
      </c>
      <c r="G189" s="14"/>
      <c r="H189" s="36">
        <v>184</v>
      </c>
      <c r="I189" s="37" t="str">
        <f t="shared" si="15"/>
        <v/>
      </c>
      <c r="J189" s="36">
        <f t="shared" si="19"/>
        <v>-6</v>
      </c>
      <c r="K189" s="36">
        <f t="shared" si="16"/>
        <v>-60</v>
      </c>
      <c r="L189" s="36"/>
      <c r="M189" s="38">
        <f t="shared" si="17"/>
        <v>0</v>
      </c>
      <c r="N189" s="38" t="str">
        <f t="shared" si="20"/>
        <v/>
      </c>
    </row>
    <row r="190" spans="1:14" x14ac:dyDescent="0.25">
      <c r="A190" s="57" t="str">
        <f t="shared" si="18"/>
        <v/>
      </c>
      <c r="G190" s="14"/>
      <c r="H190" s="36">
        <v>185</v>
      </c>
      <c r="I190" s="37" t="str">
        <f t="shared" si="15"/>
        <v/>
      </c>
      <c r="J190" s="36">
        <f t="shared" si="19"/>
        <v>-6</v>
      </c>
      <c r="K190" s="36">
        <f t="shared" si="16"/>
        <v>-60</v>
      </c>
      <c r="L190" s="36"/>
      <c r="M190" s="38">
        <f t="shared" si="17"/>
        <v>0</v>
      </c>
      <c r="N190" s="38" t="str">
        <f t="shared" si="20"/>
        <v/>
      </c>
    </row>
    <row r="191" spans="1:14" x14ac:dyDescent="0.25">
      <c r="A191" s="57" t="str">
        <f t="shared" si="18"/>
        <v/>
      </c>
      <c r="G191" s="14"/>
      <c r="H191" s="36">
        <v>186</v>
      </c>
      <c r="I191" s="37" t="str">
        <f t="shared" si="15"/>
        <v/>
      </c>
      <c r="J191" s="36">
        <f t="shared" si="19"/>
        <v>-6</v>
      </c>
      <c r="K191" s="36">
        <f t="shared" si="16"/>
        <v>-60</v>
      </c>
      <c r="L191" s="36"/>
      <c r="M191" s="38">
        <f t="shared" si="17"/>
        <v>0</v>
      </c>
      <c r="N191" s="38" t="str">
        <f t="shared" si="20"/>
        <v/>
      </c>
    </row>
    <row r="192" spans="1:14" x14ac:dyDescent="0.25">
      <c r="A192" s="57" t="str">
        <f t="shared" si="18"/>
        <v/>
      </c>
      <c r="G192" s="14"/>
      <c r="H192" s="36">
        <v>187</v>
      </c>
      <c r="I192" s="37" t="str">
        <f t="shared" si="15"/>
        <v/>
      </c>
      <c r="J192" s="36">
        <f t="shared" si="19"/>
        <v>-6</v>
      </c>
      <c r="K192" s="36">
        <f t="shared" si="16"/>
        <v>-60</v>
      </c>
      <c r="L192" s="36"/>
      <c r="M192" s="38">
        <f t="shared" si="17"/>
        <v>0</v>
      </c>
      <c r="N192" s="38" t="str">
        <f t="shared" si="20"/>
        <v/>
      </c>
    </row>
    <row r="193" spans="1:14" x14ac:dyDescent="0.25">
      <c r="A193" s="57" t="str">
        <f t="shared" si="18"/>
        <v/>
      </c>
      <c r="G193" s="14"/>
      <c r="H193" s="36">
        <v>188</v>
      </c>
      <c r="I193" s="37" t="str">
        <f t="shared" si="15"/>
        <v/>
      </c>
      <c r="J193" s="36">
        <f t="shared" si="19"/>
        <v>-6</v>
      </c>
      <c r="K193" s="36">
        <f t="shared" si="16"/>
        <v>-60</v>
      </c>
      <c r="L193" s="36"/>
      <c r="M193" s="38">
        <f t="shared" si="17"/>
        <v>0</v>
      </c>
      <c r="N193" s="38" t="str">
        <f t="shared" si="20"/>
        <v/>
      </c>
    </row>
    <row r="194" spans="1:14" x14ac:dyDescent="0.25">
      <c r="A194" s="57" t="str">
        <f t="shared" si="18"/>
        <v/>
      </c>
      <c r="G194" s="14"/>
      <c r="H194" s="36">
        <v>189</v>
      </c>
      <c r="I194" s="37" t="str">
        <f t="shared" si="15"/>
        <v/>
      </c>
      <c r="J194" s="36">
        <f t="shared" si="19"/>
        <v>-6</v>
      </c>
      <c r="K194" s="36">
        <f t="shared" si="16"/>
        <v>-60</v>
      </c>
      <c r="L194" s="36"/>
      <c r="M194" s="38">
        <f t="shared" si="17"/>
        <v>0</v>
      </c>
      <c r="N194" s="38" t="str">
        <f t="shared" si="20"/>
        <v/>
      </c>
    </row>
    <row r="195" spans="1:14" x14ac:dyDescent="0.25">
      <c r="A195" s="57" t="str">
        <f t="shared" si="18"/>
        <v/>
      </c>
      <c r="G195" s="14"/>
      <c r="H195" s="36">
        <v>190</v>
      </c>
      <c r="I195" s="37" t="str">
        <f t="shared" si="15"/>
        <v/>
      </c>
      <c r="J195" s="36">
        <f t="shared" si="19"/>
        <v>-6</v>
      </c>
      <c r="K195" s="36">
        <f t="shared" si="16"/>
        <v>-60</v>
      </c>
      <c r="L195" s="36"/>
      <c r="M195" s="38">
        <f t="shared" si="17"/>
        <v>0</v>
      </c>
      <c r="N195" s="38" t="str">
        <f t="shared" si="20"/>
        <v/>
      </c>
    </row>
    <row r="196" spans="1:14" x14ac:dyDescent="0.25">
      <c r="A196" s="57" t="str">
        <f t="shared" si="18"/>
        <v/>
      </c>
      <c r="G196" s="14"/>
      <c r="H196" s="36">
        <v>191</v>
      </c>
      <c r="I196" s="37" t="str">
        <f t="shared" si="15"/>
        <v/>
      </c>
      <c r="J196" s="36">
        <f t="shared" si="19"/>
        <v>-6</v>
      </c>
      <c r="K196" s="36">
        <f t="shared" si="16"/>
        <v>-60</v>
      </c>
      <c r="L196" s="36"/>
      <c r="M196" s="38">
        <f t="shared" si="17"/>
        <v>0</v>
      </c>
      <c r="N196" s="38" t="str">
        <f t="shared" si="20"/>
        <v/>
      </c>
    </row>
    <row r="197" spans="1:14" x14ac:dyDescent="0.25">
      <c r="A197" s="57" t="str">
        <f t="shared" si="18"/>
        <v/>
      </c>
      <c r="G197" s="14"/>
      <c r="H197" s="36">
        <v>192</v>
      </c>
      <c r="I197" s="37" t="str">
        <f t="shared" si="15"/>
        <v/>
      </c>
      <c r="J197" s="36">
        <f t="shared" si="19"/>
        <v>-6</v>
      </c>
      <c r="K197" s="36">
        <f t="shared" si="16"/>
        <v>-60</v>
      </c>
      <c r="L197" s="36"/>
      <c r="M197" s="38">
        <f t="shared" si="17"/>
        <v>0</v>
      </c>
      <c r="N197" s="38" t="str">
        <f t="shared" si="20"/>
        <v/>
      </c>
    </row>
    <row r="198" spans="1:14" x14ac:dyDescent="0.25">
      <c r="A198" s="57" t="str">
        <f t="shared" si="18"/>
        <v/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19"/>
        <v>-6</v>
      </c>
      <c r="K198" s="36">
        <f t="shared" ref="K198:K261" si="22">J198*$J$2</f>
        <v>-60</v>
      </c>
      <c r="L198" s="36"/>
      <c r="M198" s="38">
        <f t="shared" ref="M198:M261" si="23">IF(I198&lt;&gt;"",K198+I198+L198,0)</f>
        <v>0</v>
      </c>
      <c r="N198" s="38" t="str">
        <f t="shared" si="20"/>
        <v/>
      </c>
    </row>
    <row r="199" spans="1:14" x14ac:dyDescent="0.25">
      <c r="A199" s="57" t="str">
        <f t="shared" ref="A199:A262" si="24">N199</f>
        <v/>
      </c>
      <c r="G199" s="14"/>
      <c r="H199" s="36">
        <v>194</v>
      </c>
      <c r="I199" s="37" t="str">
        <f t="shared" si="21"/>
        <v/>
      </c>
      <c r="J199" s="36">
        <f t="shared" ref="J199:J262" si="25">INT(LOG($H$2,2))-ROUNDUP(LOG(H199,2),0)+IF(OR($H$2=1,$H$2=2,$H$2=4,$H$2=8,$H$2=16,$H$2=32,$H$2=64,$H$2=128,$H$2=256),0,1)</f>
        <v>-6</v>
      </c>
      <c r="K199" s="36">
        <f t="shared" si="22"/>
        <v>-60</v>
      </c>
      <c r="L199" s="36"/>
      <c r="M199" s="38">
        <f t="shared" si="23"/>
        <v>0</v>
      </c>
      <c r="N199" s="38" t="str">
        <f t="shared" ref="N199:N262" si="26">IF(I199&lt;&gt;"",M199*L$2,"")</f>
        <v/>
      </c>
    </row>
    <row r="200" spans="1:14" x14ac:dyDescent="0.25">
      <c r="A200" s="57" t="str">
        <f t="shared" si="24"/>
        <v/>
      </c>
      <c r="G200" s="14"/>
      <c r="H200" s="36">
        <v>195</v>
      </c>
      <c r="I200" s="37" t="str">
        <f t="shared" si="21"/>
        <v/>
      </c>
      <c r="J200" s="36">
        <f t="shared" si="25"/>
        <v>-6</v>
      </c>
      <c r="K200" s="36">
        <f t="shared" si="22"/>
        <v>-60</v>
      </c>
      <c r="L200" s="36"/>
      <c r="M200" s="38">
        <f t="shared" si="23"/>
        <v>0</v>
      </c>
      <c r="N200" s="38" t="str">
        <f t="shared" si="26"/>
        <v/>
      </c>
    </row>
    <row r="201" spans="1:14" x14ac:dyDescent="0.25">
      <c r="A201" s="57" t="str">
        <f t="shared" si="24"/>
        <v/>
      </c>
      <c r="G201" s="14"/>
      <c r="H201" s="36">
        <v>196</v>
      </c>
      <c r="I201" s="37" t="str">
        <f t="shared" si="21"/>
        <v/>
      </c>
      <c r="J201" s="36">
        <f t="shared" si="25"/>
        <v>-6</v>
      </c>
      <c r="K201" s="36">
        <f t="shared" si="22"/>
        <v>-60</v>
      </c>
      <c r="L201" s="36"/>
      <c r="M201" s="38">
        <f t="shared" si="23"/>
        <v>0</v>
      </c>
      <c r="N201" s="38" t="str">
        <f t="shared" si="26"/>
        <v/>
      </c>
    </row>
    <row r="202" spans="1:14" x14ac:dyDescent="0.25">
      <c r="A202" s="57" t="str">
        <f t="shared" si="24"/>
        <v/>
      </c>
      <c r="G202" s="14"/>
      <c r="H202" s="36">
        <v>197</v>
      </c>
      <c r="I202" s="37" t="str">
        <f t="shared" si="21"/>
        <v/>
      </c>
      <c r="J202" s="36">
        <f t="shared" si="25"/>
        <v>-6</v>
      </c>
      <c r="K202" s="36">
        <f t="shared" si="22"/>
        <v>-60</v>
      </c>
      <c r="L202" s="36"/>
      <c r="M202" s="38">
        <f t="shared" si="23"/>
        <v>0</v>
      </c>
      <c r="N202" s="38" t="str">
        <f t="shared" si="26"/>
        <v/>
      </c>
    </row>
    <row r="203" spans="1:14" x14ac:dyDescent="0.25">
      <c r="A203" s="57" t="str">
        <f t="shared" si="24"/>
        <v/>
      </c>
      <c r="G203" s="14"/>
      <c r="H203" s="36">
        <v>198</v>
      </c>
      <c r="I203" s="37" t="str">
        <f t="shared" si="21"/>
        <v/>
      </c>
      <c r="J203" s="36">
        <f t="shared" si="25"/>
        <v>-6</v>
      </c>
      <c r="K203" s="36">
        <f t="shared" si="22"/>
        <v>-60</v>
      </c>
      <c r="L203" s="36"/>
      <c r="M203" s="38">
        <f t="shared" si="23"/>
        <v>0</v>
      </c>
      <c r="N203" s="38" t="str">
        <f t="shared" si="26"/>
        <v/>
      </c>
    </row>
    <row r="204" spans="1:14" x14ac:dyDescent="0.25">
      <c r="A204" s="57" t="str">
        <f t="shared" si="24"/>
        <v/>
      </c>
      <c r="G204" s="14"/>
      <c r="H204" s="36">
        <v>199</v>
      </c>
      <c r="I204" s="37" t="str">
        <f t="shared" si="21"/>
        <v/>
      </c>
      <c r="J204" s="36">
        <f t="shared" si="25"/>
        <v>-6</v>
      </c>
      <c r="K204" s="36">
        <f t="shared" si="22"/>
        <v>-60</v>
      </c>
      <c r="L204" s="36"/>
      <c r="M204" s="38">
        <f t="shared" si="23"/>
        <v>0</v>
      </c>
      <c r="N204" s="38" t="str">
        <f t="shared" si="26"/>
        <v/>
      </c>
    </row>
    <row r="205" spans="1:14" x14ac:dyDescent="0.25">
      <c r="A205" s="57" t="str">
        <f t="shared" si="24"/>
        <v/>
      </c>
      <c r="G205" s="14"/>
      <c r="H205" s="36">
        <v>200</v>
      </c>
      <c r="I205" s="37" t="str">
        <f t="shared" si="21"/>
        <v/>
      </c>
      <c r="J205" s="36">
        <f t="shared" si="25"/>
        <v>-6</v>
      </c>
      <c r="K205" s="36">
        <f t="shared" si="22"/>
        <v>-60</v>
      </c>
      <c r="L205" s="36"/>
      <c r="M205" s="38">
        <f t="shared" si="23"/>
        <v>0</v>
      </c>
      <c r="N205" s="38" t="str">
        <f t="shared" si="26"/>
        <v/>
      </c>
    </row>
    <row r="206" spans="1:14" x14ac:dyDescent="0.25">
      <c r="A206" s="57" t="str">
        <f t="shared" si="24"/>
        <v/>
      </c>
      <c r="G206" s="14"/>
      <c r="H206" s="36">
        <v>201</v>
      </c>
      <c r="I206" s="37" t="str">
        <f t="shared" si="21"/>
        <v/>
      </c>
      <c r="J206" s="36">
        <f t="shared" si="25"/>
        <v>-6</v>
      </c>
      <c r="K206" s="36">
        <f t="shared" si="22"/>
        <v>-60</v>
      </c>
      <c r="L206" s="36"/>
      <c r="M206" s="38">
        <f t="shared" si="23"/>
        <v>0</v>
      </c>
      <c r="N206" s="38" t="str">
        <f t="shared" si="26"/>
        <v/>
      </c>
    </row>
    <row r="207" spans="1:14" x14ac:dyDescent="0.25">
      <c r="A207" s="57" t="str">
        <f t="shared" si="24"/>
        <v/>
      </c>
      <c r="G207" s="14"/>
      <c r="H207" s="36">
        <v>202</v>
      </c>
      <c r="I207" s="37" t="str">
        <f t="shared" si="21"/>
        <v/>
      </c>
      <c r="J207" s="36">
        <f t="shared" si="25"/>
        <v>-6</v>
      </c>
      <c r="K207" s="36">
        <f t="shared" si="22"/>
        <v>-60</v>
      </c>
      <c r="L207" s="36"/>
      <c r="M207" s="38">
        <f t="shared" si="23"/>
        <v>0</v>
      </c>
      <c r="N207" s="38" t="str">
        <f t="shared" si="26"/>
        <v/>
      </c>
    </row>
    <row r="208" spans="1:14" x14ac:dyDescent="0.25">
      <c r="A208" s="57" t="str">
        <f t="shared" si="24"/>
        <v/>
      </c>
      <c r="G208" s="14"/>
      <c r="H208" s="36">
        <v>203</v>
      </c>
      <c r="I208" s="37" t="str">
        <f t="shared" si="21"/>
        <v/>
      </c>
      <c r="J208" s="36">
        <f t="shared" si="25"/>
        <v>-6</v>
      </c>
      <c r="K208" s="36">
        <f t="shared" si="22"/>
        <v>-60</v>
      </c>
      <c r="L208" s="36"/>
      <c r="M208" s="38">
        <f t="shared" si="23"/>
        <v>0</v>
      </c>
      <c r="N208" s="38" t="str">
        <f t="shared" si="26"/>
        <v/>
      </c>
    </row>
    <row r="209" spans="1:14" x14ac:dyDescent="0.25">
      <c r="A209" s="57" t="str">
        <f t="shared" si="24"/>
        <v/>
      </c>
      <c r="G209" s="14"/>
      <c r="H209" s="36">
        <v>204</v>
      </c>
      <c r="I209" s="37" t="str">
        <f t="shared" si="21"/>
        <v/>
      </c>
      <c r="J209" s="36">
        <f t="shared" si="25"/>
        <v>-6</v>
      </c>
      <c r="K209" s="36">
        <f t="shared" si="22"/>
        <v>-60</v>
      </c>
      <c r="L209" s="36"/>
      <c r="M209" s="38">
        <f t="shared" si="23"/>
        <v>0</v>
      </c>
      <c r="N209" s="38" t="str">
        <f t="shared" si="26"/>
        <v/>
      </c>
    </row>
    <row r="210" spans="1:14" x14ac:dyDescent="0.25">
      <c r="A210" s="57" t="str">
        <f t="shared" si="24"/>
        <v/>
      </c>
      <c r="G210" s="14"/>
      <c r="H210" s="36">
        <v>205</v>
      </c>
      <c r="I210" s="37" t="str">
        <f t="shared" si="21"/>
        <v/>
      </c>
      <c r="J210" s="36">
        <f t="shared" si="25"/>
        <v>-6</v>
      </c>
      <c r="K210" s="36">
        <f t="shared" si="22"/>
        <v>-60</v>
      </c>
      <c r="L210" s="36"/>
      <c r="M210" s="38">
        <f t="shared" si="23"/>
        <v>0</v>
      </c>
      <c r="N210" s="38" t="str">
        <f t="shared" si="26"/>
        <v/>
      </c>
    </row>
    <row r="211" spans="1:14" x14ac:dyDescent="0.25">
      <c r="A211" s="57" t="str">
        <f t="shared" si="24"/>
        <v/>
      </c>
      <c r="G211" s="14"/>
      <c r="H211" s="36">
        <v>206</v>
      </c>
      <c r="I211" s="37" t="str">
        <f t="shared" si="21"/>
        <v/>
      </c>
      <c r="J211" s="36">
        <f t="shared" si="25"/>
        <v>-6</v>
      </c>
      <c r="K211" s="36">
        <f t="shared" si="22"/>
        <v>-60</v>
      </c>
      <c r="L211" s="36"/>
      <c r="M211" s="38">
        <f t="shared" si="23"/>
        <v>0</v>
      </c>
      <c r="N211" s="38" t="str">
        <f t="shared" si="26"/>
        <v/>
      </c>
    </row>
    <row r="212" spans="1:14" x14ac:dyDescent="0.25">
      <c r="A212" s="57" t="str">
        <f t="shared" si="24"/>
        <v/>
      </c>
      <c r="G212" s="14"/>
      <c r="H212" s="36">
        <v>207</v>
      </c>
      <c r="I212" s="37" t="str">
        <f t="shared" si="21"/>
        <v/>
      </c>
      <c r="J212" s="36">
        <f t="shared" si="25"/>
        <v>-6</v>
      </c>
      <c r="K212" s="36">
        <f t="shared" si="22"/>
        <v>-60</v>
      </c>
      <c r="L212" s="36"/>
      <c r="M212" s="38">
        <f t="shared" si="23"/>
        <v>0</v>
      </c>
      <c r="N212" s="38" t="str">
        <f t="shared" si="26"/>
        <v/>
      </c>
    </row>
    <row r="213" spans="1:14" x14ac:dyDescent="0.25">
      <c r="A213" s="57" t="str">
        <f t="shared" si="24"/>
        <v/>
      </c>
      <c r="G213" s="14"/>
      <c r="H213" s="36">
        <v>208</v>
      </c>
      <c r="I213" s="37" t="str">
        <f t="shared" si="21"/>
        <v/>
      </c>
      <c r="J213" s="36">
        <f t="shared" si="25"/>
        <v>-6</v>
      </c>
      <c r="K213" s="36">
        <f t="shared" si="22"/>
        <v>-60</v>
      </c>
      <c r="L213" s="36"/>
      <c r="M213" s="38">
        <f t="shared" si="23"/>
        <v>0</v>
      </c>
      <c r="N213" s="38" t="str">
        <f t="shared" si="26"/>
        <v/>
      </c>
    </row>
    <row r="214" spans="1:14" x14ac:dyDescent="0.25">
      <c r="A214" s="57" t="str">
        <f t="shared" si="24"/>
        <v/>
      </c>
      <c r="G214" s="14"/>
      <c r="H214" s="36">
        <v>209</v>
      </c>
      <c r="I214" s="37" t="str">
        <f t="shared" si="21"/>
        <v/>
      </c>
      <c r="J214" s="36">
        <f t="shared" si="25"/>
        <v>-6</v>
      </c>
      <c r="K214" s="36">
        <f t="shared" si="22"/>
        <v>-60</v>
      </c>
      <c r="L214" s="36"/>
      <c r="M214" s="38">
        <f t="shared" si="23"/>
        <v>0</v>
      </c>
      <c r="N214" s="38" t="str">
        <f t="shared" si="26"/>
        <v/>
      </c>
    </row>
    <row r="215" spans="1:14" x14ac:dyDescent="0.25">
      <c r="A215" s="57" t="str">
        <f t="shared" si="24"/>
        <v/>
      </c>
      <c r="G215" s="14"/>
      <c r="H215" s="36">
        <v>210</v>
      </c>
      <c r="I215" s="37" t="str">
        <f t="shared" si="21"/>
        <v/>
      </c>
      <c r="J215" s="36">
        <f t="shared" si="25"/>
        <v>-6</v>
      </c>
      <c r="K215" s="36">
        <f t="shared" si="22"/>
        <v>-60</v>
      </c>
      <c r="L215" s="36"/>
      <c r="M215" s="38">
        <f t="shared" si="23"/>
        <v>0</v>
      </c>
      <c r="N215" s="38" t="str">
        <f t="shared" si="26"/>
        <v/>
      </c>
    </row>
    <row r="216" spans="1:14" x14ac:dyDescent="0.25">
      <c r="A216" s="57" t="str">
        <f t="shared" si="24"/>
        <v/>
      </c>
      <c r="G216" s="14"/>
      <c r="H216" s="36">
        <v>211</v>
      </c>
      <c r="I216" s="37" t="str">
        <f t="shared" si="21"/>
        <v/>
      </c>
      <c r="J216" s="36">
        <f t="shared" si="25"/>
        <v>-6</v>
      </c>
      <c r="K216" s="36">
        <f t="shared" si="22"/>
        <v>-60</v>
      </c>
      <c r="L216" s="36"/>
      <c r="M216" s="38">
        <f t="shared" si="23"/>
        <v>0</v>
      </c>
      <c r="N216" s="38" t="str">
        <f t="shared" si="26"/>
        <v/>
      </c>
    </row>
    <row r="217" spans="1:14" x14ac:dyDescent="0.25">
      <c r="A217" s="57" t="str">
        <f t="shared" si="24"/>
        <v/>
      </c>
      <c r="G217" s="14"/>
      <c r="H217" s="36">
        <v>212</v>
      </c>
      <c r="I217" s="37" t="str">
        <f t="shared" si="21"/>
        <v/>
      </c>
      <c r="J217" s="36">
        <f t="shared" si="25"/>
        <v>-6</v>
      </c>
      <c r="K217" s="36">
        <f t="shared" si="22"/>
        <v>-60</v>
      </c>
      <c r="L217" s="36"/>
      <c r="M217" s="38">
        <f t="shared" si="23"/>
        <v>0</v>
      </c>
      <c r="N217" s="38" t="str">
        <f t="shared" si="26"/>
        <v/>
      </c>
    </row>
    <row r="218" spans="1:14" x14ac:dyDescent="0.25">
      <c r="A218" s="57" t="str">
        <f t="shared" si="24"/>
        <v/>
      </c>
      <c r="G218" s="14"/>
      <c r="H218" s="36">
        <v>213</v>
      </c>
      <c r="I218" s="37" t="str">
        <f t="shared" si="21"/>
        <v/>
      </c>
      <c r="J218" s="36">
        <f t="shared" si="25"/>
        <v>-6</v>
      </c>
      <c r="K218" s="36">
        <f t="shared" si="22"/>
        <v>-60</v>
      </c>
      <c r="L218" s="36"/>
      <c r="M218" s="38">
        <f t="shared" si="23"/>
        <v>0</v>
      </c>
      <c r="N218" s="38" t="str">
        <f t="shared" si="26"/>
        <v/>
      </c>
    </row>
    <row r="219" spans="1:14" x14ac:dyDescent="0.25">
      <c r="A219" s="57" t="str">
        <f t="shared" si="24"/>
        <v/>
      </c>
      <c r="G219" s="14"/>
      <c r="H219" s="36">
        <v>214</v>
      </c>
      <c r="I219" s="37" t="str">
        <f t="shared" si="21"/>
        <v/>
      </c>
      <c r="J219" s="36">
        <f t="shared" si="25"/>
        <v>-6</v>
      </c>
      <c r="K219" s="36">
        <f t="shared" si="22"/>
        <v>-60</v>
      </c>
      <c r="L219" s="36"/>
      <c r="M219" s="38">
        <f t="shared" si="23"/>
        <v>0</v>
      </c>
      <c r="N219" s="38" t="str">
        <f t="shared" si="26"/>
        <v/>
      </c>
    </row>
    <row r="220" spans="1:14" x14ac:dyDescent="0.25">
      <c r="A220" s="57" t="str">
        <f t="shared" si="24"/>
        <v/>
      </c>
      <c r="G220" s="14"/>
      <c r="H220" s="36">
        <v>215</v>
      </c>
      <c r="I220" s="37" t="str">
        <f t="shared" si="21"/>
        <v/>
      </c>
      <c r="J220" s="36">
        <f t="shared" si="25"/>
        <v>-6</v>
      </c>
      <c r="K220" s="36">
        <f t="shared" si="22"/>
        <v>-60</v>
      </c>
      <c r="L220" s="36"/>
      <c r="M220" s="38">
        <f t="shared" si="23"/>
        <v>0</v>
      </c>
      <c r="N220" s="38" t="str">
        <f t="shared" si="26"/>
        <v/>
      </c>
    </row>
    <row r="221" spans="1:14" x14ac:dyDescent="0.25">
      <c r="A221" s="57" t="str">
        <f t="shared" si="24"/>
        <v/>
      </c>
      <c r="G221" s="14"/>
      <c r="H221" s="36">
        <v>216</v>
      </c>
      <c r="I221" s="37" t="str">
        <f t="shared" si="21"/>
        <v/>
      </c>
      <c r="J221" s="36">
        <f t="shared" si="25"/>
        <v>-6</v>
      </c>
      <c r="K221" s="36">
        <f t="shared" si="22"/>
        <v>-60</v>
      </c>
      <c r="L221" s="36"/>
      <c r="M221" s="38">
        <f t="shared" si="23"/>
        <v>0</v>
      </c>
      <c r="N221" s="38" t="str">
        <f t="shared" si="26"/>
        <v/>
      </c>
    </row>
    <row r="222" spans="1:14" x14ac:dyDescent="0.25">
      <c r="A222" s="57" t="str">
        <f t="shared" si="24"/>
        <v/>
      </c>
      <c r="G222" s="14"/>
      <c r="H222" s="36">
        <v>217</v>
      </c>
      <c r="I222" s="37" t="str">
        <f t="shared" si="21"/>
        <v/>
      </c>
      <c r="J222" s="36">
        <f t="shared" si="25"/>
        <v>-6</v>
      </c>
      <c r="K222" s="36">
        <f t="shared" si="22"/>
        <v>-60</v>
      </c>
      <c r="L222" s="36"/>
      <c r="M222" s="38">
        <f t="shared" si="23"/>
        <v>0</v>
      </c>
      <c r="N222" s="38" t="str">
        <f t="shared" si="26"/>
        <v/>
      </c>
    </row>
    <row r="223" spans="1:14" x14ac:dyDescent="0.25">
      <c r="A223" s="57" t="str">
        <f t="shared" si="24"/>
        <v/>
      </c>
      <c r="G223" s="14"/>
      <c r="H223" s="36">
        <v>218</v>
      </c>
      <c r="I223" s="37" t="str">
        <f t="shared" si="21"/>
        <v/>
      </c>
      <c r="J223" s="36">
        <f t="shared" si="25"/>
        <v>-6</v>
      </c>
      <c r="K223" s="36">
        <f t="shared" si="22"/>
        <v>-60</v>
      </c>
      <c r="L223" s="36"/>
      <c r="M223" s="38">
        <f t="shared" si="23"/>
        <v>0</v>
      </c>
      <c r="N223" s="38" t="str">
        <f t="shared" si="26"/>
        <v/>
      </c>
    </row>
    <row r="224" spans="1:14" x14ac:dyDescent="0.25">
      <c r="A224" s="57" t="str">
        <f t="shared" si="24"/>
        <v/>
      </c>
      <c r="G224" s="14"/>
      <c r="H224" s="36">
        <v>219</v>
      </c>
      <c r="I224" s="37" t="str">
        <f t="shared" si="21"/>
        <v/>
      </c>
      <c r="J224" s="36">
        <f t="shared" si="25"/>
        <v>-6</v>
      </c>
      <c r="K224" s="36">
        <f t="shared" si="22"/>
        <v>-60</v>
      </c>
      <c r="L224" s="36"/>
      <c r="M224" s="38">
        <f t="shared" si="23"/>
        <v>0</v>
      </c>
      <c r="N224" s="38" t="str">
        <f t="shared" si="26"/>
        <v/>
      </c>
    </row>
    <row r="225" spans="1:14" x14ac:dyDescent="0.25">
      <c r="A225" s="57" t="str">
        <f t="shared" si="24"/>
        <v/>
      </c>
      <c r="G225" s="14"/>
      <c r="H225" s="36">
        <v>220</v>
      </c>
      <c r="I225" s="37" t="str">
        <f t="shared" si="21"/>
        <v/>
      </c>
      <c r="J225" s="36">
        <f t="shared" si="25"/>
        <v>-6</v>
      </c>
      <c r="K225" s="36">
        <f t="shared" si="22"/>
        <v>-60</v>
      </c>
      <c r="L225" s="36"/>
      <c r="M225" s="38">
        <f t="shared" si="23"/>
        <v>0</v>
      </c>
      <c r="N225" s="38" t="str">
        <f t="shared" si="26"/>
        <v/>
      </c>
    </row>
    <row r="226" spans="1:14" x14ac:dyDescent="0.25">
      <c r="A226" s="57" t="str">
        <f t="shared" si="24"/>
        <v/>
      </c>
      <c r="G226" s="14"/>
      <c r="H226" s="36">
        <v>221</v>
      </c>
      <c r="I226" s="37" t="str">
        <f t="shared" si="21"/>
        <v/>
      </c>
      <c r="J226" s="36">
        <f t="shared" si="25"/>
        <v>-6</v>
      </c>
      <c r="K226" s="36">
        <f t="shared" si="22"/>
        <v>-60</v>
      </c>
      <c r="L226" s="36"/>
      <c r="M226" s="38">
        <f t="shared" si="23"/>
        <v>0</v>
      </c>
      <c r="N226" s="38" t="str">
        <f t="shared" si="26"/>
        <v/>
      </c>
    </row>
    <row r="227" spans="1:14" x14ac:dyDescent="0.25">
      <c r="A227" s="57" t="str">
        <f t="shared" si="24"/>
        <v/>
      </c>
      <c r="G227" s="14"/>
      <c r="H227" s="36">
        <v>222</v>
      </c>
      <c r="I227" s="37" t="str">
        <f t="shared" si="21"/>
        <v/>
      </c>
      <c r="J227" s="36">
        <f t="shared" si="25"/>
        <v>-6</v>
      </c>
      <c r="K227" s="36">
        <f t="shared" si="22"/>
        <v>-60</v>
      </c>
      <c r="L227" s="36"/>
      <c r="M227" s="38">
        <f t="shared" si="23"/>
        <v>0</v>
      </c>
      <c r="N227" s="38" t="str">
        <f t="shared" si="26"/>
        <v/>
      </c>
    </row>
    <row r="228" spans="1:14" x14ac:dyDescent="0.25">
      <c r="A228" s="57" t="str">
        <f t="shared" si="24"/>
        <v/>
      </c>
      <c r="G228" s="14"/>
      <c r="H228" s="36">
        <v>223</v>
      </c>
      <c r="I228" s="37" t="str">
        <f t="shared" si="21"/>
        <v/>
      </c>
      <c r="J228" s="36">
        <f t="shared" si="25"/>
        <v>-6</v>
      </c>
      <c r="K228" s="36">
        <f t="shared" si="22"/>
        <v>-60</v>
      </c>
      <c r="L228" s="36"/>
      <c r="M228" s="38">
        <f t="shared" si="23"/>
        <v>0</v>
      </c>
      <c r="N228" s="38" t="str">
        <f t="shared" si="26"/>
        <v/>
      </c>
    </row>
    <row r="229" spans="1:14" x14ac:dyDescent="0.25">
      <c r="A229" s="57" t="str">
        <f t="shared" si="24"/>
        <v/>
      </c>
      <c r="G229" s="14"/>
      <c r="H229" s="36">
        <v>224</v>
      </c>
      <c r="I229" s="37" t="str">
        <f t="shared" si="21"/>
        <v/>
      </c>
      <c r="J229" s="36">
        <f t="shared" si="25"/>
        <v>-6</v>
      </c>
      <c r="K229" s="36">
        <f t="shared" si="22"/>
        <v>-60</v>
      </c>
      <c r="L229" s="36"/>
      <c r="M229" s="38">
        <f t="shared" si="23"/>
        <v>0</v>
      </c>
      <c r="N229" s="38" t="str">
        <f t="shared" si="26"/>
        <v/>
      </c>
    </row>
    <row r="230" spans="1:14" x14ac:dyDescent="0.25">
      <c r="A230" s="57" t="str">
        <f t="shared" si="24"/>
        <v/>
      </c>
      <c r="G230" s="14"/>
      <c r="H230" s="36">
        <v>225</v>
      </c>
      <c r="I230" s="37" t="str">
        <f t="shared" si="21"/>
        <v/>
      </c>
      <c r="J230" s="36">
        <f t="shared" si="25"/>
        <v>-6</v>
      </c>
      <c r="K230" s="36">
        <f t="shared" si="22"/>
        <v>-60</v>
      </c>
      <c r="L230" s="36"/>
      <c r="M230" s="38">
        <f t="shared" si="23"/>
        <v>0</v>
      </c>
      <c r="N230" s="38" t="str">
        <f t="shared" si="26"/>
        <v/>
      </c>
    </row>
    <row r="231" spans="1:14" x14ac:dyDescent="0.25">
      <c r="A231" s="57" t="str">
        <f t="shared" si="24"/>
        <v/>
      </c>
      <c r="G231" s="14"/>
      <c r="H231" s="36">
        <v>226</v>
      </c>
      <c r="I231" s="37" t="str">
        <f t="shared" si="21"/>
        <v/>
      </c>
      <c r="J231" s="36">
        <f t="shared" si="25"/>
        <v>-6</v>
      </c>
      <c r="K231" s="36">
        <f t="shared" si="22"/>
        <v>-60</v>
      </c>
      <c r="L231" s="36"/>
      <c r="M231" s="38">
        <f t="shared" si="23"/>
        <v>0</v>
      </c>
      <c r="N231" s="38" t="str">
        <f t="shared" si="26"/>
        <v/>
      </c>
    </row>
    <row r="232" spans="1:14" x14ac:dyDescent="0.25">
      <c r="A232" s="57" t="str">
        <f t="shared" si="24"/>
        <v/>
      </c>
      <c r="G232" s="14"/>
      <c r="H232" s="36">
        <v>227</v>
      </c>
      <c r="I232" s="37" t="str">
        <f t="shared" si="21"/>
        <v/>
      </c>
      <c r="J232" s="36">
        <f t="shared" si="25"/>
        <v>-6</v>
      </c>
      <c r="K232" s="36">
        <f t="shared" si="22"/>
        <v>-60</v>
      </c>
      <c r="L232" s="36"/>
      <c r="M232" s="38">
        <f t="shared" si="23"/>
        <v>0</v>
      </c>
      <c r="N232" s="38" t="str">
        <f t="shared" si="26"/>
        <v/>
      </c>
    </row>
    <row r="233" spans="1:14" x14ac:dyDescent="0.25">
      <c r="A233" s="57" t="str">
        <f t="shared" si="24"/>
        <v/>
      </c>
      <c r="G233" s="14"/>
      <c r="H233" s="36">
        <v>228</v>
      </c>
      <c r="I233" s="37" t="str">
        <f t="shared" si="21"/>
        <v/>
      </c>
      <c r="J233" s="36">
        <f t="shared" si="25"/>
        <v>-6</v>
      </c>
      <c r="K233" s="36">
        <f t="shared" si="22"/>
        <v>-60</v>
      </c>
      <c r="L233" s="36"/>
      <c r="M233" s="38">
        <f t="shared" si="23"/>
        <v>0</v>
      </c>
      <c r="N233" s="38" t="str">
        <f t="shared" si="26"/>
        <v/>
      </c>
    </row>
    <row r="234" spans="1:14" x14ac:dyDescent="0.25">
      <c r="A234" s="57" t="str">
        <f t="shared" si="24"/>
        <v/>
      </c>
      <c r="G234" s="14"/>
      <c r="H234" s="36">
        <v>229</v>
      </c>
      <c r="I234" s="37" t="str">
        <f t="shared" si="21"/>
        <v/>
      </c>
      <c r="J234" s="36">
        <f t="shared" si="25"/>
        <v>-6</v>
      </c>
      <c r="K234" s="36">
        <f t="shared" si="22"/>
        <v>-60</v>
      </c>
      <c r="L234" s="36"/>
      <c r="M234" s="38">
        <f t="shared" si="23"/>
        <v>0</v>
      </c>
      <c r="N234" s="38" t="str">
        <f t="shared" si="26"/>
        <v/>
      </c>
    </row>
    <row r="235" spans="1:14" x14ac:dyDescent="0.25">
      <c r="A235" s="57" t="str">
        <f t="shared" si="24"/>
        <v/>
      </c>
      <c r="G235" s="14"/>
      <c r="H235" s="36">
        <v>230</v>
      </c>
      <c r="I235" s="37" t="str">
        <f t="shared" si="21"/>
        <v/>
      </c>
      <c r="J235" s="36">
        <f t="shared" si="25"/>
        <v>-6</v>
      </c>
      <c r="K235" s="36">
        <f t="shared" si="22"/>
        <v>-60</v>
      </c>
      <c r="L235" s="36"/>
      <c r="M235" s="38">
        <f t="shared" si="23"/>
        <v>0</v>
      </c>
      <c r="N235" s="38" t="str">
        <f t="shared" si="26"/>
        <v/>
      </c>
    </row>
    <row r="236" spans="1:14" x14ac:dyDescent="0.25">
      <c r="A236" s="57" t="str">
        <f t="shared" si="24"/>
        <v/>
      </c>
      <c r="G236" s="14"/>
      <c r="H236" s="36">
        <v>231</v>
      </c>
      <c r="I236" s="37" t="str">
        <f t="shared" si="21"/>
        <v/>
      </c>
      <c r="J236" s="36">
        <f t="shared" si="25"/>
        <v>-6</v>
      </c>
      <c r="K236" s="36">
        <f t="shared" si="22"/>
        <v>-60</v>
      </c>
      <c r="L236" s="36"/>
      <c r="M236" s="38">
        <f t="shared" si="23"/>
        <v>0</v>
      </c>
      <c r="N236" s="38" t="str">
        <f t="shared" si="26"/>
        <v/>
      </c>
    </row>
    <row r="237" spans="1:14" x14ac:dyDescent="0.25">
      <c r="A237" s="57" t="str">
        <f t="shared" si="24"/>
        <v/>
      </c>
      <c r="G237" s="14"/>
      <c r="H237" s="36">
        <v>232</v>
      </c>
      <c r="I237" s="37" t="str">
        <f t="shared" si="21"/>
        <v/>
      </c>
      <c r="J237" s="36">
        <f t="shared" si="25"/>
        <v>-6</v>
      </c>
      <c r="K237" s="36">
        <f t="shared" si="22"/>
        <v>-60</v>
      </c>
      <c r="L237" s="36"/>
      <c r="M237" s="38">
        <f t="shared" si="23"/>
        <v>0</v>
      </c>
      <c r="N237" s="38" t="str">
        <f t="shared" si="26"/>
        <v/>
      </c>
    </row>
    <row r="238" spans="1:14" x14ac:dyDescent="0.25">
      <c r="A238" s="57" t="str">
        <f t="shared" si="24"/>
        <v/>
      </c>
      <c r="G238" s="14"/>
      <c r="H238" s="36">
        <v>233</v>
      </c>
      <c r="I238" s="37" t="str">
        <f t="shared" si="21"/>
        <v/>
      </c>
      <c r="J238" s="36">
        <f t="shared" si="25"/>
        <v>-6</v>
      </c>
      <c r="K238" s="36">
        <f t="shared" si="22"/>
        <v>-60</v>
      </c>
      <c r="L238" s="36"/>
      <c r="M238" s="38">
        <f t="shared" si="23"/>
        <v>0</v>
      </c>
      <c r="N238" s="38" t="str">
        <f t="shared" si="26"/>
        <v/>
      </c>
    </row>
    <row r="239" spans="1:14" x14ac:dyDescent="0.25">
      <c r="A239" s="57" t="str">
        <f t="shared" si="24"/>
        <v/>
      </c>
      <c r="G239" s="14"/>
      <c r="H239" s="36">
        <v>234</v>
      </c>
      <c r="I239" s="37" t="str">
        <f t="shared" si="21"/>
        <v/>
      </c>
      <c r="J239" s="36">
        <f t="shared" si="25"/>
        <v>-6</v>
      </c>
      <c r="K239" s="36">
        <f t="shared" si="22"/>
        <v>-60</v>
      </c>
      <c r="L239" s="36"/>
      <c r="M239" s="38">
        <f t="shared" si="23"/>
        <v>0</v>
      </c>
      <c r="N239" s="38" t="str">
        <f t="shared" si="26"/>
        <v/>
      </c>
    </row>
    <row r="240" spans="1:14" x14ac:dyDescent="0.25">
      <c r="A240" s="57" t="str">
        <f t="shared" si="24"/>
        <v/>
      </c>
      <c r="G240" s="14"/>
      <c r="H240" s="36">
        <v>235</v>
      </c>
      <c r="I240" s="37" t="str">
        <f t="shared" si="21"/>
        <v/>
      </c>
      <c r="J240" s="36">
        <f t="shared" si="25"/>
        <v>-6</v>
      </c>
      <c r="K240" s="36">
        <f t="shared" si="22"/>
        <v>-60</v>
      </c>
      <c r="L240" s="36"/>
      <c r="M240" s="38">
        <f t="shared" si="23"/>
        <v>0</v>
      </c>
      <c r="N240" s="38" t="str">
        <f t="shared" si="26"/>
        <v/>
      </c>
    </row>
    <row r="241" spans="1:14" x14ac:dyDescent="0.25">
      <c r="A241" s="57" t="str">
        <f t="shared" si="24"/>
        <v/>
      </c>
      <c r="G241" s="14"/>
      <c r="H241" s="36">
        <v>236</v>
      </c>
      <c r="I241" s="37" t="str">
        <f t="shared" si="21"/>
        <v/>
      </c>
      <c r="J241" s="36">
        <f t="shared" si="25"/>
        <v>-6</v>
      </c>
      <c r="K241" s="36">
        <f t="shared" si="22"/>
        <v>-60</v>
      </c>
      <c r="L241" s="36"/>
      <c r="M241" s="38">
        <f t="shared" si="23"/>
        <v>0</v>
      </c>
      <c r="N241" s="38" t="str">
        <f t="shared" si="26"/>
        <v/>
      </c>
    </row>
    <row r="242" spans="1:14" x14ac:dyDescent="0.25">
      <c r="A242" s="57" t="str">
        <f t="shared" si="24"/>
        <v/>
      </c>
      <c r="G242" s="14"/>
      <c r="H242" s="36">
        <v>237</v>
      </c>
      <c r="I242" s="37" t="str">
        <f t="shared" si="21"/>
        <v/>
      </c>
      <c r="J242" s="36">
        <f t="shared" si="25"/>
        <v>-6</v>
      </c>
      <c r="K242" s="36">
        <f t="shared" si="22"/>
        <v>-60</v>
      </c>
      <c r="L242" s="36"/>
      <c r="M242" s="38">
        <f t="shared" si="23"/>
        <v>0</v>
      </c>
      <c r="N242" s="38" t="str">
        <f t="shared" si="26"/>
        <v/>
      </c>
    </row>
    <row r="243" spans="1:14" x14ac:dyDescent="0.25">
      <c r="A243" s="57" t="str">
        <f t="shared" si="24"/>
        <v/>
      </c>
      <c r="G243" s="14"/>
      <c r="H243" s="36">
        <v>238</v>
      </c>
      <c r="I243" s="37" t="str">
        <f t="shared" si="21"/>
        <v/>
      </c>
      <c r="J243" s="36">
        <f t="shared" si="25"/>
        <v>-6</v>
      </c>
      <c r="K243" s="36">
        <f t="shared" si="22"/>
        <v>-60</v>
      </c>
      <c r="L243" s="36"/>
      <c r="M243" s="38">
        <f t="shared" si="23"/>
        <v>0</v>
      </c>
      <c r="N243" s="38" t="str">
        <f t="shared" si="26"/>
        <v/>
      </c>
    </row>
    <row r="244" spans="1:14" x14ac:dyDescent="0.25">
      <c r="A244" s="57" t="str">
        <f t="shared" si="24"/>
        <v/>
      </c>
      <c r="G244" s="14"/>
      <c r="H244" s="36">
        <v>239</v>
      </c>
      <c r="I244" s="37" t="str">
        <f t="shared" si="21"/>
        <v/>
      </c>
      <c r="J244" s="36">
        <f t="shared" si="25"/>
        <v>-6</v>
      </c>
      <c r="K244" s="36">
        <f t="shared" si="22"/>
        <v>-60</v>
      </c>
      <c r="L244" s="36"/>
      <c r="M244" s="38">
        <f t="shared" si="23"/>
        <v>0</v>
      </c>
      <c r="N244" s="38" t="str">
        <f t="shared" si="26"/>
        <v/>
      </c>
    </row>
    <row r="245" spans="1:14" x14ac:dyDescent="0.25">
      <c r="A245" s="57" t="str">
        <f t="shared" si="24"/>
        <v/>
      </c>
      <c r="G245" s="14"/>
      <c r="H245" s="36">
        <v>240</v>
      </c>
      <c r="I245" s="37" t="str">
        <f t="shared" si="21"/>
        <v/>
      </c>
      <c r="J245" s="36">
        <f t="shared" si="25"/>
        <v>-6</v>
      </c>
      <c r="K245" s="36">
        <f t="shared" si="22"/>
        <v>-60</v>
      </c>
      <c r="L245" s="36"/>
      <c r="M245" s="38">
        <f t="shared" si="23"/>
        <v>0</v>
      </c>
      <c r="N245" s="38" t="str">
        <f t="shared" si="26"/>
        <v/>
      </c>
    </row>
    <row r="246" spans="1:14" x14ac:dyDescent="0.25">
      <c r="A246" s="57" t="str">
        <f t="shared" si="24"/>
        <v/>
      </c>
      <c r="G246" s="14"/>
      <c r="H246" s="36">
        <v>241</v>
      </c>
      <c r="I246" s="37" t="str">
        <f t="shared" si="21"/>
        <v/>
      </c>
      <c r="J246" s="36">
        <f t="shared" si="25"/>
        <v>-6</v>
      </c>
      <c r="K246" s="36">
        <f t="shared" si="22"/>
        <v>-60</v>
      </c>
      <c r="L246" s="36"/>
      <c r="M246" s="38">
        <f t="shared" si="23"/>
        <v>0</v>
      </c>
      <c r="N246" s="38" t="str">
        <f t="shared" si="26"/>
        <v/>
      </c>
    </row>
    <row r="247" spans="1:14" x14ac:dyDescent="0.25">
      <c r="A247" s="57" t="str">
        <f t="shared" si="24"/>
        <v/>
      </c>
      <c r="G247" s="14"/>
      <c r="H247" s="36">
        <v>242</v>
      </c>
      <c r="I247" s="37" t="str">
        <f t="shared" si="21"/>
        <v/>
      </c>
      <c r="J247" s="36">
        <f t="shared" si="25"/>
        <v>-6</v>
      </c>
      <c r="K247" s="36">
        <f t="shared" si="22"/>
        <v>-60</v>
      </c>
      <c r="L247" s="36"/>
      <c r="M247" s="38">
        <f t="shared" si="23"/>
        <v>0</v>
      </c>
      <c r="N247" s="38" t="str">
        <f t="shared" si="26"/>
        <v/>
      </c>
    </row>
    <row r="248" spans="1:14" x14ac:dyDescent="0.25">
      <c r="A248" s="57" t="str">
        <f t="shared" si="24"/>
        <v/>
      </c>
      <c r="G248" s="14"/>
      <c r="H248" s="36">
        <v>243</v>
      </c>
      <c r="I248" s="37" t="str">
        <f t="shared" si="21"/>
        <v/>
      </c>
      <c r="J248" s="36">
        <f t="shared" si="25"/>
        <v>-6</v>
      </c>
      <c r="K248" s="36">
        <f t="shared" si="22"/>
        <v>-60</v>
      </c>
      <c r="L248" s="36"/>
      <c r="M248" s="38">
        <f t="shared" si="23"/>
        <v>0</v>
      </c>
      <c r="N248" s="38" t="str">
        <f t="shared" si="26"/>
        <v/>
      </c>
    </row>
    <row r="249" spans="1:14" x14ac:dyDescent="0.25">
      <c r="A249" s="57" t="str">
        <f t="shared" si="24"/>
        <v/>
      </c>
      <c r="G249" s="14"/>
      <c r="H249" s="36">
        <v>244</v>
      </c>
      <c r="I249" s="37" t="str">
        <f t="shared" si="21"/>
        <v/>
      </c>
      <c r="J249" s="36">
        <f t="shared" si="25"/>
        <v>-6</v>
      </c>
      <c r="K249" s="36">
        <f t="shared" si="22"/>
        <v>-60</v>
      </c>
      <c r="L249" s="36"/>
      <c r="M249" s="38">
        <f t="shared" si="23"/>
        <v>0</v>
      </c>
      <c r="N249" s="38" t="str">
        <f t="shared" si="26"/>
        <v/>
      </c>
    </row>
    <row r="250" spans="1:14" x14ac:dyDescent="0.25">
      <c r="A250" s="57" t="str">
        <f t="shared" si="24"/>
        <v/>
      </c>
      <c r="G250" s="14"/>
      <c r="H250" s="36">
        <v>245</v>
      </c>
      <c r="I250" s="37" t="str">
        <f t="shared" si="21"/>
        <v/>
      </c>
      <c r="J250" s="36">
        <f t="shared" si="25"/>
        <v>-6</v>
      </c>
      <c r="K250" s="36">
        <f t="shared" si="22"/>
        <v>-60</v>
      </c>
      <c r="L250" s="36"/>
      <c r="M250" s="38">
        <f t="shared" si="23"/>
        <v>0</v>
      </c>
      <c r="N250" s="38" t="str">
        <f t="shared" si="26"/>
        <v/>
      </c>
    </row>
    <row r="251" spans="1:14" x14ac:dyDescent="0.25">
      <c r="A251" s="57" t="str">
        <f t="shared" si="24"/>
        <v/>
      </c>
      <c r="G251" s="14"/>
      <c r="H251" s="36">
        <v>246</v>
      </c>
      <c r="I251" s="37" t="str">
        <f t="shared" si="21"/>
        <v/>
      </c>
      <c r="J251" s="36">
        <f t="shared" si="25"/>
        <v>-6</v>
      </c>
      <c r="K251" s="36">
        <f t="shared" si="22"/>
        <v>-60</v>
      </c>
      <c r="L251" s="36"/>
      <c r="M251" s="38">
        <f t="shared" si="23"/>
        <v>0</v>
      </c>
      <c r="N251" s="38" t="str">
        <f t="shared" si="26"/>
        <v/>
      </c>
    </row>
    <row r="252" spans="1:14" x14ac:dyDescent="0.25">
      <c r="A252" s="57" t="str">
        <f t="shared" si="24"/>
        <v/>
      </c>
      <c r="G252" s="14"/>
      <c r="H252" s="36">
        <v>247</v>
      </c>
      <c r="I252" s="37" t="str">
        <f t="shared" si="21"/>
        <v/>
      </c>
      <c r="J252" s="36">
        <f t="shared" si="25"/>
        <v>-6</v>
      </c>
      <c r="K252" s="36">
        <f t="shared" si="22"/>
        <v>-60</v>
      </c>
      <c r="L252" s="36"/>
      <c r="M252" s="38">
        <f t="shared" si="23"/>
        <v>0</v>
      </c>
      <c r="N252" s="38" t="str">
        <f t="shared" si="26"/>
        <v/>
      </c>
    </row>
    <row r="253" spans="1:14" x14ac:dyDescent="0.25">
      <c r="A253" s="57" t="str">
        <f t="shared" si="24"/>
        <v/>
      </c>
      <c r="G253" s="14"/>
      <c r="H253" s="36">
        <v>248</v>
      </c>
      <c r="I253" s="37" t="str">
        <f t="shared" si="21"/>
        <v/>
      </c>
      <c r="J253" s="36">
        <f t="shared" si="25"/>
        <v>-6</v>
      </c>
      <c r="K253" s="36">
        <f t="shared" si="22"/>
        <v>-60</v>
      </c>
      <c r="L253" s="36"/>
      <c r="M253" s="38">
        <f t="shared" si="23"/>
        <v>0</v>
      </c>
      <c r="N253" s="38" t="str">
        <f t="shared" si="26"/>
        <v/>
      </c>
    </row>
    <row r="254" spans="1:14" x14ac:dyDescent="0.25">
      <c r="A254" s="57" t="str">
        <f t="shared" si="24"/>
        <v/>
      </c>
      <c r="G254" s="14"/>
      <c r="H254" s="36">
        <v>249</v>
      </c>
      <c r="I254" s="37" t="str">
        <f t="shared" si="21"/>
        <v/>
      </c>
      <c r="J254" s="36">
        <f t="shared" si="25"/>
        <v>-6</v>
      </c>
      <c r="K254" s="36">
        <f t="shared" si="22"/>
        <v>-60</v>
      </c>
      <c r="L254" s="36"/>
      <c r="M254" s="38">
        <f t="shared" si="23"/>
        <v>0</v>
      </c>
      <c r="N254" s="38" t="str">
        <f t="shared" si="26"/>
        <v/>
      </c>
    </row>
    <row r="255" spans="1:14" x14ac:dyDescent="0.25">
      <c r="A255" s="57" t="str">
        <f t="shared" si="24"/>
        <v/>
      </c>
      <c r="G255" s="14"/>
      <c r="H255" s="36">
        <v>250</v>
      </c>
      <c r="I255" s="37" t="str">
        <f t="shared" si="21"/>
        <v/>
      </c>
      <c r="J255" s="36">
        <f t="shared" si="25"/>
        <v>-6</v>
      </c>
      <c r="K255" s="36">
        <f t="shared" si="22"/>
        <v>-60</v>
      </c>
      <c r="L255" s="36"/>
      <c r="M255" s="38">
        <f t="shared" si="23"/>
        <v>0</v>
      </c>
      <c r="N255" s="38" t="str">
        <f t="shared" si="26"/>
        <v/>
      </c>
    </row>
    <row r="256" spans="1:14" x14ac:dyDescent="0.25">
      <c r="A256" s="57" t="str">
        <f t="shared" si="24"/>
        <v/>
      </c>
      <c r="G256" s="14"/>
      <c r="H256" s="36">
        <v>251</v>
      </c>
      <c r="I256" s="37" t="str">
        <f t="shared" si="21"/>
        <v/>
      </c>
      <c r="J256" s="36">
        <f t="shared" si="25"/>
        <v>-6</v>
      </c>
      <c r="K256" s="36">
        <f t="shared" si="22"/>
        <v>-60</v>
      </c>
      <c r="L256" s="36"/>
      <c r="M256" s="38">
        <f t="shared" si="23"/>
        <v>0</v>
      </c>
      <c r="N256" s="38" t="str">
        <f t="shared" si="26"/>
        <v/>
      </c>
    </row>
    <row r="257" spans="1:14" x14ac:dyDescent="0.25">
      <c r="A257" s="57" t="str">
        <f t="shared" si="24"/>
        <v/>
      </c>
      <c r="G257" s="14"/>
      <c r="H257" s="36">
        <v>252</v>
      </c>
      <c r="I257" s="37" t="str">
        <f t="shared" si="21"/>
        <v/>
      </c>
      <c r="J257" s="36">
        <f t="shared" si="25"/>
        <v>-6</v>
      </c>
      <c r="K257" s="36">
        <f t="shared" si="22"/>
        <v>-60</v>
      </c>
      <c r="L257" s="36"/>
      <c r="M257" s="38">
        <f t="shared" si="23"/>
        <v>0</v>
      </c>
      <c r="N257" s="38" t="str">
        <f t="shared" si="26"/>
        <v/>
      </c>
    </row>
    <row r="258" spans="1:14" x14ac:dyDescent="0.25">
      <c r="A258" s="57" t="str">
        <f t="shared" si="24"/>
        <v/>
      </c>
      <c r="G258" s="14"/>
      <c r="H258" s="36">
        <v>253</v>
      </c>
      <c r="I258" s="37" t="str">
        <f t="shared" si="21"/>
        <v/>
      </c>
      <c r="J258" s="36">
        <f t="shared" si="25"/>
        <v>-6</v>
      </c>
      <c r="K258" s="36">
        <f t="shared" si="22"/>
        <v>-60</v>
      </c>
      <c r="L258" s="36"/>
      <c r="M258" s="38">
        <f t="shared" si="23"/>
        <v>0</v>
      </c>
      <c r="N258" s="38" t="str">
        <f t="shared" si="26"/>
        <v/>
      </c>
    </row>
    <row r="259" spans="1:14" x14ac:dyDescent="0.25">
      <c r="A259" s="57" t="str">
        <f t="shared" si="24"/>
        <v/>
      </c>
      <c r="G259" s="14"/>
      <c r="H259" s="36">
        <v>254</v>
      </c>
      <c r="I259" s="37" t="str">
        <f t="shared" si="21"/>
        <v/>
      </c>
      <c r="J259" s="36">
        <f t="shared" si="25"/>
        <v>-6</v>
      </c>
      <c r="K259" s="36">
        <f t="shared" si="22"/>
        <v>-60</v>
      </c>
      <c r="L259" s="36"/>
      <c r="M259" s="38">
        <f t="shared" si="23"/>
        <v>0</v>
      </c>
      <c r="N259" s="38" t="str">
        <f t="shared" si="26"/>
        <v/>
      </c>
    </row>
    <row r="260" spans="1:14" x14ac:dyDescent="0.25">
      <c r="A260" s="57" t="str">
        <f t="shared" si="24"/>
        <v/>
      </c>
      <c r="G260" s="14"/>
      <c r="H260" s="36">
        <v>255</v>
      </c>
      <c r="I260" s="37" t="str">
        <f t="shared" si="21"/>
        <v/>
      </c>
      <c r="J260" s="36">
        <f t="shared" si="25"/>
        <v>-6</v>
      </c>
      <c r="K260" s="36">
        <f t="shared" si="22"/>
        <v>-60</v>
      </c>
      <c r="L260" s="36"/>
      <c r="M260" s="38">
        <f t="shared" si="23"/>
        <v>0</v>
      </c>
      <c r="N260" s="38" t="str">
        <f t="shared" si="26"/>
        <v/>
      </c>
    </row>
    <row r="261" spans="1:14" x14ac:dyDescent="0.25">
      <c r="A261" s="57" t="str">
        <f t="shared" si="24"/>
        <v/>
      </c>
      <c r="G261" s="14"/>
      <c r="H261" s="36">
        <v>256</v>
      </c>
      <c r="I261" s="37" t="str">
        <f t="shared" si="21"/>
        <v/>
      </c>
      <c r="J261" s="36">
        <f t="shared" si="25"/>
        <v>-6</v>
      </c>
      <c r="K261" s="36">
        <f t="shared" si="22"/>
        <v>-60</v>
      </c>
      <c r="L261" s="36"/>
      <c r="M261" s="38">
        <f t="shared" si="23"/>
        <v>0</v>
      </c>
      <c r="N261" s="38" t="str">
        <f t="shared" si="26"/>
        <v/>
      </c>
    </row>
    <row r="262" spans="1:14" x14ac:dyDescent="0.25">
      <c r="A262" s="57" t="str">
        <f t="shared" si="24"/>
        <v/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5"/>
        <v>-7</v>
      </c>
      <c r="K262" s="36">
        <f t="shared" ref="K262:K305" si="28">J262*$J$2</f>
        <v>-70</v>
      </c>
      <c r="L262" s="36"/>
      <c r="M262" s="38">
        <f t="shared" ref="M262:M305" si="29">IF(I262&lt;&gt;"",K262+I262+L262,0)</f>
        <v>0</v>
      </c>
      <c r="N262" s="38" t="str">
        <f t="shared" si="26"/>
        <v/>
      </c>
    </row>
    <row r="263" spans="1:14" x14ac:dyDescent="0.25">
      <c r="A263" s="57" t="str">
        <f t="shared" ref="A263:A305" si="30">N263</f>
        <v/>
      </c>
      <c r="G263" s="14"/>
      <c r="H263" s="36">
        <v>258</v>
      </c>
      <c r="I263" s="37" t="str">
        <f t="shared" si="27"/>
        <v/>
      </c>
      <c r="J263" s="36">
        <f t="shared" ref="J263:J305" si="31">INT(LOG($H$2,2))-ROUNDUP(LOG(H263,2),0)+IF(OR($H$2=1,$H$2=2,$H$2=4,$H$2=8,$H$2=16,$H$2=32,$H$2=64,$H$2=128,$H$2=256),0,1)</f>
        <v>-7</v>
      </c>
      <c r="K263" s="36">
        <f t="shared" si="28"/>
        <v>-70</v>
      </c>
      <c r="L263" s="36"/>
      <c r="M263" s="38">
        <f t="shared" si="29"/>
        <v>0</v>
      </c>
      <c r="N263" s="38" t="str">
        <f t="shared" ref="N263:N305" si="32">IF(I263&lt;&gt;"",M263*L$2,"")</f>
        <v/>
      </c>
    </row>
    <row r="264" spans="1:14" x14ac:dyDescent="0.25">
      <c r="A264" s="57" t="str">
        <f t="shared" si="30"/>
        <v/>
      </c>
      <c r="G264" s="14"/>
      <c r="H264" s="36">
        <v>259</v>
      </c>
      <c r="I264" s="37" t="str">
        <f t="shared" si="27"/>
        <v/>
      </c>
      <c r="J264" s="36">
        <f t="shared" si="31"/>
        <v>-7</v>
      </c>
      <c r="K264" s="36">
        <f t="shared" si="28"/>
        <v>-70</v>
      </c>
      <c r="L264" s="36"/>
      <c r="M264" s="38">
        <f t="shared" si="29"/>
        <v>0</v>
      </c>
      <c r="N264" s="38" t="str">
        <f t="shared" si="32"/>
        <v/>
      </c>
    </row>
    <row r="265" spans="1:14" x14ac:dyDescent="0.25">
      <c r="A265" s="57" t="str">
        <f t="shared" si="30"/>
        <v/>
      </c>
      <c r="G265" s="14"/>
      <c r="H265" s="36">
        <v>260</v>
      </c>
      <c r="I265" s="37" t="str">
        <f t="shared" si="27"/>
        <v/>
      </c>
      <c r="J265" s="36">
        <f t="shared" si="31"/>
        <v>-7</v>
      </c>
      <c r="K265" s="36">
        <f t="shared" si="28"/>
        <v>-70</v>
      </c>
      <c r="L265" s="36"/>
      <c r="M265" s="38">
        <f t="shared" si="29"/>
        <v>0</v>
      </c>
      <c r="N265" s="38" t="str">
        <f t="shared" si="32"/>
        <v/>
      </c>
    </row>
    <row r="266" spans="1:14" x14ac:dyDescent="0.25">
      <c r="A266" s="57" t="str">
        <f t="shared" si="30"/>
        <v/>
      </c>
      <c r="G266" s="14"/>
      <c r="H266" s="36">
        <v>261</v>
      </c>
      <c r="I266" s="37" t="str">
        <f t="shared" si="27"/>
        <v/>
      </c>
      <c r="J266" s="36">
        <f t="shared" si="31"/>
        <v>-7</v>
      </c>
      <c r="K266" s="36">
        <f t="shared" si="28"/>
        <v>-70</v>
      </c>
      <c r="L266" s="36"/>
      <c r="M266" s="38">
        <f t="shared" si="29"/>
        <v>0</v>
      </c>
      <c r="N266" s="38" t="str">
        <f t="shared" si="32"/>
        <v/>
      </c>
    </row>
    <row r="267" spans="1:14" x14ac:dyDescent="0.25">
      <c r="A267" s="57" t="str">
        <f t="shared" si="30"/>
        <v/>
      </c>
      <c r="G267" s="14"/>
      <c r="H267" s="36">
        <v>262</v>
      </c>
      <c r="I267" s="37" t="str">
        <f t="shared" si="27"/>
        <v/>
      </c>
      <c r="J267" s="36">
        <f t="shared" si="31"/>
        <v>-7</v>
      </c>
      <c r="K267" s="36">
        <f t="shared" si="28"/>
        <v>-70</v>
      </c>
      <c r="L267" s="36"/>
      <c r="M267" s="38">
        <f t="shared" si="29"/>
        <v>0</v>
      </c>
      <c r="N267" s="38" t="str">
        <f t="shared" si="32"/>
        <v/>
      </c>
    </row>
    <row r="268" spans="1:14" x14ac:dyDescent="0.25">
      <c r="A268" s="57" t="str">
        <f t="shared" si="30"/>
        <v/>
      </c>
      <c r="G268" s="14"/>
      <c r="H268" s="36">
        <v>263</v>
      </c>
      <c r="I268" s="37" t="str">
        <f t="shared" si="27"/>
        <v/>
      </c>
      <c r="J268" s="36">
        <f t="shared" si="31"/>
        <v>-7</v>
      </c>
      <c r="K268" s="36">
        <f t="shared" si="28"/>
        <v>-70</v>
      </c>
      <c r="L268" s="36"/>
      <c r="M268" s="38">
        <f t="shared" si="29"/>
        <v>0</v>
      </c>
      <c r="N268" s="38" t="str">
        <f t="shared" si="32"/>
        <v/>
      </c>
    </row>
    <row r="269" spans="1:14" x14ac:dyDescent="0.25">
      <c r="A269" s="57" t="str">
        <f t="shared" si="30"/>
        <v/>
      </c>
      <c r="G269" s="14"/>
      <c r="H269" s="36">
        <v>264</v>
      </c>
      <c r="I269" s="37" t="str">
        <f t="shared" si="27"/>
        <v/>
      </c>
      <c r="J269" s="36">
        <f t="shared" si="31"/>
        <v>-7</v>
      </c>
      <c r="K269" s="36">
        <f t="shared" si="28"/>
        <v>-70</v>
      </c>
      <c r="L269" s="36"/>
      <c r="M269" s="38">
        <f t="shared" si="29"/>
        <v>0</v>
      </c>
      <c r="N269" s="38" t="str">
        <f t="shared" si="32"/>
        <v/>
      </c>
    </row>
    <row r="270" spans="1:14" x14ac:dyDescent="0.25">
      <c r="A270" s="57" t="str">
        <f t="shared" si="30"/>
        <v/>
      </c>
      <c r="G270" s="14"/>
      <c r="H270" s="36">
        <v>265</v>
      </c>
      <c r="I270" s="37" t="str">
        <f t="shared" si="27"/>
        <v/>
      </c>
      <c r="J270" s="36">
        <f t="shared" si="31"/>
        <v>-7</v>
      </c>
      <c r="K270" s="36">
        <f t="shared" si="28"/>
        <v>-70</v>
      </c>
      <c r="L270" s="36"/>
      <c r="M270" s="38">
        <f t="shared" si="29"/>
        <v>0</v>
      </c>
      <c r="N270" s="38" t="str">
        <f t="shared" si="32"/>
        <v/>
      </c>
    </row>
    <row r="271" spans="1:14" x14ac:dyDescent="0.25">
      <c r="A271" s="57" t="str">
        <f t="shared" si="30"/>
        <v/>
      </c>
      <c r="G271" s="14"/>
      <c r="H271" s="36">
        <v>266</v>
      </c>
      <c r="I271" s="37" t="str">
        <f t="shared" si="27"/>
        <v/>
      </c>
      <c r="J271" s="36">
        <f t="shared" si="31"/>
        <v>-7</v>
      </c>
      <c r="K271" s="36">
        <f t="shared" si="28"/>
        <v>-70</v>
      </c>
      <c r="L271" s="36"/>
      <c r="M271" s="38">
        <f t="shared" si="29"/>
        <v>0</v>
      </c>
      <c r="N271" s="38" t="str">
        <f t="shared" si="32"/>
        <v/>
      </c>
    </row>
    <row r="272" spans="1:14" x14ac:dyDescent="0.25">
      <c r="A272" s="57" t="str">
        <f t="shared" si="30"/>
        <v/>
      </c>
      <c r="G272" s="14"/>
      <c r="H272" s="36">
        <v>267</v>
      </c>
      <c r="I272" s="37" t="str">
        <f t="shared" si="27"/>
        <v/>
      </c>
      <c r="J272" s="36">
        <f t="shared" si="31"/>
        <v>-7</v>
      </c>
      <c r="K272" s="36">
        <f t="shared" si="28"/>
        <v>-70</v>
      </c>
      <c r="L272" s="36"/>
      <c r="M272" s="38">
        <f t="shared" si="29"/>
        <v>0</v>
      </c>
      <c r="N272" s="38" t="str">
        <f t="shared" si="32"/>
        <v/>
      </c>
    </row>
    <row r="273" spans="1:14" x14ac:dyDescent="0.25">
      <c r="A273" s="57" t="str">
        <f t="shared" si="30"/>
        <v/>
      </c>
      <c r="G273" s="14"/>
      <c r="H273" s="36">
        <v>268</v>
      </c>
      <c r="I273" s="37" t="str">
        <f t="shared" si="27"/>
        <v/>
      </c>
      <c r="J273" s="36">
        <f t="shared" si="31"/>
        <v>-7</v>
      </c>
      <c r="K273" s="36">
        <f t="shared" si="28"/>
        <v>-70</v>
      </c>
      <c r="L273" s="36"/>
      <c r="M273" s="38">
        <f t="shared" si="29"/>
        <v>0</v>
      </c>
      <c r="N273" s="38" t="str">
        <f t="shared" si="32"/>
        <v/>
      </c>
    </row>
    <row r="274" spans="1:14" x14ac:dyDescent="0.25">
      <c r="A274" s="57" t="str">
        <f t="shared" si="30"/>
        <v/>
      </c>
      <c r="G274" s="14"/>
      <c r="H274" s="36">
        <v>269</v>
      </c>
      <c r="I274" s="37" t="str">
        <f t="shared" si="27"/>
        <v/>
      </c>
      <c r="J274" s="36">
        <f t="shared" si="31"/>
        <v>-7</v>
      </c>
      <c r="K274" s="36">
        <f t="shared" si="28"/>
        <v>-70</v>
      </c>
      <c r="L274" s="36"/>
      <c r="M274" s="38">
        <f t="shared" si="29"/>
        <v>0</v>
      </c>
      <c r="N274" s="38" t="str">
        <f t="shared" si="32"/>
        <v/>
      </c>
    </row>
    <row r="275" spans="1:14" x14ac:dyDescent="0.25">
      <c r="A275" s="57" t="str">
        <f t="shared" si="30"/>
        <v/>
      </c>
      <c r="G275" s="14"/>
      <c r="H275" s="36">
        <v>270</v>
      </c>
      <c r="I275" s="37" t="str">
        <f t="shared" si="27"/>
        <v/>
      </c>
      <c r="J275" s="36">
        <f t="shared" si="31"/>
        <v>-7</v>
      </c>
      <c r="K275" s="36">
        <f t="shared" si="28"/>
        <v>-70</v>
      </c>
      <c r="L275" s="36"/>
      <c r="M275" s="38">
        <f t="shared" si="29"/>
        <v>0</v>
      </c>
      <c r="N275" s="38" t="str">
        <f t="shared" si="32"/>
        <v/>
      </c>
    </row>
    <row r="276" spans="1:14" x14ac:dyDescent="0.25">
      <c r="A276" s="57" t="str">
        <f t="shared" si="30"/>
        <v/>
      </c>
      <c r="G276" s="14"/>
      <c r="H276" s="36">
        <v>271</v>
      </c>
      <c r="I276" s="37" t="str">
        <f t="shared" si="27"/>
        <v/>
      </c>
      <c r="J276" s="36">
        <f t="shared" si="31"/>
        <v>-7</v>
      </c>
      <c r="K276" s="36">
        <f t="shared" si="28"/>
        <v>-70</v>
      </c>
      <c r="L276" s="36"/>
      <c r="M276" s="38">
        <f t="shared" si="29"/>
        <v>0</v>
      </c>
      <c r="N276" s="38" t="str">
        <f t="shared" si="32"/>
        <v/>
      </c>
    </row>
    <row r="277" spans="1:14" x14ac:dyDescent="0.25">
      <c r="A277" s="57" t="str">
        <f t="shared" si="30"/>
        <v/>
      </c>
      <c r="G277" s="14"/>
      <c r="H277" s="36">
        <v>272</v>
      </c>
      <c r="I277" s="37" t="str">
        <f t="shared" si="27"/>
        <v/>
      </c>
      <c r="J277" s="36">
        <f t="shared" si="31"/>
        <v>-7</v>
      </c>
      <c r="K277" s="36">
        <f t="shared" si="28"/>
        <v>-70</v>
      </c>
      <c r="L277" s="36"/>
      <c r="M277" s="38">
        <f t="shared" si="29"/>
        <v>0</v>
      </c>
      <c r="N277" s="38" t="str">
        <f t="shared" si="32"/>
        <v/>
      </c>
    </row>
    <row r="278" spans="1:14" x14ac:dyDescent="0.25">
      <c r="A278" s="57" t="str">
        <f t="shared" si="30"/>
        <v/>
      </c>
      <c r="G278" s="14"/>
      <c r="H278" s="36">
        <v>273</v>
      </c>
      <c r="I278" s="37" t="str">
        <f t="shared" si="27"/>
        <v/>
      </c>
      <c r="J278" s="36">
        <f t="shared" si="31"/>
        <v>-7</v>
      </c>
      <c r="K278" s="36">
        <f t="shared" si="28"/>
        <v>-70</v>
      </c>
      <c r="L278" s="36"/>
      <c r="M278" s="38">
        <f t="shared" si="29"/>
        <v>0</v>
      </c>
      <c r="N278" s="38" t="str">
        <f t="shared" si="32"/>
        <v/>
      </c>
    </row>
    <row r="279" spans="1:14" x14ac:dyDescent="0.25">
      <c r="A279" s="57" t="str">
        <f t="shared" si="30"/>
        <v/>
      </c>
      <c r="G279" s="14"/>
      <c r="H279" s="36">
        <v>274</v>
      </c>
      <c r="I279" s="37" t="str">
        <f t="shared" si="27"/>
        <v/>
      </c>
      <c r="J279" s="36">
        <f t="shared" si="31"/>
        <v>-7</v>
      </c>
      <c r="K279" s="36">
        <f t="shared" si="28"/>
        <v>-70</v>
      </c>
      <c r="L279" s="36"/>
      <c r="M279" s="38">
        <f t="shared" si="29"/>
        <v>0</v>
      </c>
      <c r="N279" s="38" t="str">
        <f t="shared" si="32"/>
        <v/>
      </c>
    </row>
    <row r="280" spans="1:14" x14ac:dyDescent="0.25">
      <c r="A280" s="57" t="str">
        <f t="shared" si="30"/>
        <v/>
      </c>
      <c r="G280" s="14"/>
      <c r="H280" s="36">
        <v>275</v>
      </c>
      <c r="I280" s="37" t="str">
        <f t="shared" si="27"/>
        <v/>
      </c>
      <c r="J280" s="36">
        <f t="shared" si="31"/>
        <v>-7</v>
      </c>
      <c r="K280" s="36">
        <f t="shared" si="28"/>
        <v>-70</v>
      </c>
      <c r="L280" s="36"/>
      <c r="M280" s="38">
        <f t="shared" si="29"/>
        <v>0</v>
      </c>
      <c r="N280" s="38" t="str">
        <f t="shared" si="32"/>
        <v/>
      </c>
    </row>
    <row r="281" spans="1:14" x14ac:dyDescent="0.25">
      <c r="A281" s="57" t="str">
        <f t="shared" si="30"/>
        <v/>
      </c>
      <c r="G281" s="14"/>
      <c r="H281" s="36">
        <v>276</v>
      </c>
      <c r="I281" s="37" t="str">
        <f t="shared" si="27"/>
        <v/>
      </c>
      <c r="J281" s="36">
        <f t="shared" si="31"/>
        <v>-7</v>
      </c>
      <c r="K281" s="36">
        <f t="shared" si="28"/>
        <v>-70</v>
      </c>
      <c r="L281" s="36"/>
      <c r="M281" s="38">
        <f t="shared" si="29"/>
        <v>0</v>
      </c>
      <c r="N281" s="38" t="str">
        <f t="shared" si="32"/>
        <v/>
      </c>
    </row>
    <row r="282" spans="1:14" x14ac:dyDescent="0.25">
      <c r="A282" s="57" t="str">
        <f t="shared" si="30"/>
        <v/>
      </c>
      <c r="G282" s="14"/>
      <c r="H282" s="36">
        <v>277</v>
      </c>
      <c r="I282" s="37" t="str">
        <f t="shared" si="27"/>
        <v/>
      </c>
      <c r="J282" s="36">
        <f t="shared" si="31"/>
        <v>-7</v>
      </c>
      <c r="K282" s="36">
        <f t="shared" si="28"/>
        <v>-70</v>
      </c>
      <c r="L282" s="36"/>
      <c r="M282" s="38">
        <f t="shared" si="29"/>
        <v>0</v>
      </c>
      <c r="N282" s="38" t="str">
        <f t="shared" si="32"/>
        <v/>
      </c>
    </row>
    <row r="283" spans="1:14" x14ac:dyDescent="0.25">
      <c r="A283" s="57" t="str">
        <f t="shared" si="30"/>
        <v/>
      </c>
      <c r="G283" s="14"/>
      <c r="H283" s="36">
        <v>278</v>
      </c>
      <c r="I283" s="37" t="str">
        <f t="shared" si="27"/>
        <v/>
      </c>
      <c r="J283" s="36">
        <f t="shared" si="31"/>
        <v>-7</v>
      </c>
      <c r="K283" s="36">
        <f t="shared" si="28"/>
        <v>-70</v>
      </c>
      <c r="L283" s="36"/>
      <c r="M283" s="38">
        <f t="shared" si="29"/>
        <v>0</v>
      </c>
      <c r="N283" s="38" t="str">
        <f t="shared" si="32"/>
        <v/>
      </c>
    </row>
    <row r="284" spans="1:14" x14ac:dyDescent="0.25">
      <c r="A284" s="57" t="str">
        <f t="shared" si="30"/>
        <v/>
      </c>
      <c r="G284" s="14"/>
      <c r="H284" s="36">
        <v>279</v>
      </c>
      <c r="I284" s="37" t="str">
        <f t="shared" si="27"/>
        <v/>
      </c>
      <c r="J284" s="36">
        <f t="shared" si="31"/>
        <v>-7</v>
      </c>
      <c r="K284" s="36">
        <f t="shared" si="28"/>
        <v>-70</v>
      </c>
      <c r="L284" s="36"/>
      <c r="M284" s="38">
        <f t="shared" si="29"/>
        <v>0</v>
      </c>
      <c r="N284" s="38" t="str">
        <f t="shared" si="32"/>
        <v/>
      </c>
    </row>
    <row r="285" spans="1:14" x14ac:dyDescent="0.25">
      <c r="A285" s="57" t="str">
        <f t="shared" si="30"/>
        <v/>
      </c>
      <c r="G285" s="14"/>
      <c r="H285" s="36">
        <v>280</v>
      </c>
      <c r="I285" s="37" t="str">
        <f t="shared" si="27"/>
        <v/>
      </c>
      <c r="J285" s="36">
        <f t="shared" si="31"/>
        <v>-7</v>
      </c>
      <c r="K285" s="36">
        <f t="shared" si="28"/>
        <v>-70</v>
      </c>
      <c r="L285" s="36"/>
      <c r="M285" s="38">
        <f t="shared" si="29"/>
        <v>0</v>
      </c>
      <c r="N285" s="38" t="str">
        <f t="shared" si="32"/>
        <v/>
      </c>
    </row>
    <row r="286" spans="1:14" x14ac:dyDescent="0.25">
      <c r="A286" s="57" t="str">
        <f t="shared" si="30"/>
        <v/>
      </c>
      <c r="G286" s="14"/>
      <c r="H286" s="36">
        <v>281</v>
      </c>
      <c r="I286" s="37" t="str">
        <f t="shared" si="27"/>
        <v/>
      </c>
      <c r="J286" s="36">
        <f t="shared" si="31"/>
        <v>-7</v>
      </c>
      <c r="K286" s="36">
        <f t="shared" si="28"/>
        <v>-70</v>
      </c>
      <c r="L286" s="36"/>
      <c r="M286" s="38">
        <f t="shared" si="29"/>
        <v>0</v>
      </c>
      <c r="N286" s="38" t="str">
        <f t="shared" si="32"/>
        <v/>
      </c>
    </row>
    <row r="287" spans="1:14" x14ac:dyDescent="0.25">
      <c r="A287" s="57" t="str">
        <f t="shared" si="30"/>
        <v/>
      </c>
      <c r="G287" s="14"/>
      <c r="H287" s="36">
        <v>282</v>
      </c>
      <c r="I287" s="37" t="str">
        <f t="shared" si="27"/>
        <v/>
      </c>
      <c r="J287" s="36">
        <f t="shared" si="31"/>
        <v>-7</v>
      </c>
      <c r="K287" s="36">
        <f t="shared" si="28"/>
        <v>-70</v>
      </c>
      <c r="L287" s="36"/>
      <c r="M287" s="38">
        <f t="shared" si="29"/>
        <v>0</v>
      </c>
      <c r="N287" s="38" t="str">
        <f t="shared" si="32"/>
        <v/>
      </c>
    </row>
    <row r="288" spans="1:14" x14ac:dyDescent="0.25">
      <c r="A288" s="57" t="str">
        <f t="shared" si="30"/>
        <v/>
      </c>
      <c r="G288" s="14"/>
      <c r="H288" s="36">
        <v>283</v>
      </c>
      <c r="I288" s="37" t="str">
        <f t="shared" si="27"/>
        <v/>
      </c>
      <c r="J288" s="36">
        <f t="shared" si="31"/>
        <v>-7</v>
      </c>
      <c r="K288" s="36">
        <f t="shared" si="28"/>
        <v>-70</v>
      </c>
      <c r="L288" s="36"/>
      <c r="M288" s="38">
        <f t="shared" si="29"/>
        <v>0</v>
      </c>
      <c r="N288" s="38" t="str">
        <f t="shared" si="32"/>
        <v/>
      </c>
    </row>
    <row r="289" spans="1:14" x14ac:dyDescent="0.25">
      <c r="A289" s="57" t="str">
        <f t="shared" si="30"/>
        <v/>
      </c>
      <c r="G289" s="14"/>
      <c r="H289" s="36">
        <v>284</v>
      </c>
      <c r="I289" s="37" t="str">
        <f t="shared" si="27"/>
        <v/>
      </c>
      <c r="J289" s="36">
        <f t="shared" si="31"/>
        <v>-7</v>
      </c>
      <c r="K289" s="36">
        <f t="shared" si="28"/>
        <v>-70</v>
      </c>
      <c r="L289" s="36"/>
      <c r="M289" s="38">
        <f t="shared" si="29"/>
        <v>0</v>
      </c>
      <c r="N289" s="38" t="str">
        <f t="shared" si="32"/>
        <v/>
      </c>
    </row>
    <row r="290" spans="1:14" x14ac:dyDescent="0.25">
      <c r="A290" s="57" t="str">
        <f t="shared" si="30"/>
        <v/>
      </c>
      <c r="G290" s="14"/>
      <c r="H290" s="36">
        <v>285</v>
      </c>
      <c r="I290" s="37" t="str">
        <f t="shared" si="27"/>
        <v/>
      </c>
      <c r="J290" s="36">
        <f t="shared" si="31"/>
        <v>-7</v>
      </c>
      <c r="K290" s="36">
        <f t="shared" si="28"/>
        <v>-70</v>
      </c>
      <c r="L290" s="36"/>
      <c r="M290" s="38">
        <f t="shared" si="29"/>
        <v>0</v>
      </c>
      <c r="N290" s="38" t="str">
        <f t="shared" si="32"/>
        <v/>
      </c>
    </row>
    <row r="291" spans="1:14" x14ac:dyDescent="0.25">
      <c r="A291" s="57" t="str">
        <f t="shared" si="30"/>
        <v/>
      </c>
      <c r="G291" s="14"/>
      <c r="H291" s="36">
        <v>286</v>
      </c>
      <c r="I291" s="37" t="str">
        <f t="shared" si="27"/>
        <v/>
      </c>
      <c r="J291" s="36">
        <f t="shared" si="31"/>
        <v>-7</v>
      </c>
      <c r="K291" s="36">
        <f t="shared" si="28"/>
        <v>-70</v>
      </c>
      <c r="L291" s="36"/>
      <c r="M291" s="38">
        <f t="shared" si="29"/>
        <v>0</v>
      </c>
      <c r="N291" s="38" t="str">
        <f t="shared" si="32"/>
        <v/>
      </c>
    </row>
    <row r="292" spans="1:14" x14ac:dyDescent="0.25">
      <c r="A292" s="57" t="str">
        <f t="shared" si="30"/>
        <v/>
      </c>
      <c r="G292" s="14"/>
      <c r="H292" s="36">
        <v>287</v>
      </c>
      <c r="I292" s="37" t="str">
        <f t="shared" si="27"/>
        <v/>
      </c>
      <c r="J292" s="36">
        <f t="shared" si="31"/>
        <v>-7</v>
      </c>
      <c r="K292" s="36">
        <f t="shared" si="28"/>
        <v>-70</v>
      </c>
      <c r="L292" s="36"/>
      <c r="M292" s="38">
        <f t="shared" si="29"/>
        <v>0</v>
      </c>
      <c r="N292" s="38" t="str">
        <f t="shared" si="32"/>
        <v/>
      </c>
    </row>
    <row r="293" spans="1:14" x14ac:dyDescent="0.25">
      <c r="A293" s="57" t="str">
        <f t="shared" si="30"/>
        <v/>
      </c>
      <c r="G293" s="14"/>
      <c r="H293" s="36">
        <v>288</v>
      </c>
      <c r="I293" s="37" t="str">
        <f t="shared" si="27"/>
        <v/>
      </c>
      <c r="J293" s="36">
        <f t="shared" si="31"/>
        <v>-7</v>
      </c>
      <c r="K293" s="36">
        <f t="shared" si="28"/>
        <v>-70</v>
      </c>
      <c r="L293" s="36"/>
      <c r="M293" s="38">
        <f t="shared" si="29"/>
        <v>0</v>
      </c>
      <c r="N293" s="38" t="str">
        <f t="shared" si="32"/>
        <v/>
      </c>
    </row>
    <row r="294" spans="1:14" x14ac:dyDescent="0.25">
      <c r="A294" s="57" t="str">
        <f t="shared" si="30"/>
        <v/>
      </c>
      <c r="G294" s="14"/>
      <c r="H294" s="36">
        <v>289</v>
      </c>
      <c r="I294" s="37" t="str">
        <f t="shared" si="27"/>
        <v/>
      </c>
      <c r="J294" s="36">
        <f t="shared" si="31"/>
        <v>-7</v>
      </c>
      <c r="K294" s="36">
        <f t="shared" si="28"/>
        <v>-70</v>
      </c>
      <c r="L294" s="36"/>
      <c r="M294" s="38">
        <f t="shared" si="29"/>
        <v>0</v>
      </c>
      <c r="N294" s="38" t="str">
        <f t="shared" si="32"/>
        <v/>
      </c>
    </row>
    <row r="295" spans="1:14" x14ac:dyDescent="0.25">
      <c r="A295" s="57" t="str">
        <f t="shared" si="30"/>
        <v/>
      </c>
      <c r="G295" s="14"/>
      <c r="H295" s="36">
        <v>290</v>
      </c>
      <c r="I295" s="37" t="str">
        <f t="shared" si="27"/>
        <v/>
      </c>
      <c r="J295" s="36">
        <f t="shared" si="31"/>
        <v>-7</v>
      </c>
      <c r="K295" s="36">
        <f t="shared" si="28"/>
        <v>-70</v>
      </c>
      <c r="L295" s="36"/>
      <c r="M295" s="38">
        <f t="shared" si="29"/>
        <v>0</v>
      </c>
      <c r="N295" s="38" t="str">
        <f t="shared" si="32"/>
        <v/>
      </c>
    </row>
    <row r="296" spans="1:14" x14ac:dyDescent="0.25">
      <c r="A296" s="57" t="str">
        <f t="shared" si="30"/>
        <v/>
      </c>
      <c r="G296" s="14"/>
      <c r="H296" s="36">
        <v>291</v>
      </c>
      <c r="I296" s="37" t="str">
        <f t="shared" si="27"/>
        <v/>
      </c>
      <c r="J296" s="36">
        <f t="shared" si="31"/>
        <v>-7</v>
      </c>
      <c r="K296" s="36">
        <f t="shared" si="28"/>
        <v>-70</v>
      </c>
      <c r="L296" s="36"/>
      <c r="M296" s="38">
        <f t="shared" si="29"/>
        <v>0</v>
      </c>
      <c r="N296" s="38" t="str">
        <f t="shared" si="32"/>
        <v/>
      </c>
    </row>
    <row r="297" spans="1:14" x14ac:dyDescent="0.25">
      <c r="A297" s="57" t="str">
        <f t="shared" si="30"/>
        <v/>
      </c>
      <c r="G297" s="14"/>
      <c r="H297" s="36">
        <v>292</v>
      </c>
      <c r="I297" s="37" t="str">
        <f t="shared" si="27"/>
        <v/>
      </c>
      <c r="J297" s="36">
        <f t="shared" si="31"/>
        <v>-7</v>
      </c>
      <c r="K297" s="36">
        <f t="shared" si="28"/>
        <v>-70</v>
      </c>
      <c r="L297" s="36"/>
      <c r="M297" s="38">
        <f t="shared" si="29"/>
        <v>0</v>
      </c>
      <c r="N297" s="38" t="str">
        <f t="shared" si="32"/>
        <v/>
      </c>
    </row>
    <row r="298" spans="1:14" x14ac:dyDescent="0.25">
      <c r="A298" s="57" t="str">
        <f t="shared" si="30"/>
        <v/>
      </c>
      <c r="G298" s="14"/>
      <c r="H298" s="36">
        <v>293</v>
      </c>
      <c r="I298" s="37" t="str">
        <f t="shared" si="27"/>
        <v/>
      </c>
      <c r="J298" s="36">
        <f t="shared" si="31"/>
        <v>-7</v>
      </c>
      <c r="K298" s="36">
        <f t="shared" si="28"/>
        <v>-70</v>
      </c>
      <c r="L298" s="36"/>
      <c r="M298" s="38">
        <f t="shared" si="29"/>
        <v>0</v>
      </c>
      <c r="N298" s="38" t="str">
        <f t="shared" si="32"/>
        <v/>
      </c>
    </row>
    <row r="299" spans="1:14" x14ac:dyDescent="0.25">
      <c r="A299" s="57" t="str">
        <f t="shared" si="30"/>
        <v/>
      </c>
      <c r="G299" s="14"/>
      <c r="H299" s="36">
        <v>294</v>
      </c>
      <c r="I299" s="37" t="str">
        <f t="shared" si="27"/>
        <v/>
      </c>
      <c r="J299" s="36">
        <f t="shared" si="31"/>
        <v>-7</v>
      </c>
      <c r="K299" s="36">
        <f t="shared" si="28"/>
        <v>-70</v>
      </c>
      <c r="L299" s="36"/>
      <c r="M299" s="38">
        <f t="shared" si="29"/>
        <v>0</v>
      </c>
      <c r="N299" s="38" t="str">
        <f t="shared" si="32"/>
        <v/>
      </c>
    </row>
    <row r="300" spans="1:14" x14ac:dyDescent="0.25">
      <c r="A300" s="57" t="str">
        <f t="shared" si="30"/>
        <v/>
      </c>
      <c r="G300" s="14"/>
      <c r="H300" s="36">
        <v>295</v>
      </c>
      <c r="I300" s="37" t="str">
        <f t="shared" si="27"/>
        <v/>
      </c>
      <c r="J300" s="36">
        <f t="shared" si="31"/>
        <v>-7</v>
      </c>
      <c r="K300" s="36">
        <f t="shared" si="28"/>
        <v>-70</v>
      </c>
      <c r="L300" s="36"/>
      <c r="M300" s="38">
        <f t="shared" si="29"/>
        <v>0</v>
      </c>
      <c r="N300" s="38" t="str">
        <f t="shared" si="32"/>
        <v/>
      </c>
    </row>
    <row r="301" spans="1:14" x14ac:dyDescent="0.25">
      <c r="A301" s="57" t="str">
        <f t="shared" si="30"/>
        <v/>
      </c>
      <c r="G301" s="14"/>
      <c r="H301" s="36">
        <v>296</v>
      </c>
      <c r="I301" s="37" t="str">
        <f t="shared" si="27"/>
        <v/>
      </c>
      <c r="J301" s="36">
        <f t="shared" si="31"/>
        <v>-7</v>
      </c>
      <c r="K301" s="36">
        <f t="shared" si="28"/>
        <v>-70</v>
      </c>
      <c r="L301" s="36"/>
      <c r="M301" s="38">
        <f t="shared" si="29"/>
        <v>0</v>
      </c>
      <c r="N301" s="38" t="str">
        <f t="shared" si="32"/>
        <v/>
      </c>
    </row>
    <row r="302" spans="1:14" x14ac:dyDescent="0.25">
      <c r="A302" s="57" t="str">
        <f t="shared" si="30"/>
        <v/>
      </c>
      <c r="G302" s="14"/>
      <c r="H302" s="36">
        <v>297</v>
      </c>
      <c r="I302" s="37" t="str">
        <f t="shared" si="27"/>
        <v/>
      </c>
      <c r="J302" s="36">
        <f t="shared" si="31"/>
        <v>-7</v>
      </c>
      <c r="K302" s="36">
        <f t="shared" si="28"/>
        <v>-70</v>
      </c>
      <c r="L302" s="36"/>
      <c r="M302" s="38">
        <f t="shared" si="29"/>
        <v>0</v>
      </c>
      <c r="N302" s="38" t="str">
        <f t="shared" si="32"/>
        <v/>
      </c>
    </row>
    <row r="303" spans="1:14" x14ac:dyDescent="0.25">
      <c r="A303" s="57" t="str">
        <f t="shared" si="30"/>
        <v/>
      </c>
      <c r="G303" s="14"/>
      <c r="H303" s="36">
        <v>298</v>
      </c>
      <c r="I303" s="37" t="str">
        <f t="shared" si="27"/>
        <v/>
      </c>
      <c r="J303" s="36">
        <f t="shared" si="31"/>
        <v>-7</v>
      </c>
      <c r="K303" s="36">
        <f t="shared" si="28"/>
        <v>-70</v>
      </c>
      <c r="L303" s="36"/>
      <c r="M303" s="38">
        <f t="shared" si="29"/>
        <v>0</v>
      </c>
      <c r="N303" s="38" t="str">
        <f t="shared" si="32"/>
        <v/>
      </c>
    </row>
    <row r="304" spans="1:14" x14ac:dyDescent="0.25">
      <c r="A304" s="57" t="str">
        <f t="shared" si="30"/>
        <v/>
      </c>
      <c r="G304" s="14"/>
      <c r="H304" s="36">
        <v>299</v>
      </c>
      <c r="I304" s="37" t="str">
        <f t="shared" si="27"/>
        <v/>
      </c>
      <c r="J304" s="36">
        <f t="shared" si="31"/>
        <v>-7</v>
      </c>
      <c r="K304" s="36">
        <f t="shared" si="28"/>
        <v>-70</v>
      </c>
      <c r="L304" s="36"/>
      <c r="M304" s="38">
        <f t="shared" si="29"/>
        <v>0</v>
      </c>
      <c r="N304" s="38" t="str">
        <f t="shared" si="32"/>
        <v/>
      </c>
    </row>
    <row r="305" spans="1:17" x14ac:dyDescent="0.25">
      <c r="A305" s="57" t="str">
        <f t="shared" si="30"/>
        <v/>
      </c>
      <c r="G305" s="14"/>
      <c r="H305" s="36">
        <v>300</v>
      </c>
      <c r="I305" s="37" t="str">
        <f t="shared" si="27"/>
        <v/>
      </c>
      <c r="J305" s="36">
        <f t="shared" si="31"/>
        <v>-7</v>
      </c>
      <c r="K305" s="36">
        <f t="shared" si="28"/>
        <v>-70</v>
      </c>
      <c r="L305" s="36"/>
      <c r="M305" s="38">
        <f t="shared" si="29"/>
        <v>0</v>
      </c>
      <c r="N305" s="38" t="str">
        <f t="shared" si="32"/>
        <v/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F1150B3E-65C3-4794-AE4F-B6444AE594CF}">
      <formula1>#REF!</formula1>
    </dataValidation>
  </dataValidations>
  <hyperlinks>
    <hyperlink ref="C2:D2" r:id="rId1" display="WARSZAWA" xr:uid="{23A94CCA-5A1C-4F6A-B2D0-732D6FC487A7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2691-F843-4C7A-AF7F-0D00D28D22B4}">
  <sheetPr codeName="Arkusz11"/>
  <dimension ref="A1:BK39"/>
  <sheetViews>
    <sheetView workbookViewId="0">
      <selection activeCell="A12" sqref="A12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21" width="5.125" customWidth="1"/>
    <col min="22" max="22" width="6.5" bestFit="1" customWidth="1"/>
    <col min="23" max="23" width="2" customWidth="1"/>
    <col min="24" max="51" width="5.125" customWidth="1"/>
    <col min="53" max="59" width="3.125" customWidth="1"/>
  </cols>
  <sheetData>
    <row r="1" spans="1:63" ht="13.75" customHeight="1" thickTop="1" x14ac:dyDescent="0.2">
      <c r="A1" s="4"/>
      <c r="B1" s="4"/>
      <c r="C1" s="4"/>
      <c r="D1" s="282" t="s">
        <v>82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X1" s="283" t="s">
        <v>83</v>
      </c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5"/>
    </row>
    <row r="2" spans="1:63" ht="13.75" customHeight="1" x14ac:dyDescent="0.2">
      <c r="A2" s="4"/>
      <c r="B2" s="2" t="s">
        <v>0</v>
      </c>
      <c r="C2" s="4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X2" s="286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8"/>
    </row>
    <row r="3" spans="1:63" ht="13.75" customHeight="1" thickBot="1" x14ac:dyDescent="0.3">
      <c r="A3" s="4"/>
      <c r="B3" s="4"/>
      <c r="C3" s="4"/>
      <c r="D3" s="71" t="s">
        <v>84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89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290"/>
      <c r="BA3" s="290"/>
      <c r="BB3" s="290"/>
      <c r="BC3" s="290"/>
      <c r="BD3" s="290"/>
      <c r="BE3" s="290"/>
      <c r="BF3" s="290"/>
      <c r="BG3" s="290"/>
      <c r="BH3" s="290"/>
      <c r="BI3" s="290"/>
      <c r="BJ3" s="290"/>
      <c r="BK3" s="291"/>
    </row>
    <row r="4" spans="1:63" ht="24.8" customHeight="1" thickTop="1" x14ac:dyDescent="0.2">
      <c r="A4" s="275" t="s">
        <v>4</v>
      </c>
      <c r="B4" s="277" t="s">
        <v>5</v>
      </c>
      <c r="C4" s="277" t="s">
        <v>6</v>
      </c>
      <c r="D4" s="277" t="s">
        <v>7</v>
      </c>
      <c r="E4" s="280" t="s">
        <v>8</v>
      </c>
      <c r="F4" s="281"/>
      <c r="G4" s="280" t="s">
        <v>9</v>
      </c>
      <c r="H4" s="281"/>
      <c r="I4" s="280" t="s">
        <v>10</v>
      </c>
      <c r="J4" s="281"/>
      <c r="K4" s="280" t="s">
        <v>11</v>
      </c>
      <c r="L4" s="281"/>
      <c r="M4" s="280" t="s">
        <v>12</v>
      </c>
      <c r="N4" s="281"/>
      <c r="O4" s="255" t="s">
        <v>13</v>
      </c>
      <c r="P4" s="256"/>
      <c r="Q4" s="255" t="s">
        <v>14</v>
      </c>
      <c r="R4" s="256"/>
      <c r="S4" s="255" t="s">
        <v>15</v>
      </c>
      <c r="T4" s="256"/>
      <c r="U4" s="280" t="s">
        <v>16</v>
      </c>
      <c r="V4" s="281"/>
      <c r="X4" s="273" t="s">
        <v>85</v>
      </c>
      <c r="Y4" s="274"/>
      <c r="Z4" s="273" t="s">
        <v>86</v>
      </c>
      <c r="AA4" s="274"/>
      <c r="AB4" s="273" t="s">
        <v>87</v>
      </c>
      <c r="AC4" s="274"/>
      <c r="AD4" s="273" t="s">
        <v>88</v>
      </c>
      <c r="AE4" s="274"/>
      <c r="AF4" s="273" t="s">
        <v>89</v>
      </c>
      <c r="AG4" s="274"/>
      <c r="AH4" s="273" t="s">
        <v>90</v>
      </c>
      <c r="AI4" s="274"/>
      <c r="AJ4" s="273" t="s">
        <v>91</v>
      </c>
      <c r="AK4" s="274"/>
      <c r="AL4" s="273" t="s">
        <v>92</v>
      </c>
      <c r="AM4" s="274"/>
      <c r="AN4" s="273" t="s">
        <v>93</v>
      </c>
      <c r="AO4" s="274"/>
      <c r="AP4" s="273" t="s">
        <v>94</v>
      </c>
      <c r="AQ4" s="274"/>
      <c r="AR4" s="273" t="s">
        <v>95</v>
      </c>
      <c r="AS4" s="274"/>
      <c r="AT4" s="273" t="s">
        <v>96</v>
      </c>
      <c r="AU4" s="274"/>
      <c r="AV4" s="273" t="s">
        <v>97</v>
      </c>
      <c r="AW4" s="274"/>
      <c r="AX4" s="273" t="s">
        <v>98</v>
      </c>
      <c r="AY4" s="274"/>
    </row>
    <row r="5" spans="1:63" ht="18" customHeight="1" x14ac:dyDescent="0.2">
      <c r="A5" s="276"/>
      <c r="B5" s="278"/>
      <c r="C5" s="278"/>
      <c r="D5" s="279"/>
      <c r="E5" s="72" t="s">
        <v>17</v>
      </c>
      <c r="F5" s="72" t="s">
        <v>18</v>
      </c>
      <c r="G5" s="72" t="s">
        <v>17</v>
      </c>
      <c r="H5" s="72" t="s">
        <v>18</v>
      </c>
      <c r="I5" s="72" t="s">
        <v>17</v>
      </c>
      <c r="J5" s="72" t="s">
        <v>18</v>
      </c>
      <c r="K5" s="72" t="s">
        <v>17</v>
      </c>
      <c r="L5" s="72" t="s">
        <v>18</v>
      </c>
      <c r="M5" s="72" t="s">
        <v>17</v>
      </c>
      <c r="N5" s="73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72" t="s">
        <v>17</v>
      </c>
      <c r="V5" s="73" t="s">
        <v>18</v>
      </c>
      <c r="X5" s="74" t="s">
        <v>17</v>
      </c>
      <c r="Y5" s="74" t="s">
        <v>18</v>
      </c>
      <c r="Z5" s="74" t="s">
        <v>17</v>
      </c>
      <c r="AA5" s="74" t="s">
        <v>18</v>
      </c>
      <c r="AB5" s="74" t="s">
        <v>17</v>
      </c>
      <c r="AC5" s="74" t="s">
        <v>18</v>
      </c>
      <c r="AD5" s="74" t="s">
        <v>17</v>
      </c>
      <c r="AE5" s="74" t="s">
        <v>18</v>
      </c>
      <c r="AF5" s="74" t="s">
        <v>17</v>
      </c>
      <c r="AG5" s="74" t="s">
        <v>18</v>
      </c>
      <c r="AH5" s="74" t="s">
        <v>17</v>
      </c>
      <c r="AI5" s="75" t="s">
        <v>18</v>
      </c>
      <c r="AJ5" s="74" t="s">
        <v>17</v>
      </c>
      <c r="AK5" s="75" t="s">
        <v>18</v>
      </c>
      <c r="AL5" s="74" t="s">
        <v>17</v>
      </c>
      <c r="AM5" s="75" t="s">
        <v>18</v>
      </c>
      <c r="AN5" s="74" t="s">
        <v>17</v>
      </c>
      <c r="AO5" s="75" t="s">
        <v>18</v>
      </c>
      <c r="AP5" s="74" t="s">
        <v>17</v>
      </c>
      <c r="AQ5" s="75" t="s">
        <v>18</v>
      </c>
      <c r="AR5" s="74" t="s">
        <v>17</v>
      </c>
      <c r="AS5" s="75" t="s">
        <v>18</v>
      </c>
      <c r="AT5" s="74" t="s">
        <v>17</v>
      </c>
      <c r="AU5" s="75" t="s">
        <v>18</v>
      </c>
      <c r="AV5" s="74" t="s">
        <v>17</v>
      </c>
      <c r="AW5" s="75" t="s">
        <v>18</v>
      </c>
      <c r="AX5" s="74" t="s">
        <v>17</v>
      </c>
      <c r="AY5" s="75" t="s">
        <v>18</v>
      </c>
    </row>
    <row r="6" spans="1:63" ht="14.8" customHeight="1" x14ac:dyDescent="0.25">
      <c r="A6" s="8">
        <f>ROW()-5</f>
        <v>1</v>
      </c>
      <c r="B6" s="9" t="s">
        <v>20</v>
      </c>
      <c r="C6" s="67"/>
      <c r="D6" s="125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464.58808678783356</v>
      </c>
      <c r="E6" s="10">
        <f>_xlfn.XLOOKUP($B6,'GP1'!$C$6:$C$55,'GP1'!$B$6:$B$55,"")</f>
        <v>1</v>
      </c>
      <c r="F6" s="126">
        <f>_xlfn.XLOOKUP(E6,'GP1'!$B$6:$B$55,'GP1'!$A$6:$A$55,0)</f>
        <v>82.980246132766666</v>
      </c>
      <c r="G6" s="12">
        <f>_xlfn.XLOOKUP($B6,'GP2'!$C$6:$C$55,'GP2'!$B$6:$B$55,"")</f>
        <v>1</v>
      </c>
      <c r="H6" s="127">
        <f>_xlfn.XLOOKUP(G6,'GP2'!$B$6:$B$55,'GP2'!$A$6:$A$55,0)</f>
        <v>59</v>
      </c>
      <c r="I6" s="10" t="str">
        <f>_xlfn.XLOOKUP($B6,'GP3'!$C$6:$C$55,'GP3'!$B$6:$B$55,"")</f>
        <v/>
      </c>
      <c r="J6" s="126">
        <f>_xlfn.XLOOKUP(I6,'GP3'!$B$6:$B$55,'GP3'!$A$6:$A$55,0)</f>
        <v>0</v>
      </c>
      <c r="K6" s="10">
        <f>_xlfn.XLOOKUP($B6,'GP4'!$C$6:$C$55,'GP4'!$B$6:$B$55,"")</f>
        <v>3</v>
      </c>
      <c r="L6" s="126">
        <f>_xlfn.XLOOKUP(K6,'GP4'!$B$6:$B$55,'GP4'!$A$6:$A$55,0)</f>
        <v>15.930621888236271</v>
      </c>
      <c r="M6" s="10">
        <f>_xlfn.XLOOKUP($B6,'GP5'!$C$6:$C$55,'GP5'!$B$6:$B$55,"")</f>
        <v>2</v>
      </c>
      <c r="N6" s="128">
        <f>_xlfn.XLOOKUP(M6,'GP5'!$B$6:$B$55,'GP5'!$A$6:$A$55,0)</f>
        <v>45.024406311809194</v>
      </c>
      <c r="O6" s="10" t="str">
        <f>_xlfn.XLOOKUP($B6,'GP6'!$C$6:$C$55,'GP6'!$B$6:$B$55,"")</f>
        <v/>
      </c>
      <c r="P6" s="128">
        <f>_xlfn.XLOOKUP(O6,'GP6'!$B$6:$B$55,'GP6'!$A$6:$A$55,0)</f>
        <v>0</v>
      </c>
      <c r="Q6" s="10">
        <f>_xlfn.XLOOKUP($B6,'GP7'!$C$6:$C$55,'GP7'!$B$6:$B$55,"")</f>
        <v>1</v>
      </c>
      <c r="R6" s="128">
        <f>_xlfn.XLOOKUP(Q6,'GP7'!$B$6:$B$55,'GP7'!$A$6:$A$55,0)</f>
        <v>82.980246132766666</v>
      </c>
      <c r="S6" s="10">
        <f>_xlfn.XLOOKUP($B6,'GP8'!$C$6:$C$55,'GP8'!$B$6:$B$55,"")</f>
        <v>1</v>
      </c>
      <c r="T6" s="128">
        <f>_xlfn.XLOOKUP(S6,'GP8'!$B$6:$B$55,'GP8'!$A$6:$A$55,0)</f>
        <v>69</v>
      </c>
      <c r="U6" s="10">
        <f>_xlfn.XLOOKUP(B6,MPW!C$6:C$55,MPW!B$6:B$55,"")</f>
        <v>2</v>
      </c>
      <c r="V6" s="128">
        <f>_xlfn.XLOOKUP(U6,MPW!B$6:B$55,MPW!A$6:A$55,0)</f>
        <v>54.029287574171029</v>
      </c>
      <c r="X6" s="10" t="str">
        <f>_xlfn.XLOOKUP($B6,'PEW1'!$C$6:$C$101,'PEW1'!$B$6:$B$101,"")</f>
        <v/>
      </c>
      <c r="Y6" s="76">
        <f>_xlfn.XLOOKUP(X6,'PEW1'!$B$6:$B$55,'PEW1'!$A$6:$A$55,0)</f>
        <v>0</v>
      </c>
      <c r="Z6" s="10" t="str">
        <f>_xlfn.XLOOKUP($B6,'PEW2'!$C$6:$C$101,'PEW2'!$B$6:$B$101,"")</f>
        <v/>
      </c>
      <c r="AA6" s="76">
        <f>_xlfn.XLOOKUP(Z6,'PEW2'!$B$6:$B$55,'PEW2'!$A$6:$A$55,0)</f>
        <v>0</v>
      </c>
      <c r="AB6" s="10">
        <f>_xlfn.XLOOKUP($B6,'PEW3'!$C$6:$C$101,'PEW3'!$B$6:$B$101,"")</f>
        <v>7</v>
      </c>
      <c r="AC6" s="76">
        <f>_xlfn.XLOOKUP(AB6,'PEW3'!$B$6:$B$55,'PEW3'!$A$6:$A$55,0)</f>
        <v>20.236129415094808</v>
      </c>
      <c r="AD6" s="10" t="str">
        <f>_xlfn.XLOOKUP($B6,VFC!$C$6:$C$101,VFC!$B$6:$B$101,"")</f>
        <v/>
      </c>
      <c r="AE6" s="76">
        <f>_xlfn.XLOOKUP(AD6,VFC!$B$6:$B$55,VFC!$A$6:$A$55,0)</f>
        <v>0</v>
      </c>
      <c r="AF6" s="10" t="str">
        <f>_xlfn.XLOOKUP($B6,'PEW4'!$C$6:$C$101,'PEW4'!$B$6:$B$101,"")</f>
        <v/>
      </c>
      <c r="AG6" s="76">
        <f>_xlfn.XLOOKUP(AF6,'PEW4'!$B$6:$B$55,'PEW4'!$A$6:$A$55,0)</f>
        <v>0</v>
      </c>
      <c r="AH6" s="10" t="str">
        <f>_xlfn.XLOOKUP($B6,'PEW5'!$C$6:$C$101,'PEW5'!$B$6:$B$101,"")</f>
        <v/>
      </c>
      <c r="AI6" s="76">
        <f>_xlfn.XLOOKUP(AH6,'PEW5'!$B$6:$B$55,'PEW5'!$A$6:$A$55,0)</f>
        <v>0</v>
      </c>
      <c r="AJ6" s="10" t="str">
        <f>_xlfn.XLOOKUP($B6,'PEW6'!$C$6:$C$101,'PEW6'!$B$6:$B$101,"")</f>
        <v/>
      </c>
      <c r="AK6" s="76">
        <f>_xlfn.XLOOKUP(AJ6,'PEW6'!$B$6:$B$55,'PEW6'!$A$6:$A$55,0)</f>
        <v>0</v>
      </c>
      <c r="AL6" s="10" t="str">
        <f>_xlfn.XLOOKUP($B6,'PEW7'!$C$6:$C$101,'PEW7'!$B$6:$B$101,"")</f>
        <v/>
      </c>
      <c r="AM6" s="76">
        <f>_xlfn.XLOOKUP(AL6,'PEW7'!$B$6:$B$55,'PEW7'!$A$6:$A$55,0)</f>
        <v>0</v>
      </c>
      <c r="AN6" s="10" t="str">
        <f>_xlfn.XLOOKUP($B6,'PEW8'!$C$6:$C$101,'PEW8'!$B$6:$B$101,"")</f>
        <v/>
      </c>
      <c r="AO6" s="76">
        <f>_xlfn.XLOOKUP(AN6,'PEW8'!$B$6:$B$55,'PEW8'!$A$6:$A$55,0)</f>
        <v>0</v>
      </c>
      <c r="AP6" s="10" t="str">
        <f>_xlfn.XLOOKUP($B6,'PEW9'!$C$6:$C$101,'PEW9'!$B$6:$B$101,"")</f>
        <v/>
      </c>
      <c r="AQ6" s="76">
        <f>_xlfn.XLOOKUP(AP6,'PEW9'!$B$6:$B$55,'PEW9'!$A$6:$A$55,0)</f>
        <v>0</v>
      </c>
      <c r="AR6" s="10" t="str">
        <f>_xlfn.XLOOKUP($B6,'PEW10'!$C$6:$C$101,'PEW10'!$B$6:$B$101,"")</f>
        <v/>
      </c>
      <c r="AS6" s="76">
        <f>_xlfn.XLOOKUP(AR6,'PEW10'!$B$6:$B$55,'PEW10'!$A$6:$A$55,0)</f>
        <v>0</v>
      </c>
      <c r="AT6" s="10">
        <f>_xlfn.XLOOKUP($B6,'PEW11'!$C$6:$C$101,'PEW11'!$B$6:$B$101,"")</f>
        <v>3</v>
      </c>
      <c r="AU6" s="76">
        <f>_xlfn.XLOOKUP(AT6,'PEW11'!$B$6:$B$55,'PEW11'!$A$6:$A$55,0)</f>
        <v>35.407149332988958</v>
      </c>
      <c r="AV6" s="10" t="str">
        <f>_xlfn.XLOOKUP($B6,'PEW12'!$C$6:$C$101,'PEW12'!$B$6:$B$101,"")</f>
        <v/>
      </c>
      <c r="AW6" s="76">
        <f>_xlfn.XLOOKUP(AV6,'PEW12'!$B$6:$B$55,'PEW12'!$A$6:$A$55,0)</f>
        <v>0</v>
      </c>
      <c r="AX6" s="10" t="str" cm="1">
        <f t="array" ref="AX6">_xlfn.XLOOKUP($B6,IMEW!C$6:C$101,IMEW!$B$6:B$101,"")</f>
        <v/>
      </c>
      <c r="AY6" s="77">
        <f>_xlfn.XLOOKUP(AX6,IMEW!$B$6:$B$100,IMEW!$A$6:$A$100,0)</f>
        <v>0</v>
      </c>
      <c r="BA6" s="78">
        <f>Y6</f>
        <v>0</v>
      </c>
      <c r="BB6" s="78">
        <f>AA6</f>
        <v>0</v>
      </c>
      <c r="BC6" s="78">
        <f>AC6</f>
        <v>20.236129415094808</v>
      </c>
      <c r="BD6" s="78">
        <f>AG6</f>
        <v>0</v>
      </c>
      <c r="BE6" s="78">
        <f>AI6</f>
        <v>0</v>
      </c>
      <c r="BF6" s="78">
        <f>AK6</f>
        <v>0</v>
      </c>
      <c r="BG6" s="78">
        <f>AM6</f>
        <v>0</v>
      </c>
    </row>
    <row r="7" spans="1:63" ht="14.8" customHeight="1" x14ac:dyDescent="0.25">
      <c r="A7" s="8">
        <f>ROW()-5</f>
        <v>2</v>
      </c>
      <c r="B7" s="9" t="s">
        <v>19</v>
      </c>
      <c r="C7" s="11"/>
      <c r="D7" s="125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326.48065711304787</v>
      </c>
      <c r="E7" s="10">
        <f>_xlfn.XLOOKUP($B7,'GP1'!$C$6:$C$55,'GP1'!$B$6:$B$55,"")</f>
        <v>3</v>
      </c>
      <c r="F7" s="126">
        <f>_xlfn.XLOOKUP(E7,'GP1'!$B$6:$B$55,'GP1'!$A$6:$A$55,0)</f>
        <v>5.3267487109222245</v>
      </c>
      <c r="G7" s="12">
        <f>_xlfn.XLOOKUP($B7,'GP2'!$C$6:$C$55,'GP2'!$B$6:$B$55,"")</f>
        <v>2</v>
      </c>
      <c r="H7" s="127">
        <f>_xlfn.XLOOKUP(G7,'GP2'!$B$6:$B$55,'GP2'!$A$6:$A$55,0)</f>
        <v>45.024406311809194</v>
      </c>
      <c r="I7" s="12">
        <f>_xlfn.XLOOKUP($B7,'GP3'!$C$6:$C$55,'GP3'!$B$6:$B$55,"")</f>
        <v>2</v>
      </c>
      <c r="J7" s="127">
        <f>_xlfn.XLOOKUP(I7,'GP3'!$B$6:$B$55,'GP3'!$A$6:$A$55,0)</f>
        <v>45.024406311809194</v>
      </c>
      <c r="K7" s="12">
        <f>_xlfn.XLOOKUP($B7,'GP4'!$C$6:$C$55,'GP4'!$B$6:$B$55,"")</f>
        <v>1</v>
      </c>
      <c r="L7" s="127">
        <f>_xlfn.XLOOKUP(K7,'GP4'!$B$6:$B$55,'GP4'!$A$6:$A$55,0)</f>
        <v>84.286609467713788</v>
      </c>
      <c r="M7" s="12">
        <f>_xlfn.XLOOKUP($B7,'GP5'!$C$6:$C$55,'GP5'!$B$6:$B$55,"")</f>
        <v>1</v>
      </c>
      <c r="N7" s="129">
        <f>_xlfn.XLOOKUP(M7,'GP5'!$B$6:$B$55,'GP5'!$A$6:$A$55,0)</f>
        <v>84.286609467713788</v>
      </c>
      <c r="O7" s="12">
        <f>_xlfn.XLOOKUP($B7,'GP6'!$C$6:$C$55,'GP6'!$B$6:$B$55,"")</f>
        <v>2</v>
      </c>
      <c r="P7" s="129">
        <f>_xlfn.XLOOKUP(O7,'GP6'!$B$6:$B$55,'GP6'!$A$6:$A$55,0)</f>
        <v>45.024406311809194</v>
      </c>
      <c r="Q7" s="12" t="str">
        <f>_xlfn.XLOOKUP($B7,'GP7'!$C$6:$C$55,'GP7'!$B$6:$B$55,"")</f>
        <v/>
      </c>
      <c r="R7" s="129">
        <f>_xlfn.XLOOKUP(Q7,'GP7'!$B$6:$B$55,'GP7'!$A$6:$A$55,0)</f>
        <v>0</v>
      </c>
      <c r="S7" s="12" t="str">
        <f>_xlfn.XLOOKUP($B7,'GP8'!$C$6:$C$55,'GP8'!$B$6:$B$55,"")</f>
        <v/>
      </c>
      <c r="T7" s="129">
        <f>_xlfn.XLOOKUP(S7,'GP8'!$B$6:$B$55,'GP8'!$A$6:$A$55,0)</f>
        <v>0</v>
      </c>
      <c r="U7" s="12" t="str">
        <f>_xlfn.XLOOKUP(B7,MPW!C$6:C$55,MPW!B$6:B$55,"")</f>
        <v/>
      </c>
      <c r="V7" s="129" t="str">
        <f>_xlfn.XLOOKUP(U7,MPW!B$6:B$55,MPW!A$6:A$55,0)</f>
        <v/>
      </c>
      <c r="X7" s="12" t="str">
        <f>_xlfn.XLOOKUP($B7,'PEW1'!$C$6:$C$101,'PEW1'!$B$6:$B$101,"")</f>
        <v/>
      </c>
      <c r="Y7" s="79">
        <f>_xlfn.XLOOKUP(X7,'PEW1'!$B$6:$B$55,'PEW1'!$A$6:$A$55,0)</f>
        <v>0</v>
      </c>
      <c r="Z7" s="10" t="str">
        <f>_xlfn.XLOOKUP($B7,'PEW2'!$C$6:$C$101,'PEW2'!$B$6:$B$101,"")</f>
        <v/>
      </c>
      <c r="AA7" s="76">
        <f>_xlfn.XLOOKUP(Z7,'PEW2'!$B$6:$B$55,'PEW2'!$A$6:$A$55,0)</f>
        <v>0</v>
      </c>
      <c r="AB7" s="10">
        <f>_xlfn.XLOOKUP($B7,'PEW3'!$C$6:$C$101,'PEW3'!$B$6:$B$101,"")</f>
        <v>8</v>
      </c>
      <c r="AC7" s="76">
        <f>_xlfn.XLOOKUP(AB7,'PEW3'!$B$6:$B$55,'PEW3'!$A$6:$A$55,0)</f>
        <v>17.507470531270492</v>
      </c>
      <c r="AD7" s="10" t="str">
        <f>_xlfn.XLOOKUP($B7,VFC!$C$6:$C$101,VFC!$B$6:$B$101,"")</f>
        <v/>
      </c>
      <c r="AE7" s="76">
        <f>_xlfn.XLOOKUP(AD7,VFC!$B$6:$B$55,VFC!$A$6:$A$55,0)</f>
        <v>0</v>
      </c>
      <c r="AF7" s="10" t="str">
        <f>_xlfn.XLOOKUP($B7,'PEW4'!$C$6:$C$101,'PEW4'!$B$6:$B$101,"")</f>
        <v/>
      </c>
      <c r="AG7" s="76">
        <f>_xlfn.XLOOKUP(AF7,'PEW4'!$B$6:$B$55,'PEW4'!$A$6:$A$55,0)</f>
        <v>0</v>
      </c>
      <c r="AH7" s="10" t="str">
        <f>_xlfn.XLOOKUP($B7,'PEW5'!$C$6:$C$101,'PEW5'!$B$6:$B$101,"")</f>
        <v/>
      </c>
      <c r="AI7" s="76">
        <f>_xlfn.XLOOKUP(AH7,'PEW5'!$B$6:$B$55,'PEW5'!$A$6:$A$55,0)</f>
        <v>0</v>
      </c>
      <c r="AJ7" s="10" t="str">
        <f>_xlfn.XLOOKUP($B7,'PEW6'!$C$6:$C$101,'PEW6'!$B$6:$B$101,"")</f>
        <v/>
      </c>
      <c r="AK7" s="76">
        <f>_xlfn.XLOOKUP(AJ7,'PEW6'!$B$6:$B$55,'PEW6'!$A$6:$A$55,0)</f>
        <v>0</v>
      </c>
      <c r="AL7" s="10" t="str">
        <f>_xlfn.XLOOKUP($B7,'PEW7'!$C$6:$C$101,'PEW7'!$B$6:$B$101,"")</f>
        <v/>
      </c>
      <c r="AM7" s="76">
        <f>_xlfn.XLOOKUP(AL7,'PEW7'!$B$6:$B$55,'PEW7'!$A$6:$A$55,0)</f>
        <v>0</v>
      </c>
      <c r="AN7" s="10" t="str">
        <f>_xlfn.XLOOKUP($B7,'PEW8'!$C$6:$C$101,'PEW8'!$B$6:$B$101,"")</f>
        <v/>
      </c>
      <c r="AO7" s="76">
        <f>_xlfn.XLOOKUP(AN7,'PEW8'!$B$6:$B$55,'PEW8'!$A$6:$A$55,0)</f>
        <v>0</v>
      </c>
      <c r="AP7" s="10" t="str">
        <f>_xlfn.XLOOKUP($B7,'PEW9'!$C$6:$C$101,'PEW9'!$B$6:$B$101,"")</f>
        <v/>
      </c>
      <c r="AQ7" s="76">
        <f>_xlfn.XLOOKUP(AP7,'PEW9'!$B$6:$B$55,'PEW9'!$A$6:$A$55,0)</f>
        <v>0</v>
      </c>
      <c r="AR7" s="10" t="str">
        <f>_xlfn.XLOOKUP($B7,'PEW10'!$C$6:$C$101,'PEW10'!$B$6:$B$101,"")</f>
        <v/>
      </c>
      <c r="AS7" s="76">
        <f>_xlfn.XLOOKUP(AR7,'PEW10'!$B$6:$B$55,'PEW10'!$A$6:$A$55,0)</f>
        <v>0</v>
      </c>
      <c r="AT7" s="10" t="str">
        <f>_xlfn.XLOOKUP($B7,'PEW11'!$C$6:$C$101,'PEW11'!$B$6:$B$101,"")</f>
        <v/>
      </c>
      <c r="AU7" s="76">
        <f>_xlfn.XLOOKUP(AT7,'PEW11'!$B$6:$B$55,'PEW11'!$A$6:$A$55,0)</f>
        <v>0</v>
      </c>
      <c r="AV7" s="10" t="str">
        <f>_xlfn.XLOOKUP($B7,'PEW12'!$C$6:$C$101,'PEW12'!$B$6:$B$101,"")</f>
        <v/>
      </c>
      <c r="AW7" s="76">
        <f>_xlfn.XLOOKUP(AV7,'PEW12'!$B$6:$B$55,'PEW12'!$A$6:$A$55,0)</f>
        <v>0</v>
      </c>
      <c r="AX7" s="10" t="str" cm="1">
        <f t="array" ref="AX7">_xlfn.XLOOKUP($B7,IMEW!C$6:C$101,IMEW!$B$6:B$101,"")</f>
        <v/>
      </c>
      <c r="AY7" s="77">
        <f>_xlfn.XLOOKUP(AX7,IMEW!$B$6:$B$100,IMEW!$A$6:$A$100,0)</f>
        <v>0</v>
      </c>
      <c r="BA7" s="78">
        <f t="shared" ref="BA7:BA23" si="0">Y7</f>
        <v>0</v>
      </c>
      <c r="BB7" s="78">
        <f t="shared" ref="BB7:BB23" si="1">AA7</f>
        <v>0</v>
      </c>
      <c r="BC7" s="78">
        <f t="shared" ref="BC7:BC23" si="2">AC7</f>
        <v>17.507470531270492</v>
      </c>
      <c r="BD7" s="78">
        <f t="shared" ref="BD7:BD23" si="3">AG7</f>
        <v>0</v>
      </c>
      <c r="BE7" s="78">
        <f t="shared" ref="BE7:BE23" si="4">AI7</f>
        <v>0</v>
      </c>
      <c r="BF7" s="78">
        <f t="shared" ref="BF7:BF23" si="5">AK7</f>
        <v>0</v>
      </c>
      <c r="BG7" s="78">
        <f t="shared" ref="BG7:BG23" si="6">AM7</f>
        <v>0</v>
      </c>
    </row>
    <row r="8" spans="1:63" ht="15.8" customHeight="1" x14ac:dyDescent="0.25">
      <c r="A8" s="8">
        <f>ROW()-5</f>
        <v>3</v>
      </c>
      <c r="B8" s="9" t="s">
        <v>99</v>
      </c>
      <c r="C8" s="11"/>
      <c r="D8" s="125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241.72026837887876</v>
      </c>
      <c r="E8" s="10" t="str">
        <f>_xlfn.XLOOKUP($B8,'GP1'!$C$6:$C$55,'GP1'!$B$6:$B$55,"")</f>
        <v/>
      </c>
      <c r="F8" s="126">
        <f>_xlfn.XLOOKUP(E8,'GP1'!$B$6:$B$55,'GP1'!$A$6:$A$55,0)</f>
        <v>0</v>
      </c>
      <c r="G8" s="12" t="str">
        <f>_xlfn.XLOOKUP($B8,'GP2'!$C$6:$C$55,'GP2'!$B$6:$B$55,"")</f>
        <v/>
      </c>
      <c r="H8" s="127">
        <f>_xlfn.XLOOKUP(G8,'GP2'!$B$6:$B$55,'GP2'!$A$6:$A$55,0)</f>
        <v>0</v>
      </c>
      <c r="I8" s="12" t="str">
        <f>_xlfn.XLOOKUP($B8,'GP3'!$C$6:$C$55,'GP3'!$B$6:$B$55,"")</f>
        <v/>
      </c>
      <c r="J8" s="127">
        <f>_xlfn.XLOOKUP(I8,'GP3'!$B$6:$B$55,'GP3'!$A$6:$A$55,0)</f>
        <v>0</v>
      </c>
      <c r="K8" s="12" t="str">
        <f>_xlfn.XLOOKUP($B8,'GP4'!$C$6:$C$55,'GP4'!$B$6:$B$55,"")</f>
        <v/>
      </c>
      <c r="L8" s="127">
        <f>_xlfn.XLOOKUP(K8,'GP4'!$B$6:$B$55,'GP4'!$A$6:$A$55,0)</f>
        <v>0</v>
      </c>
      <c r="M8" s="12" t="str">
        <f>_xlfn.XLOOKUP($B8,'GP5'!$C$6:$C$55,'GP5'!$B$6:$B$55,"")</f>
        <v/>
      </c>
      <c r="N8" s="129">
        <f>_xlfn.XLOOKUP(M8,'GP5'!$B$6:$B$55,'GP5'!$A$6:$A$55,0)</f>
        <v>0</v>
      </c>
      <c r="O8" s="12" t="str">
        <f>_xlfn.XLOOKUP($B8,'GP6'!$C$6:$C$55,'GP6'!$B$6:$B$55,"")</f>
        <v/>
      </c>
      <c r="P8" s="129">
        <f>_xlfn.XLOOKUP(O8,'GP6'!$B$6:$B$55,'GP6'!$A$6:$A$55,0)</f>
        <v>0</v>
      </c>
      <c r="Q8" s="12" t="str">
        <f>_xlfn.XLOOKUP($B8,'GP7'!$C$6:$C$55,'GP7'!$B$6:$B$55,"")</f>
        <v/>
      </c>
      <c r="R8" s="129">
        <f>_xlfn.XLOOKUP(Q8,'GP7'!$B$6:$B$55,'GP7'!$A$6:$A$55,0)</f>
        <v>0</v>
      </c>
      <c r="S8" s="12" t="str">
        <f>_xlfn.XLOOKUP($B8,'GP8'!$C$6:$C$55,'GP8'!$B$6:$B$55,"")</f>
        <v/>
      </c>
      <c r="T8" s="129">
        <f>_xlfn.XLOOKUP(S8,'GP8'!$B$6:$B$55,'GP8'!$A$6:$A$55,0)</f>
        <v>0</v>
      </c>
      <c r="U8" s="12">
        <f>_xlfn.XLOOKUP(B8,MPW!C$6:C$55,MPW!B$6:B$55,"")</f>
        <v>1</v>
      </c>
      <c r="V8" s="129">
        <f>_xlfn.XLOOKUP(U8,MPW!B$6:B$55,MPW!A$6:A$55,0)</f>
        <v>101.14393136125655</v>
      </c>
      <c r="X8" s="12" t="str">
        <f>_xlfn.XLOOKUP($B8,'PEW1'!$C$6:$C$101,'PEW1'!$B$6:$B$101,"")</f>
        <v/>
      </c>
      <c r="Y8" s="79">
        <f>_xlfn.XLOOKUP(X8,'PEW1'!$B$6:$B$55,'PEW1'!$A$6:$A$55,0)</f>
        <v>0</v>
      </c>
      <c r="Z8" s="10" t="str">
        <f>_xlfn.XLOOKUP($B8,'PEW2'!$C$6:$C$101,'PEW2'!$B$6:$B$101,"")</f>
        <v/>
      </c>
      <c r="AA8" s="76">
        <f>_xlfn.XLOOKUP(Z8,'PEW2'!$B$6:$B$55,'PEW2'!$A$6:$A$55,0)</f>
        <v>0</v>
      </c>
      <c r="AB8" s="10">
        <f>_xlfn.XLOOKUP($B8,'PEW3'!$C$6:$C$101,'PEW3'!$B$6:$B$101,"")</f>
        <v>3</v>
      </c>
      <c r="AC8" s="76">
        <f>_xlfn.XLOOKUP(AB8,'PEW3'!$B$6:$B$55,'PEW3'!$A$6:$A$55,0)</f>
        <v>44.222251682132963</v>
      </c>
      <c r="AD8" s="10" t="str">
        <f>_xlfn.XLOOKUP($B8,VFC!$C$6:$C$101,VFC!$B$6:$B$101,"")</f>
        <v/>
      </c>
      <c r="AE8" s="76">
        <f>_xlfn.XLOOKUP(AD8,VFC!$B$6:$B$55,VFC!$A$6:$A$55,0)</f>
        <v>0</v>
      </c>
      <c r="AF8" s="10" t="str">
        <f>_xlfn.XLOOKUP($B8,'PEW4'!$C$6:$C$101,'PEW4'!$B$6:$B$101,"")</f>
        <v/>
      </c>
      <c r="AG8" s="76">
        <f>_xlfn.XLOOKUP(AF8,'PEW4'!$B$6:$B$55,'PEW4'!$A$6:$A$55,0)</f>
        <v>0</v>
      </c>
      <c r="AH8" s="10" t="str">
        <f>_xlfn.XLOOKUP($B8,'PEW5'!$C$6:$C$101,'PEW5'!$B$6:$B$101,"")</f>
        <v/>
      </c>
      <c r="AI8" s="76">
        <f>_xlfn.XLOOKUP(AH8,'PEW5'!$B$6:$B$55,'PEW5'!$A$6:$A$55,0)</f>
        <v>0</v>
      </c>
      <c r="AJ8" s="10" t="str">
        <f>_xlfn.XLOOKUP($B8,'PEW6'!$C$6:$C$101,'PEW6'!$B$6:$B$101,"")</f>
        <v/>
      </c>
      <c r="AK8" s="76">
        <f>_xlfn.XLOOKUP(AJ8,'PEW6'!$B$6:$B$55,'PEW6'!$A$6:$A$55,0)</f>
        <v>0</v>
      </c>
      <c r="AL8" s="10" t="str">
        <f>_xlfn.XLOOKUP($B8,'PEW7'!$C$6:$C$101,'PEW7'!$B$6:$B$101,"")</f>
        <v/>
      </c>
      <c r="AM8" s="76">
        <f>_xlfn.XLOOKUP(AL8,'PEW7'!$B$6:$B$55,'PEW7'!$A$6:$A$55,0)</f>
        <v>0</v>
      </c>
      <c r="AN8" s="10" t="str">
        <f>_xlfn.XLOOKUP($B8,'PEW8'!$C$6:$C$101,'PEW8'!$B$6:$B$101,"")</f>
        <v/>
      </c>
      <c r="AO8" s="76">
        <f>_xlfn.XLOOKUP(AN8,'PEW8'!$B$6:$B$55,'PEW8'!$A$6:$A$55,0)</f>
        <v>0</v>
      </c>
      <c r="AP8" s="10" t="str">
        <f>_xlfn.XLOOKUP($B8,'PEW9'!$C$6:$C$101,'PEW9'!$B$6:$B$101,"")</f>
        <v/>
      </c>
      <c r="AQ8" s="76">
        <f>_xlfn.XLOOKUP(AP8,'PEW9'!$B$6:$B$55,'PEW9'!$A$6:$A$55,0)</f>
        <v>0</v>
      </c>
      <c r="AR8" s="10" t="str">
        <f>_xlfn.XLOOKUP($B8,'PEW10'!$C$6:$C$101,'PEW10'!$B$6:$B$101,"")</f>
        <v/>
      </c>
      <c r="AS8" s="76">
        <f>_xlfn.XLOOKUP(AR8,'PEW10'!$B$6:$B$55,'PEW10'!$A$6:$A$55,0)</f>
        <v>0</v>
      </c>
      <c r="AT8" s="10">
        <f>_xlfn.XLOOKUP($B8,'PEW11'!$C$6:$C$101,'PEW11'!$B$6:$B$101,"")</f>
        <v>1</v>
      </c>
      <c r="AU8" s="76">
        <f>_xlfn.XLOOKUP(AT8,'PEW11'!$B$6:$B$55,'PEW11'!$A$6:$A$55,0)</f>
        <v>96.354085335489259</v>
      </c>
      <c r="AV8" s="10" t="str">
        <f>_xlfn.XLOOKUP($B8,'PEW12'!$C$6:$C$101,'PEW12'!$B$6:$B$101,"")</f>
        <v/>
      </c>
      <c r="AW8" s="76">
        <f>_xlfn.XLOOKUP(AV8,'PEW12'!$B$6:$B$55,'PEW12'!$A$6:$A$55,0)</f>
        <v>0</v>
      </c>
      <c r="AX8" s="10" t="str" cm="1">
        <f t="array" ref="AX8">_xlfn.XLOOKUP($B8,IMEW!C$6:C$101,IMEW!$B$6:B$101,"")</f>
        <v/>
      </c>
      <c r="AY8" s="77">
        <f>_xlfn.XLOOKUP(AX8,IMEW!$B$6:$B$100,IMEW!$A$6:$A$100,0)</f>
        <v>0</v>
      </c>
      <c r="BA8" s="78">
        <f t="shared" si="0"/>
        <v>0</v>
      </c>
      <c r="BB8" s="78">
        <f t="shared" si="1"/>
        <v>0</v>
      </c>
      <c r="BC8" s="78">
        <f t="shared" si="2"/>
        <v>44.222251682132963</v>
      </c>
      <c r="BD8" s="78">
        <f t="shared" si="3"/>
        <v>0</v>
      </c>
      <c r="BE8" s="78">
        <f t="shared" si="4"/>
        <v>0</v>
      </c>
      <c r="BF8" s="78">
        <f t="shared" si="5"/>
        <v>0</v>
      </c>
      <c r="BG8" s="78">
        <f t="shared" si="6"/>
        <v>0</v>
      </c>
    </row>
    <row r="9" spans="1:63" ht="14.8" customHeight="1" x14ac:dyDescent="0.25">
      <c r="A9" s="8">
        <f>ROW()-5</f>
        <v>4</v>
      </c>
      <c r="B9" s="135" t="s">
        <v>21</v>
      </c>
      <c r="C9" s="11"/>
      <c r="D9" s="125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178.47709663034664</v>
      </c>
      <c r="E9" s="10" t="str">
        <f>_xlfn.XLOOKUP($B9,'GP1'!$C$6:$C$55,'GP1'!$B$6:$B$55,"")</f>
        <v>9k3</v>
      </c>
      <c r="F9" s="126">
        <f>_xlfn.XLOOKUP(E9,'GP1'!$B$6:$B$55,'GP1'!$A$6:$A$55,0)</f>
        <v>3.2421170374730792</v>
      </c>
      <c r="G9" s="12" t="str">
        <f>_xlfn.XLOOKUP($B9,'GP2'!$C$6:$C$55,'GP2'!$B$6:$B$55,"")</f>
        <v>9k3</v>
      </c>
      <c r="H9" s="127">
        <f>_xlfn.XLOOKUP(G9,'GP2'!$B$6:$B$55,'GP2'!$A$6:$A$55,0)</f>
        <v>1</v>
      </c>
      <c r="I9" s="12" t="str">
        <f>_xlfn.XLOOKUP($B9,'GP3'!$C$6:$C$55,'GP3'!$B$6:$B$55,"")</f>
        <v/>
      </c>
      <c r="J9" s="127">
        <f>_xlfn.XLOOKUP(I9,'GP3'!$B$6:$B$55,'GP3'!$A$6:$A$55,0)</f>
        <v>0</v>
      </c>
      <c r="K9" s="12">
        <f>_xlfn.XLOOKUP($B9,'GP4'!$C$6:$C$55,'GP4'!$B$6:$B$55,"")</f>
        <v>2</v>
      </c>
      <c r="L9" s="127">
        <f>_xlfn.XLOOKUP(K9,'GP4'!$B$6:$B$55,'GP4'!$A$6:$A$55,0)</f>
        <v>45.024406311809194</v>
      </c>
      <c r="M9" s="12" t="str">
        <f>_xlfn.XLOOKUP($B9,'GP5'!$C$6:$C$55,'GP5'!$B$6:$B$55,"")</f>
        <v/>
      </c>
      <c r="N9" s="129">
        <f>_xlfn.XLOOKUP(M9,'GP5'!$B$6:$B$55,'GP5'!$A$6:$A$55,0)</f>
        <v>0</v>
      </c>
      <c r="O9" s="12">
        <f>_xlfn.XLOOKUP($B9,'GP6'!$C$6:$C$55,'GP6'!$B$6:$B$55,"")</f>
        <v>1</v>
      </c>
      <c r="P9" s="129">
        <f>_xlfn.XLOOKUP(O9,'GP6'!$B$6:$B$55,'GP6'!$A$6:$A$55,0)</f>
        <v>84.286609467713788</v>
      </c>
      <c r="Q9" s="12">
        <f>_xlfn.XLOOKUP($B9,'GP7'!$C$6:$C$55,'GP7'!$B$6:$B$55,"")</f>
        <v>2</v>
      </c>
      <c r="R9" s="129">
        <f>_xlfn.XLOOKUP(Q9,'GP7'!$B$6:$B$55,'GP7'!$A$6:$A$55,0)</f>
        <v>37.73793949684304</v>
      </c>
      <c r="S9" s="12" t="str">
        <f>_xlfn.XLOOKUP($B9,'GP8'!$C$6:$C$55,'GP8'!$B$6:$B$55,"")</f>
        <v/>
      </c>
      <c r="T9" s="129">
        <f>_xlfn.XLOOKUP(S9,'GP8'!$B$6:$B$55,'GP8'!$A$6:$A$55,0)</f>
        <v>0</v>
      </c>
      <c r="U9" s="12">
        <f>_xlfn.XLOOKUP(B9,MPW!C$6:C$55,MPW!B$6:B$55,"")</f>
        <v>4</v>
      </c>
      <c r="V9" s="129">
        <f>_xlfn.XLOOKUP(U9,MPW!B$6:B$55,MPW!A$6:A$55,0)</f>
        <v>1.2</v>
      </c>
      <c r="X9" s="12" t="str">
        <f>_xlfn.XLOOKUP($B9,'PEW1'!$C$6:$C$101,'PEW1'!$B$6:$B$101,"")</f>
        <v/>
      </c>
      <c r="Y9" s="79">
        <f>_xlfn.XLOOKUP(X9,'PEW1'!$B$6:$B$55,'PEW1'!$A$6:$A$55,0)</f>
        <v>0</v>
      </c>
      <c r="Z9" s="10" t="str">
        <f>_xlfn.XLOOKUP($B9,'PEW2'!$C$6:$C$101,'PEW2'!$B$6:$B$101,"")</f>
        <v/>
      </c>
      <c r="AA9" s="76">
        <f>_xlfn.XLOOKUP(Z9,'PEW2'!$B$6:$B$55,'PEW2'!$A$6:$A$55,0)</f>
        <v>0</v>
      </c>
      <c r="AB9" s="10" t="str">
        <f>_xlfn.XLOOKUP($B9,'PEW3'!$C$6:$C$101,'PEW3'!$B$6:$B$101,"")</f>
        <v/>
      </c>
      <c r="AC9" s="76">
        <f>_xlfn.XLOOKUP(AB9,'PEW3'!$B$6:$B$55,'PEW3'!$A$6:$A$55,0)</f>
        <v>0</v>
      </c>
      <c r="AD9" s="10" t="str">
        <f>_xlfn.XLOOKUP($B9,VFC!$C$6:$C$101,VFC!$B$6:$B$101,"")</f>
        <v/>
      </c>
      <c r="AE9" s="76">
        <f>_xlfn.XLOOKUP(AD9,VFC!$B$6:$B$55,VFC!$A$6:$A$55,0)</f>
        <v>0</v>
      </c>
      <c r="AF9" s="10" t="str">
        <f>_xlfn.XLOOKUP($B9,'PEW4'!$C$6:$C$101,'PEW4'!$B$6:$B$101,"")</f>
        <v/>
      </c>
      <c r="AG9" s="76">
        <f>_xlfn.XLOOKUP(AF9,'PEW4'!$B$6:$B$55,'PEW4'!$A$6:$A$55,0)</f>
        <v>0</v>
      </c>
      <c r="AH9" s="10" t="str">
        <f>_xlfn.XLOOKUP($B9,'PEW5'!$C$6:$C$101,'PEW5'!$B$6:$B$101,"")</f>
        <v/>
      </c>
      <c r="AI9" s="76">
        <f>_xlfn.XLOOKUP(AH9,'PEW5'!$B$6:$B$55,'PEW5'!$A$6:$A$55,0)</f>
        <v>0</v>
      </c>
      <c r="AJ9" s="10" t="str">
        <f>_xlfn.XLOOKUP($B9,'PEW6'!$C$6:$C$101,'PEW6'!$B$6:$B$101,"")</f>
        <v/>
      </c>
      <c r="AK9" s="76">
        <f>_xlfn.XLOOKUP(AJ9,'PEW6'!$B$6:$B$55,'PEW6'!$A$6:$A$55,0)</f>
        <v>0</v>
      </c>
      <c r="AL9" s="10" t="str">
        <f>_xlfn.XLOOKUP($B9,'PEW7'!$C$6:$C$101,'PEW7'!$B$6:$B$101,"")</f>
        <v/>
      </c>
      <c r="AM9" s="76">
        <f>_xlfn.XLOOKUP(AL9,'PEW7'!$B$6:$B$55,'PEW7'!$A$6:$A$55,0)</f>
        <v>0</v>
      </c>
      <c r="AN9" s="10" t="str">
        <f>_xlfn.XLOOKUP($B9,'PEW8'!$C$6:$C$101,'PEW8'!$B$6:$B$101,"")</f>
        <v/>
      </c>
      <c r="AO9" s="76">
        <f>_xlfn.XLOOKUP(AN9,'PEW8'!$B$6:$B$55,'PEW8'!$A$6:$A$55,0)</f>
        <v>0</v>
      </c>
      <c r="AP9" s="10" t="str">
        <f>_xlfn.XLOOKUP($B9,'PEW9'!$C$6:$C$101,'PEW9'!$B$6:$B$101,"")</f>
        <v/>
      </c>
      <c r="AQ9" s="76">
        <f>_xlfn.XLOOKUP(AP9,'PEW9'!$B$6:$B$55,'PEW9'!$A$6:$A$55,0)</f>
        <v>0</v>
      </c>
      <c r="AR9" s="10" t="str">
        <f>_xlfn.XLOOKUP($B9,'PEW10'!$C$6:$C$101,'PEW10'!$B$6:$B$101,"")</f>
        <v/>
      </c>
      <c r="AS9" s="76">
        <f>_xlfn.XLOOKUP(AR9,'PEW10'!$B$6:$B$55,'PEW10'!$A$6:$A$55,0)</f>
        <v>0</v>
      </c>
      <c r="AT9" s="10">
        <f>_xlfn.XLOOKUP($B9,'PEW11'!$C$6:$C$101,'PEW11'!$B$6:$B$101,"")</f>
        <v>5</v>
      </c>
      <c r="AU9" s="76">
        <f>_xlfn.XLOOKUP(AT9,'PEW11'!$B$6:$B$55,'PEW11'!$A$6:$A$55,0)</f>
        <v>5.9860243165075602</v>
      </c>
      <c r="AV9" s="10" t="str">
        <f>_xlfn.XLOOKUP($B9,'PEW12'!$C$6:$C$101,'PEW12'!$B$6:$B$101,"")</f>
        <v/>
      </c>
      <c r="AW9" s="76">
        <f>_xlfn.XLOOKUP(AV9,'PEW12'!$B$6:$B$55,'PEW12'!$A$6:$A$55,0)</f>
        <v>0</v>
      </c>
      <c r="AX9" s="10" t="str" cm="1">
        <f t="array" ref="AX9">_xlfn.XLOOKUP($B9,IMEW!C$6:C$101,IMEW!$B$6:B$101,"")</f>
        <v/>
      </c>
      <c r="AY9" s="77">
        <f>_xlfn.XLOOKUP(AX9,IMEW!$B$6:$B$100,IMEW!$A$6:$A$100,0)</f>
        <v>0</v>
      </c>
      <c r="BA9" s="78">
        <f t="shared" si="0"/>
        <v>0</v>
      </c>
      <c r="BB9" s="78">
        <f t="shared" si="1"/>
        <v>0</v>
      </c>
      <c r="BC9" s="78">
        <f t="shared" si="2"/>
        <v>0</v>
      </c>
      <c r="BD9" s="78">
        <f t="shared" si="3"/>
        <v>0</v>
      </c>
      <c r="BE9" s="78">
        <f t="shared" si="4"/>
        <v>0</v>
      </c>
      <c r="BF9" s="78">
        <f t="shared" si="5"/>
        <v>0</v>
      </c>
      <c r="BG9" s="78">
        <f t="shared" si="6"/>
        <v>0</v>
      </c>
    </row>
    <row r="10" spans="1:63" ht="14.8" customHeight="1" x14ac:dyDescent="0.25">
      <c r="A10" s="8">
        <f>ROW()-5</f>
        <v>5</v>
      </c>
      <c r="B10" s="9" t="s">
        <v>23</v>
      </c>
      <c r="C10" s="68"/>
      <c r="D10" s="125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98.812510907117286</v>
      </c>
      <c r="E10" s="10" t="str">
        <f>_xlfn.XLOOKUP($B10,'GP1'!$C$6:$C$55,'GP1'!$B$6:$B$55,"")</f>
        <v/>
      </c>
      <c r="F10" s="126">
        <f>_xlfn.XLOOKUP(E10,'GP1'!$B$6:$B$55,'GP1'!$A$6:$A$55,0)</f>
        <v>0</v>
      </c>
      <c r="G10" s="12">
        <f>_xlfn.XLOOKUP($B10,'GP2'!$C$6:$C$55,'GP2'!$B$6:$B$55,"")</f>
        <v>4</v>
      </c>
      <c r="H10" s="127">
        <f>_xlfn.XLOOKUP(G10,'GP2'!$B$6:$B$55,'GP2'!$A$6:$A$55,0)</f>
        <v>1</v>
      </c>
      <c r="I10" s="12">
        <f>_xlfn.XLOOKUP($B10,'GP3'!$C$6:$C$55,'GP3'!$B$6:$B$55,"")</f>
        <v>4</v>
      </c>
      <c r="J10" s="127">
        <f>_xlfn.XLOOKUP(I10,'GP3'!$B$6:$B$55,'GP3'!$A$6:$A$55,0)</f>
        <v>1</v>
      </c>
      <c r="K10" s="12" t="str">
        <f>_xlfn.XLOOKUP($B10,'GP4'!$C$6:$C$55,'GP4'!$B$6:$B$55,"")</f>
        <v/>
      </c>
      <c r="L10" s="127">
        <f>_xlfn.XLOOKUP(K10,'GP4'!$B$6:$B$55,'GP4'!$A$6:$A$55,0)</f>
        <v>0</v>
      </c>
      <c r="M10" s="12">
        <f>_xlfn.XLOOKUP($B10,'GP5'!$C$6:$C$55,'GP5'!$B$6:$B$55,"")</f>
        <v>3</v>
      </c>
      <c r="N10" s="129">
        <f>_xlfn.XLOOKUP(M10,'GP5'!$B$6:$B$55,'GP5'!$A$6:$A$55,0)</f>
        <v>15.930621888236271</v>
      </c>
      <c r="O10" s="12">
        <f>_xlfn.XLOOKUP($B10,'GP6'!$C$6:$C$55,'GP6'!$B$6:$B$55,"")</f>
        <v>3</v>
      </c>
      <c r="P10" s="129">
        <f>_xlfn.XLOOKUP(O10,'GP6'!$B$6:$B$55,'GP6'!$A$6:$A$55,0)</f>
        <v>15.930621888236271</v>
      </c>
      <c r="Q10" s="12">
        <f>_xlfn.XLOOKUP($B10,'GP7'!$C$6:$C$55,'GP7'!$B$6:$B$55,"")</f>
        <v>3</v>
      </c>
      <c r="R10" s="129">
        <f>_xlfn.XLOOKUP(Q10,'GP7'!$B$6:$B$55,'GP7'!$A$6:$A$55,0)</f>
        <v>5.3267487109222245</v>
      </c>
      <c r="S10" s="12" t="str">
        <f>_xlfn.XLOOKUP($B10,'GP8'!$C$6:$C$55,'GP8'!$B$6:$B$55,"")</f>
        <v/>
      </c>
      <c r="T10" s="129">
        <f>_xlfn.XLOOKUP(S10,'GP8'!$B$6:$B$55,'GP8'!$A$6:$A$55,0)</f>
        <v>0</v>
      </c>
      <c r="U10" s="12">
        <f>_xlfn.XLOOKUP(B10,MPW!C$6:C$55,MPW!B$6:B$55,"")</f>
        <v>3</v>
      </c>
      <c r="V10" s="129">
        <f>_xlfn.XLOOKUP(U10,MPW!B$6:B$55,MPW!A$6:A$55,0)</f>
        <v>19.116746265883524</v>
      </c>
      <c r="X10" s="12" t="str">
        <f>_xlfn.XLOOKUP($B10,'PEW1'!$C$6:$C$101,'PEW1'!$B$6:$B$101,"")</f>
        <v/>
      </c>
      <c r="Y10" s="79">
        <f>_xlfn.XLOOKUP(X10,'PEW1'!$B$6:$B$55,'PEW1'!$A$6:$A$55,0)</f>
        <v>0</v>
      </c>
      <c r="Z10" s="10" t="str">
        <f>_xlfn.XLOOKUP($B10,'PEW2'!$C$6:$C$101,'PEW2'!$B$6:$B$101,"")</f>
        <v/>
      </c>
      <c r="AA10" s="76">
        <f>_xlfn.XLOOKUP(Z10,'PEW2'!$B$6:$B$55,'PEW2'!$A$6:$A$55,0)</f>
        <v>0</v>
      </c>
      <c r="AB10" s="10">
        <f>_xlfn.XLOOKUP($B10,'PEW3'!$C$6:$C$101,'PEW3'!$B$6:$B$101,"")</f>
        <v>9</v>
      </c>
      <c r="AC10" s="76">
        <f>_xlfn.XLOOKUP(AB10,'PEW3'!$B$6:$B$55,'PEW3'!$A$6:$A$55,0)</f>
        <v>5.1006228208500346</v>
      </c>
      <c r="AD10" s="10" t="str">
        <f>_xlfn.XLOOKUP($B10,VFC!$C$6:$C$101,VFC!$B$6:$B$101,"")</f>
        <v/>
      </c>
      <c r="AE10" s="76">
        <f>_xlfn.XLOOKUP(AD10,VFC!$B$6:$B$55,VFC!$A$6:$A$55,0)</f>
        <v>0</v>
      </c>
      <c r="AF10" s="10" t="str">
        <f>_xlfn.XLOOKUP($B10,'PEW4'!$C$6:$C$101,'PEW4'!$B$6:$B$101,"")</f>
        <v/>
      </c>
      <c r="AG10" s="76">
        <f>_xlfn.XLOOKUP(AF10,'PEW4'!$B$6:$B$55,'PEW4'!$A$6:$A$55,0)</f>
        <v>0</v>
      </c>
      <c r="AH10" s="10" t="str">
        <f>_xlfn.XLOOKUP($B10,'PEW5'!$C$6:$C$101,'PEW5'!$B$6:$B$101,"")</f>
        <v/>
      </c>
      <c r="AI10" s="76">
        <f>_xlfn.XLOOKUP(AH10,'PEW5'!$B$6:$B$55,'PEW5'!$A$6:$A$55,0)</f>
        <v>0</v>
      </c>
      <c r="AJ10" s="10" t="str">
        <f>_xlfn.XLOOKUP($B10,'PEW6'!$C$6:$C$101,'PEW6'!$B$6:$B$101,"")</f>
        <v/>
      </c>
      <c r="AK10" s="76">
        <f>_xlfn.XLOOKUP(AJ10,'PEW6'!$B$6:$B$55,'PEW6'!$A$6:$A$55,0)</f>
        <v>0</v>
      </c>
      <c r="AL10" s="10" t="str">
        <f>_xlfn.XLOOKUP($B10,'PEW7'!$C$6:$C$101,'PEW7'!$B$6:$B$101,"")</f>
        <v/>
      </c>
      <c r="AM10" s="76">
        <f>_xlfn.XLOOKUP(AL10,'PEW7'!$B$6:$B$55,'PEW7'!$A$6:$A$55,0)</f>
        <v>0</v>
      </c>
      <c r="AN10" s="10" t="str">
        <f>_xlfn.XLOOKUP($B10,'PEW8'!$C$6:$C$101,'PEW8'!$B$6:$B$101,"")</f>
        <v/>
      </c>
      <c r="AO10" s="76">
        <f>_xlfn.XLOOKUP(AN10,'PEW8'!$B$6:$B$55,'PEW8'!$A$6:$A$55,0)</f>
        <v>0</v>
      </c>
      <c r="AP10" s="10" t="str">
        <f>_xlfn.XLOOKUP($B10,'PEW9'!$C$6:$C$101,'PEW9'!$B$6:$B$101,"")</f>
        <v/>
      </c>
      <c r="AQ10" s="76">
        <f>_xlfn.XLOOKUP(AP10,'PEW9'!$B$6:$B$55,'PEW9'!$A$6:$A$55,0)</f>
        <v>0</v>
      </c>
      <c r="AR10" s="10" t="str">
        <f>_xlfn.XLOOKUP($B10,'PEW10'!$C$6:$C$101,'PEW10'!$B$6:$B$101,"")</f>
        <v/>
      </c>
      <c r="AS10" s="76">
        <f>_xlfn.XLOOKUP(AR10,'PEW10'!$B$6:$B$55,'PEW10'!$A$6:$A$55,0)</f>
        <v>0</v>
      </c>
      <c r="AT10" s="10">
        <f>_xlfn.XLOOKUP($B10,'PEW11'!$C$6:$C$101,'PEW11'!$B$6:$B$101,"")</f>
        <v>3</v>
      </c>
      <c r="AU10" s="76">
        <f>_xlfn.XLOOKUP(AT10,'PEW11'!$B$6:$B$55,'PEW11'!$A$6:$A$55,0)</f>
        <v>35.407149332988958</v>
      </c>
      <c r="AV10" s="10" t="str">
        <f>_xlfn.XLOOKUP($B10,'PEW12'!$C$6:$C$101,'PEW12'!$B$6:$B$101,"")</f>
        <v/>
      </c>
      <c r="AW10" s="76">
        <f>_xlfn.XLOOKUP(AV10,'PEW12'!$B$6:$B$55,'PEW12'!$A$6:$A$55,0)</f>
        <v>0</v>
      </c>
      <c r="AX10" s="10" t="str" cm="1">
        <f t="array" ref="AX10">_xlfn.XLOOKUP($B10,IMEW!C$6:C$101,IMEW!$B$6:B$101,"")</f>
        <v/>
      </c>
      <c r="AY10" s="77">
        <f>_xlfn.XLOOKUP(AX10,IMEW!$B$6:$B$100,IMEW!$A$6:$A$100,0)</f>
        <v>0</v>
      </c>
      <c r="BA10" s="78">
        <f t="shared" si="0"/>
        <v>0</v>
      </c>
      <c r="BB10" s="78">
        <f t="shared" si="1"/>
        <v>0</v>
      </c>
      <c r="BC10" s="78">
        <f t="shared" si="2"/>
        <v>5.1006228208500346</v>
      </c>
      <c r="BD10" s="78">
        <f t="shared" si="3"/>
        <v>0</v>
      </c>
      <c r="BE10" s="78">
        <f t="shared" si="4"/>
        <v>0</v>
      </c>
      <c r="BF10" s="78">
        <f t="shared" si="5"/>
        <v>0</v>
      </c>
      <c r="BG10" s="78">
        <f t="shared" si="6"/>
        <v>0</v>
      </c>
    </row>
    <row r="11" spans="1:63" ht="14.8" customHeight="1" x14ac:dyDescent="0.25">
      <c r="A11" s="8">
        <f>ROW()-5</f>
        <v>6</v>
      </c>
      <c r="B11" s="254" t="s">
        <v>22</v>
      </c>
      <c r="C11" s="11"/>
      <c r="D11" s="125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54.668561385079315</v>
      </c>
      <c r="E11" s="10">
        <f>_xlfn.XLOOKUP($B11,'GP1'!$C$6:$C$55,'GP1'!$B$6:$B$55,"")</f>
        <v>2</v>
      </c>
      <c r="F11" s="126">
        <f>_xlfn.XLOOKUP(E11,'GP1'!$B$6:$B$55,'GP1'!$A$6:$A$55,0)</f>
        <v>37.73793949684304</v>
      </c>
      <c r="G11" s="12">
        <f>_xlfn.XLOOKUP($B11,'GP2'!$C$6:$C$55,'GP2'!$B$6:$B$55,"")</f>
        <v>3</v>
      </c>
      <c r="H11" s="127">
        <f>_xlfn.XLOOKUP(G11,'GP2'!$B$6:$B$55,'GP2'!$A$6:$A$55,0)</f>
        <v>15.930621888236271</v>
      </c>
      <c r="I11" s="12" t="str">
        <f>_xlfn.XLOOKUP($B11,'GP3'!$C$6:$C$55,'GP3'!$B$6:$B$55,"")</f>
        <v/>
      </c>
      <c r="J11" s="127">
        <f>_xlfn.XLOOKUP(I11,'GP3'!$B$6:$B$55,'GP3'!$A$6:$A$55,0)</f>
        <v>0</v>
      </c>
      <c r="K11" s="12" t="str">
        <f>_xlfn.XLOOKUP($B11,'GP4'!$C$6:$C$55,'GP4'!$B$6:$B$55,"")</f>
        <v/>
      </c>
      <c r="L11" s="127">
        <f>_xlfn.XLOOKUP(K11,'GP4'!$B$6:$B$55,'GP4'!$A$6:$A$55,0)</f>
        <v>0</v>
      </c>
      <c r="M11" s="12" t="str">
        <f>_xlfn.XLOOKUP($B11,'GP5'!$C$6:$C$55,'GP5'!$B$6:$B$55,"")</f>
        <v/>
      </c>
      <c r="N11" s="129">
        <f>_xlfn.XLOOKUP(M11,'GP5'!$B$6:$B$55,'GP5'!$A$6:$A$55,0)</f>
        <v>0</v>
      </c>
      <c r="O11" s="12" t="str">
        <f>_xlfn.XLOOKUP($B11,'GP6'!$C$6:$C$55,'GP6'!$B$6:$B$55,"")</f>
        <v/>
      </c>
      <c r="P11" s="129">
        <f>_xlfn.XLOOKUP(O11,'GP6'!$B$6:$B$55,'GP6'!$A$6:$A$55,0)</f>
        <v>0</v>
      </c>
      <c r="Q11" s="12" t="str">
        <f>_xlfn.XLOOKUP($B11,'GP7'!$C$6:$C$55,'GP7'!$B$6:$B$55,"")</f>
        <v/>
      </c>
      <c r="R11" s="129">
        <f>_xlfn.XLOOKUP(Q11,'GP7'!$B$6:$B$55,'GP7'!$A$6:$A$55,0)</f>
        <v>0</v>
      </c>
      <c r="S11" s="12" t="str">
        <f>_xlfn.XLOOKUP($B11,'GP8'!$C$6:$C$55,'GP8'!$B$6:$B$55,"")</f>
        <v/>
      </c>
      <c r="T11" s="129">
        <f>_xlfn.XLOOKUP(S11,'GP8'!$B$6:$B$55,'GP8'!$A$6:$A$55,0)</f>
        <v>0</v>
      </c>
      <c r="U11" s="12" t="str">
        <f>_xlfn.XLOOKUP(B11,MPW!C$6:C$55,MPW!B$6:B$55,"")</f>
        <v/>
      </c>
      <c r="V11" s="129" t="str">
        <f>_xlfn.XLOOKUP(U11,MPW!B$6:B$55,MPW!A$6:A$55,0)</f>
        <v/>
      </c>
      <c r="X11" s="12" t="str">
        <f>_xlfn.XLOOKUP($B11,'PEW1'!$C$6:$C$101,'PEW1'!$B$6:$B$101,"")</f>
        <v/>
      </c>
      <c r="Y11" s="79">
        <f>_xlfn.XLOOKUP(X11,'PEW1'!$B$6:$B$55,'PEW1'!$A$6:$A$55,0)</f>
        <v>0</v>
      </c>
      <c r="Z11" s="10" t="str">
        <f>_xlfn.XLOOKUP($B11,'PEW2'!$C$6:$C$101,'PEW2'!$B$6:$B$101,"")</f>
        <v/>
      </c>
      <c r="AA11" s="76">
        <f>_xlfn.XLOOKUP(Z11,'PEW2'!$B$6:$B$55,'PEW2'!$A$6:$A$55,0)</f>
        <v>0</v>
      </c>
      <c r="AB11" s="10">
        <f>_xlfn.XLOOKUP($B11,'PEW3'!$C$6:$C$101,'PEW3'!$B$6:$B$101,"")</f>
        <v>11</v>
      </c>
      <c r="AC11" s="76">
        <f>_xlfn.XLOOKUP(AB11,'PEW3'!$B$6:$B$55,'PEW3'!$A$6:$A$55,0)</f>
        <v>1</v>
      </c>
      <c r="AD11" s="10" t="str">
        <f>_xlfn.XLOOKUP($B11,VFC!$C$6:$C$101,VFC!$B$6:$B$101,"")</f>
        <v/>
      </c>
      <c r="AE11" s="76">
        <f>_xlfn.XLOOKUP(AD11,VFC!$B$6:$B$55,VFC!$A$6:$A$55,0)</f>
        <v>0</v>
      </c>
      <c r="AF11" s="10" t="str">
        <f>_xlfn.XLOOKUP($B11,'PEW4'!$C$6:$C$101,'PEW4'!$B$6:$B$101,"")</f>
        <v/>
      </c>
      <c r="AG11" s="76">
        <f>_xlfn.XLOOKUP(AF11,'PEW4'!$B$6:$B$55,'PEW4'!$A$6:$A$55,0)</f>
        <v>0</v>
      </c>
      <c r="AH11" s="10" t="str">
        <f>_xlfn.XLOOKUP($B11,'PEW5'!$C$6:$C$101,'PEW5'!$B$6:$B$101,"")</f>
        <v/>
      </c>
      <c r="AI11" s="76">
        <f>_xlfn.XLOOKUP(AH11,'PEW5'!$B$6:$B$55,'PEW5'!$A$6:$A$55,0)</f>
        <v>0</v>
      </c>
      <c r="AJ11" s="10" t="str">
        <f>_xlfn.XLOOKUP($B11,'PEW6'!$C$6:$C$101,'PEW6'!$B$6:$B$101,"")</f>
        <v/>
      </c>
      <c r="AK11" s="76">
        <f>_xlfn.XLOOKUP(AJ11,'PEW6'!$B$6:$B$55,'PEW6'!$A$6:$A$55,0)</f>
        <v>0</v>
      </c>
      <c r="AL11" s="10" t="str">
        <f>_xlfn.XLOOKUP($B11,'PEW7'!$C$6:$C$101,'PEW7'!$B$6:$B$101,"")</f>
        <v/>
      </c>
      <c r="AM11" s="76">
        <f>_xlfn.XLOOKUP(AL11,'PEW7'!$B$6:$B$55,'PEW7'!$A$6:$A$55,0)</f>
        <v>0</v>
      </c>
      <c r="AN11" s="10" t="str">
        <f>_xlfn.XLOOKUP($B11,'PEW8'!$C$6:$C$101,'PEW8'!$B$6:$B$101,"")</f>
        <v/>
      </c>
      <c r="AO11" s="76">
        <f>_xlfn.XLOOKUP(AN11,'PEW8'!$B$6:$B$55,'PEW8'!$A$6:$A$55,0)</f>
        <v>0</v>
      </c>
      <c r="AP11" s="10" t="str">
        <f>_xlfn.XLOOKUP($B11,'PEW9'!$C$6:$C$101,'PEW9'!$B$6:$B$101,"")</f>
        <v/>
      </c>
      <c r="AQ11" s="76">
        <f>_xlfn.XLOOKUP(AP11,'PEW9'!$B$6:$B$55,'PEW9'!$A$6:$A$55,0)</f>
        <v>0</v>
      </c>
      <c r="AR11" s="10" t="str">
        <f>_xlfn.XLOOKUP($B11,'PEW10'!$C$6:$C$101,'PEW10'!$B$6:$B$101,"")</f>
        <v/>
      </c>
      <c r="AS11" s="76">
        <f>_xlfn.XLOOKUP(AR11,'PEW10'!$B$6:$B$55,'PEW10'!$A$6:$A$55,0)</f>
        <v>0</v>
      </c>
      <c r="AT11" s="10" t="str">
        <f>_xlfn.XLOOKUP($B11,'PEW11'!$C$6:$C$101,'PEW11'!$B$6:$B$101,"")</f>
        <v/>
      </c>
      <c r="AU11" s="76">
        <f>_xlfn.XLOOKUP(AT11,'PEW11'!$B$6:$B$55,'PEW11'!$A$6:$A$55,0)</f>
        <v>0</v>
      </c>
      <c r="AV11" s="10" t="str">
        <f>_xlfn.XLOOKUP($B11,'PEW12'!$C$6:$C$101,'PEW12'!$B$6:$B$101,"")</f>
        <v/>
      </c>
      <c r="AW11" s="76">
        <f>_xlfn.XLOOKUP(AV11,'PEW12'!$B$6:$B$55,'PEW12'!$A$6:$A$55,0)</f>
        <v>0</v>
      </c>
      <c r="AX11" s="10" t="str" cm="1">
        <f t="array" ref="AX11">_xlfn.XLOOKUP($B11,IMEW!C$6:C$101,IMEW!$B$6:B$101,"")</f>
        <v/>
      </c>
      <c r="AY11" s="77">
        <f>_xlfn.XLOOKUP(AX11,IMEW!$B$6:$B$100,IMEW!$A$6:$A$100,0)</f>
        <v>0</v>
      </c>
      <c r="BA11" s="78">
        <f t="shared" si="0"/>
        <v>0</v>
      </c>
      <c r="BB11" s="78">
        <f t="shared" si="1"/>
        <v>0</v>
      </c>
      <c r="BC11" s="78">
        <f t="shared" si="2"/>
        <v>1</v>
      </c>
      <c r="BD11" s="78">
        <f t="shared" si="3"/>
        <v>0</v>
      </c>
      <c r="BE11" s="78">
        <f t="shared" si="4"/>
        <v>0</v>
      </c>
      <c r="BF11" s="78">
        <f t="shared" si="5"/>
        <v>0</v>
      </c>
      <c r="BG11" s="78">
        <f t="shared" si="6"/>
        <v>0</v>
      </c>
    </row>
    <row r="12" spans="1:63" ht="14.8" customHeight="1" x14ac:dyDescent="0.25">
      <c r="A12" s="8">
        <f>ROW()-5</f>
        <v>7</v>
      </c>
      <c r="B12" s="9" t="s">
        <v>24</v>
      </c>
      <c r="C12" s="11"/>
      <c r="D12" s="125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3</v>
      </c>
      <c r="E12" s="10" t="str">
        <f>_xlfn.XLOOKUP($B12,'GP1'!$C$6:$C$55,'GP1'!$B$6:$B$55,"")</f>
        <v/>
      </c>
      <c r="F12" s="126">
        <f>_xlfn.XLOOKUP(E12,'GP1'!$B$6:$B$55,'GP1'!$A$6:$A$55,0)</f>
        <v>0</v>
      </c>
      <c r="G12" s="12" t="str">
        <f>_xlfn.XLOOKUP($B12,'GP2'!$C$6:$C$55,'GP2'!$B$6:$B$55,"")</f>
        <v/>
      </c>
      <c r="H12" s="127">
        <f>_xlfn.XLOOKUP(G12,'GP2'!$B$6:$B$55,'GP2'!$A$6:$A$55,0)</f>
        <v>0</v>
      </c>
      <c r="I12" s="12" t="str">
        <f>_xlfn.XLOOKUP($B12,'GP3'!$C$6:$C$55,'GP3'!$B$6:$B$55,"")</f>
        <v/>
      </c>
      <c r="J12" s="127">
        <f>_xlfn.XLOOKUP(I12,'GP3'!$B$6:$B$55,'GP3'!$A$6:$A$55,0)</f>
        <v>0</v>
      </c>
      <c r="K12" s="12">
        <f>_xlfn.XLOOKUP($B12,'GP4'!$C$6:$C$55,'GP4'!$B$6:$B$55,"")</f>
        <v>4</v>
      </c>
      <c r="L12" s="127">
        <f>_xlfn.XLOOKUP(K12,'GP4'!$B$6:$B$55,'GP4'!$A$6:$A$55,0)</f>
        <v>1</v>
      </c>
      <c r="M12" s="12">
        <f>_xlfn.XLOOKUP($B12,'GP5'!$C$6:$C$55,'GP5'!$B$6:$B$55,"")</f>
        <v>4</v>
      </c>
      <c r="N12" s="129">
        <f>_xlfn.XLOOKUP(M12,'GP5'!$B$6:$B$55,'GP5'!$A$6:$A$55,0)</f>
        <v>1</v>
      </c>
      <c r="O12" s="12">
        <f>_xlfn.XLOOKUP($B12,'GP6'!$C$6:$C$55,'GP6'!$B$6:$B$55,"")</f>
        <v>4</v>
      </c>
      <c r="P12" s="129">
        <f>_xlfn.XLOOKUP(O12,'GP6'!$B$6:$B$55,'GP6'!$A$6:$A$55,0)</f>
        <v>1</v>
      </c>
      <c r="Q12" s="12" t="str">
        <f>_xlfn.XLOOKUP($B12,'GP7'!$C$6:$C$55,'GP7'!$B$6:$B$55,"")</f>
        <v/>
      </c>
      <c r="R12" s="129">
        <f>_xlfn.XLOOKUP(Q12,'GP7'!$B$6:$B$55,'GP7'!$A$6:$A$55,0)</f>
        <v>0</v>
      </c>
      <c r="S12" s="12" t="str">
        <f>_xlfn.XLOOKUP($B12,'GP8'!$C$6:$C$55,'GP8'!$B$6:$B$55,"")</f>
        <v/>
      </c>
      <c r="T12" s="129">
        <f>_xlfn.XLOOKUP(S12,'GP8'!$B$6:$B$55,'GP8'!$A$6:$A$55,0)</f>
        <v>0</v>
      </c>
      <c r="U12" s="12" t="str">
        <f>_xlfn.XLOOKUP(B12,MPW!C$6:C$55,MPW!B$6:B$55,"")</f>
        <v/>
      </c>
      <c r="V12" s="129" t="str">
        <f>_xlfn.XLOOKUP(U12,MPW!B$6:B$55,MPW!A$6:A$55,0)</f>
        <v/>
      </c>
      <c r="X12" s="12" t="str">
        <f>_xlfn.XLOOKUP($B12,'PEW1'!$C$6:$C$101,'PEW1'!$B$6:$B$101,"")</f>
        <v/>
      </c>
      <c r="Y12" s="79">
        <f>_xlfn.XLOOKUP(X12,'PEW1'!$B$6:$B$55,'PEW1'!$A$6:$A$55,0)</f>
        <v>0</v>
      </c>
      <c r="Z12" s="10" t="str">
        <f>_xlfn.XLOOKUP($B12,'PEW2'!$C$6:$C$101,'PEW2'!$B$6:$B$101,"")</f>
        <v/>
      </c>
      <c r="AA12" s="76">
        <f>_xlfn.XLOOKUP(Z12,'PEW2'!$B$6:$B$55,'PEW2'!$A$6:$A$55,0)</f>
        <v>0</v>
      </c>
      <c r="AB12" s="10" t="str">
        <f>_xlfn.XLOOKUP($B12,'PEW3'!$C$6:$C$101,'PEW3'!$B$6:$B$101,"")</f>
        <v/>
      </c>
      <c r="AC12" s="76">
        <f>_xlfn.XLOOKUP(AB12,'PEW3'!$B$6:$B$55,'PEW3'!$A$6:$A$55,0)</f>
        <v>0</v>
      </c>
      <c r="AD12" s="10" t="str">
        <f>_xlfn.XLOOKUP($B12,VFC!$C$6:$C$101,VFC!$B$6:$B$101,"")</f>
        <v/>
      </c>
      <c r="AE12" s="76">
        <f>_xlfn.XLOOKUP(AD12,VFC!$B$6:$B$55,VFC!$A$6:$A$55,0)</f>
        <v>0</v>
      </c>
      <c r="AF12" s="10" t="str">
        <f>_xlfn.XLOOKUP($B12,'PEW4'!$C$6:$C$101,'PEW4'!$B$6:$B$101,"")</f>
        <v/>
      </c>
      <c r="AG12" s="76">
        <f>_xlfn.XLOOKUP(AF12,'PEW4'!$B$6:$B$55,'PEW4'!$A$6:$A$55,0)</f>
        <v>0</v>
      </c>
      <c r="AH12" s="10" t="str">
        <f>_xlfn.XLOOKUP($B12,'PEW5'!$C$6:$C$101,'PEW5'!$B$6:$B$101,"")</f>
        <v/>
      </c>
      <c r="AI12" s="76">
        <f>_xlfn.XLOOKUP(AH12,'PEW5'!$B$6:$B$55,'PEW5'!$A$6:$A$55,0)</f>
        <v>0</v>
      </c>
      <c r="AJ12" s="10" t="str">
        <f>_xlfn.XLOOKUP($B12,'PEW6'!$C$6:$C$101,'PEW6'!$B$6:$B$101,"")</f>
        <v/>
      </c>
      <c r="AK12" s="76">
        <f>_xlfn.XLOOKUP(AJ12,'PEW6'!$B$6:$B$55,'PEW6'!$A$6:$A$55,0)</f>
        <v>0</v>
      </c>
      <c r="AL12" s="10" t="str">
        <f>_xlfn.XLOOKUP($B12,'PEW7'!$C$6:$C$101,'PEW7'!$B$6:$B$101,"")</f>
        <v/>
      </c>
      <c r="AM12" s="76">
        <f>_xlfn.XLOOKUP(AL12,'PEW7'!$B$6:$B$55,'PEW7'!$A$6:$A$55,0)</f>
        <v>0</v>
      </c>
      <c r="AN12" s="10" t="str">
        <f>_xlfn.XLOOKUP($B12,'PEW8'!$C$6:$C$101,'PEW8'!$B$6:$B$101,"")</f>
        <v/>
      </c>
      <c r="AO12" s="76">
        <f>_xlfn.XLOOKUP(AN12,'PEW8'!$B$6:$B$55,'PEW8'!$A$6:$A$55,0)</f>
        <v>0</v>
      </c>
      <c r="AP12" s="10" t="str">
        <f>_xlfn.XLOOKUP($B12,'PEW9'!$C$6:$C$101,'PEW9'!$B$6:$B$101,"")</f>
        <v/>
      </c>
      <c r="AQ12" s="76">
        <f>_xlfn.XLOOKUP(AP12,'PEW9'!$B$6:$B$55,'PEW9'!$A$6:$A$55,0)</f>
        <v>0</v>
      </c>
      <c r="AR12" s="10" t="str">
        <f>_xlfn.XLOOKUP($B12,'PEW10'!$C$6:$C$101,'PEW10'!$B$6:$B$101,"")</f>
        <v/>
      </c>
      <c r="AS12" s="76">
        <f>_xlfn.XLOOKUP(AR12,'PEW10'!$B$6:$B$55,'PEW10'!$A$6:$A$55,0)</f>
        <v>0</v>
      </c>
      <c r="AT12" s="10" t="str">
        <f>_xlfn.XLOOKUP($B12,'PEW11'!$C$6:$C$101,'PEW11'!$B$6:$B$101,"")</f>
        <v/>
      </c>
      <c r="AU12" s="76">
        <f>_xlfn.XLOOKUP(AT12,'PEW11'!$B$6:$B$55,'PEW11'!$A$6:$A$55,0)</f>
        <v>0</v>
      </c>
      <c r="AV12" s="10" t="str">
        <f>_xlfn.XLOOKUP($B12,'PEW12'!$C$6:$C$101,'PEW12'!$B$6:$B$101,"")</f>
        <v/>
      </c>
      <c r="AW12" s="76">
        <f>_xlfn.XLOOKUP(AV12,'PEW12'!$B$6:$B$55,'PEW12'!$A$6:$A$55,0)</f>
        <v>0</v>
      </c>
      <c r="AX12" s="10" t="str" cm="1">
        <f t="array" ref="AX12">_xlfn.XLOOKUP($B12,IMEW!C$6:C$101,IMEW!$B$6:B$101,"")</f>
        <v/>
      </c>
      <c r="AY12" s="77">
        <f>_xlfn.XLOOKUP(AX12,IMEW!$B$6:$B$100,IMEW!$A$6:$A$100,0)</f>
        <v>0</v>
      </c>
      <c r="BA12" s="78">
        <f t="shared" si="0"/>
        <v>0</v>
      </c>
      <c r="BB12" s="78">
        <f t="shared" si="1"/>
        <v>0</v>
      </c>
      <c r="BC12" s="78">
        <f t="shared" si="2"/>
        <v>0</v>
      </c>
      <c r="BD12" s="78">
        <f t="shared" si="3"/>
        <v>0</v>
      </c>
      <c r="BE12" s="78">
        <f t="shared" si="4"/>
        <v>0</v>
      </c>
      <c r="BF12" s="78">
        <f t="shared" si="5"/>
        <v>0</v>
      </c>
      <c r="BG12" s="78">
        <f t="shared" si="6"/>
        <v>0</v>
      </c>
    </row>
    <row r="13" spans="1:63" ht="14.8" customHeight="1" x14ac:dyDescent="0.25">
      <c r="A13" s="8">
        <f>ROW()-5</f>
        <v>8</v>
      </c>
      <c r="B13" s="9" t="s">
        <v>100</v>
      </c>
      <c r="C13" s="11"/>
      <c r="D13" s="125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0" t="str">
        <f>_xlfn.XLOOKUP($B13,'GP1'!$C$6:$C$55,'GP1'!$B$6:$B$55,"")</f>
        <v/>
      </c>
      <c r="F13" s="126">
        <f>_xlfn.XLOOKUP(E13,'GP1'!$B$6:$B$55,'GP1'!$A$6:$A$55,0)</f>
        <v>0</v>
      </c>
      <c r="G13" s="12" t="str">
        <f>_xlfn.XLOOKUP($B13,'GP2'!$C$6:$C$55,'GP2'!$B$6:$B$55,"")</f>
        <v/>
      </c>
      <c r="H13" s="127">
        <f>_xlfn.XLOOKUP(G13,'GP2'!$B$6:$B$55,'GP2'!$A$6:$A$55,0)</f>
        <v>0</v>
      </c>
      <c r="I13" s="12" t="str">
        <f>_xlfn.XLOOKUP($B13,'GP3'!$C$6:$C$55,'GP3'!$B$6:$B$55,"")</f>
        <v/>
      </c>
      <c r="J13" s="127">
        <f>_xlfn.XLOOKUP(I13,'GP3'!$B$6:$B$55,'GP3'!$A$6:$A$55,0)</f>
        <v>0</v>
      </c>
      <c r="K13" s="12" t="str">
        <f>_xlfn.XLOOKUP($B13,'GP4'!$C$6:$C$55,'GP4'!$B$6:$B$55,"")</f>
        <v/>
      </c>
      <c r="L13" s="127">
        <f>_xlfn.XLOOKUP(K13,'GP4'!$B$6:$B$55,'GP4'!$A$6:$A$55,0)</f>
        <v>0</v>
      </c>
      <c r="M13" s="12" t="str">
        <f>_xlfn.XLOOKUP($B13,'GP5'!$C$6:$C$55,'GP5'!$B$6:$B$55,"")</f>
        <v/>
      </c>
      <c r="N13" s="129">
        <f>_xlfn.XLOOKUP(M13,'GP5'!$B$6:$B$55,'GP5'!$A$6:$A$55,0)</f>
        <v>0</v>
      </c>
      <c r="O13" s="12" t="str">
        <f>_xlfn.XLOOKUP($B13,'GP6'!$C$6:$C$55,'GP6'!$B$6:$B$55,"")</f>
        <v/>
      </c>
      <c r="P13" s="129">
        <f>_xlfn.XLOOKUP(O13,'GP6'!$B$6:$B$55,'GP6'!$A$6:$A$55,0)</f>
        <v>0</v>
      </c>
      <c r="Q13" s="12" t="str">
        <f>_xlfn.XLOOKUP($B13,'GP7'!$C$6:$C$55,'GP7'!$B$6:$B$55,"")</f>
        <v/>
      </c>
      <c r="R13" s="129">
        <f>_xlfn.XLOOKUP(Q13,'GP7'!$B$6:$B$55,'GP7'!$A$6:$A$55,0)</f>
        <v>0</v>
      </c>
      <c r="S13" s="12" t="str">
        <f>_xlfn.XLOOKUP($B13,'GP8'!$C$6:$C$55,'GP8'!$B$6:$B$55,"")</f>
        <v/>
      </c>
      <c r="T13" s="129">
        <f>_xlfn.XLOOKUP(S13,'GP8'!$B$6:$B$55,'GP8'!$A$6:$A$55,0)</f>
        <v>0</v>
      </c>
      <c r="U13" s="12" t="str">
        <f>_xlfn.XLOOKUP(B13,MPW!C$6:C$55,MPW!B$6:B$55,"")</f>
        <v/>
      </c>
      <c r="V13" s="129" t="str">
        <f>_xlfn.XLOOKUP(U13,MPW!B$6:B$55,MPW!A$6:A$55,0)</f>
        <v/>
      </c>
      <c r="X13" s="12" t="str">
        <f>_xlfn.XLOOKUP($B13,'PEW1'!$C$6:$C$101,'PEW1'!$B$6:$B$101,"")</f>
        <v/>
      </c>
      <c r="Y13" s="79">
        <f>_xlfn.XLOOKUP(X13,'PEW1'!$B$6:$B$55,'PEW1'!$A$6:$A$55,0)</f>
        <v>0</v>
      </c>
      <c r="Z13" s="10" t="str">
        <f>_xlfn.XLOOKUP($B13,'PEW2'!$C$6:$C$101,'PEW2'!$B$6:$B$101,"")</f>
        <v/>
      </c>
      <c r="AA13" s="76">
        <f>_xlfn.XLOOKUP(Z13,'PEW2'!$B$6:$B$55,'PEW2'!$A$6:$A$55,0)</f>
        <v>0</v>
      </c>
      <c r="AB13" s="10" t="str">
        <f>_xlfn.XLOOKUP($B13,'PEW3'!$C$6:$C$101,'PEW3'!$B$6:$B$101,"")</f>
        <v/>
      </c>
      <c r="AC13" s="76">
        <f>_xlfn.XLOOKUP(AB13,'PEW3'!$B$6:$B$55,'PEW3'!$A$6:$A$55,0)</f>
        <v>0</v>
      </c>
      <c r="AD13" s="10" t="str">
        <f>_xlfn.XLOOKUP($B13,VFC!$C$6:$C$101,VFC!$B$6:$B$101,"")</f>
        <v/>
      </c>
      <c r="AE13" s="76">
        <f>_xlfn.XLOOKUP(AD13,VFC!$B$6:$B$55,VFC!$A$6:$A$55,0)</f>
        <v>0</v>
      </c>
      <c r="AF13" s="10" t="str">
        <f>_xlfn.XLOOKUP($B13,'PEW4'!$C$6:$C$101,'PEW4'!$B$6:$B$101,"")</f>
        <v/>
      </c>
      <c r="AG13" s="76">
        <f>_xlfn.XLOOKUP(AF13,'PEW4'!$B$6:$B$55,'PEW4'!$A$6:$A$55,0)</f>
        <v>0</v>
      </c>
      <c r="AH13" s="10" t="str">
        <f>_xlfn.XLOOKUP($B13,'PEW5'!$C$6:$C$101,'PEW5'!$B$6:$B$101,"")</f>
        <v/>
      </c>
      <c r="AI13" s="76">
        <f>_xlfn.XLOOKUP(AH13,'PEW5'!$B$6:$B$55,'PEW5'!$A$6:$A$55,0)</f>
        <v>0</v>
      </c>
      <c r="AJ13" s="10" t="str">
        <f>_xlfn.XLOOKUP($B13,'PEW6'!$C$6:$C$101,'PEW6'!$B$6:$B$101,"")</f>
        <v/>
      </c>
      <c r="AK13" s="76">
        <f>_xlfn.XLOOKUP(AJ13,'PEW6'!$B$6:$B$55,'PEW6'!$A$6:$A$55,0)</f>
        <v>0</v>
      </c>
      <c r="AL13" s="10" t="str">
        <f>_xlfn.XLOOKUP($B13,'PEW7'!$C$6:$C$101,'PEW7'!$B$6:$B$101,"")</f>
        <v/>
      </c>
      <c r="AM13" s="76">
        <f>_xlfn.XLOOKUP(AL13,'PEW7'!$B$6:$B$55,'PEW7'!$A$6:$A$55,0)</f>
        <v>0</v>
      </c>
      <c r="AN13" s="10" t="str">
        <f>_xlfn.XLOOKUP($B13,'PEW8'!$C$6:$C$101,'PEW8'!$B$6:$B$101,"")</f>
        <v/>
      </c>
      <c r="AO13" s="76">
        <f>_xlfn.XLOOKUP(AN13,'PEW8'!$B$6:$B$55,'PEW8'!$A$6:$A$55,0)</f>
        <v>0</v>
      </c>
      <c r="AP13" s="10" t="str">
        <f>_xlfn.XLOOKUP($B13,'PEW9'!$C$6:$C$101,'PEW9'!$B$6:$B$101,"")</f>
        <v/>
      </c>
      <c r="AQ13" s="76">
        <f>_xlfn.XLOOKUP(AP13,'PEW9'!$B$6:$B$55,'PEW9'!$A$6:$A$55,0)</f>
        <v>0</v>
      </c>
      <c r="AR13" s="10" t="str">
        <f>_xlfn.XLOOKUP($B13,'PEW10'!$C$6:$C$101,'PEW10'!$B$6:$B$101,"")</f>
        <v/>
      </c>
      <c r="AS13" s="76">
        <f>_xlfn.XLOOKUP(AR13,'PEW10'!$B$6:$B$55,'PEW10'!$A$6:$A$55,0)</f>
        <v>0</v>
      </c>
      <c r="AT13" s="10" t="str">
        <f>_xlfn.XLOOKUP($B13,'PEW11'!$C$6:$C$101,'PEW11'!$B$6:$B$101,"")</f>
        <v/>
      </c>
      <c r="AU13" s="76">
        <f>_xlfn.XLOOKUP(AT13,'PEW11'!$B$6:$B$55,'PEW11'!$A$6:$A$55,0)</f>
        <v>0</v>
      </c>
      <c r="AV13" s="10" t="str">
        <f>_xlfn.XLOOKUP($B13,'PEW12'!$C$6:$C$101,'PEW12'!$B$6:$B$101,"")</f>
        <v/>
      </c>
      <c r="AW13" s="76">
        <f>_xlfn.XLOOKUP(AV13,'PEW12'!$B$6:$B$55,'PEW12'!$A$6:$A$55,0)</f>
        <v>0</v>
      </c>
      <c r="AX13" s="10" t="str" cm="1">
        <f t="array" ref="AX13">_xlfn.XLOOKUP($B13,IMEW!C$6:C$101,IMEW!$B$6:B$101,"")</f>
        <v/>
      </c>
      <c r="AY13" s="77">
        <f>_xlfn.XLOOKUP(AX13,IMEW!$B$6:$B$100,IMEW!$A$6:$A$100,0)</f>
        <v>0</v>
      </c>
      <c r="BA13" s="78">
        <f t="shared" si="0"/>
        <v>0</v>
      </c>
      <c r="BB13" s="78">
        <f t="shared" si="1"/>
        <v>0</v>
      </c>
      <c r="BC13" s="78">
        <f t="shared" si="2"/>
        <v>0</v>
      </c>
      <c r="BD13" s="78">
        <f t="shared" si="3"/>
        <v>0</v>
      </c>
      <c r="BE13" s="78">
        <f t="shared" si="4"/>
        <v>0</v>
      </c>
      <c r="BF13" s="78">
        <f t="shared" si="5"/>
        <v>0</v>
      </c>
      <c r="BG13" s="78">
        <f t="shared" si="6"/>
        <v>0</v>
      </c>
    </row>
    <row r="14" spans="1:63" ht="14.8" customHeight="1" x14ac:dyDescent="0.25">
      <c r="A14" s="8">
        <f>ROW()-5</f>
        <v>9</v>
      </c>
      <c r="B14" s="9"/>
      <c r="C14" s="11"/>
      <c r="D14" s="125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0" t="str">
        <f>_xlfn.XLOOKUP($B14,'GP1'!$C$6:$C$55,'GP1'!$B$6:$B$55,"")</f>
        <v/>
      </c>
      <c r="F14" s="126">
        <f>_xlfn.XLOOKUP(E14,'GP1'!$B$6:$B$55,'GP1'!$A$6:$A$55,0)</f>
        <v>0</v>
      </c>
      <c r="G14" s="12" t="str">
        <f>_xlfn.XLOOKUP($B14,'GP2'!$C$6:$C$55,'GP2'!$B$6:$B$55,"")</f>
        <v/>
      </c>
      <c r="H14" s="127">
        <f>_xlfn.XLOOKUP(G14,'GP2'!$B$6:$B$55,'GP2'!$A$6:$A$55,0)</f>
        <v>0</v>
      </c>
      <c r="I14" s="12" t="str">
        <f>_xlfn.XLOOKUP($B14,'GP3'!$C$6:$C$55,'GP3'!$B$6:$B$55,"")</f>
        <v/>
      </c>
      <c r="J14" s="127">
        <f>_xlfn.XLOOKUP(I14,'GP3'!$B$6:$B$55,'GP3'!$A$6:$A$55,0)</f>
        <v>0</v>
      </c>
      <c r="K14" s="12" t="str">
        <f>_xlfn.XLOOKUP($B14,'GP4'!$C$6:$C$55,'GP4'!$B$6:$B$55,"")</f>
        <v/>
      </c>
      <c r="L14" s="127">
        <f>_xlfn.XLOOKUP(K14,'GP4'!$B$6:$B$55,'GP4'!$A$6:$A$55,0)</f>
        <v>0</v>
      </c>
      <c r="M14" s="12" t="str">
        <f>_xlfn.XLOOKUP($B14,'GP5'!$C$6:$C$55,'GP5'!$B$6:$B$55,"")</f>
        <v/>
      </c>
      <c r="N14" s="129">
        <f>_xlfn.XLOOKUP(M14,'GP5'!$B$6:$B$55,'GP5'!$A$6:$A$55,0)</f>
        <v>0</v>
      </c>
      <c r="O14" s="12" t="str">
        <f>_xlfn.XLOOKUP($B14,'GP6'!$C$6:$C$55,'GP6'!$B$6:$B$55,"")</f>
        <v/>
      </c>
      <c r="P14" s="129">
        <f>_xlfn.XLOOKUP(O14,'GP6'!$B$6:$B$55,'GP6'!$A$6:$A$55,0)</f>
        <v>0</v>
      </c>
      <c r="Q14" s="12" t="str">
        <f>_xlfn.XLOOKUP($B14,'GP7'!$C$6:$C$55,'GP7'!$B$6:$B$55,"")</f>
        <v/>
      </c>
      <c r="R14" s="129">
        <f>_xlfn.XLOOKUP(Q14,'GP7'!$B$6:$B$55,'GP7'!$A$6:$A$55,0)</f>
        <v>0</v>
      </c>
      <c r="S14" s="12" t="str">
        <f>_xlfn.XLOOKUP($B14,'GP8'!$C$6:$C$55,'GP8'!$B$6:$B$55,"")</f>
        <v/>
      </c>
      <c r="T14" s="129">
        <f>_xlfn.XLOOKUP(S14,'GP8'!$B$6:$B$55,'GP8'!$A$6:$A$55,0)</f>
        <v>0</v>
      </c>
      <c r="U14" s="12" t="str">
        <f>_xlfn.XLOOKUP(B14,MPW!C$6:C$55,MPW!B$6:B$55,"")</f>
        <v/>
      </c>
      <c r="V14" s="129" t="str">
        <f>_xlfn.XLOOKUP(U14,MPW!B$6:B$55,MPW!A$6:A$55,0)</f>
        <v/>
      </c>
      <c r="X14" s="12" t="str">
        <f>_xlfn.XLOOKUP($B14,'PEW1'!$C$6:$C$101,'PEW1'!$B$6:$B$101,"")</f>
        <v/>
      </c>
      <c r="Y14" s="79">
        <f>_xlfn.XLOOKUP(X14,'PEW1'!$B$6:$B$55,'PEW1'!$A$6:$A$55,0)</f>
        <v>0</v>
      </c>
      <c r="Z14" s="10" t="str">
        <f>_xlfn.XLOOKUP($B14,'PEW2'!$C$6:$C$101,'PEW2'!$B$6:$B$101,"")</f>
        <v/>
      </c>
      <c r="AA14" s="76">
        <f>_xlfn.XLOOKUP(Z14,'PEW2'!$B$6:$B$55,'PEW2'!$A$6:$A$55,0)</f>
        <v>0</v>
      </c>
      <c r="AB14" s="10" t="str">
        <f>_xlfn.XLOOKUP($B14,'PEW3'!$C$6:$C$101,'PEW3'!$B$6:$B$101,"")</f>
        <v/>
      </c>
      <c r="AC14" s="76">
        <f>_xlfn.XLOOKUP(AB14,'PEW3'!$B$6:$B$55,'PEW3'!$A$6:$A$55,0)</f>
        <v>0</v>
      </c>
      <c r="AD14" s="10" t="str">
        <f>_xlfn.XLOOKUP($B14,VFC!$C$6:$C$101,VFC!$B$6:$B$101,"")</f>
        <v/>
      </c>
      <c r="AE14" s="76">
        <f>_xlfn.XLOOKUP(AD14,VFC!$B$6:$B$55,VFC!$A$6:$A$55,0)</f>
        <v>0</v>
      </c>
      <c r="AF14" s="10" t="str">
        <f>_xlfn.XLOOKUP($B14,'PEW4'!$C$6:$C$101,'PEW4'!$B$6:$B$101,"")</f>
        <v/>
      </c>
      <c r="AG14" s="76">
        <f>_xlfn.XLOOKUP(AF14,'PEW4'!$B$6:$B$55,'PEW4'!$A$6:$A$55,0)</f>
        <v>0</v>
      </c>
      <c r="AH14" s="10" t="str">
        <f>_xlfn.XLOOKUP($B14,'PEW5'!$C$6:$C$101,'PEW5'!$B$6:$B$101,"")</f>
        <v/>
      </c>
      <c r="AI14" s="76">
        <f>_xlfn.XLOOKUP(AH14,'PEW5'!$B$6:$B$55,'PEW5'!$A$6:$A$55,0)</f>
        <v>0</v>
      </c>
      <c r="AJ14" s="10" t="str">
        <f>_xlfn.XLOOKUP($B14,'PEW6'!$C$6:$C$101,'PEW6'!$B$6:$B$101,"")</f>
        <v/>
      </c>
      <c r="AK14" s="76">
        <f>_xlfn.XLOOKUP(AJ14,'PEW6'!$B$6:$B$55,'PEW6'!$A$6:$A$55,0)</f>
        <v>0</v>
      </c>
      <c r="AL14" s="10" t="str">
        <f>_xlfn.XLOOKUP($B14,'PEW7'!$C$6:$C$101,'PEW7'!$B$6:$B$101,"")</f>
        <v/>
      </c>
      <c r="AM14" s="76">
        <f>_xlfn.XLOOKUP(AL14,'PEW7'!$B$6:$B$55,'PEW7'!$A$6:$A$55,0)</f>
        <v>0</v>
      </c>
      <c r="AN14" s="10" t="str">
        <f>_xlfn.XLOOKUP($B14,'PEW8'!$C$6:$C$101,'PEW8'!$B$6:$B$101,"")</f>
        <v/>
      </c>
      <c r="AO14" s="76">
        <f>_xlfn.XLOOKUP(AN14,'PEW8'!$B$6:$B$55,'PEW8'!$A$6:$A$55,0)</f>
        <v>0</v>
      </c>
      <c r="AP14" s="10" t="str">
        <f>_xlfn.XLOOKUP($B14,'PEW9'!$C$6:$C$101,'PEW9'!$B$6:$B$101,"")</f>
        <v/>
      </c>
      <c r="AQ14" s="76">
        <f>_xlfn.XLOOKUP(AP14,'PEW9'!$B$6:$B$55,'PEW9'!$A$6:$A$55,0)</f>
        <v>0</v>
      </c>
      <c r="AR14" s="10" t="str">
        <f>_xlfn.XLOOKUP($B14,'PEW10'!$C$6:$C$101,'PEW10'!$B$6:$B$101,"")</f>
        <v/>
      </c>
      <c r="AS14" s="76">
        <f>_xlfn.XLOOKUP(AR14,'PEW10'!$B$6:$B$55,'PEW10'!$A$6:$A$55,0)</f>
        <v>0</v>
      </c>
      <c r="AT14" s="10" t="str">
        <f>_xlfn.XLOOKUP($B14,'PEW11'!$C$6:$C$101,'PEW11'!$B$6:$B$101,"")</f>
        <v/>
      </c>
      <c r="AU14" s="76">
        <f>_xlfn.XLOOKUP(AT14,'PEW11'!$B$6:$B$55,'PEW11'!$A$6:$A$55,0)</f>
        <v>0</v>
      </c>
      <c r="AV14" s="10" t="str">
        <f>_xlfn.XLOOKUP($B14,'PEW12'!$C$6:$C$101,'PEW12'!$B$6:$B$101,"")</f>
        <v/>
      </c>
      <c r="AW14" s="76">
        <f>_xlfn.XLOOKUP(AV14,'PEW12'!$B$6:$B$55,'PEW12'!$A$6:$A$55,0)</f>
        <v>0</v>
      </c>
      <c r="AX14" s="10" t="str" cm="1">
        <f t="array" ref="AX14">_xlfn.XLOOKUP($B14,IMEW!C$6:C$101,IMEW!$B$6:B$101,"")</f>
        <v/>
      </c>
      <c r="AY14" s="77">
        <f>_xlfn.XLOOKUP(AX14,IMEW!$B$6:$B$100,IMEW!$A$6:$A$100,0)</f>
        <v>0</v>
      </c>
      <c r="BA14" s="78">
        <f t="shared" si="0"/>
        <v>0</v>
      </c>
      <c r="BB14" s="78">
        <f t="shared" si="1"/>
        <v>0</v>
      </c>
      <c r="BC14" s="78">
        <f t="shared" si="2"/>
        <v>0</v>
      </c>
      <c r="BD14" s="78">
        <f t="shared" si="3"/>
        <v>0</v>
      </c>
      <c r="BE14" s="78">
        <f t="shared" si="4"/>
        <v>0</v>
      </c>
      <c r="BF14" s="78">
        <f t="shared" si="5"/>
        <v>0</v>
      </c>
      <c r="BG14" s="78">
        <f t="shared" si="6"/>
        <v>0</v>
      </c>
    </row>
    <row r="15" spans="1:63" ht="14.8" customHeight="1" x14ac:dyDescent="0.25">
      <c r="A15" s="8">
        <f>ROW()-5</f>
        <v>10</v>
      </c>
      <c r="B15" s="9"/>
      <c r="C15" s="11"/>
      <c r="D15" s="125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0" t="str">
        <f>_xlfn.XLOOKUP($B15,'GP1'!$C$6:$C$55,'GP1'!$B$6:$B$55,"")</f>
        <v/>
      </c>
      <c r="F15" s="126">
        <f>_xlfn.XLOOKUP(E15,'GP1'!$B$6:$B$55,'GP1'!$A$6:$A$55,0)</f>
        <v>0</v>
      </c>
      <c r="G15" s="12" t="str">
        <f>_xlfn.XLOOKUP($B15,'GP2'!$C$6:$C$55,'GP2'!$B$6:$B$55,"")</f>
        <v/>
      </c>
      <c r="H15" s="127">
        <f>_xlfn.XLOOKUP(G15,'GP2'!$B$6:$B$55,'GP2'!$A$6:$A$55,0)</f>
        <v>0</v>
      </c>
      <c r="I15" s="12" t="str">
        <f>_xlfn.XLOOKUP($B15,'GP3'!$C$6:$C$55,'GP3'!$B$6:$B$55,"")</f>
        <v/>
      </c>
      <c r="J15" s="127">
        <f>_xlfn.XLOOKUP(I15,'GP3'!$B$6:$B$55,'GP3'!$A$6:$A$55,0)</f>
        <v>0</v>
      </c>
      <c r="K15" s="12" t="str">
        <f>_xlfn.XLOOKUP($B15,'GP4'!$C$6:$C$55,'GP4'!$B$6:$B$55,"")</f>
        <v/>
      </c>
      <c r="L15" s="127">
        <f>_xlfn.XLOOKUP(K15,'GP4'!$B$6:$B$55,'GP4'!$A$6:$A$55,0)</f>
        <v>0</v>
      </c>
      <c r="M15" s="12" t="str">
        <f>_xlfn.XLOOKUP($B15,'GP5'!$C$6:$C$55,'GP5'!$B$6:$B$55,"")</f>
        <v/>
      </c>
      <c r="N15" s="129">
        <f>_xlfn.XLOOKUP(M15,'GP5'!$B$6:$B$55,'GP5'!$A$6:$A$55,0)</f>
        <v>0</v>
      </c>
      <c r="O15" s="12" t="str">
        <f>_xlfn.XLOOKUP($B15,'GP6'!$C$6:$C$55,'GP6'!$B$6:$B$55,"")</f>
        <v/>
      </c>
      <c r="P15" s="129">
        <f>_xlfn.XLOOKUP(O15,'GP6'!$B$6:$B$55,'GP6'!$A$6:$A$55,0)</f>
        <v>0</v>
      </c>
      <c r="Q15" s="12" t="str">
        <f>_xlfn.XLOOKUP($B15,'GP7'!$C$6:$C$55,'GP7'!$B$6:$B$55,"")</f>
        <v/>
      </c>
      <c r="R15" s="129">
        <f>_xlfn.XLOOKUP(Q15,'GP7'!$B$6:$B$55,'GP7'!$A$6:$A$55,0)</f>
        <v>0</v>
      </c>
      <c r="S15" s="12" t="str">
        <f>_xlfn.XLOOKUP($B15,'GP8'!$C$6:$C$55,'GP8'!$B$6:$B$55,"")</f>
        <v/>
      </c>
      <c r="T15" s="129">
        <f>_xlfn.XLOOKUP(S15,'GP8'!$B$6:$B$55,'GP8'!$A$6:$A$55,0)</f>
        <v>0</v>
      </c>
      <c r="U15" s="12" t="str">
        <f>_xlfn.XLOOKUP(B15,MPW!C$6:C$55,MPW!B$6:B$55,"")</f>
        <v/>
      </c>
      <c r="V15" s="129" t="str">
        <f>_xlfn.XLOOKUP(U15,MPW!B$6:B$55,MPW!A$6:A$55,0)</f>
        <v/>
      </c>
      <c r="X15" s="12" t="str">
        <f>_xlfn.XLOOKUP($B15,'PEW1'!$C$6:$C$101,'PEW1'!$B$6:$B$101,"")</f>
        <v/>
      </c>
      <c r="Y15" s="79">
        <f>_xlfn.XLOOKUP(X15,'PEW1'!$B$6:$B$55,'PEW1'!$A$6:$A$55,0)</f>
        <v>0</v>
      </c>
      <c r="Z15" s="10" t="str">
        <f>_xlfn.XLOOKUP($B15,'PEW2'!$C$6:$C$101,'PEW2'!$B$6:$B$101,"")</f>
        <v/>
      </c>
      <c r="AA15" s="76">
        <f>_xlfn.XLOOKUP(Z15,'PEW2'!$B$6:$B$55,'PEW2'!$A$6:$A$55,0)</f>
        <v>0</v>
      </c>
      <c r="AB15" s="10" t="str">
        <f>_xlfn.XLOOKUP($B15,'PEW3'!$C$6:$C$101,'PEW3'!$B$6:$B$101,"")</f>
        <v/>
      </c>
      <c r="AC15" s="76">
        <f>_xlfn.XLOOKUP(AB15,'PEW3'!$B$6:$B$55,'PEW3'!$A$6:$A$55,0)</f>
        <v>0</v>
      </c>
      <c r="AD15" s="10" t="str">
        <f>_xlfn.XLOOKUP($B15,VFC!$C$6:$C$101,VFC!$B$6:$B$101,"")</f>
        <v/>
      </c>
      <c r="AE15" s="76">
        <f>_xlfn.XLOOKUP(AD15,VFC!$B$6:$B$55,VFC!$A$6:$A$55,0)</f>
        <v>0</v>
      </c>
      <c r="AF15" s="10" t="str">
        <f>_xlfn.XLOOKUP($B15,'PEW4'!$C$6:$C$101,'PEW4'!$B$6:$B$101,"")</f>
        <v/>
      </c>
      <c r="AG15" s="76">
        <f>_xlfn.XLOOKUP(AF15,'PEW4'!$B$6:$B$55,'PEW4'!$A$6:$A$55,0)</f>
        <v>0</v>
      </c>
      <c r="AH15" s="10" t="str">
        <f>_xlfn.XLOOKUP($B15,'PEW5'!$C$6:$C$101,'PEW5'!$B$6:$B$101,"")</f>
        <v/>
      </c>
      <c r="AI15" s="76">
        <f>_xlfn.XLOOKUP(AH15,'PEW5'!$B$6:$B$55,'PEW5'!$A$6:$A$55,0)</f>
        <v>0</v>
      </c>
      <c r="AJ15" s="10" t="str">
        <f>_xlfn.XLOOKUP($B15,'PEW6'!$C$6:$C$101,'PEW6'!$B$6:$B$101,"")</f>
        <v/>
      </c>
      <c r="AK15" s="76">
        <f>_xlfn.XLOOKUP(AJ15,'PEW6'!$B$6:$B$55,'PEW6'!$A$6:$A$55,0)</f>
        <v>0</v>
      </c>
      <c r="AL15" s="10" t="str">
        <f>_xlfn.XLOOKUP($B15,'PEW7'!$C$6:$C$101,'PEW7'!$B$6:$B$101,"")</f>
        <v/>
      </c>
      <c r="AM15" s="76">
        <f>_xlfn.XLOOKUP(AL15,'PEW7'!$B$6:$B$55,'PEW7'!$A$6:$A$55,0)</f>
        <v>0</v>
      </c>
      <c r="AN15" s="10" t="str">
        <f>_xlfn.XLOOKUP($B15,'PEW8'!$C$6:$C$101,'PEW8'!$B$6:$B$101,"")</f>
        <v/>
      </c>
      <c r="AO15" s="76">
        <f>_xlfn.XLOOKUP(AN15,'PEW8'!$B$6:$B$55,'PEW8'!$A$6:$A$55,0)</f>
        <v>0</v>
      </c>
      <c r="AP15" s="10" t="str">
        <f>_xlfn.XLOOKUP($B15,'PEW9'!$C$6:$C$101,'PEW9'!$B$6:$B$101,"")</f>
        <v/>
      </c>
      <c r="AQ15" s="76">
        <f>_xlfn.XLOOKUP(AP15,'PEW9'!$B$6:$B$55,'PEW9'!$A$6:$A$55,0)</f>
        <v>0</v>
      </c>
      <c r="AR15" s="10" t="str">
        <f>_xlfn.XLOOKUP($B15,'PEW10'!$C$6:$C$101,'PEW10'!$B$6:$B$101,"")</f>
        <v/>
      </c>
      <c r="AS15" s="76">
        <f>_xlfn.XLOOKUP(AR15,'PEW10'!$B$6:$B$55,'PEW10'!$A$6:$A$55,0)</f>
        <v>0</v>
      </c>
      <c r="AT15" s="10" t="str">
        <f>_xlfn.XLOOKUP($B15,'PEW11'!$C$6:$C$101,'PEW11'!$B$6:$B$101,"")</f>
        <v/>
      </c>
      <c r="AU15" s="76">
        <f>_xlfn.XLOOKUP(AT15,'PEW11'!$B$6:$B$55,'PEW11'!$A$6:$A$55,0)</f>
        <v>0</v>
      </c>
      <c r="AV15" s="10" t="str">
        <f>_xlfn.XLOOKUP($B15,'PEW12'!$C$6:$C$101,'PEW12'!$B$6:$B$101,"")</f>
        <v/>
      </c>
      <c r="AW15" s="76">
        <f>_xlfn.XLOOKUP(AV15,'PEW12'!$B$6:$B$55,'PEW12'!$A$6:$A$55,0)</f>
        <v>0</v>
      </c>
      <c r="AX15" s="10" t="str" cm="1">
        <f t="array" ref="AX15">_xlfn.XLOOKUP($B15,IMEW!C$6:C$101,IMEW!$B$6:B$101,"")</f>
        <v/>
      </c>
      <c r="AY15" s="77">
        <f>_xlfn.XLOOKUP(AX15,IMEW!$B$6:$B$100,IMEW!$A$6:$A$100,0)</f>
        <v>0</v>
      </c>
      <c r="BA15" s="78">
        <f t="shared" si="0"/>
        <v>0</v>
      </c>
      <c r="BB15" s="78">
        <f t="shared" si="1"/>
        <v>0</v>
      </c>
      <c r="BC15" s="78">
        <f t="shared" si="2"/>
        <v>0</v>
      </c>
      <c r="BD15" s="78">
        <f t="shared" si="3"/>
        <v>0</v>
      </c>
      <c r="BE15" s="78">
        <f t="shared" si="4"/>
        <v>0</v>
      </c>
      <c r="BF15" s="78">
        <f t="shared" si="5"/>
        <v>0</v>
      </c>
      <c r="BG15" s="78">
        <f t="shared" si="6"/>
        <v>0</v>
      </c>
    </row>
    <row r="16" spans="1:63" ht="14.8" customHeight="1" x14ac:dyDescent="0.25">
      <c r="A16" s="8">
        <f>ROW()-5</f>
        <v>11</v>
      </c>
      <c r="B16" s="9"/>
      <c r="C16" s="11"/>
      <c r="D16" s="125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0" t="str">
        <f>_xlfn.XLOOKUP($B16,'GP1'!$C$6:$C$55,'GP1'!$B$6:$B$55,"")</f>
        <v/>
      </c>
      <c r="F16" s="126">
        <f>_xlfn.XLOOKUP(E16,'GP1'!$B$6:$B$55,'GP1'!$A$6:$A$55,0)</f>
        <v>0</v>
      </c>
      <c r="G16" s="12" t="str">
        <f>_xlfn.XLOOKUP($B16,'GP2'!$C$6:$C$55,'GP2'!$B$6:$B$55,"")</f>
        <v/>
      </c>
      <c r="H16" s="127">
        <f>_xlfn.XLOOKUP(G16,'GP2'!$B$6:$B$55,'GP2'!$A$6:$A$55,0)</f>
        <v>0</v>
      </c>
      <c r="I16" s="12" t="str">
        <f>_xlfn.XLOOKUP($B16,'GP3'!$C$6:$C$55,'GP3'!$B$6:$B$55,"")</f>
        <v/>
      </c>
      <c r="J16" s="127">
        <f>_xlfn.XLOOKUP(I16,'GP3'!$B$6:$B$55,'GP3'!$A$6:$A$55,0)</f>
        <v>0</v>
      </c>
      <c r="K16" s="12" t="str">
        <f>_xlfn.XLOOKUP($B16,'GP4'!$C$6:$C$55,'GP4'!$B$6:$B$55,"")</f>
        <v/>
      </c>
      <c r="L16" s="127">
        <f>_xlfn.XLOOKUP(K16,'GP4'!$B$6:$B$55,'GP4'!$A$6:$A$55,0)</f>
        <v>0</v>
      </c>
      <c r="M16" s="12" t="str">
        <f>_xlfn.XLOOKUP($B16,'GP5'!$C$6:$C$55,'GP5'!$B$6:$B$55,"")</f>
        <v/>
      </c>
      <c r="N16" s="129">
        <f>_xlfn.XLOOKUP(M16,'GP5'!$B$6:$B$55,'GP5'!$A$6:$A$55,0)</f>
        <v>0</v>
      </c>
      <c r="O16" s="12" t="str">
        <f>_xlfn.XLOOKUP($B16,'GP6'!$C$6:$C$55,'GP6'!$B$6:$B$55,"")</f>
        <v/>
      </c>
      <c r="P16" s="129">
        <f>_xlfn.XLOOKUP(O16,'GP6'!$B$6:$B$55,'GP6'!$A$6:$A$55,0)</f>
        <v>0</v>
      </c>
      <c r="Q16" s="12" t="str">
        <f>_xlfn.XLOOKUP($B16,'GP7'!$C$6:$C$55,'GP7'!$B$6:$B$55,"")</f>
        <v/>
      </c>
      <c r="R16" s="129">
        <f>_xlfn.XLOOKUP(Q16,'GP7'!$B$6:$B$55,'GP7'!$A$6:$A$55,0)</f>
        <v>0</v>
      </c>
      <c r="S16" s="12" t="str">
        <f>_xlfn.XLOOKUP($B16,'GP8'!$C$6:$C$55,'GP8'!$B$6:$B$55,"")</f>
        <v/>
      </c>
      <c r="T16" s="129">
        <f>_xlfn.XLOOKUP(S16,'GP8'!$B$6:$B$55,'GP8'!$A$6:$A$55,0)</f>
        <v>0</v>
      </c>
      <c r="U16" s="12" t="str">
        <f>_xlfn.XLOOKUP(B16,MPW!C$6:C$55,MPW!B$6:B$55,"")</f>
        <v/>
      </c>
      <c r="V16" s="129" t="str">
        <f>_xlfn.XLOOKUP(U16,MPW!B$6:B$55,MPW!A$6:A$55,0)</f>
        <v/>
      </c>
      <c r="X16" s="12" t="str">
        <f>_xlfn.XLOOKUP($B16,'PEW1'!$C$6:$C$101,'PEW1'!$B$6:$B$101,"")</f>
        <v/>
      </c>
      <c r="Y16" s="79">
        <f>_xlfn.XLOOKUP(X16,'PEW1'!$B$6:$B$55,'PEW1'!$A$6:$A$55,0)</f>
        <v>0</v>
      </c>
      <c r="Z16" s="10" t="str">
        <f>_xlfn.XLOOKUP($B16,'PEW2'!$C$6:$C$101,'PEW2'!$B$6:$B$101,"")</f>
        <v/>
      </c>
      <c r="AA16" s="76">
        <f>_xlfn.XLOOKUP(Z16,'PEW2'!$B$6:$B$55,'PEW2'!$A$6:$A$55,0)</f>
        <v>0</v>
      </c>
      <c r="AB16" s="10" t="str">
        <f>_xlfn.XLOOKUP($B16,'PEW3'!$C$6:$C$101,'PEW3'!$B$6:$B$101,"")</f>
        <v/>
      </c>
      <c r="AC16" s="76">
        <f>_xlfn.XLOOKUP(AB16,'PEW3'!$B$6:$B$55,'PEW3'!$A$6:$A$55,0)</f>
        <v>0</v>
      </c>
      <c r="AD16" s="10" t="str">
        <f>_xlfn.XLOOKUP($B16,VFC!$C$6:$C$101,VFC!$B$6:$B$101,"")</f>
        <v/>
      </c>
      <c r="AE16" s="76">
        <f>_xlfn.XLOOKUP(AD16,VFC!$B$6:$B$55,VFC!$A$6:$A$55,0)</f>
        <v>0</v>
      </c>
      <c r="AF16" s="10" t="str">
        <f>_xlfn.XLOOKUP($B16,'PEW4'!$C$6:$C$101,'PEW4'!$B$6:$B$101,"")</f>
        <v/>
      </c>
      <c r="AG16" s="76">
        <f>_xlfn.XLOOKUP(AF16,'PEW4'!$B$6:$B$55,'PEW4'!$A$6:$A$55,0)</f>
        <v>0</v>
      </c>
      <c r="AH16" s="10" t="str">
        <f>_xlfn.XLOOKUP($B16,'PEW5'!$C$6:$C$101,'PEW5'!$B$6:$B$101,"")</f>
        <v/>
      </c>
      <c r="AI16" s="76">
        <f>_xlfn.XLOOKUP(AH16,'PEW5'!$B$6:$B$55,'PEW5'!$A$6:$A$55,0)</f>
        <v>0</v>
      </c>
      <c r="AJ16" s="10" t="str">
        <f>_xlfn.XLOOKUP($B16,'PEW6'!$C$6:$C$101,'PEW6'!$B$6:$B$101,"")</f>
        <v/>
      </c>
      <c r="AK16" s="76">
        <f>_xlfn.XLOOKUP(AJ16,'PEW6'!$B$6:$B$55,'PEW6'!$A$6:$A$55,0)</f>
        <v>0</v>
      </c>
      <c r="AL16" s="10" t="str">
        <f>_xlfn.XLOOKUP($B16,'PEW7'!$C$6:$C$101,'PEW7'!$B$6:$B$101,"")</f>
        <v/>
      </c>
      <c r="AM16" s="76">
        <f>_xlfn.XLOOKUP(AL16,'PEW7'!$B$6:$B$55,'PEW7'!$A$6:$A$55,0)</f>
        <v>0</v>
      </c>
      <c r="AN16" s="10" t="str">
        <f>_xlfn.XLOOKUP($B16,'PEW8'!$C$6:$C$101,'PEW8'!$B$6:$B$101,"")</f>
        <v/>
      </c>
      <c r="AO16" s="76">
        <f>_xlfn.XLOOKUP(AN16,'PEW8'!$B$6:$B$55,'PEW8'!$A$6:$A$55,0)</f>
        <v>0</v>
      </c>
      <c r="AP16" s="10" t="str">
        <f>_xlfn.XLOOKUP($B16,'PEW9'!$C$6:$C$101,'PEW9'!$B$6:$B$101,"")</f>
        <v/>
      </c>
      <c r="AQ16" s="76">
        <f>_xlfn.XLOOKUP(AP16,'PEW9'!$B$6:$B$55,'PEW9'!$A$6:$A$55,0)</f>
        <v>0</v>
      </c>
      <c r="AR16" s="10" t="str">
        <f>_xlfn.XLOOKUP($B16,'PEW10'!$C$6:$C$101,'PEW10'!$B$6:$B$101,"")</f>
        <v/>
      </c>
      <c r="AS16" s="76">
        <f>_xlfn.XLOOKUP(AR16,'PEW10'!$B$6:$B$55,'PEW10'!$A$6:$A$55,0)</f>
        <v>0</v>
      </c>
      <c r="AT16" s="10" t="str">
        <f>_xlfn.XLOOKUP($B16,'PEW11'!$C$6:$C$101,'PEW11'!$B$6:$B$101,"")</f>
        <v/>
      </c>
      <c r="AU16" s="76">
        <f>_xlfn.XLOOKUP(AT16,'PEW11'!$B$6:$B$55,'PEW11'!$A$6:$A$55,0)</f>
        <v>0</v>
      </c>
      <c r="AV16" s="10" t="str">
        <f>_xlfn.XLOOKUP($B16,'PEW12'!$C$6:$C$101,'PEW12'!$B$6:$B$101,"")</f>
        <v/>
      </c>
      <c r="AW16" s="76">
        <f>_xlfn.XLOOKUP(AV16,'PEW12'!$B$6:$B$55,'PEW12'!$A$6:$A$55,0)</f>
        <v>0</v>
      </c>
      <c r="AX16" s="10" t="str" cm="1">
        <f t="array" ref="AX16">_xlfn.XLOOKUP($B16,IMEW!C$6:C$101,IMEW!$B$6:B$101,"")</f>
        <v/>
      </c>
      <c r="AY16" s="77">
        <f>_xlfn.XLOOKUP(AX16,IMEW!$B$6:$B$100,IMEW!$A$6:$A$100,0)</f>
        <v>0</v>
      </c>
      <c r="BA16" s="78">
        <f t="shared" si="0"/>
        <v>0</v>
      </c>
      <c r="BB16" s="78">
        <f t="shared" si="1"/>
        <v>0</v>
      </c>
      <c r="BC16" s="78">
        <f t="shared" si="2"/>
        <v>0</v>
      </c>
      <c r="BD16" s="78">
        <f t="shared" si="3"/>
        <v>0</v>
      </c>
      <c r="BE16" s="78">
        <f t="shared" si="4"/>
        <v>0</v>
      </c>
      <c r="BF16" s="78">
        <f t="shared" si="5"/>
        <v>0</v>
      </c>
      <c r="BG16" s="78">
        <f t="shared" si="6"/>
        <v>0</v>
      </c>
    </row>
    <row r="17" spans="1:59" ht="14.8" customHeight="1" x14ac:dyDescent="0.25">
      <c r="A17" s="8">
        <f>ROW()-5</f>
        <v>12</v>
      </c>
      <c r="B17" s="9"/>
      <c r="C17" s="11"/>
      <c r="D17" s="125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0" t="str">
        <f>_xlfn.XLOOKUP($B17,'GP1'!$C$6:$C$55,'GP1'!$B$6:$B$55,"")</f>
        <v/>
      </c>
      <c r="F17" s="126">
        <f>_xlfn.XLOOKUP(E17,'GP1'!$B$6:$B$55,'GP1'!$A$6:$A$55,0)</f>
        <v>0</v>
      </c>
      <c r="G17" s="12" t="str">
        <f>_xlfn.XLOOKUP($B17,'GP2'!$C$6:$C$55,'GP2'!$B$6:$B$55,"")</f>
        <v/>
      </c>
      <c r="H17" s="127">
        <f>_xlfn.XLOOKUP(G17,'GP2'!$B$6:$B$55,'GP2'!$A$6:$A$55,0)</f>
        <v>0</v>
      </c>
      <c r="I17" s="12" t="str">
        <f>_xlfn.XLOOKUP($B17,'GP3'!$C$6:$C$55,'GP3'!$B$6:$B$55,"")</f>
        <v/>
      </c>
      <c r="J17" s="127">
        <f>_xlfn.XLOOKUP(I17,'GP3'!$B$6:$B$55,'GP3'!$A$6:$A$55,0)</f>
        <v>0</v>
      </c>
      <c r="K17" s="12" t="str">
        <f>_xlfn.XLOOKUP($B17,'GP4'!$C$6:$C$55,'GP4'!$B$6:$B$55,"")</f>
        <v/>
      </c>
      <c r="L17" s="127">
        <f>_xlfn.XLOOKUP(K17,'GP4'!$B$6:$B$55,'GP4'!$A$6:$A$55,0)</f>
        <v>0</v>
      </c>
      <c r="M17" s="12" t="str">
        <f>_xlfn.XLOOKUP($B17,'GP5'!$C$6:$C$55,'GP5'!$B$6:$B$55,"")</f>
        <v/>
      </c>
      <c r="N17" s="129">
        <f>_xlfn.XLOOKUP(M17,'GP5'!$B$6:$B$55,'GP5'!$A$6:$A$55,0)</f>
        <v>0</v>
      </c>
      <c r="O17" s="12" t="str">
        <f>_xlfn.XLOOKUP($B17,'GP6'!$C$6:$C$55,'GP6'!$B$6:$B$55,"")</f>
        <v/>
      </c>
      <c r="P17" s="129">
        <f>_xlfn.XLOOKUP(O17,'GP6'!$B$6:$B$55,'GP6'!$A$6:$A$55,0)</f>
        <v>0</v>
      </c>
      <c r="Q17" s="12" t="str">
        <f>_xlfn.XLOOKUP($B17,'GP7'!$C$6:$C$55,'GP7'!$B$6:$B$55,"")</f>
        <v/>
      </c>
      <c r="R17" s="129">
        <f>_xlfn.XLOOKUP(Q17,'GP7'!$B$6:$B$55,'GP7'!$A$6:$A$55,0)</f>
        <v>0</v>
      </c>
      <c r="S17" s="12" t="str">
        <f>_xlfn.XLOOKUP($B17,'GP8'!$C$6:$C$55,'GP8'!$B$6:$B$55,"")</f>
        <v/>
      </c>
      <c r="T17" s="129">
        <f>_xlfn.XLOOKUP(S17,'GP8'!$B$6:$B$55,'GP8'!$A$6:$A$55,0)</f>
        <v>0</v>
      </c>
      <c r="U17" s="12" t="str">
        <f>_xlfn.XLOOKUP(B17,MPW!C$6:C$55,MPW!B$6:B$55,"")</f>
        <v/>
      </c>
      <c r="V17" s="129" t="str">
        <f>_xlfn.XLOOKUP(U17,MPW!B$6:B$55,MPW!A$6:A$55,0)</f>
        <v/>
      </c>
      <c r="X17" s="12" t="str">
        <f>_xlfn.XLOOKUP($B17,'PEW1'!$C$6:$C$101,'PEW1'!$B$6:$B$101,"")</f>
        <v/>
      </c>
      <c r="Y17" s="79">
        <f>_xlfn.XLOOKUP(X17,'PEW1'!$B$6:$B$55,'PEW1'!$A$6:$A$55,0)</f>
        <v>0</v>
      </c>
      <c r="Z17" s="10" t="str">
        <f>_xlfn.XLOOKUP($B17,'PEW2'!$C$6:$C$101,'PEW2'!$B$6:$B$101,"")</f>
        <v/>
      </c>
      <c r="AA17" s="76">
        <f>_xlfn.XLOOKUP(Z17,'PEW2'!$B$6:$B$55,'PEW2'!$A$6:$A$55,0)</f>
        <v>0</v>
      </c>
      <c r="AB17" s="10" t="str">
        <f>_xlfn.XLOOKUP($B17,'PEW3'!$C$6:$C$101,'PEW3'!$B$6:$B$101,"")</f>
        <v/>
      </c>
      <c r="AC17" s="76">
        <f>_xlfn.XLOOKUP(AB17,'PEW3'!$B$6:$B$55,'PEW3'!$A$6:$A$55,0)</f>
        <v>0</v>
      </c>
      <c r="AD17" s="10" t="str">
        <f>_xlfn.XLOOKUP($B17,VFC!$C$6:$C$101,VFC!$B$6:$B$101,"")</f>
        <v/>
      </c>
      <c r="AE17" s="76">
        <f>_xlfn.XLOOKUP(AD17,VFC!$B$6:$B$55,VFC!$A$6:$A$55,0)</f>
        <v>0</v>
      </c>
      <c r="AF17" s="10" t="str">
        <f>_xlfn.XLOOKUP($B17,'PEW4'!$C$6:$C$101,'PEW4'!$B$6:$B$101,"")</f>
        <v/>
      </c>
      <c r="AG17" s="76">
        <f>_xlfn.XLOOKUP(AF17,'PEW4'!$B$6:$B$55,'PEW4'!$A$6:$A$55,0)</f>
        <v>0</v>
      </c>
      <c r="AH17" s="10" t="str">
        <f>_xlfn.XLOOKUP($B17,'PEW5'!$C$6:$C$101,'PEW5'!$B$6:$B$101,"")</f>
        <v/>
      </c>
      <c r="AI17" s="76">
        <f>_xlfn.XLOOKUP(AH17,'PEW5'!$B$6:$B$55,'PEW5'!$A$6:$A$55,0)</f>
        <v>0</v>
      </c>
      <c r="AJ17" s="10" t="str">
        <f>_xlfn.XLOOKUP($B17,'PEW6'!$C$6:$C$101,'PEW6'!$B$6:$B$101,"")</f>
        <v/>
      </c>
      <c r="AK17" s="76">
        <f>_xlfn.XLOOKUP(AJ17,'PEW6'!$B$6:$B$55,'PEW6'!$A$6:$A$55,0)</f>
        <v>0</v>
      </c>
      <c r="AL17" s="10" t="str">
        <f>_xlfn.XLOOKUP($B17,'PEW7'!$C$6:$C$101,'PEW7'!$B$6:$B$101,"")</f>
        <v/>
      </c>
      <c r="AM17" s="76">
        <f>_xlfn.XLOOKUP(AL17,'PEW7'!$B$6:$B$55,'PEW7'!$A$6:$A$55,0)</f>
        <v>0</v>
      </c>
      <c r="AN17" s="10" t="str">
        <f>_xlfn.XLOOKUP($B17,'PEW8'!$C$6:$C$101,'PEW8'!$B$6:$B$101,"")</f>
        <v/>
      </c>
      <c r="AO17" s="76">
        <f>_xlfn.XLOOKUP(AN17,'PEW8'!$B$6:$B$55,'PEW8'!$A$6:$A$55,0)</f>
        <v>0</v>
      </c>
      <c r="AP17" s="10" t="str">
        <f>_xlfn.XLOOKUP($B17,'PEW9'!$C$6:$C$101,'PEW9'!$B$6:$B$101,"")</f>
        <v/>
      </c>
      <c r="AQ17" s="76">
        <f>_xlfn.XLOOKUP(AP17,'PEW9'!$B$6:$B$55,'PEW9'!$A$6:$A$55,0)</f>
        <v>0</v>
      </c>
      <c r="AR17" s="10" t="str">
        <f>_xlfn.XLOOKUP($B17,'PEW10'!$C$6:$C$101,'PEW10'!$B$6:$B$101,"")</f>
        <v/>
      </c>
      <c r="AS17" s="76">
        <f>_xlfn.XLOOKUP(AR17,'PEW10'!$B$6:$B$55,'PEW10'!$A$6:$A$55,0)</f>
        <v>0</v>
      </c>
      <c r="AT17" s="10" t="str">
        <f>_xlfn.XLOOKUP($B17,'PEW11'!$C$6:$C$101,'PEW11'!$B$6:$B$101,"")</f>
        <v/>
      </c>
      <c r="AU17" s="76">
        <f>_xlfn.XLOOKUP(AT17,'PEW11'!$B$6:$B$55,'PEW11'!$A$6:$A$55,0)</f>
        <v>0</v>
      </c>
      <c r="AV17" s="10" t="str">
        <f>_xlfn.XLOOKUP($B17,'PEW12'!$C$6:$C$101,'PEW12'!$B$6:$B$101,"")</f>
        <v/>
      </c>
      <c r="AW17" s="76">
        <f>_xlfn.XLOOKUP(AV17,'PEW12'!$B$6:$B$55,'PEW12'!$A$6:$A$55,0)</f>
        <v>0</v>
      </c>
      <c r="AX17" s="10" t="str" cm="1">
        <f t="array" ref="AX17">_xlfn.XLOOKUP($B17,IMEW!C$6:C$101,IMEW!$B$6:B$101,"")</f>
        <v/>
      </c>
      <c r="AY17" s="77">
        <f>_xlfn.XLOOKUP(AX17,IMEW!$B$6:$B$100,IMEW!$A$6:$A$100,0)</f>
        <v>0</v>
      </c>
      <c r="BA17" s="78">
        <f t="shared" si="0"/>
        <v>0</v>
      </c>
      <c r="BB17" s="78">
        <f t="shared" si="1"/>
        <v>0</v>
      </c>
      <c r="BC17" s="78">
        <f t="shared" si="2"/>
        <v>0</v>
      </c>
      <c r="BD17" s="78">
        <f t="shared" si="3"/>
        <v>0</v>
      </c>
      <c r="BE17" s="78">
        <f t="shared" si="4"/>
        <v>0</v>
      </c>
      <c r="BF17" s="78">
        <f t="shared" si="5"/>
        <v>0</v>
      </c>
      <c r="BG17" s="78">
        <f t="shared" si="6"/>
        <v>0</v>
      </c>
    </row>
    <row r="18" spans="1:59" ht="14.8" customHeight="1" x14ac:dyDescent="0.25">
      <c r="A18" s="8">
        <f>ROW()-5</f>
        <v>13</v>
      </c>
      <c r="B18" s="9"/>
      <c r="C18" s="11"/>
      <c r="D18" s="125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0" t="str">
        <f>_xlfn.XLOOKUP($B18,'GP1'!$C$6:$C$55,'GP1'!$B$6:$B$55,"")</f>
        <v/>
      </c>
      <c r="F18" s="126">
        <f>_xlfn.XLOOKUP(E18,'GP1'!$B$6:$B$55,'GP1'!$A$6:$A$55,0)</f>
        <v>0</v>
      </c>
      <c r="G18" s="12" t="str">
        <f>_xlfn.XLOOKUP($B18,'GP2'!$C$6:$C$55,'GP2'!$B$6:$B$55,"")</f>
        <v/>
      </c>
      <c r="H18" s="127">
        <f>_xlfn.XLOOKUP(G18,'GP2'!$B$6:$B$55,'GP2'!$A$6:$A$55,0)</f>
        <v>0</v>
      </c>
      <c r="I18" s="12" t="str">
        <f>_xlfn.XLOOKUP($B18,'GP3'!$C$6:$C$55,'GP3'!$B$6:$B$55,"")</f>
        <v/>
      </c>
      <c r="J18" s="127">
        <f>_xlfn.XLOOKUP(I18,'GP3'!$B$6:$B$55,'GP3'!$A$6:$A$55,0)</f>
        <v>0</v>
      </c>
      <c r="K18" s="12" t="str">
        <f>_xlfn.XLOOKUP($B18,'GP4'!$C$6:$C$55,'GP4'!$B$6:$B$55,"")</f>
        <v/>
      </c>
      <c r="L18" s="127">
        <f>_xlfn.XLOOKUP(K18,'GP4'!$B$6:$B$55,'GP4'!$A$6:$A$55,0)</f>
        <v>0</v>
      </c>
      <c r="M18" s="12" t="str">
        <f>_xlfn.XLOOKUP($B18,'GP5'!$C$6:$C$55,'GP5'!$B$6:$B$55,"")</f>
        <v/>
      </c>
      <c r="N18" s="129">
        <f>_xlfn.XLOOKUP(M18,'GP5'!$B$6:$B$55,'GP5'!$A$6:$A$55,0)</f>
        <v>0</v>
      </c>
      <c r="O18" s="12" t="str">
        <f>_xlfn.XLOOKUP($B18,'GP6'!$C$6:$C$55,'GP6'!$B$6:$B$55,"")</f>
        <v/>
      </c>
      <c r="P18" s="129">
        <f>_xlfn.XLOOKUP(O18,'GP6'!$B$6:$B$55,'GP6'!$A$6:$A$55,0)</f>
        <v>0</v>
      </c>
      <c r="Q18" s="12" t="str">
        <f>_xlfn.XLOOKUP($B18,'GP7'!$C$6:$C$55,'GP7'!$B$6:$B$55,"")</f>
        <v/>
      </c>
      <c r="R18" s="129">
        <f>_xlfn.XLOOKUP(Q18,'GP7'!$B$6:$B$55,'GP7'!$A$6:$A$55,0)</f>
        <v>0</v>
      </c>
      <c r="S18" s="12" t="str">
        <f>_xlfn.XLOOKUP($B18,'GP8'!$C$6:$C$55,'GP8'!$B$6:$B$55,"")</f>
        <v/>
      </c>
      <c r="T18" s="129">
        <f>_xlfn.XLOOKUP(S18,'GP8'!$B$6:$B$55,'GP8'!$A$6:$A$55,0)</f>
        <v>0</v>
      </c>
      <c r="U18" s="12" t="str">
        <f>_xlfn.XLOOKUP(B18,MPW!C$6:C$55,MPW!B$6:B$55,"")</f>
        <v/>
      </c>
      <c r="V18" s="129" t="str">
        <f>_xlfn.XLOOKUP(U18,MPW!B$6:B$55,MPW!A$6:A$55,0)</f>
        <v/>
      </c>
      <c r="X18" s="12" t="str">
        <f>_xlfn.XLOOKUP($B18,'PEW1'!$C$6:$C$101,'PEW1'!$B$6:$B$101,"")</f>
        <v/>
      </c>
      <c r="Y18" s="79">
        <f>_xlfn.XLOOKUP(X18,'PEW1'!$B$6:$B$55,'PEW1'!$A$6:$A$55,0)</f>
        <v>0</v>
      </c>
      <c r="Z18" s="10" t="str">
        <f>_xlfn.XLOOKUP($B18,'PEW2'!$C$6:$C$101,'PEW2'!$B$6:$B$101,"")</f>
        <v/>
      </c>
      <c r="AA18" s="76">
        <f>_xlfn.XLOOKUP(Z18,'PEW2'!$B$6:$B$55,'PEW2'!$A$6:$A$55,0)</f>
        <v>0</v>
      </c>
      <c r="AB18" s="10" t="str">
        <f>_xlfn.XLOOKUP($B18,'PEW3'!$C$6:$C$101,'PEW3'!$B$6:$B$101,"")</f>
        <v/>
      </c>
      <c r="AC18" s="76">
        <f>_xlfn.XLOOKUP(AB18,'PEW3'!$B$6:$B$55,'PEW3'!$A$6:$A$55,0)</f>
        <v>0</v>
      </c>
      <c r="AD18" s="10" t="str">
        <f>_xlfn.XLOOKUP($B18,VFC!$C$6:$C$101,VFC!$B$6:$B$101,"")</f>
        <v/>
      </c>
      <c r="AE18" s="76">
        <f>_xlfn.XLOOKUP(AD18,VFC!$B$6:$B$55,VFC!$A$6:$A$55,0)</f>
        <v>0</v>
      </c>
      <c r="AF18" s="10" t="str">
        <f>_xlfn.XLOOKUP($B18,'PEW4'!$C$6:$C$101,'PEW4'!$B$6:$B$101,"")</f>
        <v/>
      </c>
      <c r="AG18" s="76">
        <f>_xlfn.XLOOKUP(AF18,'PEW4'!$B$6:$B$55,'PEW4'!$A$6:$A$55,0)</f>
        <v>0</v>
      </c>
      <c r="AH18" s="10" t="str">
        <f>_xlfn.XLOOKUP($B18,'PEW5'!$C$6:$C$101,'PEW5'!$B$6:$B$101,"")</f>
        <v/>
      </c>
      <c r="AI18" s="76">
        <f>_xlfn.XLOOKUP(AH18,'PEW5'!$B$6:$B$55,'PEW5'!$A$6:$A$55,0)</f>
        <v>0</v>
      </c>
      <c r="AJ18" s="10" t="str">
        <f>_xlfn.XLOOKUP($B18,'PEW6'!$C$6:$C$101,'PEW6'!$B$6:$B$101,"")</f>
        <v/>
      </c>
      <c r="AK18" s="76">
        <f>_xlfn.XLOOKUP(AJ18,'PEW6'!$B$6:$B$55,'PEW6'!$A$6:$A$55,0)</f>
        <v>0</v>
      </c>
      <c r="AL18" s="10" t="str">
        <f>_xlfn.XLOOKUP($B18,'PEW7'!$C$6:$C$101,'PEW7'!$B$6:$B$101,"")</f>
        <v/>
      </c>
      <c r="AM18" s="76">
        <f>_xlfn.XLOOKUP(AL18,'PEW7'!$B$6:$B$55,'PEW7'!$A$6:$A$55,0)</f>
        <v>0</v>
      </c>
      <c r="AN18" s="10" t="str">
        <f>_xlfn.XLOOKUP($B18,'PEW8'!$C$6:$C$101,'PEW8'!$B$6:$B$101,"")</f>
        <v/>
      </c>
      <c r="AO18" s="76">
        <f>_xlfn.XLOOKUP(AN18,'PEW8'!$B$6:$B$55,'PEW8'!$A$6:$A$55,0)</f>
        <v>0</v>
      </c>
      <c r="AP18" s="10" t="str">
        <f>_xlfn.XLOOKUP($B18,'PEW9'!$C$6:$C$101,'PEW9'!$B$6:$B$101,"")</f>
        <v/>
      </c>
      <c r="AQ18" s="76">
        <f>_xlfn.XLOOKUP(AP18,'PEW9'!$B$6:$B$55,'PEW9'!$A$6:$A$55,0)</f>
        <v>0</v>
      </c>
      <c r="AR18" s="10" t="str">
        <f>_xlfn.XLOOKUP($B18,'PEW10'!$C$6:$C$101,'PEW10'!$B$6:$B$101,"")</f>
        <v/>
      </c>
      <c r="AS18" s="76">
        <f>_xlfn.XLOOKUP(AR18,'PEW10'!$B$6:$B$55,'PEW10'!$A$6:$A$55,0)</f>
        <v>0</v>
      </c>
      <c r="AT18" s="10" t="str">
        <f>_xlfn.XLOOKUP($B18,'PEW11'!$C$6:$C$101,'PEW11'!$B$6:$B$101,"")</f>
        <v/>
      </c>
      <c r="AU18" s="76">
        <f>_xlfn.XLOOKUP(AT18,'PEW11'!$B$6:$B$55,'PEW11'!$A$6:$A$55,0)</f>
        <v>0</v>
      </c>
      <c r="AV18" s="10" t="str">
        <f>_xlfn.XLOOKUP($B18,'PEW12'!$C$6:$C$101,'PEW12'!$B$6:$B$101,"")</f>
        <v/>
      </c>
      <c r="AW18" s="76">
        <f>_xlfn.XLOOKUP(AV18,'PEW12'!$B$6:$B$55,'PEW12'!$A$6:$A$55,0)</f>
        <v>0</v>
      </c>
      <c r="AX18" s="10" t="str" cm="1">
        <f t="array" ref="AX18">_xlfn.XLOOKUP($B18,IMEW!C$6:C$101,IMEW!$B$6:B$101,"")</f>
        <v/>
      </c>
      <c r="AY18" s="77">
        <f>_xlfn.XLOOKUP(AX18,IMEW!$B$6:$B$100,IMEW!$A$6:$A$100,0)</f>
        <v>0</v>
      </c>
      <c r="BA18" s="78">
        <f t="shared" si="0"/>
        <v>0</v>
      </c>
      <c r="BB18" s="78">
        <f t="shared" si="1"/>
        <v>0</v>
      </c>
      <c r="BC18" s="78">
        <f t="shared" si="2"/>
        <v>0</v>
      </c>
      <c r="BD18" s="78">
        <f t="shared" si="3"/>
        <v>0</v>
      </c>
      <c r="BE18" s="78">
        <f t="shared" si="4"/>
        <v>0</v>
      </c>
      <c r="BF18" s="78">
        <f t="shared" si="5"/>
        <v>0</v>
      </c>
      <c r="BG18" s="78">
        <f t="shared" si="6"/>
        <v>0</v>
      </c>
    </row>
    <row r="19" spans="1:59" ht="14.8" customHeight="1" x14ac:dyDescent="0.25">
      <c r="A19" s="8">
        <f>ROW()-5</f>
        <v>14</v>
      </c>
      <c r="B19" s="9"/>
      <c r="C19" s="11"/>
      <c r="D19" s="125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0" t="str">
        <f>_xlfn.XLOOKUP($B19,'GP1'!$C$6:$C$55,'GP1'!$B$6:$B$55,"")</f>
        <v/>
      </c>
      <c r="F19" s="126">
        <f>_xlfn.XLOOKUP(E19,'GP1'!$B$6:$B$55,'GP1'!$A$6:$A$55,0)</f>
        <v>0</v>
      </c>
      <c r="G19" s="12" t="str">
        <f>_xlfn.XLOOKUP($B19,'GP2'!$C$6:$C$55,'GP2'!$B$6:$B$55,"")</f>
        <v/>
      </c>
      <c r="H19" s="127">
        <f>_xlfn.XLOOKUP(G19,'GP2'!$B$6:$B$55,'GP2'!$A$6:$A$55,0)</f>
        <v>0</v>
      </c>
      <c r="I19" s="12" t="str">
        <f>_xlfn.XLOOKUP($B19,'GP3'!$C$6:$C$55,'GP3'!$B$6:$B$55,"")</f>
        <v/>
      </c>
      <c r="J19" s="127">
        <f>_xlfn.XLOOKUP(I19,'GP3'!$B$6:$B$55,'GP3'!$A$6:$A$55,0)</f>
        <v>0</v>
      </c>
      <c r="K19" s="12" t="str">
        <f>_xlfn.XLOOKUP($B19,'GP4'!$C$6:$C$55,'GP4'!$B$6:$B$55,"")</f>
        <v/>
      </c>
      <c r="L19" s="127">
        <f>_xlfn.XLOOKUP(K19,'GP4'!$B$6:$B$55,'GP4'!$A$6:$A$55,0)</f>
        <v>0</v>
      </c>
      <c r="M19" s="12" t="str">
        <f>_xlfn.XLOOKUP($B19,'GP5'!$C$6:$C$55,'GP5'!$B$6:$B$55,"")</f>
        <v/>
      </c>
      <c r="N19" s="129">
        <f>_xlfn.XLOOKUP(M19,'GP5'!$B$6:$B$55,'GP5'!$A$6:$A$55,0)</f>
        <v>0</v>
      </c>
      <c r="O19" s="12" t="str">
        <f>_xlfn.XLOOKUP($B19,'GP6'!$C$6:$C$55,'GP6'!$B$6:$B$55,"")</f>
        <v/>
      </c>
      <c r="P19" s="129">
        <f>_xlfn.XLOOKUP(O19,'GP6'!$B$6:$B$55,'GP6'!$A$6:$A$55,0)</f>
        <v>0</v>
      </c>
      <c r="Q19" s="12" t="str">
        <f>_xlfn.XLOOKUP($B19,'GP7'!$C$6:$C$55,'GP7'!$B$6:$B$55,"")</f>
        <v/>
      </c>
      <c r="R19" s="129">
        <f>_xlfn.XLOOKUP(Q19,'GP7'!$B$6:$B$55,'GP7'!$A$6:$A$55,0)</f>
        <v>0</v>
      </c>
      <c r="S19" s="12" t="str">
        <f>_xlfn.XLOOKUP($B19,'GP8'!$C$6:$C$55,'GP8'!$B$6:$B$55,"")</f>
        <v/>
      </c>
      <c r="T19" s="129">
        <f>_xlfn.XLOOKUP(S19,'GP8'!$B$6:$B$55,'GP8'!$A$6:$A$55,0)</f>
        <v>0</v>
      </c>
      <c r="U19" s="12" t="str">
        <f>_xlfn.XLOOKUP(B19,MPW!C$6:C$55,MPW!B$6:B$55,"")</f>
        <v/>
      </c>
      <c r="V19" s="129" t="str">
        <f>_xlfn.XLOOKUP(U19,MPW!B$6:B$55,MPW!A$6:A$55,0)</f>
        <v/>
      </c>
      <c r="X19" s="12" t="str">
        <f>_xlfn.XLOOKUP($B19,'PEW1'!$C$6:$C$101,'PEW1'!$B$6:$B$101,"")</f>
        <v/>
      </c>
      <c r="Y19" s="79">
        <f>_xlfn.XLOOKUP(X19,'PEW1'!$B$6:$B$55,'PEW1'!$A$6:$A$55,0)</f>
        <v>0</v>
      </c>
      <c r="Z19" s="10" t="str">
        <f>_xlfn.XLOOKUP($B19,'PEW2'!$C$6:$C$101,'PEW2'!$B$6:$B$101,"")</f>
        <v/>
      </c>
      <c r="AA19" s="76">
        <f>_xlfn.XLOOKUP(Z19,'PEW2'!$B$6:$B$55,'PEW2'!$A$6:$A$55,0)</f>
        <v>0</v>
      </c>
      <c r="AB19" s="10" t="str">
        <f>_xlfn.XLOOKUP($B19,'PEW3'!$C$6:$C$101,'PEW3'!$B$6:$B$101,"")</f>
        <v/>
      </c>
      <c r="AC19" s="76">
        <f>_xlfn.XLOOKUP(AB19,'PEW3'!$B$6:$B$55,'PEW3'!$A$6:$A$55,0)</f>
        <v>0</v>
      </c>
      <c r="AD19" s="10" t="str">
        <f>_xlfn.XLOOKUP($B19,VFC!$C$6:$C$101,VFC!$B$6:$B$101,"")</f>
        <v/>
      </c>
      <c r="AE19" s="76">
        <f>_xlfn.XLOOKUP(AD19,VFC!$B$6:$B$55,VFC!$A$6:$A$55,0)</f>
        <v>0</v>
      </c>
      <c r="AF19" s="10" t="str">
        <f>_xlfn.XLOOKUP($B19,'PEW4'!$C$6:$C$101,'PEW4'!$B$6:$B$101,"")</f>
        <v/>
      </c>
      <c r="AG19" s="76">
        <f>_xlfn.XLOOKUP(AF19,'PEW4'!$B$6:$B$55,'PEW4'!$A$6:$A$55,0)</f>
        <v>0</v>
      </c>
      <c r="AH19" s="10" t="str">
        <f>_xlfn.XLOOKUP($B19,'PEW5'!$C$6:$C$101,'PEW5'!$B$6:$B$101,"")</f>
        <v/>
      </c>
      <c r="AI19" s="76">
        <f>_xlfn.XLOOKUP(AH19,'PEW5'!$B$6:$B$55,'PEW5'!$A$6:$A$55,0)</f>
        <v>0</v>
      </c>
      <c r="AJ19" s="10" t="str">
        <f>_xlfn.XLOOKUP($B19,'PEW6'!$C$6:$C$101,'PEW6'!$B$6:$B$101,"")</f>
        <v/>
      </c>
      <c r="AK19" s="76">
        <f>_xlfn.XLOOKUP(AJ19,'PEW6'!$B$6:$B$55,'PEW6'!$A$6:$A$55,0)</f>
        <v>0</v>
      </c>
      <c r="AL19" s="10" t="str">
        <f>_xlfn.XLOOKUP($B19,'PEW7'!$C$6:$C$101,'PEW7'!$B$6:$B$101,"")</f>
        <v/>
      </c>
      <c r="AM19" s="76">
        <f>_xlfn.XLOOKUP(AL19,'PEW7'!$B$6:$B$55,'PEW7'!$A$6:$A$55,0)</f>
        <v>0</v>
      </c>
      <c r="AN19" s="10" t="str">
        <f>_xlfn.XLOOKUP($B19,'PEW8'!$C$6:$C$101,'PEW8'!$B$6:$B$101,"")</f>
        <v/>
      </c>
      <c r="AO19" s="76">
        <f>_xlfn.XLOOKUP(AN19,'PEW8'!$B$6:$B$55,'PEW8'!$A$6:$A$55,0)</f>
        <v>0</v>
      </c>
      <c r="AP19" s="10" t="str">
        <f>_xlfn.XLOOKUP($B19,'PEW9'!$C$6:$C$101,'PEW9'!$B$6:$B$101,"")</f>
        <v/>
      </c>
      <c r="AQ19" s="76">
        <f>_xlfn.XLOOKUP(AP19,'PEW9'!$B$6:$B$55,'PEW9'!$A$6:$A$55,0)</f>
        <v>0</v>
      </c>
      <c r="AR19" s="10" t="str">
        <f>_xlfn.XLOOKUP($B19,'PEW10'!$C$6:$C$101,'PEW10'!$B$6:$B$101,"")</f>
        <v/>
      </c>
      <c r="AS19" s="76">
        <f>_xlfn.XLOOKUP(AR19,'PEW10'!$B$6:$B$55,'PEW10'!$A$6:$A$55,0)</f>
        <v>0</v>
      </c>
      <c r="AT19" s="10" t="str">
        <f>_xlfn.XLOOKUP($B19,'PEW11'!$C$6:$C$101,'PEW11'!$B$6:$B$101,"")</f>
        <v/>
      </c>
      <c r="AU19" s="76">
        <f>_xlfn.XLOOKUP(AT19,'PEW11'!$B$6:$B$55,'PEW11'!$A$6:$A$55,0)</f>
        <v>0</v>
      </c>
      <c r="AV19" s="10" t="str">
        <f>_xlfn.XLOOKUP($B19,'PEW12'!$C$6:$C$101,'PEW12'!$B$6:$B$101,"")</f>
        <v/>
      </c>
      <c r="AW19" s="76">
        <f>_xlfn.XLOOKUP(AV19,'PEW12'!$B$6:$B$55,'PEW12'!$A$6:$A$55,0)</f>
        <v>0</v>
      </c>
      <c r="AX19" s="10" t="str" cm="1">
        <f t="array" ref="AX19">_xlfn.XLOOKUP($B19,IMEW!C$6:C$101,IMEW!$B$6:B$101,"")</f>
        <v/>
      </c>
      <c r="AY19" s="77">
        <f>_xlfn.XLOOKUP(AX19,IMEW!$B$6:$B$100,IMEW!$A$6:$A$100,0)</f>
        <v>0</v>
      </c>
      <c r="BA19" s="78">
        <f t="shared" si="0"/>
        <v>0</v>
      </c>
      <c r="BB19" s="78">
        <f t="shared" si="1"/>
        <v>0</v>
      </c>
      <c r="BC19" s="78">
        <f t="shared" si="2"/>
        <v>0</v>
      </c>
      <c r="BD19" s="78">
        <f t="shared" si="3"/>
        <v>0</v>
      </c>
      <c r="BE19" s="78">
        <f t="shared" si="4"/>
        <v>0</v>
      </c>
      <c r="BF19" s="78">
        <f t="shared" si="5"/>
        <v>0</v>
      </c>
      <c r="BG19" s="78">
        <f t="shared" si="6"/>
        <v>0</v>
      </c>
    </row>
    <row r="20" spans="1:59" ht="14.8" customHeight="1" x14ac:dyDescent="0.25">
      <c r="A20" s="8">
        <f>ROW()-5</f>
        <v>15</v>
      </c>
      <c r="B20" s="9"/>
      <c r="C20" s="11"/>
      <c r="D20" s="125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0" t="str">
        <f>_xlfn.XLOOKUP($B20,'GP1'!$C$6:$C$55,'GP1'!$B$6:$B$55,"")</f>
        <v/>
      </c>
      <c r="F20" s="126">
        <f>_xlfn.XLOOKUP(E20,'GP1'!$B$6:$B$55,'GP1'!$A$6:$A$55,0)</f>
        <v>0</v>
      </c>
      <c r="G20" s="12" t="str">
        <f>_xlfn.XLOOKUP($B20,'GP2'!$C$6:$C$55,'GP2'!$B$6:$B$55,"")</f>
        <v/>
      </c>
      <c r="H20" s="127">
        <f>_xlfn.XLOOKUP(G20,'GP2'!$B$6:$B$55,'GP2'!$A$6:$A$55,0)</f>
        <v>0</v>
      </c>
      <c r="I20" s="12" t="str">
        <f>_xlfn.XLOOKUP($B20,'GP3'!$C$6:$C$55,'GP3'!$B$6:$B$55,"")</f>
        <v/>
      </c>
      <c r="J20" s="127">
        <f>_xlfn.XLOOKUP(I20,'GP3'!$B$6:$B$55,'GP3'!$A$6:$A$55,0)</f>
        <v>0</v>
      </c>
      <c r="K20" s="12" t="str">
        <f>_xlfn.XLOOKUP($B20,'GP4'!$C$6:$C$55,'GP4'!$B$6:$B$55,"")</f>
        <v/>
      </c>
      <c r="L20" s="127">
        <f>_xlfn.XLOOKUP(K20,'GP4'!$B$6:$B$55,'GP4'!$A$6:$A$55,0)</f>
        <v>0</v>
      </c>
      <c r="M20" s="12" t="str">
        <f>_xlfn.XLOOKUP($B20,'GP5'!$C$6:$C$55,'GP5'!$B$6:$B$55,"")</f>
        <v/>
      </c>
      <c r="N20" s="129">
        <f>_xlfn.XLOOKUP(M20,'GP5'!$B$6:$B$55,'GP5'!$A$6:$A$55,0)</f>
        <v>0</v>
      </c>
      <c r="O20" s="12" t="str">
        <f>_xlfn.XLOOKUP($B20,'GP6'!$C$6:$C$55,'GP6'!$B$6:$B$55,"")</f>
        <v/>
      </c>
      <c r="P20" s="129">
        <f>_xlfn.XLOOKUP(O20,'GP6'!$B$6:$B$55,'GP6'!$A$6:$A$55,0)</f>
        <v>0</v>
      </c>
      <c r="Q20" s="12" t="str">
        <f>_xlfn.XLOOKUP($B20,'GP7'!$C$6:$C$55,'GP7'!$B$6:$B$55,"")</f>
        <v/>
      </c>
      <c r="R20" s="129">
        <f>_xlfn.XLOOKUP(Q20,'GP7'!$B$6:$B$55,'GP7'!$A$6:$A$55,0)</f>
        <v>0</v>
      </c>
      <c r="S20" s="12" t="str">
        <f>_xlfn.XLOOKUP($B20,'GP8'!$C$6:$C$55,'GP8'!$B$6:$B$55,"")</f>
        <v/>
      </c>
      <c r="T20" s="129">
        <f>_xlfn.XLOOKUP(S20,'GP8'!$B$6:$B$55,'GP8'!$A$6:$A$55,0)</f>
        <v>0</v>
      </c>
      <c r="U20" s="12" t="str">
        <f>_xlfn.XLOOKUP(B20,MPW!C$6:C$55,MPW!B$6:B$55,"")</f>
        <v/>
      </c>
      <c r="V20" s="129" t="str">
        <f>_xlfn.XLOOKUP(U20,MPW!B$6:B$55,MPW!A$6:A$55,0)</f>
        <v/>
      </c>
      <c r="X20" s="12" t="str">
        <f>_xlfn.XLOOKUP($B20,'PEW1'!$C$6:$C$101,'PEW1'!$B$6:$B$101,"")</f>
        <v/>
      </c>
      <c r="Y20" s="79">
        <f>_xlfn.XLOOKUP(X20,'PEW1'!$B$6:$B$55,'PEW1'!$A$6:$A$55,0)</f>
        <v>0</v>
      </c>
      <c r="Z20" s="10" t="str">
        <f>_xlfn.XLOOKUP($B20,'PEW2'!$C$6:$C$101,'PEW2'!$B$6:$B$101,"")</f>
        <v/>
      </c>
      <c r="AA20" s="76">
        <f>_xlfn.XLOOKUP(Z20,'PEW2'!$B$6:$B$55,'PEW2'!$A$6:$A$55,0)</f>
        <v>0</v>
      </c>
      <c r="AB20" s="10" t="str">
        <f>_xlfn.XLOOKUP($B20,'PEW3'!$C$6:$C$101,'PEW3'!$B$6:$B$101,"")</f>
        <v/>
      </c>
      <c r="AC20" s="76">
        <f>_xlfn.XLOOKUP(AB20,'PEW3'!$B$6:$B$55,'PEW3'!$A$6:$A$55,0)</f>
        <v>0</v>
      </c>
      <c r="AD20" s="10" t="str">
        <f>_xlfn.XLOOKUP($B20,VFC!$C$6:$C$101,VFC!$B$6:$B$101,"")</f>
        <v/>
      </c>
      <c r="AE20" s="76">
        <f>_xlfn.XLOOKUP(AD20,VFC!$B$6:$B$55,VFC!$A$6:$A$55,0)</f>
        <v>0</v>
      </c>
      <c r="AF20" s="10" t="str">
        <f>_xlfn.XLOOKUP($B20,'PEW4'!$C$6:$C$101,'PEW4'!$B$6:$B$101,"")</f>
        <v/>
      </c>
      <c r="AG20" s="76">
        <f>_xlfn.XLOOKUP(AF20,'PEW4'!$B$6:$B$55,'PEW4'!$A$6:$A$55,0)</f>
        <v>0</v>
      </c>
      <c r="AH20" s="10" t="str">
        <f>_xlfn.XLOOKUP($B20,'PEW5'!$C$6:$C$101,'PEW5'!$B$6:$B$101,"")</f>
        <v/>
      </c>
      <c r="AI20" s="76">
        <f>_xlfn.XLOOKUP(AH20,'PEW5'!$B$6:$B$55,'PEW5'!$A$6:$A$55,0)</f>
        <v>0</v>
      </c>
      <c r="AJ20" s="10" t="str">
        <f>_xlfn.XLOOKUP($B20,'PEW6'!$C$6:$C$101,'PEW6'!$B$6:$B$101,"")</f>
        <v/>
      </c>
      <c r="AK20" s="76">
        <f>_xlfn.XLOOKUP(AJ20,'PEW6'!$B$6:$B$55,'PEW6'!$A$6:$A$55,0)</f>
        <v>0</v>
      </c>
      <c r="AL20" s="10" t="str">
        <f>_xlfn.XLOOKUP($B20,'PEW7'!$C$6:$C$101,'PEW7'!$B$6:$B$101,"")</f>
        <v/>
      </c>
      <c r="AM20" s="76">
        <f>_xlfn.XLOOKUP(AL20,'PEW7'!$B$6:$B$55,'PEW7'!$A$6:$A$55,0)</f>
        <v>0</v>
      </c>
      <c r="AN20" s="10" t="str">
        <f>_xlfn.XLOOKUP($B20,'PEW8'!$C$6:$C$101,'PEW8'!$B$6:$B$101,"")</f>
        <v/>
      </c>
      <c r="AO20" s="76">
        <f>_xlfn.XLOOKUP(AN20,'PEW8'!$B$6:$B$55,'PEW8'!$A$6:$A$55,0)</f>
        <v>0</v>
      </c>
      <c r="AP20" s="10" t="str">
        <f>_xlfn.XLOOKUP($B20,'PEW9'!$C$6:$C$101,'PEW9'!$B$6:$B$101,"")</f>
        <v/>
      </c>
      <c r="AQ20" s="76">
        <f>_xlfn.XLOOKUP(AP20,'PEW9'!$B$6:$B$55,'PEW9'!$A$6:$A$55,0)</f>
        <v>0</v>
      </c>
      <c r="AR20" s="10" t="str">
        <f>_xlfn.XLOOKUP($B20,'PEW10'!$C$6:$C$101,'PEW10'!$B$6:$B$101,"")</f>
        <v/>
      </c>
      <c r="AS20" s="76">
        <f>_xlfn.XLOOKUP(AR20,'PEW10'!$B$6:$B$55,'PEW10'!$A$6:$A$55,0)</f>
        <v>0</v>
      </c>
      <c r="AT20" s="10" t="str">
        <f>_xlfn.XLOOKUP($B20,'PEW11'!$C$6:$C$101,'PEW11'!$B$6:$B$101,"")</f>
        <v/>
      </c>
      <c r="AU20" s="76">
        <f>_xlfn.XLOOKUP(AT20,'PEW11'!$B$6:$B$55,'PEW11'!$A$6:$A$55,0)</f>
        <v>0</v>
      </c>
      <c r="AV20" s="10" t="str">
        <f>_xlfn.XLOOKUP($B20,'PEW12'!$C$6:$C$101,'PEW12'!$B$6:$B$101,"")</f>
        <v/>
      </c>
      <c r="AW20" s="76">
        <f>_xlfn.XLOOKUP(AV20,'PEW12'!$B$6:$B$55,'PEW12'!$A$6:$A$55,0)</f>
        <v>0</v>
      </c>
      <c r="AX20" s="10" t="str" cm="1">
        <f t="array" ref="AX20">_xlfn.XLOOKUP($B20,IMEW!C$6:C$101,IMEW!$B$6:B$101,"")</f>
        <v/>
      </c>
      <c r="AY20" s="77">
        <f>_xlfn.XLOOKUP(AX20,IMEW!$B$6:$B$100,IMEW!$A$6:$A$100,0)</f>
        <v>0</v>
      </c>
      <c r="BA20" s="78">
        <f t="shared" si="0"/>
        <v>0</v>
      </c>
      <c r="BB20" s="78">
        <f t="shared" si="1"/>
        <v>0</v>
      </c>
      <c r="BC20" s="78">
        <f t="shared" si="2"/>
        <v>0</v>
      </c>
      <c r="BD20" s="78">
        <f t="shared" si="3"/>
        <v>0</v>
      </c>
      <c r="BE20" s="78">
        <f t="shared" si="4"/>
        <v>0</v>
      </c>
      <c r="BF20" s="78">
        <f t="shared" si="5"/>
        <v>0</v>
      </c>
      <c r="BG20" s="78">
        <f t="shared" si="6"/>
        <v>0</v>
      </c>
    </row>
    <row r="21" spans="1:59" ht="14.8" customHeight="1" x14ac:dyDescent="0.25">
      <c r="A21" s="8">
        <f>ROW()-5</f>
        <v>16</v>
      </c>
      <c r="B21" s="9"/>
      <c r="C21" s="11"/>
      <c r="D21" s="125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0" t="str">
        <f>_xlfn.XLOOKUP($B21,'GP1'!$C$6:$C$55,'GP1'!$B$6:$B$55,"")</f>
        <v/>
      </c>
      <c r="F21" s="126">
        <f>_xlfn.XLOOKUP(E21,'GP1'!$B$6:$B$55,'GP1'!$A$6:$A$55,0)</f>
        <v>0</v>
      </c>
      <c r="G21" s="12" t="str">
        <f>_xlfn.XLOOKUP($B21,'GP2'!$C$6:$C$55,'GP2'!$B$6:$B$55,"")</f>
        <v/>
      </c>
      <c r="H21" s="127">
        <f>_xlfn.XLOOKUP(G21,'GP2'!$B$6:$B$55,'GP2'!$A$6:$A$55,0)</f>
        <v>0</v>
      </c>
      <c r="I21" s="12" t="str">
        <f>_xlfn.XLOOKUP($B21,'GP3'!$C$6:$C$55,'GP3'!$B$6:$B$55,"")</f>
        <v/>
      </c>
      <c r="J21" s="127">
        <f>_xlfn.XLOOKUP(I21,'GP3'!$B$6:$B$55,'GP3'!$A$6:$A$55,0)</f>
        <v>0</v>
      </c>
      <c r="K21" s="12" t="str">
        <f>_xlfn.XLOOKUP($B21,'GP4'!$C$6:$C$55,'GP4'!$B$6:$B$55,"")</f>
        <v/>
      </c>
      <c r="L21" s="127">
        <f>_xlfn.XLOOKUP(K21,'GP4'!$B$6:$B$55,'GP4'!$A$6:$A$55,0)</f>
        <v>0</v>
      </c>
      <c r="M21" s="12" t="str">
        <f>_xlfn.XLOOKUP($B21,'GP5'!$C$6:$C$55,'GP5'!$B$6:$B$55,"")</f>
        <v/>
      </c>
      <c r="N21" s="129">
        <f>_xlfn.XLOOKUP(M21,'GP5'!$B$6:$B$55,'GP5'!$A$6:$A$55,0)</f>
        <v>0</v>
      </c>
      <c r="O21" s="12" t="str">
        <f>_xlfn.XLOOKUP($B21,'GP6'!$C$6:$C$55,'GP6'!$B$6:$B$55,"")</f>
        <v/>
      </c>
      <c r="P21" s="129">
        <f>_xlfn.XLOOKUP(O21,'GP6'!$B$6:$B$55,'GP6'!$A$6:$A$55,0)</f>
        <v>0</v>
      </c>
      <c r="Q21" s="12" t="str">
        <f>_xlfn.XLOOKUP($B21,'GP7'!$C$6:$C$55,'GP7'!$B$6:$B$55,"")</f>
        <v/>
      </c>
      <c r="R21" s="129">
        <f>_xlfn.XLOOKUP(Q21,'GP7'!$B$6:$B$55,'GP7'!$A$6:$A$55,0)</f>
        <v>0</v>
      </c>
      <c r="S21" s="12" t="str">
        <f>_xlfn.XLOOKUP($B21,'GP8'!$C$6:$C$55,'GP8'!$B$6:$B$55,"")</f>
        <v/>
      </c>
      <c r="T21" s="129">
        <f>_xlfn.XLOOKUP(S21,'GP8'!$B$6:$B$55,'GP8'!$A$6:$A$55,0)</f>
        <v>0</v>
      </c>
      <c r="U21" s="12" t="str">
        <f>_xlfn.XLOOKUP(B21,MPW!C$6:C$55,MPW!B$6:B$55,"")</f>
        <v/>
      </c>
      <c r="V21" s="129" t="str">
        <f>_xlfn.XLOOKUP(U21,MPW!B$6:B$55,MPW!A$6:A$55,0)</f>
        <v/>
      </c>
      <c r="X21" s="12" t="str">
        <f>_xlfn.XLOOKUP($B21,'PEW1'!$C$6:$C$101,'PEW1'!$B$6:$B$101,"")</f>
        <v/>
      </c>
      <c r="Y21" s="79">
        <f>_xlfn.XLOOKUP(X21,'PEW1'!$B$6:$B$55,'PEW1'!$A$6:$A$55,0)</f>
        <v>0</v>
      </c>
      <c r="Z21" s="10" t="str">
        <f>_xlfn.XLOOKUP($B21,'PEW2'!$C$6:$C$101,'PEW2'!$B$6:$B$101,"")</f>
        <v/>
      </c>
      <c r="AA21" s="76">
        <f>_xlfn.XLOOKUP(Z21,'PEW2'!$B$6:$B$55,'PEW2'!$A$6:$A$55,0)</f>
        <v>0</v>
      </c>
      <c r="AB21" s="10" t="str">
        <f>_xlfn.XLOOKUP($B21,'PEW3'!$C$6:$C$101,'PEW3'!$B$6:$B$101,"")</f>
        <v/>
      </c>
      <c r="AC21" s="76">
        <f>_xlfn.XLOOKUP(AB21,'PEW3'!$B$6:$B$55,'PEW3'!$A$6:$A$55,0)</f>
        <v>0</v>
      </c>
      <c r="AD21" s="10" t="str">
        <f>_xlfn.XLOOKUP($B21,VFC!$C$6:$C$101,VFC!$B$6:$B$101,"")</f>
        <v/>
      </c>
      <c r="AE21" s="76">
        <f>_xlfn.XLOOKUP(AD21,VFC!$B$6:$B$55,VFC!$A$6:$A$55,0)</f>
        <v>0</v>
      </c>
      <c r="AF21" s="10" t="str">
        <f>_xlfn.XLOOKUP($B21,'PEW4'!$C$6:$C$101,'PEW4'!$B$6:$B$101,"")</f>
        <v/>
      </c>
      <c r="AG21" s="76">
        <f>_xlfn.XLOOKUP(AF21,'PEW4'!$B$6:$B$55,'PEW4'!$A$6:$A$55,0)</f>
        <v>0</v>
      </c>
      <c r="AH21" s="10" t="str">
        <f>_xlfn.XLOOKUP($B21,'PEW5'!$C$6:$C$101,'PEW5'!$B$6:$B$101,"")</f>
        <v/>
      </c>
      <c r="AI21" s="76">
        <f>_xlfn.XLOOKUP(AH21,'PEW5'!$B$6:$B$55,'PEW5'!$A$6:$A$55,0)</f>
        <v>0</v>
      </c>
      <c r="AJ21" s="10" t="str">
        <f>_xlfn.XLOOKUP($B21,'PEW6'!$C$6:$C$101,'PEW6'!$B$6:$B$101,"")</f>
        <v/>
      </c>
      <c r="AK21" s="76">
        <f>_xlfn.XLOOKUP(AJ21,'PEW6'!$B$6:$B$55,'PEW6'!$A$6:$A$55,0)</f>
        <v>0</v>
      </c>
      <c r="AL21" s="10" t="str">
        <f>_xlfn.XLOOKUP($B21,'PEW7'!$C$6:$C$101,'PEW7'!$B$6:$B$101,"")</f>
        <v/>
      </c>
      <c r="AM21" s="76">
        <f>_xlfn.XLOOKUP(AL21,'PEW7'!$B$6:$B$55,'PEW7'!$A$6:$A$55,0)</f>
        <v>0</v>
      </c>
      <c r="AN21" s="10" t="str">
        <f>_xlfn.XLOOKUP($B21,'PEW8'!$C$6:$C$101,'PEW8'!$B$6:$B$101,"")</f>
        <v/>
      </c>
      <c r="AO21" s="76">
        <f>_xlfn.XLOOKUP(AN21,'PEW8'!$B$6:$B$55,'PEW8'!$A$6:$A$55,0)</f>
        <v>0</v>
      </c>
      <c r="AP21" s="10" t="str">
        <f>_xlfn.XLOOKUP($B21,'PEW9'!$C$6:$C$101,'PEW9'!$B$6:$B$101,"")</f>
        <v/>
      </c>
      <c r="AQ21" s="76">
        <f>_xlfn.XLOOKUP(AP21,'PEW9'!$B$6:$B$55,'PEW9'!$A$6:$A$55,0)</f>
        <v>0</v>
      </c>
      <c r="AR21" s="10" t="str">
        <f>_xlfn.XLOOKUP($B21,'PEW10'!$C$6:$C$101,'PEW10'!$B$6:$B$101,"")</f>
        <v/>
      </c>
      <c r="AS21" s="76">
        <f>_xlfn.XLOOKUP(AR21,'PEW10'!$B$6:$B$55,'PEW10'!$A$6:$A$55,0)</f>
        <v>0</v>
      </c>
      <c r="AT21" s="10" t="str">
        <f>_xlfn.XLOOKUP($B21,'PEW11'!$C$6:$C$101,'PEW11'!$B$6:$B$101,"")</f>
        <v/>
      </c>
      <c r="AU21" s="76">
        <f>_xlfn.XLOOKUP(AT21,'PEW11'!$B$6:$B$55,'PEW11'!$A$6:$A$55,0)</f>
        <v>0</v>
      </c>
      <c r="AV21" s="10" t="str">
        <f>_xlfn.XLOOKUP($B21,'PEW12'!$C$6:$C$101,'PEW12'!$B$6:$B$101,"")</f>
        <v/>
      </c>
      <c r="AW21" s="76">
        <f>_xlfn.XLOOKUP(AV21,'PEW12'!$B$6:$B$55,'PEW12'!$A$6:$A$55,0)</f>
        <v>0</v>
      </c>
      <c r="AX21" s="10" t="str" cm="1">
        <f t="array" ref="AX21">_xlfn.XLOOKUP($B21,IMEW!C$6:C$101,IMEW!$B$6:B$101,"")</f>
        <v/>
      </c>
      <c r="AY21" s="77">
        <f>_xlfn.XLOOKUP(AX21,IMEW!$B$6:$B$100,IMEW!$A$6:$A$100,0)</f>
        <v>0</v>
      </c>
      <c r="BA21" s="78">
        <f t="shared" si="0"/>
        <v>0</v>
      </c>
      <c r="BB21" s="78">
        <f t="shared" si="1"/>
        <v>0</v>
      </c>
      <c r="BC21" s="78">
        <f t="shared" si="2"/>
        <v>0</v>
      </c>
      <c r="BD21" s="78">
        <f t="shared" si="3"/>
        <v>0</v>
      </c>
      <c r="BE21" s="78">
        <f t="shared" si="4"/>
        <v>0</v>
      </c>
      <c r="BF21" s="78">
        <f t="shared" si="5"/>
        <v>0</v>
      </c>
      <c r="BG21" s="78">
        <f t="shared" si="6"/>
        <v>0</v>
      </c>
    </row>
    <row r="22" spans="1:59" ht="14.8" customHeight="1" x14ac:dyDescent="0.25">
      <c r="A22" s="8">
        <f>ROW()-5</f>
        <v>17</v>
      </c>
      <c r="B22" s="9"/>
      <c r="C22" s="11"/>
      <c r="D22" s="125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0" t="str">
        <f>_xlfn.XLOOKUP($B22,'GP1'!$C$6:$C$55,'GP1'!$B$6:$B$55,"")</f>
        <v/>
      </c>
      <c r="F22" s="126">
        <f>_xlfn.XLOOKUP(E22,'GP1'!$B$6:$B$55,'GP1'!$A$6:$A$55,0)</f>
        <v>0</v>
      </c>
      <c r="G22" s="12" t="str">
        <f>_xlfn.XLOOKUP($B22,'GP2'!$C$6:$C$55,'GP2'!$B$6:$B$55,"")</f>
        <v/>
      </c>
      <c r="H22" s="127">
        <f>_xlfn.XLOOKUP(G22,'GP2'!$B$6:$B$55,'GP2'!$A$6:$A$55,0)</f>
        <v>0</v>
      </c>
      <c r="I22" s="12" t="str">
        <f>_xlfn.XLOOKUP($B22,'GP3'!$C$6:$C$55,'GP3'!$B$6:$B$55,"")</f>
        <v/>
      </c>
      <c r="J22" s="127">
        <f>_xlfn.XLOOKUP(I22,'GP3'!$B$6:$B$55,'GP3'!$A$6:$A$55,0)</f>
        <v>0</v>
      </c>
      <c r="K22" s="12" t="str">
        <f>_xlfn.XLOOKUP($B22,'GP4'!$C$6:$C$55,'GP4'!$B$6:$B$55,"")</f>
        <v/>
      </c>
      <c r="L22" s="127">
        <f>_xlfn.XLOOKUP(K22,'GP4'!$B$6:$B$55,'GP4'!$A$6:$A$55,0)</f>
        <v>0</v>
      </c>
      <c r="M22" s="12" t="str">
        <f>_xlfn.XLOOKUP($B22,'GP5'!$C$6:$C$55,'GP5'!$B$6:$B$55,"")</f>
        <v/>
      </c>
      <c r="N22" s="129">
        <f>_xlfn.XLOOKUP(M22,'GP5'!$B$6:$B$55,'GP5'!$A$6:$A$55,0)</f>
        <v>0</v>
      </c>
      <c r="O22" s="12" t="str">
        <f>_xlfn.XLOOKUP($B22,'GP6'!$C$6:$C$55,'GP6'!$B$6:$B$55,"")</f>
        <v/>
      </c>
      <c r="P22" s="129">
        <f>_xlfn.XLOOKUP(O22,'GP6'!$B$6:$B$55,'GP6'!$A$6:$A$55,0)</f>
        <v>0</v>
      </c>
      <c r="Q22" s="12" t="str">
        <f>_xlfn.XLOOKUP($B22,'GP7'!$C$6:$C$55,'GP7'!$B$6:$B$55,"")</f>
        <v/>
      </c>
      <c r="R22" s="129">
        <f>_xlfn.XLOOKUP(Q22,'GP7'!$B$6:$B$55,'GP7'!$A$6:$A$55,0)</f>
        <v>0</v>
      </c>
      <c r="S22" s="12" t="str">
        <f>_xlfn.XLOOKUP($B22,'GP8'!$C$6:$C$55,'GP8'!$B$6:$B$55,"")</f>
        <v/>
      </c>
      <c r="T22" s="129">
        <f>_xlfn.XLOOKUP(S22,'GP8'!$B$6:$B$55,'GP8'!$A$6:$A$55,0)</f>
        <v>0</v>
      </c>
      <c r="U22" s="12" t="str">
        <f>_xlfn.XLOOKUP(B22,MPW!C$6:C$55,MPW!B$6:B$55,"")</f>
        <v/>
      </c>
      <c r="V22" s="129" t="str">
        <f>_xlfn.XLOOKUP(U22,MPW!B$6:B$55,MPW!A$6:A$55,0)</f>
        <v/>
      </c>
      <c r="X22" s="12" t="str">
        <f>_xlfn.XLOOKUP($B22,'PEW1'!$C$6:$C$101,'PEW1'!$B$6:$B$101,"")</f>
        <v/>
      </c>
      <c r="Y22" s="79">
        <f>_xlfn.XLOOKUP(X22,'PEW1'!$B$6:$B$55,'PEW1'!$A$6:$A$55,0)</f>
        <v>0</v>
      </c>
      <c r="Z22" s="10" t="str">
        <f>_xlfn.XLOOKUP($B22,'PEW2'!$C$6:$C$101,'PEW2'!$B$6:$B$101,"")</f>
        <v/>
      </c>
      <c r="AA22" s="76">
        <f>_xlfn.XLOOKUP(Z22,'PEW2'!$B$6:$B$55,'PEW2'!$A$6:$A$55,0)</f>
        <v>0</v>
      </c>
      <c r="AB22" s="10" t="str">
        <f>_xlfn.XLOOKUP($B22,'PEW3'!$C$6:$C$101,'PEW3'!$B$6:$B$101,"")</f>
        <v/>
      </c>
      <c r="AC22" s="76">
        <f>_xlfn.XLOOKUP(AB22,'PEW3'!$B$6:$B$55,'PEW3'!$A$6:$A$55,0)</f>
        <v>0</v>
      </c>
      <c r="AD22" s="10" t="str">
        <f>_xlfn.XLOOKUP($B22,VFC!$C$6:$C$101,VFC!$B$6:$B$101,"")</f>
        <v/>
      </c>
      <c r="AE22" s="76">
        <f>_xlfn.XLOOKUP(AD22,VFC!$B$6:$B$55,VFC!$A$6:$A$55,0)</f>
        <v>0</v>
      </c>
      <c r="AF22" s="10" t="str">
        <f>_xlfn.XLOOKUP($B22,'PEW4'!$C$6:$C$101,'PEW4'!$B$6:$B$101,"")</f>
        <v/>
      </c>
      <c r="AG22" s="76">
        <f>_xlfn.XLOOKUP(AF22,'PEW4'!$B$6:$B$55,'PEW4'!$A$6:$A$55,0)</f>
        <v>0</v>
      </c>
      <c r="AH22" s="10" t="str">
        <f>_xlfn.XLOOKUP($B22,'PEW5'!$C$6:$C$101,'PEW5'!$B$6:$B$101,"")</f>
        <v/>
      </c>
      <c r="AI22" s="76">
        <f>_xlfn.XLOOKUP(AH22,'PEW5'!$B$6:$B$55,'PEW5'!$A$6:$A$55,0)</f>
        <v>0</v>
      </c>
      <c r="AJ22" s="10" t="str">
        <f>_xlfn.XLOOKUP($B22,'PEW6'!$C$6:$C$101,'PEW6'!$B$6:$B$101,"")</f>
        <v/>
      </c>
      <c r="AK22" s="76">
        <f>_xlfn.XLOOKUP(AJ22,'PEW6'!$B$6:$B$55,'PEW6'!$A$6:$A$55,0)</f>
        <v>0</v>
      </c>
      <c r="AL22" s="10" t="str">
        <f>_xlfn.XLOOKUP($B22,'PEW7'!$C$6:$C$101,'PEW7'!$B$6:$B$101,"")</f>
        <v/>
      </c>
      <c r="AM22" s="76">
        <f>_xlfn.XLOOKUP(AL22,'PEW7'!$B$6:$B$55,'PEW7'!$A$6:$A$55,0)</f>
        <v>0</v>
      </c>
      <c r="AN22" s="10" t="str">
        <f>_xlfn.XLOOKUP($B22,'PEW8'!$C$6:$C$101,'PEW8'!$B$6:$B$101,"")</f>
        <v/>
      </c>
      <c r="AO22" s="76">
        <f>_xlfn.XLOOKUP(AN22,'PEW8'!$B$6:$B$55,'PEW8'!$A$6:$A$55,0)</f>
        <v>0</v>
      </c>
      <c r="AP22" s="10" t="str">
        <f>_xlfn.XLOOKUP($B22,'PEW9'!$C$6:$C$101,'PEW9'!$B$6:$B$101,"")</f>
        <v/>
      </c>
      <c r="AQ22" s="76">
        <f>_xlfn.XLOOKUP(AP22,'PEW9'!$B$6:$B$55,'PEW9'!$A$6:$A$55,0)</f>
        <v>0</v>
      </c>
      <c r="AR22" s="10" t="str">
        <f>_xlfn.XLOOKUP($B22,'PEW10'!$C$6:$C$101,'PEW10'!$B$6:$B$101,"")</f>
        <v/>
      </c>
      <c r="AS22" s="76">
        <f>_xlfn.XLOOKUP(AR22,'PEW10'!$B$6:$B$55,'PEW10'!$A$6:$A$55,0)</f>
        <v>0</v>
      </c>
      <c r="AT22" s="10" t="str">
        <f>_xlfn.XLOOKUP($B22,'PEW11'!$C$6:$C$101,'PEW11'!$B$6:$B$101,"")</f>
        <v/>
      </c>
      <c r="AU22" s="76">
        <f>_xlfn.XLOOKUP(AT22,'PEW11'!$B$6:$B$55,'PEW11'!$A$6:$A$55,0)</f>
        <v>0</v>
      </c>
      <c r="AV22" s="10" t="str">
        <f>_xlfn.XLOOKUP($B22,'PEW12'!$C$6:$C$101,'PEW12'!$B$6:$B$101,"")</f>
        <v/>
      </c>
      <c r="AW22" s="76">
        <f>_xlfn.XLOOKUP(AV22,'PEW12'!$B$6:$B$55,'PEW12'!$A$6:$A$55,0)</f>
        <v>0</v>
      </c>
      <c r="AX22" s="10" t="str" cm="1">
        <f t="array" ref="AX22">_xlfn.XLOOKUP($B22,IMEW!C$6:C$101,IMEW!$B$6:B$101,"")</f>
        <v/>
      </c>
      <c r="AY22" s="77">
        <f>_xlfn.XLOOKUP(AX22,IMEW!$B$6:$B$100,IMEW!$A$6:$A$100,0)</f>
        <v>0</v>
      </c>
      <c r="BA22" s="78">
        <f t="shared" si="0"/>
        <v>0</v>
      </c>
      <c r="BB22" s="78">
        <f t="shared" si="1"/>
        <v>0</v>
      </c>
      <c r="BC22" s="78">
        <f t="shared" si="2"/>
        <v>0</v>
      </c>
      <c r="BD22" s="78">
        <f t="shared" si="3"/>
        <v>0</v>
      </c>
      <c r="BE22" s="78">
        <f t="shared" si="4"/>
        <v>0</v>
      </c>
      <c r="BF22" s="78">
        <f t="shared" si="5"/>
        <v>0</v>
      </c>
      <c r="BG22" s="78">
        <f t="shared" si="6"/>
        <v>0</v>
      </c>
    </row>
    <row r="23" spans="1:59" ht="14.8" customHeight="1" x14ac:dyDescent="0.25">
      <c r="A23" s="8">
        <f>ROW()-5</f>
        <v>18</v>
      </c>
      <c r="B23" s="9"/>
      <c r="C23" s="11"/>
      <c r="D23" s="125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0" t="str">
        <f>_xlfn.XLOOKUP($B23,'GP1'!$C$6:$C$55,'GP1'!$B$6:$B$55,"")</f>
        <v/>
      </c>
      <c r="F23" s="126">
        <f>_xlfn.XLOOKUP(E23,'GP1'!$B$6:$B$55,'GP1'!$A$6:$A$55,0)</f>
        <v>0</v>
      </c>
      <c r="G23" s="12" t="str">
        <f>_xlfn.XLOOKUP($B23,'GP2'!$C$6:$C$55,'GP2'!$B$6:$B$55,"")</f>
        <v/>
      </c>
      <c r="H23" s="127">
        <f>_xlfn.XLOOKUP(G23,'GP2'!$B$6:$B$55,'GP2'!$A$6:$A$55,0)</f>
        <v>0</v>
      </c>
      <c r="I23" s="12" t="str">
        <f>_xlfn.XLOOKUP($B23,'GP3'!$C$6:$C$55,'GP3'!$B$6:$B$55,"")</f>
        <v/>
      </c>
      <c r="J23" s="127">
        <f>_xlfn.XLOOKUP(I23,'GP3'!$B$6:$B$55,'GP3'!$A$6:$A$55,0)</f>
        <v>0</v>
      </c>
      <c r="K23" s="12" t="str">
        <f>_xlfn.XLOOKUP($B23,'GP4'!$C$6:$C$55,'GP4'!$B$6:$B$55,"")</f>
        <v/>
      </c>
      <c r="L23" s="127">
        <f>_xlfn.XLOOKUP(K23,'GP4'!$B$6:$B$55,'GP4'!$A$6:$A$55,0)</f>
        <v>0</v>
      </c>
      <c r="M23" s="12" t="str">
        <f>_xlfn.XLOOKUP($B23,'GP5'!$C$6:$C$55,'GP5'!$B$6:$B$55,"")</f>
        <v/>
      </c>
      <c r="N23" s="129">
        <f>_xlfn.XLOOKUP(M23,'GP5'!$B$6:$B$55,'GP5'!$A$6:$A$55,0)</f>
        <v>0</v>
      </c>
      <c r="O23" s="12" t="str">
        <f>_xlfn.XLOOKUP($B23,'GP6'!$C$6:$C$55,'GP6'!$B$6:$B$55,"")</f>
        <v/>
      </c>
      <c r="P23" s="129">
        <f>_xlfn.XLOOKUP(O23,'GP6'!$B$6:$B$55,'GP6'!$A$6:$A$55,0)</f>
        <v>0</v>
      </c>
      <c r="Q23" s="12" t="str">
        <f>_xlfn.XLOOKUP($B23,'GP7'!$C$6:$C$55,'GP7'!$B$6:$B$55,"")</f>
        <v/>
      </c>
      <c r="R23" s="129">
        <f>_xlfn.XLOOKUP(Q23,'GP7'!$B$6:$B$55,'GP7'!$A$6:$A$55,0)</f>
        <v>0</v>
      </c>
      <c r="S23" s="12" t="str">
        <f>_xlfn.XLOOKUP($B23,'GP8'!$C$6:$C$55,'GP8'!$B$6:$B$55,"")</f>
        <v/>
      </c>
      <c r="T23" s="129">
        <f>_xlfn.XLOOKUP(S23,'GP8'!$B$6:$B$55,'GP8'!$A$6:$A$55,0)</f>
        <v>0</v>
      </c>
      <c r="U23" s="12" t="str">
        <f>_xlfn.XLOOKUP(B23,MPW!C$6:C$55,MPW!B$6:B$55,"")</f>
        <v/>
      </c>
      <c r="V23" s="129" t="str">
        <f>_xlfn.XLOOKUP(U23,MPW!B$6:B$55,MPW!A$6:A$55,0)</f>
        <v/>
      </c>
      <c r="X23" s="12" t="str">
        <f>_xlfn.XLOOKUP($B23,'PEW1'!$C$6:$C$101,'PEW1'!$B$6:$B$101,"")</f>
        <v/>
      </c>
      <c r="Y23" s="79">
        <f>_xlfn.XLOOKUP(X23,'PEW1'!$B$6:$B$55,'PEW1'!$A$6:$A$55,0)</f>
        <v>0</v>
      </c>
      <c r="Z23" s="10" t="str">
        <f>_xlfn.XLOOKUP($B23,'PEW2'!$C$6:$C$101,'PEW2'!$B$6:$B$101,"")</f>
        <v/>
      </c>
      <c r="AA23" s="76">
        <f>_xlfn.XLOOKUP(Z23,'PEW2'!$B$6:$B$55,'PEW2'!$A$6:$A$55,0)</f>
        <v>0</v>
      </c>
      <c r="AB23" s="10" t="str">
        <f>_xlfn.XLOOKUP($B23,'PEW3'!$C$6:$C$101,'PEW3'!$B$6:$B$101,"")</f>
        <v/>
      </c>
      <c r="AC23" s="76">
        <f>_xlfn.XLOOKUP(AB23,'PEW3'!$B$6:$B$55,'PEW3'!$A$6:$A$55,0)</f>
        <v>0</v>
      </c>
      <c r="AD23" s="10" t="str">
        <f>_xlfn.XLOOKUP($B23,VFC!$C$6:$C$101,VFC!$B$6:$B$101,"")</f>
        <v/>
      </c>
      <c r="AE23" s="76">
        <f>_xlfn.XLOOKUP(AD23,VFC!$B$6:$B$55,VFC!$A$6:$A$55,0)</f>
        <v>0</v>
      </c>
      <c r="AF23" s="10" t="str">
        <f>_xlfn.XLOOKUP($B23,'PEW4'!$C$6:$C$101,'PEW4'!$B$6:$B$101,"")</f>
        <v/>
      </c>
      <c r="AG23" s="76">
        <f>_xlfn.XLOOKUP(AF23,'PEW4'!$B$6:$B$55,'PEW4'!$A$6:$A$55,0)</f>
        <v>0</v>
      </c>
      <c r="AH23" s="10" t="str">
        <f>_xlfn.XLOOKUP($B23,'PEW5'!$C$6:$C$101,'PEW5'!$B$6:$B$101,"")</f>
        <v/>
      </c>
      <c r="AI23" s="76">
        <f>_xlfn.XLOOKUP(AH23,'PEW5'!$B$6:$B$55,'PEW5'!$A$6:$A$55,0)</f>
        <v>0</v>
      </c>
      <c r="AJ23" s="10" t="str">
        <f>_xlfn.XLOOKUP($B23,'PEW6'!$C$6:$C$101,'PEW6'!$B$6:$B$101,"")</f>
        <v/>
      </c>
      <c r="AK23" s="76">
        <f>_xlfn.XLOOKUP(AJ23,'PEW6'!$B$6:$B$55,'PEW6'!$A$6:$A$55,0)</f>
        <v>0</v>
      </c>
      <c r="AL23" s="10" t="str">
        <f>_xlfn.XLOOKUP($B23,'PEW7'!$C$6:$C$101,'PEW7'!$B$6:$B$101,"")</f>
        <v/>
      </c>
      <c r="AM23" s="76">
        <f>_xlfn.XLOOKUP(AL23,'PEW7'!$B$6:$B$55,'PEW7'!$A$6:$A$55,0)</f>
        <v>0</v>
      </c>
      <c r="AN23" s="10" t="str">
        <f>_xlfn.XLOOKUP($B23,'PEW8'!$C$6:$C$101,'PEW8'!$B$6:$B$101,"")</f>
        <v/>
      </c>
      <c r="AO23" s="76">
        <f>_xlfn.XLOOKUP(AN23,'PEW8'!$B$6:$B$55,'PEW8'!$A$6:$A$55,0)</f>
        <v>0</v>
      </c>
      <c r="AP23" s="10" t="str">
        <f>_xlfn.XLOOKUP($B23,'PEW9'!$C$6:$C$101,'PEW9'!$B$6:$B$101,"")</f>
        <v/>
      </c>
      <c r="AQ23" s="76">
        <f>_xlfn.XLOOKUP(AP23,'PEW9'!$B$6:$B$55,'PEW9'!$A$6:$A$55,0)</f>
        <v>0</v>
      </c>
      <c r="AR23" s="10" t="str">
        <f>_xlfn.XLOOKUP($B23,'PEW10'!$C$6:$C$101,'PEW10'!$B$6:$B$101,"")</f>
        <v/>
      </c>
      <c r="AS23" s="76">
        <f>_xlfn.XLOOKUP(AR23,'PEW10'!$B$6:$B$55,'PEW10'!$A$6:$A$55,0)</f>
        <v>0</v>
      </c>
      <c r="AT23" s="10" t="str">
        <f>_xlfn.XLOOKUP($B23,'PEW11'!$C$6:$C$101,'PEW11'!$B$6:$B$101,"")</f>
        <v/>
      </c>
      <c r="AU23" s="76">
        <f>_xlfn.XLOOKUP(AT23,'PEW11'!$B$6:$B$55,'PEW11'!$A$6:$A$55,0)</f>
        <v>0</v>
      </c>
      <c r="AV23" s="10" t="str">
        <f>_xlfn.XLOOKUP($B23,'PEW12'!$C$6:$C$101,'PEW12'!$B$6:$B$101,"")</f>
        <v/>
      </c>
      <c r="AW23" s="76">
        <f>_xlfn.XLOOKUP(AV23,'PEW12'!$B$6:$B$55,'PEW12'!$A$6:$A$55,0)</f>
        <v>0</v>
      </c>
      <c r="AX23" s="10" t="str" cm="1">
        <f t="array" ref="AX23">_xlfn.XLOOKUP($B23,IMEW!C$6:C$101,IMEW!$B$6:B$101,"")</f>
        <v/>
      </c>
      <c r="AY23" s="77">
        <f>_xlfn.XLOOKUP(AX23,IMEW!$B$6:$B$100,IMEW!$A$6:$A$100,0)</f>
        <v>0</v>
      </c>
      <c r="BA23" s="78">
        <f t="shared" si="0"/>
        <v>0</v>
      </c>
      <c r="BB23" s="78">
        <f t="shared" si="1"/>
        <v>0</v>
      </c>
      <c r="BC23" s="78">
        <f t="shared" si="2"/>
        <v>0</v>
      </c>
      <c r="BD23" s="78">
        <f t="shared" si="3"/>
        <v>0</v>
      </c>
      <c r="BE23" s="78">
        <f t="shared" si="4"/>
        <v>0</v>
      </c>
      <c r="BF23" s="78">
        <f t="shared" si="5"/>
        <v>0</v>
      </c>
      <c r="BG23" s="78">
        <f t="shared" si="6"/>
        <v>0</v>
      </c>
    </row>
    <row r="24" spans="1:59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59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59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59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59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59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59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59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59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autoFilter ref="A5:AY5" xr:uid="{3A0A20B3-5AAD-4C6E-AC99-1ABF64677A16}">
    <sortState xmlns:xlrd2="http://schemas.microsoft.com/office/spreadsheetml/2017/richdata2" ref="A7:AY23">
      <sortCondition descending="1" ref="D5"/>
    </sortState>
  </autoFilter>
  <mergeCells count="29">
    <mergeCell ref="D1:V2"/>
    <mergeCell ref="G4:H4"/>
    <mergeCell ref="I4:J4"/>
    <mergeCell ref="K4:L4"/>
    <mergeCell ref="AH4:AI4"/>
    <mergeCell ref="M4:N4"/>
    <mergeCell ref="U4:V4"/>
    <mergeCell ref="O4:P4"/>
    <mergeCell ref="Q4:R4"/>
    <mergeCell ref="S4:T4"/>
    <mergeCell ref="X1:BK3"/>
    <mergeCell ref="AN4:AO4"/>
    <mergeCell ref="AP4:AQ4"/>
    <mergeCell ref="AR4:AS4"/>
    <mergeCell ref="X4:Y4"/>
    <mergeCell ref="Z4:AA4"/>
    <mergeCell ref="A4:A5"/>
    <mergeCell ref="B4:B5"/>
    <mergeCell ref="C4:C5"/>
    <mergeCell ref="D4:D5"/>
    <mergeCell ref="E4:F4"/>
    <mergeCell ref="AX4:AY4"/>
    <mergeCell ref="AT4:AU4"/>
    <mergeCell ref="AV4:AW4"/>
    <mergeCell ref="AB4:AC4"/>
    <mergeCell ref="AF4:AG4"/>
    <mergeCell ref="AD4:AE4"/>
    <mergeCell ref="AJ4:AK4"/>
    <mergeCell ref="AL4:AM4"/>
  </mergeCells>
  <conditionalFormatting sqref="A6:A23">
    <cfRule type="cellIs" dxfId="23" priority="9" operator="equal">
      <formula>3</formula>
    </cfRule>
    <cfRule type="cellIs" dxfId="22" priority="10" operator="equal">
      <formula>2</formula>
    </cfRule>
    <cfRule type="cellIs" dxfId="21" priority="11" operator="equal">
      <formula>1</formula>
    </cfRule>
  </conditionalFormatting>
  <conditionalFormatting sqref="D6:V23">
    <cfRule type="cellIs" dxfId="20" priority="1" operator="equal">
      <formula>0</formula>
    </cfRule>
  </conditionalFormatting>
  <conditionalFormatting sqref="X6:AY23">
    <cfRule type="cellIs" dxfId="19" priority="6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EB6D-5CF7-41E7-8344-95DCAE326B43}">
  <sheetPr codeName="Arkusz12"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x14ac:dyDescent="0.25">
      <c r="A2" s="80"/>
      <c r="B2" s="20" t="s">
        <v>29</v>
      </c>
      <c r="C2" s="130" t="s">
        <v>102</v>
      </c>
      <c r="D2" s="69"/>
      <c r="E2" s="21"/>
      <c r="F2" s="21"/>
      <c r="G2" s="21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 x14ac:dyDescent="0.25">
      <c r="A3" s="80"/>
      <c r="B3" s="89" t="s">
        <v>31</v>
      </c>
      <c r="C3" s="70" t="s">
        <v>103</v>
      </c>
      <c r="D3" s="70"/>
      <c r="E3" s="26"/>
      <c r="F3" s="26"/>
      <c r="G3" s="26"/>
      <c r="H3" s="84"/>
      <c r="I3" s="84"/>
      <c r="J3" s="90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90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3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0</v>
      </c>
      <c r="B6" s="34" t="str">
        <f>IF(H6&gt;$H$2,"",(ROW()-5))</f>
        <v/>
      </c>
      <c r="C6" s="35"/>
      <c r="D6" s="35"/>
      <c r="E6" s="35"/>
      <c r="F6" s="35" t="s">
        <v>46</v>
      </c>
      <c r="G6" s="28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46</v>
      </c>
      <c r="G7" s="28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4" t="str">
        <f t="shared" si="4"/>
        <v/>
      </c>
      <c r="C8" s="35"/>
      <c r="D8" s="35"/>
      <c r="E8" s="35"/>
      <c r="F8" s="35" t="s">
        <v>46</v>
      </c>
      <c r="G8" s="28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0" t="str">
        <f t="shared" si="4"/>
        <v/>
      </c>
      <c r="C29" s="41"/>
      <c r="D29" s="41"/>
      <c r="E29" s="41"/>
      <c r="F29" s="41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4" t="str">
        <f t="shared" si="4"/>
        <v/>
      </c>
      <c r="C30" s="35"/>
      <c r="D30" s="35"/>
      <c r="E30" s="35"/>
      <c r="F30" s="35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0" t="str">
        <f t="shared" si="4"/>
        <v/>
      </c>
      <c r="C31" s="41"/>
      <c r="D31" s="41"/>
      <c r="E31" s="41"/>
      <c r="F31" s="41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4" t="str">
        <f t="shared" si="4"/>
        <v/>
      </c>
      <c r="C32" s="35"/>
      <c r="D32" s="35"/>
      <c r="E32" s="35"/>
      <c r="F32" s="35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40" t="str">
        <f t="shared" si="4"/>
        <v/>
      </c>
      <c r="C33" s="41"/>
      <c r="D33" s="41"/>
      <c r="E33" s="41"/>
      <c r="F33" s="41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4" t="str">
        <f t="shared" si="4"/>
        <v/>
      </c>
      <c r="C34" s="35"/>
      <c r="D34" s="35"/>
      <c r="E34" s="35"/>
      <c r="F34" s="35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40" t="str">
        <f t="shared" si="4"/>
        <v/>
      </c>
      <c r="C35" s="41"/>
      <c r="D35" s="41"/>
      <c r="E35" s="41"/>
      <c r="F35" s="41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4" t="str">
        <f t="shared" si="4"/>
        <v/>
      </c>
      <c r="C36" s="35"/>
      <c r="D36" s="35"/>
      <c r="E36" s="35"/>
      <c r="F36" s="35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40" t="str">
        <f t="shared" si="4"/>
        <v/>
      </c>
      <c r="C37" s="41"/>
      <c r="D37" s="41"/>
      <c r="E37" s="41"/>
      <c r="F37" s="41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 x14ac:dyDescent="0.25">
      <c r="A38" s="94"/>
      <c r="B38" s="34" t="str">
        <f t="shared" si="4"/>
        <v/>
      </c>
      <c r="C38" s="35"/>
      <c r="D38" s="35"/>
      <c r="E38" s="35"/>
      <c r="F38" s="35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 x14ac:dyDescent="0.25">
      <c r="A39" s="98"/>
      <c r="B39" s="40" t="str">
        <f t="shared" si="4"/>
        <v/>
      </c>
      <c r="C39" s="41"/>
      <c r="D39" s="41"/>
      <c r="E39" s="41"/>
      <c r="F39" s="41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 x14ac:dyDescent="0.25">
      <c r="A40" s="94"/>
      <c r="B40" s="34" t="str">
        <f t="shared" si="4"/>
        <v/>
      </c>
      <c r="C40" s="35"/>
      <c r="D40" s="35"/>
      <c r="E40" s="35"/>
      <c r="F40" s="35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 x14ac:dyDescent="0.25">
      <c r="A41" s="98"/>
      <c r="B41" s="40" t="str">
        <f t="shared" si="4"/>
        <v/>
      </c>
      <c r="C41" s="41"/>
      <c r="D41" s="41"/>
      <c r="E41" s="41"/>
      <c r="F41" s="41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 x14ac:dyDescent="0.25">
      <c r="A42" s="94"/>
      <c r="B42" s="34" t="str">
        <f t="shared" si="4"/>
        <v/>
      </c>
      <c r="C42" s="35"/>
      <c r="D42" s="35"/>
      <c r="E42" s="35"/>
      <c r="F42" s="35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 x14ac:dyDescent="0.25">
      <c r="A43" s="98"/>
      <c r="B43" s="40" t="str">
        <f t="shared" si="4"/>
        <v/>
      </c>
      <c r="C43" s="41"/>
      <c r="D43" s="41"/>
      <c r="E43" s="41"/>
      <c r="F43" s="41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 x14ac:dyDescent="0.25">
      <c r="A44" s="94"/>
      <c r="B44" s="34" t="str">
        <f t="shared" si="4"/>
        <v/>
      </c>
      <c r="C44" s="35"/>
      <c r="D44" s="35"/>
      <c r="E44" s="35"/>
      <c r="F44" s="35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 x14ac:dyDescent="0.25">
      <c r="A45" s="98"/>
      <c r="B45" s="40" t="str">
        <f t="shared" si="4"/>
        <v/>
      </c>
      <c r="C45" s="41"/>
      <c r="D45" s="41"/>
      <c r="E45" s="41"/>
      <c r="F45" s="41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 x14ac:dyDescent="0.25">
      <c r="A46" s="94"/>
      <c r="B46" s="34" t="str">
        <f t="shared" si="4"/>
        <v/>
      </c>
      <c r="C46" s="35"/>
      <c r="D46" s="35"/>
      <c r="E46" s="35"/>
      <c r="F46" s="35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0" t="str">
        <f t="shared" si="4"/>
        <v/>
      </c>
      <c r="C47" s="41"/>
      <c r="D47" s="41"/>
      <c r="E47" s="41"/>
      <c r="F47" s="41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 x14ac:dyDescent="0.25">
      <c r="A48" s="94"/>
      <c r="B48" s="34" t="str">
        <f t="shared" si="4"/>
        <v/>
      </c>
      <c r="C48" s="35"/>
      <c r="D48" s="35"/>
      <c r="E48" s="35"/>
      <c r="F48" s="35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 x14ac:dyDescent="0.25">
      <c r="A49" s="98"/>
      <c r="B49" s="40" t="str">
        <f t="shared" si="4"/>
        <v/>
      </c>
      <c r="C49" s="41"/>
      <c r="D49" s="41"/>
      <c r="E49" s="41"/>
      <c r="F49" s="41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 x14ac:dyDescent="0.25">
      <c r="A50" s="94"/>
      <c r="B50" s="34" t="str">
        <f t="shared" si="4"/>
        <v/>
      </c>
      <c r="C50" s="35"/>
      <c r="D50" s="35"/>
      <c r="E50" s="35"/>
      <c r="F50" s="35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 x14ac:dyDescent="0.25">
      <c r="A51" s="98"/>
      <c r="B51" s="40" t="str">
        <f t="shared" si="4"/>
        <v/>
      </c>
      <c r="C51" s="41"/>
      <c r="D51" s="41"/>
      <c r="E51" s="41"/>
      <c r="F51" s="41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 x14ac:dyDescent="0.25">
      <c r="A52" s="112"/>
      <c r="B52" s="34" t="str">
        <f t="shared" si="4"/>
        <v/>
      </c>
      <c r="C52" s="35"/>
      <c r="D52" s="35"/>
      <c r="E52" s="35"/>
      <c r="F52" s="35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 x14ac:dyDescent="0.25">
      <c r="A53" s="113"/>
      <c r="B53" s="40" t="str">
        <f t="shared" si="4"/>
        <v/>
      </c>
      <c r="C53" s="41"/>
      <c r="D53" s="41"/>
      <c r="E53" s="41"/>
      <c r="F53" s="41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 x14ac:dyDescent="0.25">
      <c r="A54" s="112"/>
      <c r="B54" s="34" t="str">
        <f t="shared" si="4"/>
        <v/>
      </c>
      <c r="C54" s="35"/>
      <c r="D54" s="35"/>
      <c r="E54" s="35"/>
      <c r="F54" s="35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 x14ac:dyDescent="0.25">
      <c r="A55" s="113"/>
      <c r="B55" s="40" t="str">
        <f t="shared" si="4"/>
        <v/>
      </c>
      <c r="C55" s="41"/>
      <c r="D55" s="41"/>
      <c r="E55" s="41"/>
      <c r="F55" s="41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 x14ac:dyDescent="0.25">
      <c r="A56" s="112"/>
      <c r="B56" s="34" t="str">
        <f t="shared" si="4"/>
        <v/>
      </c>
      <c r="C56" s="35"/>
      <c r="D56" s="35"/>
      <c r="E56" s="35"/>
      <c r="F56" s="35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 x14ac:dyDescent="0.25">
      <c r="A57" s="113"/>
      <c r="B57" s="40" t="str">
        <f t="shared" si="4"/>
        <v/>
      </c>
      <c r="C57" s="41"/>
      <c r="D57" s="41"/>
      <c r="E57" s="41"/>
      <c r="F57" s="41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 x14ac:dyDescent="0.25">
      <c r="A58" s="112"/>
      <c r="B58" s="34" t="str">
        <f t="shared" si="4"/>
        <v/>
      </c>
      <c r="C58" s="35"/>
      <c r="D58" s="35"/>
      <c r="E58" s="35"/>
      <c r="F58" s="35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 x14ac:dyDescent="0.25">
      <c r="A59" s="113"/>
      <c r="B59" s="40" t="str">
        <f t="shared" si="4"/>
        <v/>
      </c>
      <c r="C59" s="41"/>
      <c r="D59" s="41"/>
      <c r="E59" s="41"/>
      <c r="F59" s="41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 x14ac:dyDescent="0.25">
      <c r="A60" s="112"/>
      <c r="B60" s="34" t="str">
        <f t="shared" si="4"/>
        <v/>
      </c>
      <c r="C60" s="35"/>
      <c r="D60" s="35"/>
      <c r="E60" s="35"/>
      <c r="F60" s="35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 x14ac:dyDescent="0.25">
      <c r="A61" s="113"/>
      <c r="B61" s="40" t="str">
        <f t="shared" si="4"/>
        <v/>
      </c>
      <c r="C61" s="41"/>
      <c r="D61" s="41"/>
      <c r="E61" s="41"/>
      <c r="F61" s="41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 x14ac:dyDescent="0.25">
      <c r="A62" s="112"/>
      <c r="B62" s="34" t="str">
        <f t="shared" si="4"/>
        <v/>
      </c>
      <c r="C62" s="35"/>
      <c r="D62" s="35"/>
      <c r="E62" s="35"/>
      <c r="F62" s="35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 x14ac:dyDescent="0.25">
      <c r="A63" s="113"/>
      <c r="B63" s="40" t="str">
        <f t="shared" si="4"/>
        <v/>
      </c>
      <c r="C63" s="41"/>
      <c r="D63" s="41"/>
      <c r="E63" s="41"/>
      <c r="F63" s="41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 x14ac:dyDescent="0.25">
      <c r="A64" s="112"/>
      <c r="B64" s="34" t="str">
        <f t="shared" si="4"/>
        <v/>
      </c>
      <c r="C64" s="35"/>
      <c r="D64" s="35"/>
      <c r="E64" s="35"/>
      <c r="F64" s="35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 x14ac:dyDescent="0.25">
      <c r="A65" s="113"/>
      <c r="B65" s="40" t="str">
        <f t="shared" si="4"/>
        <v/>
      </c>
      <c r="C65" s="41"/>
      <c r="D65" s="41"/>
      <c r="E65" s="41"/>
      <c r="F65" s="41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 x14ac:dyDescent="0.25">
      <c r="A66" s="114"/>
      <c r="B66" s="34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 x14ac:dyDescent="0.25">
      <c r="A67" s="114"/>
      <c r="B67" s="40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 x14ac:dyDescent="0.25">
      <c r="A68" s="114"/>
      <c r="B68" s="34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 x14ac:dyDescent="0.25">
      <c r="A69" s="114"/>
      <c r="B69" s="40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4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4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4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4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4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4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4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4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4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4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4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4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4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4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4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4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4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4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4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4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4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4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4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4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4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4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4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4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4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4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4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4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4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4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4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4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4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4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4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4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4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4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4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4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4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4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4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4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4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4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4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4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4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4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8" priority="1" operator="lessThanOrEqual">
      <formula>0</formula>
    </cfRule>
  </conditionalFormatting>
  <hyperlinks>
    <hyperlink ref="C2" r:id="rId1" xr:uid="{90D25AE8-5A34-471A-9649-C980AA81E706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8F67-6FD2-460E-BEC2-C29D2EA322AE}">
  <sheetPr codeName="Arkusz13"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x14ac:dyDescent="0.25">
      <c r="A2" s="80"/>
      <c r="B2" s="20" t="s">
        <v>29</v>
      </c>
      <c r="C2" s="130" t="s">
        <v>104</v>
      </c>
      <c r="D2" s="69"/>
      <c r="E2" s="21"/>
      <c r="F2" s="21"/>
      <c r="G2" s="21"/>
      <c r="H2" s="86">
        <v>0</v>
      </c>
      <c r="I2" s="87">
        <v>50</v>
      </c>
      <c r="J2" s="87">
        <v>10</v>
      </c>
      <c r="K2" s="88">
        <f>3*H2^(1/3)</f>
        <v>0</v>
      </c>
      <c r="L2" s="84"/>
      <c r="M2" s="84"/>
    </row>
    <row r="3" spans="1:36" x14ac:dyDescent="0.25">
      <c r="A3" s="80"/>
      <c r="B3" s="89" t="s">
        <v>31</v>
      </c>
      <c r="C3" s="70" t="s">
        <v>105</v>
      </c>
      <c r="D3" s="70"/>
      <c r="E3" s="26"/>
      <c r="F3" s="26"/>
      <c r="G3" s="26"/>
      <c r="H3" s="84"/>
      <c r="I3" s="84"/>
      <c r="J3" s="90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90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3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0</v>
      </c>
      <c r="B6" s="34" t="str">
        <f>IF(H6&gt;$H$2,"",(ROW()-5))</f>
        <v/>
      </c>
      <c r="C6" s="35"/>
      <c r="D6" s="35"/>
      <c r="E6" s="35"/>
      <c r="F6" s="35" t="s">
        <v>46</v>
      </c>
      <c r="G6" s="28"/>
      <c r="H6" s="95">
        <v>1</v>
      </c>
      <c r="I6" s="96" t="str">
        <f t="shared" ref="I6:I69" si="0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1">J6*$J$2</f>
        <v>#NUM!</v>
      </c>
      <c r="L6" s="97">
        <f>3*K2</f>
        <v>0</v>
      </c>
      <c r="M6" s="9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46</v>
      </c>
      <c r="G7" s="28"/>
      <c r="H7" s="99">
        <v>2</v>
      </c>
      <c r="I7" s="100" t="str">
        <f t="shared" si="0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1"/>
        <v>#NUM!</v>
      </c>
      <c r="L7" s="101">
        <f>2*K2</f>
        <v>0</v>
      </c>
      <c r="M7" s="101">
        <f t="shared" si="2"/>
        <v>0</v>
      </c>
    </row>
    <row r="8" spans="1:36" ht="14.45" customHeight="1" x14ac:dyDescent="0.25">
      <c r="A8" s="94">
        <f t="shared" si="3"/>
        <v>0</v>
      </c>
      <c r="B8" s="34" t="str">
        <f t="shared" si="4"/>
        <v/>
      </c>
      <c r="C8" s="35"/>
      <c r="D8" s="35"/>
      <c r="E8" s="35"/>
      <c r="F8" s="35" t="s">
        <v>46</v>
      </c>
      <c r="G8" s="28"/>
      <c r="H8" s="95">
        <v>3</v>
      </c>
      <c r="I8" s="96" t="str">
        <f t="shared" si="0"/>
        <v/>
      </c>
      <c r="J8" s="95" t="e">
        <f t="shared" si="5"/>
        <v>#NUM!</v>
      </c>
      <c r="K8" s="95" t="e">
        <f t="shared" si="1"/>
        <v>#NUM!</v>
      </c>
      <c r="L8" s="97">
        <f>K2</f>
        <v>0</v>
      </c>
      <c r="M8" s="97">
        <f t="shared" si="2"/>
        <v>0</v>
      </c>
    </row>
    <row r="9" spans="1:36" s="85" customFormat="1" ht="14.45" customHeight="1" x14ac:dyDescent="0.25">
      <c r="A9" s="98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99">
        <v>3</v>
      </c>
      <c r="I9" s="100" t="str">
        <f t="shared" si="0"/>
        <v/>
      </c>
      <c r="J9" s="99" t="e">
        <f t="shared" si="5"/>
        <v>#NUM!</v>
      </c>
      <c r="K9" s="99" t="e">
        <f t="shared" si="1"/>
        <v>#NUM!</v>
      </c>
      <c r="L9" s="101">
        <f>K2</f>
        <v>0</v>
      </c>
      <c r="M9" s="101">
        <f t="shared" si="2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95">
        <v>5</v>
      </c>
      <c r="I10" s="96" t="str">
        <f t="shared" si="0"/>
        <v/>
      </c>
      <c r="J10" s="95" t="e">
        <f t="shared" si="5"/>
        <v>#NUM!</v>
      </c>
      <c r="K10" s="95" t="e">
        <f t="shared" si="1"/>
        <v>#NUM!</v>
      </c>
      <c r="L10" s="95"/>
      <c r="M10" s="97">
        <f t="shared" si="2"/>
        <v>0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99">
        <v>6</v>
      </c>
      <c r="I11" s="100" t="str">
        <f t="shared" si="0"/>
        <v/>
      </c>
      <c r="J11" s="99" t="e">
        <f t="shared" si="5"/>
        <v>#NUM!</v>
      </c>
      <c r="K11" s="99" t="e">
        <f t="shared" si="1"/>
        <v>#NUM!</v>
      </c>
      <c r="L11" s="99"/>
      <c r="M11" s="101">
        <f t="shared" si="2"/>
        <v>0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95">
        <v>7</v>
      </c>
      <c r="I12" s="96" t="str">
        <f t="shared" si="0"/>
        <v/>
      </c>
      <c r="J12" s="95" t="e">
        <f t="shared" si="5"/>
        <v>#NUM!</v>
      </c>
      <c r="K12" s="95" t="e">
        <f t="shared" si="1"/>
        <v>#NUM!</v>
      </c>
      <c r="L12" s="95"/>
      <c r="M12" s="97">
        <f t="shared" si="2"/>
        <v>0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99">
        <v>8</v>
      </c>
      <c r="I13" s="100" t="str">
        <f t="shared" si="0"/>
        <v/>
      </c>
      <c r="J13" s="99" t="e">
        <f t="shared" si="5"/>
        <v>#NUM!</v>
      </c>
      <c r="K13" s="99" t="e">
        <f t="shared" si="1"/>
        <v>#NUM!</v>
      </c>
      <c r="L13" s="99"/>
      <c r="M13" s="101">
        <f t="shared" si="2"/>
        <v>0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95">
        <v>9</v>
      </c>
      <c r="I14" s="96" t="str">
        <f t="shared" si="0"/>
        <v/>
      </c>
      <c r="J14" s="95" t="e">
        <f t="shared" si="5"/>
        <v>#NUM!</v>
      </c>
      <c r="K14" s="95" t="e">
        <f t="shared" si="1"/>
        <v>#NUM!</v>
      </c>
      <c r="L14" s="95"/>
      <c r="M14" s="97">
        <f t="shared" si="2"/>
        <v>0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99">
        <v>10</v>
      </c>
      <c r="I15" s="100" t="str">
        <f t="shared" si="0"/>
        <v/>
      </c>
      <c r="J15" s="99" t="e">
        <f t="shared" si="5"/>
        <v>#NUM!</v>
      </c>
      <c r="K15" s="99" t="e">
        <f t="shared" si="1"/>
        <v>#NUM!</v>
      </c>
      <c r="L15" s="99"/>
      <c r="M15" s="101">
        <f t="shared" si="2"/>
        <v>0</v>
      </c>
      <c r="X15" s="102"/>
      <c r="Z15" s="103"/>
      <c r="AA15" s="103"/>
    </row>
    <row r="16" spans="1:36" x14ac:dyDescent="0.25">
      <c r="A16" s="94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95">
        <v>11</v>
      </c>
      <c r="I16" s="96" t="str">
        <f t="shared" si="0"/>
        <v/>
      </c>
      <c r="J16" s="95" t="e">
        <f t="shared" si="5"/>
        <v>#NUM!</v>
      </c>
      <c r="K16" s="95" t="e">
        <f t="shared" si="1"/>
        <v>#NUM!</v>
      </c>
      <c r="L16" s="95"/>
      <c r="M16" s="97">
        <f t="shared" si="2"/>
        <v>0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99">
        <v>12</v>
      </c>
      <c r="I17" s="100" t="str">
        <f t="shared" si="0"/>
        <v/>
      </c>
      <c r="J17" s="99" t="e">
        <f t="shared" si="5"/>
        <v>#NUM!</v>
      </c>
      <c r="K17" s="99" t="e">
        <f t="shared" si="1"/>
        <v>#NUM!</v>
      </c>
      <c r="L17" s="99"/>
      <c r="M17" s="101">
        <f t="shared" si="2"/>
        <v>0</v>
      </c>
    </row>
    <row r="18" spans="1:19" x14ac:dyDescent="0.25">
      <c r="A18" s="94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95">
        <v>13</v>
      </c>
      <c r="I18" s="96" t="str">
        <f t="shared" si="0"/>
        <v/>
      </c>
      <c r="J18" s="95" t="e">
        <f t="shared" si="5"/>
        <v>#NUM!</v>
      </c>
      <c r="K18" s="95" t="e">
        <f t="shared" si="1"/>
        <v>#NUM!</v>
      </c>
      <c r="L18" s="95"/>
      <c r="M18" s="97">
        <f t="shared" si="2"/>
        <v>0</v>
      </c>
    </row>
    <row r="19" spans="1:19" x14ac:dyDescent="0.25">
      <c r="A19" s="98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99">
        <v>14</v>
      </c>
      <c r="I19" s="100" t="str">
        <f t="shared" si="0"/>
        <v/>
      </c>
      <c r="J19" s="99" t="e">
        <f t="shared" si="5"/>
        <v>#NUM!</v>
      </c>
      <c r="K19" s="99" t="e">
        <f t="shared" si="1"/>
        <v>#NUM!</v>
      </c>
      <c r="L19" s="99"/>
      <c r="M19" s="101">
        <f t="shared" si="2"/>
        <v>0</v>
      </c>
    </row>
    <row r="20" spans="1:19" x14ac:dyDescent="0.25">
      <c r="A20" s="94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95">
        <v>15</v>
      </c>
      <c r="I20" s="96" t="str">
        <f t="shared" si="0"/>
        <v/>
      </c>
      <c r="J20" s="95" t="e">
        <f t="shared" si="5"/>
        <v>#NUM!</v>
      </c>
      <c r="K20" s="95" t="e">
        <f t="shared" si="1"/>
        <v>#NUM!</v>
      </c>
      <c r="L20" s="95"/>
      <c r="M20" s="97">
        <f t="shared" si="2"/>
        <v>0</v>
      </c>
      <c r="R20" s="109"/>
      <c r="S20" s="110"/>
    </row>
    <row r="21" spans="1:19" x14ac:dyDescent="0.25">
      <c r="A21" s="98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99">
        <v>16</v>
      </c>
      <c r="I21" s="100" t="str">
        <f t="shared" si="0"/>
        <v/>
      </c>
      <c r="J21" s="99" t="e">
        <f t="shared" si="5"/>
        <v>#NUM!</v>
      </c>
      <c r="K21" s="99" t="e">
        <f t="shared" si="1"/>
        <v>#NUM!</v>
      </c>
      <c r="L21" s="99"/>
      <c r="M21" s="101">
        <f t="shared" si="2"/>
        <v>0</v>
      </c>
    </row>
    <row r="22" spans="1:19" x14ac:dyDescent="0.25">
      <c r="A22" s="94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95">
        <v>17</v>
      </c>
      <c r="I22" s="96" t="str">
        <f t="shared" si="0"/>
        <v/>
      </c>
      <c r="J22" s="95" t="e">
        <f t="shared" si="5"/>
        <v>#NUM!</v>
      </c>
      <c r="K22" s="95" t="e">
        <f t="shared" si="1"/>
        <v>#NUM!</v>
      </c>
      <c r="L22" s="95"/>
      <c r="M22" s="97">
        <f t="shared" si="2"/>
        <v>0</v>
      </c>
    </row>
    <row r="23" spans="1:19" x14ac:dyDescent="0.25">
      <c r="A23" s="98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99">
        <v>18</v>
      </c>
      <c r="I23" s="100" t="str">
        <f t="shared" si="0"/>
        <v/>
      </c>
      <c r="J23" s="99" t="e">
        <f t="shared" si="5"/>
        <v>#NUM!</v>
      </c>
      <c r="K23" s="99" t="e">
        <f t="shared" si="1"/>
        <v>#NUM!</v>
      </c>
      <c r="L23" s="99"/>
      <c r="M23" s="101">
        <f t="shared" si="2"/>
        <v>0</v>
      </c>
    </row>
    <row r="24" spans="1:19" x14ac:dyDescent="0.25">
      <c r="A24" s="94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95">
        <v>19</v>
      </c>
      <c r="I24" s="96" t="str">
        <f t="shared" si="0"/>
        <v/>
      </c>
      <c r="J24" s="95" t="e">
        <f t="shared" si="5"/>
        <v>#NUM!</v>
      </c>
      <c r="K24" s="95" t="e">
        <f t="shared" si="1"/>
        <v>#NUM!</v>
      </c>
      <c r="L24" s="95"/>
      <c r="M24" s="97">
        <f t="shared" si="2"/>
        <v>0</v>
      </c>
      <c r="R24" s="109"/>
      <c r="S24" s="110"/>
    </row>
    <row r="25" spans="1:19" x14ac:dyDescent="0.25">
      <c r="A25" s="98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99">
        <v>20</v>
      </c>
      <c r="I25" s="100" t="str">
        <f t="shared" si="0"/>
        <v/>
      </c>
      <c r="J25" s="99" t="e">
        <f t="shared" si="5"/>
        <v>#NUM!</v>
      </c>
      <c r="K25" s="99" t="e">
        <f t="shared" si="1"/>
        <v>#NUM!</v>
      </c>
      <c r="L25" s="99"/>
      <c r="M25" s="101">
        <f t="shared" si="2"/>
        <v>0</v>
      </c>
    </row>
    <row r="26" spans="1:19" x14ac:dyDescent="0.25">
      <c r="A26" s="94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95">
        <v>21</v>
      </c>
      <c r="I26" s="96" t="str">
        <f t="shared" si="0"/>
        <v/>
      </c>
      <c r="J26" s="95" t="e">
        <f t="shared" si="5"/>
        <v>#NUM!</v>
      </c>
      <c r="K26" s="95" t="e">
        <f t="shared" si="1"/>
        <v>#NUM!</v>
      </c>
      <c r="L26" s="95"/>
      <c r="M26" s="97">
        <f t="shared" si="2"/>
        <v>0</v>
      </c>
    </row>
    <row r="27" spans="1:19" x14ac:dyDescent="0.25">
      <c r="A27" s="98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99">
        <v>22</v>
      </c>
      <c r="I27" s="100" t="str">
        <f t="shared" si="0"/>
        <v/>
      </c>
      <c r="J27" s="99" t="e">
        <f t="shared" si="5"/>
        <v>#NUM!</v>
      </c>
      <c r="K27" s="99" t="e">
        <f t="shared" si="1"/>
        <v>#NUM!</v>
      </c>
      <c r="L27" s="99"/>
      <c r="M27" s="101">
        <f t="shared" si="2"/>
        <v>0</v>
      </c>
    </row>
    <row r="28" spans="1:19" x14ac:dyDescent="0.25">
      <c r="A28" s="94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95">
        <v>23</v>
      </c>
      <c r="I28" s="96" t="str">
        <f t="shared" si="0"/>
        <v/>
      </c>
      <c r="J28" s="95" t="e">
        <f t="shared" si="5"/>
        <v>#NUM!</v>
      </c>
      <c r="K28" s="95" t="e">
        <f t="shared" si="1"/>
        <v>#NUM!</v>
      </c>
      <c r="L28" s="95"/>
      <c r="M28" s="97">
        <f t="shared" si="2"/>
        <v>0</v>
      </c>
      <c r="R28" s="109"/>
      <c r="S28" s="110"/>
    </row>
    <row r="29" spans="1:19" x14ac:dyDescent="0.25">
      <c r="A29" s="98">
        <f t="shared" si="3"/>
        <v>0</v>
      </c>
      <c r="B29" s="40" t="str">
        <f t="shared" si="4"/>
        <v/>
      </c>
      <c r="C29" s="41"/>
      <c r="D29" s="41"/>
      <c r="E29" s="41"/>
      <c r="F29" s="41"/>
      <c r="G29" s="80"/>
      <c r="H29" s="99">
        <v>24</v>
      </c>
      <c r="I29" s="100" t="str">
        <f t="shared" si="0"/>
        <v/>
      </c>
      <c r="J29" s="99" t="e">
        <f t="shared" si="5"/>
        <v>#NUM!</v>
      </c>
      <c r="K29" s="99" t="e">
        <f t="shared" si="1"/>
        <v>#NUM!</v>
      </c>
      <c r="L29" s="99"/>
      <c r="M29" s="101">
        <f t="shared" si="2"/>
        <v>0</v>
      </c>
    </row>
    <row r="30" spans="1:19" x14ac:dyDescent="0.25">
      <c r="A30" s="94">
        <f t="shared" si="3"/>
        <v>0</v>
      </c>
      <c r="B30" s="34" t="str">
        <f t="shared" si="4"/>
        <v/>
      </c>
      <c r="C30" s="35"/>
      <c r="D30" s="35"/>
      <c r="E30" s="35"/>
      <c r="F30" s="35"/>
      <c r="G30" s="80"/>
      <c r="H30" s="95">
        <v>25</v>
      </c>
      <c r="I30" s="96" t="str">
        <f t="shared" si="0"/>
        <v/>
      </c>
      <c r="J30" s="95" t="e">
        <f t="shared" si="5"/>
        <v>#NUM!</v>
      </c>
      <c r="K30" s="95" t="e">
        <f t="shared" si="1"/>
        <v>#NUM!</v>
      </c>
      <c r="L30" s="95"/>
      <c r="M30" s="97">
        <f t="shared" si="2"/>
        <v>0</v>
      </c>
    </row>
    <row r="31" spans="1:19" x14ac:dyDescent="0.25">
      <c r="A31" s="98">
        <f t="shared" si="3"/>
        <v>0</v>
      </c>
      <c r="B31" s="40" t="str">
        <f t="shared" si="4"/>
        <v/>
      </c>
      <c r="C31" s="41"/>
      <c r="D31" s="41"/>
      <c r="E31" s="41"/>
      <c r="F31" s="41"/>
      <c r="G31" s="80"/>
      <c r="H31" s="99">
        <v>26</v>
      </c>
      <c r="I31" s="100" t="str">
        <f t="shared" si="0"/>
        <v/>
      </c>
      <c r="J31" s="99" t="e">
        <f t="shared" si="5"/>
        <v>#NUM!</v>
      </c>
      <c r="K31" s="99" t="e">
        <f t="shared" si="1"/>
        <v>#NUM!</v>
      </c>
      <c r="L31" s="99"/>
      <c r="M31" s="101">
        <f t="shared" si="2"/>
        <v>0</v>
      </c>
    </row>
    <row r="32" spans="1:19" x14ac:dyDescent="0.25">
      <c r="A32" s="94">
        <f t="shared" si="3"/>
        <v>0</v>
      </c>
      <c r="B32" s="34" t="str">
        <f t="shared" si="4"/>
        <v/>
      </c>
      <c r="C32" s="35"/>
      <c r="D32" s="35"/>
      <c r="E32" s="35"/>
      <c r="F32" s="35"/>
      <c r="G32" s="80"/>
      <c r="H32" s="95">
        <v>27</v>
      </c>
      <c r="I32" s="96" t="str">
        <f t="shared" si="0"/>
        <v/>
      </c>
      <c r="J32" s="95" t="e">
        <f t="shared" si="5"/>
        <v>#NUM!</v>
      </c>
      <c r="K32" s="95" t="e">
        <f t="shared" si="1"/>
        <v>#NUM!</v>
      </c>
      <c r="L32" s="95"/>
      <c r="M32" s="97">
        <f t="shared" si="2"/>
        <v>0</v>
      </c>
      <c r="R32" s="109"/>
      <c r="S32" s="110"/>
    </row>
    <row r="33" spans="1:21" x14ac:dyDescent="0.25">
      <c r="A33" s="98">
        <f t="shared" si="3"/>
        <v>0</v>
      </c>
      <c r="B33" s="40" t="str">
        <f t="shared" si="4"/>
        <v/>
      </c>
      <c r="C33" s="41"/>
      <c r="D33" s="41"/>
      <c r="E33" s="41"/>
      <c r="F33" s="41"/>
      <c r="G33" s="80"/>
      <c r="H33" s="99">
        <v>28</v>
      </c>
      <c r="I33" s="100" t="str">
        <f t="shared" si="0"/>
        <v/>
      </c>
      <c r="J33" s="99" t="e">
        <f t="shared" si="5"/>
        <v>#NUM!</v>
      </c>
      <c r="K33" s="99" t="e">
        <f t="shared" si="1"/>
        <v>#NUM!</v>
      </c>
      <c r="L33" s="99"/>
      <c r="M33" s="101">
        <f t="shared" si="2"/>
        <v>0</v>
      </c>
    </row>
    <row r="34" spans="1:21" x14ac:dyDescent="0.25">
      <c r="A34" s="94">
        <f t="shared" si="3"/>
        <v>0</v>
      </c>
      <c r="B34" s="34" t="str">
        <f t="shared" si="4"/>
        <v/>
      </c>
      <c r="C34" s="35"/>
      <c r="D34" s="35"/>
      <c r="E34" s="35"/>
      <c r="F34" s="35"/>
      <c r="G34" s="80"/>
      <c r="H34" s="95">
        <v>29</v>
      </c>
      <c r="I34" s="96" t="str">
        <f t="shared" si="0"/>
        <v/>
      </c>
      <c r="J34" s="95" t="e">
        <f t="shared" si="5"/>
        <v>#NUM!</v>
      </c>
      <c r="K34" s="95" t="e">
        <f t="shared" si="1"/>
        <v>#NUM!</v>
      </c>
      <c r="L34" s="95"/>
      <c r="M34" s="97">
        <f t="shared" si="2"/>
        <v>0</v>
      </c>
    </row>
    <row r="35" spans="1:21" x14ac:dyDescent="0.25">
      <c r="A35" s="98">
        <f t="shared" si="3"/>
        <v>0</v>
      </c>
      <c r="B35" s="40" t="str">
        <f t="shared" si="4"/>
        <v/>
      </c>
      <c r="C35" s="41"/>
      <c r="D35" s="41"/>
      <c r="E35" s="41"/>
      <c r="F35" s="41"/>
      <c r="G35" s="80"/>
      <c r="H35" s="99">
        <v>30</v>
      </c>
      <c r="I35" s="100" t="str">
        <f t="shared" si="0"/>
        <v/>
      </c>
      <c r="J35" s="99" t="e">
        <f t="shared" si="5"/>
        <v>#NUM!</v>
      </c>
      <c r="K35" s="99" t="e">
        <f t="shared" si="1"/>
        <v>#NUM!</v>
      </c>
      <c r="L35" s="99"/>
      <c r="M35" s="101">
        <f t="shared" si="2"/>
        <v>0</v>
      </c>
    </row>
    <row r="36" spans="1:21" x14ac:dyDescent="0.25">
      <c r="A36" s="94">
        <f t="shared" si="3"/>
        <v>0</v>
      </c>
      <c r="B36" s="34" t="str">
        <f t="shared" si="4"/>
        <v/>
      </c>
      <c r="C36" s="35"/>
      <c r="D36" s="35"/>
      <c r="E36" s="35"/>
      <c r="F36" s="35"/>
      <c r="G36" s="80"/>
      <c r="H36" s="95">
        <v>31</v>
      </c>
      <c r="I36" s="96" t="str">
        <f t="shared" si="0"/>
        <v/>
      </c>
      <c r="J36" s="95" t="e">
        <f t="shared" si="5"/>
        <v>#NUM!</v>
      </c>
      <c r="K36" s="95" t="e">
        <f t="shared" si="1"/>
        <v>#NUM!</v>
      </c>
      <c r="L36" s="95"/>
      <c r="M36" s="97">
        <f t="shared" si="2"/>
        <v>0</v>
      </c>
      <c r="R36" s="109"/>
      <c r="S36" s="110"/>
    </row>
    <row r="37" spans="1:21" x14ac:dyDescent="0.25">
      <c r="A37" s="98">
        <f t="shared" si="3"/>
        <v>0</v>
      </c>
      <c r="B37" s="40" t="str">
        <f t="shared" si="4"/>
        <v/>
      </c>
      <c r="C37" s="41"/>
      <c r="D37" s="41"/>
      <c r="E37" s="41"/>
      <c r="F37" s="41"/>
      <c r="G37" s="80"/>
      <c r="H37" s="99">
        <v>32</v>
      </c>
      <c r="I37" s="100" t="str">
        <f t="shared" si="0"/>
        <v/>
      </c>
      <c r="J37" s="99" t="e">
        <f t="shared" si="5"/>
        <v>#NUM!</v>
      </c>
      <c r="K37" s="99" t="e">
        <f t="shared" si="1"/>
        <v>#NUM!</v>
      </c>
      <c r="L37" s="99"/>
      <c r="M37" s="101">
        <f t="shared" si="2"/>
        <v>0</v>
      </c>
    </row>
    <row r="38" spans="1:21" x14ac:dyDescent="0.25">
      <c r="A38" s="94"/>
      <c r="B38" s="34" t="str">
        <f t="shared" si="4"/>
        <v/>
      </c>
      <c r="C38" s="35"/>
      <c r="D38" s="35"/>
      <c r="E38" s="35"/>
      <c r="F38" s="35"/>
      <c r="G38" s="80"/>
      <c r="H38" s="95">
        <v>33</v>
      </c>
      <c r="I38" s="96" t="str">
        <f t="shared" si="0"/>
        <v/>
      </c>
      <c r="J38" s="95" t="e">
        <f t="shared" si="5"/>
        <v>#NUM!</v>
      </c>
      <c r="K38" s="95" t="e">
        <f t="shared" si="1"/>
        <v>#NUM!</v>
      </c>
      <c r="L38" s="95"/>
      <c r="M38" s="97">
        <f t="shared" si="2"/>
        <v>0</v>
      </c>
    </row>
    <row r="39" spans="1:21" x14ac:dyDescent="0.25">
      <c r="A39" s="98"/>
      <c r="B39" s="40" t="str">
        <f t="shared" si="4"/>
        <v/>
      </c>
      <c r="C39" s="41"/>
      <c r="D39" s="41"/>
      <c r="E39" s="41"/>
      <c r="F39" s="41"/>
      <c r="G39" s="80"/>
      <c r="H39" s="99">
        <v>34</v>
      </c>
      <c r="I39" s="100" t="str">
        <f t="shared" si="0"/>
        <v/>
      </c>
      <c r="J39" s="99" t="e">
        <f t="shared" si="5"/>
        <v>#NUM!</v>
      </c>
      <c r="K39" s="99" t="e">
        <f t="shared" si="1"/>
        <v>#NUM!</v>
      </c>
      <c r="L39" s="99"/>
      <c r="M39" s="101">
        <f t="shared" si="2"/>
        <v>0</v>
      </c>
    </row>
    <row r="40" spans="1:21" x14ac:dyDescent="0.25">
      <c r="A40" s="94"/>
      <c r="B40" s="34" t="str">
        <f t="shared" si="4"/>
        <v/>
      </c>
      <c r="C40" s="35"/>
      <c r="D40" s="35"/>
      <c r="E40" s="35"/>
      <c r="F40" s="35"/>
      <c r="G40" s="80"/>
      <c r="H40" s="95">
        <v>35</v>
      </c>
      <c r="I40" s="96" t="str">
        <f t="shared" si="0"/>
        <v/>
      </c>
      <c r="J40" s="95" t="e">
        <f t="shared" si="5"/>
        <v>#NUM!</v>
      </c>
      <c r="K40" s="95" t="e">
        <f t="shared" si="1"/>
        <v>#NUM!</v>
      </c>
      <c r="L40" s="95"/>
      <c r="M40" s="97">
        <f t="shared" si="2"/>
        <v>0</v>
      </c>
    </row>
    <row r="41" spans="1:21" x14ac:dyDescent="0.25">
      <c r="A41" s="98"/>
      <c r="B41" s="40" t="str">
        <f t="shared" si="4"/>
        <v/>
      </c>
      <c r="C41" s="41"/>
      <c r="D41" s="41"/>
      <c r="E41" s="41"/>
      <c r="F41" s="41"/>
      <c r="G41" s="80"/>
      <c r="H41" s="99">
        <v>36</v>
      </c>
      <c r="I41" s="100" t="str">
        <f t="shared" si="0"/>
        <v/>
      </c>
      <c r="J41" s="99" t="e">
        <f t="shared" si="5"/>
        <v>#NUM!</v>
      </c>
      <c r="K41" s="99" t="e">
        <f t="shared" si="1"/>
        <v>#NUM!</v>
      </c>
      <c r="L41" s="99"/>
      <c r="M41" s="101">
        <f t="shared" si="2"/>
        <v>0</v>
      </c>
      <c r="S41" s="111"/>
    </row>
    <row r="42" spans="1:21" x14ac:dyDescent="0.25">
      <c r="A42" s="94"/>
      <c r="B42" s="34" t="str">
        <f t="shared" si="4"/>
        <v/>
      </c>
      <c r="C42" s="35"/>
      <c r="D42" s="35"/>
      <c r="E42" s="35"/>
      <c r="F42" s="35"/>
      <c r="G42" s="80"/>
      <c r="H42" s="95">
        <v>37</v>
      </c>
      <c r="I42" s="96" t="str">
        <f t="shared" si="0"/>
        <v/>
      </c>
      <c r="J42" s="95" t="e">
        <f t="shared" si="5"/>
        <v>#NUM!</v>
      </c>
      <c r="K42" s="95" t="e">
        <f t="shared" si="1"/>
        <v>#NUM!</v>
      </c>
      <c r="L42" s="95"/>
      <c r="M42" s="97">
        <f t="shared" si="2"/>
        <v>0</v>
      </c>
    </row>
    <row r="43" spans="1:21" x14ac:dyDescent="0.25">
      <c r="A43" s="98"/>
      <c r="B43" s="40" t="str">
        <f t="shared" si="4"/>
        <v/>
      </c>
      <c r="C43" s="41"/>
      <c r="D43" s="41"/>
      <c r="E43" s="41"/>
      <c r="F43" s="41"/>
      <c r="G43" s="80"/>
      <c r="H43" s="99">
        <v>38</v>
      </c>
      <c r="I43" s="100" t="str">
        <f t="shared" si="0"/>
        <v/>
      </c>
      <c r="J43" s="99" t="e">
        <f t="shared" si="5"/>
        <v>#NUM!</v>
      </c>
      <c r="K43" s="99" t="e">
        <f t="shared" si="1"/>
        <v>#NUM!</v>
      </c>
      <c r="L43" s="99"/>
      <c r="M43" s="101">
        <f t="shared" si="2"/>
        <v>0</v>
      </c>
    </row>
    <row r="44" spans="1:21" x14ac:dyDescent="0.25">
      <c r="A44" s="94"/>
      <c r="B44" s="34" t="str">
        <f t="shared" si="4"/>
        <v/>
      </c>
      <c r="C44" s="35"/>
      <c r="D44" s="35"/>
      <c r="E44" s="35"/>
      <c r="F44" s="35"/>
      <c r="G44" s="80"/>
      <c r="H44" s="95">
        <v>39</v>
      </c>
      <c r="I44" s="96" t="str">
        <f t="shared" si="0"/>
        <v/>
      </c>
      <c r="J44" s="95" t="e">
        <f t="shared" si="5"/>
        <v>#NUM!</v>
      </c>
      <c r="K44" s="95" t="e">
        <f t="shared" si="1"/>
        <v>#NUM!</v>
      </c>
      <c r="L44" s="95"/>
      <c r="M44" s="97">
        <f t="shared" si="2"/>
        <v>0</v>
      </c>
    </row>
    <row r="45" spans="1:21" x14ac:dyDescent="0.25">
      <c r="A45" s="98"/>
      <c r="B45" s="40" t="str">
        <f t="shared" si="4"/>
        <v/>
      </c>
      <c r="C45" s="41"/>
      <c r="D45" s="41"/>
      <c r="E45" s="41"/>
      <c r="F45" s="41"/>
      <c r="G45" s="80"/>
      <c r="H45" s="99">
        <v>40</v>
      </c>
      <c r="I45" s="100" t="str">
        <f t="shared" si="0"/>
        <v/>
      </c>
      <c r="J45" s="99" t="e">
        <f t="shared" si="5"/>
        <v>#NUM!</v>
      </c>
      <c r="K45" s="99" t="e">
        <f t="shared" si="1"/>
        <v>#NUM!</v>
      </c>
      <c r="L45" s="99"/>
      <c r="M45" s="101">
        <f t="shared" si="2"/>
        <v>0</v>
      </c>
    </row>
    <row r="46" spans="1:21" x14ac:dyDescent="0.25">
      <c r="A46" s="94"/>
      <c r="B46" s="34" t="str">
        <f t="shared" si="4"/>
        <v/>
      </c>
      <c r="C46" s="35"/>
      <c r="D46" s="35"/>
      <c r="E46" s="35"/>
      <c r="F46" s="35"/>
      <c r="G46" s="80"/>
      <c r="H46" s="95">
        <v>41</v>
      </c>
      <c r="I46" s="96" t="str">
        <f t="shared" si="0"/>
        <v/>
      </c>
      <c r="J46" s="95" t="e">
        <f t="shared" si="5"/>
        <v>#NUM!</v>
      </c>
      <c r="K46" s="95" t="e">
        <f t="shared" si="1"/>
        <v>#NUM!</v>
      </c>
      <c r="L46" s="95"/>
      <c r="M46" s="97">
        <f t="shared" si="2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0" t="str">
        <f t="shared" si="4"/>
        <v/>
      </c>
      <c r="C47" s="41"/>
      <c r="D47" s="41"/>
      <c r="E47" s="41"/>
      <c r="F47" s="41"/>
      <c r="G47" s="80"/>
      <c r="H47" s="99">
        <v>42</v>
      </c>
      <c r="I47" s="100" t="str">
        <f t="shared" si="0"/>
        <v/>
      </c>
      <c r="J47" s="99" t="e">
        <f t="shared" si="5"/>
        <v>#NUM!</v>
      </c>
      <c r="K47" s="99" t="e">
        <f t="shared" si="1"/>
        <v>#NUM!</v>
      </c>
      <c r="L47" s="99"/>
      <c r="M47" s="101">
        <f t="shared" si="2"/>
        <v>0</v>
      </c>
    </row>
    <row r="48" spans="1:21" x14ac:dyDescent="0.25">
      <c r="A48" s="94"/>
      <c r="B48" s="34" t="str">
        <f t="shared" si="4"/>
        <v/>
      </c>
      <c r="C48" s="35"/>
      <c r="D48" s="35"/>
      <c r="E48" s="35"/>
      <c r="F48" s="35"/>
      <c r="G48" s="80"/>
      <c r="H48" s="95">
        <v>43</v>
      </c>
      <c r="I48" s="96" t="str">
        <f t="shared" si="0"/>
        <v/>
      </c>
      <c r="J48" s="95" t="e">
        <f t="shared" si="5"/>
        <v>#NUM!</v>
      </c>
      <c r="K48" s="95" t="e">
        <f t="shared" si="1"/>
        <v>#NUM!</v>
      </c>
      <c r="L48" s="95"/>
      <c r="M48" s="97">
        <f t="shared" si="2"/>
        <v>0</v>
      </c>
    </row>
    <row r="49" spans="1:13" x14ac:dyDescent="0.25">
      <c r="A49" s="98"/>
      <c r="B49" s="40" t="str">
        <f t="shared" si="4"/>
        <v/>
      </c>
      <c r="C49" s="41"/>
      <c r="D49" s="41"/>
      <c r="E49" s="41"/>
      <c r="F49" s="41"/>
      <c r="G49" s="80"/>
      <c r="H49" s="99">
        <v>44</v>
      </c>
      <c r="I49" s="100" t="str">
        <f t="shared" si="0"/>
        <v/>
      </c>
      <c r="J49" s="99" t="e">
        <f t="shared" si="5"/>
        <v>#NUM!</v>
      </c>
      <c r="K49" s="99" t="e">
        <f t="shared" si="1"/>
        <v>#NUM!</v>
      </c>
      <c r="L49" s="99"/>
      <c r="M49" s="101">
        <f t="shared" si="2"/>
        <v>0</v>
      </c>
    </row>
    <row r="50" spans="1:13" x14ac:dyDescent="0.25">
      <c r="A50" s="94"/>
      <c r="B50" s="34" t="str">
        <f t="shared" si="4"/>
        <v/>
      </c>
      <c r="C50" s="35"/>
      <c r="D50" s="35"/>
      <c r="E50" s="35"/>
      <c r="F50" s="35"/>
      <c r="G50" s="80"/>
      <c r="H50" s="95">
        <v>45</v>
      </c>
      <c r="I50" s="96" t="str">
        <f t="shared" si="0"/>
        <v/>
      </c>
      <c r="J50" s="95" t="e">
        <f t="shared" si="5"/>
        <v>#NUM!</v>
      </c>
      <c r="K50" s="95" t="e">
        <f t="shared" si="1"/>
        <v>#NUM!</v>
      </c>
      <c r="L50" s="95"/>
      <c r="M50" s="97">
        <f t="shared" si="2"/>
        <v>0</v>
      </c>
    </row>
    <row r="51" spans="1:13" x14ac:dyDescent="0.25">
      <c r="A51" s="98"/>
      <c r="B51" s="40" t="str">
        <f t="shared" si="4"/>
        <v/>
      </c>
      <c r="C51" s="41"/>
      <c r="D51" s="41"/>
      <c r="E51" s="41"/>
      <c r="F51" s="41"/>
      <c r="G51" s="80"/>
      <c r="H51" s="99">
        <v>46</v>
      </c>
      <c r="I51" s="100" t="str">
        <f t="shared" si="0"/>
        <v/>
      </c>
      <c r="J51" s="99" t="e">
        <f t="shared" si="5"/>
        <v>#NUM!</v>
      </c>
      <c r="K51" s="99" t="e">
        <f t="shared" si="1"/>
        <v>#NUM!</v>
      </c>
      <c r="L51" s="99"/>
      <c r="M51" s="101">
        <f t="shared" si="2"/>
        <v>0</v>
      </c>
    </row>
    <row r="52" spans="1:13" x14ac:dyDescent="0.25">
      <c r="A52" s="94"/>
      <c r="B52" s="34" t="str">
        <f t="shared" si="4"/>
        <v/>
      </c>
      <c r="C52" s="35"/>
      <c r="D52" s="35"/>
      <c r="E52" s="35"/>
      <c r="F52" s="35"/>
      <c r="G52" s="80"/>
      <c r="H52" s="95">
        <v>47</v>
      </c>
      <c r="I52" s="96" t="str">
        <f t="shared" si="0"/>
        <v/>
      </c>
      <c r="J52" s="95" t="e">
        <f t="shared" si="5"/>
        <v>#NUM!</v>
      </c>
      <c r="K52" s="95" t="e">
        <f t="shared" si="1"/>
        <v>#NUM!</v>
      </c>
      <c r="L52" s="95"/>
      <c r="M52" s="97">
        <f t="shared" si="2"/>
        <v>0</v>
      </c>
    </row>
    <row r="53" spans="1:13" x14ac:dyDescent="0.25">
      <c r="A53" s="98"/>
      <c r="B53" s="40" t="str">
        <f t="shared" si="4"/>
        <v/>
      </c>
      <c r="C53" s="41"/>
      <c r="D53" s="41"/>
      <c r="E53" s="41"/>
      <c r="F53" s="41"/>
      <c r="G53" s="80"/>
      <c r="H53" s="99">
        <v>48</v>
      </c>
      <c r="I53" s="100" t="str">
        <f t="shared" si="0"/>
        <v/>
      </c>
      <c r="J53" s="99" t="e">
        <f t="shared" si="5"/>
        <v>#NUM!</v>
      </c>
      <c r="K53" s="99" t="e">
        <f t="shared" si="1"/>
        <v>#NUM!</v>
      </c>
      <c r="L53" s="99"/>
      <c r="M53" s="101">
        <f t="shared" si="2"/>
        <v>0</v>
      </c>
    </row>
    <row r="54" spans="1:13" x14ac:dyDescent="0.25">
      <c r="A54" s="94"/>
      <c r="B54" s="34" t="str">
        <f t="shared" si="4"/>
        <v/>
      </c>
      <c r="C54" s="35"/>
      <c r="D54" s="35"/>
      <c r="E54" s="35"/>
      <c r="F54" s="35"/>
      <c r="G54" s="80"/>
      <c r="H54" s="95">
        <v>49</v>
      </c>
      <c r="I54" s="96" t="str">
        <f t="shared" si="0"/>
        <v/>
      </c>
      <c r="J54" s="95" t="e">
        <f t="shared" si="5"/>
        <v>#NUM!</v>
      </c>
      <c r="K54" s="95" t="e">
        <f t="shared" si="1"/>
        <v>#NUM!</v>
      </c>
      <c r="L54" s="95"/>
      <c r="M54" s="97">
        <f t="shared" si="2"/>
        <v>0</v>
      </c>
    </row>
    <row r="55" spans="1:13" x14ac:dyDescent="0.25">
      <c r="A55" s="98"/>
      <c r="B55" s="40" t="str">
        <f t="shared" si="4"/>
        <v/>
      </c>
      <c r="C55" s="41"/>
      <c r="D55" s="41"/>
      <c r="E55" s="41"/>
      <c r="F55" s="41"/>
      <c r="G55" s="80"/>
      <c r="H55" s="99">
        <v>50</v>
      </c>
      <c r="I55" s="100" t="str">
        <f t="shared" si="0"/>
        <v/>
      </c>
      <c r="J55" s="99" t="e">
        <f t="shared" si="5"/>
        <v>#NUM!</v>
      </c>
      <c r="K55" s="99" t="e">
        <f t="shared" si="1"/>
        <v>#NUM!</v>
      </c>
      <c r="L55" s="99"/>
      <c r="M55" s="101">
        <f t="shared" si="2"/>
        <v>0</v>
      </c>
    </row>
    <row r="56" spans="1:13" x14ac:dyDescent="0.25">
      <c r="A56" s="94"/>
      <c r="B56" s="34" t="str">
        <f t="shared" si="4"/>
        <v/>
      </c>
      <c r="C56" s="35"/>
      <c r="D56" s="35"/>
      <c r="E56" s="35"/>
      <c r="F56" s="35"/>
      <c r="G56" s="80"/>
      <c r="H56" s="95">
        <v>51</v>
      </c>
      <c r="I56" s="96" t="str">
        <f t="shared" si="0"/>
        <v/>
      </c>
      <c r="J56" s="95" t="e">
        <f t="shared" si="5"/>
        <v>#NUM!</v>
      </c>
      <c r="K56" s="95" t="e">
        <f t="shared" si="1"/>
        <v>#NUM!</v>
      </c>
      <c r="L56" s="95"/>
      <c r="M56" s="97">
        <f t="shared" si="2"/>
        <v>0</v>
      </c>
    </row>
    <row r="57" spans="1:13" x14ac:dyDescent="0.25">
      <c r="A57" s="98"/>
      <c r="B57" s="40" t="str">
        <f t="shared" si="4"/>
        <v/>
      </c>
      <c r="C57" s="41"/>
      <c r="D57" s="41"/>
      <c r="E57" s="41"/>
      <c r="F57" s="41"/>
      <c r="G57" s="80"/>
      <c r="H57" s="99">
        <v>52</v>
      </c>
      <c r="I57" s="100" t="str">
        <f t="shared" si="0"/>
        <v/>
      </c>
      <c r="J57" s="99" t="e">
        <f t="shared" si="5"/>
        <v>#NUM!</v>
      </c>
      <c r="K57" s="99" t="e">
        <f t="shared" si="1"/>
        <v>#NUM!</v>
      </c>
      <c r="L57" s="99"/>
      <c r="M57" s="101">
        <f t="shared" si="2"/>
        <v>0</v>
      </c>
    </row>
    <row r="58" spans="1:13" x14ac:dyDescent="0.25">
      <c r="A58" s="94"/>
      <c r="B58" s="34" t="str">
        <f t="shared" si="4"/>
        <v/>
      </c>
      <c r="C58" s="35"/>
      <c r="D58" s="35"/>
      <c r="E58" s="35"/>
      <c r="F58" s="35"/>
      <c r="G58" s="80"/>
      <c r="H58" s="95">
        <v>53</v>
      </c>
      <c r="I58" s="96" t="str">
        <f t="shared" si="0"/>
        <v/>
      </c>
      <c r="J58" s="95" t="e">
        <f t="shared" si="5"/>
        <v>#NUM!</v>
      </c>
      <c r="K58" s="95" t="e">
        <f t="shared" si="1"/>
        <v>#NUM!</v>
      </c>
      <c r="L58" s="95"/>
      <c r="M58" s="97">
        <f t="shared" si="2"/>
        <v>0</v>
      </c>
    </row>
    <row r="59" spans="1:13" x14ac:dyDescent="0.25">
      <c r="A59" s="98"/>
      <c r="B59" s="40" t="str">
        <f t="shared" si="4"/>
        <v/>
      </c>
      <c r="C59" s="41"/>
      <c r="D59" s="41"/>
      <c r="E59" s="41"/>
      <c r="F59" s="41"/>
      <c r="G59" s="80"/>
      <c r="H59" s="99">
        <v>54</v>
      </c>
      <c r="I59" s="100" t="str">
        <f t="shared" si="0"/>
        <v/>
      </c>
      <c r="J59" s="99" t="e">
        <f t="shared" si="5"/>
        <v>#NUM!</v>
      </c>
      <c r="K59" s="99" t="e">
        <f t="shared" si="1"/>
        <v>#NUM!</v>
      </c>
      <c r="L59" s="99"/>
      <c r="M59" s="101">
        <f t="shared" si="2"/>
        <v>0</v>
      </c>
    </row>
    <row r="60" spans="1:13" x14ac:dyDescent="0.25">
      <c r="A60" s="94"/>
      <c r="B60" s="34" t="str">
        <f t="shared" si="4"/>
        <v/>
      </c>
      <c r="C60" s="35"/>
      <c r="D60" s="35"/>
      <c r="E60" s="35"/>
      <c r="F60" s="35"/>
      <c r="G60" s="80"/>
      <c r="H60" s="95">
        <v>55</v>
      </c>
      <c r="I60" s="96" t="str">
        <f t="shared" si="0"/>
        <v/>
      </c>
      <c r="J60" s="95" t="e">
        <f t="shared" si="5"/>
        <v>#NUM!</v>
      </c>
      <c r="K60" s="95" t="e">
        <f t="shared" si="1"/>
        <v>#NUM!</v>
      </c>
      <c r="L60" s="95"/>
      <c r="M60" s="97">
        <f t="shared" si="2"/>
        <v>0</v>
      </c>
    </row>
    <row r="61" spans="1:13" x14ac:dyDescent="0.25">
      <c r="A61" s="98"/>
      <c r="B61" s="40" t="str">
        <f t="shared" si="4"/>
        <v/>
      </c>
      <c r="C61" s="41"/>
      <c r="D61" s="41"/>
      <c r="E61" s="41"/>
      <c r="F61" s="41"/>
      <c r="G61" s="80"/>
      <c r="H61" s="99">
        <v>56</v>
      </c>
      <c r="I61" s="100" t="str">
        <f t="shared" si="0"/>
        <v/>
      </c>
      <c r="J61" s="99" t="e">
        <f t="shared" si="5"/>
        <v>#NUM!</v>
      </c>
      <c r="K61" s="99" t="e">
        <f t="shared" si="1"/>
        <v>#NUM!</v>
      </c>
      <c r="L61" s="99"/>
      <c r="M61" s="101">
        <f t="shared" si="2"/>
        <v>0</v>
      </c>
    </row>
    <row r="62" spans="1:13" x14ac:dyDescent="0.25">
      <c r="A62" s="94"/>
      <c r="B62" s="34" t="str">
        <f t="shared" si="4"/>
        <v/>
      </c>
      <c r="C62" s="35"/>
      <c r="D62" s="35"/>
      <c r="E62" s="35"/>
      <c r="F62" s="35"/>
      <c r="G62" s="80"/>
      <c r="H62" s="95">
        <v>57</v>
      </c>
      <c r="I62" s="96" t="str">
        <f t="shared" si="0"/>
        <v/>
      </c>
      <c r="J62" s="95" t="e">
        <f t="shared" si="5"/>
        <v>#NUM!</v>
      </c>
      <c r="K62" s="95" t="e">
        <f t="shared" si="1"/>
        <v>#NUM!</v>
      </c>
      <c r="L62" s="95"/>
      <c r="M62" s="97">
        <f t="shared" si="2"/>
        <v>0</v>
      </c>
    </row>
    <row r="63" spans="1:13" x14ac:dyDescent="0.25">
      <c r="A63" s="98"/>
      <c r="B63" s="40" t="str">
        <f t="shared" si="4"/>
        <v/>
      </c>
      <c r="C63" s="41"/>
      <c r="D63" s="41"/>
      <c r="E63" s="41"/>
      <c r="F63" s="41"/>
      <c r="G63" s="80"/>
      <c r="H63" s="99">
        <v>58</v>
      </c>
      <c r="I63" s="100" t="str">
        <f t="shared" si="0"/>
        <v/>
      </c>
      <c r="J63" s="99" t="e">
        <f t="shared" si="5"/>
        <v>#NUM!</v>
      </c>
      <c r="K63" s="99" t="e">
        <f t="shared" si="1"/>
        <v>#NUM!</v>
      </c>
      <c r="L63" s="99"/>
      <c r="M63" s="101">
        <f t="shared" si="2"/>
        <v>0</v>
      </c>
    </row>
    <row r="64" spans="1:13" x14ac:dyDescent="0.25">
      <c r="A64" s="94"/>
      <c r="B64" s="34" t="str">
        <f t="shared" si="4"/>
        <v/>
      </c>
      <c r="C64" s="35"/>
      <c r="D64" s="35"/>
      <c r="E64" s="35"/>
      <c r="F64" s="35"/>
      <c r="G64" s="80"/>
      <c r="H64" s="95">
        <v>59</v>
      </c>
      <c r="I64" s="96" t="str">
        <f t="shared" si="0"/>
        <v/>
      </c>
      <c r="J64" s="95" t="e">
        <f t="shared" si="5"/>
        <v>#NUM!</v>
      </c>
      <c r="K64" s="95" t="e">
        <f t="shared" si="1"/>
        <v>#NUM!</v>
      </c>
      <c r="L64" s="95"/>
      <c r="M64" s="97">
        <f t="shared" si="2"/>
        <v>0</v>
      </c>
    </row>
    <row r="65" spans="1:13" x14ac:dyDescent="0.25">
      <c r="A65" s="98"/>
      <c r="B65" s="40" t="str">
        <f t="shared" si="4"/>
        <v/>
      </c>
      <c r="C65" s="41"/>
      <c r="D65" s="41"/>
      <c r="E65" s="41"/>
      <c r="F65" s="41"/>
      <c r="G65" s="80"/>
      <c r="H65" s="99">
        <v>60</v>
      </c>
      <c r="I65" s="100" t="str">
        <f t="shared" si="0"/>
        <v/>
      </c>
      <c r="J65" s="99" t="e">
        <f t="shared" si="5"/>
        <v>#NUM!</v>
      </c>
      <c r="K65" s="99" t="e">
        <f t="shared" si="1"/>
        <v>#NUM!</v>
      </c>
      <c r="L65" s="99"/>
      <c r="M65" s="101">
        <f t="shared" si="2"/>
        <v>0</v>
      </c>
    </row>
    <row r="66" spans="1:13" x14ac:dyDescent="0.25">
      <c r="A66" s="114"/>
      <c r="B66" s="34"/>
      <c r="G66" s="80"/>
      <c r="H66" s="95">
        <v>61</v>
      </c>
      <c r="I66" s="96" t="str">
        <f t="shared" si="0"/>
        <v/>
      </c>
      <c r="J66" s="95" t="e">
        <f t="shared" si="5"/>
        <v>#NUM!</v>
      </c>
      <c r="K66" s="95" t="e">
        <f t="shared" si="1"/>
        <v>#NUM!</v>
      </c>
      <c r="L66" s="95"/>
      <c r="M66" s="97">
        <f t="shared" si="2"/>
        <v>0</v>
      </c>
    </row>
    <row r="67" spans="1:13" x14ac:dyDescent="0.25">
      <c r="A67" s="114"/>
      <c r="B67" s="40"/>
      <c r="G67" s="80"/>
      <c r="H67" s="95">
        <v>62</v>
      </c>
      <c r="I67" s="96" t="str">
        <f t="shared" si="0"/>
        <v/>
      </c>
      <c r="J67" s="95" t="e">
        <f t="shared" si="5"/>
        <v>#NUM!</v>
      </c>
      <c r="K67" s="95" t="e">
        <f t="shared" si="1"/>
        <v>#NUM!</v>
      </c>
      <c r="L67" s="95"/>
      <c r="M67" s="97">
        <f t="shared" si="2"/>
        <v>0</v>
      </c>
    </row>
    <row r="68" spans="1:13" x14ac:dyDescent="0.25">
      <c r="A68" s="114"/>
      <c r="B68" s="34"/>
      <c r="G68" s="80"/>
      <c r="H68" s="95">
        <v>63</v>
      </c>
      <c r="I68" s="96" t="str">
        <f t="shared" si="0"/>
        <v/>
      </c>
      <c r="J68" s="95" t="e">
        <f t="shared" si="5"/>
        <v>#NUM!</v>
      </c>
      <c r="K68" s="95" t="e">
        <f t="shared" si="1"/>
        <v>#NUM!</v>
      </c>
      <c r="L68" s="95"/>
      <c r="M68" s="97">
        <f t="shared" si="2"/>
        <v>0</v>
      </c>
    </row>
    <row r="69" spans="1:13" x14ac:dyDescent="0.25">
      <c r="A69" s="114"/>
      <c r="B69" s="40"/>
      <c r="G69" s="80"/>
      <c r="H69" s="95">
        <v>64</v>
      </c>
      <c r="I69" s="96" t="str">
        <f t="shared" si="0"/>
        <v/>
      </c>
      <c r="J69" s="95" t="e">
        <f t="shared" si="5"/>
        <v>#NUM!</v>
      </c>
      <c r="K69" s="95" t="e">
        <f t="shared" si="1"/>
        <v>#NUM!</v>
      </c>
      <c r="L69" s="95"/>
      <c r="M69" s="97">
        <f t="shared" si="2"/>
        <v>0</v>
      </c>
    </row>
    <row r="70" spans="1:13" x14ac:dyDescent="0.25">
      <c r="A70" s="114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4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4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4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4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4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4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4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4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4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4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4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4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4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4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4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4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4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4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4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4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4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4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4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4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4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4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4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4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4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4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26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  <c r="J306" s="118" t="e">
        <f t="shared" si="21"/>
        <v>#NUM!</v>
      </c>
    </row>
    <row r="307" spans="1:16" x14ac:dyDescent="0.25">
      <c r="J307" s="118" t="e">
        <f t="shared" si="21"/>
        <v>#NUM!</v>
      </c>
    </row>
    <row r="308" spans="1:16" x14ac:dyDescent="0.25">
      <c r="J308" s="118" t="e">
        <f t="shared" si="21"/>
        <v>#NUM!</v>
      </c>
    </row>
    <row r="309" spans="1:16" x14ac:dyDescent="0.25">
      <c r="J309" s="118" t="e">
        <f t="shared" si="21"/>
        <v>#NUM!</v>
      </c>
    </row>
    <row r="310" spans="1:16" x14ac:dyDescent="0.25">
      <c r="J310" s="118" t="e">
        <f t="shared" si="21"/>
        <v>#NUM!</v>
      </c>
    </row>
    <row r="311" spans="1:16" x14ac:dyDescent="0.25">
      <c r="J311" s="118" t="e">
        <f t="shared" si="21"/>
        <v>#NUM!</v>
      </c>
    </row>
    <row r="312" spans="1:16" x14ac:dyDescent="0.25">
      <c r="J312" s="118" t="e">
        <f t="shared" si="21"/>
        <v>#NUM!</v>
      </c>
    </row>
    <row r="313" spans="1:16" x14ac:dyDescent="0.25">
      <c r="J313" s="118" t="e">
        <f t="shared" si="21"/>
        <v>#NUM!</v>
      </c>
    </row>
    <row r="314" spans="1:16" x14ac:dyDescent="0.25">
      <c r="J314" s="118" t="e">
        <f t="shared" si="21"/>
        <v>#NUM!</v>
      </c>
      <c r="L314" s="120"/>
      <c r="P314" s="107"/>
    </row>
    <row r="315" spans="1:16" x14ac:dyDescent="0.25">
      <c r="J315" s="118" t="e">
        <f t="shared" si="21"/>
        <v>#NUM!</v>
      </c>
      <c r="L315" s="120"/>
      <c r="P315" s="107"/>
    </row>
    <row r="316" spans="1:16" x14ac:dyDescent="0.25">
      <c r="J316" s="118" t="e">
        <f t="shared" si="21"/>
        <v>#NUM!</v>
      </c>
      <c r="L316" s="120"/>
      <c r="P316" s="107"/>
    </row>
    <row r="317" spans="1:16" x14ac:dyDescent="0.25">
      <c r="J317" s="118" t="e">
        <f t="shared" si="21"/>
        <v>#NUM!</v>
      </c>
      <c r="L317" s="120"/>
      <c r="P317" s="107"/>
    </row>
    <row r="318" spans="1:16" x14ac:dyDescent="0.25">
      <c r="J318" s="118" t="e">
        <f t="shared" si="21"/>
        <v>#NUM!</v>
      </c>
    </row>
    <row r="319" spans="1:16" x14ac:dyDescent="0.25">
      <c r="J319" s="118" t="e">
        <f t="shared" si="21"/>
        <v>#NUM!</v>
      </c>
    </row>
    <row r="320" spans="1:16" x14ac:dyDescent="0.25">
      <c r="J320" s="118" t="e">
        <f t="shared" si="21"/>
        <v>#NUM!</v>
      </c>
    </row>
    <row r="321" spans="10:10" x14ac:dyDescent="0.25">
      <c r="J321" s="118" t="e">
        <f t="shared" si="21"/>
        <v>#NUM!</v>
      </c>
    </row>
    <row r="322" spans="10:10" x14ac:dyDescent="0.25">
      <c r="J322" s="118" t="e">
        <f t="shared" si="21"/>
        <v>#NUM!</v>
      </c>
    </row>
    <row r="323" spans="10:10" x14ac:dyDescent="0.25">
      <c r="J323" s="118" t="e">
        <f t="shared" si="21"/>
        <v>#NUM!</v>
      </c>
    </row>
    <row r="324" spans="10:10" x14ac:dyDescent="0.25">
      <c r="J324" s="118" t="e">
        <f t="shared" si="21"/>
        <v>#NUM!</v>
      </c>
    </row>
    <row r="325" spans="10:10" x14ac:dyDescent="0.25">
      <c r="J325" s="118" t="e">
        <f t="shared" si="21"/>
        <v>#NUM!</v>
      </c>
    </row>
    <row r="326" spans="10:10" x14ac:dyDescent="0.25">
      <c r="J326" s="118" t="e">
        <f t="shared" si="21"/>
        <v>#NUM!</v>
      </c>
    </row>
    <row r="327" spans="10:10" x14ac:dyDescent="0.25">
      <c r="J327" s="11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18" t="e">
        <f t="shared" si="22"/>
        <v>#NUM!</v>
      </c>
    </row>
    <row r="329" spans="10:10" x14ac:dyDescent="0.25">
      <c r="J329" s="118" t="e">
        <f t="shared" si="22"/>
        <v>#NUM!</v>
      </c>
    </row>
    <row r="330" spans="10:10" x14ac:dyDescent="0.25">
      <c r="J330" s="118" t="e">
        <f t="shared" si="22"/>
        <v>#NUM!</v>
      </c>
    </row>
    <row r="331" spans="10:10" x14ac:dyDescent="0.25">
      <c r="J331" s="118" t="e">
        <f t="shared" si="22"/>
        <v>#NUM!</v>
      </c>
    </row>
    <row r="332" spans="10:10" x14ac:dyDescent="0.25">
      <c r="J332" s="118" t="e">
        <f t="shared" si="22"/>
        <v>#NUM!</v>
      </c>
    </row>
    <row r="333" spans="10:10" x14ac:dyDescent="0.25">
      <c r="J333" s="118" t="e">
        <f t="shared" si="22"/>
        <v>#NUM!</v>
      </c>
    </row>
    <row r="334" spans="10:10" x14ac:dyDescent="0.25">
      <c r="J334" s="118" t="e">
        <f t="shared" si="22"/>
        <v>#NUM!</v>
      </c>
    </row>
    <row r="335" spans="10:10" x14ac:dyDescent="0.25">
      <c r="J335" s="118" t="e">
        <f t="shared" si="22"/>
        <v>#NUM!</v>
      </c>
    </row>
    <row r="336" spans="10:10" x14ac:dyDescent="0.25">
      <c r="J336" s="118" t="e">
        <f t="shared" si="22"/>
        <v>#NUM!</v>
      </c>
    </row>
    <row r="337" spans="10:10" x14ac:dyDescent="0.25">
      <c r="J337" s="118" t="e">
        <f t="shared" si="22"/>
        <v>#NUM!</v>
      </c>
    </row>
    <row r="338" spans="10:10" x14ac:dyDescent="0.25">
      <c r="J338" s="118" t="e">
        <f t="shared" si="22"/>
        <v>#NUM!</v>
      </c>
    </row>
    <row r="339" spans="10:10" x14ac:dyDescent="0.25">
      <c r="J339" s="118" t="e">
        <f t="shared" si="22"/>
        <v>#NUM!</v>
      </c>
    </row>
    <row r="340" spans="10:10" x14ac:dyDescent="0.25">
      <c r="J340" s="118" t="e">
        <f t="shared" si="22"/>
        <v>#NUM!</v>
      </c>
    </row>
    <row r="341" spans="10:10" x14ac:dyDescent="0.25">
      <c r="J341" s="118" t="e">
        <f t="shared" si="22"/>
        <v>#NUM!</v>
      </c>
    </row>
    <row r="342" spans="10:10" x14ac:dyDescent="0.25">
      <c r="J342" s="118" t="e">
        <f t="shared" si="22"/>
        <v>#NUM!</v>
      </c>
    </row>
    <row r="343" spans="10:10" x14ac:dyDescent="0.25">
      <c r="J343" s="118" t="e">
        <f t="shared" si="22"/>
        <v>#NUM!</v>
      </c>
    </row>
    <row r="344" spans="10:10" x14ac:dyDescent="0.25">
      <c r="J344" s="118" t="e">
        <f t="shared" si="22"/>
        <v>#NUM!</v>
      </c>
    </row>
    <row r="345" spans="10:10" x14ac:dyDescent="0.25">
      <c r="J345" s="118" t="e">
        <f t="shared" si="22"/>
        <v>#NUM!</v>
      </c>
    </row>
    <row r="346" spans="10:10" x14ac:dyDescent="0.25">
      <c r="J346" s="118" t="e">
        <f t="shared" si="22"/>
        <v>#NUM!</v>
      </c>
    </row>
    <row r="347" spans="10:10" x14ac:dyDescent="0.25">
      <c r="J347" s="118" t="e">
        <f t="shared" si="22"/>
        <v>#NUM!</v>
      </c>
    </row>
    <row r="348" spans="10:10" x14ac:dyDescent="0.25">
      <c r="J348" s="118" t="e">
        <f t="shared" si="22"/>
        <v>#NUM!</v>
      </c>
    </row>
    <row r="349" spans="10:10" x14ac:dyDescent="0.25">
      <c r="J349" s="118" t="e">
        <f t="shared" si="22"/>
        <v>#NUM!</v>
      </c>
    </row>
    <row r="350" spans="10:10" x14ac:dyDescent="0.25">
      <c r="J350" s="118" t="e">
        <f t="shared" si="22"/>
        <v>#NUM!</v>
      </c>
    </row>
    <row r="351" spans="10:10" x14ac:dyDescent="0.25">
      <c r="J351" s="118" t="e">
        <f t="shared" si="22"/>
        <v>#NUM!</v>
      </c>
    </row>
    <row r="352" spans="10:10" x14ac:dyDescent="0.25">
      <c r="J352" s="118" t="e">
        <f t="shared" si="22"/>
        <v>#NUM!</v>
      </c>
    </row>
    <row r="353" spans="10:10" x14ac:dyDescent="0.25">
      <c r="J353" s="118" t="e">
        <f t="shared" si="22"/>
        <v>#NUM!</v>
      </c>
    </row>
    <row r="354" spans="10:10" x14ac:dyDescent="0.25">
      <c r="J354" s="118" t="e">
        <f t="shared" si="22"/>
        <v>#NUM!</v>
      </c>
    </row>
    <row r="355" spans="10:10" x14ac:dyDescent="0.25">
      <c r="J355" s="118" t="e">
        <f t="shared" si="22"/>
        <v>#NUM!</v>
      </c>
    </row>
    <row r="356" spans="10:10" x14ac:dyDescent="0.25">
      <c r="J356" s="118" t="e">
        <f t="shared" si="22"/>
        <v>#NUM!</v>
      </c>
    </row>
    <row r="357" spans="10:10" x14ac:dyDescent="0.25">
      <c r="J357" s="118" t="e">
        <f t="shared" si="22"/>
        <v>#NUM!</v>
      </c>
    </row>
    <row r="358" spans="10:10" x14ac:dyDescent="0.25">
      <c r="J358" s="118" t="e">
        <f t="shared" si="22"/>
        <v>#NUM!</v>
      </c>
    </row>
    <row r="359" spans="10:10" x14ac:dyDescent="0.25">
      <c r="J359" s="118" t="e">
        <f t="shared" si="22"/>
        <v>#NUM!</v>
      </c>
    </row>
    <row r="360" spans="10:10" x14ac:dyDescent="0.25">
      <c r="J360" s="118" t="e">
        <f t="shared" si="22"/>
        <v>#NUM!</v>
      </c>
    </row>
    <row r="361" spans="10:10" x14ac:dyDescent="0.25">
      <c r="J361" s="118" t="e">
        <f t="shared" si="22"/>
        <v>#NUM!</v>
      </c>
    </row>
    <row r="362" spans="10:10" x14ac:dyDescent="0.25">
      <c r="J362" s="118" t="e">
        <f t="shared" si="22"/>
        <v>#NUM!</v>
      </c>
    </row>
    <row r="363" spans="10:10" x14ac:dyDescent="0.25">
      <c r="J363" s="118" t="e">
        <f t="shared" si="22"/>
        <v>#NUM!</v>
      </c>
    </row>
    <row r="364" spans="10:10" x14ac:dyDescent="0.25">
      <c r="J364" s="118" t="e">
        <f t="shared" si="22"/>
        <v>#NUM!</v>
      </c>
    </row>
    <row r="365" spans="10:10" x14ac:dyDescent="0.25">
      <c r="J365" s="118" t="e">
        <f t="shared" si="22"/>
        <v>#NUM!</v>
      </c>
    </row>
    <row r="366" spans="10:10" x14ac:dyDescent="0.25">
      <c r="J366" s="118" t="e">
        <f t="shared" si="22"/>
        <v>#NUM!</v>
      </c>
    </row>
    <row r="367" spans="10:10" x14ac:dyDescent="0.25">
      <c r="J367" s="118" t="e">
        <f t="shared" si="22"/>
        <v>#NUM!</v>
      </c>
    </row>
    <row r="368" spans="10:10" x14ac:dyDescent="0.25">
      <c r="J368" s="118" t="e">
        <f t="shared" si="22"/>
        <v>#NUM!</v>
      </c>
    </row>
    <row r="369" spans="10:10" x14ac:dyDescent="0.25">
      <c r="J369" s="118" t="e">
        <f t="shared" si="22"/>
        <v>#NUM!</v>
      </c>
    </row>
    <row r="370" spans="10:10" x14ac:dyDescent="0.25">
      <c r="J370" s="118" t="e">
        <f t="shared" si="22"/>
        <v>#NUM!</v>
      </c>
    </row>
    <row r="371" spans="10:10" x14ac:dyDescent="0.25">
      <c r="J371" s="118" t="e">
        <f t="shared" si="22"/>
        <v>#NUM!</v>
      </c>
    </row>
    <row r="372" spans="10:10" x14ac:dyDescent="0.25">
      <c r="J372" s="118" t="e">
        <f t="shared" si="22"/>
        <v>#NUM!</v>
      </c>
    </row>
    <row r="373" spans="10:10" x14ac:dyDescent="0.25">
      <c r="J373" s="118" t="e">
        <f t="shared" si="22"/>
        <v>#NUM!</v>
      </c>
    </row>
    <row r="374" spans="10:10" x14ac:dyDescent="0.25">
      <c r="J374" s="118" t="e">
        <f t="shared" si="22"/>
        <v>#NUM!</v>
      </c>
    </row>
  </sheetData>
  <conditionalFormatting sqref="J9:K305">
    <cfRule type="cellIs" dxfId="17" priority="1" operator="lessThanOrEqual">
      <formula>0</formula>
    </cfRule>
  </conditionalFormatting>
  <hyperlinks>
    <hyperlink ref="C2" r:id="rId1" xr:uid="{34FD5790-1E7C-493F-ACF3-6F03D8428261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9D82-23B2-49F2-A691-ACE4F3E77082}">
  <sheetPr codeName="Arkusz14">
    <tabColor rgb="FF92D050"/>
  </sheetPr>
  <dimension ref="A1:AL317"/>
  <sheetViews>
    <sheetView workbookViewId="0">
      <selection activeCell="C14" sqref="C14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43.7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x14ac:dyDescent="0.25">
      <c r="A2" s="80"/>
      <c r="B2" s="20" t="s">
        <v>29</v>
      </c>
      <c r="C2" s="70" t="s">
        <v>106</v>
      </c>
      <c r="D2" s="69"/>
      <c r="E2" s="21"/>
      <c r="F2" s="21"/>
      <c r="G2" s="21"/>
      <c r="H2" s="86">
        <v>11</v>
      </c>
      <c r="I2" s="87">
        <v>50</v>
      </c>
      <c r="J2" s="87">
        <v>10</v>
      </c>
      <c r="K2" s="121">
        <f>3*H2^(1/3)</f>
        <v>6.671940271707947</v>
      </c>
      <c r="L2" s="84"/>
      <c r="M2" s="84"/>
    </row>
    <row r="3" spans="1:36" x14ac:dyDescent="0.25">
      <c r="A3" s="80"/>
      <c r="B3" s="89" t="s">
        <v>31</v>
      </c>
      <c r="C3" s="70" t="s">
        <v>107</v>
      </c>
      <c r="D3" s="70"/>
      <c r="E3" s="26"/>
      <c r="F3" s="26"/>
      <c r="G3" s="26"/>
      <c r="H3" s="84"/>
      <c r="I3" s="84"/>
      <c r="J3" s="90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90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3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100.01582081512385</v>
      </c>
      <c r="B6" s="34">
        <f t="shared" ref="B6:B14" si="0">IF(H6&gt;$H$2,"",(ROW()-5))</f>
        <v>1</v>
      </c>
      <c r="C6" s="35" t="s">
        <v>49</v>
      </c>
      <c r="D6" s="35"/>
      <c r="E6" s="35"/>
      <c r="F6" s="35"/>
      <c r="G6" s="28"/>
      <c r="H6" s="95">
        <v>1</v>
      </c>
      <c r="I6" s="96">
        <f t="shared" ref="I6:I69" si="1">IF(H6&lt;$H$2+1,($I$2-($I$2-1)*(LOG(H6)/LOG($H$2))),"")</f>
        <v>50</v>
      </c>
      <c r="J6" s="95">
        <v>3</v>
      </c>
      <c r="K6" s="95">
        <f t="shared" ref="K6:K69" si="2">J6*$J$2</f>
        <v>30</v>
      </c>
      <c r="L6" s="97">
        <f>3*K2</f>
        <v>20.015820815123842</v>
      </c>
      <c r="M6" s="97">
        <f t="shared" ref="M6:M69" si="3">IF(I6&lt;&gt;"",K6+I6+L6,0)</f>
        <v>100.01582081512385</v>
      </c>
    </row>
    <row r="7" spans="1:36" ht="14.45" customHeight="1" x14ac:dyDescent="0.25">
      <c r="A7" s="98">
        <f t="shared" ref="A7:A37" si="4">M7</f>
        <v>69.179704053839387</v>
      </c>
      <c r="B7" s="40">
        <f t="shared" si="0"/>
        <v>2</v>
      </c>
      <c r="C7" s="41" t="s">
        <v>49</v>
      </c>
      <c r="D7" s="41"/>
      <c r="E7" s="41"/>
      <c r="F7" s="41"/>
      <c r="G7" s="28"/>
      <c r="H7" s="99">
        <v>2</v>
      </c>
      <c r="I7" s="100">
        <f t="shared" si="1"/>
        <v>35.835823510423495</v>
      </c>
      <c r="J7" s="99">
        <v>2</v>
      </c>
      <c r="K7" s="99">
        <f t="shared" si="2"/>
        <v>20</v>
      </c>
      <c r="L7" s="101">
        <f>2*K2</f>
        <v>13.343880543415894</v>
      </c>
      <c r="M7" s="101">
        <f t="shared" si="3"/>
        <v>69.179704053839387</v>
      </c>
    </row>
    <row r="8" spans="1:36" ht="14.45" customHeight="1" x14ac:dyDescent="0.25">
      <c r="A8" s="94">
        <f t="shared" si="4"/>
        <v>44.222251682132963</v>
      </c>
      <c r="B8" s="34">
        <f t="shared" si="0"/>
        <v>3</v>
      </c>
      <c r="C8" s="35" t="s">
        <v>49</v>
      </c>
      <c r="D8" s="35"/>
      <c r="E8" s="35"/>
      <c r="F8" s="35"/>
      <c r="G8" s="28"/>
      <c r="H8" s="95">
        <v>3</v>
      </c>
      <c r="I8" s="96">
        <f t="shared" si="1"/>
        <v>27.550311410425017</v>
      </c>
      <c r="J8" s="95">
        <v>1</v>
      </c>
      <c r="K8" s="95">
        <f t="shared" si="2"/>
        <v>10</v>
      </c>
      <c r="L8" s="97">
        <f>K2</f>
        <v>6.671940271707947</v>
      </c>
      <c r="M8" s="97">
        <f t="shared" si="3"/>
        <v>44.222251682132963</v>
      </c>
    </row>
    <row r="9" spans="1:36" s="85" customFormat="1" ht="14.45" customHeight="1" x14ac:dyDescent="0.25">
      <c r="A9" s="98">
        <f t="shared" si="4"/>
        <v>44.222251682132963</v>
      </c>
      <c r="B9" s="40">
        <f>IF(H9&gt;$H$2,"",3)</f>
        <v>3</v>
      </c>
      <c r="C9" s="41" t="s">
        <v>99</v>
      </c>
      <c r="D9" s="41"/>
      <c r="E9" s="41"/>
      <c r="F9" s="41"/>
      <c r="G9" s="28"/>
      <c r="H9" s="99">
        <v>3</v>
      </c>
      <c r="I9" s="100">
        <f t="shared" si="1"/>
        <v>27.550311410425017</v>
      </c>
      <c r="J9" s="99">
        <v>1</v>
      </c>
      <c r="K9" s="99">
        <f t="shared" si="2"/>
        <v>10</v>
      </c>
      <c r="L9" s="101">
        <f>K2</f>
        <v>6.671940271707947</v>
      </c>
      <c r="M9" s="101">
        <f t="shared" si="3"/>
        <v>44.222251682132963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4"/>
        <v>27.111800667909257</v>
      </c>
      <c r="B10" s="34">
        <f t="shared" si="0"/>
        <v>5</v>
      </c>
      <c r="C10" s="35" t="s">
        <v>49</v>
      </c>
      <c r="D10" s="35"/>
      <c r="E10" s="35"/>
      <c r="F10" s="35"/>
      <c r="G10" s="28"/>
      <c r="H10" s="95">
        <v>5</v>
      </c>
      <c r="I10" s="96">
        <f t="shared" si="1"/>
        <v>17.111800667909257</v>
      </c>
      <c r="J10" s="95">
        <f t="shared" ref="J10:J70" si="5">INT(LOG($H$2,2))-ROUNDUP(LOG(H10,2),0)+IF(OR($H$2=1,$H$2=2,$H$2=4,$H$2=8,$H$2=16,$H$2=32,$H$2=64,$H$2=128,$H$2=256),0,1)</f>
        <v>1</v>
      </c>
      <c r="K10" s="95">
        <f t="shared" si="2"/>
        <v>10</v>
      </c>
      <c r="L10" s="95"/>
      <c r="M10" s="97">
        <f t="shared" si="3"/>
        <v>27.111800667909257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4"/>
        <v>23.386134920848519</v>
      </c>
      <c r="B11" s="40">
        <f t="shared" si="0"/>
        <v>6</v>
      </c>
      <c r="C11" s="41" t="s">
        <v>49</v>
      </c>
      <c r="D11" s="41"/>
      <c r="E11" s="41"/>
      <c r="F11" s="41"/>
      <c r="G11" s="28"/>
      <c r="H11" s="99">
        <v>6</v>
      </c>
      <c r="I11" s="100">
        <f t="shared" si="1"/>
        <v>13.386134920848519</v>
      </c>
      <c r="J11" s="99">
        <f t="shared" si="5"/>
        <v>1</v>
      </c>
      <c r="K11" s="99">
        <f t="shared" si="2"/>
        <v>10</v>
      </c>
      <c r="L11" s="99"/>
      <c r="M11" s="101">
        <f t="shared" si="3"/>
        <v>23.386134920848519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4"/>
        <v>20.236129415094808</v>
      </c>
      <c r="B12" s="34">
        <f t="shared" si="0"/>
        <v>7</v>
      </c>
      <c r="C12" s="35" t="s">
        <v>20</v>
      </c>
      <c r="D12" s="35"/>
      <c r="E12" s="35"/>
      <c r="F12" s="35"/>
      <c r="G12" s="28"/>
      <c r="H12" s="95">
        <v>7</v>
      </c>
      <c r="I12" s="96">
        <f t="shared" si="1"/>
        <v>10.236129415094808</v>
      </c>
      <c r="J12" s="95">
        <f t="shared" si="5"/>
        <v>1</v>
      </c>
      <c r="K12" s="95">
        <f t="shared" si="2"/>
        <v>10</v>
      </c>
      <c r="L12" s="95"/>
      <c r="M12" s="97">
        <f t="shared" si="3"/>
        <v>20.236129415094808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4"/>
        <v>17.507470531270492</v>
      </c>
      <c r="B13" s="40">
        <f t="shared" si="0"/>
        <v>8</v>
      </c>
      <c r="C13" s="41" t="s">
        <v>19</v>
      </c>
      <c r="D13" s="41"/>
      <c r="E13" s="41"/>
      <c r="F13" s="41"/>
      <c r="G13" s="28"/>
      <c r="H13" s="99">
        <v>8</v>
      </c>
      <c r="I13" s="100">
        <f t="shared" si="1"/>
        <v>7.5074705312704921</v>
      </c>
      <c r="J13" s="99">
        <f t="shared" si="5"/>
        <v>1</v>
      </c>
      <c r="K13" s="99">
        <f t="shared" si="2"/>
        <v>10</v>
      </c>
      <c r="L13" s="99"/>
      <c r="M13" s="101">
        <f t="shared" si="3"/>
        <v>17.507470531270492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4"/>
        <v>5.1006228208500346</v>
      </c>
      <c r="B14" s="34">
        <f t="shared" si="0"/>
        <v>9</v>
      </c>
      <c r="C14" s="35" t="s">
        <v>23</v>
      </c>
      <c r="D14" s="35"/>
      <c r="E14" s="35"/>
      <c r="F14" s="35"/>
      <c r="G14" s="28"/>
      <c r="H14" s="95">
        <v>9</v>
      </c>
      <c r="I14" s="96">
        <f t="shared" si="1"/>
        <v>5.1006228208500346</v>
      </c>
      <c r="J14" s="95">
        <f t="shared" si="5"/>
        <v>0</v>
      </c>
      <c r="K14" s="95">
        <f t="shared" si="2"/>
        <v>0</v>
      </c>
      <c r="L14" s="95"/>
      <c r="M14" s="97">
        <f t="shared" si="3"/>
        <v>5.1006228208500346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4"/>
        <v>2.9476241783327595</v>
      </c>
      <c r="B15" s="40">
        <f t="shared" ref="B15:B65" si="6">IF(H15&gt;$H$2,"",(ROW()-5))</f>
        <v>10</v>
      </c>
      <c r="C15" s="41" t="s">
        <v>49</v>
      </c>
      <c r="D15" s="41"/>
      <c r="E15" s="41"/>
      <c r="F15" s="41"/>
      <c r="G15" s="28"/>
      <c r="H15" s="99">
        <v>10</v>
      </c>
      <c r="I15" s="100">
        <f t="shared" si="1"/>
        <v>2.9476241783327595</v>
      </c>
      <c r="J15" s="99">
        <f t="shared" si="5"/>
        <v>0</v>
      </c>
      <c r="K15" s="99">
        <f t="shared" si="2"/>
        <v>0</v>
      </c>
      <c r="L15" s="99"/>
      <c r="M15" s="101">
        <f t="shared" si="3"/>
        <v>2.9476241783327595</v>
      </c>
      <c r="X15" s="102"/>
      <c r="Z15" s="103"/>
      <c r="AA15" s="103"/>
    </row>
    <row r="16" spans="1:36" x14ac:dyDescent="0.25">
      <c r="A16" s="94">
        <f t="shared" si="4"/>
        <v>1</v>
      </c>
      <c r="B16" s="34">
        <f t="shared" si="6"/>
        <v>11</v>
      </c>
      <c r="C16" s="35" t="s">
        <v>22</v>
      </c>
      <c r="D16" s="35"/>
      <c r="E16" s="35"/>
      <c r="F16" s="35"/>
      <c r="G16" s="28"/>
      <c r="H16" s="95">
        <v>11</v>
      </c>
      <c r="I16" s="96">
        <f t="shared" si="1"/>
        <v>1</v>
      </c>
      <c r="J16" s="95">
        <f t="shared" si="5"/>
        <v>0</v>
      </c>
      <c r="K16" s="95">
        <f t="shared" si="2"/>
        <v>0</v>
      </c>
      <c r="L16" s="95"/>
      <c r="M16" s="97">
        <f t="shared" si="3"/>
        <v>1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4"/>
        <v>0</v>
      </c>
      <c r="B17" s="40" t="str">
        <f t="shared" si="6"/>
        <v/>
      </c>
      <c r="C17" s="41"/>
      <c r="D17" s="41"/>
      <c r="E17" s="41"/>
      <c r="F17" s="41"/>
      <c r="G17" s="28"/>
      <c r="H17" s="99">
        <v>12</v>
      </c>
      <c r="I17" s="100" t="str">
        <f t="shared" si="1"/>
        <v/>
      </c>
      <c r="J17" s="99">
        <f t="shared" si="5"/>
        <v>0</v>
      </c>
      <c r="K17" s="99">
        <f t="shared" si="2"/>
        <v>0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4" t="str">
        <f t="shared" si="6"/>
        <v/>
      </c>
      <c r="C18" s="35"/>
      <c r="D18" s="35"/>
      <c r="E18" s="35"/>
      <c r="F18" s="35"/>
      <c r="G18" s="28"/>
      <c r="H18" s="95">
        <v>13</v>
      </c>
      <c r="I18" s="96" t="str">
        <f t="shared" si="1"/>
        <v/>
      </c>
      <c r="J18" s="95">
        <f t="shared" si="5"/>
        <v>0</v>
      </c>
      <c r="K18" s="95">
        <f t="shared" si="2"/>
        <v>0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0" t="str">
        <f t="shared" si="6"/>
        <v/>
      </c>
      <c r="C19" s="41"/>
      <c r="D19" s="41"/>
      <c r="E19" s="41"/>
      <c r="F19" s="41"/>
      <c r="G19" s="28"/>
      <c r="H19" s="99">
        <v>14</v>
      </c>
      <c r="I19" s="100" t="str">
        <f t="shared" si="1"/>
        <v/>
      </c>
      <c r="J19" s="99">
        <f t="shared" si="5"/>
        <v>0</v>
      </c>
      <c r="K19" s="99">
        <f t="shared" si="2"/>
        <v>0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4" t="str">
        <f t="shared" si="6"/>
        <v/>
      </c>
      <c r="C20" s="35"/>
      <c r="D20" s="35"/>
      <c r="E20" s="35"/>
      <c r="F20" s="35"/>
      <c r="G20" s="28"/>
      <c r="H20" s="95">
        <v>15</v>
      </c>
      <c r="I20" s="96" t="str">
        <f t="shared" si="1"/>
        <v/>
      </c>
      <c r="J20" s="95">
        <f t="shared" si="5"/>
        <v>0</v>
      </c>
      <c r="K20" s="95">
        <f t="shared" si="2"/>
        <v>0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0" t="str">
        <f t="shared" si="6"/>
        <v/>
      </c>
      <c r="C21" s="41"/>
      <c r="D21" s="41"/>
      <c r="E21" s="41"/>
      <c r="F21" s="41"/>
      <c r="G21" s="28"/>
      <c r="H21" s="99">
        <v>16</v>
      </c>
      <c r="I21" s="100" t="str">
        <f t="shared" si="1"/>
        <v/>
      </c>
      <c r="J21" s="99">
        <f t="shared" si="5"/>
        <v>0</v>
      </c>
      <c r="K21" s="99">
        <f t="shared" si="2"/>
        <v>0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4" t="str">
        <f t="shared" si="6"/>
        <v/>
      </c>
      <c r="C22" s="35"/>
      <c r="D22" s="35"/>
      <c r="E22" s="35"/>
      <c r="F22" s="35"/>
      <c r="G22" s="28"/>
      <c r="H22" s="95">
        <v>17</v>
      </c>
      <c r="I22" s="96" t="str">
        <f t="shared" si="1"/>
        <v/>
      </c>
      <c r="J22" s="95">
        <f t="shared" si="5"/>
        <v>-1</v>
      </c>
      <c r="K22" s="95">
        <f t="shared" si="2"/>
        <v>-10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0" t="str">
        <f t="shared" si="6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99">
        <f t="shared" si="5"/>
        <v>-1</v>
      </c>
      <c r="K23" s="99">
        <f t="shared" si="2"/>
        <v>-10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4" t="str">
        <f t="shared" si="6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5">
        <f t="shared" si="5"/>
        <v>-1</v>
      </c>
      <c r="K24" s="95">
        <f t="shared" si="2"/>
        <v>-10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0" t="str">
        <f t="shared" si="6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99">
        <f t="shared" si="5"/>
        <v>-1</v>
      </c>
      <c r="K25" s="99">
        <f t="shared" si="2"/>
        <v>-10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4" t="str">
        <f t="shared" si="6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5">
        <f t="shared" si="5"/>
        <v>-1</v>
      </c>
      <c r="K26" s="95">
        <f t="shared" si="2"/>
        <v>-10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0" t="str">
        <f t="shared" si="6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99">
        <f t="shared" si="5"/>
        <v>-1</v>
      </c>
      <c r="K27" s="99">
        <f t="shared" si="2"/>
        <v>-10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4" t="str">
        <f t="shared" si="6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5">
        <f t="shared" si="5"/>
        <v>-1</v>
      </c>
      <c r="K28" s="95">
        <f t="shared" si="2"/>
        <v>-10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0" t="str">
        <f t="shared" si="6"/>
        <v/>
      </c>
      <c r="C29" s="41"/>
      <c r="D29" s="41"/>
      <c r="E29" s="41"/>
      <c r="F29" s="41"/>
      <c r="G29" s="80"/>
      <c r="H29" s="99">
        <v>24</v>
      </c>
      <c r="I29" s="100" t="str">
        <f t="shared" si="1"/>
        <v/>
      </c>
      <c r="J29" s="99">
        <f t="shared" si="5"/>
        <v>-1</v>
      </c>
      <c r="K29" s="99">
        <f t="shared" si="2"/>
        <v>-10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4" t="str">
        <f t="shared" si="6"/>
        <v/>
      </c>
      <c r="C30" s="35"/>
      <c r="D30" s="35"/>
      <c r="E30" s="35"/>
      <c r="F30" s="35"/>
      <c r="G30" s="80"/>
      <c r="H30" s="95">
        <v>25</v>
      </c>
      <c r="I30" s="96" t="str">
        <f t="shared" si="1"/>
        <v/>
      </c>
      <c r="J30" s="95">
        <f t="shared" si="5"/>
        <v>-1</v>
      </c>
      <c r="K30" s="95">
        <f t="shared" si="2"/>
        <v>-10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0" t="str">
        <f t="shared" si="6"/>
        <v/>
      </c>
      <c r="C31" s="41"/>
      <c r="D31" s="41"/>
      <c r="E31" s="41"/>
      <c r="F31" s="41"/>
      <c r="G31" s="80"/>
      <c r="H31" s="99">
        <v>26</v>
      </c>
      <c r="I31" s="100" t="str">
        <f t="shared" si="1"/>
        <v/>
      </c>
      <c r="J31" s="99">
        <f t="shared" si="5"/>
        <v>-1</v>
      </c>
      <c r="K31" s="99">
        <f t="shared" si="2"/>
        <v>-10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4" t="str">
        <f t="shared" si="6"/>
        <v/>
      </c>
      <c r="C32" s="35"/>
      <c r="D32" s="35"/>
      <c r="E32" s="35"/>
      <c r="F32" s="35"/>
      <c r="G32" s="80"/>
      <c r="H32" s="95">
        <v>27</v>
      </c>
      <c r="I32" s="96" t="str">
        <f t="shared" si="1"/>
        <v/>
      </c>
      <c r="J32" s="95">
        <f t="shared" si="5"/>
        <v>-1</v>
      </c>
      <c r="K32" s="95">
        <f t="shared" si="2"/>
        <v>-10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0" t="str">
        <f t="shared" si="6"/>
        <v/>
      </c>
      <c r="C33" s="41"/>
      <c r="D33" s="41"/>
      <c r="E33" s="41"/>
      <c r="F33" s="41"/>
      <c r="G33" s="80"/>
      <c r="H33" s="99">
        <v>28</v>
      </c>
      <c r="I33" s="100" t="str">
        <f t="shared" si="1"/>
        <v/>
      </c>
      <c r="J33" s="99">
        <f t="shared" si="5"/>
        <v>-1</v>
      </c>
      <c r="K33" s="99">
        <f t="shared" si="2"/>
        <v>-10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4" t="str">
        <f t="shared" si="6"/>
        <v/>
      </c>
      <c r="C34" s="35"/>
      <c r="D34" s="35"/>
      <c r="E34" s="35"/>
      <c r="F34" s="35"/>
      <c r="G34" s="80"/>
      <c r="H34" s="95">
        <v>29</v>
      </c>
      <c r="I34" s="96" t="str">
        <f t="shared" si="1"/>
        <v/>
      </c>
      <c r="J34" s="95">
        <f t="shared" si="5"/>
        <v>-1</v>
      </c>
      <c r="K34" s="95">
        <f t="shared" si="2"/>
        <v>-10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0" t="str">
        <f t="shared" si="6"/>
        <v/>
      </c>
      <c r="C35" s="41"/>
      <c r="D35" s="41"/>
      <c r="E35" s="41"/>
      <c r="F35" s="41"/>
      <c r="G35" s="80"/>
      <c r="H35" s="99">
        <v>30</v>
      </c>
      <c r="I35" s="100" t="str">
        <f t="shared" si="1"/>
        <v/>
      </c>
      <c r="J35" s="99">
        <f t="shared" si="5"/>
        <v>-1</v>
      </c>
      <c r="K35" s="99">
        <f t="shared" si="2"/>
        <v>-10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4" t="str">
        <f t="shared" si="6"/>
        <v/>
      </c>
      <c r="C36" s="35"/>
      <c r="D36" s="35"/>
      <c r="E36" s="35"/>
      <c r="F36" s="35"/>
      <c r="G36" s="80"/>
      <c r="H36" s="95">
        <v>31</v>
      </c>
      <c r="I36" s="96" t="str">
        <f t="shared" si="1"/>
        <v/>
      </c>
      <c r="J36" s="95">
        <f t="shared" si="5"/>
        <v>-1</v>
      </c>
      <c r="K36" s="95">
        <f t="shared" si="2"/>
        <v>-10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0" t="str">
        <f t="shared" si="6"/>
        <v/>
      </c>
      <c r="C37" s="41"/>
      <c r="D37" s="41"/>
      <c r="E37" s="41"/>
      <c r="F37" s="41"/>
      <c r="G37" s="80"/>
      <c r="H37" s="99">
        <v>32</v>
      </c>
      <c r="I37" s="100" t="str">
        <f t="shared" si="1"/>
        <v/>
      </c>
      <c r="J37" s="99">
        <f t="shared" si="5"/>
        <v>-1</v>
      </c>
      <c r="K37" s="99">
        <f t="shared" si="2"/>
        <v>-10</v>
      </c>
      <c r="L37" s="99"/>
      <c r="M37" s="101">
        <f t="shared" si="3"/>
        <v>0</v>
      </c>
    </row>
    <row r="38" spans="1:21" x14ac:dyDescent="0.25">
      <c r="A38" s="94"/>
      <c r="B38" s="34" t="str">
        <f t="shared" si="6"/>
        <v/>
      </c>
      <c r="C38" s="35"/>
      <c r="D38" s="35"/>
      <c r="E38" s="35"/>
      <c r="F38" s="35"/>
      <c r="G38" s="80"/>
      <c r="H38" s="95">
        <v>33</v>
      </c>
      <c r="I38" s="96" t="str">
        <f t="shared" si="1"/>
        <v/>
      </c>
      <c r="J38" s="95">
        <f t="shared" si="5"/>
        <v>-2</v>
      </c>
      <c r="K38" s="95">
        <f t="shared" si="2"/>
        <v>-20</v>
      </c>
      <c r="L38" s="95"/>
      <c r="M38" s="97">
        <f t="shared" si="3"/>
        <v>0</v>
      </c>
    </row>
    <row r="39" spans="1:21" x14ac:dyDescent="0.25">
      <c r="A39" s="98"/>
      <c r="B39" s="40" t="str">
        <f t="shared" si="6"/>
        <v/>
      </c>
      <c r="C39" s="41"/>
      <c r="D39" s="41"/>
      <c r="E39" s="41"/>
      <c r="F39" s="41"/>
      <c r="G39" s="80"/>
      <c r="H39" s="99">
        <v>34</v>
      </c>
      <c r="I39" s="100" t="str">
        <f t="shared" si="1"/>
        <v/>
      </c>
      <c r="J39" s="99">
        <f t="shared" si="5"/>
        <v>-2</v>
      </c>
      <c r="K39" s="99">
        <f t="shared" si="2"/>
        <v>-20</v>
      </c>
      <c r="L39" s="99"/>
      <c r="M39" s="101">
        <f t="shared" si="3"/>
        <v>0</v>
      </c>
    </row>
    <row r="40" spans="1:21" x14ac:dyDescent="0.25">
      <c r="A40" s="94"/>
      <c r="B40" s="34" t="str">
        <f t="shared" si="6"/>
        <v/>
      </c>
      <c r="C40" s="35"/>
      <c r="D40" s="35"/>
      <c r="E40" s="35"/>
      <c r="F40" s="35"/>
      <c r="G40" s="80"/>
      <c r="H40" s="95">
        <v>35</v>
      </c>
      <c r="I40" s="96" t="str">
        <f t="shared" si="1"/>
        <v/>
      </c>
      <c r="J40" s="95">
        <f t="shared" si="5"/>
        <v>-2</v>
      </c>
      <c r="K40" s="95">
        <f t="shared" si="2"/>
        <v>-20</v>
      </c>
      <c r="L40" s="95"/>
      <c r="M40" s="97">
        <f t="shared" si="3"/>
        <v>0</v>
      </c>
    </row>
    <row r="41" spans="1:21" x14ac:dyDescent="0.25">
      <c r="A41" s="98"/>
      <c r="B41" s="40" t="str">
        <f t="shared" si="6"/>
        <v/>
      </c>
      <c r="C41" s="41"/>
      <c r="D41" s="41"/>
      <c r="E41" s="41"/>
      <c r="F41" s="41"/>
      <c r="G41" s="80"/>
      <c r="H41" s="99">
        <v>36</v>
      </c>
      <c r="I41" s="100" t="str">
        <f t="shared" si="1"/>
        <v/>
      </c>
      <c r="J41" s="99">
        <f t="shared" si="5"/>
        <v>-2</v>
      </c>
      <c r="K41" s="99">
        <f t="shared" si="2"/>
        <v>-20</v>
      </c>
      <c r="L41" s="99"/>
      <c r="M41" s="101">
        <f t="shared" si="3"/>
        <v>0</v>
      </c>
      <c r="S41" s="111"/>
    </row>
    <row r="42" spans="1:21" x14ac:dyDescent="0.25">
      <c r="A42" s="94"/>
      <c r="B42" s="34" t="str">
        <f t="shared" si="6"/>
        <v/>
      </c>
      <c r="C42" s="35"/>
      <c r="D42" s="35"/>
      <c r="E42" s="35"/>
      <c r="F42" s="35"/>
      <c r="G42" s="80"/>
      <c r="H42" s="95">
        <v>37</v>
      </c>
      <c r="I42" s="96" t="str">
        <f t="shared" si="1"/>
        <v/>
      </c>
      <c r="J42" s="95">
        <f t="shared" si="5"/>
        <v>-2</v>
      </c>
      <c r="K42" s="95">
        <f t="shared" si="2"/>
        <v>-20</v>
      </c>
      <c r="L42" s="95"/>
      <c r="M42" s="97">
        <f t="shared" si="3"/>
        <v>0</v>
      </c>
    </row>
    <row r="43" spans="1:21" x14ac:dyDescent="0.25">
      <c r="A43" s="98"/>
      <c r="B43" s="40" t="str">
        <f t="shared" si="6"/>
        <v/>
      </c>
      <c r="C43" s="41"/>
      <c r="D43" s="41"/>
      <c r="E43" s="41"/>
      <c r="F43" s="41"/>
      <c r="G43" s="80"/>
      <c r="H43" s="99">
        <v>38</v>
      </c>
      <c r="I43" s="100" t="str">
        <f t="shared" si="1"/>
        <v/>
      </c>
      <c r="J43" s="99">
        <f t="shared" si="5"/>
        <v>-2</v>
      </c>
      <c r="K43" s="99">
        <f t="shared" si="2"/>
        <v>-20</v>
      </c>
      <c r="L43" s="99"/>
      <c r="M43" s="101">
        <f t="shared" si="3"/>
        <v>0</v>
      </c>
    </row>
    <row r="44" spans="1:21" x14ac:dyDescent="0.25">
      <c r="A44" s="94"/>
      <c r="B44" s="34" t="str">
        <f t="shared" si="6"/>
        <v/>
      </c>
      <c r="C44" s="35"/>
      <c r="D44" s="35"/>
      <c r="E44" s="35"/>
      <c r="F44" s="35"/>
      <c r="G44" s="80"/>
      <c r="H44" s="95">
        <v>39</v>
      </c>
      <c r="I44" s="96" t="str">
        <f t="shared" si="1"/>
        <v/>
      </c>
      <c r="J44" s="95">
        <f t="shared" si="5"/>
        <v>-2</v>
      </c>
      <c r="K44" s="95">
        <f t="shared" si="2"/>
        <v>-20</v>
      </c>
      <c r="L44" s="95"/>
      <c r="M44" s="97">
        <f t="shared" si="3"/>
        <v>0</v>
      </c>
    </row>
    <row r="45" spans="1:21" x14ac:dyDescent="0.25">
      <c r="A45" s="98"/>
      <c r="B45" s="40" t="str">
        <f t="shared" si="6"/>
        <v/>
      </c>
      <c r="C45" s="41"/>
      <c r="D45" s="41"/>
      <c r="E45" s="41"/>
      <c r="F45" s="41"/>
      <c r="G45" s="80"/>
      <c r="H45" s="99">
        <v>40</v>
      </c>
      <c r="I45" s="100" t="str">
        <f t="shared" si="1"/>
        <v/>
      </c>
      <c r="J45" s="99">
        <f t="shared" si="5"/>
        <v>-2</v>
      </c>
      <c r="K45" s="99">
        <f t="shared" si="2"/>
        <v>-20</v>
      </c>
      <c r="L45" s="99"/>
      <c r="M45" s="101">
        <f t="shared" si="3"/>
        <v>0</v>
      </c>
    </row>
    <row r="46" spans="1:21" x14ac:dyDescent="0.25">
      <c r="A46" s="94"/>
      <c r="B46" s="34" t="str">
        <f t="shared" si="6"/>
        <v/>
      </c>
      <c r="C46" s="35"/>
      <c r="D46" s="35"/>
      <c r="E46" s="35"/>
      <c r="F46" s="35"/>
      <c r="G46" s="80"/>
      <c r="H46" s="95">
        <v>41</v>
      </c>
      <c r="I46" s="96" t="str">
        <f t="shared" si="1"/>
        <v/>
      </c>
      <c r="J46" s="95">
        <f t="shared" si="5"/>
        <v>-2</v>
      </c>
      <c r="K46" s="95">
        <f t="shared" si="2"/>
        <v>-20</v>
      </c>
      <c r="L46" s="95"/>
      <c r="M46" s="97">
        <f t="shared" si="3"/>
        <v>0</v>
      </c>
      <c r="R46" s="80">
        <f>LOG($H$2,2)</f>
        <v>3.4594316186372978</v>
      </c>
      <c r="T46" s="85">
        <f>LOG(H38,2)</f>
        <v>5.0443941193584534</v>
      </c>
      <c r="U46" s="85">
        <f>R46-T46</f>
        <v>-1.5849625007211556</v>
      </c>
    </row>
    <row r="47" spans="1:21" x14ac:dyDescent="0.25">
      <c r="A47" s="98"/>
      <c r="B47" s="40" t="str">
        <f t="shared" si="6"/>
        <v/>
      </c>
      <c r="C47" s="41"/>
      <c r="D47" s="41"/>
      <c r="E47" s="41"/>
      <c r="F47" s="41"/>
      <c r="G47" s="80"/>
      <c r="H47" s="99">
        <v>42</v>
      </c>
      <c r="I47" s="100" t="str">
        <f t="shared" si="1"/>
        <v/>
      </c>
      <c r="J47" s="99">
        <f t="shared" si="5"/>
        <v>-2</v>
      </c>
      <c r="K47" s="99">
        <f t="shared" si="2"/>
        <v>-20</v>
      </c>
      <c r="L47" s="99"/>
      <c r="M47" s="101">
        <f t="shared" si="3"/>
        <v>0</v>
      </c>
    </row>
    <row r="48" spans="1:21" x14ac:dyDescent="0.25">
      <c r="A48" s="94"/>
      <c r="B48" s="34" t="str">
        <f t="shared" si="6"/>
        <v/>
      </c>
      <c r="C48" s="35"/>
      <c r="D48" s="35"/>
      <c r="E48" s="35"/>
      <c r="F48" s="35"/>
      <c r="G48" s="80"/>
      <c r="H48" s="95">
        <v>43</v>
      </c>
      <c r="I48" s="96" t="str">
        <f t="shared" si="1"/>
        <v/>
      </c>
      <c r="J48" s="95">
        <f t="shared" si="5"/>
        <v>-2</v>
      </c>
      <c r="K48" s="95">
        <f t="shared" si="2"/>
        <v>-20</v>
      </c>
      <c r="L48" s="95"/>
      <c r="M48" s="97">
        <f t="shared" si="3"/>
        <v>0</v>
      </c>
    </row>
    <row r="49" spans="1:13" x14ac:dyDescent="0.25">
      <c r="A49" s="98"/>
      <c r="B49" s="40" t="str">
        <f t="shared" si="6"/>
        <v/>
      </c>
      <c r="C49" s="41"/>
      <c r="D49" s="41"/>
      <c r="E49" s="41"/>
      <c r="F49" s="41"/>
      <c r="G49" s="80"/>
      <c r="H49" s="99">
        <v>44</v>
      </c>
      <c r="I49" s="100" t="str">
        <f t="shared" si="1"/>
        <v/>
      </c>
      <c r="J49" s="99">
        <f t="shared" si="5"/>
        <v>-2</v>
      </c>
      <c r="K49" s="99">
        <f t="shared" si="2"/>
        <v>-20</v>
      </c>
      <c r="L49" s="99"/>
      <c r="M49" s="101">
        <f t="shared" si="3"/>
        <v>0</v>
      </c>
    </row>
    <row r="50" spans="1:13" x14ac:dyDescent="0.25">
      <c r="A50" s="94"/>
      <c r="B50" s="34" t="str">
        <f t="shared" si="6"/>
        <v/>
      </c>
      <c r="C50" s="35"/>
      <c r="D50" s="35"/>
      <c r="E50" s="35"/>
      <c r="F50" s="35"/>
      <c r="G50" s="80"/>
      <c r="H50" s="95">
        <v>45</v>
      </c>
      <c r="I50" s="96" t="str">
        <f t="shared" si="1"/>
        <v/>
      </c>
      <c r="J50" s="95">
        <f t="shared" si="5"/>
        <v>-2</v>
      </c>
      <c r="K50" s="95">
        <f t="shared" si="2"/>
        <v>-20</v>
      </c>
      <c r="L50" s="95"/>
      <c r="M50" s="97">
        <f t="shared" si="3"/>
        <v>0</v>
      </c>
    </row>
    <row r="51" spans="1:13" x14ac:dyDescent="0.25">
      <c r="A51" s="98"/>
      <c r="B51" s="40" t="str">
        <f t="shared" si="6"/>
        <v/>
      </c>
      <c r="C51" s="41"/>
      <c r="D51" s="41"/>
      <c r="E51" s="41"/>
      <c r="F51" s="41"/>
      <c r="G51" s="80"/>
      <c r="H51" s="99">
        <v>46</v>
      </c>
      <c r="I51" s="100" t="str">
        <f t="shared" si="1"/>
        <v/>
      </c>
      <c r="J51" s="99">
        <f t="shared" si="5"/>
        <v>-2</v>
      </c>
      <c r="K51" s="99">
        <f t="shared" si="2"/>
        <v>-20</v>
      </c>
      <c r="L51" s="99"/>
      <c r="M51" s="101">
        <f t="shared" si="3"/>
        <v>0</v>
      </c>
    </row>
    <row r="52" spans="1:13" x14ac:dyDescent="0.25">
      <c r="A52" s="94"/>
      <c r="B52" s="34" t="str">
        <f t="shared" si="6"/>
        <v/>
      </c>
      <c r="C52" s="35"/>
      <c r="D52" s="35"/>
      <c r="E52" s="35"/>
      <c r="F52" s="35"/>
      <c r="G52" s="80"/>
      <c r="H52" s="95">
        <v>47</v>
      </c>
      <c r="I52" s="96" t="str">
        <f t="shared" si="1"/>
        <v/>
      </c>
      <c r="J52" s="95">
        <f t="shared" si="5"/>
        <v>-2</v>
      </c>
      <c r="K52" s="95">
        <f t="shared" si="2"/>
        <v>-20</v>
      </c>
      <c r="L52" s="95"/>
      <c r="M52" s="97">
        <f t="shared" si="3"/>
        <v>0</v>
      </c>
    </row>
    <row r="53" spans="1:13" x14ac:dyDescent="0.25">
      <c r="A53" s="98"/>
      <c r="B53" s="40" t="str">
        <f t="shared" si="6"/>
        <v/>
      </c>
      <c r="C53" s="41"/>
      <c r="D53" s="41"/>
      <c r="E53" s="41"/>
      <c r="F53" s="41"/>
      <c r="G53" s="80"/>
      <c r="H53" s="99">
        <v>48</v>
      </c>
      <c r="I53" s="100" t="str">
        <f t="shared" si="1"/>
        <v/>
      </c>
      <c r="J53" s="99">
        <f t="shared" si="5"/>
        <v>-2</v>
      </c>
      <c r="K53" s="99">
        <f t="shared" si="2"/>
        <v>-20</v>
      </c>
      <c r="L53" s="99"/>
      <c r="M53" s="101">
        <f t="shared" si="3"/>
        <v>0</v>
      </c>
    </row>
    <row r="54" spans="1:13" x14ac:dyDescent="0.25">
      <c r="A54" s="94"/>
      <c r="B54" s="34" t="str">
        <f t="shared" si="6"/>
        <v/>
      </c>
      <c r="C54" s="35"/>
      <c r="D54" s="35"/>
      <c r="E54" s="35"/>
      <c r="F54" s="35"/>
      <c r="G54" s="80"/>
      <c r="H54" s="95">
        <v>49</v>
      </c>
      <c r="I54" s="96" t="str">
        <f t="shared" si="1"/>
        <v/>
      </c>
      <c r="J54" s="95">
        <f t="shared" si="5"/>
        <v>-2</v>
      </c>
      <c r="K54" s="95">
        <f t="shared" si="2"/>
        <v>-20</v>
      </c>
      <c r="L54" s="95"/>
      <c r="M54" s="97">
        <f t="shared" si="3"/>
        <v>0</v>
      </c>
    </row>
    <row r="55" spans="1:13" x14ac:dyDescent="0.25">
      <c r="A55" s="98"/>
      <c r="B55" s="40" t="str">
        <f t="shared" si="6"/>
        <v/>
      </c>
      <c r="C55" s="41"/>
      <c r="D55" s="41"/>
      <c r="E55" s="41"/>
      <c r="F55" s="41"/>
      <c r="G55" s="80"/>
      <c r="H55" s="99">
        <v>50</v>
      </c>
      <c r="I55" s="100" t="str">
        <f t="shared" si="1"/>
        <v/>
      </c>
      <c r="J55" s="99">
        <f t="shared" si="5"/>
        <v>-2</v>
      </c>
      <c r="K55" s="99">
        <f t="shared" si="2"/>
        <v>-20</v>
      </c>
      <c r="L55" s="99"/>
      <c r="M55" s="101">
        <f t="shared" si="3"/>
        <v>0</v>
      </c>
    </row>
    <row r="56" spans="1:13" x14ac:dyDescent="0.25">
      <c r="A56" s="94"/>
      <c r="B56" s="34" t="str">
        <f t="shared" si="6"/>
        <v/>
      </c>
      <c r="C56" s="35"/>
      <c r="D56" s="35"/>
      <c r="E56" s="35"/>
      <c r="F56" s="35"/>
      <c r="G56" s="80"/>
      <c r="H56" s="95">
        <v>51</v>
      </c>
      <c r="I56" s="96" t="str">
        <f t="shared" si="1"/>
        <v/>
      </c>
      <c r="J56" s="95">
        <f t="shared" si="5"/>
        <v>-2</v>
      </c>
      <c r="K56" s="95">
        <f t="shared" si="2"/>
        <v>-20</v>
      </c>
      <c r="L56" s="95"/>
      <c r="M56" s="97">
        <f t="shared" si="3"/>
        <v>0</v>
      </c>
    </row>
    <row r="57" spans="1:13" x14ac:dyDescent="0.25">
      <c r="A57" s="98"/>
      <c r="B57" s="40" t="str">
        <f t="shared" si="6"/>
        <v/>
      </c>
      <c r="C57" s="41"/>
      <c r="D57" s="41"/>
      <c r="E57" s="41"/>
      <c r="F57" s="41"/>
      <c r="G57" s="80"/>
      <c r="H57" s="99">
        <v>52</v>
      </c>
      <c r="I57" s="100" t="str">
        <f t="shared" si="1"/>
        <v/>
      </c>
      <c r="J57" s="99">
        <f t="shared" si="5"/>
        <v>-2</v>
      </c>
      <c r="K57" s="99">
        <f t="shared" si="2"/>
        <v>-20</v>
      </c>
      <c r="L57" s="99"/>
      <c r="M57" s="101">
        <f t="shared" si="3"/>
        <v>0</v>
      </c>
    </row>
    <row r="58" spans="1:13" x14ac:dyDescent="0.25">
      <c r="A58" s="94"/>
      <c r="B58" s="34" t="str">
        <f t="shared" si="6"/>
        <v/>
      </c>
      <c r="C58" s="35"/>
      <c r="D58" s="35"/>
      <c r="E58" s="35"/>
      <c r="F58" s="35"/>
      <c r="G58" s="80"/>
      <c r="H58" s="95">
        <v>53</v>
      </c>
      <c r="I58" s="96" t="str">
        <f t="shared" si="1"/>
        <v/>
      </c>
      <c r="J58" s="95">
        <f t="shared" si="5"/>
        <v>-2</v>
      </c>
      <c r="K58" s="95">
        <f t="shared" si="2"/>
        <v>-20</v>
      </c>
      <c r="L58" s="95"/>
      <c r="M58" s="97">
        <f t="shared" si="3"/>
        <v>0</v>
      </c>
    </row>
    <row r="59" spans="1:13" x14ac:dyDescent="0.25">
      <c r="A59" s="98"/>
      <c r="B59" s="40" t="str">
        <f t="shared" si="6"/>
        <v/>
      </c>
      <c r="C59" s="41"/>
      <c r="D59" s="41"/>
      <c r="E59" s="41"/>
      <c r="F59" s="41"/>
      <c r="G59" s="80"/>
      <c r="H59" s="99">
        <v>54</v>
      </c>
      <c r="I59" s="100" t="str">
        <f t="shared" si="1"/>
        <v/>
      </c>
      <c r="J59" s="99">
        <f t="shared" si="5"/>
        <v>-2</v>
      </c>
      <c r="K59" s="99">
        <f t="shared" si="2"/>
        <v>-20</v>
      </c>
      <c r="L59" s="99"/>
      <c r="M59" s="101">
        <f t="shared" si="3"/>
        <v>0</v>
      </c>
    </row>
    <row r="60" spans="1:13" x14ac:dyDescent="0.25">
      <c r="A60" s="94"/>
      <c r="B60" s="34" t="str">
        <f t="shared" si="6"/>
        <v/>
      </c>
      <c r="C60" s="35"/>
      <c r="D60" s="35"/>
      <c r="E60" s="35"/>
      <c r="F60" s="35"/>
      <c r="G60" s="80"/>
      <c r="H60" s="95">
        <v>55</v>
      </c>
      <c r="I60" s="96" t="str">
        <f t="shared" si="1"/>
        <v/>
      </c>
      <c r="J60" s="95">
        <f t="shared" si="5"/>
        <v>-2</v>
      </c>
      <c r="K60" s="95">
        <f t="shared" si="2"/>
        <v>-20</v>
      </c>
      <c r="L60" s="95"/>
      <c r="M60" s="97">
        <f t="shared" si="3"/>
        <v>0</v>
      </c>
    </row>
    <row r="61" spans="1:13" x14ac:dyDescent="0.25">
      <c r="A61" s="98"/>
      <c r="B61" s="40" t="str">
        <f t="shared" si="6"/>
        <v/>
      </c>
      <c r="C61" s="41"/>
      <c r="D61" s="41"/>
      <c r="E61" s="41"/>
      <c r="F61" s="41"/>
      <c r="G61" s="80"/>
      <c r="H61" s="99">
        <v>56</v>
      </c>
      <c r="I61" s="100" t="str">
        <f t="shared" si="1"/>
        <v/>
      </c>
      <c r="J61" s="99">
        <f t="shared" si="5"/>
        <v>-2</v>
      </c>
      <c r="K61" s="99">
        <f t="shared" si="2"/>
        <v>-20</v>
      </c>
      <c r="L61" s="99"/>
      <c r="M61" s="101">
        <f t="shared" si="3"/>
        <v>0</v>
      </c>
    </row>
    <row r="62" spans="1:13" x14ac:dyDescent="0.25">
      <c r="A62" s="94"/>
      <c r="B62" s="34" t="str">
        <f t="shared" si="6"/>
        <v/>
      </c>
      <c r="C62" s="35"/>
      <c r="D62" s="35"/>
      <c r="E62" s="35"/>
      <c r="F62" s="35"/>
      <c r="G62" s="80"/>
      <c r="H62" s="95">
        <v>57</v>
      </c>
      <c r="I62" s="96" t="str">
        <f t="shared" si="1"/>
        <v/>
      </c>
      <c r="J62" s="95">
        <f t="shared" si="5"/>
        <v>-2</v>
      </c>
      <c r="K62" s="95">
        <f t="shared" si="2"/>
        <v>-20</v>
      </c>
      <c r="L62" s="95"/>
      <c r="M62" s="97">
        <f t="shared" si="3"/>
        <v>0</v>
      </c>
    </row>
    <row r="63" spans="1:13" x14ac:dyDescent="0.25">
      <c r="A63" s="98"/>
      <c r="B63" s="40" t="str">
        <f t="shared" si="6"/>
        <v/>
      </c>
      <c r="C63" s="41"/>
      <c r="D63" s="41"/>
      <c r="E63" s="41"/>
      <c r="F63" s="41"/>
      <c r="G63" s="80"/>
      <c r="H63" s="99">
        <v>58</v>
      </c>
      <c r="I63" s="100" t="str">
        <f t="shared" si="1"/>
        <v/>
      </c>
      <c r="J63" s="99">
        <f t="shared" si="5"/>
        <v>-2</v>
      </c>
      <c r="K63" s="99">
        <f t="shared" si="2"/>
        <v>-20</v>
      </c>
      <c r="L63" s="99"/>
      <c r="M63" s="101">
        <f t="shared" si="3"/>
        <v>0</v>
      </c>
    </row>
    <row r="64" spans="1:13" x14ac:dyDescent="0.25">
      <c r="A64" s="94"/>
      <c r="B64" s="34" t="str">
        <f t="shared" si="6"/>
        <v/>
      </c>
      <c r="C64" s="35"/>
      <c r="D64" s="35"/>
      <c r="E64" s="35"/>
      <c r="F64" s="35"/>
      <c r="G64" s="80"/>
      <c r="H64" s="95">
        <v>59</v>
      </c>
      <c r="I64" s="96" t="str">
        <f t="shared" si="1"/>
        <v/>
      </c>
      <c r="J64" s="95">
        <f t="shared" si="5"/>
        <v>-2</v>
      </c>
      <c r="K64" s="95">
        <f t="shared" si="2"/>
        <v>-20</v>
      </c>
      <c r="L64" s="95"/>
      <c r="M64" s="97">
        <f t="shared" si="3"/>
        <v>0</v>
      </c>
    </row>
    <row r="65" spans="1:13" x14ac:dyDescent="0.25">
      <c r="A65" s="98"/>
      <c r="B65" s="40" t="str">
        <f t="shared" si="6"/>
        <v/>
      </c>
      <c r="C65" s="41"/>
      <c r="D65" s="41"/>
      <c r="E65" s="41"/>
      <c r="F65" s="41"/>
      <c r="G65" s="80"/>
      <c r="H65" s="99">
        <v>60</v>
      </c>
      <c r="I65" s="100" t="str">
        <f t="shared" si="1"/>
        <v/>
      </c>
      <c r="J65" s="99">
        <f t="shared" si="5"/>
        <v>-2</v>
      </c>
      <c r="K65" s="99">
        <f t="shared" si="2"/>
        <v>-20</v>
      </c>
      <c r="L65" s="99"/>
      <c r="M65" s="101">
        <f t="shared" si="3"/>
        <v>0</v>
      </c>
    </row>
    <row r="66" spans="1:13" x14ac:dyDescent="0.25">
      <c r="A66" s="94"/>
      <c r="B66" s="34"/>
      <c r="G66" s="80"/>
      <c r="H66" s="95">
        <v>61</v>
      </c>
      <c r="I66" s="96" t="str">
        <f t="shared" si="1"/>
        <v/>
      </c>
      <c r="J66" s="95">
        <f t="shared" si="5"/>
        <v>-2</v>
      </c>
      <c r="K66" s="95">
        <f t="shared" si="2"/>
        <v>-20</v>
      </c>
      <c r="L66" s="95"/>
      <c r="M66" s="97">
        <f t="shared" si="3"/>
        <v>0</v>
      </c>
    </row>
    <row r="67" spans="1:13" x14ac:dyDescent="0.25">
      <c r="A67" s="98"/>
      <c r="B67" s="40"/>
      <c r="G67" s="80"/>
      <c r="H67" s="95">
        <v>62</v>
      </c>
      <c r="I67" s="96" t="str">
        <f t="shared" si="1"/>
        <v/>
      </c>
      <c r="J67" s="95">
        <f t="shared" si="5"/>
        <v>-2</v>
      </c>
      <c r="K67" s="95">
        <f t="shared" si="2"/>
        <v>-20</v>
      </c>
      <c r="L67" s="95"/>
      <c r="M67" s="97">
        <f t="shared" si="3"/>
        <v>0</v>
      </c>
    </row>
    <row r="68" spans="1:13" x14ac:dyDescent="0.25">
      <c r="A68" s="116"/>
      <c r="B68" s="34"/>
      <c r="G68" s="80"/>
      <c r="H68" s="95">
        <v>63</v>
      </c>
      <c r="I68" s="96" t="str">
        <f t="shared" si="1"/>
        <v/>
      </c>
      <c r="J68" s="95">
        <f t="shared" si="5"/>
        <v>-2</v>
      </c>
      <c r="K68" s="95">
        <f t="shared" si="2"/>
        <v>-20</v>
      </c>
      <c r="L68" s="95"/>
      <c r="M68" s="97">
        <f t="shared" si="3"/>
        <v>0</v>
      </c>
    </row>
    <row r="69" spans="1:13" x14ac:dyDescent="0.25">
      <c r="A69" s="116"/>
      <c r="B69" s="40"/>
      <c r="G69" s="80"/>
      <c r="H69" s="95">
        <v>64</v>
      </c>
      <c r="I69" s="96" t="str">
        <f t="shared" si="1"/>
        <v/>
      </c>
      <c r="J69" s="95">
        <f t="shared" si="5"/>
        <v>-2</v>
      </c>
      <c r="K69" s="95">
        <f t="shared" si="2"/>
        <v>-20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7">IF(H70&lt;$H$2+1,($I$2-($I$2-1)*(LOG(H70)/LOG($H$2))),"")</f>
        <v/>
      </c>
      <c r="J70" s="95">
        <f t="shared" si="5"/>
        <v>-3</v>
      </c>
      <c r="K70" s="95">
        <f t="shared" ref="K70:K133" si="8">J70*$J$2</f>
        <v>-30</v>
      </c>
      <c r="L70" s="95"/>
      <c r="M70" s="97">
        <f t="shared" ref="M70:M133" si="9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7"/>
        <v/>
      </c>
      <c r="J71" s="95">
        <f t="shared" ref="J71:J134" si="10">INT(LOG($H$2,2))-ROUNDUP(LOG(H71,2),0)+IF(OR($H$2=1,$H$2=2,$H$2=4,$H$2=8,$H$2=16,$H$2=32,$H$2=64,$H$2=128,$H$2=256),0,1)</f>
        <v>-3</v>
      </c>
      <c r="K71" s="95">
        <f t="shared" si="8"/>
        <v>-30</v>
      </c>
      <c r="L71" s="95"/>
      <c r="M71" s="97">
        <f t="shared" si="9"/>
        <v>0</v>
      </c>
    </row>
    <row r="72" spans="1:13" x14ac:dyDescent="0.25">
      <c r="A72" s="116"/>
      <c r="G72" s="80"/>
      <c r="H72" s="95">
        <v>67</v>
      </c>
      <c r="I72" s="96" t="str">
        <f t="shared" si="7"/>
        <v/>
      </c>
      <c r="J72" s="95">
        <f t="shared" si="10"/>
        <v>-3</v>
      </c>
      <c r="K72" s="95">
        <f t="shared" si="8"/>
        <v>-30</v>
      </c>
      <c r="L72" s="95"/>
      <c r="M72" s="97">
        <f t="shared" si="9"/>
        <v>0</v>
      </c>
    </row>
    <row r="73" spans="1:13" x14ac:dyDescent="0.25">
      <c r="A73" s="116"/>
      <c r="G73" s="80"/>
      <c r="H73" s="95">
        <v>68</v>
      </c>
      <c r="I73" s="96" t="str">
        <f t="shared" si="7"/>
        <v/>
      </c>
      <c r="J73" s="95">
        <f t="shared" si="10"/>
        <v>-3</v>
      </c>
      <c r="K73" s="95">
        <f t="shared" si="8"/>
        <v>-30</v>
      </c>
      <c r="L73" s="95"/>
      <c r="M73" s="97">
        <f t="shared" si="9"/>
        <v>0</v>
      </c>
    </row>
    <row r="74" spans="1:13" x14ac:dyDescent="0.25">
      <c r="A74" s="116"/>
      <c r="G74" s="80"/>
      <c r="H74" s="95">
        <v>69</v>
      </c>
      <c r="I74" s="96" t="str">
        <f t="shared" si="7"/>
        <v/>
      </c>
      <c r="J74" s="95">
        <f t="shared" si="10"/>
        <v>-3</v>
      </c>
      <c r="K74" s="95">
        <f t="shared" si="8"/>
        <v>-30</v>
      </c>
      <c r="L74" s="95"/>
      <c r="M74" s="97">
        <f t="shared" si="9"/>
        <v>0</v>
      </c>
    </row>
    <row r="75" spans="1:13" x14ac:dyDescent="0.25">
      <c r="A75" s="116"/>
      <c r="G75" s="80"/>
      <c r="H75" s="95">
        <v>70</v>
      </c>
      <c r="I75" s="96" t="str">
        <f t="shared" si="7"/>
        <v/>
      </c>
      <c r="J75" s="95">
        <f t="shared" si="10"/>
        <v>-3</v>
      </c>
      <c r="K75" s="95">
        <f t="shared" si="8"/>
        <v>-30</v>
      </c>
      <c r="L75" s="95"/>
      <c r="M75" s="97">
        <f t="shared" si="9"/>
        <v>0</v>
      </c>
    </row>
    <row r="76" spans="1:13" x14ac:dyDescent="0.25">
      <c r="A76" s="116"/>
      <c r="G76" s="80"/>
      <c r="H76" s="95">
        <v>71</v>
      </c>
      <c r="I76" s="96" t="str">
        <f t="shared" si="7"/>
        <v/>
      </c>
      <c r="J76" s="95">
        <f t="shared" si="10"/>
        <v>-3</v>
      </c>
      <c r="K76" s="95">
        <f t="shared" si="8"/>
        <v>-30</v>
      </c>
      <c r="L76" s="95"/>
      <c r="M76" s="97">
        <f t="shared" si="9"/>
        <v>0</v>
      </c>
    </row>
    <row r="77" spans="1:13" x14ac:dyDescent="0.25">
      <c r="A77" s="116"/>
      <c r="G77" s="80"/>
      <c r="H77" s="95">
        <v>72</v>
      </c>
      <c r="I77" s="96" t="str">
        <f t="shared" si="7"/>
        <v/>
      </c>
      <c r="J77" s="95">
        <f t="shared" si="10"/>
        <v>-3</v>
      </c>
      <c r="K77" s="95">
        <f t="shared" si="8"/>
        <v>-30</v>
      </c>
      <c r="L77" s="95"/>
      <c r="M77" s="97">
        <f t="shared" si="9"/>
        <v>0</v>
      </c>
    </row>
    <row r="78" spans="1:13" x14ac:dyDescent="0.25">
      <c r="A78" s="116"/>
      <c r="G78" s="80"/>
      <c r="H78" s="95">
        <v>73</v>
      </c>
      <c r="I78" s="96" t="str">
        <f t="shared" si="7"/>
        <v/>
      </c>
      <c r="J78" s="95">
        <f t="shared" si="10"/>
        <v>-3</v>
      </c>
      <c r="K78" s="95">
        <f t="shared" si="8"/>
        <v>-30</v>
      </c>
      <c r="L78" s="95"/>
      <c r="M78" s="97">
        <f t="shared" si="9"/>
        <v>0</v>
      </c>
    </row>
    <row r="79" spans="1:13" x14ac:dyDescent="0.25">
      <c r="A79" s="116"/>
      <c r="G79" s="80"/>
      <c r="H79" s="95">
        <v>74</v>
      </c>
      <c r="I79" s="96" t="str">
        <f t="shared" si="7"/>
        <v/>
      </c>
      <c r="J79" s="95">
        <f t="shared" si="10"/>
        <v>-3</v>
      </c>
      <c r="K79" s="95">
        <f t="shared" si="8"/>
        <v>-30</v>
      </c>
      <c r="L79" s="95"/>
      <c r="M79" s="97">
        <f t="shared" si="9"/>
        <v>0</v>
      </c>
    </row>
    <row r="80" spans="1:13" x14ac:dyDescent="0.25">
      <c r="A80" s="116"/>
      <c r="G80" s="80"/>
      <c r="H80" s="95">
        <v>75</v>
      </c>
      <c r="I80" s="96" t="str">
        <f t="shared" si="7"/>
        <v/>
      </c>
      <c r="J80" s="95">
        <f t="shared" si="10"/>
        <v>-3</v>
      </c>
      <c r="K80" s="95">
        <f t="shared" si="8"/>
        <v>-30</v>
      </c>
      <c r="L80" s="95"/>
      <c r="M80" s="97">
        <f t="shared" si="9"/>
        <v>0</v>
      </c>
    </row>
    <row r="81" spans="1:13" x14ac:dyDescent="0.25">
      <c r="A81" s="116"/>
      <c r="G81" s="80"/>
      <c r="H81" s="95">
        <v>76</v>
      </c>
      <c r="I81" s="96" t="str">
        <f t="shared" si="7"/>
        <v/>
      </c>
      <c r="J81" s="95">
        <f t="shared" si="10"/>
        <v>-3</v>
      </c>
      <c r="K81" s="95">
        <f t="shared" si="8"/>
        <v>-30</v>
      </c>
      <c r="L81" s="95"/>
      <c r="M81" s="97">
        <f t="shared" si="9"/>
        <v>0</v>
      </c>
    </row>
    <row r="82" spans="1:13" x14ac:dyDescent="0.25">
      <c r="A82" s="116"/>
      <c r="G82" s="80"/>
      <c r="H82" s="95">
        <v>77</v>
      </c>
      <c r="I82" s="96" t="str">
        <f t="shared" si="7"/>
        <v/>
      </c>
      <c r="J82" s="95">
        <f t="shared" si="10"/>
        <v>-3</v>
      </c>
      <c r="K82" s="95">
        <f t="shared" si="8"/>
        <v>-30</v>
      </c>
      <c r="L82" s="95"/>
      <c r="M82" s="97">
        <f t="shared" si="9"/>
        <v>0</v>
      </c>
    </row>
    <row r="83" spans="1:13" x14ac:dyDescent="0.25">
      <c r="A83" s="116"/>
      <c r="G83" s="80"/>
      <c r="H83" s="95">
        <v>78</v>
      </c>
      <c r="I83" s="96" t="str">
        <f t="shared" si="7"/>
        <v/>
      </c>
      <c r="J83" s="95">
        <f t="shared" si="10"/>
        <v>-3</v>
      </c>
      <c r="K83" s="95">
        <f t="shared" si="8"/>
        <v>-30</v>
      </c>
      <c r="L83" s="95"/>
      <c r="M83" s="97">
        <f t="shared" si="9"/>
        <v>0</v>
      </c>
    </row>
    <row r="84" spans="1:13" x14ac:dyDescent="0.25">
      <c r="A84" s="116"/>
      <c r="G84" s="80"/>
      <c r="H84" s="95">
        <v>79</v>
      </c>
      <c r="I84" s="96" t="str">
        <f t="shared" si="7"/>
        <v/>
      </c>
      <c r="J84" s="95">
        <f t="shared" si="10"/>
        <v>-3</v>
      </c>
      <c r="K84" s="95">
        <f t="shared" si="8"/>
        <v>-30</v>
      </c>
      <c r="L84" s="95"/>
      <c r="M84" s="97">
        <f t="shared" si="9"/>
        <v>0</v>
      </c>
    </row>
    <row r="85" spans="1:13" x14ac:dyDescent="0.25">
      <c r="A85" s="116"/>
      <c r="G85" s="80"/>
      <c r="H85" s="95">
        <v>80</v>
      </c>
      <c r="I85" s="96" t="str">
        <f t="shared" si="7"/>
        <v/>
      </c>
      <c r="J85" s="95">
        <f t="shared" si="10"/>
        <v>-3</v>
      </c>
      <c r="K85" s="95">
        <f t="shared" si="8"/>
        <v>-30</v>
      </c>
      <c r="L85" s="95"/>
      <c r="M85" s="97">
        <f t="shared" si="9"/>
        <v>0</v>
      </c>
    </row>
    <row r="86" spans="1:13" x14ac:dyDescent="0.25">
      <c r="A86" s="116"/>
      <c r="G86" s="80"/>
      <c r="H86" s="95">
        <v>81</v>
      </c>
      <c r="I86" s="96" t="str">
        <f t="shared" si="7"/>
        <v/>
      </c>
      <c r="J86" s="95">
        <f t="shared" si="10"/>
        <v>-3</v>
      </c>
      <c r="K86" s="95">
        <f t="shared" si="8"/>
        <v>-30</v>
      </c>
      <c r="L86" s="95"/>
      <c r="M86" s="97">
        <f t="shared" si="9"/>
        <v>0</v>
      </c>
    </row>
    <row r="87" spans="1:13" x14ac:dyDescent="0.25">
      <c r="A87" s="116"/>
      <c r="G87" s="80"/>
      <c r="H87" s="95">
        <v>82</v>
      </c>
      <c r="I87" s="96" t="str">
        <f t="shared" si="7"/>
        <v/>
      </c>
      <c r="J87" s="95">
        <f t="shared" si="10"/>
        <v>-3</v>
      </c>
      <c r="K87" s="95">
        <f t="shared" si="8"/>
        <v>-30</v>
      </c>
      <c r="L87" s="95"/>
      <c r="M87" s="97">
        <f t="shared" si="9"/>
        <v>0</v>
      </c>
    </row>
    <row r="88" spans="1:13" x14ac:dyDescent="0.25">
      <c r="A88" s="116"/>
      <c r="G88" s="80"/>
      <c r="H88" s="95">
        <v>83</v>
      </c>
      <c r="I88" s="96" t="str">
        <f t="shared" si="7"/>
        <v/>
      </c>
      <c r="J88" s="95">
        <f t="shared" si="10"/>
        <v>-3</v>
      </c>
      <c r="K88" s="95">
        <f t="shared" si="8"/>
        <v>-30</v>
      </c>
      <c r="L88" s="95"/>
      <c r="M88" s="97">
        <f t="shared" si="9"/>
        <v>0</v>
      </c>
    </row>
    <row r="89" spans="1:13" x14ac:dyDescent="0.25">
      <c r="A89" s="116"/>
      <c r="G89" s="80"/>
      <c r="H89" s="95">
        <v>84</v>
      </c>
      <c r="I89" s="96" t="str">
        <f t="shared" si="7"/>
        <v/>
      </c>
      <c r="J89" s="95">
        <f t="shared" si="10"/>
        <v>-3</v>
      </c>
      <c r="K89" s="95">
        <f t="shared" si="8"/>
        <v>-30</v>
      </c>
      <c r="L89" s="95"/>
      <c r="M89" s="97">
        <f t="shared" si="9"/>
        <v>0</v>
      </c>
    </row>
    <row r="90" spans="1:13" x14ac:dyDescent="0.25">
      <c r="A90" s="116"/>
      <c r="G90" s="80"/>
      <c r="H90" s="95">
        <v>85</v>
      </c>
      <c r="I90" s="96" t="str">
        <f t="shared" si="7"/>
        <v/>
      </c>
      <c r="J90" s="95">
        <f t="shared" si="10"/>
        <v>-3</v>
      </c>
      <c r="K90" s="95">
        <f t="shared" si="8"/>
        <v>-30</v>
      </c>
      <c r="L90" s="95"/>
      <c r="M90" s="97">
        <f t="shared" si="9"/>
        <v>0</v>
      </c>
    </row>
    <row r="91" spans="1:13" x14ac:dyDescent="0.25">
      <c r="A91" s="116"/>
      <c r="G91" s="80"/>
      <c r="H91" s="95">
        <v>86</v>
      </c>
      <c r="I91" s="96" t="str">
        <f t="shared" si="7"/>
        <v/>
      </c>
      <c r="J91" s="95">
        <f t="shared" si="10"/>
        <v>-3</v>
      </c>
      <c r="K91" s="95">
        <f t="shared" si="8"/>
        <v>-30</v>
      </c>
      <c r="L91" s="95"/>
      <c r="M91" s="97">
        <f t="shared" si="9"/>
        <v>0</v>
      </c>
    </row>
    <row r="92" spans="1:13" x14ac:dyDescent="0.25">
      <c r="A92" s="116"/>
      <c r="G92" s="80"/>
      <c r="H92" s="95">
        <v>87</v>
      </c>
      <c r="I92" s="96" t="str">
        <f t="shared" si="7"/>
        <v/>
      </c>
      <c r="J92" s="95">
        <f t="shared" si="10"/>
        <v>-3</v>
      </c>
      <c r="K92" s="95">
        <f t="shared" si="8"/>
        <v>-30</v>
      </c>
      <c r="L92" s="95"/>
      <c r="M92" s="97">
        <f t="shared" si="9"/>
        <v>0</v>
      </c>
    </row>
    <row r="93" spans="1:13" x14ac:dyDescent="0.25">
      <c r="A93" s="116"/>
      <c r="G93" s="80"/>
      <c r="H93" s="95">
        <v>88</v>
      </c>
      <c r="I93" s="96" t="str">
        <f t="shared" si="7"/>
        <v/>
      </c>
      <c r="J93" s="95">
        <f t="shared" si="10"/>
        <v>-3</v>
      </c>
      <c r="K93" s="95">
        <f t="shared" si="8"/>
        <v>-30</v>
      </c>
      <c r="L93" s="95"/>
      <c r="M93" s="97">
        <f t="shared" si="9"/>
        <v>0</v>
      </c>
    </row>
    <row r="94" spans="1:13" x14ac:dyDescent="0.25">
      <c r="A94" s="116"/>
      <c r="G94" s="80"/>
      <c r="H94" s="95">
        <v>89</v>
      </c>
      <c r="I94" s="96" t="str">
        <f t="shared" si="7"/>
        <v/>
      </c>
      <c r="J94" s="95">
        <f t="shared" si="10"/>
        <v>-3</v>
      </c>
      <c r="K94" s="95">
        <f t="shared" si="8"/>
        <v>-30</v>
      </c>
      <c r="L94" s="95"/>
      <c r="M94" s="97">
        <f t="shared" si="9"/>
        <v>0</v>
      </c>
    </row>
    <row r="95" spans="1:13" x14ac:dyDescent="0.25">
      <c r="A95" s="116"/>
      <c r="G95" s="80"/>
      <c r="H95" s="95">
        <v>90</v>
      </c>
      <c r="I95" s="96" t="str">
        <f t="shared" si="7"/>
        <v/>
      </c>
      <c r="J95" s="95">
        <f t="shared" si="10"/>
        <v>-3</v>
      </c>
      <c r="K95" s="95">
        <f t="shared" si="8"/>
        <v>-30</v>
      </c>
      <c r="L95" s="95"/>
      <c r="M95" s="97">
        <f t="shared" si="9"/>
        <v>0</v>
      </c>
    </row>
    <row r="96" spans="1:13" x14ac:dyDescent="0.25">
      <c r="A96" s="116"/>
      <c r="G96" s="80"/>
      <c r="H96" s="95">
        <v>91</v>
      </c>
      <c r="I96" s="96" t="str">
        <f t="shared" si="7"/>
        <v/>
      </c>
      <c r="J96" s="95">
        <f t="shared" si="10"/>
        <v>-3</v>
      </c>
      <c r="K96" s="95">
        <f t="shared" si="8"/>
        <v>-30</v>
      </c>
      <c r="L96" s="95"/>
      <c r="M96" s="97">
        <f t="shared" si="9"/>
        <v>0</v>
      </c>
    </row>
    <row r="97" spans="1:13" x14ac:dyDescent="0.25">
      <c r="A97" s="116"/>
      <c r="G97" s="80"/>
      <c r="H97" s="95">
        <v>92</v>
      </c>
      <c r="I97" s="96" t="str">
        <f t="shared" si="7"/>
        <v/>
      </c>
      <c r="J97" s="95">
        <f t="shared" si="10"/>
        <v>-3</v>
      </c>
      <c r="K97" s="95">
        <f t="shared" si="8"/>
        <v>-30</v>
      </c>
      <c r="L97" s="95"/>
      <c r="M97" s="97">
        <f t="shared" si="9"/>
        <v>0</v>
      </c>
    </row>
    <row r="98" spans="1:13" x14ac:dyDescent="0.25">
      <c r="A98" s="116"/>
      <c r="G98" s="80"/>
      <c r="H98" s="95">
        <v>93</v>
      </c>
      <c r="I98" s="96" t="str">
        <f t="shared" si="7"/>
        <v/>
      </c>
      <c r="J98" s="95">
        <f t="shared" si="10"/>
        <v>-3</v>
      </c>
      <c r="K98" s="95">
        <f t="shared" si="8"/>
        <v>-30</v>
      </c>
      <c r="L98" s="95"/>
      <c r="M98" s="97">
        <f t="shared" si="9"/>
        <v>0</v>
      </c>
    </row>
    <row r="99" spans="1:13" x14ac:dyDescent="0.25">
      <c r="A99" s="116"/>
      <c r="G99" s="80"/>
      <c r="H99" s="95">
        <v>94</v>
      </c>
      <c r="I99" s="96" t="str">
        <f t="shared" si="7"/>
        <v/>
      </c>
      <c r="J99" s="95">
        <f t="shared" si="10"/>
        <v>-3</v>
      </c>
      <c r="K99" s="95">
        <f t="shared" si="8"/>
        <v>-30</v>
      </c>
      <c r="L99" s="95"/>
      <c r="M99" s="97">
        <f t="shared" si="9"/>
        <v>0</v>
      </c>
    </row>
    <row r="100" spans="1:13" x14ac:dyDescent="0.25">
      <c r="A100" s="116"/>
      <c r="G100" s="80"/>
      <c r="H100" s="95">
        <v>95</v>
      </c>
      <c r="I100" s="96" t="str">
        <f t="shared" si="7"/>
        <v/>
      </c>
      <c r="J100" s="95">
        <f t="shared" si="10"/>
        <v>-3</v>
      </c>
      <c r="K100" s="95">
        <f t="shared" si="8"/>
        <v>-30</v>
      </c>
      <c r="L100" s="95"/>
      <c r="M100" s="97">
        <f t="shared" si="9"/>
        <v>0</v>
      </c>
    </row>
    <row r="101" spans="1:13" x14ac:dyDescent="0.25">
      <c r="A101" s="116"/>
      <c r="G101" s="80"/>
      <c r="H101" s="95">
        <v>96</v>
      </c>
      <c r="I101" s="96" t="str">
        <f t="shared" si="7"/>
        <v/>
      </c>
      <c r="J101" s="95">
        <f t="shared" si="10"/>
        <v>-3</v>
      </c>
      <c r="K101" s="95">
        <f t="shared" si="8"/>
        <v>-30</v>
      </c>
      <c r="L101" s="95"/>
      <c r="M101" s="97">
        <f t="shared" si="9"/>
        <v>0</v>
      </c>
    </row>
    <row r="102" spans="1:13" x14ac:dyDescent="0.25">
      <c r="A102" s="116"/>
      <c r="G102" s="80"/>
      <c r="H102" s="95">
        <v>97</v>
      </c>
      <c r="I102" s="96" t="str">
        <f t="shared" si="7"/>
        <v/>
      </c>
      <c r="J102" s="95">
        <f t="shared" si="10"/>
        <v>-3</v>
      </c>
      <c r="K102" s="95">
        <f t="shared" si="8"/>
        <v>-30</v>
      </c>
      <c r="L102" s="95"/>
      <c r="M102" s="97">
        <f t="shared" si="9"/>
        <v>0</v>
      </c>
    </row>
    <row r="103" spans="1:13" x14ac:dyDescent="0.25">
      <c r="A103" s="116"/>
      <c r="G103" s="80"/>
      <c r="H103" s="95">
        <v>98</v>
      </c>
      <c r="I103" s="96" t="str">
        <f t="shared" si="7"/>
        <v/>
      </c>
      <c r="J103" s="95">
        <f t="shared" si="10"/>
        <v>-3</v>
      </c>
      <c r="K103" s="95">
        <f t="shared" si="8"/>
        <v>-30</v>
      </c>
      <c r="L103" s="95"/>
      <c r="M103" s="97">
        <f t="shared" si="9"/>
        <v>0</v>
      </c>
    </row>
    <row r="104" spans="1:13" x14ac:dyDescent="0.25">
      <c r="A104" s="116"/>
      <c r="G104" s="80"/>
      <c r="H104" s="95">
        <v>99</v>
      </c>
      <c r="I104" s="96" t="str">
        <f t="shared" si="7"/>
        <v/>
      </c>
      <c r="J104" s="95">
        <f t="shared" si="10"/>
        <v>-3</v>
      </c>
      <c r="K104" s="95">
        <f t="shared" si="8"/>
        <v>-30</v>
      </c>
      <c r="L104" s="95"/>
      <c r="M104" s="97">
        <f t="shared" si="9"/>
        <v>0</v>
      </c>
    </row>
    <row r="105" spans="1:13" x14ac:dyDescent="0.25">
      <c r="A105" s="116"/>
      <c r="G105" s="80"/>
      <c r="H105" s="95">
        <v>100</v>
      </c>
      <c r="I105" s="96" t="str">
        <f t="shared" si="7"/>
        <v/>
      </c>
      <c r="J105" s="95">
        <f t="shared" si="10"/>
        <v>-3</v>
      </c>
      <c r="K105" s="95">
        <f t="shared" si="8"/>
        <v>-30</v>
      </c>
      <c r="L105" s="95"/>
      <c r="M105" s="97">
        <f t="shared" si="9"/>
        <v>0</v>
      </c>
    </row>
    <row r="106" spans="1:13" x14ac:dyDescent="0.25">
      <c r="A106" s="116"/>
      <c r="G106" s="80"/>
      <c r="H106" s="95">
        <v>101</v>
      </c>
      <c r="I106" s="96" t="str">
        <f t="shared" si="7"/>
        <v/>
      </c>
      <c r="J106" s="95">
        <f t="shared" si="10"/>
        <v>-3</v>
      </c>
      <c r="K106" s="95">
        <f t="shared" si="8"/>
        <v>-30</v>
      </c>
      <c r="L106" s="95"/>
      <c r="M106" s="97">
        <f t="shared" si="9"/>
        <v>0</v>
      </c>
    </row>
    <row r="107" spans="1:13" x14ac:dyDescent="0.25">
      <c r="A107" s="116"/>
      <c r="G107" s="80"/>
      <c r="H107" s="95">
        <v>102</v>
      </c>
      <c r="I107" s="96" t="str">
        <f t="shared" si="7"/>
        <v/>
      </c>
      <c r="J107" s="95">
        <f t="shared" si="10"/>
        <v>-3</v>
      </c>
      <c r="K107" s="95">
        <f t="shared" si="8"/>
        <v>-30</v>
      </c>
      <c r="L107" s="95"/>
      <c r="M107" s="97">
        <f t="shared" si="9"/>
        <v>0</v>
      </c>
    </row>
    <row r="108" spans="1:13" x14ac:dyDescent="0.25">
      <c r="A108" s="116"/>
      <c r="G108" s="80"/>
      <c r="H108" s="95">
        <v>103</v>
      </c>
      <c r="I108" s="96" t="str">
        <f t="shared" si="7"/>
        <v/>
      </c>
      <c r="J108" s="95">
        <f t="shared" si="10"/>
        <v>-3</v>
      </c>
      <c r="K108" s="95">
        <f t="shared" si="8"/>
        <v>-30</v>
      </c>
      <c r="L108" s="95"/>
      <c r="M108" s="97">
        <f t="shared" si="9"/>
        <v>0</v>
      </c>
    </row>
    <row r="109" spans="1:13" x14ac:dyDescent="0.25">
      <c r="A109" s="116"/>
      <c r="G109" s="80"/>
      <c r="H109" s="95">
        <v>104</v>
      </c>
      <c r="I109" s="96" t="str">
        <f t="shared" si="7"/>
        <v/>
      </c>
      <c r="J109" s="95">
        <f t="shared" si="10"/>
        <v>-3</v>
      </c>
      <c r="K109" s="95">
        <f t="shared" si="8"/>
        <v>-30</v>
      </c>
      <c r="L109" s="95"/>
      <c r="M109" s="97">
        <f t="shared" si="9"/>
        <v>0</v>
      </c>
    </row>
    <row r="110" spans="1:13" x14ac:dyDescent="0.25">
      <c r="A110" s="116"/>
      <c r="G110" s="80"/>
      <c r="H110" s="95">
        <v>105</v>
      </c>
      <c r="I110" s="96" t="str">
        <f t="shared" si="7"/>
        <v/>
      </c>
      <c r="J110" s="95">
        <f t="shared" si="10"/>
        <v>-3</v>
      </c>
      <c r="K110" s="95">
        <f t="shared" si="8"/>
        <v>-30</v>
      </c>
      <c r="L110" s="95"/>
      <c r="M110" s="97">
        <f t="shared" si="9"/>
        <v>0</v>
      </c>
    </row>
    <row r="111" spans="1:13" x14ac:dyDescent="0.25">
      <c r="A111" s="116"/>
      <c r="G111" s="80"/>
      <c r="H111" s="95">
        <v>106</v>
      </c>
      <c r="I111" s="96" t="str">
        <f t="shared" si="7"/>
        <v/>
      </c>
      <c r="J111" s="95">
        <f t="shared" si="10"/>
        <v>-3</v>
      </c>
      <c r="K111" s="95">
        <f t="shared" si="8"/>
        <v>-30</v>
      </c>
      <c r="L111" s="95"/>
      <c r="M111" s="97">
        <f t="shared" si="9"/>
        <v>0</v>
      </c>
    </row>
    <row r="112" spans="1:13" x14ac:dyDescent="0.25">
      <c r="A112" s="116"/>
      <c r="G112" s="80"/>
      <c r="H112" s="95">
        <v>107</v>
      </c>
      <c r="I112" s="96" t="str">
        <f t="shared" si="7"/>
        <v/>
      </c>
      <c r="J112" s="95">
        <f t="shared" si="10"/>
        <v>-3</v>
      </c>
      <c r="K112" s="95">
        <f t="shared" si="8"/>
        <v>-30</v>
      </c>
      <c r="L112" s="95"/>
      <c r="M112" s="97">
        <f t="shared" si="9"/>
        <v>0</v>
      </c>
    </row>
    <row r="113" spans="1:13" x14ac:dyDescent="0.25">
      <c r="A113" s="116"/>
      <c r="G113" s="80"/>
      <c r="H113" s="95">
        <v>108</v>
      </c>
      <c r="I113" s="96" t="str">
        <f t="shared" si="7"/>
        <v/>
      </c>
      <c r="J113" s="95">
        <f t="shared" si="10"/>
        <v>-3</v>
      </c>
      <c r="K113" s="95">
        <f t="shared" si="8"/>
        <v>-30</v>
      </c>
      <c r="L113" s="95"/>
      <c r="M113" s="97">
        <f t="shared" si="9"/>
        <v>0</v>
      </c>
    </row>
    <row r="114" spans="1:13" x14ac:dyDescent="0.25">
      <c r="A114" s="116"/>
      <c r="G114" s="80"/>
      <c r="H114" s="95">
        <v>109</v>
      </c>
      <c r="I114" s="96" t="str">
        <f t="shared" si="7"/>
        <v/>
      </c>
      <c r="J114" s="95">
        <f t="shared" si="10"/>
        <v>-3</v>
      </c>
      <c r="K114" s="95">
        <f t="shared" si="8"/>
        <v>-30</v>
      </c>
      <c r="L114" s="95"/>
      <c r="M114" s="97">
        <f t="shared" si="9"/>
        <v>0</v>
      </c>
    </row>
    <row r="115" spans="1:13" x14ac:dyDescent="0.25">
      <c r="A115" s="116"/>
      <c r="G115" s="80"/>
      <c r="H115" s="95">
        <v>110</v>
      </c>
      <c r="I115" s="96" t="str">
        <f t="shared" si="7"/>
        <v/>
      </c>
      <c r="J115" s="95">
        <f t="shared" si="10"/>
        <v>-3</v>
      </c>
      <c r="K115" s="95">
        <f t="shared" si="8"/>
        <v>-30</v>
      </c>
      <c r="L115" s="95"/>
      <c r="M115" s="97">
        <f t="shared" si="9"/>
        <v>0</v>
      </c>
    </row>
    <row r="116" spans="1:13" x14ac:dyDescent="0.25">
      <c r="A116" s="116"/>
      <c r="G116" s="80"/>
      <c r="H116" s="95">
        <v>111</v>
      </c>
      <c r="I116" s="96" t="str">
        <f t="shared" si="7"/>
        <v/>
      </c>
      <c r="J116" s="95">
        <f t="shared" si="10"/>
        <v>-3</v>
      </c>
      <c r="K116" s="95">
        <f t="shared" si="8"/>
        <v>-30</v>
      </c>
      <c r="L116" s="95"/>
      <c r="M116" s="97">
        <f t="shared" si="9"/>
        <v>0</v>
      </c>
    </row>
    <row r="117" spans="1:13" x14ac:dyDescent="0.25">
      <c r="A117" s="116"/>
      <c r="G117" s="80"/>
      <c r="H117" s="95">
        <v>112</v>
      </c>
      <c r="I117" s="96" t="str">
        <f t="shared" si="7"/>
        <v/>
      </c>
      <c r="J117" s="95">
        <f t="shared" si="10"/>
        <v>-3</v>
      </c>
      <c r="K117" s="95">
        <f t="shared" si="8"/>
        <v>-30</v>
      </c>
      <c r="L117" s="95"/>
      <c r="M117" s="97">
        <f t="shared" si="9"/>
        <v>0</v>
      </c>
    </row>
    <row r="118" spans="1:13" x14ac:dyDescent="0.25">
      <c r="A118" s="116"/>
      <c r="G118" s="80"/>
      <c r="H118" s="95">
        <v>113</v>
      </c>
      <c r="I118" s="96" t="str">
        <f t="shared" si="7"/>
        <v/>
      </c>
      <c r="J118" s="95">
        <f t="shared" si="10"/>
        <v>-3</v>
      </c>
      <c r="K118" s="95">
        <f t="shared" si="8"/>
        <v>-30</v>
      </c>
      <c r="L118" s="95"/>
      <c r="M118" s="97">
        <f t="shared" si="9"/>
        <v>0</v>
      </c>
    </row>
    <row r="119" spans="1:13" x14ac:dyDescent="0.25">
      <c r="A119" s="116"/>
      <c r="G119" s="80"/>
      <c r="H119" s="95">
        <v>114</v>
      </c>
      <c r="I119" s="96" t="str">
        <f t="shared" si="7"/>
        <v/>
      </c>
      <c r="J119" s="95">
        <f t="shared" si="10"/>
        <v>-3</v>
      </c>
      <c r="K119" s="95">
        <f t="shared" si="8"/>
        <v>-30</v>
      </c>
      <c r="L119" s="95"/>
      <c r="M119" s="97">
        <f t="shared" si="9"/>
        <v>0</v>
      </c>
    </row>
    <row r="120" spans="1:13" x14ac:dyDescent="0.25">
      <c r="A120" s="116"/>
      <c r="G120" s="80"/>
      <c r="H120" s="95">
        <v>115</v>
      </c>
      <c r="I120" s="96" t="str">
        <f t="shared" si="7"/>
        <v/>
      </c>
      <c r="J120" s="95">
        <f t="shared" si="10"/>
        <v>-3</v>
      </c>
      <c r="K120" s="95">
        <f t="shared" si="8"/>
        <v>-30</v>
      </c>
      <c r="L120" s="95"/>
      <c r="M120" s="97">
        <f t="shared" si="9"/>
        <v>0</v>
      </c>
    </row>
    <row r="121" spans="1:13" x14ac:dyDescent="0.25">
      <c r="A121" s="116"/>
      <c r="G121" s="80"/>
      <c r="H121" s="95">
        <v>116</v>
      </c>
      <c r="I121" s="96" t="str">
        <f t="shared" si="7"/>
        <v/>
      </c>
      <c r="J121" s="95">
        <f t="shared" si="10"/>
        <v>-3</v>
      </c>
      <c r="K121" s="95">
        <f t="shared" si="8"/>
        <v>-30</v>
      </c>
      <c r="L121" s="95"/>
      <c r="M121" s="97">
        <f t="shared" si="9"/>
        <v>0</v>
      </c>
    </row>
    <row r="122" spans="1:13" x14ac:dyDescent="0.25">
      <c r="A122" s="116"/>
      <c r="G122" s="80"/>
      <c r="H122" s="95">
        <v>117</v>
      </c>
      <c r="I122" s="96" t="str">
        <f t="shared" si="7"/>
        <v/>
      </c>
      <c r="J122" s="95">
        <f t="shared" si="10"/>
        <v>-3</v>
      </c>
      <c r="K122" s="95">
        <f t="shared" si="8"/>
        <v>-30</v>
      </c>
      <c r="L122" s="95"/>
      <c r="M122" s="97">
        <f t="shared" si="9"/>
        <v>0</v>
      </c>
    </row>
    <row r="123" spans="1:13" x14ac:dyDescent="0.25">
      <c r="A123" s="116"/>
      <c r="G123" s="80"/>
      <c r="H123" s="95">
        <v>118</v>
      </c>
      <c r="I123" s="96" t="str">
        <f t="shared" si="7"/>
        <v/>
      </c>
      <c r="J123" s="95">
        <f t="shared" si="10"/>
        <v>-3</v>
      </c>
      <c r="K123" s="95">
        <f t="shared" si="8"/>
        <v>-30</v>
      </c>
      <c r="L123" s="95"/>
      <c r="M123" s="97">
        <f t="shared" si="9"/>
        <v>0</v>
      </c>
    </row>
    <row r="124" spans="1:13" x14ac:dyDescent="0.25">
      <c r="A124" s="116"/>
      <c r="G124" s="80"/>
      <c r="H124" s="95">
        <v>119</v>
      </c>
      <c r="I124" s="96" t="str">
        <f t="shared" si="7"/>
        <v/>
      </c>
      <c r="J124" s="95">
        <f t="shared" si="10"/>
        <v>-3</v>
      </c>
      <c r="K124" s="95">
        <f t="shared" si="8"/>
        <v>-30</v>
      </c>
      <c r="L124" s="95"/>
      <c r="M124" s="97">
        <f t="shared" si="9"/>
        <v>0</v>
      </c>
    </row>
    <row r="125" spans="1:13" x14ac:dyDescent="0.25">
      <c r="A125" s="116"/>
      <c r="G125" s="80"/>
      <c r="H125" s="95">
        <v>120</v>
      </c>
      <c r="I125" s="96" t="str">
        <f t="shared" si="7"/>
        <v/>
      </c>
      <c r="J125" s="95">
        <f t="shared" si="10"/>
        <v>-3</v>
      </c>
      <c r="K125" s="95">
        <f t="shared" si="8"/>
        <v>-30</v>
      </c>
      <c r="L125" s="95"/>
      <c r="M125" s="97">
        <f t="shared" si="9"/>
        <v>0</v>
      </c>
    </row>
    <row r="126" spans="1:13" x14ac:dyDescent="0.25">
      <c r="A126" s="116"/>
      <c r="G126" s="80"/>
      <c r="H126" s="95">
        <v>121</v>
      </c>
      <c r="I126" s="96" t="str">
        <f t="shared" si="7"/>
        <v/>
      </c>
      <c r="J126" s="95">
        <f t="shared" si="10"/>
        <v>-3</v>
      </c>
      <c r="K126" s="95">
        <f t="shared" si="8"/>
        <v>-30</v>
      </c>
      <c r="L126" s="95"/>
      <c r="M126" s="97">
        <f t="shared" si="9"/>
        <v>0</v>
      </c>
    </row>
    <row r="127" spans="1:13" x14ac:dyDescent="0.25">
      <c r="A127" s="116"/>
      <c r="G127" s="80"/>
      <c r="H127" s="95">
        <v>122</v>
      </c>
      <c r="I127" s="96" t="str">
        <f t="shared" si="7"/>
        <v/>
      </c>
      <c r="J127" s="95">
        <f t="shared" si="10"/>
        <v>-3</v>
      </c>
      <c r="K127" s="95">
        <f t="shared" si="8"/>
        <v>-30</v>
      </c>
      <c r="L127" s="95"/>
      <c r="M127" s="97">
        <f t="shared" si="9"/>
        <v>0</v>
      </c>
    </row>
    <row r="128" spans="1:13" x14ac:dyDescent="0.25">
      <c r="A128" s="116"/>
      <c r="G128" s="80"/>
      <c r="H128" s="95">
        <v>123</v>
      </c>
      <c r="I128" s="96" t="str">
        <f t="shared" si="7"/>
        <v/>
      </c>
      <c r="J128" s="95">
        <f t="shared" si="10"/>
        <v>-3</v>
      </c>
      <c r="K128" s="95">
        <f t="shared" si="8"/>
        <v>-30</v>
      </c>
      <c r="L128" s="95"/>
      <c r="M128" s="97">
        <f t="shared" si="9"/>
        <v>0</v>
      </c>
    </row>
    <row r="129" spans="1:13" x14ac:dyDescent="0.25">
      <c r="A129" s="116"/>
      <c r="G129" s="80"/>
      <c r="H129" s="95">
        <v>124</v>
      </c>
      <c r="I129" s="96" t="str">
        <f t="shared" si="7"/>
        <v/>
      </c>
      <c r="J129" s="95">
        <f t="shared" si="10"/>
        <v>-3</v>
      </c>
      <c r="K129" s="95">
        <f t="shared" si="8"/>
        <v>-30</v>
      </c>
      <c r="L129" s="95"/>
      <c r="M129" s="97">
        <f t="shared" si="9"/>
        <v>0</v>
      </c>
    </row>
    <row r="130" spans="1:13" x14ac:dyDescent="0.25">
      <c r="A130" s="116"/>
      <c r="G130" s="80"/>
      <c r="H130" s="95">
        <v>125</v>
      </c>
      <c r="I130" s="96" t="str">
        <f t="shared" si="7"/>
        <v/>
      </c>
      <c r="J130" s="95">
        <f t="shared" si="10"/>
        <v>-3</v>
      </c>
      <c r="K130" s="95">
        <f t="shared" si="8"/>
        <v>-30</v>
      </c>
      <c r="L130" s="95"/>
      <c r="M130" s="97">
        <f t="shared" si="9"/>
        <v>0</v>
      </c>
    </row>
    <row r="131" spans="1:13" x14ac:dyDescent="0.25">
      <c r="A131" s="116"/>
      <c r="G131" s="80"/>
      <c r="H131" s="95">
        <v>126</v>
      </c>
      <c r="I131" s="96" t="str">
        <f t="shared" si="7"/>
        <v/>
      </c>
      <c r="J131" s="95">
        <f t="shared" si="10"/>
        <v>-3</v>
      </c>
      <c r="K131" s="95">
        <f t="shared" si="8"/>
        <v>-30</v>
      </c>
      <c r="L131" s="95"/>
      <c r="M131" s="97">
        <f t="shared" si="9"/>
        <v>0</v>
      </c>
    </row>
    <row r="132" spans="1:13" x14ac:dyDescent="0.25">
      <c r="A132" s="116"/>
      <c r="G132" s="80"/>
      <c r="H132" s="95">
        <v>127</v>
      </c>
      <c r="I132" s="96" t="str">
        <f t="shared" si="7"/>
        <v/>
      </c>
      <c r="J132" s="95">
        <f t="shared" si="10"/>
        <v>-3</v>
      </c>
      <c r="K132" s="95">
        <f t="shared" si="8"/>
        <v>-30</v>
      </c>
      <c r="L132" s="95"/>
      <c r="M132" s="97">
        <f t="shared" si="9"/>
        <v>0</v>
      </c>
    </row>
    <row r="133" spans="1:13" x14ac:dyDescent="0.25">
      <c r="A133" s="116"/>
      <c r="G133" s="80"/>
      <c r="H133" s="95">
        <v>128</v>
      </c>
      <c r="I133" s="96" t="str">
        <f t="shared" si="7"/>
        <v/>
      </c>
      <c r="J133" s="95">
        <f t="shared" si="10"/>
        <v>-3</v>
      </c>
      <c r="K133" s="95">
        <f t="shared" si="8"/>
        <v>-30</v>
      </c>
      <c r="L133" s="95"/>
      <c r="M133" s="97">
        <f t="shared" si="9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5">
        <f t="shared" si="10"/>
        <v>-4</v>
      </c>
      <c r="K134" s="95">
        <f t="shared" ref="K134:K197" si="12">J134*$J$2</f>
        <v>-40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5">
        <f t="shared" ref="J135:J198" si="14">INT(LOG($H$2,2))-ROUNDUP(LOG(H135,2),0)+IF(OR($H$2=1,$H$2=2,$H$2=4,$H$2=8,$H$2=16,$H$2=32,$H$2=64,$H$2=128,$H$2=256),0,1)</f>
        <v>-4</v>
      </c>
      <c r="K135" s="95">
        <f t="shared" si="12"/>
        <v>-40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5">
        <f t="shared" si="14"/>
        <v>-4</v>
      </c>
      <c r="K136" s="95">
        <f t="shared" si="12"/>
        <v>-40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5">
        <f t="shared" si="14"/>
        <v>-4</v>
      </c>
      <c r="K137" s="95">
        <f t="shared" si="12"/>
        <v>-40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5">
        <f t="shared" si="14"/>
        <v>-4</v>
      </c>
      <c r="K138" s="95">
        <f t="shared" si="12"/>
        <v>-40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5">
        <f t="shared" si="14"/>
        <v>-4</v>
      </c>
      <c r="K139" s="95">
        <f t="shared" si="12"/>
        <v>-40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5">
        <f t="shared" si="14"/>
        <v>-4</v>
      </c>
      <c r="K140" s="95">
        <f t="shared" si="12"/>
        <v>-40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5">
        <f t="shared" si="14"/>
        <v>-4</v>
      </c>
      <c r="K141" s="95">
        <f t="shared" si="12"/>
        <v>-40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5">
        <f t="shared" si="14"/>
        <v>-4</v>
      </c>
      <c r="K142" s="95">
        <f t="shared" si="12"/>
        <v>-40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5">
        <f t="shared" si="14"/>
        <v>-4</v>
      </c>
      <c r="K143" s="95">
        <f t="shared" si="12"/>
        <v>-40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5">
        <f t="shared" si="14"/>
        <v>-4</v>
      </c>
      <c r="K144" s="95">
        <f t="shared" si="12"/>
        <v>-40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5">
        <f t="shared" si="14"/>
        <v>-4</v>
      </c>
      <c r="K145" s="95">
        <f t="shared" si="12"/>
        <v>-40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5">
        <f t="shared" si="14"/>
        <v>-4</v>
      </c>
      <c r="K146" s="95">
        <f t="shared" si="12"/>
        <v>-40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5">
        <f t="shared" si="14"/>
        <v>-4</v>
      </c>
      <c r="K147" s="95">
        <f t="shared" si="12"/>
        <v>-40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5">
        <f t="shared" si="14"/>
        <v>-4</v>
      </c>
      <c r="K148" s="95">
        <f t="shared" si="12"/>
        <v>-40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5">
        <f t="shared" si="14"/>
        <v>-4</v>
      </c>
      <c r="K149" s="95">
        <f t="shared" si="12"/>
        <v>-40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5">
        <f t="shared" si="14"/>
        <v>-4</v>
      </c>
      <c r="K150" s="95">
        <f t="shared" si="12"/>
        <v>-40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5">
        <f t="shared" si="14"/>
        <v>-4</v>
      </c>
      <c r="K151" s="95">
        <f t="shared" si="12"/>
        <v>-40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5">
        <f t="shared" si="14"/>
        <v>-4</v>
      </c>
      <c r="K152" s="95">
        <f t="shared" si="12"/>
        <v>-40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5">
        <f t="shared" si="14"/>
        <v>-4</v>
      </c>
      <c r="K153" s="95">
        <f t="shared" si="12"/>
        <v>-40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5">
        <f t="shared" si="14"/>
        <v>-4</v>
      </c>
      <c r="K154" s="95">
        <f t="shared" si="12"/>
        <v>-40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5">
        <f t="shared" si="14"/>
        <v>-4</v>
      </c>
      <c r="K155" s="95">
        <f t="shared" si="12"/>
        <v>-40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5">
        <f t="shared" si="14"/>
        <v>-4</v>
      </c>
      <c r="K156" s="95">
        <f t="shared" si="12"/>
        <v>-40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5">
        <f t="shared" si="14"/>
        <v>-4</v>
      </c>
      <c r="K157" s="95">
        <f t="shared" si="12"/>
        <v>-40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5">
        <f t="shared" si="14"/>
        <v>-4</v>
      </c>
      <c r="K158" s="95">
        <f t="shared" si="12"/>
        <v>-40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5">
        <f t="shared" si="14"/>
        <v>-4</v>
      </c>
      <c r="K159" s="95">
        <f t="shared" si="12"/>
        <v>-40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5">
        <f t="shared" si="14"/>
        <v>-4</v>
      </c>
      <c r="K160" s="95">
        <f t="shared" si="12"/>
        <v>-40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5">
        <f t="shared" si="14"/>
        <v>-4</v>
      </c>
      <c r="K161" s="95">
        <f t="shared" si="12"/>
        <v>-40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5">
        <f t="shared" si="14"/>
        <v>-4</v>
      </c>
      <c r="K162" s="95">
        <f t="shared" si="12"/>
        <v>-40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5">
        <f t="shared" si="14"/>
        <v>-4</v>
      </c>
      <c r="K163" s="95">
        <f t="shared" si="12"/>
        <v>-40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5">
        <f t="shared" si="14"/>
        <v>-4</v>
      </c>
      <c r="K164" s="95">
        <f t="shared" si="12"/>
        <v>-40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5">
        <f t="shared" si="14"/>
        <v>-4</v>
      </c>
      <c r="K165" s="95">
        <f t="shared" si="12"/>
        <v>-40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5">
        <f t="shared" si="14"/>
        <v>-4</v>
      </c>
      <c r="K166" s="95">
        <f t="shared" si="12"/>
        <v>-40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5">
        <f t="shared" si="14"/>
        <v>-4</v>
      </c>
      <c r="K167" s="95">
        <f t="shared" si="12"/>
        <v>-40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5">
        <f t="shared" si="14"/>
        <v>-4</v>
      </c>
      <c r="K168" s="95">
        <f t="shared" si="12"/>
        <v>-40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5">
        <f t="shared" si="14"/>
        <v>-4</v>
      </c>
      <c r="K169" s="95">
        <f t="shared" si="12"/>
        <v>-40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5">
        <f t="shared" si="14"/>
        <v>-4</v>
      </c>
      <c r="K170" s="95">
        <f t="shared" si="12"/>
        <v>-40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5">
        <f t="shared" si="14"/>
        <v>-4</v>
      </c>
      <c r="K171" s="95">
        <f t="shared" si="12"/>
        <v>-40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5">
        <f t="shared" si="14"/>
        <v>-4</v>
      </c>
      <c r="K172" s="95">
        <f t="shared" si="12"/>
        <v>-40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5">
        <f t="shared" si="14"/>
        <v>-4</v>
      </c>
      <c r="K173" s="95">
        <f t="shared" si="12"/>
        <v>-40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5">
        <f t="shared" si="14"/>
        <v>-4</v>
      </c>
      <c r="K174" s="95">
        <f t="shared" si="12"/>
        <v>-40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5">
        <f t="shared" si="14"/>
        <v>-4</v>
      </c>
      <c r="K175" s="95">
        <f t="shared" si="12"/>
        <v>-40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5">
        <f t="shared" si="14"/>
        <v>-4</v>
      </c>
      <c r="K176" s="95">
        <f t="shared" si="12"/>
        <v>-40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5">
        <f t="shared" si="14"/>
        <v>-4</v>
      </c>
      <c r="K177" s="95">
        <f t="shared" si="12"/>
        <v>-40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5">
        <f t="shared" si="14"/>
        <v>-4</v>
      </c>
      <c r="K178" s="95">
        <f t="shared" si="12"/>
        <v>-40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5">
        <f t="shared" si="14"/>
        <v>-4</v>
      </c>
      <c r="K179" s="95">
        <f t="shared" si="12"/>
        <v>-40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5">
        <f t="shared" si="14"/>
        <v>-4</v>
      </c>
      <c r="K180" s="95">
        <f t="shared" si="12"/>
        <v>-40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5">
        <f t="shared" si="14"/>
        <v>-4</v>
      </c>
      <c r="K181" s="95">
        <f t="shared" si="12"/>
        <v>-40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5">
        <f t="shared" si="14"/>
        <v>-4</v>
      </c>
      <c r="K182" s="95">
        <f t="shared" si="12"/>
        <v>-40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5">
        <f t="shared" si="14"/>
        <v>-4</v>
      </c>
      <c r="K183" s="95">
        <f t="shared" si="12"/>
        <v>-40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5">
        <f t="shared" si="14"/>
        <v>-4</v>
      </c>
      <c r="K184" s="95">
        <f t="shared" si="12"/>
        <v>-40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5">
        <f t="shared" si="14"/>
        <v>-4</v>
      </c>
      <c r="K185" s="95">
        <f t="shared" si="12"/>
        <v>-40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5">
        <f t="shared" si="14"/>
        <v>-4</v>
      </c>
      <c r="K186" s="95">
        <f t="shared" si="12"/>
        <v>-40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5">
        <f t="shared" si="14"/>
        <v>-4</v>
      </c>
      <c r="K187" s="95">
        <f t="shared" si="12"/>
        <v>-40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5">
        <f t="shared" si="14"/>
        <v>-4</v>
      </c>
      <c r="K188" s="95">
        <f t="shared" si="12"/>
        <v>-40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5">
        <f t="shared" si="14"/>
        <v>-4</v>
      </c>
      <c r="K189" s="95">
        <f t="shared" si="12"/>
        <v>-40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5">
        <f t="shared" si="14"/>
        <v>-4</v>
      </c>
      <c r="K190" s="95">
        <f t="shared" si="12"/>
        <v>-40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5">
        <f t="shared" si="14"/>
        <v>-4</v>
      </c>
      <c r="K191" s="95">
        <f t="shared" si="12"/>
        <v>-40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5">
        <f t="shared" si="14"/>
        <v>-4</v>
      </c>
      <c r="K192" s="95">
        <f t="shared" si="12"/>
        <v>-40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5">
        <f t="shared" si="14"/>
        <v>-4</v>
      </c>
      <c r="K193" s="95">
        <f t="shared" si="12"/>
        <v>-40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5">
        <f t="shared" si="14"/>
        <v>-4</v>
      </c>
      <c r="K194" s="95">
        <f t="shared" si="12"/>
        <v>-40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5">
        <f t="shared" si="14"/>
        <v>-4</v>
      </c>
      <c r="K195" s="95">
        <f t="shared" si="12"/>
        <v>-40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5">
        <f t="shared" si="14"/>
        <v>-4</v>
      </c>
      <c r="K196" s="95">
        <f t="shared" si="12"/>
        <v>-40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5">
        <f t="shared" si="14"/>
        <v>-4</v>
      </c>
      <c r="K197" s="95">
        <f t="shared" si="12"/>
        <v>-40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5">
        <f t="shared" si="14"/>
        <v>-4</v>
      </c>
      <c r="K198" s="95">
        <f t="shared" ref="K198:K261" si="16">J198*$J$2</f>
        <v>-40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5">
        <f t="shared" ref="J199:J262" si="18">INT(LOG($H$2,2))-ROUNDUP(LOG(H199,2),0)+IF(OR($H$2=1,$H$2=2,$H$2=4,$H$2=8,$H$2=16,$H$2=32,$H$2=64,$H$2=128,$H$2=256),0,1)</f>
        <v>-4</v>
      </c>
      <c r="K199" s="95">
        <f t="shared" si="16"/>
        <v>-40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5">
        <f t="shared" si="18"/>
        <v>-4</v>
      </c>
      <c r="K200" s="95">
        <f t="shared" si="16"/>
        <v>-40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5">
        <f t="shared" si="18"/>
        <v>-4</v>
      </c>
      <c r="K201" s="95">
        <f t="shared" si="16"/>
        <v>-40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5">
        <f t="shared" si="18"/>
        <v>-4</v>
      </c>
      <c r="K202" s="95">
        <f t="shared" si="16"/>
        <v>-40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5">
        <f t="shared" si="18"/>
        <v>-4</v>
      </c>
      <c r="K203" s="95">
        <f t="shared" si="16"/>
        <v>-40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5">
        <f t="shared" si="18"/>
        <v>-4</v>
      </c>
      <c r="K204" s="95">
        <f t="shared" si="16"/>
        <v>-40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5">
        <f t="shared" si="18"/>
        <v>-4</v>
      </c>
      <c r="K205" s="95">
        <f t="shared" si="16"/>
        <v>-40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5">
        <f t="shared" si="18"/>
        <v>-4</v>
      </c>
      <c r="K206" s="95">
        <f t="shared" si="16"/>
        <v>-40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5">
        <f t="shared" si="18"/>
        <v>-4</v>
      </c>
      <c r="K207" s="95">
        <f t="shared" si="16"/>
        <v>-40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5">
        <f t="shared" si="18"/>
        <v>-4</v>
      </c>
      <c r="K208" s="95">
        <f t="shared" si="16"/>
        <v>-40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5">
        <f t="shared" si="18"/>
        <v>-4</v>
      </c>
      <c r="K209" s="95">
        <f t="shared" si="16"/>
        <v>-40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5">
        <f t="shared" si="18"/>
        <v>-4</v>
      </c>
      <c r="K210" s="95">
        <f t="shared" si="16"/>
        <v>-40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5">
        <f t="shared" si="18"/>
        <v>-4</v>
      </c>
      <c r="K211" s="95">
        <f t="shared" si="16"/>
        <v>-40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5">
        <f t="shared" si="18"/>
        <v>-4</v>
      </c>
      <c r="K212" s="95">
        <f t="shared" si="16"/>
        <v>-40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5">
        <f t="shared" si="18"/>
        <v>-4</v>
      </c>
      <c r="K213" s="95">
        <f t="shared" si="16"/>
        <v>-40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5">
        <f t="shared" si="18"/>
        <v>-4</v>
      </c>
      <c r="K214" s="95">
        <f t="shared" si="16"/>
        <v>-40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5">
        <f t="shared" si="18"/>
        <v>-4</v>
      </c>
      <c r="K215" s="95">
        <f t="shared" si="16"/>
        <v>-40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5">
        <f t="shared" si="18"/>
        <v>-4</v>
      </c>
      <c r="K216" s="95">
        <f t="shared" si="16"/>
        <v>-40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5">
        <f t="shared" si="18"/>
        <v>-4</v>
      </c>
      <c r="K217" s="95">
        <f t="shared" si="16"/>
        <v>-40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5">
        <f t="shared" si="18"/>
        <v>-4</v>
      </c>
      <c r="K218" s="95">
        <f t="shared" si="16"/>
        <v>-40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5">
        <f t="shared" si="18"/>
        <v>-4</v>
      </c>
      <c r="K219" s="95">
        <f t="shared" si="16"/>
        <v>-40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5">
        <f t="shared" si="18"/>
        <v>-4</v>
      </c>
      <c r="K220" s="95">
        <f t="shared" si="16"/>
        <v>-40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5">
        <f t="shared" si="18"/>
        <v>-4</v>
      </c>
      <c r="K221" s="95">
        <f t="shared" si="16"/>
        <v>-40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5">
        <f t="shared" si="18"/>
        <v>-4</v>
      </c>
      <c r="K222" s="95">
        <f t="shared" si="16"/>
        <v>-40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5">
        <f t="shared" si="18"/>
        <v>-4</v>
      </c>
      <c r="K223" s="95">
        <f t="shared" si="16"/>
        <v>-40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5">
        <f t="shared" si="18"/>
        <v>-4</v>
      </c>
      <c r="K224" s="95">
        <f t="shared" si="16"/>
        <v>-40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5">
        <f t="shared" si="18"/>
        <v>-4</v>
      </c>
      <c r="K225" s="95">
        <f t="shared" si="16"/>
        <v>-40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5">
        <f t="shared" si="18"/>
        <v>-4</v>
      </c>
      <c r="K226" s="95">
        <f t="shared" si="16"/>
        <v>-40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5">
        <f t="shared" si="18"/>
        <v>-4</v>
      </c>
      <c r="K227" s="95">
        <f t="shared" si="16"/>
        <v>-40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5">
        <f t="shared" si="18"/>
        <v>-4</v>
      </c>
      <c r="K228" s="95">
        <f t="shared" si="16"/>
        <v>-40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5">
        <f t="shared" si="18"/>
        <v>-4</v>
      </c>
      <c r="K229" s="95">
        <f t="shared" si="16"/>
        <v>-40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5">
        <f t="shared" si="18"/>
        <v>-4</v>
      </c>
      <c r="K230" s="95">
        <f t="shared" si="16"/>
        <v>-40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5">
        <f t="shared" si="18"/>
        <v>-4</v>
      </c>
      <c r="K231" s="95">
        <f t="shared" si="16"/>
        <v>-40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5">
        <f t="shared" si="18"/>
        <v>-4</v>
      </c>
      <c r="K232" s="95">
        <f t="shared" si="16"/>
        <v>-40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5">
        <f t="shared" si="18"/>
        <v>-4</v>
      </c>
      <c r="K233" s="95">
        <f t="shared" si="16"/>
        <v>-40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5">
        <f t="shared" si="18"/>
        <v>-4</v>
      </c>
      <c r="K234" s="95">
        <f t="shared" si="16"/>
        <v>-40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5">
        <f t="shared" si="18"/>
        <v>-4</v>
      </c>
      <c r="K235" s="95">
        <f t="shared" si="16"/>
        <v>-40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5">
        <f t="shared" si="18"/>
        <v>-4</v>
      </c>
      <c r="K236" s="95">
        <f t="shared" si="16"/>
        <v>-40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5">
        <f t="shared" si="18"/>
        <v>-4</v>
      </c>
      <c r="K237" s="95">
        <f t="shared" si="16"/>
        <v>-40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5">
        <f t="shared" si="18"/>
        <v>-4</v>
      </c>
      <c r="K238" s="95">
        <f t="shared" si="16"/>
        <v>-40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5">
        <f t="shared" si="18"/>
        <v>-4</v>
      </c>
      <c r="K239" s="95">
        <f t="shared" si="16"/>
        <v>-40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5">
        <f t="shared" si="18"/>
        <v>-4</v>
      </c>
      <c r="K240" s="95">
        <f t="shared" si="16"/>
        <v>-40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5">
        <f t="shared" si="18"/>
        <v>-4</v>
      </c>
      <c r="K241" s="95">
        <f t="shared" si="16"/>
        <v>-40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5">
        <f t="shared" si="18"/>
        <v>-4</v>
      </c>
      <c r="K242" s="95">
        <f t="shared" si="16"/>
        <v>-40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5">
        <f t="shared" si="18"/>
        <v>-4</v>
      </c>
      <c r="K243" s="95">
        <f t="shared" si="16"/>
        <v>-40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5">
        <f t="shared" si="18"/>
        <v>-4</v>
      </c>
      <c r="K244" s="95">
        <f t="shared" si="16"/>
        <v>-40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5">
        <f t="shared" si="18"/>
        <v>-4</v>
      </c>
      <c r="K245" s="95">
        <f t="shared" si="16"/>
        <v>-40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5">
        <f t="shared" si="18"/>
        <v>-4</v>
      </c>
      <c r="K246" s="95">
        <f t="shared" si="16"/>
        <v>-40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5">
        <f t="shared" si="18"/>
        <v>-4</v>
      </c>
      <c r="K247" s="95">
        <f t="shared" si="16"/>
        <v>-40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5">
        <f t="shared" si="18"/>
        <v>-4</v>
      </c>
      <c r="K248" s="95">
        <f t="shared" si="16"/>
        <v>-40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5">
        <f t="shared" si="18"/>
        <v>-4</v>
      </c>
      <c r="K249" s="95">
        <f t="shared" si="16"/>
        <v>-40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5">
        <f t="shared" si="18"/>
        <v>-4</v>
      </c>
      <c r="K250" s="95">
        <f t="shared" si="16"/>
        <v>-40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5">
        <f t="shared" si="18"/>
        <v>-4</v>
      </c>
      <c r="K251" s="95">
        <f t="shared" si="16"/>
        <v>-40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5">
        <f t="shared" si="18"/>
        <v>-4</v>
      </c>
      <c r="K252" s="95">
        <f t="shared" si="16"/>
        <v>-40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5">
        <f t="shared" si="18"/>
        <v>-4</v>
      </c>
      <c r="K253" s="95">
        <f t="shared" si="16"/>
        <v>-40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5">
        <f t="shared" si="18"/>
        <v>-4</v>
      </c>
      <c r="K254" s="95">
        <f t="shared" si="16"/>
        <v>-40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5">
        <f t="shared" si="18"/>
        <v>-4</v>
      </c>
      <c r="K255" s="95">
        <f t="shared" si="16"/>
        <v>-40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5">
        <f t="shared" si="18"/>
        <v>-4</v>
      </c>
      <c r="K256" s="95">
        <f t="shared" si="16"/>
        <v>-40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5">
        <f t="shared" si="18"/>
        <v>-4</v>
      </c>
      <c r="K257" s="95">
        <f t="shared" si="16"/>
        <v>-40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5">
        <f t="shared" si="18"/>
        <v>-4</v>
      </c>
      <c r="K258" s="95">
        <f t="shared" si="16"/>
        <v>-40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5">
        <f t="shared" si="18"/>
        <v>-4</v>
      </c>
      <c r="K259" s="95">
        <f t="shared" si="16"/>
        <v>-40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5">
        <f t="shared" si="18"/>
        <v>-4</v>
      </c>
      <c r="K260" s="95">
        <f t="shared" si="16"/>
        <v>-40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5">
        <f t="shared" si="18"/>
        <v>-4</v>
      </c>
      <c r="K261" s="95">
        <f t="shared" si="16"/>
        <v>-40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5">
        <f t="shared" si="18"/>
        <v>-5</v>
      </c>
      <c r="K262" s="95">
        <f t="shared" ref="K262:K305" si="20">J262*$J$2</f>
        <v>-50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5">
        <f t="shared" ref="J263:J305" si="22">INT(LOG($H$2,2))-ROUNDUP(LOG(H263,2),0)+IF(OR($H$2=1,$H$2=2,$H$2=4,$H$2=8,$H$2=16,$H$2=32,$H$2=64,$H$2=128,$H$2=256),0,1)</f>
        <v>-5</v>
      </c>
      <c r="K263" s="95">
        <f t="shared" si="20"/>
        <v>-50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5">
        <f t="shared" si="22"/>
        <v>-5</v>
      </c>
      <c r="K264" s="95">
        <f t="shared" si="20"/>
        <v>-50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5">
        <f t="shared" si="22"/>
        <v>-5</v>
      </c>
      <c r="K265" s="95">
        <f t="shared" si="20"/>
        <v>-50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5">
        <f t="shared" si="22"/>
        <v>-5</v>
      </c>
      <c r="K266" s="95">
        <f t="shared" si="20"/>
        <v>-50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5">
        <f t="shared" si="22"/>
        <v>-5</v>
      </c>
      <c r="K267" s="95">
        <f t="shared" si="20"/>
        <v>-50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5">
        <f t="shared" si="22"/>
        <v>-5</v>
      </c>
      <c r="K268" s="95">
        <f t="shared" si="20"/>
        <v>-50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5">
        <f t="shared" si="22"/>
        <v>-5</v>
      </c>
      <c r="K269" s="95">
        <f t="shared" si="20"/>
        <v>-50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5">
        <f t="shared" si="22"/>
        <v>-5</v>
      </c>
      <c r="K270" s="95">
        <f t="shared" si="20"/>
        <v>-50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5">
        <f t="shared" si="22"/>
        <v>-5</v>
      </c>
      <c r="K271" s="95">
        <f t="shared" si="20"/>
        <v>-50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5">
        <f t="shared" si="22"/>
        <v>-5</v>
      </c>
      <c r="K272" s="95">
        <f t="shared" si="20"/>
        <v>-50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5">
        <f t="shared" si="22"/>
        <v>-5</v>
      </c>
      <c r="K273" s="95">
        <f t="shared" si="20"/>
        <v>-50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5">
        <f t="shared" si="22"/>
        <v>-5</v>
      </c>
      <c r="K274" s="95">
        <f t="shared" si="20"/>
        <v>-50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5">
        <f t="shared" si="22"/>
        <v>-5</v>
      </c>
      <c r="K275" s="95">
        <f t="shared" si="20"/>
        <v>-50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5">
        <f t="shared" si="22"/>
        <v>-5</v>
      </c>
      <c r="K276" s="95">
        <f t="shared" si="20"/>
        <v>-50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5">
        <f t="shared" si="22"/>
        <v>-5</v>
      </c>
      <c r="K277" s="95">
        <f t="shared" si="20"/>
        <v>-50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5">
        <f t="shared" si="22"/>
        <v>-5</v>
      </c>
      <c r="K278" s="95">
        <f t="shared" si="20"/>
        <v>-50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5">
        <f t="shared" si="22"/>
        <v>-5</v>
      </c>
      <c r="K279" s="95">
        <f t="shared" si="20"/>
        <v>-50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5">
        <f t="shared" si="22"/>
        <v>-5</v>
      </c>
      <c r="K280" s="95">
        <f t="shared" si="20"/>
        <v>-50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5">
        <f t="shared" si="22"/>
        <v>-5</v>
      </c>
      <c r="K281" s="95">
        <f t="shared" si="20"/>
        <v>-50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5">
        <f t="shared" si="22"/>
        <v>-5</v>
      </c>
      <c r="K282" s="95">
        <f t="shared" si="20"/>
        <v>-50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5">
        <f t="shared" si="22"/>
        <v>-5</v>
      </c>
      <c r="K283" s="95">
        <f t="shared" si="20"/>
        <v>-50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5">
        <f t="shared" si="22"/>
        <v>-5</v>
      </c>
      <c r="K284" s="95">
        <f t="shared" si="20"/>
        <v>-50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5">
        <f t="shared" si="22"/>
        <v>-5</v>
      </c>
      <c r="K285" s="95">
        <f t="shared" si="20"/>
        <v>-50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5">
        <f t="shared" si="22"/>
        <v>-5</v>
      </c>
      <c r="K286" s="95">
        <f t="shared" si="20"/>
        <v>-50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5">
        <f t="shared" si="22"/>
        <v>-5</v>
      </c>
      <c r="K287" s="95">
        <f t="shared" si="20"/>
        <v>-50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5">
        <f t="shared" si="22"/>
        <v>-5</v>
      </c>
      <c r="K288" s="95">
        <f t="shared" si="20"/>
        <v>-50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5">
        <f t="shared" si="22"/>
        <v>-5</v>
      </c>
      <c r="K289" s="95">
        <f t="shared" si="20"/>
        <v>-50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5">
        <f t="shared" si="22"/>
        <v>-5</v>
      </c>
      <c r="K290" s="95">
        <f t="shared" si="20"/>
        <v>-50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5">
        <f t="shared" si="22"/>
        <v>-5</v>
      </c>
      <c r="K291" s="95">
        <f t="shared" si="20"/>
        <v>-50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5">
        <f t="shared" si="22"/>
        <v>-5</v>
      </c>
      <c r="K292" s="95">
        <f t="shared" si="20"/>
        <v>-50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5">
        <f t="shared" si="22"/>
        <v>-5</v>
      </c>
      <c r="K293" s="95">
        <f t="shared" si="20"/>
        <v>-50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5">
        <f t="shared" si="22"/>
        <v>-5</v>
      </c>
      <c r="K294" s="95">
        <f t="shared" si="20"/>
        <v>-50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5">
        <f t="shared" si="22"/>
        <v>-5</v>
      </c>
      <c r="K295" s="95">
        <f t="shared" si="20"/>
        <v>-50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5">
        <f t="shared" si="22"/>
        <v>-5</v>
      </c>
      <c r="K296" s="95">
        <f t="shared" si="20"/>
        <v>-50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5">
        <f t="shared" si="22"/>
        <v>-5</v>
      </c>
      <c r="K297" s="95">
        <f t="shared" si="20"/>
        <v>-50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5">
        <f t="shared" si="22"/>
        <v>-5</v>
      </c>
      <c r="K298" s="95">
        <f t="shared" si="20"/>
        <v>-50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5">
        <f t="shared" si="22"/>
        <v>-5</v>
      </c>
      <c r="K299" s="95">
        <f t="shared" si="20"/>
        <v>-50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5">
        <f t="shared" si="22"/>
        <v>-5</v>
      </c>
      <c r="K300" s="95">
        <f t="shared" si="20"/>
        <v>-50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5">
        <f t="shared" si="22"/>
        <v>-5</v>
      </c>
      <c r="K301" s="95">
        <f t="shared" si="20"/>
        <v>-50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5">
        <f t="shared" si="22"/>
        <v>-5</v>
      </c>
      <c r="K302" s="95">
        <f t="shared" si="20"/>
        <v>-50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5">
        <f t="shared" si="22"/>
        <v>-5</v>
      </c>
      <c r="K303" s="95">
        <f t="shared" si="20"/>
        <v>-50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5">
        <f t="shared" si="22"/>
        <v>-5</v>
      </c>
      <c r="K304" s="95">
        <f t="shared" si="20"/>
        <v>-50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5">
        <f t="shared" si="22"/>
        <v>-5</v>
      </c>
      <c r="K305" s="95">
        <f t="shared" si="20"/>
        <v>-50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38:C69" xr:uid="{48FA73B9-2DBD-496F-8B23-A7DC1F91CA5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995D-DEB0-4BAF-9398-B7ADEAC722C9}">
  <sheetPr>
    <tabColor rgb="FF92D050"/>
  </sheetPr>
  <dimension ref="A1:AL317"/>
  <sheetViews>
    <sheetView workbookViewId="0">
      <selection activeCell="D25" sqref="D25"/>
    </sheetView>
  </sheetViews>
  <sheetFormatPr defaultColWidth="8.875" defaultRowHeight="14.3" x14ac:dyDescent="0.25"/>
  <cols>
    <col min="1" max="1" width="8" style="245" customWidth="1"/>
    <col min="2" max="2" width="8.25" style="245" customWidth="1"/>
    <col min="3" max="3" width="34.75" style="245" customWidth="1"/>
    <col min="4" max="4" width="11.25" style="245" customWidth="1"/>
    <col min="5" max="6" width="8.875" style="245"/>
    <col min="7" max="7" width="0.875" style="245" customWidth="1"/>
    <col min="8" max="8" width="8.875" style="248"/>
    <col min="9" max="9" width="11" style="248" customWidth="1"/>
    <col min="10" max="10" width="15.25" style="248" customWidth="1"/>
    <col min="11" max="11" width="8.75" style="248" customWidth="1"/>
    <col min="12" max="12" width="11" style="248" customWidth="1"/>
    <col min="13" max="13" width="12.25" style="249" customWidth="1"/>
    <col min="14" max="15" width="13.875" style="215" customWidth="1"/>
    <col min="16" max="18" width="8.875" style="215"/>
    <col min="19" max="20" width="8.875" style="220"/>
    <col min="21" max="21" width="12.125" style="220" customWidth="1"/>
    <col min="22" max="22" width="27.375" style="220" customWidth="1"/>
    <col min="23" max="38" width="8.875" style="220"/>
    <col min="39" max="16384" width="8.875" style="245"/>
  </cols>
  <sheetData>
    <row r="1" spans="1:36" x14ac:dyDescent="0.25">
      <c r="A1" s="215"/>
      <c r="B1" s="215"/>
      <c r="C1" s="215"/>
      <c r="D1" s="215"/>
      <c r="E1" s="215"/>
      <c r="F1" s="215"/>
      <c r="G1" s="215"/>
      <c r="H1" s="216" t="s">
        <v>25</v>
      </c>
      <c r="I1" s="217" t="s">
        <v>26</v>
      </c>
      <c r="J1" s="217" t="s">
        <v>27</v>
      </c>
      <c r="K1" s="218" t="s">
        <v>101</v>
      </c>
      <c r="L1" s="219"/>
      <c r="M1" s="219"/>
    </row>
    <row r="2" spans="1:36" x14ac:dyDescent="0.25">
      <c r="A2" s="215"/>
      <c r="B2" s="20" t="s">
        <v>29</v>
      </c>
      <c r="C2" s="130" t="s">
        <v>108</v>
      </c>
      <c r="D2" s="69"/>
      <c r="E2" s="21"/>
      <c r="F2" s="21"/>
      <c r="G2" s="21"/>
      <c r="H2" s="221">
        <v>0</v>
      </c>
      <c r="I2" s="222">
        <v>50</v>
      </c>
      <c r="J2" s="222">
        <v>10</v>
      </c>
      <c r="K2" s="223">
        <f>3*H2^(1/3)</f>
        <v>0</v>
      </c>
      <c r="L2" s="219"/>
      <c r="M2" s="219"/>
    </row>
    <row r="3" spans="1:36" x14ac:dyDescent="0.25">
      <c r="A3" s="215"/>
      <c r="B3" s="224" t="s">
        <v>31</v>
      </c>
      <c r="C3" s="70">
        <v>45114</v>
      </c>
      <c r="D3" s="70"/>
      <c r="E3" s="26"/>
      <c r="F3" s="26"/>
      <c r="G3" s="26"/>
      <c r="H3" s="219"/>
      <c r="I3" s="219"/>
      <c r="J3" s="225"/>
      <c r="K3" s="219"/>
      <c r="L3" s="219"/>
      <c r="M3" s="219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219"/>
      <c r="I4" s="219"/>
      <c r="J4" s="225"/>
      <c r="K4" s="219"/>
      <c r="L4" s="219"/>
      <c r="M4" s="219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226" t="s">
        <v>39</v>
      </c>
      <c r="I5" s="227" t="s">
        <v>40</v>
      </c>
      <c r="J5" s="228" t="s">
        <v>41</v>
      </c>
      <c r="K5" s="227" t="s">
        <v>42</v>
      </c>
      <c r="L5" s="227" t="s">
        <v>43</v>
      </c>
      <c r="M5" s="226" t="s">
        <v>44</v>
      </c>
    </row>
    <row r="6" spans="1:36" ht="14.45" customHeight="1" x14ac:dyDescent="0.25">
      <c r="A6" s="94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29">
        <v>1</v>
      </c>
      <c r="I6" s="230" t="str">
        <f t="shared" ref="I6:I69" si="1">IF(H6&lt;$H$2+1,($I$2-($I$2-1)*(LOG(H6)/LOG($H$2))),"")</f>
        <v/>
      </c>
      <c r="J6" s="229" t="e">
        <f>INT(LOG($H$2,2))-ROUNDUP(LOG(H6,2),0)+IF(OR($H$2=1,$H$2=2,$H$2=4,$H$2=8,$H$2=16,$H$2=32,$H$2=64,$H$2=128,$H$2=256),0,1)</f>
        <v>#NUM!</v>
      </c>
      <c r="K6" s="229" t="e">
        <f t="shared" ref="K6:K69" si="2">J6*$J$2</f>
        <v>#NUM!</v>
      </c>
      <c r="L6" s="231">
        <f>3*K2</f>
        <v>0</v>
      </c>
      <c r="M6" s="231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32">
        <v>2</v>
      </c>
      <c r="I7" s="233" t="str">
        <f t="shared" si="1"/>
        <v/>
      </c>
      <c r="J7" s="232" t="e">
        <f t="shared" ref="J7:J70" si="5">INT(LOG($H$2,2))-ROUNDUP(LOG(H7,2),0)+IF(OR($H$2=1,$H$2=2,$H$2=4,$H$2=8,$H$2=16,$H$2=32,$H$2=64,$H$2=128,$H$2=256),0,1)</f>
        <v>#NUM!</v>
      </c>
      <c r="K7" s="232" t="e">
        <f t="shared" si="2"/>
        <v>#NUM!</v>
      </c>
      <c r="L7" s="234">
        <f>2*K2</f>
        <v>0</v>
      </c>
      <c r="M7" s="234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29">
        <v>3</v>
      </c>
      <c r="I8" s="230" t="str">
        <f t="shared" si="1"/>
        <v/>
      </c>
      <c r="J8" s="229" t="e">
        <f t="shared" si="5"/>
        <v>#NUM!</v>
      </c>
      <c r="K8" s="229" t="e">
        <f t="shared" si="2"/>
        <v>#NUM!</v>
      </c>
      <c r="L8" s="231">
        <f>K2</f>
        <v>0</v>
      </c>
      <c r="M8" s="231">
        <f t="shared" si="3"/>
        <v>0</v>
      </c>
    </row>
    <row r="9" spans="1:36" s="220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232">
        <v>3</v>
      </c>
      <c r="I9" s="233" t="str">
        <f t="shared" si="1"/>
        <v/>
      </c>
      <c r="J9" s="232" t="e">
        <f t="shared" si="5"/>
        <v>#NUM!</v>
      </c>
      <c r="K9" s="232" t="e">
        <f t="shared" si="2"/>
        <v>#NUM!</v>
      </c>
      <c r="L9" s="234">
        <f>K2</f>
        <v>0</v>
      </c>
      <c r="M9" s="234">
        <f t="shared" si="3"/>
        <v>0</v>
      </c>
      <c r="N9" s="215"/>
      <c r="O9" s="215"/>
      <c r="P9" s="215"/>
      <c r="Q9" s="215"/>
      <c r="R9" s="215"/>
      <c r="V9" s="235"/>
      <c r="Z9" s="236"/>
      <c r="AA9" s="236"/>
      <c r="AG9" s="237"/>
      <c r="AH9" s="220" t="s">
        <v>49</v>
      </c>
      <c r="AI9" s="220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29">
        <v>5</v>
      </c>
      <c r="I10" s="230" t="str">
        <f t="shared" si="1"/>
        <v/>
      </c>
      <c r="J10" s="229" t="e">
        <f t="shared" si="5"/>
        <v>#NUM!</v>
      </c>
      <c r="K10" s="229" t="e">
        <f t="shared" si="2"/>
        <v>#NUM!</v>
      </c>
      <c r="L10" s="229"/>
      <c r="M10" s="231">
        <f t="shared" si="3"/>
        <v>0</v>
      </c>
      <c r="V10" s="235"/>
      <c r="Z10" s="236"/>
      <c r="AA10" s="236"/>
      <c r="AG10" s="237"/>
      <c r="AH10" s="220" t="s">
        <v>52</v>
      </c>
      <c r="AI10" s="220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32">
        <v>6</v>
      </c>
      <c r="I11" s="233" t="str">
        <f t="shared" si="1"/>
        <v/>
      </c>
      <c r="J11" s="232" t="e">
        <f t="shared" si="5"/>
        <v>#NUM!</v>
      </c>
      <c r="K11" s="232" t="e">
        <f t="shared" si="2"/>
        <v>#NUM!</v>
      </c>
      <c r="L11" s="232"/>
      <c r="M11" s="234">
        <f t="shared" si="3"/>
        <v>0</v>
      </c>
      <c r="V11" s="238"/>
      <c r="Z11" s="236"/>
      <c r="AA11" s="236"/>
      <c r="AG11" s="237"/>
      <c r="AH11" s="220" t="s">
        <v>53</v>
      </c>
      <c r="AI11" s="220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29">
        <v>7</v>
      </c>
      <c r="I12" s="230" t="str">
        <f t="shared" si="1"/>
        <v/>
      </c>
      <c r="J12" s="229" t="e">
        <f t="shared" si="5"/>
        <v>#NUM!</v>
      </c>
      <c r="K12" s="229" t="e">
        <f t="shared" si="2"/>
        <v>#NUM!</v>
      </c>
      <c r="L12" s="229"/>
      <c r="M12" s="231">
        <f t="shared" si="3"/>
        <v>0</v>
      </c>
      <c r="Z12" s="236"/>
      <c r="AA12" s="236"/>
      <c r="AG12" s="237"/>
      <c r="AH12" s="220" t="s">
        <v>54</v>
      </c>
      <c r="AI12" s="220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32">
        <v>8</v>
      </c>
      <c r="I13" s="233" t="str">
        <f t="shared" si="1"/>
        <v/>
      </c>
      <c r="J13" s="232" t="e">
        <f t="shared" si="5"/>
        <v>#NUM!</v>
      </c>
      <c r="K13" s="232" t="e">
        <f t="shared" si="2"/>
        <v>#NUM!</v>
      </c>
      <c r="L13" s="232"/>
      <c r="M13" s="234">
        <f t="shared" si="3"/>
        <v>0</v>
      </c>
      <c r="X13" s="235"/>
      <c r="AG13" s="237"/>
      <c r="AH13" s="220" t="s">
        <v>55</v>
      </c>
      <c r="AI13" s="220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29">
        <v>9</v>
      </c>
      <c r="I14" s="230" t="str">
        <f t="shared" si="1"/>
        <v/>
      </c>
      <c r="J14" s="229" t="e">
        <f t="shared" si="5"/>
        <v>#NUM!</v>
      </c>
      <c r="K14" s="229" t="e">
        <f t="shared" si="2"/>
        <v>#NUM!</v>
      </c>
      <c r="L14" s="229"/>
      <c r="M14" s="231">
        <f t="shared" si="3"/>
        <v>0</v>
      </c>
      <c r="X14" s="239"/>
      <c r="Z14" s="236"/>
      <c r="AA14" s="236"/>
      <c r="AG14" s="237"/>
      <c r="AH14" s="220" t="s">
        <v>56</v>
      </c>
      <c r="AI14" s="220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32">
        <v>10</v>
      </c>
      <c r="I15" s="233" t="str">
        <f t="shared" si="1"/>
        <v/>
      </c>
      <c r="J15" s="232" t="e">
        <f t="shared" si="5"/>
        <v>#NUM!</v>
      </c>
      <c r="K15" s="232" t="e">
        <f t="shared" si="2"/>
        <v>#NUM!</v>
      </c>
      <c r="L15" s="232"/>
      <c r="M15" s="234">
        <f t="shared" si="3"/>
        <v>0</v>
      </c>
      <c r="X15" s="235"/>
      <c r="Z15" s="236"/>
      <c r="AA15" s="236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29">
        <v>11</v>
      </c>
      <c r="I16" s="230" t="str">
        <f t="shared" si="1"/>
        <v/>
      </c>
      <c r="J16" s="229" t="e">
        <f t="shared" si="5"/>
        <v>#NUM!</v>
      </c>
      <c r="K16" s="229" t="e">
        <f t="shared" si="2"/>
        <v>#NUM!</v>
      </c>
      <c r="L16" s="229"/>
      <c r="M16" s="231">
        <f t="shared" si="3"/>
        <v>0</v>
      </c>
      <c r="R16" s="240"/>
      <c r="Z16" s="236"/>
      <c r="AA16" s="236"/>
      <c r="AH16" s="241" t="s">
        <v>57</v>
      </c>
      <c r="AI16" s="220">
        <f>AI11-AI12*AI13/AI14</f>
        <v>9.6393909380186855</v>
      </c>
      <c r="AJ16" s="220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32">
        <v>12</v>
      </c>
      <c r="I17" s="233" t="str">
        <f t="shared" si="1"/>
        <v/>
      </c>
      <c r="J17" s="232" t="e">
        <f t="shared" si="5"/>
        <v>#NUM!</v>
      </c>
      <c r="K17" s="232" t="e">
        <f t="shared" si="2"/>
        <v>#NUM!</v>
      </c>
      <c r="L17" s="232"/>
      <c r="M17" s="234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29">
        <v>13</v>
      </c>
      <c r="I18" s="230" t="str">
        <f t="shared" si="1"/>
        <v/>
      </c>
      <c r="J18" s="229" t="e">
        <f t="shared" si="5"/>
        <v>#NUM!</v>
      </c>
      <c r="K18" s="229" t="e">
        <f t="shared" si="2"/>
        <v>#NUM!</v>
      </c>
      <c r="L18" s="229"/>
      <c r="M18" s="231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32">
        <v>14</v>
      </c>
      <c r="I19" s="233" t="str">
        <f t="shared" si="1"/>
        <v/>
      </c>
      <c r="J19" s="232" t="e">
        <f t="shared" si="5"/>
        <v>#NUM!</v>
      </c>
      <c r="K19" s="232" t="e">
        <f t="shared" si="2"/>
        <v>#NUM!</v>
      </c>
      <c r="L19" s="232"/>
      <c r="M19" s="234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29">
        <v>15</v>
      </c>
      <c r="I20" s="230" t="str">
        <f t="shared" si="1"/>
        <v/>
      </c>
      <c r="J20" s="229" t="e">
        <f t="shared" si="5"/>
        <v>#NUM!</v>
      </c>
      <c r="K20" s="229" t="e">
        <f t="shared" si="2"/>
        <v>#NUM!</v>
      </c>
      <c r="L20" s="229"/>
      <c r="M20" s="231">
        <f t="shared" si="3"/>
        <v>0</v>
      </c>
      <c r="R20" s="242"/>
      <c r="S20" s="243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32">
        <v>16</v>
      </c>
      <c r="I21" s="233" t="str">
        <f t="shared" si="1"/>
        <v/>
      </c>
      <c r="J21" s="232" t="e">
        <f t="shared" si="5"/>
        <v>#NUM!</v>
      </c>
      <c r="K21" s="232" t="e">
        <f t="shared" si="2"/>
        <v>#NUM!</v>
      </c>
      <c r="L21" s="232"/>
      <c r="M21" s="234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29">
        <v>17</v>
      </c>
      <c r="I22" s="230" t="str">
        <f t="shared" si="1"/>
        <v/>
      </c>
      <c r="J22" s="229" t="e">
        <f t="shared" si="5"/>
        <v>#NUM!</v>
      </c>
      <c r="K22" s="229" t="e">
        <f t="shared" si="2"/>
        <v>#NUM!</v>
      </c>
      <c r="L22" s="229"/>
      <c r="M22" s="231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32">
        <v>18</v>
      </c>
      <c r="I23" s="233" t="str">
        <f t="shared" si="1"/>
        <v/>
      </c>
      <c r="J23" s="232" t="e">
        <f t="shared" si="5"/>
        <v>#NUM!</v>
      </c>
      <c r="K23" s="232" t="e">
        <f t="shared" si="2"/>
        <v>#NUM!</v>
      </c>
      <c r="L23" s="232"/>
      <c r="M23" s="234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29">
        <v>19</v>
      </c>
      <c r="I24" s="230" t="str">
        <f t="shared" si="1"/>
        <v/>
      </c>
      <c r="J24" s="229" t="e">
        <f t="shared" si="5"/>
        <v>#NUM!</v>
      </c>
      <c r="K24" s="229" t="e">
        <f t="shared" si="2"/>
        <v>#NUM!</v>
      </c>
      <c r="L24" s="229"/>
      <c r="M24" s="231">
        <f t="shared" si="3"/>
        <v>0</v>
      </c>
      <c r="R24" s="242"/>
      <c r="S24" s="243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32">
        <v>20</v>
      </c>
      <c r="I25" s="233" t="str">
        <f t="shared" si="1"/>
        <v/>
      </c>
      <c r="J25" s="232" t="e">
        <f t="shared" si="5"/>
        <v>#NUM!</v>
      </c>
      <c r="K25" s="232" t="e">
        <f t="shared" si="2"/>
        <v>#NUM!</v>
      </c>
      <c r="L25" s="232"/>
      <c r="M25" s="234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29">
        <v>21</v>
      </c>
      <c r="I26" s="230" t="str">
        <f t="shared" si="1"/>
        <v/>
      </c>
      <c r="J26" s="229" t="e">
        <f t="shared" si="5"/>
        <v>#NUM!</v>
      </c>
      <c r="K26" s="229" t="e">
        <f t="shared" si="2"/>
        <v>#NUM!</v>
      </c>
      <c r="L26" s="229"/>
      <c r="M26" s="231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32">
        <v>22</v>
      </c>
      <c r="I27" s="233" t="str">
        <f t="shared" si="1"/>
        <v/>
      </c>
      <c r="J27" s="232" t="e">
        <f t="shared" si="5"/>
        <v>#NUM!</v>
      </c>
      <c r="K27" s="232" t="e">
        <f t="shared" si="2"/>
        <v>#NUM!</v>
      </c>
      <c r="L27" s="232"/>
      <c r="M27" s="234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29">
        <v>23</v>
      </c>
      <c r="I28" s="230" t="str">
        <f t="shared" si="1"/>
        <v/>
      </c>
      <c r="J28" s="229" t="e">
        <f t="shared" si="5"/>
        <v>#NUM!</v>
      </c>
      <c r="K28" s="229" t="e">
        <f t="shared" si="2"/>
        <v>#NUM!</v>
      </c>
      <c r="L28" s="229"/>
      <c r="M28" s="231">
        <f t="shared" si="3"/>
        <v>0</v>
      </c>
      <c r="R28" s="242"/>
      <c r="S28" s="243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215"/>
      <c r="H29" s="232">
        <v>24</v>
      </c>
      <c r="I29" s="233" t="str">
        <f t="shared" si="1"/>
        <v/>
      </c>
      <c r="J29" s="232" t="e">
        <f t="shared" si="5"/>
        <v>#NUM!</v>
      </c>
      <c r="K29" s="232" t="e">
        <f t="shared" si="2"/>
        <v>#NUM!</v>
      </c>
      <c r="L29" s="232"/>
      <c r="M29" s="234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215"/>
      <c r="H30" s="229">
        <v>25</v>
      </c>
      <c r="I30" s="230" t="str">
        <f t="shared" si="1"/>
        <v/>
      </c>
      <c r="J30" s="229" t="e">
        <f t="shared" si="5"/>
        <v>#NUM!</v>
      </c>
      <c r="K30" s="229" t="e">
        <f t="shared" si="2"/>
        <v>#NUM!</v>
      </c>
      <c r="L30" s="229"/>
      <c r="M30" s="231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215"/>
      <c r="H31" s="232">
        <v>26</v>
      </c>
      <c r="I31" s="233" t="str">
        <f t="shared" si="1"/>
        <v/>
      </c>
      <c r="J31" s="232" t="e">
        <f t="shared" si="5"/>
        <v>#NUM!</v>
      </c>
      <c r="K31" s="232" t="e">
        <f t="shared" si="2"/>
        <v>#NUM!</v>
      </c>
      <c r="L31" s="232"/>
      <c r="M31" s="234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215"/>
      <c r="H32" s="229">
        <v>27</v>
      </c>
      <c r="I32" s="230" t="str">
        <f t="shared" si="1"/>
        <v/>
      </c>
      <c r="J32" s="229" t="e">
        <f t="shared" si="5"/>
        <v>#NUM!</v>
      </c>
      <c r="K32" s="229" t="e">
        <f t="shared" si="2"/>
        <v>#NUM!</v>
      </c>
      <c r="L32" s="229"/>
      <c r="M32" s="231">
        <f t="shared" si="3"/>
        <v>0</v>
      </c>
      <c r="R32" s="242"/>
      <c r="S32" s="243"/>
    </row>
    <row r="33" spans="1:19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215"/>
      <c r="H33" s="232">
        <v>28</v>
      </c>
      <c r="I33" s="233" t="str">
        <f t="shared" si="1"/>
        <v/>
      </c>
      <c r="J33" s="232" t="e">
        <f t="shared" si="5"/>
        <v>#NUM!</v>
      </c>
      <c r="K33" s="232" t="e">
        <f t="shared" si="2"/>
        <v>#NUM!</v>
      </c>
      <c r="L33" s="232"/>
      <c r="M33" s="234">
        <f t="shared" si="3"/>
        <v>0</v>
      </c>
    </row>
    <row r="34" spans="1:19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215"/>
      <c r="H34" s="229">
        <v>29</v>
      </c>
      <c r="I34" s="230" t="str">
        <f t="shared" si="1"/>
        <v/>
      </c>
      <c r="J34" s="229" t="e">
        <f t="shared" si="5"/>
        <v>#NUM!</v>
      </c>
      <c r="K34" s="229" t="e">
        <f t="shared" si="2"/>
        <v>#NUM!</v>
      </c>
      <c r="L34" s="229"/>
      <c r="M34" s="231">
        <f t="shared" si="3"/>
        <v>0</v>
      </c>
    </row>
    <row r="35" spans="1:19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215"/>
      <c r="H35" s="232">
        <v>30</v>
      </c>
      <c r="I35" s="233" t="str">
        <f t="shared" si="1"/>
        <v/>
      </c>
      <c r="J35" s="232" t="e">
        <f t="shared" si="5"/>
        <v>#NUM!</v>
      </c>
      <c r="K35" s="232" t="e">
        <f t="shared" si="2"/>
        <v>#NUM!</v>
      </c>
      <c r="L35" s="232"/>
      <c r="M35" s="234">
        <f t="shared" si="3"/>
        <v>0</v>
      </c>
    </row>
    <row r="36" spans="1:19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215"/>
      <c r="H36" s="229">
        <v>31</v>
      </c>
      <c r="I36" s="230" t="str">
        <f t="shared" si="1"/>
        <v/>
      </c>
      <c r="J36" s="229" t="e">
        <f t="shared" si="5"/>
        <v>#NUM!</v>
      </c>
      <c r="K36" s="229" t="e">
        <f t="shared" si="2"/>
        <v>#NUM!</v>
      </c>
      <c r="L36" s="229"/>
      <c r="M36" s="231">
        <f t="shared" si="3"/>
        <v>0</v>
      </c>
      <c r="R36" s="242"/>
      <c r="S36" s="243"/>
    </row>
    <row r="37" spans="1:19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215"/>
      <c r="H37" s="232">
        <v>32</v>
      </c>
      <c r="I37" s="233" t="str">
        <f t="shared" si="1"/>
        <v/>
      </c>
      <c r="J37" s="232" t="e">
        <f t="shared" si="5"/>
        <v>#NUM!</v>
      </c>
      <c r="K37" s="232" t="e">
        <f t="shared" si="2"/>
        <v>#NUM!</v>
      </c>
      <c r="L37" s="232"/>
      <c r="M37" s="234">
        <f t="shared" si="3"/>
        <v>0</v>
      </c>
    </row>
    <row r="38" spans="1:19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215"/>
      <c r="H38" s="229">
        <v>33</v>
      </c>
      <c r="I38" s="230" t="str">
        <f t="shared" si="1"/>
        <v/>
      </c>
      <c r="J38" s="229" t="e">
        <f t="shared" si="5"/>
        <v>#NUM!</v>
      </c>
      <c r="K38" s="229" t="e">
        <f t="shared" si="2"/>
        <v>#NUM!</v>
      </c>
      <c r="L38" s="229"/>
      <c r="M38" s="231">
        <f t="shared" si="3"/>
        <v>0</v>
      </c>
    </row>
    <row r="39" spans="1:19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215"/>
      <c r="H39" s="232">
        <v>34</v>
      </c>
      <c r="I39" s="233" t="str">
        <f t="shared" si="1"/>
        <v/>
      </c>
      <c r="J39" s="232" t="e">
        <f t="shared" si="5"/>
        <v>#NUM!</v>
      </c>
      <c r="K39" s="232" t="e">
        <f t="shared" si="2"/>
        <v>#NUM!</v>
      </c>
      <c r="L39" s="232"/>
      <c r="M39" s="234">
        <f t="shared" si="3"/>
        <v>0</v>
      </c>
    </row>
    <row r="40" spans="1:19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215"/>
      <c r="H40" s="229">
        <v>35</v>
      </c>
      <c r="I40" s="230" t="str">
        <f t="shared" si="1"/>
        <v/>
      </c>
      <c r="J40" s="229" t="e">
        <f t="shared" si="5"/>
        <v>#NUM!</v>
      </c>
      <c r="K40" s="229" t="e">
        <f t="shared" si="2"/>
        <v>#NUM!</v>
      </c>
      <c r="L40" s="229"/>
      <c r="M40" s="231">
        <f t="shared" si="3"/>
        <v>0</v>
      </c>
    </row>
    <row r="41" spans="1:19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215"/>
      <c r="H41" s="232">
        <v>36</v>
      </c>
      <c r="I41" s="233" t="str">
        <f t="shared" si="1"/>
        <v/>
      </c>
      <c r="J41" s="232" t="e">
        <f t="shared" si="5"/>
        <v>#NUM!</v>
      </c>
      <c r="K41" s="232" t="e">
        <f t="shared" si="2"/>
        <v>#NUM!</v>
      </c>
      <c r="L41" s="232"/>
      <c r="M41" s="234">
        <f t="shared" si="3"/>
        <v>0</v>
      </c>
      <c r="S41" s="244"/>
    </row>
    <row r="42" spans="1:19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215"/>
      <c r="H42" s="229">
        <v>37</v>
      </c>
      <c r="I42" s="230" t="str">
        <f t="shared" si="1"/>
        <v/>
      </c>
      <c r="J42" s="229" t="e">
        <f t="shared" si="5"/>
        <v>#NUM!</v>
      </c>
      <c r="K42" s="229" t="e">
        <f t="shared" si="2"/>
        <v>#NUM!</v>
      </c>
      <c r="L42" s="229"/>
      <c r="M42" s="231">
        <f t="shared" si="3"/>
        <v>0</v>
      </c>
    </row>
    <row r="43" spans="1:19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215"/>
      <c r="H43" s="232">
        <v>38</v>
      </c>
      <c r="I43" s="233" t="str">
        <f t="shared" si="1"/>
        <v/>
      </c>
      <c r="J43" s="232" t="e">
        <f t="shared" si="5"/>
        <v>#NUM!</v>
      </c>
      <c r="K43" s="232" t="e">
        <f t="shared" si="2"/>
        <v>#NUM!</v>
      </c>
      <c r="L43" s="232"/>
      <c r="M43" s="234">
        <f t="shared" si="3"/>
        <v>0</v>
      </c>
    </row>
    <row r="44" spans="1:19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215"/>
      <c r="H44" s="229">
        <v>39</v>
      </c>
      <c r="I44" s="230" t="str">
        <f t="shared" si="1"/>
        <v/>
      </c>
      <c r="J44" s="229" t="e">
        <f t="shared" si="5"/>
        <v>#NUM!</v>
      </c>
      <c r="K44" s="229" t="e">
        <f t="shared" si="2"/>
        <v>#NUM!</v>
      </c>
      <c r="L44" s="229"/>
      <c r="M44" s="231">
        <f t="shared" si="3"/>
        <v>0</v>
      </c>
    </row>
    <row r="45" spans="1:19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215"/>
      <c r="H45" s="232">
        <v>40</v>
      </c>
      <c r="I45" s="233" t="str">
        <f t="shared" si="1"/>
        <v/>
      </c>
      <c r="J45" s="232" t="e">
        <f t="shared" si="5"/>
        <v>#NUM!</v>
      </c>
      <c r="K45" s="232" t="e">
        <f t="shared" si="2"/>
        <v>#NUM!</v>
      </c>
      <c r="L45" s="232"/>
      <c r="M45" s="234">
        <f t="shared" si="3"/>
        <v>0</v>
      </c>
    </row>
    <row r="46" spans="1:19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215"/>
      <c r="H46" s="229">
        <v>41</v>
      </c>
      <c r="I46" s="230" t="str">
        <f t="shared" si="1"/>
        <v/>
      </c>
      <c r="J46" s="229" t="e">
        <f t="shared" si="5"/>
        <v>#NUM!</v>
      </c>
      <c r="K46" s="229" t="e">
        <f t="shared" si="2"/>
        <v>#NUM!</v>
      </c>
      <c r="L46" s="229"/>
      <c r="M46" s="231">
        <f t="shared" si="3"/>
        <v>0</v>
      </c>
    </row>
    <row r="47" spans="1:19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215"/>
      <c r="H47" s="232">
        <v>42</v>
      </c>
      <c r="I47" s="233" t="str">
        <f t="shared" si="1"/>
        <v/>
      </c>
      <c r="J47" s="232" t="e">
        <f t="shared" si="5"/>
        <v>#NUM!</v>
      </c>
      <c r="K47" s="232" t="e">
        <f t="shared" si="2"/>
        <v>#NUM!</v>
      </c>
      <c r="L47" s="232"/>
      <c r="M47" s="234">
        <f t="shared" si="3"/>
        <v>0</v>
      </c>
    </row>
    <row r="48" spans="1:19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215"/>
      <c r="H48" s="229">
        <v>43</v>
      </c>
      <c r="I48" s="230" t="str">
        <f t="shared" si="1"/>
        <v/>
      </c>
      <c r="J48" s="229" t="e">
        <f t="shared" si="5"/>
        <v>#NUM!</v>
      </c>
      <c r="K48" s="229" t="e">
        <f t="shared" si="2"/>
        <v>#NUM!</v>
      </c>
      <c r="L48" s="229"/>
      <c r="M48" s="231">
        <f t="shared" si="3"/>
        <v>0</v>
      </c>
    </row>
    <row r="49" spans="1:38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215"/>
      <c r="H49" s="232">
        <v>44</v>
      </c>
      <c r="I49" s="233" t="str">
        <f t="shared" si="1"/>
        <v/>
      </c>
      <c r="J49" s="232" t="e">
        <f t="shared" si="5"/>
        <v>#NUM!</v>
      </c>
      <c r="K49" s="232" t="e">
        <f t="shared" si="2"/>
        <v>#NUM!</v>
      </c>
      <c r="L49" s="232"/>
      <c r="M49" s="234">
        <f t="shared" si="3"/>
        <v>0</v>
      </c>
    </row>
    <row r="50" spans="1:38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215"/>
      <c r="H50" s="229">
        <v>45</v>
      </c>
      <c r="I50" s="230" t="str">
        <f t="shared" si="1"/>
        <v/>
      </c>
      <c r="J50" s="229" t="e">
        <f t="shared" si="5"/>
        <v>#NUM!</v>
      </c>
      <c r="K50" s="229" t="e">
        <f t="shared" si="2"/>
        <v>#NUM!</v>
      </c>
      <c r="L50" s="229"/>
      <c r="M50" s="231">
        <f t="shared" si="3"/>
        <v>0</v>
      </c>
    </row>
    <row r="51" spans="1:38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215"/>
      <c r="H51" s="232">
        <v>46</v>
      </c>
      <c r="I51" s="233" t="str">
        <f t="shared" si="1"/>
        <v/>
      </c>
      <c r="J51" s="232" t="e">
        <f t="shared" si="5"/>
        <v>#NUM!</v>
      </c>
      <c r="K51" s="232" t="e">
        <f t="shared" si="2"/>
        <v>#NUM!</v>
      </c>
      <c r="L51" s="232"/>
      <c r="M51" s="234">
        <f t="shared" si="3"/>
        <v>0</v>
      </c>
    </row>
    <row r="52" spans="1:38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215"/>
      <c r="H52" s="229">
        <v>47</v>
      </c>
      <c r="I52" s="230" t="str">
        <f t="shared" si="1"/>
        <v/>
      </c>
      <c r="J52" s="229" t="e">
        <f t="shared" si="5"/>
        <v>#NUM!</v>
      </c>
      <c r="K52" s="229" t="e">
        <f t="shared" si="2"/>
        <v>#NUM!</v>
      </c>
      <c r="L52" s="229"/>
      <c r="M52" s="231">
        <f t="shared" si="3"/>
        <v>0</v>
      </c>
    </row>
    <row r="53" spans="1:38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215"/>
      <c r="H53" s="232">
        <v>48</v>
      </c>
      <c r="I53" s="233" t="str">
        <f t="shared" si="1"/>
        <v/>
      </c>
      <c r="J53" s="232" t="e">
        <f t="shared" si="5"/>
        <v>#NUM!</v>
      </c>
      <c r="K53" s="232" t="e">
        <f t="shared" si="2"/>
        <v>#NUM!</v>
      </c>
      <c r="L53" s="232"/>
      <c r="M53" s="234">
        <f t="shared" si="3"/>
        <v>0</v>
      </c>
    </row>
    <row r="54" spans="1:38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215"/>
      <c r="H54" s="229">
        <v>49</v>
      </c>
      <c r="I54" s="230" t="str">
        <f t="shared" si="1"/>
        <v/>
      </c>
      <c r="J54" s="229" t="e">
        <f t="shared" si="5"/>
        <v>#NUM!</v>
      </c>
      <c r="K54" s="229" t="e">
        <f t="shared" si="2"/>
        <v>#NUM!</v>
      </c>
      <c r="L54" s="229"/>
      <c r="M54" s="231">
        <f t="shared" si="3"/>
        <v>0</v>
      </c>
    </row>
    <row r="55" spans="1:38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215"/>
      <c r="H55" s="232">
        <v>50</v>
      </c>
      <c r="I55" s="233" t="str">
        <f t="shared" si="1"/>
        <v/>
      </c>
      <c r="J55" s="232" t="e">
        <f t="shared" si="5"/>
        <v>#NUM!</v>
      </c>
      <c r="K55" s="232" t="e">
        <f t="shared" si="2"/>
        <v>#NUM!</v>
      </c>
      <c r="L55" s="232"/>
      <c r="M55" s="234">
        <f t="shared" si="3"/>
        <v>0</v>
      </c>
    </row>
    <row r="56" spans="1:38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215"/>
      <c r="H56" s="229">
        <v>51</v>
      </c>
      <c r="I56" s="230" t="str">
        <f t="shared" si="1"/>
        <v/>
      </c>
      <c r="J56" s="229" t="e">
        <f t="shared" si="5"/>
        <v>#NUM!</v>
      </c>
      <c r="K56" s="229" t="e">
        <f t="shared" si="2"/>
        <v>#NUM!</v>
      </c>
      <c r="L56" s="229"/>
      <c r="M56" s="231">
        <f t="shared" si="3"/>
        <v>0</v>
      </c>
    </row>
    <row r="57" spans="1:38" s="215" customFormat="1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H57" s="232">
        <v>52</v>
      </c>
      <c r="I57" s="233" t="str">
        <f t="shared" si="1"/>
        <v/>
      </c>
      <c r="J57" s="232" t="e">
        <f t="shared" si="5"/>
        <v>#NUM!</v>
      </c>
      <c r="K57" s="232" t="e">
        <f t="shared" si="2"/>
        <v>#NUM!</v>
      </c>
      <c r="L57" s="232"/>
      <c r="M57" s="234">
        <f t="shared" si="3"/>
        <v>0</v>
      </c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</row>
    <row r="58" spans="1:38" s="215" customFormat="1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H58" s="229">
        <v>53</v>
      </c>
      <c r="I58" s="230" t="str">
        <f t="shared" si="1"/>
        <v/>
      </c>
      <c r="J58" s="229" t="e">
        <f t="shared" si="5"/>
        <v>#NUM!</v>
      </c>
      <c r="K58" s="229" t="e">
        <f t="shared" si="2"/>
        <v>#NUM!</v>
      </c>
      <c r="L58" s="229"/>
      <c r="M58" s="231">
        <f t="shared" si="3"/>
        <v>0</v>
      </c>
      <c r="S58" s="220"/>
      <c r="T58" s="220"/>
      <c r="U58" s="220"/>
      <c r="V58" s="220"/>
      <c r="W58" s="220"/>
      <c r="X58" s="220"/>
      <c r="Y58" s="220"/>
      <c r="Z58" s="220"/>
      <c r="AA58" s="220"/>
      <c r="AB58" s="220"/>
      <c r="AC58" s="220"/>
      <c r="AD58" s="220"/>
      <c r="AE58" s="220"/>
      <c r="AF58" s="220"/>
      <c r="AG58" s="220"/>
      <c r="AH58" s="220"/>
      <c r="AI58" s="220"/>
      <c r="AJ58" s="220"/>
      <c r="AK58" s="220"/>
      <c r="AL58" s="220"/>
    </row>
    <row r="59" spans="1:38" s="215" customFormat="1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H59" s="232">
        <v>54</v>
      </c>
      <c r="I59" s="233" t="str">
        <f t="shared" si="1"/>
        <v/>
      </c>
      <c r="J59" s="232" t="e">
        <f t="shared" si="5"/>
        <v>#NUM!</v>
      </c>
      <c r="K59" s="232" t="e">
        <f t="shared" si="2"/>
        <v>#NUM!</v>
      </c>
      <c r="L59" s="232"/>
      <c r="M59" s="234">
        <f t="shared" si="3"/>
        <v>0</v>
      </c>
      <c r="S59" s="220"/>
      <c r="T59" s="220"/>
      <c r="U59" s="220"/>
      <c r="V59" s="220"/>
      <c r="W59" s="220"/>
      <c r="X59" s="220"/>
      <c r="Y59" s="220"/>
      <c r="Z59" s="220"/>
      <c r="AA59" s="220"/>
      <c r="AB59" s="220"/>
      <c r="AC59" s="220"/>
      <c r="AD59" s="220"/>
      <c r="AE59" s="220"/>
      <c r="AF59" s="220"/>
      <c r="AG59" s="220"/>
      <c r="AH59" s="220"/>
      <c r="AI59" s="220"/>
      <c r="AJ59" s="220"/>
      <c r="AK59" s="220"/>
      <c r="AL59" s="220"/>
    </row>
    <row r="60" spans="1:38" s="215" customFormat="1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H60" s="229">
        <v>55</v>
      </c>
      <c r="I60" s="230" t="str">
        <f t="shared" si="1"/>
        <v/>
      </c>
      <c r="J60" s="229" t="e">
        <f t="shared" si="5"/>
        <v>#NUM!</v>
      </c>
      <c r="K60" s="229" t="e">
        <f t="shared" si="2"/>
        <v>#NUM!</v>
      </c>
      <c r="L60" s="229"/>
      <c r="M60" s="231">
        <f t="shared" si="3"/>
        <v>0</v>
      </c>
      <c r="S60" s="220"/>
      <c r="T60" s="220"/>
      <c r="U60" s="220"/>
      <c r="V60" s="220"/>
      <c r="W60" s="220"/>
      <c r="X60" s="220"/>
      <c r="Y60" s="220"/>
      <c r="Z60" s="220"/>
      <c r="AA60" s="220"/>
      <c r="AB60" s="220"/>
      <c r="AC60" s="220"/>
      <c r="AD60" s="220"/>
      <c r="AE60" s="220"/>
      <c r="AF60" s="220"/>
      <c r="AG60" s="220"/>
      <c r="AH60" s="220"/>
      <c r="AI60" s="220"/>
      <c r="AJ60" s="220"/>
      <c r="AK60" s="220"/>
      <c r="AL60" s="220"/>
    </row>
    <row r="61" spans="1:38" s="215" customFormat="1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H61" s="232">
        <v>56</v>
      </c>
      <c r="I61" s="233" t="str">
        <f t="shared" si="1"/>
        <v/>
      </c>
      <c r="J61" s="232" t="e">
        <f t="shared" si="5"/>
        <v>#NUM!</v>
      </c>
      <c r="K61" s="232" t="e">
        <f t="shared" si="2"/>
        <v>#NUM!</v>
      </c>
      <c r="L61" s="232"/>
      <c r="M61" s="234">
        <f t="shared" si="3"/>
        <v>0</v>
      </c>
      <c r="S61" s="220"/>
      <c r="T61" s="220"/>
      <c r="U61" s="220"/>
      <c r="V61" s="220"/>
      <c r="W61" s="220"/>
      <c r="X61" s="220"/>
      <c r="Y61" s="220"/>
      <c r="Z61" s="220"/>
      <c r="AA61" s="220"/>
      <c r="AB61" s="220"/>
      <c r="AC61" s="220"/>
      <c r="AD61" s="220"/>
      <c r="AE61" s="220"/>
      <c r="AF61" s="220"/>
      <c r="AG61" s="220"/>
      <c r="AH61" s="220"/>
      <c r="AI61" s="220"/>
      <c r="AJ61" s="220"/>
      <c r="AK61" s="220"/>
      <c r="AL61" s="220"/>
    </row>
    <row r="62" spans="1:38" s="215" customFormat="1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H62" s="229">
        <v>57</v>
      </c>
      <c r="I62" s="230" t="str">
        <f t="shared" si="1"/>
        <v/>
      </c>
      <c r="J62" s="229" t="e">
        <f t="shared" si="5"/>
        <v>#NUM!</v>
      </c>
      <c r="K62" s="229" t="e">
        <f t="shared" si="2"/>
        <v>#NUM!</v>
      </c>
      <c r="L62" s="229"/>
      <c r="M62" s="231">
        <f t="shared" si="3"/>
        <v>0</v>
      </c>
      <c r="S62" s="220"/>
      <c r="T62" s="220"/>
      <c r="U62" s="220"/>
      <c r="V62" s="220"/>
      <c r="W62" s="220"/>
      <c r="X62" s="220"/>
      <c r="Y62" s="220"/>
      <c r="Z62" s="220"/>
      <c r="AA62" s="220"/>
      <c r="AB62" s="220"/>
      <c r="AC62" s="220"/>
      <c r="AD62" s="220"/>
      <c r="AE62" s="220"/>
      <c r="AF62" s="220"/>
      <c r="AG62" s="220"/>
      <c r="AH62" s="220"/>
      <c r="AI62" s="220"/>
      <c r="AJ62" s="220"/>
      <c r="AK62" s="220"/>
      <c r="AL62" s="220"/>
    </row>
    <row r="63" spans="1:38" s="215" customFormat="1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H63" s="232">
        <v>58</v>
      </c>
      <c r="I63" s="233" t="str">
        <f t="shared" si="1"/>
        <v/>
      </c>
      <c r="J63" s="232" t="e">
        <f t="shared" si="5"/>
        <v>#NUM!</v>
      </c>
      <c r="K63" s="232" t="e">
        <f t="shared" si="2"/>
        <v>#NUM!</v>
      </c>
      <c r="L63" s="232"/>
      <c r="M63" s="234">
        <f t="shared" si="3"/>
        <v>0</v>
      </c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</row>
    <row r="64" spans="1:38" s="215" customFormat="1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H64" s="229">
        <v>59</v>
      </c>
      <c r="I64" s="230" t="str">
        <f t="shared" si="1"/>
        <v/>
      </c>
      <c r="J64" s="229" t="e">
        <f t="shared" si="5"/>
        <v>#NUM!</v>
      </c>
      <c r="K64" s="229" t="e">
        <f t="shared" si="2"/>
        <v>#NUM!</v>
      </c>
      <c r="L64" s="229"/>
      <c r="M64" s="231">
        <f t="shared" si="3"/>
        <v>0</v>
      </c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</row>
    <row r="65" spans="1:38" s="215" customFormat="1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H65" s="232">
        <v>60</v>
      </c>
      <c r="I65" s="233" t="str">
        <f t="shared" si="1"/>
        <v/>
      </c>
      <c r="J65" s="232" t="e">
        <f t="shared" si="5"/>
        <v>#NUM!</v>
      </c>
      <c r="K65" s="232" t="e">
        <f t="shared" si="2"/>
        <v>#NUM!</v>
      </c>
      <c r="L65" s="232"/>
      <c r="M65" s="234">
        <f t="shared" si="3"/>
        <v>0</v>
      </c>
      <c r="S65" s="220"/>
      <c r="T65" s="220"/>
      <c r="U65" s="220"/>
      <c r="V65" s="220"/>
      <c r="W65" s="220"/>
      <c r="X65" s="220"/>
      <c r="Y65" s="220"/>
      <c r="Z65" s="220"/>
      <c r="AA65" s="220"/>
      <c r="AB65" s="220"/>
      <c r="AC65" s="220"/>
      <c r="AD65" s="220"/>
      <c r="AE65" s="220"/>
      <c r="AF65" s="220"/>
      <c r="AG65" s="220"/>
      <c r="AH65" s="220"/>
      <c r="AI65" s="220"/>
      <c r="AJ65" s="220"/>
      <c r="AK65" s="220"/>
      <c r="AL65" s="220"/>
    </row>
    <row r="66" spans="1:38" s="215" customFormat="1" x14ac:dyDescent="0.25">
      <c r="A66" s="94">
        <f t="shared" si="4"/>
        <v>0</v>
      </c>
      <c r="B66" s="34" t="str">
        <f t="shared" si="0"/>
        <v/>
      </c>
      <c r="C66" s="35"/>
      <c r="D66" s="35"/>
      <c r="E66" s="35"/>
      <c r="F66" s="35"/>
      <c r="H66" s="229">
        <v>61</v>
      </c>
      <c r="I66" s="230" t="str">
        <f t="shared" si="1"/>
        <v/>
      </c>
      <c r="J66" s="229" t="e">
        <f t="shared" si="5"/>
        <v>#NUM!</v>
      </c>
      <c r="K66" s="229" t="e">
        <f t="shared" si="2"/>
        <v>#NUM!</v>
      </c>
      <c r="L66" s="229"/>
      <c r="M66" s="231">
        <f t="shared" si="3"/>
        <v>0</v>
      </c>
      <c r="S66" s="220"/>
      <c r="T66" s="220"/>
      <c r="U66" s="220"/>
      <c r="V66" s="220"/>
      <c r="W66" s="220"/>
      <c r="X66" s="220"/>
      <c r="Y66" s="220"/>
      <c r="Z66" s="220"/>
      <c r="AA66" s="220"/>
      <c r="AB66" s="220"/>
      <c r="AC66" s="220"/>
      <c r="AD66" s="220"/>
      <c r="AE66" s="220"/>
      <c r="AF66" s="220"/>
      <c r="AG66" s="220"/>
      <c r="AH66" s="220"/>
      <c r="AI66" s="220"/>
      <c r="AJ66" s="220"/>
      <c r="AK66" s="220"/>
      <c r="AL66" s="220"/>
    </row>
    <row r="67" spans="1:38" s="215" customFormat="1" x14ac:dyDescent="0.25">
      <c r="A67" s="98">
        <f t="shared" si="4"/>
        <v>0</v>
      </c>
      <c r="B67" s="40" t="str">
        <f t="shared" si="0"/>
        <v/>
      </c>
      <c r="C67" s="41"/>
      <c r="D67" s="41"/>
      <c r="E67" s="41"/>
      <c r="F67" s="41"/>
      <c r="H67" s="232">
        <v>62</v>
      </c>
      <c r="I67" s="233" t="str">
        <f t="shared" si="1"/>
        <v/>
      </c>
      <c r="J67" s="232" t="e">
        <f t="shared" si="5"/>
        <v>#NUM!</v>
      </c>
      <c r="K67" s="232" t="e">
        <f t="shared" si="2"/>
        <v>#NUM!</v>
      </c>
      <c r="L67" s="232"/>
      <c r="M67" s="234">
        <f t="shared" si="3"/>
        <v>0</v>
      </c>
      <c r="S67" s="220"/>
      <c r="T67" s="220"/>
      <c r="U67" s="220"/>
      <c r="V67" s="220"/>
      <c r="W67" s="220"/>
      <c r="X67" s="220"/>
      <c r="Y67" s="220"/>
      <c r="Z67" s="220"/>
      <c r="AA67" s="220"/>
      <c r="AB67" s="220"/>
      <c r="AC67" s="220"/>
      <c r="AD67" s="220"/>
      <c r="AE67" s="220"/>
      <c r="AF67" s="220"/>
      <c r="AG67" s="220"/>
      <c r="AH67" s="220"/>
      <c r="AI67" s="220"/>
      <c r="AJ67" s="220"/>
      <c r="AK67" s="220"/>
      <c r="AL67" s="220"/>
    </row>
    <row r="68" spans="1:38" s="215" customFormat="1" x14ac:dyDescent="0.25">
      <c r="A68" s="94">
        <f t="shared" si="4"/>
        <v>0</v>
      </c>
      <c r="B68" s="34" t="str">
        <f t="shared" si="0"/>
        <v/>
      </c>
      <c r="C68" s="35"/>
      <c r="D68" s="35"/>
      <c r="E68" s="35"/>
      <c r="F68" s="35"/>
      <c r="H68" s="229">
        <v>63</v>
      </c>
      <c r="I68" s="230" t="str">
        <f t="shared" si="1"/>
        <v/>
      </c>
      <c r="J68" s="229" t="e">
        <f t="shared" si="5"/>
        <v>#NUM!</v>
      </c>
      <c r="K68" s="229" t="e">
        <f t="shared" si="2"/>
        <v>#NUM!</v>
      </c>
      <c r="L68" s="229"/>
      <c r="M68" s="231">
        <f t="shared" si="3"/>
        <v>0</v>
      </c>
      <c r="S68" s="220"/>
      <c r="T68" s="220"/>
      <c r="U68" s="220"/>
      <c r="V68" s="220"/>
      <c r="W68" s="220"/>
      <c r="X68" s="220"/>
      <c r="Y68" s="220"/>
      <c r="Z68" s="220"/>
      <c r="AA68" s="220"/>
      <c r="AB68" s="220"/>
      <c r="AC68" s="220"/>
      <c r="AD68" s="220"/>
      <c r="AE68" s="220"/>
      <c r="AF68" s="220"/>
      <c r="AG68" s="220"/>
      <c r="AH68" s="220"/>
      <c r="AI68" s="220"/>
      <c r="AJ68" s="220"/>
      <c r="AK68" s="220"/>
      <c r="AL68" s="220"/>
    </row>
    <row r="69" spans="1:38" s="215" customFormat="1" x14ac:dyDescent="0.25">
      <c r="A69" s="98">
        <f t="shared" si="4"/>
        <v>0</v>
      </c>
      <c r="B69" s="40" t="str">
        <f t="shared" si="0"/>
        <v/>
      </c>
      <c r="C69" s="41"/>
      <c r="D69" s="41"/>
      <c r="E69" s="41"/>
      <c r="F69" s="41"/>
      <c r="H69" s="232">
        <v>64</v>
      </c>
      <c r="I69" s="233" t="str">
        <f t="shared" si="1"/>
        <v/>
      </c>
      <c r="J69" s="232" t="e">
        <f t="shared" si="5"/>
        <v>#NUM!</v>
      </c>
      <c r="K69" s="232" t="e">
        <f t="shared" si="2"/>
        <v>#NUM!</v>
      </c>
      <c r="L69" s="232"/>
      <c r="M69" s="234">
        <f t="shared" si="3"/>
        <v>0</v>
      </c>
      <c r="S69" s="220"/>
      <c r="T69" s="220"/>
      <c r="U69" s="220"/>
      <c r="V69" s="220"/>
      <c r="W69" s="220"/>
      <c r="X69" s="220"/>
      <c r="Y69" s="220"/>
      <c r="Z69" s="220"/>
      <c r="AA69" s="220"/>
      <c r="AB69" s="220"/>
      <c r="AC69" s="220"/>
      <c r="AD69" s="220"/>
      <c r="AE69" s="220"/>
      <c r="AF69" s="220"/>
      <c r="AG69" s="220"/>
      <c r="AH69" s="220"/>
      <c r="AI69" s="220"/>
      <c r="AJ69" s="220"/>
      <c r="AK69" s="220"/>
      <c r="AL69" s="220"/>
    </row>
    <row r="70" spans="1:38" s="215" customFormat="1" x14ac:dyDescent="0.25">
      <c r="A70" s="94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29">
        <v>65</v>
      </c>
      <c r="I70" s="230" t="str">
        <f t="shared" ref="I70:I133" si="7">IF(H70&lt;$H$2+1,($I$2-($I$2-1)*(LOG(H70)/LOG($H$2))),"")</f>
        <v/>
      </c>
      <c r="J70" s="229" t="e">
        <f t="shared" si="5"/>
        <v>#NUM!</v>
      </c>
      <c r="K70" s="229" t="e">
        <f t="shared" ref="K70:K133" si="8">J70*$J$2</f>
        <v>#NUM!</v>
      </c>
      <c r="L70" s="229"/>
      <c r="M70" s="231">
        <f t="shared" ref="M70:M133" si="9">IF(I70&lt;&gt;"",K70+I70+L70,0)</f>
        <v>0</v>
      </c>
      <c r="S70" s="220"/>
      <c r="T70" s="220"/>
      <c r="U70" s="220"/>
      <c r="V70" s="220"/>
      <c r="W70" s="220"/>
      <c r="X70" s="220"/>
      <c r="Y70" s="220"/>
      <c r="Z70" s="220"/>
      <c r="AA70" s="220"/>
      <c r="AB70" s="220"/>
      <c r="AC70" s="220"/>
      <c r="AD70" s="220"/>
      <c r="AE70" s="220"/>
      <c r="AF70" s="220"/>
      <c r="AG70" s="220"/>
      <c r="AH70" s="220"/>
      <c r="AI70" s="220"/>
      <c r="AJ70" s="220"/>
      <c r="AK70" s="220"/>
      <c r="AL70" s="220"/>
    </row>
    <row r="71" spans="1:38" s="215" customFormat="1" x14ac:dyDescent="0.25">
      <c r="A71" s="98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32">
        <v>66</v>
      </c>
      <c r="I71" s="233" t="str">
        <f t="shared" si="7"/>
        <v/>
      </c>
      <c r="J71" s="232" t="e">
        <f t="shared" ref="J71:J134" si="11">INT(LOG($H$2,2))-ROUNDUP(LOG(H71,2),0)+IF(OR($H$2=1,$H$2=2,$H$2=4,$H$2=8,$H$2=16,$H$2=32,$H$2=64,$H$2=128,$H$2=256),0,1)</f>
        <v>#NUM!</v>
      </c>
      <c r="K71" s="232" t="e">
        <f t="shared" si="8"/>
        <v>#NUM!</v>
      </c>
      <c r="L71" s="232"/>
      <c r="M71" s="234">
        <f t="shared" si="9"/>
        <v>0</v>
      </c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0"/>
      <c r="AI71" s="220"/>
      <c r="AJ71" s="220"/>
      <c r="AK71" s="220"/>
      <c r="AL71" s="220"/>
    </row>
    <row r="72" spans="1:38" s="215" customFormat="1" x14ac:dyDescent="0.25">
      <c r="A72" s="94">
        <f t="shared" si="10"/>
        <v>0</v>
      </c>
      <c r="B72" s="34" t="str">
        <f t="shared" si="6"/>
        <v/>
      </c>
      <c r="C72" s="35"/>
      <c r="D72" s="35"/>
      <c r="E72" s="35"/>
      <c r="F72" s="35"/>
      <c r="H72" s="229">
        <v>67</v>
      </c>
      <c r="I72" s="230" t="str">
        <f t="shared" si="7"/>
        <v/>
      </c>
      <c r="J72" s="229" t="e">
        <f t="shared" si="11"/>
        <v>#NUM!</v>
      </c>
      <c r="K72" s="229" t="e">
        <f t="shared" si="8"/>
        <v>#NUM!</v>
      </c>
      <c r="L72" s="229"/>
      <c r="M72" s="231">
        <f t="shared" si="9"/>
        <v>0</v>
      </c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0"/>
      <c r="AI72" s="220"/>
      <c r="AJ72" s="220"/>
      <c r="AK72" s="220"/>
      <c r="AL72" s="220"/>
    </row>
    <row r="73" spans="1:38" s="215" customFormat="1" x14ac:dyDescent="0.25">
      <c r="A73" s="98">
        <f t="shared" si="10"/>
        <v>0</v>
      </c>
      <c r="B73" s="40" t="str">
        <f t="shared" si="6"/>
        <v/>
      </c>
      <c r="C73" s="41"/>
      <c r="D73" s="41"/>
      <c r="E73" s="41"/>
      <c r="F73" s="41"/>
      <c r="H73" s="232">
        <v>68</v>
      </c>
      <c r="I73" s="233" t="str">
        <f t="shared" si="7"/>
        <v/>
      </c>
      <c r="J73" s="232" t="e">
        <f t="shared" si="11"/>
        <v>#NUM!</v>
      </c>
      <c r="K73" s="232" t="e">
        <f t="shared" si="8"/>
        <v>#NUM!</v>
      </c>
      <c r="L73" s="232"/>
      <c r="M73" s="234">
        <f t="shared" si="9"/>
        <v>0</v>
      </c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0"/>
      <c r="AI73" s="220"/>
      <c r="AJ73" s="220"/>
      <c r="AK73" s="220"/>
      <c r="AL73" s="220"/>
    </row>
    <row r="74" spans="1:38" s="215" customFormat="1" x14ac:dyDescent="0.25">
      <c r="A74" s="94">
        <f t="shared" si="10"/>
        <v>0</v>
      </c>
      <c r="B74" s="34" t="str">
        <f t="shared" si="6"/>
        <v/>
      </c>
      <c r="C74" s="35"/>
      <c r="D74" s="35"/>
      <c r="E74" s="35"/>
      <c r="F74" s="35"/>
      <c r="H74" s="229">
        <v>69</v>
      </c>
      <c r="I74" s="230" t="str">
        <f t="shared" si="7"/>
        <v/>
      </c>
      <c r="J74" s="229" t="e">
        <f t="shared" si="11"/>
        <v>#NUM!</v>
      </c>
      <c r="K74" s="229" t="e">
        <f t="shared" si="8"/>
        <v>#NUM!</v>
      </c>
      <c r="L74" s="229"/>
      <c r="M74" s="231">
        <f t="shared" si="9"/>
        <v>0</v>
      </c>
      <c r="S74" s="220"/>
      <c r="T74" s="220"/>
      <c r="U74" s="220"/>
      <c r="V74" s="220"/>
      <c r="W74" s="220"/>
      <c r="X74" s="220"/>
      <c r="Y74" s="220"/>
      <c r="Z74" s="220"/>
      <c r="AA74" s="220"/>
      <c r="AB74" s="220"/>
      <c r="AC74" s="220"/>
      <c r="AD74" s="220"/>
      <c r="AE74" s="220"/>
      <c r="AF74" s="220"/>
      <c r="AG74" s="220"/>
      <c r="AH74" s="220"/>
      <c r="AI74" s="220"/>
      <c r="AJ74" s="220"/>
      <c r="AK74" s="220"/>
      <c r="AL74" s="220"/>
    </row>
    <row r="75" spans="1:38" s="215" customFormat="1" x14ac:dyDescent="0.25">
      <c r="A75" s="98">
        <f t="shared" si="10"/>
        <v>0</v>
      </c>
      <c r="B75" s="40" t="str">
        <f t="shared" si="6"/>
        <v/>
      </c>
      <c r="C75" s="41"/>
      <c r="D75" s="41"/>
      <c r="E75" s="41"/>
      <c r="F75" s="41"/>
      <c r="H75" s="232">
        <v>70</v>
      </c>
      <c r="I75" s="233" t="str">
        <f t="shared" si="7"/>
        <v/>
      </c>
      <c r="J75" s="232" t="e">
        <f t="shared" si="11"/>
        <v>#NUM!</v>
      </c>
      <c r="K75" s="232" t="e">
        <f t="shared" si="8"/>
        <v>#NUM!</v>
      </c>
      <c r="L75" s="232"/>
      <c r="M75" s="234">
        <f t="shared" si="9"/>
        <v>0</v>
      </c>
      <c r="S75" s="220"/>
      <c r="T75" s="220"/>
      <c r="U75" s="220"/>
      <c r="V75" s="220"/>
      <c r="W75" s="220"/>
      <c r="X75" s="220"/>
      <c r="Y75" s="220"/>
      <c r="Z75" s="220"/>
      <c r="AA75" s="220"/>
      <c r="AB75" s="220"/>
      <c r="AC75" s="220"/>
      <c r="AD75" s="220"/>
      <c r="AE75" s="220"/>
      <c r="AF75" s="220"/>
      <c r="AG75" s="220"/>
      <c r="AH75" s="220"/>
      <c r="AI75" s="220"/>
      <c r="AJ75" s="220"/>
      <c r="AK75" s="220"/>
      <c r="AL75" s="220"/>
    </row>
    <row r="76" spans="1:38" s="215" customFormat="1" x14ac:dyDescent="0.25">
      <c r="A76" s="94">
        <f t="shared" si="10"/>
        <v>0</v>
      </c>
      <c r="B76" s="34" t="str">
        <f t="shared" si="6"/>
        <v/>
      </c>
      <c r="C76" s="35"/>
      <c r="D76" s="35"/>
      <c r="E76" s="35"/>
      <c r="F76" s="35"/>
      <c r="H76" s="229">
        <v>71</v>
      </c>
      <c r="I76" s="230" t="str">
        <f t="shared" si="7"/>
        <v/>
      </c>
      <c r="J76" s="229" t="e">
        <f t="shared" si="11"/>
        <v>#NUM!</v>
      </c>
      <c r="K76" s="229" t="e">
        <f t="shared" si="8"/>
        <v>#NUM!</v>
      </c>
      <c r="L76" s="229"/>
      <c r="M76" s="231">
        <f t="shared" si="9"/>
        <v>0</v>
      </c>
      <c r="S76" s="220"/>
      <c r="T76" s="220"/>
      <c r="U76" s="220"/>
      <c r="V76" s="220"/>
      <c r="W76" s="220"/>
      <c r="X76" s="220"/>
      <c r="Y76" s="220"/>
      <c r="Z76" s="220"/>
      <c r="AA76" s="220"/>
      <c r="AB76" s="220"/>
      <c r="AC76" s="220"/>
      <c r="AD76" s="220"/>
      <c r="AE76" s="220"/>
      <c r="AF76" s="220"/>
      <c r="AG76" s="220"/>
      <c r="AH76" s="220"/>
      <c r="AI76" s="220"/>
      <c r="AJ76" s="220"/>
      <c r="AK76" s="220"/>
      <c r="AL76" s="220"/>
    </row>
    <row r="77" spans="1:38" s="215" customFormat="1" x14ac:dyDescent="0.25">
      <c r="A77" s="98">
        <f t="shared" si="10"/>
        <v>0</v>
      </c>
      <c r="B77" s="40" t="str">
        <f t="shared" si="6"/>
        <v/>
      </c>
      <c r="C77" s="41"/>
      <c r="D77" s="41"/>
      <c r="E77" s="41"/>
      <c r="F77" s="41"/>
      <c r="H77" s="232">
        <v>72</v>
      </c>
      <c r="I77" s="233" t="str">
        <f t="shared" si="7"/>
        <v/>
      </c>
      <c r="J77" s="232" t="e">
        <f t="shared" si="11"/>
        <v>#NUM!</v>
      </c>
      <c r="K77" s="232" t="e">
        <f t="shared" si="8"/>
        <v>#NUM!</v>
      </c>
      <c r="L77" s="232"/>
      <c r="M77" s="234">
        <f t="shared" si="9"/>
        <v>0</v>
      </c>
      <c r="S77" s="220"/>
      <c r="T77" s="220"/>
      <c r="U77" s="220"/>
      <c r="V77" s="220"/>
      <c r="W77" s="220"/>
      <c r="X77" s="220"/>
      <c r="Y77" s="220"/>
      <c r="Z77" s="220"/>
      <c r="AA77" s="220"/>
      <c r="AB77" s="220"/>
      <c r="AC77" s="220"/>
      <c r="AD77" s="220"/>
      <c r="AE77" s="220"/>
      <c r="AF77" s="220"/>
      <c r="AG77" s="220"/>
      <c r="AH77" s="220"/>
      <c r="AI77" s="220"/>
      <c r="AJ77" s="220"/>
      <c r="AK77" s="220"/>
      <c r="AL77" s="220"/>
    </row>
    <row r="78" spans="1:38" s="215" customFormat="1" x14ac:dyDescent="0.25">
      <c r="A78" s="94">
        <f t="shared" si="10"/>
        <v>0</v>
      </c>
      <c r="B78" s="34" t="str">
        <f t="shared" si="6"/>
        <v/>
      </c>
      <c r="C78" s="35"/>
      <c r="D78" s="35"/>
      <c r="E78" s="35"/>
      <c r="F78" s="35"/>
      <c r="H78" s="229">
        <v>73</v>
      </c>
      <c r="I78" s="230" t="str">
        <f t="shared" si="7"/>
        <v/>
      </c>
      <c r="J78" s="229" t="e">
        <f t="shared" si="11"/>
        <v>#NUM!</v>
      </c>
      <c r="K78" s="229" t="e">
        <f t="shared" si="8"/>
        <v>#NUM!</v>
      </c>
      <c r="L78" s="229"/>
      <c r="M78" s="231">
        <f t="shared" si="9"/>
        <v>0</v>
      </c>
      <c r="S78" s="220"/>
      <c r="T78" s="220"/>
      <c r="U78" s="220"/>
      <c r="V78" s="220"/>
      <c r="W78" s="220"/>
      <c r="X78" s="220"/>
      <c r="Y78" s="220"/>
      <c r="Z78" s="220"/>
      <c r="AA78" s="220"/>
      <c r="AB78" s="220"/>
      <c r="AC78" s="220"/>
      <c r="AD78" s="220"/>
      <c r="AE78" s="220"/>
      <c r="AF78" s="220"/>
      <c r="AG78" s="220"/>
      <c r="AH78" s="220"/>
      <c r="AI78" s="220"/>
      <c r="AJ78" s="220"/>
      <c r="AK78" s="220"/>
      <c r="AL78" s="220"/>
    </row>
    <row r="79" spans="1:38" s="215" customFormat="1" x14ac:dyDescent="0.25">
      <c r="A79" s="98">
        <f t="shared" si="10"/>
        <v>0</v>
      </c>
      <c r="B79" s="40" t="str">
        <f t="shared" si="6"/>
        <v/>
      </c>
      <c r="C79" s="41"/>
      <c r="D79" s="41"/>
      <c r="E79" s="41"/>
      <c r="F79" s="41"/>
      <c r="H79" s="232">
        <v>74</v>
      </c>
      <c r="I79" s="233" t="str">
        <f t="shared" si="7"/>
        <v/>
      </c>
      <c r="J79" s="232" t="e">
        <f t="shared" si="11"/>
        <v>#NUM!</v>
      </c>
      <c r="K79" s="232" t="e">
        <f t="shared" si="8"/>
        <v>#NUM!</v>
      </c>
      <c r="L79" s="232"/>
      <c r="M79" s="234">
        <f t="shared" si="9"/>
        <v>0</v>
      </c>
      <c r="S79" s="220"/>
      <c r="T79" s="220"/>
      <c r="U79" s="220"/>
      <c r="V79" s="220"/>
      <c r="W79" s="220"/>
      <c r="X79" s="220"/>
      <c r="Y79" s="220"/>
      <c r="Z79" s="220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</row>
    <row r="80" spans="1:38" s="215" customFormat="1" x14ac:dyDescent="0.25">
      <c r="A80" s="94">
        <f t="shared" si="10"/>
        <v>0</v>
      </c>
      <c r="B80" s="34" t="str">
        <f t="shared" si="6"/>
        <v/>
      </c>
      <c r="C80" s="35"/>
      <c r="D80" s="35"/>
      <c r="E80" s="35"/>
      <c r="F80" s="35"/>
      <c r="H80" s="229">
        <v>75</v>
      </c>
      <c r="I80" s="230" t="str">
        <f t="shared" si="7"/>
        <v/>
      </c>
      <c r="J80" s="229" t="e">
        <f t="shared" si="11"/>
        <v>#NUM!</v>
      </c>
      <c r="K80" s="229" t="e">
        <f t="shared" si="8"/>
        <v>#NUM!</v>
      </c>
      <c r="L80" s="229"/>
      <c r="M80" s="231">
        <f t="shared" si="9"/>
        <v>0</v>
      </c>
      <c r="S80" s="220"/>
      <c r="T80" s="220"/>
      <c r="U80" s="220"/>
      <c r="V80" s="220"/>
      <c r="W80" s="220"/>
      <c r="X80" s="220"/>
      <c r="Y80" s="220"/>
      <c r="Z80" s="220"/>
      <c r="AA80" s="220"/>
      <c r="AB80" s="220"/>
      <c r="AC80" s="220"/>
      <c r="AD80" s="220"/>
      <c r="AE80" s="220"/>
      <c r="AF80" s="220"/>
      <c r="AG80" s="220"/>
      <c r="AH80" s="220"/>
      <c r="AI80" s="220"/>
      <c r="AJ80" s="220"/>
      <c r="AK80" s="220"/>
      <c r="AL80" s="220"/>
    </row>
    <row r="81" spans="1:38" s="215" customFormat="1" x14ac:dyDescent="0.25">
      <c r="A81" s="98">
        <f t="shared" si="10"/>
        <v>0</v>
      </c>
      <c r="B81" s="40" t="str">
        <f t="shared" si="6"/>
        <v/>
      </c>
      <c r="C81" s="41"/>
      <c r="D81" s="41"/>
      <c r="E81" s="41"/>
      <c r="F81" s="41"/>
      <c r="H81" s="232">
        <v>76</v>
      </c>
      <c r="I81" s="233" t="str">
        <f t="shared" si="7"/>
        <v/>
      </c>
      <c r="J81" s="232" t="e">
        <f t="shared" si="11"/>
        <v>#NUM!</v>
      </c>
      <c r="K81" s="232" t="e">
        <f t="shared" si="8"/>
        <v>#NUM!</v>
      </c>
      <c r="L81" s="232"/>
      <c r="M81" s="234">
        <f t="shared" si="9"/>
        <v>0</v>
      </c>
      <c r="S81" s="220"/>
      <c r="T81" s="220"/>
      <c r="U81" s="220"/>
      <c r="V81" s="220"/>
      <c r="W81" s="220"/>
      <c r="X81" s="220"/>
      <c r="Y81" s="220"/>
      <c r="Z81" s="220"/>
      <c r="AA81" s="220"/>
      <c r="AB81" s="220"/>
      <c r="AC81" s="220"/>
      <c r="AD81" s="220"/>
      <c r="AE81" s="220"/>
      <c r="AF81" s="220"/>
      <c r="AG81" s="220"/>
      <c r="AH81" s="220"/>
      <c r="AI81" s="220"/>
      <c r="AJ81" s="220"/>
      <c r="AK81" s="220"/>
      <c r="AL81" s="220"/>
    </row>
    <row r="82" spans="1:38" s="215" customFormat="1" x14ac:dyDescent="0.25">
      <c r="A82" s="94">
        <f t="shared" si="10"/>
        <v>0</v>
      </c>
      <c r="B82" s="34" t="str">
        <f t="shared" si="6"/>
        <v/>
      </c>
      <c r="C82" s="35"/>
      <c r="D82" s="35"/>
      <c r="E82" s="35"/>
      <c r="F82" s="35"/>
      <c r="H82" s="229">
        <v>77</v>
      </c>
      <c r="I82" s="230" t="str">
        <f t="shared" si="7"/>
        <v/>
      </c>
      <c r="J82" s="229" t="e">
        <f t="shared" si="11"/>
        <v>#NUM!</v>
      </c>
      <c r="K82" s="229" t="e">
        <f t="shared" si="8"/>
        <v>#NUM!</v>
      </c>
      <c r="L82" s="229"/>
      <c r="M82" s="231">
        <f t="shared" si="9"/>
        <v>0</v>
      </c>
      <c r="S82" s="220"/>
      <c r="T82" s="220"/>
      <c r="U82" s="220"/>
      <c r="V82" s="220"/>
      <c r="W82" s="220"/>
      <c r="X82" s="220"/>
      <c r="Y82" s="220"/>
      <c r="Z82" s="220"/>
      <c r="AA82" s="220"/>
      <c r="AB82" s="220"/>
      <c r="AC82" s="220"/>
      <c r="AD82" s="220"/>
      <c r="AE82" s="220"/>
      <c r="AF82" s="220"/>
      <c r="AG82" s="220"/>
      <c r="AH82" s="220"/>
      <c r="AI82" s="220"/>
      <c r="AJ82" s="220"/>
      <c r="AK82" s="220"/>
      <c r="AL82" s="220"/>
    </row>
    <row r="83" spans="1:38" s="215" customFormat="1" x14ac:dyDescent="0.25">
      <c r="A83" s="98">
        <f t="shared" si="10"/>
        <v>0</v>
      </c>
      <c r="B83" s="40" t="str">
        <f t="shared" si="6"/>
        <v/>
      </c>
      <c r="C83" s="41"/>
      <c r="D83" s="41"/>
      <c r="E83" s="41"/>
      <c r="F83" s="41"/>
      <c r="H83" s="232">
        <v>78</v>
      </c>
      <c r="I83" s="233" t="str">
        <f t="shared" si="7"/>
        <v/>
      </c>
      <c r="J83" s="232" t="e">
        <f t="shared" si="11"/>
        <v>#NUM!</v>
      </c>
      <c r="K83" s="232" t="e">
        <f t="shared" si="8"/>
        <v>#NUM!</v>
      </c>
      <c r="L83" s="232"/>
      <c r="M83" s="234">
        <f t="shared" si="9"/>
        <v>0</v>
      </c>
      <c r="S83" s="220"/>
      <c r="T83" s="220"/>
      <c r="U83" s="220"/>
      <c r="V83" s="220"/>
      <c r="W83" s="220"/>
      <c r="X83" s="220"/>
      <c r="Y83" s="220"/>
      <c r="Z83" s="220"/>
      <c r="AA83" s="220"/>
      <c r="AB83" s="220"/>
      <c r="AC83" s="220"/>
      <c r="AD83" s="220"/>
      <c r="AE83" s="220"/>
      <c r="AF83" s="220"/>
      <c r="AG83" s="220"/>
      <c r="AH83" s="220"/>
      <c r="AI83" s="220"/>
      <c r="AJ83" s="220"/>
      <c r="AK83" s="220"/>
      <c r="AL83" s="220"/>
    </row>
    <row r="84" spans="1:38" s="215" customFormat="1" x14ac:dyDescent="0.25">
      <c r="A84" s="94">
        <f t="shared" si="10"/>
        <v>0</v>
      </c>
      <c r="B84" s="34" t="str">
        <f t="shared" si="6"/>
        <v/>
      </c>
      <c r="C84" s="35"/>
      <c r="D84" s="35"/>
      <c r="E84" s="35"/>
      <c r="F84" s="35"/>
      <c r="H84" s="229">
        <v>79</v>
      </c>
      <c r="I84" s="230" t="str">
        <f t="shared" si="7"/>
        <v/>
      </c>
      <c r="J84" s="229" t="e">
        <f t="shared" si="11"/>
        <v>#NUM!</v>
      </c>
      <c r="K84" s="229" t="e">
        <f t="shared" si="8"/>
        <v>#NUM!</v>
      </c>
      <c r="L84" s="229"/>
      <c r="M84" s="231">
        <f t="shared" si="9"/>
        <v>0</v>
      </c>
      <c r="S84" s="220"/>
      <c r="T84" s="220"/>
      <c r="U84" s="220"/>
      <c r="V84" s="220"/>
      <c r="W84" s="220"/>
      <c r="X84" s="220"/>
      <c r="Y84" s="220"/>
      <c r="Z84" s="220"/>
      <c r="AA84" s="220"/>
      <c r="AB84" s="220"/>
      <c r="AC84" s="220"/>
      <c r="AD84" s="220"/>
      <c r="AE84" s="220"/>
      <c r="AF84" s="220"/>
      <c r="AG84" s="220"/>
      <c r="AH84" s="220"/>
      <c r="AI84" s="220"/>
      <c r="AJ84" s="220"/>
      <c r="AK84" s="220"/>
      <c r="AL84" s="220"/>
    </row>
    <row r="85" spans="1:38" s="215" customFormat="1" x14ac:dyDescent="0.25">
      <c r="A85" s="98">
        <f t="shared" si="10"/>
        <v>0</v>
      </c>
      <c r="B85" s="40" t="str">
        <f t="shared" si="6"/>
        <v/>
      </c>
      <c r="C85" s="41"/>
      <c r="D85" s="41"/>
      <c r="E85" s="41"/>
      <c r="F85" s="41"/>
      <c r="H85" s="232">
        <v>80</v>
      </c>
      <c r="I85" s="233" t="str">
        <f t="shared" si="7"/>
        <v/>
      </c>
      <c r="J85" s="232" t="e">
        <f t="shared" si="11"/>
        <v>#NUM!</v>
      </c>
      <c r="K85" s="232" t="e">
        <f t="shared" si="8"/>
        <v>#NUM!</v>
      </c>
      <c r="L85" s="232"/>
      <c r="M85" s="234">
        <f t="shared" si="9"/>
        <v>0</v>
      </c>
      <c r="S85" s="220"/>
      <c r="T85" s="220"/>
      <c r="U85" s="220"/>
      <c r="V85" s="220"/>
      <c r="W85" s="220"/>
      <c r="X85" s="220"/>
      <c r="Y85" s="220"/>
      <c r="Z85" s="220"/>
      <c r="AA85" s="220"/>
      <c r="AB85" s="220"/>
      <c r="AC85" s="220"/>
      <c r="AD85" s="220"/>
      <c r="AE85" s="220"/>
      <c r="AF85" s="220"/>
      <c r="AG85" s="220"/>
      <c r="AH85" s="220"/>
      <c r="AI85" s="220"/>
      <c r="AJ85" s="220"/>
      <c r="AK85" s="220"/>
      <c r="AL85" s="220"/>
    </row>
    <row r="86" spans="1:38" s="215" customFormat="1" x14ac:dyDescent="0.25">
      <c r="A86" s="94">
        <f t="shared" si="10"/>
        <v>0</v>
      </c>
      <c r="B86" s="34" t="str">
        <f t="shared" si="6"/>
        <v/>
      </c>
      <c r="C86" s="35"/>
      <c r="D86" s="35"/>
      <c r="E86" s="35"/>
      <c r="F86" s="35"/>
      <c r="H86" s="229">
        <v>81</v>
      </c>
      <c r="I86" s="230" t="str">
        <f t="shared" si="7"/>
        <v/>
      </c>
      <c r="J86" s="229" t="e">
        <f t="shared" si="11"/>
        <v>#NUM!</v>
      </c>
      <c r="K86" s="229" t="e">
        <f t="shared" si="8"/>
        <v>#NUM!</v>
      </c>
      <c r="L86" s="229"/>
      <c r="M86" s="231">
        <f t="shared" si="9"/>
        <v>0</v>
      </c>
      <c r="S86" s="220"/>
      <c r="T86" s="220"/>
      <c r="U86" s="220"/>
      <c r="V86" s="220"/>
      <c r="W86" s="220"/>
      <c r="X86" s="220"/>
      <c r="Y86" s="220"/>
      <c r="Z86" s="220"/>
      <c r="AA86" s="220"/>
      <c r="AB86" s="220"/>
      <c r="AC86" s="220"/>
      <c r="AD86" s="220"/>
      <c r="AE86" s="220"/>
      <c r="AF86" s="220"/>
      <c r="AG86" s="220"/>
      <c r="AH86" s="220"/>
      <c r="AI86" s="220"/>
      <c r="AJ86" s="220"/>
      <c r="AK86" s="220"/>
      <c r="AL86" s="220"/>
    </row>
    <row r="87" spans="1:38" s="215" customFormat="1" x14ac:dyDescent="0.25">
      <c r="A87" s="98">
        <f t="shared" si="10"/>
        <v>0</v>
      </c>
      <c r="B87" s="40" t="str">
        <f t="shared" si="6"/>
        <v/>
      </c>
      <c r="C87" s="41"/>
      <c r="D87" s="41"/>
      <c r="E87" s="41"/>
      <c r="F87" s="41"/>
      <c r="H87" s="232">
        <v>82</v>
      </c>
      <c r="I87" s="233" t="str">
        <f t="shared" si="7"/>
        <v/>
      </c>
      <c r="J87" s="232" t="e">
        <f t="shared" si="11"/>
        <v>#NUM!</v>
      </c>
      <c r="K87" s="232" t="e">
        <f t="shared" si="8"/>
        <v>#NUM!</v>
      </c>
      <c r="L87" s="232"/>
      <c r="M87" s="234">
        <f t="shared" si="9"/>
        <v>0</v>
      </c>
      <c r="S87" s="220"/>
      <c r="T87" s="220"/>
      <c r="U87" s="220"/>
      <c r="V87" s="220"/>
      <c r="W87" s="220"/>
      <c r="X87" s="220"/>
      <c r="Y87" s="220"/>
      <c r="Z87" s="220"/>
      <c r="AA87" s="220"/>
      <c r="AB87" s="220"/>
      <c r="AC87" s="220"/>
      <c r="AD87" s="220"/>
      <c r="AE87" s="220"/>
      <c r="AF87" s="220"/>
      <c r="AG87" s="220"/>
      <c r="AH87" s="220"/>
      <c r="AI87" s="220"/>
      <c r="AJ87" s="220"/>
      <c r="AK87" s="220"/>
      <c r="AL87" s="220"/>
    </row>
    <row r="88" spans="1:38" s="215" customFormat="1" x14ac:dyDescent="0.25">
      <c r="A88" s="94">
        <f t="shared" si="10"/>
        <v>0</v>
      </c>
      <c r="B88" s="34" t="str">
        <f t="shared" si="6"/>
        <v/>
      </c>
      <c r="C88" s="35"/>
      <c r="D88" s="35"/>
      <c r="E88" s="35"/>
      <c r="F88" s="35"/>
      <c r="H88" s="229">
        <v>83</v>
      </c>
      <c r="I88" s="230" t="str">
        <f t="shared" si="7"/>
        <v/>
      </c>
      <c r="J88" s="229" t="e">
        <f t="shared" si="11"/>
        <v>#NUM!</v>
      </c>
      <c r="K88" s="229" t="e">
        <f t="shared" si="8"/>
        <v>#NUM!</v>
      </c>
      <c r="L88" s="229"/>
      <c r="M88" s="231">
        <f t="shared" si="9"/>
        <v>0</v>
      </c>
      <c r="S88" s="220"/>
      <c r="T88" s="220"/>
      <c r="U88" s="220"/>
      <c r="V88" s="220"/>
      <c r="W88" s="220"/>
      <c r="X88" s="220"/>
      <c r="Y88" s="220"/>
      <c r="Z88" s="220"/>
      <c r="AA88" s="220"/>
      <c r="AB88" s="220"/>
      <c r="AC88" s="220"/>
      <c r="AD88" s="220"/>
      <c r="AE88" s="220"/>
      <c r="AF88" s="220"/>
      <c r="AG88" s="220"/>
      <c r="AH88" s="220"/>
      <c r="AI88" s="220"/>
      <c r="AJ88" s="220"/>
      <c r="AK88" s="220"/>
      <c r="AL88" s="220"/>
    </row>
    <row r="89" spans="1:38" s="215" customFormat="1" x14ac:dyDescent="0.25">
      <c r="A89" s="98">
        <f t="shared" si="10"/>
        <v>0</v>
      </c>
      <c r="B89" s="40" t="str">
        <f t="shared" si="6"/>
        <v/>
      </c>
      <c r="C89" s="41"/>
      <c r="D89" s="41"/>
      <c r="E89" s="41"/>
      <c r="F89" s="41"/>
      <c r="H89" s="232">
        <v>84</v>
      </c>
      <c r="I89" s="233" t="str">
        <f t="shared" si="7"/>
        <v/>
      </c>
      <c r="J89" s="232" t="e">
        <f t="shared" si="11"/>
        <v>#NUM!</v>
      </c>
      <c r="K89" s="232" t="e">
        <f t="shared" si="8"/>
        <v>#NUM!</v>
      </c>
      <c r="L89" s="232"/>
      <c r="M89" s="234">
        <f t="shared" si="9"/>
        <v>0</v>
      </c>
      <c r="S89" s="220"/>
      <c r="T89" s="220"/>
      <c r="U89" s="220"/>
      <c r="V89" s="220"/>
      <c r="W89" s="220"/>
      <c r="X89" s="220"/>
      <c r="Y89" s="220"/>
      <c r="Z89" s="220"/>
      <c r="AA89" s="220"/>
      <c r="AB89" s="220"/>
      <c r="AC89" s="220"/>
      <c r="AD89" s="220"/>
      <c r="AE89" s="220"/>
      <c r="AF89" s="220"/>
      <c r="AG89" s="220"/>
      <c r="AH89" s="220"/>
      <c r="AI89" s="220"/>
      <c r="AJ89" s="220"/>
      <c r="AK89" s="220"/>
      <c r="AL89" s="220"/>
    </row>
    <row r="90" spans="1:38" s="215" customFormat="1" x14ac:dyDescent="0.25">
      <c r="A90" s="94">
        <f t="shared" si="10"/>
        <v>0</v>
      </c>
      <c r="B90" s="34" t="str">
        <f t="shared" si="6"/>
        <v/>
      </c>
      <c r="C90" s="35"/>
      <c r="D90" s="35"/>
      <c r="E90" s="35"/>
      <c r="F90" s="35"/>
      <c r="H90" s="229">
        <v>85</v>
      </c>
      <c r="I90" s="230" t="str">
        <f t="shared" si="7"/>
        <v/>
      </c>
      <c r="J90" s="229" t="e">
        <f t="shared" si="11"/>
        <v>#NUM!</v>
      </c>
      <c r="K90" s="229" t="e">
        <f t="shared" si="8"/>
        <v>#NUM!</v>
      </c>
      <c r="L90" s="229"/>
      <c r="M90" s="231">
        <f t="shared" si="9"/>
        <v>0</v>
      </c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0"/>
      <c r="AI90" s="220"/>
      <c r="AJ90" s="220"/>
      <c r="AK90" s="220"/>
      <c r="AL90" s="220"/>
    </row>
    <row r="91" spans="1:38" s="215" customFormat="1" x14ac:dyDescent="0.25">
      <c r="A91" s="98">
        <f t="shared" si="10"/>
        <v>0</v>
      </c>
      <c r="B91" s="40" t="str">
        <f t="shared" si="6"/>
        <v/>
      </c>
      <c r="C91" s="41"/>
      <c r="D91" s="41"/>
      <c r="E91" s="41"/>
      <c r="F91" s="41"/>
      <c r="H91" s="232">
        <v>86</v>
      </c>
      <c r="I91" s="233" t="str">
        <f t="shared" si="7"/>
        <v/>
      </c>
      <c r="J91" s="232" t="e">
        <f t="shared" si="11"/>
        <v>#NUM!</v>
      </c>
      <c r="K91" s="232" t="e">
        <f t="shared" si="8"/>
        <v>#NUM!</v>
      </c>
      <c r="L91" s="232"/>
      <c r="M91" s="234">
        <f t="shared" si="9"/>
        <v>0</v>
      </c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0"/>
      <c r="AI91" s="220"/>
      <c r="AJ91" s="220"/>
      <c r="AK91" s="220"/>
      <c r="AL91" s="220"/>
    </row>
    <row r="92" spans="1:38" s="215" customFormat="1" x14ac:dyDescent="0.25">
      <c r="A92" s="94">
        <f t="shared" si="10"/>
        <v>0</v>
      </c>
      <c r="B92" s="34" t="str">
        <f t="shared" si="6"/>
        <v/>
      </c>
      <c r="C92" s="35"/>
      <c r="D92" s="35"/>
      <c r="E92" s="35"/>
      <c r="F92" s="35"/>
      <c r="H92" s="229">
        <v>87</v>
      </c>
      <c r="I92" s="230" t="str">
        <f t="shared" si="7"/>
        <v/>
      </c>
      <c r="J92" s="229" t="e">
        <f t="shared" si="11"/>
        <v>#NUM!</v>
      </c>
      <c r="K92" s="229" t="e">
        <f t="shared" si="8"/>
        <v>#NUM!</v>
      </c>
      <c r="L92" s="229"/>
      <c r="M92" s="231">
        <f t="shared" si="9"/>
        <v>0</v>
      </c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0"/>
      <c r="AI92" s="220"/>
      <c r="AJ92" s="220"/>
      <c r="AK92" s="220"/>
      <c r="AL92" s="220"/>
    </row>
    <row r="93" spans="1:38" s="215" customFormat="1" x14ac:dyDescent="0.25">
      <c r="A93" s="98">
        <f t="shared" si="10"/>
        <v>0</v>
      </c>
      <c r="B93" s="40" t="str">
        <f t="shared" si="6"/>
        <v/>
      </c>
      <c r="C93" s="41"/>
      <c r="D93" s="41"/>
      <c r="E93" s="41"/>
      <c r="F93" s="41"/>
      <c r="H93" s="232">
        <v>88</v>
      </c>
      <c r="I93" s="233" t="str">
        <f t="shared" si="7"/>
        <v/>
      </c>
      <c r="J93" s="232" t="e">
        <f t="shared" si="11"/>
        <v>#NUM!</v>
      </c>
      <c r="K93" s="232" t="e">
        <f t="shared" si="8"/>
        <v>#NUM!</v>
      </c>
      <c r="L93" s="232"/>
      <c r="M93" s="234">
        <f t="shared" si="9"/>
        <v>0</v>
      </c>
      <c r="S93" s="220"/>
      <c r="T93" s="220"/>
      <c r="U93" s="220"/>
      <c r="V93" s="220"/>
      <c r="W93" s="220"/>
      <c r="X93" s="220"/>
      <c r="Y93" s="220"/>
      <c r="Z93" s="220"/>
      <c r="AA93" s="220"/>
      <c r="AB93" s="220"/>
      <c r="AC93" s="220"/>
      <c r="AD93" s="220"/>
      <c r="AE93" s="220"/>
      <c r="AF93" s="220"/>
      <c r="AG93" s="220"/>
      <c r="AH93" s="220"/>
      <c r="AI93" s="220"/>
      <c r="AJ93" s="220"/>
      <c r="AK93" s="220"/>
      <c r="AL93" s="220"/>
    </row>
    <row r="94" spans="1:38" s="215" customFormat="1" x14ac:dyDescent="0.25">
      <c r="A94" s="94">
        <f t="shared" si="10"/>
        <v>0</v>
      </c>
      <c r="B94" s="34" t="str">
        <f t="shared" si="6"/>
        <v/>
      </c>
      <c r="C94" s="35"/>
      <c r="D94" s="35"/>
      <c r="E94" s="35"/>
      <c r="F94" s="35"/>
      <c r="H94" s="229">
        <v>89</v>
      </c>
      <c r="I94" s="230" t="str">
        <f t="shared" si="7"/>
        <v/>
      </c>
      <c r="J94" s="229" t="e">
        <f t="shared" si="11"/>
        <v>#NUM!</v>
      </c>
      <c r="K94" s="229" t="e">
        <f t="shared" si="8"/>
        <v>#NUM!</v>
      </c>
      <c r="L94" s="229"/>
      <c r="M94" s="231">
        <f t="shared" si="9"/>
        <v>0</v>
      </c>
      <c r="S94" s="220"/>
      <c r="T94" s="220"/>
      <c r="U94" s="220"/>
      <c r="V94" s="220"/>
      <c r="W94" s="220"/>
      <c r="X94" s="220"/>
      <c r="Y94" s="220"/>
      <c r="Z94" s="220"/>
      <c r="AA94" s="220"/>
      <c r="AB94" s="220"/>
      <c r="AC94" s="220"/>
      <c r="AD94" s="220"/>
      <c r="AE94" s="220"/>
      <c r="AF94" s="220"/>
      <c r="AG94" s="220"/>
      <c r="AH94" s="220"/>
      <c r="AI94" s="220"/>
      <c r="AJ94" s="220"/>
      <c r="AK94" s="220"/>
      <c r="AL94" s="220"/>
    </row>
    <row r="95" spans="1:38" s="215" customFormat="1" x14ac:dyDescent="0.25">
      <c r="A95" s="98">
        <f t="shared" si="10"/>
        <v>0</v>
      </c>
      <c r="B95" s="40" t="str">
        <f t="shared" si="6"/>
        <v/>
      </c>
      <c r="C95" s="41"/>
      <c r="D95" s="41"/>
      <c r="E95" s="41"/>
      <c r="F95" s="41"/>
      <c r="H95" s="232">
        <v>90</v>
      </c>
      <c r="I95" s="233" t="str">
        <f t="shared" si="7"/>
        <v/>
      </c>
      <c r="J95" s="232" t="e">
        <f t="shared" si="11"/>
        <v>#NUM!</v>
      </c>
      <c r="K95" s="232" t="e">
        <f t="shared" si="8"/>
        <v>#NUM!</v>
      </c>
      <c r="L95" s="232"/>
      <c r="M95" s="234">
        <f t="shared" si="9"/>
        <v>0</v>
      </c>
      <c r="S95" s="220"/>
      <c r="T95" s="220"/>
      <c r="U95" s="220"/>
      <c r="V95" s="220"/>
      <c r="W95" s="220"/>
      <c r="X95" s="220"/>
      <c r="Y95" s="220"/>
      <c r="Z95" s="220"/>
      <c r="AA95" s="220"/>
      <c r="AB95" s="220"/>
      <c r="AC95" s="220"/>
      <c r="AD95" s="220"/>
      <c r="AE95" s="220"/>
      <c r="AF95" s="220"/>
      <c r="AG95" s="220"/>
      <c r="AH95" s="220"/>
      <c r="AI95" s="220"/>
      <c r="AJ95" s="220"/>
      <c r="AK95" s="220"/>
      <c r="AL95" s="220"/>
    </row>
    <row r="96" spans="1:38" s="215" customFormat="1" x14ac:dyDescent="0.25">
      <c r="A96" s="94">
        <f t="shared" si="10"/>
        <v>0</v>
      </c>
      <c r="B96" s="34" t="str">
        <f t="shared" si="6"/>
        <v/>
      </c>
      <c r="C96" s="35"/>
      <c r="D96" s="35"/>
      <c r="E96" s="35"/>
      <c r="F96" s="35"/>
      <c r="H96" s="229">
        <v>91</v>
      </c>
      <c r="I96" s="230" t="str">
        <f t="shared" si="7"/>
        <v/>
      </c>
      <c r="J96" s="229" t="e">
        <f t="shared" si="11"/>
        <v>#NUM!</v>
      </c>
      <c r="K96" s="229" t="e">
        <f t="shared" si="8"/>
        <v>#NUM!</v>
      </c>
      <c r="L96" s="229"/>
      <c r="M96" s="231">
        <f t="shared" si="9"/>
        <v>0</v>
      </c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0"/>
      <c r="AE96" s="220"/>
      <c r="AF96" s="220"/>
      <c r="AG96" s="220"/>
      <c r="AH96" s="220"/>
      <c r="AI96" s="220"/>
      <c r="AJ96" s="220"/>
      <c r="AK96" s="220"/>
      <c r="AL96" s="220"/>
    </row>
    <row r="97" spans="1:38" s="215" customFormat="1" x14ac:dyDescent="0.25">
      <c r="A97" s="98">
        <f t="shared" si="10"/>
        <v>0</v>
      </c>
      <c r="B97" s="40" t="str">
        <f t="shared" si="6"/>
        <v/>
      </c>
      <c r="C97" s="41"/>
      <c r="D97" s="41"/>
      <c r="E97" s="41"/>
      <c r="F97" s="41"/>
      <c r="H97" s="232">
        <v>92</v>
      </c>
      <c r="I97" s="233" t="str">
        <f t="shared" si="7"/>
        <v/>
      </c>
      <c r="J97" s="232" t="e">
        <f t="shared" si="11"/>
        <v>#NUM!</v>
      </c>
      <c r="K97" s="232" t="e">
        <f t="shared" si="8"/>
        <v>#NUM!</v>
      </c>
      <c r="L97" s="232"/>
      <c r="M97" s="234">
        <f t="shared" si="9"/>
        <v>0</v>
      </c>
      <c r="S97" s="220"/>
      <c r="T97" s="220"/>
      <c r="U97" s="220"/>
      <c r="V97" s="220"/>
      <c r="W97" s="220"/>
      <c r="X97" s="220"/>
      <c r="Y97" s="220"/>
      <c r="Z97" s="220"/>
      <c r="AA97" s="220"/>
      <c r="AB97" s="220"/>
      <c r="AC97" s="220"/>
      <c r="AD97" s="220"/>
      <c r="AE97" s="220"/>
      <c r="AF97" s="220"/>
      <c r="AG97" s="220"/>
      <c r="AH97" s="220"/>
      <c r="AI97" s="220"/>
      <c r="AJ97" s="220"/>
      <c r="AK97" s="220"/>
      <c r="AL97" s="220"/>
    </row>
    <row r="98" spans="1:38" s="215" customFormat="1" x14ac:dyDescent="0.25">
      <c r="A98" s="94">
        <f t="shared" si="10"/>
        <v>0</v>
      </c>
      <c r="B98" s="34" t="str">
        <f t="shared" si="6"/>
        <v/>
      </c>
      <c r="C98" s="35"/>
      <c r="D98" s="35"/>
      <c r="E98" s="35"/>
      <c r="F98" s="35"/>
      <c r="H98" s="229">
        <v>93</v>
      </c>
      <c r="I98" s="230" t="str">
        <f t="shared" si="7"/>
        <v/>
      </c>
      <c r="J98" s="229" t="e">
        <f t="shared" si="11"/>
        <v>#NUM!</v>
      </c>
      <c r="K98" s="229" t="e">
        <f t="shared" si="8"/>
        <v>#NUM!</v>
      </c>
      <c r="L98" s="229"/>
      <c r="M98" s="231">
        <f t="shared" si="9"/>
        <v>0</v>
      </c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20"/>
      <c r="AF98" s="220"/>
      <c r="AG98" s="220"/>
      <c r="AH98" s="220"/>
      <c r="AI98" s="220"/>
      <c r="AJ98" s="220"/>
      <c r="AK98" s="220"/>
      <c r="AL98" s="220"/>
    </row>
    <row r="99" spans="1:38" s="215" customFormat="1" x14ac:dyDescent="0.25">
      <c r="A99" s="98">
        <f t="shared" si="10"/>
        <v>0</v>
      </c>
      <c r="B99" s="40" t="str">
        <f t="shared" si="6"/>
        <v/>
      </c>
      <c r="C99" s="41"/>
      <c r="D99" s="41"/>
      <c r="E99" s="41"/>
      <c r="F99" s="41"/>
      <c r="H99" s="232">
        <v>94</v>
      </c>
      <c r="I99" s="233" t="str">
        <f t="shared" si="7"/>
        <v/>
      </c>
      <c r="J99" s="232" t="e">
        <f t="shared" si="11"/>
        <v>#NUM!</v>
      </c>
      <c r="K99" s="232" t="e">
        <f t="shared" si="8"/>
        <v>#NUM!</v>
      </c>
      <c r="L99" s="232"/>
      <c r="M99" s="234">
        <f t="shared" si="9"/>
        <v>0</v>
      </c>
      <c r="S99" s="220"/>
      <c r="T99" s="220"/>
      <c r="U99" s="220"/>
      <c r="V99" s="220"/>
      <c r="W99" s="220"/>
      <c r="X99" s="220"/>
      <c r="Y99" s="220"/>
      <c r="Z99" s="220"/>
      <c r="AA99" s="220"/>
      <c r="AB99" s="220"/>
      <c r="AC99" s="220"/>
      <c r="AD99" s="220"/>
      <c r="AE99" s="220"/>
      <c r="AF99" s="220"/>
      <c r="AG99" s="220"/>
      <c r="AH99" s="220"/>
      <c r="AI99" s="220"/>
      <c r="AJ99" s="220"/>
      <c r="AK99" s="220"/>
      <c r="AL99" s="220"/>
    </row>
    <row r="100" spans="1:38" s="215" customFormat="1" x14ac:dyDescent="0.25">
      <c r="A100" s="94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29">
        <v>95</v>
      </c>
      <c r="I100" s="230" t="str">
        <f t="shared" si="7"/>
        <v/>
      </c>
      <c r="J100" s="229" t="e">
        <f t="shared" si="11"/>
        <v>#NUM!</v>
      </c>
      <c r="K100" s="229" t="e">
        <f t="shared" si="8"/>
        <v>#NUM!</v>
      </c>
      <c r="L100" s="229"/>
      <c r="M100" s="231">
        <f t="shared" si="9"/>
        <v>0</v>
      </c>
      <c r="S100" s="220"/>
      <c r="T100" s="220"/>
      <c r="U100" s="220"/>
      <c r="V100" s="220"/>
      <c r="W100" s="220"/>
      <c r="X100" s="220"/>
      <c r="Y100" s="220"/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</row>
    <row r="101" spans="1:38" s="215" customFormat="1" x14ac:dyDescent="0.25">
      <c r="A101" s="98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32">
        <v>96</v>
      </c>
      <c r="I101" s="233" t="str">
        <f t="shared" si="7"/>
        <v/>
      </c>
      <c r="J101" s="232" t="e">
        <f t="shared" si="11"/>
        <v>#NUM!</v>
      </c>
      <c r="K101" s="232" t="e">
        <f t="shared" si="8"/>
        <v>#NUM!</v>
      </c>
      <c r="L101" s="232"/>
      <c r="M101" s="234">
        <f t="shared" si="9"/>
        <v>0</v>
      </c>
      <c r="S101" s="220"/>
      <c r="T101" s="220"/>
      <c r="U101" s="220"/>
      <c r="V101" s="220"/>
      <c r="W101" s="220"/>
      <c r="X101" s="220"/>
      <c r="Y101" s="220"/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</row>
    <row r="102" spans="1:38" s="215" customFormat="1" x14ac:dyDescent="0.25">
      <c r="A102" s="94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29">
        <v>97</v>
      </c>
      <c r="I102" s="230" t="str">
        <f t="shared" si="7"/>
        <v/>
      </c>
      <c r="J102" s="229" t="e">
        <f t="shared" si="11"/>
        <v>#NUM!</v>
      </c>
      <c r="K102" s="229" t="e">
        <f t="shared" si="8"/>
        <v>#NUM!</v>
      </c>
      <c r="L102" s="229"/>
      <c r="M102" s="231">
        <f t="shared" si="9"/>
        <v>0</v>
      </c>
      <c r="S102" s="220"/>
      <c r="T102" s="220"/>
      <c r="U102" s="220"/>
      <c r="V102" s="220"/>
      <c r="W102" s="220"/>
      <c r="X102" s="220"/>
      <c r="Y102" s="220"/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</row>
    <row r="103" spans="1:38" s="215" customFormat="1" x14ac:dyDescent="0.25">
      <c r="A103" s="98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32">
        <v>98</v>
      </c>
      <c r="I103" s="233" t="str">
        <f t="shared" si="7"/>
        <v/>
      </c>
      <c r="J103" s="232" t="e">
        <f t="shared" si="11"/>
        <v>#NUM!</v>
      </c>
      <c r="K103" s="232" t="e">
        <f t="shared" si="8"/>
        <v>#NUM!</v>
      </c>
      <c r="L103" s="232"/>
      <c r="M103" s="234">
        <f t="shared" si="9"/>
        <v>0</v>
      </c>
      <c r="S103" s="220"/>
      <c r="T103" s="220"/>
      <c r="U103" s="220"/>
      <c r="V103" s="220"/>
      <c r="W103" s="220"/>
      <c r="X103" s="220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</row>
    <row r="104" spans="1:38" s="215" customFormat="1" x14ac:dyDescent="0.25">
      <c r="A104" s="94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29">
        <v>99</v>
      </c>
      <c r="I104" s="230" t="str">
        <f t="shared" si="7"/>
        <v/>
      </c>
      <c r="J104" s="229" t="e">
        <f t="shared" si="11"/>
        <v>#NUM!</v>
      </c>
      <c r="K104" s="229" t="e">
        <f t="shared" si="8"/>
        <v>#NUM!</v>
      </c>
      <c r="L104" s="229"/>
      <c r="M104" s="231">
        <f t="shared" si="9"/>
        <v>0</v>
      </c>
      <c r="S104" s="220"/>
      <c r="T104" s="220"/>
      <c r="U104" s="220"/>
      <c r="V104" s="220"/>
      <c r="W104" s="220"/>
      <c r="X104" s="220"/>
      <c r="Y104" s="220"/>
      <c r="Z104" s="220"/>
      <c r="AA104" s="220"/>
      <c r="AB104" s="220"/>
      <c r="AC104" s="220"/>
      <c r="AD104" s="220"/>
      <c r="AE104" s="220"/>
      <c r="AF104" s="220"/>
      <c r="AG104" s="220"/>
      <c r="AH104" s="220"/>
      <c r="AI104" s="220"/>
      <c r="AJ104" s="220"/>
      <c r="AK104" s="220"/>
      <c r="AL104" s="220"/>
    </row>
    <row r="105" spans="1:38" s="215" customFormat="1" x14ac:dyDescent="0.25">
      <c r="A105" s="98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32">
        <v>100</v>
      </c>
      <c r="I105" s="233" t="str">
        <f t="shared" si="7"/>
        <v/>
      </c>
      <c r="J105" s="232" t="e">
        <f t="shared" si="11"/>
        <v>#NUM!</v>
      </c>
      <c r="K105" s="232" t="e">
        <f t="shared" si="8"/>
        <v>#NUM!</v>
      </c>
      <c r="L105" s="232"/>
      <c r="M105" s="234">
        <f t="shared" si="9"/>
        <v>0</v>
      </c>
      <c r="S105" s="220"/>
      <c r="T105" s="220"/>
      <c r="U105" s="220"/>
      <c r="V105" s="220"/>
      <c r="W105" s="220"/>
      <c r="X105" s="220"/>
      <c r="Y105" s="220"/>
      <c r="Z105" s="220"/>
      <c r="AA105" s="220"/>
      <c r="AB105" s="220"/>
      <c r="AC105" s="220"/>
      <c r="AD105" s="220"/>
      <c r="AE105" s="220"/>
      <c r="AF105" s="220"/>
      <c r="AG105" s="220"/>
      <c r="AH105" s="220"/>
      <c r="AI105" s="220"/>
      <c r="AJ105" s="220"/>
      <c r="AK105" s="220"/>
      <c r="AL105" s="220"/>
    </row>
    <row r="106" spans="1:38" s="215" customFormat="1" x14ac:dyDescent="0.25">
      <c r="A106" s="94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29">
        <v>101</v>
      </c>
      <c r="I106" s="230" t="str">
        <f t="shared" si="7"/>
        <v/>
      </c>
      <c r="J106" s="229" t="e">
        <f t="shared" si="11"/>
        <v>#NUM!</v>
      </c>
      <c r="K106" s="229" t="e">
        <f t="shared" si="8"/>
        <v>#NUM!</v>
      </c>
      <c r="L106" s="229"/>
      <c r="M106" s="231">
        <f t="shared" si="9"/>
        <v>0</v>
      </c>
      <c r="S106" s="220"/>
      <c r="T106" s="220"/>
      <c r="U106" s="220"/>
      <c r="V106" s="220"/>
      <c r="W106" s="220"/>
      <c r="X106" s="220"/>
      <c r="Y106" s="220"/>
      <c r="Z106" s="220"/>
      <c r="AA106" s="220"/>
      <c r="AB106" s="220"/>
      <c r="AC106" s="220"/>
      <c r="AD106" s="220"/>
      <c r="AE106" s="220"/>
      <c r="AF106" s="220"/>
      <c r="AG106" s="220"/>
      <c r="AH106" s="220"/>
      <c r="AI106" s="220"/>
      <c r="AJ106" s="220"/>
      <c r="AK106" s="220"/>
      <c r="AL106" s="220"/>
    </row>
    <row r="107" spans="1:38" s="215" customFormat="1" x14ac:dyDescent="0.25">
      <c r="A107" s="98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32">
        <v>102</v>
      </c>
      <c r="I107" s="233" t="str">
        <f t="shared" si="7"/>
        <v/>
      </c>
      <c r="J107" s="232" t="e">
        <f t="shared" si="11"/>
        <v>#NUM!</v>
      </c>
      <c r="K107" s="232" t="e">
        <f t="shared" si="8"/>
        <v>#NUM!</v>
      </c>
      <c r="L107" s="232"/>
      <c r="M107" s="234">
        <f t="shared" si="9"/>
        <v>0</v>
      </c>
      <c r="S107" s="220"/>
      <c r="T107" s="220"/>
      <c r="U107" s="220"/>
      <c r="V107" s="220"/>
      <c r="W107" s="220"/>
      <c r="X107" s="220"/>
      <c r="Y107" s="220"/>
      <c r="Z107" s="220"/>
      <c r="AA107" s="220"/>
      <c r="AB107" s="220"/>
      <c r="AC107" s="220"/>
      <c r="AD107" s="220"/>
      <c r="AE107" s="220"/>
      <c r="AF107" s="220"/>
      <c r="AG107" s="220"/>
      <c r="AH107" s="220"/>
      <c r="AI107" s="220"/>
      <c r="AJ107" s="220"/>
      <c r="AK107" s="220"/>
      <c r="AL107" s="220"/>
    </row>
    <row r="108" spans="1:38" s="215" customFormat="1" x14ac:dyDescent="0.25">
      <c r="A108" s="94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29">
        <v>103</v>
      </c>
      <c r="I108" s="230" t="str">
        <f t="shared" si="7"/>
        <v/>
      </c>
      <c r="J108" s="229" t="e">
        <f t="shared" si="11"/>
        <v>#NUM!</v>
      </c>
      <c r="K108" s="229" t="e">
        <f t="shared" si="8"/>
        <v>#NUM!</v>
      </c>
      <c r="L108" s="229"/>
      <c r="M108" s="231">
        <f t="shared" si="9"/>
        <v>0</v>
      </c>
      <c r="S108" s="220"/>
      <c r="T108" s="220"/>
      <c r="U108" s="220"/>
      <c r="V108" s="220"/>
      <c r="W108" s="220"/>
      <c r="X108" s="220"/>
      <c r="Y108" s="220"/>
      <c r="Z108" s="220"/>
      <c r="AA108" s="220"/>
      <c r="AB108" s="220"/>
      <c r="AC108" s="220"/>
      <c r="AD108" s="220"/>
      <c r="AE108" s="220"/>
      <c r="AF108" s="220"/>
      <c r="AG108" s="220"/>
      <c r="AH108" s="220"/>
      <c r="AI108" s="220"/>
      <c r="AJ108" s="220"/>
      <c r="AK108" s="220"/>
      <c r="AL108" s="220"/>
    </row>
    <row r="109" spans="1:38" s="215" customFormat="1" x14ac:dyDescent="0.25">
      <c r="A109" s="98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32">
        <v>104</v>
      </c>
      <c r="I109" s="233" t="str">
        <f t="shared" si="7"/>
        <v/>
      </c>
      <c r="J109" s="232" t="e">
        <f t="shared" si="11"/>
        <v>#NUM!</v>
      </c>
      <c r="K109" s="232" t="e">
        <f t="shared" si="8"/>
        <v>#NUM!</v>
      </c>
      <c r="L109" s="232"/>
      <c r="M109" s="234">
        <f t="shared" si="9"/>
        <v>0</v>
      </c>
      <c r="S109" s="220"/>
      <c r="T109" s="220"/>
      <c r="U109" s="220"/>
      <c r="V109" s="220"/>
      <c r="W109" s="220"/>
      <c r="X109" s="220"/>
      <c r="Y109" s="220"/>
      <c r="Z109" s="220"/>
      <c r="AA109" s="220"/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</row>
    <row r="110" spans="1:38" s="215" customFormat="1" x14ac:dyDescent="0.25">
      <c r="A110" s="94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29">
        <v>105</v>
      </c>
      <c r="I110" s="230" t="str">
        <f t="shared" si="7"/>
        <v/>
      </c>
      <c r="J110" s="229" t="e">
        <f t="shared" si="11"/>
        <v>#NUM!</v>
      </c>
      <c r="K110" s="229" t="e">
        <f t="shared" si="8"/>
        <v>#NUM!</v>
      </c>
      <c r="L110" s="229"/>
      <c r="M110" s="231">
        <f t="shared" si="9"/>
        <v>0</v>
      </c>
      <c r="S110" s="220"/>
      <c r="T110" s="220"/>
      <c r="U110" s="220"/>
      <c r="V110" s="220"/>
      <c r="W110" s="220"/>
      <c r="X110" s="220"/>
      <c r="Y110" s="220"/>
      <c r="Z110" s="220"/>
      <c r="AA110" s="220"/>
      <c r="AB110" s="220"/>
      <c r="AC110" s="220"/>
      <c r="AD110" s="220"/>
      <c r="AE110" s="220"/>
      <c r="AF110" s="220"/>
      <c r="AG110" s="220"/>
      <c r="AH110" s="220"/>
      <c r="AI110" s="220"/>
      <c r="AJ110" s="220"/>
      <c r="AK110" s="220"/>
      <c r="AL110" s="220"/>
    </row>
    <row r="111" spans="1:38" s="215" customFormat="1" x14ac:dyDescent="0.25">
      <c r="A111" s="98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32">
        <v>106</v>
      </c>
      <c r="I111" s="233" t="str">
        <f t="shared" si="7"/>
        <v/>
      </c>
      <c r="J111" s="232" t="e">
        <f t="shared" si="11"/>
        <v>#NUM!</v>
      </c>
      <c r="K111" s="232" t="e">
        <f t="shared" si="8"/>
        <v>#NUM!</v>
      </c>
      <c r="L111" s="232"/>
      <c r="M111" s="234">
        <f t="shared" si="9"/>
        <v>0</v>
      </c>
      <c r="S111" s="220"/>
      <c r="T111" s="220"/>
      <c r="U111" s="220"/>
      <c r="V111" s="220"/>
      <c r="W111" s="220"/>
      <c r="X111" s="220"/>
      <c r="Y111" s="220"/>
      <c r="Z111" s="220"/>
      <c r="AA111" s="220"/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</row>
    <row r="112" spans="1:38" s="215" customFormat="1" x14ac:dyDescent="0.25">
      <c r="A112" s="94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29">
        <v>107</v>
      </c>
      <c r="I112" s="230" t="str">
        <f t="shared" si="7"/>
        <v/>
      </c>
      <c r="J112" s="229" t="e">
        <f t="shared" si="11"/>
        <v>#NUM!</v>
      </c>
      <c r="K112" s="229" t="e">
        <f t="shared" si="8"/>
        <v>#NUM!</v>
      </c>
      <c r="L112" s="229"/>
      <c r="M112" s="231">
        <f t="shared" si="9"/>
        <v>0</v>
      </c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0"/>
      <c r="AI112" s="220"/>
      <c r="AJ112" s="220"/>
      <c r="AK112" s="220"/>
      <c r="AL112" s="220"/>
    </row>
    <row r="113" spans="1:38" s="215" customFormat="1" x14ac:dyDescent="0.25">
      <c r="A113" s="98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32">
        <v>108</v>
      </c>
      <c r="I113" s="233" t="str">
        <f t="shared" si="7"/>
        <v/>
      </c>
      <c r="J113" s="232" t="e">
        <f t="shared" si="11"/>
        <v>#NUM!</v>
      </c>
      <c r="K113" s="232" t="e">
        <f t="shared" si="8"/>
        <v>#NUM!</v>
      </c>
      <c r="L113" s="232"/>
      <c r="M113" s="234">
        <f t="shared" si="9"/>
        <v>0</v>
      </c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0"/>
      <c r="AI113" s="220"/>
      <c r="AJ113" s="220"/>
      <c r="AK113" s="220"/>
      <c r="AL113" s="220"/>
    </row>
    <row r="114" spans="1:38" s="215" customFormat="1" x14ac:dyDescent="0.25">
      <c r="A114" s="94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29">
        <v>109</v>
      </c>
      <c r="I114" s="230" t="str">
        <f t="shared" si="7"/>
        <v/>
      </c>
      <c r="J114" s="229" t="e">
        <f t="shared" si="11"/>
        <v>#NUM!</v>
      </c>
      <c r="K114" s="229" t="e">
        <f t="shared" si="8"/>
        <v>#NUM!</v>
      </c>
      <c r="L114" s="229"/>
      <c r="M114" s="231">
        <f t="shared" si="9"/>
        <v>0</v>
      </c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0"/>
      <c r="AI114" s="220"/>
      <c r="AJ114" s="220"/>
      <c r="AK114" s="220"/>
      <c r="AL114" s="220"/>
    </row>
    <row r="115" spans="1:38" s="215" customFormat="1" x14ac:dyDescent="0.25">
      <c r="A115" s="98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32">
        <v>110</v>
      </c>
      <c r="I115" s="233" t="str">
        <f t="shared" si="7"/>
        <v/>
      </c>
      <c r="J115" s="232" t="e">
        <f t="shared" si="11"/>
        <v>#NUM!</v>
      </c>
      <c r="K115" s="232" t="e">
        <f t="shared" si="8"/>
        <v>#NUM!</v>
      </c>
      <c r="L115" s="232"/>
      <c r="M115" s="234">
        <f t="shared" si="9"/>
        <v>0</v>
      </c>
      <c r="S115" s="220"/>
      <c r="T115" s="220"/>
      <c r="U115" s="220"/>
      <c r="V115" s="220"/>
      <c r="W115" s="220"/>
      <c r="X115" s="220"/>
      <c r="Y115" s="220"/>
      <c r="Z115" s="220"/>
      <c r="AA115" s="220"/>
      <c r="AB115" s="220"/>
      <c r="AC115" s="220"/>
      <c r="AD115" s="220"/>
      <c r="AE115" s="220"/>
      <c r="AF115" s="220"/>
      <c r="AG115" s="220"/>
      <c r="AH115" s="220"/>
      <c r="AI115" s="220"/>
      <c r="AJ115" s="220"/>
      <c r="AK115" s="220"/>
      <c r="AL115" s="220"/>
    </row>
    <row r="116" spans="1:38" s="215" customFormat="1" x14ac:dyDescent="0.25">
      <c r="A116" s="94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29">
        <v>111</v>
      </c>
      <c r="I116" s="230" t="str">
        <f t="shared" si="7"/>
        <v/>
      </c>
      <c r="J116" s="229" t="e">
        <f t="shared" si="11"/>
        <v>#NUM!</v>
      </c>
      <c r="K116" s="229" t="e">
        <f t="shared" si="8"/>
        <v>#NUM!</v>
      </c>
      <c r="L116" s="229"/>
      <c r="M116" s="231">
        <f t="shared" si="9"/>
        <v>0</v>
      </c>
      <c r="S116" s="220"/>
      <c r="T116" s="220"/>
      <c r="U116" s="220"/>
      <c r="V116" s="220"/>
      <c r="W116" s="220"/>
      <c r="X116" s="220"/>
      <c r="Y116" s="220"/>
      <c r="Z116" s="220"/>
      <c r="AA116" s="220"/>
      <c r="AB116" s="220"/>
      <c r="AC116" s="220"/>
      <c r="AD116" s="220"/>
      <c r="AE116" s="220"/>
      <c r="AF116" s="220"/>
      <c r="AG116" s="220"/>
      <c r="AH116" s="220"/>
      <c r="AI116" s="220"/>
      <c r="AJ116" s="220"/>
      <c r="AK116" s="220"/>
      <c r="AL116" s="220"/>
    </row>
    <row r="117" spans="1:38" s="215" customFormat="1" x14ac:dyDescent="0.25">
      <c r="A117" s="98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32">
        <v>112</v>
      </c>
      <c r="I117" s="233" t="str">
        <f t="shared" si="7"/>
        <v/>
      </c>
      <c r="J117" s="232" t="e">
        <f t="shared" si="11"/>
        <v>#NUM!</v>
      </c>
      <c r="K117" s="232" t="e">
        <f t="shared" si="8"/>
        <v>#NUM!</v>
      </c>
      <c r="L117" s="232"/>
      <c r="M117" s="234">
        <f t="shared" si="9"/>
        <v>0</v>
      </c>
      <c r="S117" s="220"/>
      <c r="T117" s="220"/>
      <c r="U117" s="220"/>
      <c r="V117" s="220"/>
      <c r="W117" s="220"/>
      <c r="X117" s="220"/>
      <c r="Y117" s="220"/>
      <c r="Z117" s="220"/>
      <c r="AA117" s="220"/>
      <c r="AB117" s="220"/>
      <c r="AC117" s="220"/>
      <c r="AD117" s="220"/>
      <c r="AE117" s="220"/>
      <c r="AF117" s="220"/>
      <c r="AG117" s="220"/>
      <c r="AH117" s="220"/>
      <c r="AI117" s="220"/>
      <c r="AJ117" s="220"/>
      <c r="AK117" s="220"/>
      <c r="AL117" s="220"/>
    </row>
    <row r="118" spans="1:38" s="215" customFormat="1" x14ac:dyDescent="0.25">
      <c r="A118" s="94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29">
        <v>113</v>
      </c>
      <c r="I118" s="230" t="str">
        <f t="shared" si="7"/>
        <v/>
      </c>
      <c r="J118" s="229" t="e">
        <f t="shared" si="11"/>
        <v>#NUM!</v>
      </c>
      <c r="K118" s="229" t="e">
        <f t="shared" si="8"/>
        <v>#NUM!</v>
      </c>
      <c r="L118" s="229"/>
      <c r="M118" s="231">
        <f t="shared" si="9"/>
        <v>0</v>
      </c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</row>
    <row r="119" spans="1:38" s="215" customFormat="1" x14ac:dyDescent="0.25">
      <c r="A119" s="98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32">
        <v>114</v>
      </c>
      <c r="I119" s="233" t="str">
        <f t="shared" si="7"/>
        <v/>
      </c>
      <c r="J119" s="232" t="e">
        <f t="shared" si="11"/>
        <v>#NUM!</v>
      </c>
      <c r="K119" s="232" t="e">
        <f t="shared" si="8"/>
        <v>#NUM!</v>
      </c>
      <c r="L119" s="232"/>
      <c r="M119" s="234">
        <f t="shared" si="9"/>
        <v>0</v>
      </c>
      <c r="S119" s="220"/>
      <c r="T119" s="220"/>
      <c r="U119" s="220"/>
      <c r="V119" s="220"/>
      <c r="W119" s="220"/>
      <c r="X119" s="220"/>
      <c r="Y119" s="220"/>
      <c r="Z119" s="220"/>
      <c r="AA119" s="220"/>
      <c r="AB119" s="220"/>
      <c r="AC119" s="220"/>
      <c r="AD119" s="220"/>
      <c r="AE119" s="220"/>
      <c r="AF119" s="220"/>
      <c r="AG119" s="220"/>
      <c r="AH119" s="220"/>
      <c r="AI119" s="220"/>
      <c r="AJ119" s="220"/>
      <c r="AK119" s="220"/>
      <c r="AL119" s="220"/>
    </row>
    <row r="120" spans="1:38" s="215" customFormat="1" x14ac:dyDescent="0.25">
      <c r="A120" s="94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29">
        <v>115</v>
      </c>
      <c r="I120" s="230" t="str">
        <f t="shared" si="7"/>
        <v/>
      </c>
      <c r="J120" s="229" t="e">
        <f t="shared" si="11"/>
        <v>#NUM!</v>
      </c>
      <c r="K120" s="229" t="e">
        <f t="shared" si="8"/>
        <v>#NUM!</v>
      </c>
      <c r="L120" s="229"/>
      <c r="M120" s="231">
        <f t="shared" si="9"/>
        <v>0</v>
      </c>
      <c r="S120" s="220"/>
      <c r="T120" s="220"/>
      <c r="U120" s="220"/>
      <c r="V120" s="220"/>
      <c r="W120" s="220"/>
      <c r="X120" s="220"/>
      <c r="Y120" s="220"/>
      <c r="Z120" s="220"/>
      <c r="AA120" s="220"/>
      <c r="AB120" s="220"/>
      <c r="AC120" s="220"/>
      <c r="AD120" s="220"/>
      <c r="AE120" s="220"/>
      <c r="AF120" s="220"/>
      <c r="AG120" s="220"/>
      <c r="AH120" s="220"/>
      <c r="AI120" s="220"/>
      <c r="AJ120" s="220"/>
      <c r="AK120" s="220"/>
      <c r="AL120" s="220"/>
    </row>
    <row r="121" spans="1:38" s="215" customFormat="1" x14ac:dyDescent="0.25">
      <c r="A121" s="98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32">
        <v>116</v>
      </c>
      <c r="I121" s="233" t="str">
        <f t="shared" si="7"/>
        <v/>
      </c>
      <c r="J121" s="232" t="e">
        <f t="shared" si="11"/>
        <v>#NUM!</v>
      </c>
      <c r="K121" s="232" t="e">
        <f t="shared" si="8"/>
        <v>#NUM!</v>
      </c>
      <c r="L121" s="232"/>
      <c r="M121" s="234">
        <f t="shared" si="9"/>
        <v>0</v>
      </c>
      <c r="S121" s="220"/>
      <c r="T121" s="220"/>
      <c r="U121" s="220"/>
      <c r="V121" s="220"/>
      <c r="W121" s="220"/>
      <c r="X121" s="220"/>
      <c r="Y121" s="220"/>
      <c r="Z121" s="220"/>
      <c r="AA121" s="220"/>
      <c r="AB121" s="220"/>
      <c r="AC121" s="220"/>
      <c r="AD121" s="220"/>
      <c r="AE121" s="220"/>
      <c r="AF121" s="220"/>
      <c r="AG121" s="220"/>
      <c r="AH121" s="220"/>
      <c r="AI121" s="220"/>
      <c r="AJ121" s="220"/>
      <c r="AK121" s="220"/>
      <c r="AL121" s="220"/>
    </row>
    <row r="122" spans="1:38" s="215" customFormat="1" x14ac:dyDescent="0.25">
      <c r="A122" s="94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29">
        <v>117</v>
      </c>
      <c r="I122" s="230" t="str">
        <f t="shared" si="7"/>
        <v/>
      </c>
      <c r="J122" s="229" t="e">
        <f t="shared" si="11"/>
        <v>#NUM!</v>
      </c>
      <c r="K122" s="229" t="e">
        <f t="shared" si="8"/>
        <v>#NUM!</v>
      </c>
      <c r="L122" s="229"/>
      <c r="M122" s="231">
        <f t="shared" si="9"/>
        <v>0</v>
      </c>
      <c r="S122" s="220"/>
      <c r="T122" s="220"/>
      <c r="U122" s="220"/>
      <c r="V122" s="220"/>
      <c r="W122" s="220"/>
      <c r="X122" s="220"/>
      <c r="Y122" s="220"/>
      <c r="Z122" s="220"/>
      <c r="AA122" s="220"/>
      <c r="AB122" s="220"/>
      <c r="AC122" s="220"/>
      <c r="AD122" s="220"/>
      <c r="AE122" s="220"/>
      <c r="AF122" s="220"/>
      <c r="AG122" s="220"/>
      <c r="AH122" s="220"/>
      <c r="AI122" s="220"/>
      <c r="AJ122" s="220"/>
      <c r="AK122" s="220"/>
      <c r="AL122" s="220"/>
    </row>
    <row r="123" spans="1:38" s="215" customFormat="1" x14ac:dyDescent="0.25">
      <c r="A123" s="98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32">
        <v>118</v>
      </c>
      <c r="I123" s="233" t="str">
        <f t="shared" si="7"/>
        <v/>
      </c>
      <c r="J123" s="232" t="e">
        <f t="shared" si="11"/>
        <v>#NUM!</v>
      </c>
      <c r="K123" s="232" t="e">
        <f t="shared" si="8"/>
        <v>#NUM!</v>
      </c>
      <c r="L123" s="232"/>
      <c r="M123" s="234">
        <f t="shared" si="9"/>
        <v>0</v>
      </c>
      <c r="S123" s="220"/>
      <c r="T123" s="220"/>
      <c r="U123" s="220"/>
      <c r="V123" s="220"/>
      <c r="W123" s="220"/>
      <c r="X123" s="220"/>
      <c r="Y123" s="220"/>
      <c r="Z123" s="220"/>
      <c r="AA123" s="220"/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</row>
    <row r="124" spans="1:38" s="215" customFormat="1" x14ac:dyDescent="0.25">
      <c r="A124" s="94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29">
        <v>119</v>
      </c>
      <c r="I124" s="230" t="str">
        <f t="shared" si="7"/>
        <v/>
      </c>
      <c r="J124" s="229" t="e">
        <f t="shared" si="11"/>
        <v>#NUM!</v>
      </c>
      <c r="K124" s="229" t="e">
        <f t="shared" si="8"/>
        <v>#NUM!</v>
      </c>
      <c r="L124" s="229"/>
      <c r="M124" s="231">
        <f t="shared" si="9"/>
        <v>0</v>
      </c>
      <c r="S124" s="220"/>
      <c r="T124" s="220"/>
      <c r="U124" s="220"/>
      <c r="V124" s="220"/>
      <c r="W124" s="220"/>
      <c r="X124" s="220"/>
      <c r="Y124" s="220"/>
      <c r="Z124" s="220"/>
      <c r="AA124" s="220"/>
      <c r="AB124" s="220"/>
      <c r="AC124" s="220"/>
      <c r="AD124" s="220"/>
      <c r="AE124" s="220"/>
      <c r="AF124" s="220"/>
      <c r="AG124" s="220"/>
      <c r="AH124" s="220"/>
      <c r="AI124" s="220"/>
      <c r="AJ124" s="220"/>
      <c r="AK124" s="220"/>
      <c r="AL124" s="220"/>
    </row>
    <row r="125" spans="1:38" s="215" customFormat="1" x14ac:dyDescent="0.25">
      <c r="A125" s="98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32">
        <v>120</v>
      </c>
      <c r="I125" s="233" t="str">
        <f t="shared" si="7"/>
        <v/>
      </c>
      <c r="J125" s="232" t="e">
        <f t="shared" si="11"/>
        <v>#NUM!</v>
      </c>
      <c r="K125" s="232" t="e">
        <f t="shared" si="8"/>
        <v>#NUM!</v>
      </c>
      <c r="L125" s="232"/>
      <c r="M125" s="234">
        <f t="shared" si="9"/>
        <v>0</v>
      </c>
      <c r="S125" s="220"/>
      <c r="T125" s="220"/>
      <c r="U125" s="220"/>
      <c r="V125" s="220"/>
      <c r="W125" s="220"/>
      <c r="X125" s="220"/>
      <c r="Y125" s="220"/>
      <c r="Z125" s="220"/>
      <c r="AA125" s="220"/>
      <c r="AB125" s="220"/>
      <c r="AC125" s="220"/>
      <c r="AD125" s="220"/>
      <c r="AE125" s="220"/>
      <c r="AF125" s="220"/>
      <c r="AG125" s="220"/>
      <c r="AH125" s="220"/>
      <c r="AI125" s="220"/>
      <c r="AJ125" s="220"/>
      <c r="AK125" s="220"/>
      <c r="AL125" s="220"/>
    </row>
    <row r="126" spans="1:38" s="215" customFormat="1" x14ac:dyDescent="0.25">
      <c r="A126" s="94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29">
        <v>121</v>
      </c>
      <c r="I126" s="230" t="str">
        <f t="shared" si="7"/>
        <v/>
      </c>
      <c r="J126" s="229" t="e">
        <f t="shared" si="11"/>
        <v>#NUM!</v>
      </c>
      <c r="K126" s="229" t="e">
        <f t="shared" si="8"/>
        <v>#NUM!</v>
      </c>
      <c r="L126" s="229"/>
      <c r="M126" s="231">
        <f t="shared" si="9"/>
        <v>0</v>
      </c>
      <c r="S126" s="220"/>
      <c r="T126" s="220"/>
      <c r="U126" s="220"/>
      <c r="V126" s="220"/>
      <c r="W126" s="220"/>
      <c r="X126" s="220"/>
      <c r="Y126" s="220"/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</row>
    <row r="127" spans="1:38" s="215" customFormat="1" x14ac:dyDescent="0.25">
      <c r="A127" s="98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32">
        <v>122</v>
      </c>
      <c r="I127" s="233" t="str">
        <f t="shared" si="7"/>
        <v/>
      </c>
      <c r="J127" s="232" t="e">
        <f t="shared" si="11"/>
        <v>#NUM!</v>
      </c>
      <c r="K127" s="232" t="e">
        <f t="shared" si="8"/>
        <v>#NUM!</v>
      </c>
      <c r="L127" s="232"/>
      <c r="M127" s="234">
        <f t="shared" si="9"/>
        <v>0</v>
      </c>
      <c r="S127" s="220"/>
      <c r="T127" s="220"/>
      <c r="U127" s="220"/>
      <c r="V127" s="220"/>
      <c r="W127" s="220"/>
      <c r="X127" s="220"/>
      <c r="Y127" s="220"/>
      <c r="Z127" s="220"/>
      <c r="AA127" s="220"/>
      <c r="AB127" s="220"/>
      <c r="AC127" s="220"/>
      <c r="AD127" s="220"/>
      <c r="AE127" s="220"/>
      <c r="AF127" s="220"/>
      <c r="AG127" s="220"/>
      <c r="AH127" s="220"/>
      <c r="AI127" s="220"/>
      <c r="AJ127" s="220"/>
      <c r="AK127" s="220"/>
      <c r="AL127" s="220"/>
    </row>
    <row r="128" spans="1:38" s="215" customFormat="1" x14ac:dyDescent="0.25">
      <c r="A128" s="94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29">
        <v>123</v>
      </c>
      <c r="I128" s="230" t="str">
        <f t="shared" si="7"/>
        <v/>
      </c>
      <c r="J128" s="229" t="e">
        <f t="shared" si="11"/>
        <v>#NUM!</v>
      </c>
      <c r="K128" s="229" t="e">
        <f t="shared" si="8"/>
        <v>#NUM!</v>
      </c>
      <c r="L128" s="229"/>
      <c r="M128" s="231">
        <f t="shared" si="9"/>
        <v>0</v>
      </c>
      <c r="S128" s="220"/>
      <c r="T128" s="220"/>
      <c r="U128" s="220"/>
      <c r="V128" s="220"/>
      <c r="W128" s="220"/>
      <c r="X128" s="220"/>
      <c r="Y128" s="220"/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</row>
    <row r="129" spans="1:38" s="215" customFormat="1" x14ac:dyDescent="0.25">
      <c r="A129" s="98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32">
        <v>124</v>
      </c>
      <c r="I129" s="233" t="str">
        <f t="shared" si="7"/>
        <v/>
      </c>
      <c r="J129" s="232" t="e">
        <f t="shared" si="11"/>
        <v>#NUM!</v>
      </c>
      <c r="K129" s="232" t="e">
        <f t="shared" si="8"/>
        <v>#NUM!</v>
      </c>
      <c r="L129" s="232"/>
      <c r="M129" s="234">
        <f t="shared" si="9"/>
        <v>0</v>
      </c>
      <c r="S129" s="220"/>
      <c r="T129" s="220"/>
      <c r="U129" s="220"/>
      <c r="V129" s="220"/>
      <c r="W129" s="220"/>
      <c r="X129" s="220"/>
      <c r="Y129" s="220"/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</row>
    <row r="130" spans="1:38" s="215" customFormat="1" x14ac:dyDescent="0.25">
      <c r="A130" s="94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29">
        <v>125</v>
      </c>
      <c r="I130" s="230" t="str">
        <f t="shared" si="7"/>
        <v/>
      </c>
      <c r="J130" s="229" t="e">
        <f t="shared" si="11"/>
        <v>#NUM!</v>
      </c>
      <c r="K130" s="229" t="e">
        <f t="shared" si="8"/>
        <v>#NUM!</v>
      </c>
      <c r="L130" s="229"/>
      <c r="M130" s="231">
        <f t="shared" si="9"/>
        <v>0</v>
      </c>
      <c r="S130" s="220"/>
      <c r="T130" s="220"/>
      <c r="U130" s="220"/>
      <c r="V130" s="220"/>
      <c r="W130" s="220"/>
      <c r="X130" s="220"/>
      <c r="Y130" s="220"/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</row>
    <row r="131" spans="1:38" s="215" customFormat="1" x14ac:dyDescent="0.25">
      <c r="A131" s="98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32">
        <v>126</v>
      </c>
      <c r="I131" s="233" t="str">
        <f t="shared" si="7"/>
        <v/>
      </c>
      <c r="J131" s="232" t="e">
        <f t="shared" si="11"/>
        <v>#NUM!</v>
      </c>
      <c r="K131" s="232" t="e">
        <f t="shared" si="8"/>
        <v>#NUM!</v>
      </c>
      <c r="L131" s="232"/>
      <c r="M131" s="234">
        <f t="shared" si="9"/>
        <v>0</v>
      </c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</row>
    <row r="132" spans="1:38" s="215" customFormat="1" x14ac:dyDescent="0.25">
      <c r="A132" s="94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29">
        <v>127</v>
      </c>
      <c r="I132" s="230" t="str">
        <f t="shared" si="7"/>
        <v/>
      </c>
      <c r="J132" s="229" t="e">
        <f t="shared" si="11"/>
        <v>#NUM!</v>
      </c>
      <c r="K132" s="229" t="e">
        <f t="shared" si="8"/>
        <v>#NUM!</v>
      </c>
      <c r="L132" s="229"/>
      <c r="M132" s="231">
        <f t="shared" si="9"/>
        <v>0</v>
      </c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</row>
    <row r="133" spans="1:38" s="215" customFormat="1" x14ac:dyDescent="0.25">
      <c r="A133" s="98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32">
        <v>128</v>
      </c>
      <c r="I133" s="233" t="str">
        <f t="shared" si="7"/>
        <v/>
      </c>
      <c r="J133" s="232" t="e">
        <f t="shared" si="11"/>
        <v>#NUM!</v>
      </c>
      <c r="K133" s="232" t="e">
        <f t="shared" si="8"/>
        <v>#NUM!</v>
      </c>
      <c r="L133" s="232"/>
      <c r="M133" s="234">
        <f t="shared" si="9"/>
        <v>0</v>
      </c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0"/>
      <c r="AI133" s="220"/>
      <c r="AJ133" s="220"/>
      <c r="AK133" s="220"/>
      <c r="AL133" s="220"/>
    </row>
    <row r="134" spans="1:38" s="215" customFormat="1" x14ac:dyDescent="0.25">
      <c r="A134" s="94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29">
        <v>129</v>
      </c>
      <c r="I134" s="230" t="str">
        <f t="shared" ref="I134:I197" si="13">IF(H134&lt;$H$2+1,($I$2-($I$2-1)*(LOG(H134)/LOG($H$2))),"")</f>
        <v/>
      </c>
      <c r="J134" s="229" t="e">
        <f t="shared" si="11"/>
        <v>#NUM!</v>
      </c>
      <c r="K134" s="229" t="e">
        <f t="shared" ref="K134:K197" si="14">J134*$J$2</f>
        <v>#NUM!</v>
      </c>
      <c r="L134" s="229"/>
      <c r="M134" s="231">
        <f t="shared" ref="M134:M197" si="15">IF(I134&lt;&gt;"",K134+I134+L134,0)</f>
        <v>0</v>
      </c>
      <c r="S134" s="220"/>
      <c r="T134" s="220"/>
      <c r="U134" s="220"/>
      <c r="V134" s="220"/>
      <c r="W134" s="220"/>
      <c r="X134" s="220"/>
      <c r="Y134" s="220"/>
      <c r="Z134" s="220"/>
      <c r="AA134" s="220"/>
      <c r="AB134" s="220"/>
      <c r="AC134" s="220"/>
      <c r="AD134" s="220"/>
      <c r="AE134" s="220"/>
      <c r="AF134" s="220"/>
      <c r="AG134" s="220"/>
      <c r="AH134" s="220"/>
      <c r="AI134" s="220"/>
      <c r="AJ134" s="220"/>
      <c r="AK134" s="220"/>
      <c r="AL134" s="220"/>
    </row>
    <row r="135" spans="1:38" s="215" customFormat="1" x14ac:dyDescent="0.25">
      <c r="A135" s="98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32">
        <v>130</v>
      </c>
      <c r="I135" s="233" t="str">
        <f t="shared" si="13"/>
        <v/>
      </c>
      <c r="J135" s="232" t="e">
        <f t="shared" ref="J135:J198" si="17">INT(LOG($H$2,2))-ROUNDUP(LOG(H135,2),0)+IF(OR($H$2=1,$H$2=2,$H$2=4,$H$2=8,$H$2=16,$H$2=32,$H$2=64,$H$2=128,$H$2=256),0,1)</f>
        <v>#NUM!</v>
      </c>
      <c r="K135" s="232" t="e">
        <f t="shared" si="14"/>
        <v>#NUM!</v>
      </c>
      <c r="L135" s="232"/>
      <c r="M135" s="234">
        <f t="shared" si="15"/>
        <v>0</v>
      </c>
      <c r="S135" s="220"/>
      <c r="T135" s="220"/>
      <c r="U135" s="220"/>
      <c r="V135" s="220"/>
      <c r="W135" s="220"/>
      <c r="X135" s="220"/>
      <c r="Y135" s="220"/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</row>
    <row r="136" spans="1:38" s="215" customFormat="1" x14ac:dyDescent="0.25">
      <c r="A136" s="94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29">
        <v>131</v>
      </c>
      <c r="I136" s="230" t="str">
        <f t="shared" si="13"/>
        <v/>
      </c>
      <c r="J136" s="229" t="e">
        <f t="shared" si="17"/>
        <v>#NUM!</v>
      </c>
      <c r="K136" s="229" t="e">
        <f t="shared" si="14"/>
        <v>#NUM!</v>
      </c>
      <c r="L136" s="229"/>
      <c r="M136" s="231">
        <f t="shared" si="15"/>
        <v>0</v>
      </c>
      <c r="S136" s="220"/>
      <c r="T136" s="220"/>
      <c r="U136" s="220"/>
      <c r="V136" s="220"/>
      <c r="W136" s="220"/>
      <c r="X136" s="220"/>
      <c r="Y136" s="220"/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</row>
    <row r="137" spans="1:38" s="215" customFormat="1" x14ac:dyDescent="0.25">
      <c r="A137" s="98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32">
        <v>132</v>
      </c>
      <c r="I137" s="233" t="str">
        <f t="shared" si="13"/>
        <v/>
      </c>
      <c r="J137" s="232" t="e">
        <f t="shared" si="17"/>
        <v>#NUM!</v>
      </c>
      <c r="K137" s="232" t="e">
        <f t="shared" si="14"/>
        <v>#NUM!</v>
      </c>
      <c r="L137" s="232"/>
      <c r="M137" s="234">
        <f t="shared" si="15"/>
        <v>0</v>
      </c>
      <c r="S137" s="220"/>
      <c r="T137" s="220"/>
      <c r="U137" s="220"/>
      <c r="V137" s="220"/>
      <c r="W137" s="220"/>
      <c r="X137" s="220"/>
      <c r="Y137" s="220"/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</row>
    <row r="138" spans="1:38" s="215" customFormat="1" x14ac:dyDescent="0.25">
      <c r="A138" s="94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29">
        <v>133</v>
      </c>
      <c r="I138" s="230" t="str">
        <f t="shared" si="13"/>
        <v/>
      </c>
      <c r="J138" s="229" t="e">
        <f t="shared" si="17"/>
        <v>#NUM!</v>
      </c>
      <c r="K138" s="229" t="e">
        <f t="shared" si="14"/>
        <v>#NUM!</v>
      </c>
      <c r="L138" s="229"/>
      <c r="M138" s="231">
        <f t="shared" si="15"/>
        <v>0</v>
      </c>
      <c r="S138" s="220"/>
      <c r="T138" s="220"/>
      <c r="U138" s="220"/>
      <c r="V138" s="220"/>
      <c r="W138" s="220"/>
      <c r="X138" s="220"/>
      <c r="Y138" s="220"/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</row>
    <row r="139" spans="1:38" s="215" customFormat="1" x14ac:dyDescent="0.25">
      <c r="A139" s="98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32">
        <v>134</v>
      </c>
      <c r="I139" s="233" t="str">
        <f t="shared" si="13"/>
        <v/>
      </c>
      <c r="J139" s="232" t="e">
        <f t="shared" si="17"/>
        <v>#NUM!</v>
      </c>
      <c r="K139" s="232" t="e">
        <f t="shared" si="14"/>
        <v>#NUM!</v>
      </c>
      <c r="L139" s="232"/>
      <c r="M139" s="234">
        <f t="shared" si="15"/>
        <v>0</v>
      </c>
      <c r="S139" s="220"/>
      <c r="T139" s="220"/>
      <c r="U139" s="220"/>
      <c r="V139" s="220"/>
      <c r="W139" s="220"/>
      <c r="X139" s="220"/>
      <c r="Y139" s="220"/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</row>
    <row r="140" spans="1:38" s="215" customFormat="1" x14ac:dyDescent="0.25">
      <c r="A140" s="94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29">
        <v>135</v>
      </c>
      <c r="I140" s="230" t="str">
        <f t="shared" si="13"/>
        <v/>
      </c>
      <c r="J140" s="229" t="e">
        <f t="shared" si="17"/>
        <v>#NUM!</v>
      </c>
      <c r="K140" s="229" t="e">
        <f t="shared" si="14"/>
        <v>#NUM!</v>
      </c>
      <c r="L140" s="229"/>
      <c r="M140" s="231">
        <f t="shared" si="15"/>
        <v>0</v>
      </c>
      <c r="S140" s="220"/>
      <c r="T140" s="220"/>
      <c r="U140" s="220"/>
      <c r="V140" s="220"/>
      <c r="W140" s="220"/>
      <c r="X140" s="220"/>
      <c r="Y140" s="220"/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</row>
    <row r="141" spans="1:38" x14ac:dyDescent="0.25">
      <c r="A141" s="246"/>
      <c r="G141" s="215"/>
      <c r="H141" s="232">
        <v>136</v>
      </c>
      <c r="I141" s="230" t="str">
        <f t="shared" si="13"/>
        <v/>
      </c>
      <c r="J141" s="229" t="e">
        <f t="shared" si="17"/>
        <v>#NUM!</v>
      </c>
      <c r="K141" s="229" t="e">
        <f t="shared" si="14"/>
        <v>#NUM!</v>
      </c>
      <c r="L141" s="229"/>
      <c r="M141" s="231">
        <f t="shared" si="15"/>
        <v>0</v>
      </c>
    </row>
    <row r="142" spans="1:38" x14ac:dyDescent="0.25">
      <c r="A142" s="246"/>
      <c r="G142" s="215"/>
      <c r="H142" s="229">
        <v>137</v>
      </c>
      <c r="I142" s="230" t="str">
        <f t="shared" si="13"/>
        <v/>
      </c>
      <c r="J142" s="229" t="e">
        <f t="shared" si="17"/>
        <v>#NUM!</v>
      </c>
      <c r="K142" s="229" t="e">
        <f t="shared" si="14"/>
        <v>#NUM!</v>
      </c>
      <c r="L142" s="229"/>
      <c r="M142" s="231">
        <f t="shared" si="15"/>
        <v>0</v>
      </c>
    </row>
    <row r="143" spans="1:38" x14ac:dyDescent="0.25">
      <c r="A143" s="246"/>
      <c r="G143" s="215"/>
      <c r="H143" s="232">
        <v>138</v>
      </c>
      <c r="I143" s="230" t="str">
        <f t="shared" si="13"/>
        <v/>
      </c>
      <c r="J143" s="229" t="e">
        <f t="shared" si="17"/>
        <v>#NUM!</v>
      </c>
      <c r="K143" s="229" t="e">
        <f t="shared" si="14"/>
        <v>#NUM!</v>
      </c>
      <c r="L143" s="229"/>
      <c r="M143" s="231">
        <f t="shared" si="15"/>
        <v>0</v>
      </c>
    </row>
    <row r="144" spans="1:38" x14ac:dyDescent="0.25">
      <c r="A144" s="246"/>
      <c r="G144" s="215"/>
      <c r="H144" s="229">
        <v>139</v>
      </c>
      <c r="I144" s="230" t="str">
        <f t="shared" si="13"/>
        <v/>
      </c>
      <c r="J144" s="229" t="e">
        <f t="shared" si="17"/>
        <v>#NUM!</v>
      </c>
      <c r="K144" s="229" t="e">
        <f t="shared" si="14"/>
        <v>#NUM!</v>
      </c>
      <c r="L144" s="229"/>
      <c r="M144" s="231">
        <f t="shared" si="15"/>
        <v>0</v>
      </c>
    </row>
    <row r="145" spans="1:13" x14ac:dyDescent="0.25">
      <c r="A145" s="246"/>
      <c r="G145" s="215"/>
      <c r="H145" s="232">
        <v>140</v>
      </c>
      <c r="I145" s="230" t="str">
        <f t="shared" si="13"/>
        <v/>
      </c>
      <c r="J145" s="229" t="e">
        <f t="shared" si="17"/>
        <v>#NUM!</v>
      </c>
      <c r="K145" s="229" t="e">
        <f t="shared" si="14"/>
        <v>#NUM!</v>
      </c>
      <c r="L145" s="229"/>
      <c r="M145" s="231">
        <f t="shared" si="15"/>
        <v>0</v>
      </c>
    </row>
    <row r="146" spans="1:13" x14ac:dyDescent="0.25">
      <c r="A146" s="246"/>
      <c r="G146" s="215"/>
      <c r="H146" s="229">
        <v>141</v>
      </c>
      <c r="I146" s="230" t="str">
        <f t="shared" si="13"/>
        <v/>
      </c>
      <c r="J146" s="229" t="e">
        <f t="shared" si="17"/>
        <v>#NUM!</v>
      </c>
      <c r="K146" s="229" t="e">
        <f t="shared" si="14"/>
        <v>#NUM!</v>
      </c>
      <c r="L146" s="229"/>
      <c r="M146" s="231">
        <f t="shared" si="15"/>
        <v>0</v>
      </c>
    </row>
    <row r="147" spans="1:13" x14ac:dyDescent="0.25">
      <c r="A147" s="246"/>
      <c r="G147" s="215"/>
      <c r="H147" s="232">
        <v>142</v>
      </c>
      <c r="I147" s="230" t="str">
        <f t="shared" si="13"/>
        <v/>
      </c>
      <c r="J147" s="229" t="e">
        <f t="shared" si="17"/>
        <v>#NUM!</v>
      </c>
      <c r="K147" s="229" t="e">
        <f t="shared" si="14"/>
        <v>#NUM!</v>
      </c>
      <c r="L147" s="229"/>
      <c r="M147" s="231">
        <f t="shared" si="15"/>
        <v>0</v>
      </c>
    </row>
    <row r="148" spans="1:13" x14ac:dyDescent="0.25">
      <c r="A148" s="246"/>
      <c r="G148" s="215"/>
      <c r="H148" s="229">
        <v>143</v>
      </c>
      <c r="I148" s="230" t="str">
        <f t="shared" si="13"/>
        <v/>
      </c>
      <c r="J148" s="229" t="e">
        <f t="shared" si="17"/>
        <v>#NUM!</v>
      </c>
      <c r="K148" s="229" t="e">
        <f t="shared" si="14"/>
        <v>#NUM!</v>
      </c>
      <c r="L148" s="229"/>
      <c r="M148" s="231">
        <f t="shared" si="15"/>
        <v>0</v>
      </c>
    </row>
    <row r="149" spans="1:13" x14ac:dyDescent="0.25">
      <c r="A149" s="246"/>
      <c r="G149" s="215"/>
      <c r="H149" s="232">
        <v>144</v>
      </c>
      <c r="I149" s="230" t="str">
        <f t="shared" si="13"/>
        <v/>
      </c>
      <c r="J149" s="229" t="e">
        <f t="shared" si="17"/>
        <v>#NUM!</v>
      </c>
      <c r="K149" s="229" t="e">
        <f t="shared" si="14"/>
        <v>#NUM!</v>
      </c>
      <c r="L149" s="229"/>
      <c r="M149" s="231">
        <f t="shared" si="15"/>
        <v>0</v>
      </c>
    </row>
    <row r="150" spans="1:13" x14ac:dyDescent="0.25">
      <c r="A150" s="246"/>
      <c r="G150" s="215"/>
      <c r="H150" s="229">
        <v>145</v>
      </c>
      <c r="I150" s="230" t="str">
        <f t="shared" si="13"/>
        <v/>
      </c>
      <c r="J150" s="229" t="e">
        <f t="shared" si="17"/>
        <v>#NUM!</v>
      </c>
      <c r="K150" s="229" t="e">
        <f t="shared" si="14"/>
        <v>#NUM!</v>
      </c>
      <c r="L150" s="229"/>
      <c r="M150" s="231">
        <f t="shared" si="15"/>
        <v>0</v>
      </c>
    </row>
    <row r="151" spans="1:13" x14ac:dyDescent="0.25">
      <c r="A151" s="246"/>
      <c r="G151" s="215"/>
      <c r="H151" s="232">
        <v>146</v>
      </c>
      <c r="I151" s="230" t="str">
        <f t="shared" si="13"/>
        <v/>
      </c>
      <c r="J151" s="229" t="e">
        <f t="shared" si="17"/>
        <v>#NUM!</v>
      </c>
      <c r="K151" s="229" t="e">
        <f t="shared" si="14"/>
        <v>#NUM!</v>
      </c>
      <c r="L151" s="229"/>
      <c r="M151" s="231">
        <f t="shared" si="15"/>
        <v>0</v>
      </c>
    </row>
    <row r="152" spans="1:13" x14ac:dyDescent="0.25">
      <c r="A152" s="246"/>
      <c r="G152" s="215"/>
      <c r="H152" s="229">
        <v>147</v>
      </c>
      <c r="I152" s="230" t="str">
        <f t="shared" si="13"/>
        <v/>
      </c>
      <c r="J152" s="229" t="e">
        <f t="shared" si="17"/>
        <v>#NUM!</v>
      </c>
      <c r="K152" s="229" t="e">
        <f t="shared" si="14"/>
        <v>#NUM!</v>
      </c>
      <c r="L152" s="229"/>
      <c r="M152" s="231">
        <f t="shared" si="15"/>
        <v>0</v>
      </c>
    </row>
    <row r="153" spans="1:13" x14ac:dyDescent="0.25">
      <c r="A153" s="246"/>
      <c r="G153" s="215"/>
      <c r="H153" s="232">
        <v>148</v>
      </c>
      <c r="I153" s="230" t="str">
        <f t="shared" si="13"/>
        <v/>
      </c>
      <c r="J153" s="229" t="e">
        <f t="shared" si="17"/>
        <v>#NUM!</v>
      </c>
      <c r="K153" s="229" t="e">
        <f t="shared" si="14"/>
        <v>#NUM!</v>
      </c>
      <c r="L153" s="229"/>
      <c r="M153" s="231">
        <f t="shared" si="15"/>
        <v>0</v>
      </c>
    </row>
    <row r="154" spans="1:13" x14ac:dyDescent="0.25">
      <c r="A154" s="246"/>
      <c r="G154" s="215"/>
      <c r="H154" s="229">
        <v>149</v>
      </c>
      <c r="I154" s="230" t="str">
        <f t="shared" si="13"/>
        <v/>
      </c>
      <c r="J154" s="229" t="e">
        <f t="shared" si="17"/>
        <v>#NUM!</v>
      </c>
      <c r="K154" s="229" t="e">
        <f t="shared" si="14"/>
        <v>#NUM!</v>
      </c>
      <c r="L154" s="229"/>
      <c r="M154" s="231">
        <f t="shared" si="15"/>
        <v>0</v>
      </c>
    </row>
    <row r="155" spans="1:13" x14ac:dyDescent="0.25">
      <c r="A155" s="246"/>
      <c r="G155" s="215"/>
      <c r="H155" s="232">
        <v>150</v>
      </c>
      <c r="I155" s="230" t="str">
        <f t="shared" si="13"/>
        <v/>
      </c>
      <c r="J155" s="229" t="e">
        <f t="shared" si="17"/>
        <v>#NUM!</v>
      </c>
      <c r="K155" s="229" t="e">
        <f t="shared" si="14"/>
        <v>#NUM!</v>
      </c>
      <c r="L155" s="229"/>
      <c r="M155" s="231">
        <f t="shared" si="15"/>
        <v>0</v>
      </c>
    </row>
    <row r="156" spans="1:13" x14ac:dyDescent="0.25">
      <c r="A156" s="246"/>
      <c r="G156" s="215"/>
      <c r="H156" s="229">
        <v>151</v>
      </c>
      <c r="I156" s="230" t="str">
        <f t="shared" si="13"/>
        <v/>
      </c>
      <c r="J156" s="229" t="e">
        <f t="shared" si="17"/>
        <v>#NUM!</v>
      </c>
      <c r="K156" s="229" t="e">
        <f t="shared" si="14"/>
        <v>#NUM!</v>
      </c>
      <c r="L156" s="229"/>
      <c r="M156" s="231">
        <f t="shared" si="15"/>
        <v>0</v>
      </c>
    </row>
    <row r="157" spans="1:13" x14ac:dyDescent="0.25">
      <c r="A157" s="246"/>
      <c r="G157" s="215"/>
      <c r="H157" s="232">
        <v>152</v>
      </c>
      <c r="I157" s="230" t="str">
        <f t="shared" si="13"/>
        <v/>
      </c>
      <c r="J157" s="229" t="e">
        <f t="shared" si="17"/>
        <v>#NUM!</v>
      </c>
      <c r="K157" s="229" t="e">
        <f t="shared" si="14"/>
        <v>#NUM!</v>
      </c>
      <c r="L157" s="229"/>
      <c r="M157" s="231">
        <f t="shared" si="15"/>
        <v>0</v>
      </c>
    </row>
    <row r="158" spans="1:13" x14ac:dyDescent="0.25">
      <c r="A158" s="246"/>
      <c r="G158" s="215"/>
      <c r="H158" s="229">
        <v>153</v>
      </c>
      <c r="I158" s="230" t="str">
        <f t="shared" si="13"/>
        <v/>
      </c>
      <c r="J158" s="229" t="e">
        <f t="shared" si="17"/>
        <v>#NUM!</v>
      </c>
      <c r="K158" s="229" t="e">
        <f t="shared" si="14"/>
        <v>#NUM!</v>
      </c>
      <c r="L158" s="229"/>
      <c r="M158" s="231">
        <f t="shared" si="15"/>
        <v>0</v>
      </c>
    </row>
    <row r="159" spans="1:13" x14ac:dyDescent="0.25">
      <c r="A159" s="246"/>
      <c r="G159" s="215"/>
      <c r="H159" s="232">
        <v>154</v>
      </c>
      <c r="I159" s="230" t="str">
        <f t="shared" si="13"/>
        <v/>
      </c>
      <c r="J159" s="229" t="e">
        <f t="shared" si="17"/>
        <v>#NUM!</v>
      </c>
      <c r="K159" s="229" t="e">
        <f t="shared" si="14"/>
        <v>#NUM!</v>
      </c>
      <c r="L159" s="229"/>
      <c r="M159" s="231">
        <f t="shared" si="15"/>
        <v>0</v>
      </c>
    </row>
    <row r="160" spans="1:13" x14ac:dyDescent="0.25">
      <c r="A160" s="246"/>
      <c r="G160" s="215"/>
      <c r="H160" s="229">
        <v>155</v>
      </c>
      <c r="I160" s="230" t="str">
        <f t="shared" si="13"/>
        <v/>
      </c>
      <c r="J160" s="229" t="e">
        <f t="shared" si="17"/>
        <v>#NUM!</v>
      </c>
      <c r="K160" s="229" t="e">
        <f t="shared" si="14"/>
        <v>#NUM!</v>
      </c>
      <c r="L160" s="229"/>
      <c r="M160" s="231">
        <f t="shared" si="15"/>
        <v>0</v>
      </c>
    </row>
    <row r="161" spans="1:13" x14ac:dyDescent="0.25">
      <c r="A161" s="246"/>
      <c r="G161" s="215"/>
      <c r="H161" s="232">
        <v>156</v>
      </c>
      <c r="I161" s="230" t="str">
        <f t="shared" si="13"/>
        <v/>
      </c>
      <c r="J161" s="229" t="e">
        <f t="shared" si="17"/>
        <v>#NUM!</v>
      </c>
      <c r="K161" s="229" t="e">
        <f t="shared" si="14"/>
        <v>#NUM!</v>
      </c>
      <c r="L161" s="229"/>
      <c r="M161" s="231">
        <f t="shared" si="15"/>
        <v>0</v>
      </c>
    </row>
    <row r="162" spans="1:13" x14ac:dyDescent="0.25">
      <c r="A162" s="246"/>
      <c r="G162" s="215"/>
      <c r="H162" s="229">
        <v>157</v>
      </c>
      <c r="I162" s="230" t="str">
        <f t="shared" si="13"/>
        <v/>
      </c>
      <c r="J162" s="229" t="e">
        <f t="shared" si="17"/>
        <v>#NUM!</v>
      </c>
      <c r="K162" s="229" t="e">
        <f t="shared" si="14"/>
        <v>#NUM!</v>
      </c>
      <c r="L162" s="229"/>
      <c r="M162" s="231">
        <f t="shared" si="15"/>
        <v>0</v>
      </c>
    </row>
    <row r="163" spans="1:13" x14ac:dyDescent="0.25">
      <c r="A163" s="246"/>
      <c r="G163" s="215"/>
      <c r="H163" s="232">
        <v>158</v>
      </c>
      <c r="I163" s="230" t="str">
        <f t="shared" si="13"/>
        <v/>
      </c>
      <c r="J163" s="229" t="e">
        <f t="shared" si="17"/>
        <v>#NUM!</v>
      </c>
      <c r="K163" s="229" t="e">
        <f t="shared" si="14"/>
        <v>#NUM!</v>
      </c>
      <c r="L163" s="229"/>
      <c r="M163" s="231">
        <f t="shared" si="15"/>
        <v>0</v>
      </c>
    </row>
    <row r="164" spans="1:13" x14ac:dyDescent="0.25">
      <c r="A164" s="246"/>
      <c r="G164" s="215"/>
      <c r="H164" s="229">
        <v>159</v>
      </c>
      <c r="I164" s="230" t="str">
        <f t="shared" si="13"/>
        <v/>
      </c>
      <c r="J164" s="229" t="e">
        <f t="shared" si="17"/>
        <v>#NUM!</v>
      </c>
      <c r="K164" s="229" t="e">
        <f t="shared" si="14"/>
        <v>#NUM!</v>
      </c>
      <c r="L164" s="229"/>
      <c r="M164" s="231">
        <f t="shared" si="15"/>
        <v>0</v>
      </c>
    </row>
    <row r="165" spans="1:13" x14ac:dyDescent="0.25">
      <c r="A165" s="246"/>
      <c r="G165" s="215"/>
      <c r="H165" s="232">
        <v>160</v>
      </c>
      <c r="I165" s="230" t="str">
        <f t="shared" si="13"/>
        <v/>
      </c>
      <c r="J165" s="229" t="e">
        <f t="shared" si="17"/>
        <v>#NUM!</v>
      </c>
      <c r="K165" s="229" t="e">
        <f t="shared" si="14"/>
        <v>#NUM!</v>
      </c>
      <c r="L165" s="229"/>
      <c r="M165" s="231">
        <f t="shared" si="15"/>
        <v>0</v>
      </c>
    </row>
    <row r="166" spans="1:13" x14ac:dyDescent="0.25">
      <c r="A166" s="246"/>
      <c r="G166" s="215"/>
      <c r="H166" s="229">
        <v>161</v>
      </c>
      <c r="I166" s="230" t="str">
        <f t="shared" si="13"/>
        <v/>
      </c>
      <c r="J166" s="229" t="e">
        <f t="shared" si="17"/>
        <v>#NUM!</v>
      </c>
      <c r="K166" s="229" t="e">
        <f t="shared" si="14"/>
        <v>#NUM!</v>
      </c>
      <c r="L166" s="229"/>
      <c r="M166" s="231">
        <f t="shared" si="15"/>
        <v>0</v>
      </c>
    </row>
    <row r="167" spans="1:13" x14ac:dyDescent="0.25">
      <c r="A167" s="246"/>
      <c r="G167" s="215"/>
      <c r="H167" s="232">
        <v>162</v>
      </c>
      <c r="I167" s="230" t="str">
        <f t="shared" si="13"/>
        <v/>
      </c>
      <c r="J167" s="229" t="e">
        <f t="shared" si="17"/>
        <v>#NUM!</v>
      </c>
      <c r="K167" s="229" t="e">
        <f t="shared" si="14"/>
        <v>#NUM!</v>
      </c>
      <c r="L167" s="229"/>
      <c r="M167" s="231">
        <f t="shared" si="15"/>
        <v>0</v>
      </c>
    </row>
    <row r="168" spans="1:13" x14ac:dyDescent="0.25">
      <c r="A168" s="246"/>
      <c r="G168" s="215"/>
      <c r="H168" s="229">
        <v>163</v>
      </c>
      <c r="I168" s="230" t="str">
        <f t="shared" si="13"/>
        <v/>
      </c>
      <c r="J168" s="229" t="e">
        <f t="shared" si="17"/>
        <v>#NUM!</v>
      </c>
      <c r="K168" s="229" t="e">
        <f t="shared" si="14"/>
        <v>#NUM!</v>
      </c>
      <c r="L168" s="229"/>
      <c r="M168" s="231">
        <f t="shared" si="15"/>
        <v>0</v>
      </c>
    </row>
    <row r="169" spans="1:13" x14ac:dyDescent="0.25">
      <c r="A169" s="246"/>
      <c r="C169" s="245" t="s">
        <v>49</v>
      </c>
      <c r="G169" s="215"/>
      <c r="H169" s="232">
        <v>164</v>
      </c>
      <c r="I169" s="230" t="str">
        <f t="shared" si="13"/>
        <v/>
      </c>
      <c r="J169" s="229" t="e">
        <f t="shared" si="17"/>
        <v>#NUM!</v>
      </c>
      <c r="K169" s="229" t="e">
        <f t="shared" si="14"/>
        <v>#NUM!</v>
      </c>
      <c r="L169" s="229"/>
      <c r="M169" s="231">
        <f t="shared" si="15"/>
        <v>0</v>
      </c>
    </row>
    <row r="170" spans="1:13" x14ac:dyDescent="0.25">
      <c r="A170" s="246"/>
      <c r="G170" s="215"/>
      <c r="H170" s="229">
        <v>165</v>
      </c>
      <c r="I170" s="230" t="str">
        <f t="shared" si="13"/>
        <v/>
      </c>
      <c r="J170" s="229" t="e">
        <f t="shared" si="17"/>
        <v>#NUM!</v>
      </c>
      <c r="K170" s="229" t="e">
        <f t="shared" si="14"/>
        <v>#NUM!</v>
      </c>
      <c r="L170" s="229"/>
      <c r="M170" s="231">
        <f t="shared" si="15"/>
        <v>0</v>
      </c>
    </row>
    <row r="171" spans="1:13" x14ac:dyDescent="0.25">
      <c r="A171" s="246"/>
      <c r="G171" s="215"/>
      <c r="H171" s="232">
        <v>166</v>
      </c>
      <c r="I171" s="230" t="str">
        <f t="shared" si="13"/>
        <v/>
      </c>
      <c r="J171" s="229" t="e">
        <f t="shared" si="17"/>
        <v>#NUM!</v>
      </c>
      <c r="K171" s="229" t="e">
        <f t="shared" si="14"/>
        <v>#NUM!</v>
      </c>
      <c r="L171" s="229"/>
      <c r="M171" s="231">
        <f t="shared" si="15"/>
        <v>0</v>
      </c>
    </row>
    <row r="172" spans="1:13" x14ac:dyDescent="0.25">
      <c r="A172" s="246"/>
      <c r="G172" s="215"/>
      <c r="H172" s="229">
        <v>167</v>
      </c>
      <c r="I172" s="230" t="str">
        <f t="shared" si="13"/>
        <v/>
      </c>
      <c r="J172" s="229" t="e">
        <f t="shared" si="17"/>
        <v>#NUM!</v>
      </c>
      <c r="K172" s="229" t="e">
        <f t="shared" si="14"/>
        <v>#NUM!</v>
      </c>
      <c r="L172" s="229"/>
      <c r="M172" s="231">
        <f t="shared" si="15"/>
        <v>0</v>
      </c>
    </row>
    <row r="173" spans="1:13" x14ac:dyDescent="0.25">
      <c r="A173" s="246"/>
      <c r="G173" s="215"/>
      <c r="H173" s="232">
        <v>168</v>
      </c>
      <c r="I173" s="230" t="str">
        <f t="shared" si="13"/>
        <v/>
      </c>
      <c r="J173" s="229" t="e">
        <f t="shared" si="17"/>
        <v>#NUM!</v>
      </c>
      <c r="K173" s="229" t="e">
        <f t="shared" si="14"/>
        <v>#NUM!</v>
      </c>
      <c r="L173" s="229"/>
      <c r="M173" s="231">
        <f t="shared" si="15"/>
        <v>0</v>
      </c>
    </row>
    <row r="174" spans="1:13" x14ac:dyDescent="0.25">
      <c r="A174" s="246"/>
      <c r="G174" s="215"/>
      <c r="H174" s="229">
        <v>169</v>
      </c>
      <c r="I174" s="230" t="str">
        <f t="shared" si="13"/>
        <v/>
      </c>
      <c r="J174" s="229" t="e">
        <f t="shared" si="17"/>
        <v>#NUM!</v>
      </c>
      <c r="K174" s="229" t="e">
        <f t="shared" si="14"/>
        <v>#NUM!</v>
      </c>
      <c r="L174" s="229"/>
      <c r="M174" s="231">
        <f t="shared" si="15"/>
        <v>0</v>
      </c>
    </row>
    <row r="175" spans="1:13" x14ac:dyDescent="0.25">
      <c r="A175" s="246"/>
      <c r="G175" s="215"/>
      <c r="H175" s="232">
        <v>170</v>
      </c>
      <c r="I175" s="230" t="str">
        <f t="shared" si="13"/>
        <v/>
      </c>
      <c r="J175" s="229" t="e">
        <f t="shared" si="17"/>
        <v>#NUM!</v>
      </c>
      <c r="K175" s="229" t="e">
        <f t="shared" si="14"/>
        <v>#NUM!</v>
      </c>
      <c r="L175" s="229"/>
      <c r="M175" s="231">
        <f t="shared" si="15"/>
        <v>0</v>
      </c>
    </row>
    <row r="176" spans="1:13" x14ac:dyDescent="0.25">
      <c r="A176" s="246"/>
      <c r="G176" s="215"/>
      <c r="H176" s="229">
        <v>171</v>
      </c>
      <c r="I176" s="230" t="str">
        <f t="shared" si="13"/>
        <v/>
      </c>
      <c r="J176" s="229" t="e">
        <f t="shared" si="17"/>
        <v>#NUM!</v>
      </c>
      <c r="K176" s="229" t="e">
        <f t="shared" si="14"/>
        <v>#NUM!</v>
      </c>
      <c r="L176" s="229"/>
      <c r="M176" s="231">
        <f t="shared" si="15"/>
        <v>0</v>
      </c>
    </row>
    <row r="177" spans="1:13" x14ac:dyDescent="0.25">
      <c r="A177" s="246"/>
      <c r="G177" s="215"/>
      <c r="H177" s="232">
        <v>172</v>
      </c>
      <c r="I177" s="230" t="str">
        <f t="shared" si="13"/>
        <v/>
      </c>
      <c r="J177" s="229" t="e">
        <f t="shared" si="17"/>
        <v>#NUM!</v>
      </c>
      <c r="K177" s="229" t="e">
        <f t="shared" si="14"/>
        <v>#NUM!</v>
      </c>
      <c r="L177" s="229"/>
      <c r="M177" s="231">
        <f t="shared" si="15"/>
        <v>0</v>
      </c>
    </row>
    <row r="178" spans="1:13" x14ac:dyDescent="0.25">
      <c r="A178" s="246"/>
      <c r="G178" s="215"/>
      <c r="H178" s="229">
        <v>173</v>
      </c>
      <c r="I178" s="230" t="str">
        <f t="shared" si="13"/>
        <v/>
      </c>
      <c r="J178" s="229" t="e">
        <f t="shared" si="17"/>
        <v>#NUM!</v>
      </c>
      <c r="K178" s="229" t="e">
        <f t="shared" si="14"/>
        <v>#NUM!</v>
      </c>
      <c r="L178" s="229"/>
      <c r="M178" s="231">
        <f t="shared" si="15"/>
        <v>0</v>
      </c>
    </row>
    <row r="179" spans="1:13" x14ac:dyDescent="0.25">
      <c r="A179" s="246"/>
      <c r="G179" s="215"/>
      <c r="H179" s="232">
        <v>174</v>
      </c>
      <c r="I179" s="230" t="str">
        <f t="shared" si="13"/>
        <v/>
      </c>
      <c r="J179" s="229" t="e">
        <f t="shared" si="17"/>
        <v>#NUM!</v>
      </c>
      <c r="K179" s="229" t="e">
        <f t="shared" si="14"/>
        <v>#NUM!</v>
      </c>
      <c r="L179" s="229"/>
      <c r="M179" s="231">
        <f t="shared" si="15"/>
        <v>0</v>
      </c>
    </row>
    <row r="180" spans="1:13" x14ac:dyDescent="0.25">
      <c r="A180" s="246"/>
      <c r="G180" s="215"/>
      <c r="H180" s="229">
        <v>175</v>
      </c>
      <c r="I180" s="230" t="str">
        <f t="shared" si="13"/>
        <v/>
      </c>
      <c r="J180" s="229" t="e">
        <f t="shared" si="17"/>
        <v>#NUM!</v>
      </c>
      <c r="K180" s="229" t="e">
        <f t="shared" si="14"/>
        <v>#NUM!</v>
      </c>
      <c r="L180" s="229"/>
      <c r="M180" s="231">
        <f t="shared" si="15"/>
        <v>0</v>
      </c>
    </row>
    <row r="181" spans="1:13" x14ac:dyDescent="0.25">
      <c r="A181" s="246"/>
      <c r="G181" s="215"/>
      <c r="H181" s="232">
        <v>176</v>
      </c>
      <c r="I181" s="230" t="str">
        <f t="shared" si="13"/>
        <v/>
      </c>
      <c r="J181" s="229" t="e">
        <f t="shared" si="17"/>
        <v>#NUM!</v>
      </c>
      <c r="K181" s="229" t="e">
        <f t="shared" si="14"/>
        <v>#NUM!</v>
      </c>
      <c r="L181" s="229"/>
      <c r="M181" s="231">
        <f t="shared" si="15"/>
        <v>0</v>
      </c>
    </row>
    <row r="182" spans="1:13" x14ac:dyDescent="0.25">
      <c r="A182" s="246"/>
      <c r="G182" s="215"/>
      <c r="H182" s="229">
        <v>177</v>
      </c>
      <c r="I182" s="230" t="str">
        <f t="shared" si="13"/>
        <v/>
      </c>
      <c r="J182" s="229" t="e">
        <f t="shared" si="17"/>
        <v>#NUM!</v>
      </c>
      <c r="K182" s="229" t="e">
        <f t="shared" si="14"/>
        <v>#NUM!</v>
      </c>
      <c r="L182" s="229"/>
      <c r="M182" s="231">
        <f t="shared" si="15"/>
        <v>0</v>
      </c>
    </row>
    <row r="183" spans="1:13" x14ac:dyDescent="0.25">
      <c r="A183" s="246"/>
      <c r="G183" s="215"/>
      <c r="H183" s="232">
        <v>178</v>
      </c>
      <c r="I183" s="230" t="str">
        <f t="shared" si="13"/>
        <v/>
      </c>
      <c r="J183" s="229" t="e">
        <f t="shared" si="17"/>
        <v>#NUM!</v>
      </c>
      <c r="K183" s="229" t="e">
        <f t="shared" si="14"/>
        <v>#NUM!</v>
      </c>
      <c r="L183" s="229"/>
      <c r="M183" s="231">
        <f t="shared" si="15"/>
        <v>0</v>
      </c>
    </row>
    <row r="184" spans="1:13" x14ac:dyDescent="0.25">
      <c r="A184" s="246"/>
      <c r="G184" s="215"/>
      <c r="H184" s="229">
        <v>179</v>
      </c>
      <c r="I184" s="230" t="str">
        <f t="shared" si="13"/>
        <v/>
      </c>
      <c r="J184" s="229" t="e">
        <f t="shared" si="17"/>
        <v>#NUM!</v>
      </c>
      <c r="K184" s="229" t="e">
        <f t="shared" si="14"/>
        <v>#NUM!</v>
      </c>
      <c r="L184" s="229"/>
      <c r="M184" s="231">
        <f t="shared" si="15"/>
        <v>0</v>
      </c>
    </row>
    <row r="185" spans="1:13" x14ac:dyDescent="0.25">
      <c r="A185" s="246"/>
      <c r="G185" s="215"/>
      <c r="H185" s="232">
        <v>180</v>
      </c>
      <c r="I185" s="230" t="str">
        <f t="shared" si="13"/>
        <v/>
      </c>
      <c r="J185" s="229" t="e">
        <f t="shared" si="17"/>
        <v>#NUM!</v>
      </c>
      <c r="K185" s="229" t="e">
        <f t="shared" si="14"/>
        <v>#NUM!</v>
      </c>
      <c r="L185" s="229"/>
      <c r="M185" s="231">
        <f t="shared" si="15"/>
        <v>0</v>
      </c>
    </row>
    <row r="186" spans="1:13" x14ac:dyDescent="0.25">
      <c r="A186" s="246"/>
      <c r="G186" s="215"/>
      <c r="H186" s="229">
        <v>181</v>
      </c>
      <c r="I186" s="230" t="str">
        <f t="shared" si="13"/>
        <v/>
      </c>
      <c r="J186" s="229" t="e">
        <f t="shared" si="17"/>
        <v>#NUM!</v>
      </c>
      <c r="K186" s="229" t="e">
        <f t="shared" si="14"/>
        <v>#NUM!</v>
      </c>
      <c r="L186" s="229"/>
      <c r="M186" s="231">
        <f t="shared" si="15"/>
        <v>0</v>
      </c>
    </row>
    <row r="187" spans="1:13" x14ac:dyDescent="0.25">
      <c r="A187" s="246"/>
      <c r="G187" s="215"/>
      <c r="H187" s="232">
        <v>182</v>
      </c>
      <c r="I187" s="230" t="str">
        <f t="shared" si="13"/>
        <v/>
      </c>
      <c r="J187" s="229" t="e">
        <f t="shared" si="17"/>
        <v>#NUM!</v>
      </c>
      <c r="K187" s="229" t="e">
        <f t="shared" si="14"/>
        <v>#NUM!</v>
      </c>
      <c r="L187" s="229"/>
      <c r="M187" s="231">
        <f t="shared" si="15"/>
        <v>0</v>
      </c>
    </row>
    <row r="188" spans="1:13" x14ac:dyDescent="0.25">
      <c r="A188" s="246"/>
      <c r="G188" s="215"/>
      <c r="H188" s="229">
        <v>183</v>
      </c>
      <c r="I188" s="230" t="str">
        <f t="shared" si="13"/>
        <v/>
      </c>
      <c r="J188" s="229" t="e">
        <f t="shared" si="17"/>
        <v>#NUM!</v>
      </c>
      <c r="K188" s="229" t="e">
        <f t="shared" si="14"/>
        <v>#NUM!</v>
      </c>
      <c r="L188" s="229"/>
      <c r="M188" s="231">
        <f t="shared" si="15"/>
        <v>0</v>
      </c>
    </row>
    <row r="189" spans="1:13" x14ac:dyDescent="0.25">
      <c r="A189" s="246"/>
      <c r="G189" s="215"/>
      <c r="H189" s="232">
        <v>184</v>
      </c>
      <c r="I189" s="230" t="str">
        <f t="shared" si="13"/>
        <v/>
      </c>
      <c r="J189" s="229" t="e">
        <f t="shared" si="17"/>
        <v>#NUM!</v>
      </c>
      <c r="K189" s="229" t="e">
        <f t="shared" si="14"/>
        <v>#NUM!</v>
      </c>
      <c r="L189" s="229"/>
      <c r="M189" s="231">
        <f t="shared" si="15"/>
        <v>0</v>
      </c>
    </row>
    <row r="190" spans="1:13" x14ac:dyDescent="0.25">
      <c r="A190" s="246"/>
      <c r="G190" s="215"/>
      <c r="H190" s="229">
        <v>185</v>
      </c>
      <c r="I190" s="230" t="str">
        <f t="shared" si="13"/>
        <v/>
      </c>
      <c r="J190" s="229" t="e">
        <f t="shared" si="17"/>
        <v>#NUM!</v>
      </c>
      <c r="K190" s="229" t="e">
        <f t="shared" si="14"/>
        <v>#NUM!</v>
      </c>
      <c r="L190" s="229"/>
      <c r="M190" s="231">
        <f t="shared" si="15"/>
        <v>0</v>
      </c>
    </row>
    <row r="191" spans="1:13" x14ac:dyDescent="0.25">
      <c r="A191" s="246"/>
      <c r="G191" s="215"/>
      <c r="H191" s="232">
        <v>186</v>
      </c>
      <c r="I191" s="230" t="str">
        <f t="shared" si="13"/>
        <v/>
      </c>
      <c r="J191" s="229" t="e">
        <f t="shared" si="17"/>
        <v>#NUM!</v>
      </c>
      <c r="K191" s="229" t="e">
        <f t="shared" si="14"/>
        <v>#NUM!</v>
      </c>
      <c r="L191" s="229"/>
      <c r="M191" s="231">
        <f t="shared" si="15"/>
        <v>0</v>
      </c>
    </row>
    <row r="192" spans="1:13" x14ac:dyDescent="0.25">
      <c r="A192" s="246"/>
      <c r="G192" s="215"/>
      <c r="H192" s="229">
        <v>187</v>
      </c>
      <c r="I192" s="230" t="str">
        <f t="shared" si="13"/>
        <v/>
      </c>
      <c r="J192" s="229" t="e">
        <f t="shared" si="17"/>
        <v>#NUM!</v>
      </c>
      <c r="K192" s="229" t="e">
        <f t="shared" si="14"/>
        <v>#NUM!</v>
      </c>
      <c r="L192" s="229"/>
      <c r="M192" s="231">
        <f t="shared" si="15"/>
        <v>0</v>
      </c>
    </row>
    <row r="193" spans="1:13" x14ac:dyDescent="0.25">
      <c r="A193" s="246"/>
      <c r="G193" s="215"/>
      <c r="H193" s="232">
        <v>188</v>
      </c>
      <c r="I193" s="230" t="str">
        <f t="shared" si="13"/>
        <v/>
      </c>
      <c r="J193" s="229" t="e">
        <f t="shared" si="17"/>
        <v>#NUM!</v>
      </c>
      <c r="K193" s="229" t="e">
        <f t="shared" si="14"/>
        <v>#NUM!</v>
      </c>
      <c r="L193" s="229"/>
      <c r="M193" s="231">
        <f t="shared" si="15"/>
        <v>0</v>
      </c>
    </row>
    <row r="194" spans="1:13" x14ac:dyDescent="0.25">
      <c r="A194" s="246"/>
      <c r="G194" s="215"/>
      <c r="H194" s="229">
        <v>189</v>
      </c>
      <c r="I194" s="230" t="str">
        <f t="shared" si="13"/>
        <v/>
      </c>
      <c r="J194" s="229" t="e">
        <f t="shared" si="17"/>
        <v>#NUM!</v>
      </c>
      <c r="K194" s="229" t="e">
        <f t="shared" si="14"/>
        <v>#NUM!</v>
      </c>
      <c r="L194" s="229"/>
      <c r="M194" s="231">
        <f t="shared" si="15"/>
        <v>0</v>
      </c>
    </row>
    <row r="195" spans="1:13" x14ac:dyDescent="0.25">
      <c r="A195" s="246"/>
      <c r="G195" s="215"/>
      <c r="H195" s="232">
        <v>190</v>
      </c>
      <c r="I195" s="230" t="str">
        <f t="shared" si="13"/>
        <v/>
      </c>
      <c r="J195" s="229" t="e">
        <f t="shared" si="17"/>
        <v>#NUM!</v>
      </c>
      <c r="K195" s="229" t="e">
        <f t="shared" si="14"/>
        <v>#NUM!</v>
      </c>
      <c r="L195" s="229"/>
      <c r="M195" s="231">
        <f t="shared" si="15"/>
        <v>0</v>
      </c>
    </row>
    <row r="196" spans="1:13" x14ac:dyDescent="0.25">
      <c r="A196" s="246"/>
      <c r="G196" s="215"/>
      <c r="H196" s="229">
        <v>191</v>
      </c>
      <c r="I196" s="230" t="str">
        <f t="shared" si="13"/>
        <v/>
      </c>
      <c r="J196" s="229" t="e">
        <f t="shared" si="17"/>
        <v>#NUM!</v>
      </c>
      <c r="K196" s="229" t="e">
        <f t="shared" si="14"/>
        <v>#NUM!</v>
      </c>
      <c r="L196" s="229"/>
      <c r="M196" s="231">
        <f t="shared" si="15"/>
        <v>0</v>
      </c>
    </row>
    <row r="197" spans="1:13" x14ac:dyDescent="0.25">
      <c r="A197" s="246"/>
      <c r="G197" s="215"/>
      <c r="H197" s="232">
        <v>192</v>
      </c>
      <c r="I197" s="230" t="str">
        <f t="shared" si="13"/>
        <v/>
      </c>
      <c r="J197" s="229" t="e">
        <f t="shared" si="17"/>
        <v>#NUM!</v>
      </c>
      <c r="K197" s="229" t="e">
        <f t="shared" si="14"/>
        <v>#NUM!</v>
      </c>
      <c r="L197" s="229"/>
      <c r="M197" s="231">
        <f t="shared" si="15"/>
        <v>0</v>
      </c>
    </row>
    <row r="198" spans="1:13" x14ac:dyDescent="0.25">
      <c r="A198" s="246"/>
      <c r="G198" s="215"/>
      <c r="H198" s="229">
        <v>193</v>
      </c>
      <c r="I198" s="230" t="str">
        <f t="shared" ref="I198:I261" si="18">IF(H198&lt;$H$2+1,($I$2-($I$2-1)*(LOG(H198)/LOG($H$2))),"")</f>
        <v/>
      </c>
      <c r="J198" s="229" t="e">
        <f t="shared" si="17"/>
        <v>#NUM!</v>
      </c>
      <c r="K198" s="229" t="e">
        <f t="shared" ref="K198:K261" si="19">J198*$J$2</f>
        <v>#NUM!</v>
      </c>
      <c r="L198" s="229"/>
      <c r="M198" s="231">
        <f t="shared" ref="M198:M261" si="20">IF(I198&lt;&gt;"",K198+I198+L198,0)</f>
        <v>0</v>
      </c>
    </row>
    <row r="199" spans="1:13" x14ac:dyDescent="0.25">
      <c r="A199" s="246"/>
      <c r="G199" s="215"/>
      <c r="H199" s="232">
        <v>194</v>
      </c>
      <c r="I199" s="230" t="str">
        <f t="shared" si="18"/>
        <v/>
      </c>
      <c r="J199" s="229" t="e">
        <f t="shared" ref="J199:J262" si="21">INT(LOG($H$2,2))-ROUNDUP(LOG(H199,2),0)+IF(OR($H$2=1,$H$2=2,$H$2=4,$H$2=8,$H$2=16,$H$2=32,$H$2=64,$H$2=128,$H$2=256),0,1)</f>
        <v>#NUM!</v>
      </c>
      <c r="K199" s="229" t="e">
        <f t="shared" si="19"/>
        <v>#NUM!</v>
      </c>
      <c r="L199" s="229"/>
      <c r="M199" s="231">
        <f t="shared" si="20"/>
        <v>0</v>
      </c>
    </row>
    <row r="200" spans="1:13" x14ac:dyDescent="0.25">
      <c r="A200" s="246"/>
      <c r="G200" s="215"/>
      <c r="H200" s="229">
        <v>195</v>
      </c>
      <c r="I200" s="230" t="str">
        <f t="shared" si="18"/>
        <v/>
      </c>
      <c r="J200" s="229" t="e">
        <f t="shared" si="21"/>
        <v>#NUM!</v>
      </c>
      <c r="K200" s="229" t="e">
        <f t="shared" si="19"/>
        <v>#NUM!</v>
      </c>
      <c r="L200" s="229"/>
      <c r="M200" s="231">
        <f t="shared" si="20"/>
        <v>0</v>
      </c>
    </row>
    <row r="201" spans="1:13" x14ac:dyDescent="0.25">
      <c r="A201" s="246"/>
      <c r="G201" s="215"/>
      <c r="H201" s="232">
        <v>196</v>
      </c>
      <c r="I201" s="230" t="str">
        <f t="shared" si="18"/>
        <v/>
      </c>
      <c r="J201" s="229" t="e">
        <f t="shared" si="21"/>
        <v>#NUM!</v>
      </c>
      <c r="K201" s="229" t="e">
        <f t="shared" si="19"/>
        <v>#NUM!</v>
      </c>
      <c r="L201" s="229"/>
      <c r="M201" s="231">
        <f t="shared" si="20"/>
        <v>0</v>
      </c>
    </row>
    <row r="202" spans="1:13" x14ac:dyDescent="0.25">
      <c r="A202" s="246"/>
      <c r="G202" s="215"/>
      <c r="H202" s="229">
        <v>197</v>
      </c>
      <c r="I202" s="230" t="str">
        <f t="shared" si="18"/>
        <v/>
      </c>
      <c r="J202" s="229" t="e">
        <f t="shared" si="21"/>
        <v>#NUM!</v>
      </c>
      <c r="K202" s="229" t="e">
        <f t="shared" si="19"/>
        <v>#NUM!</v>
      </c>
      <c r="L202" s="229"/>
      <c r="M202" s="231">
        <f t="shared" si="20"/>
        <v>0</v>
      </c>
    </row>
    <row r="203" spans="1:13" x14ac:dyDescent="0.25">
      <c r="A203" s="246"/>
      <c r="G203" s="215"/>
      <c r="H203" s="232">
        <v>198</v>
      </c>
      <c r="I203" s="230" t="str">
        <f t="shared" si="18"/>
        <v/>
      </c>
      <c r="J203" s="229" t="e">
        <f t="shared" si="21"/>
        <v>#NUM!</v>
      </c>
      <c r="K203" s="229" t="e">
        <f t="shared" si="19"/>
        <v>#NUM!</v>
      </c>
      <c r="L203" s="229"/>
      <c r="M203" s="231">
        <f t="shared" si="20"/>
        <v>0</v>
      </c>
    </row>
    <row r="204" spans="1:13" x14ac:dyDescent="0.25">
      <c r="A204" s="246"/>
      <c r="G204" s="215"/>
      <c r="H204" s="229">
        <v>199</v>
      </c>
      <c r="I204" s="230" t="str">
        <f t="shared" si="18"/>
        <v/>
      </c>
      <c r="J204" s="229" t="e">
        <f t="shared" si="21"/>
        <v>#NUM!</v>
      </c>
      <c r="K204" s="229" t="e">
        <f t="shared" si="19"/>
        <v>#NUM!</v>
      </c>
      <c r="L204" s="229"/>
      <c r="M204" s="231">
        <f t="shared" si="20"/>
        <v>0</v>
      </c>
    </row>
    <row r="205" spans="1:13" x14ac:dyDescent="0.25">
      <c r="A205" s="246"/>
      <c r="G205" s="215"/>
      <c r="H205" s="232">
        <v>200</v>
      </c>
      <c r="I205" s="230" t="str">
        <f t="shared" si="18"/>
        <v/>
      </c>
      <c r="J205" s="229" t="e">
        <f t="shared" si="21"/>
        <v>#NUM!</v>
      </c>
      <c r="K205" s="229" t="e">
        <f t="shared" si="19"/>
        <v>#NUM!</v>
      </c>
      <c r="L205" s="229"/>
      <c r="M205" s="231">
        <f t="shared" si="20"/>
        <v>0</v>
      </c>
    </row>
    <row r="206" spans="1:13" x14ac:dyDescent="0.25">
      <c r="A206" s="246"/>
      <c r="G206" s="215"/>
      <c r="H206" s="229">
        <v>201</v>
      </c>
      <c r="I206" s="230" t="str">
        <f t="shared" si="18"/>
        <v/>
      </c>
      <c r="J206" s="229" t="e">
        <f t="shared" si="21"/>
        <v>#NUM!</v>
      </c>
      <c r="K206" s="229" t="e">
        <f t="shared" si="19"/>
        <v>#NUM!</v>
      </c>
      <c r="L206" s="229"/>
      <c r="M206" s="231">
        <f t="shared" si="20"/>
        <v>0</v>
      </c>
    </row>
    <row r="207" spans="1:13" x14ac:dyDescent="0.25">
      <c r="A207" s="246"/>
      <c r="G207" s="215"/>
      <c r="H207" s="232">
        <v>202</v>
      </c>
      <c r="I207" s="230" t="str">
        <f t="shared" si="18"/>
        <v/>
      </c>
      <c r="J207" s="229" t="e">
        <f t="shared" si="21"/>
        <v>#NUM!</v>
      </c>
      <c r="K207" s="229" t="e">
        <f t="shared" si="19"/>
        <v>#NUM!</v>
      </c>
      <c r="L207" s="229"/>
      <c r="M207" s="231">
        <f t="shared" si="20"/>
        <v>0</v>
      </c>
    </row>
    <row r="208" spans="1:13" x14ac:dyDescent="0.25">
      <c r="A208" s="246"/>
      <c r="G208" s="215"/>
      <c r="H208" s="229">
        <v>203</v>
      </c>
      <c r="I208" s="230" t="str">
        <f t="shared" si="18"/>
        <v/>
      </c>
      <c r="J208" s="229" t="e">
        <f t="shared" si="21"/>
        <v>#NUM!</v>
      </c>
      <c r="K208" s="229" t="e">
        <f t="shared" si="19"/>
        <v>#NUM!</v>
      </c>
      <c r="L208" s="229"/>
      <c r="M208" s="231">
        <f t="shared" si="20"/>
        <v>0</v>
      </c>
    </row>
    <row r="209" spans="1:13" x14ac:dyDescent="0.25">
      <c r="A209" s="246"/>
      <c r="G209" s="215"/>
      <c r="H209" s="232">
        <v>204</v>
      </c>
      <c r="I209" s="230" t="str">
        <f t="shared" si="18"/>
        <v/>
      </c>
      <c r="J209" s="229" t="e">
        <f t="shared" si="21"/>
        <v>#NUM!</v>
      </c>
      <c r="K209" s="229" t="e">
        <f t="shared" si="19"/>
        <v>#NUM!</v>
      </c>
      <c r="L209" s="229"/>
      <c r="M209" s="231">
        <f t="shared" si="20"/>
        <v>0</v>
      </c>
    </row>
    <row r="210" spans="1:13" x14ac:dyDescent="0.25">
      <c r="A210" s="246"/>
      <c r="G210" s="215"/>
      <c r="H210" s="229">
        <v>205</v>
      </c>
      <c r="I210" s="230" t="str">
        <f t="shared" si="18"/>
        <v/>
      </c>
      <c r="J210" s="229" t="e">
        <f t="shared" si="21"/>
        <v>#NUM!</v>
      </c>
      <c r="K210" s="229" t="e">
        <f t="shared" si="19"/>
        <v>#NUM!</v>
      </c>
      <c r="L210" s="229"/>
      <c r="M210" s="231">
        <f t="shared" si="20"/>
        <v>0</v>
      </c>
    </row>
    <row r="211" spans="1:13" x14ac:dyDescent="0.25">
      <c r="A211" s="246"/>
      <c r="G211" s="215"/>
      <c r="H211" s="232">
        <v>206</v>
      </c>
      <c r="I211" s="230" t="str">
        <f t="shared" si="18"/>
        <v/>
      </c>
      <c r="J211" s="229" t="e">
        <f t="shared" si="21"/>
        <v>#NUM!</v>
      </c>
      <c r="K211" s="229" t="e">
        <f t="shared" si="19"/>
        <v>#NUM!</v>
      </c>
      <c r="L211" s="229"/>
      <c r="M211" s="231">
        <f t="shared" si="20"/>
        <v>0</v>
      </c>
    </row>
    <row r="212" spans="1:13" x14ac:dyDescent="0.25">
      <c r="A212" s="246"/>
      <c r="G212" s="215"/>
      <c r="H212" s="229">
        <v>207</v>
      </c>
      <c r="I212" s="230" t="str">
        <f t="shared" si="18"/>
        <v/>
      </c>
      <c r="J212" s="229" t="e">
        <f t="shared" si="21"/>
        <v>#NUM!</v>
      </c>
      <c r="K212" s="229" t="e">
        <f t="shared" si="19"/>
        <v>#NUM!</v>
      </c>
      <c r="L212" s="229"/>
      <c r="M212" s="231">
        <f t="shared" si="20"/>
        <v>0</v>
      </c>
    </row>
    <row r="213" spans="1:13" x14ac:dyDescent="0.25">
      <c r="A213" s="246"/>
      <c r="G213" s="215"/>
      <c r="H213" s="232">
        <v>208</v>
      </c>
      <c r="I213" s="230" t="str">
        <f t="shared" si="18"/>
        <v/>
      </c>
      <c r="J213" s="229" t="e">
        <f t="shared" si="21"/>
        <v>#NUM!</v>
      </c>
      <c r="K213" s="229" t="e">
        <f t="shared" si="19"/>
        <v>#NUM!</v>
      </c>
      <c r="L213" s="229"/>
      <c r="M213" s="231">
        <f t="shared" si="20"/>
        <v>0</v>
      </c>
    </row>
    <row r="214" spans="1:13" x14ac:dyDescent="0.25">
      <c r="A214" s="246"/>
      <c r="G214" s="215"/>
      <c r="H214" s="229">
        <v>209</v>
      </c>
      <c r="I214" s="230" t="str">
        <f t="shared" si="18"/>
        <v/>
      </c>
      <c r="J214" s="229" t="e">
        <f t="shared" si="21"/>
        <v>#NUM!</v>
      </c>
      <c r="K214" s="229" t="e">
        <f t="shared" si="19"/>
        <v>#NUM!</v>
      </c>
      <c r="L214" s="229"/>
      <c r="M214" s="231">
        <f t="shared" si="20"/>
        <v>0</v>
      </c>
    </row>
    <row r="215" spans="1:13" x14ac:dyDescent="0.25">
      <c r="A215" s="246"/>
      <c r="G215" s="215"/>
      <c r="H215" s="232">
        <v>210</v>
      </c>
      <c r="I215" s="230" t="str">
        <f t="shared" si="18"/>
        <v/>
      </c>
      <c r="J215" s="229" t="e">
        <f t="shared" si="21"/>
        <v>#NUM!</v>
      </c>
      <c r="K215" s="229" t="e">
        <f t="shared" si="19"/>
        <v>#NUM!</v>
      </c>
      <c r="L215" s="229"/>
      <c r="M215" s="231">
        <f t="shared" si="20"/>
        <v>0</v>
      </c>
    </row>
    <row r="216" spans="1:13" x14ac:dyDescent="0.25">
      <c r="A216" s="246"/>
      <c r="G216" s="215"/>
      <c r="H216" s="229">
        <v>211</v>
      </c>
      <c r="I216" s="230" t="str">
        <f t="shared" si="18"/>
        <v/>
      </c>
      <c r="J216" s="229" t="e">
        <f t="shared" si="21"/>
        <v>#NUM!</v>
      </c>
      <c r="K216" s="229" t="e">
        <f t="shared" si="19"/>
        <v>#NUM!</v>
      </c>
      <c r="L216" s="229"/>
      <c r="M216" s="231">
        <f t="shared" si="20"/>
        <v>0</v>
      </c>
    </row>
    <row r="217" spans="1:13" x14ac:dyDescent="0.25">
      <c r="A217" s="246"/>
      <c r="G217" s="215"/>
      <c r="H217" s="232">
        <v>212</v>
      </c>
      <c r="I217" s="230" t="str">
        <f t="shared" si="18"/>
        <v/>
      </c>
      <c r="J217" s="229" t="e">
        <f t="shared" si="21"/>
        <v>#NUM!</v>
      </c>
      <c r="K217" s="229" t="e">
        <f t="shared" si="19"/>
        <v>#NUM!</v>
      </c>
      <c r="L217" s="229"/>
      <c r="M217" s="231">
        <f t="shared" si="20"/>
        <v>0</v>
      </c>
    </row>
    <row r="218" spans="1:13" x14ac:dyDescent="0.25">
      <c r="A218" s="246"/>
      <c r="G218" s="215"/>
      <c r="H218" s="229">
        <v>213</v>
      </c>
      <c r="I218" s="230" t="str">
        <f t="shared" si="18"/>
        <v/>
      </c>
      <c r="J218" s="229" t="e">
        <f t="shared" si="21"/>
        <v>#NUM!</v>
      </c>
      <c r="K218" s="229" t="e">
        <f t="shared" si="19"/>
        <v>#NUM!</v>
      </c>
      <c r="L218" s="229"/>
      <c r="M218" s="231">
        <f t="shared" si="20"/>
        <v>0</v>
      </c>
    </row>
    <row r="219" spans="1:13" x14ac:dyDescent="0.25">
      <c r="A219" s="246"/>
      <c r="G219" s="215"/>
      <c r="H219" s="232">
        <v>214</v>
      </c>
      <c r="I219" s="230" t="str">
        <f t="shared" si="18"/>
        <v/>
      </c>
      <c r="J219" s="229" t="e">
        <f t="shared" si="21"/>
        <v>#NUM!</v>
      </c>
      <c r="K219" s="229" t="e">
        <f t="shared" si="19"/>
        <v>#NUM!</v>
      </c>
      <c r="L219" s="229"/>
      <c r="M219" s="231">
        <f t="shared" si="20"/>
        <v>0</v>
      </c>
    </row>
    <row r="220" spans="1:13" x14ac:dyDescent="0.25">
      <c r="A220" s="246"/>
      <c r="G220" s="215"/>
      <c r="H220" s="229">
        <v>215</v>
      </c>
      <c r="I220" s="230" t="str">
        <f t="shared" si="18"/>
        <v/>
      </c>
      <c r="J220" s="229" t="e">
        <f t="shared" si="21"/>
        <v>#NUM!</v>
      </c>
      <c r="K220" s="229" t="e">
        <f t="shared" si="19"/>
        <v>#NUM!</v>
      </c>
      <c r="L220" s="229"/>
      <c r="M220" s="231">
        <f t="shared" si="20"/>
        <v>0</v>
      </c>
    </row>
    <row r="221" spans="1:13" x14ac:dyDescent="0.25">
      <c r="A221" s="246"/>
      <c r="G221" s="215"/>
      <c r="H221" s="232">
        <v>216</v>
      </c>
      <c r="I221" s="230" t="str">
        <f t="shared" si="18"/>
        <v/>
      </c>
      <c r="J221" s="229" t="e">
        <f t="shared" si="21"/>
        <v>#NUM!</v>
      </c>
      <c r="K221" s="229" t="e">
        <f t="shared" si="19"/>
        <v>#NUM!</v>
      </c>
      <c r="L221" s="229"/>
      <c r="M221" s="231">
        <f t="shared" si="20"/>
        <v>0</v>
      </c>
    </row>
    <row r="222" spans="1:13" x14ac:dyDescent="0.25">
      <c r="A222" s="246"/>
      <c r="G222" s="215"/>
      <c r="H222" s="229">
        <v>217</v>
      </c>
      <c r="I222" s="230" t="str">
        <f t="shared" si="18"/>
        <v/>
      </c>
      <c r="J222" s="229" t="e">
        <f t="shared" si="21"/>
        <v>#NUM!</v>
      </c>
      <c r="K222" s="229" t="e">
        <f t="shared" si="19"/>
        <v>#NUM!</v>
      </c>
      <c r="L222" s="229"/>
      <c r="M222" s="231">
        <f t="shared" si="20"/>
        <v>0</v>
      </c>
    </row>
    <row r="223" spans="1:13" x14ac:dyDescent="0.25">
      <c r="A223" s="246"/>
      <c r="G223" s="215"/>
      <c r="H223" s="232">
        <v>218</v>
      </c>
      <c r="I223" s="230" t="str">
        <f t="shared" si="18"/>
        <v/>
      </c>
      <c r="J223" s="229" t="e">
        <f t="shared" si="21"/>
        <v>#NUM!</v>
      </c>
      <c r="K223" s="229" t="e">
        <f t="shared" si="19"/>
        <v>#NUM!</v>
      </c>
      <c r="L223" s="229"/>
      <c r="M223" s="231">
        <f t="shared" si="20"/>
        <v>0</v>
      </c>
    </row>
    <row r="224" spans="1:13" x14ac:dyDescent="0.25">
      <c r="A224" s="246"/>
      <c r="G224" s="215"/>
      <c r="H224" s="229">
        <v>219</v>
      </c>
      <c r="I224" s="230" t="str">
        <f t="shared" si="18"/>
        <v/>
      </c>
      <c r="J224" s="229" t="e">
        <f t="shared" si="21"/>
        <v>#NUM!</v>
      </c>
      <c r="K224" s="229" t="e">
        <f t="shared" si="19"/>
        <v>#NUM!</v>
      </c>
      <c r="L224" s="229"/>
      <c r="M224" s="231">
        <f t="shared" si="20"/>
        <v>0</v>
      </c>
    </row>
    <row r="225" spans="1:13" x14ac:dyDescent="0.25">
      <c r="A225" s="246"/>
      <c r="G225" s="215"/>
      <c r="H225" s="232">
        <v>220</v>
      </c>
      <c r="I225" s="230" t="str">
        <f t="shared" si="18"/>
        <v/>
      </c>
      <c r="J225" s="229" t="e">
        <f t="shared" si="21"/>
        <v>#NUM!</v>
      </c>
      <c r="K225" s="229" t="e">
        <f t="shared" si="19"/>
        <v>#NUM!</v>
      </c>
      <c r="L225" s="229"/>
      <c r="M225" s="231">
        <f t="shared" si="20"/>
        <v>0</v>
      </c>
    </row>
    <row r="226" spans="1:13" x14ac:dyDescent="0.25">
      <c r="A226" s="246"/>
      <c r="G226" s="215"/>
      <c r="H226" s="229">
        <v>221</v>
      </c>
      <c r="I226" s="230" t="str">
        <f t="shared" si="18"/>
        <v/>
      </c>
      <c r="J226" s="229" t="e">
        <f t="shared" si="21"/>
        <v>#NUM!</v>
      </c>
      <c r="K226" s="229" t="e">
        <f t="shared" si="19"/>
        <v>#NUM!</v>
      </c>
      <c r="L226" s="229"/>
      <c r="M226" s="231">
        <f t="shared" si="20"/>
        <v>0</v>
      </c>
    </row>
    <row r="227" spans="1:13" x14ac:dyDescent="0.25">
      <c r="A227" s="246"/>
      <c r="G227" s="215"/>
      <c r="H227" s="232">
        <v>222</v>
      </c>
      <c r="I227" s="230" t="str">
        <f t="shared" si="18"/>
        <v/>
      </c>
      <c r="J227" s="229" t="e">
        <f t="shared" si="21"/>
        <v>#NUM!</v>
      </c>
      <c r="K227" s="229" t="e">
        <f t="shared" si="19"/>
        <v>#NUM!</v>
      </c>
      <c r="L227" s="229"/>
      <c r="M227" s="231">
        <f t="shared" si="20"/>
        <v>0</v>
      </c>
    </row>
    <row r="228" spans="1:13" x14ac:dyDescent="0.25">
      <c r="A228" s="246"/>
      <c r="G228" s="215"/>
      <c r="H228" s="229">
        <v>223</v>
      </c>
      <c r="I228" s="230" t="str">
        <f t="shared" si="18"/>
        <v/>
      </c>
      <c r="J228" s="229" t="e">
        <f t="shared" si="21"/>
        <v>#NUM!</v>
      </c>
      <c r="K228" s="229" t="e">
        <f t="shared" si="19"/>
        <v>#NUM!</v>
      </c>
      <c r="L228" s="229"/>
      <c r="M228" s="231">
        <f t="shared" si="20"/>
        <v>0</v>
      </c>
    </row>
    <row r="229" spans="1:13" x14ac:dyDescent="0.25">
      <c r="A229" s="246"/>
      <c r="G229" s="215"/>
      <c r="H229" s="232">
        <v>224</v>
      </c>
      <c r="I229" s="230" t="str">
        <f t="shared" si="18"/>
        <v/>
      </c>
      <c r="J229" s="229" t="e">
        <f t="shared" si="21"/>
        <v>#NUM!</v>
      </c>
      <c r="K229" s="229" t="e">
        <f t="shared" si="19"/>
        <v>#NUM!</v>
      </c>
      <c r="L229" s="229"/>
      <c r="M229" s="231">
        <f t="shared" si="20"/>
        <v>0</v>
      </c>
    </row>
    <row r="230" spans="1:13" x14ac:dyDescent="0.25">
      <c r="A230" s="246"/>
      <c r="G230" s="215"/>
      <c r="H230" s="229">
        <v>225</v>
      </c>
      <c r="I230" s="230" t="str">
        <f t="shared" si="18"/>
        <v/>
      </c>
      <c r="J230" s="229" t="e">
        <f t="shared" si="21"/>
        <v>#NUM!</v>
      </c>
      <c r="K230" s="229" t="e">
        <f t="shared" si="19"/>
        <v>#NUM!</v>
      </c>
      <c r="L230" s="229"/>
      <c r="M230" s="231">
        <f t="shared" si="20"/>
        <v>0</v>
      </c>
    </row>
    <row r="231" spans="1:13" x14ac:dyDescent="0.25">
      <c r="A231" s="246"/>
      <c r="G231" s="215"/>
      <c r="H231" s="232">
        <v>226</v>
      </c>
      <c r="I231" s="230" t="str">
        <f t="shared" si="18"/>
        <v/>
      </c>
      <c r="J231" s="229" t="e">
        <f t="shared" si="21"/>
        <v>#NUM!</v>
      </c>
      <c r="K231" s="229" t="e">
        <f t="shared" si="19"/>
        <v>#NUM!</v>
      </c>
      <c r="L231" s="229"/>
      <c r="M231" s="231">
        <f t="shared" si="20"/>
        <v>0</v>
      </c>
    </row>
    <row r="232" spans="1:13" x14ac:dyDescent="0.25">
      <c r="A232" s="246"/>
      <c r="G232" s="215"/>
      <c r="H232" s="229">
        <v>227</v>
      </c>
      <c r="I232" s="230" t="str">
        <f t="shared" si="18"/>
        <v/>
      </c>
      <c r="J232" s="229" t="e">
        <f t="shared" si="21"/>
        <v>#NUM!</v>
      </c>
      <c r="K232" s="229" t="e">
        <f t="shared" si="19"/>
        <v>#NUM!</v>
      </c>
      <c r="L232" s="229"/>
      <c r="M232" s="231">
        <f t="shared" si="20"/>
        <v>0</v>
      </c>
    </row>
    <row r="233" spans="1:13" x14ac:dyDescent="0.25">
      <c r="A233" s="246"/>
      <c r="G233" s="215"/>
      <c r="H233" s="232">
        <v>228</v>
      </c>
      <c r="I233" s="230" t="str">
        <f t="shared" si="18"/>
        <v/>
      </c>
      <c r="J233" s="229" t="e">
        <f t="shared" si="21"/>
        <v>#NUM!</v>
      </c>
      <c r="K233" s="229" t="e">
        <f t="shared" si="19"/>
        <v>#NUM!</v>
      </c>
      <c r="L233" s="229"/>
      <c r="M233" s="231">
        <f t="shared" si="20"/>
        <v>0</v>
      </c>
    </row>
    <row r="234" spans="1:13" x14ac:dyDescent="0.25">
      <c r="A234" s="246"/>
      <c r="G234" s="215"/>
      <c r="H234" s="229">
        <v>229</v>
      </c>
      <c r="I234" s="230" t="str">
        <f t="shared" si="18"/>
        <v/>
      </c>
      <c r="J234" s="229" t="e">
        <f t="shared" si="21"/>
        <v>#NUM!</v>
      </c>
      <c r="K234" s="229" t="e">
        <f t="shared" si="19"/>
        <v>#NUM!</v>
      </c>
      <c r="L234" s="229"/>
      <c r="M234" s="231">
        <f t="shared" si="20"/>
        <v>0</v>
      </c>
    </row>
    <row r="235" spans="1:13" x14ac:dyDescent="0.25">
      <c r="A235" s="246"/>
      <c r="G235" s="215"/>
      <c r="H235" s="232">
        <v>230</v>
      </c>
      <c r="I235" s="230" t="str">
        <f t="shared" si="18"/>
        <v/>
      </c>
      <c r="J235" s="229" t="e">
        <f t="shared" si="21"/>
        <v>#NUM!</v>
      </c>
      <c r="K235" s="229" t="e">
        <f t="shared" si="19"/>
        <v>#NUM!</v>
      </c>
      <c r="L235" s="229"/>
      <c r="M235" s="231">
        <f t="shared" si="20"/>
        <v>0</v>
      </c>
    </row>
    <row r="236" spans="1:13" x14ac:dyDescent="0.25">
      <c r="A236" s="246"/>
      <c r="G236" s="215"/>
      <c r="H236" s="229">
        <v>231</v>
      </c>
      <c r="I236" s="230" t="str">
        <f t="shared" si="18"/>
        <v/>
      </c>
      <c r="J236" s="229" t="e">
        <f t="shared" si="21"/>
        <v>#NUM!</v>
      </c>
      <c r="K236" s="229" t="e">
        <f t="shared" si="19"/>
        <v>#NUM!</v>
      </c>
      <c r="L236" s="229"/>
      <c r="M236" s="231">
        <f t="shared" si="20"/>
        <v>0</v>
      </c>
    </row>
    <row r="237" spans="1:13" x14ac:dyDescent="0.25">
      <c r="A237" s="246"/>
      <c r="G237" s="215"/>
      <c r="H237" s="232">
        <v>232</v>
      </c>
      <c r="I237" s="230" t="str">
        <f t="shared" si="18"/>
        <v/>
      </c>
      <c r="J237" s="229" t="e">
        <f t="shared" si="21"/>
        <v>#NUM!</v>
      </c>
      <c r="K237" s="229" t="e">
        <f t="shared" si="19"/>
        <v>#NUM!</v>
      </c>
      <c r="L237" s="229"/>
      <c r="M237" s="231">
        <f t="shared" si="20"/>
        <v>0</v>
      </c>
    </row>
    <row r="238" spans="1:13" x14ac:dyDescent="0.25">
      <c r="A238" s="246"/>
      <c r="G238" s="215"/>
      <c r="H238" s="229">
        <v>233</v>
      </c>
      <c r="I238" s="230" t="str">
        <f t="shared" si="18"/>
        <v/>
      </c>
      <c r="J238" s="229" t="e">
        <f t="shared" si="21"/>
        <v>#NUM!</v>
      </c>
      <c r="K238" s="229" t="e">
        <f t="shared" si="19"/>
        <v>#NUM!</v>
      </c>
      <c r="L238" s="229"/>
      <c r="M238" s="231">
        <f t="shared" si="20"/>
        <v>0</v>
      </c>
    </row>
    <row r="239" spans="1:13" x14ac:dyDescent="0.25">
      <c r="A239" s="246"/>
      <c r="G239" s="215"/>
      <c r="H239" s="232">
        <v>234</v>
      </c>
      <c r="I239" s="230" t="str">
        <f t="shared" si="18"/>
        <v/>
      </c>
      <c r="J239" s="229" t="e">
        <f t="shared" si="21"/>
        <v>#NUM!</v>
      </c>
      <c r="K239" s="229" t="e">
        <f t="shared" si="19"/>
        <v>#NUM!</v>
      </c>
      <c r="L239" s="229"/>
      <c r="M239" s="231">
        <f t="shared" si="20"/>
        <v>0</v>
      </c>
    </row>
    <row r="240" spans="1:13" x14ac:dyDescent="0.25">
      <c r="A240" s="246"/>
      <c r="G240" s="215"/>
      <c r="H240" s="229">
        <v>235</v>
      </c>
      <c r="I240" s="230" t="str">
        <f t="shared" si="18"/>
        <v/>
      </c>
      <c r="J240" s="229" t="e">
        <f t="shared" si="21"/>
        <v>#NUM!</v>
      </c>
      <c r="K240" s="229" t="e">
        <f t="shared" si="19"/>
        <v>#NUM!</v>
      </c>
      <c r="L240" s="229"/>
      <c r="M240" s="231">
        <f t="shared" si="20"/>
        <v>0</v>
      </c>
    </row>
    <row r="241" spans="1:13" x14ac:dyDescent="0.25">
      <c r="A241" s="246"/>
      <c r="G241" s="215"/>
      <c r="H241" s="232">
        <v>236</v>
      </c>
      <c r="I241" s="230" t="str">
        <f t="shared" si="18"/>
        <v/>
      </c>
      <c r="J241" s="229" t="e">
        <f t="shared" si="21"/>
        <v>#NUM!</v>
      </c>
      <c r="K241" s="229" t="e">
        <f t="shared" si="19"/>
        <v>#NUM!</v>
      </c>
      <c r="L241" s="229"/>
      <c r="M241" s="231">
        <f t="shared" si="20"/>
        <v>0</v>
      </c>
    </row>
    <row r="242" spans="1:13" x14ac:dyDescent="0.25">
      <c r="A242" s="246"/>
      <c r="G242" s="215"/>
      <c r="H242" s="229">
        <v>237</v>
      </c>
      <c r="I242" s="230" t="str">
        <f t="shared" si="18"/>
        <v/>
      </c>
      <c r="J242" s="229" t="e">
        <f t="shared" si="21"/>
        <v>#NUM!</v>
      </c>
      <c r="K242" s="229" t="e">
        <f t="shared" si="19"/>
        <v>#NUM!</v>
      </c>
      <c r="L242" s="229"/>
      <c r="M242" s="231">
        <f t="shared" si="20"/>
        <v>0</v>
      </c>
    </row>
    <row r="243" spans="1:13" x14ac:dyDescent="0.25">
      <c r="A243" s="246"/>
      <c r="G243" s="215"/>
      <c r="H243" s="232">
        <v>238</v>
      </c>
      <c r="I243" s="230" t="str">
        <f t="shared" si="18"/>
        <v/>
      </c>
      <c r="J243" s="229" t="e">
        <f t="shared" si="21"/>
        <v>#NUM!</v>
      </c>
      <c r="K243" s="229" t="e">
        <f t="shared" si="19"/>
        <v>#NUM!</v>
      </c>
      <c r="L243" s="229"/>
      <c r="M243" s="231">
        <f t="shared" si="20"/>
        <v>0</v>
      </c>
    </row>
    <row r="244" spans="1:13" x14ac:dyDescent="0.25">
      <c r="A244" s="246"/>
      <c r="G244" s="215"/>
      <c r="H244" s="229">
        <v>239</v>
      </c>
      <c r="I244" s="230" t="str">
        <f t="shared" si="18"/>
        <v/>
      </c>
      <c r="J244" s="229" t="e">
        <f t="shared" si="21"/>
        <v>#NUM!</v>
      </c>
      <c r="K244" s="229" t="e">
        <f t="shared" si="19"/>
        <v>#NUM!</v>
      </c>
      <c r="L244" s="229"/>
      <c r="M244" s="231">
        <f t="shared" si="20"/>
        <v>0</v>
      </c>
    </row>
    <row r="245" spans="1:13" x14ac:dyDescent="0.25">
      <c r="A245" s="246"/>
      <c r="G245" s="215"/>
      <c r="H245" s="232">
        <v>240</v>
      </c>
      <c r="I245" s="230" t="str">
        <f t="shared" si="18"/>
        <v/>
      </c>
      <c r="J245" s="229" t="e">
        <f t="shared" si="21"/>
        <v>#NUM!</v>
      </c>
      <c r="K245" s="229" t="e">
        <f t="shared" si="19"/>
        <v>#NUM!</v>
      </c>
      <c r="L245" s="229"/>
      <c r="M245" s="231">
        <f t="shared" si="20"/>
        <v>0</v>
      </c>
    </row>
    <row r="246" spans="1:13" x14ac:dyDescent="0.25">
      <c r="A246" s="246"/>
      <c r="G246" s="215"/>
      <c r="H246" s="229">
        <v>241</v>
      </c>
      <c r="I246" s="230" t="str">
        <f t="shared" si="18"/>
        <v/>
      </c>
      <c r="J246" s="229" t="e">
        <f t="shared" si="21"/>
        <v>#NUM!</v>
      </c>
      <c r="K246" s="229" t="e">
        <f t="shared" si="19"/>
        <v>#NUM!</v>
      </c>
      <c r="L246" s="229"/>
      <c r="M246" s="231">
        <f t="shared" si="20"/>
        <v>0</v>
      </c>
    </row>
    <row r="247" spans="1:13" x14ac:dyDescent="0.25">
      <c r="A247" s="246"/>
      <c r="G247" s="215"/>
      <c r="H247" s="232">
        <v>242</v>
      </c>
      <c r="I247" s="230" t="str">
        <f t="shared" si="18"/>
        <v/>
      </c>
      <c r="J247" s="229" t="e">
        <f t="shared" si="21"/>
        <v>#NUM!</v>
      </c>
      <c r="K247" s="229" t="e">
        <f t="shared" si="19"/>
        <v>#NUM!</v>
      </c>
      <c r="L247" s="229"/>
      <c r="M247" s="231">
        <f t="shared" si="20"/>
        <v>0</v>
      </c>
    </row>
    <row r="248" spans="1:13" x14ac:dyDescent="0.25">
      <c r="A248" s="246"/>
      <c r="G248" s="215"/>
      <c r="H248" s="229">
        <v>243</v>
      </c>
      <c r="I248" s="230" t="str">
        <f t="shared" si="18"/>
        <v/>
      </c>
      <c r="J248" s="229" t="e">
        <f t="shared" si="21"/>
        <v>#NUM!</v>
      </c>
      <c r="K248" s="229" t="e">
        <f t="shared" si="19"/>
        <v>#NUM!</v>
      </c>
      <c r="L248" s="229"/>
      <c r="M248" s="231">
        <f t="shared" si="20"/>
        <v>0</v>
      </c>
    </row>
    <row r="249" spans="1:13" x14ac:dyDescent="0.25">
      <c r="A249" s="246"/>
      <c r="G249" s="215"/>
      <c r="H249" s="232">
        <v>244</v>
      </c>
      <c r="I249" s="230" t="str">
        <f t="shared" si="18"/>
        <v/>
      </c>
      <c r="J249" s="229" t="e">
        <f t="shared" si="21"/>
        <v>#NUM!</v>
      </c>
      <c r="K249" s="229" t="e">
        <f t="shared" si="19"/>
        <v>#NUM!</v>
      </c>
      <c r="L249" s="229"/>
      <c r="M249" s="231">
        <f t="shared" si="20"/>
        <v>0</v>
      </c>
    </row>
    <row r="250" spans="1:13" x14ac:dyDescent="0.25">
      <c r="A250" s="246"/>
      <c r="G250" s="215"/>
      <c r="H250" s="229">
        <v>245</v>
      </c>
      <c r="I250" s="230" t="str">
        <f t="shared" si="18"/>
        <v/>
      </c>
      <c r="J250" s="229" t="e">
        <f t="shared" si="21"/>
        <v>#NUM!</v>
      </c>
      <c r="K250" s="229" t="e">
        <f t="shared" si="19"/>
        <v>#NUM!</v>
      </c>
      <c r="L250" s="229"/>
      <c r="M250" s="231">
        <f t="shared" si="20"/>
        <v>0</v>
      </c>
    </row>
    <row r="251" spans="1:13" x14ac:dyDescent="0.25">
      <c r="A251" s="246"/>
      <c r="G251" s="215"/>
      <c r="H251" s="232">
        <v>246</v>
      </c>
      <c r="I251" s="230" t="str">
        <f t="shared" si="18"/>
        <v/>
      </c>
      <c r="J251" s="229" t="e">
        <f t="shared" si="21"/>
        <v>#NUM!</v>
      </c>
      <c r="K251" s="229" t="e">
        <f t="shared" si="19"/>
        <v>#NUM!</v>
      </c>
      <c r="L251" s="229"/>
      <c r="M251" s="231">
        <f t="shared" si="20"/>
        <v>0</v>
      </c>
    </row>
    <row r="252" spans="1:13" x14ac:dyDescent="0.25">
      <c r="A252" s="246"/>
      <c r="G252" s="215"/>
      <c r="H252" s="229">
        <v>247</v>
      </c>
      <c r="I252" s="230" t="str">
        <f t="shared" si="18"/>
        <v/>
      </c>
      <c r="J252" s="229" t="e">
        <f t="shared" si="21"/>
        <v>#NUM!</v>
      </c>
      <c r="K252" s="229" t="e">
        <f t="shared" si="19"/>
        <v>#NUM!</v>
      </c>
      <c r="L252" s="229"/>
      <c r="M252" s="231">
        <f t="shared" si="20"/>
        <v>0</v>
      </c>
    </row>
    <row r="253" spans="1:13" x14ac:dyDescent="0.25">
      <c r="A253" s="246"/>
      <c r="G253" s="215"/>
      <c r="H253" s="232">
        <v>248</v>
      </c>
      <c r="I253" s="230" t="str">
        <f t="shared" si="18"/>
        <v/>
      </c>
      <c r="J253" s="229" t="e">
        <f t="shared" si="21"/>
        <v>#NUM!</v>
      </c>
      <c r="K253" s="229" t="e">
        <f t="shared" si="19"/>
        <v>#NUM!</v>
      </c>
      <c r="L253" s="229"/>
      <c r="M253" s="231">
        <f t="shared" si="20"/>
        <v>0</v>
      </c>
    </row>
    <row r="254" spans="1:13" x14ac:dyDescent="0.25">
      <c r="A254" s="246"/>
      <c r="G254" s="215"/>
      <c r="H254" s="229">
        <v>249</v>
      </c>
      <c r="I254" s="230" t="str">
        <f t="shared" si="18"/>
        <v/>
      </c>
      <c r="J254" s="229" t="e">
        <f t="shared" si="21"/>
        <v>#NUM!</v>
      </c>
      <c r="K254" s="229" t="e">
        <f t="shared" si="19"/>
        <v>#NUM!</v>
      </c>
      <c r="L254" s="229"/>
      <c r="M254" s="231">
        <f t="shared" si="20"/>
        <v>0</v>
      </c>
    </row>
    <row r="255" spans="1:13" x14ac:dyDescent="0.25">
      <c r="A255" s="246"/>
      <c r="G255" s="215"/>
      <c r="H255" s="232">
        <v>250</v>
      </c>
      <c r="I255" s="230" t="str">
        <f t="shared" si="18"/>
        <v/>
      </c>
      <c r="J255" s="229" t="e">
        <f t="shared" si="21"/>
        <v>#NUM!</v>
      </c>
      <c r="K255" s="229" t="e">
        <f t="shared" si="19"/>
        <v>#NUM!</v>
      </c>
      <c r="L255" s="229"/>
      <c r="M255" s="231">
        <f t="shared" si="20"/>
        <v>0</v>
      </c>
    </row>
    <row r="256" spans="1:13" x14ac:dyDescent="0.25">
      <c r="A256" s="246"/>
      <c r="G256" s="215"/>
      <c r="H256" s="229">
        <v>251</v>
      </c>
      <c r="I256" s="230" t="str">
        <f t="shared" si="18"/>
        <v/>
      </c>
      <c r="J256" s="229" t="e">
        <f t="shared" si="21"/>
        <v>#NUM!</v>
      </c>
      <c r="K256" s="229" t="e">
        <f t="shared" si="19"/>
        <v>#NUM!</v>
      </c>
      <c r="L256" s="229"/>
      <c r="M256" s="231">
        <f t="shared" si="20"/>
        <v>0</v>
      </c>
    </row>
    <row r="257" spans="1:13" x14ac:dyDescent="0.25">
      <c r="A257" s="246"/>
      <c r="G257" s="215"/>
      <c r="H257" s="232">
        <v>252</v>
      </c>
      <c r="I257" s="230" t="str">
        <f t="shared" si="18"/>
        <v/>
      </c>
      <c r="J257" s="229" t="e">
        <f t="shared" si="21"/>
        <v>#NUM!</v>
      </c>
      <c r="K257" s="229" t="e">
        <f t="shared" si="19"/>
        <v>#NUM!</v>
      </c>
      <c r="L257" s="229"/>
      <c r="M257" s="231">
        <f t="shared" si="20"/>
        <v>0</v>
      </c>
    </row>
    <row r="258" spans="1:13" x14ac:dyDescent="0.25">
      <c r="A258" s="246"/>
      <c r="G258" s="215"/>
      <c r="H258" s="229">
        <v>253</v>
      </c>
      <c r="I258" s="230" t="str">
        <f t="shared" si="18"/>
        <v/>
      </c>
      <c r="J258" s="229" t="e">
        <f t="shared" si="21"/>
        <v>#NUM!</v>
      </c>
      <c r="K258" s="229" t="e">
        <f t="shared" si="19"/>
        <v>#NUM!</v>
      </c>
      <c r="L258" s="229"/>
      <c r="M258" s="231">
        <f t="shared" si="20"/>
        <v>0</v>
      </c>
    </row>
    <row r="259" spans="1:13" x14ac:dyDescent="0.25">
      <c r="A259" s="246"/>
      <c r="G259" s="215"/>
      <c r="H259" s="232">
        <v>254</v>
      </c>
      <c r="I259" s="230" t="str">
        <f t="shared" si="18"/>
        <v/>
      </c>
      <c r="J259" s="229" t="e">
        <f t="shared" si="21"/>
        <v>#NUM!</v>
      </c>
      <c r="K259" s="229" t="e">
        <f t="shared" si="19"/>
        <v>#NUM!</v>
      </c>
      <c r="L259" s="229"/>
      <c r="M259" s="231">
        <f t="shared" si="20"/>
        <v>0</v>
      </c>
    </row>
    <row r="260" spans="1:13" x14ac:dyDescent="0.25">
      <c r="A260" s="246"/>
      <c r="G260" s="215"/>
      <c r="H260" s="229">
        <v>255</v>
      </c>
      <c r="I260" s="230" t="str">
        <f t="shared" si="18"/>
        <v/>
      </c>
      <c r="J260" s="229" t="e">
        <f t="shared" si="21"/>
        <v>#NUM!</v>
      </c>
      <c r="K260" s="229" t="e">
        <f t="shared" si="19"/>
        <v>#NUM!</v>
      </c>
      <c r="L260" s="229"/>
      <c r="M260" s="231">
        <f t="shared" si="20"/>
        <v>0</v>
      </c>
    </row>
    <row r="261" spans="1:13" x14ac:dyDescent="0.25">
      <c r="A261" s="246"/>
      <c r="G261" s="215"/>
      <c r="H261" s="232">
        <v>256</v>
      </c>
      <c r="I261" s="230" t="str">
        <f t="shared" si="18"/>
        <v/>
      </c>
      <c r="J261" s="229" t="e">
        <f t="shared" si="21"/>
        <v>#NUM!</v>
      </c>
      <c r="K261" s="229" t="e">
        <f t="shared" si="19"/>
        <v>#NUM!</v>
      </c>
      <c r="L261" s="229"/>
      <c r="M261" s="231">
        <f t="shared" si="20"/>
        <v>0</v>
      </c>
    </row>
    <row r="262" spans="1:13" x14ac:dyDescent="0.25">
      <c r="A262" s="246"/>
      <c r="G262" s="215"/>
      <c r="H262" s="229">
        <v>257</v>
      </c>
      <c r="I262" s="230" t="str">
        <f t="shared" ref="I262:I305" si="22">IF(H262&lt;$H$2+1,($I$2-($I$2-1)*(LOG(H262)/LOG($H$2))),"")</f>
        <v/>
      </c>
      <c r="J262" s="229" t="e">
        <f t="shared" si="21"/>
        <v>#NUM!</v>
      </c>
      <c r="K262" s="229" t="e">
        <f t="shared" ref="K262:K305" si="23">J262*$J$2</f>
        <v>#NUM!</v>
      </c>
      <c r="L262" s="229"/>
      <c r="M262" s="231">
        <f t="shared" ref="M262:M305" si="24">IF(I262&lt;&gt;"",K262+I262+L262,0)</f>
        <v>0</v>
      </c>
    </row>
    <row r="263" spans="1:13" x14ac:dyDescent="0.25">
      <c r="A263" s="246"/>
      <c r="G263" s="215"/>
      <c r="H263" s="232">
        <v>258</v>
      </c>
      <c r="I263" s="230" t="str">
        <f t="shared" si="22"/>
        <v/>
      </c>
      <c r="J263" s="229" t="e">
        <f t="shared" ref="J263:J305" si="25">INT(LOG($H$2,2))-ROUNDUP(LOG(H263,2),0)+IF(OR($H$2=1,$H$2=2,$H$2=4,$H$2=8,$H$2=16,$H$2=32,$H$2=64,$H$2=128,$H$2=256),0,1)</f>
        <v>#NUM!</v>
      </c>
      <c r="K263" s="229" t="e">
        <f t="shared" si="23"/>
        <v>#NUM!</v>
      </c>
      <c r="L263" s="229"/>
      <c r="M263" s="231">
        <f t="shared" si="24"/>
        <v>0</v>
      </c>
    </row>
    <row r="264" spans="1:13" x14ac:dyDescent="0.25">
      <c r="A264" s="246"/>
      <c r="G264" s="215"/>
      <c r="H264" s="229">
        <v>259</v>
      </c>
      <c r="I264" s="230" t="str">
        <f t="shared" si="22"/>
        <v/>
      </c>
      <c r="J264" s="229" t="e">
        <f t="shared" si="25"/>
        <v>#NUM!</v>
      </c>
      <c r="K264" s="229" t="e">
        <f t="shared" si="23"/>
        <v>#NUM!</v>
      </c>
      <c r="L264" s="229"/>
      <c r="M264" s="231">
        <f t="shared" si="24"/>
        <v>0</v>
      </c>
    </row>
    <row r="265" spans="1:13" x14ac:dyDescent="0.25">
      <c r="A265" s="246"/>
      <c r="G265" s="215"/>
      <c r="H265" s="232">
        <v>260</v>
      </c>
      <c r="I265" s="230" t="str">
        <f t="shared" si="22"/>
        <v/>
      </c>
      <c r="J265" s="229" t="e">
        <f t="shared" si="25"/>
        <v>#NUM!</v>
      </c>
      <c r="K265" s="229" t="e">
        <f t="shared" si="23"/>
        <v>#NUM!</v>
      </c>
      <c r="L265" s="229"/>
      <c r="M265" s="231">
        <f t="shared" si="24"/>
        <v>0</v>
      </c>
    </row>
    <row r="266" spans="1:13" x14ac:dyDescent="0.25">
      <c r="A266" s="246"/>
      <c r="G266" s="215"/>
      <c r="H266" s="229">
        <v>261</v>
      </c>
      <c r="I266" s="230" t="str">
        <f t="shared" si="22"/>
        <v/>
      </c>
      <c r="J266" s="229" t="e">
        <f t="shared" si="25"/>
        <v>#NUM!</v>
      </c>
      <c r="K266" s="229" t="e">
        <f t="shared" si="23"/>
        <v>#NUM!</v>
      </c>
      <c r="L266" s="229"/>
      <c r="M266" s="231">
        <f t="shared" si="24"/>
        <v>0</v>
      </c>
    </row>
    <row r="267" spans="1:13" x14ac:dyDescent="0.25">
      <c r="A267" s="246"/>
      <c r="G267" s="215"/>
      <c r="H267" s="232">
        <v>262</v>
      </c>
      <c r="I267" s="230" t="str">
        <f t="shared" si="22"/>
        <v/>
      </c>
      <c r="J267" s="229" t="e">
        <f t="shared" si="25"/>
        <v>#NUM!</v>
      </c>
      <c r="K267" s="229" t="e">
        <f t="shared" si="23"/>
        <v>#NUM!</v>
      </c>
      <c r="L267" s="229"/>
      <c r="M267" s="231">
        <f t="shared" si="24"/>
        <v>0</v>
      </c>
    </row>
    <row r="268" spans="1:13" x14ac:dyDescent="0.25">
      <c r="A268" s="246"/>
      <c r="G268" s="215"/>
      <c r="H268" s="229">
        <v>263</v>
      </c>
      <c r="I268" s="230" t="str">
        <f t="shared" si="22"/>
        <v/>
      </c>
      <c r="J268" s="229" t="e">
        <f t="shared" si="25"/>
        <v>#NUM!</v>
      </c>
      <c r="K268" s="229" t="e">
        <f t="shared" si="23"/>
        <v>#NUM!</v>
      </c>
      <c r="L268" s="229"/>
      <c r="M268" s="231">
        <f t="shared" si="24"/>
        <v>0</v>
      </c>
    </row>
    <row r="269" spans="1:13" x14ac:dyDescent="0.25">
      <c r="A269" s="246"/>
      <c r="G269" s="215"/>
      <c r="H269" s="232">
        <v>264</v>
      </c>
      <c r="I269" s="230" t="str">
        <f t="shared" si="22"/>
        <v/>
      </c>
      <c r="J269" s="229" t="e">
        <f t="shared" si="25"/>
        <v>#NUM!</v>
      </c>
      <c r="K269" s="229" t="e">
        <f t="shared" si="23"/>
        <v>#NUM!</v>
      </c>
      <c r="L269" s="229"/>
      <c r="M269" s="231">
        <f t="shared" si="24"/>
        <v>0</v>
      </c>
    </row>
    <row r="270" spans="1:13" x14ac:dyDescent="0.25">
      <c r="A270" s="246"/>
      <c r="G270" s="215"/>
      <c r="H270" s="229">
        <v>265</v>
      </c>
      <c r="I270" s="230" t="str">
        <f t="shared" si="22"/>
        <v/>
      </c>
      <c r="J270" s="229" t="e">
        <f t="shared" si="25"/>
        <v>#NUM!</v>
      </c>
      <c r="K270" s="229" t="e">
        <f t="shared" si="23"/>
        <v>#NUM!</v>
      </c>
      <c r="L270" s="229"/>
      <c r="M270" s="231">
        <f t="shared" si="24"/>
        <v>0</v>
      </c>
    </row>
    <row r="271" spans="1:13" x14ac:dyDescent="0.25">
      <c r="A271" s="246"/>
      <c r="G271" s="215"/>
      <c r="H271" s="232">
        <v>266</v>
      </c>
      <c r="I271" s="230" t="str">
        <f t="shared" si="22"/>
        <v/>
      </c>
      <c r="J271" s="229" t="e">
        <f t="shared" si="25"/>
        <v>#NUM!</v>
      </c>
      <c r="K271" s="229" t="e">
        <f t="shared" si="23"/>
        <v>#NUM!</v>
      </c>
      <c r="L271" s="229"/>
      <c r="M271" s="231">
        <f t="shared" si="24"/>
        <v>0</v>
      </c>
    </row>
    <row r="272" spans="1:13" x14ac:dyDescent="0.25">
      <c r="A272" s="246"/>
      <c r="G272" s="215"/>
      <c r="H272" s="229">
        <v>267</v>
      </c>
      <c r="I272" s="230" t="str">
        <f t="shared" si="22"/>
        <v/>
      </c>
      <c r="J272" s="229" t="e">
        <f t="shared" si="25"/>
        <v>#NUM!</v>
      </c>
      <c r="K272" s="229" t="e">
        <f t="shared" si="23"/>
        <v>#NUM!</v>
      </c>
      <c r="L272" s="229"/>
      <c r="M272" s="231">
        <f t="shared" si="24"/>
        <v>0</v>
      </c>
    </row>
    <row r="273" spans="1:13" x14ac:dyDescent="0.25">
      <c r="A273" s="246"/>
      <c r="G273" s="215"/>
      <c r="H273" s="232">
        <v>268</v>
      </c>
      <c r="I273" s="230" t="str">
        <f t="shared" si="22"/>
        <v/>
      </c>
      <c r="J273" s="229" t="e">
        <f t="shared" si="25"/>
        <v>#NUM!</v>
      </c>
      <c r="K273" s="229" t="e">
        <f t="shared" si="23"/>
        <v>#NUM!</v>
      </c>
      <c r="L273" s="229"/>
      <c r="M273" s="231">
        <f t="shared" si="24"/>
        <v>0</v>
      </c>
    </row>
    <row r="274" spans="1:13" x14ac:dyDescent="0.25">
      <c r="A274" s="246"/>
      <c r="G274" s="215"/>
      <c r="H274" s="229">
        <v>269</v>
      </c>
      <c r="I274" s="230" t="str">
        <f t="shared" si="22"/>
        <v/>
      </c>
      <c r="J274" s="229" t="e">
        <f t="shared" si="25"/>
        <v>#NUM!</v>
      </c>
      <c r="K274" s="229" t="e">
        <f t="shared" si="23"/>
        <v>#NUM!</v>
      </c>
      <c r="L274" s="229"/>
      <c r="M274" s="231">
        <f t="shared" si="24"/>
        <v>0</v>
      </c>
    </row>
    <row r="275" spans="1:13" x14ac:dyDescent="0.25">
      <c r="A275" s="246"/>
      <c r="G275" s="215"/>
      <c r="H275" s="232">
        <v>270</v>
      </c>
      <c r="I275" s="230" t="str">
        <f t="shared" si="22"/>
        <v/>
      </c>
      <c r="J275" s="229" t="e">
        <f t="shared" si="25"/>
        <v>#NUM!</v>
      </c>
      <c r="K275" s="229" t="e">
        <f t="shared" si="23"/>
        <v>#NUM!</v>
      </c>
      <c r="L275" s="229"/>
      <c r="M275" s="231">
        <f t="shared" si="24"/>
        <v>0</v>
      </c>
    </row>
    <row r="276" spans="1:13" x14ac:dyDescent="0.25">
      <c r="A276" s="246"/>
      <c r="G276" s="215"/>
      <c r="H276" s="229">
        <v>271</v>
      </c>
      <c r="I276" s="230" t="str">
        <f t="shared" si="22"/>
        <v/>
      </c>
      <c r="J276" s="229" t="e">
        <f t="shared" si="25"/>
        <v>#NUM!</v>
      </c>
      <c r="K276" s="229" t="e">
        <f t="shared" si="23"/>
        <v>#NUM!</v>
      </c>
      <c r="L276" s="229"/>
      <c r="M276" s="231">
        <f t="shared" si="24"/>
        <v>0</v>
      </c>
    </row>
    <row r="277" spans="1:13" x14ac:dyDescent="0.25">
      <c r="A277" s="246"/>
      <c r="G277" s="215"/>
      <c r="H277" s="232">
        <v>272</v>
      </c>
      <c r="I277" s="230" t="str">
        <f t="shared" si="22"/>
        <v/>
      </c>
      <c r="J277" s="229" t="e">
        <f t="shared" si="25"/>
        <v>#NUM!</v>
      </c>
      <c r="K277" s="229" t="e">
        <f t="shared" si="23"/>
        <v>#NUM!</v>
      </c>
      <c r="L277" s="229"/>
      <c r="M277" s="231">
        <f t="shared" si="24"/>
        <v>0</v>
      </c>
    </row>
    <row r="278" spans="1:13" x14ac:dyDescent="0.25">
      <c r="A278" s="246"/>
      <c r="G278" s="215"/>
      <c r="H278" s="229">
        <v>273</v>
      </c>
      <c r="I278" s="230" t="str">
        <f t="shared" si="22"/>
        <v/>
      </c>
      <c r="J278" s="229" t="e">
        <f t="shared" si="25"/>
        <v>#NUM!</v>
      </c>
      <c r="K278" s="229" t="e">
        <f t="shared" si="23"/>
        <v>#NUM!</v>
      </c>
      <c r="L278" s="229"/>
      <c r="M278" s="231">
        <f t="shared" si="24"/>
        <v>0</v>
      </c>
    </row>
    <row r="279" spans="1:13" x14ac:dyDescent="0.25">
      <c r="A279" s="246"/>
      <c r="G279" s="215"/>
      <c r="H279" s="232">
        <v>274</v>
      </c>
      <c r="I279" s="230" t="str">
        <f t="shared" si="22"/>
        <v/>
      </c>
      <c r="J279" s="229" t="e">
        <f t="shared" si="25"/>
        <v>#NUM!</v>
      </c>
      <c r="K279" s="229" t="e">
        <f t="shared" si="23"/>
        <v>#NUM!</v>
      </c>
      <c r="L279" s="229"/>
      <c r="M279" s="231">
        <f t="shared" si="24"/>
        <v>0</v>
      </c>
    </row>
    <row r="280" spans="1:13" x14ac:dyDescent="0.25">
      <c r="A280" s="246"/>
      <c r="G280" s="215"/>
      <c r="H280" s="229">
        <v>275</v>
      </c>
      <c r="I280" s="230" t="str">
        <f t="shared" si="22"/>
        <v/>
      </c>
      <c r="J280" s="229" t="e">
        <f t="shared" si="25"/>
        <v>#NUM!</v>
      </c>
      <c r="K280" s="229" t="e">
        <f t="shared" si="23"/>
        <v>#NUM!</v>
      </c>
      <c r="L280" s="229"/>
      <c r="M280" s="231">
        <f t="shared" si="24"/>
        <v>0</v>
      </c>
    </row>
    <row r="281" spans="1:13" x14ac:dyDescent="0.25">
      <c r="A281" s="246"/>
      <c r="G281" s="215"/>
      <c r="H281" s="232">
        <v>276</v>
      </c>
      <c r="I281" s="230" t="str">
        <f t="shared" si="22"/>
        <v/>
      </c>
      <c r="J281" s="229" t="e">
        <f t="shared" si="25"/>
        <v>#NUM!</v>
      </c>
      <c r="K281" s="229" t="e">
        <f t="shared" si="23"/>
        <v>#NUM!</v>
      </c>
      <c r="L281" s="229"/>
      <c r="M281" s="231">
        <f t="shared" si="24"/>
        <v>0</v>
      </c>
    </row>
    <row r="282" spans="1:13" x14ac:dyDescent="0.25">
      <c r="A282" s="246"/>
      <c r="G282" s="215"/>
      <c r="H282" s="229">
        <v>277</v>
      </c>
      <c r="I282" s="230" t="str">
        <f t="shared" si="22"/>
        <v/>
      </c>
      <c r="J282" s="229" t="e">
        <f t="shared" si="25"/>
        <v>#NUM!</v>
      </c>
      <c r="K282" s="229" t="e">
        <f t="shared" si="23"/>
        <v>#NUM!</v>
      </c>
      <c r="L282" s="229"/>
      <c r="M282" s="231">
        <f t="shared" si="24"/>
        <v>0</v>
      </c>
    </row>
    <row r="283" spans="1:13" x14ac:dyDescent="0.25">
      <c r="A283" s="246"/>
      <c r="G283" s="215"/>
      <c r="H283" s="232">
        <v>278</v>
      </c>
      <c r="I283" s="230" t="str">
        <f t="shared" si="22"/>
        <v/>
      </c>
      <c r="J283" s="229" t="e">
        <f t="shared" si="25"/>
        <v>#NUM!</v>
      </c>
      <c r="K283" s="229" t="e">
        <f t="shared" si="23"/>
        <v>#NUM!</v>
      </c>
      <c r="L283" s="229"/>
      <c r="M283" s="231">
        <f t="shared" si="24"/>
        <v>0</v>
      </c>
    </row>
    <row r="284" spans="1:13" x14ac:dyDescent="0.25">
      <c r="A284" s="246"/>
      <c r="G284" s="215"/>
      <c r="H284" s="229">
        <v>279</v>
      </c>
      <c r="I284" s="230" t="str">
        <f t="shared" si="22"/>
        <v/>
      </c>
      <c r="J284" s="229" t="e">
        <f t="shared" si="25"/>
        <v>#NUM!</v>
      </c>
      <c r="K284" s="229" t="e">
        <f t="shared" si="23"/>
        <v>#NUM!</v>
      </c>
      <c r="L284" s="229"/>
      <c r="M284" s="231">
        <f t="shared" si="24"/>
        <v>0</v>
      </c>
    </row>
    <row r="285" spans="1:13" x14ac:dyDescent="0.25">
      <c r="A285" s="246"/>
      <c r="G285" s="215"/>
      <c r="H285" s="232">
        <v>280</v>
      </c>
      <c r="I285" s="230" t="str">
        <f t="shared" si="22"/>
        <v/>
      </c>
      <c r="J285" s="229" t="e">
        <f t="shared" si="25"/>
        <v>#NUM!</v>
      </c>
      <c r="K285" s="229" t="e">
        <f t="shared" si="23"/>
        <v>#NUM!</v>
      </c>
      <c r="L285" s="229"/>
      <c r="M285" s="231">
        <f t="shared" si="24"/>
        <v>0</v>
      </c>
    </row>
    <row r="286" spans="1:13" x14ac:dyDescent="0.25">
      <c r="A286" s="246"/>
      <c r="G286" s="215"/>
      <c r="H286" s="229">
        <v>281</v>
      </c>
      <c r="I286" s="230" t="str">
        <f t="shared" si="22"/>
        <v/>
      </c>
      <c r="J286" s="229" t="e">
        <f t="shared" si="25"/>
        <v>#NUM!</v>
      </c>
      <c r="K286" s="229" t="e">
        <f t="shared" si="23"/>
        <v>#NUM!</v>
      </c>
      <c r="L286" s="229"/>
      <c r="M286" s="231">
        <f t="shared" si="24"/>
        <v>0</v>
      </c>
    </row>
    <row r="287" spans="1:13" x14ac:dyDescent="0.25">
      <c r="A287" s="246"/>
      <c r="G287" s="215"/>
      <c r="H287" s="232">
        <v>282</v>
      </c>
      <c r="I287" s="230" t="str">
        <f t="shared" si="22"/>
        <v/>
      </c>
      <c r="J287" s="229" t="e">
        <f t="shared" si="25"/>
        <v>#NUM!</v>
      </c>
      <c r="K287" s="229" t="e">
        <f t="shared" si="23"/>
        <v>#NUM!</v>
      </c>
      <c r="L287" s="229"/>
      <c r="M287" s="231">
        <f t="shared" si="24"/>
        <v>0</v>
      </c>
    </row>
    <row r="288" spans="1:13" x14ac:dyDescent="0.25">
      <c r="A288" s="246"/>
      <c r="G288" s="215"/>
      <c r="H288" s="229">
        <v>283</v>
      </c>
      <c r="I288" s="230" t="str">
        <f t="shared" si="22"/>
        <v/>
      </c>
      <c r="J288" s="229" t="e">
        <f t="shared" si="25"/>
        <v>#NUM!</v>
      </c>
      <c r="K288" s="229" t="e">
        <f t="shared" si="23"/>
        <v>#NUM!</v>
      </c>
      <c r="L288" s="229"/>
      <c r="M288" s="231">
        <f t="shared" si="24"/>
        <v>0</v>
      </c>
    </row>
    <row r="289" spans="1:13" x14ac:dyDescent="0.25">
      <c r="A289" s="246"/>
      <c r="G289" s="215"/>
      <c r="H289" s="232">
        <v>284</v>
      </c>
      <c r="I289" s="230" t="str">
        <f t="shared" si="22"/>
        <v/>
      </c>
      <c r="J289" s="229" t="e">
        <f t="shared" si="25"/>
        <v>#NUM!</v>
      </c>
      <c r="K289" s="229" t="e">
        <f t="shared" si="23"/>
        <v>#NUM!</v>
      </c>
      <c r="L289" s="229"/>
      <c r="M289" s="231">
        <f t="shared" si="24"/>
        <v>0</v>
      </c>
    </row>
    <row r="290" spans="1:13" x14ac:dyDescent="0.25">
      <c r="A290" s="246"/>
      <c r="G290" s="215"/>
      <c r="H290" s="229">
        <v>285</v>
      </c>
      <c r="I290" s="230" t="str">
        <f t="shared" si="22"/>
        <v/>
      </c>
      <c r="J290" s="229" t="e">
        <f t="shared" si="25"/>
        <v>#NUM!</v>
      </c>
      <c r="K290" s="229" t="e">
        <f t="shared" si="23"/>
        <v>#NUM!</v>
      </c>
      <c r="L290" s="229"/>
      <c r="M290" s="231">
        <f t="shared" si="24"/>
        <v>0</v>
      </c>
    </row>
    <row r="291" spans="1:13" x14ac:dyDescent="0.25">
      <c r="A291" s="246"/>
      <c r="G291" s="215"/>
      <c r="H291" s="232">
        <v>286</v>
      </c>
      <c r="I291" s="230" t="str">
        <f t="shared" si="22"/>
        <v/>
      </c>
      <c r="J291" s="229" t="e">
        <f t="shared" si="25"/>
        <v>#NUM!</v>
      </c>
      <c r="K291" s="229" t="e">
        <f t="shared" si="23"/>
        <v>#NUM!</v>
      </c>
      <c r="L291" s="229"/>
      <c r="M291" s="231">
        <f t="shared" si="24"/>
        <v>0</v>
      </c>
    </row>
    <row r="292" spans="1:13" x14ac:dyDescent="0.25">
      <c r="A292" s="246"/>
      <c r="G292" s="215"/>
      <c r="H292" s="229">
        <v>287</v>
      </c>
      <c r="I292" s="230" t="str">
        <f t="shared" si="22"/>
        <v/>
      </c>
      <c r="J292" s="229" t="e">
        <f t="shared" si="25"/>
        <v>#NUM!</v>
      </c>
      <c r="K292" s="229" t="e">
        <f t="shared" si="23"/>
        <v>#NUM!</v>
      </c>
      <c r="L292" s="229"/>
      <c r="M292" s="231">
        <f t="shared" si="24"/>
        <v>0</v>
      </c>
    </row>
    <row r="293" spans="1:13" x14ac:dyDescent="0.25">
      <c r="A293" s="246"/>
      <c r="G293" s="215"/>
      <c r="H293" s="229">
        <v>288</v>
      </c>
      <c r="I293" s="230" t="str">
        <f t="shared" si="22"/>
        <v/>
      </c>
      <c r="J293" s="229" t="e">
        <f t="shared" si="25"/>
        <v>#NUM!</v>
      </c>
      <c r="K293" s="229" t="e">
        <f t="shared" si="23"/>
        <v>#NUM!</v>
      </c>
      <c r="L293" s="229"/>
      <c r="M293" s="231">
        <f t="shared" si="24"/>
        <v>0</v>
      </c>
    </row>
    <row r="294" spans="1:13" x14ac:dyDescent="0.25">
      <c r="A294" s="246"/>
      <c r="G294" s="215"/>
      <c r="H294" s="229">
        <v>289</v>
      </c>
      <c r="I294" s="230" t="str">
        <f t="shared" si="22"/>
        <v/>
      </c>
      <c r="J294" s="229" t="e">
        <f t="shared" si="25"/>
        <v>#NUM!</v>
      </c>
      <c r="K294" s="229" t="e">
        <f t="shared" si="23"/>
        <v>#NUM!</v>
      </c>
      <c r="L294" s="229"/>
      <c r="M294" s="231">
        <f t="shared" si="24"/>
        <v>0</v>
      </c>
    </row>
    <row r="295" spans="1:13" x14ac:dyDescent="0.25">
      <c r="A295" s="246"/>
      <c r="G295" s="215"/>
      <c r="H295" s="229">
        <v>290</v>
      </c>
      <c r="I295" s="230" t="str">
        <f t="shared" si="22"/>
        <v/>
      </c>
      <c r="J295" s="229" t="e">
        <f t="shared" si="25"/>
        <v>#NUM!</v>
      </c>
      <c r="K295" s="229" t="e">
        <f t="shared" si="23"/>
        <v>#NUM!</v>
      </c>
      <c r="L295" s="229"/>
      <c r="M295" s="231">
        <f t="shared" si="24"/>
        <v>0</v>
      </c>
    </row>
    <row r="296" spans="1:13" x14ac:dyDescent="0.25">
      <c r="A296" s="246"/>
      <c r="G296" s="215"/>
      <c r="H296" s="229">
        <v>291</v>
      </c>
      <c r="I296" s="230" t="str">
        <f t="shared" si="22"/>
        <v/>
      </c>
      <c r="J296" s="229" t="e">
        <f t="shared" si="25"/>
        <v>#NUM!</v>
      </c>
      <c r="K296" s="229" t="e">
        <f t="shared" si="23"/>
        <v>#NUM!</v>
      </c>
      <c r="L296" s="229"/>
      <c r="M296" s="231">
        <f t="shared" si="24"/>
        <v>0</v>
      </c>
    </row>
    <row r="297" spans="1:13" x14ac:dyDescent="0.25">
      <c r="A297" s="246"/>
      <c r="G297" s="215"/>
      <c r="H297" s="229">
        <v>292</v>
      </c>
      <c r="I297" s="230" t="str">
        <f t="shared" si="22"/>
        <v/>
      </c>
      <c r="J297" s="229" t="e">
        <f t="shared" si="25"/>
        <v>#NUM!</v>
      </c>
      <c r="K297" s="229" t="e">
        <f t="shared" si="23"/>
        <v>#NUM!</v>
      </c>
      <c r="L297" s="229"/>
      <c r="M297" s="231">
        <f t="shared" si="24"/>
        <v>0</v>
      </c>
    </row>
    <row r="298" spans="1:13" x14ac:dyDescent="0.25">
      <c r="A298" s="246"/>
      <c r="G298" s="215"/>
      <c r="H298" s="229">
        <v>293</v>
      </c>
      <c r="I298" s="230" t="str">
        <f t="shared" si="22"/>
        <v/>
      </c>
      <c r="J298" s="229" t="e">
        <f t="shared" si="25"/>
        <v>#NUM!</v>
      </c>
      <c r="K298" s="229" t="e">
        <f t="shared" si="23"/>
        <v>#NUM!</v>
      </c>
      <c r="L298" s="229"/>
      <c r="M298" s="231">
        <f t="shared" si="24"/>
        <v>0</v>
      </c>
    </row>
    <row r="299" spans="1:13" x14ac:dyDescent="0.25">
      <c r="A299" s="246"/>
      <c r="G299" s="215"/>
      <c r="H299" s="229">
        <v>294</v>
      </c>
      <c r="I299" s="230" t="str">
        <f t="shared" si="22"/>
        <v/>
      </c>
      <c r="J299" s="229" t="e">
        <f t="shared" si="25"/>
        <v>#NUM!</v>
      </c>
      <c r="K299" s="229" t="e">
        <f t="shared" si="23"/>
        <v>#NUM!</v>
      </c>
      <c r="L299" s="229"/>
      <c r="M299" s="231">
        <f t="shared" si="24"/>
        <v>0</v>
      </c>
    </row>
    <row r="300" spans="1:13" x14ac:dyDescent="0.25">
      <c r="A300" s="246"/>
      <c r="G300" s="215"/>
      <c r="H300" s="229">
        <v>295</v>
      </c>
      <c r="I300" s="230" t="str">
        <f t="shared" si="22"/>
        <v/>
      </c>
      <c r="J300" s="229" t="e">
        <f t="shared" si="25"/>
        <v>#NUM!</v>
      </c>
      <c r="K300" s="229" t="e">
        <f t="shared" si="23"/>
        <v>#NUM!</v>
      </c>
      <c r="L300" s="229"/>
      <c r="M300" s="231">
        <f t="shared" si="24"/>
        <v>0</v>
      </c>
    </row>
    <row r="301" spans="1:13" x14ac:dyDescent="0.25">
      <c r="A301" s="246"/>
      <c r="G301" s="215"/>
      <c r="H301" s="229">
        <v>296</v>
      </c>
      <c r="I301" s="230" t="str">
        <f t="shared" si="22"/>
        <v/>
      </c>
      <c r="J301" s="229" t="e">
        <f t="shared" si="25"/>
        <v>#NUM!</v>
      </c>
      <c r="K301" s="229" t="e">
        <f t="shared" si="23"/>
        <v>#NUM!</v>
      </c>
      <c r="L301" s="229"/>
      <c r="M301" s="231">
        <f t="shared" si="24"/>
        <v>0</v>
      </c>
    </row>
    <row r="302" spans="1:13" x14ac:dyDescent="0.25">
      <c r="A302" s="246"/>
      <c r="G302" s="215"/>
      <c r="H302" s="229">
        <v>297</v>
      </c>
      <c r="I302" s="230" t="str">
        <f t="shared" si="22"/>
        <v/>
      </c>
      <c r="J302" s="229" t="e">
        <f t="shared" si="25"/>
        <v>#NUM!</v>
      </c>
      <c r="K302" s="229" t="e">
        <f t="shared" si="23"/>
        <v>#NUM!</v>
      </c>
      <c r="L302" s="229"/>
      <c r="M302" s="231">
        <f t="shared" si="24"/>
        <v>0</v>
      </c>
    </row>
    <row r="303" spans="1:13" x14ac:dyDescent="0.25">
      <c r="A303" s="246"/>
      <c r="G303" s="215"/>
      <c r="H303" s="229">
        <v>298</v>
      </c>
      <c r="I303" s="230" t="str">
        <f t="shared" si="22"/>
        <v/>
      </c>
      <c r="J303" s="229" t="e">
        <f t="shared" si="25"/>
        <v>#NUM!</v>
      </c>
      <c r="K303" s="229" t="e">
        <f t="shared" si="23"/>
        <v>#NUM!</v>
      </c>
      <c r="L303" s="229"/>
      <c r="M303" s="231">
        <f t="shared" si="24"/>
        <v>0</v>
      </c>
    </row>
    <row r="304" spans="1:13" x14ac:dyDescent="0.25">
      <c r="A304" s="246"/>
      <c r="G304" s="215"/>
      <c r="H304" s="229">
        <v>299</v>
      </c>
      <c r="I304" s="230" t="str">
        <f t="shared" si="22"/>
        <v/>
      </c>
      <c r="J304" s="229" t="e">
        <f t="shared" si="25"/>
        <v>#NUM!</v>
      </c>
      <c r="K304" s="229" t="e">
        <f t="shared" si="23"/>
        <v>#NUM!</v>
      </c>
      <c r="L304" s="229"/>
      <c r="M304" s="231">
        <f t="shared" si="24"/>
        <v>0</v>
      </c>
    </row>
    <row r="305" spans="1:16" x14ac:dyDescent="0.25">
      <c r="A305" s="246"/>
      <c r="G305" s="215"/>
      <c r="H305" s="229">
        <v>300</v>
      </c>
      <c r="I305" s="230" t="str">
        <f t="shared" si="22"/>
        <v/>
      </c>
      <c r="J305" s="229" t="e">
        <f t="shared" si="25"/>
        <v>#NUM!</v>
      </c>
      <c r="K305" s="229" t="e">
        <f t="shared" si="23"/>
        <v>#NUM!</v>
      </c>
      <c r="L305" s="229"/>
      <c r="M305" s="231">
        <f t="shared" si="24"/>
        <v>0</v>
      </c>
    </row>
    <row r="306" spans="1:16" x14ac:dyDescent="0.25">
      <c r="A306" s="247"/>
    </row>
    <row r="314" spans="1:16" x14ac:dyDescent="0.25">
      <c r="L314" s="250"/>
      <c r="P314" s="240"/>
    </row>
    <row r="315" spans="1:16" x14ac:dyDescent="0.25">
      <c r="L315" s="250"/>
      <c r="P315" s="240"/>
    </row>
    <row r="316" spans="1:16" x14ac:dyDescent="0.25">
      <c r="L316" s="250"/>
      <c r="P316" s="240"/>
    </row>
    <row r="317" spans="1:16" x14ac:dyDescent="0.25">
      <c r="L317" s="250"/>
      <c r="P317" s="240"/>
    </row>
  </sheetData>
  <conditionalFormatting sqref="J6:K305">
    <cfRule type="cellIs" dxfId="15" priority="1" operator="lessThanOrEqual">
      <formula>0</formula>
    </cfRule>
  </conditionalFormatting>
  <hyperlinks>
    <hyperlink ref="C2" r:id="rId1" xr:uid="{48152EF3-91D1-4F29-AD49-D9241CF66932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06BB-CD8D-4B44-87D6-80474376A6F3}">
  <sheetPr codeName="Arkusz15"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x14ac:dyDescent="0.25">
      <c r="A2" s="80"/>
      <c r="B2" s="20" t="s">
        <v>29</v>
      </c>
      <c r="C2" s="172" t="s">
        <v>109</v>
      </c>
      <c r="D2" s="69"/>
      <c r="E2" s="21"/>
      <c r="F2" s="21"/>
      <c r="G2" s="21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x14ac:dyDescent="0.25">
      <c r="A3" s="80"/>
      <c r="B3" s="89" t="s">
        <v>31</v>
      </c>
      <c r="C3" s="133" t="s">
        <v>110</v>
      </c>
      <c r="D3" s="70"/>
      <c r="E3" s="26"/>
      <c r="F3" s="26"/>
      <c r="G3" s="26"/>
      <c r="H3" s="84"/>
      <c r="I3" s="84"/>
      <c r="J3" s="90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90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3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4" t="str">
        <f t="shared" si="0"/>
        <v/>
      </c>
      <c r="C38" s="35"/>
      <c r="D38" s="35"/>
      <c r="E38" s="35"/>
      <c r="F38" s="35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0" t="str">
        <f t="shared" si="0"/>
        <v/>
      </c>
      <c r="C39" s="41"/>
      <c r="D39" s="41"/>
      <c r="E39" s="41"/>
      <c r="F39" s="41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4" t="str">
        <f t="shared" si="0"/>
        <v/>
      </c>
      <c r="C40" s="35"/>
      <c r="D40" s="35"/>
      <c r="E40" s="35"/>
      <c r="F40" s="35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0" t="str">
        <f t="shared" si="0"/>
        <v/>
      </c>
      <c r="C41" s="41"/>
      <c r="D41" s="41"/>
      <c r="E41" s="41"/>
      <c r="F41" s="41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4" t="str">
        <f t="shared" si="0"/>
        <v/>
      </c>
      <c r="C42" s="35"/>
      <c r="D42" s="35"/>
      <c r="E42" s="35"/>
      <c r="F42" s="35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0" t="str">
        <f t="shared" si="0"/>
        <v/>
      </c>
      <c r="C43" s="41"/>
      <c r="D43" s="41"/>
      <c r="E43" s="41"/>
      <c r="F43" s="41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4" t="str">
        <f t="shared" si="0"/>
        <v/>
      </c>
      <c r="C44" s="35"/>
      <c r="D44" s="35"/>
      <c r="E44" s="35"/>
      <c r="F44" s="35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0" t="str">
        <f t="shared" si="0"/>
        <v/>
      </c>
      <c r="C45" s="41"/>
      <c r="D45" s="41"/>
      <c r="E45" s="41"/>
      <c r="F45" s="41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4" t="str">
        <f t="shared" si="0"/>
        <v/>
      </c>
      <c r="C46" s="35"/>
      <c r="D46" s="35"/>
      <c r="E46" s="35"/>
      <c r="F46" s="35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0" t="str">
        <f t="shared" si="0"/>
        <v/>
      </c>
      <c r="C47" s="41"/>
      <c r="D47" s="41"/>
      <c r="E47" s="41"/>
      <c r="F47" s="41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4" t="str">
        <f t="shared" si="0"/>
        <v/>
      </c>
      <c r="C48" s="35"/>
      <c r="D48" s="35"/>
      <c r="E48" s="35"/>
      <c r="F48" s="35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0" t="str">
        <f t="shared" si="0"/>
        <v/>
      </c>
      <c r="C49" s="41"/>
      <c r="D49" s="41"/>
      <c r="E49" s="41"/>
      <c r="F49" s="41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4" t="str">
        <f t="shared" si="0"/>
        <v/>
      </c>
      <c r="C50" s="35"/>
      <c r="D50" s="35"/>
      <c r="E50" s="35"/>
      <c r="F50" s="35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0" t="str">
        <f t="shared" si="0"/>
        <v/>
      </c>
      <c r="C51" s="41"/>
      <c r="D51" s="41"/>
      <c r="E51" s="41"/>
      <c r="F51" s="41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4" t="str">
        <f t="shared" si="0"/>
        <v/>
      </c>
      <c r="C52" s="35"/>
      <c r="D52" s="35"/>
      <c r="E52" s="35"/>
      <c r="F52" s="35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0" t="str">
        <f t="shared" si="0"/>
        <v/>
      </c>
      <c r="C53" s="41"/>
      <c r="D53" s="41"/>
      <c r="E53" s="41"/>
      <c r="F53" s="41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4" t="str">
        <f t="shared" si="0"/>
        <v/>
      </c>
      <c r="C54" s="35"/>
      <c r="D54" s="35"/>
      <c r="E54" s="35"/>
      <c r="F54" s="35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0" t="str">
        <f t="shared" si="0"/>
        <v/>
      </c>
      <c r="C55" s="41"/>
      <c r="D55" s="41"/>
      <c r="E55" s="41"/>
      <c r="F55" s="41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4" t="str">
        <f t="shared" si="0"/>
        <v/>
      </c>
      <c r="C56" s="35"/>
      <c r="D56" s="35"/>
      <c r="E56" s="35"/>
      <c r="F56" s="35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0" t="str">
        <f t="shared" si="0"/>
        <v/>
      </c>
      <c r="C57" s="41"/>
      <c r="D57" s="41"/>
      <c r="E57" s="41"/>
      <c r="F57" s="41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4" t="str">
        <f t="shared" si="0"/>
        <v/>
      </c>
      <c r="C58" s="35"/>
      <c r="D58" s="35"/>
      <c r="E58" s="35"/>
      <c r="F58" s="35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0" t="str">
        <f t="shared" si="0"/>
        <v/>
      </c>
      <c r="C59" s="41"/>
      <c r="D59" s="41"/>
      <c r="E59" s="41"/>
      <c r="F59" s="41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4" t="str">
        <f t="shared" si="0"/>
        <v/>
      </c>
      <c r="C60" s="35"/>
      <c r="D60" s="35"/>
      <c r="E60" s="35"/>
      <c r="F60" s="35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49"/>
      <c r="B61" s="40" t="str">
        <f t="shared" si="0"/>
        <v/>
      </c>
      <c r="C61" s="41"/>
      <c r="D61" s="41"/>
      <c r="E61" s="41"/>
      <c r="F61" s="41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50"/>
      <c r="B62" s="34" t="str">
        <f t="shared" si="0"/>
        <v/>
      </c>
      <c r="C62" s="35"/>
      <c r="D62" s="35"/>
      <c r="E62" s="35"/>
      <c r="F62" s="35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49"/>
      <c r="B63" s="40" t="str">
        <f t="shared" si="0"/>
        <v/>
      </c>
      <c r="C63" s="41"/>
      <c r="D63" s="41"/>
      <c r="E63" s="41"/>
      <c r="F63" s="41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50"/>
      <c r="B64" s="34" t="str">
        <f t="shared" si="0"/>
        <v/>
      </c>
      <c r="C64" s="35"/>
      <c r="D64" s="35"/>
      <c r="E64" s="35"/>
      <c r="F64" s="35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49"/>
      <c r="B65" s="40" t="str">
        <f t="shared" si="0"/>
        <v/>
      </c>
      <c r="C65" s="41"/>
      <c r="D65" s="41"/>
      <c r="E65" s="41"/>
      <c r="F65" s="41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116"/>
      <c r="B66" s="34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116"/>
      <c r="B67" s="40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116"/>
      <c r="B68" s="34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116"/>
      <c r="B69" s="40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38:C69" xr:uid="{296E31D7-6D57-474F-A2F2-2F9F13A54359}">
      <formula1>#REF!</formula1>
    </dataValidation>
  </dataValidations>
  <hyperlinks>
    <hyperlink ref="C2" r:id="rId1" display="https://engarde-service.com/?fbclid=IwAR1q8b20973WNdhLRYbl3vdP-rPK0cilvuHZi37KFNf-Dodoicffb3YOQeM" xr:uid="{68CF359B-6558-4B91-837A-A438CAF1025B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2DDB-5FDE-431A-833B-504728CE9EFD}">
  <sheetPr codeName="Arkusz16"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2.2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ht="14.45" customHeight="1" x14ac:dyDescent="0.25">
      <c r="A2" s="80"/>
      <c r="B2" s="20" t="s">
        <v>29</v>
      </c>
      <c r="C2" s="272" t="s">
        <v>111</v>
      </c>
      <c r="D2" s="272"/>
      <c r="E2" s="21"/>
      <c r="F2" s="21"/>
      <c r="G2" s="21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31</v>
      </c>
      <c r="C3" s="272" t="s">
        <v>112</v>
      </c>
      <c r="D3" s="272"/>
      <c r="E3" s="26"/>
      <c r="F3" s="26"/>
      <c r="G3" s="26"/>
      <c r="H3" s="84"/>
      <c r="I3" s="84"/>
      <c r="J3" s="90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90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3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5">
        <v>1</v>
      </c>
      <c r="I6" s="96" t="str">
        <f t="shared" ref="I6:I69" si="1">IF(H6&lt;$H$2+1,($I$2-($I$2-1)*(LOG(H6)/LOG($H$2))),"")</f>
        <v/>
      </c>
      <c r="J6" s="95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99">
        <v>2</v>
      </c>
      <c r="I7" s="100" t="str">
        <f t="shared" si="1"/>
        <v/>
      </c>
      <c r="J7" s="99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5">
        <v>3</v>
      </c>
      <c r="I8" s="96" t="str">
        <f t="shared" si="1"/>
        <v/>
      </c>
      <c r="J8" s="95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5">
        <v>5</v>
      </c>
      <c r="I10" s="96" t="str">
        <f t="shared" si="1"/>
        <v/>
      </c>
      <c r="J10" s="95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9">
        <v>6</v>
      </c>
      <c r="I11" s="100" t="str">
        <f t="shared" si="1"/>
        <v/>
      </c>
      <c r="J11" s="99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9">
        <v>8</v>
      </c>
      <c r="I13" s="100" t="str">
        <f t="shared" si="1"/>
        <v/>
      </c>
      <c r="J13" s="99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9">
        <v>10</v>
      </c>
      <c r="I15" s="100" t="str">
        <f t="shared" si="1"/>
        <v/>
      </c>
      <c r="J15" s="99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9">
        <v>12</v>
      </c>
      <c r="I17" s="100" t="str">
        <f t="shared" si="1"/>
        <v/>
      </c>
      <c r="J17" s="99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9">
        <v>14</v>
      </c>
      <c r="I19" s="100" t="str">
        <f t="shared" si="1"/>
        <v/>
      </c>
      <c r="J19" s="99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9">
        <v>16</v>
      </c>
      <c r="I21" s="100" t="str">
        <f t="shared" si="1"/>
        <v/>
      </c>
      <c r="J21" s="99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99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99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99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80"/>
      <c r="H29" s="99">
        <v>24</v>
      </c>
      <c r="I29" s="100" t="str">
        <f t="shared" si="1"/>
        <v/>
      </c>
      <c r="J29" s="99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80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80"/>
      <c r="H31" s="99">
        <v>26</v>
      </c>
      <c r="I31" s="100" t="str">
        <f t="shared" si="1"/>
        <v/>
      </c>
      <c r="J31" s="99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80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80"/>
      <c r="H33" s="99">
        <v>28</v>
      </c>
      <c r="I33" s="100" t="str">
        <f t="shared" si="1"/>
        <v/>
      </c>
      <c r="J33" s="99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80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80"/>
      <c r="H35" s="99">
        <v>30</v>
      </c>
      <c r="I35" s="100" t="str">
        <f t="shared" si="1"/>
        <v/>
      </c>
      <c r="J35" s="99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80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80"/>
      <c r="H37" s="99">
        <v>32</v>
      </c>
      <c r="I37" s="100" t="str">
        <f t="shared" si="1"/>
        <v/>
      </c>
      <c r="J37" s="99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4" t="str">
        <f t="shared" si="0"/>
        <v/>
      </c>
      <c r="C38" s="35"/>
      <c r="D38" s="35"/>
      <c r="E38" s="35"/>
      <c r="F38" s="35"/>
      <c r="G38" s="80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0" t="str">
        <f t="shared" si="0"/>
        <v/>
      </c>
      <c r="C39" s="41"/>
      <c r="D39" s="41"/>
      <c r="E39" s="41"/>
      <c r="F39" s="41"/>
      <c r="G39" s="80"/>
      <c r="H39" s="99">
        <v>34</v>
      </c>
      <c r="I39" s="100" t="str">
        <f t="shared" si="1"/>
        <v/>
      </c>
      <c r="J39" s="99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4" t="str">
        <f t="shared" si="0"/>
        <v/>
      </c>
      <c r="C40" s="35"/>
      <c r="D40" s="35"/>
      <c r="E40" s="35"/>
      <c r="F40" s="35"/>
      <c r="G40" s="80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0" t="str">
        <f t="shared" si="0"/>
        <v/>
      </c>
      <c r="C41" s="41"/>
      <c r="D41" s="41"/>
      <c r="E41" s="41"/>
      <c r="F41" s="41"/>
      <c r="G41" s="80"/>
      <c r="H41" s="99">
        <v>36</v>
      </c>
      <c r="I41" s="100" t="str">
        <f t="shared" si="1"/>
        <v/>
      </c>
      <c r="J41" s="99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4" t="str">
        <f t="shared" si="0"/>
        <v/>
      </c>
      <c r="C42" s="35"/>
      <c r="D42" s="35"/>
      <c r="E42" s="35"/>
      <c r="F42" s="35"/>
      <c r="G42" s="80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0" t="str">
        <f t="shared" si="0"/>
        <v/>
      </c>
      <c r="C43" s="41"/>
      <c r="D43" s="41"/>
      <c r="E43" s="41"/>
      <c r="F43" s="41"/>
      <c r="G43" s="80"/>
      <c r="H43" s="99">
        <v>38</v>
      </c>
      <c r="I43" s="100" t="str">
        <f t="shared" si="1"/>
        <v/>
      </c>
      <c r="J43" s="99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4" t="str">
        <f t="shared" si="0"/>
        <v/>
      </c>
      <c r="C44" s="35"/>
      <c r="D44" s="35"/>
      <c r="E44" s="35"/>
      <c r="F44" s="35"/>
      <c r="G44" s="80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0" t="str">
        <f t="shared" si="0"/>
        <v/>
      </c>
      <c r="C45" s="41"/>
      <c r="D45" s="41"/>
      <c r="E45" s="41"/>
      <c r="F45" s="41"/>
      <c r="G45" s="80"/>
      <c r="H45" s="99">
        <v>40</v>
      </c>
      <c r="I45" s="100" t="str">
        <f t="shared" si="1"/>
        <v/>
      </c>
      <c r="J45" s="99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4" t="str">
        <f t="shared" si="0"/>
        <v/>
      </c>
      <c r="C46" s="35"/>
      <c r="D46" s="35"/>
      <c r="E46" s="35"/>
      <c r="F46" s="35"/>
      <c r="G46" s="80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0" t="str">
        <f t="shared" si="0"/>
        <v/>
      </c>
      <c r="C47" s="41"/>
      <c r="D47" s="41"/>
      <c r="E47" s="41"/>
      <c r="F47" s="41"/>
      <c r="G47" s="80"/>
      <c r="H47" s="99">
        <v>42</v>
      </c>
      <c r="I47" s="100" t="str">
        <f t="shared" si="1"/>
        <v/>
      </c>
      <c r="J47" s="99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4" t="str">
        <f t="shared" si="0"/>
        <v/>
      </c>
      <c r="C48" s="35"/>
      <c r="D48" s="35"/>
      <c r="E48" s="35"/>
      <c r="F48" s="35"/>
      <c r="G48" s="80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0" t="str">
        <f t="shared" si="0"/>
        <v/>
      </c>
      <c r="C49" s="41"/>
      <c r="D49" s="41"/>
      <c r="E49" s="41"/>
      <c r="F49" s="41"/>
      <c r="G49" s="80"/>
      <c r="H49" s="99">
        <v>44</v>
      </c>
      <c r="I49" s="100" t="str">
        <f t="shared" si="1"/>
        <v/>
      </c>
      <c r="J49" s="99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4" t="str">
        <f t="shared" si="0"/>
        <v/>
      </c>
      <c r="C50" s="35"/>
      <c r="D50" s="35"/>
      <c r="E50" s="35"/>
      <c r="F50" s="35"/>
      <c r="G50" s="80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0" t="str">
        <f t="shared" si="0"/>
        <v/>
      </c>
      <c r="C51" s="41"/>
      <c r="D51" s="41"/>
      <c r="E51" s="41"/>
      <c r="F51" s="41"/>
      <c r="G51" s="80"/>
      <c r="H51" s="99">
        <v>46</v>
      </c>
      <c r="I51" s="100" t="str">
        <f t="shared" si="1"/>
        <v/>
      </c>
      <c r="J51" s="99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4" t="str">
        <f t="shared" si="0"/>
        <v/>
      </c>
      <c r="C52" s="35"/>
      <c r="D52" s="35"/>
      <c r="E52" s="35"/>
      <c r="F52" s="35"/>
      <c r="G52" s="80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0" t="str">
        <f t="shared" si="0"/>
        <v/>
      </c>
      <c r="C53" s="41"/>
      <c r="D53" s="41"/>
      <c r="E53" s="41"/>
      <c r="F53" s="41"/>
      <c r="G53" s="80"/>
      <c r="H53" s="99">
        <v>48</v>
      </c>
      <c r="I53" s="100" t="str">
        <f t="shared" si="1"/>
        <v/>
      </c>
      <c r="J53" s="99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4" t="str">
        <f t="shared" si="0"/>
        <v/>
      </c>
      <c r="C54" s="35"/>
      <c r="D54" s="35"/>
      <c r="E54" s="35"/>
      <c r="F54" s="35"/>
      <c r="G54" s="80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0" t="str">
        <f t="shared" si="0"/>
        <v/>
      </c>
      <c r="C55" s="41"/>
      <c r="D55" s="41"/>
      <c r="E55" s="41"/>
      <c r="F55" s="41"/>
      <c r="G55" s="80"/>
      <c r="H55" s="99">
        <v>50</v>
      </c>
      <c r="I55" s="100" t="str">
        <f t="shared" si="1"/>
        <v/>
      </c>
      <c r="J55" s="99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4" t="str">
        <f t="shared" si="0"/>
        <v/>
      </c>
      <c r="C56" s="35"/>
      <c r="D56" s="35"/>
      <c r="E56" s="35"/>
      <c r="F56" s="35"/>
      <c r="G56" s="80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0" t="str">
        <f t="shared" si="0"/>
        <v/>
      </c>
      <c r="C57" s="41"/>
      <c r="D57" s="41"/>
      <c r="E57" s="41"/>
      <c r="F57" s="41"/>
      <c r="G57" s="80"/>
      <c r="H57" s="99">
        <v>52</v>
      </c>
      <c r="I57" s="100" t="str">
        <f t="shared" si="1"/>
        <v/>
      </c>
      <c r="J57" s="99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4" t="str">
        <f t="shared" si="0"/>
        <v/>
      </c>
      <c r="C58" s="35"/>
      <c r="D58" s="35"/>
      <c r="E58" s="35"/>
      <c r="F58" s="35"/>
      <c r="G58" s="80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0" t="str">
        <f t="shared" si="0"/>
        <v/>
      </c>
      <c r="C59" s="41"/>
      <c r="D59" s="41"/>
      <c r="E59" s="41"/>
      <c r="F59" s="41"/>
      <c r="G59" s="80"/>
      <c r="H59" s="99">
        <v>54</v>
      </c>
      <c r="I59" s="100" t="str">
        <f t="shared" si="1"/>
        <v/>
      </c>
      <c r="J59" s="99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4" t="str">
        <f t="shared" si="0"/>
        <v/>
      </c>
      <c r="C60" s="35"/>
      <c r="D60" s="35"/>
      <c r="E60" s="35"/>
      <c r="F60" s="35"/>
      <c r="G60" s="80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0" t="str">
        <f t="shared" si="0"/>
        <v/>
      </c>
      <c r="C61" s="41"/>
      <c r="D61" s="41"/>
      <c r="E61" s="41"/>
      <c r="F61" s="41"/>
      <c r="G61" s="80"/>
      <c r="H61" s="99">
        <v>56</v>
      </c>
      <c r="I61" s="100" t="str">
        <f t="shared" si="1"/>
        <v/>
      </c>
      <c r="J61" s="99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4" t="str">
        <f t="shared" si="0"/>
        <v/>
      </c>
      <c r="C62" s="35"/>
      <c r="D62" s="35"/>
      <c r="E62" s="35"/>
      <c r="F62" s="35"/>
      <c r="G62" s="80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0" t="str">
        <f t="shared" si="0"/>
        <v/>
      </c>
      <c r="C63" s="41"/>
      <c r="D63" s="41"/>
      <c r="E63" s="41"/>
      <c r="F63" s="41"/>
      <c r="G63" s="80"/>
      <c r="H63" s="99">
        <v>58</v>
      </c>
      <c r="I63" s="100" t="str">
        <f t="shared" si="1"/>
        <v/>
      </c>
      <c r="J63" s="99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4" t="str">
        <f t="shared" si="0"/>
        <v/>
      </c>
      <c r="C64" s="35"/>
      <c r="D64" s="35"/>
      <c r="E64" s="35"/>
      <c r="F64" s="35"/>
      <c r="G64" s="80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0" t="str">
        <f t="shared" si="0"/>
        <v/>
      </c>
      <c r="C65" s="41"/>
      <c r="D65" s="41"/>
      <c r="E65" s="41"/>
      <c r="F65" s="41"/>
      <c r="G65" s="80"/>
      <c r="H65" s="99">
        <v>60</v>
      </c>
      <c r="I65" s="100" t="str">
        <f t="shared" si="1"/>
        <v/>
      </c>
      <c r="J65" s="99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4"/>
      <c r="B66" s="34"/>
      <c r="G66" s="80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/>
      <c r="B67" s="40"/>
      <c r="G67" s="80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4"/>
      <c r="B68" s="34"/>
      <c r="G68" s="80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/>
      <c r="B69" s="40"/>
      <c r="G69" s="80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5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5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5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5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5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5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5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5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5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5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5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5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5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5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5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5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5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5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5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5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5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5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5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5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5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5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5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5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5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5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5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5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5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5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5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5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5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5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5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5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5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5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5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5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5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5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5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5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5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5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5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5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5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5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5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5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5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5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5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5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5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5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5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5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5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5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5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5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5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5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5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5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5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5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5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5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5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5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5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5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5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5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5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5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5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5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5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5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5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5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5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5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5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5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5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5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5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5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5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5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5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5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5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5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5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5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5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5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5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5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5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5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5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5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5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5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5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5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5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5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5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5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5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5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5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5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5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5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5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5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5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5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5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5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5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5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5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5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5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5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5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5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5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5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5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5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5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5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5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5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5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5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5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5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5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5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5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5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5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5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5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5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5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5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5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5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5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5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5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5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5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5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5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5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5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5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5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5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5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5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5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5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5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5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5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5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5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5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5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5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5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5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5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5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5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5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5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5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5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5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5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5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5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5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5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5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5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5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5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5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5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5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5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5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5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5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5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5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5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5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5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5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5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5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5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5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5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5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5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5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5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5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5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5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5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5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6:K305">
    <cfRule type="cellIs" dxfId="13" priority="1" operator="lessThanOrEqual">
      <formula>0</formula>
    </cfRule>
  </conditionalFormatting>
  <dataValidations count="1">
    <dataValidation type="list" allowBlank="1" showInputMessage="1" showErrorMessage="1" sqref="C38:C69" xr:uid="{A5DA77DE-B639-4864-8928-7FE3BAD9F215}">
      <formula1>#REF!</formula1>
    </dataValidation>
  </dataValidations>
  <hyperlinks>
    <hyperlink ref="C2:D2" r:id="rId1" display="ŚWIDNICA" xr:uid="{0C8554C9-E10C-4F21-BBE0-48C67A47A3FF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383E-E765-4750-AB82-19A0AA8638BB}">
  <sheetPr codeName="Arkusz17">
    <tabColor rgb="FF92D050"/>
  </sheetPr>
  <dimension ref="A1:AL317"/>
  <sheetViews>
    <sheetView workbookViewId="0">
      <selection activeCell="E26" sqref="E26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x14ac:dyDescent="0.25">
      <c r="A2" s="80"/>
      <c r="B2" s="20" t="s">
        <v>29</v>
      </c>
      <c r="C2" s="292" t="s">
        <v>113</v>
      </c>
      <c r="D2" s="292"/>
      <c r="E2" s="21"/>
      <c r="F2" s="21"/>
      <c r="G2" s="21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31</v>
      </c>
      <c r="C3" s="272" t="s">
        <v>114</v>
      </c>
      <c r="D3" s="272"/>
      <c r="E3" s="26"/>
      <c r="F3" s="26"/>
      <c r="G3" s="26"/>
      <c r="H3" s="84"/>
      <c r="I3" s="84"/>
      <c r="J3" s="84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84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2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37" si="4">M7</f>
        <v>0</v>
      </c>
      <c r="B7" s="40" t="str">
        <f t="shared" si="0"/>
        <v/>
      </c>
      <c r="C7" s="41"/>
      <c r="D7" s="41"/>
      <c r="E7" s="41"/>
      <c r="F7" s="41"/>
      <c r="G7" s="28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4"/>
      <c r="B38" s="34" t="str">
        <f t="shared" si="0"/>
        <v/>
      </c>
      <c r="C38" s="35"/>
      <c r="D38" s="35"/>
      <c r="E38" s="35"/>
      <c r="F38" s="35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/>
      <c r="B39" s="40" t="str">
        <f t="shared" si="0"/>
        <v/>
      </c>
      <c r="C39" s="41"/>
      <c r="D39" s="41"/>
      <c r="E39" s="41"/>
      <c r="F39" s="41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4"/>
      <c r="B40" s="34" t="str">
        <f t="shared" si="0"/>
        <v/>
      </c>
      <c r="C40" s="35"/>
      <c r="D40" s="35"/>
      <c r="E40" s="35"/>
      <c r="F40" s="35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/>
      <c r="B41" s="40" t="str">
        <f t="shared" si="0"/>
        <v/>
      </c>
      <c r="C41" s="41"/>
      <c r="D41" s="41"/>
      <c r="E41" s="41"/>
      <c r="F41" s="41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4"/>
      <c r="B42" s="34" t="str">
        <f t="shared" si="0"/>
        <v/>
      </c>
      <c r="C42" s="35"/>
      <c r="D42" s="35"/>
      <c r="E42" s="35"/>
      <c r="F42" s="35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/>
      <c r="B43" s="40" t="str">
        <f t="shared" si="0"/>
        <v/>
      </c>
      <c r="C43" s="41"/>
      <c r="D43" s="41"/>
      <c r="E43" s="41"/>
      <c r="F43" s="41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4"/>
      <c r="B44" s="34" t="str">
        <f t="shared" si="0"/>
        <v/>
      </c>
      <c r="C44" s="35"/>
      <c r="D44" s="35"/>
      <c r="E44" s="35"/>
      <c r="F44" s="35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/>
      <c r="B45" s="40" t="str">
        <f t="shared" si="0"/>
        <v/>
      </c>
      <c r="C45" s="41"/>
      <c r="D45" s="41"/>
      <c r="E45" s="41"/>
      <c r="F45" s="41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4"/>
      <c r="B46" s="34" t="str">
        <f t="shared" si="0"/>
        <v/>
      </c>
      <c r="C46" s="35"/>
      <c r="D46" s="35"/>
      <c r="E46" s="35"/>
      <c r="F46" s="35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/>
      <c r="B47" s="40" t="str">
        <f t="shared" si="0"/>
        <v/>
      </c>
      <c r="C47" s="41"/>
      <c r="D47" s="41"/>
      <c r="E47" s="41"/>
      <c r="F47" s="41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4"/>
      <c r="B48" s="34" t="str">
        <f t="shared" si="0"/>
        <v/>
      </c>
      <c r="C48" s="35"/>
      <c r="D48" s="35"/>
      <c r="E48" s="35"/>
      <c r="F48" s="35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/>
      <c r="B49" s="40" t="str">
        <f t="shared" si="0"/>
        <v/>
      </c>
      <c r="C49" s="41"/>
      <c r="D49" s="41"/>
      <c r="E49" s="41"/>
      <c r="F49" s="41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4"/>
      <c r="B50" s="34" t="str">
        <f t="shared" si="0"/>
        <v/>
      </c>
      <c r="C50" s="35"/>
      <c r="D50" s="35"/>
      <c r="E50" s="35"/>
      <c r="F50" s="35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/>
      <c r="B51" s="40" t="str">
        <f t="shared" si="0"/>
        <v/>
      </c>
      <c r="C51" s="41"/>
      <c r="D51" s="41"/>
      <c r="E51" s="41"/>
      <c r="F51" s="41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4"/>
      <c r="B52" s="34" t="str">
        <f t="shared" si="0"/>
        <v/>
      </c>
      <c r="C52" s="35"/>
      <c r="D52" s="35"/>
      <c r="E52" s="35"/>
      <c r="F52" s="35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/>
      <c r="B53" s="40" t="str">
        <f t="shared" si="0"/>
        <v/>
      </c>
      <c r="C53" s="41"/>
      <c r="D53" s="41"/>
      <c r="E53" s="41"/>
      <c r="F53" s="41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4"/>
      <c r="B54" s="34" t="str">
        <f t="shared" si="0"/>
        <v/>
      </c>
      <c r="C54" s="35"/>
      <c r="D54" s="35"/>
      <c r="E54" s="35"/>
      <c r="F54" s="35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/>
      <c r="B55" s="40" t="str">
        <f t="shared" si="0"/>
        <v/>
      </c>
      <c r="C55" s="41"/>
      <c r="D55" s="41"/>
      <c r="E55" s="41"/>
      <c r="F55" s="41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4"/>
      <c r="B56" s="34" t="str">
        <f t="shared" si="0"/>
        <v/>
      </c>
      <c r="C56" s="35"/>
      <c r="D56" s="35"/>
      <c r="E56" s="35"/>
      <c r="F56" s="35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/>
      <c r="B57" s="40" t="str">
        <f t="shared" si="0"/>
        <v/>
      </c>
      <c r="C57" s="41"/>
      <c r="D57" s="41"/>
      <c r="E57" s="41"/>
      <c r="F57" s="41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4"/>
      <c r="B58" s="34" t="str">
        <f t="shared" si="0"/>
        <v/>
      </c>
      <c r="C58" s="35"/>
      <c r="D58" s="35"/>
      <c r="E58" s="35"/>
      <c r="F58" s="35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/>
      <c r="B59" s="40" t="str">
        <f t="shared" si="0"/>
        <v/>
      </c>
      <c r="C59" s="41"/>
      <c r="D59" s="41"/>
      <c r="E59" s="41"/>
      <c r="F59" s="41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4"/>
      <c r="B60" s="34" t="str">
        <f t="shared" si="0"/>
        <v/>
      </c>
      <c r="C60" s="35"/>
      <c r="D60" s="35"/>
      <c r="E60" s="35"/>
      <c r="F60" s="35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/>
      <c r="B61" s="40" t="str">
        <f t="shared" si="0"/>
        <v/>
      </c>
      <c r="C61" s="41"/>
      <c r="D61" s="41"/>
      <c r="E61" s="41"/>
      <c r="F61" s="41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4"/>
      <c r="B62" s="34" t="str">
        <f t="shared" si="0"/>
        <v/>
      </c>
      <c r="C62" s="35"/>
      <c r="D62" s="35"/>
      <c r="E62" s="35"/>
      <c r="F62" s="35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/>
      <c r="B63" s="40" t="str">
        <f t="shared" si="0"/>
        <v/>
      </c>
      <c r="C63" s="41"/>
      <c r="D63" s="41"/>
      <c r="E63" s="41"/>
      <c r="F63" s="41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4"/>
      <c r="B64" s="34" t="str">
        <f t="shared" si="0"/>
        <v/>
      </c>
      <c r="C64" s="35"/>
      <c r="D64" s="35"/>
      <c r="E64" s="35"/>
      <c r="F64" s="35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/>
      <c r="B65" s="40" t="str">
        <f t="shared" si="0"/>
        <v/>
      </c>
      <c r="C65" s="41"/>
      <c r="D65" s="41"/>
      <c r="E65" s="41"/>
      <c r="F65" s="41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116"/>
      <c r="B66" s="34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116"/>
      <c r="B67" s="40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116"/>
      <c r="B68" s="34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116"/>
      <c r="B69" s="40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116"/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116"/>
      <c r="G71" s="80"/>
      <c r="H71" s="95">
        <v>66</v>
      </c>
      <c r="I71" s="96" t="str">
        <f t="shared" si="6"/>
        <v/>
      </c>
      <c r="J71" s="96" t="e">
        <f t="shared" ref="J71:J134" si="9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116"/>
      <c r="G72" s="80"/>
      <c r="H72" s="95">
        <v>67</v>
      </c>
      <c r="I72" s="96" t="str">
        <f t="shared" si="6"/>
        <v/>
      </c>
      <c r="J72" s="96" t="e">
        <f t="shared" si="9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116"/>
      <c r="G73" s="80"/>
      <c r="H73" s="95">
        <v>68</v>
      </c>
      <c r="I73" s="96" t="str">
        <f t="shared" si="6"/>
        <v/>
      </c>
      <c r="J73" s="96" t="e">
        <f t="shared" si="9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116"/>
      <c r="G74" s="80"/>
      <c r="H74" s="95">
        <v>69</v>
      </c>
      <c r="I74" s="96" t="str">
        <f t="shared" si="6"/>
        <v/>
      </c>
      <c r="J74" s="96" t="e">
        <f t="shared" si="9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116"/>
      <c r="G75" s="80"/>
      <c r="H75" s="95">
        <v>70</v>
      </c>
      <c r="I75" s="96" t="str">
        <f t="shared" si="6"/>
        <v/>
      </c>
      <c r="J75" s="96" t="e">
        <f t="shared" si="9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116"/>
      <c r="G76" s="80"/>
      <c r="H76" s="95">
        <v>71</v>
      </c>
      <c r="I76" s="96" t="str">
        <f t="shared" si="6"/>
        <v/>
      </c>
      <c r="J76" s="96" t="e">
        <f t="shared" si="9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116"/>
      <c r="G77" s="80"/>
      <c r="H77" s="95">
        <v>72</v>
      </c>
      <c r="I77" s="96" t="str">
        <f t="shared" si="6"/>
        <v/>
      </c>
      <c r="J77" s="96" t="e">
        <f t="shared" si="9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116"/>
      <c r="G78" s="80"/>
      <c r="H78" s="95">
        <v>73</v>
      </c>
      <c r="I78" s="96" t="str">
        <f t="shared" si="6"/>
        <v/>
      </c>
      <c r="J78" s="96" t="e">
        <f t="shared" si="9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116"/>
      <c r="G79" s="80"/>
      <c r="H79" s="95">
        <v>74</v>
      </c>
      <c r="I79" s="96" t="str">
        <f t="shared" si="6"/>
        <v/>
      </c>
      <c r="J79" s="96" t="e">
        <f t="shared" si="9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116"/>
      <c r="G80" s="80"/>
      <c r="H80" s="95">
        <v>75</v>
      </c>
      <c r="I80" s="96" t="str">
        <f t="shared" si="6"/>
        <v/>
      </c>
      <c r="J80" s="96" t="e">
        <f t="shared" si="9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 t="e">
        <f t="shared" si="9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 t="e">
        <f t="shared" si="9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 t="e">
        <f t="shared" si="9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 t="e">
        <f t="shared" si="9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 t="e">
        <f t="shared" si="9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 t="e">
        <f t="shared" si="9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 t="e">
        <f t="shared" si="9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 t="e">
        <f t="shared" si="9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 t="e">
        <f t="shared" si="9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 t="e">
        <f t="shared" si="9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 t="e">
        <f t="shared" si="9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 t="e">
        <f t="shared" si="9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 t="e">
        <f t="shared" si="9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 t="e">
        <f t="shared" si="9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 t="e">
        <f t="shared" si="9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 t="e">
        <f t="shared" si="9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 t="e">
        <f t="shared" si="9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 t="e">
        <f t="shared" si="9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 t="e">
        <f t="shared" si="9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 t="e">
        <f t="shared" si="9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 t="e">
        <f t="shared" si="9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 t="e">
        <f t="shared" si="9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 t="e">
        <f t="shared" si="9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 t="e">
        <f t="shared" si="9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 t="e">
        <f t="shared" si="9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 t="e">
        <f t="shared" si="9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 t="e">
        <f t="shared" si="9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 t="e">
        <f t="shared" si="9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 t="e">
        <f t="shared" si="9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 t="e">
        <f t="shared" si="9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 t="e">
        <f t="shared" si="9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 t="e">
        <f t="shared" si="9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 t="e">
        <f t="shared" si="9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 t="e">
        <f t="shared" si="9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 t="e">
        <f t="shared" si="9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 t="e">
        <f t="shared" si="9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 t="e">
        <f t="shared" si="9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 t="e">
        <f t="shared" si="9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 t="e">
        <f t="shared" si="9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 t="e">
        <f t="shared" si="9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 t="e">
        <f t="shared" si="9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 t="e">
        <f t="shared" si="9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 t="e">
        <f t="shared" si="9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 t="e">
        <f t="shared" si="9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 t="e">
        <f t="shared" si="9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 t="e">
        <f t="shared" si="9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 t="e">
        <f t="shared" si="9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 t="e">
        <f t="shared" si="9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 t="e">
        <f t="shared" si="9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 t="e">
        <f t="shared" si="9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 t="e">
        <f t="shared" si="9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 t="e">
        <f t="shared" si="9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 t="e">
        <f t="shared" si="9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0">IF(H134&lt;$H$2+1,($I$2-($I$2-1)*(LOG(H134)/LOG($H$2))),"")</f>
        <v/>
      </c>
      <c r="J134" s="96" t="e">
        <f t="shared" si="9"/>
        <v>#NUM!</v>
      </c>
      <c r="K134" s="95" t="e">
        <f t="shared" ref="K134:K197" si="11">J134*$J$2</f>
        <v>#NUM!</v>
      </c>
      <c r="L134" s="95"/>
      <c r="M134" s="97">
        <f t="shared" ref="M134:M197" si="12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0"/>
        <v/>
      </c>
      <c r="J135" s="96" t="e">
        <f t="shared" ref="J135:J198" si="13">INT(LOG($H$2,2))-ROUNDUP(LOG(H135,2),0)+IF(OR($H$2=1,$H$2=2,$H$2=4,$H$2=8,$H$2=16,$H$2=32,$H$2=64,$H$2=128,$H$2=256),0,1)</f>
        <v>#NUM!</v>
      </c>
      <c r="K135" s="95" t="e">
        <f t="shared" si="11"/>
        <v>#NUM!</v>
      </c>
      <c r="L135" s="95"/>
      <c r="M135" s="97">
        <f t="shared" si="12"/>
        <v>0</v>
      </c>
    </row>
    <row r="136" spans="1:13" x14ac:dyDescent="0.25">
      <c r="A136" s="116"/>
      <c r="G136" s="80"/>
      <c r="H136" s="95">
        <v>131</v>
      </c>
      <c r="I136" s="96" t="str">
        <f t="shared" si="10"/>
        <v/>
      </c>
      <c r="J136" s="96" t="e">
        <f t="shared" si="13"/>
        <v>#NUM!</v>
      </c>
      <c r="K136" s="95" t="e">
        <f t="shared" si="11"/>
        <v>#NUM!</v>
      </c>
      <c r="L136" s="95"/>
      <c r="M136" s="97">
        <f t="shared" si="12"/>
        <v>0</v>
      </c>
    </row>
    <row r="137" spans="1:13" x14ac:dyDescent="0.25">
      <c r="A137" s="116"/>
      <c r="G137" s="80"/>
      <c r="H137" s="95">
        <v>132</v>
      </c>
      <c r="I137" s="96" t="str">
        <f t="shared" si="10"/>
        <v/>
      </c>
      <c r="J137" s="96" t="e">
        <f t="shared" si="13"/>
        <v>#NUM!</v>
      </c>
      <c r="K137" s="95" t="e">
        <f t="shared" si="11"/>
        <v>#NUM!</v>
      </c>
      <c r="L137" s="95"/>
      <c r="M137" s="97">
        <f t="shared" si="12"/>
        <v>0</v>
      </c>
    </row>
    <row r="138" spans="1:13" x14ac:dyDescent="0.25">
      <c r="A138" s="116"/>
      <c r="G138" s="80"/>
      <c r="H138" s="95">
        <v>133</v>
      </c>
      <c r="I138" s="96" t="str">
        <f t="shared" si="10"/>
        <v/>
      </c>
      <c r="J138" s="96" t="e">
        <f t="shared" si="13"/>
        <v>#NUM!</v>
      </c>
      <c r="K138" s="95" t="e">
        <f t="shared" si="11"/>
        <v>#NUM!</v>
      </c>
      <c r="L138" s="95"/>
      <c r="M138" s="97">
        <f t="shared" si="12"/>
        <v>0</v>
      </c>
    </row>
    <row r="139" spans="1:13" x14ac:dyDescent="0.25">
      <c r="A139" s="116"/>
      <c r="G139" s="80"/>
      <c r="H139" s="95">
        <v>134</v>
      </c>
      <c r="I139" s="96" t="str">
        <f t="shared" si="10"/>
        <v/>
      </c>
      <c r="J139" s="96" t="e">
        <f t="shared" si="13"/>
        <v>#NUM!</v>
      </c>
      <c r="K139" s="95" t="e">
        <f t="shared" si="11"/>
        <v>#NUM!</v>
      </c>
      <c r="L139" s="95"/>
      <c r="M139" s="97">
        <f t="shared" si="12"/>
        <v>0</v>
      </c>
    </row>
    <row r="140" spans="1:13" x14ac:dyDescent="0.25">
      <c r="A140" s="116"/>
      <c r="G140" s="80"/>
      <c r="H140" s="95">
        <v>135</v>
      </c>
      <c r="I140" s="96" t="str">
        <f t="shared" si="10"/>
        <v/>
      </c>
      <c r="J140" s="96" t="e">
        <f t="shared" si="13"/>
        <v>#NUM!</v>
      </c>
      <c r="K140" s="95" t="e">
        <f t="shared" si="11"/>
        <v>#NUM!</v>
      </c>
      <c r="L140" s="95"/>
      <c r="M140" s="97">
        <f t="shared" si="12"/>
        <v>0</v>
      </c>
    </row>
    <row r="141" spans="1:13" x14ac:dyDescent="0.25">
      <c r="A141" s="116"/>
      <c r="G141" s="80"/>
      <c r="H141" s="95">
        <v>136</v>
      </c>
      <c r="I141" s="96" t="str">
        <f t="shared" si="10"/>
        <v/>
      </c>
      <c r="J141" s="96" t="e">
        <f t="shared" si="13"/>
        <v>#NUM!</v>
      </c>
      <c r="K141" s="95" t="e">
        <f t="shared" si="11"/>
        <v>#NUM!</v>
      </c>
      <c r="L141" s="95"/>
      <c r="M141" s="97">
        <f t="shared" si="12"/>
        <v>0</v>
      </c>
    </row>
    <row r="142" spans="1:13" x14ac:dyDescent="0.25">
      <c r="A142" s="116"/>
      <c r="G142" s="80"/>
      <c r="H142" s="95">
        <v>137</v>
      </c>
      <c r="I142" s="96" t="str">
        <f t="shared" si="10"/>
        <v/>
      </c>
      <c r="J142" s="96" t="e">
        <f t="shared" si="13"/>
        <v>#NUM!</v>
      </c>
      <c r="K142" s="95" t="e">
        <f t="shared" si="11"/>
        <v>#NUM!</v>
      </c>
      <c r="L142" s="95"/>
      <c r="M142" s="97">
        <f t="shared" si="12"/>
        <v>0</v>
      </c>
    </row>
    <row r="143" spans="1:13" x14ac:dyDescent="0.25">
      <c r="A143" s="116"/>
      <c r="G143" s="80"/>
      <c r="H143" s="95">
        <v>138</v>
      </c>
      <c r="I143" s="96" t="str">
        <f t="shared" si="10"/>
        <v/>
      </c>
      <c r="J143" s="96" t="e">
        <f t="shared" si="13"/>
        <v>#NUM!</v>
      </c>
      <c r="K143" s="95" t="e">
        <f t="shared" si="11"/>
        <v>#NUM!</v>
      </c>
      <c r="L143" s="95"/>
      <c r="M143" s="97">
        <f t="shared" si="12"/>
        <v>0</v>
      </c>
    </row>
    <row r="144" spans="1:13" x14ac:dyDescent="0.25">
      <c r="A144" s="116"/>
      <c r="G144" s="80"/>
      <c r="H144" s="95">
        <v>139</v>
      </c>
      <c r="I144" s="96" t="str">
        <f t="shared" si="10"/>
        <v/>
      </c>
      <c r="J144" s="96" t="e">
        <f t="shared" si="13"/>
        <v>#NUM!</v>
      </c>
      <c r="K144" s="95" t="e">
        <f t="shared" si="11"/>
        <v>#NUM!</v>
      </c>
      <c r="L144" s="95"/>
      <c r="M144" s="97">
        <f t="shared" si="12"/>
        <v>0</v>
      </c>
    </row>
    <row r="145" spans="1:13" x14ac:dyDescent="0.25">
      <c r="A145" s="116"/>
      <c r="G145" s="80"/>
      <c r="H145" s="95">
        <v>140</v>
      </c>
      <c r="I145" s="96" t="str">
        <f t="shared" si="10"/>
        <v/>
      </c>
      <c r="J145" s="96" t="e">
        <f t="shared" si="13"/>
        <v>#NUM!</v>
      </c>
      <c r="K145" s="95" t="e">
        <f t="shared" si="11"/>
        <v>#NUM!</v>
      </c>
      <c r="L145" s="95"/>
      <c r="M145" s="97">
        <f t="shared" si="12"/>
        <v>0</v>
      </c>
    </row>
    <row r="146" spans="1:13" x14ac:dyDescent="0.25">
      <c r="A146" s="116"/>
      <c r="G146" s="80"/>
      <c r="H146" s="95">
        <v>141</v>
      </c>
      <c r="I146" s="96" t="str">
        <f t="shared" si="10"/>
        <v/>
      </c>
      <c r="J146" s="96" t="e">
        <f t="shared" si="13"/>
        <v>#NUM!</v>
      </c>
      <c r="K146" s="95" t="e">
        <f t="shared" si="11"/>
        <v>#NUM!</v>
      </c>
      <c r="L146" s="95"/>
      <c r="M146" s="97">
        <f t="shared" si="12"/>
        <v>0</v>
      </c>
    </row>
    <row r="147" spans="1:13" x14ac:dyDescent="0.25">
      <c r="A147" s="116"/>
      <c r="G147" s="80"/>
      <c r="H147" s="95">
        <v>142</v>
      </c>
      <c r="I147" s="96" t="str">
        <f t="shared" si="10"/>
        <v/>
      </c>
      <c r="J147" s="96" t="e">
        <f t="shared" si="13"/>
        <v>#NUM!</v>
      </c>
      <c r="K147" s="95" t="e">
        <f t="shared" si="11"/>
        <v>#NUM!</v>
      </c>
      <c r="L147" s="95"/>
      <c r="M147" s="97">
        <f t="shared" si="12"/>
        <v>0</v>
      </c>
    </row>
    <row r="148" spans="1:13" x14ac:dyDescent="0.25">
      <c r="A148" s="116"/>
      <c r="G148" s="80"/>
      <c r="H148" s="95">
        <v>143</v>
      </c>
      <c r="I148" s="96" t="str">
        <f t="shared" si="10"/>
        <v/>
      </c>
      <c r="J148" s="96" t="e">
        <f t="shared" si="13"/>
        <v>#NUM!</v>
      </c>
      <c r="K148" s="95" t="e">
        <f t="shared" si="11"/>
        <v>#NUM!</v>
      </c>
      <c r="L148" s="95"/>
      <c r="M148" s="97">
        <f t="shared" si="12"/>
        <v>0</v>
      </c>
    </row>
    <row r="149" spans="1:13" x14ac:dyDescent="0.25">
      <c r="A149" s="116"/>
      <c r="G149" s="80"/>
      <c r="H149" s="95">
        <v>144</v>
      </c>
      <c r="I149" s="96" t="str">
        <f t="shared" si="10"/>
        <v/>
      </c>
      <c r="J149" s="96" t="e">
        <f t="shared" si="13"/>
        <v>#NUM!</v>
      </c>
      <c r="K149" s="95" t="e">
        <f t="shared" si="11"/>
        <v>#NUM!</v>
      </c>
      <c r="L149" s="95"/>
      <c r="M149" s="97">
        <f t="shared" si="12"/>
        <v>0</v>
      </c>
    </row>
    <row r="150" spans="1:13" x14ac:dyDescent="0.25">
      <c r="A150" s="116"/>
      <c r="G150" s="80"/>
      <c r="H150" s="95">
        <v>145</v>
      </c>
      <c r="I150" s="96" t="str">
        <f t="shared" si="10"/>
        <v/>
      </c>
      <c r="J150" s="96" t="e">
        <f t="shared" si="13"/>
        <v>#NUM!</v>
      </c>
      <c r="K150" s="95" t="e">
        <f t="shared" si="11"/>
        <v>#NUM!</v>
      </c>
      <c r="L150" s="95"/>
      <c r="M150" s="97">
        <f t="shared" si="12"/>
        <v>0</v>
      </c>
    </row>
    <row r="151" spans="1:13" x14ac:dyDescent="0.25">
      <c r="A151" s="116"/>
      <c r="G151" s="80"/>
      <c r="H151" s="95">
        <v>146</v>
      </c>
      <c r="I151" s="96" t="str">
        <f t="shared" si="10"/>
        <v/>
      </c>
      <c r="J151" s="96" t="e">
        <f t="shared" si="13"/>
        <v>#NUM!</v>
      </c>
      <c r="K151" s="95" t="e">
        <f t="shared" si="11"/>
        <v>#NUM!</v>
      </c>
      <c r="L151" s="95"/>
      <c r="M151" s="97">
        <f t="shared" si="12"/>
        <v>0</v>
      </c>
    </row>
    <row r="152" spans="1:13" x14ac:dyDescent="0.25">
      <c r="A152" s="116"/>
      <c r="G152" s="80"/>
      <c r="H152" s="95">
        <v>147</v>
      </c>
      <c r="I152" s="96" t="str">
        <f t="shared" si="10"/>
        <v/>
      </c>
      <c r="J152" s="96" t="e">
        <f t="shared" si="13"/>
        <v>#NUM!</v>
      </c>
      <c r="K152" s="95" t="e">
        <f t="shared" si="11"/>
        <v>#NUM!</v>
      </c>
      <c r="L152" s="95"/>
      <c r="M152" s="97">
        <f t="shared" si="12"/>
        <v>0</v>
      </c>
    </row>
    <row r="153" spans="1:13" x14ac:dyDescent="0.25">
      <c r="A153" s="116"/>
      <c r="G153" s="80"/>
      <c r="H153" s="95">
        <v>148</v>
      </c>
      <c r="I153" s="96" t="str">
        <f t="shared" si="10"/>
        <v/>
      </c>
      <c r="J153" s="96" t="e">
        <f t="shared" si="13"/>
        <v>#NUM!</v>
      </c>
      <c r="K153" s="95" t="e">
        <f t="shared" si="11"/>
        <v>#NUM!</v>
      </c>
      <c r="L153" s="95"/>
      <c r="M153" s="97">
        <f t="shared" si="12"/>
        <v>0</v>
      </c>
    </row>
    <row r="154" spans="1:13" x14ac:dyDescent="0.25">
      <c r="A154" s="116"/>
      <c r="G154" s="80"/>
      <c r="H154" s="95">
        <v>149</v>
      </c>
      <c r="I154" s="96" t="str">
        <f t="shared" si="10"/>
        <v/>
      </c>
      <c r="J154" s="96" t="e">
        <f t="shared" si="13"/>
        <v>#NUM!</v>
      </c>
      <c r="K154" s="95" t="e">
        <f t="shared" si="11"/>
        <v>#NUM!</v>
      </c>
      <c r="L154" s="95"/>
      <c r="M154" s="97">
        <f t="shared" si="12"/>
        <v>0</v>
      </c>
    </row>
    <row r="155" spans="1:13" x14ac:dyDescent="0.25">
      <c r="A155" s="116"/>
      <c r="G155" s="80"/>
      <c r="H155" s="95">
        <v>150</v>
      </c>
      <c r="I155" s="96" t="str">
        <f t="shared" si="10"/>
        <v/>
      </c>
      <c r="J155" s="96" t="e">
        <f t="shared" si="13"/>
        <v>#NUM!</v>
      </c>
      <c r="K155" s="95" t="e">
        <f t="shared" si="11"/>
        <v>#NUM!</v>
      </c>
      <c r="L155" s="95"/>
      <c r="M155" s="97">
        <f t="shared" si="12"/>
        <v>0</v>
      </c>
    </row>
    <row r="156" spans="1:13" x14ac:dyDescent="0.25">
      <c r="A156" s="116"/>
      <c r="G156" s="80"/>
      <c r="H156" s="95">
        <v>151</v>
      </c>
      <c r="I156" s="96" t="str">
        <f t="shared" si="10"/>
        <v/>
      </c>
      <c r="J156" s="96" t="e">
        <f t="shared" si="13"/>
        <v>#NUM!</v>
      </c>
      <c r="K156" s="95" t="e">
        <f t="shared" si="11"/>
        <v>#NUM!</v>
      </c>
      <c r="L156" s="95"/>
      <c r="M156" s="97">
        <f t="shared" si="12"/>
        <v>0</v>
      </c>
    </row>
    <row r="157" spans="1:13" x14ac:dyDescent="0.25">
      <c r="A157" s="116"/>
      <c r="G157" s="80"/>
      <c r="H157" s="95">
        <v>152</v>
      </c>
      <c r="I157" s="96" t="str">
        <f t="shared" si="10"/>
        <v/>
      </c>
      <c r="J157" s="96" t="e">
        <f t="shared" si="13"/>
        <v>#NUM!</v>
      </c>
      <c r="K157" s="95" t="e">
        <f t="shared" si="11"/>
        <v>#NUM!</v>
      </c>
      <c r="L157" s="95"/>
      <c r="M157" s="97">
        <f t="shared" si="12"/>
        <v>0</v>
      </c>
    </row>
    <row r="158" spans="1:13" x14ac:dyDescent="0.25">
      <c r="A158" s="116"/>
      <c r="G158" s="80"/>
      <c r="H158" s="95">
        <v>153</v>
      </c>
      <c r="I158" s="96" t="str">
        <f t="shared" si="10"/>
        <v/>
      </c>
      <c r="J158" s="96" t="e">
        <f t="shared" si="13"/>
        <v>#NUM!</v>
      </c>
      <c r="K158" s="95" t="e">
        <f t="shared" si="11"/>
        <v>#NUM!</v>
      </c>
      <c r="L158" s="95"/>
      <c r="M158" s="97">
        <f t="shared" si="12"/>
        <v>0</v>
      </c>
    </row>
    <row r="159" spans="1:13" x14ac:dyDescent="0.25">
      <c r="A159" s="116"/>
      <c r="G159" s="80"/>
      <c r="H159" s="95">
        <v>154</v>
      </c>
      <c r="I159" s="96" t="str">
        <f t="shared" si="10"/>
        <v/>
      </c>
      <c r="J159" s="96" t="e">
        <f t="shared" si="13"/>
        <v>#NUM!</v>
      </c>
      <c r="K159" s="95" t="e">
        <f t="shared" si="11"/>
        <v>#NUM!</v>
      </c>
      <c r="L159" s="95"/>
      <c r="M159" s="97">
        <f t="shared" si="12"/>
        <v>0</v>
      </c>
    </row>
    <row r="160" spans="1:13" x14ac:dyDescent="0.25">
      <c r="A160" s="116"/>
      <c r="G160" s="80"/>
      <c r="H160" s="95">
        <v>155</v>
      </c>
      <c r="I160" s="96" t="str">
        <f t="shared" si="10"/>
        <v/>
      </c>
      <c r="J160" s="96" t="e">
        <f t="shared" si="13"/>
        <v>#NUM!</v>
      </c>
      <c r="K160" s="95" t="e">
        <f t="shared" si="11"/>
        <v>#NUM!</v>
      </c>
      <c r="L160" s="95"/>
      <c r="M160" s="97">
        <f t="shared" si="12"/>
        <v>0</v>
      </c>
    </row>
    <row r="161" spans="1:13" x14ac:dyDescent="0.25">
      <c r="A161" s="116"/>
      <c r="G161" s="80"/>
      <c r="H161" s="95">
        <v>156</v>
      </c>
      <c r="I161" s="96" t="str">
        <f t="shared" si="10"/>
        <v/>
      </c>
      <c r="J161" s="96" t="e">
        <f t="shared" si="13"/>
        <v>#NUM!</v>
      </c>
      <c r="K161" s="95" t="e">
        <f t="shared" si="11"/>
        <v>#NUM!</v>
      </c>
      <c r="L161" s="95"/>
      <c r="M161" s="97">
        <f t="shared" si="12"/>
        <v>0</v>
      </c>
    </row>
    <row r="162" spans="1:13" x14ac:dyDescent="0.25">
      <c r="A162" s="116"/>
      <c r="G162" s="80"/>
      <c r="H162" s="95">
        <v>157</v>
      </c>
      <c r="I162" s="96" t="str">
        <f t="shared" si="10"/>
        <v/>
      </c>
      <c r="J162" s="96" t="e">
        <f t="shared" si="13"/>
        <v>#NUM!</v>
      </c>
      <c r="K162" s="95" t="e">
        <f t="shared" si="11"/>
        <v>#NUM!</v>
      </c>
      <c r="L162" s="95"/>
      <c r="M162" s="97">
        <f t="shared" si="12"/>
        <v>0</v>
      </c>
    </row>
    <row r="163" spans="1:13" x14ac:dyDescent="0.25">
      <c r="A163" s="116"/>
      <c r="G163" s="80"/>
      <c r="H163" s="95">
        <v>158</v>
      </c>
      <c r="I163" s="96" t="str">
        <f t="shared" si="10"/>
        <v/>
      </c>
      <c r="J163" s="96" t="e">
        <f t="shared" si="13"/>
        <v>#NUM!</v>
      </c>
      <c r="K163" s="95" t="e">
        <f t="shared" si="11"/>
        <v>#NUM!</v>
      </c>
      <c r="L163" s="95"/>
      <c r="M163" s="97">
        <f t="shared" si="12"/>
        <v>0</v>
      </c>
    </row>
    <row r="164" spans="1:13" x14ac:dyDescent="0.25">
      <c r="A164" s="116"/>
      <c r="G164" s="80"/>
      <c r="H164" s="95">
        <v>159</v>
      </c>
      <c r="I164" s="96" t="str">
        <f t="shared" si="10"/>
        <v/>
      </c>
      <c r="J164" s="96" t="e">
        <f t="shared" si="13"/>
        <v>#NUM!</v>
      </c>
      <c r="K164" s="95" t="e">
        <f t="shared" si="11"/>
        <v>#NUM!</v>
      </c>
      <c r="L164" s="95"/>
      <c r="M164" s="97">
        <f t="shared" si="12"/>
        <v>0</v>
      </c>
    </row>
    <row r="165" spans="1:13" x14ac:dyDescent="0.25">
      <c r="A165" s="116"/>
      <c r="G165" s="80"/>
      <c r="H165" s="95">
        <v>160</v>
      </c>
      <c r="I165" s="96" t="str">
        <f t="shared" si="10"/>
        <v/>
      </c>
      <c r="J165" s="96" t="e">
        <f t="shared" si="13"/>
        <v>#NUM!</v>
      </c>
      <c r="K165" s="95" t="e">
        <f t="shared" si="11"/>
        <v>#NUM!</v>
      </c>
      <c r="L165" s="95"/>
      <c r="M165" s="97">
        <f t="shared" si="12"/>
        <v>0</v>
      </c>
    </row>
    <row r="166" spans="1:13" x14ac:dyDescent="0.25">
      <c r="A166" s="116"/>
      <c r="G166" s="80"/>
      <c r="H166" s="95">
        <v>161</v>
      </c>
      <c r="I166" s="96" t="str">
        <f t="shared" si="10"/>
        <v/>
      </c>
      <c r="J166" s="96" t="e">
        <f t="shared" si="13"/>
        <v>#NUM!</v>
      </c>
      <c r="K166" s="95" t="e">
        <f t="shared" si="11"/>
        <v>#NUM!</v>
      </c>
      <c r="L166" s="95"/>
      <c r="M166" s="97">
        <f t="shared" si="12"/>
        <v>0</v>
      </c>
    </row>
    <row r="167" spans="1:13" x14ac:dyDescent="0.25">
      <c r="A167" s="116"/>
      <c r="G167" s="80"/>
      <c r="H167" s="95">
        <v>162</v>
      </c>
      <c r="I167" s="96" t="str">
        <f t="shared" si="10"/>
        <v/>
      </c>
      <c r="J167" s="96" t="e">
        <f t="shared" si="13"/>
        <v>#NUM!</v>
      </c>
      <c r="K167" s="95" t="e">
        <f t="shared" si="11"/>
        <v>#NUM!</v>
      </c>
      <c r="L167" s="95"/>
      <c r="M167" s="97">
        <f t="shared" si="12"/>
        <v>0</v>
      </c>
    </row>
    <row r="168" spans="1:13" x14ac:dyDescent="0.25">
      <c r="A168" s="116"/>
      <c r="G168" s="80"/>
      <c r="H168" s="95">
        <v>163</v>
      </c>
      <c r="I168" s="96" t="str">
        <f t="shared" si="10"/>
        <v/>
      </c>
      <c r="J168" s="96" t="e">
        <f t="shared" si="13"/>
        <v>#NUM!</v>
      </c>
      <c r="K168" s="95" t="e">
        <f t="shared" si="11"/>
        <v>#NUM!</v>
      </c>
      <c r="L168" s="95"/>
      <c r="M168" s="97">
        <f t="shared" si="12"/>
        <v>0</v>
      </c>
    </row>
    <row r="169" spans="1:13" x14ac:dyDescent="0.25">
      <c r="A169" s="116"/>
      <c r="G169" s="80"/>
      <c r="H169" s="95">
        <v>164</v>
      </c>
      <c r="I169" s="96" t="str">
        <f t="shared" si="10"/>
        <v/>
      </c>
      <c r="J169" s="96" t="e">
        <f t="shared" si="13"/>
        <v>#NUM!</v>
      </c>
      <c r="K169" s="95" t="e">
        <f t="shared" si="11"/>
        <v>#NUM!</v>
      </c>
      <c r="L169" s="95"/>
      <c r="M169" s="97">
        <f t="shared" si="12"/>
        <v>0</v>
      </c>
    </row>
    <row r="170" spans="1:13" x14ac:dyDescent="0.25">
      <c r="A170" s="116"/>
      <c r="G170" s="80"/>
      <c r="H170" s="95">
        <v>165</v>
      </c>
      <c r="I170" s="96" t="str">
        <f t="shared" si="10"/>
        <v/>
      </c>
      <c r="J170" s="96" t="e">
        <f t="shared" si="13"/>
        <v>#NUM!</v>
      </c>
      <c r="K170" s="95" t="e">
        <f t="shared" si="11"/>
        <v>#NUM!</v>
      </c>
      <c r="L170" s="95"/>
      <c r="M170" s="97">
        <f t="shared" si="12"/>
        <v>0</v>
      </c>
    </row>
    <row r="171" spans="1:13" x14ac:dyDescent="0.25">
      <c r="A171" s="116"/>
      <c r="G171" s="80"/>
      <c r="H171" s="95">
        <v>166</v>
      </c>
      <c r="I171" s="96" t="str">
        <f t="shared" si="10"/>
        <v/>
      </c>
      <c r="J171" s="96" t="e">
        <f t="shared" si="13"/>
        <v>#NUM!</v>
      </c>
      <c r="K171" s="95" t="e">
        <f t="shared" si="11"/>
        <v>#NUM!</v>
      </c>
      <c r="L171" s="95"/>
      <c r="M171" s="97">
        <f t="shared" si="12"/>
        <v>0</v>
      </c>
    </row>
    <row r="172" spans="1:13" x14ac:dyDescent="0.25">
      <c r="A172" s="116"/>
      <c r="G172" s="80"/>
      <c r="H172" s="95">
        <v>167</v>
      </c>
      <c r="I172" s="96" t="str">
        <f t="shared" si="10"/>
        <v/>
      </c>
      <c r="J172" s="96" t="e">
        <f t="shared" si="13"/>
        <v>#NUM!</v>
      </c>
      <c r="K172" s="95" t="e">
        <f t="shared" si="11"/>
        <v>#NUM!</v>
      </c>
      <c r="L172" s="95"/>
      <c r="M172" s="97">
        <f t="shared" si="12"/>
        <v>0</v>
      </c>
    </row>
    <row r="173" spans="1:13" x14ac:dyDescent="0.25">
      <c r="A173" s="116"/>
      <c r="G173" s="80"/>
      <c r="H173" s="95">
        <v>168</v>
      </c>
      <c r="I173" s="96" t="str">
        <f t="shared" si="10"/>
        <v/>
      </c>
      <c r="J173" s="96" t="e">
        <f t="shared" si="13"/>
        <v>#NUM!</v>
      </c>
      <c r="K173" s="95" t="e">
        <f t="shared" si="11"/>
        <v>#NUM!</v>
      </c>
      <c r="L173" s="95"/>
      <c r="M173" s="97">
        <f t="shared" si="12"/>
        <v>0</v>
      </c>
    </row>
    <row r="174" spans="1:13" x14ac:dyDescent="0.25">
      <c r="A174" s="116"/>
      <c r="G174" s="80"/>
      <c r="H174" s="95">
        <v>169</v>
      </c>
      <c r="I174" s="96" t="str">
        <f t="shared" si="10"/>
        <v/>
      </c>
      <c r="J174" s="96" t="e">
        <f t="shared" si="13"/>
        <v>#NUM!</v>
      </c>
      <c r="K174" s="95" t="e">
        <f t="shared" si="11"/>
        <v>#NUM!</v>
      </c>
      <c r="L174" s="95"/>
      <c r="M174" s="97">
        <f t="shared" si="12"/>
        <v>0</v>
      </c>
    </row>
    <row r="175" spans="1:13" x14ac:dyDescent="0.25">
      <c r="A175" s="116"/>
      <c r="G175" s="80"/>
      <c r="H175" s="95">
        <v>170</v>
      </c>
      <c r="I175" s="96" t="str">
        <f t="shared" si="10"/>
        <v/>
      </c>
      <c r="J175" s="96" t="e">
        <f t="shared" si="13"/>
        <v>#NUM!</v>
      </c>
      <c r="K175" s="95" t="e">
        <f t="shared" si="11"/>
        <v>#NUM!</v>
      </c>
      <c r="L175" s="95"/>
      <c r="M175" s="97">
        <f t="shared" si="12"/>
        <v>0</v>
      </c>
    </row>
    <row r="176" spans="1:13" x14ac:dyDescent="0.25">
      <c r="A176" s="116"/>
      <c r="G176" s="80"/>
      <c r="H176" s="95">
        <v>171</v>
      </c>
      <c r="I176" s="96" t="str">
        <f t="shared" si="10"/>
        <v/>
      </c>
      <c r="J176" s="96" t="e">
        <f t="shared" si="13"/>
        <v>#NUM!</v>
      </c>
      <c r="K176" s="95" t="e">
        <f t="shared" si="11"/>
        <v>#NUM!</v>
      </c>
      <c r="L176" s="95"/>
      <c r="M176" s="97">
        <f t="shared" si="12"/>
        <v>0</v>
      </c>
    </row>
    <row r="177" spans="1:13" x14ac:dyDescent="0.25">
      <c r="A177" s="116"/>
      <c r="G177" s="80"/>
      <c r="H177" s="95">
        <v>172</v>
      </c>
      <c r="I177" s="96" t="str">
        <f t="shared" si="10"/>
        <v/>
      </c>
      <c r="J177" s="96" t="e">
        <f t="shared" si="13"/>
        <v>#NUM!</v>
      </c>
      <c r="K177" s="95" t="e">
        <f t="shared" si="11"/>
        <v>#NUM!</v>
      </c>
      <c r="L177" s="95"/>
      <c r="M177" s="97">
        <f t="shared" si="12"/>
        <v>0</v>
      </c>
    </row>
    <row r="178" spans="1:13" x14ac:dyDescent="0.25">
      <c r="A178" s="116"/>
      <c r="G178" s="80"/>
      <c r="H178" s="95">
        <v>173</v>
      </c>
      <c r="I178" s="96" t="str">
        <f t="shared" si="10"/>
        <v/>
      </c>
      <c r="J178" s="96" t="e">
        <f t="shared" si="13"/>
        <v>#NUM!</v>
      </c>
      <c r="K178" s="95" t="e">
        <f t="shared" si="11"/>
        <v>#NUM!</v>
      </c>
      <c r="L178" s="95"/>
      <c r="M178" s="97">
        <f t="shared" si="12"/>
        <v>0</v>
      </c>
    </row>
    <row r="179" spans="1:13" x14ac:dyDescent="0.25">
      <c r="A179" s="116"/>
      <c r="G179" s="80"/>
      <c r="H179" s="95">
        <v>174</v>
      </c>
      <c r="I179" s="96" t="str">
        <f t="shared" si="10"/>
        <v/>
      </c>
      <c r="J179" s="96" t="e">
        <f t="shared" si="13"/>
        <v>#NUM!</v>
      </c>
      <c r="K179" s="95" t="e">
        <f t="shared" si="11"/>
        <v>#NUM!</v>
      </c>
      <c r="L179" s="95"/>
      <c r="M179" s="97">
        <f t="shared" si="12"/>
        <v>0</v>
      </c>
    </row>
    <row r="180" spans="1:13" x14ac:dyDescent="0.25">
      <c r="A180" s="116"/>
      <c r="G180" s="80"/>
      <c r="H180" s="95">
        <v>175</v>
      </c>
      <c r="I180" s="96" t="str">
        <f t="shared" si="10"/>
        <v/>
      </c>
      <c r="J180" s="96" t="e">
        <f t="shared" si="13"/>
        <v>#NUM!</v>
      </c>
      <c r="K180" s="95" t="e">
        <f t="shared" si="11"/>
        <v>#NUM!</v>
      </c>
      <c r="L180" s="95"/>
      <c r="M180" s="97">
        <f t="shared" si="12"/>
        <v>0</v>
      </c>
    </row>
    <row r="181" spans="1:13" x14ac:dyDescent="0.25">
      <c r="A181" s="116"/>
      <c r="G181" s="80"/>
      <c r="H181" s="95">
        <v>176</v>
      </c>
      <c r="I181" s="96" t="str">
        <f t="shared" si="10"/>
        <v/>
      </c>
      <c r="J181" s="96" t="e">
        <f t="shared" si="13"/>
        <v>#NUM!</v>
      </c>
      <c r="K181" s="95" t="e">
        <f t="shared" si="11"/>
        <v>#NUM!</v>
      </c>
      <c r="L181" s="95"/>
      <c r="M181" s="97">
        <f t="shared" si="12"/>
        <v>0</v>
      </c>
    </row>
    <row r="182" spans="1:13" x14ac:dyDescent="0.25">
      <c r="A182" s="116"/>
      <c r="G182" s="80"/>
      <c r="H182" s="95">
        <v>177</v>
      </c>
      <c r="I182" s="96" t="str">
        <f t="shared" si="10"/>
        <v/>
      </c>
      <c r="J182" s="96" t="e">
        <f t="shared" si="13"/>
        <v>#NUM!</v>
      </c>
      <c r="K182" s="95" t="e">
        <f t="shared" si="11"/>
        <v>#NUM!</v>
      </c>
      <c r="L182" s="95"/>
      <c r="M182" s="97">
        <f t="shared" si="12"/>
        <v>0</v>
      </c>
    </row>
    <row r="183" spans="1:13" x14ac:dyDescent="0.25">
      <c r="A183" s="116"/>
      <c r="G183" s="80"/>
      <c r="H183" s="95">
        <v>178</v>
      </c>
      <c r="I183" s="96" t="str">
        <f t="shared" si="10"/>
        <v/>
      </c>
      <c r="J183" s="96" t="e">
        <f t="shared" si="13"/>
        <v>#NUM!</v>
      </c>
      <c r="K183" s="95" t="e">
        <f t="shared" si="11"/>
        <v>#NUM!</v>
      </c>
      <c r="L183" s="95"/>
      <c r="M183" s="97">
        <f t="shared" si="12"/>
        <v>0</v>
      </c>
    </row>
    <row r="184" spans="1:13" x14ac:dyDescent="0.25">
      <c r="A184" s="116"/>
      <c r="G184" s="80"/>
      <c r="H184" s="95">
        <v>179</v>
      </c>
      <c r="I184" s="96" t="str">
        <f t="shared" si="10"/>
        <v/>
      </c>
      <c r="J184" s="96" t="e">
        <f t="shared" si="13"/>
        <v>#NUM!</v>
      </c>
      <c r="K184" s="95" t="e">
        <f t="shared" si="11"/>
        <v>#NUM!</v>
      </c>
      <c r="L184" s="95"/>
      <c r="M184" s="97">
        <f t="shared" si="12"/>
        <v>0</v>
      </c>
    </row>
    <row r="185" spans="1:13" x14ac:dyDescent="0.25">
      <c r="A185" s="116"/>
      <c r="G185" s="80"/>
      <c r="H185" s="95">
        <v>180</v>
      </c>
      <c r="I185" s="96" t="str">
        <f t="shared" si="10"/>
        <v/>
      </c>
      <c r="J185" s="96" t="e">
        <f t="shared" si="13"/>
        <v>#NUM!</v>
      </c>
      <c r="K185" s="95" t="e">
        <f t="shared" si="11"/>
        <v>#NUM!</v>
      </c>
      <c r="L185" s="95"/>
      <c r="M185" s="97">
        <f t="shared" si="12"/>
        <v>0</v>
      </c>
    </row>
    <row r="186" spans="1:13" x14ac:dyDescent="0.25">
      <c r="A186" s="116"/>
      <c r="G186" s="80"/>
      <c r="H186" s="95">
        <v>181</v>
      </c>
      <c r="I186" s="96" t="str">
        <f t="shared" si="10"/>
        <v/>
      </c>
      <c r="J186" s="96" t="e">
        <f t="shared" si="13"/>
        <v>#NUM!</v>
      </c>
      <c r="K186" s="95" t="e">
        <f t="shared" si="11"/>
        <v>#NUM!</v>
      </c>
      <c r="L186" s="95"/>
      <c r="M186" s="97">
        <f t="shared" si="12"/>
        <v>0</v>
      </c>
    </row>
    <row r="187" spans="1:13" x14ac:dyDescent="0.25">
      <c r="A187" s="116"/>
      <c r="G187" s="80"/>
      <c r="H187" s="95">
        <v>182</v>
      </c>
      <c r="I187" s="96" t="str">
        <f t="shared" si="10"/>
        <v/>
      </c>
      <c r="J187" s="96" t="e">
        <f t="shared" si="13"/>
        <v>#NUM!</v>
      </c>
      <c r="K187" s="95" t="e">
        <f t="shared" si="11"/>
        <v>#NUM!</v>
      </c>
      <c r="L187" s="95"/>
      <c r="M187" s="97">
        <f t="shared" si="12"/>
        <v>0</v>
      </c>
    </row>
    <row r="188" spans="1:13" x14ac:dyDescent="0.25">
      <c r="A188" s="116"/>
      <c r="G188" s="80"/>
      <c r="H188" s="95">
        <v>183</v>
      </c>
      <c r="I188" s="96" t="str">
        <f t="shared" si="10"/>
        <v/>
      </c>
      <c r="J188" s="96" t="e">
        <f t="shared" si="13"/>
        <v>#NUM!</v>
      </c>
      <c r="K188" s="95" t="e">
        <f t="shared" si="11"/>
        <v>#NUM!</v>
      </c>
      <c r="L188" s="95"/>
      <c r="M188" s="97">
        <f t="shared" si="12"/>
        <v>0</v>
      </c>
    </row>
    <row r="189" spans="1:13" x14ac:dyDescent="0.25">
      <c r="A189" s="116"/>
      <c r="G189" s="80"/>
      <c r="H189" s="95">
        <v>184</v>
      </c>
      <c r="I189" s="96" t="str">
        <f t="shared" si="10"/>
        <v/>
      </c>
      <c r="J189" s="96" t="e">
        <f t="shared" si="13"/>
        <v>#NUM!</v>
      </c>
      <c r="K189" s="95" t="e">
        <f t="shared" si="11"/>
        <v>#NUM!</v>
      </c>
      <c r="L189" s="95"/>
      <c r="M189" s="97">
        <f t="shared" si="12"/>
        <v>0</v>
      </c>
    </row>
    <row r="190" spans="1:13" x14ac:dyDescent="0.25">
      <c r="A190" s="116"/>
      <c r="G190" s="80"/>
      <c r="H190" s="95">
        <v>185</v>
      </c>
      <c r="I190" s="96" t="str">
        <f t="shared" si="10"/>
        <v/>
      </c>
      <c r="J190" s="96" t="e">
        <f t="shared" si="13"/>
        <v>#NUM!</v>
      </c>
      <c r="K190" s="95" t="e">
        <f t="shared" si="11"/>
        <v>#NUM!</v>
      </c>
      <c r="L190" s="95"/>
      <c r="M190" s="97">
        <f t="shared" si="12"/>
        <v>0</v>
      </c>
    </row>
    <row r="191" spans="1:13" x14ac:dyDescent="0.25">
      <c r="A191" s="116"/>
      <c r="G191" s="80"/>
      <c r="H191" s="95">
        <v>186</v>
      </c>
      <c r="I191" s="96" t="str">
        <f t="shared" si="10"/>
        <v/>
      </c>
      <c r="J191" s="96" t="e">
        <f t="shared" si="13"/>
        <v>#NUM!</v>
      </c>
      <c r="K191" s="95" t="e">
        <f t="shared" si="11"/>
        <v>#NUM!</v>
      </c>
      <c r="L191" s="95"/>
      <c r="M191" s="97">
        <f t="shared" si="12"/>
        <v>0</v>
      </c>
    </row>
    <row r="192" spans="1:13" x14ac:dyDescent="0.25">
      <c r="A192" s="116"/>
      <c r="G192" s="80"/>
      <c r="H192" s="95">
        <v>187</v>
      </c>
      <c r="I192" s="96" t="str">
        <f t="shared" si="10"/>
        <v/>
      </c>
      <c r="J192" s="96" t="e">
        <f t="shared" si="13"/>
        <v>#NUM!</v>
      </c>
      <c r="K192" s="95" t="e">
        <f t="shared" si="11"/>
        <v>#NUM!</v>
      </c>
      <c r="L192" s="95"/>
      <c r="M192" s="97">
        <f t="shared" si="12"/>
        <v>0</v>
      </c>
    </row>
    <row r="193" spans="1:13" x14ac:dyDescent="0.25">
      <c r="A193" s="116"/>
      <c r="G193" s="80"/>
      <c r="H193" s="95">
        <v>188</v>
      </c>
      <c r="I193" s="96" t="str">
        <f t="shared" si="10"/>
        <v/>
      </c>
      <c r="J193" s="96" t="e">
        <f t="shared" si="13"/>
        <v>#NUM!</v>
      </c>
      <c r="K193" s="95" t="e">
        <f t="shared" si="11"/>
        <v>#NUM!</v>
      </c>
      <c r="L193" s="95"/>
      <c r="M193" s="97">
        <f t="shared" si="12"/>
        <v>0</v>
      </c>
    </row>
    <row r="194" spans="1:13" x14ac:dyDescent="0.25">
      <c r="A194" s="116"/>
      <c r="G194" s="80"/>
      <c r="H194" s="95">
        <v>189</v>
      </c>
      <c r="I194" s="96" t="str">
        <f t="shared" si="10"/>
        <v/>
      </c>
      <c r="J194" s="96" t="e">
        <f t="shared" si="13"/>
        <v>#NUM!</v>
      </c>
      <c r="K194" s="95" t="e">
        <f t="shared" si="11"/>
        <v>#NUM!</v>
      </c>
      <c r="L194" s="95"/>
      <c r="M194" s="97">
        <f t="shared" si="12"/>
        <v>0</v>
      </c>
    </row>
    <row r="195" spans="1:13" x14ac:dyDescent="0.25">
      <c r="A195" s="116"/>
      <c r="G195" s="80"/>
      <c r="H195" s="95">
        <v>190</v>
      </c>
      <c r="I195" s="96" t="str">
        <f t="shared" si="10"/>
        <v/>
      </c>
      <c r="J195" s="96" t="e">
        <f t="shared" si="13"/>
        <v>#NUM!</v>
      </c>
      <c r="K195" s="95" t="e">
        <f t="shared" si="11"/>
        <v>#NUM!</v>
      </c>
      <c r="L195" s="95"/>
      <c r="M195" s="97">
        <f t="shared" si="12"/>
        <v>0</v>
      </c>
    </row>
    <row r="196" spans="1:13" x14ac:dyDescent="0.25">
      <c r="A196" s="116"/>
      <c r="G196" s="80"/>
      <c r="H196" s="95">
        <v>191</v>
      </c>
      <c r="I196" s="96" t="str">
        <f t="shared" si="10"/>
        <v/>
      </c>
      <c r="J196" s="96" t="e">
        <f t="shared" si="13"/>
        <v>#NUM!</v>
      </c>
      <c r="K196" s="95" t="e">
        <f t="shared" si="11"/>
        <v>#NUM!</v>
      </c>
      <c r="L196" s="95"/>
      <c r="M196" s="97">
        <f t="shared" si="12"/>
        <v>0</v>
      </c>
    </row>
    <row r="197" spans="1:13" x14ac:dyDescent="0.25">
      <c r="A197" s="116"/>
      <c r="G197" s="80"/>
      <c r="H197" s="95">
        <v>192</v>
      </c>
      <c r="I197" s="96" t="str">
        <f t="shared" si="10"/>
        <v/>
      </c>
      <c r="J197" s="96" t="e">
        <f t="shared" si="13"/>
        <v>#NUM!</v>
      </c>
      <c r="K197" s="95" t="e">
        <f t="shared" si="11"/>
        <v>#NUM!</v>
      </c>
      <c r="L197" s="95"/>
      <c r="M197" s="97">
        <f t="shared" si="12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4">IF(H198&lt;$H$2+1,($I$2-($I$2-1)*(LOG(H198)/LOG($H$2))),"")</f>
        <v/>
      </c>
      <c r="J198" s="96" t="e">
        <f t="shared" si="13"/>
        <v>#NUM!</v>
      </c>
      <c r="K198" s="95" t="e">
        <f t="shared" ref="K198:K261" si="15">J198*$J$2</f>
        <v>#NUM!</v>
      </c>
      <c r="L198" s="95"/>
      <c r="M198" s="97">
        <f t="shared" ref="M198:M261" si="16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4"/>
        <v/>
      </c>
      <c r="J199" s="96" t="e">
        <f t="shared" ref="J199:J262" si="17">INT(LOG($H$2,2))-ROUNDUP(LOG(H199,2),0)+IF(OR($H$2=1,$H$2=2,$H$2=4,$H$2=8,$H$2=16,$H$2=32,$H$2=64,$H$2=128,$H$2=256),0,1)</f>
        <v>#NUM!</v>
      </c>
      <c r="K199" s="95" t="e">
        <f t="shared" si="15"/>
        <v>#NUM!</v>
      </c>
      <c r="L199" s="95"/>
      <c r="M199" s="97">
        <f t="shared" si="16"/>
        <v>0</v>
      </c>
    </row>
    <row r="200" spans="1:13" x14ac:dyDescent="0.25">
      <c r="A200" s="116"/>
      <c r="G200" s="80"/>
      <c r="H200" s="95">
        <v>195</v>
      </c>
      <c r="I200" s="96" t="str">
        <f t="shared" si="14"/>
        <v/>
      </c>
      <c r="J200" s="96" t="e">
        <f t="shared" si="17"/>
        <v>#NUM!</v>
      </c>
      <c r="K200" s="95" t="e">
        <f t="shared" si="15"/>
        <v>#NUM!</v>
      </c>
      <c r="L200" s="95"/>
      <c r="M200" s="97">
        <f t="shared" si="16"/>
        <v>0</v>
      </c>
    </row>
    <row r="201" spans="1:13" x14ac:dyDescent="0.25">
      <c r="A201" s="116"/>
      <c r="G201" s="80"/>
      <c r="H201" s="95">
        <v>196</v>
      </c>
      <c r="I201" s="96" t="str">
        <f t="shared" si="14"/>
        <v/>
      </c>
      <c r="J201" s="96" t="e">
        <f t="shared" si="17"/>
        <v>#NUM!</v>
      </c>
      <c r="K201" s="95" t="e">
        <f t="shared" si="15"/>
        <v>#NUM!</v>
      </c>
      <c r="L201" s="95"/>
      <c r="M201" s="97">
        <f t="shared" si="16"/>
        <v>0</v>
      </c>
    </row>
    <row r="202" spans="1:13" x14ac:dyDescent="0.25">
      <c r="A202" s="116"/>
      <c r="G202" s="80"/>
      <c r="H202" s="95">
        <v>197</v>
      </c>
      <c r="I202" s="96" t="str">
        <f t="shared" si="14"/>
        <v/>
      </c>
      <c r="J202" s="96" t="e">
        <f t="shared" si="17"/>
        <v>#NUM!</v>
      </c>
      <c r="K202" s="95" t="e">
        <f t="shared" si="15"/>
        <v>#NUM!</v>
      </c>
      <c r="L202" s="95"/>
      <c r="M202" s="97">
        <f t="shared" si="16"/>
        <v>0</v>
      </c>
    </row>
    <row r="203" spans="1:13" x14ac:dyDescent="0.25">
      <c r="A203" s="116"/>
      <c r="G203" s="80"/>
      <c r="H203" s="95">
        <v>198</v>
      </c>
      <c r="I203" s="96" t="str">
        <f t="shared" si="14"/>
        <v/>
      </c>
      <c r="J203" s="96" t="e">
        <f t="shared" si="17"/>
        <v>#NUM!</v>
      </c>
      <c r="K203" s="95" t="e">
        <f t="shared" si="15"/>
        <v>#NUM!</v>
      </c>
      <c r="L203" s="95"/>
      <c r="M203" s="97">
        <f t="shared" si="16"/>
        <v>0</v>
      </c>
    </row>
    <row r="204" spans="1:13" x14ac:dyDescent="0.25">
      <c r="A204" s="116"/>
      <c r="G204" s="80"/>
      <c r="H204" s="95">
        <v>199</v>
      </c>
      <c r="I204" s="96" t="str">
        <f t="shared" si="14"/>
        <v/>
      </c>
      <c r="J204" s="96" t="e">
        <f t="shared" si="17"/>
        <v>#NUM!</v>
      </c>
      <c r="K204" s="95" t="e">
        <f t="shared" si="15"/>
        <v>#NUM!</v>
      </c>
      <c r="L204" s="95"/>
      <c r="M204" s="97">
        <f t="shared" si="16"/>
        <v>0</v>
      </c>
    </row>
    <row r="205" spans="1:13" x14ac:dyDescent="0.25">
      <c r="A205" s="116"/>
      <c r="G205" s="80"/>
      <c r="H205" s="95">
        <v>200</v>
      </c>
      <c r="I205" s="96" t="str">
        <f t="shared" si="14"/>
        <v/>
      </c>
      <c r="J205" s="96" t="e">
        <f t="shared" si="17"/>
        <v>#NUM!</v>
      </c>
      <c r="K205" s="95" t="e">
        <f t="shared" si="15"/>
        <v>#NUM!</v>
      </c>
      <c r="L205" s="95"/>
      <c r="M205" s="97">
        <f t="shared" si="16"/>
        <v>0</v>
      </c>
    </row>
    <row r="206" spans="1:13" x14ac:dyDescent="0.25">
      <c r="A206" s="116"/>
      <c r="G206" s="80"/>
      <c r="H206" s="95">
        <v>201</v>
      </c>
      <c r="I206" s="96" t="str">
        <f t="shared" si="14"/>
        <v/>
      </c>
      <c r="J206" s="96" t="e">
        <f t="shared" si="17"/>
        <v>#NUM!</v>
      </c>
      <c r="K206" s="95" t="e">
        <f t="shared" si="15"/>
        <v>#NUM!</v>
      </c>
      <c r="L206" s="95"/>
      <c r="M206" s="97">
        <f t="shared" si="16"/>
        <v>0</v>
      </c>
    </row>
    <row r="207" spans="1:13" x14ac:dyDescent="0.25">
      <c r="A207" s="116"/>
      <c r="G207" s="80"/>
      <c r="H207" s="95">
        <v>202</v>
      </c>
      <c r="I207" s="96" t="str">
        <f t="shared" si="14"/>
        <v/>
      </c>
      <c r="J207" s="96" t="e">
        <f t="shared" si="17"/>
        <v>#NUM!</v>
      </c>
      <c r="K207" s="95" t="e">
        <f t="shared" si="15"/>
        <v>#NUM!</v>
      </c>
      <c r="L207" s="95"/>
      <c r="M207" s="97">
        <f t="shared" si="16"/>
        <v>0</v>
      </c>
    </row>
    <row r="208" spans="1:13" x14ac:dyDescent="0.25">
      <c r="A208" s="116"/>
      <c r="G208" s="80"/>
      <c r="H208" s="95">
        <v>203</v>
      </c>
      <c r="I208" s="96" t="str">
        <f t="shared" si="14"/>
        <v/>
      </c>
      <c r="J208" s="96" t="e">
        <f t="shared" si="17"/>
        <v>#NUM!</v>
      </c>
      <c r="K208" s="95" t="e">
        <f t="shared" si="15"/>
        <v>#NUM!</v>
      </c>
      <c r="L208" s="95"/>
      <c r="M208" s="97">
        <f t="shared" si="16"/>
        <v>0</v>
      </c>
    </row>
    <row r="209" spans="1:13" x14ac:dyDescent="0.25">
      <c r="A209" s="116"/>
      <c r="G209" s="80"/>
      <c r="H209" s="95">
        <v>204</v>
      </c>
      <c r="I209" s="96" t="str">
        <f t="shared" si="14"/>
        <v/>
      </c>
      <c r="J209" s="96" t="e">
        <f t="shared" si="17"/>
        <v>#NUM!</v>
      </c>
      <c r="K209" s="95" t="e">
        <f t="shared" si="15"/>
        <v>#NUM!</v>
      </c>
      <c r="L209" s="95"/>
      <c r="M209" s="97">
        <f t="shared" si="16"/>
        <v>0</v>
      </c>
    </row>
    <row r="210" spans="1:13" x14ac:dyDescent="0.25">
      <c r="A210" s="116"/>
      <c r="G210" s="80"/>
      <c r="H210" s="95">
        <v>205</v>
      </c>
      <c r="I210" s="96" t="str">
        <f t="shared" si="14"/>
        <v/>
      </c>
      <c r="J210" s="96" t="e">
        <f t="shared" si="17"/>
        <v>#NUM!</v>
      </c>
      <c r="K210" s="95" t="e">
        <f t="shared" si="15"/>
        <v>#NUM!</v>
      </c>
      <c r="L210" s="95"/>
      <c r="M210" s="97">
        <f t="shared" si="16"/>
        <v>0</v>
      </c>
    </row>
    <row r="211" spans="1:13" x14ac:dyDescent="0.25">
      <c r="A211" s="116"/>
      <c r="G211" s="80"/>
      <c r="H211" s="95">
        <v>206</v>
      </c>
      <c r="I211" s="96" t="str">
        <f t="shared" si="14"/>
        <v/>
      </c>
      <c r="J211" s="96" t="e">
        <f t="shared" si="17"/>
        <v>#NUM!</v>
      </c>
      <c r="K211" s="95" t="e">
        <f t="shared" si="15"/>
        <v>#NUM!</v>
      </c>
      <c r="L211" s="95"/>
      <c r="M211" s="97">
        <f t="shared" si="16"/>
        <v>0</v>
      </c>
    </row>
    <row r="212" spans="1:13" x14ac:dyDescent="0.25">
      <c r="A212" s="116"/>
      <c r="G212" s="80"/>
      <c r="H212" s="95">
        <v>207</v>
      </c>
      <c r="I212" s="96" t="str">
        <f t="shared" si="14"/>
        <v/>
      </c>
      <c r="J212" s="96" t="e">
        <f t="shared" si="17"/>
        <v>#NUM!</v>
      </c>
      <c r="K212" s="95" t="e">
        <f t="shared" si="15"/>
        <v>#NUM!</v>
      </c>
      <c r="L212" s="95"/>
      <c r="M212" s="97">
        <f t="shared" si="16"/>
        <v>0</v>
      </c>
    </row>
    <row r="213" spans="1:13" x14ac:dyDescent="0.25">
      <c r="A213" s="116"/>
      <c r="G213" s="80"/>
      <c r="H213" s="95">
        <v>208</v>
      </c>
      <c r="I213" s="96" t="str">
        <f t="shared" si="14"/>
        <v/>
      </c>
      <c r="J213" s="96" t="e">
        <f t="shared" si="17"/>
        <v>#NUM!</v>
      </c>
      <c r="K213" s="95" t="e">
        <f t="shared" si="15"/>
        <v>#NUM!</v>
      </c>
      <c r="L213" s="95"/>
      <c r="M213" s="97">
        <f t="shared" si="16"/>
        <v>0</v>
      </c>
    </row>
    <row r="214" spans="1:13" x14ac:dyDescent="0.25">
      <c r="A214" s="116"/>
      <c r="G214" s="80"/>
      <c r="H214" s="95">
        <v>209</v>
      </c>
      <c r="I214" s="96" t="str">
        <f t="shared" si="14"/>
        <v/>
      </c>
      <c r="J214" s="96" t="e">
        <f t="shared" si="17"/>
        <v>#NUM!</v>
      </c>
      <c r="K214" s="95" t="e">
        <f t="shared" si="15"/>
        <v>#NUM!</v>
      </c>
      <c r="L214" s="95"/>
      <c r="M214" s="97">
        <f t="shared" si="16"/>
        <v>0</v>
      </c>
    </row>
    <row r="215" spans="1:13" x14ac:dyDescent="0.25">
      <c r="A215" s="116"/>
      <c r="G215" s="80"/>
      <c r="H215" s="95">
        <v>210</v>
      </c>
      <c r="I215" s="96" t="str">
        <f t="shared" si="14"/>
        <v/>
      </c>
      <c r="J215" s="96" t="e">
        <f t="shared" si="17"/>
        <v>#NUM!</v>
      </c>
      <c r="K215" s="95" t="e">
        <f t="shared" si="15"/>
        <v>#NUM!</v>
      </c>
      <c r="L215" s="95"/>
      <c r="M215" s="97">
        <f t="shared" si="16"/>
        <v>0</v>
      </c>
    </row>
    <row r="216" spans="1:13" x14ac:dyDescent="0.25">
      <c r="A216" s="116"/>
      <c r="G216" s="80"/>
      <c r="H216" s="95">
        <v>211</v>
      </c>
      <c r="I216" s="96" t="str">
        <f t="shared" si="14"/>
        <v/>
      </c>
      <c r="J216" s="96" t="e">
        <f t="shared" si="17"/>
        <v>#NUM!</v>
      </c>
      <c r="K216" s="95" t="e">
        <f t="shared" si="15"/>
        <v>#NUM!</v>
      </c>
      <c r="L216" s="95"/>
      <c r="M216" s="97">
        <f t="shared" si="16"/>
        <v>0</v>
      </c>
    </row>
    <row r="217" spans="1:13" x14ac:dyDescent="0.25">
      <c r="A217" s="116"/>
      <c r="G217" s="80"/>
      <c r="H217" s="95">
        <v>212</v>
      </c>
      <c r="I217" s="96" t="str">
        <f t="shared" si="14"/>
        <v/>
      </c>
      <c r="J217" s="96" t="e">
        <f t="shared" si="17"/>
        <v>#NUM!</v>
      </c>
      <c r="K217" s="95" t="e">
        <f t="shared" si="15"/>
        <v>#NUM!</v>
      </c>
      <c r="L217" s="95"/>
      <c r="M217" s="97">
        <f t="shared" si="16"/>
        <v>0</v>
      </c>
    </row>
    <row r="218" spans="1:13" x14ac:dyDescent="0.25">
      <c r="A218" s="116"/>
      <c r="G218" s="80"/>
      <c r="H218" s="95">
        <v>213</v>
      </c>
      <c r="I218" s="96" t="str">
        <f t="shared" si="14"/>
        <v/>
      </c>
      <c r="J218" s="96" t="e">
        <f t="shared" si="17"/>
        <v>#NUM!</v>
      </c>
      <c r="K218" s="95" t="e">
        <f t="shared" si="15"/>
        <v>#NUM!</v>
      </c>
      <c r="L218" s="95"/>
      <c r="M218" s="97">
        <f t="shared" si="16"/>
        <v>0</v>
      </c>
    </row>
    <row r="219" spans="1:13" x14ac:dyDescent="0.25">
      <c r="A219" s="116"/>
      <c r="G219" s="80"/>
      <c r="H219" s="95">
        <v>214</v>
      </c>
      <c r="I219" s="96" t="str">
        <f t="shared" si="14"/>
        <v/>
      </c>
      <c r="J219" s="96" t="e">
        <f t="shared" si="17"/>
        <v>#NUM!</v>
      </c>
      <c r="K219" s="95" t="e">
        <f t="shared" si="15"/>
        <v>#NUM!</v>
      </c>
      <c r="L219" s="95"/>
      <c r="M219" s="97">
        <f t="shared" si="16"/>
        <v>0</v>
      </c>
    </row>
    <row r="220" spans="1:13" x14ac:dyDescent="0.25">
      <c r="A220" s="116"/>
      <c r="G220" s="80"/>
      <c r="H220" s="95">
        <v>215</v>
      </c>
      <c r="I220" s="96" t="str">
        <f t="shared" si="14"/>
        <v/>
      </c>
      <c r="J220" s="96" t="e">
        <f t="shared" si="17"/>
        <v>#NUM!</v>
      </c>
      <c r="K220" s="95" t="e">
        <f t="shared" si="15"/>
        <v>#NUM!</v>
      </c>
      <c r="L220" s="95"/>
      <c r="M220" s="97">
        <f t="shared" si="16"/>
        <v>0</v>
      </c>
    </row>
    <row r="221" spans="1:13" x14ac:dyDescent="0.25">
      <c r="A221" s="116"/>
      <c r="G221" s="80"/>
      <c r="H221" s="95">
        <v>216</v>
      </c>
      <c r="I221" s="96" t="str">
        <f t="shared" si="14"/>
        <v/>
      </c>
      <c r="J221" s="96" t="e">
        <f t="shared" si="17"/>
        <v>#NUM!</v>
      </c>
      <c r="K221" s="95" t="e">
        <f t="shared" si="15"/>
        <v>#NUM!</v>
      </c>
      <c r="L221" s="95"/>
      <c r="M221" s="97">
        <f t="shared" si="16"/>
        <v>0</v>
      </c>
    </row>
    <row r="222" spans="1:13" x14ac:dyDescent="0.25">
      <c r="A222" s="116"/>
      <c r="G222" s="80"/>
      <c r="H222" s="95">
        <v>217</v>
      </c>
      <c r="I222" s="96" t="str">
        <f t="shared" si="14"/>
        <v/>
      </c>
      <c r="J222" s="96" t="e">
        <f t="shared" si="17"/>
        <v>#NUM!</v>
      </c>
      <c r="K222" s="95" t="e">
        <f t="shared" si="15"/>
        <v>#NUM!</v>
      </c>
      <c r="L222" s="95"/>
      <c r="M222" s="97">
        <f t="shared" si="16"/>
        <v>0</v>
      </c>
    </row>
    <row r="223" spans="1:13" x14ac:dyDescent="0.25">
      <c r="A223" s="116"/>
      <c r="G223" s="80"/>
      <c r="H223" s="95">
        <v>218</v>
      </c>
      <c r="I223" s="96" t="str">
        <f t="shared" si="14"/>
        <v/>
      </c>
      <c r="J223" s="96" t="e">
        <f t="shared" si="17"/>
        <v>#NUM!</v>
      </c>
      <c r="K223" s="95" t="e">
        <f t="shared" si="15"/>
        <v>#NUM!</v>
      </c>
      <c r="L223" s="95"/>
      <c r="M223" s="97">
        <f t="shared" si="16"/>
        <v>0</v>
      </c>
    </row>
    <row r="224" spans="1:13" x14ac:dyDescent="0.25">
      <c r="A224" s="116"/>
      <c r="G224" s="80"/>
      <c r="H224" s="95">
        <v>219</v>
      </c>
      <c r="I224" s="96" t="str">
        <f t="shared" si="14"/>
        <v/>
      </c>
      <c r="J224" s="96" t="e">
        <f t="shared" si="17"/>
        <v>#NUM!</v>
      </c>
      <c r="K224" s="95" t="e">
        <f t="shared" si="15"/>
        <v>#NUM!</v>
      </c>
      <c r="L224" s="95"/>
      <c r="M224" s="97">
        <f t="shared" si="16"/>
        <v>0</v>
      </c>
    </row>
    <row r="225" spans="1:13" x14ac:dyDescent="0.25">
      <c r="A225" s="116"/>
      <c r="G225" s="80"/>
      <c r="H225" s="95">
        <v>220</v>
      </c>
      <c r="I225" s="96" t="str">
        <f t="shared" si="14"/>
        <v/>
      </c>
      <c r="J225" s="96" t="e">
        <f t="shared" si="17"/>
        <v>#NUM!</v>
      </c>
      <c r="K225" s="95" t="e">
        <f t="shared" si="15"/>
        <v>#NUM!</v>
      </c>
      <c r="L225" s="95"/>
      <c r="M225" s="97">
        <f t="shared" si="16"/>
        <v>0</v>
      </c>
    </row>
    <row r="226" spans="1:13" x14ac:dyDescent="0.25">
      <c r="A226" s="116"/>
      <c r="G226" s="80"/>
      <c r="H226" s="95">
        <v>221</v>
      </c>
      <c r="I226" s="96" t="str">
        <f t="shared" si="14"/>
        <v/>
      </c>
      <c r="J226" s="96" t="e">
        <f t="shared" si="17"/>
        <v>#NUM!</v>
      </c>
      <c r="K226" s="95" t="e">
        <f t="shared" si="15"/>
        <v>#NUM!</v>
      </c>
      <c r="L226" s="95"/>
      <c r="M226" s="97">
        <f t="shared" si="16"/>
        <v>0</v>
      </c>
    </row>
    <row r="227" spans="1:13" x14ac:dyDescent="0.25">
      <c r="A227" s="116"/>
      <c r="G227" s="80"/>
      <c r="H227" s="95">
        <v>222</v>
      </c>
      <c r="I227" s="96" t="str">
        <f t="shared" si="14"/>
        <v/>
      </c>
      <c r="J227" s="96" t="e">
        <f t="shared" si="17"/>
        <v>#NUM!</v>
      </c>
      <c r="K227" s="95" t="e">
        <f t="shared" si="15"/>
        <v>#NUM!</v>
      </c>
      <c r="L227" s="95"/>
      <c r="M227" s="97">
        <f t="shared" si="16"/>
        <v>0</v>
      </c>
    </row>
    <row r="228" spans="1:13" x14ac:dyDescent="0.25">
      <c r="A228" s="116"/>
      <c r="G228" s="80"/>
      <c r="H228" s="95">
        <v>223</v>
      </c>
      <c r="I228" s="96" t="str">
        <f t="shared" si="14"/>
        <v/>
      </c>
      <c r="J228" s="96" t="e">
        <f t="shared" si="17"/>
        <v>#NUM!</v>
      </c>
      <c r="K228" s="95" t="e">
        <f t="shared" si="15"/>
        <v>#NUM!</v>
      </c>
      <c r="L228" s="95"/>
      <c r="M228" s="97">
        <f t="shared" si="16"/>
        <v>0</v>
      </c>
    </row>
    <row r="229" spans="1:13" x14ac:dyDescent="0.25">
      <c r="A229" s="116"/>
      <c r="G229" s="80"/>
      <c r="H229" s="95">
        <v>224</v>
      </c>
      <c r="I229" s="96" t="str">
        <f t="shared" si="14"/>
        <v/>
      </c>
      <c r="J229" s="96" t="e">
        <f t="shared" si="17"/>
        <v>#NUM!</v>
      </c>
      <c r="K229" s="95" t="e">
        <f t="shared" si="15"/>
        <v>#NUM!</v>
      </c>
      <c r="L229" s="95"/>
      <c r="M229" s="97">
        <f t="shared" si="16"/>
        <v>0</v>
      </c>
    </row>
    <row r="230" spans="1:13" x14ac:dyDescent="0.25">
      <c r="A230" s="116"/>
      <c r="G230" s="80"/>
      <c r="H230" s="95">
        <v>225</v>
      </c>
      <c r="I230" s="96" t="str">
        <f t="shared" si="14"/>
        <v/>
      </c>
      <c r="J230" s="96" t="e">
        <f t="shared" si="17"/>
        <v>#NUM!</v>
      </c>
      <c r="K230" s="95" t="e">
        <f t="shared" si="15"/>
        <v>#NUM!</v>
      </c>
      <c r="L230" s="95"/>
      <c r="M230" s="97">
        <f t="shared" si="16"/>
        <v>0</v>
      </c>
    </row>
    <row r="231" spans="1:13" x14ac:dyDescent="0.25">
      <c r="A231" s="116"/>
      <c r="G231" s="80"/>
      <c r="H231" s="95">
        <v>226</v>
      </c>
      <c r="I231" s="96" t="str">
        <f t="shared" si="14"/>
        <v/>
      </c>
      <c r="J231" s="96" t="e">
        <f t="shared" si="17"/>
        <v>#NUM!</v>
      </c>
      <c r="K231" s="95" t="e">
        <f t="shared" si="15"/>
        <v>#NUM!</v>
      </c>
      <c r="L231" s="95"/>
      <c r="M231" s="97">
        <f t="shared" si="16"/>
        <v>0</v>
      </c>
    </row>
    <row r="232" spans="1:13" x14ac:dyDescent="0.25">
      <c r="A232" s="116"/>
      <c r="G232" s="80"/>
      <c r="H232" s="95">
        <v>227</v>
      </c>
      <c r="I232" s="96" t="str">
        <f t="shared" si="14"/>
        <v/>
      </c>
      <c r="J232" s="96" t="e">
        <f t="shared" si="17"/>
        <v>#NUM!</v>
      </c>
      <c r="K232" s="95" t="e">
        <f t="shared" si="15"/>
        <v>#NUM!</v>
      </c>
      <c r="L232" s="95"/>
      <c r="M232" s="97">
        <f t="shared" si="16"/>
        <v>0</v>
      </c>
    </row>
    <row r="233" spans="1:13" x14ac:dyDescent="0.25">
      <c r="A233" s="116"/>
      <c r="G233" s="80"/>
      <c r="H233" s="95">
        <v>228</v>
      </c>
      <c r="I233" s="96" t="str">
        <f t="shared" si="14"/>
        <v/>
      </c>
      <c r="J233" s="96" t="e">
        <f t="shared" si="17"/>
        <v>#NUM!</v>
      </c>
      <c r="K233" s="95" t="e">
        <f t="shared" si="15"/>
        <v>#NUM!</v>
      </c>
      <c r="L233" s="95"/>
      <c r="M233" s="97">
        <f t="shared" si="16"/>
        <v>0</v>
      </c>
    </row>
    <row r="234" spans="1:13" x14ac:dyDescent="0.25">
      <c r="A234" s="116"/>
      <c r="G234" s="80"/>
      <c r="H234" s="95">
        <v>229</v>
      </c>
      <c r="I234" s="96" t="str">
        <f t="shared" si="14"/>
        <v/>
      </c>
      <c r="J234" s="96" t="e">
        <f t="shared" si="17"/>
        <v>#NUM!</v>
      </c>
      <c r="K234" s="95" t="e">
        <f t="shared" si="15"/>
        <v>#NUM!</v>
      </c>
      <c r="L234" s="95"/>
      <c r="M234" s="97">
        <f t="shared" si="16"/>
        <v>0</v>
      </c>
    </row>
    <row r="235" spans="1:13" x14ac:dyDescent="0.25">
      <c r="A235" s="116"/>
      <c r="G235" s="80"/>
      <c r="H235" s="95">
        <v>230</v>
      </c>
      <c r="I235" s="96" t="str">
        <f t="shared" si="14"/>
        <v/>
      </c>
      <c r="J235" s="96" t="e">
        <f t="shared" si="17"/>
        <v>#NUM!</v>
      </c>
      <c r="K235" s="95" t="e">
        <f t="shared" si="15"/>
        <v>#NUM!</v>
      </c>
      <c r="L235" s="95"/>
      <c r="M235" s="97">
        <f t="shared" si="16"/>
        <v>0</v>
      </c>
    </row>
    <row r="236" spans="1:13" x14ac:dyDescent="0.25">
      <c r="A236" s="116"/>
      <c r="G236" s="80"/>
      <c r="H236" s="95">
        <v>231</v>
      </c>
      <c r="I236" s="96" t="str">
        <f t="shared" si="14"/>
        <v/>
      </c>
      <c r="J236" s="96" t="e">
        <f t="shared" si="17"/>
        <v>#NUM!</v>
      </c>
      <c r="K236" s="95" t="e">
        <f t="shared" si="15"/>
        <v>#NUM!</v>
      </c>
      <c r="L236" s="95"/>
      <c r="M236" s="97">
        <f t="shared" si="16"/>
        <v>0</v>
      </c>
    </row>
    <row r="237" spans="1:13" x14ac:dyDescent="0.25">
      <c r="A237" s="116"/>
      <c r="G237" s="80"/>
      <c r="H237" s="95">
        <v>232</v>
      </c>
      <c r="I237" s="96" t="str">
        <f t="shared" si="14"/>
        <v/>
      </c>
      <c r="J237" s="96" t="e">
        <f t="shared" si="17"/>
        <v>#NUM!</v>
      </c>
      <c r="K237" s="95" t="e">
        <f t="shared" si="15"/>
        <v>#NUM!</v>
      </c>
      <c r="L237" s="95"/>
      <c r="M237" s="97">
        <f t="shared" si="16"/>
        <v>0</v>
      </c>
    </row>
    <row r="238" spans="1:13" x14ac:dyDescent="0.25">
      <c r="A238" s="116"/>
      <c r="G238" s="80"/>
      <c r="H238" s="95">
        <v>233</v>
      </c>
      <c r="I238" s="96" t="str">
        <f t="shared" si="14"/>
        <v/>
      </c>
      <c r="J238" s="96" t="e">
        <f t="shared" si="17"/>
        <v>#NUM!</v>
      </c>
      <c r="K238" s="95" t="e">
        <f t="shared" si="15"/>
        <v>#NUM!</v>
      </c>
      <c r="L238" s="95"/>
      <c r="M238" s="97">
        <f t="shared" si="16"/>
        <v>0</v>
      </c>
    </row>
    <row r="239" spans="1:13" x14ac:dyDescent="0.25">
      <c r="A239" s="116"/>
      <c r="G239" s="80"/>
      <c r="H239" s="95">
        <v>234</v>
      </c>
      <c r="I239" s="96" t="str">
        <f t="shared" si="14"/>
        <v/>
      </c>
      <c r="J239" s="96" t="e">
        <f t="shared" si="17"/>
        <v>#NUM!</v>
      </c>
      <c r="K239" s="95" t="e">
        <f t="shared" si="15"/>
        <v>#NUM!</v>
      </c>
      <c r="L239" s="95"/>
      <c r="M239" s="97">
        <f t="shared" si="16"/>
        <v>0</v>
      </c>
    </row>
    <row r="240" spans="1:13" x14ac:dyDescent="0.25">
      <c r="A240" s="116"/>
      <c r="G240" s="80"/>
      <c r="H240" s="95">
        <v>235</v>
      </c>
      <c r="I240" s="96" t="str">
        <f t="shared" si="14"/>
        <v/>
      </c>
      <c r="J240" s="96" t="e">
        <f t="shared" si="17"/>
        <v>#NUM!</v>
      </c>
      <c r="K240" s="95" t="e">
        <f t="shared" si="15"/>
        <v>#NUM!</v>
      </c>
      <c r="L240" s="95"/>
      <c r="M240" s="97">
        <f t="shared" si="16"/>
        <v>0</v>
      </c>
    </row>
    <row r="241" spans="1:13" x14ac:dyDescent="0.25">
      <c r="A241" s="116"/>
      <c r="G241" s="80"/>
      <c r="H241" s="95">
        <v>236</v>
      </c>
      <c r="I241" s="96" t="str">
        <f t="shared" si="14"/>
        <v/>
      </c>
      <c r="J241" s="96" t="e">
        <f t="shared" si="17"/>
        <v>#NUM!</v>
      </c>
      <c r="K241" s="95" t="e">
        <f t="shared" si="15"/>
        <v>#NUM!</v>
      </c>
      <c r="L241" s="95"/>
      <c r="M241" s="97">
        <f t="shared" si="16"/>
        <v>0</v>
      </c>
    </row>
    <row r="242" spans="1:13" x14ac:dyDescent="0.25">
      <c r="A242" s="116"/>
      <c r="G242" s="80"/>
      <c r="H242" s="95">
        <v>237</v>
      </c>
      <c r="I242" s="96" t="str">
        <f t="shared" si="14"/>
        <v/>
      </c>
      <c r="J242" s="96" t="e">
        <f t="shared" si="17"/>
        <v>#NUM!</v>
      </c>
      <c r="K242" s="95" t="e">
        <f t="shared" si="15"/>
        <v>#NUM!</v>
      </c>
      <c r="L242" s="95"/>
      <c r="M242" s="97">
        <f t="shared" si="16"/>
        <v>0</v>
      </c>
    </row>
    <row r="243" spans="1:13" x14ac:dyDescent="0.25">
      <c r="A243" s="116"/>
      <c r="G243" s="80"/>
      <c r="H243" s="95">
        <v>238</v>
      </c>
      <c r="I243" s="96" t="str">
        <f t="shared" si="14"/>
        <v/>
      </c>
      <c r="J243" s="96" t="e">
        <f t="shared" si="17"/>
        <v>#NUM!</v>
      </c>
      <c r="K243" s="95" t="e">
        <f t="shared" si="15"/>
        <v>#NUM!</v>
      </c>
      <c r="L243" s="95"/>
      <c r="M243" s="97">
        <f t="shared" si="16"/>
        <v>0</v>
      </c>
    </row>
    <row r="244" spans="1:13" x14ac:dyDescent="0.25">
      <c r="A244" s="116"/>
      <c r="G244" s="80"/>
      <c r="H244" s="95">
        <v>239</v>
      </c>
      <c r="I244" s="96" t="str">
        <f t="shared" si="14"/>
        <v/>
      </c>
      <c r="J244" s="96" t="e">
        <f t="shared" si="17"/>
        <v>#NUM!</v>
      </c>
      <c r="K244" s="95" t="e">
        <f t="shared" si="15"/>
        <v>#NUM!</v>
      </c>
      <c r="L244" s="95"/>
      <c r="M244" s="97">
        <f t="shared" si="16"/>
        <v>0</v>
      </c>
    </row>
    <row r="245" spans="1:13" x14ac:dyDescent="0.25">
      <c r="A245" s="116"/>
      <c r="G245" s="80"/>
      <c r="H245" s="95">
        <v>240</v>
      </c>
      <c r="I245" s="96" t="str">
        <f t="shared" si="14"/>
        <v/>
      </c>
      <c r="J245" s="96" t="e">
        <f t="shared" si="17"/>
        <v>#NUM!</v>
      </c>
      <c r="K245" s="95" t="e">
        <f t="shared" si="15"/>
        <v>#NUM!</v>
      </c>
      <c r="L245" s="95"/>
      <c r="M245" s="97">
        <f t="shared" si="16"/>
        <v>0</v>
      </c>
    </row>
    <row r="246" spans="1:13" x14ac:dyDescent="0.25">
      <c r="A246" s="116"/>
      <c r="G246" s="80"/>
      <c r="H246" s="95">
        <v>241</v>
      </c>
      <c r="I246" s="96" t="str">
        <f t="shared" si="14"/>
        <v/>
      </c>
      <c r="J246" s="96" t="e">
        <f t="shared" si="17"/>
        <v>#NUM!</v>
      </c>
      <c r="K246" s="95" t="e">
        <f t="shared" si="15"/>
        <v>#NUM!</v>
      </c>
      <c r="L246" s="95"/>
      <c r="M246" s="97">
        <f t="shared" si="16"/>
        <v>0</v>
      </c>
    </row>
    <row r="247" spans="1:13" x14ac:dyDescent="0.25">
      <c r="A247" s="116"/>
      <c r="G247" s="80"/>
      <c r="H247" s="95">
        <v>242</v>
      </c>
      <c r="I247" s="96" t="str">
        <f t="shared" si="14"/>
        <v/>
      </c>
      <c r="J247" s="96" t="e">
        <f t="shared" si="17"/>
        <v>#NUM!</v>
      </c>
      <c r="K247" s="95" t="e">
        <f t="shared" si="15"/>
        <v>#NUM!</v>
      </c>
      <c r="L247" s="95"/>
      <c r="M247" s="97">
        <f t="shared" si="16"/>
        <v>0</v>
      </c>
    </row>
    <row r="248" spans="1:13" x14ac:dyDescent="0.25">
      <c r="A248" s="116"/>
      <c r="G248" s="80"/>
      <c r="H248" s="95">
        <v>243</v>
      </c>
      <c r="I248" s="96" t="str">
        <f t="shared" si="14"/>
        <v/>
      </c>
      <c r="J248" s="96" t="e">
        <f t="shared" si="17"/>
        <v>#NUM!</v>
      </c>
      <c r="K248" s="95" t="e">
        <f t="shared" si="15"/>
        <v>#NUM!</v>
      </c>
      <c r="L248" s="95"/>
      <c r="M248" s="97">
        <f t="shared" si="16"/>
        <v>0</v>
      </c>
    </row>
    <row r="249" spans="1:13" x14ac:dyDescent="0.25">
      <c r="A249" s="116"/>
      <c r="G249" s="80"/>
      <c r="H249" s="95">
        <v>244</v>
      </c>
      <c r="I249" s="96" t="str">
        <f t="shared" si="14"/>
        <v/>
      </c>
      <c r="J249" s="96" t="e">
        <f t="shared" si="17"/>
        <v>#NUM!</v>
      </c>
      <c r="K249" s="95" t="e">
        <f t="shared" si="15"/>
        <v>#NUM!</v>
      </c>
      <c r="L249" s="95"/>
      <c r="M249" s="97">
        <f t="shared" si="16"/>
        <v>0</v>
      </c>
    </row>
    <row r="250" spans="1:13" x14ac:dyDescent="0.25">
      <c r="A250" s="116"/>
      <c r="G250" s="80"/>
      <c r="H250" s="95">
        <v>245</v>
      </c>
      <c r="I250" s="96" t="str">
        <f t="shared" si="14"/>
        <v/>
      </c>
      <c r="J250" s="96" t="e">
        <f t="shared" si="17"/>
        <v>#NUM!</v>
      </c>
      <c r="K250" s="95" t="e">
        <f t="shared" si="15"/>
        <v>#NUM!</v>
      </c>
      <c r="L250" s="95"/>
      <c r="M250" s="97">
        <f t="shared" si="16"/>
        <v>0</v>
      </c>
    </row>
    <row r="251" spans="1:13" x14ac:dyDescent="0.25">
      <c r="A251" s="116"/>
      <c r="G251" s="80"/>
      <c r="H251" s="95">
        <v>246</v>
      </c>
      <c r="I251" s="96" t="str">
        <f t="shared" si="14"/>
        <v/>
      </c>
      <c r="J251" s="96" t="e">
        <f t="shared" si="17"/>
        <v>#NUM!</v>
      </c>
      <c r="K251" s="95" t="e">
        <f t="shared" si="15"/>
        <v>#NUM!</v>
      </c>
      <c r="L251" s="95"/>
      <c r="M251" s="97">
        <f t="shared" si="16"/>
        <v>0</v>
      </c>
    </row>
    <row r="252" spans="1:13" x14ac:dyDescent="0.25">
      <c r="A252" s="116"/>
      <c r="G252" s="80"/>
      <c r="H252" s="95">
        <v>247</v>
      </c>
      <c r="I252" s="96" t="str">
        <f t="shared" si="14"/>
        <v/>
      </c>
      <c r="J252" s="96" t="e">
        <f t="shared" si="17"/>
        <v>#NUM!</v>
      </c>
      <c r="K252" s="95" t="e">
        <f t="shared" si="15"/>
        <v>#NUM!</v>
      </c>
      <c r="L252" s="95"/>
      <c r="M252" s="97">
        <f t="shared" si="16"/>
        <v>0</v>
      </c>
    </row>
    <row r="253" spans="1:13" x14ac:dyDescent="0.25">
      <c r="A253" s="116"/>
      <c r="G253" s="80"/>
      <c r="H253" s="95">
        <v>248</v>
      </c>
      <c r="I253" s="96" t="str">
        <f t="shared" si="14"/>
        <v/>
      </c>
      <c r="J253" s="96" t="e">
        <f t="shared" si="17"/>
        <v>#NUM!</v>
      </c>
      <c r="K253" s="95" t="e">
        <f t="shared" si="15"/>
        <v>#NUM!</v>
      </c>
      <c r="L253" s="95"/>
      <c r="M253" s="97">
        <f t="shared" si="16"/>
        <v>0</v>
      </c>
    </row>
    <row r="254" spans="1:13" x14ac:dyDescent="0.25">
      <c r="A254" s="116"/>
      <c r="G254" s="80"/>
      <c r="H254" s="95">
        <v>249</v>
      </c>
      <c r="I254" s="96" t="str">
        <f t="shared" si="14"/>
        <v/>
      </c>
      <c r="J254" s="96" t="e">
        <f t="shared" si="17"/>
        <v>#NUM!</v>
      </c>
      <c r="K254" s="95" t="e">
        <f t="shared" si="15"/>
        <v>#NUM!</v>
      </c>
      <c r="L254" s="95"/>
      <c r="M254" s="97">
        <f t="shared" si="16"/>
        <v>0</v>
      </c>
    </row>
    <row r="255" spans="1:13" x14ac:dyDescent="0.25">
      <c r="A255" s="116"/>
      <c r="G255" s="80"/>
      <c r="H255" s="95">
        <v>250</v>
      </c>
      <c r="I255" s="96" t="str">
        <f t="shared" si="14"/>
        <v/>
      </c>
      <c r="J255" s="96" t="e">
        <f t="shared" si="17"/>
        <v>#NUM!</v>
      </c>
      <c r="K255" s="95" t="e">
        <f t="shared" si="15"/>
        <v>#NUM!</v>
      </c>
      <c r="L255" s="95"/>
      <c r="M255" s="97">
        <f t="shared" si="16"/>
        <v>0</v>
      </c>
    </row>
    <row r="256" spans="1:13" x14ac:dyDescent="0.25">
      <c r="A256" s="116"/>
      <c r="G256" s="80"/>
      <c r="H256" s="95">
        <v>251</v>
      </c>
      <c r="I256" s="96" t="str">
        <f t="shared" si="14"/>
        <v/>
      </c>
      <c r="J256" s="96" t="e">
        <f t="shared" si="17"/>
        <v>#NUM!</v>
      </c>
      <c r="K256" s="95" t="e">
        <f t="shared" si="15"/>
        <v>#NUM!</v>
      </c>
      <c r="L256" s="95"/>
      <c r="M256" s="97">
        <f t="shared" si="16"/>
        <v>0</v>
      </c>
    </row>
    <row r="257" spans="1:13" x14ac:dyDescent="0.25">
      <c r="A257" s="116"/>
      <c r="G257" s="80"/>
      <c r="H257" s="95">
        <v>252</v>
      </c>
      <c r="I257" s="96" t="str">
        <f t="shared" si="14"/>
        <v/>
      </c>
      <c r="J257" s="96" t="e">
        <f t="shared" si="17"/>
        <v>#NUM!</v>
      </c>
      <c r="K257" s="95" t="e">
        <f t="shared" si="15"/>
        <v>#NUM!</v>
      </c>
      <c r="L257" s="95"/>
      <c r="M257" s="97">
        <f t="shared" si="16"/>
        <v>0</v>
      </c>
    </row>
    <row r="258" spans="1:13" x14ac:dyDescent="0.25">
      <c r="A258" s="116"/>
      <c r="G258" s="80"/>
      <c r="H258" s="95">
        <v>253</v>
      </c>
      <c r="I258" s="96" t="str">
        <f t="shared" si="14"/>
        <v/>
      </c>
      <c r="J258" s="96" t="e">
        <f t="shared" si="17"/>
        <v>#NUM!</v>
      </c>
      <c r="K258" s="95" t="e">
        <f t="shared" si="15"/>
        <v>#NUM!</v>
      </c>
      <c r="L258" s="95"/>
      <c r="M258" s="97">
        <f t="shared" si="16"/>
        <v>0</v>
      </c>
    </row>
    <row r="259" spans="1:13" x14ac:dyDescent="0.25">
      <c r="A259" s="116"/>
      <c r="G259" s="80"/>
      <c r="H259" s="95">
        <v>254</v>
      </c>
      <c r="I259" s="96" t="str">
        <f t="shared" si="14"/>
        <v/>
      </c>
      <c r="J259" s="96" t="e">
        <f t="shared" si="17"/>
        <v>#NUM!</v>
      </c>
      <c r="K259" s="95" t="e">
        <f t="shared" si="15"/>
        <v>#NUM!</v>
      </c>
      <c r="L259" s="95"/>
      <c r="M259" s="97">
        <f t="shared" si="16"/>
        <v>0</v>
      </c>
    </row>
    <row r="260" spans="1:13" x14ac:dyDescent="0.25">
      <c r="A260" s="116"/>
      <c r="G260" s="80"/>
      <c r="H260" s="95">
        <v>255</v>
      </c>
      <c r="I260" s="96" t="str">
        <f t="shared" si="14"/>
        <v/>
      </c>
      <c r="J260" s="96" t="e">
        <f t="shared" si="17"/>
        <v>#NUM!</v>
      </c>
      <c r="K260" s="95" t="e">
        <f t="shared" si="15"/>
        <v>#NUM!</v>
      </c>
      <c r="L260" s="95"/>
      <c r="M260" s="97">
        <f t="shared" si="16"/>
        <v>0</v>
      </c>
    </row>
    <row r="261" spans="1:13" x14ac:dyDescent="0.25">
      <c r="A261" s="116"/>
      <c r="G261" s="80"/>
      <c r="H261" s="95">
        <v>256</v>
      </c>
      <c r="I261" s="96" t="str">
        <f t="shared" si="14"/>
        <v/>
      </c>
      <c r="J261" s="96" t="e">
        <f t="shared" si="17"/>
        <v>#NUM!</v>
      </c>
      <c r="K261" s="95" t="e">
        <f t="shared" si="15"/>
        <v>#NUM!</v>
      </c>
      <c r="L261" s="95"/>
      <c r="M261" s="97">
        <f t="shared" si="16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8">IF(H262&lt;$H$2+1,($I$2-($I$2-1)*(LOG(H262)/LOG($H$2))),"")</f>
        <v/>
      </c>
      <c r="J262" s="96" t="e">
        <f t="shared" si="17"/>
        <v>#NUM!</v>
      </c>
      <c r="K262" s="95" t="e">
        <f t="shared" ref="K262:K305" si="19">J262*$J$2</f>
        <v>#NUM!</v>
      </c>
      <c r="L262" s="95"/>
      <c r="M262" s="97">
        <f t="shared" ref="M262:M305" si="20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8"/>
        <v/>
      </c>
      <c r="J263" s="96" t="e">
        <f t="shared" ref="J263:J305" si="21">INT(LOG($H$2,2))-ROUNDUP(LOG(H263,2),0)+IF(OR($H$2=1,$H$2=2,$H$2=4,$H$2=8,$H$2=16,$H$2=32,$H$2=64,$H$2=128,$H$2=256),0,1)</f>
        <v>#NUM!</v>
      </c>
      <c r="K263" s="95" t="e">
        <f t="shared" si="19"/>
        <v>#NUM!</v>
      </c>
      <c r="L263" s="95"/>
      <c r="M263" s="97">
        <f t="shared" si="20"/>
        <v>0</v>
      </c>
    </row>
    <row r="264" spans="1:13" x14ac:dyDescent="0.25">
      <c r="A264" s="116"/>
      <c r="G264" s="80"/>
      <c r="H264" s="95">
        <v>259</v>
      </c>
      <c r="I264" s="96" t="str">
        <f t="shared" si="18"/>
        <v/>
      </c>
      <c r="J264" s="96" t="e">
        <f t="shared" si="21"/>
        <v>#NUM!</v>
      </c>
      <c r="K264" s="95" t="e">
        <f t="shared" si="19"/>
        <v>#NUM!</v>
      </c>
      <c r="L264" s="95"/>
      <c r="M264" s="97">
        <f t="shared" si="20"/>
        <v>0</v>
      </c>
    </row>
    <row r="265" spans="1:13" x14ac:dyDescent="0.25">
      <c r="A265" s="116"/>
      <c r="G265" s="80"/>
      <c r="H265" s="95">
        <v>260</v>
      </c>
      <c r="I265" s="96" t="str">
        <f t="shared" si="18"/>
        <v/>
      </c>
      <c r="J265" s="96" t="e">
        <f t="shared" si="21"/>
        <v>#NUM!</v>
      </c>
      <c r="K265" s="95" t="e">
        <f t="shared" si="19"/>
        <v>#NUM!</v>
      </c>
      <c r="L265" s="95"/>
      <c r="M265" s="97">
        <f t="shared" si="20"/>
        <v>0</v>
      </c>
    </row>
    <row r="266" spans="1:13" x14ac:dyDescent="0.25">
      <c r="A266" s="116"/>
      <c r="G266" s="80"/>
      <c r="H266" s="95">
        <v>261</v>
      </c>
      <c r="I266" s="96" t="str">
        <f t="shared" si="18"/>
        <v/>
      </c>
      <c r="J266" s="96" t="e">
        <f t="shared" si="21"/>
        <v>#NUM!</v>
      </c>
      <c r="K266" s="95" t="e">
        <f t="shared" si="19"/>
        <v>#NUM!</v>
      </c>
      <c r="L266" s="95"/>
      <c r="M266" s="97">
        <f t="shared" si="20"/>
        <v>0</v>
      </c>
    </row>
    <row r="267" spans="1:13" x14ac:dyDescent="0.25">
      <c r="A267" s="116"/>
      <c r="G267" s="80"/>
      <c r="H267" s="95">
        <v>262</v>
      </c>
      <c r="I267" s="96" t="str">
        <f t="shared" si="18"/>
        <v/>
      </c>
      <c r="J267" s="96" t="e">
        <f t="shared" si="21"/>
        <v>#NUM!</v>
      </c>
      <c r="K267" s="95" t="e">
        <f t="shared" si="19"/>
        <v>#NUM!</v>
      </c>
      <c r="L267" s="95"/>
      <c r="M267" s="97">
        <f t="shared" si="20"/>
        <v>0</v>
      </c>
    </row>
    <row r="268" spans="1:13" x14ac:dyDescent="0.25">
      <c r="A268" s="116"/>
      <c r="G268" s="80"/>
      <c r="H268" s="95">
        <v>263</v>
      </c>
      <c r="I268" s="96" t="str">
        <f t="shared" si="18"/>
        <v/>
      </c>
      <c r="J268" s="96" t="e">
        <f t="shared" si="21"/>
        <v>#NUM!</v>
      </c>
      <c r="K268" s="95" t="e">
        <f t="shared" si="19"/>
        <v>#NUM!</v>
      </c>
      <c r="L268" s="95"/>
      <c r="M268" s="97">
        <f t="shared" si="20"/>
        <v>0</v>
      </c>
    </row>
    <row r="269" spans="1:13" x14ac:dyDescent="0.25">
      <c r="A269" s="116"/>
      <c r="G269" s="80"/>
      <c r="H269" s="95">
        <v>264</v>
      </c>
      <c r="I269" s="96" t="str">
        <f t="shared" si="18"/>
        <v/>
      </c>
      <c r="J269" s="96" t="e">
        <f t="shared" si="21"/>
        <v>#NUM!</v>
      </c>
      <c r="K269" s="95" t="e">
        <f t="shared" si="19"/>
        <v>#NUM!</v>
      </c>
      <c r="L269" s="95"/>
      <c r="M269" s="97">
        <f t="shared" si="20"/>
        <v>0</v>
      </c>
    </row>
    <row r="270" spans="1:13" x14ac:dyDescent="0.25">
      <c r="A270" s="116"/>
      <c r="G270" s="80"/>
      <c r="H270" s="95">
        <v>265</v>
      </c>
      <c r="I270" s="96" t="str">
        <f t="shared" si="18"/>
        <v/>
      </c>
      <c r="J270" s="96" t="e">
        <f t="shared" si="21"/>
        <v>#NUM!</v>
      </c>
      <c r="K270" s="95" t="e">
        <f t="shared" si="19"/>
        <v>#NUM!</v>
      </c>
      <c r="L270" s="95"/>
      <c r="M270" s="97">
        <f t="shared" si="20"/>
        <v>0</v>
      </c>
    </row>
    <row r="271" spans="1:13" x14ac:dyDescent="0.25">
      <c r="A271" s="116"/>
      <c r="G271" s="80"/>
      <c r="H271" s="95">
        <v>266</v>
      </c>
      <c r="I271" s="96" t="str">
        <f t="shared" si="18"/>
        <v/>
      </c>
      <c r="J271" s="96" t="e">
        <f t="shared" si="21"/>
        <v>#NUM!</v>
      </c>
      <c r="K271" s="95" t="e">
        <f t="shared" si="19"/>
        <v>#NUM!</v>
      </c>
      <c r="L271" s="95"/>
      <c r="M271" s="97">
        <f t="shared" si="20"/>
        <v>0</v>
      </c>
    </row>
    <row r="272" spans="1:13" x14ac:dyDescent="0.25">
      <c r="A272" s="116"/>
      <c r="G272" s="80"/>
      <c r="H272" s="95">
        <v>267</v>
      </c>
      <c r="I272" s="96" t="str">
        <f t="shared" si="18"/>
        <v/>
      </c>
      <c r="J272" s="96" t="e">
        <f t="shared" si="21"/>
        <v>#NUM!</v>
      </c>
      <c r="K272" s="95" t="e">
        <f t="shared" si="19"/>
        <v>#NUM!</v>
      </c>
      <c r="L272" s="95"/>
      <c r="M272" s="97">
        <f t="shared" si="20"/>
        <v>0</v>
      </c>
    </row>
    <row r="273" spans="1:13" x14ac:dyDescent="0.25">
      <c r="A273" s="116"/>
      <c r="G273" s="80"/>
      <c r="H273" s="95">
        <v>268</v>
      </c>
      <c r="I273" s="96" t="str">
        <f t="shared" si="18"/>
        <v/>
      </c>
      <c r="J273" s="96" t="e">
        <f t="shared" si="21"/>
        <v>#NUM!</v>
      </c>
      <c r="K273" s="95" t="e">
        <f t="shared" si="19"/>
        <v>#NUM!</v>
      </c>
      <c r="L273" s="95"/>
      <c r="M273" s="97">
        <f t="shared" si="20"/>
        <v>0</v>
      </c>
    </row>
    <row r="274" spans="1:13" x14ac:dyDescent="0.25">
      <c r="A274" s="116"/>
      <c r="G274" s="80"/>
      <c r="H274" s="95">
        <v>269</v>
      </c>
      <c r="I274" s="96" t="str">
        <f t="shared" si="18"/>
        <v/>
      </c>
      <c r="J274" s="96" t="e">
        <f t="shared" si="21"/>
        <v>#NUM!</v>
      </c>
      <c r="K274" s="95" t="e">
        <f t="shared" si="19"/>
        <v>#NUM!</v>
      </c>
      <c r="L274" s="95"/>
      <c r="M274" s="97">
        <f t="shared" si="20"/>
        <v>0</v>
      </c>
    </row>
    <row r="275" spans="1:13" x14ac:dyDescent="0.25">
      <c r="A275" s="116"/>
      <c r="G275" s="80"/>
      <c r="H275" s="95">
        <v>270</v>
      </c>
      <c r="I275" s="96" t="str">
        <f t="shared" si="18"/>
        <v/>
      </c>
      <c r="J275" s="96" t="e">
        <f t="shared" si="21"/>
        <v>#NUM!</v>
      </c>
      <c r="K275" s="95" t="e">
        <f t="shared" si="19"/>
        <v>#NUM!</v>
      </c>
      <c r="L275" s="95"/>
      <c r="M275" s="97">
        <f t="shared" si="20"/>
        <v>0</v>
      </c>
    </row>
    <row r="276" spans="1:13" x14ac:dyDescent="0.25">
      <c r="A276" s="116"/>
      <c r="G276" s="80"/>
      <c r="H276" s="95">
        <v>271</v>
      </c>
      <c r="I276" s="96" t="str">
        <f t="shared" si="18"/>
        <v/>
      </c>
      <c r="J276" s="96" t="e">
        <f t="shared" si="21"/>
        <v>#NUM!</v>
      </c>
      <c r="K276" s="95" t="e">
        <f t="shared" si="19"/>
        <v>#NUM!</v>
      </c>
      <c r="L276" s="95"/>
      <c r="M276" s="97">
        <f t="shared" si="20"/>
        <v>0</v>
      </c>
    </row>
    <row r="277" spans="1:13" x14ac:dyDescent="0.25">
      <c r="A277" s="116"/>
      <c r="G277" s="80"/>
      <c r="H277" s="95">
        <v>272</v>
      </c>
      <c r="I277" s="96" t="str">
        <f t="shared" si="18"/>
        <v/>
      </c>
      <c r="J277" s="96" t="e">
        <f t="shared" si="21"/>
        <v>#NUM!</v>
      </c>
      <c r="K277" s="95" t="e">
        <f t="shared" si="19"/>
        <v>#NUM!</v>
      </c>
      <c r="L277" s="95"/>
      <c r="M277" s="97">
        <f t="shared" si="20"/>
        <v>0</v>
      </c>
    </row>
    <row r="278" spans="1:13" x14ac:dyDescent="0.25">
      <c r="A278" s="116"/>
      <c r="G278" s="80"/>
      <c r="H278" s="95">
        <v>273</v>
      </c>
      <c r="I278" s="96" t="str">
        <f t="shared" si="18"/>
        <v/>
      </c>
      <c r="J278" s="96" t="e">
        <f t="shared" si="21"/>
        <v>#NUM!</v>
      </c>
      <c r="K278" s="95" t="e">
        <f t="shared" si="19"/>
        <v>#NUM!</v>
      </c>
      <c r="L278" s="95"/>
      <c r="M278" s="97">
        <f t="shared" si="20"/>
        <v>0</v>
      </c>
    </row>
    <row r="279" spans="1:13" x14ac:dyDescent="0.25">
      <c r="A279" s="116"/>
      <c r="G279" s="80"/>
      <c r="H279" s="95">
        <v>274</v>
      </c>
      <c r="I279" s="96" t="str">
        <f t="shared" si="18"/>
        <v/>
      </c>
      <c r="J279" s="96" t="e">
        <f t="shared" si="21"/>
        <v>#NUM!</v>
      </c>
      <c r="K279" s="95" t="e">
        <f t="shared" si="19"/>
        <v>#NUM!</v>
      </c>
      <c r="L279" s="95"/>
      <c r="M279" s="97">
        <f t="shared" si="20"/>
        <v>0</v>
      </c>
    </row>
    <row r="280" spans="1:13" x14ac:dyDescent="0.25">
      <c r="A280" s="116"/>
      <c r="G280" s="80"/>
      <c r="H280" s="95">
        <v>275</v>
      </c>
      <c r="I280" s="96" t="str">
        <f t="shared" si="18"/>
        <v/>
      </c>
      <c r="J280" s="96" t="e">
        <f t="shared" si="21"/>
        <v>#NUM!</v>
      </c>
      <c r="K280" s="95" t="e">
        <f t="shared" si="19"/>
        <v>#NUM!</v>
      </c>
      <c r="L280" s="95"/>
      <c r="M280" s="97">
        <f t="shared" si="20"/>
        <v>0</v>
      </c>
    </row>
    <row r="281" spans="1:13" x14ac:dyDescent="0.25">
      <c r="A281" s="116"/>
      <c r="G281" s="80"/>
      <c r="H281" s="95">
        <v>276</v>
      </c>
      <c r="I281" s="96" t="str">
        <f t="shared" si="18"/>
        <v/>
      </c>
      <c r="J281" s="96" t="e">
        <f t="shared" si="21"/>
        <v>#NUM!</v>
      </c>
      <c r="K281" s="95" t="e">
        <f t="shared" si="19"/>
        <v>#NUM!</v>
      </c>
      <c r="L281" s="95"/>
      <c r="M281" s="97">
        <f t="shared" si="20"/>
        <v>0</v>
      </c>
    </row>
    <row r="282" spans="1:13" x14ac:dyDescent="0.25">
      <c r="A282" s="116"/>
      <c r="G282" s="80"/>
      <c r="H282" s="95">
        <v>277</v>
      </c>
      <c r="I282" s="96" t="str">
        <f t="shared" si="18"/>
        <v/>
      </c>
      <c r="J282" s="96" t="e">
        <f t="shared" si="21"/>
        <v>#NUM!</v>
      </c>
      <c r="K282" s="95" t="e">
        <f t="shared" si="19"/>
        <v>#NUM!</v>
      </c>
      <c r="L282" s="95"/>
      <c r="M282" s="97">
        <f t="shared" si="20"/>
        <v>0</v>
      </c>
    </row>
    <row r="283" spans="1:13" x14ac:dyDescent="0.25">
      <c r="A283" s="116"/>
      <c r="G283" s="80"/>
      <c r="H283" s="95">
        <v>278</v>
      </c>
      <c r="I283" s="96" t="str">
        <f t="shared" si="18"/>
        <v/>
      </c>
      <c r="J283" s="96" t="e">
        <f t="shared" si="21"/>
        <v>#NUM!</v>
      </c>
      <c r="K283" s="95" t="e">
        <f t="shared" si="19"/>
        <v>#NUM!</v>
      </c>
      <c r="L283" s="95"/>
      <c r="M283" s="97">
        <f t="shared" si="20"/>
        <v>0</v>
      </c>
    </row>
    <row r="284" spans="1:13" x14ac:dyDescent="0.25">
      <c r="A284" s="116"/>
      <c r="G284" s="80"/>
      <c r="H284" s="95">
        <v>279</v>
      </c>
      <c r="I284" s="96" t="str">
        <f t="shared" si="18"/>
        <v/>
      </c>
      <c r="J284" s="96" t="e">
        <f t="shared" si="21"/>
        <v>#NUM!</v>
      </c>
      <c r="K284" s="95" t="e">
        <f t="shared" si="19"/>
        <v>#NUM!</v>
      </c>
      <c r="L284" s="95"/>
      <c r="M284" s="97">
        <f t="shared" si="20"/>
        <v>0</v>
      </c>
    </row>
    <row r="285" spans="1:13" x14ac:dyDescent="0.25">
      <c r="A285" s="116"/>
      <c r="G285" s="80"/>
      <c r="H285" s="95">
        <v>280</v>
      </c>
      <c r="I285" s="96" t="str">
        <f t="shared" si="18"/>
        <v/>
      </c>
      <c r="J285" s="96" t="e">
        <f t="shared" si="21"/>
        <v>#NUM!</v>
      </c>
      <c r="K285" s="95" t="e">
        <f t="shared" si="19"/>
        <v>#NUM!</v>
      </c>
      <c r="L285" s="95"/>
      <c r="M285" s="97">
        <f t="shared" si="20"/>
        <v>0</v>
      </c>
    </row>
    <row r="286" spans="1:13" x14ac:dyDescent="0.25">
      <c r="A286" s="116"/>
      <c r="G286" s="80"/>
      <c r="H286" s="95">
        <v>281</v>
      </c>
      <c r="I286" s="96" t="str">
        <f t="shared" si="18"/>
        <v/>
      </c>
      <c r="J286" s="96" t="e">
        <f t="shared" si="21"/>
        <v>#NUM!</v>
      </c>
      <c r="K286" s="95" t="e">
        <f t="shared" si="19"/>
        <v>#NUM!</v>
      </c>
      <c r="L286" s="95"/>
      <c r="M286" s="97">
        <f t="shared" si="20"/>
        <v>0</v>
      </c>
    </row>
    <row r="287" spans="1:13" x14ac:dyDescent="0.25">
      <c r="A287" s="116"/>
      <c r="G287" s="80"/>
      <c r="H287" s="95">
        <v>282</v>
      </c>
      <c r="I287" s="96" t="str">
        <f t="shared" si="18"/>
        <v/>
      </c>
      <c r="J287" s="96" t="e">
        <f t="shared" si="21"/>
        <v>#NUM!</v>
      </c>
      <c r="K287" s="95" t="e">
        <f t="shared" si="19"/>
        <v>#NUM!</v>
      </c>
      <c r="L287" s="95"/>
      <c r="M287" s="97">
        <f t="shared" si="20"/>
        <v>0</v>
      </c>
    </row>
    <row r="288" spans="1:13" x14ac:dyDescent="0.25">
      <c r="A288" s="116"/>
      <c r="G288" s="80"/>
      <c r="H288" s="95">
        <v>283</v>
      </c>
      <c r="I288" s="96" t="str">
        <f t="shared" si="18"/>
        <v/>
      </c>
      <c r="J288" s="96" t="e">
        <f t="shared" si="21"/>
        <v>#NUM!</v>
      </c>
      <c r="K288" s="95" t="e">
        <f t="shared" si="19"/>
        <v>#NUM!</v>
      </c>
      <c r="L288" s="95"/>
      <c r="M288" s="97">
        <f t="shared" si="20"/>
        <v>0</v>
      </c>
    </row>
    <row r="289" spans="1:13" x14ac:dyDescent="0.25">
      <c r="A289" s="116"/>
      <c r="G289" s="80"/>
      <c r="H289" s="95">
        <v>284</v>
      </c>
      <c r="I289" s="96" t="str">
        <f t="shared" si="18"/>
        <v/>
      </c>
      <c r="J289" s="96" t="e">
        <f t="shared" si="21"/>
        <v>#NUM!</v>
      </c>
      <c r="K289" s="95" t="e">
        <f t="shared" si="19"/>
        <v>#NUM!</v>
      </c>
      <c r="L289" s="95"/>
      <c r="M289" s="97">
        <f t="shared" si="20"/>
        <v>0</v>
      </c>
    </row>
    <row r="290" spans="1:13" x14ac:dyDescent="0.25">
      <c r="A290" s="116"/>
      <c r="G290" s="80"/>
      <c r="H290" s="95">
        <v>285</v>
      </c>
      <c r="I290" s="96" t="str">
        <f t="shared" si="18"/>
        <v/>
      </c>
      <c r="J290" s="96" t="e">
        <f t="shared" si="21"/>
        <v>#NUM!</v>
      </c>
      <c r="K290" s="95" t="e">
        <f t="shared" si="19"/>
        <v>#NUM!</v>
      </c>
      <c r="L290" s="95"/>
      <c r="M290" s="97">
        <f t="shared" si="20"/>
        <v>0</v>
      </c>
    </row>
    <row r="291" spans="1:13" x14ac:dyDescent="0.25">
      <c r="A291" s="116"/>
      <c r="G291" s="80"/>
      <c r="H291" s="95">
        <v>286</v>
      </c>
      <c r="I291" s="96" t="str">
        <f t="shared" si="18"/>
        <v/>
      </c>
      <c r="J291" s="96" t="e">
        <f t="shared" si="21"/>
        <v>#NUM!</v>
      </c>
      <c r="K291" s="95" t="e">
        <f t="shared" si="19"/>
        <v>#NUM!</v>
      </c>
      <c r="L291" s="95"/>
      <c r="M291" s="97">
        <f t="shared" si="20"/>
        <v>0</v>
      </c>
    </row>
    <row r="292" spans="1:13" x14ac:dyDescent="0.25">
      <c r="A292" s="116"/>
      <c r="G292" s="80"/>
      <c r="H292" s="95">
        <v>287</v>
      </c>
      <c r="I292" s="96" t="str">
        <f t="shared" si="18"/>
        <v/>
      </c>
      <c r="J292" s="96" t="e">
        <f t="shared" si="21"/>
        <v>#NUM!</v>
      </c>
      <c r="K292" s="95" t="e">
        <f t="shared" si="19"/>
        <v>#NUM!</v>
      </c>
      <c r="L292" s="95"/>
      <c r="M292" s="97">
        <f t="shared" si="20"/>
        <v>0</v>
      </c>
    </row>
    <row r="293" spans="1:13" x14ac:dyDescent="0.25">
      <c r="A293" s="116"/>
      <c r="G293" s="80"/>
      <c r="H293" s="95">
        <v>288</v>
      </c>
      <c r="I293" s="96" t="str">
        <f t="shared" si="18"/>
        <v/>
      </c>
      <c r="J293" s="96" t="e">
        <f t="shared" si="21"/>
        <v>#NUM!</v>
      </c>
      <c r="K293" s="95" t="e">
        <f t="shared" si="19"/>
        <v>#NUM!</v>
      </c>
      <c r="L293" s="95"/>
      <c r="M293" s="97">
        <f t="shared" si="20"/>
        <v>0</v>
      </c>
    </row>
    <row r="294" spans="1:13" x14ac:dyDescent="0.25">
      <c r="A294" s="116"/>
      <c r="G294" s="80"/>
      <c r="H294" s="95">
        <v>289</v>
      </c>
      <c r="I294" s="96" t="str">
        <f t="shared" si="18"/>
        <v/>
      </c>
      <c r="J294" s="96" t="e">
        <f t="shared" si="21"/>
        <v>#NUM!</v>
      </c>
      <c r="K294" s="95" t="e">
        <f t="shared" si="19"/>
        <v>#NUM!</v>
      </c>
      <c r="L294" s="95"/>
      <c r="M294" s="97">
        <f t="shared" si="20"/>
        <v>0</v>
      </c>
    </row>
    <row r="295" spans="1:13" x14ac:dyDescent="0.25">
      <c r="A295" s="116"/>
      <c r="G295" s="80"/>
      <c r="H295" s="95">
        <v>290</v>
      </c>
      <c r="I295" s="96" t="str">
        <f t="shared" si="18"/>
        <v/>
      </c>
      <c r="J295" s="96" t="e">
        <f t="shared" si="21"/>
        <v>#NUM!</v>
      </c>
      <c r="K295" s="95" t="e">
        <f t="shared" si="19"/>
        <v>#NUM!</v>
      </c>
      <c r="L295" s="95"/>
      <c r="M295" s="97">
        <f t="shared" si="20"/>
        <v>0</v>
      </c>
    </row>
    <row r="296" spans="1:13" x14ac:dyDescent="0.25">
      <c r="A296" s="116"/>
      <c r="G296" s="80"/>
      <c r="H296" s="95">
        <v>291</v>
      </c>
      <c r="I296" s="96" t="str">
        <f t="shared" si="18"/>
        <v/>
      </c>
      <c r="J296" s="96" t="e">
        <f t="shared" si="21"/>
        <v>#NUM!</v>
      </c>
      <c r="K296" s="95" t="e">
        <f t="shared" si="19"/>
        <v>#NUM!</v>
      </c>
      <c r="L296" s="95"/>
      <c r="M296" s="97">
        <f t="shared" si="20"/>
        <v>0</v>
      </c>
    </row>
    <row r="297" spans="1:13" x14ac:dyDescent="0.25">
      <c r="A297" s="116"/>
      <c r="G297" s="80"/>
      <c r="H297" s="95">
        <v>292</v>
      </c>
      <c r="I297" s="96" t="str">
        <f t="shared" si="18"/>
        <v/>
      </c>
      <c r="J297" s="96" t="e">
        <f t="shared" si="21"/>
        <v>#NUM!</v>
      </c>
      <c r="K297" s="95" t="e">
        <f t="shared" si="19"/>
        <v>#NUM!</v>
      </c>
      <c r="L297" s="95"/>
      <c r="M297" s="97">
        <f t="shared" si="20"/>
        <v>0</v>
      </c>
    </row>
    <row r="298" spans="1:13" x14ac:dyDescent="0.25">
      <c r="A298" s="116"/>
      <c r="G298" s="80"/>
      <c r="H298" s="95">
        <v>293</v>
      </c>
      <c r="I298" s="96" t="str">
        <f t="shared" si="18"/>
        <v/>
      </c>
      <c r="J298" s="96" t="e">
        <f t="shared" si="21"/>
        <v>#NUM!</v>
      </c>
      <c r="K298" s="95" t="e">
        <f t="shared" si="19"/>
        <v>#NUM!</v>
      </c>
      <c r="L298" s="95"/>
      <c r="M298" s="97">
        <f t="shared" si="20"/>
        <v>0</v>
      </c>
    </row>
    <row r="299" spans="1:13" x14ac:dyDescent="0.25">
      <c r="A299" s="116"/>
      <c r="G299" s="80"/>
      <c r="H299" s="95">
        <v>294</v>
      </c>
      <c r="I299" s="96" t="str">
        <f t="shared" si="18"/>
        <v/>
      </c>
      <c r="J299" s="96" t="e">
        <f t="shared" si="21"/>
        <v>#NUM!</v>
      </c>
      <c r="K299" s="95" t="e">
        <f t="shared" si="19"/>
        <v>#NUM!</v>
      </c>
      <c r="L299" s="95"/>
      <c r="M299" s="97">
        <f t="shared" si="20"/>
        <v>0</v>
      </c>
    </row>
    <row r="300" spans="1:13" x14ac:dyDescent="0.25">
      <c r="A300" s="116"/>
      <c r="G300" s="80"/>
      <c r="H300" s="95">
        <v>295</v>
      </c>
      <c r="I300" s="96" t="str">
        <f t="shared" si="18"/>
        <v/>
      </c>
      <c r="J300" s="96" t="e">
        <f t="shared" si="21"/>
        <v>#NUM!</v>
      </c>
      <c r="K300" s="95" t="e">
        <f t="shared" si="19"/>
        <v>#NUM!</v>
      </c>
      <c r="L300" s="95"/>
      <c r="M300" s="97">
        <f t="shared" si="20"/>
        <v>0</v>
      </c>
    </row>
    <row r="301" spans="1:13" x14ac:dyDescent="0.25">
      <c r="A301" s="116"/>
      <c r="G301" s="80"/>
      <c r="H301" s="95">
        <v>296</v>
      </c>
      <c r="I301" s="96" t="str">
        <f t="shared" si="18"/>
        <v/>
      </c>
      <c r="J301" s="96" t="e">
        <f t="shared" si="21"/>
        <v>#NUM!</v>
      </c>
      <c r="K301" s="95" t="e">
        <f t="shared" si="19"/>
        <v>#NUM!</v>
      </c>
      <c r="L301" s="95"/>
      <c r="M301" s="97">
        <f t="shared" si="20"/>
        <v>0</v>
      </c>
    </row>
    <row r="302" spans="1:13" x14ac:dyDescent="0.25">
      <c r="A302" s="116"/>
      <c r="G302" s="80"/>
      <c r="H302" s="95">
        <v>297</v>
      </c>
      <c r="I302" s="96" t="str">
        <f t="shared" si="18"/>
        <v/>
      </c>
      <c r="J302" s="96" t="e">
        <f t="shared" si="21"/>
        <v>#NUM!</v>
      </c>
      <c r="K302" s="95" t="e">
        <f t="shared" si="19"/>
        <v>#NUM!</v>
      </c>
      <c r="L302" s="95"/>
      <c r="M302" s="97">
        <f t="shared" si="20"/>
        <v>0</v>
      </c>
    </row>
    <row r="303" spans="1:13" x14ac:dyDescent="0.25">
      <c r="A303" s="116"/>
      <c r="G303" s="80"/>
      <c r="H303" s="95">
        <v>298</v>
      </c>
      <c r="I303" s="96" t="str">
        <f t="shared" si="18"/>
        <v/>
      </c>
      <c r="J303" s="96" t="e">
        <f t="shared" si="21"/>
        <v>#NUM!</v>
      </c>
      <c r="K303" s="95" t="e">
        <f t="shared" si="19"/>
        <v>#NUM!</v>
      </c>
      <c r="L303" s="95"/>
      <c r="M303" s="97">
        <f t="shared" si="20"/>
        <v>0</v>
      </c>
    </row>
    <row r="304" spans="1:13" x14ac:dyDescent="0.25">
      <c r="A304" s="116"/>
      <c r="G304" s="80"/>
      <c r="H304" s="95">
        <v>299</v>
      </c>
      <c r="I304" s="96" t="str">
        <f t="shared" si="18"/>
        <v/>
      </c>
      <c r="J304" s="96" t="e">
        <f t="shared" si="21"/>
        <v>#NUM!</v>
      </c>
      <c r="K304" s="95" t="e">
        <f t="shared" si="19"/>
        <v>#NUM!</v>
      </c>
      <c r="L304" s="95"/>
      <c r="M304" s="97">
        <f t="shared" si="20"/>
        <v>0</v>
      </c>
    </row>
    <row r="305" spans="1:16" x14ac:dyDescent="0.25">
      <c r="A305" s="116"/>
      <c r="G305" s="80"/>
      <c r="H305" s="95">
        <v>300</v>
      </c>
      <c r="I305" s="96" t="str">
        <f t="shared" si="18"/>
        <v/>
      </c>
      <c r="J305" s="96" t="e">
        <f t="shared" si="21"/>
        <v>#NUM!</v>
      </c>
      <c r="K305" s="95" t="e">
        <f t="shared" si="19"/>
        <v>#NUM!</v>
      </c>
      <c r="L305" s="95"/>
      <c r="M305" s="97">
        <f t="shared" si="20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dataValidations count="1">
    <dataValidation type="list" allowBlank="1" showInputMessage="1" showErrorMessage="1" sqref="C38:C69" xr:uid="{FD346DBA-040D-4BE8-AEDA-CE1CE303F88B}">
      <formula1>#REF!</formula1>
    </dataValidation>
  </dataValidations>
  <hyperlinks>
    <hyperlink ref="C2:D2" r:id="rId1" display="Madrid" xr:uid="{0AC8C5DD-70FE-44FA-9B3E-22A510031633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8AD5-61DD-41FE-AD4F-6175008C0F57}">
  <sheetPr codeName="Arkusz18"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" style="118" customWidth="1"/>
    <col min="11" max="11" width="8.75" style="118" customWidth="1"/>
    <col min="12" max="12" width="11" style="118" customWidth="1"/>
    <col min="13" max="13" width="11.75" style="119" customWidth="1"/>
    <col min="14" max="15" width="13.875" style="80" customWidth="1"/>
    <col min="16" max="18" width="8.875" style="80"/>
    <col min="19" max="20" width="8.875" style="85"/>
    <col min="21" max="21" width="12.125" style="85" customWidth="1"/>
    <col min="22" max="22" width="27.375" style="85" customWidth="1"/>
    <col min="23" max="38" width="8.875" style="85"/>
    <col min="39" max="16384" width="8.875" style="115"/>
  </cols>
  <sheetData>
    <row r="1" spans="1:36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101</v>
      </c>
      <c r="L1" s="84"/>
      <c r="M1" s="84"/>
    </row>
    <row r="2" spans="1:36" x14ac:dyDescent="0.25">
      <c r="A2" s="80"/>
      <c r="B2" s="20" t="s">
        <v>29</v>
      </c>
      <c r="C2" s="292" t="s">
        <v>115</v>
      </c>
      <c r="D2" s="292"/>
      <c r="E2" s="21"/>
      <c r="F2" s="21"/>
      <c r="G2" s="21"/>
      <c r="H2" s="86">
        <v>0</v>
      </c>
      <c r="I2" s="87">
        <v>50</v>
      </c>
      <c r="J2" s="87">
        <v>10</v>
      </c>
      <c r="K2" s="121">
        <f>3*H2^(1/3)</f>
        <v>0</v>
      </c>
      <c r="L2" s="84"/>
      <c r="M2" s="84"/>
    </row>
    <row r="3" spans="1:36" ht="14.45" customHeight="1" x14ac:dyDescent="0.25">
      <c r="A3" s="80"/>
      <c r="B3" s="89" t="s">
        <v>31</v>
      </c>
      <c r="C3" s="272" t="s">
        <v>116</v>
      </c>
      <c r="D3" s="272"/>
      <c r="E3" s="26"/>
      <c r="F3" s="26"/>
      <c r="G3" s="26"/>
      <c r="H3" s="84"/>
      <c r="I3" s="84"/>
      <c r="J3" s="84"/>
      <c r="K3" s="84"/>
      <c r="L3" s="84"/>
      <c r="M3" s="84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84"/>
      <c r="K4" s="84"/>
      <c r="L4" s="84"/>
      <c r="M4" s="84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2" t="s">
        <v>41</v>
      </c>
      <c r="K5" s="92" t="s">
        <v>42</v>
      </c>
      <c r="L5" s="92" t="s">
        <v>43</v>
      </c>
      <c r="M5" s="91" t="s">
        <v>44</v>
      </c>
    </row>
    <row r="6" spans="1:36" ht="14.45" customHeight="1" x14ac:dyDescent="0.25">
      <c r="A6" s="94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95">
        <v>1</v>
      </c>
      <c r="I6" s="96" t="str">
        <f t="shared" ref="I6:I69" si="1">IF(H6&lt;$H$2+1,($I$2-($I$2-1)*(LOG(H6)/LOG($H$2))),"")</f>
        <v/>
      </c>
      <c r="J6" s="96" t="e">
        <f>INT(LOG($H$2,2))-ROUNDUP(LOG(H6,2),0)+IF(OR($H$2=1,$H$2=2,$H$2=4,$H$2=8,$H$2=16,$H$2=32,$H$2=64,$H$2=128,$H$2=256),0,1)</f>
        <v>#NUM!</v>
      </c>
      <c r="K6" s="95" t="e">
        <f t="shared" ref="K6:K69" si="2">J6*$J$2</f>
        <v>#NUM!</v>
      </c>
      <c r="L6" s="97">
        <f>3*K2</f>
        <v>0</v>
      </c>
      <c r="M6" s="97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99">
        <v>2</v>
      </c>
      <c r="I7" s="100" t="str">
        <f t="shared" si="1"/>
        <v/>
      </c>
      <c r="J7" s="100" t="e">
        <f t="shared" ref="J7:J70" si="5">INT(LOG($H$2,2))-ROUNDUP(LOG(H7,2),0)+IF(OR($H$2=1,$H$2=2,$H$2=4,$H$2=8,$H$2=16,$H$2=32,$H$2=64,$H$2=128,$H$2=256),0,1)</f>
        <v>#NUM!</v>
      </c>
      <c r="K7" s="99" t="e">
        <f t="shared" si="2"/>
        <v>#NUM!</v>
      </c>
      <c r="L7" s="101">
        <f>2*K2</f>
        <v>0</v>
      </c>
      <c r="M7" s="101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95">
        <v>3</v>
      </c>
      <c r="I8" s="96" t="str">
        <f t="shared" si="1"/>
        <v/>
      </c>
      <c r="J8" s="96" t="e">
        <f t="shared" si="5"/>
        <v>#NUM!</v>
      </c>
      <c r="K8" s="95" t="e">
        <f t="shared" si="2"/>
        <v>#NUM!</v>
      </c>
      <c r="L8" s="97">
        <f>K2</f>
        <v>0</v>
      </c>
      <c r="M8" s="97">
        <f t="shared" si="3"/>
        <v>0</v>
      </c>
    </row>
    <row r="9" spans="1:36" s="85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99">
        <v>3</v>
      </c>
      <c r="I9" s="100" t="str">
        <f t="shared" si="1"/>
        <v/>
      </c>
      <c r="J9" s="99" t="e">
        <f t="shared" si="5"/>
        <v>#NUM!</v>
      </c>
      <c r="K9" s="99" t="e">
        <f t="shared" si="2"/>
        <v>#NUM!</v>
      </c>
      <c r="L9" s="101">
        <f>K2</f>
        <v>0</v>
      </c>
      <c r="M9" s="101">
        <f t="shared" si="3"/>
        <v>0</v>
      </c>
      <c r="N9" s="80"/>
      <c r="O9" s="80"/>
      <c r="P9" s="80"/>
      <c r="Q9" s="80"/>
      <c r="R9" s="80"/>
      <c r="V9" s="102"/>
      <c r="Z9" s="103"/>
      <c r="AA9" s="103"/>
      <c r="AG9" s="104"/>
      <c r="AH9" s="85" t="s">
        <v>49</v>
      </c>
      <c r="AI9" s="85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95">
        <v>5</v>
      </c>
      <c r="I10" s="96" t="str">
        <f t="shared" si="1"/>
        <v/>
      </c>
      <c r="J10" s="96" t="e">
        <f t="shared" si="5"/>
        <v>#NUM!</v>
      </c>
      <c r="K10" s="95" t="e">
        <f t="shared" si="2"/>
        <v>#NUM!</v>
      </c>
      <c r="L10" s="95"/>
      <c r="M10" s="97">
        <f t="shared" si="3"/>
        <v>0</v>
      </c>
      <c r="V10" s="102"/>
      <c r="Z10" s="103"/>
      <c r="AA10" s="103"/>
      <c r="AG10" s="104"/>
      <c r="AH10" s="85" t="s">
        <v>52</v>
      </c>
      <c r="AI10" s="85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99">
        <v>6</v>
      </c>
      <c r="I11" s="100" t="str">
        <f t="shared" si="1"/>
        <v/>
      </c>
      <c r="J11" s="100" t="e">
        <f t="shared" si="5"/>
        <v>#NUM!</v>
      </c>
      <c r="K11" s="99" t="e">
        <f t="shared" si="2"/>
        <v>#NUM!</v>
      </c>
      <c r="L11" s="99"/>
      <c r="M11" s="101">
        <f t="shared" si="3"/>
        <v>0</v>
      </c>
      <c r="V11" s="105"/>
      <c r="Z11" s="103"/>
      <c r="AA11" s="103"/>
      <c r="AG11" s="104"/>
      <c r="AH11" s="85" t="s">
        <v>53</v>
      </c>
      <c r="AI11" s="85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95">
        <v>7</v>
      </c>
      <c r="I12" s="96" t="str">
        <f t="shared" si="1"/>
        <v/>
      </c>
      <c r="J12" s="96" t="e">
        <f t="shared" si="5"/>
        <v>#NUM!</v>
      </c>
      <c r="K12" s="95" t="e">
        <f t="shared" si="2"/>
        <v>#NUM!</v>
      </c>
      <c r="L12" s="95"/>
      <c r="M12" s="97">
        <f t="shared" si="3"/>
        <v>0</v>
      </c>
      <c r="Z12" s="103"/>
      <c r="AA12" s="103"/>
      <c r="AG12" s="104"/>
      <c r="AH12" s="85" t="s">
        <v>54</v>
      </c>
      <c r="AI12" s="85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99">
        <v>8</v>
      </c>
      <c r="I13" s="100" t="str">
        <f t="shared" si="1"/>
        <v/>
      </c>
      <c r="J13" s="100" t="e">
        <f t="shared" si="5"/>
        <v>#NUM!</v>
      </c>
      <c r="K13" s="99" t="e">
        <f t="shared" si="2"/>
        <v>#NUM!</v>
      </c>
      <c r="L13" s="99"/>
      <c r="M13" s="101">
        <f t="shared" si="3"/>
        <v>0</v>
      </c>
      <c r="X13" s="102"/>
      <c r="AG13" s="104"/>
      <c r="AH13" s="85" t="s">
        <v>55</v>
      </c>
      <c r="AI13" s="85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95">
        <v>9</v>
      </c>
      <c r="I14" s="96" t="str">
        <f t="shared" si="1"/>
        <v/>
      </c>
      <c r="J14" s="96" t="e">
        <f t="shared" si="5"/>
        <v>#NUM!</v>
      </c>
      <c r="K14" s="95" t="e">
        <f t="shared" si="2"/>
        <v>#NUM!</v>
      </c>
      <c r="L14" s="95"/>
      <c r="M14" s="97">
        <f t="shared" si="3"/>
        <v>0</v>
      </c>
      <c r="X14" s="106"/>
      <c r="Z14" s="103"/>
      <c r="AA14" s="103"/>
      <c r="AG14" s="104"/>
      <c r="AH14" s="85" t="s">
        <v>56</v>
      </c>
      <c r="AI14" s="85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99">
        <v>10</v>
      </c>
      <c r="I15" s="100" t="str">
        <f t="shared" si="1"/>
        <v/>
      </c>
      <c r="J15" s="100" t="e">
        <f t="shared" si="5"/>
        <v>#NUM!</v>
      </c>
      <c r="K15" s="99" t="e">
        <f t="shared" si="2"/>
        <v>#NUM!</v>
      </c>
      <c r="L15" s="99"/>
      <c r="M15" s="101">
        <f t="shared" si="3"/>
        <v>0</v>
      </c>
      <c r="X15" s="102"/>
      <c r="Z15" s="103"/>
      <c r="AA15" s="103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95">
        <v>11</v>
      </c>
      <c r="I16" s="96" t="str">
        <f t="shared" si="1"/>
        <v/>
      </c>
      <c r="J16" s="96" t="e">
        <f t="shared" si="5"/>
        <v>#NUM!</v>
      </c>
      <c r="K16" s="95" t="e">
        <f t="shared" si="2"/>
        <v>#NUM!</v>
      </c>
      <c r="L16" s="95"/>
      <c r="M16" s="97">
        <f t="shared" si="3"/>
        <v>0</v>
      </c>
      <c r="R16" s="107"/>
      <c r="Z16" s="103"/>
      <c r="AA16" s="103"/>
      <c r="AH16" s="108" t="s">
        <v>57</v>
      </c>
      <c r="AI16" s="85">
        <f>AI11-AI12*AI13/AI14</f>
        <v>9.6393909380186855</v>
      </c>
      <c r="AJ16" s="85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99">
        <v>12</v>
      </c>
      <c r="I17" s="100" t="str">
        <f t="shared" si="1"/>
        <v/>
      </c>
      <c r="J17" s="100" t="e">
        <f t="shared" si="5"/>
        <v>#NUM!</v>
      </c>
      <c r="K17" s="99" t="e">
        <f t="shared" si="2"/>
        <v>#NUM!</v>
      </c>
      <c r="L17" s="99"/>
      <c r="M17" s="101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95">
        <v>13</v>
      </c>
      <c r="I18" s="96" t="str">
        <f t="shared" si="1"/>
        <v/>
      </c>
      <c r="J18" s="96" t="e">
        <f t="shared" si="5"/>
        <v>#NUM!</v>
      </c>
      <c r="K18" s="95" t="e">
        <f t="shared" si="2"/>
        <v>#NUM!</v>
      </c>
      <c r="L18" s="95"/>
      <c r="M18" s="9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99">
        <v>14</v>
      </c>
      <c r="I19" s="100" t="str">
        <f t="shared" si="1"/>
        <v/>
      </c>
      <c r="J19" s="100" t="e">
        <f t="shared" si="5"/>
        <v>#NUM!</v>
      </c>
      <c r="K19" s="99" t="e">
        <f t="shared" si="2"/>
        <v>#NUM!</v>
      </c>
      <c r="L19" s="99"/>
      <c r="M19" s="101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95">
        <v>15</v>
      </c>
      <c r="I20" s="96" t="str">
        <f t="shared" si="1"/>
        <v/>
      </c>
      <c r="J20" s="96" t="e">
        <f t="shared" si="5"/>
        <v>#NUM!</v>
      </c>
      <c r="K20" s="95" t="e">
        <f t="shared" si="2"/>
        <v>#NUM!</v>
      </c>
      <c r="L20" s="95"/>
      <c r="M20" s="97">
        <f t="shared" si="3"/>
        <v>0</v>
      </c>
      <c r="R20" s="109"/>
      <c r="S20" s="110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99">
        <v>16</v>
      </c>
      <c r="I21" s="100" t="str">
        <f t="shared" si="1"/>
        <v/>
      </c>
      <c r="J21" s="100" t="e">
        <f t="shared" si="5"/>
        <v>#NUM!</v>
      </c>
      <c r="K21" s="99" t="e">
        <f t="shared" si="2"/>
        <v>#NUM!</v>
      </c>
      <c r="L21" s="99"/>
      <c r="M21" s="101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95">
        <v>17</v>
      </c>
      <c r="I22" s="96" t="str">
        <f t="shared" si="1"/>
        <v/>
      </c>
      <c r="J22" s="96" t="e">
        <f t="shared" si="5"/>
        <v>#NUM!</v>
      </c>
      <c r="K22" s="95" t="e">
        <f t="shared" si="2"/>
        <v>#NUM!</v>
      </c>
      <c r="L22" s="95"/>
      <c r="M22" s="9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99">
        <v>18</v>
      </c>
      <c r="I23" s="100" t="str">
        <f t="shared" si="1"/>
        <v/>
      </c>
      <c r="J23" s="100" t="e">
        <f t="shared" si="5"/>
        <v>#NUM!</v>
      </c>
      <c r="K23" s="99" t="e">
        <f t="shared" si="2"/>
        <v>#NUM!</v>
      </c>
      <c r="L23" s="99"/>
      <c r="M23" s="101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95">
        <v>19</v>
      </c>
      <c r="I24" s="96" t="str">
        <f t="shared" si="1"/>
        <v/>
      </c>
      <c r="J24" s="96" t="e">
        <f t="shared" si="5"/>
        <v>#NUM!</v>
      </c>
      <c r="K24" s="95" t="e">
        <f t="shared" si="2"/>
        <v>#NUM!</v>
      </c>
      <c r="L24" s="95"/>
      <c r="M24" s="97">
        <f t="shared" si="3"/>
        <v>0</v>
      </c>
      <c r="R24" s="109"/>
      <c r="S24" s="110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99">
        <v>20</v>
      </c>
      <c r="I25" s="100" t="str">
        <f t="shared" si="1"/>
        <v/>
      </c>
      <c r="J25" s="100" t="e">
        <f t="shared" si="5"/>
        <v>#NUM!</v>
      </c>
      <c r="K25" s="99" t="e">
        <f t="shared" si="2"/>
        <v>#NUM!</v>
      </c>
      <c r="L25" s="99"/>
      <c r="M25" s="101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95">
        <v>21</v>
      </c>
      <c r="I26" s="96" t="str">
        <f t="shared" si="1"/>
        <v/>
      </c>
      <c r="J26" s="96" t="e">
        <f t="shared" si="5"/>
        <v>#NUM!</v>
      </c>
      <c r="K26" s="95" t="e">
        <f t="shared" si="2"/>
        <v>#NUM!</v>
      </c>
      <c r="L26" s="95"/>
      <c r="M26" s="9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99">
        <v>22</v>
      </c>
      <c r="I27" s="100" t="str">
        <f t="shared" si="1"/>
        <v/>
      </c>
      <c r="J27" s="100" t="e">
        <f t="shared" si="5"/>
        <v>#NUM!</v>
      </c>
      <c r="K27" s="99" t="e">
        <f t="shared" si="2"/>
        <v>#NUM!</v>
      </c>
      <c r="L27" s="99"/>
      <c r="M27" s="101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95">
        <v>23</v>
      </c>
      <c r="I28" s="96" t="str">
        <f t="shared" si="1"/>
        <v/>
      </c>
      <c r="J28" s="96" t="e">
        <f t="shared" si="5"/>
        <v>#NUM!</v>
      </c>
      <c r="K28" s="95" t="e">
        <f t="shared" si="2"/>
        <v>#NUM!</v>
      </c>
      <c r="L28" s="95"/>
      <c r="M28" s="97">
        <f t="shared" si="3"/>
        <v>0</v>
      </c>
      <c r="R28" s="109"/>
      <c r="S28" s="110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80"/>
      <c r="H29" s="99">
        <v>24</v>
      </c>
      <c r="I29" s="100" t="str">
        <f t="shared" si="1"/>
        <v/>
      </c>
      <c r="J29" s="100" t="e">
        <f t="shared" si="5"/>
        <v>#NUM!</v>
      </c>
      <c r="K29" s="99" t="e">
        <f t="shared" si="2"/>
        <v>#NUM!</v>
      </c>
      <c r="L29" s="99"/>
      <c r="M29" s="101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80"/>
      <c r="H30" s="95">
        <v>25</v>
      </c>
      <c r="I30" s="96" t="str">
        <f t="shared" si="1"/>
        <v/>
      </c>
      <c r="J30" s="96" t="e">
        <f t="shared" si="5"/>
        <v>#NUM!</v>
      </c>
      <c r="K30" s="95" t="e">
        <f t="shared" si="2"/>
        <v>#NUM!</v>
      </c>
      <c r="L30" s="95"/>
      <c r="M30" s="9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80"/>
      <c r="H31" s="99">
        <v>26</v>
      </c>
      <c r="I31" s="100" t="str">
        <f t="shared" si="1"/>
        <v/>
      </c>
      <c r="J31" s="100" t="e">
        <f t="shared" si="5"/>
        <v>#NUM!</v>
      </c>
      <c r="K31" s="99" t="e">
        <f t="shared" si="2"/>
        <v>#NUM!</v>
      </c>
      <c r="L31" s="99"/>
      <c r="M31" s="101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80"/>
      <c r="H32" s="95">
        <v>27</v>
      </c>
      <c r="I32" s="96" t="str">
        <f t="shared" si="1"/>
        <v/>
      </c>
      <c r="J32" s="96" t="e">
        <f t="shared" si="5"/>
        <v>#NUM!</v>
      </c>
      <c r="K32" s="95" t="e">
        <f t="shared" si="2"/>
        <v>#NUM!</v>
      </c>
      <c r="L32" s="95"/>
      <c r="M32" s="97">
        <f t="shared" si="3"/>
        <v>0</v>
      </c>
      <c r="R32" s="109"/>
      <c r="S32" s="110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80"/>
      <c r="H33" s="99">
        <v>28</v>
      </c>
      <c r="I33" s="100" t="str">
        <f t="shared" si="1"/>
        <v/>
      </c>
      <c r="J33" s="100" t="e">
        <f t="shared" si="5"/>
        <v>#NUM!</v>
      </c>
      <c r="K33" s="99" t="e">
        <f t="shared" si="2"/>
        <v>#NUM!</v>
      </c>
      <c r="L33" s="99"/>
      <c r="M33" s="101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80"/>
      <c r="H34" s="95">
        <v>29</v>
      </c>
      <c r="I34" s="96" t="str">
        <f t="shared" si="1"/>
        <v/>
      </c>
      <c r="J34" s="96" t="e">
        <f t="shared" si="5"/>
        <v>#NUM!</v>
      </c>
      <c r="K34" s="95" t="e">
        <f t="shared" si="2"/>
        <v>#NUM!</v>
      </c>
      <c r="L34" s="95"/>
      <c r="M34" s="97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80"/>
      <c r="H35" s="99">
        <v>30</v>
      </c>
      <c r="I35" s="100" t="str">
        <f t="shared" si="1"/>
        <v/>
      </c>
      <c r="J35" s="100" t="e">
        <f t="shared" si="5"/>
        <v>#NUM!</v>
      </c>
      <c r="K35" s="99" t="e">
        <f t="shared" si="2"/>
        <v>#NUM!</v>
      </c>
      <c r="L35" s="99"/>
      <c r="M35" s="101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80"/>
      <c r="H36" s="95">
        <v>31</v>
      </c>
      <c r="I36" s="96" t="str">
        <f t="shared" si="1"/>
        <v/>
      </c>
      <c r="J36" s="96" t="e">
        <f t="shared" si="5"/>
        <v>#NUM!</v>
      </c>
      <c r="K36" s="95" t="e">
        <f t="shared" si="2"/>
        <v>#NUM!</v>
      </c>
      <c r="L36" s="95"/>
      <c r="M36" s="97">
        <f t="shared" si="3"/>
        <v>0</v>
      </c>
      <c r="R36" s="109"/>
      <c r="S36" s="110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80"/>
      <c r="H37" s="99">
        <v>32</v>
      </c>
      <c r="I37" s="100" t="str">
        <f t="shared" si="1"/>
        <v/>
      </c>
      <c r="J37" s="100" t="e">
        <f t="shared" si="5"/>
        <v>#NUM!</v>
      </c>
      <c r="K37" s="99" t="e">
        <f t="shared" si="2"/>
        <v>#NUM!</v>
      </c>
      <c r="L37" s="99"/>
      <c r="M37" s="101">
        <f t="shared" si="3"/>
        <v>0</v>
      </c>
    </row>
    <row r="38" spans="1:21" x14ac:dyDescent="0.25">
      <c r="A38" s="98">
        <f t="shared" si="4"/>
        <v>0</v>
      </c>
      <c r="B38" s="34" t="str">
        <f t="shared" si="0"/>
        <v/>
      </c>
      <c r="C38" s="35"/>
      <c r="D38" s="35"/>
      <c r="E38" s="35"/>
      <c r="F38" s="35"/>
      <c r="G38" s="80"/>
      <c r="H38" s="95">
        <v>33</v>
      </c>
      <c r="I38" s="96" t="str">
        <f t="shared" si="1"/>
        <v/>
      </c>
      <c r="J38" s="96" t="e">
        <f t="shared" si="5"/>
        <v>#NUM!</v>
      </c>
      <c r="K38" s="95" t="e">
        <f t="shared" si="2"/>
        <v>#NUM!</v>
      </c>
      <c r="L38" s="95"/>
      <c r="M38" s="97">
        <f t="shared" si="3"/>
        <v>0</v>
      </c>
    </row>
    <row r="39" spans="1:21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80"/>
      <c r="H39" s="99">
        <v>34</v>
      </c>
      <c r="I39" s="100" t="str">
        <f t="shared" si="1"/>
        <v/>
      </c>
      <c r="J39" s="100" t="e">
        <f t="shared" si="5"/>
        <v>#NUM!</v>
      </c>
      <c r="K39" s="99" t="e">
        <f t="shared" si="2"/>
        <v>#NUM!</v>
      </c>
      <c r="L39" s="99"/>
      <c r="M39" s="101">
        <f t="shared" si="3"/>
        <v>0</v>
      </c>
    </row>
    <row r="40" spans="1:21" x14ac:dyDescent="0.25">
      <c r="A40" s="98">
        <f t="shared" si="4"/>
        <v>0</v>
      </c>
      <c r="B40" s="34" t="str">
        <f t="shared" si="0"/>
        <v/>
      </c>
      <c r="C40" s="35"/>
      <c r="D40" s="35"/>
      <c r="E40" s="35"/>
      <c r="F40" s="35"/>
      <c r="G40" s="80"/>
      <c r="H40" s="95">
        <v>35</v>
      </c>
      <c r="I40" s="96" t="str">
        <f t="shared" si="1"/>
        <v/>
      </c>
      <c r="J40" s="96" t="e">
        <f t="shared" si="5"/>
        <v>#NUM!</v>
      </c>
      <c r="K40" s="95" t="e">
        <f t="shared" si="2"/>
        <v>#NUM!</v>
      </c>
      <c r="L40" s="95"/>
      <c r="M40" s="97">
        <f t="shared" si="3"/>
        <v>0</v>
      </c>
    </row>
    <row r="41" spans="1:21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80"/>
      <c r="H41" s="99">
        <v>36</v>
      </c>
      <c r="I41" s="100" t="str">
        <f t="shared" si="1"/>
        <v/>
      </c>
      <c r="J41" s="100" t="e">
        <f t="shared" si="5"/>
        <v>#NUM!</v>
      </c>
      <c r="K41" s="99" t="e">
        <f t="shared" si="2"/>
        <v>#NUM!</v>
      </c>
      <c r="L41" s="99"/>
      <c r="M41" s="101">
        <f t="shared" si="3"/>
        <v>0</v>
      </c>
      <c r="S41" s="111"/>
    </row>
    <row r="42" spans="1:21" x14ac:dyDescent="0.25">
      <c r="A42" s="98">
        <f t="shared" si="4"/>
        <v>0</v>
      </c>
      <c r="B42" s="34" t="str">
        <f t="shared" si="0"/>
        <v/>
      </c>
      <c r="C42" s="35"/>
      <c r="D42" s="35"/>
      <c r="E42" s="35"/>
      <c r="F42" s="35"/>
      <c r="G42" s="80"/>
      <c r="H42" s="95">
        <v>37</v>
      </c>
      <c r="I42" s="96" t="str">
        <f t="shared" si="1"/>
        <v/>
      </c>
      <c r="J42" s="96" t="e">
        <f t="shared" si="5"/>
        <v>#NUM!</v>
      </c>
      <c r="K42" s="95" t="e">
        <f t="shared" si="2"/>
        <v>#NUM!</v>
      </c>
      <c r="L42" s="95"/>
      <c r="M42" s="97">
        <f t="shared" si="3"/>
        <v>0</v>
      </c>
    </row>
    <row r="43" spans="1:21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80"/>
      <c r="H43" s="99">
        <v>38</v>
      </c>
      <c r="I43" s="100" t="str">
        <f t="shared" si="1"/>
        <v/>
      </c>
      <c r="J43" s="100" t="e">
        <f t="shared" si="5"/>
        <v>#NUM!</v>
      </c>
      <c r="K43" s="99" t="e">
        <f t="shared" si="2"/>
        <v>#NUM!</v>
      </c>
      <c r="L43" s="99"/>
      <c r="M43" s="101">
        <f t="shared" si="3"/>
        <v>0</v>
      </c>
    </row>
    <row r="44" spans="1:21" x14ac:dyDescent="0.25">
      <c r="A44" s="98">
        <f t="shared" si="4"/>
        <v>0</v>
      </c>
      <c r="B44" s="34" t="str">
        <f t="shared" si="0"/>
        <v/>
      </c>
      <c r="C44" s="35"/>
      <c r="D44" s="35"/>
      <c r="E44" s="35"/>
      <c r="F44" s="35"/>
      <c r="G44" s="80"/>
      <c r="H44" s="95">
        <v>39</v>
      </c>
      <c r="I44" s="96" t="str">
        <f t="shared" si="1"/>
        <v/>
      </c>
      <c r="J44" s="96" t="e">
        <f t="shared" si="5"/>
        <v>#NUM!</v>
      </c>
      <c r="K44" s="95" t="e">
        <f t="shared" si="2"/>
        <v>#NUM!</v>
      </c>
      <c r="L44" s="95"/>
      <c r="M44" s="97">
        <f t="shared" si="3"/>
        <v>0</v>
      </c>
    </row>
    <row r="45" spans="1:21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80"/>
      <c r="H45" s="99">
        <v>40</v>
      </c>
      <c r="I45" s="100" t="str">
        <f t="shared" si="1"/>
        <v/>
      </c>
      <c r="J45" s="100" t="e">
        <f t="shared" si="5"/>
        <v>#NUM!</v>
      </c>
      <c r="K45" s="99" t="e">
        <f t="shared" si="2"/>
        <v>#NUM!</v>
      </c>
      <c r="L45" s="99"/>
      <c r="M45" s="101">
        <f t="shared" si="3"/>
        <v>0</v>
      </c>
    </row>
    <row r="46" spans="1:21" x14ac:dyDescent="0.25">
      <c r="A46" s="98">
        <f t="shared" si="4"/>
        <v>0</v>
      </c>
      <c r="B46" s="34" t="str">
        <f t="shared" si="0"/>
        <v/>
      </c>
      <c r="C46" s="35"/>
      <c r="D46" s="35"/>
      <c r="E46" s="35"/>
      <c r="F46" s="35"/>
      <c r="G46" s="80"/>
      <c r="H46" s="95">
        <v>41</v>
      </c>
      <c r="I46" s="96" t="str">
        <f t="shared" si="1"/>
        <v/>
      </c>
      <c r="J46" s="96" t="e">
        <f t="shared" si="5"/>
        <v>#NUM!</v>
      </c>
      <c r="K46" s="95" t="e">
        <f t="shared" si="2"/>
        <v>#NUM!</v>
      </c>
      <c r="L46" s="95"/>
      <c r="M46" s="97">
        <f t="shared" si="3"/>
        <v>0</v>
      </c>
      <c r="R46" s="80" t="e">
        <f>LOG($H$2,2)</f>
        <v>#NUM!</v>
      </c>
      <c r="T46" s="85">
        <f>LOG(H38,2)</f>
        <v>5.0443941193584534</v>
      </c>
      <c r="U46" s="85" t="e">
        <f>R46-T46</f>
        <v>#NUM!</v>
      </c>
    </row>
    <row r="47" spans="1:21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80"/>
      <c r="H47" s="99">
        <v>42</v>
      </c>
      <c r="I47" s="100" t="str">
        <f t="shared" si="1"/>
        <v/>
      </c>
      <c r="J47" s="100" t="e">
        <f t="shared" si="5"/>
        <v>#NUM!</v>
      </c>
      <c r="K47" s="99" t="e">
        <f t="shared" si="2"/>
        <v>#NUM!</v>
      </c>
      <c r="L47" s="99"/>
      <c r="M47" s="101">
        <f t="shared" si="3"/>
        <v>0</v>
      </c>
    </row>
    <row r="48" spans="1:21" x14ac:dyDescent="0.25">
      <c r="A48" s="98">
        <f t="shared" si="4"/>
        <v>0</v>
      </c>
      <c r="B48" s="34" t="str">
        <f t="shared" si="0"/>
        <v/>
      </c>
      <c r="C48" s="35"/>
      <c r="D48" s="35"/>
      <c r="E48" s="35"/>
      <c r="F48" s="35"/>
      <c r="G48" s="80"/>
      <c r="H48" s="95">
        <v>43</v>
      </c>
      <c r="I48" s="96" t="str">
        <f t="shared" si="1"/>
        <v/>
      </c>
      <c r="J48" s="96" t="e">
        <f t="shared" si="5"/>
        <v>#NUM!</v>
      </c>
      <c r="K48" s="95" t="e">
        <f t="shared" si="2"/>
        <v>#NUM!</v>
      </c>
      <c r="L48" s="95"/>
      <c r="M48" s="97">
        <f t="shared" si="3"/>
        <v>0</v>
      </c>
    </row>
    <row r="49" spans="1:13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80"/>
      <c r="H49" s="99">
        <v>44</v>
      </c>
      <c r="I49" s="100" t="str">
        <f t="shared" si="1"/>
        <v/>
      </c>
      <c r="J49" s="100" t="e">
        <f t="shared" si="5"/>
        <v>#NUM!</v>
      </c>
      <c r="K49" s="99" t="e">
        <f t="shared" si="2"/>
        <v>#NUM!</v>
      </c>
      <c r="L49" s="99"/>
      <c r="M49" s="101">
        <f t="shared" si="3"/>
        <v>0</v>
      </c>
    </row>
    <row r="50" spans="1:13" x14ac:dyDescent="0.25">
      <c r="A50" s="98">
        <f t="shared" si="4"/>
        <v>0</v>
      </c>
      <c r="B50" s="34" t="str">
        <f t="shared" si="0"/>
        <v/>
      </c>
      <c r="C50" s="35"/>
      <c r="D50" s="35"/>
      <c r="E50" s="35"/>
      <c r="F50" s="35"/>
      <c r="G50" s="80"/>
      <c r="H50" s="95">
        <v>45</v>
      </c>
      <c r="I50" s="96" t="str">
        <f t="shared" si="1"/>
        <v/>
      </c>
      <c r="J50" s="96" t="e">
        <f t="shared" si="5"/>
        <v>#NUM!</v>
      </c>
      <c r="K50" s="95" t="e">
        <f t="shared" si="2"/>
        <v>#NUM!</v>
      </c>
      <c r="L50" s="95"/>
      <c r="M50" s="97">
        <f t="shared" si="3"/>
        <v>0</v>
      </c>
    </row>
    <row r="51" spans="1:13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80"/>
      <c r="H51" s="99">
        <v>46</v>
      </c>
      <c r="I51" s="100" t="str">
        <f t="shared" si="1"/>
        <v/>
      </c>
      <c r="J51" s="100" t="e">
        <f t="shared" si="5"/>
        <v>#NUM!</v>
      </c>
      <c r="K51" s="99" t="e">
        <f t="shared" si="2"/>
        <v>#NUM!</v>
      </c>
      <c r="L51" s="99"/>
      <c r="M51" s="101">
        <f t="shared" si="3"/>
        <v>0</v>
      </c>
    </row>
    <row r="52" spans="1:13" x14ac:dyDescent="0.25">
      <c r="A52" s="98">
        <f t="shared" si="4"/>
        <v>0</v>
      </c>
      <c r="B52" s="34" t="str">
        <f t="shared" si="0"/>
        <v/>
      </c>
      <c r="C52" s="35"/>
      <c r="D52" s="35"/>
      <c r="E52" s="35"/>
      <c r="F52" s="35"/>
      <c r="G52" s="80"/>
      <c r="H52" s="95">
        <v>47</v>
      </c>
      <c r="I52" s="96" t="str">
        <f t="shared" si="1"/>
        <v/>
      </c>
      <c r="J52" s="96" t="e">
        <f t="shared" si="5"/>
        <v>#NUM!</v>
      </c>
      <c r="K52" s="95" t="e">
        <f t="shared" si="2"/>
        <v>#NUM!</v>
      </c>
      <c r="L52" s="95"/>
      <c r="M52" s="97">
        <f t="shared" si="3"/>
        <v>0</v>
      </c>
    </row>
    <row r="53" spans="1:13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80"/>
      <c r="H53" s="99">
        <v>48</v>
      </c>
      <c r="I53" s="100" t="str">
        <f t="shared" si="1"/>
        <v/>
      </c>
      <c r="J53" s="100" t="e">
        <f t="shared" si="5"/>
        <v>#NUM!</v>
      </c>
      <c r="K53" s="99" t="e">
        <f t="shared" si="2"/>
        <v>#NUM!</v>
      </c>
      <c r="L53" s="99"/>
      <c r="M53" s="101">
        <f t="shared" si="3"/>
        <v>0</v>
      </c>
    </row>
    <row r="54" spans="1:13" x14ac:dyDescent="0.25">
      <c r="A54" s="98">
        <f t="shared" si="4"/>
        <v>0</v>
      </c>
      <c r="B54" s="34" t="str">
        <f t="shared" si="0"/>
        <v/>
      </c>
      <c r="C54" s="35"/>
      <c r="D54" s="35"/>
      <c r="E54" s="35"/>
      <c r="F54" s="35"/>
      <c r="G54" s="80"/>
      <c r="H54" s="95">
        <v>49</v>
      </c>
      <c r="I54" s="96" t="str">
        <f t="shared" si="1"/>
        <v/>
      </c>
      <c r="J54" s="96" t="e">
        <f t="shared" si="5"/>
        <v>#NUM!</v>
      </c>
      <c r="K54" s="95" t="e">
        <f t="shared" si="2"/>
        <v>#NUM!</v>
      </c>
      <c r="L54" s="95"/>
      <c r="M54" s="97">
        <f t="shared" si="3"/>
        <v>0</v>
      </c>
    </row>
    <row r="55" spans="1:13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80"/>
      <c r="H55" s="99">
        <v>50</v>
      </c>
      <c r="I55" s="100" t="str">
        <f t="shared" si="1"/>
        <v/>
      </c>
      <c r="J55" s="100" t="e">
        <f t="shared" si="5"/>
        <v>#NUM!</v>
      </c>
      <c r="K55" s="99" t="e">
        <f t="shared" si="2"/>
        <v>#NUM!</v>
      </c>
      <c r="L55" s="99"/>
      <c r="M55" s="101">
        <f t="shared" si="3"/>
        <v>0</v>
      </c>
    </row>
    <row r="56" spans="1:13" x14ac:dyDescent="0.25">
      <c r="A56" s="98">
        <f t="shared" si="4"/>
        <v>0</v>
      </c>
      <c r="B56" s="34" t="str">
        <f t="shared" si="0"/>
        <v/>
      </c>
      <c r="C56" s="35"/>
      <c r="D56" s="35"/>
      <c r="E56" s="35"/>
      <c r="F56" s="35"/>
      <c r="G56" s="80"/>
      <c r="H56" s="95">
        <v>51</v>
      </c>
      <c r="I56" s="96" t="str">
        <f t="shared" si="1"/>
        <v/>
      </c>
      <c r="J56" s="96" t="e">
        <f t="shared" si="5"/>
        <v>#NUM!</v>
      </c>
      <c r="K56" s="95" t="e">
        <f t="shared" si="2"/>
        <v>#NUM!</v>
      </c>
      <c r="L56" s="95"/>
      <c r="M56" s="97">
        <f t="shared" si="3"/>
        <v>0</v>
      </c>
    </row>
    <row r="57" spans="1:13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G57" s="80"/>
      <c r="H57" s="99">
        <v>52</v>
      </c>
      <c r="I57" s="100" t="str">
        <f t="shared" si="1"/>
        <v/>
      </c>
      <c r="J57" s="100" t="e">
        <f t="shared" si="5"/>
        <v>#NUM!</v>
      </c>
      <c r="K57" s="99" t="e">
        <f t="shared" si="2"/>
        <v>#NUM!</v>
      </c>
      <c r="L57" s="99"/>
      <c r="M57" s="101">
        <f t="shared" si="3"/>
        <v>0</v>
      </c>
    </row>
    <row r="58" spans="1:13" x14ac:dyDescent="0.25">
      <c r="A58" s="98">
        <f t="shared" si="4"/>
        <v>0</v>
      </c>
      <c r="B58" s="34" t="str">
        <f t="shared" si="0"/>
        <v/>
      </c>
      <c r="C58" s="35"/>
      <c r="D58" s="35"/>
      <c r="E58" s="35"/>
      <c r="F58" s="35"/>
      <c r="G58" s="80"/>
      <c r="H58" s="95">
        <v>53</v>
      </c>
      <c r="I58" s="96" t="str">
        <f t="shared" si="1"/>
        <v/>
      </c>
      <c r="J58" s="96" t="e">
        <f t="shared" si="5"/>
        <v>#NUM!</v>
      </c>
      <c r="K58" s="95" t="e">
        <f t="shared" si="2"/>
        <v>#NUM!</v>
      </c>
      <c r="L58" s="95"/>
      <c r="M58" s="97">
        <f t="shared" si="3"/>
        <v>0</v>
      </c>
    </row>
    <row r="59" spans="1:13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G59" s="80"/>
      <c r="H59" s="99">
        <v>54</v>
      </c>
      <c r="I59" s="100" t="str">
        <f t="shared" si="1"/>
        <v/>
      </c>
      <c r="J59" s="100" t="e">
        <f t="shared" si="5"/>
        <v>#NUM!</v>
      </c>
      <c r="K59" s="99" t="e">
        <f t="shared" si="2"/>
        <v>#NUM!</v>
      </c>
      <c r="L59" s="99"/>
      <c r="M59" s="101">
        <f t="shared" si="3"/>
        <v>0</v>
      </c>
    </row>
    <row r="60" spans="1:13" x14ac:dyDescent="0.25">
      <c r="A60" s="98">
        <f t="shared" si="4"/>
        <v>0</v>
      </c>
      <c r="B60" s="34" t="str">
        <f t="shared" si="0"/>
        <v/>
      </c>
      <c r="C60" s="35"/>
      <c r="D60" s="35"/>
      <c r="E60" s="35"/>
      <c r="F60" s="35"/>
      <c r="G60" s="80"/>
      <c r="H60" s="95">
        <v>55</v>
      </c>
      <c r="I60" s="96" t="str">
        <f t="shared" si="1"/>
        <v/>
      </c>
      <c r="J60" s="96" t="e">
        <f t="shared" si="5"/>
        <v>#NUM!</v>
      </c>
      <c r="K60" s="95" t="e">
        <f t="shared" si="2"/>
        <v>#NUM!</v>
      </c>
      <c r="L60" s="95"/>
      <c r="M60" s="97">
        <f t="shared" si="3"/>
        <v>0</v>
      </c>
    </row>
    <row r="61" spans="1:13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G61" s="80"/>
      <c r="H61" s="99">
        <v>56</v>
      </c>
      <c r="I61" s="100" t="str">
        <f t="shared" si="1"/>
        <v/>
      </c>
      <c r="J61" s="100" t="e">
        <f t="shared" si="5"/>
        <v>#NUM!</v>
      </c>
      <c r="K61" s="99" t="e">
        <f t="shared" si="2"/>
        <v>#NUM!</v>
      </c>
      <c r="L61" s="99"/>
      <c r="M61" s="101">
        <f t="shared" si="3"/>
        <v>0</v>
      </c>
    </row>
    <row r="62" spans="1:13" x14ac:dyDescent="0.25">
      <c r="A62" s="98">
        <f t="shared" si="4"/>
        <v>0</v>
      </c>
      <c r="B62" s="34" t="str">
        <f t="shared" si="0"/>
        <v/>
      </c>
      <c r="C62" s="35"/>
      <c r="D62" s="35"/>
      <c r="E62" s="35"/>
      <c r="F62" s="35"/>
      <c r="G62" s="80"/>
      <c r="H62" s="95">
        <v>57</v>
      </c>
      <c r="I62" s="96" t="str">
        <f t="shared" si="1"/>
        <v/>
      </c>
      <c r="J62" s="96" t="e">
        <f t="shared" si="5"/>
        <v>#NUM!</v>
      </c>
      <c r="K62" s="95" t="e">
        <f t="shared" si="2"/>
        <v>#NUM!</v>
      </c>
      <c r="L62" s="95"/>
      <c r="M62" s="97">
        <f t="shared" si="3"/>
        <v>0</v>
      </c>
    </row>
    <row r="63" spans="1:13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G63" s="80"/>
      <c r="H63" s="99">
        <v>58</v>
      </c>
      <c r="I63" s="100" t="str">
        <f t="shared" si="1"/>
        <v/>
      </c>
      <c r="J63" s="100" t="e">
        <f t="shared" si="5"/>
        <v>#NUM!</v>
      </c>
      <c r="K63" s="99" t="e">
        <f t="shared" si="2"/>
        <v>#NUM!</v>
      </c>
      <c r="L63" s="99"/>
      <c r="M63" s="101">
        <f t="shared" si="3"/>
        <v>0</v>
      </c>
    </row>
    <row r="64" spans="1:13" x14ac:dyDescent="0.25">
      <c r="A64" s="98">
        <f t="shared" si="4"/>
        <v>0</v>
      </c>
      <c r="B64" s="34" t="str">
        <f t="shared" si="0"/>
        <v/>
      </c>
      <c r="C64" s="35"/>
      <c r="D64" s="35"/>
      <c r="E64" s="35"/>
      <c r="F64" s="35"/>
      <c r="G64" s="80"/>
      <c r="H64" s="95">
        <v>59</v>
      </c>
      <c r="I64" s="96" t="str">
        <f t="shared" si="1"/>
        <v/>
      </c>
      <c r="J64" s="96" t="e">
        <f t="shared" si="5"/>
        <v>#NUM!</v>
      </c>
      <c r="K64" s="95" t="e">
        <f t="shared" si="2"/>
        <v>#NUM!</v>
      </c>
      <c r="L64" s="95"/>
      <c r="M64" s="97">
        <f t="shared" si="3"/>
        <v>0</v>
      </c>
    </row>
    <row r="65" spans="1:13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G65" s="80"/>
      <c r="H65" s="99">
        <v>60</v>
      </c>
      <c r="I65" s="100" t="str">
        <f t="shared" si="1"/>
        <v/>
      </c>
      <c r="J65" s="100" t="e">
        <f t="shared" si="5"/>
        <v>#NUM!</v>
      </c>
      <c r="K65" s="99" t="e">
        <f t="shared" si="2"/>
        <v>#NUM!</v>
      </c>
      <c r="L65" s="99"/>
      <c r="M65" s="101">
        <f t="shared" si="3"/>
        <v>0</v>
      </c>
    </row>
    <row r="66" spans="1:13" x14ac:dyDescent="0.25">
      <c r="A66" s="98">
        <f t="shared" si="4"/>
        <v>0</v>
      </c>
      <c r="B66" s="34"/>
      <c r="G66" s="80"/>
      <c r="H66" s="95">
        <v>61</v>
      </c>
      <c r="I66" s="96" t="str">
        <f t="shared" si="1"/>
        <v/>
      </c>
      <c r="J66" s="96" t="e">
        <f t="shared" si="5"/>
        <v>#NUM!</v>
      </c>
      <c r="K66" s="95" t="e">
        <f t="shared" si="2"/>
        <v>#NUM!</v>
      </c>
      <c r="L66" s="95"/>
      <c r="M66" s="97">
        <f t="shared" si="3"/>
        <v>0</v>
      </c>
    </row>
    <row r="67" spans="1:13" x14ac:dyDescent="0.25">
      <c r="A67" s="98">
        <f t="shared" si="4"/>
        <v>0</v>
      </c>
      <c r="B67" s="40"/>
      <c r="G67" s="80"/>
      <c r="H67" s="95">
        <v>62</v>
      </c>
      <c r="I67" s="96" t="str">
        <f t="shared" si="1"/>
        <v/>
      </c>
      <c r="J67" s="96" t="e">
        <f t="shared" si="5"/>
        <v>#NUM!</v>
      </c>
      <c r="K67" s="95" t="e">
        <f t="shared" si="2"/>
        <v>#NUM!</v>
      </c>
      <c r="L67" s="95"/>
      <c r="M67" s="97">
        <f t="shared" si="3"/>
        <v>0</v>
      </c>
    </row>
    <row r="68" spans="1:13" x14ac:dyDescent="0.25">
      <c r="A68" s="98">
        <f t="shared" si="4"/>
        <v>0</v>
      </c>
      <c r="B68" s="34"/>
      <c r="G68" s="80"/>
      <c r="H68" s="95">
        <v>63</v>
      </c>
      <c r="I68" s="96" t="str">
        <f t="shared" si="1"/>
        <v/>
      </c>
      <c r="J68" s="96" t="e">
        <f t="shared" si="5"/>
        <v>#NUM!</v>
      </c>
      <c r="K68" s="95" t="e">
        <f t="shared" si="2"/>
        <v>#NUM!</v>
      </c>
      <c r="L68" s="95"/>
      <c r="M68" s="97">
        <f t="shared" si="3"/>
        <v>0</v>
      </c>
    </row>
    <row r="69" spans="1:13" x14ac:dyDescent="0.25">
      <c r="A69" s="98">
        <f t="shared" si="4"/>
        <v>0</v>
      </c>
      <c r="B69" s="40"/>
      <c r="G69" s="80"/>
      <c r="H69" s="95">
        <v>64</v>
      </c>
      <c r="I69" s="96" t="str">
        <f t="shared" si="1"/>
        <v/>
      </c>
      <c r="J69" s="96" t="e">
        <f t="shared" si="5"/>
        <v>#NUM!</v>
      </c>
      <c r="K69" s="95" t="e">
        <f t="shared" si="2"/>
        <v>#NUM!</v>
      </c>
      <c r="L69" s="95"/>
      <c r="M69" s="97">
        <f t="shared" si="3"/>
        <v>0</v>
      </c>
    </row>
    <row r="70" spans="1:13" x14ac:dyDescent="0.25">
      <c r="A70" s="98">
        <f t="shared" si="4"/>
        <v>0</v>
      </c>
      <c r="G70" s="80"/>
      <c r="H70" s="95">
        <v>65</v>
      </c>
      <c r="I70" s="96" t="str">
        <f t="shared" ref="I70:I133" si="6">IF(H70&lt;$H$2+1,($I$2-($I$2-1)*(LOG(H70)/LOG($H$2))),"")</f>
        <v/>
      </c>
      <c r="J70" s="96" t="e">
        <f t="shared" si="5"/>
        <v>#NUM!</v>
      </c>
      <c r="K70" s="95" t="e">
        <f t="shared" ref="K70:K133" si="7">J70*$J$2</f>
        <v>#NUM!</v>
      </c>
      <c r="L70" s="95"/>
      <c r="M70" s="97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80"/>
      <c r="H71" s="95">
        <v>66</v>
      </c>
      <c r="I71" s="96" t="str">
        <f t="shared" si="6"/>
        <v/>
      </c>
      <c r="J71" s="96" t="e">
        <f t="shared" ref="J71:J134" si="10">INT(LOG($H$2,2))-ROUNDUP(LOG(H71,2),0)+IF(OR($H$2=1,$H$2=2,$H$2=4,$H$2=8,$H$2=16,$H$2=32,$H$2=64,$H$2=128,$H$2=256),0,1)</f>
        <v>#NUM!</v>
      </c>
      <c r="K71" s="95" t="e">
        <f t="shared" si="7"/>
        <v>#NUM!</v>
      </c>
      <c r="L71" s="95"/>
      <c r="M71" s="97">
        <f t="shared" si="8"/>
        <v>0</v>
      </c>
    </row>
    <row r="72" spans="1:13" x14ac:dyDescent="0.25">
      <c r="A72" s="98">
        <f t="shared" si="9"/>
        <v>0</v>
      </c>
      <c r="G72" s="80"/>
      <c r="H72" s="95">
        <v>67</v>
      </c>
      <c r="I72" s="96" t="str">
        <f t="shared" si="6"/>
        <v/>
      </c>
      <c r="J72" s="96" t="e">
        <f t="shared" si="10"/>
        <v>#NUM!</v>
      </c>
      <c r="K72" s="95" t="e">
        <f t="shared" si="7"/>
        <v>#NUM!</v>
      </c>
      <c r="L72" s="95"/>
      <c r="M72" s="97">
        <f t="shared" si="8"/>
        <v>0</v>
      </c>
    </row>
    <row r="73" spans="1:13" x14ac:dyDescent="0.25">
      <c r="A73" s="98">
        <f t="shared" si="9"/>
        <v>0</v>
      </c>
      <c r="G73" s="80"/>
      <c r="H73" s="95">
        <v>68</v>
      </c>
      <c r="I73" s="96" t="str">
        <f t="shared" si="6"/>
        <v/>
      </c>
      <c r="J73" s="96" t="e">
        <f t="shared" si="10"/>
        <v>#NUM!</v>
      </c>
      <c r="K73" s="95" t="e">
        <f t="shared" si="7"/>
        <v>#NUM!</v>
      </c>
      <c r="L73" s="95"/>
      <c r="M73" s="97">
        <f t="shared" si="8"/>
        <v>0</v>
      </c>
    </row>
    <row r="74" spans="1:13" x14ac:dyDescent="0.25">
      <c r="A74" s="98">
        <f t="shared" si="9"/>
        <v>0</v>
      </c>
      <c r="G74" s="80"/>
      <c r="H74" s="95">
        <v>69</v>
      </c>
      <c r="I74" s="96" t="str">
        <f t="shared" si="6"/>
        <v/>
      </c>
      <c r="J74" s="96" t="e">
        <f t="shared" si="10"/>
        <v>#NUM!</v>
      </c>
      <c r="K74" s="95" t="e">
        <f t="shared" si="7"/>
        <v>#NUM!</v>
      </c>
      <c r="L74" s="95"/>
      <c r="M74" s="97">
        <f t="shared" si="8"/>
        <v>0</v>
      </c>
    </row>
    <row r="75" spans="1:13" x14ac:dyDescent="0.25">
      <c r="A75" s="98">
        <f t="shared" si="9"/>
        <v>0</v>
      </c>
      <c r="G75" s="80"/>
      <c r="H75" s="95">
        <v>70</v>
      </c>
      <c r="I75" s="96" t="str">
        <f t="shared" si="6"/>
        <v/>
      </c>
      <c r="J75" s="96" t="e">
        <f t="shared" si="10"/>
        <v>#NUM!</v>
      </c>
      <c r="K75" s="95" t="e">
        <f t="shared" si="7"/>
        <v>#NUM!</v>
      </c>
      <c r="L75" s="95"/>
      <c r="M75" s="97">
        <f t="shared" si="8"/>
        <v>0</v>
      </c>
    </row>
    <row r="76" spans="1:13" x14ac:dyDescent="0.25">
      <c r="A76" s="98">
        <f t="shared" si="9"/>
        <v>0</v>
      </c>
      <c r="G76" s="80"/>
      <c r="H76" s="95">
        <v>71</v>
      </c>
      <c r="I76" s="96" t="str">
        <f t="shared" si="6"/>
        <v/>
      </c>
      <c r="J76" s="96" t="e">
        <f t="shared" si="10"/>
        <v>#NUM!</v>
      </c>
      <c r="K76" s="95" t="e">
        <f t="shared" si="7"/>
        <v>#NUM!</v>
      </c>
      <c r="L76" s="95"/>
      <c r="M76" s="97">
        <f t="shared" si="8"/>
        <v>0</v>
      </c>
    </row>
    <row r="77" spans="1:13" x14ac:dyDescent="0.25">
      <c r="A77" s="98">
        <f t="shared" si="9"/>
        <v>0</v>
      </c>
      <c r="G77" s="80"/>
      <c r="H77" s="95">
        <v>72</v>
      </c>
      <c r="I77" s="96" t="str">
        <f t="shared" si="6"/>
        <v/>
      </c>
      <c r="J77" s="96" t="e">
        <f t="shared" si="10"/>
        <v>#NUM!</v>
      </c>
      <c r="K77" s="95" t="e">
        <f t="shared" si="7"/>
        <v>#NUM!</v>
      </c>
      <c r="L77" s="95"/>
      <c r="M77" s="97">
        <f t="shared" si="8"/>
        <v>0</v>
      </c>
    </row>
    <row r="78" spans="1:13" x14ac:dyDescent="0.25">
      <c r="A78" s="98">
        <f t="shared" si="9"/>
        <v>0</v>
      </c>
      <c r="G78" s="80"/>
      <c r="H78" s="95">
        <v>73</v>
      </c>
      <c r="I78" s="96" t="str">
        <f t="shared" si="6"/>
        <v/>
      </c>
      <c r="J78" s="96" t="e">
        <f t="shared" si="10"/>
        <v>#NUM!</v>
      </c>
      <c r="K78" s="95" t="e">
        <f t="shared" si="7"/>
        <v>#NUM!</v>
      </c>
      <c r="L78" s="95"/>
      <c r="M78" s="97">
        <f t="shared" si="8"/>
        <v>0</v>
      </c>
    </row>
    <row r="79" spans="1:13" x14ac:dyDescent="0.25">
      <c r="A79" s="98">
        <f t="shared" si="9"/>
        <v>0</v>
      </c>
      <c r="G79" s="80"/>
      <c r="H79" s="95">
        <v>74</v>
      </c>
      <c r="I79" s="96" t="str">
        <f t="shared" si="6"/>
        <v/>
      </c>
      <c r="J79" s="96" t="e">
        <f t="shared" si="10"/>
        <v>#NUM!</v>
      </c>
      <c r="K79" s="95" t="e">
        <f t="shared" si="7"/>
        <v>#NUM!</v>
      </c>
      <c r="L79" s="95"/>
      <c r="M79" s="97">
        <f t="shared" si="8"/>
        <v>0</v>
      </c>
    </row>
    <row r="80" spans="1:13" x14ac:dyDescent="0.25">
      <c r="A80" s="94"/>
      <c r="G80" s="80"/>
      <c r="H80" s="95">
        <v>75</v>
      </c>
      <c r="I80" s="96" t="str">
        <f t="shared" si="6"/>
        <v/>
      </c>
      <c r="J80" s="96" t="e">
        <f t="shared" si="10"/>
        <v>#NUM!</v>
      </c>
      <c r="K80" s="95" t="e">
        <f t="shared" si="7"/>
        <v>#NUM!</v>
      </c>
      <c r="L80" s="95"/>
      <c r="M80" s="97">
        <f t="shared" si="8"/>
        <v>0</v>
      </c>
    </row>
    <row r="81" spans="1:13" x14ac:dyDescent="0.25">
      <c r="A81" s="116"/>
      <c r="G81" s="80"/>
      <c r="H81" s="95">
        <v>76</v>
      </c>
      <c r="I81" s="96" t="str">
        <f t="shared" si="6"/>
        <v/>
      </c>
      <c r="J81" s="96" t="e">
        <f t="shared" si="10"/>
        <v>#NUM!</v>
      </c>
      <c r="K81" s="95" t="e">
        <f t="shared" si="7"/>
        <v>#NUM!</v>
      </c>
      <c r="L81" s="95"/>
      <c r="M81" s="97">
        <f t="shared" si="8"/>
        <v>0</v>
      </c>
    </row>
    <row r="82" spans="1:13" x14ac:dyDescent="0.25">
      <c r="A82" s="116"/>
      <c r="G82" s="80"/>
      <c r="H82" s="95">
        <v>77</v>
      </c>
      <c r="I82" s="96" t="str">
        <f t="shared" si="6"/>
        <v/>
      </c>
      <c r="J82" s="96" t="e">
        <f t="shared" si="10"/>
        <v>#NUM!</v>
      </c>
      <c r="K82" s="95" t="e">
        <f t="shared" si="7"/>
        <v>#NUM!</v>
      </c>
      <c r="L82" s="95"/>
      <c r="M82" s="97">
        <f t="shared" si="8"/>
        <v>0</v>
      </c>
    </row>
    <row r="83" spans="1:13" x14ac:dyDescent="0.25">
      <c r="A83" s="116"/>
      <c r="G83" s="80"/>
      <c r="H83" s="95">
        <v>78</v>
      </c>
      <c r="I83" s="96" t="str">
        <f t="shared" si="6"/>
        <v/>
      </c>
      <c r="J83" s="96" t="e">
        <f t="shared" si="10"/>
        <v>#NUM!</v>
      </c>
      <c r="K83" s="95" t="e">
        <f t="shared" si="7"/>
        <v>#NUM!</v>
      </c>
      <c r="L83" s="95"/>
      <c r="M83" s="97">
        <f t="shared" si="8"/>
        <v>0</v>
      </c>
    </row>
    <row r="84" spans="1:13" x14ac:dyDescent="0.25">
      <c r="A84" s="116"/>
      <c r="G84" s="80"/>
      <c r="H84" s="95">
        <v>79</v>
      </c>
      <c r="I84" s="96" t="str">
        <f t="shared" si="6"/>
        <v/>
      </c>
      <c r="J84" s="96" t="e">
        <f t="shared" si="10"/>
        <v>#NUM!</v>
      </c>
      <c r="K84" s="95" t="e">
        <f t="shared" si="7"/>
        <v>#NUM!</v>
      </c>
      <c r="L84" s="95"/>
      <c r="M84" s="97">
        <f t="shared" si="8"/>
        <v>0</v>
      </c>
    </row>
    <row r="85" spans="1:13" x14ac:dyDescent="0.25">
      <c r="A85" s="116"/>
      <c r="G85" s="80"/>
      <c r="H85" s="95">
        <v>80</v>
      </c>
      <c r="I85" s="96" t="str">
        <f t="shared" si="6"/>
        <v/>
      </c>
      <c r="J85" s="96" t="e">
        <f t="shared" si="10"/>
        <v>#NUM!</v>
      </c>
      <c r="K85" s="95" t="e">
        <f t="shared" si="7"/>
        <v>#NUM!</v>
      </c>
      <c r="L85" s="95"/>
      <c r="M85" s="97">
        <f t="shared" si="8"/>
        <v>0</v>
      </c>
    </row>
    <row r="86" spans="1:13" x14ac:dyDescent="0.25">
      <c r="A86" s="116"/>
      <c r="G86" s="80"/>
      <c r="H86" s="95">
        <v>81</v>
      </c>
      <c r="I86" s="96" t="str">
        <f t="shared" si="6"/>
        <v/>
      </c>
      <c r="J86" s="96" t="e">
        <f t="shared" si="10"/>
        <v>#NUM!</v>
      </c>
      <c r="K86" s="95" t="e">
        <f t="shared" si="7"/>
        <v>#NUM!</v>
      </c>
      <c r="L86" s="95"/>
      <c r="M86" s="97">
        <f t="shared" si="8"/>
        <v>0</v>
      </c>
    </row>
    <row r="87" spans="1:13" x14ac:dyDescent="0.25">
      <c r="A87" s="116"/>
      <c r="G87" s="80"/>
      <c r="H87" s="95">
        <v>82</v>
      </c>
      <c r="I87" s="96" t="str">
        <f t="shared" si="6"/>
        <v/>
      </c>
      <c r="J87" s="96" t="e">
        <f t="shared" si="10"/>
        <v>#NUM!</v>
      </c>
      <c r="K87" s="95" t="e">
        <f t="shared" si="7"/>
        <v>#NUM!</v>
      </c>
      <c r="L87" s="95"/>
      <c r="M87" s="97">
        <f t="shared" si="8"/>
        <v>0</v>
      </c>
    </row>
    <row r="88" spans="1:13" x14ac:dyDescent="0.25">
      <c r="A88" s="116"/>
      <c r="G88" s="80"/>
      <c r="H88" s="95">
        <v>83</v>
      </c>
      <c r="I88" s="96" t="str">
        <f t="shared" si="6"/>
        <v/>
      </c>
      <c r="J88" s="96" t="e">
        <f t="shared" si="10"/>
        <v>#NUM!</v>
      </c>
      <c r="K88" s="95" t="e">
        <f t="shared" si="7"/>
        <v>#NUM!</v>
      </c>
      <c r="L88" s="95"/>
      <c r="M88" s="97">
        <f t="shared" si="8"/>
        <v>0</v>
      </c>
    </row>
    <row r="89" spans="1:13" x14ac:dyDescent="0.25">
      <c r="A89" s="116"/>
      <c r="G89" s="80"/>
      <c r="H89" s="95">
        <v>84</v>
      </c>
      <c r="I89" s="96" t="str">
        <f t="shared" si="6"/>
        <v/>
      </c>
      <c r="J89" s="96" t="e">
        <f t="shared" si="10"/>
        <v>#NUM!</v>
      </c>
      <c r="K89" s="95" t="e">
        <f t="shared" si="7"/>
        <v>#NUM!</v>
      </c>
      <c r="L89" s="95"/>
      <c r="M89" s="97">
        <f t="shared" si="8"/>
        <v>0</v>
      </c>
    </row>
    <row r="90" spans="1:13" x14ac:dyDescent="0.25">
      <c r="A90" s="116"/>
      <c r="G90" s="80"/>
      <c r="H90" s="95">
        <v>85</v>
      </c>
      <c r="I90" s="96" t="str">
        <f t="shared" si="6"/>
        <v/>
      </c>
      <c r="J90" s="96" t="e">
        <f t="shared" si="10"/>
        <v>#NUM!</v>
      </c>
      <c r="K90" s="95" t="e">
        <f t="shared" si="7"/>
        <v>#NUM!</v>
      </c>
      <c r="L90" s="95"/>
      <c r="M90" s="97">
        <f t="shared" si="8"/>
        <v>0</v>
      </c>
    </row>
    <row r="91" spans="1:13" x14ac:dyDescent="0.25">
      <c r="A91" s="116"/>
      <c r="G91" s="80"/>
      <c r="H91" s="95">
        <v>86</v>
      </c>
      <c r="I91" s="96" t="str">
        <f t="shared" si="6"/>
        <v/>
      </c>
      <c r="J91" s="96" t="e">
        <f t="shared" si="10"/>
        <v>#NUM!</v>
      </c>
      <c r="K91" s="95" t="e">
        <f t="shared" si="7"/>
        <v>#NUM!</v>
      </c>
      <c r="L91" s="95"/>
      <c r="M91" s="97">
        <f t="shared" si="8"/>
        <v>0</v>
      </c>
    </row>
    <row r="92" spans="1:13" x14ac:dyDescent="0.25">
      <c r="A92" s="116"/>
      <c r="G92" s="80"/>
      <c r="H92" s="95">
        <v>87</v>
      </c>
      <c r="I92" s="96" t="str">
        <f t="shared" si="6"/>
        <v/>
      </c>
      <c r="J92" s="96" t="e">
        <f t="shared" si="10"/>
        <v>#NUM!</v>
      </c>
      <c r="K92" s="95" t="e">
        <f t="shared" si="7"/>
        <v>#NUM!</v>
      </c>
      <c r="L92" s="95"/>
      <c r="M92" s="97">
        <f t="shared" si="8"/>
        <v>0</v>
      </c>
    </row>
    <row r="93" spans="1:13" x14ac:dyDescent="0.25">
      <c r="A93" s="116"/>
      <c r="G93" s="80"/>
      <c r="H93" s="95">
        <v>88</v>
      </c>
      <c r="I93" s="96" t="str">
        <f t="shared" si="6"/>
        <v/>
      </c>
      <c r="J93" s="96" t="e">
        <f t="shared" si="10"/>
        <v>#NUM!</v>
      </c>
      <c r="K93" s="95" t="e">
        <f t="shared" si="7"/>
        <v>#NUM!</v>
      </c>
      <c r="L93" s="95"/>
      <c r="M93" s="97">
        <f t="shared" si="8"/>
        <v>0</v>
      </c>
    </row>
    <row r="94" spans="1:13" x14ac:dyDescent="0.25">
      <c r="A94" s="116"/>
      <c r="G94" s="80"/>
      <c r="H94" s="95">
        <v>89</v>
      </c>
      <c r="I94" s="96" t="str">
        <f t="shared" si="6"/>
        <v/>
      </c>
      <c r="J94" s="96" t="e">
        <f t="shared" si="10"/>
        <v>#NUM!</v>
      </c>
      <c r="K94" s="95" t="e">
        <f t="shared" si="7"/>
        <v>#NUM!</v>
      </c>
      <c r="L94" s="95"/>
      <c r="M94" s="97">
        <f t="shared" si="8"/>
        <v>0</v>
      </c>
    </row>
    <row r="95" spans="1:13" x14ac:dyDescent="0.25">
      <c r="A95" s="116"/>
      <c r="G95" s="80"/>
      <c r="H95" s="95">
        <v>90</v>
      </c>
      <c r="I95" s="96" t="str">
        <f t="shared" si="6"/>
        <v/>
      </c>
      <c r="J95" s="96" t="e">
        <f t="shared" si="10"/>
        <v>#NUM!</v>
      </c>
      <c r="K95" s="95" t="e">
        <f t="shared" si="7"/>
        <v>#NUM!</v>
      </c>
      <c r="L95" s="95"/>
      <c r="M95" s="97">
        <f t="shared" si="8"/>
        <v>0</v>
      </c>
    </row>
    <row r="96" spans="1:13" x14ac:dyDescent="0.25">
      <c r="A96" s="116"/>
      <c r="G96" s="80"/>
      <c r="H96" s="95">
        <v>91</v>
      </c>
      <c r="I96" s="96" t="str">
        <f t="shared" si="6"/>
        <v/>
      </c>
      <c r="J96" s="96" t="e">
        <f t="shared" si="10"/>
        <v>#NUM!</v>
      </c>
      <c r="K96" s="95" t="e">
        <f t="shared" si="7"/>
        <v>#NUM!</v>
      </c>
      <c r="L96" s="95"/>
      <c r="M96" s="97">
        <f t="shared" si="8"/>
        <v>0</v>
      </c>
    </row>
    <row r="97" spans="1:13" x14ac:dyDescent="0.25">
      <c r="A97" s="116"/>
      <c r="G97" s="80"/>
      <c r="H97" s="95">
        <v>92</v>
      </c>
      <c r="I97" s="96" t="str">
        <f t="shared" si="6"/>
        <v/>
      </c>
      <c r="J97" s="96" t="e">
        <f t="shared" si="10"/>
        <v>#NUM!</v>
      </c>
      <c r="K97" s="95" t="e">
        <f t="shared" si="7"/>
        <v>#NUM!</v>
      </c>
      <c r="L97" s="95"/>
      <c r="M97" s="97">
        <f t="shared" si="8"/>
        <v>0</v>
      </c>
    </row>
    <row r="98" spans="1:13" x14ac:dyDescent="0.25">
      <c r="A98" s="116"/>
      <c r="G98" s="80"/>
      <c r="H98" s="95">
        <v>93</v>
      </c>
      <c r="I98" s="96" t="str">
        <f t="shared" si="6"/>
        <v/>
      </c>
      <c r="J98" s="96" t="e">
        <f t="shared" si="10"/>
        <v>#NUM!</v>
      </c>
      <c r="K98" s="95" t="e">
        <f t="shared" si="7"/>
        <v>#NUM!</v>
      </c>
      <c r="L98" s="95"/>
      <c r="M98" s="97">
        <f t="shared" si="8"/>
        <v>0</v>
      </c>
    </row>
    <row r="99" spans="1:13" x14ac:dyDescent="0.25">
      <c r="A99" s="116"/>
      <c r="G99" s="80"/>
      <c r="H99" s="95">
        <v>94</v>
      </c>
      <c r="I99" s="96" t="str">
        <f t="shared" si="6"/>
        <v/>
      </c>
      <c r="J99" s="96" t="e">
        <f t="shared" si="10"/>
        <v>#NUM!</v>
      </c>
      <c r="K99" s="95" t="e">
        <f t="shared" si="7"/>
        <v>#NUM!</v>
      </c>
      <c r="L99" s="95"/>
      <c r="M99" s="97">
        <f t="shared" si="8"/>
        <v>0</v>
      </c>
    </row>
    <row r="100" spans="1:13" x14ac:dyDescent="0.25">
      <c r="A100" s="116"/>
      <c r="G100" s="80"/>
      <c r="H100" s="95">
        <v>95</v>
      </c>
      <c r="I100" s="96" t="str">
        <f t="shared" si="6"/>
        <v/>
      </c>
      <c r="J100" s="96" t="e">
        <f t="shared" si="10"/>
        <v>#NUM!</v>
      </c>
      <c r="K100" s="95" t="e">
        <f t="shared" si="7"/>
        <v>#NUM!</v>
      </c>
      <c r="L100" s="95"/>
      <c r="M100" s="97">
        <f t="shared" si="8"/>
        <v>0</v>
      </c>
    </row>
    <row r="101" spans="1:13" x14ac:dyDescent="0.25">
      <c r="A101" s="116"/>
      <c r="G101" s="80"/>
      <c r="H101" s="95">
        <v>96</v>
      </c>
      <c r="I101" s="96" t="str">
        <f t="shared" si="6"/>
        <v/>
      </c>
      <c r="J101" s="96" t="e">
        <f t="shared" si="10"/>
        <v>#NUM!</v>
      </c>
      <c r="K101" s="95" t="e">
        <f t="shared" si="7"/>
        <v>#NUM!</v>
      </c>
      <c r="L101" s="95"/>
      <c r="M101" s="97">
        <f t="shared" si="8"/>
        <v>0</v>
      </c>
    </row>
    <row r="102" spans="1:13" x14ac:dyDescent="0.25">
      <c r="A102" s="116"/>
      <c r="G102" s="80"/>
      <c r="H102" s="95">
        <v>97</v>
      </c>
      <c r="I102" s="96" t="str">
        <f t="shared" si="6"/>
        <v/>
      </c>
      <c r="J102" s="96" t="e">
        <f t="shared" si="10"/>
        <v>#NUM!</v>
      </c>
      <c r="K102" s="95" t="e">
        <f t="shared" si="7"/>
        <v>#NUM!</v>
      </c>
      <c r="L102" s="95"/>
      <c r="M102" s="97">
        <f t="shared" si="8"/>
        <v>0</v>
      </c>
    </row>
    <row r="103" spans="1:13" x14ac:dyDescent="0.25">
      <c r="A103" s="116"/>
      <c r="G103" s="80"/>
      <c r="H103" s="95">
        <v>98</v>
      </c>
      <c r="I103" s="96" t="str">
        <f t="shared" si="6"/>
        <v/>
      </c>
      <c r="J103" s="96" t="e">
        <f t="shared" si="10"/>
        <v>#NUM!</v>
      </c>
      <c r="K103" s="95" t="e">
        <f t="shared" si="7"/>
        <v>#NUM!</v>
      </c>
      <c r="L103" s="95"/>
      <c r="M103" s="97">
        <f t="shared" si="8"/>
        <v>0</v>
      </c>
    </row>
    <row r="104" spans="1:13" x14ac:dyDescent="0.25">
      <c r="A104" s="116"/>
      <c r="G104" s="80"/>
      <c r="H104" s="95">
        <v>99</v>
      </c>
      <c r="I104" s="96" t="str">
        <f t="shared" si="6"/>
        <v/>
      </c>
      <c r="J104" s="96" t="e">
        <f t="shared" si="10"/>
        <v>#NUM!</v>
      </c>
      <c r="K104" s="95" t="e">
        <f t="shared" si="7"/>
        <v>#NUM!</v>
      </c>
      <c r="L104" s="95"/>
      <c r="M104" s="97">
        <f t="shared" si="8"/>
        <v>0</v>
      </c>
    </row>
    <row r="105" spans="1:13" x14ac:dyDescent="0.25">
      <c r="A105" s="116"/>
      <c r="G105" s="80"/>
      <c r="H105" s="95">
        <v>100</v>
      </c>
      <c r="I105" s="96" t="str">
        <f t="shared" si="6"/>
        <v/>
      </c>
      <c r="J105" s="96" t="e">
        <f t="shared" si="10"/>
        <v>#NUM!</v>
      </c>
      <c r="K105" s="95" t="e">
        <f t="shared" si="7"/>
        <v>#NUM!</v>
      </c>
      <c r="L105" s="95"/>
      <c r="M105" s="97">
        <f t="shared" si="8"/>
        <v>0</v>
      </c>
    </row>
    <row r="106" spans="1:13" x14ac:dyDescent="0.25">
      <c r="A106" s="116"/>
      <c r="G106" s="80"/>
      <c r="H106" s="95">
        <v>101</v>
      </c>
      <c r="I106" s="96" t="str">
        <f t="shared" si="6"/>
        <v/>
      </c>
      <c r="J106" s="96" t="e">
        <f t="shared" si="10"/>
        <v>#NUM!</v>
      </c>
      <c r="K106" s="95" t="e">
        <f t="shared" si="7"/>
        <v>#NUM!</v>
      </c>
      <c r="L106" s="95"/>
      <c r="M106" s="97">
        <f t="shared" si="8"/>
        <v>0</v>
      </c>
    </row>
    <row r="107" spans="1:13" x14ac:dyDescent="0.25">
      <c r="A107" s="116"/>
      <c r="G107" s="80"/>
      <c r="H107" s="95">
        <v>102</v>
      </c>
      <c r="I107" s="96" t="str">
        <f t="shared" si="6"/>
        <v/>
      </c>
      <c r="J107" s="96" t="e">
        <f t="shared" si="10"/>
        <v>#NUM!</v>
      </c>
      <c r="K107" s="95" t="e">
        <f t="shared" si="7"/>
        <v>#NUM!</v>
      </c>
      <c r="L107" s="95"/>
      <c r="M107" s="97">
        <f t="shared" si="8"/>
        <v>0</v>
      </c>
    </row>
    <row r="108" spans="1:13" x14ac:dyDescent="0.25">
      <c r="A108" s="116"/>
      <c r="G108" s="80"/>
      <c r="H108" s="95">
        <v>103</v>
      </c>
      <c r="I108" s="96" t="str">
        <f t="shared" si="6"/>
        <v/>
      </c>
      <c r="J108" s="96" t="e">
        <f t="shared" si="10"/>
        <v>#NUM!</v>
      </c>
      <c r="K108" s="95" t="e">
        <f t="shared" si="7"/>
        <v>#NUM!</v>
      </c>
      <c r="L108" s="95"/>
      <c r="M108" s="97">
        <f t="shared" si="8"/>
        <v>0</v>
      </c>
    </row>
    <row r="109" spans="1:13" x14ac:dyDescent="0.25">
      <c r="A109" s="116"/>
      <c r="G109" s="80"/>
      <c r="H109" s="95">
        <v>104</v>
      </c>
      <c r="I109" s="96" t="str">
        <f t="shared" si="6"/>
        <v/>
      </c>
      <c r="J109" s="96" t="e">
        <f t="shared" si="10"/>
        <v>#NUM!</v>
      </c>
      <c r="K109" s="95" t="e">
        <f t="shared" si="7"/>
        <v>#NUM!</v>
      </c>
      <c r="L109" s="95"/>
      <c r="M109" s="97">
        <f t="shared" si="8"/>
        <v>0</v>
      </c>
    </row>
    <row r="110" spans="1:13" x14ac:dyDescent="0.25">
      <c r="A110" s="116"/>
      <c r="G110" s="80"/>
      <c r="H110" s="95">
        <v>105</v>
      </c>
      <c r="I110" s="96" t="str">
        <f t="shared" si="6"/>
        <v/>
      </c>
      <c r="J110" s="96" t="e">
        <f t="shared" si="10"/>
        <v>#NUM!</v>
      </c>
      <c r="K110" s="95" t="e">
        <f t="shared" si="7"/>
        <v>#NUM!</v>
      </c>
      <c r="L110" s="95"/>
      <c r="M110" s="97">
        <f t="shared" si="8"/>
        <v>0</v>
      </c>
    </row>
    <row r="111" spans="1:13" x14ac:dyDescent="0.25">
      <c r="A111" s="116"/>
      <c r="G111" s="80"/>
      <c r="H111" s="95">
        <v>106</v>
      </c>
      <c r="I111" s="96" t="str">
        <f t="shared" si="6"/>
        <v/>
      </c>
      <c r="J111" s="96" t="e">
        <f t="shared" si="10"/>
        <v>#NUM!</v>
      </c>
      <c r="K111" s="95" t="e">
        <f t="shared" si="7"/>
        <v>#NUM!</v>
      </c>
      <c r="L111" s="95"/>
      <c r="M111" s="97">
        <f t="shared" si="8"/>
        <v>0</v>
      </c>
    </row>
    <row r="112" spans="1:13" x14ac:dyDescent="0.25">
      <c r="A112" s="116"/>
      <c r="G112" s="80"/>
      <c r="H112" s="95">
        <v>107</v>
      </c>
      <c r="I112" s="96" t="str">
        <f t="shared" si="6"/>
        <v/>
      </c>
      <c r="J112" s="96" t="e">
        <f t="shared" si="10"/>
        <v>#NUM!</v>
      </c>
      <c r="K112" s="95" t="e">
        <f t="shared" si="7"/>
        <v>#NUM!</v>
      </c>
      <c r="L112" s="95"/>
      <c r="M112" s="97">
        <f t="shared" si="8"/>
        <v>0</v>
      </c>
    </row>
    <row r="113" spans="1:13" x14ac:dyDescent="0.25">
      <c r="A113" s="116"/>
      <c r="G113" s="80"/>
      <c r="H113" s="95">
        <v>108</v>
      </c>
      <c r="I113" s="96" t="str">
        <f t="shared" si="6"/>
        <v/>
      </c>
      <c r="J113" s="96" t="e">
        <f t="shared" si="10"/>
        <v>#NUM!</v>
      </c>
      <c r="K113" s="95" t="e">
        <f t="shared" si="7"/>
        <v>#NUM!</v>
      </c>
      <c r="L113" s="95"/>
      <c r="M113" s="97">
        <f t="shared" si="8"/>
        <v>0</v>
      </c>
    </row>
    <row r="114" spans="1:13" x14ac:dyDescent="0.25">
      <c r="A114" s="116"/>
      <c r="G114" s="80"/>
      <c r="H114" s="95">
        <v>109</v>
      </c>
      <c r="I114" s="96" t="str">
        <f t="shared" si="6"/>
        <v/>
      </c>
      <c r="J114" s="96" t="e">
        <f t="shared" si="10"/>
        <v>#NUM!</v>
      </c>
      <c r="K114" s="95" t="e">
        <f t="shared" si="7"/>
        <v>#NUM!</v>
      </c>
      <c r="L114" s="95"/>
      <c r="M114" s="97">
        <f t="shared" si="8"/>
        <v>0</v>
      </c>
    </row>
    <row r="115" spans="1:13" x14ac:dyDescent="0.25">
      <c r="A115" s="116"/>
      <c r="G115" s="80"/>
      <c r="H115" s="95">
        <v>110</v>
      </c>
      <c r="I115" s="96" t="str">
        <f t="shared" si="6"/>
        <v/>
      </c>
      <c r="J115" s="96" t="e">
        <f t="shared" si="10"/>
        <v>#NUM!</v>
      </c>
      <c r="K115" s="95" t="e">
        <f t="shared" si="7"/>
        <v>#NUM!</v>
      </c>
      <c r="L115" s="95"/>
      <c r="M115" s="97">
        <f t="shared" si="8"/>
        <v>0</v>
      </c>
    </row>
    <row r="116" spans="1:13" x14ac:dyDescent="0.25">
      <c r="A116" s="116"/>
      <c r="G116" s="80"/>
      <c r="H116" s="95">
        <v>111</v>
      </c>
      <c r="I116" s="96" t="str">
        <f t="shared" si="6"/>
        <v/>
      </c>
      <c r="J116" s="96" t="e">
        <f t="shared" si="10"/>
        <v>#NUM!</v>
      </c>
      <c r="K116" s="95" t="e">
        <f t="shared" si="7"/>
        <v>#NUM!</v>
      </c>
      <c r="L116" s="95"/>
      <c r="M116" s="97">
        <f t="shared" si="8"/>
        <v>0</v>
      </c>
    </row>
    <row r="117" spans="1:13" x14ac:dyDescent="0.25">
      <c r="A117" s="116"/>
      <c r="G117" s="80"/>
      <c r="H117" s="95">
        <v>112</v>
      </c>
      <c r="I117" s="96" t="str">
        <f t="shared" si="6"/>
        <v/>
      </c>
      <c r="J117" s="96" t="e">
        <f t="shared" si="10"/>
        <v>#NUM!</v>
      </c>
      <c r="K117" s="95" t="e">
        <f t="shared" si="7"/>
        <v>#NUM!</v>
      </c>
      <c r="L117" s="95"/>
      <c r="M117" s="97">
        <f t="shared" si="8"/>
        <v>0</v>
      </c>
    </row>
    <row r="118" spans="1:13" x14ac:dyDescent="0.25">
      <c r="A118" s="116"/>
      <c r="G118" s="80"/>
      <c r="H118" s="95">
        <v>113</v>
      </c>
      <c r="I118" s="96" t="str">
        <f t="shared" si="6"/>
        <v/>
      </c>
      <c r="J118" s="96" t="e">
        <f t="shared" si="10"/>
        <v>#NUM!</v>
      </c>
      <c r="K118" s="95" t="e">
        <f t="shared" si="7"/>
        <v>#NUM!</v>
      </c>
      <c r="L118" s="95"/>
      <c r="M118" s="97">
        <f t="shared" si="8"/>
        <v>0</v>
      </c>
    </row>
    <row r="119" spans="1:13" x14ac:dyDescent="0.25">
      <c r="A119" s="116"/>
      <c r="G119" s="80"/>
      <c r="H119" s="95">
        <v>114</v>
      </c>
      <c r="I119" s="96" t="str">
        <f t="shared" si="6"/>
        <v/>
      </c>
      <c r="J119" s="96" t="e">
        <f t="shared" si="10"/>
        <v>#NUM!</v>
      </c>
      <c r="K119" s="95" t="e">
        <f t="shared" si="7"/>
        <v>#NUM!</v>
      </c>
      <c r="L119" s="95"/>
      <c r="M119" s="97">
        <f t="shared" si="8"/>
        <v>0</v>
      </c>
    </row>
    <row r="120" spans="1:13" x14ac:dyDescent="0.25">
      <c r="A120" s="116"/>
      <c r="G120" s="80"/>
      <c r="H120" s="95">
        <v>115</v>
      </c>
      <c r="I120" s="96" t="str">
        <f t="shared" si="6"/>
        <v/>
      </c>
      <c r="J120" s="96" t="e">
        <f t="shared" si="10"/>
        <v>#NUM!</v>
      </c>
      <c r="K120" s="95" t="e">
        <f t="shared" si="7"/>
        <v>#NUM!</v>
      </c>
      <c r="L120" s="95"/>
      <c r="M120" s="97">
        <f t="shared" si="8"/>
        <v>0</v>
      </c>
    </row>
    <row r="121" spans="1:13" x14ac:dyDescent="0.25">
      <c r="A121" s="116"/>
      <c r="G121" s="80"/>
      <c r="H121" s="95">
        <v>116</v>
      </c>
      <c r="I121" s="96" t="str">
        <f t="shared" si="6"/>
        <v/>
      </c>
      <c r="J121" s="96" t="e">
        <f t="shared" si="10"/>
        <v>#NUM!</v>
      </c>
      <c r="K121" s="95" t="e">
        <f t="shared" si="7"/>
        <v>#NUM!</v>
      </c>
      <c r="L121" s="95"/>
      <c r="M121" s="97">
        <f t="shared" si="8"/>
        <v>0</v>
      </c>
    </row>
    <row r="122" spans="1:13" x14ac:dyDescent="0.25">
      <c r="A122" s="116"/>
      <c r="G122" s="80"/>
      <c r="H122" s="95">
        <v>117</v>
      </c>
      <c r="I122" s="96" t="str">
        <f t="shared" si="6"/>
        <v/>
      </c>
      <c r="J122" s="96" t="e">
        <f t="shared" si="10"/>
        <v>#NUM!</v>
      </c>
      <c r="K122" s="95" t="e">
        <f t="shared" si="7"/>
        <v>#NUM!</v>
      </c>
      <c r="L122" s="95"/>
      <c r="M122" s="97">
        <f t="shared" si="8"/>
        <v>0</v>
      </c>
    </row>
    <row r="123" spans="1:13" x14ac:dyDescent="0.25">
      <c r="A123" s="116"/>
      <c r="G123" s="80"/>
      <c r="H123" s="95">
        <v>118</v>
      </c>
      <c r="I123" s="96" t="str">
        <f t="shared" si="6"/>
        <v/>
      </c>
      <c r="J123" s="96" t="e">
        <f t="shared" si="10"/>
        <v>#NUM!</v>
      </c>
      <c r="K123" s="95" t="e">
        <f t="shared" si="7"/>
        <v>#NUM!</v>
      </c>
      <c r="L123" s="95"/>
      <c r="M123" s="97">
        <f t="shared" si="8"/>
        <v>0</v>
      </c>
    </row>
    <row r="124" spans="1:13" x14ac:dyDescent="0.25">
      <c r="A124" s="116"/>
      <c r="G124" s="80"/>
      <c r="H124" s="95">
        <v>119</v>
      </c>
      <c r="I124" s="96" t="str">
        <f t="shared" si="6"/>
        <v/>
      </c>
      <c r="J124" s="96" t="e">
        <f t="shared" si="10"/>
        <v>#NUM!</v>
      </c>
      <c r="K124" s="95" t="e">
        <f t="shared" si="7"/>
        <v>#NUM!</v>
      </c>
      <c r="L124" s="95"/>
      <c r="M124" s="97">
        <f t="shared" si="8"/>
        <v>0</v>
      </c>
    </row>
    <row r="125" spans="1:13" x14ac:dyDescent="0.25">
      <c r="A125" s="116"/>
      <c r="G125" s="80"/>
      <c r="H125" s="95">
        <v>120</v>
      </c>
      <c r="I125" s="96" t="str">
        <f t="shared" si="6"/>
        <v/>
      </c>
      <c r="J125" s="96" t="e">
        <f t="shared" si="10"/>
        <v>#NUM!</v>
      </c>
      <c r="K125" s="95" t="e">
        <f t="shared" si="7"/>
        <v>#NUM!</v>
      </c>
      <c r="L125" s="95"/>
      <c r="M125" s="97">
        <f t="shared" si="8"/>
        <v>0</v>
      </c>
    </row>
    <row r="126" spans="1:13" x14ac:dyDescent="0.25">
      <c r="A126" s="116"/>
      <c r="G126" s="80"/>
      <c r="H126" s="95">
        <v>121</v>
      </c>
      <c r="I126" s="96" t="str">
        <f t="shared" si="6"/>
        <v/>
      </c>
      <c r="J126" s="96" t="e">
        <f t="shared" si="10"/>
        <v>#NUM!</v>
      </c>
      <c r="K126" s="95" t="e">
        <f t="shared" si="7"/>
        <v>#NUM!</v>
      </c>
      <c r="L126" s="95"/>
      <c r="M126" s="97">
        <f t="shared" si="8"/>
        <v>0</v>
      </c>
    </row>
    <row r="127" spans="1:13" x14ac:dyDescent="0.25">
      <c r="A127" s="116"/>
      <c r="G127" s="80"/>
      <c r="H127" s="95">
        <v>122</v>
      </c>
      <c r="I127" s="96" t="str">
        <f t="shared" si="6"/>
        <v/>
      </c>
      <c r="J127" s="96" t="e">
        <f t="shared" si="10"/>
        <v>#NUM!</v>
      </c>
      <c r="K127" s="95" t="e">
        <f t="shared" si="7"/>
        <v>#NUM!</v>
      </c>
      <c r="L127" s="95"/>
      <c r="M127" s="97">
        <f t="shared" si="8"/>
        <v>0</v>
      </c>
    </row>
    <row r="128" spans="1:13" x14ac:dyDescent="0.25">
      <c r="A128" s="116"/>
      <c r="G128" s="80"/>
      <c r="H128" s="95">
        <v>123</v>
      </c>
      <c r="I128" s="96" t="str">
        <f t="shared" si="6"/>
        <v/>
      </c>
      <c r="J128" s="96" t="e">
        <f t="shared" si="10"/>
        <v>#NUM!</v>
      </c>
      <c r="K128" s="95" t="e">
        <f t="shared" si="7"/>
        <v>#NUM!</v>
      </c>
      <c r="L128" s="95"/>
      <c r="M128" s="97">
        <f t="shared" si="8"/>
        <v>0</v>
      </c>
    </row>
    <row r="129" spans="1:13" x14ac:dyDescent="0.25">
      <c r="A129" s="116"/>
      <c r="G129" s="80"/>
      <c r="H129" s="95">
        <v>124</v>
      </c>
      <c r="I129" s="96" t="str">
        <f t="shared" si="6"/>
        <v/>
      </c>
      <c r="J129" s="96" t="e">
        <f t="shared" si="10"/>
        <v>#NUM!</v>
      </c>
      <c r="K129" s="95" t="e">
        <f t="shared" si="7"/>
        <v>#NUM!</v>
      </c>
      <c r="L129" s="95"/>
      <c r="M129" s="97">
        <f t="shared" si="8"/>
        <v>0</v>
      </c>
    </row>
    <row r="130" spans="1:13" x14ac:dyDescent="0.25">
      <c r="A130" s="116"/>
      <c r="G130" s="80"/>
      <c r="H130" s="95">
        <v>125</v>
      </c>
      <c r="I130" s="96" t="str">
        <f t="shared" si="6"/>
        <v/>
      </c>
      <c r="J130" s="96" t="e">
        <f t="shared" si="10"/>
        <v>#NUM!</v>
      </c>
      <c r="K130" s="95" t="e">
        <f t="shared" si="7"/>
        <v>#NUM!</v>
      </c>
      <c r="L130" s="95"/>
      <c r="M130" s="97">
        <f t="shared" si="8"/>
        <v>0</v>
      </c>
    </row>
    <row r="131" spans="1:13" x14ac:dyDescent="0.25">
      <c r="A131" s="116"/>
      <c r="G131" s="80"/>
      <c r="H131" s="95">
        <v>126</v>
      </c>
      <c r="I131" s="96" t="str">
        <f t="shared" si="6"/>
        <v/>
      </c>
      <c r="J131" s="96" t="e">
        <f t="shared" si="10"/>
        <v>#NUM!</v>
      </c>
      <c r="K131" s="95" t="e">
        <f t="shared" si="7"/>
        <v>#NUM!</v>
      </c>
      <c r="L131" s="95"/>
      <c r="M131" s="97">
        <f t="shared" si="8"/>
        <v>0</v>
      </c>
    </row>
    <row r="132" spans="1:13" x14ac:dyDescent="0.25">
      <c r="A132" s="116"/>
      <c r="G132" s="80"/>
      <c r="H132" s="95">
        <v>127</v>
      </c>
      <c r="I132" s="96" t="str">
        <f t="shared" si="6"/>
        <v/>
      </c>
      <c r="J132" s="96" t="e">
        <f t="shared" si="10"/>
        <v>#NUM!</v>
      </c>
      <c r="K132" s="95" t="e">
        <f t="shared" si="7"/>
        <v>#NUM!</v>
      </c>
      <c r="L132" s="95"/>
      <c r="M132" s="97">
        <f t="shared" si="8"/>
        <v>0</v>
      </c>
    </row>
    <row r="133" spans="1:13" x14ac:dyDescent="0.25">
      <c r="A133" s="116"/>
      <c r="G133" s="80"/>
      <c r="H133" s="95">
        <v>128</v>
      </c>
      <c r="I133" s="96" t="str">
        <f t="shared" si="6"/>
        <v/>
      </c>
      <c r="J133" s="96" t="e">
        <f t="shared" si="10"/>
        <v>#NUM!</v>
      </c>
      <c r="K133" s="95" t="e">
        <f t="shared" si="7"/>
        <v>#NUM!</v>
      </c>
      <c r="L133" s="95"/>
      <c r="M133" s="97">
        <f t="shared" si="8"/>
        <v>0</v>
      </c>
    </row>
    <row r="134" spans="1:13" x14ac:dyDescent="0.25">
      <c r="A134" s="116"/>
      <c r="G134" s="80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si="10"/>
        <v>#NUM!</v>
      </c>
      <c r="K134" s="95" t="e">
        <f t="shared" ref="K134:K197" si="12">J134*$J$2</f>
        <v>#NUM!</v>
      </c>
      <c r="L134" s="95"/>
      <c r="M134" s="97">
        <f t="shared" ref="M134:M197" si="13">IF(I134&lt;&gt;"",K134+I134+L134,0)</f>
        <v>0</v>
      </c>
    </row>
    <row r="135" spans="1:13" x14ac:dyDescent="0.25">
      <c r="A135" s="116"/>
      <c r="G135" s="80"/>
      <c r="H135" s="95">
        <v>130</v>
      </c>
      <c r="I135" s="96" t="str">
        <f t="shared" si="11"/>
        <v/>
      </c>
      <c r="J135" s="96" t="e">
        <f t="shared" ref="J135:J198" si="14">INT(LOG($H$2,2))-ROUNDUP(LOG(H135,2),0)+IF(OR($H$2=1,$H$2=2,$H$2=4,$H$2=8,$H$2=16,$H$2=32,$H$2=64,$H$2=128,$H$2=256),0,1)</f>
        <v>#NUM!</v>
      </c>
      <c r="K135" s="95" t="e">
        <f t="shared" si="12"/>
        <v>#NUM!</v>
      </c>
      <c r="L135" s="95"/>
      <c r="M135" s="97">
        <f t="shared" si="13"/>
        <v>0</v>
      </c>
    </row>
    <row r="136" spans="1:13" x14ac:dyDescent="0.25">
      <c r="A136" s="116"/>
      <c r="G136" s="80"/>
      <c r="H136" s="95">
        <v>131</v>
      </c>
      <c r="I136" s="96" t="str">
        <f t="shared" si="11"/>
        <v/>
      </c>
      <c r="J136" s="96" t="e">
        <f t="shared" si="14"/>
        <v>#NUM!</v>
      </c>
      <c r="K136" s="95" t="e">
        <f t="shared" si="12"/>
        <v>#NUM!</v>
      </c>
      <c r="L136" s="95"/>
      <c r="M136" s="97">
        <f t="shared" si="13"/>
        <v>0</v>
      </c>
    </row>
    <row r="137" spans="1:13" x14ac:dyDescent="0.25">
      <c r="A137" s="116"/>
      <c r="G137" s="80"/>
      <c r="H137" s="95">
        <v>132</v>
      </c>
      <c r="I137" s="96" t="str">
        <f t="shared" si="11"/>
        <v/>
      </c>
      <c r="J137" s="96" t="e">
        <f t="shared" si="14"/>
        <v>#NUM!</v>
      </c>
      <c r="K137" s="95" t="e">
        <f t="shared" si="12"/>
        <v>#NUM!</v>
      </c>
      <c r="L137" s="95"/>
      <c r="M137" s="97">
        <f t="shared" si="13"/>
        <v>0</v>
      </c>
    </row>
    <row r="138" spans="1:13" x14ac:dyDescent="0.25">
      <c r="A138" s="116"/>
      <c r="G138" s="80"/>
      <c r="H138" s="95">
        <v>133</v>
      </c>
      <c r="I138" s="96" t="str">
        <f t="shared" si="11"/>
        <v/>
      </c>
      <c r="J138" s="96" t="e">
        <f t="shared" si="14"/>
        <v>#NUM!</v>
      </c>
      <c r="K138" s="95" t="e">
        <f t="shared" si="12"/>
        <v>#NUM!</v>
      </c>
      <c r="L138" s="95"/>
      <c r="M138" s="97">
        <f t="shared" si="13"/>
        <v>0</v>
      </c>
    </row>
    <row r="139" spans="1:13" x14ac:dyDescent="0.25">
      <c r="A139" s="116"/>
      <c r="G139" s="80"/>
      <c r="H139" s="95">
        <v>134</v>
      </c>
      <c r="I139" s="96" t="str">
        <f t="shared" si="11"/>
        <v/>
      </c>
      <c r="J139" s="96" t="e">
        <f t="shared" si="14"/>
        <v>#NUM!</v>
      </c>
      <c r="K139" s="95" t="e">
        <f t="shared" si="12"/>
        <v>#NUM!</v>
      </c>
      <c r="L139" s="95"/>
      <c r="M139" s="97">
        <f t="shared" si="13"/>
        <v>0</v>
      </c>
    </row>
    <row r="140" spans="1:13" x14ac:dyDescent="0.25">
      <c r="A140" s="116"/>
      <c r="G140" s="80"/>
      <c r="H140" s="95">
        <v>135</v>
      </c>
      <c r="I140" s="96" t="str">
        <f t="shared" si="11"/>
        <v/>
      </c>
      <c r="J140" s="96" t="e">
        <f t="shared" si="14"/>
        <v>#NUM!</v>
      </c>
      <c r="K140" s="95" t="e">
        <f t="shared" si="12"/>
        <v>#NUM!</v>
      </c>
      <c r="L140" s="95"/>
      <c r="M140" s="97">
        <f t="shared" si="13"/>
        <v>0</v>
      </c>
    </row>
    <row r="141" spans="1:13" x14ac:dyDescent="0.25">
      <c r="A141" s="116"/>
      <c r="G141" s="80"/>
      <c r="H141" s="95">
        <v>136</v>
      </c>
      <c r="I141" s="96" t="str">
        <f t="shared" si="11"/>
        <v/>
      </c>
      <c r="J141" s="96" t="e">
        <f t="shared" si="14"/>
        <v>#NUM!</v>
      </c>
      <c r="K141" s="95" t="e">
        <f t="shared" si="12"/>
        <v>#NUM!</v>
      </c>
      <c r="L141" s="95"/>
      <c r="M141" s="97">
        <f t="shared" si="13"/>
        <v>0</v>
      </c>
    </row>
    <row r="142" spans="1:13" x14ac:dyDescent="0.25">
      <c r="A142" s="116"/>
      <c r="G142" s="80"/>
      <c r="H142" s="95">
        <v>137</v>
      </c>
      <c r="I142" s="96" t="str">
        <f t="shared" si="11"/>
        <v/>
      </c>
      <c r="J142" s="96" t="e">
        <f t="shared" si="14"/>
        <v>#NUM!</v>
      </c>
      <c r="K142" s="95" t="e">
        <f t="shared" si="12"/>
        <v>#NUM!</v>
      </c>
      <c r="L142" s="95"/>
      <c r="M142" s="97">
        <f t="shared" si="13"/>
        <v>0</v>
      </c>
    </row>
    <row r="143" spans="1:13" x14ac:dyDescent="0.25">
      <c r="A143" s="116"/>
      <c r="G143" s="80"/>
      <c r="H143" s="95">
        <v>138</v>
      </c>
      <c r="I143" s="96" t="str">
        <f t="shared" si="11"/>
        <v/>
      </c>
      <c r="J143" s="96" t="e">
        <f t="shared" si="14"/>
        <v>#NUM!</v>
      </c>
      <c r="K143" s="95" t="e">
        <f t="shared" si="12"/>
        <v>#NUM!</v>
      </c>
      <c r="L143" s="95"/>
      <c r="M143" s="97">
        <f t="shared" si="13"/>
        <v>0</v>
      </c>
    </row>
    <row r="144" spans="1:13" x14ac:dyDescent="0.25">
      <c r="A144" s="116"/>
      <c r="G144" s="80"/>
      <c r="H144" s="95">
        <v>139</v>
      </c>
      <c r="I144" s="96" t="str">
        <f t="shared" si="11"/>
        <v/>
      </c>
      <c r="J144" s="96" t="e">
        <f t="shared" si="14"/>
        <v>#NUM!</v>
      </c>
      <c r="K144" s="95" t="e">
        <f t="shared" si="12"/>
        <v>#NUM!</v>
      </c>
      <c r="L144" s="95"/>
      <c r="M144" s="97">
        <f t="shared" si="13"/>
        <v>0</v>
      </c>
    </row>
    <row r="145" spans="1:13" x14ac:dyDescent="0.25">
      <c r="A145" s="116"/>
      <c r="G145" s="80"/>
      <c r="H145" s="95">
        <v>140</v>
      </c>
      <c r="I145" s="96" t="str">
        <f t="shared" si="11"/>
        <v/>
      </c>
      <c r="J145" s="96" t="e">
        <f t="shared" si="14"/>
        <v>#NUM!</v>
      </c>
      <c r="K145" s="95" t="e">
        <f t="shared" si="12"/>
        <v>#NUM!</v>
      </c>
      <c r="L145" s="95"/>
      <c r="M145" s="97">
        <f t="shared" si="13"/>
        <v>0</v>
      </c>
    </row>
    <row r="146" spans="1:13" x14ac:dyDescent="0.25">
      <c r="A146" s="116"/>
      <c r="G146" s="80"/>
      <c r="H146" s="95">
        <v>141</v>
      </c>
      <c r="I146" s="96" t="str">
        <f t="shared" si="11"/>
        <v/>
      </c>
      <c r="J146" s="96" t="e">
        <f t="shared" si="14"/>
        <v>#NUM!</v>
      </c>
      <c r="K146" s="95" t="e">
        <f t="shared" si="12"/>
        <v>#NUM!</v>
      </c>
      <c r="L146" s="95"/>
      <c r="M146" s="97">
        <f t="shared" si="13"/>
        <v>0</v>
      </c>
    </row>
    <row r="147" spans="1:13" x14ac:dyDescent="0.25">
      <c r="A147" s="116"/>
      <c r="G147" s="80"/>
      <c r="H147" s="95">
        <v>142</v>
      </c>
      <c r="I147" s="96" t="str">
        <f t="shared" si="11"/>
        <v/>
      </c>
      <c r="J147" s="96" t="e">
        <f t="shared" si="14"/>
        <v>#NUM!</v>
      </c>
      <c r="K147" s="95" t="e">
        <f t="shared" si="12"/>
        <v>#NUM!</v>
      </c>
      <c r="L147" s="95"/>
      <c r="M147" s="97">
        <f t="shared" si="13"/>
        <v>0</v>
      </c>
    </row>
    <row r="148" spans="1:13" x14ac:dyDescent="0.25">
      <c r="A148" s="116"/>
      <c r="G148" s="80"/>
      <c r="H148" s="95">
        <v>143</v>
      </c>
      <c r="I148" s="96" t="str">
        <f t="shared" si="11"/>
        <v/>
      </c>
      <c r="J148" s="96" t="e">
        <f t="shared" si="14"/>
        <v>#NUM!</v>
      </c>
      <c r="K148" s="95" t="e">
        <f t="shared" si="12"/>
        <v>#NUM!</v>
      </c>
      <c r="L148" s="95"/>
      <c r="M148" s="97">
        <f t="shared" si="13"/>
        <v>0</v>
      </c>
    </row>
    <row r="149" spans="1:13" x14ac:dyDescent="0.25">
      <c r="A149" s="116"/>
      <c r="G149" s="80"/>
      <c r="H149" s="95">
        <v>144</v>
      </c>
      <c r="I149" s="96" t="str">
        <f t="shared" si="11"/>
        <v/>
      </c>
      <c r="J149" s="96" t="e">
        <f t="shared" si="14"/>
        <v>#NUM!</v>
      </c>
      <c r="K149" s="95" t="e">
        <f t="shared" si="12"/>
        <v>#NUM!</v>
      </c>
      <c r="L149" s="95"/>
      <c r="M149" s="97">
        <f t="shared" si="13"/>
        <v>0</v>
      </c>
    </row>
    <row r="150" spans="1:13" x14ac:dyDescent="0.25">
      <c r="A150" s="116"/>
      <c r="G150" s="80"/>
      <c r="H150" s="95">
        <v>145</v>
      </c>
      <c r="I150" s="96" t="str">
        <f t="shared" si="11"/>
        <v/>
      </c>
      <c r="J150" s="96" t="e">
        <f t="shared" si="14"/>
        <v>#NUM!</v>
      </c>
      <c r="K150" s="95" t="e">
        <f t="shared" si="12"/>
        <v>#NUM!</v>
      </c>
      <c r="L150" s="95"/>
      <c r="M150" s="97">
        <f t="shared" si="13"/>
        <v>0</v>
      </c>
    </row>
    <row r="151" spans="1:13" x14ac:dyDescent="0.25">
      <c r="A151" s="116"/>
      <c r="G151" s="80"/>
      <c r="H151" s="95">
        <v>146</v>
      </c>
      <c r="I151" s="96" t="str">
        <f t="shared" si="11"/>
        <v/>
      </c>
      <c r="J151" s="96" t="e">
        <f t="shared" si="14"/>
        <v>#NUM!</v>
      </c>
      <c r="K151" s="95" t="e">
        <f t="shared" si="12"/>
        <v>#NUM!</v>
      </c>
      <c r="L151" s="95"/>
      <c r="M151" s="97">
        <f t="shared" si="13"/>
        <v>0</v>
      </c>
    </row>
    <row r="152" spans="1:13" x14ac:dyDescent="0.25">
      <c r="A152" s="116"/>
      <c r="G152" s="80"/>
      <c r="H152" s="95">
        <v>147</v>
      </c>
      <c r="I152" s="96" t="str">
        <f t="shared" si="11"/>
        <v/>
      </c>
      <c r="J152" s="96" t="e">
        <f t="shared" si="14"/>
        <v>#NUM!</v>
      </c>
      <c r="K152" s="95" t="e">
        <f t="shared" si="12"/>
        <v>#NUM!</v>
      </c>
      <c r="L152" s="95"/>
      <c r="M152" s="97">
        <f t="shared" si="13"/>
        <v>0</v>
      </c>
    </row>
    <row r="153" spans="1:13" x14ac:dyDescent="0.25">
      <c r="A153" s="116"/>
      <c r="G153" s="80"/>
      <c r="H153" s="95">
        <v>148</v>
      </c>
      <c r="I153" s="96" t="str">
        <f t="shared" si="11"/>
        <v/>
      </c>
      <c r="J153" s="96" t="e">
        <f t="shared" si="14"/>
        <v>#NUM!</v>
      </c>
      <c r="K153" s="95" t="e">
        <f t="shared" si="12"/>
        <v>#NUM!</v>
      </c>
      <c r="L153" s="95"/>
      <c r="M153" s="97">
        <f t="shared" si="13"/>
        <v>0</v>
      </c>
    </row>
    <row r="154" spans="1:13" x14ac:dyDescent="0.25">
      <c r="A154" s="116"/>
      <c r="G154" s="80"/>
      <c r="H154" s="95">
        <v>149</v>
      </c>
      <c r="I154" s="96" t="str">
        <f t="shared" si="11"/>
        <v/>
      </c>
      <c r="J154" s="96" t="e">
        <f t="shared" si="14"/>
        <v>#NUM!</v>
      </c>
      <c r="K154" s="95" t="e">
        <f t="shared" si="12"/>
        <v>#NUM!</v>
      </c>
      <c r="L154" s="95"/>
      <c r="M154" s="97">
        <f t="shared" si="13"/>
        <v>0</v>
      </c>
    </row>
    <row r="155" spans="1:13" x14ac:dyDescent="0.25">
      <c r="A155" s="116"/>
      <c r="G155" s="80"/>
      <c r="H155" s="95">
        <v>150</v>
      </c>
      <c r="I155" s="96" t="str">
        <f t="shared" si="11"/>
        <v/>
      </c>
      <c r="J155" s="96" t="e">
        <f t="shared" si="14"/>
        <v>#NUM!</v>
      </c>
      <c r="K155" s="95" t="e">
        <f t="shared" si="12"/>
        <v>#NUM!</v>
      </c>
      <c r="L155" s="95"/>
      <c r="M155" s="97">
        <f t="shared" si="13"/>
        <v>0</v>
      </c>
    </row>
    <row r="156" spans="1:13" x14ac:dyDescent="0.25">
      <c r="A156" s="116"/>
      <c r="G156" s="80"/>
      <c r="H156" s="95">
        <v>151</v>
      </c>
      <c r="I156" s="96" t="str">
        <f t="shared" si="11"/>
        <v/>
      </c>
      <c r="J156" s="96" t="e">
        <f t="shared" si="14"/>
        <v>#NUM!</v>
      </c>
      <c r="K156" s="95" t="e">
        <f t="shared" si="12"/>
        <v>#NUM!</v>
      </c>
      <c r="L156" s="95"/>
      <c r="M156" s="97">
        <f t="shared" si="13"/>
        <v>0</v>
      </c>
    </row>
    <row r="157" spans="1:13" x14ac:dyDescent="0.25">
      <c r="A157" s="116"/>
      <c r="G157" s="80"/>
      <c r="H157" s="95">
        <v>152</v>
      </c>
      <c r="I157" s="96" t="str">
        <f t="shared" si="11"/>
        <v/>
      </c>
      <c r="J157" s="96" t="e">
        <f t="shared" si="14"/>
        <v>#NUM!</v>
      </c>
      <c r="K157" s="95" t="e">
        <f t="shared" si="12"/>
        <v>#NUM!</v>
      </c>
      <c r="L157" s="95"/>
      <c r="M157" s="97">
        <f t="shared" si="13"/>
        <v>0</v>
      </c>
    </row>
    <row r="158" spans="1:13" x14ac:dyDescent="0.25">
      <c r="A158" s="116"/>
      <c r="G158" s="80"/>
      <c r="H158" s="95">
        <v>153</v>
      </c>
      <c r="I158" s="96" t="str">
        <f t="shared" si="11"/>
        <v/>
      </c>
      <c r="J158" s="96" t="e">
        <f t="shared" si="14"/>
        <v>#NUM!</v>
      </c>
      <c r="K158" s="95" t="e">
        <f t="shared" si="12"/>
        <v>#NUM!</v>
      </c>
      <c r="L158" s="95"/>
      <c r="M158" s="97">
        <f t="shared" si="13"/>
        <v>0</v>
      </c>
    </row>
    <row r="159" spans="1:13" x14ac:dyDescent="0.25">
      <c r="A159" s="116"/>
      <c r="G159" s="80"/>
      <c r="H159" s="95">
        <v>154</v>
      </c>
      <c r="I159" s="96" t="str">
        <f t="shared" si="11"/>
        <v/>
      </c>
      <c r="J159" s="96" t="e">
        <f t="shared" si="14"/>
        <v>#NUM!</v>
      </c>
      <c r="K159" s="95" t="e">
        <f t="shared" si="12"/>
        <v>#NUM!</v>
      </c>
      <c r="L159" s="95"/>
      <c r="M159" s="97">
        <f t="shared" si="13"/>
        <v>0</v>
      </c>
    </row>
    <row r="160" spans="1:13" x14ac:dyDescent="0.25">
      <c r="A160" s="116"/>
      <c r="G160" s="80"/>
      <c r="H160" s="95">
        <v>155</v>
      </c>
      <c r="I160" s="96" t="str">
        <f t="shared" si="11"/>
        <v/>
      </c>
      <c r="J160" s="96" t="e">
        <f t="shared" si="14"/>
        <v>#NUM!</v>
      </c>
      <c r="K160" s="95" t="e">
        <f t="shared" si="12"/>
        <v>#NUM!</v>
      </c>
      <c r="L160" s="95"/>
      <c r="M160" s="97">
        <f t="shared" si="13"/>
        <v>0</v>
      </c>
    </row>
    <row r="161" spans="1:13" x14ac:dyDescent="0.25">
      <c r="A161" s="116"/>
      <c r="G161" s="80"/>
      <c r="H161" s="95">
        <v>156</v>
      </c>
      <c r="I161" s="96" t="str">
        <f t="shared" si="11"/>
        <v/>
      </c>
      <c r="J161" s="96" t="e">
        <f t="shared" si="14"/>
        <v>#NUM!</v>
      </c>
      <c r="K161" s="95" t="e">
        <f t="shared" si="12"/>
        <v>#NUM!</v>
      </c>
      <c r="L161" s="95"/>
      <c r="M161" s="97">
        <f t="shared" si="13"/>
        <v>0</v>
      </c>
    </row>
    <row r="162" spans="1:13" x14ac:dyDescent="0.25">
      <c r="A162" s="116"/>
      <c r="G162" s="80"/>
      <c r="H162" s="95">
        <v>157</v>
      </c>
      <c r="I162" s="96" t="str">
        <f t="shared" si="11"/>
        <v/>
      </c>
      <c r="J162" s="96" t="e">
        <f t="shared" si="14"/>
        <v>#NUM!</v>
      </c>
      <c r="K162" s="95" t="e">
        <f t="shared" si="12"/>
        <v>#NUM!</v>
      </c>
      <c r="L162" s="95"/>
      <c r="M162" s="97">
        <f t="shared" si="13"/>
        <v>0</v>
      </c>
    </row>
    <row r="163" spans="1:13" x14ac:dyDescent="0.25">
      <c r="A163" s="116"/>
      <c r="G163" s="80"/>
      <c r="H163" s="95">
        <v>158</v>
      </c>
      <c r="I163" s="96" t="str">
        <f t="shared" si="11"/>
        <v/>
      </c>
      <c r="J163" s="96" t="e">
        <f t="shared" si="14"/>
        <v>#NUM!</v>
      </c>
      <c r="K163" s="95" t="e">
        <f t="shared" si="12"/>
        <v>#NUM!</v>
      </c>
      <c r="L163" s="95"/>
      <c r="M163" s="97">
        <f t="shared" si="13"/>
        <v>0</v>
      </c>
    </row>
    <row r="164" spans="1:13" x14ac:dyDescent="0.25">
      <c r="A164" s="116"/>
      <c r="G164" s="80"/>
      <c r="H164" s="95">
        <v>159</v>
      </c>
      <c r="I164" s="96" t="str">
        <f t="shared" si="11"/>
        <v/>
      </c>
      <c r="J164" s="96" t="e">
        <f t="shared" si="14"/>
        <v>#NUM!</v>
      </c>
      <c r="K164" s="95" t="e">
        <f t="shared" si="12"/>
        <v>#NUM!</v>
      </c>
      <c r="L164" s="95"/>
      <c r="M164" s="97">
        <f t="shared" si="13"/>
        <v>0</v>
      </c>
    </row>
    <row r="165" spans="1:13" x14ac:dyDescent="0.25">
      <c r="A165" s="116"/>
      <c r="G165" s="80"/>
      <c r="H165" s="95">
        <v>160</v>
      </c>
      <c r="I165" s="96" t="str">
        <f t="shared" si="11"/>
        <v/>
      </c>
      <c r="J165" s="96" t="e">
        <f t="shared" si="14"/>
        <v>#NUM!</v>
      </c>
      <c r="K165" s="95" t="e">
        <f t="shared" si="12"/>
        <v>#NUM!</v>
      </c>
      <c r="L165" s="95"/>
      <c r="M165" s="97">
        <f t="shared" si="13"/>
        <v>0</v>
      </c>
    </row>
    <row r="166" spans="1:13" x14ac:dyDescent="0.25">
      <c r="A166" s="116"/>
      <c r="G166" s="80"/>
      <c r="H166" s="95">
        <v>161</v>
      </c>
      <c r="I166" s="96" t="str">
        <f t="shared" si="11"/>
        <v/>
      </c>
      <c r="J166" s="96" t="e">
        <f t="shared" si="14"/>
        <v>#NUM!</v>
      </c>
      <c r="K166" s="95" t="e">
        <f t="shared" si="12"/>
        <v>#NUM!</v>
      </c>
      <c r="L166" s="95"/>
      <c r="M166" s="97">
        <f t="shared" si="13"/>
        <v>0</v>
      </c>
    </row>
    <row r="167" spans="1:13" x14ac:dyDescent="0.25">
      <c r="A167" s="116"/>
      <c r="G167" s="80"/>
      <c r="H167" s="95">
        <v>162</v>
      </c>
      <c r="I167" s="96" t="str">
        <f t="shared" si="11"/>
        <v/>
      </c>
      <c r="J167" s="96" t="e">
        <f t="shared" si="14"/>
        <v>#NUM!</v>
      </c>
      <c r="K167" s="95" t="e">
        <f t="shared" si="12"/>
        <v>#NUM!</v>
      </c>
      <c r="L167" s="95"/>
      <c r="M167" s="97">
        <f t="shared" si="13"/>
        <v>0</v>
      </c>
    </row>
    <row r="168" spans="1:13" x14ac:dyDescent="0.25">
      <c r="A168" s="116"/>
      <c r="G168" s="80"/>
      <c r="H168" s="95">
        <v>163</v>
      </c>
      <c r="I168" s="96" t="str">
        <f t="shared" si="11"/>
        <v/>
      </c>
      <c r="J168" s="96" t="e">
        <f t="shared" si="14"/>
        <v>#NUM!</v>
      </c>
      <c r="K168" s="95" t="e">
        <f t="shared" si="12"/>
        <v>#NUM!</v>
      </c>
      <c r="L168" s="95"/>
      <c r="M168" s="97">
        <f t="shared" si="13"/>
        <v>0</v>
      </c>
    </row>
    <row r="169" spans="1:13" x14ac:dyDescent="0.25">
      <c r="A169" s="116"/>
      <c r="G169" s="80"/>
      <c r="H169" s="95">
        <v>164</v>
      </c>
      <c r="I169" s="96" t="str">
        <f t="shared" si="11"/>
        <v/>
      </c>
      <c r="J169" s="96" t="e">
        <f t="shared" si="14"/>
        <v>#NUM!</v>
      </c>
      <c r="K169" s="95" t="e">
        <f t="shared" si="12"/>
        <v>#NUM!</v>
      </c>
      <c r="L169" s="95"/>
      <c r="M169" s="97">
        <f t="shared" si="13"/>
        <v>0</v>
      </c>
    </row>
    <row r="170" spans="1:13" x14ac:dyDescent="0.25">
      <c r="A170" s="116"/>
      <c r="G170" s="80"/>
      <c r="H170" s="95">
        <v>165</v>
      </c>
      <c r="I170" s="96" t="str">
        <f t="shared" si="11"/>
        <v/>
      </c>
      <c r="J170" s="96" t="e">
        <f t="shared" si="14"/>
        <v>#NUM!</v>
      </c>
      <c r="K170" s="95" t="e">
        <f t="shared" si="12"/>
        <v>#NUM!</v>
      </c>
      <c r="L170" s="95"/>
      <c r="M170" s="97">
        <f t="shared" si="13"/>
        <v>0</v>
      </c>
    </row>
    <row r="171" spans="1:13" x14ac:dyDescent="0.25">
      <c r="A171" s="116"/>
      <c r="G171" s="80"/>
      <c r="H171" s="95">
        <v>166</v>
      </c>
      <c r="I171" s="96" t="str">
        <f t="shared" si="11"/>
        <v/>
      </c>
      <c r="J171" s="96" t="e">
        <f t="shared" si="14"/>
        <v>#NUM!</v>
      </c>
      <c r="K171" s="95" t="e">
        <f t="shared" si="12"/>
        <v>#NUM!</v>
      </c>
      <c r="L171" s="95"/>
      <c r="M171" s="97">
        <f t="shared" si="13"/>
        <v>0</v>
      </c>
    </row>
    <row r="172" spans="1:13" x14ac:dyDescent="0.25">
      <c r="A172" s="116"/>
      <c r="G172" s="80"/>
      <c r="H172" s="95">
        <v>167</v>
      </c>
      <c r="I172" s="96" t="str">
        <f t="shared" si="11"/>
        <v/>
      </c>
      <c r="J172" s="96" t="e">
        <f t="shared" si="14"/>
        <v>#NUM!</v>
      </c>
      <c r="K172" s="95" t="e">
        <f t="shared" si="12"/>
        <v>#NUM!</v>
      </c>
      <c r="L172" s="95"/>
      <c r="M172" s="97">
        <f t="shared" si="13"/>
        <v>0</v>
      </c>
    </row>
    <row r="173" spans="1:13" x14ac:dyDescent="0.25">
      <c r="A173" s="116"/>
      <c r="G173" s="80"/>
      <c r="H173" s="95">
        <v>168</v>
      </c>
      <c r="I173" s="96" t="str">
        <f t="shared" si="11"/>
        <v/>
      </c>
      <c r="J173" s="96" t="e">
        <f t="shared" si="14"/>
        <v>#NUM!</v>
      </c>
      <c r="K173" s="95" t="e">
        <f t="shared" si="12"/>
        <v>#NUM!</v>
      </c>
      <c r="L173" s="95"/>
      <c r="M173" s="97">
        <f t="shared" si="13"/>
        <v>0</v>
      </c>
    </row>
    <row r="174" spans="1:13" x14ac:dyDescent="0.25">
      <c r="A174" s="116"/>
      <c r="G174" s="80"/>
      <c r="H174" s="95">
        <v>169</v>
      </c>
      <c r="I174" s="96" t="str">
        <f t="shared" si="11"/>
        <v/>
      </c>
      <c r="J174" s="96" t="e">
        <f t="shared" si="14"/>
        <v>#NUM!</v>
      </c>
      <c r="K174" s="95" t="e">
        <f t="shared" si="12"/>
        <v>#NUM!</v>
      </c>
      <c r="L174" s="95"/>
      <c r="M174" s="97">
        <f t="shared" si="13"/>
        <v>0</v>
      </c>
    </row>
    <row r="175" spans="1:13" x14ac:dyDescent="0.25">
      <c r="A175" s="116"/>
      <c r="G175" s="80"/>
      <c r="H175" s="95">
        <v>170</v>
      </c>
      <c r="I175" s="96" t="str">
        <f t="shared" si="11"/>
        <v/>
      </c>
      <c r="J175" s="96" t="e">
        <f t="shared" si="14"/>
        <v>#NUM!</v>
      </c>
      <c r="K175" s="95" t="e">
        <f t="shared" si="12"/>
        <v>#NUM!</v>
      </c>
      <c r="L175" s="95"/>
      <c r="M175" s="97">
        <f t="shared" si="13"/>
        <v>0</v>
      </c>
    </row>
    <row r="176" spans="1:13" x14ac:dyDescent="0.25">
      <c r="A176" s="116"/>
      <c r="G176" s="80"/>
      <c r="H176" s="95">
        <v>171</v>
      </c>
      <c r="I176" s="96" t="str">
        <f t="shared" si="11"/>
        <v/>
      </c>
      <c r="J176" s="96" t="e">
        <f t="shared" si="14"/>
        <v>#NUM!</v>
      </c>
      <c r="K176" s="95" t="e">
        <f t="shared" si="12"/>
        <v>#NUM!</v>
      </c>
      <c r="L176" s="95"/>
      <c r="M176" s="97">
        <f t="shared" si="13"/>
        <v>0</v>
      </c>
    </row>
    <row r="177" spans="1:13" x14ac:dyDescent="0.25">
      <c r="A177" s="116"/>
      <c r="G177" s="80"/>
      <c r="H177" s="95">
        <v>172</v>
      </c>
      <c r="I177" s="96" t="str">
        <f t="shared" si="11"/>
        <v/>
      </c>
      <c r="J177" s="96" t="e">
        <f t="shared" si="14"/>
        <v>#NUM!</v>
      </c>
      <c r="K177" s="95" t="e">
        <f t="shared" si="12"/>
        <v>#NUM!</v>
      </c>
      <c r="L177" s="95"/>
      <c r="M177" s="97">
        <f t="shared" si="13"/>
        <v>0</v>
      </c>
    </row>
    <row r="178" spans="1:13" x14ac:dyDescent="0.25">
      <c r="A178" s="116"/>
      <c r="G178" s="80"/>
      <c r="H178" s="95">
        <v>173</v>
      </c>
      <c r="I178" s="96" t="str">
        <f t="shared" si="11"/>
        <v/>
      </c>
      <c r="J178" s="96" t="e">
        <f t="shared" si="14"/>
        <v>#NUM!</v>
      </c>
      <c r="K178" s="95" t="e">
        <f t="shared" si="12"/>
        <v>#NUM!</v>
      </c>
      <c r="L178" s="95"/>
      <c r="M178" s="97">
        <f t="shared" si="13"/>
        <v>0</v>
      </c>
    </row>
    <row r="179" spans="1:13" x14ac:dyDescent="0.25">
      <c r="A179" s="116"/>
      <c r="G179" s="80"/>
      <c r="H179" s="95">
        <v>174</v>
      </c>
      <c r="I179" s="96" t="str">
        <f t="shared" si="11"/>
        <v/>
      </c>
      <c r="J179" s="96" t="e">
        <f t="shared" si="14"/>
        <v>#NUM!</v>
      </c>
      <c r="K179" s="95" t="e">
        <f t="shared" si="12"/>
        <v>#NUM!</v>
      </c>
      <c r="L179" s="95"/>
      <c r="M179" s="97">
        <f t="shared" si="13"/>
        <v>0</v>
      </c>
    </row>
    <row r="180" spans="1:13" x14ac:dyDescent="0.25">
      <c r="A180" s="116"/>
      <c r="G180" s="80"/>
      <c r="H180" s="95">
        <v>175</v>
      </c>
      <c r="I180" s="96" t="str">
        <f t="shared" si="11"/>
        <v/>
      </c>
      <c r="J180" s="96" t="e">
        <f t="shared" si="14"/>
        <v>#NUM!</v>
      </c>
      <c r="K180" s="95" t="e">
        <f t="shared" si="12"/>
        <v>#NUM!</v>
      </c>
      <c r="L180" s="95"/>
      <c r="M180" s="97">
        <f t="shared" si="13"/>
        <v>0</v>
      </c>
    </row>
    <row r="181" spans="1:13" x14ac:dyDescent="0.25">
      <c r="A181" s="116"/>
      <c r="G181" s="80"/>
      <c r="H181" s="95">
        <v>176</v>
      </c>
      <c r="I181" s="96" t="str">
        <f t="shared" si="11"/>
        <v/>
      </c>
      <c r="J181" s="96" t="e">
        <f t="shared" si="14"/>
        <v>#NUM!</v>
      </c>
      <c r="K181" s="95" t="e">
        <f t="shared" si="12"/>
        <v>#NUM!</v>
      </c>
      <c r="L181" s="95"/>
      <c r="M181" s="97">
        <f t="shared" si="13"/>
        <v>0</v>
      </c>
    </row>
    <row r="182" spans="1:13" x14ac:dyDescent="0.25">
      <c r="A182" s="116"/>
      <c r="G182" s="80"/>
      <c r="H182" s="95">
        <v>177</v>
      </c>
      <c r="I182" s="96" t="str">
        <f t="shared" si="11"/>
        <v/>
      </c>
      <c r="J182" s="96" t="e">
        <f t="shared" si="14"/>
        <v>#NUM!</v>
      </c>
      <c r="K182" s="95" t="e">
        <f t="shared" si="12"/>
        <v>#NUM!</v>
      </c>
      <c r="L182" s="95"/>
      <c r="M182" s="97">
        <f t="shared" si="13"/>
        <v>0</v>
      </c>
    </row>
    <row r="183" spans="1:13" x14ac:dyDescent="0.25">
      <c r="A183" s="116"/>
      <c r="G183" s="80"/>
      <c r="H183" s="95">
        <v>178</v>
      </c>
      <c r="I183" s="96" t="str">
        <f t="shared" si="11"/>
        <v/>
      </c>
      <c r="J183" s="96" t="e">
        <f t="shared" si="14"/>
        <v>#NUM!</v>
      </c>
      <c r="K183" s="95" t="e">
        <f t="shared" si="12"/>
        <v>#NUM!</v>
      </c>
      <c r="L183" s="95"/>
      <c r="M183" s="97">
        <f t="shared" si="13"/>
        <v>0</v>
      </c>
    </row>
    <row r="184" spans="1:13" x14ac:dyDescent="0.25">
      <c r="A184" s="116"/>
      <c r="G184" s="80"/>
      <c r="H184" s="95">
        <v>179</v>
      </c>
      <c r="I184" s="96" t="str">
        <f t="shared" si="11"/>
        <v/>
      </c>
      <c r="J184" s="96" t="e">
        <f t="shared" si="14"/>
        <v>#NUM!</v>
      </c>
      <c r="K184" s="95" t="e">
        <f t="shared" si="12"/>
        <v>#NUM!</v>
      </c>
      <c r="L184" s="95"/>
      <c r="M184" s="97">
        <f t="shared" si="13"/>
        <v>0</v>
      </c>
    </row>
    <row r="185" spans="1:13" x14ac:dyDescent="0.25">
      <c r="A185" s="116"/>
      <c r="G185" s="80"/>
      <c r="H185" s="95">
        <v>180</v>
      </c>
      <c r="I185" s="96" t="str">
        <f t="shared" si="11"/>
        <v/>
      </c>
      <c r="J185" s="96" t="e">
        <f t="shared" si="14"/>
        <v>#NUM!</v>
      </c>
      <c r="K185" s="95" t="e">
        <f t="shared" si="12"/>
        <v>#NUM!</v>
      </c>
      <c r="L185" s="95"/>
      <c r="M185" s="97">
        <f t="shared" si="13"/>
        <v>0</v>
      </c>
    </row>
    <row r="186" spans="1:13" x14ac:dyDescent="0.25">
      <c r="A186" s="116"/>
      <c r="G186" s="80"/>
      <c r="H186" s="95">
        <v>181</v>
      </c>
      <c r="I186" s="96" t="str">
        <f t="shared" si="11"/>
        <v/>
      </c>
      <c r="J186" s="96" t="e">
        <f t="shared" si="14"/>
        <v>#NUM!</v>
      </c>
      <c r="K186" s="95" t="e">
        <f t="shared" si="12"/>
        <v>#NUM!</v>
      </c>
      <c r="L186" s="95"/>
      <c r="M186" s="97">
        <f t="shared" si="13"/>
        <v>0</v>
      </c>
    </row>
    <row r="187" spans="1:13" x14ac:dyDescent="0.25">
      <c r="A187" s="116"/>
      <c r="G187" s="80"/>
      <c r="H187" s="95">
        <v>182</v>
      </c>
      <c r="I187" s="96" t="str">
        <f t="shared" si="11"/>
        <v/>
      </c>
      <c r="J187" s="96" t="e">
        <f t="shared" si="14"/>
        <v>#NUM!</v>
      </c>
      <c r="K187" s="95" t="e">
        <f t="shared" si="12"/>
        <v>#NUM!</v>
      </c>
      <c r="L187" s="95"/>
      <c r="M187" s="97">
        <f t="shared" si="13"/>
        <v>0</v>
      </c>
    </row>
    <row r="188" spans="1:13" x14ac:dyDescent="0.25">
      <c r="A188" s="116"/>
      <c r="G188" s="80"/>
      <c r="H188" s="95">
        <v>183</v>
      </c>
      <c r="I188" s="96" t="str">
        <f t="shared" si="11"/>
        <v/>
      </c>
      <c r="J188" s="96" t="e">
        <f t="shared" si="14"/>
        <v>#NUM!</v>
      </c>
      <c r="K188" s="95" t="e">
        <f t="shared" si="12"/>
        <v>#NUM!</v>
      </c>
      <c r="L188" s="95"/>
      <c r="M188" s="97">
        <f t="shared" si="13"/>
        <v>0</v>
      </c>
    </row>
    <row r="189" spans="1:13" x14ac:dyDescent="0.25">
      <c r="A189" s="116"/>
      <c r="G189" s="80"/>
      <c r="H189" s="95">
        <v>184</v>
      </c>
      <c r="I189" s="96" t="str">
        <f t="shared" si="11"/>
        <v/>
      </c>
      <c r="J189" s="96" t="e">
        <f t="shared" si="14"/>
        <v>#NUM!</v>
      </c>
      <c r="K189" s="95" t="e">
        <f t="shared" si="12"/>
        <v>#NUM!</v>
      </c>
      <c r="L189" s="95"/>
      <c r="M189" s="97">
        <f t="shared" si="13"/>
        <v>0</v>
      </c>
    </row>
    <row r="190" spans="1:13" x14ac:dyDescent="0.25">
      <c r="A190" s="116"/>
      <c r="G190" s="80"/>
      <c r="H190" s="95">
        <v>185</v>
      </c>
      <c r="I190" s="96" t="str">
        <f t="shared" si="11"/>
        <v/>
      </c>
      <c r="J190" s="96" t="e">
        <f t="shared" si="14"/>
        <v>#NUM!</v>
      </c>
      <c r="K190" s="95" t="e">
        <f t="shared" si="12"/>
        <v>#NUM!</v>
      </c>
      <c r="L190" s="95"/>
      <c r="M190" s="97">
        <f t="shared" si="13"/>
        <v>0</v>
      </c>
    </row>
    <row r="191" spans="1:13" x14ac:dyDescent="0.25">
      <c r="A191" s="116"/>
      <c r="G191" s="80"/>
      <c r="H191" s="95">
        <v>186</v>
      </c>
      <c r="I191" s="96" t="str">
        <f t="shared" si="11"/>
        <v/>
      </c>
      <c r="J191" s="96" t="e">
        <f t="shared" si="14"/>
        <v>#NUM!</v>
      </c>
      <c r="K191" s="95" t="e">
        <f t="shared" si="12"/>
        <v>#NUM!</v>
      </c>
      <c r="L191" s="95"/>
      <c r="M191" s="97">
        <f t="shared" si="13"/>
        <v>0</v>
      </c>
    </row>
    <row r="192" spans="1:13" x14ac:dyDescent="0.25">
      <c r="A192" s="116"/>
      <c r="G192" s="80"/>
      <c r="H192" s="95">
        <v>187</v>
      </c>
      <c r="I192" s="96" t="str">
        <f t="shared" si="11"/>
        <v/>
      </c>
      <c r="J192" s="96" t="e">
        <f t="shared" si="14"/>
        <v>#NUM!</v>
      </c>
      <c r="K192" s="95" t="e">
        <f t="shared" si="12"/>
        <v>#NUM!</v>
      </c>
      <c r="L192" s="95"/>
      <c r="M192" s="97">
        <f t="shared" si="13"/>
        <v>0</v>
      </c>
    </row>
    <row r="193" spans="1:13" x14ac:dyDescent="0.25">
      <c r="A193" s="116"/>
      <c r="G193" s="80"/>
      <c r="H193" s="95">
        <v>188</v>
      </c>
      <c r="I193" s="96" t="str">
        <f t="shared" si="11"/>
        <v/>
      </c>
      <c r="J193" s="96" t="e">
        <f t="shared" si="14"/>
        <v>#NUM!</v>
      </c>
      <c r="K193" s="95" t="e">
        <f t="shared" si="12"/>
        <v>#NUM!</v>
      </c>
      <c r="L193" s="95"/>
      <c r="M193" s="97">
        <f t="shared" si="13"/>
        <v>0</v>
      </c>
    </row>
    <row r="194" spans="1:13" x14ac:dyDescent="0.25">
      <c r="A194" s="116"/>
      <c r="G194" s="80"/>
      <c r="H194" s="95">
        <v>189</v>
      </c>
      <c r="I194" s="96" t="str">
        <f t="shared" si="11"/>
        <v/>
      </c>
      <c r="J194" s="96" t="e">
        <f t="shared" si="14"/>
        <v>#NUM!</v>
      </c>
      <c r="K194" s="95" t="e">
        <f t="shared" si="12"/>
        <v>#NUM!</v>
      </c>
      <c r="L194" s="95"/>
      <c r="M194" s="97">
        <f t="shared" si="13"/>
        <v>0</v>
      </c>
    </row>
    <row r="195" spans="1:13" x14ac:dyDescent="0.25">
      <c r="A195" s="116"/>
      <c r="G195" s="80"/>
      <c r="H195" s="95">
        <v>190</v>
      </c>
      <c r="I195" s="96" t="str">
        <f t="shared" si="11"/>
        <v/>
      </c>
      <c r="J195" s="96" t="e">
        <f t="shared" si="14"/>
        <v>#NUM!</v>
      </c>
      <c r="K195" s="95" t="e">
        <f t="shared" si="12"/>
        <v>#NUM!</v>
      </c>
      <c r="L195" s="95"/>
      <c r="M195" s="97">
        <f t="shared" si="13"/>
        <v>0</v>
      </c>
    </row>
    <row r="196" spans="1:13" x14ac:dyDescent="0.25">
      <c r="A196" s="116"/>
      <c r="G196" s="80"/>
      <c r="H196" s="95">
        <v>191</v>
      </c>
      <c r="I196" s="96" t="str">
        <f t="shared" si="11"/>
        <v/>
      </c>
      <c r="J196" s="96" t="e">
        <f t="shared" si="14"/>
        <v>#NUM!</v>
      </c>
      <c r="K196" s="95" t="e">
        <f t="shared" si="12"/>
        <v>#NUM!</v>
      </c>
      <c r="L196" s="95"/>
      <c r="M196" s="97">
        <f t="shared" si="13"/>
        <v>0</v>
      </c>
    </row>
    <row r="197" spans="1:13" x14ac:dyDescent="0.25">
      <c r="A197" s="116"/>
      <c r="G197" s="80"/>
      <c r="H197" s="95">
        <v>192</v>
      </c>
      <c r="I197" s="96" t="str">
        <f t="shared" si="11"/>
        <v/>
      </c>
      <c r="J197" s="96" t="e">
        <f t="shared" si="14"/>
        <v>#NUM!</v>
      </c>
      <c r="K197" s="95" t="e">
        <f t="shared" si="12"/>
        <v>#NUM!</v>
      </c>
      <c r="L197" s="95"/>
      <c r="M197" s="97">
        <f t="shared" si="13"/>
        <v>0</v>
      </c>
    </row>
    <row r="198" spans="1:13" x14ac:dyDescent="0.25">
      <c r="A198" s="116"/>
      <c r="G198" s="80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si="14"/>
        <v>#NUM!</v>
      </c>
      <c r="K198" s="95" t="e">
        <f t="shared" ref="K198:K261" si="16">J198*$J$2</f>
        <v>#NUM!</v>
      </c>
      <c r="L198" s="95"/>
      <c r="M198" s="97">
        <f t="shared" ref="M198:M261" si="17">IF(I198&lt;&gt;"",K198+I198+L198,0)</f>
        <v>0</v>
      </c>
    </row>
    <row r="199" spans="1:13" x14ac:dyDescent="0.25">
      <c r="A199" s="116"/>
      <c r="G199" s="80"/>
      <c r="H199" s="95">
        <v>194</v>
      </c>
      <c r="I199" s="96" t="str">
        <f t="shared" si="15"/>
        <v/>
      </c>
      <c r="J199" s="96" t="e">
        <f t="shared" ref="J199:J262" si="18">INT(LOG($H$2,2))-ROUNDUP(LOG(H199,2),0)+IF(OR($H$2=1,$H$2=2,$H$2=4,$H$2=8,$H$2=16,$H$2=32,$H$2=64,$H$2=128,$H$2=256),0,1)</f>
        <v>#NUM!</v>
      </c>
      <c r="K199" s="95" t="e">
        <f t="shared" si="16"/>
        <v>#NUM!</v>
      </c>
      <c r="L199" s="95"/>
      <c r="M199" s="97">
        <f t="shared" si="17"/>
        <v>0</v>
      </c>
    </row>
    <row r="200" spans="1:13" x14ac:dyDescent="0.25">
      <c r="A200" s="116"/>
      <c r="G200" s="80"/>
      <c r="H200" s="95">
        <v>195</v>
      </c>
      <c r="I200" s="96" t="str">
        <f t="shared" si="15"/>
        <v/>
      </c>
      <c r="J200" s="96" t="e">
        <f t="shared" si="18"/>
        <v>#NUM!</v>
      </c>
      <c r="K200" s="95" t="e">
        <f t="shared" si="16"/>
        <v>#NUM!</v>
      </c>
      <c r="L200" s="95"/>
      <c r="M200" s="97">
        <f t="shared" si="17"/>
        <v>0</v>
      </c>
    </row>
    <row r="201" spans="1:13" x14ac:dyDescent="0.25">
      <c r="A201" s="116"/>
      <c r="G201" s="80"/>
      <c r="H201" s="95">
        <v>196</v>
      </c>
      <c r="I201" s="96" t="str">
        <f t="shared" si="15"/>
        <v/>
      </c>
      <c r="J201" s="96" t="e">
        <f t="shared" si="18"/>
        <v>#NUM!</v>
      </c>
      <c r="K201" s="95" t="e">
        <f t="shared" si="16"/>
        <v>#NUM!</v>
      </c>
      <c r="L201" s="95"/>
      <c r="M201" s="97">
        <f t="shared" si="17"/>
        <v>0</v>
      </c>
    </row>
    <row r="202" spans="1:13" x14ac:dyDescent="0.25">
      <c r="A202" s="116"/>
      <c r="G202" s="80"/>
      <c r="H202" s="95">
        <v>197</v>
      </c>
      <c r="I202" s="96" t="str">
        <f t="shared" si="15"/>
        <v/>
      </c>
      <c r="J202" s="96" t="e">
        <f t="shared" si="18"/>
        <v>#NUM!</v>
      </c>
      <c r="K202" s="95" t="e">
        <f t="shared" si="16"/>
        <v>#NUM!</v>
      </c>
      <c r="L202" s="95"/>
      <c r="M202" s="97">
        <f t="shared" si="17"/>
        <v>0</v>
      </c>
    </row>
    <row r="203" spans="1:13" x14ac:dyDescent="0.25">
      <c r="A203" s="116"/>
      <c r="G203" s="80"/>
      <c r="H203" s="95">
        <v>198</v>
      </c>
      <c r="I203" s="96" t="str">
        <f t="shared" si="15"/>
        <v/>
      </c>
      <c r="J203" s="96" t="e">
        <f t="shared" si="18"/>
        <v>#NUM!</v>
      </c>
      <c r="K203" s="95" t="e">
        <f t="shared" si="16"/>
        <v>#NUM!</v>
      </c>
      <c r="L203" s="95"/>
      <c r="M203" s="97">
        <f t="shared" si="17"/>
        <v>0</v>
      </c>
    </row>
    <row r="204" spans="1:13" x14ac:dyDescent="0.25">
      <c r="A204" s="116"/>
      <c r="G204" s="80"/>
      <c r="H204" s="95">
        <v>199</v>
      </c>
      <c r="I204" s="96" t="str">
        <f t="shared" si="15"/>
        <v/>
      </c>
      <c r="J204" s="96" t="e">
        <f t="shared" si="18"/>
        <v>#NUM!</v>
      </c>
      <c r="K204" s="95" t="e">
        <f t="shared" si="16"/>
        <v>#NUM!</v>
      </c>
      <c r="L204" s="95"/>
      <c r="M204" s="97">
        <f t="shared" si="17"/>
        <v>0</v>
      </c>
    </row>
    <row r="205" spans="1:13" x14ac:dyDescent="0.25">
      <c r="A205" s="116"/>
      <c r="G205" s="80"/>
      <c r="H205" s="95">
        <v>200</v>
      </c>
      <c r="I205" s="96" t="str">
        <f t="shared" si="15"/>
        <v/>
      </c>
      <c r="J205" s="96" t="e">
        <f t="shared" si="18"/>
        <v>#NUM!</v>
      </c>
      <c r="K205" s="95" t="e">
        <f t="shared" si="16"/>
        <v>#NUM!</v>
      </c>
      <c r="L205" s="95"/>
      <c r="M205" s="97">
        <f t="shared" si="17"/>
        <v>0</v>
      </c>
    </row>
    <row r="206" spans="1:13" x14ac:dyDescent="0.25">
      <c r="A206" s="116"/>
      <c r="G206" s="80"/>
      <c r="H206" s="95">
        <v>201</v>
      </c>
      <c r="I206" s="96" t="str">
        <f t="shared" si="15"/>
        <v/>
      </c>
      <c r="J206" s="96" t="e">
        <f t="shared" si="18"/>
        <v>#NUM!</v>
      </c>
      <c r="K206" s="95" t="e">
        <f t="shared" si="16"/>
        <v>#NUM!</v>
      </c>
      <c r="L206" s="95"/>
      <c r="M206" s="97">
        <f t="shared" si="17"/>
        <v>0</v>
      </c>
    </row>
    <row r="207" spans="1:13" x14ac:dyDescent="0.25">
      <c r="A207" s="116"/>
      <c r="G207" s="80"/>
      <c r="H207" s="95">
        <v>202</v>
      </c>
      <c r="I207" s="96" t="str">
        <f t="shared" si="15"/>
        <v/>
      </c>
      <c r="J207" s="96" t="e">
        <f t="shared" si="18"/>
        <v>#NUM!</v>
      </c>
      <c r="K207" s="95" t="e">
        <f t="shared" si="16"/>
        <v>#NUM!</v>
      </c>
      <c r="L207" s="95"/>
      <c r="M207" s="97">
        <f t="shared" si="17"/>
        <v>0</v>
      </c>
    </row>
    <row r="208" spans="1:13" x14ac:dyDescent="0.25">
      <c r="A208" s="116"/>
      <c r="G208" s="80"/>
      <c r="H208" s="95">
        <v>203</v>
      </c>
      <c r="I208" s="96" t="str">
        <f t="shared" si="15"/>
        <v/>
      </c>
      <c r="J208" s="96" t="e">
        <f t="shared" si="18"/>
        <v>#NUM!</v>
      </c>
      <c r="K208" s="95" t="e">
        <f t="shared" si="16"/>
        <v>#NUM!</v>
      </c>
      <c r="L208" s="95"/>
      <c r="M208" s="97">
        <f t="shared" si="17"/>
        <v>0</v>
      </c>
    </row>
    <row r="209" spans="1:13" x14ac:dyDescent="0.25">
      <c r="A209" s="116"/>
      <c r="G209" s="80"/>
      <c r="H209" s="95">
        <v>204</v>
      </c>
      <c r="I209" s="96" t="str">
        <f t="shared" si="15"/>
        <v/>
      </c>
      <c r="J209" s="96" t="e">
        <f t="shared" si="18"/>
        <v>#NUM!</v>
      </c>
      <c r="K209" s="95" t="e">
        <f t="shared" si="16"/>
        <v>#NUM!</v>
      </c>
      <c r="L209" s="95"/>
      <c r="M209" s="97">
        <f t="shared" si="17"/>
        <v>0</v>
      </c>
    </row>
    <row r="210" spans="1:13" x14ac:dyDescent="0.25">
      <c r="A210" s="116"/>
      <c r="G210" s="80"/>
      <c r="H210" s="95">
        <v>205</v>
      </c>
      <c r="I210" s="96" t="str">
        <f t="shared" si="15"/>
        <v/>
      </c>
      <c r="J210" s="96" t="e">
        <f t="shared" si="18"/>
        <v>#NUM!</v>
      </c>
      <c r="K210" s="95" t="e">
        <f t="shared" si="16"/>
        <v>#NUM!</v>
      </c>
      <c r="L210" s="95"/>
      <c r="M210" s="97">
        <f t="shared" si="17"/>
        <v>0</v>
      </c>
    </row>
    <row r="211" spans="1:13" x14ac:dyDescent="0.25">
      <c r="A211" s="116"/>
      <c r="G211" s="80"/>
      <c r="H211" s="95">
        <v>206</v>
      </c>
      <c r="I211" s="96" t="str">
        <f t="shared" si="15"/>
        <v/>
      </c>
      <c r="J211" s="96" t="e">
        <f t="shared" si="18"/>
        <v>#NUM!</v>
      </c>
      <c r="K211" s="95" t="e">
        <f t="shared" si="16"/>
        <v>#NUM!</v>
      </c>
      <c r="L211" s="95"/>
      <c r="M211" s="97">
        <f t="shared" si="17"/>
        <v>0</v>
      </c>
    </row>
    <row r="212" spans="1:13" x14ac:dyDescent="0.25">
      <c r="A212" s="116"/>
      <c r="G212" s="80"/>
      <c r="H212" s="95">
        <v>207</v>
      </c>
      <c r="I212" s="96" t="str">
        <f t="shared" si="15"/>
        <v/>
      </c>
      <c r="J212" s="96" t="e">
        <f t="shared" si="18"/>
        <v>#NUM!</v>
      </c>
      <c r="K212" s="95" t="e">
        <f t="shared" si="16"/>
        <v>#NUM!</v>
      </c>
      <c r="L212" s="95"/>
      <c r="M212" s="97">
        <f t="shared" si="17"/>
        <v>0</v>
      </c>
    </row>
    <row r="213" spans="1:13" x14ac:dyDescent="0.25">
      <c r="A213" s="116"/>
      <c r="G213" s="80"/>
      <c r="H213" s="95">
        <v>208</v>
      </c>
      <c r="I213" s="96" t="str">
        <f t="shared" si="15"/>
        <v/>
      </c>
      <c r="J213" s="96" t="e">
        <f t="shared" si="18"/>
        <v>#NUM!</v>
      </c>
      <c r="K213" s="95" t="e">
        <f t="shared" si="16"/>
        <v>#NUM!</v>
      </c>
      <c r="L213" s="95"/>
      <c r="M213" s="97">
        <f t="shared" si="17"/>
        <v>0</v>
      </c>
    </row>
    <row r="214" spans="1:13" x14ac:dyDescent="0.25">
      <c r="A214" s="116"/>
      <c r="G214" s="80"/>
      <c r="H214" s="95">
        <v>209</v>
      </c>
      <c r="I214" s="96" t="str">
        <f t="shared" si="15"/>
        <v/>
      </c>
      <c r="J214" s="96" t="e">
        <f t="shared" si="18"/>
        <v>#NUM!</v>
      </c>
      <c r="K214" s="95" t="e">
        <f t="shared" si="16"/>
        <v>#NUM!</v>
      </c>
      <c r="L214" s="95"/>
      <c r="M214" s="97">
        <f t="shared" si="17"/>
        <v>0</v>
      </c>
    </row>
    <row r="215" spans="1:13" x14ac:dyDescent="0.25">
      <c r="A215" s="116"/>
      <c r="G215" s="80"/>
      <c r="H215" s="95">
        <v>210</v>
      </c>
      <c r="I215" s="96" t="str">
        <f t="shared" si="15"/>
        <v/>
      </c>
      <c r="J215" s="96" t="e">
        <f t="shared" si="18"/>
        <v>#NUM!</v>
      </c>
      <c r="K215" s="95" t="e">
        <f t="shared" si="16"/>
        <v>#NUM!</v>
      </c>
      <c r="L215" s="95"/>
      <c r="M215" s="97">
        <f t="shared" si="17"/>
        <v>0</v>
      </c>
    </row>
    <row r="216" spans="1:13" x14ac:dyDescent="0.25">
      <c r="A216" s="116"/>
      <c r="G216" s="80"/>
      <c r="H216" s="95">
        <v>211</v>
      </c>
      <c r="I216" s="96" t="str">
        <f t="shared" si="15"/>
        <v/>
      </c>
      <c r="J216" s="96" t="e">
        <f t="shared" si="18"/>
        <v>#NUM!</v>
      </c>
      <c r="K216" s="95" t="e">
        <f t="shared" si="16"/>
        <v>#NUM!</v>
      </c>
      <c r="L216" s="95"/>
      <c r="M216" s="97">
        <f t="shared" si="17"/>
        <v>0</v>
      </c>
    </row>
    <row r="217" spans="1:13" x14ac:dyDescent="0.25">
      <c r="A217" s="116"/>
      <c r="G217" s="80"/>
      <c r="H217" s="95">
        <v>212</v>
      </c>
      <c r="I217" s="96" t="str">
        <f t="shared" si="15"/>
        <v/>
      </c>
      <c r="J217" s="96" t="e">
        <f t="shared" si="18"/>
        <v>#NUM!</v>
      </c>
      <c r="K217" s="95" t="e">
        <f t="shared" si="16"/>
        <v>#NUM!</v>
      </c>
      <c r="L217" s="95"/>
      <c r="M217" s="97">
        <f t="shared" si="17"/>
        <v>0</v>
      </c>
    </row>
    <row r="218" spans="1:13" x14ac:dyDescent="0.25">
      <c r="A218" s="116"/>
      <c r="G218" s="80"/>
      <c r="H218" s="95">
        <v>213</v>
      </c>
      <c r="I218" s="96" t="str">
        <f t="shared" si="15"/>
        <v/>
      </c>
      <c r="J218" s="96" t="e">
        <f t="shared" si="18"/>
        <v>#NUM!</v>
      </c>
      <c r="K218" s="95" t="e">
        <f t="shared" si="16"/>
        <v>#NUM!</v>
      </c>
      <c r="L218" s="95"/>
      <c r="M218" s="97">
        <f t="shared" si="17"/>
        <v>0</v>
      </c>
    </row>
    <row r="219" spans="1:13" x14ac:dyDescent="0.25">
      <c r="A219" s="116"/>
      <c r="G219" s="80"/>
      <c r="H219" s="95">
        <v>214</v>
      </c>
      <c r="I219" s="96" t="str">
        <f t="shared" si="15"/>
        <v/>
      </c>
      <c r="J219" s="96" t="e">
        <f t="shared" si="18"/>
        <v>#NUM!</v>
      </c>
      <c r="K219" s="95" t="e">
        <f t="shared" si="16"/>
        <v>#NUM!</v>
      </c>
      <c r="L219" s="95"/>
      <c r="M219" s="97">
        <f t="shared" si="17"/>
        <v>0</v>
      </c>
    </row>
    <row r="220" spans="1:13" x14ac:dyDescent="0.25">
      <c r="A220" s="116"/>
      <c r="G220" s="80"/>
      <c r="H220" s="95">
        <v>215</v>
      </c>
      <c r="I220" s="96" t="str">
        <f t="shared" si="15"/>
        <v/>
      </c>
      <c r="J220" s="96" t="e">
        <f t="shared" si="18"/>
        <v>#NUM!</v>
      </c>
      <c r="K220" s="95" t="e">
        <f t="shared" si="16"/>
        <v>#NUM!</v>
      </c>
      <c r="L220" s="95"/>
      <c r="M220" s="97">
        <f t="shared" si="17"/>
        <v>0</v>
      </c>
    </row>
    <row r="221" spans="1:13" x14ac:dyDescent="0.25">
      <c r="A221" s="116"/>
      <c r="G221" s="80"/>
      <c r="H221" s="95">
        <v>216</v>
      </c>
      <c r="I221" s="96" t="str">
        <f t="shared" si="15"/>
        <v/>
      </c>
      <c r="J221" s="96" t="e">
        <f t="shared" si="18"/>
        <v>#NUM!</v>
      </c>
      <c r="K221" s="95" t="e">
        <f t="shared" si="16"/>
        <v>#NUM!</v>
      </c>
      <c r="L221" s="95"/>
      <c r="M221" s="97">
        <f t="shared" si="17"/>
        <v>0</v>
      </c>
    </row>
    <row r="222" spans="1:13" x14ac:dyDescent="0.25">
      <c r="A222" s="116"/>
      <c r="G222" s="80"/>
      <c r="H222" s="95">
        <v>217</v>
      </c>
      <c r="I222" s="96" t="str">
        <f t="shared" si="15"/>
        <v/>
      </c>
      <c r="J222" s="96" t="e">
        <f t="shared" si="18"/>
        <v>#NUM!</v>
      </c>
      <c r="K222" s="95" t="e">
        <f t="shared" si="16"/>
        <v>#NUM!</v>
      </c>
      <c r="L222" s="95"/>
      <c r="M222" s="97">
        <f t="shared" si="17"/>
        <v>0</v>
      </c>
    </row>
    <row r="223" spans="1:13" x14ac:dyDescent="0.25">
      <c r="A223" s="116"/>
      <c r="G223" s="80"/>
      <c r="H223" s="95">
        <v>218</v>
      </c>
      <c r="I223" s="96" t="str">
        <f t="shared" si="15"/>
        <v/>
      </c>
      <c r="J223" s="96" t="e">
        <f t="shared" si="18"/>
        <v>#NUM!</v>
      </c>
      <c r="K223" s="95" t="e">
        <f t="shared" si="16"/>
        <v>#NUM!</v>
      </c>
      <c r="L223" s="95"/>
      <c r="M223" s="97">
        <f t="shared" si="17"/>
        <v>0</v>
      </c>
    </row>
    <row r="224" spans="1:13" x14ac:dyDescent="0.25">
      <c r="A224" s="116"/>
      <c r="G224" s="80"/>
      <c r="H224" s="95">
        <v>219</v>
      </c>
      <c r="I224" s="96" t="str">
        <f t="shared" si="15"/>
        <v/>
      </c>
      <c r="J224" s="96" t="e">
        <f t="shared" si="18"/>
        <v>#NUM!</v>
      </c>
      <c r="K224" s="95" t="e">
        <f t="shared" si="16"/>
        <v>#NUM!</v>
      </c>
      <c r="L224" s="95"/>
      <c r="M224" s="97">
        <f t="shared" si="17"/>
        <v>0</v>
      </c>
    </row>
    <row r="225" spans="1:13" x14ac:dyDescent="0.25">
      <c r="A225" s="116"/>
      <c r="G225" s="80"/>
      <c r="H225" s="95">
        <v>220</v>
      </c>
      <c r="I225" s="96" t="str">
        <f t="shared" si="15"/>
        <v/>
      </c>
      <c r="J225" s="96" t="e">
        <f t="shared" si="18"/>
        <v>#NUM!</v>
      </c>
      <c r="K225" s="95" t="e">
        <f t="shared" si="16"/>
        <v>#NUM!</v>
      </c>
      <c r="L225" s="95"/>
      <c r="M225" s="97">
        <f t="shared" si="17"/>
        <v>0</v>
      </c>
    </row>
    <row r="226" spans="1:13" x14ac:dyDescent="0.25">
      <c r="A226" s="116"/>
      <c r="G226" s="80"/>
      <c r="H226" s="95">
        <v>221</v>
      </c>
      <c r="I226" s="96" t="str">
        <f t="shared" si="15"/>
        <v/>
      </c>
      <c r="J226" s="96" t="e">
        <f t="shared" si="18"/>
        <v>#NUM!</v>
      </c>
      <c r="K226" s="95" t="e">
        <f t="shared" si="16"/>
        <v>#NUM!</v>
      </c>
      <c r="L226" s="95"/>
      <c r="M226" s="97">
        <f t="shared" si="17"/>
        <v>0</v>
      </c>
    </row>
    <row r="227" spans="1:13" x14ac:dyDescent="0.25">
      <c r="A227" s="116"/>
      <c r="G227" s="80"/>
      <c r="H227" s="95">
        <v>222</v>
      </c>
      <c r="I227" s="96" t="str">
        <f t="shared" si="15"/>
        <v/>
      </c>
      <c r="J227" s="96" t="e">
        <f t="shared" si="18"/>
        <v>#NUM!</v>
      </c>
      <c r="K227" s="95" t="e">
        <f t="shared" si="16"/>
        <v>#NUM!</v>
      </c>
      <c r="L227" s="95"/>
      <c r="M227" s="97">
        <f t="shared" si="17"/>
        <v>0</v>
      </c>
    </row>
    <row r="228" spans="1:13" x14ac:dyDescent="0.25">
      <c r="A228" s="116"/>
      <c r="G228" s="80"/>
      <c r="H228" s="95">
        <v>223</v>
      </c>
      <c r="I228" s="96" t="str">
        <f t="shared" si="15"/>
        <v/>
      </c>
      <c r="J228" s="96" t="e">
        <f t="shared" si="18"/>
        <v>#NUM!</v>
      </c>
      <c r="K228" s="95" t="e">
        <f t="shared" si="16"/>
        <v>#NUM!</v>
      </c>
      <c r="L228" s="95"/>
      <c r="M228" s="97">
        <f t="shared" si="17"/>
        <v>0</v>
      </c>
    </row>
    <row r="229" spans="1:13" x14ac:dyDescent="0.25">
      <c r="A229" s="116"/>
      <c r="G229" s="80"/>
      <c r="H229" s="95">
        <v>224</v>
      </c>
      <c r="I229" s="96" t="str">
        <f t="shared" si="15"/>
        <v/>
      </c>
      <c r="J229" s="96" t="e">
        <f t="shared" si="18"/>
        <v>#NUM!</v>
      </c>
      <c r="K229" s="95" t="e">
        <f t="shared" si="16"/>
        <v>#NUM!</v>
      </c>
      <c r="L229" s="95"/>
      <c r="M229" s="97">
        <f t="shared" si="17"/>
        <v>0</v>
      </c>
    </row>
    <row r="230" spans="1:13" x14ac:dyDescent="0.25">
      <c r="A230" s="116"/>
      <c r="G230" s="80"/>
      <c r="H230" s="95">
        <v>225</v>
      </c>
      <c r="I230" s="96" t="str">
        <f t="shared" si="15"/>
        <v/>
      </c>
      <c r="J230" s="96" t="e">
        <f t="shared" si="18"/>
        <v>#NUM!</v>
      </c>
      <c r="K230" s="95" t="e">
        <f t="shared" si="16"/>
        <v>#NUM!</v>
      </c>
      <c r="L230" s="95"/>
      <c r="M230" s="97">
        <f t="shared" si="17"/>
        <v>0</v>
      </c>
    </row>
    <row r="231" spans="1:13" x14ac:dyDescent="0.25">
      <c r="A231" s="116"/>
      <c r="G231" s="80"/>
      <c r="H231" s="95">
        <v>226</v>
      </c>
      <c r="I231" s="96" t="str">
        <f t="shared" si="15"/>
        <v/>
      </c>
      <c r="J231" s="96" t="e">
        <f t="shared" si="18"/>
        <v>#NUM!</v>
      </c>
      <c r="K231" s="95" t="e">
        <f t="shared" si="16"/>
        <v>#NUM!</v>
      </c>
      <c r="L231" s="95"/>
      <c r="M231" s="97">
        <f t="shared" si="17"/>
        <v>0</v>
      </c>
    </row>
    <row r="232" spans="1:13" x14ac:dyDescent="0.25">
      <c r="A232" s="116"/>
      <c r="G232" s="80"/>
      <c r="H232" s="95">
        <v>227</v>
      </c>
      <c r="I232" s="96" t="str">
        <f t="shared" si="15"/>
        <v/>
      </c>
      <c r="J232" s="96" t="e">
        <f t="shared" si="18"/>
        <v>#NUM!</v>
      </c>
      <c r="K232" s="95" t="e">
        <f t="shared" si="16"/>
        <v>#NUM!</v>
      </c>
      <c r="L232" s="95"/>
      <c r="M232" s="97">
        <f t="shared" si="17"/>
        <v>0</v>
      </c>
    </row>
    <row r="233" spans="1:13" x14ac:dyDescent="0.25">
      <c r="A233" s="116"/>
      <c r="G233" s="80"/>
      <c r="H233" s="95">
        <v>228</v>
      </c>
      <c r="I233" s="96" t="str">
        <f t="shared" si="15"/>
        <v/>
      </c>
      <c r="J233" s="96" t="e">
        <f t="shared" si="18"/>
        <v>#NUM!</v>
      </c>
      <c r="K233" s="95" t="e">
        <f t="shared" si="16"/>
        <v>#NUM!</v>
      </c>
      <c r="L233" s="95"/>
      <c r="M233" s="97">
        <f t="shared" si="17"/>
        <v>0</v>
      </c>
    </row>
    <row r="234" spans="1:13" x14ac:dyDescent="0.25">
      <c r="A234" s="116"/>
      <c r="G234" s="80"/>
      <c r="H234" s="95">
        <v>229</v>
      </c>
      <c r="I234" s="96" t="str">
        <f t="shared" si="15"/>
        <v/>
      </c>
      <c r="J234" s="96" t="e">
        <f t="shared" si="18"/>
        <v>#NUM!</v>
      </c>
      <c r="K234" s="95" t="e">
        <f t="shared" si="16"/>
        <v>#NUM!</v>
      </c>
      <c r="L234" s="95"/>
      <c r="M234" s="97">
        <f t="shared" si="17"/>
        <v>0</v>
      </c>
    </row>
    <row r="235" spans="1:13" x14ac:dyDescent="0.25">
      <c r="A235" s="116"/>
      <c r="G235" s="80"/>
      <c r="H235" s="95">
        <v>230</v>
      </c>
      <c r="I235" s="96" t="str">
        <f t="shared" si="15"/>
        <v/>
      </c>
      <c r="J235" s="96" t="e">
        <f t="shared" si="18"/>
        <v>#NUM!</v>
      </c>
      <c r="K235" s="95" t="e">
        <f t="shared" si="16"/>
        <v>#NUM!</v>
      </c>
      <c r="L235" s="95"/>
      <c r="M235" s="97">
        <f t="shared" si="17"/>
        <v>0</v>
      </c>
    </row>
    <row r="236" spans="1:13" x14ac:dyDescent="0.25">
      <c r="A236" s="116"/>
      <c r="G236" s="80"/>
      <c r="H236" s="95">
        <v>231</v>
      </c>
      <c r="I236" s="96" t="str">
        <f t="shared" si="15"/>
        <v/>
      </c>
      <c r="J236" s="96" t="e">
        <f t="shared" si="18"/>
        <v>#NUM!</v>
      </c>
      <c r="K236" s="95" t="e">
        <f t="shared" si="16"/>
        <v>#NUM!</v>
      </c>
      <c r="L236" s="95"/>
      <c r="M236" s="97">
        <f t="shared" si="17"/>
        <v>0</v>
      </c>
    </row>
    <row r="237" spans="1:13" x14ac:dyDescent="0.25">
      <c r="A237" s="116"/>
      <c r="G237" s="80"/>
      <c r="H237" s="95">
        <v>232</v>
      </c>
      <c r="I237" s="96" t="str">
        <f t="shared" si="15"/>
        <v/>
      </c>
      <c r="J237" s="96" t="e">
        <f t="shared" si="18"/>
        <v>#NUM!</v>
      </c>
      <c r="K237" s="95" t="e">
        <f t="shared" si="16"/>
        <v>#NUM!</v>
      </c>
      <c r="L237" s="95"/>
      <c r="M237" s="97">
        <f t="shared" si="17"/>
        <v>0</v>
      </c>
    </row>
    <row r="238" spans="1:13" x14ac:dyDescent="0.25">
      <c r="A238" s="116"/>
      <c r="G238" s="80"/>
      <c r="H238" s="95">
        <v>233</v>
      </c>
      <c r="I238" s="96" t="str">
        <f t="shared" si="15"/>
        <v/>
      </c>
      <c r="J238" s="96" t="e">
        <f t="shared" si="18"/>
        <v>#NUM!</v>
      </c>
      <c r="K238" s="95" t="e">
        <f t="shared" si="16"/>
        <v>#NUM!</v>
      </c>
      <c r="L238" s="95"/>
      <c r="M238" s="97">
        <f t="shared" si="17"/>
        <v>0</v>
      </c>
    </row>
    <row r="239" spans="1:13" x14ac:dyDescent="0.25">
      <c r="A239" s="116"/>
      <c r="G239" s="80"/>
      <c r="H239" s="95">
        <v>234</v>
      </c>
      <c r="I239" s="96" t="str">
        <f t="shared" si="15"/>
        <v/>
      </c>
      <c r="J239" s="96" t="e">
        <f t="shared" si="18"/>
        <v>#NUM!</v>
      </c>
      <c r="K239" s="95" t="e">
        <f t="shared" si="16"/>
        <v>#NUM!</v>
      </c>
      <c r="L239" s="95"/>
      <c r="M239" s="97">
        <f t="shared" si="17"/>
        <v>0</v>
      </c>
    </row>
    <row r="240" spans="1:13" x14ac:dyDescent="0.25">
      <c r="A240" s="116"/>
      <c r="G240" s="80"/>
      <c r="H240" s="95">
        <v>235</v>
      </c>
      <c r="I240" s="96" t="str">
        <f t="shared" si="15"/>
        <v/>
      </c>
      <c r="J240" s="96" t="e">
        <f t="shared" si="18"/>
        <v>#NUM!</v>
      </c>
      <c r="K240" s="95" t="e">
        <f t="shared" si="16"/>
        <v>#NUM!</v>
      </c>
      <c r="L240" s="95"/>
      <c r="M240" s="97">
        <f t="shared" si="17"/>
        <v>0</v>
      </c>
    </row>
    <row r="241" spans="1:13" x14ac:dyDescent="0.25">
      <c r="A241" s="116"/>
      <c r="G241" s="80"/>
      <c r="H241" s="95">
        <v>236</v>
      </c>
      <c r="I241" s="96" t="str">
        <f t="shared" si="15"/>
        <v/>
      </c>
      <c r="J241" s="96" t="e">
        <f t="shared" si="18"/>
        <v>#NUM!</v>
      </c>
      <c r="K241" s="95" t="e">
        <f t="shared" si="16"/>
        <v>#NUM!</v>
      </c>
      <c r="L241" s="95"/>
      <c r="M241" s="97">
        <f t="shared" si="17"/>
        <v>0</v>
      </c>
    </row>
    <row r="242" spans="1:13" x14ac:dyDescent="0.25">
      <c r="A242" s="116"/>
      <c r="G242" s="80"/>
      <c r="H242" s="95">
        <v>237</v>
      </c>
      <c r="I242" s="96" t="str">
        <f t="shared" si="15"/>
        <v/>
      </c>
      <c r="J242" s="96" t="e">
        <f t="shared" si="18"/>
        <v>#NUM!</v>
      </c>
      <c r="K242" s="95" t="e">
        <f t="shared" si="16"/>
        <v>#NUM!</v>
      </c>
      <c r="L242" s="95"/>
      <c r="M242" s="97">
        <f t="shared" si="17"/>
        <v>0</v>
      </c>
    </row>
    <row r="243" spans="1:13" x14ac:dyDescent="0.25">
      <c r="A243" s="116"/>
      <c r="G243" s="80"/>
      <c r="H243" s="95">
        <v>238</v>
      </c>
      <c r="I243" s="96" t="str">
        <f t="shared" si="15"/>
        <v/>
      </c>
      <c r="J243" s="96" t="e">
        <f t="shared" si="18"/>
        <v>#NUM!</v>
      </c>
      <c r="K243" s="95" t="e">
        <f t="shared" si="16"/>
        <v>#NUM!</v>
      </c>
      <c r="L243" s="95"/>
      <c r="M243" s="97">
        <f t="shared" si="17"/>
        <v>0</v>
      </c>
    </row>
    <row r="244" spans="1:13" x14ac:dyDescent="0.25">
      <c r="A244" s="116"/>
      <c r="G244" s="80"/>
      <c r="H244" s="95">
        <v>239</v>
      </c>
      <c r="I244" s="96" t="str">
        <f t="shared" si="15"/>
        <v/>
      </c>
      <c r="J244" s="96" t="e">
        <f t="shared" si="18"/>
        <v>#NUM!</v>
      </c>
      <c r="K244" s="95" t="e">
        <f t="shared" si="16"/>
        <v>#NUM!</v>
      </c>
      <c r="L244" s="95"/>
      <c r="M244" s="97">
        <f t="shared" si="17"/>
        <v>0</v>
      </c>
    </row>
    <row r="245" spans="1:13" x14ac:dyDescent="0.25">
      <c r="A245" s="116"/>
      <c r="G245" s="80"/>
      <c r="H245" s="95">
        <v>240</v>
      </c>
      <c r="I245" s="96" t="str">
        <f t="shared" si="15"/>
        <v/>
      </c>
      <c r="J245" s="96" t="e">
        <f t="shared" si="18"/>
        <v>#NUM!</v>
      </c>
      <c r="K245" s="95" t="e">
        <f t="shared" si="16"/>
        <v>#NUM!</v>
      </c>
      <c r="L245" s="95"/>
      <c r="M245" s="97">
        <f t="shared" si="17"/>
        <v>0</v>
      </c>
    </row>
    <row r="246" spans="1:13" x14ac:dyDescent="0.25">
      <c r="A246" s="116"/>
      <c r="G246" s="80"/>
      <c r="H246" s="95">
        <v>241</v>
      </c>
      <c r="I246" s="96" t="str">
        <f t="shared" si="15"/>
        <v/>
      </c>
      <c r="J246" s="96" t="e">
        <f t="shared" si="18"/>
        <v>#NUM!</v>
      </c>
      <c r="K246" s="95" t="e">
        <f t="shared" si="16"/>
        <v>#NUM!</v>
      </c>
      <c r="L246" s="95"/>
      <c r="M246" s="97">
        <f t="shared" si="17"/>
        <v>0</v>
      </c>
    </row>
    <row r="247" spans="1:13" x14ac:dyDescent="0.25">
      <c r="A247" s="116"/>
      <c r="G247" s="80"/>
      <c r="H247" s="95">
        <v>242</v>
      </c>
      <c r="I247" s="96" t="str">
        <f t="shared" si="15"/>
        <v/>
      </c>
      <c r="J247" s="96" t="e">
        <f t="shared" si="18"/>
        <v>#NUM!</v>
      </c>
      <c r="K247" s="95" t="e">
        <f t="shared" si="16"/>
        <v>#NUM!</v>
      </c>
      <c r="L247" s="95"/>
      <c r="M247" s="97">
        <f t="shared" si="17"/>
        <v>0</v>
      </c>
    </row>
    <row r="248" spans="1:13" x14ac:dyDescent="0.25">
      <c r="A248" s="116"/>
      <c r="G248" s="80"/>
      <c r="H248" s="95">
        <v>243</v>
      </c>
      <c r="I248" s="96" t="str">
        <f t="shared" si="15"/>
        <v/>
      </c>
      <c r="J248" s="96" t="e">
        <f t="shared" si="18"/>
        <v>#NUM!</v>
      </c>
      <c r="K248" s="95" t="e">
        <f t="shared" si="16"/>
        <v>#NUM!</v>
      </c>
      <c r="L248" s="95"/>
      <c r="M248" s="97">
        <f t="shared" si="17"/>
        <v>0</v>
      </c>
    </row>
    <row r="249" spans="1:13" x14ac:dyDescent="0.25">
      <c r="A249" s="116"/>
      <c r="G249" s="80"/>
      <c r="H249" s="95">
        <v>244</v>
      </c>
      <c r="I249" s="96" t="str">
        <f t="shared" si="15"/>
        <v/>
      </c>
      <c r="J249" s="96" t="e">
        <f t="shared" si="18"/>
        <v>#NUM!</v>
      </c>
      <c r="K249" s="95" t="e">
        <f t="shared" si="16"/>
        <v>#NUM!</v>
      </c>
      <c r="L249" s="95"/>
      <c r="M249" s="97">
        <f t="shared" si="17"/>
        <v>0</v>
      </c>
    </row>
    <row r="250" spans="1:13" x14ac:dyDescent="0.25">
      <c r="A250" s="116"/>
      <c r="G250" s="80"/>
      <c r="H250" s="95">
        <v>245</v>
      </c>
      <c r="I250" s="96" t="str">
        <f t="shared" si="15"/>
        <v/>
      </c>
      <c r="J250" s="96" t="e">
        <f t="shared" si="18"/>
        <v>#NUM!</v>
      </c>
      <c r="K250" s="95" t="e">
        <f t="shared" si="16"/>
        <v>#NUM!</v>
      </c>
      <c r="L250" s="95"/>
      <c r="M250" s="97">
        <f t="shared" si="17"/>
        <v>0</v>
      </c>
    </row>
    <row r="251" spans="1:13" x14ac:dyDescent="0.25">
      <c r="A251" s="116"/>
      <c r="G251" s="80"/>
      <c r="H251" s="95">
        <v>246</v>
      </c>
      <c r="I251" s="96" t="str">
        <f t="shared" si="15"/>
        <v/>
      </c>
      <c r="J251" s="96" t="e">
        <f t="shared" si="18"/>
        <v>#NUM!</v>
      </c>
      <c r="K251" s="95" t="e">
        <f t="shared" si="16"/>
        <v>#NUM!</v>
      </c>
      <c r="L251" s="95"/>
      <c r="M251" s="97">
        <f t="shared" si="17"/>
        <v>0</v>
      </c>
    </row>
    <row r="252" spans="1:13" x14ac:dyDescent="0.25">
      <c r="A252" s="116"/>
      <c r="G252" s="80"/>
      <c r="H252" s="95">
        <v>247</v>
      </c>
      <c r="I252" s="96" t="str">
        <f t="shared" si="15"/>
        <v/>
      </c>
      <c r="J252" s="96" t="e">
        <f t="shared" si="18"/>
        <v>#NUM!</v>
      </c>
      <c r="K252" s="95" t="e">
        <f t="shared" si="16"/>
        <v>#NUM!</v>
      </c>
      <c r="L252" s="95"/>
      <c r="M252" s="97">
        <f t="shared" si="17"/>
        <v>0</v>
      </c>
    </row>
    <row r="253" spans="1:13" x14ac:dyDescent="0.25">
      <c r="A253" s="116"/>
      <c r="G253" s="80"/>
      <c r="H253" s="95">
        <v>248</v>
      </c>
      <c r="I253" s="96" t="str">
        <f t="shared" si="15"/>
        <v/>
      </c>
      <c r="J253" s="96" t="e">
        <f t="shared" si="18"/>
        <v>#NUM!</v>
      </c>
      <c r="K253" s="95" t="e">
        <f t="shared" si="16"/>
        <v>#NUM!</v>
      </c>
      <c r="L253" s="95"/>
      <c r="M253" s="97">
        <f t="shared" si="17"/>
        <v>0</v>
      </c>
    </row>
    <row r="254" spans="1:13" x14ac:dyDescent="0.25">
      <c r="A254" s="116"/>
      <c r="G254" s="80"/>
      <c r="H254" s="95">
        <v>249</v>
      </c>
      <c r="I254" s="96" t="str">
        <f t="shared" si="15"/>
        <v/>
      </c>
      <c r="J254" s="96" t="e">
        <f t="shared" si="18"/>
        <v>#NUM!</v>
      </c>
      <c r="K254" s="95" t="e">
        <f t="shared" si="16"/>
        <v>#NUM!</v>
      </c>
      <c r="L254" s="95"/>
      <c r="M254" s="97">
        <f t="shared" si="17"/>
        <v>0</v>
      </c>
    </row>
    <row r="255" spans="1:13" x14ac:dyDescent="0.25">
      <c r="A255" s="116"/>
      <c r="G255" s="80"/>
      <c r="H255" s="95">
        <v>250</v>
      </c>
      <c r="I255" s="96" t="str">
        <f t="shared" si="15"/>
        <v/>
      </c>
      <c r="J255" s="96" t="e">
        <f t="shared" si="18"/>
        <v>#NUM!</v>
      </c>
      <c r="K255" s="95" t="e">
        <f t="shared" si="16"/>
        <v>#NUM!</v>
      </c>
      <c r="L255" s="95"/>
      <c r="M255" s="97">
        <f t="shared" si="17"/>
        <v>0</v>
      </c>
    </row>
    <row r="256" spans="1:13" x14ac:dyDescent="0.25">
      <c r="A256" s="116"/>
      <c r="G256" s="80"/>
      <c r="H256" s="95">
        <v>251</v>
      </c>
      <c r="I256" s="96" t="str">
        <f t="shared" si="15"/>
        <v/>
      </c>
      <c r="J256" s="96" t="e">
        <f t="shared" si="18"/>
        <v>#NUM!</v>
      </c>
      <c r="K256" s="95" t="e">
        <f t="shared" si="16"/>
        <v>#NUM!</v>
      </c>
      <c r="L256" s="95"/>
      <c r="M256" s="97">
        <f t="shared" si="17"/>
        <v>0</v>
      </c>
    </row>
    <row r="257" spans="1:13" x14ac:dyDescent="0.25">
      <c r="A257" s="116"/>
      <c r="G257" s="80"/>
      <c r="H257" s="95">
        <v>252</v>
      </c>
      <c r="I257" s="96" t="str">
        <f t="shared" si="15"/>
        <v/>
      </c>
      <c r="J257" s="96" t="e">
        <f t="shared" si="18"/>
        <v>#NUM!</v>
      </c>
      <c r="K257" s="95" t="e">
        <f t="shared" si="16"/>
        <v>#NUM!</v>
      </c>
      <c r="L257" s="95"/>
      <c r="M257" s="97">
        <f t="shared" si="17"/>
        <v>0</v>
      </c>
    </row>
    <row r="258" spans="1:13" x14ac:dyDescent="0.25">
      <c r="A258" s="116"/>
      <c r="G258" s="80"/>
      <c r="H258" s="95">
        <v>253</v>
      </c>
      <c r="I258" s="96" t="str">
        <f t="shared" si="15"/>
        <v/>
      </c>
      <c r="J258" s="96" t="e">
        <f t="shared" si="18"/>
        <v>#NUM!</v>
      </c>
      <c r="K258" s="95" t="e">
        <f t="shared" si="16"/>
        <v>#NUM!</v>
      </c>
      <c r="L258" s="95"/>
      <c r="M258" s="97">
        <f t="shared" si="17"/>
        <v>0</v>
      </c>
    </row>
    <row r="259" spans="1:13" x14ac:dyDescent="0.25">
      <c r="A259" s="116"/>
      <c r="G259" s="80"/>
      <c r="H259" s="95">
        <v>254</v>
      </c>
      <c r="I259" s="96" t="str">
        <f t="shared" si="15"/>
        <v/>
      </c>
      <c r="J259" s="96" t="e">
        <f t="shared" si="18"/>
        <v>#NUM!</v>
      </c>
      <c r="K259" s="95" t="e">
        <f t="shared" si="16"/>
        <v>#NUM!</v>
      </c>
      <c r="L259" s="95"/>
      <c r="M259" s="97">
        <f t="shared" si="17"/>
        <v>0</v>
      </c>
    </row>
    <row r="260" spans="1:13" x14ac:dyDescent="0.25">
      <c r="A260" s="116"/>
      <c r="G260" s="80"/>
      <c r="H260" s="95">
        <v>255</v>
      </c>
      <c r="I260" s="96" t="str">
        <f t="shared" si="15"/>
        <v/>
      </c>
      <c r="J260" s="96" t="e">
        <f t="shared" si="18"/>
        <v>#NUM!</v>
      </c>
      <c r="K260" s="95" t="e">
        <f t="shared" si="16"/>
        <v>#NUM!</v>
      </c>
      <c r="L260" s="95"/>
      <c r="M260" s="97">
        <f t="shared" si="17"/>
        <v>0</v>
      </c>
    </row>
    <row r="261" spans="1:13" x14ac:dyDescent="0.25">
      <c r="A261" s="116"/>
      <c r="G261" s="80"/>
      <c r="H261" s="95">
        <v>256</v>
      </c>
      <c r="I261" s="96" t="str">
        <f t="shared" si="15"/>
        <v/>
      </c>
      <c r="J261" s="96" t="e">
        <f t="shared" si="18"/>
        <v>#NUM!</v>
      </c>
      <c r="K261" s="95" t="e">
        <f t="shared" si="16"/>
        <v>#NUM!</v>
      </c>
      <c r="L261" s="95"/>
      <c r="M261" s="97">
        <f t="shared" si="17"/>
        <v>0</v>
      </c>
    </row>
    <row r="262" spans="1:13" x14ac:dyDescent="0.25">
      <c r="A262" s="116"/>
      <c r="G262" s="80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si="18"/>
        <v>#NUM!</v>
      </c>
      <c r="K262" s="95" t="e">
        <f t="shared" ref="K262:K305" si="20">J262*$J$2</f>
        <v>#NUM!</v>
      </c>
      <c r="L262" s="95"/>
      <c r="M262" s="97">
        <f t="shared" ref="M262:M305" si="21">IF(I262&lt;&gt;"",K262+I262+L262,0)</f>
        <v>0</v>
      </c>
    </row>
    <row r="263" spans="1:13" x14ac:dyDescent="0.25">
      <c r="A263" s="116"/>
      <c r="G263" s="80"/>
      <c r="H263" s="95">
        <v>258</v>
      </c>
      <c r="I263" s="96" t="str">
        <f t="shared" si="19"/>
        <v/>
      </c>
      <c r="J263" s="96" t="e">
        <f t="shared" ref="J263:J305" si="22">INT(LOG($H$2,2))-ROUNDUP(LOG(H263,2),0)+IF(OR($H$2=1,$H$2=2,$H$2=4,$H$2=8,$H$2=16,$H$2=32,$H$2=64,$H$2=128,$H$2=256),0,1)</f>
        <v>#NUM!</v>
      </c>
      <c r="K263" s="95" t="e">
        <f t="shared" si="20"/>
        <v>#NUM!</v>
      </c>
      <c r="L263" s="95"/>
      <c r="M263" s="97">
        <f t="shared" si="21"/>
        <v>0</v>
      </c>
    </row>
    <row r="264" spans="1:13" x14ac:dyDescent="0.25">
      <c r="A264" s="116"/>
      <c r="G264" s="80"/>
      <c r="H264" s="95">
        <v>259</v>
      </c>
      <c r="I264" s="96" t="str">
        <f t="shared" si="19"/>
        <v/>
      </c>
      <c r="J264" s="96" t="e">
        <f t="shared" si="22"/>
        <v>#NUM!</v>
      </c>
      <c r="K264" s="95" t="e">
        <f t="shared" si="20"/>
        <v>#NUM!</v>
      </c>
      <c r="L264" s="95"/>
      <c r="M264" s="97">
        <f t="shared" si="21"/>
        <v>0</v>
      </c>
    </row>
    <row r="265" spans="1:13" x14ac:dyDescent="0.25">
      <c r="A265" s="116"/>
      <c r="G265" s="80"/>
      <c r="H265" s="95">
        <v>260</v>
      </c>
      <c r="I265" s="96" t="str">
        <f t="shared" si="19"/>
        <v/>
      </c>
      <c r="J265" s="96" t="e">
        <f t="shared" si="22"/>
        <v>#NUM!</v>
      </c>
      <c r="K265" s="95" t="e">
        <f t="shared" si="20"/>
        <v>#NUM!</v>
      </c>
      <c r="L265" s="95"/>
      <c r="M265" s="97">
        <f t="shared" si="21"/>
        <v>0</v>
      </c>
    </row>
    <row r="266" spans="1:13" x14ac:dyDescent="0.25">
      <c r="A266" s="116"/>
      <c r="G266" s="80"/>
      <c r="H266" s="95">
        <v>261</v>
      </c>
      <c r="I266" s="96" t="str">
        <f t="shared" si="19"/>
        <v/>
      </c>
      <c r="J266" s="96" t="e">
        <f t="shared" si="22"/>
        <v>#NUM!</v>
      </c>
      <c r="K266" s="95" t="e">
        <f t="shared" si="20"/>
        <v>#NUM!</v>
      </c>
      <c r="L266" s="95"/>
      <c r="M266" s="97">
        <f t="shared" si="21"/>
        <v>0</v>
      </c>
    </row>
    <row r="267" spans="1:13" x14ac:dyDescent="0.25">
      <c r="A267" s="116"/>
      <c r="G267" s="80"/>
      <c r="H267" s="95">
        <v>262</v>
      </c>
      <c r="I267" s="96" t="str">
        <f t="shared" si="19"/>
        <v/>
      </c>
      <c r="J267" s="96" t="e">
        <f t="shared" si="22"/>
        <v>#NUM!</v>
      </c>
      <c r="K267" s="95" t="e">
        <f t="shared" si="20"/>
        <v>#NUM!</v>
      </c>
      <c r="L267" s="95"/>
      <c r="M267" s="97">
        <f t="shared" si="21"/>
        <v>0</v>
      </c>
    </row>
    <row r="268" spans="1:13" x14ac:dyDescent="0.25">
      <c r="A268" s="116"/>
      <c r="G268" s="80"/>
      <c r="H268" s="95">
        <v>263</v>
      </c>
      <c r="I268" s="96" t="str">
        <f t="shared" si="19"/>
        <v/>
      </c>
      <c r="J268" s="96" t="e">
        <f t="shared" si="22"/>
        <v>#NUM!</v>
      </c>
      <c r="K268" s="95" t="e">
        <f t="shared" si="20"/>
        <v>#NUM!</v>
      </c>
      <c r="L268" s="95"/>
      <c r="M268" s="97">
        <f t="shared" si="21"/>
        <v>0</v>
      </c>
    </row>
    <row r="269" spans="1:13" x14ac:dyDescent="0.25">
      <c r="A269" s="116"/>
      <c r="G269" s="80"/>
      <c r="H269" s="95">
        <v>264</v>
      </c>
      <c r="I269" s="96" t="str">
        <f t="shared" si="19"/>
        <v/>
      </c>
      <c r="J269" s="96" t="e">
        <f t="shared" si="22"/>
        <v>#NUM!</v>
      </c>
      <c r="K269" s="95" t="e">
        <f t="shared" si="20"/>
        <v>#NUM!</v>
      </c>
      <c r="L269" s="95"/>
      <c r="M269" s="97">
        <f t="shared" si="21"/>
        <v>0</v>
      </c>
    </row>
    <row r="270" spans="1:13" x14ac:dyDescent="0.25">
      <c r="A270" s="116"/>
      <c r="G270" s="80"/>
      <c r="H270" s="95">
        <v>265</v>
      </c>
      <c r="I270" s="96" t="str">
        <f t="shared" si="19"/>
        <v/>
      </c>
      <c r="J270" s="96" t="e">
        <f t="shared" si="22"/>
        <v>#NUM!</v>
      </c>
      <c r="K270" s="95" t="e">
        <f t="shared" si="20"/>
        <v>#NUM!</v>
      </c>
      <c r="L270" s="95"/>
      <c r="M270" s="97">
        <f t="shared" si="21"/>
        <v>0</v>
      </c>
    </row>
    <row r="271" spans="1:13" x14ac:dyDescent="0.25">
      <c r="A271" s="116"/>
      <c r="G271" s="80"/>
      <c r="H271" s="95">
        <v>266</v>
      </c>
      <c r="I271" s="96" t="str">
        <f t="shared" si="19"/>
        <v/>
      </c>
      <c r="J271" s="96" t="e">
        <f t="shared" si="22"/>
        <v>#NUM!</v>
      </c>
      <c r="K271" s="95" t="e">
        <f t="shared" si="20"/>
        <v>#NUM!</v>
      </c>
      <c r="L271" s="95"/>
      <c r="M271" s="97">
        <f t="shared" si="21"/>
        <v>0</v>
      </c>
    </row>
    <row r="272" spans="1:13" x14ac:dyDescent="0.25">
      <c r="A272" s="116"/>
      <c r="G272" s="80"/>
      <c r="H272" s="95">
        <v>267</v>
      </c>
      <c r="I272" s="96" t="str">
        <f t="shared" si="19"/>
        <v/>
      </c>
      <c r="J272" s="96" t="e">
        <f t="shared" si="22"/>
        <v>#NUM!</v>
      </c>
      <c r="K272" s="95" t="e">
        <f t="shared" si="20"/>
        <v>#NUM!</v>
      </c>
      <c r="L272" s="95"/>
      <c r="M272" s="97">
        <f t="shared" si="21"/>
        <v>0</v>
      </c>
    </row>
    <row r="273" spans="1:13" x14ac:dyDescent="0.25">
      <c r="A273" s="116"/>
      <c r="G273" s="80"/>
      <c r="H273" s="95">
        <v>268</v>
      </c>
      <c r="I273" s="96" t="str">
        <f t="shared" si="19"/>
        <v/>
      </c>
      <c r="J273" s="96" t="e">
        <f t="shared" si="22"/>
        <v>#NUM!</v>
      </c>
      <c r="K273" s="95" t="e">
        <f t="shared" si="20"/>
        <v>#NUM!</v>
      </c>
      <c r="L273" s="95"/>
      <c r="M273" s="97">
        <f t="shared" si="21"/>
        <v>0</v>
      </c>
    </row>
    <row r="274" spans="1:13" x14ac:dyDescent="0.25">
      <c r="A274" s="116"/>
      <c r="G274" s="80"/>
      <c r="H274" s="95">
        <v>269</v>
      </c>
      <c r="I274" s="96" t="str">
        <f t="shared" si="19"/>
        <v/>
      </c>
      <c r="J274" s="96" t="e">
        <f t="shared" si="22"/>
        <v>#NUM!</v>
      </c>
      <c r="K274" s="95" t="e">
        <f t="shared" si="20"/>
        <v>#NUM!</v>
      </c>
      <c r="L274" s="95"/>
      <c r="M274" s="97">
        <f t="shared" si="21"/>
        <v>0</v>
      </c>
    </row>
    <row r="275" spans="1:13" x14ac:dyDescent="0.25">
      <c r="A275" s="116"/>
      <c r="G275" s="80"/>
      <c r="H275" s="95">
        <v>270</v>
      </c>
      <c r="I275" s="96" t="str">
        <f t="shared" si="19"/>
        <v/>
      </c>
      <c r="J275" s="96" t="e">
        <f t="shared" si="22"/>
        <v>#NUM!</v>
      </c>
      <c r="K275" s="95" t="e">
        <f t="shared" si="20"/>
        <v>#NUM!</v>
      </c>
      <c r="L275" s="95"/>
      <c r="M275" s="97">
        <f t="shared" si="21"/>
        <v>0</v>
      </c>
    </row>
    <row r="276" spans="1:13" x14ac:dyDescent="0.25">
      <c r="A276" s="116"/>
      <c r="G276" s="80"/>
      <c r="H276" s="95">
        <v>271</v>
      </c>
      <c r="I276" s="96" t="str">
        <f t="shared" si="19"/>
        <v/>
      </c>
      <c r="J276" s="96" t="e">
        <f t="shared" si="22"/>
        <v>#NUM!</v>
      </c>
      <c r="K276" s="95" t="e">
        <f t="shared" si="20"/>
        <v>#NUM!</v>
      </c>
      <c r="L276" s="95"/>
      <c r="M276" s="97">
        <f t="shared" si="21"/>
        <v>0</v>
      </c>
    </row>
    <row r="277" spans="1:13" x14ac:dyDescent="0.25">
      <c r="A277" s="116"/>
      <c r="G277" s="80"/>
      <c r="H277" s="95">
        <v>272</v>
      </c>
      <c r="I277" s="96" t="str">
        <f t="shared" si="19"/>
        <v/>
      </c>
      <c r="J277" s="96" t="e">
        <f t="shared" si="22"/>
        <v>#NUM!</v>
      </c>
      <c r="K277" s="95" t="e">
        <f t="shared" si="20"/>
        <v>#NUM!</v>
      </c>
      <c r="L277" s="95"/>
      <c r="M277" s="97">
        <f t="shared" si="21"/>
        <v>0</v>
      </c>
    </row>
    <row r="278" spans="1:13" x14ac:dyDescent="0.25">
      <c r="A278" s="116"/>
      <c r="G278" s="80"/>
      <c r="H278" s="95">
        <v>273</v>
      </c>
      <c r="I278" s="96" t="str">
        <f t="shared" si="19"/>
        <v/>
      </c>
      <c r="J278" s="96" t="e">
        <f t="shared" si="22"/>
        <v>#NUM!</v>
      </c>
      <c r="K278" s="95" t="e">
        <f t="shared" si="20"/>
        <v>#NUM!</v>
      </c>
      <c r="L278" s="95"/>
      <c r="M278" s="97">
        <f t="shared" si="21"/>
        <v>0</v>
      </c>
    </row>
    <row r="279" spans="1:13" x14ac:dyDescent="0.25">
      <c r="A279" s="116"/>
      <c r="G279" s="80"/>
      <c r="H279" s="95">
        <v>274</v>
      </c>
      <c r="I279" s="96" t="str">
        <f t="shared" si="19"/>
        <v/>
      </c>
      <c r="J279" s="96" t="e">
        <f t="shared" si="22"/>
        <v>#NUM!</v>
      </c>
      <c r="K279" s="95" t="e">
        <f t="shared" si="20"/>
        <v>#NUM!</v>
      </c>
      <c r="L279" s="95"/>
      <c r="M279" s="97">
        <f t="shared" si="21"/>
        <v>0</v>
      </c>
    </row>
    <row r="280" spans="1:13" x14ac:dyDescent="0.25">
      <c r="A280" s="116"/>
      <c r="G280" s="80"/>
      <c r="H280" s="95">
        <v>275</v>
      </c>
      <c r="I280" s="96" t="str">
        <f t="shared" si="19"/>
        <v/>
      </c>
      <c r="J280" s="96" t="e">
        <f t="shared" si="22"/>
        <v>#NUM!</v>
      </c>
      <c r="K280" s="95" t="e">
        <f t="shared" si="20"/>
        <v>#NUM!</v>
      </c>
      <c r="L280" s="95"/>
      <c r="M280" s="97">
        <f t="shared" si="21"/>
        <v>0</v>
      </c>
    </row>
    <row r="281" spans="1:13" x14ac:dyDescent="0.25">
      <c r="A281" s="116"/>
      <c r="G281" s="80"/>
      <c r="H281" s="95">
        <v>276</v>
      </c>
      <c r="I281" s="96" t="str">
        <f t="shared" si="19"/>
        <v/>
      </c>
      <c r="J281" s="96" t="e">
        <f t="shared" si="22"/>
        <v>#NUM!</v>
      </c>
      <c r="K281" s="95" t="e">
        <f t="shared" si="20"/>
        <v>#NUM!</v>
      </c>
      <c r="L281" s="95"/>
      <c r="M281" s="97">
        <f t="shared" si="21"/>
        <v>0</v>
      </c>
    </row>
    <row r="282" spans="1:13" x14ac:dyDescent="0.25">
      <c r="A282" s="116"/>
      <c r="G282" s="80"/>
      <c r="H282" s="95">
        <v>277</v>
      </c>
      <c r="I282" s="96" t="str">
        <f t="shared" si="19"/>
        <v/>
      </c>
      <c r="J282" s="96" t="e">
        <f t="shared" si="22"/>
        <v>#NUM!</v>
      </c>
      <c r="K282" s="95" t="e">
        <f t="shared" si="20"/>
        <v>#NUM!</v>
      </c>
      <c r="L282" s="95"/>
      <c r="M282" s="97">
        <f t="shared" si="21"/>
        <v>0</v>
      </c>
    </row>
    <row r="283" spans="1:13" x14ac:dyDescent="0.25">
      <c r="A283" s="116"/>
      <c r="G283" s="80"/>
      <c r="H283" s="95">
        <v>278</v>
      </c>
      <c r="I283" s="96" t="str">
        <f t="shared" si="19"/>
        <v/>
      </c>
      <c r="J283" s="96" t="e">
        <f t="shared" si="22"/>
        <v>#NUM!</v>
      </c>
      <c r="K283" s="95" t="e">
        <f t="shared" si="20"/>
        <v>#NUM!</v>
      </c>
      <c r="L283" s="95"/>
      <c r="M283" s="97">
        <f t="shared" si="21"/>
        <v>0</v>
      </c>
    </row>
    <row r="284" spans="1:13" x14ac:dyDescent="0.25">
      <c r="A284" s="116"/>
      <c r="G284" s="80"/>
      <c r="H284" s="95">
        <v>279</v>
      </c>
      <c r="I284" s="96" t="str">
        <f t="shared" si="19"/>
        <v/>
      </c>
      <c r="J284" s="96" t="e">
        <f t="shared" si="22"/>
        <v>#NUM!</v>
      </c>
      <c r="K284" s="95" t="e">
        <f t="shared" si="20"/>
        <v>#NUM!</v>
      </c>
      <c r="L284" s="95"/>
      <c r="M284" s="97">
        <f t="shared" si="21"/>
        <v>0</v>
      </c>
    </row>
    <row r="285" spans="1:13" x14ac:dyDescent="0.25">
      <c r="A285" s="116"/>
      <c r="G285" s="80"/>
      <c r="H285" s="95">
        <v>280</v>
      </c>
      <c r="I285" s="96" t="str">
        <f t="shared" si="19"/>
        <v/>
      </c>
      <c r="J285" s="96" t="e">
        <f t="shared" si="22"/>
        <v>#NUM!</v>
      </c>
      <c r="K285" s="95" t="e">
        <f t="shared" si="20"/>
        <v>#NUM!</v>
      </c>
      <c r="L285" s="95"/>
      <c r="M285" s="97">
        <f t="shared" si="21"/>
        <v>0</v>
      </c>
    </row>
    <row r="286" spans="1:13" x14ac:dyDescent="0.25">
      <c r="A286" s="116"/>
      <c r="G286" s="80"/>
      <c r="H286" s="95">
        <v>281</v>
      </c>
      <c r="I286" s="96" t="str">
        <f t="shared" si="19"/>
        <v/>
      </c>
      <c r="J286" s="96" t="e">
        <f t="shared" si="22"/>
        <v>#NUM!</v>
      </c>
      <c r="K286" s="95" t="e">
        <f t="shared" si="20"/>
        <v>#NUM!</v>
      </c>
      <c r="L286" s="95"/>
      <c r="M286" s="97">
        <f t="shared" si="21"/>
        <v>0</v>
      </c>
    </row>
    <row r="287" spans="1:13" x14ac:dyDescent="0.25">
      <c r="A287" s="116"/>
      <c r="G287" s="80"/>
      <c r="H287" s="95">
        <v>282</v>
      </c>
      <c r="I287" s="96" t="str">
        <f t="shared" si="19"/>
        <v/>
      </c>
      <c r="J287" s="96" t="e">
        <f t="shared" si="22"/>
        <v>#NUM!</v>
      </c>
      <c r="K287" s="95" t="e">
        <f t="shared" si="20"/>
        <v>#NUM!</v>
      </c>
      <c r="L287" s="95"/>
      <c r="M287" s="97">
        <f t="shared" si="21"/>
        <v>0</v>
      </c>
    </row>
    <row r="288" spans="1:13" x14ac:dyDescent="0.25">
      <c r="A288" s="116"/>
      <c r="G288" s="80"/>
      <c r="H288" s="95">
        <v>283</v>
      </c>
      <c r="I288" s="96" t="str">
        <f t="shared" si="19"/>
        <v/>
      </c>
      <c r="J288" s="96" t="e">
        <f t="shared" si="22"/>
        <v>#NUM!</v>
      </c>
      <c r="K288" s="95" t="e">
        <f t="shared" si="20"/>
        <v>#NUM!</v>
      </c>
      <c r="L288" s="95"/>
      <c r="M288" s="97">
        <f t="shared" si="21"/>
        <v>0</v>
      </c>
    </row>
    <row r="289" spans="1:13" x14ac:dyDescent="0.25">
      <c r="A289" s="116"/>
      <c r="G289" s="80"/>
      <c r="H289" s="95">
        <v>284</v>
      </c>
      <c r="I289" s="96" t="str">
        <f t="shared" si="19"/>
        <v/>
      </c>
      <c r="J289" s="96" t="e">
        <f t="shared" si="22"/>
        <v>#NUM!</v>
      </c>
      <c r="K289" s="95" t="e">
        <f t="shared" si="20"/>
        <v>#NUM!</v>
      </c>
      <c r="L289" s="95"/>
      <c r="M289" s="97">
        <f t="shared" si="21"/>
        <v>0</v>
      </c>
    </row>
    <row r="290" spans="1:13" x14ac:dyDescent="0.25">
      <c r="A290" s="116"/>
      <c r="G290" s="80"/>
      <c r="H290" s="95">
        <v>285</v>
      </c>
      <c r="I290" s="96" t="str">
        <f t="shared" si="19"/>
        <v/>
      </c>
      <c r="J290" s="96" t="e">
        <f t="shared" si="22"/>
        <v>#NUM!</v>
      </c>
      <c r="K290" s="95" t="e">
        <f t="shared" si="20"/>
        <v>#NUM!</v>
      </c>
      <c r="L290" s="95"/>
      <c r="M290" s="97">
        <f t="shared" si="21"/>
        <v>0</v>
      </c>
    </row>
    <row r="291" spans="1:13" x14ac:dyDescent="0.25">
      <c r="A291" s="116"/>
      <c r="G291" s="80"/>
      <c r="H291" s="95">
        <v>286</v>
      </c>
      <c r="I291" s="96" t="str">
        <f t="shared" si="19"/>
        <v/>
      </c>
      <c r="J291" s="96" t="e">
        <f t="shared" si="22"/>
        <v>#NUM!</v>
      </c>
      <c r="K291" s="95" t="e">
        <f t="shared" si="20"/>
        <v>#NUM!</v>
      </c>
      <c r="L291" s="95"/>
      <c r="M291" s="97">
        <f t="shared" si="21"/>
        <v>0</v>
      </c>
    </row>
    <row r="292" spans="1:13" x14ac:dyDescent="0.25">
      <c r="A292" s="116"/>
      <c r="G292" s="80"/>
      <c r="H292" s="95">
        <v>287</v>
      </c>
      <c r="I292" s="96" t="str">
        <f t="shared" si="19"/>
        <v/>
      </c>
      <c r="J292" s="96" t="e">
        <f t="shared" si="22"/>
        <v>#NUM!</v>
      </c>
      <c r="K292" s="95" t="e">
        <f t="shared" si="20"/>
        <v>#NUM!</v>
      </c>
      <c r="L292" s="95"/>
      <c r="M292" s="97">
        <f t="shared" si="21"/>
        <v>0</v>
      </c>
    </row>
    <row r="293" spans="1:13" x14ac:dyDescent="0.25">
      <c r="A293" s="116"/>
      <c r="G293" s="80"/>
      <c r="H293" s="95">
        <v>288</v>
      </c>
      <c r="I293" s="96" t="str">
        <f t="shared" si="19"/>
        <v/>
      </c>
      <c r="J293" s="96" t="e">
        <f t="shared" si="22"/>
        <v>#NUM!</v>
      </c>
      <c r="K293" s="95" t="e">
        <f t="shared" si="20"/>
        <v>#NUM!</v>
      </c>
      <c r="L293" s="95"/>
      <c r="M293" s="97">
        <f t="shared" si="21"/>
        <v>0</v>
      </c>
    </row>
    <row r="294" spans="1:13" x14ac:dyDescent="0.25">
      <c r="A294" s="116"/>
      <c r="G294" s="80"/>
      <c r="H294" s="95">
        <v>289</v>
      </c>
      <c r="I294" s="96" t="str">
        <f t="shared" si="19"/>
        <v/>
      </c>
      <c r="J294" s="96" t="e">
        <f t="shared" si="22"/>
        <v>#NUM!</v>
      </c>
      <c r="K294" s="95" t="e">
        <f t="shared" si="20"/>
        <v>#NUM!</v>
      </c>
      <c r="L294" s="95"/>
      <c r="M294" s="97">
        <f t="shared" si="21"/>
        <v>0</v>
      </c>
    </row>
    <row r="295" spans="1:13" x14ac:dyDescent="0.25">
      <c r="A295" s="116"/>
      <c r="G295" s="80"/>
      <c r="H295" s="95">
        <v>290</v>
      </c>
      <c r="I295" s="96" t="str">
        <f t="shared" si="19"/>
        <v/>
      </c>
      <c r="J295" s="96" t="e">
        <f t="shared" si="22"/>
        <v>#NUM!</v>
      </c>
      <c r="K295" s="95" t="e">
        <f t="shared" si="20"/>
        <v>#NUM!</v>
      </c>
      <c r="L295" s="95"/>
      <c r="M295" s="97">
        <f t="shared" si="21"/>
        <v>0</v>
      </c>
    </row>
    <row r="296" spans="1:13" x14ac:dyDescent="0.25">
      <c r="A296" s="116"/>
      <c r="G296" s="80"/>
      <c r="H296" s="95">
        <v>291</v>
      </c>
      <c r="I296" s="96" t="str">
        <f t="shared" si="19"/>
        <v/>
      </c>
      <c r="J296" s="96" t="e">
        <f t="shared" si="22"/>
        <v>#NUM!</v>
      </c>
      <c r="K296" s="95" t="e">
        <f t="shared" si="20"/>
        <v>#NUM!</v>
      </c>
      <c r="L296" s="95"/>
      <c r="M296" s="97">
        <f t="shared" si="21"/>
        <v>0</v>
      </c>
    </row>
    <row r="297" spans="1:13" x14ac:dyDescent="0.25">
      <c r="A297" s="116"/>
      <c r="G297" s="80"/>
      <c r="H297" s="95">
        <v>292</v>
      </c>
      <c r="I297" s="96" t="str">
        <f t="shared" si="19"/>
        <v/>
      </c>
      <c r="J297" s="96" t="e">
        <f t="shared" si="22"/>
        <v>#NUM!</v>
      </c>
      <c r="K297" s="95" t="e">
        <f t="shared" si="20"/>
        <v>#NUM!</v>
      </c>
      <c r="L297" s="95"/>
      <c r="M297" s="97">
        <f t="shared" si="21"/>
        <v>0</v>
      </c>
    </row>
    <row r="298" spans="1:13" x14ac:dyDescent="0.25">
      <c r="A298" s="116"/>
      <c r="G298" s="80"/>
      <c r="H298" s="95">
        <v>293</v>
      </c>
      <c r="I298" s="96" t="str">
        <f t="shared" si="19"/>
        <v/>
      </c>
      <c r="J298" s="96" t="e">
        <f t="shared" si="22"/>
        <v>#NUM!</v>
      </c>
      <c r="K298" s="95" t="e">
        <f t="shared" si="20"/>
        <v>#NUM!</v>
      </c>
      <c r="L298" s="95"/>
      <c r="M298" s="97">
        <f t="shared" si="21"/>
        <v>0</v>
      </c>
    </row>
    <row r="299" spans="1:13" x14ac:dyDescent="0.25">
      <c r="A299" s="116"/>
      <c r="G299" s="80"/>
      <c r="H299" s="95">
        <v>294</v>
      </c>
      <c r="I299" s="96" t="str">
        <f t="shared" si="19"/>
        <v/>
      </c>
      <c r="J299" s="96" t="e">
        <f t="shared" si="22"/>
        <v>#NUM!</v>
      </c>
      <c r="K299" s="95" t="e">
        <f t="shared" si="20"/>
        <v>#NUM!</v>
      </c>
      <c r="L299" s="95"/>
      <c r="M299" s="97">
        <f t="shared" si="21"/>
        <v>0</v>
      </c>
    </row>
    <row r="300" spans="1:13" x14ac:dyDescent="0.25">
      <c r="A300" s="116"/>
      <c r="G300" s="80"/>
      <c r="H300" s="95">
        <v>295</v>
      </c>
      <c r="I300" s="96" t="str">
        <f t="shared" si="19"/>
        <v/>
      </c>
      <c r="J300" s="96" t="e">
        <f t="shared" si="22"/>
        <v>#NUM!</v>
      </c>
      <c r="K300" s="95" t="e">
        <f t="shared" si="20"/>
        <v>#NUM!</v>
      </c>
      <c r="L300" s="95"/>
      <c r="M300" s="97">
        <f t="shared" si="21"/>
        <v>0</v>
      </c>
    </row>
    <row r="301" spans="1:13" x14ac:dyDescent="0.25">
      <c r="A301" s="116"/>
      <c r="G301" s="80"/>
      <c r="H301" s="95">
        <v>296</v>
      </c>
      <c r="I301" s="96" t="str">
        <f t="shared" si="19"/>
        <v/>
      </c>
      <c r="J301" s="96" t="e">
        <f t="shared" si="22"/>
        <v>#NUM!</v>
      </c>
      <c r="K301" s="95" t="e">
        <f t="shared" si="20"/>
        <v>#NUM!</v>
      </c>
      <c r="L301" s="95"/>
      <c r="M301" s="97">
        <f t="shared" si="21"/>
        <v>0</v>
      </c>
    </row>
    <row r="302" spans="1:13" x14ac:dyDescent="0.25">
      <c r="A302" s="116"/>
      <c r="G302" s="80"/>
      <c r="H302" s="95">
        <v>297</v>
      </c>
      <c r="I302" s="96" t="str">
        <f t="shared" si="19"/>
        <v/>
      </c>
      <c r="J302" s="96" t="e">
        <f t="shared" si="22"/>
        <v>#NUM!</v>
      </c>
      <c r="K302" s="95" t="e">
        <f t="shared" si="20"/>
        <v>#NUM!</v>
      </c>
      <c r="L302" s="95"/>
      <c r="M302" s="97">
        <f t="shared" si="21"/>
        <v>0</v>
      </c>
    </row>
    <row r="303" spans="1:13" x14ac:dyDescent="0.25">
      <c r="A303" s="116"/>
      <c r="G303" s="80"/>
      <c r="H303" s="95">
        <v>298</v>
      </c>
      <c r="I303" s="96" t="str">
        <f t="shared" si="19"/>
        <v/>
      </c>
      <c r="J303" s="96" t="e">
        <f t="shared" si="22"/>
        <v>#NUM!</v>
      </c>
      <c r="K303" s="95" t="e">
        <f t="shared" si="20"/>
        <v>#NUM!</v>
      </c>
      <c r="L303" s="95"/>
      <c r="M303" s="97">
        <f t="shared" si="21"/>
        <v>0</v>
      </c>
    </row>
    <row r="304" spans="1:13" x14ac:dyDescent="0.25">
      <c r="A304" s="116"/>
      <c r="G304" s="80"/>
      <c r="H304" s="95">
        <v>299</v>
      </c>
      <c r="I304" s="96" t="str">
        <f t="shared" si="19"/>
        <v/>
      </c>
      <c r="J304" s="96" t="e">
        <f t="shared" si="22"/>
        <v>#NUM!</v>
      </c>
      <c r="K304" s="95" t="e">
        <f t="shared" si="20"/>
        <v>#NUM!</v>
      </c>
      <c r="L304" s="95"/>
      <c r="M304" s="97">
        <f t="shared" si="21"/>
        <v>0</v>
      </c>
    </row>
    <row r="305" spans="1:16" x14ac:dyDescent="0.25">
      <c r="A305" s="116"/>
      <c r="G305" s="80"/>
      <c r="H305" s="95">
        <v>300</v>
      </c>
      <c r="I305" s="96" t="str">
        <f t="shared" si="19"/>
        <v/>
      </c>
      <c r="J305" s="96" t="e">
        <f t="shared" si="22"/>
        <v>#NUM!</v>
      </c>
      <c r="K305" s="95" t="e">
        <f t="shared" si="20"/>
        <v>#NUM!</v>
      </c>
      <c r="L305" s="95"/>
      <c r="M305" s="97">
        <f t="shared" si="21"/>
        <v>0</v>
      </c>
    </row>
    <row r="306" spans="1:16" x14ac:dyDescent="0.25">
      <c r="A306" s="117"/>
    </row>
    <row r="314" spans="1:16" x14ac:dyDescent="0.25">
      <c r="L314" s="120"/>
      <c r="P314" s="107"/>
    </row>
    <row r="315" spans="1:16" x14ac:dyDescent="0.25">
      <c r="L315" s="120"/>
      <c r="P315" s="107"/>
    </row>
    <row r="316" spans="1:16" x14ac:dyDescent="0.25">
      <c r="L316" s="120"/>
      <c r="P316" s="107"/>
    </row>
    <row r="317" spans="1:16" x14ac:dyDescent="0.25">
      <c r="L317" s="120"/>
      <c r="P317" s="107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dataValidations count="1">
    <dataValidation type="list" allowBlank="1" showInputMessage="1" showErrorMessage="1" sqref="C38:C69" xr:uid="{1DF1DAB1-56B1-4569-B0F0-AB305F77D574}">
      <formula1>#REF!</formula1>
    </dataValidation>
  </dataValidations>
  <hyperlinks>
    <hyperlink ref="C2:D2" r:id="rId1" display="Terni" xr:uid="{FBE28A6C-A883-4D36-B9C5-1C59F25389DC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4141-FFDC-410A-AD99-A423C27007DE}">
  <sheetPr codeName="Arkusz19">
    <tabColor rgb="FF92D050"/>
  </sheetPr>
  <dimension ref="A1:AL317"/>
  <sheetViews>
    <sheetView workbookViewId="0">
      <selection activeCell="E24" sqref="E24"/>
    </sheetView>
  </sheetViews>
  <sheetFormatPr defaultColWidth="8.875" defaultRowHeight="14.3" x14ac:dyDescent="0.25"/>
  <cols>
    <col min="1" max="1" width="8" style="201" customWidth="1"/>
    <col min="2" max="2" width="8.25" style="201" customWidth="1"/>
    <col min="3" max="3" width="34.75" style="201" customWidth="1"/>
    <col min="4" max="4" width="11.25" style="201" customWidth="1"/>
    <col min="5" max="6" width="8.875" style="201"/>
    <col min="7" max="7" width="0.875" style="201" customWidth="1"/>
    <col min="8" max="8" width="8.875" style="204"/>
    <col min="9" max="9" width="11" style="204" customWidth="1"/>
    <col min="10" max="10" width="15" style="204" customWidth="1"/>
    <col min="11" max="11" width="8.75" style="204" customWidth="1"/>
    <col min="12" max="12" width="11" style="204" customWidth="1"/>
    <col min="13" max="13" width="11.75" style="205" customWidth="1"/>
    <col min="14" max="15" width="13.875" style="173" customWidth="1"/>
    <col min="16" max="18" width="8.875" style="173"/>
    <col min="19" max="20" width="8.875" style="178"/>
    <col min="21" max="21" width="12.125" style="178" customWidth="1"/>
    <col min="22" max="22" width="27.375" style="178" customWidth="1"/>
    <col min="23" max="38" width="8.875" style="178"/>
    <col min="39" max="16384" width="8.875" style="201"/>
  </cols>
  <sheetData>
    <row r="1" spans="1:36" x14ac:dyDescent="0.25">
      <c r="A1" s="173"/>
      <c r="B1" s="173"/>
      <c r="C1" s="173"/>
      <c r="D1" s="173"/>
      <c r="E1" s="173"/>
      <c r="F1" s="173"/>
      <c r="G1" s="173"/>
      <c r="H1" s="174" t="s">
        <v>25</v>
      </c>
      <c r="I1" s="175" t="s">
        <v>26</v>
      </c>
      <c r="J1" s="175" t="s">
        <v>27</v>
      </c>
      <c r="K1" s="176" t="s">
        <v>101</v>
      </c>
      <c r="L1" s="177"/>
      <c r="M1" s="177"/>
    </row>
    <row r="2" spans="1:36" x14ac:dyDescent="0.25">
      <c r="A2" s="173"/>
      <c r="B2" s="20" t="s">
        <v>29</v>
      </c>
      <c r="C2" s="252" t="s">
        <v>102</v>
      </c>
      <c r="D2" s="130"/>
      <c r="E2" s="21"/>
      <c r="F2" s="21"/>
      <c r="G2" s="21"/>
      <c r="H2" s="179">
        <v>0</v>
      </c>
      <c r="I2" s="180">
        <v>50</v>
      </c>
      <c r="J2" s="180">
        <v>10</v>
      </c>
      <c r="K2" s="181">
        <f>3*H2^(1/3)</f>
        <v>0</v>
      </c>
      <c r="L2" s="177"/>
      <c r="M2" s="177"/>
    </row>
    <row r="3" spans="1:36" ht="14.45" customHeight="1" x14ac:dyDescent="0.25">
      <c r="A3" s="173"/>
      <c r="B3" s="182" t="s">
        <v>31</v>
      </c>
      <c r="C3" s="70" t="s">
        <v>117</v>
      </c>
      <c r="D3" s="70"/>
      <c r="E3" s="26"/>
      <c r="F3" s="26"/>
      <c r="G3" s="26"/>
      <c r="H3" s="177"/>
      <c r="I3" s="177"/>
      <c r="J3" s="177"/>
      <c r="K3" s="177"/>
      <c r="L3" s="177"/>
      <c r="M3" s="1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77"/>
      <c r="I4" s="177"/>
      <c r="J4" s="177"/>
      <c r="K4" s="177"/>
      <c r="L4" s="177"/>
      <c r="M4" s="177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83" t="s">
        <v>39</v>
      </c>
      <c r="I5" s="184" t="s">
        <v>40</v>
      </c>
      <c r="J5" s="184" t="s">
        <v>41</v>
      </c>
      <c r="K5" s="184" t="s">
        <v>42</v>
      </c>
      <c r="L5" s="184" t="s">
        <v>43</v>
      </c>
      <c r="M5" s="183" t="s">
        <v>44</v>
      </c>
    </row>
    <row r="6" spans="1:36" ht="14.45" customHeight="1" x14ac:dyDescent="0.25">
      <c r="A6" s="94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185">
        <v>1</v>
      </c>
      <c r="I6" s="186" t="str">
        <f t="shared" ref="I6:I69" si="1">IF(H6&lt;$H$2+1,($I$2-($I$2-1)*(LOG(H6)/LOG($H$2))),"")</f>
        <v/>
      </c>
      <c r="J6" s="186" t="e">
        <f>INT(LOG($H$2,2))-ROUNDUP(LOG(H6,2),0)+IF(OR($H$2=1,$H$2=2,$H$2=4,$H$2=8,$H$2=16,$H$2=32,$H$2=64,$H$2=128,$H$2=256),0,1)</f>
        <v>#NUM!</v>
      </c>
      <c r="K6" s="185" t="e">
        <f t="shared" ref="K6:K69" si="2">J6*$J$2</f>
        <v>#NUM!</v>
      </c>
      <c r="L6" s="187">
        <f>3*K2</f>
        <v>0</v>
      </c>
      <c r="M6" s="187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8">
        <v>2</v>
      </c>
      <c r="I7" s="189" t="str">
        <f t="shared" si="1"/>
        <v/>
      </c>
      <c r="J7" s="189" t="e">
        <f t="shared" ref="J7:J70" si="5">INT(LOG($H$2,2))-ROUNDUP(LOG(H7,2),0)+IF(OR($H$2=1,$H$2=2,$H$2=4,$H$2=8,$H$2=16,$H$2=32,$H$2=64,$H$2=128,$H$2=256),0,1)</f>
        <v>#NUM!</v>
      </c>
      <c r="K7" s="188" t="e">
        <f t="shared" si="2"/>
        <v>#NUM!</v>
      </c>
      <c r="L7" s="190">
        <f>2*K2</f>
        <v>0</v>
      </c>
      <c r="M7" s="190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85">
        <v>3</v>
      </c>
      <c r="I8" s="186" t="str">
        <f t="shared" si="1"/>
        <v/>
      </c>
      <c r="J8" s="186" t="e">
        <f t="shared" si="5"/>
        <v>#NUM!</v>
      </c>
      <c r="K8" s="185" t="e">
        <f t="shared" si="2"/>
        <v>#NUM!</v>
      </c>
      <c r="L8" s="187">
        <f>K2</f>
        <v>0</v>
      </c>
      <c r="M8" s="187">
        <f t="shared" si="3"/>
        <v>0</v>
      </c>
    </row>
    <row r="9" spans="1:36" s="178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8">
        <v>3</v>
      </c>
      <c r="I9" s="189" t="str">
        <f t="shared" si="1"/>
        <v/>
      </c>
      <c r="J9" s="188" t="e">
        <f t="shared" si="5"/>
        <v>#NUM!</v>
      </c>
      <c r="K9" s="188" t="e">
        <f t="shared" si="2"/>
        <v>#NUM!</v>
      </c>
      <c r="L9" s="190">
        <f>K2</f>
        <v>0</v>
      </c>
      <c r="M9" s="190">
        <f t="shared" si="3"/>
        <v>0</v>
      </c>
      <c r="N9" s="173"/>
      <c r="O9" s="173"/>
      <c r="P9" s="173"/>
      <c r="Q9" s="173"/>
      <c r="R9" s="173"/>
      <c r="V9" s="191"/>
      <c r="Z9" s="192"/>
      <c r="AA9" s="192"/>
      <c r="AG9" s="193"/>
      <c r="AH9" s="178" t="s">
        <v>49</v>
      </c>
      <c r="AI9" s="178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85">
        <v>5</v>
      </c>
      <c r="I10" s="186" t="str">
        <f t="shared" si="1"/>
        <v/>
      </c>
      <c r="J10" s="186" t="e">
        <f t="shared" si="5"/>
        <v>#NUM!</v>
      </c>
      <c r="K10" s="185" t="e">
        <f t="shared" si="2"/>
        <v>#NUM!</v>
      </c>
      <c r="L10" s="185"/>
      <c r="M10" s="187">
        <f t="shared" si="3"/>
        <v>0</v>
      </c>
      <c r="V10" s="191"/>
      <c r="Z10" s="192"/>
      <c r="AA10" s="192"/>
      <c r="AG10" s="193"/>
      <c r="AH10" s="178" t="s">
        <v>52</v>
      </c>
      <c r="AI10" s="178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8">
        <v>6</v>
      </c>
      <c r="I11" s="189" t="str">
        <f t="shared" si="1"/>
        <v/>
      </c>
      <c r="J11" s="189" t="e">
        <f t="shared" si="5"/>
        <v>#NUM!</v>
      </c>
      <c r="K11" s="188" t="e">
        <f t="shared" si="2"/>
        <v>#NUM!</v>
      </c>
      <c r="L11" s="188"/>
      <c r="M11" s="190">
        <f t="shared" si="3"/>
        <v>0</v>
      </c>
      <c r="V11" s="194"/>
      <c r="Z11" s="192"/>
      <c r="AA11" s="192"/>
      <c r="AG11" s="193"/>
      <c r="AH11" s="178" t="s">
        <v>53</v>
      </c>
      <c r="AI11" s="178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85">
        <v>7</v>
      </c>
      <c r="I12" s="186" t="str">
        <f t="shared" si="1"/>
        <v/>
      </c>
      <c r="J12" s="186" t="e">
        <f t="shared" si="5"/>
        <v>#NUM!</v>
      </c>
      <c r="K12" s="185" t="e">
        <f t="shared" si="2"/>
        <v>#NUM!</v>
      </c>
      <c r="L12" s="185"/>
      <c r="M12" s="187">
        <f t="shared" si="3"/>
        <v>0</v>
      </c>
      <c r="Z12" s="192"/>
      <c r="AA12" s="192"/>
      <c r="AG12" s="193"/>
      <c r="AH12" s="178" t="s">
        <v>54</v>
      </c>
      <c r="AI12" s="178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8">
        <v>8</v>
      </c>
      <c r="I13" s="189" t="str">
        <f t="shared" si="1"/>
        <v/>
      </c>
      <c r="J13" s="189" t="e">
        <f t="shared" si="5"/>
        <v>#NUM!</v>
      </c>
      <c r="K13" s="188" t="e">
        <f t="shared" si="2"/>
        <v>#NUM!</v>
      </c>
      <c r="L13" s="188"/>
      <c r="M13" s="190">
        <f t="shared" si="3"/>
        <v>0</v>
      </c>
      <c r="X13" s="191"/>
      <c r="AG13" s="193"/>
      <c r="AH13" s="178" t="s">
        <v>55</v>
      </c>
      <c r="AI13" s="178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85">
        <v>9</v>
      </c>
      <c r="I14" s="186" t="str">
        <f t="shared" si="1"/>
        <v/>
      </c>
      <c r="J14" s="186" t="e">
        <f t="shared" si="5"/>
        <v>#NUM!</v>
      </c>
      <c r="K14" s="185" t="e">
        <f t="shared" si="2"/>
        <v>#NUM!</v>
      </c>
      <c r="L14" s="185"/>
      <c r="M14" s="187">
        <f t="shared" si="3"/>
        <v>0</v>
      </c>
      <c r="X14" s="195"/>
      <c r="Z14" s="192"/>
      <c r="AA14" s="192"/>
      <c r="AG14" s="193"/>
      <c r="AH14" s="178" t="s">
        <v>56</v>
      </c>
      <c r="AI14" s="178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8">
        <v>10</v>
      </c>
      <c r="I15" s="189" t="str">
        <f t="shared" si="1"/>
        <v/>
      </c>
      <c r="J15" s="189" t="e">
        <f t="shared" si="5"/>
        <v>#NUM!</v>
      </c>
      <c r="K15" s="188" t="e">
        <f t="shared" si="2"/>
        <v>#NUM!</v>
      </c>
      <c r="L15" s="188"/>
      <c r="M15" s="190">
        <f t="shared" si="3"/>
        <v>0</v>
      </c>
      <c r="X15" s="191"/>
      <c r="Z15" s="192"/>
      <c r="AA15" s="192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85">
        <v>11</v>
      </c>
      <c r="I16" s="186" t="str">
        <f t="shared" si="1"/>
        <v/>
      </c>
      <c r="J16" s="186" t="e">
        <f t="shared" si="5"/>
        <v>#NUM!</v>
      </c>
      <c r="K16" s="185" t="e">
        <f t="shared" si="2"/>
        <v>#NUM!</v>
      </c>
      <c r="L16" s="185"/>
      <c r="M16" s="187">
        <f t="shared" si="3"/>
        <v>0</v>
      </c>
      <c r="R16" s="196"/>
      <c r="Z16" s="192"/>
      <c r="AA16" s="192"/>
      <c r="AH16" s="197" t="s">
        <v>57</v>
      </c>
      <c r="AI16" s="178">
        <f>AI11-AI12*AI13/AI14</f>
        <v>9.6393909380186855</v>
      </c>
      <c r="AJ16" s="178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8">
        <v>12</v>
      </c>
      <c r="I17" s="189" t="str">
        <f t="shared" si="1"/>
        <v/>
      </c>
      <c r="J17" s="189" t="e">
        <f t="shared" si="5"/>
        <v>#NUM!</v>
      </c>
      <c r="K17" s="188" t="e">
        <f t="shared" si="2"/>
        <v>#NUM!</v>
      </c>
      <c r="L17" s="188"/>
      <c r="M17" s="190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85">
        <v>13</v>
      </c>
      <c r="I18" s="186" t="str">
        <f t="shared" si="1"/>
        <v/>
      </c>
      <c r="J18" s="186" t="e">
        <f t="shared" si="5"/>
        <v>#NUM!</v>
      </c>
      <c r="K18" s="185" t="e">
        <f t="shared" si="2"/>
        <v>#NUM!</v>
      </c>
      <c r="L18" s="185"/>
      <c r="M18" s="18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8">
        <v>14</v>
      </c>
      <c r="I19" s="189" t="str">
        <f t="shared" si="1"/>
        <v/>
      </c>
      <c r="J19" s="189" t="e">
        <f t="shared" si="5"/>
        <v>#NUM!</v>
      </c>
      <c r="K19" s="188" t="e">
        <f t="shared" si="2"/>
        <v>#NUM!</v>
      </c>
      <c r="L19" s="188"/>
      <c r="M19" s="190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85">
        <v>15</v>
      </c>
      <c r="I20" s="186" t="str">
        <f t="shared" si="1"/>
        <v/>
      </c>
      <c r="J20" s="186" t="e">
        <f t="shared" si="5"/>
        <v>#NUM!</v>
      </c>
      <c r="K20" s="185" t="e">
        <f t="shared" si="2"/>
        <v>#NUM!</v>
      </c>
      <c r="L20" s="185"/>
      <c r="M20" s="187">
        <f t="shared" si="3"/>
        <v>0</v>
      </c>
      <c r="R20" s="198"/>
      <c r="S20" s="199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8">
        <v>16</v>
      </c>
      <c r="I21" s="189" t="str">
        <f t="shared" si="1"/>
        <v/>
      </c>
      <c r="J21" s="189" t="e">
        <f t="shared" si="5"/>
        <v>#NUM!</v>
      </c>
      <c r="K21" s="188" t="e">
        <f t="shared" si="2"/>
        <v>#NUM!</v>
      </c>
      <c r="L21" s="188"/>
      <c r="M21" s="190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85">
        <v>17</v>
      </c>
      <c r="I22" s="186" t="str">
        <f t="shared" si="1"/>
        <v/>
      </c>
      <c r="J22" s="186" t="e">
        <f t="shared" si="5"/>
        <v>#NUM!</v>
      </c>
      <c r="K22" s="185" t="e">
        <f t="shared" si="2"/>
        <v>#NUM!</v>
      </c>
      <c r="L22" s="185"/>
      <c r="M22" s="18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8">
        <v>18</v>
      </c>
      <c r="I23" s="189" t="str">
        <f t="shared" si="1"/>
        <v/>
      </c>
      <c r="J23" s="189" t="e">
        <f t="shared" si="5"/>
        <v>#NUM!</v>
      </c>
      <c r="K23" s="188" t="e">
        <f t="shared" si="2"/>
        <v>#NUM!</v>
      </c>
      <c r="L23" s="188"/>
      <c r="M23" s="190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85">
        <v>19</v>
      </c>
      <c r="I24" s="186" t="str">
        <f t="shared" si="1"/>
        <v/>
      </c>
      <c r="J24" s="186" t="e">
        <f t="shared" si="5"/>
        <v>#NUM!</v>
      </c>
      <c r="K24" s="185" t="e">
        <f t="shared" si="2"/>
        <v>#NUM!</v>
      </c>
      <c r="L24" s="185"/>
      <c r="M24" s="187">
        <f t="shared" si="3"/>
        <v>0</v>
      </c>
      <c r="R24" s="198"/>
      <c r="S24" s="199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8">
        <v>20</v>
      </c>
      <c r="I25" s="189" t="str">
        <f t="shared" si="1"/>
        <v/>
      </c>
      <c r="J25" s="189" t="e">
        <f t="shared" si="5"/>
        <v>#NUM!</v>
      </c>
      <c r="K25" s="188" t="e">
        <f t="shared" si="2"/>
        <v>#NUM!</v>
      </c>
      <c r="L25" s="188"/>
      <c r="M25" s="190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85">
        <v>21</v>
      </c>
      <c r="I26" s="186" t="str">
        <f t="shared" si="1"/>
        <v/>
      </c>
      <c r="J26" s="186" t="e">
        <f t="shared" si="5"/>
        <v>#NUM!</v>
      </c>
      <c r="K26" s="185" t="e">
        <f t="shared" si="2"/>
        <v>#NUM!</v>
      </c>
      <c r="L26" s="185"/>
      <c r="M26" s="18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8">
        <v>22</v>
      </c>
      <c r="I27" s="189" t="str">
        <f t="shared" si="1"/>
        <v/>
      </c>
      <c r="J27" s="189" t="e">
        <f t="shared" si="5"/>
        <v>#NUM!</v>
      </c>
      <c r="K27" s="188" t="e">
        <f t="shared" si="2"/>
        <v>#NUM!</v>
      </c>
      <c r="L27" s="188"/>
      <c r="M27" s="190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85">
        <v>23</v>
      </c>
      <c r="I28" s="186" t="str">
        <f t="shared" si="1"/>
        <v/>
      </c>
      <c r="J28" s="186" t="e">
        <f t="shared" si="5"/>
        <v>#NUM!</v>
      </c>
      <c r="K28" s="185" t="e">
        <f t="shared" si="2"/>
        <v>#NUM!</v>
      </c>
      <c r="L28" s="185"/>
      <c r="M28" s="187">
        <f t="shared" si="3"/>
        <v>0</v>
      </c>
      <c r="R28" s="198"/>
      <c r="S28" s="199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73"/>
      <c r="H29" s="188">
        <v>24</v>
      </c>
      <c r="I29" s="189" t="str">
        <f t="shared" si="1"/>
        <v/>
      </c>
      <c r="J29" s="189" t="e">
        <f t="shared" si="5"/>
        <v>#NUM!</v>
      </c>
      <c r="K29" s="188" t="e">
        <f t="shared" si="2"/>
        <v>#NUM!</v>
      </c>
      <c r="L29" s="188"/>
      <c r="M29" s="190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73"/>
      <c r="H30" s="185">
        <v>25</v>
      </c>
      <c r="I30" s="186" t="str">
        <f t="shared" si="1"/>
        <v/>
      </c>
      <c r="J30" s="186" t="e">
        <f t="shared" si="5"/>
        <v>#NUM!</v>
      </c>
      <c r="K30" s="185" t="e">
        <f t="shared" si="2"/>
        <v>#NUM!</v>
      </c>
      <c r="L30" s="185"/>
      <c r="M30" s="18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73"/>
      <c r="H31" s="188">
        <v>26</v>
      </c>
      <c r="I31" s="189" t="str">
        <f t="shared" si="1"/>
        <v/>
      </c>
      <c r="J31" s="189" t="e">
        <f t="shared" si="5"/>
        <v>#NUM!</v>
      </c>
      <c r="K31" s="188" t="e">
        <f t="shared" si="2"/>
        <v>#NUM!</v>
      </c>
      <c r="L31" s="188"/>
      <c r="M31" s="190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73"/>
      <c r="H32" s="185">
        <v>27</v>
      </c>
      <c r="I32" s="186" t="str">
        <f t="shared" si="1"/>
        <v/>
      </c>
      <c r="J32" s="186" t="e">
        <f t="shared" si="5"/>
        <v>#NUM!</v>
      </c>
      <c r="K32" s="185" t="e">
        <f t="shared" si="2"/>
        <v>#NUM!</v>
      </c>
      <c r="L32" s="185"/>
      <c r="M32" s="187">
        <f t="shared" si="3"/>
        <v>0</v>
      </c>
      <c r="R32" s="198"/>
      <c r="S32" s="199"/>
    </row>
    <row r="33" spans="1:21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73"/>
      <c r="H33" s="188">
        <v>28</v>
      </c>
      <c r="I33" s="189" t="str">
        <f t="shared" si="1"/>
        <v/>
      </c>
      <c r="J33" s="189" t="e">
        <f t="shared" si="5"/>
        <v>#NUM!</v>
      </c>
      <c r="K33" s="188" t="e">
        <f t="shared" si="2"/>
        <v>#NUM!</v>
      </c>
      <c r="L33" s="188"/>
      <c r="M33" s="190">
        <f t="shared" si="3"/>
        <v>0</v>
      </c>
    </row>
    <row r="34" spans="1:21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73"/>
      <c r="H34" s="185">
        <v>29</v>
      </c>
      <c r="I34" s="186" t="str">
        <f t="shared" si="1"/>
        <v/>
      </c>
      <c r="J34" s="186" t="e">
        <f t="shared" si="5"/>
        <v>#NUM!</v>
      </c>
      <c r="K34" s="185" t="e">
        <f t="shared" si="2"/>
        <v>#NUM!</v>
      </c>
      <c r="L34" s="185"/>
      <c r="M34" s="187">
        <f t="shared" si="3"/>
        <v>0</v>
      </c>
    </row>
    <row r="35" spans="1:21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73"/>
      <c r="H35" s="188">
        <v>30</v>
      </c>
      <c r="I35" s="189" t="str">
        <f t="shared" si="1"/>
        <v/>
      </c>
      <c r="J35" s="189" t="e">
        <f t="shared" si="5"/>
        <v>#NUM!</v>
      </c>
      <c r="K35" s="188" t="e">
        <f t="shared" si="2"/>
        <v>#NUM!</v>
      </c>
      <c r="L35" s="188"/>
      <c r="M35" s="190">
        <f t="shared" si="3"/>
        <v>0</v>
      </c>
    </row>
    <row r="36" spans="1:21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73"/>
      <c r="H36" s="185">
        <v>31</v>
      </c>
      <c r="I36" s="186" t="str">
        <f t="shared" si="1"/>
        <v/>
      </c>
      <c r="J36" s="186" t="e">
        <f t="shared" si="5"/>
        <v>#NUM!</v>
      </c>
      <c r="K36" s="185" t="e">
        <f t="shared" si="2"/>
        <v>#NUM!</v>
      </c>
      <c r="L36" s="185"/>
      <c r="M36" s="187">
        <f t="shared" si="3"/>
        <v>0</v>
      </c>
      <c r="R36" s="198"/>
      <c r="S36" s="199"/>
    </row>
    <row r="37" spans="1:21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73"/>
      <c r="H37" s="188">
        <v>32</v>
      </c>
      <c r="I37" s="189" t="str">
        <f t="shared" si="1"/>
        <v/>
      </c>
      <c r="J37" s="189" t="e">
        <f t="shared" si="5"/>
        <v>#NUM!</v>
      </c>
      <c r="K37" s="188" t="e">
        <f t="shared" si="2"/>
        <v>#NUM!</v>
      </c>
      <c r="L37" s="188"/>
      <c r="M37" s="190">
        <f t="shared" si="3"/>
        <v>0</v>
      </c>
    </row>
    <row r="38" spans="1:21" x14ac:dyDescent="0.25">
      <c r="A38" s="98">
        <f t="shared" si="4"/>
        <v>0</v>
      </c>
      <c r="B38" s="34" t="str">
        <f t="shared" si="0"/>
        <v/>
      </c>
      <c r="C38" s="35"/>
      <c r="D38" s="35"/>
      <c r="E38" s="35"/>
      <c r="F38" s="35"/>
      <c r="G38" s="173"/>
      <c r="H38" s="185">
        <v>33</v>
      </c>
      <c r="I38" s="186" t="str">
        <f t="shared" si="1"/>
        <v/>
      </c>
      <c r="J38" s="186" t="e">
        <f t="shared" si="5"/>
        <v>#NUM!</v>
      </c>
      <c r="K38" s="185" t="e">
        <f t="shared" si="2"/>
        <v>#NUM!</v>
      </c>
      <c r="L38" s="185"/>
      <c r="M38" s="187">
        <f t="shared" si="3"/>
        <v>0</v>
      </c>
    </row>
    <row r="39" spans="1:21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73"/>
      <c r="H39" s="188">
        <v>34</v>
      </c>
      <c r="I39" s="189" t="str">
        <f t="shared" si="1"/>
        <v/>
      </c>
      <c r="J39" s="189" t="e">
        <f t="shared" si="5"/>
        <v>#NUM!</v>
      </c>
      <c r="K39" s="188" t="e">
        <f t="shared" si="2"/>
        <v>#NUM!</v>
      </c>
      <c r="L39" s="188"/>
      <c r="M39" s="190">
        <f t="shared" si="3"/>
        <v>0</v>
      </c>
    </row>
    <row r="40" spans="1:21" x14ac:dyDescent="0.25">
      <c r="A40" s="98">
        <f t="shared" si="4"/>
        <v>0</v>
      </c>
      <c r="B40" s="34" t="str">
        <f t="shared" si="0"/>
        <v/>
      </c>
      <c r="C40" s="35"/>
      <c r="D40" s="35"/>
      <c r="E40" s="35"/>
      <c r="F40" s="35"/>
      <c r="G40" s="173"/>
      <c r="H40" s="185">
        <v>35</v>
      </c>
      <c r="I40" s="186" t="str">
        <f t="shared" si="1"/>
        <v/>
      </c>
      <c r="J40" s="186" t="e">
        <f t="shared" si="5"/>
        <v>#NUM!</v>
      </c>
      <c r="K40" s="185" t="e">
        <f t="shared" si="2"/>
        <v>#NUM!</v>
      </c>
      <c r="L40" s="185"/>
      <c r="M40" s="187">
        <f t="shared" si="3"/>
        <v>0</v>
      </c>
    </row>
    <row r="41" spans="1:21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73"/>
      <c r="H41" s="188">
        <v>36</v>
      </c>
      <c r="I41" s="189" t="str">
        <f t="shared" si="1"/>
        <v/>
      </c>
      <c r="J41" s="189" t="e">
        <f t="shared" si="5"/>
        <v>#NUM!</v>
      </c>
      <c r="K41" s="188" t="e">
        <f t="shared" si="2"/>
        <v>#NUM!</v>
      </c>
      <c r="L41" s="188"/>
      <c r="M41" s="190">
        <f t="shared" si="3"/>
        <v>0</v>
      </c>
      <c r="S41" s="200"/>
    </row>
    <row r="42" spans="1:21" x14ac:dyDescent="0.25">
      <c r="A42" s="98">
        <f t="shared" si="4"/>
        <v>0</v>
      </c>
      <c r="B42" s="34" t="str">
        <f t="shared" si="0"/>
        <v/>
      </c>
      <c r="C42" s="35"/>
      <c r="D42" s="35"/>
      <c r="E42" s="35"/>
      <c r="F42" s="35"/>
      <c r="G42" s="173"/>
      <c r="H42" s="185">
        <v>37</v>
      </c>
      <c r="I42" s="186" t="str">
        <f t="shared" si="1"/>
        <v/>
      </c>
      <c r="J42" s="186" t="e">
        <f t="shared" si="5"/>
        <v>#NUM!</v>
      </c>
      <c r="K42" s="185" t="e">
        <f t="shared" si="2"/>
        <v>#NUM!</v>
      </c>
      <c r="L42" s="185"/>
      <c r="M42" s="187">
        <f t="shared" si="3"/>
        <v>0</v>
      </c>
    </row>
    <row r="43" spans="1:21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73"/>
      <c r="H43" s="188">
        <v>38</v>
      </c>
      <c r="I43" s="189" t="str">
        <f t="shared" si="1"/>
        <v/>
      </c>
      <c r="J43" s="189" t="e">
        <f t="shared" si="5"/>
        <v>#NUM!</v>
      </c>
      <c r="K43" s="188" t="e">
        <f t="shared" si="2"/>
        <v>#NUM!</v>
      </c>
      <c r="L43" s="188"/>
      <c r="M43" s="190">
        <f t="shared" si="3"/>
        <v>0</v>
      </c>
    </row>
    <row r="44" spans="1:21" x14ac:dyDescent="0.25">
      <c r="A44" s="98">
        <f t="shared" si="4"/>
        <v>0</v>
      </c>
      <c r="B44" s="34" t="str">
        <f t="shared" si="0"/>
        <v/>
      </c>
      <c r="C44" s="35"/>
      <c r="D44" s="35"/>
      <c r="E44" s="35"/>
      <c r="F44" s="35"/>
      <c r="G44" s="173"/>
      <c r="H44" s="185">
        <v>39</v>
      </c>
      <c r="I44" s="186" t="str">
        <f t="shared" si="1"/>
        <v/>
      </c>
      <c r="J44" s="186" t="e">
        <f t="shared" si="5"/>
        <v>#NUM!</v>
      </c>
      <c r="K44" s="185" t="e">
        <f t="shared" si="2"/>
        <v>#NUM!</v>
      </c>
      <c r="L44" s="185"/>
      <c r="M44" s="187">
        <f t="shared" si="3"/>
        <v>0</v>
      </c>
    </row>
    <row r="45" spans="1:21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73"/>
      <c r="H45" s="188">
        <v>40</v>
      </c>
      <c r="I45" s="189" t="str">
        <f t="shared" si="1"/>
        <v/>
      </c>
      <c r="J45" s="189" t="e">
        <f t="shared" si="5"/>
        <v>#NUM!</v>
      </c>
      <c r="K45" s="188" t="e">
        <f t="shared" si="2"/>
        <v>#NUM!</v>
      </c>
      <c r="L45" s="188"/>
      <c r="M45" s="190">
        <f t="shared" si="3"/>
        <v>0</v>
      </c>
    </row>
    <row r="46" spans="1:21" x14ac:dyDescent="0.25">
      <c r="A46" s="98">
        <f t="shared" si="4"/>
        <v>0</v>
      </c>
      <c r="B46" s="34" t="str">
        <f t="shared" si="0"/>
        <v/>
      </c>
      <c r="C46" s="35"/>
      <c r="D46" s="35"/>
      <c r="E46" s="35"/>
      <c r="F46" s="35"/>
      <c r="G46" s="173"/>
      <c r="H46" s="185">
        <v>41</v>
      </c>
      <c r="I46" s="186" t="str">
        <f t="shared" si="1"/>
        <v/>
      </c>
      <c r="J46" s="186" t="e">
        <f t="shared" si="5"/>
        <v>#NUM!</v>
      </c>
      <c r="K46" s="185" t="e">
        <f t="shared" si="2"/>
        <v>#NUM!</v>
      </c>
      <c r="L46" s="185"/>
      <c r="M46" s="187">
        <f t="shared" si="3"/>
        <v>0</v>
      </c>
      <c r="R46" s="173" t="e">
        <f>LOG($H$2,2)</f>
        <v>#NUM!</v>
      </c>
      <c r="T46" s="178">
        <f>LOG(H38,2)</f>
        <v>5.0443941193584534</v>
      </c>
      <c r="U46" s="178" t="e">
        <f>R46-T46</f>
        <v>#NUM!</v>
      </c>
    </row>
    <row r="47" spans="1:21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73"/>
      <c r="H47" s="188">
        <v>42</v>
      </c>
      <c r="I47" s="189" t="str">
        <f t="shared" si="1"/>
        <v/>
      </c>
      <c r="J47" s="189" t="e">
        <f t="shared" si="5"/>
        <v>#NUM!</v>
      </c>
      <c r="K47" s="188" t="e">
        <f t="shared" si="2"/>
        <v>#NUM!</v>
      </c>
      <c r="L47" s="188"/>
      <c r="M47" s="190">
        <f t="shared" si="3"/>
        <v>0</v>
      </c>
    </row>
    <row r="48" spans="1:21" x14ac:dyDescent="0.25">
      <c r="A48" s="98">
        <f t="shared" si="4"/>
        <v>0</v>
      </c>
      <c r="B48" s="34" t="str">
        <f t="shared" si="0"/>
        <v/>
      </c>
      <c r="C48" s="35"/>
      <c r="D48" s="35"/>
      <c r="E48" s="35"/>
      <c r="F48" s="35"/>
      <c r="G48" s="173"/>
      <c r="H48" s="185">
        <v>43</v>
      </c>
      <c r="I48" s="186" t="str">
        <f t="shared" si="1"/>
        <v/>
      </c>
      <c r="J48" s="186" t="e">
        <f t="shared" si="5"/>
        <v>#NUM!</v>
      </c>
      <c r="K48" s="185" t="e">
        <f t="shared" si="2"/>
        <v>#NUM!</v>
      </c>
      <c r="L48" s="185"/>
      <c r="M48" s="187">
        <f t="shared" si="3"/>
        <v>0</v>
      </c>
    </row>
    <row r="49" spans="1:13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73"/>
      <c r="H49" s="188">
        <v>44</v>
      </c>
      <c r="I49" s="189" t="str">
        <f t="shared" si="1"/>
        <v/>
      </c>
      <c r="J49" s="189" t="e">
        <f t="shared" si="5"/>
        <v>#NUM!</v>
      </c>
      <c r="K49" s="188" t="e">
        <f t="shared" si="2"/>
        <v>#NUM!</v>
      </c>
      <c r="L49" s="188"/>
      <c r="M49" s="190">
        <f t="shared" si="3"/>
        <v>0</v>
      </c>
    </row>
    <row r="50" spans="1:13" x14ac:dyDescent="0.25">
      <c r="A50" s="98">
        <f t="shared" si="4"/>
        <v>0</v>
      </c>
      <c r="B50" s="34" t="str">
        <f t="shared" si="0"/>
        <v/>
      </c>
      <c r="C50" s="35"/>
      <c r="D50" s="35"/>
      <c r="E50" s="35"/>
      <c r="F50" s="35"/>
      <c r="G50" s="173"/>
      <c r="H50" s="185">
        <v>45</v>
      </c>
      <c r="I50" s="186" t="str">
        <f t="shared" si="1"/>
        <v/>
      </c>
      <c r="J50" s="186" t="e">
        <f t="shared" si="5"/>
        <v>#NUM!</v>
      </c>
      <c r="K50" s="185" t="e">
        <f t="shared" si="2"/>
        <v>#NUM!</v>
      </c>
      <c r="L50" s="185"/>
      <c r="M50" s="187">
        <f t="shared" si="3"/>
        <v>0</v>
      </c>
    </row>
    <row r="51" spans="1:13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73"/>
      <c r="H51" s="188">
        <v>46</v>
      </c>
      <c r="I51" s="189" t="str">
        <f t="shared" si="1"/>
        <v/>
      </c>
      <c r="J51" s="189" t="e">
        <f t="shared" si="5"/>
        <v>#NUM!</v>
      </c>
      <c r="K51" s="188" t="e">
        <f t="shared" si="2"/>
        <v>#NUM!</v>
      </c>
      <c r="L51" s="188"/>
      <c r="M51" s="190">
        <f t="shared" si="3"/>
        <v>0</v>
      </c>
    </row>
    <row r="52" spans="1:13" x14ac:dyDescent="0.25">
      <c r="A52" s="98">
        <f t="shared" si="4"/>
        <v>0</v>
      </c>
      <c r="B52" s="34" t="str">
        <f t="shared" si="0"/>
        <v/>
      </c>
      <c r="C52" s="35"/>
      <c r="D52" s="35"/>
      <c r="E52" s="35"/>
      <c r="F52" s="35"/>
      <c r="G52" s="173"/>
      <c r="H52" s="185">
        <v>47</v>
      </c>
      <c r="I52" s="186" t="str">
        <f t="shared" si="1"/>
        <v/>
      </c>
      <c r="J52" s="186" t="e">
        <f t="shared" si="5"/>
        <v>#NUM!</v>
      </c>
      <c r="K52" s="185" t="e">
        <f t="shared" si="2"/>
        <v>#NUM!</v>
      </c>
      <c r="L52" s="185"/>
      <c r="M52" s="187">
        <f t="shared" si="3"/>
        <v>0</v>
      </c>
    </row>
    <row r="53" spans="1:13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73"/>
      <c r="H53" s="188">
        <v>48</v>
      </c>
      <c r="I53" s="189" t="str">
        <f t="shared" si="1"/>
        <v/>
      </c>
      <c r="J53" s="189" t="e">
        <f t="shared" si="5"/>
        <v>#NUM!</v>
      </c>
      <c r="K53" s="188" t="e">
        <f t="shared" si="2"/>
        <v>#NUM!</v>
      </c>
      <c r="L53" s="188"/>
      <c r="M53" s="190">
        <f t="shared" si="3"/>
        <v>0</v>
      </c>
    </row>
    <row r="54" spans="1:13" x14ac:dyDescent="0.25">
      <c r="A54" s="98">
        <f t="shared" si="4"/>
        <v>0</v>
      </c>
      <c r="B54" s="34" t="str">
        <f t="shared" si="0"/>
        <v/>
      </c>
      <c r="C54" s="35"/>
      <c r="D54" s="35"/>
      <c r="E54" s="35"/>
      <c r="F54" s="35"/>
      <c r="G54" s="173"/>
      <c r="H54" s="185">
        <v>49</v>
      </c>
      <c r="I54" s="186" t="str">
        <f t="shared" si="1"/>
        <v/>
      </c>
      <c r="J54" s="186" t="e">
        <f t="shared" si="5"/>
        <v>#NUM!</v>
      </c>
      <c r="K54" s="185" t="e">
        <f t="shared" si="2"/>
        <v>#NUM!</v>
      </c>
      <c r="L54" s="185"/>
      <c r="M54" s="187">
        <f t="shared" si="3"/>
        <v>0</v>
      </c>
    </row>
    <row r="55" spans="1:13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73"/>
      <c r="H55" s="188">
        <v>50</v>
      </c>
      <c r="I55" s="189" t="str">
        <f t="shared" si="1"/>
        <v/>
      </c>
      <c r="J55" s="189" t="e">
        <f t="shared" si="5"/>
        <v>#NUM!</v>
      </c>
      <c r="K55" s="188" t="e">
        <f t="shared" si="2"/>
        <v>#NUM!</v>
      </c>
      <c r="L55" s="188"/>
      <c r="M55" s="190">
        <f t="shared" si="3"/>
        <v>0</v>
      </c>
    </row>
    <row r="56" spans="1:13" x14ac:dyDescent="0.25">
      <c r="A56" s="98">
        <f t="shared" si="4"/>
        <v>0</v>
      </c>
      <c r="B56" s="34" t="str">
        <f t="shared" si="0"/>
        <v/>
      </c>
      <c r="C56" s="35"/>
      <c r="D56" s="35"/>
      <c r="E56" s="35"/>
      <c r="F56" s="35"/>
      <c r="G56" s="173"/>
      <c r="H56" s="185">
        <v>51</v>
      </c>
      <c r="I56" s="186" t="str">
        <f t="shared" si="1"/>
        <v/>
      </c>
      <c r="J56" s="186" t="e">
        <f t="shared" si="5"/>
        <v>#NUM!</v>
      </c>
      <c r="K56" s="185" t="e">
        <f t="shared" si="2"/>
        <v>#NUM!</v>
      </c>
      <c r="L56" s="185"/>
      <c r="M56" s="187">
        <f t="shared" si="3"/>
        <v>0</v>
      </c>
    </row>
    <row r="57" spans="1:13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G57" s="173"/>
      <c r="H57" s="188">
        <v>52</v>
      </c>
      <c r="I57" s="189" t="str">
        <f t="shared" si="1"/>
        <v/>
      </c>
      <c r="J57" s="189" t="e">
        <f t="shared" si="5"/>
        <v>#NUM!</v>
      </c>
      <c r="K57" s="188" t="e">
        <f t="shared" si="2"/>
        <v>#NUM!</v>
      </c>
      <c r="L57" s="188"/>
      <c r="M57" s="190">
        <f t="shared" si="3"/>
        <v>0</v>
      </c>
    </row>
    <row r="58" spans="1:13" x14ac:dyDescent="0.25">
      <c r="A58" s="98">
        <f t="shared" si="4"/>
        <v>0</v>
      </c>
      <c r="B58" s="34" t="str">
        <f t="shared" si="0"/>
        <v/>
      </c>
      <c r="C58" s="35"/>
      <c r="D58" s="35"/>
      <c r="E58" s="35"/>
      <c r="F58" s="35"/>
      <c r="G58" s="173"/>
      <c r="H58" s="185">
        <v>53</v>
      </c>
      <c r="I58" s="186" t="str">
        <f t="shared" si="1"/>
        <v/>
      </c>
      <c r="J58" s="186" t="e">
        <f t="shared" si="5"/>
        <v>#NUM!</v>
      </c>
      <c r="K58" s="185" t="e">
        <f t="shared" si="2"/>
        <v>#NUM!</v>
      </c>
      <c r="L58" s="185"/>
      <c r="M58" s="187">
        <f t="shared" si="3"/>
        <v>0</v>
      </c>
    </row>
    <row r="59" spans="1:13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G59" s="173"/>
      <c r="H59" s="188">
        <v>54</v>
      </c>
      <c r="I59" s="189" t="str">
        <f t="shared" si="1"/>
        <v/>
      </c>
      <c r="J59" s="189" t="e">
        <f t="shared" si="5"/>
        <v>#NUM!</v>
      </c>
      <c r="K59" s="188" t="e">
        <f t="shared" si="2"/>
        <v>#NUM!</v>
      </c>
      <c r="L59" s="188"/>
      <c r="M59" s="190">
        <f t="shared" si="3"/>
        <v>0</v>
      </c>
    </row>
    <row r="60" spans="1:13" x14ac:dyDescent="0.25">
      <c r="A60" s="98">
        <f t="shared" si="4"/>
        <v>0</v>
      </c>
      <c r="B60" s="34" t="str">
        <f t="shared" si="0"/>
        <v/>
      </c>
      <c r="C60" s="35"/>
      <c r="D60" s="35"/>
      <c r="E60" s="35"/>
      <c r="F60" s="35"/>
      <c r="G60" s="173"/>
      <c r="H60" s="185">
        <v>55</v>
      </c>
      <c r="I60" s="186" t="str">
        <f t="shared" si="1"/>
        <v/>
      </c>
      <c r="J60" s="186" t="e">
        <f t="shared" si="5"/>
        <v>#NUM!</v>
      </c>
      <c r="K60" s="185" t="e">
        <f t="shared" si="2"/>
        <v>#NUM!</v>
      </c>
      <c r="L60" s="185"/>
      <c r="M60" s="187">
        <f t="shared" si="3"/>
        <v>0</v>
      </c>
    </row>
    <row r="61" spans="1:13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G61" s="173"/>
      <c r="H61" s="188">
        <v>56</v>
      </c>
      <c r="I61" s="189" t="str">
        <f t="shared" si="1"/>
        <v/>
      </c>
      <c r="J61" s="189" t="e">
        <f t="shared" si="5"/>
        <v>#NUM!</v>
      </c>
      <c r="K61" s="188" t="e">
        <f t="shared" si="2"/>
        <v>#NUM!</v>
      </c>
      <c r="L61" s="188"/>
      <c r="M61" s="190">
        <f t="shared" si="3"/>
        <v>0</v>
      </c>
    </row>
    <row r="62" spans="1:13" x14ac:dyDescent="0.25">
      <c r="A62" s="98">
        <f t="shared" si="4"/>
        <v>0</v>
      </c>
      <c r="B62" s="34" t="str">
        <f t="shared" si="0"/>
        <v/>
      </c>
      <c r="C62" s="35"/>
      <c r="D62" s="35"/>
      <c r="E62" s="35"/>
      <c r="F62" s="35"/>
      <c r="G62" s="173"/>
      <c r="H62" s="185">
        <v>57</v>
      </c>
      <c r="I62" s="186" t="str">
        <f t="shared" si="1"/>
        <v/>
      </c>
      <c r="J62" s="186" t="e">
        <f t="shared" si="5"/>
        <v>#NUM!</v>
      </c>
      <c r="K62" s="185" t="e">
        <f t="shared" si="2"/>
        <v>#NUM!</v>
      </c>
      <c r="L62" s="185"/>
      <c r="M62" s="187">
        <f t="shared" si="3"/>
        <v>0</v>
      </c>
    </row>
    <row r="63" spans="1:13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G63" s="173"/>
      <c r="H63" s="188">
        <v>58</v>
      </c>
      <c r="I63" s="189" t="str">
        <f t="shared" si="1"/>
        <v/>
      </c>
      <c r="J63" s="189" t="e">
        <f t="shared" si="5"/>
        <v>#NUM!</v>
      </c>
      <c r="K63" s="188" t="e">
        <f t="shared" si="2"/>
        <v>#NUM!</v>
      </c>
      <c r="L63" s="188"/>
      <c r="M63" s="190">
        <f t="shared" si="3"/>
        <v>0</v>
      </c>
    </row>
    <row r="64" spans="1:13" x14ac:dyDescent="0.25">
      <c r="A64" s="98">
        <f t="shared" si="4"/>
        <v>0</v>
      </c>
      <c r="B64" s="34" t="str">
        <f t="shared" si="0"/>
        <v/>
      </c>
      <c r="C64" s="35"/>
      <c r="D64" s="35"/>
      <c r="E64" s="35"/>
      <c r="F64" s="35"/>
      <c r="G64" s="173"/>
      <c r="H64" s="185">
        <v>59</v>
      </c>
      <c r="I64" s="186" t="str">
        <f t="shared" si="1"/>
        <v/>
      </c>
      <c r="J64" s="186" t="e">
        <f t="shared" si="5"/>
        <v>#NUM!</v>
      </c>
      <c r="K64" s="185" t="e">
        <f t="shared" si="2"/>
        <v>#NUM!</v>
      </c>
      <c r="L64" s="185"/>
      <c r="M64" s="187">
        <f t="shared" si="3"/>
        <v>0</v>
      </c>
    </row>
    <row r="65" spans="1:13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G65" s="173"/>
      <c r="H65" s="188">
        <v>60</v>
      </c>
      <c r="I65" s="189" t="str">
        <f t="shared" si="1"/>
        <v/>
      </c>
      <c r="J65" s="189" t="e">
        <f t="shared" si="5"/>
        <v>#NUM!</v>
      </c>
      <c r="K65" s="188" t="e">
        <f t="shared" si="2"/>
        <v>#NUM!</v>
      </c>
      <c r="L65" s="188"/>
      <c r="M65" s="190">
        <f t="shared" si="3"/>
        <v>0</v>
      </c>
    </row>
    <row r="66" spans="1:13" x14ac:dyDescent="0.25">
      <c r="A66" s="98">
        <f t="shared" si="4"/>
        <v>0</v>
      </c>
      <c r="B66" s="34"/>
      <c r="G66" s="173"/>
      <c r="H66" s="185">
        <v>61</v>
      </c>
      <c r="I66" s="186" t="str">
        <f t="shared" si="1"/>
        <v/>
      </c>
      <c r="J66" s="186" t="e">
        <f t="shared" si="5"/>
        <v>#NUM!</v>
      </c>
      <c r="K66" s="185" t="e">
        <f t="shared" si="2"/>
        <v>#NUM!</v>
      </c>
      <c r="L66" s="185"/>
      <c r="M66" s="187">
        <f t="shared" si="3"/>
        <v>0</v>
      </c>
    </row>
    <row r="67" spans="1:13" x14ac:dyDescent="0.25">
      <c r="A67" s="98">
        <f t="shared" si="4"/>
        <v>0</v>
      </c>
      <c r="B67" s="40"/>
      <c r="G67" s="173"/>
      <c r="H67" s="185">
        <v>62</v>
      </c>
      <c r="I67" s="186" t="str">
        <f t="shared" si="1"/>
        <v/>
      </c>
      <c r="J67" s="186" t="e">
        <f t="shared" si="5"/>
        <v>#NUM!</v>
      </c>
      <c r="K67" s="185" t="e">
        <f t="shared" si="2"/>
        <v>#NUM!</v>
      </c>
      <c r="L67" s="185"/>
      <c r="M67" s="187">
        <f t="shared" si="3"/>
        <v>0</v>
      </c>
    </row>
    <row r="68" spans="1:13" x14ac:dyDescent="0.25">
      <c r="A68" s="98">
        <f t="shared" si="4"/>
        <v>0</v>
      </c>
      <c r="B68" s="34"/>
      <c r="G68" s="173"/>
      <c r="H68" s="185">
        <v>63</v>
      </c>
      <c r="I68" s="186" t="str">
        <f t="shared" si="1"/>
        <v/>
      </c>
      <c r="J68" s="186" t="e">
        <f t="shared" si="5"/>
        <v>#NUM!</v>
      </c>
      <c r="K68" s="185" t="e">
        <f t="shared" si="2"/>
        <v>#NUM!</v>
      </c>
      <c r="L68" s="185"/>
      <c r="M68" s="187">
        <f t="shared" si="3"/>
        <v>0</v>
      </c>
    </row>
    <row r="69" spans="1:13" x14ac:dyDescent="0.25">
      <c r="A69" s="98">
        <f t="shared" si="4"/>
        <v>0</v>
      </c>
      <c r="B69" s="40"/>
      <c r="G69" s="173"/>
      <c r="H69" s="185">
        <v>64</v>
      </c>
      <c r="I69" s="186" t="str">
        <f t="shared" si="1"/>
        <v/>
      </c>
      <c r="J69" s="186" t="e">
        <f t="shared" si="5"/>
        <v>#NUM!</v>
      </c>
      <c r="K69" s="185" t="e">
        <f t="shared" si="2"/>
        <v>#NUM!</v>
      </c>
      <c r="L69" s="185"/>
      <c r="M69" s="187">
        <f t="shared" si="3"/>
        <v>0</v>
      </c>
    </row>
    <row r="70" spans="1:13" x14ac:dyDescent="0.25">
      <c r="A70" s="98">
        <f t="shared" si="4"/>
        <v>0</v>
      </c>
      <c r="G70" s="173"/>
      <c r="H70" s="185">
        <v>65</v>
      </c>
      <c r="I70" s="186" t="str">
        <f t="shared" ref="I70:I133" si="6">IF(H70&lt;$H$2+1,($I$2-($I$2-1)*(LOG(H70)/LOG($H$2))),"")</f>
        <v/>
      </c>
      <c r="J70" s="186" t="e">
        <f t="shared" si="5"/>
        <v>#NUM!</v>
      </c>
      <c r="K70" s="185" t="e">
        <f t="shared" ref="K70:K133" si="7">J70*$J$2</f>
        <v>#NUM!</v>
      </c>
      <c r="L70" s="185"/>
      <c r="M70" s="187">
        <f t="shared" ref="M70:M133" si="8">IF(I70&lt;&gt;"",K70+I70+L70,0)</f>
        <v>0</v>
      </c>
    </row>
    <row r="71" spans="1:13" x14ac:dyDescent="0.25">
      <c r="A71" s="98">
        <f t="shared" ref="A71:A79" si="9">M71</f>
        <v>0</v>
      </c>
      <c r="G71" s="173"/>
      <c r="H71" s="185">
        <v>66</v>
      </c>
      <c r="I71" s="186" t="str">
        <f t="shared" si="6"/>
        <v/>
      </c>
      <c r="J71" s="186" t="e">
        <f t="shared" ref="J71:J134" si="10">INT(LOG($H$2,2))-ROUNDUP(LOG(H71,2),0)+IF(OR($H$2=1,$H$2=2,$H$2=4,$H$2=8,$H$2=16,$H$2=32,$H$2=64,$H$2=128,$H$2=256),0,1)</f>
        <v>#NUM!</v>
      </c>
      <c r="K71" s="185" t="e">
        <f t="shared" si="7"/>
        <v>#NUM!</v>
      </c>
      <c r="L71" s="185"/>
      <c r="M71" s="187">
        <f t="shared" si="8"/>
        <v>0</v>
      </c>
    </row>
    <row r="72" spans="1:13" x14ac:dyDescent="0.25">
      <c r="A72" s="98">
        <f t="shared" si="9"/>
        <v>0</v>
      </c>
      <c r="G72" s="173"/>
      <c r="H72" s="185">
        <v>67</v>
      </c>
      <c r="I72" s="186" t="str">
        <f t="shared" si="6"/>
        <v/>
      </c>
      <c r="J72" s="186" t="e">
        <f t="shared" si="10"/>
        <v>#NUM!</v>
      </c>
      <c r="K72" s="185" t="e">
        <f t="shared" si="7"/>
        <v>#NUM!</v>
      </c>
      <c r="L72" s="185"/>
      <c r="M72" s="187">
        <f t="shared" si="8"/>
        <v>0</v>
      </c>
    </row>
    <row r="73" spans="1:13" x14ac:dyDescent="0.25">
      <c r="A73" s="98">
        <f t="shared" si="9"/>
        <v>0</v>
      </c>
      <c r="G73" s="173"/>
      <c r="H73" s="185">
        <v>68</v>
      </c>
      <c r="I73" s="186" t="str">
        <f t="shared" si="6"/>
        <v/>
      </c>
      <c r="J73" s="186" t="e">
        <f t="shared" si="10"/>
        <v>#NUM!</v>
      </c>
      <c r="K73" s="185" t="e">
        <f t="shared" si="7"/>
        <v>#NUM!</v>
      </c>
      <c r="L73" s="185"/>
      <c r="M73" s="187">
        <f t="shared" si="8"/>
        <v>0</v>
      </c>
    </row>
    <row r="74" spans="1:13" x14ac:dyDescent="0.25">
      <c r="A74" s="98">
        <f t="shared" si="9"/>
        <v>0</v>
      </c>
      <c r="G74" s="173"/>
      <c r="H74" s="185">
        <v>69</v>
      </c>
      <c r="I74" s="186" t="str">
        <f t="shared" si="6"/>
        <v/>
      </c>
      <c r="J74" s="186" t="e">
        <f t="shared" si="10"/>
        <v>#NUM!</v>
      </c>
      <c r="K74" s="185" t="e">
        <f t="shared" si="7"/>
        <v>#NUM!</v>
      </c>
      <c r="L74" s="185"/>
      <c r="M74" s="187">
        <f t="shared" si="8"/>
        <v>0</v>
      </c>
    </row>
    <row r="75" spans="1:13" x14ac:dyDescent="0.25">
      <c r="A75" s="98">
        <f t="shared" si="9"/>
        <v>0</v>
      </c>
      <c r="G75" s="173"/>
      <c r="H75" s="185">
        <v>70</v>
      </c>
      <c r="I75" s="186" t="str">
        <f t="shared" si="6"/>
        <v/>
      </c>
      <c r="J75" s="186" t="e">
        <f t="shared" si="10"/>
        <v>#NUM!</v>
      </c>
      <c r="K75" s="185" t="e">
        <f t="shared" si="7"/>
        <v>#NUM!</v>
      </c>
      <c r="L75" s="185"/>
      <c r="M75" s="187">
        <f t="shared" si="8"/>
        <v>0</v>
      </c>
    </row>
    <row r="76" spans="1:13" x14ac:dyDescent="0.25">
      <c r="A76" s="98">
        <f t="shared" si="9"/>
        <v>0</v>
      </c>
      <c r="G76" s="173"/>
      <c r="H76" s="185">
        <v>71</v>
      </c>
      <c r="I76" s="186" t="str">
        <f t="shared" si="6"/>
        <v/>
      </c>
      <c r="J76" s="186" t="e">
        <f t="shared" si="10"/>
        <v>#NUM!</v>
      </c>
      <c r="K76" s="185" t="e">
        <f t="shared" si="7"/>
        <v>#NUM!</v>
      </c>
      <c r="L76" s="185"/>
      <c r="M76" s="187">
        <f t="shared" si="8"/>
        <v>0</v>
      </c>
    </row>
    <row r="77" spans="1:13" x14ac:dyDescent="0.25">
      <c r="A77" s="98">
        <f t="shared" si="9"/>
        <v>0</v>
      </c>
      <c r="G77" s="173"/>
      <c r="H77" s="185">
        <v>72</v>
      </c>
      <c r="I77" s="186" t="str">
        <f t="shared" si="6"/>
        <v/>
      </c>
      <c r="J77" s="186" t="e">
        <f t="shared" si="10"/>
        <v>#NUM!</v>
      </c>
      <c r="K77" s="185" t="e">
        <f t="shared" si="7"/>
        <v>#NUM!</v>
      </c>
      <c r="L77" s="185"/>
      <c r="M77" s="187">
        <f t="shared" si="8"/>
        <v>0</v>
      </c>
    </row>
    <row r="78" spans="1:13" x14ac:dyDescent="0.25">
      <c r="A78" s="98">
        <f t="shared" si="9"/>
        <v>0</v>
      </c>
      <c r="G78" s="173"/>
      <c r="H78" s="185">
        <v>73</v>
      </c>
      <c r="I78" s="186" t="str">
        <f t="shared" si="6"/>
        <v/>
      </c>
      <c r="J78" s="186" t="e">
        <f t="shared" si="10"/>
        <v>#NUM!</v>
      </c>
      <c r="K78" s="185" t="e">
        <f t="shared" si="7"/>
        <v>#NUM!</v>
      </c>
      <c r="L78" s="185"/>
      <c r="M78" s="187">
        <f t="shared" si="8"/>
        <v>0</v>
      </c>
    </row>
    <row r="79" spans="1:13" x14ac:dyDescent="0.25">
      <c r="A79" s="98">
        <f t="shared" si="9"/>
        <v>0</v>
      </c>
      <c r="G79" s="173"/>
      <c r="H79" s="185">
        <v>74</v>
      </c>
      <c r="I79" s="186" t="str">
        <f t="shared" si="6"/>
        <v/>
      </c>
      <c r="J79" s="186" t="e">
        <f t="shared" si="10"/>
        <v>#NUM!</v>
      </c>
      <c r="K79" s="185" t="e">
        <f t="shared" si="7"/>
        <v>#NUM!</v>
      </c>
      <c r="L79" s="185"/>
      <c r="M79" s="187">
        <f t="shared" si="8"/>
        <v>0</v>
      </c>
    </row>
    <row r="80" spans="1:13" x14ac:dyDescent="0.25">
      <c r="A80" s="94"/>
      <c r="G80" s="173"/>
      <c r="H80" s="185">
        <v>75</v>
      </c>
      <c r="I80" s="186" t="str">
        <f t="shared" si="6"/>
        <v/>
      </c>
      <c r="J80" s="186" t="e">
        <f t="shared" si="10"/>
        <v>#NUM!</v>
      </c>
      <c r="K80" s="185" t="e">
        <f t="shared" si="7"/>
        <v>#NUM!</v>
      </c>
      <c r="L80" s="185"/>
      <c r="M80" s="187">
        <f t="shared" si="8"/>
        <v>0</v>
      </c>
    </row>
    <row r="81" spans="1:13" x14ac:dyDescent="0.25">
      <c r="A81" s="202"/>
      <c r="G81" s="173"/>
      <c r="H81" s="185">
        <v>76</v>
      </c>
      <c r="I81" s="186" t="str">
        <f t="shared" si="6"/>
        <v/>
      </c>
      <c r="J81" s="186" t="e">
        <f t="shared" si="10"/>
        <v>#NUM!</v>
      </c>
      <c r="K81" s="185" t="e">
        <f t="shared" si="7"/>
        <v>#NUM!</v>
      </c>
      <c r="L81" s="185"/>
      <c r="M81" s="187">
        <f t="shared" si="8"/>
        <v>0</v>
      </c>
    </row>
    <row r="82" spans="1:13" x14ac:dyDescent="0.25">
      <c r="A82" s="202"/>
      <c r="G82" s="173"/>
      <c r="H82" s="185">
        <v>77</v>
      </c>
      <c r="I82" s="186" t="str">
        <f t="shared" si="6"/>
        <v/>
      </c>
      <c r="J82" s="186" t="e">
        <f t="shared" si="10"/>
        <v>#NUM!</v>
      </c>
      <c r="K82" s="185" t="e">
        <f t="shared" si="7"/>
        <v>#NUM!</v>
      </c>
      <c r="L82" s="185"/>
      <c r="M82" s="187">
        <f t="shared" si="8"/>
        <v>0</v>
      </c>
    </row>
    <row r="83" spans="1:13" x14ac:dyDescent="0.25">
      <c r="A83" s="202"/>
      <c r="G83" s="173"/>
      <c r="H83" s="185">
        <v>78</v>
      </c>
      <c r="I83" s="186" t="str">
        <f t="shared" si="6"/>
        <v/>
      </c>
      <c r="J83" s="186" t="e">
        <f t="shared" si="10"/>
        <v>#NUM!</v>
      </c>
      <c r="K83" s="185" t="e">
        <f t="shared" si="7"/>
        <v>#NUM!</v>
      </c>
      <c r="L83" s="185"/>
      <c r="M83" s="187">
        <f t="shared" si="8"/>
        <v>0</v>
      </c>
    </row>
    <row r="84" spans="1:13" x14ac:dyDescent="0.25">
      <c r="A84" s="202"/>
      <c r="G84" s="173"/>
      <c r="H84" s="185">
        <v>79</v>
      </c>
      <c r="I84" s="186" t="str">
        <f t="shared" si="6"/>
        <v/>
      </c>
      <c r="J84" s="186" t="e">
        <f t="shared" si="10"/>
        <v>#NUM!</v>
      </c>
      <c r="K84" s="185" t="e">
        <f t="shared" si="7"/>
        <v>#NUM!</v>
      </c>
      <c r="L84" s="185"/>
      <c r="M84" s="187">
        <f t="shared" si="8"/>
        <v>0</v>
      </c>
    </row>
    <row r="85" spans="1:13" x14ac:dyDescent="0.25">
      <c r="A85" s="202"/>
      <c r="G85" s="173"/>
      <c r="H85" s="185">
        <v>80</v>
      </c>
      <c r="I85" s="186" t="str">
        <f t="shared" si="6"/>
        <v/>
      </c>
      <c r="J85" s="186" t="e">
        <f t="shared" si="10"/>
        <v>#NUM!</v>
      </c>
      <c r="K85" s="185" t="e">
        <f t="shared" si="7"/>
        <v>#NUM!</v>
      </c>
      <c r="L85" s="185"/>
      <c r="M85" s="187">
        <f t="shared" si="8"/>
        <v>0</v>
      </c>
    </row>
    <row r="86" spans="1:13" x14ac:dyDescent="0.25">
      <c r="A86" s="202"/>
      <c r="G86" s="173"/>
      <c r="H86" s="185">
        <v>81</v>
      </c>
      <c r="I86" s="186" t="str">
        <f t="shared" si="6"/>
        <v/>
      </c>
      <c r="J86" s="186" t="e">
        <f t="shared" si="10"/>
        <v>#NUM!</v>
      </c>
      <c r="K86" s="185" t="e">
        <f t="shared" si="7"/>
        <v>#NUM!</v>
      </c>
      <c r="L86" s="185"/>
      <c r="M86" s="187">
        <f t="shared" si="8"/>
        <v>0</v>
      </c>
    </row>
    <row r="87" spans="1:13" x14ac:dyDescent="0.25">
      <c r="A87" s="202"/>
      <c r="G87" s="173"/>
      <c r="H87" s="185">
        <v>82</v>
      </c>
      <c r="I87" s="186" t="str">
        <f t="shared" si="6"/>
        <v/>
      </c>
      <c r="J87" s="186" t="e">
        <f t="shared" si="10"/>
        <v>#NUM!</v>
      </c>
      <c r="K87" s="185" t="e">
        <f t="shared" si="7"/>
        <v>#NUM!</v>
      </c>
      <c r="L87" s="185"/>
      <c r="M87" s="187">
        <f t="shared" si="8"/>
        <v>0</v>
      </c>
    </row>
    <row r="88" spans="1:13" x14ac:dyDescent="0.25">
      <c r="A88" s="202"/>
      <c r="G88" s="173"/>
      <c r="H88" s="185">
        <v>83</v>
      </c>
      <c r="I88" s="186" t="str">
        <f t="shared" si="6"/>
        <v/>
      </c>
      <c r="J88" s="186" t="e">
        <f t="shared" si="10"/>
        <v>#NUM!</v>
      </c>
      <c r="K88" s="185" t="e">
        <f t="shared" si="7"/>
        <v>#NUM!</v>
      </c>
      <c r="L88" s="185"/>
      <c r="M88" s="187">
        <f t="shared" si="8"/>
        <v>0</v>
      </c>
    </row>
    <row r="89" spans="1:13" x14ac:dyDescent="0.25">
      <c r="A89" s="202"/>
      <c r="G89" s="173"/>
      <c r="H89" s="185">
        <v>84</v>
      </c>
      <c r="I89" s="186" t="str">
        <f t="shared" si="6"/>
        <v/>
      </c>
      <c r="J89" s="186" t="e">
        <f t="shared" si="10"/>
        <v>#NUM!</v>
      </c>
      <c r="K89" s="185" t="e">
        <f t="shared" si="7"/>
        <v>#NUM!</v>
      </c>
      <c r="L89" s="185"/>
      <c r="M89" s="187">
        <f t="shared" si="8"/>
        <v>0</v>
      </c>
    </row>
    <row r="90" spans="1:13" x14ac:dyDescent="0.25">
      <c r="A90" s="202"/>
      <c r="G90" s="173"/>
      <c r="H90" s="185">
        <v>85</v>
      </c>
      <c r="I90" s="186" t="str">
        <f t="shared" si="6"/>
        <v/>
      </c>
      <c r="J90" s="186" t="e">
        <f t="shared" si="10"/>
        <v>#NUM!</v>
      </c>
      <c r="K90" s="185" t="e">
        <f t="shared" si="7"/>
        <v>#NUM!</v>
      </c>
      <c r="L90" s="185"/>
      <c r="M90" s="187">
        <f t="shared" si="8"/>
        <v>0</v>
      </c>
    </row>
    <row r="91" spans="1:13" x14ac:dyDescent="0.25">
      <c r="A91" s="202"/>
      <c r="G91" s="173"/>
      <c r="H91" s="185">
        <v>86</v>
      </c>
      <c r="I91" s="186" t="str">
        <f t="shared" si="6"/>
        <v/>
      </c>
      <c r="J91" s="186" t="e">
        <f t="shared" si="10"/>
        <v>#NUM!</v>
      </c>
      <c r="K91" s="185" t="e">
        <f t="shared" si="7"/>
        <v>#NUM!</v>
      </c>
      <c r="L91" s="185"/>
      <c r="M91" s="187">
        <f t="shared" si="8"/>
        <v>0</v>
      </c>
    </row>
    <row r="92" spans="1:13" x14ac:dyDescent="0.25">
      <c r="A92" s="202"/>
      <c r="G92" s="173"/>
      <c r="H92" s="185">
        <v>87</v>
      </c>
      <c r="I92" s="186" t="str">
        <f t="shared" si="6"/>
        <v/>
      </c>
      <c r="J92" s="186" t="e">
        <f t="shared" si="10"/>
        <v>#NUM!</v>
      </c>
      <c r="K92" s="185" t="e">
        <f t="shared" si="7"/>
        <v>#NUM!</v>
      </c>
      <c r="L92" s="185"/>
      <c r="M92" s="187">
        <f t="shared" si="8"/>
        <v>0</v>
      </c>
    </row>
    <row r="93" spans="1:13" x14ac:dyDescent="0.25">
      <c r="A93" s="202"/>
      <c r="G93" s="173"/>
      <c r="H93" s="185">
        <v>88</v>
      </c>
      <c r="I93" s="186" t="str">
        <f t="shared" si="6"/>
        <v/>
      </c>
      <c r="J93" s="186" t="e">
        <f t="shared" si="10"/>
        <v>#NUM!</v>
      </c>
      <c r="K93" s="185" t="e">
        <f t="shared" si="7"/>
        <v>#NUM!</v>
      </c>
      <c r="L93" s="185"/>
      <c r="M93" s="187">
        <f t="shared" si="8"/>
        <v>0</v>
      </c>
    </row>
    <row r="94" spans="1:13" x14ac:dyDescent="0.25">
      <c r="A94" s="202"/>
      <c r="G94" s="173"/>
      <c r="H94" s="185">
        <v>89</v>
      </c>
      <c r="I94" s="186" t="str">
        <f t="shared" si="6"/>
        <v/>
      </c>
      <c r="J94" s="186" t="e">
        <f t="shared" si="10"/>
        <v>#NUM!</v>
      </c>
      <c r="K94" s="185" t="e">
        <f t="shared" si="7"/>
        <v>#NUM!</v>
      </c>
      <c r="L94" s="185"/>
      <c r="M94" s="187">
        <f t="shared" si="8"/>
        <v>0</v>
      </c>
    </row>
    <row r="95" spans="1:13" x14ac:dyDescent="0.25">
      <c r="A95" s="202"/>
      <c r="G95" s="173"/>
      <c r="H95" s="185">
        <v>90</v>
      </c>
      <c r="I95" s="186" t="str">
        <f t="shared" si="6"/>
        <v/>
      </c>
      <c r="J95" s="186" t="e">
        <f t="shared" si="10"/>
        <v>#NUM!</v>
      </c>
      <c r="K95" s="185" t="e">
        <f t="shared" si="7"/>
        <v>#NUM!</v>
      </c>
      <c r="L95" s="185"/>
      <c r="M95" s="187">
        <f t="shared" si="8"/>
        <v>0</v>
      </c>
    </row>
    <row r="96" spans="1:13" x14ac:dyDescent="0.25">
      <c r="A96" s="202"/>
      <c r="G96" s="173"/>
      <c r="H96" s="185">
        <v>91</v>
      </c>
      <c r="I96" s="186" t="str">
        <f t="shared" si="6"/>
        <v/>
      </c>
      <c r="J96" s="186" t="e">
        <f t="shared" si="10"/>
        <v>#NUM!</v>
      </c>
      <c r="K96" s="185" t="e">
        <f t="shared" si="7"/>
        <v>#NUM!</v>
      </c>
      <c r="L96" s="185"/>
      <c r="M96" s="187">
        <f t="shared" si="8"/>
        <v>0</v>
      </c>
    </row>
    <row r="97" spans="1:13" x14ac:dyDescent="0.25">
      <c r="A97" s="202"/>
      <c r="G97" s="173"/>
      <c r="H97" s="185">
        <v>92</v>
      </c>
      <c r="I97" s="186" t="str">
        <f t="shared" si="6"/>
        <v/>
      </c>
      <c r="J97" s="186" t="e">
        <f t="shared" si="10"/>
        <v>#NUM!</v>
      </c>
      <c r="K97" s="185" t="e">
        <f t="shared" si="7"/>
        <v>#NUM!</v>
      </c>
      <c r="L97" s="185"/>
      <c r="M97" s="187">
        <f t="shared" si="8"/>
        <v>0</v>
      </c>
    </row>
    <row r="98" spans="1:13" x14ac:dyDescent="0.25">
      <c r="A98" s="202"/>
      <c r="G98" s="173"/>
      <c r="H98" s="185">
        <v>93</v>
      </c>
      <c r="I98" s="186" t="str">
        <f t="shared" si="6"/>
        <v/>
      </c>
      <c r="J98" s="186" t="e">
        <f t="shared" si="10"/>
        <v>#NUM!</v>
      </c>
      <c r="K98" s="185" t="e">
        <f t="shared" si="7"/>
        <v>#NUM!</v>
      </c>
      <c r="L98" s="185"/>
      <c r="M98" s="187">
        <f t="shared" si="8"/>
        <v>0</v>
      </c>
    </row>
    <row r="99" spans="1:13" x14ac:dyDescent="0.25">
      <c r="A99" s="202"/>
      <c r="G99" s="173"/>
      <c r="H99" s="185">
        <v>94</v>
      </c>
      <c r="I99" s="186" t="str">
        <f t="shared" si="6"/>
        <v/>
      </c>
      <c r="J99" s="186" t="e">
        <f t="shared" si="10"/>
        <v>#NUM!</v>
      </c>
      <c r="K99" s="185" t="e">
        <f t="shared" si="7"/>
        <v>#NUM!</v>
      </c>
      <c r="L99" s="185"/>
      <c r="M99" s="187">
        <f t="shared" si="8"/>
        <v>0</v>
      </c>
    </row>
    <row r="100" spans="1:13" x14ac:dyDescent="0.25">
      <c r="A100" s="202"/>
      <c r="G100" s="173"/>
      <c r="H100" s="185">
        <v>95</v>
      </c>
      <c r="I100" s="186" t="str">
        <f t="shared" si="6"/>
        <v/>
      </c>
      <c r="J100" s="186" t="e">
        <f t="shared" si="10"/>
        <v>#NUM!</v>
      </c>
      <c r="K100" s="185" t="e">
        <f t="shared" si="7"/>
        <v>#NUM!</v>
      </c>
      <c r="L100" s="185"/>
      <c r="M100" s="187">
        <f t="shared" si="8"/>
        <v>0</v>
      </c>
    </row>
    <row r="101" spans="1:13" x14ac:dyDescent="0.25">
      <c r="A101" s="202"/>
      <c r="G101" s="173"/>
      <c r="H101" s="185">
        <v>96</v>
      </c>
      <c r="I101" s="186" t="str">
        <f t="shared" si="6"/>
        <v/>
      </c>
      <c r="J101" s="186" t="e">
        <f t="shared" si="10"/>
        <v>#NUM!</v>
      </c>
      <c r="K101" s="185" t="e">
        <f t="shared" si="7"/>
        <v>#NUM!</v>
      </c>
      <c r="L101" s="185"/>
      <c r="M101" s="187">
        <f t="shared" si="8"/>
        <v>0</v>
      </c>
    </row>
    <row r="102" spans="1:13" x14ac:dyDescent="0.25">
      <c r="A102" s="202"/>
      <c r="G102" s="173"/>
      <c r="H102" s="185">
        <v>97</v>
      </c>
      <c r="I102" s="186" t="str">
        <f t="shared" si="6"/>
        <v/>
      </c>
      <c r="J102" s="186" t="e">
        <f t="shared" si="10"/>
        <v>#NUM!</v>
      </c>
      <c r="K102" s="185" t="e">
        <f t="shared" si="7"/>
        <v>#NUM!</v>
      </c>
      <c r="L102" s="185"/>
      <c r="M102" s="187">
        <f t="shared" si="8"/>
        <v>0</v>
      </c>
    </row>
    <row r="103" spans="1:13" x14ac:dyDescent="0.25">
      <c r="A103" s="202"/>
      <c r="G103" s="173"/>
      <c r="H103" s="185">
        <v>98</v>
      </c>
      <c r="I103" s="186" t="str">
        <f t="shared" si="6"/>
        <v/>
      </c>
      <c r="J103" s="186" t="e">
        <f t="shared" si="10"/>
        <v>#NUM!</v>
      </c>
      <c r="K103" s="185" t="e">
        <f t="shared" si="7"/>
        <v>#NUM!</v>
      </c>
      <c r="L103" s="185"/>
      <c r="M103" s="187">
        <f t="shared" si="8"/>
        <v>0</v>
      </c>
    </row>
    <row r="104" spans="1:13" x14ac:dyDescent="0.25">
      <c r="A104" s="202"/>
      <c r="G104" s="173"/>
      <c r="H104" s="185">
        <v>99</v>
      </c>
      <c r="I104" s="186" t="str">
        <f t="shared" si="6"/>
        <v/>
      </c>
      <c r="J104" s="186" t="e">
        <f t="shared" si="10"/>
        <v>#NUM!</v>
      </c>
      <c r="K104" s="185" t="e">
        <f t="shared" si="7"/>
        <v>#NUM!</v>
      </c>
      <c r="L104" s="185"/>
      <c r="M104" s="187">
        <f t="shared" si="8"/>
        <v>0</v>
      </c>
    </row>
    <row r="105" spans="1:13" x14ac:dyDescent="0.25">
      <c r="A105" s="202"/>
      <c r="G105" s="173"/>
      <c r="H105" s="185">
        <v>100</v>
      </c>
      <c r="I105" s="186" t="str">
        <f t="shared" si="6"/>
        <v/>
      </c>
      <c r="J105" s="186" t="e">
        <f t="shared" si="10"/>
        <v>#NUM!</v>
      </c>
      <c r="K105" s="185" t="e">
        <f t="shared" si="7"/>
        <v>#NUM!</v>
      </c>
      <c r="L105" s="185"/>
      <c r="M105" s="187">
        <f t="shared" si="8"/>
        <v>0</v>
      </c>
    </row>
    <row r="106" spans="1:13" x14ac:dyDescent="0.25">
      <c r="A106" s="202"/>
      <c r="G106" s="173"/>
      <c r="H106" s="185">
        <v>101</v>
      </c>
      <c r="I106" s="186" t="str">
        <f t="shared" si="6"/>
        <v/>
      </c>
      <c r="J106" s="186" t="e">
        <f t="shared" si="10"/>
        <v>#NUM!</v>
      </c>
      <c r="K106" s="185" t="e">
        <f t="shared" si="7"/>
        <v>#NUM!</v>
      </c>
      <c r="L106" s="185"/>
      <c r="M106" s="187">
        <f t="shared" si="8"/>
        <v>0</v>
      </c>
    </row>
    <row r="107" spans="1:13" x14ac:dyDescent="0.25">
      <c r="A107" s="202"/>
      <c r="G107" s="173"/>
      <c r="H107" s="185">
        <v>102</v>
      </c>
      <c r="I107" s="186" t="str">
        <f t="shared" si="6"/>
        <v/>
      </c>
      <c r="J107" s="186" t="e">
        <f t="shared" si="10"/>
        <v>#NUM!</v>
      </c>
      <c r="K107" s="185" t="e">
        <f t="shared" si="7"/>
        <v>#NUM!</v>
      </c>
      <c r="L107" s="185"/>
      <c r="M107" s="187">
        <f t="shared" si="8"/>
        <v>0</v>
      </c>
    </row>
    <row r="108" spans="1:13" x14ac:dyDescent="0.25">
      <c r="A108" s="202"/>
      <c r="G108" s="173"/>
      <c r="H108" s="185">
        <v>103</v>
      </c>
      <c r="I108" s="186" t="str">
        <f t="shared" si="6"/>
        <v/>
      </c>
      <c r="J108" s="186" t="e">
        <f t="shared" si="10"/>
        <v>#NUM!</v>
      </c>
      <c r="K108" s="185" t="e">
        <f t="shared" si="7"/>
        <v>#NUM!</v>
      </c>
      <c r="L108" s="185"/>
      <c r="M108" s="187">
        <f t="shared" si="8"/>
        <v>0</v>
      </c>
    </row>
    <row r="109" spans="1:13" x14ac:dyDescent="0.25">
      <c r="A109" s="202"/>
      <c r="G109" s="173"/>
      <c r="H109" s="185">
        <v>104</v>
      </c>
      <c r="I109" s="186" t="str">
        <f t="shared" si="6"/>
        <v/>
      </c>
      <c r="J109" s="186" t="e">
        <f t="shared" si="10"/>
        <v>#NUM!</v>
      </c>
      <c r="K109" s="185" t="e">
        <f t="shared" si="7"/>
        <v>#NUM!</v>
      </c>
      <c r="L109" s="185"/>
      <c r="M109" s="187">
        <f t="shared" si="8"/>
        <v>0</v>
      </c>
    </row>
    <row r="110" spans="1:13" x14ac:dyDescent="0.25">
      <c r="A110" s="202"/>
      <c r="G110" s="173"/>
      <c r="H110" s="185">
        <v>105</v>
      </c>
      <c r="I110" s="186" t="str">
        <f t="shared" si="6"/>
        <v/>
      </c>
      <c r="J110" s="186" t="e">
        <f t="shared" si="10"/>
        <v>#NUM!</v>
      </c>
      <c r="K110" s="185" t="e">
        <f t="shared" si="7"/>
        <v>#NUM!</v>
      </c>
      <c r="L110" s="185"/>
      <c r="M110" s="187">
        <f t="shared" si="8"/>
        <v>0</v>
      </c>
    </row>
    <row r="111" spans="1:13" x14ac:dyDescent="0.25">
      <c r="A111" s="202"/>
      <c r="G111" s="173"/>
      <c r="H111" s="185">
        <v>106</v>
      </c>
      <c r="I111" s="186" t="str">
        <f t="shared" si="6"/>
        <v/>
      </c>
      <c r="J111" s="186" t="e">
        <f t="shared" si="10"/>
        <v>#NUM!</v>
      </c>
      <c r="K111" s="185" t="e">
        <f t="shared" si="7"/>
        <v>#NUM!</v>
      </c>
      <c r="L111" s="185"/>
      <c r="M111" s="187">
        <f t="shared" si="8"/>
        <v>0</v>
      </c>
    </row>
    <row r="112" spans="1:13" x14ac:dyDescent="0.25">
      <c r="A112" s="202"/>
      <c r="G112" s="173"/>
      <c r="H112" s="185">
        <v>107</v>
      </c>
      <c r="I112" s="186" t="str">
        <f t="shared" si="6"/>
        <v/>
      </c>
      <c r="J112" s="186" t="e">
        <f t="shared" si="10"/>
        <v>#NUM!</v>
      </c>
      <c r="K112" s="185" t="e">
        <f t="shared" si="7"/>
        <v>#NUM!</v>
      </c>
      <c r="L112" s="185"/>
      <c r="M112" s="187">
        <f t="shared" si="8"/>
        <v>0</v>
      </c>
    </row>
    <row r="113" spans="1:13" x14ac:dyDescent="0.25">
      <c r="A113" s="202"/>
      <c r="G113" s="173"/>
      <c r="H113" s="185">
        <v>108</v>
      </c>
      <c r="I113" s="186" t="str">
        <f t="shared" si="6"/>
        <v/>
      </c>
      <c r="J113" s="186" t="e">
        <f t="shared" si="10"/>
        <v>#NUM!</v>
      </c>
      <c r="K113" s="185" t="e">
        <f t="shared" si="7"/>
        <v>#NUM!</v>
      </c>
      <c r="L113" s="185"/>
      <c r="M113" s="187">
        <f t="shared" si="8"/>
        <v>0</v>
      </c>
    </row>
    <row r="114" spans="1:13" x14ac:dyDescent="0.25">
      <c r="A114" s="202"/>
      <c r="G114" s="173"/>
      <c r="H114" s="185">
        <v>109</v>
      </c>
      <c r="I114" s="186" t="str">
        <f t="shared" si="6"/>
        <v/>
      </c>
      <c r="J114" s="186" t="e">
        <f t="shared" si="10"/>
        <v>#NUM!</v>
      </c>
      <c r="K114" s="185" t="e">
        <f t="shared" si="7"/>
        <v>#NUM!</v>
      </c>
      <c r="L114" s="185"/>
      <c r="M114" s="187">
        <f t="shared" si="8"/>
        <v>0</v>
      </c>
    </row>
    <row r="115" spans="1:13" x14ac:dyDescent="0.25">
      <c r="A115" s="202"/>
      <c r="G115" s="173"/>
      <c r="H115" s="185">
        <v>110</v>
      </c>
      <c r="I115" s="186" t="str">
        <f t="shared" si="6"/>
        <v/>
      </c>
      <c r="J115" s="186" t="e">
        <f t="shared" si="10"/>
        <v>#NUM!</v>
      </c>
      <c r="K115" s="185" t="e">
        <f t="shared" si="7"/>
        <v>#NUM!</v>
      </c>
      <c r="L115" s="185"/>
      <c r="M115" s="187">
        <f t="shared" si="8"/>
        <v>0</v>
      </c>
    </row>
    <row r="116" spans="1:13" x14ac:dyDescent="0.25">
      <c r="A116" s="202"/>
      <c r="G116" s="173"/>
      <c r="H116" s="185">
        <v>111</v>
      </c>
      <c r="I116" s="186" t="str">
        <f t="shared" si="6"/>
        <v/>
      </c>
      <c r="J116" s="186" t="e">
        <f t="shared" si="10"/>
        <v>#NUM!</v>
      </c>
      <c r="K116" s="185" t="e">
        <f t="shared" si="7"/>
        <v>#NUM!</v>
      </c>
      <c r="L116" s="185"/>
      <c r="M116" s="187">
        <f t="shared" si="8"/>
        <v>0</v>
      </c>
    </row>
    <row r="117" spans="1:13" x14ac:dyDescent="0.25">
      <c r="A117" s="202"/>
      <c r="G117" s="173"/>
      <c r="H117" s="185">
        <v>112</v>
      </c>
      <c r="I117" s="186" t="str">
        <f t="shared" si="6"/>
        <v/>
      </c>
      <c r="J117" s="186" t="e">
        <f t="shared" si="10"/>
        <v>#NUM!</v>
      </c>
      <c r="K117" s="185" t="e">
        <f t="shared" si="7"/>
        <v>#NUM!</v>
      </c>
      <c r="L117" s="185"/>
      <c r="M117" s="187">
        <f t="shared" si="8"/>
        <v>0</v>
      </c>
    </row>
    <row r="118" spans="1:13" x14ac:dyDescent="0.25">
      <c r="A118" s="202"/>
      <c r="G118" s="173"/>
      <c r="H118" s="185">
        <v>113</v>
      </c>
      <c r="I118" s="186" t="str">
        <f t="shared" si="6"/>
        <v/>
      </c>
      <c r="J118" s="186" t="e">
        <f t="shared" si="10"/>
        <v>#NUM!</v>
      </c>
      <c r="K118" s="185" t="e">
        <f t="shared" si="7"/>
        <v>#NUM!</v>
      </c>
      <c r="L118" s="185"/>
      <c r="M118" s="187">
        <f t="shared" si="8"/>
        <v>0</v>
      </c>
    </row>
    <row r="119" spans="1:13" x14ac:dyDescent="0.25">
      <c r="A119" s="202"/>
      <c r="G119" s="173"/>
      <c r="H119" s="185">
        <v>114</v>
      </c>
      <c r="I119" s="186" t="str">
        <f t="shared" si="6"/>
        <v/>
      </c>
      <c r="J119" s="186" t="e">
        <f t="shared" si="10"/>
        <v>#NUM!</v>
      </c>
      <c r="K119" s="185" t="e">
        <f t="shared" si="7"/>
        <v>#NUM!</v>
      </c>
      <c r="L119" s="185"/>
      <c r="M119" s="187">
        <f t="shared" si="8"/>
        <v>0</v>
      </c>
    </row>
    <row r="120" spans="1:13" x14ac:dyDescent="0.25">
      <c r="A120" s="202"/>
      <c r="G120" s="173"/>
      <c r="H120" s="185">
        <v>115</v>
      </c>
      <c r="I120" s="186" t="str">
        <f t="shared" si="6"/>
        <v/>
      </c>
      <c r="J120" s="186" t="e">
        <f t="shared" si="10"/>
        <v>#NUM!</v>
      </c>
      <c r="K120" s="185" t="e">
        <f t="shared" si="7"/>
        <v>#NUM!</v>
      </c>
      <c r="L120" s="185"/>
      <c r="M120" s="187">
        <f t="shared" si="8"/>
        <v>0</v>
      </c>
    </row>
    <row r="121" spans="1:13" x14ac:dyDescent="0.25">
      <c r="A121" s="202"/>
      <c r="G121" s="173"/>
      <c r="H121" s="185">
        <v>116</v>
      </c>
      <c r="I121" s="186" t="str">
        <f t="shared" si="6"/>
        <v/>
      </c>
      <c r="J121" s="186" t="e">
        <f t="shared" si="10"/>
        <v>#NUM!</v>
      </c>
      <c r="K121" s="185" t="e">
        <f t="shared" si="7"/>
        <v>#NUM!</v>
      </c>
      <c r="L121" s="185"/>
      <c r="M121" s="187">
        <f t="shared" si="8"/>
        <v>0</v>
      </c>
    </row>
    <row r="122" spans="1:13" x14ac:dyDescent="0.25">
      <c r="A122" s="202"/>
      <c r="G122" s="173"/>
      <c r="H122" s="185">
        <v>117</v>
      </c>
      <c r="I122" s="186" t="str">
        <f t="shared" si="6"/>
        <v/>
      </c>
      <c r="J122" s="186" t="e">
        <f t="shared" si="10"/>
        <v>#NUM!</v>
      </c>
      <c r="K122" s="185" t="e">
        <f t="shared" si="7"/>
        <v>#NUM!</v>
      </c>
      <c r="L122" s="185"/>
      <c r="M122" s="187">
        <f t="shared" si="8"/>
        <v>0</v>
      </c>
    </row>
    <row r="123" spans="1:13" x14ac:dyDescent="0.25">
      <c r="A123" s="202"/>
      <c r="G123" s="173"/>
      <c r="H123" s="185">
        <v>118</v>
      </c>
      <c r="I123" s="186" t="str">
        <f t="shared" si="6"/>
        <v/>
      </c>
      <c r="J123" s="186" t="e">
        <f t="shared" si="10"/>
        <v>#NUM!</v>
      </c>
      <c r="K123" s="185" t="e">
        <f t="shared" si="7"/>
        <v>#NUM!</v>
      </c>
      <c r="L123" s="185"/>
      <c r="M123" s="187">
        <f t="shared" si="8"/>
        <v>0</v>
      </c>
    </row>
    <row r="124" spans="1:13" x14ac:dyDescent="0.25">
      <c r="A124" s="202"/>
      <c r="G124" s="173"/>
      <c r="H124" s="185">
        <v>119</v>
      </c>
      <c r="I124" s="186" t="str">
        <f t="shared" si="6"/>
        <v/>
      </c>
      <c r="J124" s="186" t="e">
        <f t="shared" si="10"/>
        <v>#NUM!</v>
      </c>
      <c r="K124" s="185" t="e">
        <f t="shared" si="7"/>
        <v>#NUM!</v>
      </c>
      <c r="L124" s="185"/>
      <c r="M124" s="187">
        <f t="shared" si="8"/>
        <v>0</v>
      </c>
    </row>
    <row r="125" spans="1:13" x14ac:dyDescent="0.25">
      <c r="A125" s="202"/>
      <c r="G125" s="173"/>
      <c r="H125" s="185">
        <v>120</v>
      </c>
      <c r="I125" s="186" t="str">
        <f t="shared" si="6"/>
        <v/>
      </c>
      <c r="J125" s="186" t="e">
        <f t="shared" si="10"/>
        <v>#NUM!</v>
      </c>
      <c r="K125" s="185" t="e">
        <f t="shared" si="7"/>
        <v>#NUM!</v>
      </c>
      <c r="L125" s="185"/>
      <c r="M125" s="187">
        <f t="shared" si="8"/>
        <v>0</v>
      </c>
    </row>
    <row r="126" spans="1:13" x14ac:dyDescent="0.25">
      <c r="A126" s="202"/>
      <c r="G126" s="173"/>
      <c r="H126" s="185">
        <v>121</v>
      </c>
      <c r="I126" s="186" t="str">
        <f t="shared" si="6"/>
        <v/>
      </c>
      <c r="J126" s="186" t="e">
        <f t="shared" si="10"/>
        <v>#NUM!</v>
      </c>
      <c r="K126" s="185" t="e">
        <f t="shared" si="7"/>
        <v>#NUM!</v>
      </c>
      <c r="L126" s="185"/>
      <c r="M126" s="187">
        <f t="shared" si="8"/>
        <v>0</v>
      </c>
    </row>
    <row r="127" spans="1:13" x14ac:dyDescent="0.25">
      <c r="A127" s="202"/>
      <c r="G127" s="173"/>
      <c r="H127" s="185">
        <v>122</v>
      </c>
      <c r="I127" s="186" t="str">
        <f t="shared" si="6"/>
        <v/>
      </c>
      <c r="J127" s="186" t="e">
        <f t="shared" si="10"/>
        <v>#NUM!</v>
      </c>
      <c r="K127" s="185" t="e">
        <f t="shared" si="7"/>
        <v>#NUM!</v>
      </c>
      <c r="L127" s="185"/>
      <c r="M127" s="187">
        <f t="shared" si="8"/>
        <v>0</v>
      </c>
    </row>
    <row r="128" spans="1:13" x14ac:dyDescent="0.25">
      <c r="A128" s="202"/>
      <c r="G128" s="173"/>
      <c r="H128" s="185">
        <v>123</v>
      </c>
      <c r="I128" s="186" t="str">
        <f t="shared" si="6"/>
        <v/>
      </c>
      <c r="J128" s="186" t="e">
        <f t="shared" si="10"/>
        <v>#NUM!</v>
      </c>
      <c r="K128" s="185" t="e">
        <f t="shared" si="7"/>
        <v>#NUM!</v>
      </c>
      <c r="L128" s="185"/>
      <c r="M128" s="187">
        <f t="shared" si="8"/>
        <v>0</v>
      </c>
    </row>
    <row r="129" spans="1:13" x14ac:dyDescent="0.25">
      <c r="A129" s="202"/>
      <c r="G129" s="173"/>
      <c r="H129" s="185">
        <v>124</v>
      </c>
      <c r="I129" s="186" t="str">
        <f t="shared" si="6"/>
        <v/>
      </c>
      <c r="J129" s="186" t="e">
        <f t="shared" si="10"/>
        <v>#NUM!</v>
      </c>
      <c r="K129" s="185" t="e">
        <f t="shared" si="7"/>
        <v>#NUM!</v>
      </c>
      <c r="L129" s="185"/>
      <c r="M129" s="187">
        <f t="shared" si="8"/>
        <v>0</v>
      </c>
    </row>
    <row r="130" spans="1:13" x14ac:dyDescent="0.25">
      <c r="A130" s="202"/>
      <c r="G130" s="173"/>
      <c r="H130" s="185">
        <v>125</v>
      </c>
      <c r="I130" s="186" t="str">
        <f t="shared" si="6"/>
        <v/>
      </c>
      <c r="J130" s="186" t="e">
        <f t="shared" si="10"/>
        <v>#NUM!</v>
      </c>
      <c r="K130" s="185" t="e">
        <f t="shared" si="7"/>
        <v>#NUM!</v>
      </c>
      <c r="L130" s="185"/>
      <c r="M130" s="187">
        <f t="shared" si="8"/>
        <v>0</v>
      </c>
    </row>
    <row r="131" spans="1:13" x14ac:dyDescent="0.25">
      <c r="A131" s="202"/>
      <c r="G131" s="173"/>
      <c r="H131" s="185">
        <v>126</v>
      </c>
      <c r="I131" s="186" t="str">
        <f t="shared" si="6"/>
        <v/>
      </c>
      <c r="J131" s="186" t="e">
        <f t="shared" si="10"/>
        <v>#NUM!</v>
      </c>
      <c r="K131" s="185" t="e">
        <f t="shared" si="7"/>
        <v>#NUM!</v>
      </c>
      <c r="L131" s="185"/>
      <c r="M131" s="187">
        <f t="shared" si="8"/>
        <v>0</v>
      </c>
    </row>
    <row r="132" spans="1:13" x14ac:dyDescent="0.25">
      <c r="A132" s="202"/>
      <c r="G132" s="173"/>
      <c r="H132" s="185">
        <v>127</v>
      </c>
      <c r="I132" s="186" t="str">
        <f t="shared" si="6"/>
        <v/>
      </c>
      <c r="J132" s="186" t="e">
        <f t="shared" si="10"/>
        <v>#NUM!</v>
      </c>
      <c r="K132" s="185" t="e">
        <f t="shared" si="7"/>
        <v>#NUM!</v>
      </c>
      <c r="L132" s="185"/>
      <c r="M132" s="187">
        <f t="shared" si="8"/>
        <v>0</v>
      </c>
    </row>
    <row r="133" spans="1:13" x14ac:dyDescent="0.25">
      <c r="A133" s="202"/>
      <c r="G133" s="173"/>
      <c r="H133" s="185">
        <v>128</v>
      </c>
      <c r="I133" s="186" t="str">
        <f t="shared" si="6"/>
        <v/>
      </c>
      <c r="J133" s="186" t="e">
        <f t="shared" si="10"/>
        <v>#NUM!</v>
      </c>
      <c r="K133" s="185" t="e">
        <f t="shared" si="7"/>
        <v>#NUM!</v>
      </c>
      <c r="L133" s="185"/>
      <c r="M133" s="187">
        <f t="shared" si="8"/>
        <v>0</v>
      </c>
    </row>
    <row r="134" spans="1:13" x14ac:dyDescent="0.25">
      <c r="A134" s="202"/>
      <c r="G134" s="173"/>
      <c r="H134" s="185">
        <v>129</v>
      </c>
      <c r="I134" s="186" t="str">
        <f t="shared" ref="I134:I197" si="11">IF(H134&lt;$H$2+1,($I$2-($I$2-1)*(LOG(H134)/LOG($H$2))),"")</f>
        <v/>
      </c>
      <c r="J134" s="186" t="e">
        <f t="shared" si="10"/>
        <v>#NUM!</v>
      </c>
      <c r="K134" s="185" t="e">
        <f t="shared" ref="K134:K197" si="12">J134*$J$2</f>
        <v>#NUM!</v>
      </c>
      <c r="L134" s="185"/>
      <c r="M134" s="187">
        <f t="shared" ref="M134:M197" si="13">IF(I134&lt;&gt;"",K134+I134+L134,0)</f>
        <v>0</v>
      </c>
    </row>
    <row r="135" spans="1:13" x14ac:dyDescent="0.25">
      <c r="A135" s="202"/>
      <c r="G135" s="173"/>
      <c r="H135" s="185">
        <v>130</v>
      </c>
      <c r="I135" s="186" t="str">
        <f t="shared" si="11"/>
        <v/>
      </c>
      <c r="J135" s="186" t="e">
        <f t="shared" ref="J135:J198" si="14">INT(LOG($H$2,2))-ROUNDUP(LOG(H135,2),0)+IF(OR($H$2=1,$H$2=2,$H$2=4,$H$2=8,$H$2=16,$H$2=32,$H$2=64,$H$2=128,$H$2=256),0,1)</f>
        <v>#NUM!</v>
      </c>
      <c r="K135" s="185" t="e">
        <f t="shared" si="12"/>
        <v>#NUM!</v>
      </c>
      <c r="L135" s="185"/>
      <c r="M135" s="187">
        <f t="shared" si="13"/>
        <v>0</v>
      </c>
    </row>
    <row r="136" spans="1:13" x14ac:dyDescent="0.25">
      <c r="A136" s="202"/>
      <c r="G136" s="173"/>
      <c r="H136" s="185">
        <v>131</v>
      </c>
      <c r="I136" s="186" t="str">
        <f t="shared" si="11"/>
        <v/>
      </c>
      <c r="J136" s="186" t="e">
        <f t="shared" si="14"/>
        <v>#NUM!</v>
      </c>
      <c r="K136" s="185" t="e">
        <f t="shared" si="12"/>
        <v>#NUM!</v>
      </c>
      <c r="L136" s="185"/>
      <c r="M136" s="187">
        <f t="shared" si="13"/>
        <v>0</v>
      </c>
    </row>
    <row r="137" spans="1:13" x14ac:dyDescent="0.25">
      <c r="A137" s="202"/>
      <c r="G137" s="173"/>
      <c r="H137" s="185">
        <v>132</v>
      </c>
      <c r="I137" s="186" t="str">
        <f t="shared" si="11"/>
        <v/>
      </c>
      <c r="J137" s="186" t="e">
        <f t="shared" si="14"/>
        <v>#NUM!</v>
      </c>
      <c r="K137" s="185" t="e">
        <f t="shared" si="12"/>
        <v>#NUM!</v>
      </c>
      <c r="L137" s="185"/>
      <c r="M137" s="187">
        <f t="shared" si="13"/>
        <v>0</v>
      </c>
    </row>
    <row r="138" spans="1:13" x14ac:dyDescent="0.25">
      <c r="A138" s="202"/>
      <c r="G138" s="173"/>
      <c r="H138" s="185">
        <v>133</v>
      </c>
      <c r="I138" s="186" t="str">
        <f t="shared" si="11"/>
        <v/>
      </c>
      <c r="J138" s="186" t="e">
        <f t="shared" si="14"/>
        <v>#NUM!</v>
      </c>
      <c r="K138" s="185" t="e">
        <f t="shared" si="12"/>
        <v>#NUM!</v>
      </c>
      <c r="L138" s="185"/>
      <c r="M138" s="187">
        <f t="shared" si="13"/>
        <v>0</v>
      </c>
    </row>
    <row r="139" spans="1:13" x14ac:dyDescent="0.25">
      <c r="A139" s="202"/>
      <c r="G139" s="173"/>
      <c r="H139" s="185">
        <v>134</v>
      </c>
      <c r="I139" s="186" t="str">
        <f t="shared" si="11"/>
        <v/>
      </c>
      <c r="J139" s="186" t="e">
        <f t="shared" si="14"/>
        <v>#NUM!</v>
      </c>
      <c r="K139" s="185" t="e">
        <f t="shared" si="12"/>
        <v>#NUM!</v>
      </c>
      <c r="L139" s="185"/>
      <c r="M139" s="187">
        <f t="shared" si="13"/>
        <v>0</v>
      </c>
    </row>
    <row r="140" spans="1:13" x14ac:dyDescent="0.25">
      <c r="A140" s="202"/>
      <c r="G140" s="173"/>
      <c r="H140" s="185">
        <v>135</v>
      </c>
      <c r="I140" s="186" t="str">
        <f t="shared" si="11"/>
        <v/>
      </c>
      <c r="J140" s="186" t="e">
        <f t="shared" si="14"/>
        <v>#NUM!</v>
      </c>
      <c r="K140" s="185" t="e">
        <f t="shared" si="12"/>
        <v>#NUM!</v>
      </c>
      <c r="L140" s="185"/>
      <c r="M140" s="187">
        <f t="shared" si="13"/>
        <v>0</v>
      </c>
    </row>
    <row r="141" spans="1:13" x14ac:dyDescent="0.25">
      <c r="A141" s="202"/>
      <c r="G141" s="173"/>
      <c r="H141" s="185">
        <v>136</v>
      </c>
      <c r="I141" s="186" t="str">
        <f t="shared" si="11"/>
        <v/>
      </c>
      <c r="J141" s="186" t="e">
        <f t="shared" si="14"/>
        <v>#NUM!</v>
      </c>
      <c r="K141" s="185" t="e">
        <f t="shared" si="12"/>
        <v>#NUM!</v>
      </c>
      <c r="L141" s="185"/>
      <c r="M141" s="187">
        <f t="shared" si="13"/>
        <v>0</v>
      </c>
    </row>
    <row r="142" spans="1:13" x14ac:dyDescent="0.25">
      <c r="A142" s="202"/>
      <c r="G142" s="173"/>
      <c r="H142" s="185">
        <v>137</v>
      </c>
      <c r="I142" s="186" t="str">
        <f t="shared" si="11"/>
        <v/>
      </c>
      <c r="J142" s="186" t="e">
        <f t="shared" si="14"/>
        <v>#NUM!</v>
      </c>
      <c r="K142" s="185" t="e">
        <f t="shared" si="12"/>
        <v>#NUM!</v>
      </c>
      <c r="L142" s="185"/>
      <c r="M142" s="187">
        <f t="shared" si="13"/>
        <v>0</v>
      </c>
    </row>
    <row r="143" spans="1:13" x14ac:dyDescent="0.25">
      <c r="A143" s="202"/>
      <c r="G143" s="173"/>
      <c r="H143" s="185">
        <v>138</v>
      </c>
      <c r="I143" s="186" t="str">
        <f t="shared" si="11"/>
        <v/>
      </c>
      <c r="J143" s="186" t="e">
        <f t="shared" si="14"/>
        <v>#NUM!</v>
      </c>
      <c r="K143" s="185" t="e">
        <f t="shared" si="12"/>
        <v>#NUM!</v>
      </c>
      <c r="L143" s="185"/>
      <c r="M143" s="187">
        <f t="shared" si="13"/>
        <v>0</v>
      </c>
    </row>
    <row r="144" spans="1:13" x14ac:dyDescent="0.25">
      <c r="A144" s="202"/>
      <c r="G144" s="173"/>
      <c r="H144" s="185">
        <v>139</v>
      </c>
      <c r="I144" s="186" t="str">
        <f t="shared" si="11"/>
        <v/>
      </c>
      <c r="J144" s="186" t="e">
        <f t="shared" si="14"/>
        <v>#NUM!</v>
      </c>
      <c r="K144" s="185" t="e">
        <f t="shared" si="12"/>
        <v>#NUM!</v>
      </c>
      <c r="L144" s="185"/>
      <c r="M144" s="187">
        <f t="shared" si="13"/>
        <v>0</v>
      </c>
    </row>
    <row r="145" spans="1:13" x14ac:dyDescent="0.25">
      <c r="A145" s="202"/>
      <c r="G145" s="173"/>
      <c r="H145" s="185">
        <v>140</v>
      </c>
      <c r="I145" s="186" t="str">
        <f t="shared" si="11"/>
        <v/>
      </c>
      <c r="J145" s="186" t="e">
        <f t="shared" si="14"/>
        <v>#NUM!</v>
      </c>
      <c r="K145" s="185" t="e">
        <f t="shared" si="12"/>
        <v>#NUM!</v>
      </c>
      <c r="L145" s="185"/>
      <c r="M145" s="187">
        <f t="shared" si="13"/>
        <v>0</v>
      </c>
    </row>
    <row r="146" spans="1:13" x14ac:dyDescent="0.25">
      <c r="A146" s="202"/>
      <c r="G146" s="173"/>
      <c r="H146" s="185">
        <v>141</v>
      </c>
      <c r="I146" s="186" t="str">
        <f t="shared" si="11"/>
        <v/>
      </c>
      <c r="J146" s="186" t="e">
        <f t="shared" si="14"/>
        <v>#NUM!</v>
      </c>
      <c r="K146" s="185" t="e">
        <f t="shared" si="12"/>
        <v>#NUM!</v>
      </c>
      <c r="L146" s="185"/>
      <c r="M146" s="187">
        <f t="shared" si="13"/>
        <v>0</v>
      </c>
    </row>
    <row r="147" spans="1:13" x14ac:dyDescent="0.25">
      <c r="A147" s="202"/>
      <c r="G147" s="173"/>
      <c r="H147" s="185">
        <v>142</v>
      </c>
      <c r="I147" s="186" t="str">
        <f t="shared" si="11"/>
        <v/>
      </c>
      <c r="J147" s="186" t="e">
        <f t="shared" si="14"/>
        <v>#NUM!</v>
      </c>
      <c r="K147" s="185" t="e">
        <f t="shared" si="12"/>
        <v>#NUM!</v>
      </c>
      <c r="L147" s="185"/>
      <c r="M147" s="187">
        <f t="shared" si="13"/>
        <v>0</v>
      </c>
    </row>
    <row r="148" spans="1:13" x14ac:dyDescent="0.25">
      <c r="A148" s="202"/>
      <c r="G148" s="173"/>
      <c r="H148" s="185">
        <v>143</v>
      </c>
      <c r="I148" s="186" t="str">
        <f t="shared" si="11"/>
        <v/>
      </c>
      <c r="J148" s="186" t="e">
        <f t="shared" si="14"/>
        <v>#NUM!</v>
      </c>
      <c r="K148" s="185" t="e">
        <f t="shared" si="12"/>
        <v>#NUM!</v>
      </c>
      <c r="L148" s="185"/>
      <c r="M148" s="187">
        <f t="shared" si="13"/>
        <v>0</v>
      </c>
    </row>
    <row r="149" spans="1:13" x14ac:dyDescent="0.25">
      <c r="A149" s="202"/>
      <c r="G149" s="173"/>
      <c r="H149" s="185">
        <v>144</v>
      </c>
      <c r="I149" s="186" t="str">
        <f t="shared" si="11"/>
        <v/>
      </c>
      <c r="J149" s="186" t="e">
        <f t="shared" si="14"/>
        <v>#NUM!</v>
      </c>
      <c r="K149" s="185" t="e">
        <f t="shared" si="12"/>
        <v>#NUM!</v>
      </c>
      <c r="L149" s="185"/>
      <c r="M149" s="187">
        <f t="shared" si="13"/>
        <v>0</v>
      </c>
    </row>
    <row r="150" spans="1:13" x14ac:dyDescent="0.25">
      <c r="A150" s="202"/>
      <c r="G150" s="173"/>
      <c r="H150" s="185">
        <v>145</v>
      </c>
      <c r="I150" s="186" t="str">
        <f t="shared" si="11"/>
        <v/>
      </c>
      <c r="J150" s="186" t="e">
        <f t="shared" si="14"/>
        <v>#NUM!</v>
      </c>
      <c r="K150" s="185" t="e">
        <f t="shared" si="12"/>
        <v>#NUM!</v>
      </c>
      <c r="L150" s="185"/>
      <c r="M150" s="187">
        <f t="shared" si="13"/>
        <v>0</v>
      </c>
    </row>
    <row r="151" spans="1:13" x14ac:dyDescent="0.25">
      <c r="A151" s="202"/>
      <c r="G151" s="173"/>
      <c r="H151" s="185">
        <v>146</v>
      </c>
      <c r="I151" s="186" t="str">
        <f t="shared" si="11"/>
        <v/>
      </c>
      <c r="J151" s="186" t="e">
        <f t="shared" si="14"/>
        <v>#NUM!</v>
      </c>
      <c r="K151" s="185" t="e">
        <f t="shared" si="12"/>
        <v>#NUM!</v>
      </c>
      <c r="L151" s="185"/>
      <c r="M151" s="187">
        <f t="shared" si="13"/>
        <v>0</v>
      </c>
    </row>
    <row r="152" spans="1:13" x14ac:dyDescent="0.25">
      <c r="A152" s="202"/>
      <c r="G152" s="173"/>
      <c r="H152" s="185">
        <v>147</v>
      </c>
      <c r="I152" s="186" t="str">
        <f t="shared" si="11"/>
        <v/>
      </c>
      <c r="J152" s="186" t="e">
        <f t="shared" si="14"/>
        <v>#NUM!</v>
      </c>
      <c r="K152" s="185" t="e">
        <f t="shared" si="12"/>
        <v>#NUM!</v>
      </c>
      <c r="L152" s="185"/>
      <c r="M152" s="187">
        <f t="shared" si="13"/>
        <v>0</v>
      </c>
    </row>
    <row r="153" spans="1:13" x14ac:dyDescent="0.25">
      <c r="A153" s="202"/>
      <c r="G153" s="173"/>
      <c r="H153" s="185">
        <v>148</v>
      </c>
      <c r="I153" s="186" t="str">
        <f t="shared" si="11"/>
        <v/>
      </c>
      <c r="J153" s="186" t="e">
        <f t="shared" si="14"/>
        <v>#NUM!</v>
      </c>
      <c r="K153" s="185" t="e">
        <f t="shared" si="12"/>
        <v>#NUM!</v>
      </c>
      <c r="L153" s="185"/>
      <c r="M153" s="187">
        <f t="shared" si="13"/>
        <v>0</v>
      </c>
    </row>
    <row r="154" spans="1:13" x14ac:dyDescent="0.25">
      <c r="A154" s="202"/>
      <c r="G154" s="173"/>
      <c r="H154" s="185">
        <v>149</v>
      </c>
      <c r="I154" s="186" t="str">
        <f t="shared" si="11"/>
        <v/>
      </c>
      <c r="J154" s="186" t="e">
        <f t="shared" si="14"/>
        <v>#NUM!</v>
      </c>
      <c r="K154" s="185" t="e">
        <f t="shared" si="12"/>
        <v>#NUM!</v>
      </c>
      <c r="L154" s="185"/>
      <c r="M154" s="187">
        <f t="shared" si="13"/>
        <v>0</v>
      </c>
    </row>
    <row r="155" spans="1:13" x14ac:dyDescent="0.25">
      <c r="A155" s="202"/>
      <c r="G155" s="173"/>
      <c r="H155" s="185">
        <v>150</v>
      </c>
      <c r="I155" s="186" t="str">
        <f t="shared" si="11"/>
        <v/>
      </c>
      <c r="J155" s="186" t="e">
        <f t="shared" si="14"/>
        <v>#NUM!</v>
      </c>
      <c r="K155" s="185" t="e">
        <f t="shared" si="12"/>
        <v>#NUM!</v>
      </c>
      <c r="L155" s="185"/>
      <c r="M155" s="187">
        <f t="shared" si="13"/>
        <v>0</v>
      </c>
    </row>
    <row r="156" spans="1:13" x14ac:dyDescent="0.25">
      <c r="A156" s="202"/>
      <c r="G156" s="173"/>
      <c r="H156" s="185">
        <v>151</v>
      </c>
      <c r="I156" s="186" t="str">
        <f t="shared" si="11"/>
        <v/>
      </c>
      <c r="J156" s="186" t="e">
        <f t="shared" si="14"/>
        <v>#NUM!</v>
      </c>
      <c r="K156" s="185" t="e">
        <f t="shared" si="12"/>
        <v>#NUM!</v>
      </c>
      <c r="L156" s="185"/>
      <c r="M156" s="187">
        <f t="shared" si="13"/>
        <v>0</v>
      </c>
    </row>
    <row r="157" spans="1:13" x14ac:dyDescent="0.25">
      <c r="A157" s="202"/>
      <c r="G157" s="173"/>
      <c r="H157" s="185">
        <v>152</v>
      </c>
      <c r="I157" s="186" t="str">
        <f t="shared" si="11"/>
        <v/>
      </c>
      <c r="J157" s="186" t="e">
        <f t="shared" si="14"/>
        <v>#NUM!</v>
      </c>
      <c r="K157" s="185" t="e">
        <f t="shared" si="12"/>
        <v>#NUM!</v>
      </c>
      <c r="L157" s="185"/>
      <c r="M157" s="187">
        <f t="shared" si="13"/>
        <v>0</v>
      </c>
    </row>
    <row r="158" spans="1:13" x14ac:dyDescent="0.25">
      <c r="A158" s="202"/>
      <c r="G158" s="173"/>
      <c r="H158" s="185">
        <v>153</v>
      </c>
      <c r="I158" s="186" t="str">
        <f t="shared" si="11"/>
        <v/>
      </c>
      <c r="J158" s="186" t="e">
        <f t="shared" si="14"/>
        <v>#NUM!</v>
      </c>
      <c r="K158" s="185" t="e">
        <f t="shared" si="12"/>
        <v>#NUM!</v>
      </c>
      <c r="L158" s="185"/>
      <c r="M158" s="187">
        <f t="shared" si="13"/>
        <v>0</v>
      </c>
    </row>
    <row r="159" spans="1:13" x14ac:dyDescent="0.25">
      <c r="A159" s="202"/>
      <c r="G159" s="173"/>
      <c r="H159" s="185">
        <v>154</v>
      </c>
      <c r="I159" s="186" t="str">
        <f t="shared" si="11"/>
        <v/>
      </c>
      <c r="J159" s="186" t="e">
        <f t="shared" si="14"/>
        <v>#NUM!</v>
      </c>
      <c r="K159" s="185" t="e">
        <f t="shared" si="12"/>
        <v>#NUM!</v>
      </c>
      <c r="L159" s="185"/>
      <c r="M159" s="187">
        <f t="shared" si="13"/>
        <v>0</v>
      </c>
    </row>
    <row r="160" spans="1:13" x14ac:dyDescent="0.25">
      <c r="A160" s="202"/>
      <c r="G160" s="173"/>
      <c r="H160" s="185">
        <v>155</v>
      </c>
      <c r="I160" s="186" t="str">
        <f t="shared" si="11"/>
        <v/>
      </c>
      <c r="J160" s="186" t="e">
        <f t="shared" si="14"/>
        <v>#NUM!</v>
      </c>
      <c r="K160" s="185" t="e">
        <f t="shared" si="12"/>
        <v>#NUM!</v>
      </c>
      <c r="L160" s="185"/>
      <c r="M160" s="187">
        <f t="shared" si="13"/>
        <v>0</v>
      </c>
    </row>
    <row r="161" spans="1:13" x14ac:dyDescent="0.25">
      <c r="A161" s="202"/>
      <c r="G161" s="173"/>
      <c r="H161" s="185">
        <v>156</v>
      </c>
      <c r="I161" s="186" t="str">
        <f t="shared" si="11"/>
        <v/>
      </c>
      <c r="J161" s="186" t="e">
        <f t="shared" si="14"/>
        <v>#NUM!</v>
      </c>
      <c r="K161" s="185" t="e">
        <f t="shared" si="12"/>
        <v>#NUM!</v>
      </c>
      <c r="L161" s="185"/>
      <c r="M161" s="187">
        <f t="shared" si="13"/>
        <v>0</v>
      </c>
    </row>
    <row r="162" spans="1:13" x14ac:dyDescent="0.25">
      <c r="A162" s="202"/>
      <c r="G162" s="173"/>
      <c r="H162" s="185">
        <v>157</v>
      </c>
      <c r="I162" s="186" t="str">
        <f t="shared" si="11"/>
        <v/>
      </c>
      <c r="J162" s="186" t="e">
        <f t="shared" si="14"/>
        <v>#NUM!</v>
      </c>
      <c r="K162" s="185" t="e">
        <f t="shared" si="12"/>
        <v>#NUM!</v>
      </c>
      <c r="L162" s="185"/>
      <c r="M162" s="187">
        <f t="shared" si="13"/>
        <v>0</v>
      </c>
    </row>
    <row r="163" spans="1:13" x14ac:dyDescent="0.25">
      <c r="A163" s="202"/>
      <c r="G163" s="173"/>
      <c r="H163" s="185">
        <v>158</v>
      </c>
      <c r="I163" s="186" t="str">
        <f t="shared" si="11"/>
        <v/>
      </c>
      <c r="J163" s="186" t="e">
        <f t="shared" si="14"/>
        <v>#NUM!</v>
      </c>
      <c r="K163" s="185" t="e">
        <f t="shared" si="12"/>
        <v>#NUM!</v>
      </c>
      <c r="L163" s="185"/>
      <c r="M163" s="187">
        <f t="shared" si="13"/>
        <v>0</v>
      </c>
    </row>
    <row r="164" spans="1:13" x14ac:dyDescent="0.25">
      <c r="A164" s="202"/>
      <c r="G164" s="173"/>
      <c r="H164" s="185">
        <v>159</v>
      </c>
      <c r="I164" s="186" t="str">
        <f t="shared" si="11"/>
        <v/>
      </c>
      <c r="J164" s="186" t="e">
        <f t="shared" si="14"/>
        <v>#NUM!</v>
      </c>
      <c r="K164" s="185" t="e">
        <f t="shared" si="12"/>
        <v>#NUM!</v>
      </c>
      <c r="L164" s="185"/>
      <c r="M164" s="187">
        <f t="shared" si="13"/>
        <v>0</v>
      </c>
    </row>
    <row r="165" spans="1:13" x14ac:dyDescent="0.25">
      <c r="A165" s="202"/>
      <c r="G165" s="173"/>
      <c r="H165" s="185">
        <v>160</v>
      </c>
      <c r="I165" s="186" t="str">
        <f t="shared" si="11"/>
        <v/>
      </c>
      <c r="J165" s="186" t="e">
        <f t="shared" si="14"/>
        <v>#NUM!</v>
      </c>
      <c r="K165" s="185" t="e">
        <f t="shared" si="12"/>
        <v>#NUM!</v>
      </c>
      <c r="L165" s="185"/>
      <c r="M165" s="187">
        <f t="shared" si="13"/>
        <v>0</v>
      </c>
    </row>
    <row r="166" spans="1:13" x14ac:dyDescent="0.25">
      <c r="A166" s="202"/>
      <c r="G166" s="173"/>
      <c r="H166" s="185">
        <v>161</v>
      </c>
      <c r="I166" s="186" t="str">
        <f t="shared" si="11"/>
        <v/>
      </c>
      <c r="J166" s="186" t="e">
        <f t="shared" si="14"/>
        <v>#NUM!</v>
      </c>
      <c r="K166" s="185" t="e">
        <f t="shared" si="12"/>
        <v>#NUM!</v>
      </c>
      <c r="L166" s="185"/>
      <c r="M166" s="187">
        <f t="shared" si="13"/>
        <v>0</v>
      </c>
    </row>
    <row r="167" spans="1:13" x14ac:dyDescent="0.25">
      <c r="A167" s="202"/>
      <c r="G167" s="173"/>
      <c r="H167" s="185">
        <v>162</v>
      </c>
      <c r="I167" s="186" t="str">
        <f t="shared" si="11"/>
        <v/>
      </c>
      <c r="J167" s="186" t="e">
        <f t="shared" si="14"/>
        <v>#NUM!</v>
      </c>
      <c r="K167" s="185" t="e">
        <f t="shared" si="12"/>
        <v>#NUM!</v>
      </c>
      <c r="L167" s="185"/>
      <c r="M167" s="187">
        <f t="shared" si="13"/>
        <v>0</v>
      </c>
    </row>
    <row r="168" spans="1:13" x14ac:dyDescent="0.25">
      <c r="A168" s="202"/>
      <c r="G168" s="173"/>
      <c r="H168" s="185">
        <v>163</v>
      </c>
      <c r="I168" s="186" t="str">
        <f t="shared" si="11"/>
        <v/>
      </c>
      <c r="J168" s="186" t="e">
        <f t="shared" si="14"/>
        <v>#NUM!</v>
      </c>
      <c r="K168" s="185" t="e">
        <f t="shared" si="12"/>
        <v>#NUM!</v>
      </c>
      <c r="L168" s="185"/>
      <c r="M168" s="187">
        <f t="shared" si="13"/>
        <v>0</v>
      </c>
    </row>
    <row r="169" spans="1:13" x14ac:dyDescent="0.25">
      <c r="A169" s="202"/>
      <c r="C169" s="201" t="s">
        <v>49</v>
      </c>
      <c r="G169" s="173"/>
      <c r="H169" s="185">
        <v>164</v>
      </c>
      <c r="I169" s="186" t="str">
        <f t="shared" si="11"/>
        <v/>
      </c>
      <c r="J169" s="186" t="e">
        <f t="shared" si="14"/>
        <v>#NUM!</v>
      </c>
      <c r="K169" s="185" t="e">
        <f t="shared" si="12"/>
        <v>#NUM!</v>
      </c>
      <c r="L169" s="185"/>
      <c r="M169" s="187">
        <f t="shared" si="13"/>
        <v>0</v>
      </c>
    </row>
    <row r="170" spans="1:13" x14ac:dyDescent="0.25">
      <c r="A170" s="202"/>
      <c r="G170" s="173"/>
      <c r="H170" s="185">
        <v>165</v>
      </c>
      <c r="I170" s="186" t="str">
        <f t="shared" si="11"/>
        <v/>
      </c>
      <c r="J170" s="186" t="e">
        <f t="shared" si="14"/>
        <v>#NUM!</v>
      </c>
      <c r="K170" s="185" t="e">
        <f t="shared" si="12"/>
        <v>#NUM!</v>
      </c>
      <c r="L170" s="185"/>
      <c r="M170" s="187">
        <f t="shared" si="13"/>
        <v>0</v>
      </c>
    </row>
    <row r="171" spans="1:13" x14ac:dyDescent="0.25">
      <c r="A171" s="202"/>
      <c r="G171" s="173"/>
      <c r="H171" s="185">
        <v>166</v>
      </c>
      <c r="I171" s="186" t="str">
        <f t="shared" si="11"/>
        <v/>
      </c>
      <c r="J171" s="186" t="e">
        <f t="shared" si="14"/>
        <v>#NUM!</v>
      </c>
      <c r="K171" s="185" t="e">
        <f t="shared" si="12"/>
        <v>#NUM!</v>
      </c>
      <c r="L171" s="185"/>
      <c r="M171" s="187">
        <f t="shared" si="13"/>
        <v>0</v>
      </c>
    </row>
    <row r="172" spans="1:13" x14ac:dyDescent="0.25">
      <c r="A172" s="202"/>
      <c r="G172" s="173"/>
      <c r="H172" s="185">
        <v>167</v>
      </c>
      <c r="I172" s="186" t="str">
        <f t="shared" si="11"/>
        <v/>
      </c>
      <c r="J172" s="186" t="e">
        <f t="shared" si="14"/>
        <v>#NUM!</v>
      </c>
      <c r="K172" s="185" t="e">
        <f t="shared" si="12"/>
        <v>#NUM!</v>
      </c>
      <c r="L172" s="185"/>
      <c r="M172" s="187">
        <f t="shared" si="13"/>
        <v>0</v>
      </c>
    </row>
    <row r="173" spans="1:13" x14ac:dyDescent="0.25">
      <c r="A173" s="202"/>
      <c r="G173" s="173"/>
      <c r="H173" s="185">
        <v>168</v>
      </c>
      <c r="I173" s="186" t="str">
        <f t="shared" si="11"/>
        <v/>
      </c>
      <c r="J173" s="186" t="e">
        <f t="shared" si="14"/>
        <v>#NUM!</v>
      </c>
      <c r="K173" s="185" t="e">
        <f t="shared" si="12"/>
        <v>#NUM!</v>
      </c>
      <c r="L173" s="185"/>
      <c r="M173" s="187">
        <f t="shared" si="13"/>
        <v>0</v>
      </c>
    </row>
    <row r="174" spans="1:13" x14ac:dyDescent="0.25">
      <c r="A174" s="202"/>
      <c r="G174" s="173"/>
      <c r="H174" s="185">
        <v>169</v>
      </c>
      <c r="I174" s="186" t="str">
        <f t="shared" si="11"/>
        <v/>
      </c>
      <c r="J174" s="186" t="e">
        <f t="shared" si="14"/>
        <v>#NUM!</v>
      </c>
      <c r="K174" s="185" t="e">
        <f t="shared" si="12"/>
        <v>#NUM!</v>
      </c>
      <c r="L174" s="185"/>
      <c r="M174" s="187">
        <f t="shared" si="13"/>
        <v>0</v>
      </c>
    </row>
    <row r="175" spans="1:13" x14ac:dyDescent="0.25">
      <c r="A175" s="202"/>
      <c r="G175" s="173"/>
      <c r="H175" s="185">
        <v>170</v>
      </c>
      <c r="I175" s="186" t="str">
        <f t="shared" si="11"/>
        <v/>
      </c>
      <c r="J175" s="186" t="e">
        <f t="shared" si="14"/>
        <v>#NUM!</v>
      </c>
      <c r="K175" s="185" t="e">
        <f t="shared" si="12"/>
        <v>#NUM!</v>
      </c>
      <c r="L175" s="185"/>
      <c r="M175" s="187">
        <f t="shared" si="13"/>
        <v>0</v>
      </c>
    </row>
    <row r="176" spans="1:13" x14ac:dyDescent="0.25">
      <c r="A176" s="202"/>
      <c r="G176" s="173"/>
      <c r="H176" s="185">
        <v>171</v>
      </c>
      <c r="I176" s="186" t="str">
        <f t="shared" si="11"/>
        <v/>
      </c>
      <c r="J176" s="186" t="e">
        <f t="shared" si="14"/>
        <v>#NUM!</v>
      </c>
      <c r="K176" s="185" t="e">
        <f t="shared" si="12"/>
        <v>#NUM!</v>
      </c>
      <c r="L176" s="185"/>
      <c r="M176" s="187">
        <f t="shared" si="13"/>
        <v>0</v>
      </c>
    </row>
    <row r="177" spans="1:13" x14ac:dyDescent="0.25">
      <c r="A177" s="202"/>
      <c r="G177" s="173"/>
      <c r="H177" s="185">
        <v>172</v>
      </c>
      <c r="I177" s="186" t="str">
        <f t="shared" si="11"/>
        <v/>
      </c>
      <c r="J177" s="186" t="e">
        <f t="shared" si="14"/>
        <v>#NUM!</v>
      </c>
      <c r="K177" s="185" t="e">
        <f t="shared" si="12"/>
        <v>#NUM!</v>
      </c>
      <c r="L177" s="185"/>
      <c r="M177" s="187">
        <f t="shared" si="13"/>
        <v>0</v>
      </c>
    </row>
    <row r="178" spans="1:13" x14ac:dyDescent="0.25">
      <c r="A178" s="202"/>
      <c r="G178" s="173"/>
      <c r="H178" s="185">
        <v>173</v>
      </c>
      <c r="I178" s="186" t="str">
        <f t="shared" si="11"/>
        <v/>
      </c>
      <c r="J178" s="186" t="e">
        <f t="shared" si="14"/>
        <v>#NUM!</v>
      </c>
      <c r="K178" s="185" t="e">
        <f t="shared" si="12"/>
        <v>#NUM!</v>
      </c>
      <c r="L178" s="185"/>
      <c r="M178" s="187">
        <f t="shared" si="13"/>
        <v>0</v>
      </c>
    </row>
    <row r="179" spans="1:13" x14ac:dyDescent="0.25">
      <c r="A179" s="202"/>
      <c r="G179" s="173"/>
      <c r="H179" s="185">
        <v>174</v>
      </c>
      <c r="I179" s="186" t="str">
        <f t="shared" si="11"/>
        <v/>
      </c>
      <c r="J179" s="186" t="e">
        <f t="shared" si="14"/>
        <v>#NUM!</v>
      </c>
      <c r="K179" s="185" t="e">
        <f t="shared" si="12"/>
        <v>#NUM!</v>
      </c>
      <c r="L179" s="185"/>
      <c r="M179" s="187">
        <f t="shared" si="13"/>
        <v>0</v>
      </c>
    </row>
    <row r="180" spans="1:13" x14ac:dyDescent="0.25">
      <c r="A180" s="202"/>
      <c r="G180" s="173"/>
      <c r="H180" s="185">
        <v>175</v>
      </c>
      <c r="I180" s="186" t="str">
        <f t="shared" si="11"/>
        <v/>
      </c>
      <c r="J180" s="186" t="e">
        <f t="shared" si="14"/>
        <v>#NUM!</v>
      </c>
      <c r="K180" s="185" t="e">
        <f t="shared" si="12"/>
        <v>#NUM!</v>
      </c>
      <c r="L180" s="185"/>
      <c r="M180" s="187">
        <f t="shared" si="13"/>
        <v>0</v>
      </c>
    </row>
    <row r="181" spans="1:13" x14ac:dyDescent="0.25">
      <c r="A181" s="202"/>
      <c r="G181" s="173"/>
      <c r="H181" s="185">
        <v>176</v>
      </c>
      <c r="I181" s="186" t="str">
        <f t="shared" si="11"/>
        <v/>
      </c>
      <c r="J181" s="186" t="e">
        <f t="shared" si="14"/>
        <v>#NUM!</v>
      </c>
      <c r="K181" s="185" t="e">
        <f t="shared" si="12"/>
        <v>#NUM!</v>
      </c>
      <c r="L181" s="185"/>
      <c r="M181" s="187">
        <f t="shared" si="13"/>
        <v>0</v>
      </c>
    </row>
    <row r="182" spans="1:13" x14ac:dyDescent="0.25">
      <c r="A182" s="202"/>
      <c r="G182" s="173"/>
      <c r="H182" s="185">
        <v>177</v>
      </c>
      <c r="I182" s="186" t="str">
        <f t="shared" si="11"/>
        <v/>
      </c>
      <c r="J182" s="186" t="e">
        <f t="shared" si="14"/>
        <v>#NUM!</v>
      </c>
      <c r="K182" s="185" t="e">
        <f t="shared" si="12"/>
        <v>#NUM!</v>
      </c>
      <c r="L182" s="185"/>
      <c r="M182" s="187">
        <f t="shared" si="13"/>
        <v>0</v>
      </c>
    </row>
    <row r="183" spans="1:13" x14ac:dyDescent="0.25">
      <c r="A183" s="202"/>
      <c r="G183" s="173"/>
      <c r="H183" s="185">
        <v>178</v>
      </c>
      <c r="I183" s="186" t="str">
        <f t="shared" si="11"/>
        <v/>
      </c>
      <c r="J183" s="186" t="e">
        <f t="shared" si="14"/>
        <v>#NUM!</v>
      </c>
      <c r="K183" s="185" t="e">
        <f t="shared" si="12"/>
        <v>#NUM!</v>
      </c>
      <c r="L183" s="185"/>
      <c r="M183" s="187">
        <f t="shared" si="13"/>
        <v>0</v>
      </c>
    </row>
    <row r="184" spans="1:13" x14ac:dyDescent="0.25">
      <c r="A184" s="202"/>
      <c r="G184" s="173"/>
      <c r="H184" s="185">
        <v>179</v>
      </c>
      <c r="I184" s="186" t="str">
        <f t="shared" si="11"/>
        <v/>
      </c>
      <c r="J184" s="186" t="e">
        <f t="shared" si="14"/>
        <v>#NUM!</v>
      </c>
      <c r="K184" s="185" t="e">
        <f t="shared" si="12"/>
        <v>#NUM!</v>
      </c>
      <c r="L184" s="185"/>
      <c r="M184" s="187">
        <f t="shared" si="13"/>
        <v>0</v>
      </c>
    </row>
    <row r="185" spans="1:13" x14ac:dyDescent="0.25">
      <c r="A185" s="202"/>
      <c r="G185" s="173"/>
      <c r="H185" s="185">
        <v>180</v>
      </c>
      <c r="I185" s="186" t="str">
        <f t="shared" si="11"/>
        <v/>
      </c>
      <c r="J185" s="186" t="e">
        <f t="shared" si="14"/>
        <v>#NUM!</v>
      </c>
      <c r="K185" s="185" t="e">
        <f t="shared" si="12"/>
        <v>#NUM!</v>
      </c>
      <c r="L185" s="185"/>
      <c r="M185" s="187">
        <f t="shared" si="13"/>
        <v>0</v>
      </c>
    </row>
    <row r="186" spans="1:13" x14ac:dyDescent="0.25">
      <c r="A186" s="202"/>
      <c r="G186" s="173"/>
      <c r="H186" s="185">
        <v>181</v>
      </c>
      <c r="I186" s="186" t="str">
        <f t="shared" si="11"/>
        <v/>
      </c>
      <c r="J186" s="186" t="e">
        <f t="shared" si="14"/>
        <v>#NUM!</v>
      </c>
      <c r="K186" s="185" t="e">
        <f t="shared" si="12"/>
        <v>#NUM!</v>
      </c>
      <c r="L186" s="185"/>
      <c r="M186" s="187">
        <f t="shared" si="13"/>
        <v>0</v>
      </c>
    </row>
    <row r="187" spans="1:13" x14ac:dyDescent="0.25">
      <c r="A187" s="202"/>
      <c r="G187" s="173"/>
      <c r="H187" s="185">
        <v>182</v>
      </c>
      <c r="I187" s="186" t="str">
        <f t="shared" si="11"/>
        <v/>
      </c>
      <c r="J187" s="186" t="e">
        <f t="shared" si="14"/>
        <v>#NUM!</v>
      </c>
      <c r="K187" s="185" t="e">
        <f t="shared" si="12"/>
        <v>#NUM!</v>
      </c>
      <c r="L187" s="185"/>
      <c r="M187" s="187">
        <f t="shared" si="13"/>
        <v>0</v>
      </c>
    </row>
    <row r="188" spans="1:13" x14ac:dyDescent="0.25">
      <c r="A188" s="202"/>
      <c r="G188" s="173"/>
      <c r="H188" s="185">
        <v>183</v>
      </c>
      <c r="I188" s="186" t="str">
        <f t="shared" si="11"/>
        <v/>
      </c>
      <c r="J188" s="186" t="e">
        <f t="shared" si="14"/>
        <v>#NUM!</v>
      </c>
      <c r="K188" s="185" t="e">
        <f t="shared" si="12"/>
        <v>#NUM!</v>
      </c>
      <c r="L188" s="185"/>
      <c r="M188" s="187">
        <f t="shared" si="13"/>
        <v>0</v>
      </c>
    </row>
    <row r="189" spans="1:13" x14ac:dyDescent="0.25">
      <c r="A189" s="202"/>
      <c r="G189" s="173"/>
      <c r="H189" s="185">
        <v>184</v>
      </c>
      <c r="I189" s="186" t="str">
        <f t="shared" si="11"/>
        <v/>
      </c>
      <c r="J189" s="186" t="e">
        <f t="shared" si="14"/>
        <v>#NUM!</v>
      </c>
      <c r="K189" s="185" t="e">
        <f t="shared" si="12"/>
        <v>#NUM!</v>
      </c>
      <c r="L189" s="185"/>
      <c r="M189" s="187">
        <f t="shared" si="13"/>
        <v>0</v>
      </c>
    </row>
    <row r="190" spans="1:13" x14ac:dyDescent="0.25">
      <c r="A190" s="202"/>
      <c r="G190" s="173"/>
      <c r="H190" s="185">
        <v>185</v>
      </c>
      <c r="I190" s="186" t="str">
        <f t="shared" si="11"/>
        <v/>
      </c>
      <c r="J190" s="186" t="e">
        <f t="shared" si="14"/>
        <v>#NUM!</v>
      </c>
      <c r="K190" s="185" t="e">
        <f t="shared" si="12"/>
        <v>#NUM!</v>
      </c>
      <c r="L190" s="185"/>
      <c r="M190" s="187">
        <f t="shared" si="13"/>
        <v>0</v>
      </c>
    </row>
    <row r="191" spans="1:13" x14ac:dyDescent="0.25">
      <c r="A191" s="202"/>
      <c r="G191" s="173"/>
      <c r="H191" s="185">
        <v>186</v>
      </c>
      <c r="I191" s="186" t="str">
        <f t="shared" si="11"/>
        <v/>
      </c>
      <c r="J191" s="186" t="e">
        <f t="shared" si="14"/>
        <v>#NUM!</v>
      </c>
      <c r="K191" s="185" t="e">
        <f t="shared" si="12"/>
        <v>#NUM!</v>
      </c>
      <c r="L191" s="185"/>
      <c r="M191" s="187">
        <f t="shared" si="13"/>
        <v>0</v>
      </c>
    </row>
    <row r="192" spans="1:13" x14ac:dyDescent="0.25">
      <c r="A192" s="202"/>
      <c r="G192" s="173"/>
      <c r="H192" s="185">
        <v>187</v>
      </c>
      <c r="I192" s="186" t="str">
        <f t="shared" si="11"/>
        <v/>
      </c>
      <c r="J192" s="186" t="e">
        <f t="shared" si="14"/>
        <v>#NUM!</v>
      </c>
      <c r="K192" s="185" t="e">
        <f t="shared" si="12"/>
        <v>#NUM!</v>
      </c>
      <c r="L192" s="185"/>
      <c r="M192" s="187">
        <f t="shared" si="13"/>
        <v>0</v>
      </c>
    </row>
    <row r="193" spans="1:13" x14ac:dyDescent="0.25">
      <c r="A193" s="202"/>
      <c r="G193" s="173"/>
      <c r="H193" s="185">
        <v>188</v>
      </c>
      <c r="I193" s="186" t="str">
        <f t="shared" si="11"/>
        <v/>
      </c>
      <c r="J193" s="186" t="e">
        <f t="shared" si="14"/>
        <v>#NUM!</v>
      </c>
      <c r="K193" s="185" t="e">
        <f t="shared" si="12"/>
        <v>#NUM!</v>
      </c>
      <c r="L193" s="185"/>
      <c r="M193" s="187">
        <f t="shared" si="13"/>
        <v>0</v>
      </c>
    </row>
    <row r="194" spans="1:13" x14ac:dyDescent="0.25">
      <c r="A194" s="202"/>
      <c r="G194" s="173"/>
      <c r="H194" s="185">
        <v>189</v>
      </c>
      <c r="I194" s="186" t="str">
        <f t="shared" si="11"/>
        <v/>
      </c>
      <c r="J194" s="186" t="e">
        <f t="shared" si="14"/>
        <v>#NUM!</v>
      </c>
      <c r="K194" s="185" t="e">
        <f t="shared" si="12"/>
        <v>#NUM!</v>
      </c>
      <c r="L194" s="185"/>
      <c r="M194" s="187">
        <f t="shared" si="13"/>
        <v>0</v>
      </c>
    </row>
    <row r="195" spans="1:13" x14ac:dyDescent="0.25">
      <c r="A195" s="202"/>
      <c r="G195" s="173"/>
      <c r="H195" s="185">
        <v>190</v>
      </c>
      <c r="I195" s="186" t="str">
        <f t="shared" si="11"/>
        <v/>
      </c>
      <c r="J195" s="186" t="e">
        <f t="shared" si="14"/>
        <v>#NUM!</v>
      </c>
      <c r="K195" s="185" t="e">
        <f t="shared" si="12"/>
        <v>#NUM!</v>
      </c>
      <c r="L195" s="185"/>
      <c r="M195" s="187">
        <f t="shared" si="13"/>
        <v>0</v>
      </c>
    </row>
    <row r="196" spans="1:13" x14ac:dyDescent="0.25">
      <c r="A196" s="202"/>
      <c r="G196" s="173"/>
      <c r="H196" s="185">
        <v>191</v>
      </c>
      <c r="I196" s="186" t="str">
        <f t="shared" si="11"/>
        <v/>
      </c>
      <c r="J196" s="186" t="e">
        <f t="shared" si="14"/>
        <v>#NUM!</v>
      </c>
      <c r="K196" s="185" t="e">
        <f t="shared" si="12"/>
        <v>#NUM!</v>
      </c>
      <c r="L196" s="185"/>
      <c r="M196" s="187">
        <f t="shared" si="13"/>
        <v>0</v>
      </c>
    </row>
    <row r="197" spans="1:13" x14ac:dyDescent="0.25">
      <c r="A197" s="202"/>
      <c r="G197" s="173"/>
      <c r="H197" s="185">
        <v>192</v>
      </c>
      <c r="I197" s="186" t="str">
        <f t="shared" si="11"/>
        <v/>
      </c>
      <c r="J197" s="186" t="e">
        <f t="shared" si="14"/>
        <v>#NUM!</v>
      </c>
      <c r="K197" s="185" t="e">
        <f t="shared" si="12"/>
        <v>#NUM!</v>
      </c>
      <c r="L197" s="185"/>
      <c r="M197" s="187">
        <f t="shared" si="13"/>
        <v>0</v>
      </c>
    </row>
    <row r="198" spans="1:13" x14ac:dyDescent="0.25">
      <c r="A198" s="202"/>
      <c r="G198" s="173"/>
      <c r="H198" s="185">
        <v>193</v>
      </c>
      <c r="I198" s="186" t="str">
        <f t="shared" ref="I198:I261" si="15">IF(H198&lt;$H$2+1,($I$2-($I$2-1)*(LOG(H198)/LOG($H$2))),"")</f>
        <v/>
      </c>
      <c r="J198" s="186" t="e">
        <f t="shared" si="14"/>
        <v>#NUM!</v>
      </c>
      <c r="K198" s="185" t="e">
        <f t="shared" ref="K198:K261" si="16">J198*$J$2</f>
        <v>#NUM!</v>
      </c>
      <c r="L198" s="185"/>
      <c r="M198" s="187">
        <f t="shared" ref="M198:M261" si="17">IF(I198&lt;&gt;"",K198+I198+L198,0)</f>
        <v>0</v>
      </c>
    </row>
    <row r="199" spans="1:13" x14ac:dyDescent="0.25">
      <c r="A199" s="202"/>
      <c r="G199" s="173"/>
      <c r="H199" s="185">
        <v>194</v>
      </c>
      <c r="I199" s="186" t="str">
        <f t="shared" si="15"/>
        <v/>
      </c>
      <c r="J199" s="186" t="e">
        <f t="shared" ref="J199:J262" si="18">INT(LOG($H$2,2))-ROUNDUP(LOG(H199,2),0)+IF(OR($H$2=1,$H$2=2,$H$2=4,$H$2=8,$H$2=16,$H$2=32,$H$2=64,$H$2=128,$H$2=256),0,1)</f>
        <v>#NUM!</v>
      </c>
      <c r="K199" s="185" t="e">
        <f t="shared" si="16"/>
        <v>#NUM!</v>
      </c>
      <c r="L199" s="185"/>
      <c r="M199" s="187">
        <f t="shared" si="17"/>
        <v>0</v>
      </c>
    </row>
    <row r="200" spans="1:13" x14ac:dyDescent="0.25">
      <c r="A200" s="202"/>
      <c r="G200" s="173"/>
      <c r="H200" s="185">
        <v>195</v>
      </c>
      <c r="I200" s="186" t="str">
        <f t="shared" si="15"/>
        <v/>
      </c>
      <c r="J200" s="186" t="e">
        <f t="shared" si="18"/>
        <v>#NUM!</v>
      </c>
      <c r="K200" s="185" t="e">
        <f t="shared" si="16"/>
        <v>#NUM!</v>
      </c>
      <c r="L200" s="185"/>
      <c r="M200" s="187">
        <f t="shared" si="17"/>
        <v>0</v>
      </c>
    </row>
    <row r="201" spans="1:13" x14ac:dyDescent="0.25">
      <c r="A201" s="202"/>
      <c r="G201" s="173"/>
      <c r="H201" s="185">
        <v>196</v>
      </c>
      <c r="I201" s="186" t="str">
        <f t="shared" si="15"/>
        <v/>
      </c>
      <c r="J201" s="186" t="e">
        <f t="shared" si="18"/>
        <v>#NUM!</v>
      </c>
      <c r="K201" s="185" t="e">
        <f t="shared" si="16"/>
        <v>#NUM!</v>
      </c>
      <c r="L201" s="185"/>
      <c r="M201" s="187">
        <f t="shared" si="17"/>
        <v>0</v>
      </c>
    </row>
    <row r="202" spans="1:13" x14ac:dyDescent="0.25">
      <c r="A202" s="202"/>
      <c r="G202" s="173"/>
      <c r="H202" s="185">
        <v>197</v>
      </c>
      <c r="I202" s="186" t="str">
        <f t="shared" si="15"/>
        <v/>
      </c>
      <c r="J202" s="186" t="e">
        <f t="shared" si="18"/>
        <v>#NUM!</v>
      </c>
      <c r="K202" s="185" t="e">
        <f t="shared" si="16"/>
        <v>#NUM!</v>
      </c>
      <c r="L202" s="185"/>
      <c r="M202" s="187">
        <f t="shared" si="17"/>
        <v>0</v>
      </c>
    </row>
    <row r="203" spans="1:13" x14ac:dyDescent="0.25">
      <c r="A203" s="202"/>
      <c r="G203" s="173"/>
      <c r="H203" s="185">
        <v>198</v>
      </c>
      <c r="I203" s="186" t="str">
        <f t="shared" si="15"/>
        <v/>
      </c>
      <c r="J203" s="186" t="e">
        <f t="shared" si="18"/>
        <v>#NUM!</v>
      </c>
      <c r="K203" s="185" t="e">
        <f t="shared" si="16"/>
        <v>#NUM!</v>
      </c>
      <c r="L203" s="185"/>
      <c r="M203" s="187">
        <f t="shared" si="17"/>
        <v>0</v>
      </c>
    </row>
    <row r="204" spans="1:13" x14ac:dyDescent="0.25">
      <c r="A204" s="202"/>
      <c r="G204" s="173"/>
      <c r="H204" s="185">
        <v>199</v>
      </c>
      <c r="I204" s="186" t="str">
        <f t="shared" si="15"/>
        <v/>
      </c>
      <c r="J204" s="186" t="e">
        <f t="shared" si="18"/>
        <v>#NUM!</v>
      </c>
      <c r="K204" s="185" t="e">
        <f t="shared" si="16"/>
        <v>#NUM!</v>
      </c>
      <c r="L204" s="185"/>
      <c r="M204" s="187">
        <f t="shared" si="17"/>
        <v>0</v>
      </c>
    </row>
    <row r="205" spans="1:13" x14ac:dyDescent="0.25">
      <c r="A205" s="202"/>
      <c r="G205" s="173"/>
      <c r="H205" s="185">
        <v>200</v>
      </c>
      <c r="I205" s="186" t="str">
        <f t="shared" si="15"/>
        <v/>
      </c>
      <c r="J205" s="186" t="e">
        <f t="shared" si="18"/>
        <v>#NUM!</v>
      </c>
      <c r="K205" s="185" t="e">
        <f t="shared" si="16"/>
        <v>#NUM!</v>
      </c>
      <c r="L205" s="185"/>
      <c r="M205" s="187">
        <f t="shared" si="17"/>
        <v>0</v>
      </c>
    </row>
    <row r="206" spans="1:13" x14ac:dyDescent="0.25">
      <c r="A206" s="202"/>
      <c r="G206" s="173"/>
      <c r="H206" s="185">
        <v>201</v>
      </c>
      <c r="I206" s="186" t="str">
        <f t="shared" si="15"/>
        <v/>
      </c>
      <c r="J206" s="186" t="e">
        <f t="shared" si="18"/>
        <v>#NUM!</v>
      </c>
      <c r="K206" s="185" t="e">
        <f t="shared" si="16"/>
        <v>#NUM!</v>
      </c>
      <c r="L206" s="185"/>
      <c r="M206" s="187">
        <f t="shared" si="17"/>
        <v>0</v>
      </c>
    </row>
    <row r="207" spans="1:13" x14ac:dyDescent="0.25">
      <c r="A207" s="202"/>
      <c r="G207" s="173"/>
      <c r="H207" s="185">
        <v>202</v>
      </c>
      <c r="I207" s="186" t="str">
        <f t="shared" si="15"/>
        <v/>
      </c>
      <c r="J207" s="186" t="e">
        <f t="shared" si="18"/>
        <v>#NUM!</v>
      </c>
      <c r="K207" s="185" t="e">
        <f t="shared" si="16"/>
        <v>#NUM!</v>
      </c>
      <c r="L207" s="185"/>
      <c r="M207" s="187">
        <f t="shared" si="17"/>
        <v>0</v>
      </c>
    </row>
    <row r="208" spans="1:13" x14ac:dyDescent="0.25">
      <c r="A208" s="202"/>
      <c r="G208" s="173"/>
      <c r="H208" s="185">
        <v>203</v>
      </c>
      <c r="I208" s="186" t="str">
        <f t="shared" si="15"/>
        <v/>
      </c>
      <c r="J208" s="186" t="e">
        <f t="shared" si="18"/>
        <v>#NUM!</v>
      </c>
      <c r="K208" s="185" t="e">
        <f t="shared" si="16"/>
        <v>#NUM!</v>
      </c>
      <c r="L208" s="185"/>
      <c r="M208" s="187">
        <f t="shared" si="17"/>
        <v>0</v>
      </c>
    </row>
    <row r="209" spans="1:13" x14ac:dyDescent="0.25">
      <c r="A209" s="202"/>
      <c r="G209" s="173"/>
      <c r="H209" s="185">
        <v>204</v>
      </c>
      <c r="I209" s="186" t="str">
        <f t="shared" si="15"/>
        <v/>
      </c>
      <c r="J209" s="186" t="e">
        <f t="shared" si="18"/>
        <v>#NUM!</v>
      </c>
      <c r="K209" s="185" t="e">
        <f t="shared" si="16"/>
        <v>#NUM!</v>
      </c>
      <c r="L209" s="185"/>
      <c r="M209" s="187">
        <f t="shared" si="17"/>
        <v>0</v>
      </c>
    </row>
    <row r="210" spans="1:13" x14ac:dyDescent="0.25">
      <c r="A210" s="202"/>
      <c r="G210" s="173"/>
      <c r="H210" s="185">
        <v>205</v>
      </c>
      <c r="I210" s="186" t="str">
        <f t="shared" si="15"/>
        <v/>
      </c>
      <c r="J210" s="186" t="e">
        <f t="shared" si="18"/>
        <v>#NUM!</v>
      </c>
      <c r="K210" s="185" t="e">
        <f t="shared" si="16"/>
        <v>#NUM!</v>
      </c>
      <c r="L210" s="185"/>
      <c r="M210" s="187">
        <f t="shared" si="17"/>
        <v>0</v>
      </c>
    </row>
    <row r="211" spans="1:13" x14ac:dyDescent="0.25">
      <c r="A211" s="202"/>
      <c r="G211" s="173"/>
      <c r="H211" s="185">
        <v>206</v>
      </c>
      <c r="I211" s="186" t="str">
        <f t="shared" si="15"/>
        <v/>
      </c>
      <c r="J211" s="186" t="e">
        <f t="shared" si="18"/>
        <v>#NUM!</v>
      </c>
      <c r="K211" s="185" t="e">
        <f t="shared" si="16"/>
        <v>#NUM!</v>
      </c>
      <c r="L211" s="185"/>
      <c r="M211" s="187">
        <f t="shared" si="17"/>
        <v>0</v>
      </c>
    </row>
    <row r="212" spans="1:13" x14ac:dyDescent="0.25">
      <c r="A212" s="202"/>
      <c r="G212" s="173"/>
      <c r="H212" s="185">
        <v>207</v>
      </c>
      <c r="I212" s="186" t="str">
        <f t="shared" si="15"/>
        <v/>
      </c>
      <c r="J212" s="186" t="e">
        <f t="shared" si="18"/>
        <v>#NUM!</v>
      </c>
      <c r="K212" s="185" t="e">
        <f t="shared" si="16"/>
        <v>#NUM!</v>
      </c>
      <c r="L212" s="185"/>
      <c r="M212" s="187">
        <f t="shared" si="17"/>
        <v>0</v>
      </c>
    </row>
    <row r="213" spans="1:13" x14ac:dyDescent="0.25">
      <c r="A213" s="202"/>
      <c r="G213" s="173"/>
      <c r="H213" s="185">
        <v>208</v>
      </c>
      <c r="I213" s="186" t="str">
        <f t="shared" si="15"/>
        <v/>
      </c>
      <c r="J213" s="186" t="e">
        <f t="shared" si="18"/>
        <v>#NUM!</v>
      </c>
      <c r="K213" s="185" t="e">
        <f t="shared" si="16"/>
        <v>#NUM!</v>
      </c>
      <c r="L213" s="185"/>
      <c r="M213" s="187">
        <f t="shared" si="17"/>
        <v>0</v>
      </c>
    </row>
    <row r="214" spans="1:13" x14ac:dyDescent="0.25">
      <c r="A214" s="202"/>
      <c r="G214" s="173"/>
      <c r="H214" s="185">
        <v>209</v>
      </c>
      <c r="I214" s="186" t="str">
        <f t="shared" si="15"/>
        <v/>
      </c>
      <c r="J214" s="186" t="e">
        <f t="shared" si="18"/>
        <v>#NUM!</v>
      </c>
      <c r="K214" s="185" t="e">
        <f t="shared" si="16"/>
        <v>#NUM!</v>
      </c>
      <c r="L214" s="185"/>
      <c r="M214" s="187">
        <f t="shared" si="17"/>
        <v>0</v>
      </c>
    </row>
    <row r="215" spans="1:13" x14ac:dyDescent="0.25">
      <c r="A215" s="202"/>
      <c r="G215" s="173"/>
      <c r="H215" s="185">
        <v>210</v>
      </c>
      <c r="I215" s="186" t="str">
        <f t="shared" si="15"/>
        <v/>
      </c>
      <c r="J215" s="186" t="e">
        <f t="shared" si="18"/>
        <v>#NUM!</v>
      </c>
      <c r="K215" s="185" t="e">
        <f t="shared" si="16"/>
        <v>#NUM!</v>
      </c>
      <c r="L215" s="185"/>
      <c r="M215" s="187">
        <f t="shared" si="17"/>
        <v>0</v>
      </c>
    </row>
    <row r="216" spans="1:13" x14ac:dyDescent="0.25">
      <c r="A216" s="202"/>
      <c r="G216" s="173"/>
      <c r="H216" s="185">
        <v>211</v>
      </c>
      <c r="I216" s="186" t="str">
        <f t="shared" si="15"/>
        <v/>
      </c>
      <c r="J216" s="186" t="e">
        <f t="shared" si="18"/>
        <v>#NUM!</v>
      </c>
      <c r="K216" s="185" t="e">
        <f t="shared" si="16"/>
        <v>#NUM!</v>
      </c>
      <c r="L216" s="185"/>
      <c r="M216" s="187">
        <f t="shared" si="17"/>
        <v>0</v>
      </c>
    </row>
    <row r="217" spans="1:13" x14ac:dyDescent="0.25">
      <c r="A217" s="202"/>
      <c r="G217" s="173"/>
      <c r="H217" s="185">
        <v>212</v>
      </c>
      <c r="I217" s="186" t="str">
        <f t="shared" si="15"/>
        <v/>
      </c>
      <c r="J217" s="186" t="e">
        <f t="shared" si="18"/>
        <v>#NUM!</v>
      </c>
      <c r="K217" s="185" t="e">
        <f t="shared" si="16"/>
        <v>#NUM!</v>
      </c>
      <c r="L217" s="185"/>
      <c r="M217" s="187">
        <f t="shared" si="17"/>
        <v>0</v>
      </c>
    </row>
    <row r="218" spans="1:13" x14ac:dyDescent="0.25">
      <c r="A218" s="202"/>
      <c r="G218" s="173"/>
      <c r="H218" s="185">
        <v>213</v>
      </c>
      <c r="I218" s="186" t="str">
        <f t="shared" si="15"/>
        <v/>
      </c>
      <c r="J218" s="186" t="e">
        <f t="shared" si="18"/>
        <v>#NUM!</v>
      </c>
      <c r="K218" s="185" t="e">
        <f t="shared" si="16"/>
        <v>#NUM!</v>
      </c>
      <c r="L218" s="185"/>
      <c r="M218" s="187">
        <f t="shared" si="17"/>
        <v>0</v>
      </c>
    </row>
    <row r="219" spans="1:13" x14ac:dyDescent="0.25">
      <c r="A219" s="202"/>
      <c r="G219" s="173"/>
      <c r="H219" s="185">
        <v>214</v>
      </c>
      <c r="I219" s="186" t="str">
        <f t="shared" si="15"/>
        <v/>
      </c>
      <c r="J219" s="186" t="e">
        <f t="shared" si="18"/>
        <v>#NUM!</v>
      </c>
      <c r="K219" s="185" t="e">
        <f t="shared" si="16"/>
        <v>#NUM!</v>
      </c>
      <c r="L219" s="185"/>
      <c r="M219" s="187">
        <f t="shared" si="17"/>
        <v>0</v>
      </c>
    </row>
    <row r="220" spans="1:13" x14ac:dyDescent="0.25">
      <c r="A220" s="202"/>
      <c r="G220" s="173"/>
      <c r="H220" s="185">
        <v>215</v>
      </c>
      <c r="I220" s="186" t="str">
        <f t="shared" si="15"/>
        <v/>
      </c>
      <c r="J220" s="186" t="e">
        <f t="shared" si="18"/>
        <v>#NUM!</v>
      </c>
      <c r="K220" s="185" t="e">
        <f t="shared" si="16"/>
        <v>#NUM!</v>
      </c>
      <c r="L220" s="185"/>
      <c r="M220" s="187">
        <f t="shared" si="17"/>
        <v>0</v>
      </c>
    </row>
    <row r="221" spans="1:13" x14ac:dyDescent="0.25">
      <c r="A221" s="202"/>
      <c r="G221" s="173"/>
      <c r="H221" s="185">
        <v>216</v>
      </c>
      <c r="I221" s="186" t="str">
        <f t="shared" si="15"/>
        <v/>
      </c>
      <c r="J221" s="186" t="e">
        <f t="shared" si="18"/>
        <v>#NUM!</v>
      </c>
      <c r="K221" s="185" t="e">
        <f t="shared" si="16"/>
        <v>#NUM!</v>
      </c>
      <c r="L221" s="185"/>
      <c r="M221" s="187">
        <f t="shared" si="17"/>
        <v>0</v>
      </c>
    </row>
    <row r="222" spans="1:13" x14ac:dyDescent="0.25">
      <c r="A222" s="202"/>
      <c r="G222" s="173"/>
      <c r="H222" s="185">
        <v>217</v>
      </c>
      <c r="I222" s="186" t="str">
        <f t="shared" si="15"/>
        <v/>
      </c>
      <c r="J222" s="186" t="e">
        <f t="shared" si="18"/>
        <v>#NUM!</v>
      </c>
      <c r="K222" s="185" t="e">
        <f t="shared" si="16"/>
        <v>#NUM!</v>
      </c>
      <c r="L222" s="185"/>
      <c r="M222" s="187">
        <f t="shared" si="17"/>
        <v>0</v>
      </c>
    </row>
    <row r="223" spans="1:13" x14ac:dyDescent="0.25">
      <c r="A223" s="202"/>
      <c r="G223" s="173"/>
      <c r="H223" s="185">
        <v>218</v>
      </c>
      <c r="I223" s="186" t="str">
        <f t="shared" si="15"/>
        <v/>
      </c>
      <c r="J223" s="186" t="e">
        <f t="shared" si="18"/>
        <v>#NUM!</v>
      </c>
      <c r="K223" s="185" t="e">
        <f t="shared" si="16"/>
        <v>#NUM!</v>
      </c>
      <c r="L223" s="185"/>
      <c r="M223" s="187">
        <f t="shared" si="17"/>
        <v>0</v>
      </c>
    </row>
    <row r="224" spans="1:13" x14ac:dyDescent="0.25">
      <c r="A224" s="202"/>
      <c r="G224" s="173"/>
      <c r="H224" s="185">
        <v>219</v>
      </c>
      <c r="I224" s="186" t="str">
        <f t="shared" si="15"/>
        <v/>
      </c>
      <c r="J224" s="186" t="e">
        <f t="shared" si="18"/>
        <v>#NUM!</v>
      </c>
      <c r="K224" s="185" t="e">
        <f t="shared" si="16"/>
        <v>#NUM!</v>
      </c>
      <c r="L224" s="185"/>
      <c r="M224" s="187">
        <f t="shared" si="17"/>
        <v>0</v>
      </c>
    </row>
    <row r="225" spans="1:13" x14ac:dyDescent="0.25">
      <c r="A225" s="202"/>
      <c r="G225" s="173"/>
      <c r="H225" s="185">
        <v>220</v>
      </c>
      <c r="I225" s="186" t="str">
        <f t="shared" si="15"/>
        <v/>
      </c>
      <c r="J225" s="186" t="e">
        <f t="shared" si="18"/>
        <v>#NUM!</v>
      </c>
      <c r="K225" s="185" t="e">
        <f t="shared" si="16"/>
        <v>#NUM!</v>
      </c>
      <c r="L225" s="185"/>
      <c r="M225" s="187">
        <f t="shared" si="17"/>
        <v>0</v>
      </c>
    </row>
    <row r="226" spans="1:13" x14ac:dyDescent="0.25">
      <c r="A226" s="202"/>
      <c r="G226" s="173"/>
      <c r="H226" s="185">
        <v>221</v>
      </c>
      <c r="I226" s="186" t="str">
        <f t="shared" si="15"/>
        <v/>
      </c>
      <c r="J226" s="186" t="e">
        <f t="shared" si="18"/>
        <v>#NUM!</v>
      </c>
      <c r="K226" s="185" t="e">
        <f t="shared" si="16"/>
        <v>#NUM!</v>
      </c>
      <c r="L226" s="185"/>
      <c r="M226" s="187">
        <f t="shared" si="17"/>
        <v>0</v>
      </c>
    </row>
    <row r="227" spans="1:13" x14ac:dyDescent="0.25">
      <c r="A227" s="202"/>
      <c r="G227" s="173"/>
      <c r="H227" s="185">
        <v>222</v>
      </c>
      <c r="I227" s="186" t="str">
        <f t="shared" si="15"/>
        <v/>
      </c>
      <c r="J227" s="186" t="e">
        <f t="shared" si="18"/>
        <v>#NUM!</v>
      </c>
      <c r="K227" s="185" t="e">
        <f t="shared" si="16"/>
        <v>#NUM!</v>
      </c>
      <c r="L227" s="185"/>
      <c r="M227" s="187">
        <f t="shared" si="17"/>
        <v>0</v>
      </c>
    </row>
    <row r="228" spans="1:13" x14ac:dyDescent="0.25">
      <c r="A228" s="202"/>
      <c r="G228" s="173"/>
      <c r="H228" s="185">
        <v>223</v>
      </c>
      <c r="I228" s="186" t="str">
        <f t="shared" si="15"/>
        <v/>
      </c>
      <c r="J228" s="186" t="e">
        <f t="shared" si="18"/>
        <v>#NUM!</v>
      </c>
      <c r="K228" s="185" t="e">
        <f t="shared" si="16"/>
        <v>#NUM!</v>
      </c>
      <c r="L228" s="185"/>
      <c r="M228" s="187">
        <f t="shared" si="17"/>
        <v>0</v>
      </c>
    </row>
    <row r="229" spans="1:13" x14ac:dyDescent="0.25">
      <c r="A229" s="202"/>
      <c r="G229" s="173"/>
      <c r="H229" s="185">
        <v>224</v>
      </c>
      <c r="I229" s="186" t="str">
        <f t="shared" si="15"/>
        <v/>
      </c>
      <c r="J229" s="186" t="e">
        <f t="shared" si="18"/>
        <v>#NUM!</v>
      </c>
      <c r="K229" s="185" t="e">
        <f t="shared" si="16"/>
        <v>#NUM!</v>
      </c>
      <c r="L229" s="185"/>
      <c r="M229" s="187">
        <f t="shared" si="17"/>
        <v>0</v>
      </c>
    </row>
    <row r="230" spans="1:13" x14ac:dyDescent="0.25">
      <c r="A230" s="202"/>
      <c r="G230" s="173"/>
      <c r="H230" s="185">
        <v>225</v>
      </c>
      <c r="I230" s="186" t="str">
        <f t="shared" si="15"/>
        <v/>
      </c>
      <c r="J230" s="186" t="e">
        <f t="shared" si="18"/>
        <v>#NUM!</v>
      </c>
      <c r="K230" s="185" t="e">
        <f t="shared" si="16"/>
        <v>#NUM!</v>
      </c>
      <c r="L230" s="185"/>
      <c r="M230" s="187">
        <f t="shared" si="17"/>
        <v>0</v>
      </c>
    </row>
    <row r="231" spans="1:13" x14ac:dyDescent="0.25">
      <c r="A231" s="202"/>
      <c r="G231" s="173"/>
      <c r="H231" s="185">
        <v>226</v>
      </c>
      <c r="I231" s="186" t="str">
        <f t="shared" si="15"/>
        <v/>
      </c>
      <c r="J231" s="186" t="e">
        <f t="shared" si="18"/>
        <v>#NUM!</v>
      </c>
      <c r="K231" s="185" t="e">
        <f t="shared" si="16"/>
        <v>#NUM!</v>
      </c>
      <c r="L231" s="185"/>
      <c r="M231" s="187">
        <f t="shared" si="17"/>
        <v>0</v>
      </c>
    </row>
    <row r="232" spans="1:13" x14ac:dyDescent="0.25">
      <c r="A232" s="202"/>
      <c r="G232" s="173"/>
      <c r="H232" s="185">
        <v>227</v>
      </c>
      <c r="I232" s="186" t="str">
        <f t="shared" si="15"/>
        <v/>
      </c>
      <c r="J232" s="186" t="e">
        <f t="shared" si="18"/>
        <v>#NUM!</v>
      </c>
      <c r="K232" s="185" t="e">
        <f t="shared" si="16"/>
        <v>#NUM!</v>
      </c>
      <c r="L232" s="185"/>
      <c r="M232" s="187">
        <f t="shared" si="17"/>
        <v>0</v>
      </c>
    </row>
    <row r="233" spans="1:13" x14ac:dyDescent="0.25">
      <c r="A233" s="202"/>
      <c r="G233" s="173"/>
      <c r="H233" s="185">
        <v>228</v>
      </c>
      <c r="I233" s="186" t="str">
        <f t="shared" si="15"/>
        <v/>
      </c>
      <c r="J233" s="186" t="e">
        <f t="shared" si="18"/>
        <v>#NUM!</v>
      </c>
      <c r="K233" s="185" t="e">
        <f t="shared" si="16"/>
        <v>#NUM!</v>
      </c>
      <c r="L233" s="185"/>
      <c r="M233" s="187">
        <f t="shared" si="17"/>
        <v>0</v>
      </c>
    </row>
    <row r="234" spans="1:13" x14ac:dyDescent="0.25">
      <c r="A234" s="202"/>
      <c r="G234" s="173"/>
      <c r="H234" s="185">
        <v>229</v>
      </c>
      <c r="I234" s="186" t="str">
        <f t="shared" si="15"/>
        <v/>
      </c>
      <c r="J234" s="186" t="e">
        <f t="shared" si="18"/>
        <v>#NUM!</v>
      </c>
      <c r="K234" s="185" t="e">
        <f t="shared" si="16"/>
        <v>#NUM!</v>
      </c>
      <c r="L234" s="185"/>
      <c r="M234" s="187">
        <f t="shared" si="17"/>
        <v>0</v>
      </c>
    </row>
    <row r="235" spans="1:13" x14ac:dyDescent="0.25">
      <c r="A235" s="202"/>
      <c r="G235" s="173"/>
      <c r="H235" s="185">
        <v>230</v>
      </c>
      <c r="I235" s="186" t="str">
        <f t="shared" si="15"/>
        <v/>
      </c>
      <c r="J235" s="186" t="e">
        <f t="shared" si="18"/>
        <v>#NUM!</v>
      </c>
      <c r="K235" s="185" t="e">
        <f t="shared" si="16"/>
        <v>#NUM!</v>
      </c>
      <c r="L235" s="185"/>
      <c r="M235" s="187">
        <f t="shared" si="17"/>
        <v>0</v>
      </c>
    </row>
    <row r="236" spans="1:13" x14ac:dyDescent="0.25">
      <c r="A236" s="202"/>
      <c r="G236" s="173"/>
      <c r="H236" s="185">
        <v>231</v>
      </c>
      <c r="I236" s="186" t="str">
        <f t="shared" si="15"/>
        <v/>
      </c>
      <c r="J236" s="186" t="e">
        <f t="shared" si="18"/>
        <v>#NUM!</v>
      </c>
      <c r="K236" s="185" t="e">
        <f t="shared" si="16"/>
        <v>#NUM!</v>
      </c>
      <c r="L236" s="185"/>
      <c r="M236" s="187">
        <f t="shared" si="17"/>
        <v>0</v>
      </c>
    </row>
    <row r="237" spans="1:13" x14ac:dyDescent="0.25">
      <c r="A237" s="202"/>
      <c r="G237" s="173"/>
      <c r="H237" s="185">
        <v>232</v>
      </c>
      <c r="I237" s="186" t="str">
        <f t="shared" si="15"/>
        <v/>
      </c>
      <c r="J237" s="186" t="e">
        <f t="shared" si="18"/>
        <v>#NUM!</v>
      </c>
      <c r="K237" s="185" t="e">
        <f t="shared" si="16"/>
        <v>#NUM!</v>
      </c>
      <c r="L237" s="185"/>
      <c r="M237" s="187">
        <f t="shared" si="17"/>
        <v>0</v>
      </c>
    </row>
    <row r="238" spans="1:13" x14ac:dyDescent="0.25">
      <c r="A238" s="202"/>
      <c r="G238" s="173"/>
      <c r="H238" s="185">
        <v>233</v>
      </c>
      <c r="I238" s="186" t="str">
        <f t="shared" si="15"/>
        <v/>
      </c>
      <c r="J238" s="186" t="e">
        <f t="shared" si="18"/>
        <v>#NUM!</v>
      </c>
      <c r="K238" s="185" t="e">
        <f t="shared" si="16"/>
        <v>#NUM!</v>
      </c>
      <c r="L238" s="185"/>
      <c r="M238" s="187">
        <f t="shared" si="17"/>
        <v>0</v>
      </c>
    </row>
    <row r="239" spans="1:13" x14ac:dyDescent="0.25">
      <c r="A239" s="202"/>
      <c r="G239" s="173"/>
      <c r="H239" s="185">
        <v>234</v>
      </c>
      <c r="I239" s="186" t="str">
        <f t="shared" si="15"/>
        <v/>
      </c>
      <c r="J239" s="186" t="e">
        <f t="shared" si="18"/>
        <v>#NUM!</v>
      </c>
      <c r="K239" s="185" t="e">
        <f t="shared" si="16"/>
        <v>#NUM!</v>
      </c>
      <c r="L239" s="185"/>
      <c r="M239" s="187">
        <f t="shared" si="17"/>
        <v>0</v>
      </c>
    </row>
    <row r="240" spans="1:13" x14ac:dyDescent="0.25">
      <c r="A240" s="202"/>
      <c r="G240" s="173"/>
      <c r="H240" s="185">
        <v>235</v>
      </c>
      <c r="I240" s="186" t="str">
        <f t="shared" si="15"/>
        <v/>
      </c>
      <c r="J240" s="186" t="e">
        <f t="shared" si="18"/>
        <v>#NUM!</v>
      </c>
      <c r="K240" s="185" t="e">
        <f t="shared" si="16"/>
        <v>#NUM!</v>
      </c>
      <c r="L240" s="185"/>
      <c r="M240" s="187">
        <f t="shared" si="17"/>
        <v>0</v>
      </c>
    </row>
    <row r="241" spans="1:13" x14ac:dyDescent="0.25">
      <c r="A241" s="202"/>
      <c r="G241" s="173"/>
      <c r="H241" s="185">
        <v>236</v>
      </c>
      <c r="I241" s="186" t="str">
        <f t="shared" si="15"/>
        <v/>
      </c>
      <c r="J241" s="186" t="e">
        <f t="shared" si="18"/>
        <v>#NUM!</v>
      </c>
      <c r="K241" s="185" t="e">
        <f t="shared" si="16"/>
        <v>#NUM!</v>
      </c>
      <c r="L241" s="185"/>
      <c r="M241" s="187">
        <f t="shared" si="17"/>
        <v>0</v>
      </c>
    </row>
    <row r="242" spans="1:13" x14ac:dyDescent="0.25">
      <c r="A242" s="202"/>
      <c r="G242" s="173"/>
      <c r="H242" s="185">
        <v>237</v>
      </c>
      <c r="I242" s="186" t="str">
        <f t="shared" si="15"/>
        <v/>
      </c>
      <c r="J242" s="186" t="e">
        <f t="shared" si="18"/>
        <v>#NUM!</v>
      </c>
      <c r="K242" s="185" t="e">
        <f t="shared" si="16"/>
        <v>#NUM!</v>
      </c>
      <c r="L242" s="185"/>
      <c r="M242" s="187">
        <f t="shared" si="17"/>
        <v>0</v>
      </c>
    </row>
    <row r="243" spans="1:13" x14ac:dyDescent="0.25">
      <c r="A243" s="202"/>
      <c r="G243" s="173"/>
      <c r="H243" s="185">
        <v>238</v>
      </c>
      <c r="I243" s="186" t="str">
        <f t="shared" si="15"/>
        <v/>
      </c>
      <c r="J243" s="186" t="e">
        <f t="shared" si="18"/>
        <v>#NUM!</v>
      </c>
      <c r="K243" s="185" t="e">
        <f t="shared" si="16"/>
        <v>#NUM!</v>
      </c>
      <c r="L243" s="185"/>
      <c r="M243" s="187">
        <f t="shared" si="17"/>
        <v>0</v>
      </c>
    </row>
    <row r="244" spans="1:13" x14ac:dyDescent="0.25">
      <c r="A244" s="202"/>
      <c r="G244" s="173"/>
      <c r="H244" s="185">
        <v>239</v>
      </c>
      <c r="I244" s="186" t="str">
        <f t="shared" si="15"/>
        <v/>
      </c>
      <c r="J244" s="186" t="e">
        <f t="shared" si="18"/>
        <v>#NUM!</v>
      </c>
      <c r="K244" s="185" t="e">
        <f t="shared" si="16"/>
        <v>#NUM!</v>
      </c>
      <c r="L244" s="185"/>
      <c r="M244" s="187">
        <f t="shared" si="17"/>
        <v>0</v>
      </c>
    </row>
    <row r="245" spans="1:13" x14ac:dyDescent="0.25">
      <c r="A245" s="202"/>
      <c r="G245" s="173"/>
      <c r="H245" s="185">
        <v>240</v>
      </c>
      <c r="I245" s="186" t="str">
        <f t="shared" si="15"/>
        <v/>
      </c>
      <c r="J245" s="186" t="e">
        <f t="shared" si="18"/>
        <v>#NUM!</v>
      </c>
      <c r="K245" s="185" t="e">
        <f t="shared" si="16"/>
        <v>#NUM!</v>
      </c>
      <c r="L245" s="185"/>
      <c r="M245" s="187">
        <f t="shared" si="17"/>
        <v>0</v>
      </c>
    </row>
    <row r="246" spans="1:13" x14ac:dyDescent="0.25">
      <c r="A246" s="202"/>
      <c r="G246" s="173"/>
      <c r="H246" s="185">
        <v>241</v>
      </c>
      <c r="I246" s="186" t="str">
        <f t="shared" si="15"/>
        <v/>
      </c>
      <c r="J246" s="186" t="e">
        <f t="shared" si="18"/>
        <v>#NUM!</v>
      </c>
      <c r="K246" s="185" t="e">
        <f t="shared" si="16"/>
        <v>#NUM!</v>
      </c>
      <c r="L246" s="185"/>
      <c r="M246" s="187">
        <f t="shared" si="17"/>
        <v>0</v>
      </c>
    </row>
    <row r="247" spans="1:13" x14ac:dyDescent="0.25">
      <c r="A247" s="202"/>
      <c r="G247" s="173"/>
      <c r="H247" s="185">
        <v>242</v>
      </c>
      <c r="I247" s="186" t="str">
        <f t="shared" si="15"/>
        <v/>
      </c>
      <c r="J247" s="186" t="e">
        <f t="shared" si="18"/>
        <v>#NUM!</v>
      </c>
      <c r="K247" s="185" t="e">
        <f t="shared" si="16"/>
        <v>#NUM!</v>
      </c>
      <c r="L247" s="185"/>
      <c r="M247" s="187">
        <f t="shared" si="17"/>
        <v>0</v>
      </c>
    </row>
    <row r="248" spans="1:13" x14ac:dyDescent="0.25">
      <c r="A248" s="202"/>
      <c r="G248" s="173"/>
      <c r="H248" s="185">
        <v>243</v>
      </c>
      <c r="I248" s="186" t="str">
        <f t="shared" si="15"/>
        <v/>
      </c>
      <c r="J248" s="186" t="e">
        <f t="shared" si="18"/>
        <v>#NUM!</v>
      </c>
      <c r="K248" s="185" t="e">
        <f t="shared" si="16"/>
        <v>#NUM!</v>
      </c>
      <c r="L248" s="185"/>
      <c r="M248" s="187">
        <f t="shared" si="17"/>
        <v>0</v>
      </c>
    </row>
    <row r="249" spans="1:13" x14ac:dyDescent="0.25">
      <c r="A249" s="202"/>
      <c r="G249" s="173"/>
      <c r="H249" s="185">
        <v>244</v>
      </c>
      <c r="I249" s="186" t="str">
        <f t="shared" si="15"/>
        <v/>
      </c>
      <c r="J249" s="186" t="e">
        <f t="shared" si="18"/>
        <v>#NUM!</v>
      </c>
      <c r="K249" s="185" t="e">
        <f t="shared" si="16"/>
        <v>#NUM!</v>
      </c>
      <c r="L249" s="185"/>
      <c r="M249" s="187">
        <f t="shared" si="17"/>
        <v>0</v>
      </c>
    </row>
    <row r="250" spans="1:13" x14ac:dyDescent="0.25">
      <c r="A250" s="202"/>
      <c r="G250" s="173"/>
      <c r="H250" s="185">
        <v>245</v>
      </c>
      <c r="I250" s="186" t="str">
        <f t="shared" si="15"/>
        <v/>
      </c>
      <c r="J250" s="186" t="e">
        <f t="shared" si="18"/>
        <v>#NUM!</v>
      </c>
      <c r="K250" s="185" t="e">
        <f t="shared" si="16"/>
        <v>#NUM!</v>
      </c>
      <c r="L250" s="185"/>
      <c r="M250" s="187">
        <f t="shared" si="17"/>
        <v>0</v>
      </c>
    </row>
    <row r="251" spans="1:13" x14ac:dyDescent="0.25">
      <c r="A251" s="202"/>
      <c r="G251" s="173"/>
      <c r="H251" s="185">
        <v>246</v>
      </c>
      <c r="I251" s="186" t="str">
        <f t="shared" si="15"/>
        <v/>
      </c>
      <c r="J251" s="186" t="e">
        <f t="shared" si="18"/>
        <v>#NUM!</v>
      </c>
      <c r="K251" s="185" t="e">
        <f t="shared" si="16"/>
        <v>#NUM!</v>
      </c>
      <c r="L251" s="185"/>
      <c r="M251" s="187">
        <f t="shared" si="17"/>
        <v>0</v>
      </c>
    </row>
    <row r="252" spans="1:13" x14ac:dyDescent="0.25">
      <c r="A252" s="202"/>
      <c r="G252" s="173"/>
      <c r="H252" s="185">
        <v>247</v>
      </c>
      <c r="I252" s="186" t="str">
        <f t="shared" si="15"/>
        <v/>
      </c>
      <c r="J252" s="186" t="e">
        <f t="shared" si="18"/>
        <v>#NUM!</v>
      </c>
      <c r="K252" s="185" t="e">
        <f t="shared" si="16"/>
        <v>#NUM!</v>
      </c>
      <c r="L252" s="185"/>
      <c r="M252" s="187">
        <f t="shared" si="17"/>
        <v>0</v>
      </c>
    </row>
    <row r="253" spans="1:13" x14ac:dyDescent="0.25">
      <c r="A253" s="202"/>
      <c r="G253" s="173"/>
      <c r="H253" s="185">
        <v>248</v>
      </c>
      <c r="I253" s="186" t="str">
        <f t="shared" si="15"/>
        <v/>
      </c>
      <c r="J253" s="186" t="e">
        <f t="shared" si="18"/>
        <v>#NUM!</v>
      </c>
      <c r="K253" s="185" t="e">
        <f t="shared" si="16"/>
        <v>#NUM!</v>
      </c>
      <c r="L253" s="185"/>
      <c r="M253" s="187">
        <f t="shared" si="17"/>
        <v>0</v>
      </c>
    </row>
    <row r="254" spans="1:13" x14ac:dyDescent="0.25">
      <c r="A254" s="202"/>
      <c r="G254" s="173"/>
      <c r="H254" s="185">
        <v>249</v>
      </c>
      <c r="I254" s="186" t="str">
        <f t="shared" si="15"/>
        <v/>
      </c>
      <c r="J254" s="186" t="e">
        <f t="shared" si="18"/>
        <v>#NUM!</v>
      </c>
      <c r="K254" s="185" t="e">
        <f t="shared" si="16"/>
        <v>#NUM!</v>
      </c>
      <c r="L254" s="185"/>
      <c r="M254" s="187">
        <f t="shared" si="17"/>
        <v>0</v>
      </c>
    </row>
    <row r="255" spans="1:13" x14ac:dyDescent="0.25">
      <c r="A255" s="202"/>
      <c r="G255" s="173"/>
      <c r="H255" s="185">
        <v>250</v>
      </c>
      <c r="I255" s="186" t="str">
        <f t="shared" si="15"/>
        <v/>
      </c>
      <c r="J255" s="186" t="e">
        <f t="shared" si="18"/>
        <v>#NUM!</v>
      </c>
      <c r="K255" s="185" t="e">
        <f t="shared" si="16"/>
        <v>#NUM!</v>
      </c>
      <c r="L255" s="185"/>
      <c r="M255" s="187">
        <f t="shared" si="17"/>
        <v>0</v>
      </c>
    </row>
    <row r="256" spans="1:13" x14ac:dyDescent="0.25">
      <c r="A256" s="202"/>
      <c r="G256" s="173"/>
      <c r="H256" s="185">
        <v>251</v>
      </c>
      <c r="I256" s="186" t="str">
        <f t="shared" si="15"/>
        <v/>
      </c>
      <c r="J256" s="186" t="e">
        <f t="shared" si="18"/>
        <v>#NUM!</v>
      </c>
      <c r="K256" s="185" t="e">
        <f t="shared" si="16"/>
        <v>#NUM!</v>
      </c>
      <c r="L256" s="185"/>
      <c r="M256" s="187">
        <f t="shared" si="17"/>
        <v>0</v>
      </c>
    </row>
    <row r="257" spans="1:13" x14ac:dyDescent="0.25">
      <c r="A257" s="202"/>
      <c r="G257" s="173"/>
      <c r="H257" s="185">
        <v>252</v>
      </c>
      <c r="I257" s="186" t="str">
        <f t="shared" si="15"/>
        <v/>
      </c>
      <c r="J257" s="186" t="e">
        <f t="shared" si="18"/>
        <v>#NUM!</v>
      </c>
      <c r="K257" s="185" t="e">
        <f t="shared" si="16"/>
        <v>#NUM!</v>
      </c>
      <c r="L257" s="185"/>
      <c r="M257" s="187">
        <f t="shared" si="17"/>
        <v>0</v>
      </c>
    </row>
    <row r="258" spans="1:13" x14ac:dyDescent="0.25">
      <c r="A258" s="202"/>
      <c r="G258" s="173"/>
      <c r="H258" s="185">
        <v>253</v>
      </c>
      <c r="I258" s="186" t="str">
        <f t="shared" si="15"/>
        <v/>
      </c>
      <c r="J258" s="186" t="e">
        <f t="shared" si="18"/>
        <v>#NUM!</v>
      </c>
      <c r="K258" s="185" t="e">
        <f t="shared" si="16"/>
        <v>#NUM!</v>
      </c>
      <c r="L258" s="185"/>
      <c r="M258" s="187">
        <f t="shared" si="17"/>
        <v>0</v>
      </c>
    </row>
    <row r="259" spans="1:13" x14ac:dyDescent="0.25">
      <c r="A259" s="202"/>
      <c r="G259" s="173"/>
      <c r="H259" s="185">
        <v>254</v>
      </c>
      <c r="I259" s="186" t="str">
        <f t="shared" si="15"/>
        <v/>
      </c>
      <c r="J259" s="186" t="e">
        <f t="shared" si="18"/>
        <v>#NUM!</v>
      </c>
      <c r="K259" s="185" t="e">
        <f t="shared" si="16"/>
        <v>#NUM!</v>
      </c>
      <c r="L259" s="185"/>
      <c r="M259" s="187">
        <f t="shared" si="17"/>
        <v>0</v>
      </c>
    </row>
    <row r="260" spans="1:13" x14ac:dyDescent="0.25">
      <c r="A260" s="202"/>
      <c r="G260" s="173"/>
      <c r="H260" s="185">
        <v>255</v>
      </c>
      <c r="I260" s="186" t="str">
        <f t="shared" si="15"/>
        <v/>
      </c>
      <c r="J260" s="186" t="e">
        <f t="shared" si="18"/>
        <v>#NUM!</v>
      </c>
      <c r="K260" s="185" t="e">
        <f t="shared" si="16"/>
        <v>#NUM!</v>
      </c>
      <c r="L260" s="185"/>
      <c r="M260" s="187">
        <f t="shared" si="17"/>
        <v>0</v>
      </c>
    </row>
    <row r="261" spans="1:13" x14ac:dyDescent="0.25">
      <c r="A261" s="202"/>
      <c r="G261" s="173"/>
      <c r="H261" s="185">
        <v>256</v>
      </c>
      <c r="I261" s="186" t="str">
        <f t="shared" si="15"/>
        <v/>
      </c>
      <c r="J261" s="186" t="e">
        <f t="shared" si="18"/>
        <v>#NUM!</v>
      </c>
      <c r="K261" s="185" t="e">
        <f t="shared" si="16"/>
        <v>#NUM!</v>
      </c>
      <c r="L261" s="185"/>
      <c r="M261" s="187">
        <f t="shared" si="17"/>
        <v>0</v>
      </c>
    </row>
    <row r="262" spans="1:13" x14ac:dyDescent="0.25">
      <c r="A262" s="202"/>
      <c r="G262" s="173"/>
      <c r="H262" s="185">
        <v>257</v>
      </c>
      <c r="I262" s="186" t="str">
        <f t="shared" ref="I262:I305" si="19">IF(H262&lt;$H$2+1,($I$2-($I$2-1)*(LOG(H262)/LOG($H$2))),"")</f>
        <v/>
      </c>
      <c r="J262" s="186" t="e">
        <f t="shared" si="18"/>
        <v>#NUM!</v>
      </c>
      <c r="K262" s="185" t="e">
        <f t="shared" ref="K262:K305" si="20">J262*$J$2</f>
        <v>#NUM!</v>
      </c>
      <c r="L262" s="185"/>
      <c r="M262" s="187">
        <f t="shared" ref="M262:M305" si="21">IF(I262&lt;&gt;"",K262+I262+L262,0)</f>
        <v>0</v>
      </c>
    </row>
    <row r="263" spans="1:13" x14ac:dyDescent="0.25">
      <c r="A263" s="202"/>
      <c r="G263" s="173"/>
      <c r="H263" s="185">
        <v>258</v>
      </c>
      <c r="I263" s="186" t="str">
        <f t="shared" si="19"/>
        <v/>
      </c>
      <c r="J263" s="186" t="e">
        <f t="shared" ref="J263:J305" si="22">INT(LOG($H$2,2))-ROUNDUP(LOG(H263,2),0)+IF(OR($H$2=1,$H$2=2,$H$2=4,$H$2=8,$H$2=16,$H$2=32,$H$2=64,$H$2=128,$H$2=256),0,1)</f>
        <v>#NUM!</v>
      </c>
      <c r="K263" s="185" t="e">
        <f t="shared" si="20"/>
        <v>#NUM!</v>
      </c>
      <c r="L263" s="185"/>
      <c r="M263" s="187">
        <f t="shared" si="21"/>
        <v>0</v>
      </c>
    </row>
    <row r="264" spans="1:13" x14ac:dyDescent="0.25">
      <c r="A264" s="202"/>
      <c r="G264" s="173"/>
      <c r="H264" s="185">
        <v>259</v>
      </c>
      <c r="I264" s="186" t="str">
        <f t="shared" si="19"/>
        <v/>
      </c>
      <c r="J264" s="186" t="e">
        <f t="shared" si="22"/>
        <v>#NUM!</v>
      </c>
      <c r="K264" s="185" t="e">
        <f t="shared" si="20"/>
        <v>#NUM!</v>
      </c>
      <c r="L264" s="185"/>
      <c r="M264" s="187">
        <f t="shared" si="21"/>
        <v>0</v>
      </c>
    </row>
    <row r="265" spans="1:13" x14ac:dyDescent="0.25">
      <c r="A265" s="202"/>
      <c r="G265" s="173"/>
      <c r="H265" s="185">
        <v>260</v>
      </c>
      <c r="I265" s="186" t="str">
        <f t="shared" si="19"/>
        <v/>
      </c>
      <c r="J265" s="186" t="e">
        <f t="shared" si="22"/>
        <v>#NUM!</v>
      </c>
      <c r="K265" s="185" t="e">
        <f t="shared" si="20"/>
        <v>#NUM!</v>
      </c>
      <c r="L265" s="185"/>
      <c r="M265" s="187">
        <f t="shared" si="21"/>
        <v>0</v>
      </c>
    </row>
    <row r="266" spans="1:13" x14ac:dyDescent="0.25">
      <c r="A266" s="202"/>
      <c r="G266" s="173"/>
      <c r="H266" s="185">
        <v>261</v>
      </c>
      <c r="I266" s="186" t="str">
        <f t="shared" si="19"/>
        <v/>
      </c>
      <c r="J266" s="186" t="e">
        <f t="shared" si="22"/>
        <v>#NUM!</v>
      </c>
      <c r="K266" s="185" t="e">
        <f t="shared" si="20"/>
        <v>#NUM!</v>
      </c>
      <c r="L266" s="185"/>
      <c r="M266" s="187">
        <f t="shared" si="21"/>
        <v>0</v>
      </c>
    </row>
    <row r="267" spans="1:13" x14ac:dyDescent="0.25">
      <c r="A267" s="202"/>
      <c r="G267" s="173"/>
      <c r="H267" s="185">
        <v>262</v>
      </c>
      <c r="I267" s="186" t="str">
        <f t="shared" si="19"/>
        <v/>
      </c>
      <c r="J267" s="186" t="e">
        <f t="shared" si="22"/>
        <v>#NUM!</v>
      </c>
      <c r="K267" s="185" t="e">
        <f t="shared" si="20"/>
        <v>#NUM!</v>
      </c>
      <c r="L267" s="185"/>
      <c r="M267" s="187">
        <f t="shared" si="21"/>
        <v>0</v>
      </c>
    </row>
    <row r="268" spans="1:13" x14ac:dyDescent="0.25">
      <c r="A268" s="202"/>
      <c r="G268" s="173"/>
      <c r="H268" s="185">
        <v>263</v>
      </c>
      <c r="I268" s="186" t="str">
        <f t="shared" si="19"/>
        <v/>
      </c>
      <c r="J268" s="186" t="e">
        <f t="shared" si="22"/>
        <v>#NUM!</v>
      </c>
      <c r="K268" s="185" t="e">
        <f t="shared" si="20"/>
        <v>#NUM!</v>
      </c>
      <c r="L268" s="185"/>
      <c r="M268" s="187">
        <f t="shared" si="21"/>
        <v>0</v>
      </c>
    </row>
    <row r="269" spans="1:13" x14ac:dyDescent="0.25">
      <c r="A269" s="202"/>
      <c r="G269" s="173"/>
      <c r="H269" s="185">
        <v>264</v>
      </c>
      <c r="I269" s="186" t="str">
        <f t="shared" si="19"/>
        <v/>
      </c>
      <c r="J269" s="186" t="e">
        <f t="shared" si="22"/>
        <v>#NUM!</v>
      </c>
      <c r="K269" s="185" t="e">
        <f t="shared" si="20"/>
        <v>#NUM!</v>
      </c>
      <c r="L269" s="185"/>
      <c r="M269" s="187">
        <f t="shared" si="21"/>
        <v>0</v>
      </c>
    </row>
    <row r="270" spans="1:13" x14ac:dyDescent="0.25">
      <c r="A270" s="202"/>
      <c r="G270" s="173"/>
      <c r="H270" s="185">
        <v>265</v>
      </c>
      <c r="I270" s="186" t="str">
        <f t="shared" si="19"/>
        <v/>
      </c>
      <c r="J270" s="186" t="e">
        <f t="shared" si="22"/>
        <v>#NUM!</v>
      </c>
      <c r="K270" s="185" t="e">
        <f t="shared" si="20"/>
        <v>#NUM!</v>
      </c>
      <c r="L270" s="185"/>
      <c r="M270" s="187">
        <f t="shared" si="21"/>
        <v>0</v>
      </c>
    </row>
    <row r="271" spans="1:13" x14ac:dyDescent="0.25">
      <c r="A271" s="202"/>
      <c r="G271" s="173"/>
      <c r="H271" s="185">
        <v>266</v>
      </c>
      <c r="I271" s="186" t="str">
        <f t="shared" si="19"/>
        <v/>
      </c>
      <c r="J271" s="186" t="e">
        <f t="shared" si="22"/>
        <v>#NUM!</v>
      </c>
      <c r="K271" s="185" t="e">
        <f t="shared" si="20"/>
        <v>#NUM!</v>
      </c>
      <c r="L271" s="185"/>
      <c r="M271" s="187">
        <f t="shared" si="21"/>
        <v>0</v>
      </c>
    </row>
    <row r="272" spans="1:13" x14ac:dyDescent="0.25">
      <c r="A272" s="202"/>
      <c r="G272" s="173"/>
      <c r="H272" s="185">
        <v>267</v>
      </c>
      <c r="I272" s="186" t="str">
        <f t="shared" si="19"/>
        <v/>
      </c>
      <c r="J272" s="186" t="e">
        <f t="shared" si="22"/>
        <v>#NUM!</v>
      </c>
      <c r="K272" s="185" t="e">
        <f t="shared" si="20"/>
        <v>#NUM!</v>
      </c>
      <c r="L272" s="185"/>
      <c r="M272" s="187">
        <f t="shared" si="21"/>
        <v>0</v>
      </c>
    </row>
    <row r="273" spans="1:13" x14ac:dyDescent="0.25">
      <c r="A273" s="202"/>
      <c r="G273" s="173"/>
      <c r="H273" s="185">
        <v>268</v>
      </c>
      <c r="I273" s="186" t="str">
        <f t="shared" si="19"/>
        <v/>
      </c>
      <c r="J273" s="186" t="e">
        <f t="shared" si="22"/>
        <v>#NUM!</v>
      </c>
      <c r="K273" s="185" t="e">
        <f t="shared" si="20"/>
        <v>#NUM!</v>
      </c>
      <c r="L273" s="185"/>
      <c r="M273" s="187">
        <f t="shared" si="21"/>
        <v>0</v>
      </c>
    </row>
    <row r="274" spans="1:13" x14ac:dyDescent="0.25">
      <c r="A274" s="202"/>
      <c r="G274" s="173"/>
      <c r="H274" s="185">
        <v>269</v>
      </c>
      <c r="I274" s="186" t="str">
        <f t="shared" si="19"/>
        <v/>
      </c>
      <c r="J274" s="186" t="e">
        <f t="shared" si="22"/>
        <v>#NUM!</v>
      </c>
      <c r="K274" s="185" t="e">
        <f t="shared" si="20"/>
        <v>#NUM!</v>
      </c>
      <c r="L274" s="185"/>
      <c r="M274" s="187">
        <f t="shared" si="21"/>
        <v>0</v>
      </c>
    </row>
    <row r="275" spans="1:13" x14ac:dyDescent="0.25">
      <c r="A275" s="202"/>
      <c r="G275" s="173"/>
      <c r="H275" s="185">
        <v>270</v>
      </c>
      <c r="I275" s="186" t="str">
        <f t="shared" si="19"/>
        <v/>
      </c>
      <c r="J275" s="186" t="e">
        <f t="shared" si="22"/>
        <v>#NUM!</v>
      </c>
      <c r="K275" s="185" t="e">
        <f t="shared" si="20"/>
        <v>#NUM!</v>
      </c>
      <c r="L275" s="185"/>
      <c r="M275" s="187">
        <f t="shared" si="21"/>
        <v>0</v>
      </c>
    </row>
    <row r="276" spans="1:13" x14ac:dyDescent="0.25">
      <c r="A276" s="202"/>
      <c r="G276" s="173"/>
      <c r="H276" s="185">
        <v>271</v>
      </c>
      <c r="I276" s="186" t="str">
        <f t="shared" si="19"/>
        <v/>
      </c>
      <c r="J276" s="186" t="e">
        <f t="shared" si="22"/>
        <v>#NUM!</v>
      </c>
      <c r="K276" s="185" t="e">
        <f t="shared" si="20"/>
        <v>#NUM!</v>
      </c>
      <c r="L276" s="185"/>
      <c r="M276" s="187">
        <f t="shared" si="21"/>
        <v>0</v>
      </c>
    </row>
    <row r="277" spans="1:13" x14ac:dyDescent="0.25">
      <c r="A277" s="202"/>
      <c r="G277" s="173"/>
      <c r="H277" s="185">
        <v>272</v>
      </c>
      <c r="I277" s="186" t="str">
        <f t="shared" si="19"/>
        <v/>
      </c>
      <c r="J277" s="186" t="e">
        <f t="shared" si="22"/>
        <v>#NUM!</v>
      </c>
      <c r="K277" s="185" t="e">
        <f t="shared" si="20"/>
        <v>#NUM!</v>
      </c>
      <c r="L277" s="185"/>
      <c r="M277" s="187">
        <f t="shared" si="21"/>
        <v>0</v>
      </c>
    </row>
    <row r="278" spans="1:13" x14ac:dyDescent="0.25">
      <c r="A278" s="202"/>
      <c r="G278" s="173"/>
      <c r="H278" s="185">
        <v>273</v>
      </c>
      <c r="I278" s="186" t="str">
        <f t="shared" si="19"/>
        <v/>
      </c>
      <c r="J278" s="186" t="e">
        <f t="shared" si="22"/>
        <v>#NUM!</v>
      </c>
      <c r="K278" s="185" t="e">
        <f t="shared" si="20"/>
        <v>#NUM!</v>
      </c>
      <c r="L278" s="185"/>
      <c r="M278" s="187">
        <f t="shared" si="21"/>
        <v>0</v>
      </c>
    </row>
    <row r="279" spans="1:13" x14ac:dyDescent="0.25">
      <c r="A279" s="202"/>
      <c r="G279" s="173"/>
      <c r="H279" s="185">
        <v>274</v>
      </c>
      <c r="I279" s="186" t="str">
        <f t="shared" si="19"/>
        <v/>
      </c>
      <c r="J279" s="186" t="e">
        <f t="shared" si="22"/>
        <v>#NUM!</v>
      </c>
      <c r="K279" s="185" t="e">
        <f t="shared" si="20"/>
        <v>#NUM!</v>
      </c>
      <c r="L279" s="185"/>
      <c r="M279" s="187">
        <f t="shared" si="21"/>
        <v>0</v>
      </c>
    </row>
    <row r="280" spans="1:13" x14ac:dyDescent="0.25">
      <c r="A280" s="202"/>
      <c r="G280" s="173"/>
      <c r="H280" s="185">
        <v>275</v>
      </c>
      <c r="I280" s="186" t="str">
        <f t="shared" si="19"/>
        <v/>
      </c>
      <c r="J280" s="186" t="e">
        <f t="shared" si="22"/>
        <v>#NUM!</v>
      </c>
      <c r="K280" s="185" t="e">
        <f t="shared" si="20"/>
        <v>#NUM!</v>
      </c>
      <c r="L280" s="185"/>
      <c r="M280" s="187">
        <f t="shared" si="21"/>
        <v>0</v>
      </c>
    </row>
    <row r="281" spans="1:13" x14ac:dyDescent="0.25">
      <c r="A281" s="202"/>
      <c r="G281" s="173"/>
      <c r="H281" s="185">
        <v>276</v>
      </c>
      <c r="I281" s="186" t="str">
        <f t="shared" si="19"/>
        <v/>
      </c>
      <c r="J281" s="186" t="e">
        <f t="shared" si="22"/>
        <v>#NUM!</v>
      </c>
      <c r="K281" s="185" t="e">
        <f t="shared" si="20"/>
        <v>#NUM!</v>
      </c>
      <c r="L281" s="185"/>
      <c r="M281" s="187">
        <f t="shared" si="21"/>
        <v>0</v>
      </c>
    </row>
    <row r="282" spans="1:13" x14ac:dyDescent="0.25">
      <c r="A282" s="202"/>
      <c r="G282" s="173"/>
      <c r="H282" s="185">
        <v>277</v>
      </c>
      <c r="I282" s="186" t="str">
        <f t="shared" si="19"/>
        <v/>
      </c>
      <c r="J282" s="186" t="e">
        <f t="shared" si="22"/>
        <v>#NUM!</v>
      </c>
      <c r="K282" s="185" t="e">
        <f t="shared" si="20"/>
        <v>#NUM!</v>
      </c>
      <c r="L282" s="185"/>
      <c r="M282" s="187">
        <f t="shared" si="21"/>
        <v>0</v>
      </c>
    </row>
    <row r="283" spans="1:13" x14ac:dyDescent="0.25">
      <c r="A283" s="202"/>
      <c r="G283" s="173"/>
      <c r="H283" s="185">
        <v>278</v>
      </c>
      <c r="I283" s="186" t="str">
        <f t="shared" si="19"/>
        <v/>
      </c>
      <c r="J283" s="186" t="e">
        <f t="shared" si="22"/>
        <v>#NUM!</v>
      </c>
      <c r="K283" s="185" t="e">
        <f t="shared" si="20"/>
        <v>#NUM!</v>
      </c>
      <c r="L283" s="185"/>
      <c r="M283" s="187">
        <f t="shared" si="21"/>
        <v>0</v>
      </c>
    </row>
    <row r="284" spans="1:13" x14ac:dyDescent="0.25">
      <c r="A284" s="202"/>
      <c r="G284" s="173"/>
      <c r="H284" s="185">
        <v>279</v>
      </c>
      <c r="I284" s="186" t="str">
        <f t="shared" si="19"/>
        <v/>
      </c>
      <c r="J284" s="186" t="e">
        <f t="shared" si="22"/>
        <v>#NUM!</v>
      </c>
      <c r="K284" s="185" t="e">
        <f t="shared" si="20"/>
        <v>#NUM!</v>
      </c>
      <c r="L284" s="185"/>
      <c r="M284" s="187">
        <f t="shared" si="21"/>
        <v>0</v>
      </c>
    </row>
    <row r="285" spans="1:13" x14ac:dyDescent="0.25">
      <c r="A285" s="202"/>
      <c r="G285" s="173"/>
      <c r="H285" s="185">
        <v>280</v>
      </c>
      <c r="I285" s="186" t="str">
        <f t="shared" si="19"/>
        <v/>
      </c>
      <c r="J285" s="186" t="e">
        <f t="shared" si="22"/>
        <v>#NUM!</v>
      </c>
      <c r="K285" s="185" t="e">
        <f t="shared" si="20"/>
        <v>#NUM!</v>
      </c>
      <c r="L285" s="185"/>
      <c r="M285" s="187">
        <f t="shared" si="21"/>
        <v>0</v>
      </c>
    </row>
    <row r="286" spans="1:13" x14ac:dyDescent="0.25">
      <c r="A286" s="202"/>
      <c r="G286" s="173"/>
      <c r="H286" s="185">
        <v>281</v>
      </c>
      <c r="I286" s="186" t="str">
        <f t="shared" si="19"/>
        <v/>
      </c>
      <c r="J286" s="186" t="e">
        <f t="shared" si="22"/>
        <v>#NUM!</v>
      </c>
      <c r="K286" s="185" t="e">
        <f t="shared" si="20"/>
        <v>#NUM!</v>
      </c>
      <c r="L286" s="185"/>
      <c r="M286" s="187">
        <f t="shared" si="21"/>
        <v>0</v>
      </c>
    </row>
    <row r="287" spans="1:13" x14ac:dyDescent="0.25">
      <c r="A287" s="202"/>
      <c r="G287" s="173"/>
      <c r="H287" s="185">
        <v>282</v>
      </c>
      <c r="I287" s="186" t="str">
        <f t="shared" si="19"/>
        <v/>
      </c>
      <c r="J287" s="186" t="e">
        <f t="shared" si="22"/>
        <v>#NUM!</v>
      </c>
      <c r="K287" s="185" t="e">
        <f t="shared" si="20"/>
        <v>#NUM!</v>
      </c>
      <c r="L287" s="185"/>
      <c r="M287" s="187">
        <f t="shared" si="21"/>
        <v>0</v>
      </c>
    </row>
    <row r="288" spans="1:13" x14ac:dyDescent="0.25">
      <c r="A288" s="202"/>
      <c r="G288" s="173"/>
      <c r="H288" s="185">
        <v>283</v>
      </c>
      <c r="I288" s="186" t="str">
        <f t="shared" si="19"/>
        <v/>
      </c>
      <c r="J288" s="186" t="e">
        <f t="shared" si="22"/>
        <v>#NUM!</v>
      </c>
      <c r="K288" s="185" t="e">
        <f t="shared" si="20"/>
        <v>#NUM!</v>
      </c>
      <c r="L288" s="185"/>
      <c r="M288" s="187">
        <f t="shared" si="21"/>
        <v>0</v>
      </c>
    </row>
    <row r="289" spans="1:13" x14ac:dyDescent="0.25">
      <c r="A289" s="202"/>
      <c r="G289" s="173"/>
      <c r="H289" s="185">
        <v>284</v>
      </c>
      <c r="I289" s="186" t="str">
        <f t="shared" si="19"/>
        <v/>
      </c>
      <c r="J289" s="186" t="e">
        <f t="shared" si="22"/>
        <v>#NUM!</v>
      </c>
      <c r="K289" s="185" t="e">
        <f t="shared" si="20"/>
        <v>#NUM!</v>
      </c>
      <c r="L289" s="185"/>
      <c r="M289" s="187">
        <f t="shared" si="21"/>
        <v>0</v>
      </c>
    </row>
    <row r="290" spans="1:13" x14ac:dyDescent="0.25">
      <c r="A290" s="202"/>
      <c r="G290" s="173"/>
      <c r="H290" s="185">
        <v>285</v>
      </c>
      <c r="I290" s="186" t="str">
        <f t="shared" si="19"/>
        <v/>
      </c>
      <c r="J290" s="186" t="e">
        <f t="shared" si="22"/>
        <v>#NUM!</v>
      </c>
      <c r="K290" s="185" t="e">
        <f t="shared" si="20"/>
        <v>#NUM!</v>
      </c>
      <c r="L290" s="185"/>
      <c r="M290" s="187">
        <f t="shared" si="21"/>
        <v>0</v>
      </c>
    </row>
    <row r="291" spans="1:13" x14ac:dyDescent="0.25">
      <c r="A291" s="202"/>
      <c r="G291" s="173"/>
      <c r="H291" s="185">
        <v>286</v>
      </c>
      <c r="I291" s="186" t="str">
        <f t="shared" si="19"/>
        <v/>
      </c>
      <c r="J291" s="186" t="e">
        <f t="shared" si="22"/>
        <v>#NUM!</v>
      </c>
      <c r="K291" s="185" t="e">
        <f t="shared" si="20"/>
        <v>#NUM!</v>
      </c>
      <c r="L291" s="185"/>
      <c r="M291" s="187">
        <f t="shared" si="21"/>
        <v>0</v>
      </c>
    </row>
    <row r="292" spans="1:13" x14ac:dyDescent="0.25">
      <c r="A292" s="202"/>
      <c r="G292" s="173"/>
      <c r="H292" s="185">
        <v>287</v>
      </c>
      <c r="I292" s="186" t="str">
        <f t="shared" si="19"/>
        <v/>
      </c>
      <c r="J292" s="186" t="e">
        <f t="shared" si="22"/>
        <v>#NUM!</v>
      </c>
      <c r="K292" s="185" t="e">
        <f t="shared" si="20"/>
        <v>#NUM!</v>
      </c>
      <c r="L292" s="185"/>
      <c r="M292" s="187">
        <f t="shared" si="21"/>
        <v>0</v>
      </c>
    </row>
    <row r="293" spans="1:13" x14ac:dyDescent="0.25">
      <c r="A293" s="202"/>
      <c r="G293" s="173"/>
      <c r="H293" s="185">
        <v>288</v>
      </c>
      <c r="I293" s="186" t="str">
        <f t="shared" si="19"/>
        <v/>
      </c>
      <c r="J293" s="186" t="e">
        <f t="shared" si="22"/>
        <v>#NUM!</v>
      </c>
      <c r="K293" s="185" t="e">
        <f t="shared" si="20"/>
        <v>#NUM!</v>
      </c>
      <c r="L293" s="185"/>
      <c r="M293" s="187">
        <f t="shared" si="21"/>
        <v>0</v>
      </c>
    </row>
    <row r="294" spans="1:13" x14ac:dyDescent="0.25">
      <c r="A294" s="202"/>
      <c r="G294" s="173"/>
      <c r="H294" s="185">
        <v>289</v>
      </c>
      <c r="I294" s="186" t="str">
        <f t="shared" si="19"/>
        <v/>
      </c>
      <c r="J294" s="186" t="e">
        <f t="shared" si="22"/>
        <v>#NUM!</v>
      </c>
      <c r="K294" s="185" t="e">
        <f t="shared" si="20"/>
        <v>#NUM!</v>
      </c>
      <c r="L294" s="185"/>
      <c r="M294" s="187">
        <f t="shared" si="21"/>
        <v>0</v>
      </c>
    </row>
    <row r="295" spans="1:13" x14ac:dyDescent="0.25">
      <c r="A295" s="202"/>
      <c r="G295" s="173"/>
      <c r="H295" s="185">
        <v>290</v>
      </c>
      <c r="I295" s="186" t="str">
        <f t="shared" si="19"/>
        <v/>
      </c>
      <c r="J295" s="186" t="e">
        <f t="shared" si="22"/>
        <v>#NUM!</v>
      </c>
      <c r="K295" s="185" t="e">
        <f t="shared" si="20"/>
        <v>#NUM!</v>
      </c>
      <c r="L295" s="185"/>
      <c r="M295" s="187">
        <f t="shared" si="21"/>
        <v>0</v>
      </c>
    </row>
    <row r="296" spans="1:13" x14ac:dyDescent="0.25">
      <c r="A296" s="202"/>
      <c r="G296" s="173"/>
      <c r="H296" s="185">
        <v>291</v>
      </c>
      <c r="I296" s="186" t="str">
        <f t="shared" si="19"/>
        <v/>
      </c>
      <c r="J296" s="186" t="e">
        <f t="shared" si="22"/>
        <v>#NUM!</v>
      </c>
      <c r="K296" s="185" t="e">
        <f t="shared" si="20"/>
        <v>#NUM!</v>
      </c>
      <c r="L296" s="185"/>
      <c r="M296" s="187">
        <f t="shared" si="21"/>
        <v>0</v>
      </c>
    </row>
    <row r="297" spans="1:13" x14ac:dyDescent="0.25">
      <c r="A297" s="202"/>
      <c r="G297" s="173"/>
      <c r="H297" s="185">
        <v>292</v>
      </c>
      <c r="I297" s="186" t="str">
        <f t="shared" si="19"/>
        <v/>
      </c>
      <c r="J297" s="186" t="e">
        <f t="shared" si="22"/>
        <v>#NUM!</v>
      </c>
      <c r="K297" s="185" t="e">
        <f t="shared" si="20"/>
        <v>#NUM!</v>
      </c>
      <c r="L297" s="185"/>
      <c r="M297" s="187">
        <f t="shared" si="21"/>
        <v>0</v>
      </c>
    </row>
    <row r="298" spans="1:13" x14ac:dyDescent="0.25">
      <c r="A298" s="202"/>
      <c r="G298" s="173"/>
      <c r="H298" s="185">
        <v>293</v>
      </c>
      <c r="I298" s="186" t="str">
        <f t="shared" si="19"/>
        <v/>
      </c>
      <c r="J298" s="186" t="e">
        <f t="shared" si="22"/>
        <v>#NUM!</v>
      </c>
      <c r="K298" s="185" t="e">
        <f t="shared" si="20"/>
        <v>#NUM!</v>
      </c>
      <c r="L298" s="185"/>
      <c r="M298" s="187">
        <f t="shared" si="21"/>
        <v>0</v>
      </c>
    </row>
    <row r="299" spans="1:13" x14ac:dyDescent="0.25">
      <c r="A299" s="202"/>
      <c r="G299" s="173"/>
      <c r="H299" s="185">
        <v>294</v>
      </c>
      <c r="I299" s="186" t="str">
        <f t="shared" si="19"/>
        <v/>
      </c>
      <c r="J299" s="186" t="e">
        <f t="shared" si="22"/>
        <v>#NUM!</v>
      </c>
      <c r="K299" s="185" t="e">
        <f t="shared" si="20"/>
        <v>#NUM!</v>
      </c>
      <c r="L299" s="185"/>
      <c r="M299" s="187">
        <f t="shared" si="21"/>
        <v>0</v>
      </c>
    </row>
    <row r="300" spans="1:13" x14ac:dyDescent="0.25">
      <c r="A300" s="202"/>
      <c r="G300" s="173"/>
      <c r="H300" s="185">
        <v>295</v>
      </c>
      <c r="I300" s="186" t="str">
        <f t="shared" si="19"/>
        <v/>
      </c>
      <c r="J300" s="186" t="e">
        <f t="shared" si="22"/>
        <v>#NUM!</v>
      </c>
      <c r="K300" s="185" t="e">
        <f t="shared" si="20"/>
        <v>#NUM!</v>
      </c>
      <c r="L300" s="185"/>
      <c r="M300" s="187">
        <f t="shared" si="21"/>
        <v>0</v>
      </c>
    </row>
    <row r="301" spans="1:13" x14ac:dyDescent="0.25">
      <c r="A301" s="202"/>
      <c r="G301" s="173"/>
      <c r="H301" s="185">
        <v>296</v>
      </c>
      <c r="I301" s="186" t="str">
        <f t="shared" si="19"/>
        <v/>
      </c>
      <c r="J301" s="186" t="e">
        <f t="shared" si="22"/>
        <v>#NUM!</v>
      </c>
      <c r="K301" s="185" t="e">
        <f t="shared" si="20"/>
        <v>#NUM!</v>
      </c>
      <c r="L301" s="185"/>
      <c r="M301" s="187">
        <f t="shared" si="21"/>
        <v>0</v>
      </c>
    </row>
    <row r="302" spans="1:13" x14ac:dyDescent="0.25">
      <c r="A302" s="202"/>
      <c r="G302" s="173"/>
      <c r="H302" s="185">
        <v>297</v>
      </c>
      <c r="I302" s="186" t="str">
        <f t="shared" si="19"/>
        <v/>
      </c>
      <c r="J302" s="186" t="e">
        <f t="shared" si="22"/>
        <v>#NUM!</v>
      </c>
      <c r="K302" s="185" t="e">
        <f t="shared" si="20"/>
        <v>#NUM!</v>
      </c>
      <c r="L302" s="185"/>
      <c r="M302" s="187">
        <f t="shared" si="21"/>
        <v>0</v>
      </c>
    </row>
    <row r="303" spans="1:13" x14ac:dyDescent="0.25">
      <c r="A303" s="202"/>
      <c r="G303" s="173"/>
      <c r="H303" s="185">
        <v>298</v>
      </c>
      <c r="I303" s="186" t="str">
        <f t="shared" si="19"/>
        <v/>
      </c>
      <c r="J303" s="186" t="e">
        <f t="shared" si="22"/>
        <v>#NUM!</v>
      </c>
      <c r="K303" s="185" t="e">
        <f t="shared" si="20"/>
        <v>#NUM!</v>
      </c>
      <c r="L303" s="185"/>
      <c r="M303" s="187">
        <f t="shared" si="21"/>
        <v>0</v>
      </c>
    </row>
    <row r="304" spans="1:13" x14ac:dyDescent="0.25">
      <c r="A304" s="202"/>
      <c r="G304" s="173"/>
      <c r="H304" s="185">
        <v>299</v>
      </c>
      <c r="I304" s="186" t="str">
        <f t="shared" si="19"/>
        <v/>
      </c>
      <c r="J304" s="186" t="e">
        <f t="shared" si="22"/>
        <v>#NUM!</v>
      </c>
      <c r="K304" s="185" t="e">
        <f t="shared" si="20"/>
        <v>#NUM!</v>
      </c>
      <c r="L304" s="185"/>
      <c r="M304" s="187">
        <f t="shared" si="21"/>
        <v>0</v>
      </c>
    </row>
    <row r="305" spans="1:16" x14ac:dyDescent="0.25">
      <c r="A305" s="202"/>
      <c r="G305" s="173"/>
      <c r="H305" s="185">
        <v>300</v>
      </c>
      <c r="I305" s="186" t="str">
        <f t="shared" si="19"/>
        <v/>
      </c>
      <c r="J305" s="186" t="e">
        <f t="shared" si="22"/>
        <v>#NUM!</v>
      </c>
      <c r="K305" s="185" t="e">
        <f t="shared" si="20"/>
        <v>#NUM!</v>
      </c>
      <c r="L305" s="185"/>
      <c r="M305" s="187">
        <f t="shared" si="21"/>
        <v>0</v>
      </c>
    </row>
    <row r="306" spans="1:16" x14ac:dyDescent="0.25">
      <c r="A306" s="203"/>
    </row>
    <row r="314" spans="1:16" x14ac:dyDescent="0.25">
      <c r="L314" s="206"/>
      <c r="P314" s="196"/>
    </row>
    <row r="315" spans="1:16" x14ac:dyDescent="0.25">
      <c r="L315" s="206"/>
      <c r="P315" s="196"/>
    </row>
    <row r="316" spans="1:16" x14ac:dyDescent="0.25">
      <c r="L316" s="206"/>
      <c r="P316" s="196"/>
    </row>
    <row r="317" spans="1:16" x14ac:dyDescent="0.25">
      <c r="L317" s="206"/>
      <c r="P317" s="196"/>
    </row>
  </sheetData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" r:id="rId1" xr:uid="{542B58C1-8CB2-409E-A297-89A52A05879C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957-6718-4194-A40B-2652163CFE65}">
  <sheetPr codeName="Arkusz20"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01" customWidth="1"/>
    <col min="2" max="2" width="8.25" style="201" customWidth="1"/>
    <col min="3" max="3" width="34.75" style="201" customWidth="1"/>
    <col min="4" max="4" width="11.25" style="201" customWidth="1"/>
    <col min="5" max="6" width="8.875" style="201"/>
    <col min="7" max="7" width="0.875" style="201" customWidth="1"/>
    <col min="8" max="8" width="8.875" style="204"/>
    <col min="9" max="9" width="11" style="204" customWidth="1"/>
    <col min="10" max="10" width="15.25" style="204" customWidth="1"/>
    <col min="11" max="11" width="8.75" style="204" customWidth="1"/>
    <col min="12" max="12" width="11" style="204" customWidth="1"/>
    <col min="13" max="13" width="12.25" style="205" customWidth="1"/>
    <col min="14" max="15" width="13.875" style="173" customWidth="1"/>
    <col min="16" max="18" width="8.875" style="173"/>
    <col min="19" max="20" width="8.875" style="178"/>
    <col min="21" max="21" width="12.125" style="178" customWidth="1"/>
    <col min="22" max="22" width="27.375" style="178" customWidth="1"/>
    <col min="23" max="38" width="8.875" style="178"/>
    <col min="39" max="16384" width="8.875" style="201"/>
  </cols>
  <sheetData>
    <row r="1" spans="1:36" x14ac:dyDescent="0.25">
      <c r="A1" s="173"/>
      <c r="B1" s="173"/>
      <c r="C1" s="173"/>
      <c r="D1" s="173"/>
      <c r="E1" s="173"/>
      <c r="F1" s="173"/>
      <c r="G1" s="173"/>
      <c r="H1" s="174" t="s">
        <v>25</v>
      </c>
      <c r="I1" s="175" t="s">
        <v>26</v>
      </c>
      <c r="J1" s="175" t="s">
        <v>27</v>
      </c>
      <c r="K1" s="176" t="s">
        <v>101</v>
      </c>
      <c r="L1" s="177"/>
      <c r="M1" s="177"/>
    </row>
    <row r="2" spans="1:36" x14ac:dyDescent="0.25">
      <c r="A2" s="173"/>
      <c r="B2" s="20" t="s">
        <v>29</v>
      </c>
      <c r="C2" s="130" t="s">
        <v>118</v>
      </c>
      <c r="D2" s="69"/>
      <c r="E2" s="21"/>
      <c r="F2" s="21"/>
      <c r="G2" s="21"/>
      <c r="H2" s="179">
        <v>0</v>
      </c>
      <c r="I2" s="180">
        <v>50</v>
      </c>
      <c r="J2" s="180">
        <v>10</v>
      </c>
      <c r="K2" s="207">
        <f>3*H2^(1/3)</f>
        <v>0</v>
      </c>
      <c r="L2" s="177"/>
      <c r="M2" s="177"/>
    </row>
    <row r="3" spans="1:36" x14ac:dyDescent="0.25">
      <c r="A3" s="173"/>
      <c r="B3" s="182" t="s">
        <v>31</v>
      </c>
      <c r="C3" s="70" t="s">
        <v>119</v>
      </c>
      <c r="D3" s="70"/>
      <c r="E3" s="26"/>
      <c r="F3" s="26"/>
      <c r="G3" s="26"/>
      <c r="H3" s="177"/>
      <c r="I3" s="177"/>
      <c r="J3" s="208"/>
      <c r="K3" s="177"/>
      <c r="L3" s="177"/>
      <c r="M3" s="1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77"/>
      <c r="I4" s="177"/>
      <c r="J4" s="208"/>
      <c r="K4" s="177"/>
      <c r="L4" s="177"/>
      <c r="M4" s="177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83" t="s">
        <v>39</v>
      </c>
      <c r="I5" s="184" t="s">
        <v>40</v>
      </c>
      <c r="J5" s="209" t="s">
        <v>41</v>
      </c>
      <c r="K5" s="184" t="s">
        <v>42</v>
      </c>
      <c r="L5" s="184" t="s">
        <v>43</v>
      </c>
      <c r="M5" s="183" t="s">
        <v>44</v>
      </c>
    </row>
    <row r="6" spans="1:36" ht="14.45" customHeight="1" x14ac:dyDescent="0.25">
      <c r="A6" s="94">
        <f>M6</f>
        <v>0</v>
      </c>
      <c r="B6" s="34" t="str">
        <f>IF(H6&gt;$H$2,"",(ROW()-5))</f>
        <v/>
      </c>
      <c r="C6" s="35"/>
      <c r="D6" s="35"/>
      <c r="E6" s="35"/>
      <c r="F6" s="35" t="s">
        <v>46</v>
      </c>
      <c r="G6" s="28"/>
      <c r="H6" s="185">
        <v>1</v>
      </c>
      <c r="I6" s="186" t="str">
        <f t="shared" ref="I6:I69" si="0">IF(H6&lt;$H$2+1,($I$2-($I$2-1)*(LOG(H6)/LOG($H$2))),"")</f>
        <v/>
      </c>
      <c r="J6" s="185" t="e">
        <f>INT(LOG($H$2,2))-ROUNDUP(LOG(H6,2),0)+IF(OR($H$2=1,$H$2=2,$H$2=4,$H$2=8,$H$2=16,$H$2=32,$H$2=64,$H$2=128,$H$2=256),0,1)</f>
        <v>#NUM!</v>
      </c>
      <c r="K6" s="185" t="e">
        <f t="shared" ref="K6:K69" si="1">J6*$J$2</f>
        <v>#NUM!</v>
      </c>
      <c r="L6" s="187">
        <f>3*K2</f>
        <v>0</v>
      </c>
      <c r="M6" s="18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46</v>
      </c>
      <c r="G7" s="28"/>
      <c r="H7" s="188">
        <v>2</v>
      </c>
      <c r="I7" s="189" t="str">
        <f t="shared" si="0"/>
        <v/>
      </c>
      <c r="J7" s="188" t="e">
        <f t="shared" ref="J7:J70" si="5">INT(LOG($H$2,2))-ROUNDUP(LOG(H7,2),0)+IF(OR($H$2=1,$H$2=2,$H$2=4,$H$2=8,$H$2=16,$H$2=32,$H$2=64,$H$2=128,$H$2=256),0,1)</f>
        <v>#NUM!</v>
      </c>
      <c r="K7" s="188" t="e">
        <f t="shared" si="1"/>
        <v>#NUM!</v>
      </c>
      <c r="L7" s="190">
        <f>2*K2</f>
        <v>0</v>
      </c>
      <c r="M7" s="190">
        <f t="shared" si="2"/>
        <v>0</v>
      </c>
    </row>
    <row r="8" spans="1:36" ht="14.45" customHeight="1" x14ac:dyDescent="0.25">
      <c r="A8" s="94">
        <f t="shared" si="3"/>
        <v>0</v>
      </c>
      <c r="B8" s="34" t="str">
        <f t="shared" si="4"/>
        <v/>
      </c>
      <c r="C8" s="35"/>
      <c r="D8" s="35"/>
      <c r="E8" s="35"/>
      <c r="F8" s="35" t="s">
        <v>46</v>
      </c>
      <c r="G8" s="28"/>
      <c r="H8" s="185">
        <v>3</v>
      </c>
      <c r="I8" s="186" t="str">
        <f t="shared" si="0"/>
        <v/>
      </c>
      <c r="J8" s="185" t="e">
        <f t="shared" si="5"/>
        <v>#NUM!</v>
      </c>
      <c r="K8" s="185" t="e">
        <f t="shared" si="1"/>
        <v>#NUM!</v>
      </c>
      <c r="L8" s="187">
        <f>K2</f>
        <v>0</v>
      </c>
      <c r="M8" s="187">
        <f t="shared" si="2"/>
        <v>0</v>
      </c>
    </row>
    <row r="9" spans="1:36" s="178" customFormat="1" ht="14.45" customHeight="1" x14ac:dyDescent="0.25">
      <c r="A9" s="98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88">
        <v>3</v>
      </c>
      <c r="I9" s="189" t="str">
        <f t="shared" si="0"/>
        <v/>
      </c>
      <c r="J9" s="188" t="e">
        <f t="shared" si="5"/>
        <v>#NUM!</v>
      </c>
      <c r="K9" s="188" t="e">
        <f t="shared" si="1"/>
        <v>#NUM!</v>
      </c>
      <c r="L9" s="190">
        <f>K2</f>
        <v>0</v>
      </c>
      <c r="M9" s="190">
        <f t="shared" si="2"/>
        <v>0</v>
      </c>
      <c r="N9" s="173"/>
      <c r="O9" s="173"/>
      <c r="P9" s="173"/>
      <c r="Q9" s="173"/>
      <c r="R9" s="173"/>
      <c r="V9" s="191"/>
      <c r="Z9" s="192"/>
      <c r="AA9" s="192"/>
      <c r="AG9" s="193"/>
      <c r="AH9" s="178" t="s">
        <v>49</v>
      </c>
      <c r="AI9" s="178">
        <v>23</v>
      </c>
    </row>
    <row r="10" spans="1:36" ht="14.45" customHeight="1" x14ac:dyDescent="0.25">
      <c r="A10" s="94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85">
        <v>5</v>
      </c>
      <c r="I10" s="186" t="str">
        <f t="shared" si="0"/>
        <v/>
      </c>
      <c r="J10" s="185" t="e">
        <f t="shared" si="5"/>
        <v>#NUM!</v>
      </c>
      <c r="K10" s="185" t="e">
        <f t="shared" si="1"/>
        <v>#NUM!</v>
      </c>
      <c r="L10" s="185"/>
      <c r="M10" s="187">
        <f t="shared" si="2"/>
        <v>0</v>
      </c>
      <c r="V10" s="191"/>
      <c r="Z10" s="192"/>
      <c r="AA10" s="192"/>
      <c r="AG10" s="193"/>
      <c r="AH10" s="178" t="s">
        <v>52</v>
      </c>
      <c r="AI10" s="178">
        <v>45</v>
      </c>
    </row>
    <row r="11" spans="1:36" ht="14.45" customHeight="1" x14ac:dyDescent="0.25">
      <c r="A11" s="98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88">
        <v>6</v>
      </c>
      <c r="I11" s="189" t="str">
        <f t="shared" si="0"/>
        <v/>
      </c>
      <c r="J11" s="188" t="e">
        <f t="shared" si="5"/>
        <v>#NUM!</v>
      </c>
      <c r="K11" s="188" t="e">
        <f t="shared" si="1"/>
        <v>#NUM!</v>
      </c>
      <c r="L11" s="188"/>
      <c r="M11" s="190">
        <f t="shared" si="2"/>
        <v>0</v>
      </c>
      <c r="V11" s="194"/>
      <c r="Z11" s="192"/>
      <c r="AA11" s="192"/>
      <c r="AG11" s="193"/>
      <c r="AH11" s="178" t="s">
        <v>53</v>
      </c>
      <c r="AI11" s="178">
        <v>50</v>
      </c>
    </row>
    <row r="12" spans="1:36" ht="14.45" customHeight="1" x14ac:dyDescent="0.25">
      <c r="A12" s="94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85">
        <v>7</v>
      </c>
      <c r="I12" s="186" t="str">
        <f t="shared" si="0"/>
        <v/>
      </c>
      <c r="J12" s="185" t="e">
        <f t="shared" si="5"/>
        <v>#NUM!</v>
      </c>
      <c r="K12" s="185" t="e">
        <f t="shared" si="1"/>
        <v>#NUM!</v>
      </c>
      <c r="L12" s="185"/>
      <c r="M12" s="187">
        <f t="shared" si="2"/>
        <v>0</v>
      </c>
      <c r="Z12" s="192"/>
      <c r="AA12" s="192"/>
      <c r="AG12" s="193"/>
      <c r="AH12" s="178" t="s">
        <v>54</v>
      </c>
      <c r="AI12" s="178">
        <f>AI11-1</f>
        <v>49</v>
      </c>
    </row>
    <row r="13" spans="1:36" ht="14.45" customHeight="1" x14ac:dyDescent="0.25">
      <c r="A13" s="98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88">
        <v>8</v>
      </c>
      <c r="I13" s="189" t="str">
        <f t="shared" si="0"/>
        <v/>
      </c>
      <c r="J13" s="188" t="e">
        <f t="shared" si="5"/>
        <v>#NUM!</v>
      </c>
      <c r="K13" s="188" t="e">
        <f t="shared" si="1"/>
        <v>#NUM!</v>
      </c>
      <c r="L13" s="188"/>
      <c r="M13" s="190">
        <f t="shared" si="2"/>
        <v>0</v>
      </c>
      <c r="X13" s="191"/>
      <c r="AG13" s="193"/>
      <c r="AH13" s="178" t="s">
        <v>55</v>
      </c>
      <c r="AI13" s="178">
        <f>LOG(AI9)</f>
        <v>1.3617278360175928</v>
      </c>
    </row>
    <row r="14" spans="1:36" x14ac:dyDescent="0.25">
      <c r="A14" s="94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85">
        <v>9</v>
      </c>
      <c r="I14" s="186" t="str">
        <f t="shared" si="0"/>
        <v/>
      </c>
      <c r="J14" s="185" t="e">
        <f t="shared" si="5"/>
        <v>#NUM!</v>
      </c>
      <c r="K14" s="185" t="e">
        <f t="shared" si="1"/>
        <v>#NUM!</v>
      </c>
      <c r="L14" s="185"/>
      <c r="M14" s="187">
        <f t="shared" si="2"/>
        <v>0</v>
      </c>
      <c r="X14" s="195"/>
      <c r="Z14" s="192"/>
      <c r="AA14" s="192"/>
      <c r="AG14" s="193"/>
      <c r="AH14" s="178" t="s">
        <v>56</v>
      </c>
      <c r="AI14" s="178">
        <f>LOG(AI10)</f>
        <v>1.6532125137753437</v>
      </c>
    </row>
    <row r="15" spans="1:36" x14ac:dyDescent="0.25">
      <c r="A15" s="98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88">
        <v>10</v>
      </c>
      <c r="I15" s="189" t="str">
        <f t="shared" si="0"/>
        <v/>
      </c>
      <c r="J15" s="188" t="e">
        <f t="shared" si="5"/>
        <v>#NUM!</v>
      </c>
      <c r="K15" s="188" t="e">
        <f t="shared" si="1"/>
        <v>#NUM!</v>
      </c>
      <c r="L15" s="188"/>
      <c r="M15" s="190">
        <f t="shared" si="2"/>
        <v>0</v>
      </c>
      <c r="X15" s="191"/>
      <c r="Z15" s="192"/>
      <c r="AA15" s="192"/>
    </row>
    <row r="16" spans="1:36" x14ac:dyDescent="0.25">
      <c r="A16" s="94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85">
        <v>11</v>
      </c>
      <c r="I16" s="186" t="str">
        <f t="shared" si="0"/>
        <v/>
      </c>
      <c r="J16" s="185" t="e">
        <f t="shared" si="5"/>
        <v>#NUM!</v>
      </c>
      <c r="K16" s="185" t="e">
        <f t="shared" si="1"/>
        <v>#NUM!</v>
      </c>
      <c r="L16" s="185"/>
      <c r="M16" s="187">
        <f t="shared" si="2"/>
        <v>0</v>
      </c>
      <c r="R16" s="196"/>
      <c r="Z16" s="192"/>
      <c r="AA16" s="192"/>
      <c r="AH16" s="197" t="s">
        <v>57</v>
      </c>
      <c r="AI16" s="178">
        <f>AI11-AI12*AI13/AI14</f>
        <v>9.6393909380186855</v>
      </c>
      <c r="AJ16" s="178" t="s">
        <v>58</v>
      </c>
    </row>
    <row r="17" spans="1:19" x14ac:dyDescent="0.25">
      <c r="A17" s="98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88">
        <v>12</v>
      </c>
      <c r="I17" s="189" t="str">
        <f t="shared" si="0"/>
        <v/>
      </c>
      <c r="J17" s="188" t="e">
        <f t="shared" si="5"/>
        <v>#NUM!</v>
      </c>
      <c r="K17" s="188" t="e">
        <f t="shared" si="1"/>
        <v>#NUM!</v>
      </c>
      <c r="L17" s="188"/>
      <c r="M17" s="190">
        <f t="shared" si="2"/>
        <v>0</v>
      </c>
    </row>
    <row r="18" spans="1:19" x14ac:dyDescent="0.25">
      <c r="A18" s="94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85">
        <v>13</v>
      </c>
      <c r="I18" s="186" t="str">
        <f t="shared" si="0"/>
        <v/>
      </c>
      <c r="J18" s="185" t="e">
        <f t="shared" si="5"/>
        <v>#NUM!</v>
      </c>
      <c r="K18" s="185" t="e">
        <f t="shared" si="1"/>
        <v>#NUM!</v>
      </c>
      <c r="L18" s="185"/>
      <c r="M18" s="187">
        <f t="shared" si="2"/>
        <v>0</v>
      </c>
    </row>
    <row r="19" spans="1:19" x14ac:dyDescent="0.25">
      <c r="A19" s="98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8">
        <v>14</v>
      </c>
      <c r="I19" s="189" t="str">
        <f t="shared" si="0"/>
        <v/>
      </c>
      <c r="J19" s="188" t="e">
        <f t="shared" si="5"/>
        <v>#NUM!</v>
      </c>
      <c r="K19" s="188" t="e">
        <f t="shared" si="1"/>
        <v>#NUM!</v>
      </c>
      <c r="L19" s="188"/>
      <c r="M19" s="190">
        <f t="shared" si="2"/>
        <v>0</v>
      </c>
    </row>
    <row r="20" spans="1:19" x14ac:dyDescent="0.25">
      <c r="A20" s="94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85">
        <v>15</v>
      </c>
      <c r="I20" s="186" t="str">
        <f t="shared" si="0"/>
        <v/>
      </c>
      <c r="J20" s="185" t="e">
        <f t="shared" si="5"/>
        <v>#NUM!</v>
      </c>
      <c r="K20" s="185" t="e">
        <f t="shared" si="1"/>
        <v>#NUM!</v>
      </c>
      <c r="L20" s="185"/>
      <c r="M20" s="187">
        <f t="shared" si="2"/>
        <v>0</v>
      </c>
      <c r="R20" s="198"/>
      <c r="S20" s="199"/>
    </row>
    <row r="21" spans="1:19" x14ac:dyDescent="0.25">
      <c r="A21" s="98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8">
        <v>16</v>
      </c>
      <c r="I21" s="189" t="str">
        <f t="shared" si="0"/>
        <v/>
      </c>
      <c r="J21" s="188" t="e">
        <f t="shared" si="5"/>
        <v>#NUM!</v>
      </c>
      <c r="K21" s="188" t="e">
        <f t="shared" si="1"/>
        <v>#NUM!</v>
      </c>
      <c r="L21" s="188"/>
      <c r="M21" s="190">
        <f t="shared" si="2"/>
        <v>0</v>
      </c>
    </row>
    <row r="22" spans="1:19" x14ac:dyDescent="0.25">
      <c r="A22" s="94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85">
        <v>17</v>
      </c>
      <c r="I22" s="186" t="str">
        <f t="shared" si="0"/>
        <v/>
      </c>
      <c r="J22" s="185" t="e">
        <f t="shared" si="5"/>
        <v>#NUM!</v>
      </c>
      <c r="K22" s="185" t="e">
        <f t="shared" si="1"/>
        <v>#NUM!</v>
      </c>
      <c r="L22" s="185"/>
      <c r="M22" s="187">
        <f t="shared" si="2"/>
        <v>0</v>
      </c>
    </row>
    <row r="23" spans="1:19" x14ac:dyDescent="0.25">
      <c r="A23" s="98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8">
        <v>18</v>
      </c>
      <c r="I23" s="189" t="str">
        <f t="shared" si="0"/>
        <v/>
      </c>
      <c r="J23" s="188" t="e">
        <f t="shared" si="5"/>
        <v>#NUM!</v>
      </c>
      <c r="K23" s="188" t="e">
        <f t="shared" si="1"/>
        <v>#NUM!</v>
      </c>
      <c r="L23" s="188"/>
      <c r="M23" s="190">
        <f t="shared" si="2"/>
        <v>0</v>
      </c>
    </row>
    <row r="24" spans="1:19" x14ac:dyDescent="0.25">
      <c r="A24" s="94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85">
        <v>19</v>
      </c>
      <c r="I24" s="186" t="str">
        <f t="shared" si="0"/>
        <v/>
      </c>
      <c r="J24" s="185" t="e">
        <f t="shared" si="5"/>
        <v>#NUM!</v>
      </c>
      <c r="K24" s="185" t="e">
        <f t="shared" si="1"/>
        <v>#NUM!</v>
      </c>
      <c r="L24" s="185"/>
      <c r="M24" s="187">
        <f t="shared" si="2"/>
        <v>0</v>
      </c>
      <c r="R24" s="198"/>
      <c r="S24" s="199"/>
    </row>
    <row r="25" spans="1:19" x14ac:dyDescent="0.25">
      <c r="A25" s="98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8">
        <v>20</v>
      </c>
      <c r="I25" s="189" t="str">
        <f t="shared" si="0"/>
        <v/>
      </c>
      <c r="J25" s="188" t="e">
        <f t="shared" si="5"/>
        <v>#NUM!</v>
      </c>
      <c r="K25" s="188" t="e">
        <f t="shared" si="1"/>
        <v>#NUM!</v>
      </c>
      <c r="L25" s="188"/>
      <c r="M25" s="190">
        <f t="shared" si="2"/>
        <v>0</v>
      </c>
    </row>
    <row r="26" spans="1:19" x14ac:dyDescent="0.25">
      <c r="A26" s="94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85">
        <v>21</v>
      </c>
      <c r="I26" s="186" t="str">
        <f t="shared" si="0"/>
        <v/>
      </c>
      <c r="J26" s="185" t="e">
        <f t="shared" si="5"/>
        <v>#NUM!</v>
      </c>
      <c r="K26" s="185" t="e">
        <f t="shared" si="1"/>
        <v>#NUM!</v>
      </c>
      <c r="L26" s="185"/>
      <c r="M26" s="187">
        <f t="shared" si="2"/>
        <v>0</v>
      </c>
    </row>
    <row r="27" spans="1:19" x14ac:dyDescent="0.25">
      <c r="A27" s="98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8">
        <v>22</v>
      </c>
      <c r="I27" s="189" t="str">
        <f t="shared" si="0"/>
        <v/>
      </c>
      <c r="J27" s="188" t="e">
        <f t="shared" si="5"/>
        <v>#NUM!</v>
      </c>
      <c r="K27" s="188" t="e">
        <f t="shared" si="1"/>
        <v>#NUM!</v>
      </c>
      <c r="L27" s="188"/>
      <c r="M27" s="190">
        <f t="shared" si="2"/>
        <v>0</v>
      </c>
    </row>
    <row r="28" spans="1:19" x14ac:dyDescent="0.25">
      <c r="A28" s="94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85">
        <v>23</v>
      </c>
      <c r="I28" s="186" t="str">
        <f t="shared" si="0"/>
        <v/>
      </c>
      <c r="J28" s="185" t="e">
        <f t="shared" si="5"/>
        <v>#NUM!</v>
      </c>
      <c r="K28" s="185" t="e">
        <f t="shared" si="1"/>
        <v>#NUM!</v>
      </c>
      <c r="L28" s="185"/>
      <c r="M28" s="187">
        <f t="shared" si="2"/>
        <v>0</v>
      </c>
      <c r="R28" s="198"/>
      <c r="S28" s="199"/>
    </row>
    <row r="29" spans="1:19" x14ac:dyDescent="0.25">
      <c r="A29" s="98">
        <f t="shared" si="3"/>
        <v>0</v>
      </c>
      <c r="B29" s="40" t="str">
        <f t="shared" si="4"/>
        <v/>
      </c>
      <c r="C29" s="41"/>
      <c r="D29" s="41"/>
      <c r="E29" s="41"/>
      <c r="F29" s="41"/>
      <c r="G29" s="173"/>
      <c r="H29" s="188">
        <v>24</v>
      </c>
      <c r="I29" s="189" t="str">
        <f t="shared" si="0"/>
        <v/>
      </c>
      <c r="J29" s="188" t="e">
        <f t="shared" si="5"/>
        <v>#NUM!</v>
      </c>
      <c r="K29" s="188" t="e">
        <f t="shared" si="1"/>
        <v>#NUM!</v>
      </c>
      <c r="L29" s="188"/>
      <c r="M29" s="190">
        <f t="shared" si="2"/>
        <v>0</v>
      </c>
    </row>
    <row r="30" spans="1:19" x14ac:dyDescent="0.25">
      <c r="A30" s="94">
        <f t="shared" si="3"/>
        <v>0</v>
      </c>
      <c r="B30" s="34" t="str">
        <f t="shared" si="4"/>
        <v/>
      </c>
      <c r="C30" s="35"/>
      <c r="D30" s="35"/>
      <c r="E30" s="35"/>
      <c r="F30" s="35"/>
      <c r="G30" s="173"/>
      <c r="H30" s="185">
        <v>25</v>
      </c>
      <c r="I30" s="186" t="str">
        <f t="shared" si="0"/>
        <v/>
      </c>
      <c r="J30" s="185" t="e">
        <f t="shared" si="5"/>
        <v>#NUM!</v>
      </c>
      <c r="K30" s="185" t="e">
        <f t="shared" si="1"/>
        <v>#NUM!</v>
      </c>
      <c r="L30" s="185"/>
      <c r="M30" s="187">
        <f t="shared" si="2"/>
        <v>0</v>
      </c>
    </row>
    <row r="31" spans="1:19" x14ac:dyDescent="0.25">
      <c r="A31" s="98">
        <f t="shared" si="3"/>
        <v>0</v>
      </c>
      <c r="B31" s="40" t="str">
        <f t="shared" si="4"/>
        <v/>
      </c>
      <c r="C31" s="41"/>
      <c r="D31" s="41"/>
      <c r="E31" s="41"/>
      <c r="F31" s="41"/>
      <c r="G31" s="173"/>
      <c r="H31" s="188">
        <v>26</v>
      </c>
      <c r="I31" s="189" t="str">
        <f t="shared" si="0"/>
        <v/>
      </c>
      <c r="J31" s="188" t="e">
        <f t="shared" si="5"/>
        <v>#NUM!</v>
      </c>
      <c r="K31" s="188" t="e">
        <f t="shared" si="1"/>
        <v>#NUM!</v>
      </c>
      <c r="L31" s="188"/>
      <c r="M31" s="190">
        <f t="shared" si="2"/>
        <v>0</v>
      </c>
    </row>
    <row r="32" spans="1:19" x14ac:dyDescent="0.25">
      <c r="A32" s="94">
        <f t="shared" si="3"/>
        <v>0</v>
      </c>
      <c r="B32" s="34" t="str">
        <f t="shared" si="4"/>
        <v/>
      </c>
      <c r="C32" s="35"/>
      <c r="D32" s="35"/>
      <c r="E32" s="35"/>
      <c r="F32" s="35"/>
      <c r="G32" s="173"/>
      <c r="H32" s="185">
        <v>27</v>
      </c>
      <c r="I32" s="186" t="str">
        <f t="shared" si="0"/>
        <v/>
      </c>
      <c r="J32" s="185" t="e">
        <f t="shared" si="5"/>
        <v>#NUM!</v>
      </c>
      <c r="K32" s="185" t="e">
        <f t="shared" si="1"/>
        <v>#NUM!</v>
      </c>
      <c r="L32" s="185"/>
      <c r="M32" s="187">
        <f t="shared" si="2"/>
        <v>0</v>
      </c>
      <c r="R32" s="198"/>
      <c r="S32" s="199"/>
    </row>
    <row r="33" spans="1:21" x14ac:dyDescent="0.25">
      <c r="A33" s="98">
        <f t="shared" si="3"/>
        <v>0</v>
      </c>
      <c r="B33" s="40" t="str">
        <f t="shared" si="4"/>
        <v/>
      </c>
      <c r="C33" s="41"/>
      <c r="D33" s="41"/>
      <c r="E33" s="41"/>
      <c r="F33" s="41"/>
      <c r="G33" s="173"/>
      <c r="H33" s="188">
        <v>28</v>
      </c>
      <c r="I33" s="189" t="str">
        <f t="shared" si="0"/>
        <v/>
      </c>
      <c r="J33" s="188" t="e">
        <f t="shared" si="5"/>
        <v>#NUM!</v>
      </c>
      <c r="K33" s="188" t="e">
        <f t="shared" si="1"/>
        <v>#NUM!</v>
      </c>
      <c r="L33" s="188"/>
      <c r="M33" s="190">
        <f t="shared" si="2"/>
        <v>0</v>
      </c>
    </row>
    <row r="34" spans="1:21" x14ac:dyDescent="0.25">
      <c r="A34" s="94">
        <f t="shared" si="3"/>
        <v>0</v>
      </c>
      <c r="B34" s="34" t="str">
        <f t="shared" si="4"/>
        <v/>
      </c>
      <c r="C34" s="35"/>
      <c r="D34" s="35"/>
      <c r="E34" s="35"/>
      <c r="F34" s="35"/>
      <c r="G34" s="173"/>
      <c r="H34" s="185">
        <v>29</v>
      </c>
      <c r="I34" s="186" t="str">
        <f t="shared" si="0"/>
        <v/>
      </c>
      <c r="J34" s="185" t="e">
        <f t="shared" si="5"/>
        <v>#NUM!</v>
      </c>
      <c r="K34" s="185" t="e">
        <f t="shared" si="1"/>
        <v>#NUM!</v>
      </c>
      <c r="L34" s="185"/>
      <c r="M34" s="187">
        <f t="shared" si="2"/>
        <v>0</v>
      </c>
    </row>
    <row r="35" spans="1:21" x14ac:dyDescent="0.25">
      <c r="A35" s="98">
        <f t="shared" si="3"/>
        <v>0</v>
      </c>
      <c r="B35" s="40" t="str">
        <f t="shared" si="4"/>
        <v/>
      </c>
      <c r="C35" s="41"/>
      <c r="D35" s="41"/>
      <c r="E35" s="41"/>
      <c r="F35" s="41"/>
      <c r="G35" s="173"/>
      <c r="H35" s="188">
        <v>30</v>
      </c>
      <c r="I35" s="189" t="str">
        <f t="shared" si="0"/>
        <v/>
      </c>
      <c r="J35" s="188" t="e">
        <f t="shared" si="5"/>
        <v>#NUM!</v>
      </c>
      <c r="K35" s="188" t="e">
        <f t="shared" si="1"/>
        <v>#NUM!</v>
      </c>
      <c r="L35" s="188"/>
      <c r="M35" s="190">
        <f t="shared" si="2"/>
        <v>0</v>
      </c>
    </row>
    <row r="36" spans="1:21" x14ac:dyDescent="0.25">
      <c r="A36" s="94">
        <f t="shared" si="3"/>
        <v>0</v>
      </c>
      <c r="B36" s="34" t="str">
        <f t="shared" si="4"/>
        <v/>
      </c>
      <c r="C36" s="35"/>
      <c r="D36" s="35"/>
      <c r="E36" s="35"/>
      <c r="F36" s="35"/>
      <c r="G36" s="173"/>
      <c r="H36" s="185">
        <v>31</v>
      </c>
      <c r="I36" s="186" t="str">
        <f t="shared" si="0"/>
        <v/>
      </c>
      <c r="J36" s="185" t="e">
        <f t="shared" si="5"/>
        <v>#NUM!</v>
      </c>
      <c r="K36" s="185" t="e">
        <f t="shared" si="1"/>
        <v>#NUM!</v>
      </c>
      <c r="L36" s="185"/>
      <c r="M36" s="187">
        <f t="shared" si="2"/>
        <v>0</v>
      </c>
      <c r="R36" s="198"/>
      <c r="S36" s="199"/>
    </row>
    <row r="37" spans="1:21" x14ac:dyDescent="0.25">
      <c r="A37" s="98">
        <f t="shared" si="3"/>
        <v>0</v>
      </c>
      <c r="B37" s="40" t="str">
        <f t="shared" si="4"/>
        <v/>
      </c>
      <c r="C37" s="41"/>
      <c r="D37" s="41"/>
      <c r="E37" s="41"/>
      <c r="F37" s="41"/>
      <c r="G37" s="173"/>
      <c r="H37" s="188">
        <v>32</v>
      </c>
      <c r="I37" s="189" t="str">
        <f t="shared" si="0"/>
        <v/>
      </c>
      <c r="J37" s="188" t="e">
        <f t="shared" si="5"/>
        <v>#NUM!</v>
      </c>
      <c r="K37" s="188" t="e">
        <f t="shared" si="1"/>
        <v>#NUM!</v>
      </c>
      <c r="L37" s="188"/>
      <c r="M37" s="190">
        <f t="shared" si="2"/>
        <v>0</v>
      </c>
    </row>
    <row r="38" spans="1:21" x14ac:dyDescent="0.25">
      <c r="A38" s="94"/>
      <c r="B38" s="34" t="str">
        <f t="shared" si="4"/>
        <v/>
      </c>
      <c r="C38" s="35"/>
      <c r="D38" s="35"/>
      <c r="E38" s="35"/>
      <c r="F38" s="35"/>
      <c r="G38" s="173"/>
      <c r="H38" s="185">
        <v>33</v>
      </c>
      <c r="I38" s="186" t="str">
        <f t="shared" si="0"/>
        <v/>
      </c>
      <c r="J38" s="185" t="e">
        <f t="shared" si="5"/>
        <v>#NUM!</v>
      </c>
      <c r="K38" s="185" t="e">
        <f t="shared" si="1"/>
        <v>#NUM!</v>
      </c>
      <c r="L38" s="185"/>
      <c r="M38" s="187">
        <f t="shared" si="2"/>
        <v>0</v>
      </c>
    </row>
    <row r="39" spans="1:21" x14ac:dyDescent="0.25">
      <c r="A39" s="98"/>
      <c r="B39" s="40" t="str">
        <f t="shared" si="4"/>
        <v/>
      </c>
      <c r="C39" s="41"/>
      <c r="D39" s="41"/>
      <c r="E39" s="41"/>
      <c r="F39" s="41"/>
      <c r="G39" s="173"/>
      <c r="H39" s="188">
        <v>34</v>
      </c>
      <c r="I39" s="189" t="str">
        <f t="shared" si="0"/>
        <v/>
      </c>
      <c r="J39" s="188" t="e">
        <f t="shared" si="5"/>
        <v>#NUM!</v>
      </c>
      <c r="K39" s="188" t="e">
        <f t="shared" si="1"/>
        <v>#NUM!</v>
      </c>
      <c r="L39" s="188"/>
      <c r="M39" s="190">
        <f t="shared" si="2"/>
        <v>0</v>
      </c>
    </row>
    <row r="40" spans="1:21" x14ac:dyDescent="0.25">
      <c r="A40" s="94"/>
      <c r="B40" s="34" t="str">
        <f t="shared" si="4"/>
        <v/>
      </c>
      <c r="C40" s="35"/>
      <c r="D40" s="35"/>
      <c r="E40" s="35"/>
      <c r="F40" s="35"/>
      <c r="G40" s="173"/>
      <c r="H40" s="185">
        <v>35</v>
      </c>
      <c r="I40" s="186" t="str">
        <f t="shared" si="0"/>
        <v/>
      </c>
      <c r="J40" s="185" t="e">
        <f t="shared" si="5"/>
        <v>#NUM!</v>
      </c>
      <c r="K40" s="185" t="e">
        <f t="shared" si="1"/>
        <v>#NUM!</v>
      </c>
      <c r="L40" s="185"/>
      <c r="M40" s="187">
        <f t="shared" si="2"/>
        <v>0</v>
      </c>
    </row>
    <row r="41" spans="1:21" x14ac:dyDescent="0.25">
      <c r="A41" s="98"/>
      <c r="B41" s="40" t="str">
        <f t="shared" si="4"/>
        <v/>
      </c>
      <c r="C41" s="41"/>
      <c r="D41" s="41"/>
      <c r="E41" s="41"/>
      <c r="F41" s="41"/>
      <c r="G41" s="173"/>
      <c r="H41" s="188">
        <v>36</v>
      </c>
      <c r="I41" s="189" t="str">
        <f t="shared" si="0"/>
        <v/>
      </c>
      <c r="J41" s="188" t="e">
        <f t="shared" si="5"/>
        <v>#NUM!</v>
      </c>
      <c r="K41" s="188" t="e">
        <f t="shared" si="1"/>
        <v>#NUM!</v>
      </c>
      <c r="L41" s="188"/>
      <c r="M41" s="190">
        <f t="shared" si="2"/>
        <v>0</v>
      </c>
      <c r="S41" s="200"/>
    </row>
    <row r="42" spans="1:21" x14ac:dyDescent="0.25">
      <c r="A42" s="94"/>
      <c r="B42" s="34" t="str">
        <f t="shared" si="4"/>
        <v/>
      </c>
      <c r="C42" s="35"/>
      <c r="D42" s="35"/>
      <c r="E42" s="35"/>
      <c r="F42" s="35"/>
      <c r="G42" s="173"/>
      <c r="H42" s="185">
        <v>37</v>
      </c>
      <c r="I42" s="186" t="str">
        <f t="shared" si="0"/>
        <v/>
      </c>
      <c r="J42" s="185" t="e">
        <f t="shared" si="5"/>
        <v>#NUM!</v>
      </c>
      <c r="K42" s="185" t="e">
        <f t="shared" si="1"/>
        <v>#NUM!</v>
      </c>
      <c r="L42" s="185"/>
      <c r="M42" s="187">
        <f t="shared" si="2"/>
        <v>0</v>
      </c>
    </row>
    <row r="43" spans="1:21" x14ac:dyDescent="0.25">
      <c r="A43" s="98"/>
      <c r="B43" s="40" t="str">
        <f t="shared" si="4"/>
        <v/>
      </c>
      <c r="C43" s="41"/>
      <c r="D43" s="41"/>
      <c r="E43" s="41"/>
      <c r="F43" s="41"/>
      <c r="G43" s="173"/>
      <c r="H43" s="188">
        <v>38</v>
      </c>
      <c r="I43" s="189" t="str">
        <f t="shared" si="0"/>
        <v/>
      </c>
      <c r="J43" s="188" t="e">
        <f t="shared" si="5"/>
        <v>#NUM!</v>
      </c>
      <c r="K43" s="188" t="e">
        <f t="shared" si="1"/>
        <v>#NUM!</v>
      </c>
      <c r="L43" s="188"/>
      <c r="M43" s="190">
        <f t="shared" si="2"/>
        <v>0</v>
      </c>
    </row>
    <row r="44" spans="1:21" x14ac:dyDescent="0.25">
      <c r="A44" s="94"/>
      <c r="B44" s="34" t="str">
        <f t="shared" si="4"/>
        <v/>
      </c>
      <c r="C44" s="35"/>
      <c r="D44" s="35"/>
      <c r="E44" s="35"/>
      <c r="F44" s="35"/>
      <c r="G44" s="173"/>
      <c r="H44" s="185">
        <v>39</v>
      </c>
      <c r="I44" s="186" t="str">
        <f t="shared" si="0"/>
        <v/>
      </c>
      <c r="J44" s="185" t="e">
        <f t="shared" si="5"/>
        <v>#NUM!</v>
      </c>
      <c r="K44" s="185" t="e">
        <f t="shared" si="1"/>
        <v>#NUM!</v>
      </c>
      <c r="L44" s="185"/>
      <c r="M44" s="187">
        <f t="shared" si="2"/>
        <v>0</v>
      </c>
    </row>
    <row r="45" spans="1:21" x14ac:dyDescent="0.25">
      <c r="A45" s="98"/>
      <c r="B45" s="40" t="str">
        <f t="shared" si="4"/>
        <v/>
      </c>
      <c r="C45" s="41"/>
      <c r="D45" s="41"/>
      <c r="E45" s="41"/>
      <c r="F45" s="41"/>
      <c r="G45" s="173"/>
      <c r="H45" s="188">
        <v>40</v>
      </c>
      <c r="I45" s="189" t="str">
        <f t="shared" si="0"/>
        <v/>
      </c>
      <c r="J45" s="188" t="e">
        <f t="shared" si="5"/>
        <v>#NUM!</v>
      </c>
      <c r="K45" s="188" t="e">
        <f t="shared" si="1"/>
        <v>#NUM!</v>
      </c>
      <c r="L45" s="188"/>
      <c r="M45" s="190">
        <f t="shared" si="2"/>
        <v>0</v>
      </c>
    </row>
    <row r="46" spans="1:21" x14ac:dyDescent="0.25">
      <c r="A46" s="94"/>
      <c r="B46" s="34" t="str">
        <f t="shared" si="4"/>
        <v/>
      </c>
      <c r="C46" s="35"/>
      <c r="D46" s="35"/>
      <c r="E46" s="35"/>
      <c r="F46" s="35"/>
      <c r="G46" s="173"/>
      <c r="H46" s="185">
        <v>41</v>
      </c>
      <c r="I46" s="186" t="str">
        <f t="shared" si="0"/>
        <v/>
      </c>
      <c r="J46" s="185" t="e">
        <f t="shared" si="5"/>
        <v>#NUM!</v>
      </c>
      <c r="K46" s="185" t="e">
        <f t="shared" si="1"/>
        <v>#NUM!</v>
      </c>
      <c r="L46" s="185"/>
      <c r="M46" s="187">
        <f t="shared" si="2"/>
        <v>0</v>
      </c>
      <c r="R46" s="173" t="e">
        <f>LOG($H$2,2)</f>
        <v>#NUM!</v>
      </c>
      <c r="T46" s="178">
        <f>LOG(H38,2)</f>
        <v>5.0443941193584534</v>
      </c>
      <c r="U46" s="178" t="e">
        <f>R46-T46</f>
        <v>#NUM!</v>
      </c>
    </row>
    <row r="47" spans="1:21" x14ac:dyDescent="0.25">
      <c r="A47" s="98"/>
      <c r="B47" s="40" t="str">
        <f t="shared" si="4"/>
        <v/>
      </c>
      <c r="C47" s="41"/>
      <c r="D47" s="41"/>
      <c r="E47" s="41"/>
      <c r="F47" s="41"/>
      <c r="G47" s="173"/>
      <c r="H47" s="188">
        <v>42</v>
      </c>
      <c r="I47" s="189" t="str">
        <f t="shared" si="0"/>
        <v/>
      </c>
      <c r="J47" s="188" t="e">
        <f t="shared" si="5"/>
        <v>#NUM!</v>
      </c>
      <c r="K47" s="188" t="e">
        <f t="shared" si="1"/>
        <v>#NUM!</v>
      </c>
      <c r="L47" s="188"/>
      <c r="M47" s="190">
        <f t="shared" si="2"/>
        <v>0</v>
      </c>
    </row>
    <row r="48" spans="1:21" x14ac:dyDescent="0.25">
      <c r="A48" s="94"/>
      <c r="B48" s="34" t="str">
        <f t="shared" si="4"/>
        <v/>
      </c>
      <c r="C48" s="35"/>
      <c r="D48" s="35"/>
      <c r="E48" s="35"/>
      <c r="F48" s="35"/>
      <c r="G48" s="173"/>
      <c r="H48" s="185">
        <v>43</v>
      </c>
      <c r="I48" s="186" t="str">
        <f t="shared" si="0"/>
        <v/>
      </c>
      <c r="J48" s="185" t="e">
        <f t="shared" si="5"/>
        <v>#NUM!</v>
      </c>
      <c r="K48" s="185" t="e">
        <f t="shared" si="1"/>
        <v>#NUM!</v>
      </c>
      <c r="L48" s="185"/>
      <c r="M48" s="187">
        <f t="shared" si="2"/>
        <v>0</v>
      </c>
    </row>
    <row r="49" spans="1:13" x14ac:dyDescent="0.25">
      <c r="A49" s="98"/>
      <c r="B49" s="40" t="str">
        <f t="shared" si="4"/>
        <v/>
      </c>
      <c r="C49" s="41"/>
      <c r="D49" s="41"/>
      <c r="E49" s="41"/>
      <c r="F49" s="41"/>
      <c r="G49" s="173"/>
      <c r="H49" s="188">
        <v>44</v>
      </c>
      <c r="I49" s="189" t="str">
        <f t="shared" si="0"/>
        <v/>
      </c>
      <c r="J49" s="188" t="e">
        <f t="shared" si="5"/>
        <v>#NUM!</v>
      </c>
      <c r="K49" s="188" t="e">
        <f t="shared" si="1"/>
        <v>#NUM!</v>
      </c>
      <c r="L49" s="188"/>
      <c r="M49" s="190">
        <f t="shared" si="2"/>
        <v>0</v>
      </c>
    </row>
    <row r="50" spans="1:13" x14ac:dyDescent="0.25">
      <c r="A50" s="94"/>
      <c r="B50" s="34" t="str">
        <f t="shared" si="4"/>
        <v/>
      </c>
      <c r="C50" s="35"/>
      <c r="D50" s="35"/>
      <c r="E50" s="35"/>
      <c r="F50" s="35"/>
      <c r="G50" s="173"/>
      <c r="H50" s="185">
        <v>45</v>
      </c>
      <c r="I50" s="186" t="str">
        <f t="shared" si="0"/>
        <v/>
      </c>
      <c r="J50" s="185" t="e">
        <f t="shared" si="5"/>
        <v>#NUM!</v>
      </c>
      <c r="K50" s="185" t="e">
        <f t="shared" si="1"/>
        <v>#NUM!</v>
      </c>
      <c r="L50" s="185"/>
      <c r="M50" s="187">
        <f t="shared" si="2"/>
        <v>0</v>
      </c>
    </row>
    <row r="51" spans="1:13" x14ac:dyDescent="0.25">
      <c r="A51" s="98"/>
      <c r="B51" s="40" t="str">
        <f t="shared" si="4"/>
        <v/>
      </c>
      <c r="C51" s="41"/>
      <c r="D51" s="41"/>
      <c r="E51" s="41"/>
      <c r="F51" s="41"/>
      <c r="G51" s="173"/>
      <c r="H51" s="188">
        <v>46</v>
      </c>
      <c r="I51" s="189" t="str">
        <f t="shared" si="0"/>
        <v/>
      </c>
      <c r="J51" s="188" t="e">
        <f t="shared" si="5"/>
        <v>#NUM!</v>
      </c>
      <c r="K51" s="188" t="e">
        <f t="shared" si="1"/>
        <v>#NUM!</v>
      </c>
      <c r="L51" s="188"/>
      <c r="M51" s="190">
        <f t="shared" si="2"/>
        <v>0</v>
      </c>
    </row>
    <row r="52" spans="1:13" x14ac:dyDescent="0.25">
      <c r="A52" s="94"/>
      <c r="B52" s="34" t="str">
        <f t="shared" si="4"/>
        <v/>
      </c>
      <c r="C52" s="35"/>
      <c r="D52" s="35"/>
      <c r="E52" s="35"/>
      <c r="F52" s="35"/>
      <c r="G52" s="173"/>
      <c r="H52" s="185">
        <v>47</v>
      </c>
      <c r="I52" s="186" t="str">
        <f t="shared" si="0"/>
        <v/>
      </c>
      <c r="J52" s="185" t="e">
        <f t="shared" si="5"/>
        <v>#NUM!</v>
      </c>
      <c r="K52" s="185" t="e">
        <f t="shared" si="1"/>
        <v>#NUM!</v>
      </c>
      <c r="L52" s="185"/>
      <c r="M52" s="187">
        <f t="shared" si="2"/>
        <v>0</v>
      </c>
    </row>
    <row r="53" spans="1:13" x14ac:dyDescent="0.25">
      <c r="A53" s="98"/>
      <c r="B53" s="40" t="str">
        <f t="shared" si="4"/>
        <v/>
      </c>
      <c r="C53" s="41"/>
      <c r="D53" s="41"/>
      <c r="E53" s="41"/>
      <c r="F53" s="41"/>
      <c r="G53" s="173"/>
      <c r="H53" s="188">
        <v>48</v>
      </c>
      <c r="I53" s="189" t="str">
        <f t="shared" si="0"/>
        <v/>
      </c>
      <c r="J53" s="188" t="e">
        <f t="shared" si="5"/>
        <v>#NUM!</v>
      </c>
      <c r="K53" s="188" t="e">
        <f t="shared" si="1"/>
        <v>#NUM!</v>
      </c>
      <c r="L53" s="188"/>
      <c r="M53" s="190">
        <f t="shared" si="2"/>
        <v>0</v>
      </c>
    </row>
    <row r="54" spans="1:13" x14ac:dyDescent="0.25">
      <c r="A54" s="94"/>
      <c r="B54" s="34" t="str">
        <f t="shared" si="4"/>
        <v/>
      </c>
      <c r="C54" s="35"/>
      <c r="D54" s="35"/>
      <c r="E54" s="35"/>
      <c r="F54" s="35"/>
      <c r="G54" s="173"/>
      <c r="H54" s="185">
        <v>49</v>
      </c>
      <c r="I54" s="186" t="str">
        <f t="shared" si="0"/>
        <v/>
      </c>
      <c r="J54" s="185" t="e">
        <f t="shared" si="5"/>
        <v>#NUM!</v>
      </c>
      <c r="K54" s="185" t="e">
        <f t="shared" si="1"/>
        <v>#NUM!</v>
      </c>
      <c r="L54" s="185"/>
      <c r="M54" s="187">
        <f t="shared" si="2"/>
        <v>0</v>
      </c>
    </row>
    <row r="55" spans="1:13" x14ac:dyDescent="0.25">
      <c r="A55" s="98"/>
      <c r="B55" s="40" t="str">
        <f t="shared" si="4"/>
        <v/>
      </c>
      <c r="C55" s="41"/>
      <c r="D55" s="41"/>
      <c r="E55" s="41"/>
      <c r="F55" s="41"/>
      <c r="G55" s="173"/>
      <c r="H55" s="188">
        <v>50</v>
      </c>
      <c r="I55" s="189" t="str">
        <f t="shared" si="0"/>
        <v/>
      </c>
      <c r="J55" s="188" t="e">
        <f t="shared" si="5"/>
        <v>#NUM!</v>
      </c>
      <c r="K55" s="188" t="e">
        <f t="shared" si="1"/>
        <v>#NUM!</v>
      </c>
      <c r="L55" s="188"/>
      <c r="M55" s="190">
        <f t="shared" si="2"/>
        <v>0</v>
      </c>
    </row>
    <row r="56" spans="1:13" x14ac:dyDescent="0.25">
      <c r="A56" s="94"/>
      <c r="B56" s="34" t="str">
        <f t="shared" si="4"/>
        <v/>
      </c>
      <c r="C56" s="35"/>
      <c r="D56" s="35"/>
      <c r="E56" s="35"/>
      <c r="F56" s="35"/>
      <c r="G56" s="173"/>
      <c r="H56" s="185">
        <v>51</v>
      </c>
      <c r="I56" s="186" t="str">
        <f t="shared" si="0"/>
        <v/>
      </c>
      <c r="J56" s="185" t="e">
        <f t="shared" si="5"/>
        <v>#NUM!</v>
      </c>
      <c r="K56" s="185" t="e">
        <f t="shared" si="1"/>
        <v>#NUM!</v>
      </c>
      <c r="L56" s="185"/>
      <c r="M56" s="187">
        <f t="shared" si="2"/>
        <v>0</v>
      </c>
    </row>
    <row r="57" spans="1:13" x14ac:dyDescent="0.25">
      <c r="A57" s="98"/>
      <c r="B57" s="40" t="str">
        <f t="shared" si="4"/>
        <v/>
      </c>
      <c r="C57" s="41"/>
      <c r="D57" s="41"/>
      <c r="E57" s="41"/>
      <c r="F57" s="41"/>
      <c r="G57" s="173"/>
      <c r="H57" s="188">
        <v>52</v>
      </c>
      <c r="I57" s="189" t="str">
        <f t="shared" si="0"/>
        <v/>
      </c>
      <c r="J57" s="188" t="e">
        <f t="shared" si="5"/>
        <v>#NUM!</v>
      </c>
      <c r="K57" s="188" t="e">
        <f t="shared" si="1"/>
        <v>#NUM!</v>
      </c>
      <c r="L57" s="188"/>
      <c r="M57" s="190">
        <f t="shared" si="2"/>
        <v>0</v>
      </c>
    </row>
    <row r="58" spans="1:13" x14ac:dyDescent="0.25">
      <c r="A58" s="94"/>
      <c r="B58" s="34" t="str">
        <f t="shared" si="4"/>
        <v/>
      </c>
      <c r="C58" s="35"/>
      <c r="D58" s="35"/>
      <c r="E58" s="35"/>
      <c r="F58" s="35"/>
      <c r="G58" s="173"/>
      <c r="H58" s="185">
        <v>53</v>
      </c>
      <c r="I58" s="186" t="str">
        <f t="shared" si="0"/>
        <v/>
      </c>
      <c r="J58" s="185" t="e">
        <f t="shared" si="5"/>
        <v>#NUM!</v>
      </c>
      <c r="K58" s="185" t="e">
        <f t="shared" si="1"/>
        <v>#NUM!</v>
      </c>
      <c r="L58" s="185"/>
      <c r="M58" s="187">
        <f t="shared" si="2"/>
        <v>0</v>
      </c>
    </row>
    <row r="59" spans="1:13" x14ac:dyDescent="0.25">
      <c r="A59" s="98"/>
      <c r="B59" s="40" t="str">
        <f t="shared" si="4"/>
        <v/>
      </c>
      <c r="C59" s="41"/>
      <c r="D59" s="41"/>
      <c r="E59" s="41"/>
      <c r="F59" s="41"/>
      <c r="G59" s="173"/>
      <c r="H59" s="188">
        <v>54</v>
      </c>
      <c r="I59" s="189" t="str">
        <f t="shared" si="0"/>
        <v/>
      </c>
      <c r="J59" s="188" t="e">
        <f t="shared" si="5"/>
        <v>#NUM!</v>
      </c>
      <c r="K59" s="188" t="e">
        <f t="shared" si="1"/>
        <v>#NUM!</v>
      </c>
      <c r="L59" s="188"/>
      <c r="M59" s="190">
        <f t="shared" si="2"/>
        <v>0</v>
      </c>
    </row>
    <row r="60" spans="1:13" x14ac:dyDescent="0.25">
      <c r="A60" s="94"/>
      <c r="B60" s="34" t="str">
        <f t="shared" si="4"/>
        <v/>
      </c>
      <c r="C60" s="35"/>
      <c r="D60" s="35"/>
      <c r="E60" s="35"/>
      <c r="F60" s="35"/>
      <c r="G60" s="173"/>
      <c r="H60" s="185">
        <v>55</v>
      </c>
      <c r="I60" s="186" t="str">
        <f t="shared" si="0"/>
        <v/>
      </c>
      <c r="J60" s="185" t="e">
        <f t="shared" si="5"/>
        <v>#NUM!</v>
      </c>
      <c r="K60" s="185" t="e">
        <f t="shared" si="1"/>
        <v>#NUM!</v>
      </c>
      <c r="L60" s="185"/>
      <c r="M60" s="187">
        <f t="shared" si="2"/>
        <v>0</v>
      </c>
    </row>
    <row r="61" spans="1:13" x14ac:dyDescent="0.25">
      <c r="A61" s="98"/>
      <c r="B61" s="40" t="str">
        <f t="shared" si="4"/>
        <v/>
      </c>
      <c r="C61" s="41"/>
      <c r="D61" s="41"/>
      <c r="E61" s="41"/>
      <c r="F61" s="41"/>
      <c r="G61" s="173"/>
      <c r="H61" s="188">
        <v>56</v>
      </c>
      <c r="I61" s="189" t="str">
        <f t="shared" si="0"/>
        <v/>
      </c>
      <c r="J61" s="188" t="e">
        <f t="shared" si="5"/>
        <v>#NUM!</v>
      </c>
      <c r="K61" s="188" t="e">
        <f t="shared" si="1"/>
        <v>#NUM!</v>
      </c>
      <c r="L61" s="188"/>
      <c r="M61" s="190">
        <f t="shared" si="2"/>
        <v>0</v>
      </c>
    </row>
    <row r="62" spans="1:13" x14ac:dyDescent="0.25">
      <c r="A62" s="94"/>
      <c r="B62" s="34" t="str">
        <f t="shared" si="4"/>
        <v/>
      </c>
      <c r="C62" s="35"/>
      <c r="D62" s="35"/>
      <c r="E62" s="35"/>
      <c r="F62" s="35"/>
      <c r="G62" s="173"/>
      <c r="H62" s="185">
        <v>57</v>
      </c>
      <c r="I62" s="186" t="str">
        <f t="shared" si="0"/>
        <v/>
      </c>
      <c r="J62" s="185" t="e">
        <f t="shared" si="5"/>
        <v>#NUM!</v>
      </c>
      <c r="K62" s="185" t="e">
        <f t="shared" si="1"/>
        <v>#NUM!</v>
      </c>
      <c r="L62" s="185"/>
      <c r="M62" s="187">
        <f t="shared" si="2"/>
        <v>0</v>
      </c>
    </row>
    <row r="63" spans="1:13" x14ac:dyDescent="0.25">
      <c r="A63" s="98"/>
      <c r="B63" s="40" t="str">
        <f t="shared" si="4"/>
        <v/>
      </c>
      <c r="C63" s="41"/>
      <c r="D63" s="41"/>
      <c r="E63" s="41"/>
      <c r="F63" s="41"/>
      <c r="G63" s="173"/>
      <c r="H63" s="188">
        <v>58</v>
      </c>
      <c r="I63" s="189" t="str">
        <f t="shared" si="0"/>
        <v/>
      </c>
      <c r="J63" s="188" t="e">
        <f t="shared" si="5"/>
        <v>#NUM!</v>
      </c>
      <c r="K63" s="188" t="e">
        <f t="shared" si="1"/>
        <v>#NUM!</v>
      </c>
      <c r="L63" s="188"/>
      <c r="M63" s="190">
        <f t="shared" si="2"/>
        <v>0</v>
      </c>
    </row>
    <row r="64" spans="1:13" x14ac:dyDescent="0.25">
      <c r="A64" s="94"/>
      <c r="B64" s="34" t="str">
        <f t="shared" si="4"/>
        <v/>
      </c>
      <c r="C64" s="35"/>
      <c r="D64" s="35"/>
      <c r="E64" s="35"/>
      <c r="F64" s="35"/>
      <c r="G64" s="173"/>
      <c r="H64" s="185">
        <v>59</v>
      </c>
      <c r="I64" s="186" t="str">
        <f t="shared" si="0"/>
        <v/>
      </c>
      <c r="J64" s="185" t="e">
        <f t="shared" si="5"/>
        <v>#NUM!</v>
      </c>
      <c r="K64" s="185" t="e">
        <f t="shared" si="1"/>
        <v>#NUM!</v>
      </c>
      <c r="L64" s="185"/>
      <c r="M64" s="187">
        <f t="shared" si="2"/>
        <v>0</v>
      </c>
    </row>
    <row r="65" spans="1:13" x14ac:dyDescent="0.25">
      <c r="A65" s="98"/>
      <c r="B65" s="40" t="str">
        <f t="shared" si="4"/>
        <v/>
      </c>
      <c r="C65" s="41"/>
      <c r="D65" s="41"/>
      <c r="E65" s="41"/>
      <c r="F65" s="41"/>
      <c r="G65" s="173"/>
      <c r="H65" s="188">
        <v>60</v>
      </c>
      <c r="I65" s="189" t="str">
        <f t="shared" si="0"/>
        <v/>
      </c>
      <c r="J65" s="188" t="e">
        <f t="shared" si="5"/>
        <v>#NUM!</v>
      </c>
      <c r="K65" s="188" t="e">
        <f t="shared" si="1"/>
        <v>#NUM!</v>
      </c>
      <c r="L65" s="188"/>
      <c r="M65" s="190">
        <f t="shared" si="2"/>
        <v>0</v>
      </c>
    </row>
    <row r="66" spans="1:13" x14ac:dyDescent="0.25">
      <c r="A66" s="210"/>
      <c r="B66" s="34"/>
      <c r="G66" s="173"/>
      <c r="H66" s="185">
        <v>61</v>
      </c>
      <c r="I66" s="186" t="str">
        <f t="shared" si="0"/>
        <v/>
      </c>
      <c r="J66" s="185" t="e">
        <f t="shared" si="5"/>
        <v>#NUM!</v>
      </c>
      <c r="K66" s="185" t="e">
        <f t="shared" si="1"/>
        <v>#NUM!</v>
      </c>
      <c r="L66" s="185"/>
      <c r="M66" s="187">
        <f t="shared" si="2"/>
        <v>0</v>
      </c>
    </row>
    <row r="67" spans="1:13" x14ac:dyDescent="0.25">
      <c r="A67" s="210"/>
      <c r="B67" s="40"/>
      <c r="G67" s="173"/>
      <c r="H67" s="185">
        <v>62</v>
      </c>
      <c r="I67" s="186" t="str">
        <f t="shared" si="0"/>
        <v/>
      </c>
      <c r="J67" s="185" t="e">
        <f t="shared" si="5"/>
        <v>#NUM!</v>
      </c>
      <c r="K67" s="185" t="e">
        <f t="shared" si="1"/>
        <v>#NUM!</v>
      </c>
      <c r="L67" s="185"/>
      <c r="M67" s="187">
        <f t="shared" si="2"/>
        <v>0</v>
      </c>
    </row>
    <row r="68" spans="1:13" x14ac:dyDescent="0.25">
      <c r="A68" s="210"/>
      <c r="B68" s="34"/>
      <c r="G68" s="173"/>
      <c r="H68" s="185">
        <v>63</v>
      </c>
      <c r="I68" s="186" t="str">
        <f t="shared" si="0"/>
        <v/>
      </c>
      <c r="J68" s="185" t="e">
        <f t="shared" si="5"/>
        <v>#NUM!</v>
      </c>
      <c r="K68" s="185" t="e">
        <f t="shared" si="1"/>
        <v>#NUM!</v>
      </c>
      <c r="L68" s="185"/>
      <c r="M68" s="187">
        <f t="shared" si="2"/>
        <v>0</v>
      </c>
    </row>
    <row r="69" spans="1:13" x14ac:dyDescent="0.25">
      <c r="A69" s="210"/>
      <c r="B69" s="40"/>
      <c r="G69" s="173"/>
      <c r="H69" s="185">
        <v>64</v>
      </c>
      <c r="I69" s="186" t="str">
        <f t="shared" si="0"/>
        <v/>
      </c>
      <c r="J69" s="185" t="e">
        <f t="shared" si="5"/>
        <v>#NUM!</v>
      </c>
      <c r="K69" s="185" t="e">
        <f t="shared" si="1"/>
        <v>#NUM!</v>
      </c>
      <c r="L69" s="185"/>
      <c r="M69" s="187">
        <f t="shared" si="2"/>
        <v>0</v>
      </c>
    </row>
    <row r="70" spans="1:13" x14ac:dyDescent="0.25">
      <c r="A70" s="210"/>
      <c r="G70" s="173"/>
      <c r="H70" s="185">
        <v>65</v>
      </c>
      <c r="I70" s="186" t="str">
        <f t="shared" ref="I70:I133" si="6">IF(H70&lt;$H$2+1,($I$2-($I$2-1)*(LOG(H70)/LOG($H$2))),"")</f>
        <v/>
      </c>
      <c r="J70" s="185" t="e">
        <f t="shared" si="5"/>
        <v>#NUM!</v>
      </c>
      <c r="K70" s="185" t="e">
        <f t="shared" ref="K70:K133" si="7">J70*$J$2</f>
        <v>#NUM!</v>
      </c>
      <c r="L70" s="185"/>
      <c r="M70" s="187">
        <f t="shared" ref="M70:M133" si="8">IF(I70&lt;&gt;"",K70+I70+L70,0)</f>
        <v>0</v>
      </c>
    </row>
    <row r="71" spans="1:13" x14ac:dyDescent="0.25">
      <c r="A71" s="210"/>
      <c r="G71" s="173"/>
      <c r="H71" s="185">
        <v>66</v>
      </c>
      <c r="I71" s="186" t="str">
        <f t="shared" si="6"/>
        <v/>
      </c>
      <c r="J71" s="185" t="e">
        <f t="shared" ref="J71:J134" si="9">INT(LOG($H$2,2))-ROUNDUP(LOG(H71,2),0)+IF(OR($H$2=1,$H$2=2,$H$2=4,$H$2=8,$H$2=16,$H$2=32,$H$2=64,$H$2=128,$H$2=256),0,1)</f>
        <v>#NUM!</v>
      </c>
      <c r="K71" s="185" t="e">
        <f t="shared" si="7"/>
        <v>#NUM!</v>
      </c>
      <c r="L71" s="185"/>
      <c r="M71" s="187">
        <f t="shared" si="8"/>
        <v>0</v>
      </c>
    </row>
    <row r="72" spans="1:13" x14ac:dyDescent="0.25">
      <c r="A72" s="210"/>
      <c r="G72" s="173"/>
      <c r="H72" s="185">
        <v>67</v>
      </c>
      <c r="I72" s="186" t="str">
        <f t="shared" si="6"/>
        <v/>
      </c>
      <c r="J72" s="185" t="e">
        <f t="shared" si="9"/>
        <v>#NUM!</v>
      </c>
      <c r="K72" s="185" t="e">
        <f t="shared" si="7"/>
        <v>#NUM!</v>
      </c>
      <c r="L72" s="185"/>
      <c r="M72" s="187">
        <f t="shared" si="8"/>
        <v>0</v>
      </c>
    </row>
    <row r="73" spans="1:13" x14ac:dyDescent="0.25">
      <c r="A73" s="210"/>
      <c r="G73" s="173"/>
      <c r="H73" s="185">
        <v>68</v>
      </c>
      <c r="I73" s="186" t="str">
        <f t="shared" si="6"/>
        <v/>
      </c>
      <c r="J73" s="185" t="e">
        <f t="shared" si="9"/>
        <v>#NUM!</v>
      </c>
      <c r="K73" s="185" t="e">
        <f t="shared" si="7"/>
        <v>#NUM!</v>
      </c>
      <c r="L73" s="185"/>
      <c r="M73" s="187">
        <f t="shared" si="8"/>
        <v>0</v>
      </c>
    </row>
    <row r="74" spans="1:13" x14ac:dyDescent="0.25">
      <c r="A74" s="210"/>
      <c r="G74" s="173"/>
      <c r="H74" s="185">
        <v>69</v>
      </c>
      <c r="I74" s="186" t="str">
        <f t="shared" si="6"/>
        <v/>
      </c>
      <c r="J74" s="185" t="e">
        <f t="shared" si="9"/>
        <v>#NUM!</v>
      </c>
      <c r="K74" s="185" t="e">
        <f t="shared" si="7"/>
        <v>#NUM!</v>
      </c>
      <c r="L74" s="185"/>
      <c r="M74" s="187">
        <f t="shared" si="8"/>
        <v>0</v>
      </c>
    </row>
    <row r="75" spans="1:13" x14ac:dyDescent="0.25">
      <c r="A75" s="210"/>
      <c r="G75" s="173"/>
      <c r="H75" s="185">
        <v>70</v>
      </c>
      <c r="I75" s="186" t="str">
        <f t="shared" si="6"/>
        <v/>
      </c>
      <c r="J75" s="185" t="e">
        <f t="shared" si="9"/>
        <v>#NUM!</v>
      </c>
      <c r="K75" s="185" t="e">
        <f t="shared" si="7"/>
        <v>#NUM!</v>
      </c>
      <c r="L75" s="185"/>
      <c r="M75" s="187">
        <f t="shared" si="8"/>
        <v>0</v>
      </c>
    </row>
    <row r="76" spans="1:13" x14ac:dyDescent="0.25">
      <c r="A76" s="210"/>
      <c r="G76" s="173"/>
      <c r="H76" s="185">
        <v>71</v>
      </c>
      <c r="I76" s="186" t="str">
        <f t="shared" si="6"/>
        <v/>
      </c>
      <c r="J76" s="185" t="e">
        <f t="shared" si="9"/>
        <v>#NUM!</v>
      </c>
      <c r="K76" s="185" t="e">
        <f t="shared" si="7"/>
        <v>#NUM!</v>
      </c>
      <c r="L76" s="185"/>
      <c r="M76" s="187">
        <f t="shared" si="8"/>
        <v>0</v>
      </c>
    </row>
    <row r="77" spans="1:13" x14ac:dyDescent="0.25">
      <c r="A77" s="210"/>
      <c r="G77" s="173"/>
      <c r="H77" s="185">
        <v>72</v>
      </c>
      <c r="I77" s="186" t="str">
        <f t="shared" si="6"/>
        <v/>
      </c>
      <c r="J77" s="185" t="e">
        <f t="shared" si="9"/>
        <v>#NUM!</v>
      </c>
      <c r="K77" s="185" t="e">
        <f t="shared" si="7"/>
        <v>#NUM!</v>
      </c>
      <c r="L77" s="185"/>
      <c r="M77" s="187">
        <f t="shared" si="8"/>
        <v>0</v>
      </c>
    </row>
    <row r="78" spans="1:13" x14ac:dyDescent="0.25">
      <c r="A78" s="210"/>
      <c r="G78" s="173"/>
      <c r="H78" s="185">
        <v>73</v>
      </c>
      <c r="I78" s="186" t="str">
        <f t="shared" si="6"/>
        <v/>
      </c>
      <c r="J78" s="185" t="e">
        <f t="shared" si="9"/>
        <v>#NUM!</v>
      </c>
      <c r="K78" s="185" t="e">
        <f t="shared" si="7"/>
        <v>#NUM!</v>
      </c>
      <c r="L78" s="185"/>
      <c r="M78" s="187">
        <f t="shared" si="8"/>
        <v>0</v>
      </c>
    </row>
    <row r="79" spans="1:13" x14ac:dyDescent="0.25">
      <c r="A79" s="210"/>
      <c r="G79" s="173"/>
      <c r="H79" s="185">
        <v>74</v>
      </c>
      <c r="I79" s="186" t="str">
        <f t="shared" si="6"/>
        <v/>
      </c>
      <c r="J79" s="185" t="e">
        <f t="shared" si="9"/>
        <v>#NUM!</v>
      </c>
      <c r="K79" s="185" t="e">
        <f t="shared" si="7"/>
        <v>#NUM!</v>
      </c>
      <c r="L79" s="185"/>
      <c r="M79" s="187">
        <f t="shared" si="8"/>
        <v>0</v>
      </c>
    </row>
    <row r="80" spans="1:13" x14ac:dyDescent="0.25">
      <c r="A80" s="210"/>
      <c r="G80" s="173"/>
      <c r="H80" s="185">
        <v>75</v>
      </c>
      <c r="I80" s="186" t="str">
        <f t="shared" si="6"/>
        <v/>
      </c>
      <c r="J80" s="185" t="e">
        <f t="shared" si="9"/>
        <v>#NUM!</v>
      </c>
      <c r="K80" s="185" t="e">
        <f t="shared" si="7"/>
        <v>#NUM!</v>
      </c>
      <c r="L80" s="185"/>
      <c r="M80" s="187">
        <f t="shared" si="8"/>
        <v>0</v>
      </c>
    </row>
    <row r="81" spans="1:13" x14ac:dyDescent="0.25">
      <c r="A81" s="210"/>
      <c r="G81" s="173"/>
      <c r="H81" s="185">
        <v>76</v>
      </c>
      <c r="I81" s="186" t="str">
        <f t="shared" si="6"/>
        <v/>
      </c>
      <c r="J81" s="185" t="e">
        <f t="shared" si="9"/>
        <v>#NUM!</v>
      </c>
      <c r="K81" s="185" t="e">
        <f t="shared" si="7"/>
        <v>#NUM!</v>
      </c>
      <c r="L81" s="185"/>
      <c r="M81" s="187">
        <f t="shared" si="8"/>
        <v>0</v>
      </c>
    </row>
    <row r="82" spans="1:13" x14ac:dyDescent="0.25">
      <c r="A82" s="210"/>
      <c r="G82" s="173"/>
      <c r="H82" s="185">
        <v>77</v>
      </c>
      <c r="I82" s="186" t="str">
        <f t="shared" si="6"/>
        <v/>
      </c>
      <c r="J82" s="185" t="e">
        <f t="shared" si="9"/>
        <v>#NUM!</v>
      </c>
      <c r="K82" s="185" t="e">
        <f t="shared" si="7"/>
        <v>#NUM!</v>
      </c>
      <c r="L82" s="185"/>
      <c r="M82" s="187">
        <f t="shared" si="8"/>
        <v>0</v>
      </c>
    </row>
    <row r="83" spans="1:13" x14ac:dyDescent="0.25">
      <c r="A83" s="210"/>
      <c r="G83" s="173"/>
      <c r="H83" s="185">
        <v>78</v>
      </c>
      <c r="I83" s="186" t="str">
        <f t="shared" si="6"/>
        <v/>
      </c>
      <c r="J83" s="185" t="e">
        <f t="shared" si="9"/>
        <v>#NUM!</v>
      </c>
      <c r="K83" s="185" t="e">
        <f t="shared" si="7"/>
        <v>#NUM!</v>
      </c>
      <c r="L83" s="185"/>
      <c r="M83" s="187">
        <f t="shared" si="8"/>
        <v>0</v>
      </c>
    </row>
    <row r="84" spans="1:13" x14ac:dyDescent="0.25">
      <c r="A84" s="210"/>
      <c r="G84" s="173"/>
      <c r="H84" s="185">
        <v>79</v>
      </c>
      <c r="I84" s="186" t="str">
        <f t="shared" si="6"/>
        <v/>
      </c>
      <c r="J84" s="185" t="e">
        <f t="shared" si="9"/>
        <v>#NUM!</v>
      </c>
      <c r="K84" s="185" t="e">
        <f t="shared" si="7"/>
        <v>#NUM!</v>
      </c>
      <c r="L84" s="185"/>
      <c r="M84" s="187">
        <f t="shared" si="8"/>
        <v>0</v>
      </c>
    </row>
    <row r="85" spans="1:13" x14ac:dyDescent="0.25">
      <c r="A85" s="210"/>
      <c r="G85" s="173"/>
      <c r="H85" s="185">
        <v>80</v>
      </c>
      <c r="I85" s="186" t="str">
        <f t="shared" si="6"/>
        <v/>
      </c>
      <c r="J85" s="185" t="e">
        <f t="shared" si="9"/>
        <v>#NUM!</v>
      </c>
      <c r="K85" s="185" t="e">
        <f t="shared" si="7"/>
        <v>#NUM!</v>
      </c>
      <c r="L85" s="185"/>
      <c r="M85" s="187">
        <f t="shared" si="8"/>
        <v>0</v>
      </c>
    </row>
    <row r="86" spans="1:13" x14ac:dyDescent="0.25">
      <c r="A86" s="210"/>
      <c r="G86" s="173"/>
      <c r="H86" s="185">
        <v>81</v>
      </c>
      <c r="I86" s="186" t="str">
        <f t="shared" si="6"/>
        <v/>
      </c>
      <c r="J86" s="185" t="e">
        <f t="shared" si="9"/>
        <v>#NUM!</v>
      </c>
      <c r="K86" s="185" t="e">
        <f t="shared" si="7"/>
        <v>#NUM!</v>
      </c>
      <c r="L86" s="185"/>
      <c r="M86" s="187">
        <f t="shared" si="8"/>
        <v>0</v>
      </c>
    </row>
    <row r="87" spans="1:13" x14ac:dyDescent="0.25">
      <c r="A87" s="210"/>
      <c r="G87" s="173"/>
      <c r="H87" s="185">
        <v>82</v>
      </c>
      <c r="I87" s="186" t="str">
        <f t="shared" si="6"/>
        <v/>
      </c>
      <c r="J87" s="185" t="e">
        <f t="shared" si="9"/>
        <v>#NUM!</v>
      </c>
      <c r="K87" s="185" t="e">
        <f t="shared" si="7"/>
        <v>#NUM!</v>
      </c>
      <c r="L87" s="185"/>
      <c r="M87" s="187">
        <f t="shared" si="8"/>
        <v>0</v>
      </c>
    </row>
    <row r="88" spans="1:13" x14ac:dyDescent="0.25">
      <c r="A88" s="210"/>
      <c r="G88" s="173"/>
      <c r="H88" s="185">
        <v>83</v>
      </c>
      <c r="I88" s="186" t="str">
        <f t="shared" si="6"/>
        <v/>
      </c>
      <c r="J88" s="185" t="e">
        <f t="shared" si="9"/>
        <v>#NUM!</v>
      </c>
      <c r="K88" s="185" t="e">
        <f t="shared" si="7"/>
        <v>#NUM!</v>
      </c>
      <c r="L88" s="185"/>
      <c r="M88" s="187">
        <f t="shared" si="8"/>
        <v>0</v>
      </c>
    </row>
    <row r="89" spans="1:13" x14ac:dyDescent="0.25">
      <c r="A89" s="210"/>
      <c r="G89" s="173"/>
      <c r="H89" s="185">
        <v>84</v>
      </c>
      <c r="I89" s="186" t="str">
        <f t="shared" si="6"/>
        <v/>
      </c>
      <c r="J89" s="185" t="e">
        <f t="shared" si="9"/>
        <v>#NUM!</v>
      </c>
      <c r="K89" s="185" t="e">
        <f t="shared" si="7"/>
        <v>#NUM!</v>
      </c>
      <c r="L89" s="185"/>
      <c r="M89" s="187">
        <f t="shared" si="8"/>
        <v>0</v>
      </c>
    </row>
    <row r="90" spans="1:13" x14ac:dyDescent="0.25">
      <c r="A90" s="210"/>
      <c r="G90" s="173"/>
      <c r="H90" s="185">
        <v>85</v>
      </c>
      <c r="I90" s="186" t="str">
        <f t="shared" si="6"/>
        <v/>
      </c>
      <c r="J90" s="185" t="e">
        <f t="shared" si="9"/>
        <v>#NUM!</v>
      </c>
      <c r="K90" s="185" t="e">
        <f t="shared" si="7"/>
        <v>#NUM!</v>
      </c>
      <c r="L90" s="185"/>
      <c r="M90" s="187">
        <f t="shared" si="8"/>
        <v>0</v>
      </c>
    </row>
    <row r="91" spans="1:13" x14ac:dyDescent="0.25">
      <c r="A91" s="210"/>
      <c r="G91" s="173"/>
      <c r="H91" s="185">
        <v>86</v>
      </c>
      <c r="I91" s="186" t="str">
        <f t="shared" si="6"/>
        <v/>
      </c>
      <c r="J91" s="185" t="e">
        <f t="shared" si="9"/>
        <v>#NUM!</v>
      </c>
      <c r="K91" s="185" t="e">
        <f t="shared" si="7"/>
        <v>#NUM!</v>
      </c>
      <c r="L91" s="185"/>
      <c r="M91" s="187">
        <f t="shared" si="8"/>
        <v>0</v>
      </c>
    </row>
    <row r="92" spans="1:13" x14ac:dyDescent="0.25">
      <c r="A92" s="210"/>
      <c r="G92" s="173"/>
      <c r="H92" s="185">
        <v>87</v>
      </c>
      <c r="I92" s="186" t="str">
        <f t="shared" si="6"/>
        <v/>
      </c>
      <c r="J92" s="185" t="e">
        <f t="shared" si="9"/>
        <v>#NUM!</v>
      </c>
      <c r="K92" s="185" t="e">
        <f t="shared" si="7"/>
        <v>#NUM!</v>
      </c>
      <c r="L92" s="185"/>
      <c r="M92" s="187">
        <f t="shared" si="8"/>
        <v>0</v>
      </c>
    </row>
    <row r="93" spans="1:13" x14ac:dyDescent="0.25">
      <c r="A93" s="210"/>
      <c r="G93" s="173"/>
      <c r="H93" s="185">
        <v>88</v>
      </c>
      <c r="I93" s="186" t="str">
        <f t="shared" si="6"/>
        <v/>
      </c>
      <c r="J93" s="185" t="e">
        <f t="shared" si="9"/>
        <v>#NUM!</v>
      </c>
      <c r="K93" s="185" t="e">
        <f t="shared" si="7"/>
        <v>#NUM!</v>
      </c>
      <c r="L93" s="185"/>
      <c r="M93" s="187">
        <f t="shared" si="8"/>
        <v>0</v>
      </c>
    </row>
    <row r="94" spans="1:13" x14ac:dyDescent="0.25">
      <c r="A94" s="210"/>
      <c r="G94" s="173"/>
      <c r="H94" s="185">
        <v>89</v>
      </c>
      <c r="I94" s="186" t="str">
        <f t="shared" si="6"/>
        <v/>
      </c>
      <c r="J94" s="185" t="e">
        <f t="shared" si="9"/>
        <v>#NUM!</v>
      </c>
      <c r="K94" s="185" t="e">
        <f t="shared" si="7"/>
        <v>#NUM!</v>
      </c>
      <c r="L94" s="185"/>
      <c r="M94" s="187">
        <f t="shared" si="8"/>
        <v>0</v>
      </c>
    </row>
    <row r="95" spans="1:13" x14ac:dyDescent="0.25">
      <c r="A95" s="210"/>
      <c r="G95" s="173"/>
      <c r="H95" s="185">
        <v>90</v>
      </c>
      <c r="I95" s="186" t="str">
        <f t="shared" si="6"/>
        <v/>
      </c>
      <c r="J95" s="185" t="e">
        <f t="shared" si="9"/>
        <v>#NUM!</v>
      </c>
      <c r="K95" s="185" t="e">
        <f t="shared" si="7"/>
        <v>#NUM!</v>
      </c>
      <c r="L95" s="185"/>
      <c r="M95" s="187">
        <f t="shared" si="8"/>
        <v>0</v>
      </c>
    </row>
    <row r="96" spans="1:13" x14ac:dyDescent="0.25">
      <c r="A96" s="210"/>
      <c r="G96" s="173"/>
      <c r="H96" s="185">
        <v>91</v>
      </c>
      <c r="I96" s="186" t="str">
        <f t="shared" si="6"/>
        <v/>
      </c>
      <c r="J96" s="185" t="e">
        <f t="shared" si="9"/>
        <v>#NUM!</v>
      </c>
      <c r="K96" s="185" t="e">
        <f t="shared" si="7"/>
        <v>#NUM!</v>
      </c>
      <c r="L96" s="185"/>
      <c r="M96" s="187">
        <f t="shared" si="8"/>
        <v>0</v>
      </c>
    </row>
    <row r="97" spans="1:13" x14ac:dyDescent="0.25">
      <c r="A97" s="210"/>
      <c r="G97" s="173"/>
      <c r="H97" s="185">
        <v>92</v>
      </c>
      <c r="I97" s="186" t="str">
        <f t="shared" si="6"/>
        <v/>
      </c>
      <c r="J97" s="185" t="e">
        <f t="shared" si="9"/>
        <v>#NUM!</v>
      </c>
      <c r="K97" s="185" t="e">
        <f t="shared" si="7"/>
        <v>#NUM!</v>
      </c>
      <c r="L97" s="185"/>
      <c r="M97" s="187">
        <f t="shared" si="8"/>
        <v>0</v>
      </c>
    </row>
    <row r="98" spans="1:13" x14ac:dyDescent="0.25">
      <c r="A98" s="210"/>
      <c r="G98" s="173"/>
      <c r="H98" s="185">
        <v>93</v>
      </c>
      <c r="I98" s="186" t="str">
        <f t="shared" si="6"/>
        <v/>
      </c>
      <c r="J98" s="185" t="e">
        <f t="shared" si="9"/>
        <v>#NUM!</v>
      </c>
      <c r="K98" s="185" t="e">
        <f t="shared" si="7"/>
        <v>#NUM!</v>
      </c>
      <c r="L98" s="185"/>
      <c r="M98" s="187">
        <f t="shared" si="8"/>
        <v>0</v>
      </c>
    </row>
    <row r="99" spans="1:13" x14ac:dyDescent="0.25">
      <c r="A99" s="210"/>
      <c r="G99" s="173"/>
      <c r="H99" s="185">
        <v>94</v>
      </c>
      <c r="I99" s="186" t="str">
        <f t="shared" si="6"/>
        <v/>
      </c>
      <c r="J99" s="185" t="e">
        <f t="shared" si="9"/>
        <v>#NUM!</v>
      </c>
      <c r="K99" s="185" t="e">
        <f t="shared" si="7"/>
        <v>#NUM!</v>
      </c>
      <c r="L99" s="185"/>
      <c r="M99" s="187">
        <f t="shared" si="8"/>
        <v>0</v>
      </c>
    </row>
    <row r="100" spans="1:13" x14ac:dyDescent="0.25">
      <c r="A100" s="210"/>
      <c r="G100" s="173"/>
      <c r="H100" s="185">
        <v>95</v>
      </c>
      <c r="I100" s="186" t="str">
        <f t="shared" si="6"/>
        <v/>
      </c>
      <c r="J100" s="185" t="e">
        <f t="shared" si="9"/>
        <v>#NUM!</v>
      </c>
      <c r="K100" s="185" t="e">
        <f t="shared" si="7"/>
        <v>#NUM!</v>
      </c>
      <c r="L100" s="185"/>
      <c r="M100" s="187">
        <f t="shared" si="8"/>
        <v>0</v>
      </c>
    </row>
    <row r="101" spans="1:13" x14ac:dyDescent="0.25">
      <c r="A101" s="202"/>
      <c r="G101" s="173"/>
      <c r="H101" s="185">
        <v>96</v>
      </c>
      <c r="I101" s="186" t="str">
        <f t="shared" si="6"/>
        <v/>
      </c>
      <c r="J101" s="185" t="e">
        <f t="shared" si="9"/>
        <v>#NUM!</v>
      </c>
      <c r="K101" s="185" t="e">
        <f t="shared" si="7"/>
        <v>#NUM!</v>
      </c>
      <c r="L101" s="185"/>
      <c r="M101" s="187">
        <f t="shared" si="8"/>
        <v>0</v>
      </c>
    </row>
    <row r="102" spans="1:13" x14ac:dyDescent="0.25">
      <c r="A102" s="202"/>
      <c r="G102" s="173"/>
      <c r="H102" s="185">
        <v>97</v>
      </c>
      <c r="I102" s="186" t="str">
        <f t="shared" si="6"/>
        <v/>
      </c>
      <c r="J102" s="185" t="e">
        <f t="shared" si="9"/>
        <v>#NUM!</v>
      </c>
      <c r="K102" s="185" t="e">
        <f t="shared" si="7"/>
        <v>#NUM!</v>
      </c>
      <c r="L102" s="185"/>
      <c r="M102" s="187">
        <f t="shared" si="8"/>
        <v>0</v>
      </c>
    </row>
    <row r="103" spans="1:13" x14ac:dyDescent="0.25">
      <c r="A103" s="202"/>
      <c r="G103" s="173"/>
      <c r="H103" s="185">
        <v>98</v>
      </c>
      <c r="I103" s="186" t="str">
        <f t="shared" si="6"/>
        <v/>
      </c>
      <c r="J103" s="185" t="e">
        <f t="shared" si="9"/>
        <v>#NUM!</v>
      </c>
      <c r="K103" s="185" t="e">
        <f t="shared" si="7"/>
        <v>#NUM!</v>
      </c>
      <c r="L103" s="185"/>
      <c r="M103" s="187">
        <f t="shared" si="8"/>
        <v>0</v>
      </c>
    </row>
    <row r="104" spans="1:13" x14ac:dyDescent="0.25">
      <c r="A104" s="202"/>
      <c r="G104" s="173"/>
      <c r="H104" s="185">
        <v>99</v>
      </c>
      <c r="I104" s="186" t="str">
        <f t="shared" si="6"/>
        <v/>
      </c>
      <c r="J104" s="185" t="e">
        <f t="shared" si="9"/>
        <v>#NUM!</v>
      </c>
      <c r="K104" s="185" t="e">
        <f t="shared" si="7"/>
        <v>#NUM!</v>
      </c>
      <c r="L104" s="185"/>
      <c r="M104" s="187">
        <f t="shared" si="8"/>
        <v>0</v>
      </c>
    </row>
    <row r="105" spans="1:13" x14ac:dyDescent="0.25">
      <c r="A105" s="202"/>
      <c r="G105" s="173"/>
      <c r="H105" s="185">
        <v>100</v>
      </c>
      <c r="I105" s="186" t="str">
        <f t="shared" si="6"/>
        <v/>
      </c>
      <c r="J105" s="185" t="e">
        <f t="shared" si="9"/>
        <v>#NUM!</v>
      </c>
      <c r="K105" s="185" t="e">
        <f t="shared" si="7"/>
        <v>#NUM!</v>
      </c>
      <c r="L105" s="185"/>
      <c r="M105" s="187">
        <f t="shared" si="8"/>
        <v>0</v>
      </c>
    </row>
    <row r="106" spans="1:13" x14ac:dyDescent="0.25">
      <c r="A106" s="202"/>
      <c r="G106" s="173"/>
      <c r="H106" s="185">
        <v>101</v>
      </c>
      <c r="I106" s="186" t="str">
        <f t="shared" si="6"/>
        <v/>
      </c>
      <c r="J106" s="185" t="e">
        <f t="shared" si="9"/>
        <v>#NUM!</v>
      </c>
      <c r="K106" s="185" t="e">
        <f t="shared" si="7"/>
        <v>#NUM!</v>
      </c>
      <c r="L106" s="185"/>
      <c r="M106" s="187">
        <f t="shared" si="8"/>
        <v>0</v>
      </c>
    </row>
    <row r="107" spans="1:13" x14ac:dyDescent="0.25">
      <c r="A107" s="202"/>
      <c r="G107" s="173"/>
      <c r="H107" s="185">
        <v>102</v>
      </c>
      <c r="I107" s="186" t="str">
        <f t="shared" si="6"/>
        <v/>
      </c>
      <c r="J107" s="185" t="e">
        <f t="shared" si="9"/>
        <v>#NUM!</v>
      </c>
      <c r="K107" s="185" t="e">
        <f t="shared" si="7"/>
        <v>#NUM!</v>
      </c>
      <c r="L107" s="185"/>
      <c r="M107" s="187">
        <f t="shared" si="8"/>
        <v>0</v>
      </c>
    </row>
    <row r="108" spans="1:13" x14ac:dyDescent="0.25">
      <c r="A108" s="202"/>
      <c r="G108" s="173"/>
      <c r="H108" s="185">
        <v>103</v>
      </c>
      <c r="I108" s="186" t="str">
        <f t="shared" si="6"/>
        <v/>
      </c>
      <c r="J108" s="185" t="e">
        <f t="shared" si="9"/>
        <v>#NUM!</v>
      </c>
      <c r="K108" s="185" t="e">
        <f t="shared" si="7"/>
        <v>#NUM!</v>
      </c>
      <c r="L108" s="185"/>
      <c r="M108" s="187">
        <f t="shared" si="8"/>
        <v>0</v>
      </c>
    </row>
    <row r="109" spans="1:13" x14ac:dyDescent="0.25">
      <c r="A109" s="202"/>
      <c r="G109" s="173"/>
      <c r="H109" s="185">
        <v>104</v>
      </c>
      <c r="I109" s="186" t="str">
        <f t="shared" si="6"/>
        <v/>
      </c>
      <c r="J109" s="185" t="e">
        <f t="shared" si="9"/>
        <v>#NUM!</v>
      </c>
      <c r="K109" s="185" t="e">
        <f t="shared" si="7"/>
        <v>#NUM!</v>
      </c>
      <c r="L109" s="185"/>
      <c r="M109" s="187">
        <f t="shared" si="8"/>
        <v>0</v>
      </c>
    </row>
    <row r="110" spans="1:13" x14ac:dyDescent="0.25">
      <c r="A110" s="202"/>
      <c r="G110" s="173"/>
      <c r="H110" s="185">
        <v>105</v>
      </c>
      <c r="I110" s="186" t="str">
        <f t="shared" si="6"/>
        <v/>
      </c>
      <c r="J110" s="185" t="e">
        <f t="shared" si="9"/>
        <v>#NUM!</v>
      </c>
      <c r="K110" s="185" t="e">
        <f t="shared" si="7"/>
        <v>#NUM!</v>
      </c>
      <c r="L110" s="185"/>
      <c r="M110" s="187">
        <f t="shared" si="8"/>
        <v>0</v>
      </c>
    </row>
    <row r="111" spans="1:13" x14ac:dyDescent="0.25">
      <c r="A111" s="202"/>
      <c r="G111" s="173"/>
      <c r="H111" s="185">
        <v>106</v>
      </c>
      <c r="I111" s="186" t="str">
        <f t="shared" si="6"/>
        <v/>
      </c>
      <c r="J111" s="185" t="e">
        <f t="shared" si="9"/>
        <v>#NUM!</v>
      </c>
      <c r="K111" s="185" t="e">
        <f t="shared" si="7"/>
        <v>#NUM!</v>
      </c>
      <c r="L111" s="185"/>
      <c r="M111" s="187">
        <f t="shared" si="8"/>
        <v>0</v>
      </c>
    </row>
    <row r="112" spans="1:13" x14ac:dyDescent="0.25">
      <c r="A112" s="202"/>
      <c r="G112" s="173"/>
      <c r="H112" s="185">
        <v>107</v>
      </c>
      <c r="I112" s="186" t="str">
        <f t="shared" si="6"/>
        <v/>
      </c>
      <c r="J112" s="185" t="e">
        <f t="shared" si="9"/>
        <v>#NUM!</v>
      </c>
      <c r="K112" s="185" t="e">
        <f t="shared" si="7"/>
        <v>#NUM!</v>
      </c>
      <c r="L112" s="185"/>
      <c r="M112" s="187">
        <f t="shared" si="8"/>
        <v>0</v>
      </c>
    </row>
    <row r="113" spans="1:13" x14ac:dyDescent="0.25">
      <c r="A113" s="202"/>
      <c r="G113" s="173"/>
      <c r="H113" s="185">
        <v>108</v>
      </c>
      <c r="I113" s="186" t="str">
        <f t="shared" si="6"/>
        <v/>
      </c>
      <c r="J113" s="185" t="e">
        <f t="shared" si="9"/>
        <v>#NUM!</v>
      </c>
      <c r="K113" s="185" t="e">
        <f t="shared" si="7"/>
        <v>#NUM!</v>
      </c>
      <c r="L113" s="185"/>
      <c r="M113" s="187">
        <f t="shared" si="8"/>
        <v>0</v>
      </c>
    </row>
    <row r="114" spans="1:13" x14ac:dyDescent="0.25">
      <c r="A114" s="202"/>
      <c r="G114" s="173"/>
      <c r="H114" s="185">
        <v>109</v>
      </c>
      <c r="I114" s="186" t="str">
        <f t="shared" si="6"/>
        <v/>
      </c>
      <c r="J114" s="185" t="e">
        <f t="shared" si="9"/>
        <v>#NUM!</v>
      </c>
      <c r="K114" s="185" t="e">
        <f t="shared" si="7"/>
        <v>#NUM!</v>
      </c>
      <c r="L114" s="185"/>
      <c r="M114" s="187">
        <f t="shared" si="8"/>
        <v>0</v>
      </c>
    </row>
    <row r="115" spans="1:13" x14ac:dyDescent="0.25">
      <c r="A115" s="202"/>
      <c r="G115" s="173"/>
      <c r="H115" s="185">
        <v>110</v>
      </c>
      <c r="I115" s="186" t="str">
        <f t="shared" si="6"/>
        <v/>
      </c>
      <c r="J115" s="185" t="e">
        <f t="shared" si="9"/>
        <v>#NUM!</v>
      </c>
      <c r="K115" s="185" t="e">
        <f t="shared" si="7"/>
        <v>#NUM!</v>
      </c>
      <c r="L115" s="185"/>
      <c r="M115" s="187">
        <f t="shared" si="8"/>
        <v>0</v>
      </c>
    </row>
    <row r="116" spans="1:13" x14ac:dyDescent="0.25">
      <c r="A116" s="202"/>
      <c r="G116" s="173"/>
      <c r="H116" s="185">
        <v>111</v>
      </c>
      <c r="I116" s="186" t="str">
        <f t="shared" si="6"/>
        <v/>
      </c>
      <c r="J116" s="185" t="e">
        <f t="shared" si="9"/>
        <v>#NUM!</v>
      </c>
      <c r="K116" s="185" t="e">
        <f t="shared" si="7"/>
        <v>#NUM!</v>
      </c>
      <c r="L116" s="185"/>
      <c r="M116" s="187">
        <f t="shared" si="8"/>
        <v>0</v>
      </c>
    </row>
    <row r="117" spans="1:13" x14ac:dyDescent="0.25">
      <c r="A117" s="202"/>
      <c r="G117" s="173"/>
      <c r="H117" s="185">
        <v>112</v>
      </c>
      <c r="I117" s="186" t="str">
        <f t="shared" si="6"/>
        <v/>
      </c>
      <c r="J117" s="185" t="e">
        <f t="shared" si="9"/>
        <v>#NUM!</v>
      </c>
      <c r="K117" s="185" t="e">
        <f t="shared" si="7"/>
        <v>#NUM!</v>
      </c>
      <c r="L117" s="185"/>
      <c r="M117" s="187">
        <f t="shared" si="8"/>
        <v>0</v>
      </c>
    </row>
    <row r="118" spans="1:13" x14ac:dyDescent="0.25">
      <c r="A118" s="202"/>
      <c r="G118" s="173"/>
      <c r="H118" s="185">
        <v>113</v>
      </c>
      <c r="I118" s="186" t="str">
        <f t="shared" si="6"/>
        <v/>
      </c>
      <c r="J118" s="185" t="e">
        <f t="shared" si="9"/>
        <v>#NUM!</v>
      </c>
      <c r="K118" s="185" t="e">
        <f t="shared" si="7"/>
        <v>#NUM!</v>
      </c>
      <c r="L118" s="185"/>
      <c r="M118" s="187">
        <f t="shared" si="8"/>
        <v>0</v>
      </c>
    </row>
    <row r="119" spans="1:13" x14ac:dyDescent="0.25">
      <c r="A119" s="202"/>
      <c r="G119" s="173"/>
      <c r="H119" s="185">
        <v>114</v>
      </c>
      <c r="I119" s="186" t="str">
        <f t="shared" si="6"/>
        <v/>
      </c>
      <c r="J119" s="185" t="e">
        <f t="shared" si="9"/>
        <v>#NUM!</v>
      </c>
      <c r="K119" s="185" t="e">
        <f t="shared" si="7"/>
        <v>#NUM!</v>
      </c>
      <c r="L119" s="185"/>
      <c r="M119" s="187">
        <f t="shared" si="8"/>
        <v>0</v>
      </c>
    </row>
    <row r="120" spans="1:13" x14ac:dyDescent="0.25">
      <c r="A120" s="202"/>
      <c r="G120" s="173"/>
      <c r="H120" s="185">
        <v>115</v>
      </c>
      <c r="I120" s="186" t="str">
        <f t="shared" si="6"/>
        <v/>
      </c>
      <c r="J120" s="185" t="e">
        <f t="shared" si="9"/>
        <v>#NUM!</v>
      </c>
      <c r="K120" s="185" t="e">
        <f t="shared" si="7"/>
        <v>#NUM!</v>
      </c>
      <c r="L120" s="185"/>
      <c r="M120" s="187">
        <f t="shared" si="8"/>
        <v>0</v>
      </c>
    </row>
    <row r="121" spans="1:13" x14ac:dyDescent="0.25">
      <c r="A121" s="202"/>
      <c r="G121" s="173"/>
      <c r="H121" s="185">
        <v>116</v>
      </c>
      <c r="I121" s="186" t="str">
        <f t="shared" si="6"/>
        <v/>
      </c>
      <c r="J121" s="185" t="e">
        <f t="shared" si="9"/>
        <v>#NUM!</v>
      </c>
      <c r="K121" s="185" t="e">
        <f t="shared" si="7"/>
        <v>#NUM!</v>
      </c>
      <c r="L121" s="185"/>
      <c r="M121" s="187">
        <f t="shared" si="8"/>
        <v>0</v>
      </c>
    </row>
    <row r="122" spans="1:13" x14ac:dyDescent="0.25">
      <c r="A122" s="202"/>
      <c r="G122" s="173"/>
      <c r="H122" s="185">
        <v>117</v>
      </c>
      <c r="I122" s="186" t="str">
        <f t="shared" si="6"/>
        <v/>
      </c>
      <c r="J122" s="185" t="e">
        <f t="shared" si="9"/>
        <v>#NUM!</v>
      </c>
      <c r="K122" s="185" t="e">
        <f t="shared" si="7"/>
        <v>#NUM!</v>
      </c>
      <c r="L122" s="185"/>
      <c r="M122" s="187">
        <f t="shared" si="8"/>
        <v>0</v>
      </c>
    </row>
    <row r="123" spans="1:13" x14ac:dyDescent="0.25">
      <c r="A123" s="202"/>
      <c r="G123" s="173"/>
      <c r="H123" s="185">
        <v>118</v>
      </c>
      <c r="I123" s="186" t="str">
        <f t="shared" si="6"/>
        <v/>
      </c>
      <c r="J123" s="185" t="e">
        <f t="shared" si="9"/>
        <v>#NUM!</v>
      </c>
      <c r="K123" s="185" t="e">
        <f t="shared" si="7"/>
        <v>#NUM!</v>
      </c>
      <c r="L123" s="185"/>
      <c r="M123" s="187">
        <f t="shared" si="8"/>
        <v>0</v>
      </c>
    </row>
    <row r="124" spans="1:13" x14ac:dyDescent="0.25">
      <c r="A124" s="202"/>
      <c r="G124" s="173"/>
      <c r="H124" s="185">
        <v>119</v>
      </c>
      <c r="I124" s="186" t="str">
        <f t="shared" si="6"/>
        <v/>
      </c>
      <c r="J124" s="185" t="e">
        <f t="shared" si="9"/>
        <v>#NUM!</v>
      </c>
      <c r="K124" s="185" t="e">
        <f t="shared" si="7"/>
        <v>#NUM!</v>
      </c>
      <c r="L124" s="185"/>
      <c r="M124" s="187">
        <f t="shared" si="8"/>
        <v>0</v>
      </c>
    </row>
    <row r="125" spans="1:13" x14ac:dyDescent="0.25">
      <c r="A125" s="202"/>
      <c r="G125" s="173"/>
      <c r="H125" s="185">
        <v>120</v>
      </c>
      <c r="I125" s="186" t="str">
        <f t="shared" si="6"/>
        <v/>
      </c>
      <c r="J125" s="185" t="e">
        <f t="shared" si="9"/>
        <v>#NUM!</v>
      </c>
      <c r="K125" s="185" t="e">
        <f t="shared" si="7"/>
        <v>#NUM!</v>
      </c>
      <c r="L125" s="185"/>
      <c r="M125" s="187">
        <f t="shared" si="8"/>
        <v>0</v>
      </c>
    </row>
    <row r="126" spans="1:13" x14ac:dyDescent="0.25">
      <c r="A126" s="202"/>
      <c r="G126" s="173"/>
      <c r="H126" s="185">
        <v>121</v>
      </c>
      <c r="I126" s="186" t="str">
        <f t="shared" si="6"/>
        <v/>
      </c>
      <c r="J126" s="185" t="e">
        <f t="shared" si="9"/>
        <v>#NUM!</v>
      </c>
      <c r="K126" s="185" t="e">
        <f t="shared" si="7"/>
        <v>#NUM!</v>
      </c>
      <c r="L126" s="185"/>
      <c r="M126" s="187">
        <f t="shared" si="8"/>
        <v>0</v>
      </c>
    </row>
    <row r="127" spans="1:13" x14ac:dyDescent="0.25">
      <c r="A127" s="202"/>
      <c r="G127" s="173"/>
      <c r="H127" s="185">
        <v>122</v>
      </c>
      <c r="I127" s="186" t="str">
        <f t="shared" si="6"/>
        <v/>
      </c>
      <c r="J127" s="185" t="e">
        <f t="shared" si="9"/>
        <v>#NUM!</v>
      </c>
      <c r="K127" s="185" t="e">
        <f t="shared" si="7"/>
        <v>#NUM!</v>
      </c>
      <c r="L127" s="185"/>
      <c r="M127" s="187">
        <f t="shared" si="8"/>
        <v>0</v>
      </c>
    </row>
    <row r="128" spans="1:13" x14ac:dyDescent="0.25">
      <c r="A128" s="202"/>
      <c r="G128" s="173"/>
      <c r="H128" s="185">
        <v>123</v>
      </c>
      <c r="I128" s="186" t="str">
        <f t="shared" si="6"/>
        <v/>
      </c>
      <c r="J128" s="185" t="e">
        <f t="shared" si="9"/>
        <v>#NUM!</v>
      </c>
      <c r="K128" s="185" t="e">
        <f t="shared" si="7"/>
        <v>#NUM!</v>
      </c>
      <c r="L128" s="185"/>
      <c r="M128" s="187">
        <f t="shared" si="8"/>
        <v>0</v>
      </c>
    </row>
    <row r="129" spans="1:13" x14ac:dyDescent="0.25">
      <c r="A129" s="202"/>
      <c r="G129" s="173"/>
      <c r="H129" s="185">
        <v>124</v>
      </c>
      <c r="I129" s="186" t="str">
        <f t="shared" si="6"/>
        <v/>
      </c>
      <c r="J129" s="185" t="e">
        <f t="shared" si="9"/>
        <v>#NUM!</v>
      </c>
      <c r="K129" s="185" t="e">
        <f t="shared" si="7"/>
        <v>#NUM!</v>
      </c>
      <c r="L129" s="185"/>
      <c r="M129" s="187">
        <f t="shared" si="8"/>
        <v>0</v>
      </c>
    </row>
    <row r="130" spans="1:13" x14ac:dyDescent="0.25">
      <c r="A130" s="202"/>
      <c r="G130" s="173"/>
      <c r="H130" s="185">
        <v>125</v>
      </c>
      <c r="I130" s="186" t="str">
        <f t="shared" si="6"/>
        <v/>
      </c>
      <c r="J130" s="185" t="e">
        <f t="shared" si="9"/>
        <v>#NUM!</v>
      </c>
      <c r="K130" s="185" t="e">
        <f t="shared" si="7"/>
        <v>#NUM!</v>
      </c>
      <c r="L130" s="185"/>
      <c r="M130" s="187">
        <f t="shared" si="8"/>
        <v>0</v>
      </c>
    </row>
    <row r="131" spans="1:13" x14ac:dyDescent="0.25">
      <c r="A131" s="202"/>
      <c r="G131" s="173"/>
      <c r="H131" s="185">
        <v>126</v>
      </c>
      <c r="I131" s="186" t="str">
        <f t="shared" si="6"/>
        <v/>
      </c>
      <c r="J131" s="185" t="e">
        <f t="shared" si="9"/>
        <v>#NUM!</v>
      </c>
      <c r="K131" s="185" t="e">
        <f t="shared" si="7"/>
        <v>#NUM!</v>
      </c>
      <c r="L131" s="185"/>
      <c r="M131" s="187">
        <f t="shared" si="8"/>
        <v>0</v>
      </c>
    </row>
    <row r="132" spans="1:13" x14ac:dyDescent="0.25">
      <c r="A132" s="202"/>
      <c r="G132" s="173"/>
      <c r="H132" s="185">
        <v>127</v>
      </c>
      <c r="I132" s="186" t="str">
        <f t="shared" si="6"/>
        <v/>
      </c>
      <c r="J132" s="185" t="e">
        <f t="shared" si="9"/>
        <v>#NUM!</v>
      </c>
      <c r="K132" s="185" t="e">
        <f t="shared" si="7"/>
        <v>#NUM!</v>
      </c>
      <c r="L132" s="185"/>
      <c r="M132" s="187">
        <f t="shared" si="8"/>
        <v>0</v>
      </c>
    </row>
    <row r="133" spans="1:13" x14ac:dyDescent="0.25">
      <c r="A133" s="202"/>
      <c r="G133" s="173"/>
      <c r="H133" s="185">
        <v>128</v>
      </c>
      <c r="I133" s="186" t="str">
        <f t="shared" si="6"/>
        <v/>
      </c>
      <c r="J133" s="185" t="e">
        <f t="shared" si="9"/>
        <v>#NUM!</v>
      </c>
      <c r="K133" s="185" t="e">
        <f t="shared" si="7"/>
        <v>#NUM!</v>
      </c>
      <c r="L133" s="185"/>
      <c r="M133" s="187">
        <f t="shared" si="8"/>
        <v>0</v>
      </c>
    </row>
    <row r="134" spans="1:13" x14ac:dyDescent="0.25">
      <c r="A134" s="202"/>
      <c r="G134" s="173"/>
      <c r="H134" s="185">
        <v>129</v>
      </c>
      <c r="I134" s="186" t="str">
        <f t="shared" ref="I134:I197" si="10">IF(H134&lt;$H$2+1,($I$2-($I$2-1)*(LOG(H134)/LOG($H$2))),"")</f>
        <v/>
      </c>
      <c r="J134" s="185" t="e">
        <f t="shared" si="9"/>
        <v>#NUM!</v>
      </c>
      <c r="K134" s="185" t="e">
        <f t="shared" ref="K134:K197" si="11">J134*$J$2</f>
        <v>#NUM!</v>
      </c>
      <c r="L134" s="185"/>
      <c r="M134" s="187">
        <f t="shared" ref="M134:M197" si="12">IF(I134&lt;&gt;"",K134+I134+L134,0)</f>
        <v>0</v>
      </c>
    </row>
    <row r="135" spans="1:13" x14ac:dyDescent="0.25">
      <c r="A135" s="202"/>
      <c r="G135" s="173"/>
      <c r="H135" s="185">
        <v>130</v>
      </c>
      <c r="I135" s="186" t="str">
        <f t="shared" si="10"/>
        <v/>
      </c>
      <c r="J135" s="185" t="e">
        <f t="shared" ref="J135:J198" si="13">INT(LOG($H$2,2))-ROUNDUP(LOG(H135,2),0)+IF(OR($H$2=1,$H$2=2,$H$2=4,$H$2=8,$H$2=16,$H$2=32,$H$2=64,$H$2=128,$H$2=256),0,1)</f>
        <v>#NUM!</v>
      </c>
      <c r="K135" s="185" t="e">
        <f t="shared" si="11"/>
        <v>#NUM!</v>
      </c>
      <c r="L135" s="185"/>
      <c r="M135" s="187">
        <f t="shared" si="12"/>
        <v>0</v>
      </c>
    </row>
    <row r="136" spans="1:13" x14ac:dyDescent="0.25">
      <c r="A136" s="202"/>
      <c r="G136" s="173"/>
      <c r="H136" s="185">
        <v>131</v>
      </c>
      <c r="I136" s="186" t="str">
        <f t="shared" si="10"/>
        <v/>
      </c>
      <c r="J136" s="185" t="e">
        <f t="shared" si="13"/>
        <v>#NUM!</v>
      </c>
      <c r="K136" s="185" t="e">
        <f t="shared" si="11"/>
        <v>#NUM!</v>
      </c>
      <c r="L136" s="185"/>
      <c r="M136" s="187">
        <f t="shared" si="12"/>
        <v>0</v>
      </c>
    </row>
    <row r="137" spans="1:13" x14ac:dyDescent="0.25">
      <c r="A137" s="202"/>
      <c r="G137" s="173"/>
      <c r="H137" s="185">
        <v>132</v>
      </c>
      <c r="I137" s="186" t="str">
        <f t="shared" si="10"/>
        <v/>
      </c>
      <c r="J137" s="185" t="e">
        <f t="shared" si="13"/>
        <v>#NUM!</v>
      </c>
      <c r="K137" s="185" t="e">
        <f t="shared" si="11"/>
        <v>#NUM!</v>
      </c>
      <c r="L137" s="185"/>
      <c r="M137" s="187">
        <f t="shared" si="12"/>
        <v>0</v>
      </c>
    </row>
    <row r="138" spans="1:13" x14ac:dyDescent="0.25">
      <c r="A138" s="202"/>
      <c r="G138" s="173"/>
      <c r="H138" s="185">
        <v>133</v>
      </c>
      <c r="I138" s="186" t="str">
        <f t="shared" si="10"/>
        <v/>
      </c>
      <c r="J138" s="185" t="e">
        <f t="shared" si="13"/>
        <v>#NUM!</v>
      </c>
      <c r="K138" s="185" t="e">
        <f t="shared" si="11"/>
        <v>#NUM!</v>
      </c>
      <c r="L138" s="185"/>
      <c r="M138" s="187">
        <f t="shared" si="12"/>
        <v>0</v>
      </c>
    </row>
    <row r="139" spans="1:13" x14ac:dyDescent="0.25">
      <c r="A139" s="202"/>
      <c r="G139" s="173"/>
      <c r="H139" s="185">
        <v>134</v>
      </c>
      <c r="I139" s="186" t="str">
        <f t="shared" si="10"/>
        <v/>
      </c>
      <c r="J139" s="185" t="e">
        <f t="shared" si="13"/>
        <v>#NUM!</v>
      </c>
      <c r="K139" s="185" t="e">
        <f t="shared" si="11"/>
        <v>#NUM!</v>
      </c>
      <c r="L139" s="185"/>
      <c r="M139" s="187">
        <f t="shared" si="12"/>
        <v>0</v>
      </c>
    </row>
    <row r="140" spans="1:13" x14ac:dyDescent="0.25">
      <c r="A140" s="202"/>
      <c r="G140" s="173"/>
      <c r="H140" s="185">
        <v>135</v>
      </c>
      <c r="I140" s="186" t="str">
        <f t="shared" si="10"/>
        <v/>
      </c>
      <c r="J140" s="185" t="e">
        <f t="shared" si="13"/>
        <v>#NUM!</v>
      </c>
      <c r="K140" s="185" t="e">
        <f t="shared" si="11"/>
        <v>#NUM!</v>
      </c>
      <c r="L140" s="185"/>
      <c r="M140" s="187">
        <f t="shared" si="12"/>
        <v>0</v>
      </c>
    </row>
    <row r="141" spans="1:13" x14ac:dyDescent="0.25">
      <c r="A141" s="202"/>
      <c r="G141" s="173"/>
      <c r="H141" s="185">
        <v>136</v>
      </c>
      <c r="I141" s="186" t="str">
        <f t="shared" si="10"/>
        <v/>
      </c>
      <c r="J141" s="185" t="e">
        <f t="shared" si="13"/>
        <v>#NUM!</v>
      </c>
      <c r="K141" s="185" t="e">
        <f t="shared" si="11"/>
        <v>#NUM!</v>
      </c>
      <c r="L141" s="185"/>
      <c r="M141" s="187">
        <f t="shared" si="12"/>
        <v>0</v>
      </c>
    </row>
    <row r="142" spans="1:13" x14ac:dyDescent="0.25">
      <c r="A142" s="202"/>
      <c r="G142" s="173"/>
      <c r="H142" s="185">
        <v>137</v>
      </c>
      <c r="I142" s="186" t="str">
        <f t="shared" si="10"/>
        <v/>
      </c>
      <c r="J142" s="185" t="e">
        <f t="shared" si="13"/>
        <v>#NUM!</v>
      </c>
      <c r="K142" s="185" t="e">
        <f t="shared" si="11"/>
        <v>#NUM!</v>
      </c>
      <c r="L142" s="185"/>
      <c r="M142" s="187">
        <f t="shared" si="12"/>
        <v>0</v>
      </c>
    </row>
    <row r="143" spans="1:13" x14ac:dyDescent="0.25">
      <c r="A143" s="202"/>
      <c r="G143" s="173"/>
      <c r="H143" s="185">
        <v>138</v>
      </c>
      <c r="I143" s="186" t="str">
        <f t="shared" si="10"/>
        <v/>
      </c>
      <c r="J143" s="185" t="e">
        <f t="shared" si="13"/>
        <v>#NUM!</v>
      </c>
      <c r="K143" s="185" t="e">
        <f t="shared" si="11"/>
        <v>#NUM!</v>
      </c>
      <c r="L143" s="185"/>
      <c r="M143" s="187">
        <f t="shared" si="12"/>
        <v>0</v>
      </c>
    </row>
    <row r="144" spans="1:13" x14ac:dyDescent="0.25">
      <c r="A144" s="202"/>
      <c r="G144" s="173"/>
      <c r="H144" s="185">
        <v>139</v>
      </c>
      <c r="I144" s="186" t="str">
        <f t="shared" si="10"/>
        <v/>
      </c>
      <c r="J144" s="185" t="e">
        <f t="shared" si="13"/>
        <v>#NUM!</v>
      </c>
      <c r="K144" s="185" t="e">
        <f t="shared" si="11"/>
        <v>#NUM!</v>
      </c>
      <c r="L144" s="185"/>
      <c r="M144" s="187">
        <f t="shared" si="12"/>
        <v>0</v>
      </c>
    </row>
    <row r="145" spans="1:13" x14ac:dyDescent="0.25">
      <c r="A145" s="202"/>
      <c r="G145" s="173"/>
      <c r="H145" s="185">
        <v>140</v>
      </c>
      <c r="I145" s="186" t="str">
        <f t="shared" si="10"/>
        <v/>
      </c>
      <c r="J145" s="185" t="e">
        <f t="shared" si="13"/>
        <v>#NUM!</v>
      </c>
      <c r="K145" s="185" t="e">
        <f t="shared" si="11"/>
        <v>#NUM!</v>
      </c>
      <c r="L145" s="185"/>
      <c r="M145" s="187">
        <f t="shared" si="12"/>
        <v>0</v>
      </c>
    </row>
    <row r="146" spans="1:13" x14ac:dyDescent="0.25">
      <c r="A146" s="202"/>
      <c r="G146" s="173"/>
      <c r="H146" s="185">
        <v>141</v>
      </c>
      <c r="I146" s="186" t="str">
        <f t="shared" si="10"/>
        <v/>
      </c>
      <c r="J146" s="185" t="e">
        <f t="shared" si="13"/>
        <v>#NUM!</v>
      </c>
      <c r="K146" s="185" t="e">
        <f t="shared" si="11"/>
        <v>#NUM!</v>
      </c>
      <c r="L146" s="185"/>
      <c r="M146" s="187">
        <f t="shared" si="12"/>
        <v>0</v>
      </c>
    </row>
    <row r="147" spans="1:13" x14ac:dyDescent="0.25">
      <c r="A147" s="202"/>
      <c r="G147" s="173"/>
      <c r="H147" s="185">
        <v>142</v>
      </c>
      <c r="I147" s="186" t="str">
        <f t="shared" si="10"/>
        <v/>
      </c>
      <c r="J147" s="185" t="e">
        <f t="shared" si="13"/>
        <v>#NUM!</v>
      </c>
      <c r="K147" s="185" t="e">
        <f t="shared" si="11"/>
        <v>#NUM!</v>
      </c>
      <c r="L147" s="185"/>
      <c r="M147" s="187">
        <f t="shared" si="12"/>
        <v>0</v>
      </c>
    </row>
    <row r="148" spans="1:13" x14ac:dyDescent="0.25">
      <c r="A148" s="202"/>
      <c r="G148" s="173"/>
      <c r="H148" s="185">
        <v>143</v>
      </c>
      <c r="I148" s="186" t="str">
        <f t="shared" si="10"/>
        <v/>
      </c>
      <c r="J148" s="185" t="e">
        <f t="shared" si="13"/>
        <v>#NUM!</v>
      </c>
      <c r="K148" s="185" t="e">
        <f t="shared" si="11"/>
        <v>#NUM!</v>
      </c>
      <c r="L148" s="185"/>
      <c r="M148" s="187">
        <f t="shared" si="12"/>
        <v>0</v>
      </c>
    </row>
    <row r="149" spans="1:13" x14ac:dyDescent="0.25">
      <c r="A149" s="202"/>
      <c r="G149" s="173"/>
      <c r="H149" s="185">
        <v>144</v>
      </c>
      <c r="I149" s="186" t="str">
        <f t="shared" si="10"/>
        <v/>
      </c>
      <c r="J149" s="185" t="e">
        <f t="shared" si="13"/>
        <v>#NUM!</v>
      </c>
      <c r="K149" s="185" t="e">
        <f t="shared" si="11"/>
        <v>#NUM!</v>
      </c>
      <c r="L149" s="185"/>
      <c r="M149" s="187">
        <f t="shared" si="12"/>
        <v>0</v>
      </c>
    </row>
    <row r="150" spans="1:13" x14ac:dyDescent="0.25">
      <c r="A150" s="202"/>
      <c r="G150" s="173"/>
      <c r="H150" s="185">
        <v>145</v>
      </c>
      <c r="I150" s="186" t="str">
        <f t="shared" si="10"/>
        <v/>
      </c>
      <c r="J150" s="185" t="e">
        <f t="shared" si="13"/>
        <v>#NUM!</v>
      </c>
      <c r="K150" s="185" t="e">
        <f t="shared" si="11"/>
        <v>#NUM!</v>
      </c>
      <c r="L150" s="185"/>
      <c r="M150" s="187">
        <f t="shared" si="12"/>
        <v>0</v>
      </c>
    </row>
    <row r="151" spans="1:13" x14ac:dyDescent="0.25">
      <c r="A151" s="202"/>
      <c r="G151" s="173"/>
      <c r="H151" s="185">
        <v>146</v>
      </c>
      <c r="I151" s="186" t="str">
        <f t="shared" si="10"/>
        <v/>
      </c>
      <c r="J151" s="185" t="e">
        <f t="shared" si="13"/>
        <v>#NUM!</v>
      </c>
      <c r="K151" s="185" t="e">
        <f t="shared" si="11"/>
        <v>#NUM!</v>
      </c>
      <c r="L151" s="185"/>
      <c r="M151" s="187">
        <f t="shared" si="12"/>
        <v>0</v>
      </c>
    </row>
    <row r="152" spans="1:13" x14ac:dyDescent="0.25">
      <c r="A152" s="202"/>
      <c r="G152" s="173"/>
      <c r="H152" s="185">
        <v>147</v>
      </c>
      <c r="I152" s="186" t="str">
        <f t="shared" si="10"/>
        <v/>
      </c>
      <c r="J152" s="185" t="e">
        <f t="shared" si="13"/>
        <v>#NUM!</v>
      </c>
      <c r="K152" s="185" t="e">
        <f t="shared" si="11"/>
        <v>#NUM!</v>
      </c>
      <c r="L152" s="185"/>
      <c r="M152" s="187">
        <f t="shared" si="12"/>
        <v>0</v>
      </c>
    </row>
    <row r="153" spans="1:13" x14ac:dyDescent="0.25">
      <c r="A153" s="202"/>
      <c r="G153" s="173"/>
      <c r="H153" s="185">
        <v>148</v>
      </c>
      <c r="I153" s="186" t="str">
        <f t="shared" si="10"/>
        <v/>
      </c>
      <c r="J153" s="185" t="e">
        <f t="shared" si="13"/>
        <v>#NUM!</v>
      </c>
      <c r="K153" s="185" t="e">
        <f t="shared" si="11"/>
        <v>#NUM!</v>
      </c>
      <c r="L153" s="185"/>
      <c r="M153" s="187">
        <f t="shared" si="12"/>
        <v>0</v>
      </c>
    </row>
    <row r="154" spans="1:13" x14ac:dyDescent="0.25">
      <c r="A154" s="202"/>
      <c r="G154" s="173"/>
      <c r="H154" s="185">
        <v>149</v>
      </c>
      <c r="I154" s="186" t="str">
        <f t="shared" si="10"/>
        <v/>
      </c>
      <c r="J154" s="185" t="e">
        <f t="shared" si="13"/>
        <v>#NUM!</v>
      </c>
      <c r="K154" s="185" t="e">
        <f t="shared" si="11"/>
        <v>#NUM!</v>
      </c>
      <c r="L154" s="185"/>
      <c r="M154" s="187">
        <f t="shared" si="12"/>
        <v>0</v>
      </c>
    </row>
    <row r="155" spans="1:13" x14ac:dyDescent="0.25">
      <c r="A155" s="202"/>
      <c r="G155" s="173"/>
      <c r="H155" s="185">
        <v>150</v>
      </c>
      <c r="I155" s="186" t="str">
        <f t="shared" si="10"/>
        <v/>
      </c>
      <c r="J155" s="185" t="e">
        <f t="shared" si="13"/>
        <v>#NUM!</v>
      </c>
      <c r="K155" s="185" t="e">
        <f t="shared" si="11"/>
        <v>#NUM!</v>
      </c>
      <c r="L155" s="185"/>
      <c r="M155" s="187">
        <f t="shared" si="12"/>
        <v>0</v>
      </c>
    </row>
    <row r="156" spans="1:13" x14ac:dyDescent="0.25">
      <c r="A156" s="202"/>
      <c r="G156" s="173"/>
      <c r="H156" s="185">
        <v>151</v>
      </c>
      <c r="I156" s="186" t="str">
        <f t="shared" si="10"/>
        <v/>
      </c>
      <c r="J156" s="185" t="e">
        <f t="shared" si="13"/>
        <v>#NUM!</v>
      </c>
      <c r="K156" s="185" t="e">
        <f t="shared" si="11"/>
        <v>#NUM!</v>
      </c>
      <c r="L156" s="185"/>
      <c r="M156" s="187">
        <f t="shared" si="12"/>
        <v>0</v>
      </c>
    </row>
    <row r="157" spans="1:13" x14ac:dyDescent="0.25">
      <c r="A157" s="202"/>
      <c r="G157" s="173"/>
      <c r="H157" s="185">
        <v>152</v>
      </c>
      <c r="I157" s="186" t="str">
        <f t="shared" si="10"/>
        <v/>
      </c>
      <c r="J157" s="185" t="e">
        <f t="shared" si="13"/>
        <v>#NUM!</v>
      </c>
      <c r="K157" s="185" t="e">
        <f t="shared" si="11"/>
        <v>#NUM!</v>
      </c>
      <c r="L157" s="185"/>
      <c r="M157" s="187">
        <f t="shared" si="12"/>
        <v>0</v>
      </c>
    </row>
    <row r="158" spans="1:13" x14ac:dyDescent="0.25">
      <c r="A158" s="202"/>
      <c r="G158" s="173"/>
      <c r="H158" s="185">
        <v>153</v>
      </c>
      <c r="I158" s="186" t="str">
        <f t="shared" si="10"/>
        <v/>
      </c>
      <c r="J158" s="185" t="e">
        <f t="shared" si="13"/>
        <v>#NUM!</v>
      </c>
      <c r="K158" s="185" t="e">
        <f t="shared" si="11"/>
        <v>#NUM!</v>
      </c>
      <c r="L158" s="185"/>
      <c r="M158" s="187">
        <f t="shared" si="12"/>
        <v>0</v>
      </c>
    </row>
    <row r="159" spans="1:13" x14ac:dyDescent="0.25">
      <c r="A159" s="202"/>
      <c r="G159" s="173"/>
      <c r="H159" s="185">
        <v>154</v>
      </c>
      <c r="I159" s="186" t="str">
        <f t="shared" si="10"/>
        <v/>
      </c>
      <c r="J159" s="185" t="e">
        <f t="shared" si="13"/>
        <v>#NUM!</v>
      </c>
      <c r="K159" s="185" t="e">
        <f t="shared" si="11"/>
        <v>#NUM!</v>
      </c>
      <c r="L159" s="185"/>
      <c r="M159" s="187">
        <f t="shared" si="12"/>
        <v>0</v>
      </c>
    </row>
    <row r="160" spans="1:13" x14ac:dyDescent="0.25">
      <c r="A160" s="202"/>
      <c r="G160" s="173"/>
      <c r="H160" s="185">
        <v>155</v>
      </c>
      <c r="I160" s="186" t="str">
        <f t="shared" si="10"/>
        <v/>
      </c>
      <c r="J160" s="185" t="e">
        <f t="shared" si="13"/>
        <v>#NUM!</v>
      </c>
      <c r="K160" s="185" t="e">
        <f t="shared" si="11"/>
        <v>#NUM!</v>
      </c>
      <c r="L160" s="185"/>
      <c r="M160" s="187">
        <f t="shared" si="12"/>
        <v>0</v>
      </c>
    </row>
    <row r="161" spans="1:13" x14ac:dyDescent="0.25">
      <c r="A161" s="202"/>
      <c r="G161" s="173"/>
      <c r="H161" s="185">
        <v>156</v>
      </c>
      <c r="I161" s="186" t="str">
        <f t="shared" si="10"/>
        <v/>
      </c>
      <c r="J161" s="185" t="e">
        <f t="shared" si="13"/>
        <v>#NUM!</v>
      </c>
      <c r="K161" s="185" t="e">
        <f t="shared" si="11"/>
        <v>#NUM!</v>
      </c>
      <c r="L161" s="185"/>
      <c r="M161" s="187">
        <f t="shared" si="12"/>
        <v>0</v>
      </c>
    </row>
    <row r="162" spans="1:13" x14ac:dyDescent="0.25">
      <c r="A162" s="202"/>
      <c r="G162" s="173"/>
      <c r="H162" s="185">
        <v>157</v>
      </c>
      <c r="I162" s="186" t="str">
        <f t="shared" si="10"/>
        <v/>
      </c>
      <c r="J162" s="185" t="e">
        <f t="shared" si="13"/>
        <v>#NUM!</v>
      </c>
      <c r="K162" s="185" t="e">
        <f t="shared" si="11"/>
        <v>#NUM!</v>
      </c>
      <c r="L162" s="185"/>
      <c r="M162" s="187">
        <f t="shared" si="12"/>
        <v>0</v>
      </c>
    </row>
    <row r="163" spans="1:13" x14ac:dyDescent="0.25">
      <c r="A163" s="202"/>
      <c r="G163" s="173"/>
      <c r="H163" s="185">
        <v>158</v>
      </c>
      <c r="I163" s="186" t="str">
        <f t="shared" si="10"/>
        <v/>
      </c>
      <c r="J163" s="185" t="e">
        <f t="shared" si="13"/>
        <v>#NUM!</v>
      </c>
      <c r="K163" s="185" t="e">
        <f t="shared" si="11"/>
        <v>#NUM!</v>
      </c>
      <c r="L163" s="185"/>
      <c r="M163" s="187">
        <f t="shared" si="12"/>
        <v>0</v>
      </c>
    </row>
    <row r="164" spans="1:13" x14ac:dyDescent="0.25">
      <c r="A164" s="202"/>
      <c r="G164" s="173"/>
      <c r="H164" s="185">
        <v>159</v>
      </c>
      <c r="I164" s="186" t="str">
        <f t="shared" si="10"/>
        <v/>
      </c>
      <c r="J164" s="185" t="e">
        <f t="shared" si="13"/>
        <v>#NUM!</v>
      </c>
      <c r="K164" s="185" t="e">
        <f t="shared" si="11"/>
        <v>#NUM!</v>
      </c>
      <c r="L164" s="185"/>
      <c r="M164" s="187">
        <f t="shared" si="12"/>
        <v>0</v>
      </c>
    </row>
    <row r="165" spans="1:13" x14ac:dyDescent="0.25">
      <c r="A165" s="202"/>
      <c r="G165" s="173"/>
      <c r="H165" s="185">
        <v>160</v>
      </c>
      <c r="I165" s="186" t="str">
        <f t="shared" si="10"/>
        <v/>
      </c>
      <c r="J165" s="185" t="e">
        <f t="shared" si="13"/>
        <v>#NUM!</v>
      </c>
      <c r="K165" s="185" t="e">
        <f t="shared" si="11"/>
        <v>#NUM!</v>
      </c>
      <c r="L165" s="185"/>
      <c r="M165" s="187">
        <f t="shared" si="12"/>
        <v>0</v>
      </c>
    </row>
    <row r="166" spans="1:13" x14ac:dyDescent="0.25">
      <c r="A166" s="202"/>
      <c r="G166" s="173"/>
      <c r="H166" s="185">
        <v>161</v>
      </c>
      <c r="I166" s="186" t="str">
        <f t="shared" si="10"/>
        <v/>
      </c>
      <c r="J166" s="185" t="e">
        <f t="shared" si="13"/>
        <v>#NUM!</v>
      </c>
      <c r="K166" s="185" t="e">
        <f t="shared" si="11"/>
        <v>#NUM!</v>
      </c>
      <c r="L166" s="185"/>
      <c r="M166" s="187">
        <f t="shared" si="12"/>
        <v>0</v>
      </c>
    </row>
    <row r="167" spans="1:13" x14ac:dyDescent="0.25">
      <c r="A167" s="202"/>
      <c r="G167" s="173"/>
      <c r="H167" s="185">
        <v>162</v>
      </c>
      <c r="I167" s="186" t="str">
        <f t="shared" si="10"/>
        <v/>
      </c>
      <c r="J167" s="185" t="e">
        <f t="shared" si="13"/>
        <v>#NUM!</v>
      </c>
      <c r="K167" s="185" t="e">
        <f t="shared" si="11"/>
        <v>#NUM!</v>
      </c>
      <c r="L167" s="185"/>
      <c r="M167" s="187">
        <f t="shared" si="12"/>
        <v>0</v>
      </c>
    </row>
    <row r="168" spans="1:13" x14ac:dyDescent="0.25">
      <c r="A168" s="202"/>
      <c r="G168" s="173"/>
      <c r="H168" s="185">
        <v>163</v>
      </c>
      <c r="I168" s="186" t="str">
        <f t="shared" si="10"/>
        <v/>
      </c>
      <c r="J168" s="185" t="e">
        <f t="shared" si="13"/>
        <v>#NUM!</v>
      </c>
      <c r="K168" s="185" t="e">
        <f t="shared" si="11"/>
        <v>#NUM!</v>
      </c>
      <c r="L168" s="185"/>
      <c r="M168" s="187">
        <f t="shared" si="12"/>
        <v>0</v>
      </c>
    </row>
    <row r="169" spans="1:13" x14ac:dyDescent="0.25">
      <c r="A169" s="202"/>
      <c r="C169" s="201" t="s">
        <v>49</v>
      </c>
      <c r="G169" s="173"/>
      <c r="H169" s="185">
        <v>164</v>
      </c>
      <c r="I169" s="186" t="str">
        <f t="shared" si="10"/>
        <v/>
      </c>
      <c r="J169" s="185" t="e">
        <f t="shared" si="13"/>
        <v>#NUM!</v>
      </c>
      <c r="K169" s="185" t="e">
        <f t="shared" si="11"/>
        <v>#NUM!</v>
      </c>
      <c r="L169" s="185"/>
      <c r="M169" s="187">
        <f t="shared" si="12"/>
        <v>0</v>
      </c>
    </row>
    <row r="170" spans="1:13" x14ac:dyDescent="0.25">
      <c r="A170" s="202"/>
      <c r="G170" s="173"/>
      <c r="H170" s="185">
        <v>165</v>
      </c>
      <c r="I170" s="186" t="str">
        <f t="shared" si="10"/>
        <v/>
      </c>
      <c r="J170" s="185" t="e">
        <f t="shared" si="13"/>
        <v>#NUM!</v>
      </c>
      <c r="K170" s="185" t="e">
        <f t="shared" si="11"/>
        <v>#NUM!</v>
      </c>
      <c r="L170" s="185"/>
      <c r="M170" s="187">
        <f t="shared" si="12"/>
        <v>0</v>
      </c>
    </row>
    <row r="171" spans="1:13" x14ac:dyDescent="0.25">
      <c r="A171" s="202"/>
      <c r="G171" s="173"/>
      <c r="H171" s="185">
        <v>166</v>
      </c>
      <c r="I171" s="186" t="str">
        <f t="shared" si="10"/>
        <v/>
      </c>
      <c r="J171" s="185" t="e">
        <f t="shared" si="13"/>
        <v>#NUM!</v>
      </c>
      <c r="K171" s="185" t="e">
        <f t="shared" si="11"/>
        <v>#NUM!</v>
      </c>
      <c r="L171" s="185"/>
      <c r="M171" s="187">
        <f t="shared" si="12"/>
        <v>0</v>
      </c>
    </row>
    <row r="172" spans="1:13" x14ac:dyDescent="0.25">
      <c r="A172" s="202"/>
      <c r="G172" s="173"/>
      <c r="H172" s="185">
        <v>167</v>
      </c>
      <c r="I172" s="186" t="str">
        <f t="shared" si="10"/>
        <v/>
      </c>
      <c r="J172" s="185" t="e">
        <f t="shared" si="13"/>
        <v>#NUM!</v>
      </c>
      <c r="K172" s="185" t="e">
        <f t="shared" si="11"/>
        <v>#NUM!</v>
      </c>
      <c r="L172" s="185"/>
      <c r="M172" s="187">
        <f t="shared" si="12"/>
        <v>0</v>
      </c>
    </row>
    <row r="173" spans="1:13" x14ac:dyDescent="0.25">
      <c r="A173" s="202"/>
      <c r="G173" s="173"/>
      <c r="H173" s="185">
        <v>168</v>
      </c>
      <c r="I173" s="186" t="str">
        <f t="shared" si="10"/>
        <v/>
      </c>
      <c r="J173" s="185" t="e">
        <f t="shared" si="13"/>
        <v>#NUM!</v>
      </c>
      <c r="K173" s="185" t="e">
        <f t="shared" si="11"/>
        <v>#NUM!</v>
      </c>
      <c r="L173" s="185"/>
      <c r="M173" s="187">
        <f t="shared" si="12"/>
        <v>0</v>
      </c>
    </row>
    <row r="174" spans="1:13" x14ac:dyDescent="0.25">
      <c r="A174" s="202"/>
      <c r="G174" s="173"/>
      <c r="H174" s="185">
        <v>169</v>
      </c>
      <c r="I174" s="186" t="str">
        <f t="shared" si="10"/>
        <v/>
      </c>
      <c r="J174" s="185" t="e">
        <f t="shared" si="13"/>
        <v>#NUM!</v>
      </c>
      <c r="K174" s="185" t="e">
        <f t="shared" si="11"/>
        <v>#NUM!</v>
      </c>
      <c r="L174" s="185"/>
      <c r="M174" s="187">
        <f t="shared" si="12"/>
        <v>0</v>
      </c>
    </row>
    <row r="175" spans="1:13" x14ac:dyDescent="0.25">
      <c r="A175" s="202"/>
      <c r="G175" s="173"/>
      <c r="H175" s="185">
        <v>170</v>
      </c>
      <c r="I175" s="186" t="str">
        <f t="shared" si="10"/>
        <v/>
      </c>
      <c r="J175" s="185" t="e">
        <f t="shared" si="13"/>
        <v>#NUM!</v>
      </c>
      <c r="K175" s="185" t="e">
        <f t="shared" si="11"/>
        <v>#NUM!</v>
      </c>
      <c r="L175" s="185"/>
      <c r="M175" s="187">
        <f t="shared" si="12"/>
        <v>0</v>
      </c>
    </row>
    <row r="176" spans="1:13" x14ac:dyDescent="0.25">
      <c r="A176" s="202"/>
      <c r="G176" s="173"/>
      <c r="H176" s="185">
        <v>171</v>
      </c>
      <c r="I176" s="186" t="str">
        <f t="shared" si="10"/>
        <v/>
      </c>
      <c r="J176" s="185" t="e">
        <f t="shared" si="13"/>
        <v>#NUM!</v>
      </c>
      <c r="K176" s="185" t="e">
        <f t="shared" si="11"/>
        <v>#NUM!</v>
      </c>
      <c r="L176" s="185"/>
      <c r="M176" s="187">
        <f t="shared" si="12"/>
        <v>0</v>
      </c>
    </row>
    <row r="177" spans="1:13" x14ac:dyDescent="0.25">
      <c r="A177" s="202"/>
      <c r="G177" s="173"/>
      <c r="H177" s="185">
        <v>172</v>
      </c>
      <c r="I177" s="186" t="str">
        <f t="shared" si="10"/>
        <v/>
      </c>
      <c r="J177" s="185" t="e">
        <f t="shared" si="13"/>
        <v>#NUM!</v>
      </c>
      <c r="K177" s="185" t="e">
        <f t="shared" si="11"/>
        <v>#NUM!</v>
      </c>
      <c r="L177" s="185"/>
      <c r="M177" s="187">
        <f t="shared" si="12"/>
        <v>0</v>
      </c>
    </row>
    <row r="178" spans="1:13" x14ac:dyDescent="0.25">
      <c r="A178" s="202"/>
      <c r="G178" s="173"/>
      <c r="H178" s="185">
        <v>173</v>
      </c>
      <c r="I178" s="186" t="str">
        <f t="shared" si="10"/>
        <v/>
      </c>
      <c r="J178" s="185" t="e">
        <f t="shared" si="13"/>
        <v>#NUM!</v>
      </c>
      <c r="K178" s="185" t="e">
        <f t="shared" si="11"/>
        <v>#NUM!</v>
      </c>
      <c r="L178" s="185"/>
      <c r="M178" s="187">
        <f t="shared" si="12"/>
        <v>0</v>
      </c>
    </row>
    <row r="179" spans="1:13" x14ac:dyDescent="0.25">
      <c r="A179" s="202"/>
      <c r="G179" s="173"/>
      <c r="H179" s="185">
        <v>174</v>
      </c>
      <c r="I179" s="186" t="str">
        <f t="shared" si="10"/>
        <v/>
      </c>
      <c r="J179" s="185" t="e">
        <f t="shared" si="13"/>
        <v>#NUM!</v>
      </c>
      <c r="K179" s="185" t="e">
        <f t="shared" si="11"/>
        <v>#NUM!</v>
      </c>
      <c r="L179" s="185"/>
      <c r="M179" s="187">
        <f t="shared" si="12"/>
        <v>0</v>
      </c>
    </row>
    <row r="180" spans="1:13" x14ac:dyDescent="0.25">
      <c r="A180" s="202"/>
      <c r="G180" s="173"/>
      <c r="H180" s="185">
        <v>175</v>
      </c>
      <c r="I180" s="186" t="str">
        <f t="shared" si="10"/>
        <v/>
      </c>
      <c r="J180" s="185" t="e">
        <f t="shared" si="13"/>
        <v>#NUM!</v>
      </c>
      <c r="K180" s="185" t="e">
        <f t="shared" si="11"/>
        <v>#NUM!</v>
      </c>
      <c r="L180" s="185"/>
      <c r="M180" s="187">
        <f t="shared" si="12"/>
        <v>0</v>
      </c>
    </row>
    <row r="181" spans="1:13" x14ac:dyDescent="0.25">
      <c r="A181" s="202"/>
      <c r="G181" s="173"/>
      <c r="H181" s="185">
        <v>176</v>
      </c>
      <c r="I181" s="186" t="str">
        <f t="shared" si="10"/>
        <v/>
      </c>
      <c r="J181" s="185" t="e">
        <f t="shared" si="13"/>
        <v>#NUM!</v>
      </c>
      <c r="K181" s="185" t="e">
        <f t="shared" si="11"/>
        <v>#NUM!</v>
      </c>
      <c r="L181" s="185"/>
      <c r="M181" s="187">
        <f t="shared" si="12"/>
        <v>0</v>
      </c>
    </row>
    <row r="182" spans="1:13" x14ac:dyDescent="0.25">
      <c r="A182" s="202"/>
      <c r="G182" s="173"/>
      <c r="H182" s="185">
        <v>177</v>
      </c>
      <c r="I182" s="186" t="str">
        <f t="shared" si="10"/>
        <v/>
      </c>
      <c r="J182" s="185" t="e">
        <f t="shared" si="13"/>
        <v>#NUM!</v>
      </c>
      <c r="K182" s="185" t="e">
        <f t="shared" si="11"/>
        <v>#NUM!</v>
      </c>
      <c r="L182" s="185"/>
      <c r="M182" s="187">
        <f t="shared" si="12"/>
        <v>0</v>
      </c>
    </row>
    <row r="183" spans="1:13" x14ac:dyDescent="0.25">
      <c r="A183" s="202"/>
      <c r="G183" s="173"/>
      <c r="H183" s="185">
        <v>178</v>
      </c>
      <c r="I183" s="186" t="str">
        <f t="shared" si="10"/>
        <v/>
      </c>
      <c r="J183" s="185" t="e">
        <f t="shared" si="13"/>
        <v>#NUM!</v>
      </c>
      <c r="K183" s="185" t="e">
        <f t="shared" si="11"/>
        <v>#NUM!</v>
      </c>
      <c r="L183" s="185"/>
      <c r="M183" s="187">
        <f t="shared" si="12"/>
        <v>0</v>
      </c>
    </row>
    <row r="184" spans="1:13" x14ac:dyDescent="0.25">
      <c r="A184" s="202"/>
      <c r="G184" s="173"/>
      <c r="H184" s="185">
        <v>179</v>
      </c>
      <c r="I184" s="186" t="str">
        <f t="shared" si="10"/>
        <v/>
      </c>
      <c r="J184" s="185" t="e">
        <f t="shared" si="13"/>
        <v>#NUM!</v>
      </c>
      <c r="K184" s="185" t="e">
        <f t="shared" si="11"/>
        <v>#NUM!</v>
      </c>
      <c r="L184" s="185"/>
      <c r="M184" s="187">
        <f t="shared" si="12"/>
        <v>0</v>
      </c>
    </row>
    <row r="185" spans="1:13" x14ac:dyDescent="0.25">
      <c r="A185" s="202"/>
      <c r="G185" s="173"/>
      <c r="H185" s="185">
        <v>180</v>
      </c>
      <c r="I185" s="186" t="str">
        <f t="shared" si="10"/>
        <v/>
      </c>
      <c r="J185" s="185" t="e">
        <f t="shared" si="13"/>
        <v>#NUM!</v>
      </c>
      <c r="K185" s="185" t="e">
        <f t="shared" si="11"/>
        <v>#NUM!</v>
      </c>
      <c r="L185" s="185"/>
      <c r="M185" s="187">
        <f t="shared" si="12"/>
        <v>0</v>
      </c>
    </row>
    <row r="186" spans="1:13" x14ac:dyDescent="0.25">
      <c r="A186" s="202"/>
      <c r="G186" s="173"/>
      <c r="H186" s="185">
        <v>181</v>
      </c>
      <c r="I186" s="186" t="str">
        <f t="shared" si="10"/>
        <v/>
      </c>
      <c r="J186" s="185" t="e">
        <f t="shared" si="13"/>
        <v>#NUM!</v>
      </c>
      <c r="K186" s="185" t="e">
        <f t="shared" si="11"/>
        <v>#NUM!</v>
      </c>
      <c r="L186" s="185"/>
      <c r="M186" s="187">
        <f t="shared" si="12"/>
        <v>0</v>
      </c>
    </row>
    <row r="187" spans="1:13" x14ac:dyDescent="0.25">
      <c r="A187" s="202"/>
      <c r="G187" s="173"/>
      <c r="H187" s="185">
        <v>182</v>
      </c>
      <c r="I187" s="186" t="str">
        <f t="shared" si="10"/>
        <v/>
      </c>
      <c r="J187" s="185" t="e">
        <f t="shared" si="13"/>
        <v>#NUM!</v>
      </c>
      <c r="K187" s="185" t="e">
        <f t="shared" si="11"/>
        <v>#NUM!</v>
      </c>
      <c r="L187" s="185"/>
      <c r="M187" s="187">
        <f t="shared" si="12"/>
        <v>0</v>
      </c>
    </row>
    <row r="188" spans="1:13" x14ac:dyDescent="0.25">
      <c r="A188" s="202"/>
      <c r="G188" s="173"/>
      <c r="H188" s="185">
        <v>183</v>
      </c>
      <c r="I188" s="186" t="str">
        <f t="shared" si="10"/>
        <v/>
      </c>
      <c r="J188" s="185" t="e">
        <f t="shared" si="13"/>
        <v>#NUM!</v>
      </c>
      <c r="K188" s="185" t="e">
        <f t="shared" si="11"/>
        <v>#NUM!</v>
      </c>
      <c r="L188" s="185"/>
      <c r="M188" s="187">
        <f t="shared" si="12"/>
        <v>0</v>
      </c>
    </row>
    <row r="189" spans="1:13" x14ac:dyDescent="0.25">
      <c r="A189" s="202"/>
      <c r="G189" s="173"/>
      <c r="H189" s="185">
        <v>184</v>
      </c>
      <c r="I189" s="186" t="str">
        <f t="shared" si="10"/>
        <v/>
      </c>
      <c r="J189" s="185" t="e">
        <f t="shared" si="13"/>
        <v>#NUM!</v>
      </c>
      <c r="K189" s="185" t="e">
        <f t="shared" si="11"/>
        <v>#NUM!</v>
      </c>
      <c r="L189" s="185"/>
      <c r="M189" s="187">
        <f t="shared" si="12"/>
        <v>0</v>
      </c>
    </row>
    <row r="190" spans="1:13" x14ac:dyDescent="0.25">
      <c r="A190" s="202"/>
      <c r="G190" s="173"/>
      <c r="H190" s="185">
        <v>185</v>
      </c>
      <c r="I190" s="186" t="str">
        <f t="shared" si="10"/>
        <v/>
      </c>
      <c r="J190" s="185" t="e">
        <f t="shared" si="13"/>
        <v>#NUM!</v>
      </c>
      <c r="K190" s="185" t="e">
        <f t="shared" si="11"/>
        <v>#NUM!</v>
      </c>
      <c r="L190" s="185"/>
      <c r="M190" s="187">
        <f t="shared" si="12"/>
        <v>0</v>
      </c>
    </row>
    <row r="191" spans="1:13" x14ac:dyDescent="0.25">
      <c r="A191" s="202"/>
      <c r="G191" s="173"/>
      <c r="H191" s="185">
        <v>186</v>
      </c>
      <c r="I191" s="186" t="str">
        <f t="shared" si="10"/>
        <v/>
      </c>
      <c r="J191" s="185" t="e">
        <f t="shared" si="13"/>
        <v>#NUM!</v>
      </c>
      <c r="K191" s="185" t="e">
        <f t="shared" si="11"/>
        <v>#NUM!</v>
      </c>
      <c r="L191" s="185"/>
      <c r="M191" s="187">
        <f t="shared" si="12"/>
        <v>0</v>
      </c>
    </row>
    <row r="192" spans="1:13" x14ac:dyDescent="0.25">
      <c r="A192" s="202"/>
      <c r="G192" s="173"/>
      <c r="H192" s="185">
        <v>187</v>
      </c>
      <c r="I192" s="186" t="str">
        <f t="shared" si="10"/>
        <v/>
      </c>
      <c r="J192" s="185" t="e">
        <f t="shared" si="13"/>
        <v>#NUM!</v>
      </c>
      <c r="K192" s="185" t="e">
        <f t="shared" si="11"/>
        <v>#NUM!</v>
      </c>
      <c r="L192" s="185"/>
      <c r="M192" s="187">
        <f t="shared" si="12"/>
        <v>0</v>
      </c>
    </row>
    <row r="193" spans="1:13" x14ac:dyDescent="0.25">
      <c r="A193" s="202"/>
      <c r="G193" s="173"/>
      <c r="H193" s="185">
        <v>188</v>
      </c>
      <c r="I193" s="186" t="str">
        <f t="shared" si="10"/>
        <v/>
      </c>
      <c r="J193" s="185" t="e">
        <f t="shared" si="13"/>
        <v>#NUM!</v>
      </c>
      <c r="K193" s="185" t="e">
        <f t="shared" si="11"/>
        <v>#NUM!</v>
      </c>
      <c r="L193" s="185"/>
      <c r="M193" s="187">
        <f t="shared" si="12"/>
        <v>0</v>
      </c>
    </row>
    <row r="194" spans="1:13" x14ac:dyDescent="0.25">
      <c r="A194" s="202"/>
      <c r="G194" s="173"/>
      <c r="H194" s="185">
        <v>189</v>
      </c>
      <c r="I194" s="186" t="str">
        <f t="shared" si="10"/>
        <v/>
      </c>
      <c r="J194" s="185" t="e">
        <f t="shared" si="13"/>
        <v>#NUM!</v>
      </c>
      <c r="K194" s="185" t="e">
        <f t="shared" si="11"/>
        <v>#NUM!</v>
      </c>
      <c r="L194" s="185"/>
      <c r="M194" s="187">
        <f t="shared" si="12"/>
        <v>0</v>
      </c>
    </row>
    <row r="195" spans="1:13" x14ac:dyDescent="0.25">
      <c r="A195" s="202"/>
      <c r="G195" s="173"/>
      <c r="H195" s="185">
        <v>190</v>
      </c>
      <c r="I195" s="186" t="str">
        <f t="shared" si="10"/>
        <v/>
      </c>
      <c r="J195" s="185" t="e">
        <f t="shared" si="13"/>
        <v>#NUM!</v>
      </c>
      <c r="K195" s="185" t="e">
        <f t="shared" si="11"/>
        <v>#NUM!</v>
      </c>
      <c r="L195" s="185"/>
      <c r="M195" s="187">
        <f t="shared" si="12"/>
        <v>0</v>
      </c>
    </row>
    <row r="196" spans="1:13" x14ac:dyDescent="0.25">
      <c r="A196" s="202"/>
      <c r="G196" s="173"/>
      <c r="H196" s="185">
        <v>191</v>
      </c>
      <c r="I196" s="186" t="str">
        <f t="shared" si="10"/>
        <v/>
      </c>
      <c r="J196" s="185" t="e">
        <f t="shared" si="13"/>
        <v>#NUM!</v>
      </c>
      <c r="K196" s="185" t="e">
        <f t="shared" si="11"/>
        <v>#NUM!</v>
      </c>
      <c r="L196" s="185"/>
      <c r="M196" s="187">
        <f t="shared" si="12"/>
        <v>0</v>
      </c>
    </row>
    <row r="197" spans="1:13" x14ac:dyDescent="0.25">
      <c r="A197" s="202"/>
      <c r="G197" s="173"/>
      <c r="H197" s="185">
        <v>192</v>
      </c>
      <c r="I197" s="186" t="str">
        <f t="shared" si="10"/>
        <v/>
      </c>
      <c r="J197" s="185" t="e">
        <f t="shared" si="13"/>
        <v>#NUM!</v>
      </c>
      <c r="K197" s="185" t="e">
        <f t="shared" si="11"/>
        <v>#NUM!</v>
      </c>
      <c r="L197" s="185"/>
      <c r="M197" s="187">
        <f t="shared" si="12"/>
        <v>0</v>
      </c>
    </row>
    <row r="198" spans="1:13" x14ac:dyDescent="0.25">
      <c r="A198" s="202"/>
      <c r="G198" s="173"/>
      <c r="H198" s="185">
        <v>193</v>
      </c>
      <c r="I198" s="186" t="str">
        <f t="shared" ref="I198:I261" si="14">IF(H198&lt;$H$2+1,($I$2-($I$2-1)*(LOG(H198)/LOG($H$2))),"")</f>
        <v/>
      </c>
      <c r="J198" s="185" t="e">
        <f t="shared" si="13"/>
        <v>#NUM!</v>
      </c>
      <c r="K198" s="185" t="e">
        <f t="shared" ref="K198:K261" si="15">J198*$J$2</f>
        <v>#NUM!</v>
      </c>
      <c r="L198" s="185"/>
      <c r="M198" s="187">
        <f t="shared" ref="M198:M261" si="16">IF(I198&lt;&gt;"",K198+I198+L198,0)</f>
        <v>0</v>
      </c>
    </row>
    <row r="199" spans="1:13" x14ac:dyDescent="0.25">
      <c r="A199" s="202"/>
      <c r="G199" s="173"/>
      <c r="H199" s="185">
        <v>194</v>
      </c>
      <c r="I199" s="186" t="str">
        <f t="shared" si="14"/>
        <v/>
      </c>
      <c r="J199" s="185" t="e">
        <f t="shared" ref="J199:J262" si="17">INT(LOG($H$2,2))-ROUNDUP(LOG(H199,2),0)+IF(OR($H$2=1,$H$2=2,$H$2=4,$H$2=8,$H$2=16,$H$2=32,$H$2=64,$H$2=128,$H$2=256),0,1)</f>
        <v>#NUM!</v>
      </c>
      <c r="K199" s="185" t="e">
        <f t="shared" si="15"/>
        <v>#NUM!</v>
      </c>
      <c r="L199" s="185"/>
      <c r="M199" s="187">
        <f t="shared" si="16"/>
        <v>0</v>
      </c>
    </row>
    <row r="200" spans="1:13" x14ac:dyDescent="0.25">
      <c r="A200" s="202"/>
      <c r="G200" s="173"/>
      <c r="H200" s="185">
        <v>195</v>
      </c>
      <c r="I200" s="186" t="str">
        <f t="shared" si="14"/>
        <v/>
      </c>
      <c r="J200" s="185" t="e">
        <f t="shared" si="17"/>
        <v>#NUM!</v>
      </c>
      <c r="K200" s="185" t="e">
        <f t="shared" si="15"/>
        <v>#NUM!</v>
      </c>
      <c r="L200" s="185"/>
      <c r="M200" s="187">
        <f t="shared" si="16"/>
        <v>0</v>
      </c>
    </row>
    <row r="201" spans="1:13" x14ac:dyDescent="0.25">
      <c r="A201" s="202"/>
      <c r="G201" s="173"/>
      <c r="H201" s="185">
        <v>196</v>
      </c>
      <c r="I201" s="186" t="str">
        <f t="shared" si="14"/>
        <v/>
      </c>
      <c r="J201" s="185" t="e">
        <f t="shared" si="17"/>
        <v>#NUM!</v>
      </c>
      <c r="K201" s="185" t="e">
        <f t="shared" si="15"/>
        <v>#NUM!</v>
      </c>
      <c r="L201" s="185"/>
      <c r="M201" s="187">
        <f t="shared" si="16"/>
        <v>0</v>
      </c>
    </row>
    <row r="202" spans="1:13" x14ac:dyDescent="0.25">
      <c r="A202" s="202"/>
      <c r="G202" s="173"/>
      <c r="H202" s="185">
        <v>197</v>
      </c>
      <c r="I202" s="186" t="str">
        <f t="shared" si="14"/>
        <v/>
      </c>
      <c r="J202" s="185" t="e">
        <f t="shared" si="17"/>
        <v>#NUM!</v>
      </c>
      <c r="K202" s="185" t="e">
        <f t="shared" si="15"/>
        <v>#NUM!</v>
      </c>
      <c r="L202" s="185"/>
      <c r="M202" s="187">
        <f t="shared" si="16"/>
        <v>0</v>
      </c>
    </row>
    <row r="203" spans="1:13" x14ac:dyDescent="0.25">
      <c r="A203" s="202"/>
      <c r="G203" s="173"/>
      <c r="H203" s="185">
        <v>198</v>
      </c>
      <c r="I203" s="186" t="str">
        <f t="shared" si="14"/>
        <v/>
      </c>
      <c r="J203" s="185" t="e">
        <f t="shared" si="17"/>
        <v>#NUM!</v>
      </c>
      <c r="K203" s="185" t="e">
        <f t="shared" si="15"/>
        <v>#NUM!</v>
      </c>
      <c r="L203" s="185"/>
      <c r="M203" s="187">
        <f t="shared" si="16"/>
        <v>0</v>
      </c>
    </row>
    <row r="204" spans="1:13" x14ac:dyDescent="0.25">
      <c r="A204" s="202"/>
      <c r="G204" s="173"/>
      <c r="H204" s="185">
        <v>199</v>
      </c>
      <c r="I204" s="186" t="str">
        <f t="shared" si="14"/>
        <v/>
      </c>
      <c r="J204" s="185" t="e">
        <f t="shared" si="17"/>
        <v>#NUM!</v>
      </c>
      <c r="K204" s="185" t="e">
        <f t="shared" si="15"/>
        <v>#NUM!</v>
      </c>
      <c r="L204" s="185"/>
      <c r="M204" s="187">
        <f t="shared" si="16"/>
        <v>0</v>
      </c>
    </row>
    <row r="205" spans="1:13" x14ac:dyDescent="0.25">
      <c r="A205" s="202"/>
      <c r="G205" s="173"/>
      <c r="H205" s="185">
        <v>200</v>
      </c>
      <c r="I205" s="186" t="str">
        <f t="shared" si="14"/>
        <v/>
      </c>
      <c r="J205" s="185" t="e">
        <f t="shared" si="17"/>
        <v>#NUM!</v>
      </c>
      <c r="K205" s="185" t="e">
        <f t="shared" si="15"/>
        <v>#NUM!</v>
      </c>
      <c r="L205" s="185"/>
      <c r="M205" s="187">
        <f t="shared" si="16"/>
        <v>0</v>
      </c>
    </row>
    <row r="206" spans="1:13" x14ac:dyDescent="0.25">
      <c r="A206" s="202"/>
      <c r="G206" s="173"/>
      <c r="H206" s="185">
        <v>201</v>
      </c>
      <c r="I206" s="186" t="str">
        <f t="shared" si="14"/>
        <v/>
      </c>
      <c r="J206" s="185" t="e">
        <f t="shared" si="17"/>
        <v>#NUM!</v>
      </c>
      <c r="K206" s="185" t="e">
        <f t="shared" si="15"/>
        <v>#NUM!</v>
      </c>
      <c r="L206" s="185"/>
      <c r="M206" s="187">
        <f t="shared" si="16"/>
        <v>0</v>
      </c>
    </row>
    <row r="207" spans="1:13" x14ac:dyDescent="0.25">
      <c r="A207" s="202"/>
      <c r="G207" s="173"/>
      <c r="H207" s="185">
        <v>202</v>
      </c>
      <c r="I207" s="186" t="str">
        <f t="shared" si="14"/>
        <v/>
      </c>
      <c r="J207" s="185" t="e">
        <f t="shared" si="17"/>
        <v>#NUM!</v>
      </c>
      <c r="K207" s="185" t="e">
        <f t="shared" si="15"/>
        <v>#NUM!</v>
      </c>
      <c r="L207" s="185"/>
      <c r="M207" s="187">
        <f t="shared" si="16"/>
        <v>0</v>
      </c>
    </row>
    <row r="208" spans="1:13" x14ac:dyDescent="0.25">
      <c r="A208" s="202"/>
      <c r="G208" s="173"/>
      <c r="H208" s="185">
        <v>203</v>
      </c>
      <c r="I208" s="186" t="str">
        <f t="shared" si="14"/>
        <v/>
      </c>
      <c r="J208" s="185" t="e">
        <f t="shared" si="17"/>
        <v>#NUM!</v>
      </c>
      <c r="K208" s="185" t="e">
        <f t="shared" si="15"/>
        <v>#NUM!</v>
      </c>
      <c r="L208" s="185"/>
      <c r="M208" s="187">
        <f t="shared" si="16"/>
        <v>0</v>
      </c>
    </row>
    <row r="209" spans="1:13" x14ac:dyDescent="0.25">
      <c r="A209" s="202"/>
      <c r="G209" s="173"/>
      <c r="H209" s="185">
        <v>204</v>
      </c>
      <c r="I209" s="186" t="str">
        <f t="shared" si="14"/>
        <v/>
      </c>
      <c r="J209" s="185" t="e">
        <f t="shared" si="17"/>
        <v>#NUM!</v>
      </c>
      <c r="K209" s="185" t="e">
        <f t="shared" si="15"/>
        <v>#NUM!</v>
      </c>
      <c r="L209" s="185"/>
      <c r="M209" s="187">
        <f t="shared" si="16"/>
        <v>0</v>
      </c>
    </row>
    <row r="210" spans="1:13" x14ac:dyDescent="0.25">
      <c r="A210" s="202"/>
      <c r="G210" s="173"/>
      <c r="H210" s="185">
        <v>205</v>
      </c>
      <c r="I210" s="186" t="str">
        <f t="shared" si="14"/>
        <v/>
      </c>
      <c r="J210" s="185" t="e">
        <f t="shared" si="17"/>
        <v>#NUM!</v>
      </c>
      <c r="K210" s="185" t="e">
        <f t="shared" si="15"/>
        <v>#NUM!</v>
      </c>
      <c r="L210" s="185"/>
      <c r="M210" s="187">
        <f t="shared" si="16"/>
        <v>0</v>
      </c>
    </row>
    <row r="211" spans="1:13" x14ac:dyDescent="0.25">
      <c r="A211" s="202"/>
      <c r="G211" s="173"/>
      <c r="H211" s="185">
        <v>206</v>
      </c>
      <c r="I211" s="186" t="str">
        <f t="shared" si="14"/>
        <v/>
      </c>
      <c r="J211" s="185" t="e">
        <f t="shared" si="17"/>
        <v>#NUM!</v>
      </c>
      <c r="K211" s="185" t="e">
        <f t="shared" si="15"/>
        <v>#NUM!</v>
      </c>
      <c r="L211" s="185"/>
      <c r="M211" s="187">
        <f t="shared" si="16"/>
        <v>0</v>
      </c>
    </row>
    <row r="212" spans="1:13" x14ac:dyDescent="0.25">
      <c r="A212" s="202"/>
      <c r="G212" s="173"/>
      <c r="H212" s="185">
        <v>207</v>
      </c>
      <c r="I212" s="186" t="str">
        <f t="shared" si="14"/>
        <v/>
      </c>
      <c r="J212" s="185" t="e">
        <f t="shared" si="17"/>
        <v>#NUM!</v>
      </c>
      <c r="K212" s="185" t="e">
        <f t="shared" si="15"/>
        <v>#NUM!</v>
      </c>
      <c r="L212" s="185"/>
      <c r="M212" s="187">
        <f t="shared" si="16"/>
        <v>0</v>
      </c>
    </row>
    <row r="213" spans="1:13" x14ac:dyDescent="0.25">
      <c r="A213" s="202"/>
      <c r="G213" s="173"/>
      <c r="H213" s="185">
        <v>208</v>
      </c>
      <c r="I213" s="186" t="str">
        <f t="shared" si="14"/>
        <v/>
      </c>
      <c r="J213" s="185" t="e">
        <f t="shared" si="17"/>
        <v>#NUM!</v>
      </c>
      <c r="K213" s="185" t="e">
        <f t="shared" si="15"/>
        <v>#NUM!</v>
      </c>
      <c r="L213" s="185"/>
      <c r="M213" s="187">
        <f t="shared" si="16"/>
        <v>0</v>
      </c>
    </row>
    <row r="214" spans="1:13" x14ac:dyDescent="0.25">
      <c r="A214" s="202"/>
      <c r="G214" s="173"/>
      <c r="H214" s="185">
        <v>209</v>
      </c>
      <c r="I214" s="186" t="str">
        <f t="shared" si="14"/>
        <v/>
      </c>
      <c r="J214" s="185" t="e">
        <f t="shared" si="17"/>
        <v>#NUM!</v>
      </c>
      <c r="K214" s="185" t="e">
        <f t="shared" si="15"/>
        <v>#NUM!</v>
      </c>
      <c r="L214" s="185"/>
      <c r="M214" s="187">
        <f t="shared" si="16"/>
        <v>0</v>
      </c>
    </row>
    <row r="215" spans="1:13" x14ac:dyDescent="0.25">
      <c r="A215" s="202"/>
      <c r="G215" s="173"/>
      <c r="H215" s="185">
        <v>210</v>
      </c>
      <c r="I215" s="186" t="str">
        <f t="shared" si="14"/>
        <v/>
      </c>
      <c r="J215" s="185" t="e">
        <f t="shared" si="17"/>
        <v>#NUM!</v>
      </c>
      <c r="K215" s="185" t="e">
        <f t="shared" si="15"/>
        <v>#NUM!</v>
      </c>
      <c r="L215" s="185"/>
      <c r="M215" s="187">
        <f t="shared" si="16"/>
        <v>0</v>
      </c>
    </row>
    <row r="216" spans="1:13" x14ac:dyDescent="0.25">
      <c r="A216" s="202"/>
      <c r="G216" s="173"/>
      <c r="H216" s="185">
        <v>211</v>
      </c>
      <c r="I216" s="186" t="str">
        <f t="shared" si="14"/>
        <v/>
      </c>
      <c r="J216" s="185" t="e">
        <f t="shared" si="17"/>
        <v>#NUM!</v>
      </c>
      <c r="K216" s="185" t="e">
        <f t="shared" si="15"/>
        <v>#NUM!</v>
      </c>
      <c r="L216" s="185"/>
      <c r="M216" s="187">
        <f t="shared" si="16"/>
        <v>0</v>
      </c>
    </row>
    <row r="217" spans="1:13" x14ac:dyDescent="0.25">
      <c r="A217" s="202"/>
      <c r="G217" s="173"/>
      <c r="H217" s="185">
        <v>212</v>
      </c>
      <c r="I217" s="186" t="str">
        <f t="shared" si="14"/>
        <v/>
      </c>
      <c r="J217" s="185" t="e">
        <f t="shared" si="17"/>
        <v>#NUM!</v>
      </c>
      <c r="K217" s="185" t="e">
        <f t="shared" si="15"/>
        <v>#NUM!</v>
      </c>
      <c r="L217" s="185"/>
      <c r="M217" s="187">
        <f t="shared" si="16"/>
        <v>0</v>
      </c>
    </row>
    <row r="218" spans="1:13" x14ac:dyDescent="0.25">
      <c r="A218" s="202"/>
      <c r="G218" s="173"/>
      <c r="H218" s="185">
        <v>213</v>
      </c>
      <c r="I218" s="186" t="str">
        <f t="shared" si="14"/>
        <v/>
      </c>
      <c r="J218" s="185" t="e">
        <f t="shared" si="17"/>
        <v>#NUM!</v>
      </c>
      <c r="K218" s="185" t="e">
        <f t="shared" si="15"/>
        <v>#NUM!</v>
      </c>
      <c r="L218" s="185"/>
      <c r="M218" s="187">
        <f t="shared" si="16"/>
        <v>0</v>
      </c>
    </row>
    <row r="219" spans="1:13" x14ac:dyDescent="0.25">
      <c r="A219" s="202"/>
      <c r="G219" s="173"/>
      <c r="H219" s="185">
        <v>214</v>
      </c>
      <c r="I219" s="186" t="str">
        <f t="shared" si="14"/>
        <v/>
      </c>
      <c r="J219" s="185" t="e">
        <f t="shared" si="17"/>
        <v>#NUM!</v>
      </c>
      <c r="K219" s="185" t="e">
        <f t="shared" si="15"/>
        <v>#NUM!</v>
      </c>
      <c r="L219" s="185"/>
      <c r="M219" s="187">
        <f t="shared" si="16"/>
        <v>0</v>
      </c>
    </row>
    <row r="220" spans="1:13" x14ac:dyDescent="0.25">
      <c r="A220" s="202"/>
      <c r="G220" s="173"/>
      <c r="H220" s="185">
        <v>215</v>
      </c>
      <c r="I220" s="186" t="str">
        <f t="shared" si="14"/>
        <v/>
      </c>
      <c r="J220" s="185" t="e">
        <f t="shared" si="17"/>
        <v>#NUM!</v>
      </c>
      <c r="K220" s="185" t="e">
        <f t="shared" si="15"/>
        <v>#NUM!</v>
      </c>
      <c r="L220" s="185"/>
      <c r="M220" s="187">
        <f t="shared" si="16"/>
        <v>0</v>
      </c>
    </row>
    <row r="221" spans="1:13" x14ac:dyDescent="0.25">
      <c r="A221" s="202"/>
      <c r="G221" s="173"/>
      <c r="H221" s="185">
        <v>216</v>
      </c>
      <c r="I221" s="186" t="str">
        <f t="shared" si="14"/>
        <v/>
      </c>
      <c r="J221" s="185" t="e">
        <f t="shared" si="17"/>
        <v>#NUM!</v>
      </c>
      <c r="K221" s="185" t="e">
        <f t="shared" si="15"/>
        <v>#NUM!</v>
      </c>
      <c r="L221" s="185"/>
      <c r="M221" s="187">
        <f t="shared" si="16"/>
        <v>0</v>
      </c>
    </row>
    <row r="222" spans="1:13" x14ac:dyDescent="0.25">
      <c r="A222" s="202"/>
      <c r="G222" s="173"/>
      <c r="H222" s="185">
        <v>217</v>
      </c>
      <c r="I222" s="186" t="str">
        <f t="shared" si="14"/>
        <v/>
      </c>
      <c r="J222" s="185" t="e">
        <f t="shared" si="17"/>
        <v>#NUM!</v>
      </c>
      <c r="K222" s="185" t="e">
        <f t="shared" si="15"/>
        <v>#NUM!</v>
      </c>
      <c r="L222" s="185"/>
      <c r="M222" s="187">
        <f t="shared" si="16"/>
        <v>0</v>
      </c>
    </row>
    <row r="223" spans="1:13" x14ac:dyDescent="0.25">
      <c r="A223" s="202"/>
      <c r="G223" s="173"/>
      <c r="H223" s="185">
        <v>218</v>
      </c>
      <c r="I223" s="186" t="str">
        <f t="shared" si="14"/>
        <v/>
      </c>
      <c r="J223" s="185" t="e">
        <f t="shared" si="17"/>
        <v>#NUM!</v>
      </c>
      <c r="K223" s="185" t="e">
        <f t="shared" si="15"/>
        <v>#NUM!</v>
      </c>
      <c r="L223" s="185"/>
      <c r="M223" s="187">
        <f t="shared" si="16"/>
        <v>0</v>
      </c>
    </row>
    <row r="224" spans="1:13" x14ac:dyDescent="0.25">
      <c r="A224" s="202"/>
      <c r="G224" s="173"/>
      <c r="H224" s="185">
        <v>219</v>
      </c>
      <c r="I224" s="186" t="str">
        <f t="shared" si="14"/>
        <v/>
      </c>
      <c r="J224" s="185" t="e">
        <f t="shared" si="17"/>
        <v>#NUM!</v>
      </c>
      <c r="K224" s="185" t="e">
        <f t="shared" si="15"/>
        <v>#NUM!</v>
      </c>
      <c r="L224" s="185"/>
      <c r="M224" s="187">
        <f t="shared" si="16"/>
        <v>0</v>
      </c>
    </row>
    <row r="225" spans="1:13" x14ac:dyDescent="0.25">
      <c r="A225" s="202"/>
      <c r="G225" s="173"/>
      <c r="H225" s="185">
        <v>220</v>
      </c>
      <c r="I225" s="186" t="str">
        <f t="shared" si="14"/>
        <v/>
      </c>
      <c r="J225" s="185" t="e">
        <f t="shared" si="17"/>
        <v>#NUM!</v>
      </c>
      <c r="K225" s="185" t="e">
        <f t="shared" si="15"/>
        <v>#NUM!</v>
      </c>
      <c r="L225" s="185"/>
      <c r="M225" s="187">
        <f t="shared" si="16"/>
        <v>0</v>
      </c>
    </row>
    <row r="226" spans="1:13" x14ac:dyDescent="0.25">
      <c r="A226" s="202"/>
      <c r="G226" s="173"/>
      <c r="H226" s="185">
        <v>221</v>
      </c>
      <c r="I226" s="186" t="str">
        <f t="shared" si="14"/>
        <v/>
      </c>
      <c r="J226" s="185" t="e">
        <f t="shared" si="17"/>
        <v>#NUM!</v>
      </c>
      <c r="K226" s="185" t="e">
        <f t="shared" si="15"/>
        <v>#NUM!</v>
      </c>
      <c r="L226" s="185"/>
      <c r="M226" s="187">
        <f t="shared" si="16"/>
        <v>0</v>
      </c>
    </row>
    <row r="227" spans="1:13" x14ac:dyDescent="0.25">
      <c r="A227" s="202"/>
      <c r="G227" s="173"/>
      <c r="H227" s="185">
        <v>222</v>
      </c>
      <c r="I227" s="186" t="str">
        <f t="shared" si="14"/>
        <v/>
      </c>
      <c r="J227" s="185" t="e">
        <f t="shared" si="17"/>
        <v>#NUM!</v>
      </c>
      <c r="K227" s="185" t="e">
        <f t="shared" si="15"/>
        <v>#NUM!</v>
      </c>
      <c r="L227" s="185"/>
      <c r="M227" s="187">
        <f t="shared" si="16"/>
        <v>0</v>
      </c>
    </row>
    <row r="228" spans="1:13" x14ac:dyDescent="0.25">
      <c r="A228" s="202"/>
      <c r="G228" s="173"/>
      <c r="H228" s="185">
        <v>223</v>
      </c>
      <c r="I228" s="186" t="str">
        <f t="shared" si="14"/>
        <v/>
      </c>
      <c r="J228" s="185" t="e">
        <f t="shared" si="17"/>
        <v>#NUM!</v>
      </c>
      <c r="K228" s="185" t="e">
        <f t="shared" si="15"/>
        <v>#NUM!</v>
      </c>
      <c r="L228" s="185"/>
      <c r="M228" s="187">
        <f t="shared" si="16"/>
        <v>0</v>
      </c>
    </row>
    <row r="229" spans="1:13" x14ac:dyDescent="0.25">
      <c r="A229" s="202"/>
      <c r="G229" s="173"/>
      <c r="H229" s="185">
        <v>224</v>
      </c>
      <c r="I229" s="186" t="str">
        <f t="shared" si="14"/>
        <v/>
      </c>
      <c r="J229" s="185" t="e">
        <f t="shared" si="17"/>
        <v>#NUM!</v>
      </c>
      <c r="K229" s="185" t="e">
        <f t="shared" si="15"/>
        <v>#NUM!</v>
      </c>
      <c r="L229" s="185"/>
      <c r="M229" s="187">
        <f t="shared" si="16"/>
        <v>0</v>
      </c>
    </row>
    <row r="230" spans="1:13" x14ac:dyDescent="0.25">
      <c r="A230" s="202"/>
      <c r="G230" s="173"/>
      <c r="H230" s="185">
        <v>225</v>
      </c>
      <c r="I230" s="186" t="str">
        <f t="shared" si="14"/>
        <v/>
      </c>
      <c r="J230" s="185" t="e">
        <f t="shared" si="17"/>
        <v>#NUM!</v>
      </c>
      <c r="K230" s="185" t="e">
        <f t="shared" si="15"/>
        <v>#NUM!</v>
      </c>
      <c r="L230" s="185"/>
      <c r="M230" s="187">
        <f t="shared" si="16"/>
        <v>0</v>
      </c>
    </row>
    <row r="231" spans="1:13" x14ac:dyDescent="0.25">
      <c r="A231" s="202"/>
      <c r="G231" s="173"/>
      <c r="H231" s="185">
        <v>226</v>
      </c>
      <c r="I231" s="186" t="str">
        <f t="shared" si="14"/>
        <v/>
      </c>
      <c r="J231" s="185" t="e">
        <f t="shared" si="17"/>
        <v>#NUM!</v>
      </c>
      <c r="K231" s="185" t="e">
        <f t="shared" si="15"/>
        <v>#NUM!</v>
      </c>
      <c r="L231" s="185"/>
      <c r="M231" s="187">
        <f t="shared" si="16"/>
        <v>0</v>
      </c>
    </row>
    <row r="232" spans="1:13" x14ac:dyDescent="0.25">
      <c r="A232" s="202"/>
      <c r="G232" s="173"/>
      <c r="H232" s="185">
        <v>227</v>
      </c>
      <c r="I232" s="186" t="str">
        <f t="shared" si="14"/>
        <v/>
      </c>
      <c r="J232" s="185" t="e">
        <f t="shared" si="17"/>
        <v>#NUM!</v>
      </c>
      <c r="K232" s="185" t="e">
        <f t="shared" si="15"/>
        <v>#NUM!</v>
      </c>
      <c r="L232" s="185"/>
      <c r="M232" s="187">
        <f t="shared" si="16"/>
        <v>0</v>
      </c>
    </row>
    <row r="233" spans="1:13" x14ac:dyDescent="0.25">
      <c r="A233" s="202"/>
      <c r="G233" s="173"/>
      <c r="H233" s="185">
        <v>228</v>
      </c>
      <c r="I233" s="186" t="str">
        <f t="shared" si="14"/>
        <v/>
      </c>
      <c r="J233" s="185" t="e">
        <f t="shared" si="17"/>
        <v>#NUM!</v>
      </c>
      <c r="K233" s="185" t="e">
        <f t="shared" si="15"/>
        <v>#NUM!</v>
      </c>
      <c r="L233" s="185"/>
      <c r="M233" s="187">
        <f t="shared" si="16"/>
        <v>0</v>
      </c>
    </row>
    <row r="234" spans="1:13" x14ac:dyDescent="0.25">
      <c r="A234" s="202"/>
      <c r="G234" s="173"/>
      <c r="H234" s="185">
        <v>229</v>
      </c>
      <c r="I234" s="186" t="str">
        <f t="shared" si="14"/>
        <v/>
      </c>
      <c r="J234" s="185" t="e">
        <f t="shared" si="17"/>
        <v>#NUM!</v>
      </c>
      <c r="K234" s="185" t="e">
        <f t="shared" si="15"/>
        <v>#NUM!</v>
      </c>
      <c r="L234" s="185"/>
      <c r="M234" s="187">
        <f t="shared" si="16"/>
        <v>0</v>
      </c>
    </row>
    <row r="235" spans="1:13" x14ac:dyDescent="0.25">
      <c r="A235" s="202"/>
      <c r="G235" s="173"/>
      <c r="H235" s="185">
        <v>230</v>
      </c>
      <c r="I235" s="186" t="str">
        <f t="shared" si="14"/>
        <v/>
      </c>
      <c r="J235" s="185" t="e">
        <f t="shared" si="17"/>
        <v>#NUM!</v>
      </c>
      <c r="K235" s="185" t="e">
        <f t="shared" si="15"/>
        <v>#NUM!</v>
      </c>
      <c r="L235" s="185"/>
      <c r="M235" s="187">
        <f t="shared" si="16"/>
        <v>0</v>
      </c>
    </row>
    <row r="236" spans="1:13" x14ac:dyDescent="0.25">
      <c r="A236" s="202"/>
      <c r="G236" s="173"/>
      <c r="H236" s="185">
        <v>231</v>
      </c>
      <c r="I236" s="186" t="str">
        <f t="shared" si="14"/>
        <v/>
      </c>
      <c r="J236" s="185" t="e">
        <f t="shared" si="17"/>
        <v>#NUM!</v>
      </c>
      <c r="K236" s="185" t="e">
        <f t="shared" si="15"/>
        <v>#NUM!</v>
      </c>
      <c r="L236" s="185"/>
      <c r="M236" s="187">
        <f t="shared" si="16"/>
        <v>0</v>
      </c>
    </row>
    <row r="237" spans="1:13" x14ac:dyDescent="0.25">
      <c r="A237" s="202"/>
      <c r="G237" s="173"/>
      <c r="H237" s="185">
        <v>232</v>
      </c>
      <c r="I237" s="186" t="str">
        <f t="shared" si="14"/>
        <v/>
      </c>
      <c r="J237" s="185" t="e">
        <f t="shared" si="17"/>
        <v>#NUM!</v>
      </c>
      <c r="K237" s="185" t="e">
        <f t="shared" si="15"/>
        <v>#NUM!</v>
      </c>
      <c r="L237" s="185"/>
      <c r="M237" s="187">
        <f t="shared" si="16"/>
        <v>0</v>
      </c>
    </row>
    <row r="238" spans="1:13" x14ac:dyDescent="0.25">
      <c r="A238" s="202"/>
      <c r="G238" s="173"/>
      <c r="H238" s="185">
        <v>233</v>
      </c>
      <c r="I238" s="186" t="str">
        <f t="shared" si="14"/>
        <v/>
      </c>
      <c r="J238" s="185" t="e">
        <f t="shared" si="17"/>
        <v>#NUM!</v>
      </c>
      <c r="K238" s="185" t="e">
        <f t="shared" si="15"/>
        <v>#NUM!</v>
      </c>
      <c r="L238" s="185"/>
      <c r="M238" s="187">
        <f t="shared" si="16"/>
        <v>0</v>
      </c>
    </row>
    <row r="239" spans="1:13" x14ac:dyDescent="0.25">
      <c r="A239" s="202"/>
      <c r="G239" s="173"/>
      <c r="H239" s="185">
        <v>234</v>
      </c>
      <c r="I239" s="186" t="str">
        <f t="shared" si="14"/>
        <v/>
      </c>
      <c r="J239" s="185" t="e">
        <f t="shared" si="17"/>
        <v>#NUM!</v>
      </c>
      <c r="K239" s="185" t="e">
        <f t="shared" si="15"/>
        <v>#NUM!</v>
      </c>
      <c r="L239" s="185"/>
      <c r="M239" s="187">
        <f t="shared" si="16"/>
        <v>0</v>
      </c>
    </row>
    <row r="240" spans="1:13" x14ac:dyDescent="0.25">
      <c r="A240" s="202"/>
      <c r="G240" s="173"/>
      <c r="H240" s="185">
        <v>235</v>
      </c>
      <c r="I240" s="186" t="str">
        <f t="shared" si="14"/>
        <v/>
      </c>
      <c r="J240" s="185" t="e">
        <f t="shared" si="17"/>
        <v>#NUM!</v>
      </c>
      <c r="K240" s="185" t="e">
        <f t="shared" si="15"/>
        <v>#NUM!</v>
      </c>
      <c r="L240" s="185"/>
      <c r="M240" s="187">
        <f t="shared" si="16"/>
        <v>0</v>
      </c>
    </row>
    <row r="241" spans="1:13" x14ac:dyDescent="0.25">
      <c r="A241" s="202"/>
      <c r="G241" s="173"/>
      <c r="H241" s="185">
        <v>236</v>
      </c>
      <c r="I241" s="186" t="str">
        <f t="shared" si="14"/>
        <v/>
      </c>
      <c r="J241" s="185" t="e">
        <f t="shared" si="17"/>
        <v>#NUM!</v>
      </c>
      <c r="K241" s="185" t="e">
        <f t="shared" si="15"/>
        <v>#NUM!</v>
      </c>
      <c r="L241" s="185"/>
      <c r="M241" s="187">
        <f t="shared" si="16"/>
        <v>0</v>
      </c>
    </row>
    <row r="242" spans="1:13" x14ac:dyDescent="0.25">
      <c r="A242" s="202"/>
      <c r="G242" s="173"/>
      <c r="H242" s="185">
        <v>237</v>
      </c>
      <c r="I242" s="186" t="str">
        <f t="shared" si="14"/>
        <v/>
      </c>
      <c r="J242" s="185" t="e">
        <f t="shared" si="17"/>
        <v>#NUM!</v>
      </c>
      <c r="K242" s="185" t="e">
        <f t="shared" si="15"/>
        <v>#NUM!</v>
      </c>
      <c r="L242" s="185"/>
      <c r="M242" s="187">
        <f t="shared" si="16"/>
        <v>0</v>
      </c>
    </row>
    <row r="243" spans="1:13" x14ac:dyDescent="0.25">
      <c r="A243" s="202"/>
      <c r="G243" s="173"/>
      <c r="H243" s="185">
        <v>238</v>
      </c>
      <c r="I243" s="186" t="str">
        <f t="shared" si="14"/>
        <v/>
      </c>
      <c r="J243" s="185" t="e">
        <f t="shared" si="17"/>
        <v>#NUM!</v>
      </c>
      <c r="K243" s="185" t="e">
        <f t="shared" si="15"/>
        <v>#NUM!</v>
      </c>
      <c r="L243" s="185"/>
      <c r="M243" s="187">
        <f t="shared" si="16"/>
        <v>0</v>
      </c>
    </row>
    <row r="244" spans="1:13" x14ac:dyDescent="0.25">
      <c r="A244" s="202"/>
      <c r="G244" s="173"/>
      <c r="H244" s="185">
        <v>239</v>
      </c>
      <c r="I244" s="186" t="str">
        <f t="shared" si="14"/>
        <v/>
      </c>
      <c r="J244" s="185" t="e">
        <f t="shared" si="17"/>
        <v>#NUM!</v>
      </c>
      <c r="K244" s="185" t="e">
        <f t="shared" si="15"/>
        <v>#NUM!</v>
      </c>
      <c r="L244" s="185"/>
      <c r="M244" s="187">
        <f t="shared" si="16"/>
        <v>0</v>
      </c>
    </row>
    <row r="245" spans="1:13" x14ac:dyDescent="0.25">
      <c r="A245" s="202"/>
      <c r="G245" s="173"/>
      <c r="H245" s="185">
        <v>240</v>
      </c>
      <c r="I245" s="186" t="str">
        <f t="shared" si="14"/>
        <v/>
      </c>
      <c r="J245" s="185" t="e">
        <f t="shared" si="17"/>
        <v>#NUM!</v>
      </c>
      <c r="K245" s="185" t="e">
        <f t="shared" si="15"/>
        <v>#NUM!</v>
      </c>
      <c r="L245" s="185"/>
      <c r="M245" s="187">
        <f t="shared" si="16"/>
        <v>0</v>
      </c>
    </row>
    <row r="246" spans="1:13" x14ac:dyDescent="0.25">
      <c r="A246" s="202"/>
      <c r="G246" s="173"/>
      <c r="H246" s="185">
        <v>241</v>
      </c>
      <c r="I246" s="186" t="str">
        <f t="shared" si="14"/>
        <v/>
      </c>
      <c r="J246" s="185" t="e">
        <f t="shared" si="17"/>
        <v>#NUM!</v>
      </c>
      <c r="K246" s="185" t="e">
        <f t="shared" si="15"/>
        <v>#NUM!</v>
      </c>
      <c r="L246" s="185"/>
      <c r="M246" s="187">
        <f t="shared" si="16"/>
        <v>0</v>
      </c>
    </row>
    <row r="247" spans="1:13" x14ac:dyDescent="0.25">
      <c r="A247" s="202"/>
      <c r="G247" s="173"/>
      <c r="H247" s="185">
        <v>242</v>
      </c>
      <c r="I247" s="186" t="str">
        <f t="shared" si="14"/>
        <v/>
      </c>
      <c r="J247" s="185" t="e">
        <f t="shared" si="17"/>
        <v>#NUM!</v>
      </c>
      <c r="K247" s="185" t="e">
        <f t="shared" si="15"/>
        <v>#NUM!</v>
      </c>
      <c r="L247" s="185"/>
      <c r="M247" s="187">
        <f t="shared" si="16"/>
        <v>0</v>
      </c>
    </row>
    <row r="248" spans="1:13" x14ac:dyDescent="0.25">
      <c r="A248" s="202"/>
      <c r="G248" s="173"/>
      <c r="H248" s="185">
        <v>243</v>
      </c>
      <c r="I248" s="186" t="str">
        <f t="shared" si="14"/>
        <v/>
      </c>
      <c r="J248" s="185" t="e">
        <f t="shared" si="17"/>
        <v>#NUM!</v>
      </c>
      <c r="K248" s="185" t="e">
        <f t="shared" si="15"/>
        <v>#NUM!</v>
      </c>
      <c r="L248" s="185"/>
      <c r="M248" s="187">
        <f t="shared" si="16"/>
        <v>0</v>
      </c>
    </row>
    <row r="249" spans="1:13" x14ac:dyDescent="0.25">
      <c r="A249" s="202"/>
      <c r="G249" s="173"/>
      <c r="H249" s="185">
        <v>244</v>
      </c>
      <c r="I249" s="186" t="str">
        <f t="shared" si="14"/>
        <v/>
      </c>
      <c r="J249" s="185" t="e">
        <f t="shared" si="17"/>
        <v>#NUM!</v>
      </c>
      <c r="K249" s="185" t="e">
        <f t="shared" si="15"/>
        <v>#NUM!</v>
      </c>
      <c r="L249" s="185"/>
      <c r="M249" s="187">
        <f t="shared" si="16"/>
        <v>0</v>
      </c>
    </row>
    <row r="250" spans="1:13" x14ac:dyDescent="0.25">
      <c r="A250" s="202"/>
      <c r="G250" s="173"/>
      <c r="H250" s="185">
        <v>245</v>
      </c>
      <c r="I250" s="186" t="str">
        <f t="shared" si="14"/>
        <v/>
      </c>
      <c r="J250" s="185" t="e">
        <f t="shared" si="17"/>
        <v>#NUM!</v>
      </c>
      <c r="K250" s="185" t="e">
        <f t="shared" si="15"/>
        <v>#NUM!</v>
      </c>
      <c r="L250" s="185"/>
      <c r="M250" s="187">
        <f t="shared" si="16"/>
        <v>0</v>
      </c>
    </row>
    <row r="251" spans="1:13" x14ac:dyDescent="0.25">
      <c r="A251" s="202"/>
      <c r="G251" s="173"/>
      <c r="H251" s="185">
        <v>246</v>
      </c>
      <c r="I251" s="186" t="str">
        <f t="shared" si="14"/>
        <v/>
      </c>
      <c r="J251" s="185" t="e">
        <f t="shared" si="17"/>
        <v>#NUM!</v>
      </c>
      <c r="K251" s="185" t="e">
        <f t="shared" si="15"/>
        <v>#NUM!</v>
      </c>
      <c r="L251" s="185"/>
      <c r="M251" s="187">
        <f t="shared" si="16"/>
        <v>0</v>
      </c>
    </row>
    <row r="252" spans="1:13" x14ac:dyDescent="0.25">
      <c r="A252" s="202"/>
      <c r="G252" s="173"/>
      <c r="H252" s="185">
        <v>247</v>
      </c>
      <c r="I252" s="186" t="str">
        <f t="shared" si="14"/>
        <v/>
      </c>
      <c r="J252" s="185" t="e">
        <f t="shared" si="17"/>
        <v>#NUM!</v>
      </c>
      <c r="K252" s="185" t="e">
        <f t="shared" si="15"/>
        <v>#NUM!</v>
      </c>
      <c r="L252" s="185"/>
      <c r="M252" s="187">
        <f t="shared" si="16"/>
        <v>0</v>
      </c>
    </row>
    <row r="253" spans="1:13" x14ac:dyDescent="0.25">
      <c r="A253" s="202"/>
      <c r="G253" s="173"/>
      <c r="H253" s="185">
        <v>248</v>
      </c>
      <c r="I253" s="186" t="str">
        <f t="shared" si="14"/>
        <v/>
      </c>
      <c r="J253" s="185" t="e">
        <f t="shared" si="17"/>
        <v>#NUM!</v>
      </c>
      <c r="K253" s="185" t="e">
        <f t="shared" si="15"/>
        <v>#NUM!</v>
      </c>
      <c r="L253" s="185"/>
      <c r="M253" s="187">
        <f t="shared" si="16"/>
        <v>0</v>
      </c>
    </row>
    <row r="254" spans="1:13" x14ac:dyDescent="0.25">
      <c r="A254" s="202"/>
      <c r="G254" s="173"/>
      <c r="H254" s="185">
        <v>249</v>
      </c>
      <c r="I254" s="186" t="str">
        <f t="shared" si="14"/>
        <v/>
      </c>
      <c r="J254" s="185" t="e">
        <f t="shared" si="17"/>
        <v>#NUM!</v>
      </c>
      <c r="K254" s="185" t="e">
        <f t="shared" si="15"/>
        <v>#NUM!</v>
      </c>
      <c r="L254" s="185"/>
      <c r="M254" s="187">
        <f t="shared" si="16"/>
        <v>0</v>
      </c>
    </row>
    <row r="255" spans="1:13" x14ac:dyDescent="0.25">
      <c r="A255" s="202"/>
      <c r="G255" s="173"/>
      <c r="H255" s="185">
        <v>250</v>
      </c>
      <c r="I255" s="186" t="str">
        <f t="shared" si="14"/>
        <v/>
      </c>
      <c r="J255" s="185" t="e">
        <f t="shared" si="17"/>
        <v>#NUM!</v>
      </c>
      <c r="K255" s="185" t="e">
        <f t="shared" si="15"/>
        <v>#NUM!</v>
      </c>
      <c r="L255" s="185"/>
      <c r="M255" s="187">
        <f t="shared" si="16"/>
        <v>0</v>
      </c>
    </row>
    <row r="256" spans="1:13" x14ac:dyDescent="0.25">
      <c r="A256" s="202"/>
      <c r="G256" s="173"/>
      <c r="H256" s="185">
        <v>251</v>
      </c>
      <c r="I256" s="186" t="str">
        <f t="shared" si="14"/>
        <v/>
      </c>
      <c r="J256" s="185" t="e">
        <f t="shared" si="17"/>
        <v>#NUM!</v>
      </c>
      <c r="K256" s="185" t="e">
        <f t="shared" si="15"/>
        <v>#NUM!</v>
      </c>
      <c r="L256" s="185"/>
      <c r="M256" s="187">
        <f t="shared" si="16"/>
        <v>0</v>
      </c>
    </row>
    <row r="257" spans="1:13" x14ac:dyDescent="0.25">
      <c r="A257" s="202"/>
      <c r="G257" s="173"/>
      <c r="H257" s="185">
        <v>252</v>
      </c>
      <c r="I257" s="186" t="str">
        <f t="shared" si="14"/>
        <v/>
      </c>
      <c r="J257" s="185" t="e">
        <f t="shared" si="17"/>
        <v>#NUM!</v>
      </c>
      <c r="K257" s="185" t="e">
        <f t="shared" si="15"/>
        <v>#NUM!</v>
      </c>
      <c r="L257" s="185"/>
      <c r="M257" s="187">
        <f t="shared" si="16"/>
        <v>0</v>
      </c>
    </row>
    <row r="258" spans="1:13" x14ac:dyDescent="0.25">
      <c r="A258" s="202"/>
      <c r="G258" s="173"/>
      <c r="H258" s="185">
        <v>253</v>
      </c>
      <c r="I258" s="186" t="str">
        <f t="shared" si="14"/>
        <v/>
      </c>
      <c r="J258" s="185" t="e">
        <f t="shared" si="17"/>
        <v>#NUM!</v>
      </c>
      <c r="K258" s="185" t="e">
        <f t="shared" si="15"/>
        <v>#NUM!</v>
      </c>
      <c r="L258" s="185"/>
      <c r="M258" s="187">
        <f t="shared" si="16"/>
        <v>0</v>
      </c>
    </row>
    <row r="259" spans="1:13" x14ac:dyDescent="0.25">
      <c r="A259" s="202"/>
      <c r="G259" s="173"/>
      <c r="H259" s="185">
        <v>254</v>
      </c>
      <c r="I259" s="186" t="str">
        <f t="shared" si="14"/>
        <v/>
      </c>
      <c r="J259" s="185" t="e">
        <f t="shared" si="17"/>
        <v>#NUM!</v>
      </c>
      <c r="K259" s="185" t="e">
        <f t="shared" si="15"/>
        <v>#NUM!</v>
      </c>
      <c r="L259" s="185"/>
      <c r="M259" s="187">
        <f t="shared" si="16"/>
        <v>0</v>
      </c>
    </row>
    <row r="260" spans="1:13" x14ac:dyDescent="0.25">
      <c r="A260" s="202"/>
      <c r="G260" s="173"/>
      <c r="H260" s="185">
        <v>255</v>
      </c>
      <c r="I260" s="186" t="str">
        <f t="shared" si="14"/>
        <v/>
      </c>
      <c r="J260" s="185" t="e">
        <f t="shared" si="17"/>
        <v>#NUM!</v>
      </c>
      <c r="K260" s="185" t="e">
        <f t="shared" si="15"/>
        <v>#NUM!</v>
      </c>
      <c r="L260" s="185"/>
      <c r="M260" s="187">
        <f t="shared" si="16"/>
        <v>0</v>
      </c>
    </row>
    <row r="261" spans="1:13" x14ac:dyDescent="0.25">
      <c r="A261" s="202"/>
      <c r="G261" s="173"/>
      <c r="H261" s="185">
        <v>256</v>
      </c>
      <c r="I261" s="186" t="str">
        <f t="shared" si="14"/>
        <v/>
      </c>
      <c r="J261" s="185" t="e">
        <f t="shared" si="17"/>
        <v>#NUM!</v>
      </c>
      <c r="K261" s="185" t="e">
        <f t="shared" si="15"/>
        <v>#NUM!</v>
      </c>
      <c r="L261" s="185"/>
      <c r="M261" s="187">
        <f t="shared" si="16"/>
        <v>0</v>
      </c>
    </row>
    <row r="262" spans="1:13" x14ac:dyDescent="0.25">
      <c r="A262" s="202"/>
      <c r="G262" s="173"/>
      <c r="H262" s="185">
        <v>257</v>
      </c>
      <c r="I262" s="186" t="str">
        <f t="shared" ref="I262:I305" si="18">IF(H262&lt;$H$2+1,($I$2-($I$2-1)*(LOG(H262)/LOG($H$2))),"")</f>
        <v/>
      </c>
      <c r="J262" s="185" t="e">
        <f t="shared" si="17"/>
        <v>#NUM!</v>
      </c>
      <c r="K262" s="185" t="e">
        <f t="shared" ref="K262:K305" si="19">J262*$J$2</f>
        <v>#NUM!</v>
      </c>
      <c r="L262" s="185"/>
      <c r="M262" s="187">
        <f t="shared" ref="M262:M305" si="20">IF(I262&lt;&gt;"",K262+I262+L262,0)</f>
        <v>0</v>
      </c>
    </row>
    <row r="263" spans="1:13" x14ac:dyDescent="0.25">
      <c r="A263" s="202"/>
      <c r="G263" s="173"/>
      <c r="H263" s="185">
        <v>258</v>
      </c>
      <c r="I263" s="186" t="str">
        <f t="shared" si="18"/>
        <v/>
      </c>
      <c r="J263" s="185" t="e">
        <f t="shared" ref="J263:J326" si="21">INT(LOG($H$2,2))-ROUNDUP(LOG(H263,2),0)+IF(OR($H$2=1,$H$2=2,$H$2=4,$H$2=8,$H$2=16,$H$2=32,$H$2=64,$H$2=128,$H$2=256),0,1)</f>
        <v>#NUM!</v>
      </c>
      <c r="K263" s="185" t="e">
        <f t="shared" si="19"/>
        <v>#NUM!</v>
      </c>
      <c r="L263" s="185"/>
      <c r="M263" s="187">
        <f t="shared" si="20"/>
        <v>0</v>
      </c>
    </row>
    <row r="264" spans="1:13" x14ac:dyDescent="0.25">
      <c r="A264" s="202"/>
      <c r="G264" s="173"/>
      <c r="H264" s="185">
        <v>259</v>
      </c>
      <c r="I264" s="186" t="str">
        <f t="shared" si="18"/>
        <v/>
      </c>
      <c r="J264" s="185" t="e">
        <f t="shared" si="21"/>
        <v>#NUM!</v>
      </c>
      <c r="K264" s="185" t="e">
        <f t="shared" si="19"/>
        <v>#NUM!</v>
      </c>
      <c r="L264" s="185"/>
      <c r="M264" s="187">
        <f t="shared" si="20"/>
        <v>0</v>
      </c>
    </row>
    <row r="265" spans="1:13" x14ac:dyDescent="0.25">
      <c r="A265" s="202"/>
      <c r="G265" s="173"/>
      <c r="H265" s="185">
        <v>260</v>
      </c>
      <c r="I265" s="186" t="str">
        <f t="shared" si="18"/>
        <v/>
      </c>
      <c r="J265" s="185" t="e">
        <f t="shared" si="21"/>
        <v>#NUM!</v>
      </c>
      <c r="K265" s="185" t="e">
        <f t="shared" si="19"/>
        <v>#NUM!</v>
      </c>
      <c r="L265" s="185"/>
      <c r="M265" s="187">
        <f t="shared" si="20"/>
        <v>0</v>
      </c>
    </row>
    <row r="266" spans="1:13" x14ac:dyDescent="0.25">
      <c r="A266" s="202"/>
      <c r="G266" s="173"/>
      <c r="H266" s="185">
        <v>261</v>
      </c>
      <c r="I266" s="186" t="str">
        <f t="shared" si="18"/>
        <v/>
      </c>
      <c r="J266" s="185" t="e">
        <f t="shared" si="21"/>
        <v>#NUM!</v>
      </c>
      <c r="K266" s="185" t="e">
        <f t="shared" si="19"/>
        <v>#NUM!</v>
      </c>
      <c r="L266" s="185"/>
      <c r="M266" s="187">
        <f t="shared" si="20"/>
        <v>0</v>
      </c>
    </row>
    <row r="267" spans="1:13" x14ac:dyDescent="0.25">
      <c r="A267" s="202"/>
      <c r="G267" s="173"/>
      <c r="H267" s="185">
        <v>262</v>
      </c>
      <c r="I267" s="186" t="str">
        <f t="shared" si="18"/>
        <v/>
      </c>
      <c r="J267" s="185" t="e">
        <f t="shared" si="21"/>
        <v>#NUM!</v>
      </c>
      <c r="K267" s="185" t="e">
        <f t="shared" si="19"/>
        <v>#NUM!</v>
      </c>
      <c r="L267" s="185"/>
      <c r="M267" s="187">
        <f t="shared" si="20"/>
        <v>0</v>
      </c>
    </row>
    <row r="268" spans="1:13" x14ac:dyDescent="0.25">
      <c r="A268" s="202"/>
      <c r="G268" s="173"/>
      <c r="H268" s="185">
        <v>263</v>
      </c>
      <c r="I268" s="186" t="str">
        <f t="shared" si="18"/>
        <v/>
      </c>
      <c r="J268" s="185" t="e">
        <f t="shared" si="21"/>
        <v>#NUM!</v>
      </c>
      <c r="K268" s="185" t="e">
        <f t="shared" si="19"/>
        <v>#NUM!</v>
      </c>
      <c r="L268" s="185"/>
      <c r="M268" s="187">
        <f t="shared" si="20"/>
        <v>0</v>
      </c>
    </row>
    <row r="269" spans="1:13" x14ac:dyDescent="0.25">
      <c r="A269" s="202"/>
      <c r="G269" s="173"/>
      <c r="H269" s="185">
        <v>264</v>
      </c>
      <c r="I269" s="186" t="str">
        <f t="shared" si="18"/>
        <v/>
      </c>
      <c r="J269" s="185" t="e">
        <f t="shared" si="21"/>
        <v>#NUM!</v>
      </c>
      <c r="K269" s="185" t="e">
        <f t="shared" si="19"/>
        <v>#NUM!</v>
      </c>
      <c r="L269" s="185"/>
      <c r="M269" s="187">
        <f t="shared" si="20"/>
        <v>0</v>
      </c>
    </row>
    <row r="270" spans="1:13" x14ac:dyDescent="0.25">
      <c r="A270" s="202"/>
      <c r="G270" s="173"/>
      <c r="H270" s="185">
        <v>265</v>
      </c>
      <c r="I270" s="186" t="str">
        <f t="shared" si="18"/>
        <v/>
      </c>
      <c r="J270" s="185" t="e">
        <f t="shared" si="21"/>
        <v>#NUM!</v>
      </c>
      <c r="K270" s="185" t="e">
        <f t="shared" si="19"/>
        <v>#NUM!</v>
      </c>
      <c r="L270" s="185"/>
      <c r="M270" s="187">
        <f t="shared" si="20"/>
        <v>0</v>
      </c>
    </row>
    <row r="271" spans="1:13" x14ac:dyDescent="0.25">
      <c r="A271" s="202"/>
      <c r="G271" s="173"/>
      <c r="H271" s="185">
        <v>266</v>
      </c>
      <c r="I271" s="186" t="str">
        <f t="shared" si="18"/>
        <v/>
      </c>
      <c r="J271" s="185" t="e">
        <f t="shared" si="21"/>
        <v>#NUM!</v>
      </c>
      <c r="K271" s="185" t="e">
        <f t="shared" si="19"/>
        <v>#NUM!</v>
      </c>
      <c r="L271" s="185"/>
      <c r="M271" s="187">
        <f t="shared" si="20"/>
        <v>0</v>
      </c>
    </row>
    <row r="272" spans="1:13" x14ac:dyDescent="0.25">
      <c r="A272" s="202"/>
      <c r="G272" s="173"/>
      <c r="H272" s="185">
        <v>267</v>
      </c>
      <c r="I272" s="186" t="str">
        <f t="shared" si="18"/>
        <v/>
      </c>
      <c r="J272" s="185" t="e">
        <f t="shared" si="21"/>
        <v>#NUM!</v>
      </c>
      <c r="K272" s="185" t="e">
        <f t="shared" si="19"/>
        <v>#NUM!</v>
      </c>
      <c r="L272" s="185"/>
      <c r="M272" s="187">
        <f t="shared" si="20"/>
        <v>0</v>
      </c>
    </row>
    <row r="273" spans="1:13" x14ac:dyDescent="0.25">
      <c r="A273" s="202"/>
      <c r="G273" s="173"/>
      <c r="H273" s="185">
        <v>268</v>
      </c>
      <c r="I273" s="186" t="str">
        <f t="shared" si="18"/>
        <v/>
      </c>
      <c r="J273" s="185" t="e">
        <f t="shared" si="21"/>
        <v>#NUM!</v>
      </c>
      <c r="K273" s="185" t="e">
        <f t="shared" si="19"/>
        <v>#NUM!</v>
      </c>
      <c r="L273" s="185"/>
      <c r="M273" s="187">
        <f t="shared" si="20"/>
        <v>0</v>
      </c>
    </row>
    <row r="274" spans="1:13" x14ac:dyDescent="0.25">
      <c r="A274" s="202"/>
      <c r="G274" s="173"/>
      <c r="H274" s="185">
        <v>269</v>
      </c>
      <c r="I274" s="186" t="str">
        <f t="shared" si="18"/>
        <v/>
      </c>
      <c r="J274" s="185" t="e">
        <f t="shared" si="21"/>
        <v>#NUM!</v>
      </c>
      <c r="K274" s="185" t="e">
        <f t="shared" si="19"/>
        <v>#NUM!</v>
      </c>
      <c r="L274" s="185"/>
      <c r="M274" s="187">
        <f t="shared" si="20"/>
        <v>0</v>
      </c>
    </row>
    <row r="275" spans="1:13" x14ac:dyDescent="0.25">
      <c r="A275" s="202"/>
      <c r="G275" s="173"/>
      <c r="H275" s="185">
        <v>270</v>
      </c>
      <c r="I275" s="186" t="str">
        <f t="shared" si="18"/>
        <v/>
      </c>
      <c r="J275" s="185" t="e">
        <f t="shared" si="21"/>
        <v>#NUM!</v>
      </c>
      <c r="K275" s="185" t="e">
        <f t="shared" si="19"/>
        <v>#NUM!</v>
      </c>
      <c r="L275" s="185"/>
      <c r="M275" s="187">
        <f t="shared" si="20"/>
        <v>0</v>
      </c>
    </row>
    <row r="276" spans="1:13" x14ac:dyDescent="0.25">
      <c r="A276" s="202"/>
      <c r="G276" s="173"/>
      <c r="H276" s="185">
        <v>271</v>
      </c>
      <c r="I276" s="186" t="str">
        <f t="shared" si="18"/>
        <v/>
      </c>
      <c r="J276" s="185" t="e">
        <f t="shared" si="21"/>
        <v>#NUM!</v>
      </c>
      <c r="K276" s="185" t="e">
        <f t="shared" si="19"/>
        <v>#NUM!</v>
      </c>
      <c r="L276" s="185"/>
      <c r="M276" s="187">
        <f t="shared" si="20"/>
        <v>0</v>
      </c>
    </row>
    <row r="277" spans="1:13" x14ac:dyDescent="0.25">
      <c r="A277" s="202"/>
      <c r="G277" s="173"/>
      <c r="H277" s="185">
        <v>272</v>
      </c>
      <c r="I277" s="186" t="str">
        <f t="shared" si="18"/>
        <v/>
      </c>
      <c r="J277" s="185" t="e">
        <f t="shared" si="21"/>
        <v>#NUM!</v>
      </c>
      <c r="K277" s="185" t="e">
        <f t="shared" si="19"/>
        <v>#NUM!</v>
      </c>
      <c r="L277" s="185"/>
      <c r="M277" s="187">
        <f t="shared" si="20"/>
        <v>0</v>
      </c>
    </row>
    <row r="278" spans="1:13" x14ac:dyDescent="0.25">
      <c r="A278" s="202"/>
      <c r="G278" s="173"/>
      <c r="H278" s="185">
        <v>273</v>
      </c>
      <c r="I278" s="186" t="str">
        <f t="shared" si="18"/>
        <v/>
      </c>
      <c r="J278" s="185" t="e">
        <f t="shared" si="21"/>
        <v>#NUM!</v>
      </c>
      <c r="K278" s="185" t="e">
        <f t="shared" si="19"/>
        <v>#NUM!</v>
      </c>
      <c r="L278" s="185"/>
      <c r="M278" s="187">
        <f t="shared" si="20"/>
        <v>0</v>
      </c>
    </row>
    <row r="279" spans="1:13" x14ac:dyDescent="0.25">
      <c r="A279" s="202"/>
      <c r="G279" s="173"/>
      <c r="H279" s="185">
        <v>274</v>
      </c>
      <c r="I279" s="186" t="str">
        <f t="shared" si="18"/>
        <v/>
      </c>
      <c r="J279" s="185" t="e">
        <f t="shared" si="21"/>
        <v>#NUM!</v>
      </c>
      <c r="K279" s="185" t="e">
        <f t="shared" si="19"/>
        <v>#NUM!</v>
      </c>
      <c r="L279" s="185"/>
      <c r="M279" s="187">
        <f t="shared" si="20"/>
        <v>0</v>
      </c>
    </row>
    <row r="280" spans="1:13" x14ac:dyDescent="0.25">
      <c r="A280" s="202"/>
      <c r="G280" s="173"/>
      <c r="H280" s="185">
        <v>275</v>
      </c>
      <c r="I280" s="186" t="str">
        <f t="shared" si="18"/>
        <v/>
      </c>
      <c r="J280" s="185" t="e">
        <f t="shared" si="21"/>
        <v>#NUM!</v>
      </c>
      <c r="K280" s="185" t="e">
        <f t="shared" si="19"/>
        <v>#NUM!</v>
      </c>
      <c r="L280" s="185"/>
      <c r="M280" s="187">
        <f t="shared" si="20"/>
        <v>0</v>
      </c>
    </row>
    <row r="281" spans="1:13" x14ac:dyDescent="0.25">
      <c r="A281" s="202"/>
      <c r="G281" s="173"/>
      <c r="H281" s="185">
        <v>276</v>
      </c>
      <c r="I281" s="186" t="str">
        <f t="shared" si="18"/>
        <v/>
      </c>
      <c r="J281" s="185" t="e">
        <f t="shared" si="21"/>
        <v>#NUM!</v>
      </c>
      <c r="K281" s="185" t="e">
        <f t="shared" si="19"/>
        <v>#NUM!</v>
      </c>
      <c r="L281" s="185"/>
      <c r="M281" s="187">
        <f t="shared" si="20"/>
        <v>0</v>
      </c>
    </row>
    <row r="282" spans="1:13" x14ac:dyDescent="0.25">
      <c r="A282" s="202"/>
      <c r="G282" s="173"/>
      <c r="H282" s="185">
        <v>277</v>
      </c>
      <c r="I282" s="186" t="str">
        <f t="shared" si="18"/>
        <v/>
      </c>
      <c r="J282" s="185" t="e">
        <f t="shared" si="21"/>
        <v>#NUM!</v>
      </c>
      <c r="K282" s="185" t="e">
        <f t="shared" si="19"/>
        <v>#NUM!</v>
      </c>
      <c r="L282" s="185"/>
      <c r="M282" s="187">
        <f t="shared" si="20"/>
        <v>0</v>
      </c>
    </row>
    <row r="283" spans="1:13" x14ac:dyDescent="0.25">
      <c r="A283" s="202"/>
      <c r="G283" s="173"/>
      <c r="H283" s="185">
        <v>278</v>
      </c>
      <c r="I283" s="186" t="str">
        <f t="shared" si="18"/>
        <v/>
      </c>
      <c r="J283" s="185" t="e">
        <f t="shared" si="21"/>
        <v>#NUM!</v>
      </c>
      <c r="K283" s="185" t="e">
        <f t="shared" si="19"/>
        <v>#NUM!</v>
      </c>
      <c r="L283" s="185"/>
      <c r="M283" s="187">
        <f t="shared" si="20"/>
        <v>0</v>
      </c>
    </row>
    <row r="284" spans="1:13" x14ac:dyDescent="0.25">
      <c r="A284" s="202"/>
      <c r="G284" s="173"/>
      <c r="H284" s="185">
        <v>279</v>
      </c>
      <c r="I284" s="186" t="str">
        <f t="shared" si="18"/>
        <v/>
      </c>
      <c r="J284" s="185" t="e">
        <f t="shared" si="21"/>
        <v>#NUM!</v>
      </c>
      <c r="K284" s="185" t="e">
        <f t="shared" si="19"/>
        <v>#NUM!</v>
      </c>
      <c r="L284" s="185"/>
      <c r="M284" s="187">
        <f t="shared" si="20"/>
        <v>0</v>
      </c>
    </row>
    <row r="285" spans="1:13" x14ac:dyDescent="0.25">
      <c r="A285" s="202"/>
      <c r="G285" s="173"/>
      <c r="H285" s="185">
        <v>280</v>
      </c>
      <c r="I285" s="186" t="str">
        <f t="shared" si="18"/>
        <v/>
      </c>
      <c r="J285" s="185" t="e">
        <f t="shared" si="21"/>
        <v>#NUM!</v>
      </c>
      <c r="K285" s="185" t="e">
        <f t="shared" si="19"/>
        <v>#NUM!</v>
      </c>
      <c r="L285" s="185"/>
      <c r="M285" s="187">
        <f t="shared" si="20"/>
        <v>0</v>
      </c>
    </row>
    <row r="286" spans="1:13" x14ac:dyDescent="0.25">
      <c r="A286" s="202"/>
      <c r="G286" s="173"/>
      <c r="H286" s="185">
        <v>281</v>
      </c>
      <c r="I286" s="186" t="str">
        <f t="shared" si="18"/>
        <v/>
      </c>
      <c r="J286" s="185" t="e">
        <f t="shared" si="21"/>
        <v>#NUM!</v>
      </c>
      <c r="K286" s="185" t="e">
        <f t="shared" si="19"/>
        <v>#NUM!</v>
      </c>
      <c r="L286" s="185"/>
      <c r="M286" s="187">
        <f t="shared" si="20"/>
        <v>0</v>
      </c>
    </row>
    <row r="287" spans="1:13" x14ac:dyDescent="0.25">
      <c r="A287" s="202"/>
      <c r="G287" s="173"/>
      <c r="H287" s="185">
        <v>282</v>
      </c>
      <c r="I287" s="186" t="str">
        <f t="shared" si="18"/>
        <v/>
      </c>
      <c r="J287" s="185" t="e">
        <f t="shared" si="21"/>
        <v>#NUM!</v>
      </c>
      <c r="K287" s="185" t="e">
        <f t="shared" si="19"/>
        <v>#NUM!</v>
      </c>
      <c r="L287" s="185"/>
      <c r="M287" s="187">
        <f t="shared" si="20"/>
        <v>0</v>
      </c>
    </row>
    <row r="288" spans="1:13" x14ac:dyDescent="0.25">
      <c r="A288" s="202"/>
      <c r="G288" s="173"/>
      <c r="H288" s="185">
        <v>283</v>
      </c>
      <c r="I288" s="186" t="str">
        <f t="shared" si="18"/>
        <v/>
      </c>
      <c r="J288" s="185" t="e">
        <f t="shared" si="21"/>
        <v>#NUM!</v>
      </c>
      <c r="K288" s="185" t="e">
        <f t="shared" si="19"/>
        <v>#NUM!</v>
      </c>
      <c r="L288" s="185"/>
      <c r="M288" s="187">
        <f t="shared" si="20"/>
        <v>0</v>
      </c>
    </row>
    <row r="289" spans="1:13" x14ac:dyDescent="0.25">
      <c r="A289" s="202"/>
      <c r="G289" s="173"/>
      <c r="H289" s="185">
        <v>284</v>
      </c>
      <c r="I289" s="186" t="str">
        <f t="shared" si="18"/>
        <v/>
      </c>
      <c r="J289" s="185" t="e">
        <f t="shared" si="21"/>
        <v>#NUM!</v>
      </c>
      <c r="K289" s="185" t="e">
        <f t="shared" si="19"/>
        <v>#NUM!</v>
      </c>
      <c r="L289" s="185"/>
      <c r="M289" s="187">
        <f t="shared" si="20"/>
        <v>0</v>
      </c>
    </row>
    <row r="290" spans="1:13" x14ac:dyDescent="0.25">
      <c r="A290" s="202"/>
      <c r="G290" s="173"/>
      <c r="H290" s="185">
        <v>285</v>
      </c>
      <c r="I290" s="186" t="str">
        <f t="shared" si="18"/>
        <v/>
      </c>
      <c r="J290" s="185" t="e">
        <f t="shared" si="21"/>
        <v>#NUM!</v>
      </c>
      <c r="K290" s="185" t="e">
        <f t="shared" si="19"/>
        <v>#NUM!</v>
      </c>
      <c r="L290" s="185"/>
      <c r="M290" s="187">
        <f t="shared" si="20"/>
        <v>0</v>
      </c>
    </row>
    <row r="291" spans="1:13" x14ac:dyDescent="0.25">
      <c r="A291" s="202"/>
      <c r="G291" s="173"/>
      <c r="H291" s="185">
        <v>286</v>
      </c>
      <c r="I291" s="186" t="str">
        <f t="shared" si="18"/>
        <v/>
      </c>
      <c r="J291" s="185" t="e">
        <f t="shared" si="21"/>
        <v>#NUM!</v>
      </c>
      <c r="K291" s="185" t="e">
        <f t="shared" si="19"/>
        <v>#NUM!</v>
      </c>
      <c r="L291" s="185"/>
      <c r="M291" s="187">
        <f t="shared" si="20"/>
        <v>0</v>
      </c>
    </row>
    <row r="292" spans="1:13" x14ac:dyDescent="0.25">
      <c r="A292" s="202"/>
      <c r="G292" s="173"/>
      <c r="H292" s="185">
        <v>287</v>
      </c>
      <c r="I292" s="186" t="str">
        <f t="shared" si="18"/>
        <v/>
      </c>
      <c r="J292" s="185" t="e">
        <f t="shared" si="21"/>
        <v>#NUM!</v>
      </c>
      <c r="K292" s="185" t="e">
        <f t="shared" si="19"/>
        <v>#NUM!</v>
      </c>
      <c r="L292" s="185"/>
      <c r="M292" s="187">
        <f t="shared" si="20"/>
        <v>0</v>
      </c>
    </row>
    <row r="293" spans="1:13" x14ac:dyDescent="0.25">
      <c r="A293" s="202"/>
      <c r="G293" s="173"/>
      <c r="H293" s="185">
        <v>288</v>
      </c>
      <c r="I293" s="186" t="str">
        <f t="shared" si="18"/>
        <v/>
      </c>
      <c r="J293" s="185" t="e">
        <f t="shared" si="21"/>
        <v>#NUM!</v>
      </c>
      <c r="K293" s="185" t="e">
        <f t="shared" si="19"/>
        <v>#NUM!</v>
      </c>
      <c r="L293" s="185"/>
      <c r="M293" s="187">
        <f t="shared" si="20"/>
        <v>0</v>
      </c>
    </row>
    <row r="294" spans="1:13" x14ac:dyDescent="0.25">
      <c r="A294" s="202"/>
      <c r="G294" s="173"/>
      <c r="H294" s="185">
        <v>289</v>
      </c>
      <c r="I294" s="186" t="str">
        <f t="shared" si="18"/>
        <v/>
      </c>
      <c r="J294" s="185" t="e">
        <f t="shared" si="21"/>
        <v>#NUM!</v>
      </c>
      <c r="K294" s="185" t="e">
        <f t="shared" si="19"/>
        <v>#NUM!</v>
      </c>
      <c r="L294" s="185"/>
      <c r="M294" s="187">
        <f t="shared" si="20"/>
        <v>0</v>
      </c>
    </row>
    <row r="295" spans="1:13" x14ac:dyDescent="0.25">
      <c r="A295" s="202"/>
      <c r="G295" s="173"/>
      <c r="H295" s="185">
        <v>290</v>
      </c>
      <c r="I295" s="186" t="str">
        <f t="shared" si="18"/>
        <v/>
      </c>
      <c r="J295" s="185" t="e">
        <f t="shared" si="21"/>
        <v>#NUM!</v>
      </c>
      <c r="K295" s="185" t="e">
        <f t="shared" si="19"/>
        <v>#NUM!</v>
      </c>
      <c r="L295" s="185"/>
      <c r="M295" s="187">
        <f t="shared" si="20"/>
        <v>0</v>
      </c>
    </row>
    <row r="296" spans="1:13" x14ac:dyDescent="0.25">
      <c r="A296" s="202"/>
      <c r="G296" s="173"/>
      <c r="H296" s="185">
        <v>291</v>
      </c>
      <c r="I296" s="186" t="str">
        <f t="shared" si="18"/>
        <v/>
      </c>
      <c r="J296" s="185" t="e">
        <f t="shared" si="21"/>
        <v>#NUM!</v>
      </c>
      <c r="K296" s="185" t="e">
        <f t="shared" si="19"/>
        <v>#NUM!</v>
      </c>
      <c r="L296" s="185"/>
      <c r="M296" s="187">
        <f t="shared" si="20"/>
        <v>0</v>
      </c>
    </row>
    <row r="297" spans="1:13" x14ac:dyDescent="0.25">
      <c r="A297" s="202"/>
      <c r="G297" s="173"/>
      <c r="H297" s="185">
        <v>292</v>
      </c>
      <c r="I297" s="186" t="str">
        <f t="shared" si="18"/>
        <v/>
      </c>
      <c r="J297" s="185" t="e">
        <f t="shared" si="21"/>
        <v>#NUM!</v>
      </c>
      <c r="K297" s="185" t="e">
        <f t="shared" si="19"/>
        <v>#NUM!</v>
      </c>
      <c r="L297" s="185"/>
      <c r="M297" s="187">
        <f t="shared" si="20"/>
        <v>0</v>
      </c>
    </row>
    <row r="298" spans="1:13" x14ac:dyDescent="0.25">
      <c r="A298" s="202"/>
      <c r="G298" s="173"/>
      <c r="H298" s="185">
        <v>293</v>
      </c>
      <c r="I298" s="186" t="str">
        <f t="shared" si="18"/>
        <v/>
      </c>
      <c r="J298" s="185" t="e">
        <f t="shared" si="21"/>
        <v>#NUM!</v>
      </c>
      <c r="K298" s="185" t="e">
        <f t="shared" si="19"/>
        <v>#NUM!</v>
      </c>
      <c r="L298" s="185"/>
      <c r="M298" s="187">
        <f t="shared" si="20"/>
        <v>0</v>
      </c>
    </row>
    <row r="299" spans="1:13" x14ac:dyDescent="0.25">
      <c r="A299" s="202"/>
      <c r="G299" s="173"/>
      <c r="H299" s="185">
        <v>294</v>
      </c>
      <c r="I299" s="186" t="str">
        <f t="shared" si="18"/>
        <v/>
      </c>
      <c r="J299" s="185" t="e">
        <f t="shared" si="21"/>
        <v>#NUM!</v>
      </c>
      <c r="K299" s="185" t="e">
        <f t="shared" si="19"/>
        <v>#NUM!</v>
      </c>
      <c r="L299" s="185"/>
      <c r="M299" s="187">
        <f t="shared" si="20"/>
        <v>0</v>
      </c>
    </row>
    <row r="300" spans="1:13" x14ac:dyDescent="0.25">
      <c r="A300" s="202"/>
      <c r="G300" s="173"/>
      <c r="H300" s="185">
        <v>295</v>
      </c>
      <c r="I300" s="186" t="str">
        <f t="shared" si="18"/>
        <v/>
      </c>
      <c r="J300" s="185" t="e">
        <f t="shared" si="21"/>
        <v>#NUM!</v>
      </c>
      <c r="K300" s="185" t="e">
        <f t="shared" si="19"/>
        <v>#NUM!</v>
      </c>
      <c r="L300" s="185"/>
      <c r="M300" s="187">
        <f t="shared" si="20"/>
        <v>0</v>
      </c>
    </row>
    <row r="301" spans="1:13" x14ac:dyDescent="0.25">
      <c r="A301" s="202"/>
      <c r="G301" s="173"/>
      <c r="H301" s="185">
        <v>296</v>
      </c>
      <c r="I301" s="186" t="str">
        <f t="shared" si="18"/>
        <v/>
      </c>
      <c r="J301" s="185" t="e">
        <f t="shared" si="21"/>
        <v>#NUM!</v>
      </c>
      <c r="K301" s="185" t="e">
        <f t="shared" si="19"/>
        <v>#NUM!</v>
      </c>
      <c r="L301" s="185"/>
      <c r="M301" s="187">
        <f t="shared" si="20"/>
        <v>0</v>
      </c>
    </row>
    <row r="302" spans="1:13" x14ac:dyDescent="0.25">
      <c r="A302" s="202"/>
      <c r="G302" s="173"/>
      <c r="H302" s="185">
        <v>297</v>
      </c>
      <c r="I302" s="186" t="str">
        <f t="shared" si="18"/>
        <v/>
      </c>
      <c r="J302" s="185" t="e">
        <f t="shared" si="21"/>
        <v>#NUM!</v>
      </c>
      <c r="K302" s="185" t="e">
        <f t="shared" si="19"/>
        <v>#NUM!</v>
      </c>
      <c r="L302" s="185"/>
      <c r="M302" s="187">
        <f t="shared" si="20"/>
        <v>0</v>
      </c>
    </row>
    <row r="303" spans="1:13" x14ac:dyDescent="0.25">
      <c r="A303" s="202"/>
      <c r="G303" s="173"/>
      <c r="H303" s="185">
        <v>298</v>
      </c>
      <c r="I303" s="186" t="str">
        <f t="shared" si="18"/>
        <v/>
      </c>
      <c r="J303" s="185" t="e">
        <f t="shared" si="21"/>
        <v>#NUM!</v>
      </c>
      <c r="K303" s="185" t="e">
        <f t="shared" si="19"/>
        <v>#NUM!</v>
      </c>
      <c r="L303" s="185"/>
      <c r="M303" s="187">
        <f t="shared" si="20"/>
        <v>0</v>
      </c>
    </row>
    <row r="304" spans="1:13" x14ac:dyDescent="0.25">
      <c r="A304" s="202"/>
      <c r="G304" s="173"/>
      <c r="H304" s="185">
        <v>299</v>
      </c>
      <c r="I304" s="186" t="str">
        <f t="shared" si="18"/>
        <v/>
      </c>
      <c r="J304" s="185" t="e">
        <f t="shared" si="21"/>
        <v>#NUM!</v>
      </c>
      <c r="K304" s="185" t="e">
        <f t="shared" si="19"/>
        <v>#NUM!</v>
      </c>
      <c r="L304" s="185"/>
      <c r="M304" s="187">
        <f t="shared" si="20"/>
        <v>0</v>
      </c>
    </row>
    <row r="305" spans="1:16" x14ac:dyDescent="0.25">
      <c r="A305" s="202"/>
      <c r="G305" s="173"/>
      <c r="H305" s="185">
        <v>300</v>
      </c>
      <c r="I305" s="186" t="str">
        <f t="shared" si="18"/>
        <v/>
      </c>
      <c r="J305" s="185" t="e">
        <f t="shared" si="21"/>
        <v>#NUM!</v>
      </c>
      <c r="K305" s="185" t="e">
        <f t="shared" si="19"/>
        <v>#NUM!</v>
      </c>
      <c r="L305" s="185"/>
      <c r="M305" s="187">
        <f t="shared" si="20"/>
        <v>0</v>
      </c>
    </row>
    <row r="306" spans="1:16" x14ac:dyDescent="0.25">
      <c r="A306" s="203"/>
      <c r="J306" s="204" t="e">
        <f t="shared" si="21"/>
        <v>#NUM!</v>
      </c>
    </row>
    <row r="307" spans="1:16" x14ac:dyDescent="0.25">
      <c r="J307" s="204" t="e">
        <f t="shared" si="21"/>
        <v>#NUM!</v>
      </c>
    </row>
    <row r="308" spans="1:16" x14ac:dyDescent="0.25">
      <c r="J308" s="204" t="e">
        <f t="shared" si="21"/>
        <v>#NUM!</v>
      </c>
    </row>
    <row r="309" spans="1:16" x14ac:dyDescent="0.25">
      <c r="J309" s="204" t="e">
        <f t="shared" si="21"/>
        <v>#NUM!</v>
      </c>
    </row>
    <row r="310" spans="1:16" x14ac:dyDescent="0.25">
      <c r="J310" s="204" t="e">
        <f t="shared" si="21"/>
        <v>#NUM!</v>
      </c>
    </row>
    <row r="311" spans="1:16" x14ac:dyDescent="0.25">
      <c r="J311" s="204" t="e">
        <f t="shared" si="21"/>
        <v>#NUM!</v>
      </c>
    </row>
    <row r="312" spans="1:16" x14ac:dyDescent="0.25">
      <c r="J312" s="204" t="e">
        <f t="shared" si="21"/>
        <v>#NUM!</v>
      </c>
    </row>
    <row r="313" spans="1:16" x14ac:dyDescent="0.25">
      <c r="J313" s="204" t="e">
        <f t="shared" si="21"/>
        <v>#NUM!</v>
      </c>
    </row>
    <row r="314" spans="1:16" x14ac:dyDescent="0.25">
      <c r="J314" s="204" t="e">
        <f t="shared" si="21"/>
        <v>#NUM!</v>
      </c>
      <c r="L314" s="206"/>
      <c r="P314" s="196"/>
    </row>
    <row r="315" spans="1:16" x14ac:dyDescent="0.25">
      <c r="J315" s="204" t="e">
        <f t="shared" si="21"/>
        <v>#NUM!</v>
      </c>
      <c r="L315" s="206"/>
      <c r="P315" s="196"/>
    </row>
    <row r="316" spans="1:16" x14ac:dyDescent="0.25">
      <c r="J316" s="204" t="e">
        <f t="shared" si="21"/>
        <v>#NUM!</v>
      </c>
      <c r="L316" s="206"/>
      <c r="P316" s="196"/>
    </row>
    <row r="317" spans="1:16" x14ac:dyDescent="0.25">
      <c r="J317" s="204" t="e">
        <f t="shared" si="21"/>
        <v>#NUM!</v>
      </c>
      <c r="L317" s="206"/>
      <c r="P317" s="196"/>
    </row>
    <row r="318" spans="1:16" x14ac:dyDescent="0.25">
      <c r="J318" s="204" t="e">
        <f t="shared" si="21"/>
        <v>#NUM!</v>
      </c>
    </row>
    <row r="319" spans="1:16" x14ac:dyDescent="0.25">
      <c r="J319" s="204" t="e">
        <f t="shared" si="21"/>
        <v>#NUM!</v>
      </c>
    </row>
    <row r="320" spans="1:16" x14ac:dyDescent="0.25">
      <c r="J320" s="204" t="e">
        <f t="shared" si="21"/>
        <v>#NUM!</v>
      </c>
    </row>
    <row r="321" spans="10:10" x14ac:dyDescent="0.25">
      <c r="J321" s="204" t="e">
        <f t="shared" si="21"/>
        <v>#NUM!</v>
      </c>
    </row>
    <row r="322" spans="10:10" x14ac:dyDescent="0.25">
      <c r="J322" s="204" t="e">
        <f t="shared" si="21"/>
        <v>#NUM!</v>
      </c>
    </row>
    <row r="323" spans="10:10" x14ac:dyDescent="0.25">
      <c r="J323" s="204" t="e">
        <f t="shared" si="21"/>
        <v>#NUM!</v>
      </c>
    </row>
    <row r="324" spans="10:10" x14ac:dyDescent="0.25">
      <c r="J324" s="204" t="e">
        <f t="shared" si="21"/>
        <v>#NUM!</v>
      </c>
    </row>
    <row r="325" spans="10:10" x14ac:dyDescent="0.25">
      <c r="J325" s="204" t="e">
        <f t="shared" si="21"/>
        <v>#NUM!</v>
      </c>
    </row>
    <row r="326" spans="10:10" x14ac:dyDescent="0.25">
      <c r="J326" s="204" t="e">
        <f t="shared" si="21"/>
        <v>#NUM!</v>
      </c>
    </row>
    <row r="327" spans="10:10" x14ac:dyDescent="0.25">
      <c r="J327" s="20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4" t="e">
        <f t="shared" si="22"/>
        <v>#NUM!</v>
      </c>
    </row>
    <row r="329" spans="10:10" x14ac:dyDescent="0.25">
      <c r="J329" s="204" t="e">
        <f t="shared" si="22"/>
        <v>#NUM!</v>
      </c>
    </row>
    <row r="330" spans="10:10" x14ac:dyDescent="0.25">
      <c r="J330" s="204" t="e">
        <f t="shared" si="22"/>
        <v>#NUM!</v>
      </c>
    </row>
    <row r="331" spans="10:10" x14ac:dyDescent="0.25">
      <c r="J331" s="204" t="e">
        <f t="shared" si="22"/>
        <v>#NUM!</v>
      </c>
    </row>
    <row r="332" spans="10:10" x14ac:dyDescent="0.25">
      <c r="J332" s="204" t="e">
        <f t="shared" si="22"/>
        <v>#NUM!</v>
      </c>
    </row>
    <row r="333" spans="10:10" x14ac:dyDescent="0.25">
      <c r="J333" s="204" t="e">
        <f t="shared" si="22"/>
        <v>#NUM!</v>
      </c>
    </row>
    <row r="334" spans="10:10" x14ac:dyDescent="0.25">
      <c r="J334" s="204" t="e">
        <f t="shared" si="22"/>
        <v>#NUM!</v>
      </c>
    </row>
    <row r="335" spans="10:10" x14ac:dyDescent="0.25">
      <c r="J335" s="204" t="e">
        <f t="shared" si="22"/>
        <v>#NUM!</v>
      </c>
    </row>
    <row r="336" spans="10:10" x14ac:dyDescent="0.25">
      <c r="J336" s="204" t="e">
        <f t="shared" si="22"/>
        <v>#NUM!</v>
      </c>
    </row>
    <row r="337" spans="10:10" x14ac:dyDescent="0.25">
      <c r="J337" s="204" t="e">
        <f t="shared" si="22"/>
        <v>#NUM!</v>
      </c>
    </row>
    <row r="338" spans="10:10" x14ac:dyDescent="0.25">
      <c r="J338" s="204" t="e">
        <f t="shared" si="22"/>
        <v>#NUM!</v>
      </c>
    </row>
    <row r="339" spans="10:10" x14ac:dyDescent="0.25">
      <c r="J339" s="204" t="e">
        <f t="shared" si="22"/>
        <v>#NUM!</v>
      </c>
    </row>
    <row r="340" spans="10:10" x14ac:dyDescent="0.25">
      <c r="J340" s="204" t="e">
        <f t="shared" si="22"/>
        <v>#NUM!</v>
      </c>
    </row>
    <row r="341" spans="10:10" x14ac:dyDescent="0.25">
      <c r="J341" s="204" t="e">
        <f t="shared" si="22"/>
        <v>#NUM!</v>
      </c>
    </row>
    <row r="342" spans="10:10" x14ac:dyDescent="0.25">
      <c r="J342" s="204" t="e">
        <f t="shared" si="22"/>
        <v>#NUM!</v>
      </c>
    </row>
    <row r="343" spans="10:10" x14ac:dyDescent="0.25">
      <c r="J343" s="204" t="e">
        <f t="shared" si="22"/>
        <v>#NUM!</v>
      </c>
    </row>
    <row r="344" spans="10:10" x14ac:dyDescent="0.25">
      <c r="J344" s="204" t="e">
        <f t="shared" si="22"/>
        <v>#NUM!</v>
      </c>
    </row>
    <row r="345" spans="10:10" x14ac:dyDescent="0.25">
      <c r="J345" s="204" t="e">
        <f t="shared" si="22"/>
        <v>#NUM!</v>
      </c>
    </row>
    <row r="346" spans="10:10" x14ac:dyDescent="0.25">
      <c r="J346" s="204" t="e">
        <f t="shared" si="22"/>
        <v>#NUM!</v>
      </c>
    </row>
    <row r="347" spans="10:10" x14ac:dyDescent="0.25">
      <c r="J347" s="204" t="e">
        <f t="shared" si="22"/>
        <v>#NUM!</v>
      </c>
    </row>
    <row r="348" spans="10:10" x14ac:dyDescent="0.25">
      <c r="J348" s="204" t="e">
        <f t="shared" si="22"/>
        <v>#NUM!</v>
      </c>
    </row>
    <row r="349" spans="10:10" x14ac:dyDescent="0.25">
      <c r="J349" s="204" t="e">
        <f t="shared" si="22"/>
        <v>#NUM!</v>
      </c>
    </row>
    <row r="350" spans="10:10" x14ac:dyDescent="0.25">
      <c r="J350" s="204" t="e">
        <f t="shared" si="22"/>
        <v>#NUM!</v>
      </c>
    </row>
    <row r="351" spans="10:10" x14ac:dyDescent="0.25">
      <c r="J351" s="204" t="e">
        <f t="shared" si="22"/>
        <v>#NUM!</v>
      </c>
    </row>
    <row r="352" spans="10:10" x14ac:dyDescent="0.25">
      <c r="J352" s="204" t="e">
        <f t="shared" si="22"/>
        <v>#NUM!</v>
      </c>
    </row>
    <row r="353" spans="10:10" x14ac:dyDescent="0.25">
      <c r="J353" s="204" t="e">
        <f t="shared" si="22"/>
        <v>#NUM!</v>
      </c>
    </row>
    <row r="354" spans="10:10" x14ac:dyDescent="0.25">
      <c r="J354" s="204" t="e">
        <f t="shared" si="22"/>
        <v>#NUM!</v>
      </c>
    </row>
    <row r="355" spans="10:10" x14ac:dyDescent="0.25">
      <c r="J355" s="204" t="e">
        <f t="shared" si="22"/>
        <v>#NUM!</v>
      </c>
    </row>
    <row r="356" spans="10:10" x14ac:dyDescent="0.25">
      <c r="J356" s="204" t="e">
        <f t="shared" si="22"/>
        <v>#NUM!</v>
      </c>
    </row>
    <row r="357" spans="10:10" x14ac:dyDescent="0.25">
      <c r="J357" s="204" t="e">
        <f t="shared" si="22"/>
        <v>#NUM!</v>
      </c>
    </row>
    <row r="358" spans="10:10" x14ac:dyDescent="0.25">
      <c r="J358" s="204" t="e">
        <f t="shared" si="22"/>
        <v>#NUM!</v>
      </c>
    </row>
    <row r="359" spans="10:10" x14ac:dyDescent="0.25">
      <c r="J359" s="204" t="e">
        <f t="shared" si="22"/>
        <v>#NUM!</v>
      </c>
    </row>
    <row r="360" spans="10:10" x14ac:dyDescent="0.25">
      <c r="J360" s="204" t="e">
        <f t="shared" si="22"/>
        <v>#NUM!</v>
      </c>
    </row>
    <row r="361" spans="10:10" x14ac:dyDescent="0.25">
      <c r="J361" s="204" t="e">
        <f t="shared" si="22"/>
        <v>#NUM!</v>
      </c>
    </row>
    <row r="362" spans="10:10" x14ac:dyDescent="0.25">
      <c r="J362" s="204" t="e">
        <f t="shared" si="22"/>
        <v>#NUM!</v>
      </c>
    </row>
    <row r="363" spans="10:10" x14ac:dyDescent="0.25">
      <c r="J363" s="204" t="e">
        <f t="shared" si="22"/>
        <v>#NUM!</v>
      </c>
    </row>
    <row r="364" spans="10:10" x14ac:dyDescent="0.25">
      <c r="J364" s="204" t="e">
        <f t="shared" si="22"/>
        <v>#NUM!</v>
      </c>
    </row>
    <row r="365" spans="10:10" x14ac:dyDescent="0.25">
      <c r="J365" s="204" t="e">
        <f t="shared" si="22"/>
        <v>#NUM!</v>
      </c>
    </row>
    <row r="366" spans="10:10" x14ac:dyDescent="0.25">
      <c r="J366" s="204" t="e">
        <f t="shared" si="22"/>
        <v>#NUM!</v>
      </c>
    </row>
    <row r="367" spans="10:10" x14ac:dyDescent="0.25">
      <c r="J367" s="204" t="e">
        <f t="shared" si="22"/>
        <v>#NUM!</v>
      </c>
    </row>
    <row r="368" spans="10:10" x14ac:dyDescent="0.25">
      <c r="J368" s="204" t="e">
        <f t="shared" si="22"/>
        <v>#NUM!</v>
      </c>
    </row>
    <row r="369" spans="10:10" x14ac:dyDescent="0.25">
      <c r="J369" s="204" t="e">
        <f t="shared" si="22"/>
        <v>#NUM!</v>
      </c>
    </row>
    <row r="370" spans="10:10" x14ac:dyDescent="0.25">
      <c r="J370" s="204" t="e">
        <f t="shared" si="22"/>
        <v>#NUM!</v>
      </c>
    </row>
    <row r="371" spans="10:10" x14ac:dyDescent="0.25">
      <c r="J371" s="204" t="e">
        <f t="shared" si="22"/>
        <v>#NUM!</v>
      </c>
    </row>
    <row r="372" spans="10:10" x14ac:dyDescent="0.25">
      <c r="J372" s="204" t="e">
        <f t="shared" si="22"/>
        <v>#NUM!</v>
      </c>
    </row>
    <row r="373" spans="10:10" x14ac:dyDescent="0.25">
      <c r="J373" s="204" t="e">
        <f t="shared" si="22"/>
        <v>#NUM!</v>
      </c>
    </row>
    <row r="374" spans="10:10" x14ac:dyDescent="0.25">
      <c r="J374" s="204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4B1C7AA1-6F61-4102-8ECE-4947026A9E0E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ED92-9BA5-4D19-B01A-3E98C6AB43B5}">
  <sheetPr codeName="Arkusz21"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201" customWidth="1"/>
    <col min="2" max="2" width="8.25" style="201" customWidth="1"/>
    <col min="3" max="3" width="34.75" style="201" customWidth="1"/>
    <col min="4" max="4" width="11.25" style="201" customWidth="1"/>
    <col min="5" max="6" width="8.875" style="201"/>
    <col min="7" max="7" width="0.875" style="201" customWidth="1"/>
    <col min="8" max="8" width="8.875" style="204"/>
    <col min="9" max="9" width="11" style="204" customWidth="1"/>
    <col min="10" max="10" width="15.25" style="204" customWidth="1"/>
    <col min="11" max="11" width="8.75" style="204" customWidth="1"/>
    <col min="12" max="12" width="11" style="204" customWidth="1"/>
    <col min="13" max="13" width="12.25" style="205" customWidth="1"/>
    <col min="14" max="15" width="13.875" style="173" customWidth="1"/>
    <col min="16" max="18" width="8.875" style="173"/>
    <col min="19" max="20" width="8.875" style="178"/>
    <col min="21" max="21" width="12.125" style="178" customWidth="1"/>
    <col min="22" max="22" width="27.375" style="178" customWidth="1"/>
    <col min="23" max="38" width="8.875" style="178"/>
    <col min="39" max="16384" width="8.875" style="201"/>
  </cols>
  <sheetData>
    <row r="1" spans="1:36" x14ac:dyDescent="0.25">
      <c r="A1" s="173"/>
      <c r="B1" s="173"/>
      <c r="C1" s="173"/>
      <c r="D1" s="173"/>
      <c r="E1" s="173"/>
      <c r="F1" s="173"/>
      <c r="G1" s="173"/>
      <c r="H1" s="174" t="s">
        <v>25</v>
      </c>
      <c r="I1" s="175" t="s">
        <v>26</v>
      </c>
      <c r="J1" s="175" t="s">
        <v>27</v>
      </c>
      <c r="K1" s="176" t="s">
        <v>101</v>
      </c>
      <c r="L1" s="177"/>
      <c r="M1" s="177"/>
    </row>
    <row r="2" spans="1:36" x14ac:dyDescent="0.25">
      <c r="A2" s="173"/>
      <c r="B2" s="20" t="s">
        <v>29</v>
      </c>
      <c r="C2" s="130" t="s">
        <v>120</v>
      </c>
      <c r="D2" s="69"/>
      <c r="E2" s="21"/>
      <c r="F2" s="21"/>
      <c r="G2" s="21"/>
      <c r="H2" s="179">
        <v>0</v>
      </c>
      <c r="I2" s="180">
        <v>50</v>
      </c>
      <c r="J2" s="180">
        <v>10</v>
      </c>
      <c r="K2" s="207">
        <f>3*H2^(1/3)</f>
        <v>0</v>
      </c>
      <c r="L2" s="177"/>
      <c r="M2" s="177"/>
    </row>
    <row r="3" spans="1:36" x14ac:dyDescent="0.25">
      <c r="A3" s="173"/>
      <c r="B3" s="182" t="s">
        <v>31</v>
      </c>
      <c r="C3" s="70" t="s">
        <v>121</v>
      </c>
      <c r="D3" s="70"/>
      <c r="E3" s="26"/>
      <c r="F3" s="26"/>
      <c r="G3" s="26"/>
      <c r="H3" s="177"/>
      <c r="I3" s="177"/>
      <c r="J3" s="208"/>
      <c r="K3" s="177"/>
      <c r="L3" s="177"/>
      <c r="M3" s="1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77"/>
      <c r="I4" s="177"/>
      <c r="J4" s="208"/>
      <c r="K4" s="177"/>
      <c r="L4" s="177"/>
      <c r="M4" s="177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83" t="s">
        <v>39</v>
      </c>
      <c r="I5" s="184" t="s">
        <v>40</v>
      </c>
      <c r="J5" s="209" t="s">
        <v>41</v>
      </c>
      <c r="K5" s="184" t="s">
        <v>42</v>
      </c>
      <c r="L5" s="184" t="s">
        <v>43</v>
      </c>
      <c r="M5" s="183" t="s">
        <v>44</v>
      </c>
    </row>
    <row r="6" spans="1:36" ht="14.45" customHeight="1" x14ac:dyDescent="0.25">
      <c r="A6" s="94">
        <f>M6</f>
        <v>0</v>
      </c>
      <c r="B6" s="34" t="str">
        <f>IF(H6&gt;$H$2,"",(ROW()-5))</f>
        <v/>
      </c>
      <c r="C6" s="35"/>
      <c r="D6" s="35"/>
      <c r="E6" s="35"/>
      <c r="F6" s="35" t="s">
        <v>46</v>
      </c>
      <c r="G6" s="28"/>
      <c r="H6" s="185">
        <v>1</v>
      </c>
      <c r="I6" s="186" t="str">
        <f t="shared" ref="I6:I69" si="0">IF(H6&lt;$H$2+1,($I$2-($I$2-1)*(LOG(H6)/LOG($H$2))),"")</f>
        <v/>
      </c>
      <c r="J6" s="185" t="e">
        <f>INT(LOG($H$2,2))-ROUNDUP(LOG(H6,2),0)+IF(OR($H$2=1,$H$2=2,$H$2=4,$H$2=8,$H$2=16,$H$2=32,$H$2=64,$H$2=128,$H$2=256),0,1)</f>
        <v>#NUM!</v>
      </c>
      <c r="K6" s="185" t="e">
        <f t="shared" ref="K6:K69" si="1">J6*$J$2</f>
        <v>#NUM!</v>
      </c>
      <c r="L6" s="187">
        <f>3*K2</f>
        <v>0</v>
      </c>
      <c r="M6" s="187">
        <f t="shared" ref="M6:M69" si="2">IF(I6&lt;&gt;"",K6+I6+L6,0)</f>
        <v>0</v>
      </c>
    </row>
    <row r="7" spans="1:36" ht="14.45" customHeight="1" x14ac:dyDescent="0.25">
      <c r="A7" s="98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46</v>
      </c>
      <c r="G7" s="28"/>
      <c r="H7" s="188">
        <v>2</v>
      </c>
      <c r="I7" s="189" t="str">
        <f t="shared" si="0"/>
        <v/>
      </c>
      <c r="J7" s="188" t="e">
        <f t="shared" ref="J7:J70" si="5">INT(LOG($H$2,2))-ROUNDUP(LOG(H7,2),0)+IF(OR($H$2=1,$H$2=2,$H$2=4,$H$2=8,$H$2=16,$H$2=32,$H$2=64,$H$2=128,$H$2=256),0,1)</f>
        <v>#NUM!</v>
      </c>
      <c r="K7" s="188" t="e">
        <f t="shared" si="1"/>
        <v>#NUM!</v>
      </c>
      <c r="L7" s="190">
        <f>2*K2</f>
        <v>0</v>
      </c>
      <c r="M7" s="190">
        <f t="shared" si="2"/>
        <v>0</v>
      </c>
    </row>
    <row r="8" spans="1:36" ht="14.45" customHeight="1" x14ac:dyDescent="0.25">
      <c r="A8" s="94">
        <f t="shared" si="3"/>
        <v>0</v>
      </c>
      <c r="B8" s="34" t="str">
        <f t="shared" si="4"/>
        <v/>
      </c>
      <c r="C8" s="35"/>
      <c r="D8" s="35"/>
      <c r="E8" s="35"/>
      <c r="F8" s="35" t="s">
        <v>46</v>
      </c>
      <c r="G8" s="28"/>
      <c r="H8" s="185">
        <v>3</v>
      </c>
      <c r="I8" s="186" t="str">
        <f t="shared" si="0"/>
        <v/>
      </c>
      <c r="J8" s="185" t="e">
        <f t="shared" si="5"/>
        <v>#NUM!</v>
      </c>
      <c r="K8" s="185" t="e">
        <f t="shared" si="1"/>
        <v>#NUM!</v>
      </c>
      <c r="L8" s="187">
        <f>K2</f>
        <v>0</v>
      </c>
      <c r="M8" s="187">
        <f t="shared" si="2"/>
        <v>0</v>
      </c>
    </row>
    <row r="9" spans="1:36" s="178" customFormat="1" ht="14.45" customHeight="1" x14ac:dyDescent="0.25">
      <c r="A9" s="98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188">
        <v>3</v>
      </c>
      <c r="I9" s="189" t="str">
        <f t="shared" si="0"/>
        <v/>
      </c>
      <c r="J9" s="188" t="e">
        <f t="shared" si="5"/>
        <v>#NUM!</v>
      </c>
      <c r="K9" s="188" t="e">
        <f t="shared" si="1"/>
        <v>#NUM!</v>
      </c>
      <c r="L9" s="190">
        <f>K2</f>
        <v>0</v>
      </c>
      <c r="M9" s="190">
        <f t="shared" si="2"/>
        <v>0</v>
      </c>
      <c r="N9" s="173"/>
      <c r="O9" s="173"/>
      <c r="P9" s="173"/>
      <c r="Q9" s="173"/>
      <c r="R9" s="173"/>
      <c r="V9" s="191"/>
      <c r="Z9" s="192"/>
      <c r="AA9" s="192"/>
      <c r="AG9" s="193"/>
      <c r="AH9" s="178" t="s">
        <v>49</v>
      </c>
      <c r="AI9" s="178">
        <v>23</v>
      </c>
    </row>
    <row r="10" spans="1:36" ht="14.45" customHeight="1" x14ac:dyDescent="0.25">
      <c r="A10" s="94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185">
        <v>5</v>
      </c>
      <c r="I10" s="186" t="str">
        <f t="shared" si="0"/>
        <v/>
      </c>
      <c r="J10" s="185" t="e">
        <f t="shared" si="5"/>
        <v>#NUM!</v>
      </c>
      <c r="K10" s="185" t="e">
        <f t="shared" si="1"/>
        <v>#NUM!</v>
      </c>
      <c r="L10" s="185"/>
      <c r="M10" s="187">
        <f t="shared" si="2"/>
        <v>0</v>
      </c>
      <c r="V10" s="191"/>
      <c r="Z10" s="192"/>
      <c r="AA10" s="192"/>
      <c r="AG10" s="193"/>
      <c r="AH10" s="178" t="s">
        <v>52</v>
      </c>
      <c r="AI10" s="178">
        <v>45</v>
      </c>
    </row>
    <row r="11" spans="1:36" ht="14.45" customHeight="1" x14ac:dyDescent="0.25">
      <c r="A11" s="98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188">
        <v>6</v>
      </c>
      <c r="I11" s="189" t="str">
        <f t="shared" si="0"/>
        <v/>
      </c>
      <c r="J11" s="188" t="e">
        <f t="shared" si="5"/>
        <v>#NUM!</v>
      </c>
      <c r="K11" s="188" t="e">
        <f t="shared" si="1"/>
        <v>#NUM!</v>
      </c>
      <c r="L11" s="188"/>
      <c r="M11" s="190">
        <f t="shared" si="2"/>
        <v>0</v>
      </c>
      <c r="V11" s="194"/>
      <c r="Z11" s="192"/>
      <c r="AA11" s="192"/>
      <c r="AG11" s="193"/>
      <c r="AH11" s="178" t="s">
        <v>53</v>
      </c>
      <c r="AI11" s="178">
        <v>50</v>
      </c>
    </row>
    <row r="12" spans="1:36" ht="14.45" customHeight="1" x14ac:dyDescent="0.25">
      <c r="A12" s="94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185">
        <v>7</v>
      </c>
      <c r="I12" s="186" t="str">
        <f t="shared" si="0"/>
        <v/>
      </c>
      <c r="J12" s="185" t="e">
        <f t="shared" si="5"/>
        <v>#NUM!</v>
      </c>
      <c r="K12" s="185" t="e">
        <f t="shared" si="1"/>
        <v>#NUM!</v>
      </c>
      <c r="L12" s="185"/>
      <c r="M12" s="187">
        <f t="shared" si="2"/>
        <v>0</v>
      </c>
      <c r="Z12" s="192"/>
      <c r="AA12" s="192"/>
      <c r="AG12" s="193"/>
      <c r="AH12" s="178" t="s">
        <v>54</v>
      </c>
      <c r="AI12" s="178">
        <f>AI11-1</f>
        <v>49</v>
      </c>
    </row>
    <row r="13" spans="1:36" ht="14.45" customHeight="1" x14ac:dyDescent="0.25">
      <c r="A13" s="98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188">
        <v>8</v>
      </c>
      <c r="I13" s="189" t="str">
        <f t="shared" si="0"/>
        <v/>
      </c>
      <c r="J13" s="188" t="e">
        <f t="shared" si="5"/>
        <v>#NUM!</v>
      </c>
      <c r="K13" s="188" t="e">
        <f t="shared" si="1"/>
        <v>#NUM!</v>
      </c>
      <c r="L13" s="188"/>
      <c r="M13" s="190">
        <f t="shared" si="2"/>
        <v>0</v>
      </c>
      <c r="X13" s="191"/>
      <c r="AG13" s="193"/>
      <c r="AH13" s="178" t="s">
        <v>55</v>
      </c>
      <c r="AI13" s="178">
        <f>LOG(AI9)</f>
        <v>1.3617278360175928</v>
      </c>
    </row>
    <row r="14" spans="1:36" x14ac:dyDescent="0.25">
      <c r="A14" s="94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185">
        <v>9</v>
      </c>
      <c r="I14" s="186" t="str">
        <f t="shared" si="0"/>
        <v/>
      </c>
      <c r="J14" s="185" t="e">
        <f t="shared" si="5"/>
        <v>#NUM!</v>
      </c>
      <c r="K14" s="185" t="e">
        <f t="shared" si="1"/>
        <v>#NUM!</v>
      </c>
      <c r="L14" s="185"/>
      <c r="M14" s="187">
        <f t="shared" si="2"/>
        <v>0</v>
      </c>
      <c r="X14" s="195"/>
      <c r="Z14" s="192"/>
      <c r="AA14" s="192"/>
      <c r="AG14" s="193"/>
      <c r="AH14" s="178" t="s">
        <v>56</v>
      </c>
      <c r="AI14" s="178">
        <f>LOG(AI10)</f>
        <v>1.6532125137753437</v>
      </c>
    </row>
    <row r="15" spans="1:36" x14ac:dyDescent="0.25">
      <c r="A15" s="98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188">
        <v>10</v>
      </c>
      <c r="I15" s="189" t="str">
        <f t="shared" si="0"/>
        <v/>
      </c>
      <c r="J15" s="188" t="e">
        <f t="shared" si="5"/>
        <v>#NUM!</v>
      </c>
      <c r="K15" s="188" t="e">
        <f t="shared" si="1"/>
        <v>#NUM!</v>
      </c>
      <c r="L15" s="188"/>
      <c r="M15" s="190">
        <f t="shared" si="2"/>
        <v>0</v>
      </c>
      <c r="X15" s="191"/>
      <c r="Z15" s="192"/>
      <c r="AA15" s="192"/>
    </row>
    <row r="16" spans="1:36" x14ac:dyDescent="0.25">
      <c r="A16" s="94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185">
        <v>11</v>
      </c>
      <c r="I16" s="186" t="str">
        <f t="shared" si="0"/>
        <v/>
      </c>
      <c r="J16" s="185" t="e">
        <f t="shared" si="5"/>
        <v>#NUM!</v>
      </c>
      <c r="K16" s="185" t="e">
        <f t="shared" si="1"/>
        <v>#NUM!</v>
      </c>
      <c r="L16" s="185"/>
      <c r="M16" s="187">
        <f t="shared" si="2"/>
        <v>0</v>
      </c>
      <c r="R16" s="196"/>
      <c r="Z16" s="192"/>
      <c r="AA16" s="192"/>
      <c r="AH16" s="197" t="s">
        <v>57</v>
      </c>
      <c r="AI16" s="178">
        <f>AI11-AI12*AI13/AI14</f>
        <v>9.6393909380186855</v>
      </c>
      <c r="AJ16" s="178" t="s">
        <v>58</v>
      </c>
    </row>
    <row r="17" spans="1:19" x14ac:dyDescent="0.25">
      <c r="A17" s="98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188">
        <v>12</v>
      </c>
      <c r="I17" s="189" t="str">
        <f t="shared" si="0"/>
        <v/>
      </c>
      <c r="J17" s="188" t="e">
        <f t="shared" si="5"/>
        <v>#NUM!</v>
      </c>
      <c r="K17" s="188" t="e">
        <f t="shared" si="1"/>
        <v>#NUM!</v>
      </c>
      <c r="L17" s="188"/>
      <c r="M17" s="190">
        <f t="shared" si="2"/>
        <v>0</v>
      </c>
    </row>
    <row r="18" spans="1:19" x14ac:dyDescent="0.25">
      <c r="A18" s="94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185">
        <v>13</v>
      </c>
      <c r="I18" s="186" t="str">
        <f t="shared" si="0"/>
        <v/>
      </c>
      <c r="J18" s="185" t="e">
        <f t="shared" si="5"/>
        <v>#NUM!</v>
      </c>
      <c r="K18" s="185" t="e">
        <f t="shared" si="1"/>
        <v>#NUM!</v>
      </c>
      <c r="L18" s="185"/>
      <c r="M18" s="187">
        <f t="shared" si="2"/>
        <v>0</v>
      </c>
    </row>
    <row r="19" spans="1:19" x14ac:dyDescent="0.25">
      <c r="A19" s="98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188">
        <v>14</v>
      </c>
      <c r="I19" s="189" t="str">
        <f t="shared" si="0"/>
        <v/>
      </c>
      <c r="J19" s="188" t="e">
        <f t="shared" si="5"/>
        <v>#NUM!</v>
      </c>
      <c r="K19" s="188" t="e">
        <f t="shared" si="1"/>
        <v>#NUM!</v>
      </c>
      <c r="L19" s="188"/>
      <c r="M19" s="190">
        <f t="shared" si="2"/>
        <v>0</v>
      </c>
    </row>
    <row r="20" spans="1:19" x14ac:dyDescent="0.25">
      <c r="A20" s="94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185">
        <v>15</v>
      </c>
      <c r="I20" s="186" t="str">
        <f t="shared" si="0"/>
        <v/>
      </c>
      <c r="J20" s="185" t="e">
        <f t="shared" si="5"/>
        <v>#NUM!</v>
      </c>
      <c r="K20" s="185" t="e">
        <f t="shared" si="1"/>
        <v>#NUM!</v>
      </c>
      <c r="L20" s="185"/>
      <c r="M20" s="187">
        <f t="shared" si="2"/>
        <v>0</v>
      </c>
      <c r="R20" s="198"/>
      <c r="S20" s="199"/>
    </row>
    <row r="21" spans="1:19" x14ac:dyDescent="0.25">
      <c r="A21" s="98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188">
        <v>16</v>
      </c>
      <c r="I21" s="189" t="str">
        <f t="shared" si="0"/>
        <v/>
      </c>
      <c r="J21" s="188" t="e">
        <f t="shared" si="5"/>
        <v>#NUM!</v>
      </c>
      <c r="K21" s="188" t="e">
        <f t="shared" si="1"/>
        <v>#NUM!</v>
      </c>
      <c r="L21" s="188"/>
      <c r="M21" s="190">
        <f t="shared" si="2"/>
        <v>0</v>
      </c>
    </row>
    <row r="22" spans="1:19" x14ac:dyDescent="0.25">
      <c r="A22" s="94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185">
        <v>17</v>
      </c>
      <c r="I22" s="186" t="str">
        <f t="shared" si="0"/>
        <v/>
      </c>
      <c r="J22" s="185" t="e">
        <f t="shared" si="5"/>
        <v>#NUM!</v>
      </c>
      <c r="K22" s="185" t="e">
        <f t="shared" si="1"/>
        <v>#NUM!</v>
      </c>
      <c r="L22" s="185"/>
      <c r="M22" s="187">
        <f t="shared" si="2"/>
        <v>0</v>
      </c>
    </row>
    <row r="23" spans="1:19" x14ac:dyDescent="0.25">
      <c r="A23" s="98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188">
        <v>18</v>
      </c>
      <c r="I23" s="189" t="str">
        <f t="shared" si="0"/>
        <v/>
      </c>
      <c r="J23" s="188" t="e">
        <f t="shared" si="5"/>
        <v>#NUM!</v>
      </c>
      <c r="K23" s="188" t="e">
        <f t="shared" si="1"/>
        <v>#NUM!</v>
      </c>
      <c r="L23" s="188"/>
      <c r="M23" s="190">
        <f t="shared" si="2"/>
        <v>0</v>
      </c>
    </row>
    <row r="24" spans="1:19" x14ac:dyDescent="0.25">
      <c r="A24" s="94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185">
        <v>19</v>
      </c>
      <c r="I24" s="186" t="str">
        <f t="shared" si="0"/>
        <v/>
      </c>
      <c r="J24" s="185" t="e">
        <f t="shared" si="5"/>
        <v>#NUM!</v>
      </c>
      <c r="K24" s="185" t="e">
        <f t="shared" si="1"/>
        <v>#NUM!</v>
      </c>
      <c r="L24" s="185"/>
      <c r="M24" s="187">
        <f t="shared" si="2"/>
        <v>0</v>
      </c>
      <c r="R24" s="198"/>
      <c r="S24" s="199"/>
    </row>
    <row r="25" spans="1:19" x14ac:dyDescent="0.25">
      <c r="A25" s="98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188">
        <v>20</v>
      </c>
      <c r="I25" s="189" t="str">
        <f t="shared" si="0"/>
        <v/>
      </c>
      <c r="J25" s="188" t="e">
        <f t="shared" si="5"/>
        <v>#NUM!</v>
      </c>
      <c r="K25" s="188" t="e">
        <f t="shared" si="1"/>
        <v>#NUM!</v>
      </c>
      <c r="L25" s="188"/>
      <c r="M25" s="190">
        <f t="shared" si="2"/>
        <v>0</v>
      </c>
    </row>
    <row r="26" spans="1:19" x14ac:dyDescent="0.25">
      <c r="A26" s="94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185">
        <v>21</v>
      </c>
      <c r="I26" s="186" t="str">
        <f t="shared" si="0"/>
        <v/>
      </c>
      <c r="J26" s="185" t="e">
        <f t="shared" si="5"/>
        <v>#NUM!</v>
      </c>
      <c r="K26" s="185" t="e">
        <f t="shared" si="1"/>
        <v>#NUM!</v>
      </c>
      <c r="L26" s="185"/>
      <c r="M26" s="187">
        <f t="shared" si="2"/>
        <v>0</v>
      </c>
    </row>
    <row r="27" spans="1:19" x14ac:dyDescent="0.25">
      <c r="A27" s="98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188">
        <v>22</v>
      </c>
      <c r="I27" s="189" t="str">
        <f t="shared" si="0"/>
        <v/>
      </c>
      <c r="J27" s="188" t="e">
        <f t="shared" si="5"/>
        <v>#NUM!</v>
      </c>
      <c r="K27" s="188" t="e">
        <f t="shared" si="1"/>
        <v>#NUM!</v>
      </c>
      <c r="L27" s="188"/>
      <c r="M27" s="190">
        <f t="shared" si="2"/>
        <v>0</v>
      </c>
    </row>
    <row r="28" spans="1:19" x14ac:dyDescent="0.25">
      <c r="A28" s="94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185">
        <v>23</v>
      </c>
      <c r="I28" s="186" t="str">
        <f t="shared" si="0"/>
        <v/>
      </c>
      <c r="J28" s="185" t="e">
        <f t="shared" si="5"/>
        <v>#NUM!</v>
      </c>
      <c r="K28" s="185" t="e">
        <f t="shared" si="1"/>
        <v>#NUM!</v>
      </c>
      <c r="L28" s="185"/>
      <c r="M28" s="187">
        <f t="shared" si="2"/>
        <v>0</v>
      </c>
      <c r="R28" s="198"/>
      <c r="S28" s="199"/>
    </row>
    <row r="29" spans="1:19" x14ac:dyDescent="0.25">
      <c r="A29" s="98">
        <f t="shared" si="3"/>
        <v>0</v>
      </c>
      <c r="B29" s="40" t="str">
        <f t="shared" si="4"/>
        <v/>
      </c>
      <c r="C29" s="41"/>
      <c r="D29" s="41"/>
      <c r="E29" s="41"/>
      <c r="F29" s="41"/>
      <c r="G29" s="173"/>
      <c r="H29" s="188">
        <v>24</v>
      </c>
      <c r="I29" s="189" t="str">
        <f t="shared" si="0"/>
        <v/>
      </c>
      <c r="J29" s="188" t="e">
        <f t="shared" si="5"/>
        <v>#NUM!</v>
      </c>
      <c r="K29" s="188" t="e">
        <f t="shared" si="1"/>
        <v>#NUM!</v>
      </c>
      <c r="L29" s="188"/>
      <c r="M29" s="190">
        <f t="shared" si="2"/>
        <v>0</v>
      </c>
    </row>
    <row r="30" spans="1:19" x14ac:dyDescent="0.25">
      <c r="A30" s="94">
        <f t="shared" si="3"/>
        <v>0</v>
      </c>
      <c r="B30" s="34" t="str">
        <f t="shared" si="4"/>
        <v/>
      </c>
      <c r="C30" s="35"/>
      <c r="D30" s="35"/>
      <c r="E30" s="35"/>
      <c r="F30" s="35"/>
      <c r="G30" s="173"/>
      <c r="H30" s="185">
        <v>25</v>
      </c>
      <c r="I30" s="186" t="str">
        <f t="shared" si="0"/>
        <v/>
      </c>
      <c r="J30" s="185" t="e">
        <f t="shared" si="5"/>
        <v>#NUM!</v>
      </c>
      <c r="K30" s="185" t="e">
        <f t="shared" si="1"/>
        <v>#NUM!</v>
      </c>
      <c r="L30" s="185"/>
      <c r="M30" s="187">
        <f t="shared" si="2"/>
        <v>0</v>
      </c>
    </row>
    <row r="31" spans="1:19" x14ac:dyDescent="0.25">
      <c r="A31" s="98">
        <f t="shared" si="3"/>
        <v>0</v>
      </c>
      <c r="B31" s="40" t="str">
        <f t="shared" si="4"/>
        <v/>
      </c>
      <c r="C31" s="41"/>
      <c r="D31" s="41"/>
      <c r="E31" s="41"/>
      <c r="F31" s="41"/>
      <c r="G31" s="173"/>
      <c r="H31" s="188">
        <v>26</v>
      </c>
      <c r="I31" s="189" t="str">
        <f t="shared" si="0"/>
        <v/>
      </c>
      <c r="J31" s="188" t="e">
        <f t="shared" si="5"/>
        <v>#NUM!</v>
      </c>
      <c r="K31" s="188" t="e">
        <f t="shared" si="1"/>
        <v>#NUM!</v>
      </c>
      <c r="L31" s="188"/>
      <c r="M31" s="190">
        <f t="shared" si="2"/>
        <v>0</v>
      </c>
    </row>
    <row r="32" spans="1:19" x14ac:dyDescent="0.25">
      <c r="A32" s="94">
        <f t="shared" si="3"/>
        <v>0</v>
      </c>
      <c r="B32" s="34" t="str">
        <f t="shared" si="4"/>
        <v/>
      </c>
      <c r="C32" s="35"/>
      <c r="D32" s="35"/>
      <c r="E32" s="35"/>
      <c r="F32" s="35"/>
      <c r="G32" s="173"/>
      <c r="H32" s="185">
        <v>27</v>
      </c>
      <c r="I32" s="186" t="str">
        <f t="shared" si="0"/>
        <v/>
      </c>
      <c r="J32" s="185" t="e">
        <f t="shared" si="5"/>
        <v>#NUM!</v>
      </c>
      <c r="K32" s="185" t="e">
        <f t="shared" si="1"/>
        <v>#NUM!</v>
      </c>
      <c r="L32" s="185"/>
      <c r="M32" s="187">
        <f t="shared" si="2"/>
        <v>0</v>
      </c>
      <c r="R32" s="198"/>
      <c r="S32" s="199"/>
    </row>
    <row r="33" spans="1:21" x14ac:dyDescent="0.25">
      <c r="A33" s="98">
        <f t="shared" si="3"/>
        <v>0</v>
      </c>
      <c r="B33" s="40" t="str">
        <f t="shared" si="4"/>
        <v/>
      </c>
      <c r="C33" s="41"/>
      <c r="D33" s="41"/>
      <c r="E33" s="41"/>
      <c r="F33" s="41"/>
      <c r="G33" s="173"/>
      <c r="H33" s="188">
        <v>28</v>
      </c>
      <c r="I33" s="189" t="str">
        <f t="shared" si="0"/>
        <v/>
      </c>
      <c r="J33" s="188" t="e">
        <f t="shared" si="5"/>
        <v>#NUM!</v>
      </c>
      <c r="K33" s="188" t="e">
        <f t="shared" si="1"/>
        <v>#NUM!</v>
      </c>
      <c r="L33" s="188"/>
      <c r="M33" s="190">
        <f t="shared" si="2"/>
        <v>0</v>
      </c>
    </row>
    <row r="34" spans="1:21" x14ac:dyDescent="0.25">
      <c r="A34" s="94">
        <f t="shared" si="3"/>
        <v>0</v>
      </c>
      <c r="B34" s="34" t="str">
        <f t="shared" si="4"/>
        <v/>
      </c>
      <c r="C34" s="35"/>
      <c r="D34" s="35"/>
      <c r="E34" s="35"/>
      <c r="F34" s="35"/>
      <c r="G34" s="173"/>
      <c r="H34" s="185">
        <v>29</v>
      </c>
      <c r="I34" s="186" t="str">
        <f t="shared" si="0"/>
        <v/>
      </c>
      <c r="J34" s="185" t="e">
        <f t="shared" si="5"/>
        <v>#NUM!</v>
      </c>
      <c r="K34" s="185" t="e">
        <f t="shared" si="1"/>
        <v>#NUM!</v>
      </c>
      <c r="L34" s="185"/>
      <c r="M34" s="187">
        <f t="shared" si="2"/>
        <v>0</v>
      </c>
    </row>
    <row r="35" spans="1:21" x14ac:dyDescent="0.25">
      <c r="A35" s="98">
        <f t="shared" si="3"/>
        <v>0</v>
      </c>
      <c r="B35" s="40" t="str">
        <f t="shared" si="4"/>
        <v/>
      </c>
      <c r="C35" s="41"/>
      <c r="D35" s="41"/>
      <c r="E35" s="41"/>
      <c r="F35" s="41"/>
      <c r="G35" s="173"/>
      <c r="H35" s="188">
        <v>30</v>
      </c>
      <c r="I35" s="189" t="str">
        <f t="shared" si="0"/>
        <v/>
      </c>
      <c r="J35" s="188" t="e">
        <f t="shared" si="5"/>
        <v>#NUM!</v>
      </c>
      <c r="K35" s="188" t="e">
        <f t="shared" si="1"/>
        <v>#NUM!</v>
      </c>
      <c r="L35" s="188"/>
      <c r="M35" s="190">
        <f t="shared" si="2"/>
        <v>0</v>
      </c>
    </row>
    <row r="36" spans="1:21" x14ac:dyDescent="0.25">
      <c r="A36" s="94">
        <f t="shared" si="3"/>
        <v>0</v>
      </c>
      <c r="B36" s="34" t="str">
        <f t="shared" si="4"/>
        <v/>
      </c>
      <c r="C36" s="35"/>
      <c r="D36" s="35"/>
      <c r="E36" s="35"/>
      <c r="F36" s="35"/>
      <c r="G36" s="173"/>
      <c r="H36" s="185">
        <v>31</v>
      </c>
      <c r="I36" s="186" t="str">
        <f t="shared" si="0"/>
        <v/>
      </c>
      <c r="J36" s="185" t="e">
        <f t="shared" si="5"/>
        <v>#NUM!</v>
      </c>
      <c r="K36" s="185" t="e">
        <f t="shared" si="1"/>
        <v>#NUM!</v>
      </c>
      <c r="L36" s="185"/>
      <c r="M36" s="187">
        <f t="shared" si="2"/>
        <v>0</v>
      </c>
      <c r="R36" s="198"/>
      <c r="S36" s="199"/>
    </row>
    <row r="37" spans="1:21" x14ac:dyDescent="0.25">
      <c r="A37" s="98">
        <f t="shared" si="3"/>
        <v>0</v>
      </c>
      <c r="B37" s="40" t="str">
        <f t="shared" si="4"/>
        <v/>
      </c>
      <c r="C37" s="41"/>
      <c r="D37" s="41"/>
      <c r="E37" s="41"/>
      <c r="F37" s="41"/>
      <c r="G37" s="173"/>
      <c r="H37" s="188">
        <v>32</v>
      </c>
      <c r="I37" s="189" t="str">
        <f t="shared" si="0"/>
        <v/>
      </c>
      <c r="J37" s="188" t="e">
        <f t="shared" si="5"/>
        <v>#NUM!</v>
      </c>
      <c r="K37" s="188" t="e">
        <f t="shared" si="1"/>
        <v>#NUM!</v>
      </c>
      <c r="L37" s="188"/>
      <c r="M37" s="190">
        <f t="shared" si="2"/>
        <v>0</v>
      </c>
    </row>
    <row r="38" spans="1:21" x14ac:dyDescent="0.25">
      <c r="A38" s="94"/>
      <c r="B38" s="34" t="str">
        <f t="shared" si="4"/>
        <v/>
      </c>
      <c r="C38" s="35"/>
      <c r="D38" s="35"/>
      <c r="E38" s="35"/>
      <c r="F38" s="35"/>
      <c r="G38" s="173"/>
      <c r="H38" s="185">
        <v>33</v>
      </c>
      <c r="I38" s="186" t="str">
        <f t="shared" si="0"/>
        <v/>
      </c>
      <c r="J38" s="185" t="e">
        <f t="shared" si="5"/>
        <v>#NUM!</v>
      </c>
      <c r="K38" s="185" t="e">
        <f t="shared" si="1"/>
        <v>#NUM!</v>
      </c>
      <c r="L38" s="185"/>
      <c r="M38" s="187">
        <f t="shared" si="2"/>
        <v>0</v>
      </c>
    </row>
    <row r="39" spans="1:21" x14ac:dyDescent="0.25">
      <c r="A39" s="98"/>
      <c r="B39" s="40" t="str">
        <f t="shared" si="4"/>
        <v/>
      </c>
      <c r="C39" s="41"/>
      <c r="D39" s="41"/>
      <c r="E39" s="41"/>
      <c r="F39" s="41"/>
      <c r="G39" s="173"/>
      <c r="H39" s="188">
        <v>34</v>
      </c>
      <c r="I39" s="189" t="str">
        <f t="shared" si="0"/>
        <v/>
      </c>
      <c r="J39" s="188" t="e">
        <f t="shared" si="5"/>
        <v>#NUM!</v>
      </c>
      <c r="K39" s="188" t="e">
        <f t="shared" si="1"/>
        <v>#NUM!</v>
      </c>
      <c r="L39" s="188"/>
      <c r="M39" s="190">
        <f t="shared" si="2"/>
        <v>0</v>
      </c>
    </row>
    <row r="40" spans="1:21" x14ac:dyDescent="0.25">
      <c r="A40" s="94"/>
      <c r="B40" s="34" t="str">
        <f t="shared" si="4"/>
        <v/>
      </c>
      <c r="C40" s="35"/>
      <c r="D40" s="35"/>
      <c r="E40" s="35"/>
      <c r="F40" s="35"/>
      <c r="G40" s="173"/>
      <c r="H40" s="185">
        <v>35</v>
      </c>
      <c r="I40" s="186" t="str">
        <f t="shared" si="0"/>
        <v/>
      </c>
      <c r="J40" s="185" t="e">
        <f t="shared" si="5"/>
        <v>#NUM!</v>
      </c>
      <c r="K40" s="185" t="e">
        <f t="shared" si="1"/>
        <v>#NUM!</v>
      </c>
      <c r="L40" s="185"/>
      <c r="M40" s="187">
        <f t="shared" si="2"/>
        <v>0</v>
      </c>
    </row>
    <row r="41" spans="1:21" x14ac:dyDescent="0.25">
      <c r="A41" s="98"/>
      <c r="B41" s="40" t="str">
        <f t="shared" si="4"/>
        <v/>
      </c>
      <c r="C41" s="41"/>
      <c r="D41" s="41"/>
      <c r="E41" s="41"/>
      <c r="F41" s="41"/>
      <c r="G41" s="173"/>
      <c r="H41" s="188">
        <v>36</v>
      </c>
      <c r="I41" s="189" t="str">
        <f t="shared" si="0"/>
        <v/>
      </c>
      <c r="J41" s="188" t="e">
        <f t="shared" si="5"/>
        <v>#NUM!</v>
      </c>
      <c r="K41" s="188" t="e">
        <f t="shared" si="1"/>
        <v>#NUM!</v>
      </c>
      <c r="L41" s="188"/>
      <c r="M41" s="190">
        <f t="shared" si="2"/>
        <v>0</v>
      </c>
      <c r="S41" s="200"/>
    </row>
    <row r="42" spans="1:21" x14ac:dyDescent="0.25">
      <c r="A42" s="94"/>
      <c r="B42" s="34" t="str">
        <f t="shared" si="4"/>
        <v/>
      </c>
      <c r="C42" s="35"/>
      <c r="D42" s="35"/>
      <c r="E42" s="35"/>
      <c r="F42" s="35"/>
      <c r="G42" s="173"/>
      <c r="H42" s="185">
        <v>37</v>
      </c>
      <c r="I42" s="186" t="str">
        <f t="shared" si="0"/>
        <v/>
      </c>
      <c r="J42" s="185" t="e">
        <f t="shared" si="5"/>
        <v>#NUM!</v>
      </c>
      <c r="K42" s="185" t="e">
        <f t="shared" si="1"/>
        <v>#NUM!</v>
      </c>
      <c r="L42" s="185"/>
      <c r="M42" s="187">
        <f t="shared" si="2"/>
        <v>0</v>
      </c>
    </row>
    <row r="43" spans="1:21" x14ac:dyDescent="0.25">
      <c r="A43" s="98"/>
      <c r="B43" s="40" t="str">
        <f t="shared" si="4"/>
        <v/>
      </c>
      <c r="C43" s="41"/>
      <c r="D43" s="41"/>
      <c r="E43" s="41"/>
      <c r="F43" s="41"/>
      <c r="G43" s="173"/>
      <c r="H43" s="188">
        <v>38</v>
      </c>
      <c r="I43" s="189" t="str">
        <f t="shared" si="0"/>
        <v/>
      </c>
      <c r="J43" s="188" t="e">
        <f t="shared" si="5"/>
        <v>#NUM!</v>
      </c>
      <c r="K43" s="188" t="e">
        <f t="shared" si="1"/>
        <v>#NUM!</v>
      </c>
      <c r="L43" s="188"/>
      <c r="M43" s="190">
        <f t="shared" si="2"/>
        <v>0</v>
      </c>
    </row>
    <row r="44" spans="1:21" x14ac:dyDescent="0.25">
      <c r="A44" s="94"/>
      <c r="B44" s="34" t="str">
        <f t="shared" si="4"/>
        <v/>
      </c>
      <c r="C44" s="35"/>
      <c r="D44" s="35"/>
      <c r="E44" s="35"/>
      <c r="F44" s="35"/>
      <c r="G44" s="173"/>
      <c r="H44" s="185">
        <v>39</v>
      </c>
      <c r="I44" s="186" t="str">
        <f t="shared" si="0"/>
        <v/>
      </c>
      <c r="J44" s="185" t="e">
        <f t="shared" si="5"/>
        <v>#NUM!</v>
      </c>
      <c r="K44" s="185" t="e">
        <f t="shared" si="1"/>
        <v>#NUM!</v>
      </c>
      <c r="L44" s="185"/>
      <c r="M44" s="187">
        <f t="shared" si="2"/>
        <v>0</v>
      </c>
    </row>
    <row r="45" spans="1:21" x14ac:dyDescent="0.25">
      <c r="A45" s="98"/>
      <c r="B45" s="40" t="str">
        <f t="shared" si="4"/>
        <v/>
      </c>
      <c r="C45" s="41"/>
      <c r="D45" s="41"/>
      <c r="E45" s="41"/>
      <c r="F45" s="41"/>
      <c r="G45" s="173"/>
      <c r="H45" s="188">
        <v>40</v>
      </c>
      <c r="I45" s="189" t="str">
        <f t="shared" si="0"/>
        <v/>
      </c>
      <c r="J45" s="188" t="e">
        <f t="shared" si="5"/>
        <v>#NUM!</v>
      </c>
      <c r="K45" s="188" t="e">
        <f t="shared" si="1"/>
        <v>#NUM!</v>
      </c>
      <c r="L45" s="188"/>
      <c r="M45" s="190">
        <f t="shared" si="2"/>
        <v>0</v>
      </c>
    </row>
    <row r="46" spans="1:21" x14ac:dyDescent="0.25">
      <c r="A46" s="94"/>
      <c r="B46" s="34" t="str">
        <f t="shared" si="4"/>
        <v/>
      </c>
      <c r="C46" s="35"/>
      <c r="D46" s="35"/>
      <c r="E46" s="35"/>
      <c r="F46" s="35"/>
      <c r="G46" s="173"/>
      <c r="H46" s="185">
        <v>41</v>
      </c>
      <c r="I46" s="186" t="str">
        <f t="shared" si="0"/>
        <v/>
      </c>
      <c r="J46" s="185" t="e">
        <f t="shared" si="5"/>
        <v>#NUM!</v>
      </c>
      <c r="K46" s="185" t="e">
        <f t="shared" si="1"/>
        <v>#NUM!</v>
      </c>
      <c r="L46" s="185"/>
      <c r="M46" s="187">
        <f t="shared" si="2"/>
        <v>0</v>
      </c>
      <c r="R46" s="173" t="e">
        <f>LOG($H$2,2)</f>
        <v>#NUM!</v>
      </c>
      <c r="T46" s="178">
        <f>LOG(H38,2)</f>
        <v>5.0443941193584534</v>
      </c>
      <c r="U46" s="178" t="e">
        <f>R46-T46</f>
        <v>#NUM!</v>
      </c>
    </row>
    <row r="47" spans="1:21" x14ac:dyDescent="0.25">
      <c r="A47" s="98"/>
      <c r="B47" s="40" t="str">
        <f t="shared" si="4"/>
        <v/>
      </c>
      <c r="C47" s="41"/>
      <c r="D47" s="41"/>
      <c r="E47" s="41"/>
      <c r="F47" s="41"/>
      <c r="G47" s="173"/>
      <c r="H47" s="188">
        <v>42</v>
      </c>
      <c r="I47" s="189" t="str">
        <f t="shared" si="0"/>
        <v/>
      </c>
      <c r="J47" s="188" t="e">
        <f t="shared" si="5"/>
        <v>#NUM!</v>
      </c>
      <c r="K47" s="188" t="e">
        <f t="shared" si="1"/>
        <v>#NUM!</v>
      </c>
      <c r="L47" s="188"/>
      <c r="M47" s="190">
        <f t="shared" si="2"/>
        <v>0</v>
      </c>
    </row>
    <row r="48" spans="1:21" x14ac:dyDescent="0.25">
      <c r="A48" s="94"/>
      <c r="B48" s="34" t="str">
        <f t="shared" si="4"/>
        <v/>
      </c>
      <c r="C48" s="35"/>
      <c r="D48" s="35"/>
      <c r="E48" s="35"/>
      <c r="F48" s="35"/>
      <c r="G48" s="173"/>
      <c r="H48" s="185">
        <v>43</v>
      </c>
      <c r="I48" s="186" t="str">
        <f t="shared" si="0"/>
        <v/>
      </c>
      <c r="J48" s="185" t="e">
        <f t="shared" si="5"/>
        <v>#NUM!</v>
      </c>
      <c r="K48" s="185" t="e">
        <f t="shared" si="1"/>
        <v>#NUM!</v>
      </c>
      <c r="L48" s="185"/>
      <c r="M48" s="187">
        <f t="shared" si="2"/>
        <v>0</v>
      </c>
    </row>
    <row r="49" spans="1:13" x14ac:dyDescent="0.25">
      <c r="A49" s="98"/>
      <c r="B49" s="40" t="str">
        <f t="shared" si="4"/>
        <v/>
      </c>
      <c r="C49" s="41"/>
      <c r="D49" s="41"/>
      <c r="E49" s="41"/>
      <c r="F49" s="41"/>
      <c r="G49" s="173"/>
      <c r="H49" s="188">
        <v>44</v>
      </c>
      <c r="I49" s="189" t="str">
        <f t="shared" si="0"/>
        <v/>
      </c>
      <c r="J49" s="188" t="e">
        <f t="shared" si="5"/>
        <v>#NUM!</v>
      </c>
      <c r="K49" s="188" t="e">
        <f t="shared" si="1"/>
        <v>#NUM!</v>
      </c>
      <c r="L49" s="188"/>
      <c r="M49" s="190">
        <f t="shared" si="2"/>
        <v>0</v>
      </c>
    </row>
    <row r="50" spans="1:13" x14ac:dyDescent="0.25">
      <c r="A50" s="94"/>
      <c r="B50" s="34" t="str">
        <f t="shared" si="4"/>
        <v/>
      </c>
      <c r="C50" s="35"/>
      <c r="D50" s="35"/>
      <c r="E50" s="35"/>
      <c r="F50" s="35"/>
      <c r="G50" s="173"/>
      <c r="H50" s="185">
        <v>45</v>
      </c>
      <c r="I50" s="186" t="str">
        <f t="shared" si="0"/>
        <v/>
      </c>
      <c r="J50" s="185" t="e">
        <f t="shared" si="5"/>
        <v>#NUM!</v>
      </c>
      <c r="K50" s="185" t="e">
        <f t="shared" si="1"/>
        <v>#NUM!</v>
      </c>
      <c r="L50" s="185"/>
      <c r="M50" s="187">
        <f t="shared" si="2"/>
        <v>0</v>
      </c>
    </row>
    <row r="51" spans="1:13" x14ac:dyDescent="0.25">
      <c r="A51" s="98"/>
      <c r="B51" s="40" t="str">
        <f t="shared" si="4"/>
        <v/>
      </c>
      <c r="C51" s="41"/>
      <c r="D51" s="41"/>
      <c r="E51" s="41"/>
      <c r="F51" s="41"/>
      <c r="G51" s="173"/>
      <c r="H51" s="188">
        <v>46</v>
      </c>
      <c r="I51" s="189" t="str">
        <f t="shared" si="0"/>
        <v/>
      </c>
      <c r="J51" s="188" t="e">
        <f t="shared" si="5"/>
        <v>#NUM!</v>
      </c>
      <c r="K51" s="188" t="e">
        <f t="shared" si="1"/>
        <v>#NUM!</v>
      </c>
      <c r="L51" s="188"/>
      <c r="M51" s="190">
        <f t="shared" si="2"/>
        <v>0</v>
      </c>
    </row>
    <row r="52" spans="1:13" x14ac:dyDescent="0.25">
      <c r="A52" s="94"/>
      <c r="B52" s="34" t="str">
        <f t="shared" si="4"/>
        <v/>
      </c>
      <c r="C52" s="35"/>
      <c r="D52" s="35"/>
      <c r="E52" s="35"/>
      <c r="F52" s="35"/>
      <c r="G52" s="173"/>
      <c r="H52" s="185">
        <v>47</v>
      </c>
      <c r="I52" s="186" t="str">
        <f t="shared" si="0"/>
        <v/>
      </c>
      <c r="J52" s="185" t="e">
        <f t="shared" si="5"/>
        <v>#NUM!</v>
      </c>
      <c r="K52" s="185" t="e">
        <f t="shared" si="1"/>
        <v>#NUM!</v>
      </c>
      <c r="L52" s="185"/>
      <c r="M52" s="187">
        <f t="shared" si="2"/>
        <v>0</v>
      </c>
    </row>
    <row r="53" spans="1:13" x14ac:dyDescent="0.25">
      <c r="A53" s="98"/>
      <c r="B53" s="40" t="str">
        <f t="shared" si="4"/>
        <v/>
      </c>
      <c r="C53" s="41"/>
      <c r="D53" s="41"/>
      <c r="E53" s="41"/>
      <c r="F53" s="41"/>
      <c r="G53" s="173"/>
      <c r="H53" s="188">
        <v>48</v>
      </c>
      <c r="I53" s="189" t="str">
        <f t="shared" si="0"/>
        <v/>
      </c>
      <c r="J53" s="188" t="e">
        <f t="shared" si="5"/>
        <v>#NUM!</v>
      </c>
      <c r="K53" s="188" t="e">
        <f t="shared" si="1"/>
        <v>#NUM!</v>
      </c>
      <c r="L53" s="188"/>
      <c r="M53" s="190">
        <f t="shared" si="2"/>
        <v>0</v>
      </c>
    </row>
    <row r="54" spans="1:13" x14ac:dyDescent="0.25">
      <c r="A54" s="94"/>
      <c r="B54" s="34" t="str">
        <f t="shared" si="4"/>
        <v/>
      </c>
      <c r="C54" s="35"/>
      <c r="D54" s="35"/>
      <c r="E54" s="35"/>
      <c r="F54" s="35"/>
      <c r="G54" s="173"/>
      <c r="H54" s="185">
        <v>49</v>
      </c>
      <c r="I54" s="186" t="str">
        <f t="shared" si="0"/>
        <v/>
      </c>
      <c r="J54" s="185" t="e">
        <f t="shared" si="5"/>
        <v>#NUM!</v>
      </c>
      <c r="K54" s="185" t="e">
        <f t="shared" si="1"/>
        <v>#NUM!</v>
      </c>
      <c r="L54" s="185"/>
      <c r="M54" s="187">
        <f t="shared" si="2"/>
        <v>0</v>
      </c>
    </row>
    <row r="55" spans="1:13" x14ac:dyDescent="0.25">
      <c r="A55" s="98"/>
      <c r="B55" s="40" t="str">
        <f t="shared" si="4"/>
        <v/>
      </c>
      <c r="C55" s="41"/>
      <c r="D55" s="41"/>
      <c r="E55" s="41"/>
      <c r="F55" s="41"/>
      <c r="G55" s="173"/>
      <c r="H55" s="188">
        <v>50</v>
      </c>
      <c r="I55" s="189" t="str">
        <f t="shared" si="0"/>
        <v/>
      </c>
      <c r="J55" s="188" t="e">
        <f t="shared" si="5"/>
        <v>#NUM!</v>
      </c>
      <c r="K55" s="188" t="e">
        <f t="shared" si="1"/>
        <v>#NUM!</v>
      </c>
      <c r="L55" s="188"/>
      <c r="M55" s="190">
        <f t="shared" si="2"/>
        <v>0</v>
      </c>
    </row>
    <row r="56" spans="1:13" x14ac:dyDescent="0.25">
      <c r="A56" s="94"/>
      <c r="B56" s="34" t="str">
        <f t="shared" si="4"/>
        <v/>
      </c>
      <c r="C56" s="35"/>
      <c r="D56" s="35"/>
      <c r="E56" s="35"/>
      <c r="F56" s="35"/>
      <c r="G56" s="173"/>
      <c r="H56" s="185">
        <v>51</v>
      </c>
      <c r="I56" s="186" t="str">
        <f t="shared" si="0"/>
        <v/>
      </c>
      <c r="J56" s="185" t="e">
        <f t="shared" si="5"/>
        <v>#NUM!</v>
      </c>
      <c r="K56" s="185" t="e">
        <f t="shared" si="1"/>
        <v>#NUM!</v>
      </c>
      <c r="L56" s="185"/>
      <c r="M56" s="187">
        <f t="shared" si="2"/>
        <v>0</v>
      </c>
    </row>
    <row r="57" spans="1:13" x14ac:dyDescent="0.25">
      <c r="A57" s="98"/>
      <c r="B57" s="40" t="str">
        <f t="shared" si="4"/>
        <v/>
      </c>
      <c r="C57" s="41"/>
      <c r="D57" s="41"/>
      <c r="E57" s="41"/>
      <c r="F57" s="41"/>
      <c r="G57" s="173"/>
      <c r="H57" s="188">
        <v>52</v>
      </c>
      <c r="I57" s="189" t="str">
        <f t="shared" si="0"/>
        <v/>
      </c>
      <c r="J57" s="188" t="e">
        <f t="shared" si="5"/>
        <v>#NUM!</v>
      </c>
      <c r="K57" s="188" t="e">
        <f t="shared" si="1"/>
        <v>#NUM!</v>
      </c>
      <c r="L57" s="188"/>
      <c r="M57" s="190">
        <f t="shared" si="2"/>
        <v>0</v>
      </c>
    </row>
    <row r="58" spans="1:13" x14ac:dyDescent="0.25">
      <c r="A58" s="94"/>
      <c r="B58" s="34" t="str">
        <f t="shared" si="4"/>
        <v/>
      </c>
      <c r="C58" s="35"/>
      <c r="D58" s="35"/>
      <c r="E58" s="35"/>
      <c r="F58" s="35"/>
      <c r="G58" s="173"/>
      <c r="H58" s="185">
        <v>53</v>
      </c>
      <c r="I58" s="186" t="str">
        <f t="shared" si="0"/>
        <v/>
      </c>
      <c r="J58" s="185" t="e">
        <f t="shared" si="5"/>
        <v>#NUM!</v>
      </c>
      <c r="K58" s="185" t="e">
        <f t="shared" si="1"/>
        <v>#NUM!</v>
      </c>
      <c r="L58" s="185"/>
      <c r="M58" s="187">
        <f t="shared" si="2"/>
        <v>0</v>
      </c>
    </row>
    <row r="59" spans="1:13" x14ac:dyDescent="0.25">
      <c r="A59" s="98"/>
      <c r="B59" s="40" t="str">
        <f t="shared" si="4"/>
        <v/>
      </c>
      <c r="C59" s="41"/>
      <c r="D59" s="41"/>
      <c r="E59" s="41"/>
      <c r="F59" s="41"/>
      <c r="G59" s="173"/>
      <c r="H59" s="188">
        <v>54</v>
      </c>
      <c r="I59" s="189" t="str">
        <f t="shared" si="0"/>
        <v/>
      </c>
      <c r="J59" s="188" t="e">
        <f t="shared" si="5"/>
        <v>#NUM!</v>
      </c>
      <c r="K59" s="188" t="e">
        <f t="shared" si="1"/>
        <v>#NUM!</v>
      </c>
      <c r="L59" s="188"/>
      <c r="M59" s="190">
        <f t="shared" si="2"/>
        <v>0</v>
      </c>
    </row>
    <row r="60" spans="1:13" x14ac:dyDescent="0.25">
      <c r="A60" s="94"/>
      <c r="B60" s="34" t="str">
        <f t="shared" si="4"/>
        <v/>
      </c>
      <c r="C60" s="35"/>
      <c r="D60" s="35"/>
      <c r="E60" s="35"/>
      <c r="F60" s="35"/>
      <c r="G60" s="173"/>
      <c r="H60" s="185">
        <v>55</v>
      </c>
      <c r="I60" s="186" t="str">
        <f t="shared" si="0"/>
        <v/>
      </c>
      <c r="J60" s="185" t="e">
        <f t="shared" si="5"/>
        <v>#NUM!</v>
      </c>
      <c r="K60" s="185" t="e">
        <f t="shared" si="1"/>
        <v>#NUM!</v>
      </c>
      <c r="L60" s="185"/>
      <c r="M60" s="187">
        <f t="shared" si="2"/>
        <v>0</v>
      </c>
    </row>
    <row r="61" spans="1:13" x14ac:dyDescent="0.25">
      <c r="A61" s="98"/>
      <c r="B61" s="40" t="str">
        <f t="shared" si="4"/>
        <v/>
      </c>
      <c r="C61" s="41"/>
      <c r="D61" s="41"/>
      <c r="E61" s="41"/>
      <c r="F61" s="41"/>
      <c r="G61" s="173"/>
      <c r="H61" s="188">
        <v>56</v>
      </c>
      <c r="I61" s="189" t="str">
        <f t="shared" si="0"/>
        <v/>
      </c>
      <c r="J61" s="188" t="e">
        <f t="shared" si="5"/>
        <v>#NUM!</v>
      </c>
      <c r="K61" s="188" t="e">
        <f t="shared" si="1"/>
        <v>#NUM!</v>
      </c>
      <c r="L61" s="188"/>
      <c r="M61" s="190">
        <f t="shared" si="2"/>
        <v>0</v>
      </c>
    </row>
    <row r="62" spans="1:13" x14ac:dyDescent="0.25">
      <c r="A62" s="94"/>
      <c r="B62" s="34" t="str">
        <f t="shared" si="4"/>
        <v/>
      </c>
      <c r="C62" s="35"/>
      <c r="D62" s="35"/>
      <c r="E62" s="35"/>
      <c r="F62" s="35"/>
      <c r="G62" s="173"/>
      <c r="H62" s="185">
        <v>57</v>
      </c>
      <c r="I62" s="186" t="str">
        <f t="shared" si="0"/>
        <v/>
      </c>
      <c r="J62" s="185" t="e">
        <f t="shared" si="5"/>
        <v>#NUM!</v>
      </c>
      <c r="K62" s="185" t="e">
        <f t="shared" si="1"/>
        <v>#NUM!</v>
      </c>
      <c r="L62" s="185"/>
      <c r="M62" s="187">
        <f t="shared" si="2"/>
        <v>0</v>
      </c>
    </row>
    <row r="63" spans="1:13" x14ac:dyDescent="0.25">
      <c r="A63" s="98"/>
      <c r="B63" s="40" t="str">
        <f t="shared" si="4"/>
        <v/>
      </c>
      <c r="C63" s="41"/>
      <c r="D63" s="41"/>
      <c r="E63" s="41"/>
      <c r="F63" s="41"/>
      <c r="G63" s="173"/>
      <c r="H63" s="188">
        <v>58</v>
      </c>
      <c r="I63" s="189" t="str">
        <f t="shared" si="0"/>
        <v/>
      </c>
      <c r="J63" s="188" t="e">
        <f t="shared" si="5"/>
        <v>#NUM!</v>
      </c>
      <c r="K63" s="188" t="e">
        <f t="shared" si="1"/>
        <v>#NUM!</v>
      </c>
      <c r="L63" s="188"/>
      <c r="M63" s="190">
        <f t="shared" si="2"/>
        <v>0</v>
      </c>
    </row>
    <row r="64" spans="1:13" x14ac:dyDescent="0.25">
      <c r="A64" s="94"/>
      <c r="B64" s="34" t="str">
        <f t="shared" si="4"/>
        <v/>
      </c>
      <c r="C64" s="35"/>
      <c r="D64" s="35"/>
      <c r="E64" s="35"/>
      <c r="F64" s="35"/>
      <c r="G64" s="173"/>
      <c r="H64" s="185">
        <v>59</v>
      </c>
      <c r="I64" s="186" t="str">
        <f t="shared" si="0"/>
        <v/>
      </c>
      <c r="J64" s="185" t="e">
        <f t="shared" si="5"/>
        <v>#NUM!</v>
      </c>
      <c r="K64" s="185" t="e">
        <f t="shared" si="1"/>
        <v>#NUM!</v>
      </c>
      <c r="L64" s="185"/>
      <c r="M64" s="187">
        <f t="shared" si="2"/>
        <v>0</v>
      </c>
    </row>
    <row r="65" spans="1:13" x14ac:dyDescent="0.25">
      <c r="A65" s="98"/>
      <c r="B65" s="40" t="str">
        <f t="shared" si="4"/>
        <v/>
      </c>
      <c r="C65" s="41"/>
      <c r="D65" s="41"/>
      <c r="E65" s="41"/>
      <c r="F65" s="41"/>
      <c r="G65" s="173"/>
      <c r="H65" s="188">
        <v>60</v>
      </c>
      <c r="I65" s="189" t="str">
        <f t="shared" si="0"/>
        <v/>
      </c>
      <c r="J65" s="188" t="e">
        <f t="shared" si="5"/>
        <v>#NUM!</v>
      </c>
      <c r="K65" s="188" t="e">
        <f t="shared" si="1"/>
        <v>#NUM!</v>
      </c>
      <c r="L65" s="188"/>
      <c r="M65" s="190">
        <f t="shared" si="2"/>
        <v>0</v>
      </c>
    </row>
    <row r="66" spans="1:13" x14ac:dyDescent="0.25">
      <c r="A66" s="210"/>
      <c r="B66" s="34"/>
      <c r="G66" s="173"/>
      <c r="H66" s="185">
        <v>61</v>
      </c>
      <c r="I66" s="186" t="str">
        <f t="shared" si="0"/>
        <v/>
      </c>
      <c r="J66" s="185" t="e">
        <f t="shared" si="5"/>
        <v>#NUM!</v>
      </c>
      <c r="K66" s="185" t="e">
        <f t="shared" si="1"/>
        <v>#NUM!</v>
      </c>
      <c r="L66" s="185"/>
      <c r="M66" s="187">
        <f t="shared" si="2"/>
        <v>0</v>
      </c>
    </row>
    <row r="67" spans="1:13" x14ac:dyDescent="0.25">
      <c r="A67" s="210"/>
      <c r="B67" s="40"/>
      <c r="G67" s="173"/>
      <c r="H67" s="185">
        <v>62</v>
      </c>
      <c r="I67" s="186" t="str">
        <f t="shared" si="0"/>
        <v/>
      </c>
      <c r="J67" s="185" t="e">
        <f t="shared" si="5"/>
        <v>#NUM!</v>
      </c>
      <c r="K67" s="185" t="e">
        <f t="shared" si="1"/>
        <v>#NUM!</v>
      </c>
      <c r="L67" s="185"/>
      <c r="M67" s="187">
        <f t="shared" si="2"/>
        <v>0</v>
      </c>
    </row>
    <row r="68" spans="1:13" x14ac:dyDescent="0.25">
      <c r="A68" s="210"/>
      <c r="B68" s="34"/>
      <c r="G68" s="173"/>
      <c r="H68" s="185">
        <v>63</v>
      </c>
      <c r="I68" s="186" t="str">
        <f t="shared" si="0"/>
        <v/>
      </c>
      <c r="J68" s="185" t="e">
        <f t="shared" si="5"/>
        <v>#NUM!</v>
      </c>
      <c r="K68" s="185" t="e">
        <f t="shared" si="1"/>
        <v>#NUM!</v>
      </c>
      <c r="L68" s="185"/>
      <c r="M68" s="187">
        <f t="shared" si="2"/>
        <v>0</v>
      </c>
    </row>
    <row r="69" spans="1:13" x14ac:dyDescent="0.25">
      <c r="A69" s="210"/>
      <c r="B69" s="40"/>
      <c r="G69" s="173"/>
      <c r="H69" s="185">
        <v>64</v>
      </c>
      <c r="I69" s="186" t="str">
        <f t="shared" si="0"/>
        <v/>
      </c>
      <c r="J69" s="185" t="e">
        <f t="shared" si="5"/>
        <v>#NUM!</v>
      </c>
      <c r="K69" s="185" t="e">
        <f t="shared" si="1"/>
        <v>#NUM!</v>
      </c>
      <c r="L69" s="185"/>
      <c r="M69" s="187">
        <f t="shared" si="2"/>
        <v>0</v>
      </c>
    </row>
    <row r="70" spans="1:13" x14ac:dyDescent="0.25">
      <c r="A70" s="210"/>
      <c r="G70" s="173"/>
      <c r="H70" s="185">
        <v>65</v>
      </c>
      <c r="I70" s="186" t="str">
        <f t="shared" ref="I70:I133" si="6">IF(H70&lt;$H$2+1,($I$2-($I$2-1)*(LOG(H70)/LOG($H$2))),"")</f>
        <v/>
      </c>
      <c r="J70" s="185" t="e">
        <f t="shared" si="5"/>
        <v>#NUM!</v>
      </c>
      <c r="K70" s="185" t="e">
        <f t="shared" ref="K70:K133" si="7">J70*$J$2</f>
        <v>#NUM!</v>
      </c>
      <c r="L70" s="185"/>
      <c r="M70" s="187">
        <f t="shared" ref="M70:M133" si="8">IF(I70&lt;&gt;"",K70+I70+L70,0)</f>
        <v>0</v>
      </c>
    </row>
    <row r="71" spans="1:13" x14ac:dyDescent="0.25">
      <c r="A71" s="210"/>
      <c r="G71" s="173"/>
      <c r="H71" s="185">
        <v>66</v>
      </c>
      <c r="I71" s="186" t="str">
        <f t="shared" si="6"/>
        <v/>
      </c>
      <c r="J71" s="185" t="e">
        <f t="shared" ref="J71:J134" si="9">INT(LOG($H$2,2))-ROUNDUP(LOG(H71,2),0)+IF(OR($H$2=1,$H$2=2,$H$2=4,$H$2=8,$H$2=16,$H$2=32,$H$2=64,$H$2=128,$H$2=256),0,1)</f>
        <v>#NUM!</v>
      </c>
      <c r="K71" s="185" t="e">
        <f t="shared" si="7"/>
        <v>#NUM!</v>
      </c>
      <c r="L71" s="185"/>
      <c r="M71" s="187">
        <f t="shared" si="8"/>
        <v>0</v>
      </c>
    </row>
    <row r="72" spans="1:13" x14ac:dyDescent="0.25">
      <c r="A72" s="210"/>
      <c r="G72" s="173"/>
      <c r="H72" s="185">
        <v>67</v>
      </c>
      <c r="I72" s="186" t="str">
        <f t="shared" si="6"/>
        <v/>
      </c>
      <c r="J72" s="185" t="e">
        <f t="shared" si="9"/>
        <v>#NUM!</v>
      </c>
      <c r="K72" s="185" t="e">
        <f t="shared" si="7"/>
        <v>#NUM!</v>
      </c>
      <c r="L72" s="185"/>
      <c r="M72" s="187">
        <f t="shared" si="8"/>
        <v>0</v>
      </c>
    </row>
    <row r="73" spans="1:13" x14ac:dyDescent="0.25">
      <c r="A73" s="210"/>
      <c r="G73" s="173"/>
      <c r="H73" s="185">
        <v>68</v>
      </c>
      <c r="I73" s="186" t="str">
        <f t="shared" si="6"/>
        <v/>
      </c>
      <c r="J73" s="185" t="e">
        <f t="shared" si="9"/>
        <v>#NUM!</v>
      </c>
      <c r="K73" s="185" t="e">
        <f t="shared" si="7"/>
        <v>#NUM!</v>
      </c>
      <c r="L73" s="185"/>
      <c r="M73" s="187">
        <f t="shared" si="8"/>
        <v>0</v>
      </c>
    </row>
    <row r="74" spans="1:13" x14ac:dyDescent="0.25">
      <c r="A74" s="210"/>
      <c r="G74" s="173"/>
      <c r="H74" s="185">
        <v>69</v>
      </c>
      <c r="I74" s="186" t="str">
        <f t="shared" si="6"/>
        <v/>
      </c>
      <c r="J74" s="185" t="e">
        <f t="shared" si="9"/>
        <v>#NUM!</v>
      </c>
      <c r="K74" s="185" t="e">
        <f t="shared" si="7"/>
        <v>#NUM!</v>
      </c>
      <c r="L74" s="185"/>
      <c r="M74" s="187">
        <f t="shared" si="8"/>
        <v>0</v>
      </c>
    </row>
    <row r="75" spans="1:13" x14ac:dyDescent="0.25">
      <c r="A75" s="210"/>
      <c r="G75" s="173"/>
      <c r="H75" s="185">
        <v>70</v>
      </c>
      <c r="I75" s="186" t="str">
        <f t="shared" si="6"/>
        <v/>
      </c>
      <c r="J75" s="185" t="e">
        <f t="shared" si="9"/>
        <v>#NUM!</v>
      </c>
      <c r="K75" s="185" t="e">
        <f t="shared" si="7"/>
        <v>#NUM!</v>
      </c>
      <c r="L75" s="185"/>
      <c r="M75" s="187">
        <f t="shared" si="8"/>
        <v>0</v>
      </c>
    </row>
    <row r="76" spans="1:13" x14ac:dyDescent="0.25">
      <c r="A76" s="210"/>
      <c r="G76" s="173"/>
      <c r="H76" s="185">
        <v>71</v>
      </c>
      <c r="I76" s="186" t="str">
        <f t="shared" si="6"/>
        <v/>
      </c>
      <c r="J76" s="185" t="e">
        <f t="shared" si="9"/>
        <v>#NUM!</v>
      </c>
      <c r="K76" s="185" t="e">
        <f t="shared" si="7"/>
        <v>#NUM!</v>
      </c>
      <c r="L76" s="185"/>
      <c r="M76" s="187">
        <f t="shared" si="8"/>
        <v>0</v>
      </c>
    </row>
    <row r="77" spans="1:13" x14ac:dyDescent="0.25">
      <c r="A77" s="210"/>
      <c r="G77" s="173"/>
      <c r="H77" s="185">
        <v>72</v>
      </c>
      <c r="I77" s="186" t="str">
        <f t="shared" si="6"/>
        <v/>
      </c>
      <c r="J77" s="185" t="e">
        <f t="shared" si="9"/>
        <v>#NUM!</v>
      </c>
      <c r="K77" s="185" t="e">
        <f t="shared" si="7"/>
        <v>#NUM!</v>
      </c>
      <c r="L77" s="185"/>
      <c r="M77" s="187">
        <f t="shared" si="8"/>
        <v>0</v>
      </c>
    </row>
    <row r="78" spans="1:13" x14ac:dyDescent="0.25">
      <c r="A78" s="210"/>
      <c r="G78" s="173"/>
      <c r="H78" s="185">
        <v>73</v>
      </c>
      <c r="I78" s="186" t="str">
        <f t="shared" si="6"/>
        <v/>
      </c>
      <c r="J78" s="185" t="e">
        <f t="shared" si="9"/>
        <v>#NUM!</v>
      </c>
      <c r="K78" s="185" t="e">
        <f t="shared" si="7"/>
        <v>#NUM!</v>
      </c>
      <c r="L78" s="185"/>
      <c r="M78" s="187">
        <f t="shared" si="8"/>
        <v>0</v>
      </c>
    </row>
    <row r="79" spans="1:13" x14ac:dyDescent="0.25">
      <c r="A79" s="210"/>
      <c r="G79" s="173"/>
      <c r="H79" s="185">
        <v>74</v>
      </c>
      <c r="I79" s="186" t="str">
        <f t="shared" si="6"/>
        <v/>
      </c>
      <c r="J79" s="185" t="e">
        <f t="shared" si="9"/>
        <v>#NUM!</v>
      </c>
      <c r="K79" s="185" t="e">
        <f t="shared" si="7"/>
        <v>#NUM!</v>
      </c>
      <c r="L79" s="185"/>
      <c r="M79" s="187">
        <f t="shared" si="8"/>
        <v>0</v>
      </c>
    </row>
    <row r="80" spans="1:13" x14ac:dyDescent="0.25">
      <c r="A80" s="210"/>
      <c r="G80" s="173"/>
      <c r="H80" s="185">
        <v>75</v>
      </c>
      <c r="I80" s="186" t="str">
        <f t="shared" si="6"/>
        <v/>
      </c>
      <c r="J80" s="185" t="e">
        <f t="shared" si="9"/>
        <v>#NUM!</v>
      </c>
      <c r="K80" s="185" t="e">
        <f t="shared" si="7"/>
        <v>#NUM!</v>
      </c>
      <c r="L80" s="185"/>
      <c r="M80" s="187">
        <f t="shared" si="8"/>
        <v>0</v>
      </c>
    </row>
    <row r="81" spans="1:13" x14ac:dyDescent="0.25">
      <c r="A81" s="210"/>
      <c r="G81" s="173"/>
      <c r="H81" s="185">
        <v>76</v>
      </c>
      <c r="I81" s="186" t="str">
        <f t="shared" si="6"/>
        <v/>
      </c>
      <c r="J81" s="185" t="e">
        <f t="shared" si="9"/>
        <v>#NUM!</v>
      </c>
      <c r="K81" s="185" t="e">
        <f t="shared" si="7"/>
        <v>#NUM!</v>
      </c>
      <c r="L81" s="185"/>
      <c r="M81" s="187">
        <f t="shared" si="8"/>
        <v>0</v>
      </c>
    </row>
    <row r="82" spans="1:13" x14ac:dyDescent="0.25">
      <c r="A82" s="210"/>
      <c r="G82" s="173"/>
      <c r="H82" s="185">
        <v>77</v>
      </c>
      <c r="I82" s="186" t="str">
        <f t="shared" si="6"/>
        <v/>
      </c>
      <c r="J82" s="185" t="e">
        <f t="shared" si="9"/>
        <v>#NUM!</v>
      </c>
      <c r="K82" s="185" t="e">
        <f t="shared" si="7"/>
        <v>#NUM!</v>
      </c>
      <c r="L82" s="185"/>
      <c r="M82" s="187">
        <f t="shared" si="8"/>
        <v>0</v>
      </c>
    </row>
    <row r="83" spans="1:13" x14ac:dyDescent="0.25">
      <c r="A83" s="210"/>
      <c r="G83" s="173"/>
      <c r="H83" s="185">
        <v>78</v>
      </c>
      <c r="I83" s="186" t="str">
        <f t="shared" si="6"/>
        <v/>
      </c>
      <c r="J83" s="185" t="e">
        <f t="shared" si="9"/>
        <v>#NUM!</v>
      </c>
      <c r="K83" s="185" t="e">
        <f t="shared" si="7"/>
        <v>#NUM!</v>
      </c>
      <c r="L83" s="185"/>
      <c r="M83" s="187">
        <f t="shared" si="8"/>
        <v>0</v>
      </c>
    </row>
    <row r="84" spans="1:13" x14ac:dyDescent="0.25">
      <c r="A84" s="210"/>
      <c r="G84" s="173"/>
      <c r="H84" s="185">
        <v>79</v>
      </c>
      <c r="I84" s="186" t="str">
        <f t="shared" si="6"/>
        <v/>
      </c>
      <c r="J84" s="185" t="e">
        <f t="shared" si="9"/>
        <v>#NUM!</v>
      </c>
      <c r="K84" s="185" t="e">
        <f t="shared" si="7"/>
        <v>#NUM!</v>
      </c>
      <c r="L84" s="185"/>
      <c r="M84" s="187">
        <f t="shared" si="8"/>
        <v>0</v>
      </c>
    </row>
    <row r="85" spans="1:13" x14ac:dyDescent="0.25">
      <c r="A85" s="210"/>
      <c r="G85" s="173"/>
      <c r="H85" s="185">
        <v>80</v>
      </c>
      <c r="I85" s="186" t="str">
        <f t="shared" si="6"/>
        <v/>
      </c>
      <c r="J85" s="185" t="e">
        <f t="shared" si="9"/>
        <v>#NUM!</v>
      </c>
      <c r="K85" s="185" t="e">
        <f t="shared" si="7"/>
        <v>#NUM!</v>
      </c>
      <c r="L85" s="185"/>
      <c r="M85" s="187">
        <f t="shared" si="8"/>
        <v>0</v>
      </c>
    </row>
    <row r="86" spans="1:13" x14ac:dyDescent="0.25">
      <c r="A86" s="210"/>
      <c r="G86" s="173"/>
      <c r="H86" s="185">
        <v>81</v>
      </c>
      <c r="I86" s="186" t="str">
        <f t="shared" si="6"/>
        <v/>
      </c>
      <c r="J86" s="185" t="e">
        <f t="shared" si="9"/>
        <v>#NUM!</v>
      </c>
      <c r="K86" s="185" t="e">
        <f t="shared" si="7"/>
        <v>#NUM!</v>
      </c>
      <c r="L86" s="185"/>
      <c r="M86" s="187">
        <f t="shared" si="8"/>
        <v>0</v>
      </c>
    </row>
    <row r="87" spans="1:13" x14ac:dyDescent="0.25">
      <c r="A87" s="210"/>
      <c r="G87" s="173"/>
      <c r="H87" s="185">
        <v>82</v>
      </c>
      <c r="I87" s="186" t="str">
        <f t="shared" si="6"/>
        <v/>
      </c>
      <c r="J87" s="185" t="e">
        <f t="shared" si="9"/>
        <v>#NUM!</v>
      </c>
      <c r="K87" s="185" t="e">
        <f t="shared" si="7"/>
        <v>#NUM!</v>
      </c>
      <c r="L87" s="185"/>
      <c r="M87" s="187">
        <f t="shared" si="8"/>
        <v>0</v>
      </c>
    </row>
    <row r="88" spans="1:13" x14ac:dyDescent="0.25">
      <c r="A88" s="210"/>
      <c r="G88" s="173"/>
      <c r="H88" s="185">
        <v>83</v>
      </c>
      <c r="I88" s="186" t="str">
        <f t="shared" si="6"/>
        <v/>
      </c>
      <c r="J88" s="185" t="e">
        <f t="shared" si="9"/>
        <v>#NUM!</v>
      </c>
      <c r="K88" s="185" t="e">
        <f t="shared" si="7"/>
        <v>#NUM!</v>
      </c>
      <c r="L88" s="185"/>
      <c r="M88" s="187">
        <f t="shared" si="8"/>
        <v>0</v>
      </c>
    </row>
    <row r="89" spans="1:13" x14ac:dyDescent="0.25">
      <c r="A89" s="210"/>
      <c r="G89" s="173"/>
      <c r="H89" s="185">
        <v>84</v>
      </c>
      <c r="I89" s="186" t="str">
        <f t="shared" si="6"/>
        <v/>
      </c>
      <c r="J89" s="185" t="e">
        <f t="shared" si="9"/>
        <v>#NUM!</v>
      </c>
      <c r="K89" s="185" t="e">
        <f t="shared" si="7"/>
        <v>#NUM!</v>
      </c>
      <c r="L89" s="185"/>
      <c r="M89" s="187">
        <f t="shared" si="8"/>
        <v>0</v>
      </c>
    </row>
    <row r="90" spans="1:13" x14ac:dyDescent="0.25">
      <c r="A90" s="210"/>
      <c r="G90" s="173"/>
      <c r="H90" s="185">
        <v>85</v>
      </c>
      <c r="I90" s="186" t="str">
        <f t="shared" si="6"/>
        <v/>
      </c>
      <c r="J90" s="185" t="e">
        <f t="shared" si="9"/>
        <v>#NUM!</v>
      </c>
      <c r="K90" s="185" t="e">
        <f t="shared" si="7"/>
        <v>#NUM!</v>
      </c>
      <c r="L90" s="185"/>
      <c r="M90" s="187">
        <f t="shared" si="8"/>
        <v>0</v>
      </c>
    </row>
    <row r="91" spans="1:13" x14ac:dyDescent="0.25">
      <c r="A91" s="210"/>
      <c r="G91" s="173"/>
      <c r="H91" s="185">
        <v>86</v>
      </c>
      <c r="I91" s="186" t="str">
        <f t="shared" si="6"/>
        <v/>
      </c>
      <c r="J91" s="185" t="e">
        <f t="shared" si="9"/>
        <v>#NUM!</v>
      </c>
      <c r="K91" s="185" t="e">
        <f t="shared" si="7"/>
        <v>#NUM!</v>
      </c>
      <c r="L91" s="185"/>
      <c r="M91" s="187">
        <f t="shared" si="8"/>
        <v>0</v>
      </c>
    </row>
    <row r="92" spans="1:13" x14ac:dyDescent="0.25">
      <c r="A92" s="210"/>
      <c r="G92" s="173"/>
      <c r="H92" s="185">
        <v>87</v>
      </c>
      <c r="I92" s="186" t="str">
        <f t="shared" si="6"/>
        <v/>
      </c>
      <c r="J92" s="185" t="e">
        <f t="shared" si="9"/>
        <v>#NUM!</v>
      </c>
      <c r="K92" s="185" t="e">
        <f t="shared" si="7"/>
        <v>#NUM!</v>
      </c>
      <c r="L92" s="185"/>
      <c r="M92" s="187">
        <f t="shared" si="8"/>
        <v>0</v>
      </c>
    </row>
    <row r="93" spans="1:13" x14ac:dyDescent="0.25">
      <c r="A93" s="210"/>
      <c r="G93" s="173"/>
      <c r="H93" s="185">
        <v>88</v>
      </c>
      <c r="I93" s="186" t="str">
        <f t="shared" si="6"/>
        <v/>
      </c>
      <c r="J93" s="185" t="e">
        <f t="shared" si="9"/>
        <v>#NUM!</v>
      </c>
      <c r="K93" s="185" t="e">
        <f t="shared" si="7"/>
        <v>#NUM!</v>
      </c>
      <c r="L93" s="185"/>
      <c r="M93" s="187">
        <f t="shared" si="8"/>
        <v>0</v>
      </c>
    </row>
    <row r="94" spans="1:13" x14ac:dyDescent="0.25">
      <c r="A94" s="210"/>
      <c r="G94" s="173"/>
      <c r="H94" s="185">
        <v>89</v>
      </c>
      <c r="I94" s="186" t="str">
        <f t="shared" si="6"/>
        <v/>
      </c>
      <c r="J94" s="185" t="e">
        <f t="shared" si="9"/>
        <v>#NUM!</v>
      </c>
      <c r="K94" s="185" t="e">
        <f t="shared" si="7"/>
        <v>#NUM!</v>
      </c>
      <c r="L94" s="185"/>
      <c r="M94" s="187">
        <f t="shared" si="8"/>
        <v>0</v>
      </c>
    </row>
    <row r="95" spans="1:13" x14ac:dyDescent="0.25">
      <c r="A95" s="210"/>
      <c r="G95" s="173"/>
      <c r="H95" s="185">
        <v>90</v>
      </c>
      <c r="I95" s="186" t="str">
        <f t="shared" si="6"/>
        <v/>
      </c>
      <c r="J95" s="185" t="e">
        <f t="shared" si="9"/>
        <v>#NUM!</v>
      </c>
      <c r="K95" s="185" t="e">
        <f t="shared" si="7"/>
        <v>#NUM!</v>
      </c>
      <c r="L95" s="185"/>
      <c r="M95" s="187">
        <f t="shared" si="8"/>
        <v>0</v>
      </c>
    </row>
    <row r="96" spans="1:13" x14ac:dyDescent="0.25">
      <c r="A96" s="210"/>
      <c r="G96" s="173"/>
      <c r="H96" s="185">
        <v>91</v>
      </c>
      <c r="I96" s="186" t="str">
        <f t="shared" si="6"/>
        <v/>
      </c>
      <c r="J96" s="185" t="e">
        <f t="shared" si="9"/>
        <v>#NUM!</v>
      </c>
      <c r="K96" s="185" t="e">
        <f t="shared" si="7"/>
        <v>#NUM!</v>
      </c>
      <c r="L96" s="185"/>
      <c r="M96" s="187">
        <f t="shared" si="8"/>
        <v>0</v>
      </c>
    </row>
    <row r="97" spans="1:13" x14ac:dyDescent="0.25">
      <c r="A97" s="210"/>
      <c r="G97" s="173"/>
      <c r="H97" s="185">
        <v>92</v>
      </c>
      <c r="I97" s="186" t="str">
        <f t="shared" si="6"/>
        <v/>
      </c>
      <c r="J97" s="185" t="e">
        <f t="shared" si="9"/>
        <v>#NUM!</v>
      </c>
      <c r="K97" s="185" t="e">
        <f t="shared" si="7"/>
        <v>#NUM!</v>
      </c>
      <c r="L97" s="185"/>
      <c r="M97" s="187">
        <f t="shared" si="8"/>
        <v>0</v>
      </c>
    </row>
    <row r="98" spans="1:13" x14ac:dyDescent="0.25">
      <c r="A98" s="210"/>
      <c r="G98" s="173"/>
      <c r="H98" s="185">
        <v>93</v>
      </c>
      <c r="I98" s="186" t="str">
        <f t="shared" si="6"/>
        <v/>
      </c>
      <c r="J98" s="185" t="e">
        <f t="shared" si="9"/>
        <v>#NUM!</v>
      </c>
      <c r="K98" s="185" t="e">
        <f t="shared" si="7"/>
        <v>#NUM!</v>
      </c>
      <c r="L98" s="185"/>
      <c r="M98" s="187">
        <f t="shared" si="8"/>
        <v>0</v>
      </c>
    </row>
    <row r="99" spans="1:13" x14ac:dyDescent="0.25">
      <c r="A99" s="210"/>
      <c r="G99" s="173"/>
      <c r="H99" s="185">
        <v>94</v>
      </c>
      <c r="I99" s="186" t="str">
        <f t="shared" si="6"/>
        <v/>
      </c>
      <c r="J99" s="185" t="e">
        <f t="shared" si="9"/>
        <v>#NUM!</v>
      </c>
      <c r="K99" s="185" t="e">
        <f t="shared" si="7"/>
        <v>#NUM!</v>
      </c>
      <c r="L99" s="185"/>
      <c r="M99" s="187">
        <f t="shared" si="8"/>
        <v>0</v>
      </c>
    </row>
    <row r="100" spans="1:13" x14ac:dyDescent="0.25">
      <c r="A100" s="210"/>
      <c r="G100" s="173"/>
      <c r="H100" s="185">
        <v>95</v>
      </c>
      <c r="I100" s="186" t="str">
        <f t="shared" si="6"/>
        <v/>
      </c>
      <c r="J100" s="185" t="e">
        <f t="shared" si="9"/>
        <v>#NUM!</v>
      </c>
      <c r="K100" s="185" t="e">
        <f t="shared" si="7"/>
        <v>#NUM!</v>
      </c>
      <c r="L100" s="185"/>
      <c r="M100" s="187">
        <f t="shared" si="8"/>
        <v>0</v>
      </c>
    </row>
    <row r="101" spans="1:13" x14ac:dyDescent="0.25">
      <c r="A101" s="202"/>
      <c r="G101" s="173"/>
      <c r="H101" s="185">
        <v>96</v>
      </c>
      <c r="I101" s="186" t="str">
        <f t="shared" si="6"/>
        <v/>
      </c>
      <c r="J101" s="185" t="e">
        <f t="shared" si="9"/>
        <v>#NUM!</v>
      </c>
      <c r="K101" s="185" t="e">
        <f t="shared" si="7"/>
        <v>#NUM!</v>
      </c>
      <c r="L101" s="185"/>
      <c r="M101" s="187">
        <f t="shared" si="8"/>
        <v>0</v>
      </c>
    </row>
    <row r="102" spans="1:13" x14ac:dyDescent="0.25">
      <c r="A102" s="202"/>
      <c r="G102" s="173"/>
      <c r="H102" s="185">
        <v>97</v>
      </c>
      <c r="I102" s="186" t="str">
        <f t="shared" si="6"/>
        <v/>
      </c>
      <c r="J102" s="185" t="e">
        <f t="shared" si="9"/>
        <v>#NUM!</v>
      </c>
      <c r="K102" s="185" t="e">
        <f t="shared" si="7"/>
        <v>#NUM!</v>
      </c>
      <c r="L102" s="185"/>
      <c r="M102" s="187">
        <f t="shared" si="8"/>
        <v>0</v>
      </c>
    </row>
    <row r="103" spans="1:13" x14ac:dyDescent="0.25">
      <c r="A103" s="202"/>
      <c r="G103" s="173"/>
      <c r="H103" s="185">
        <v>98</v>
      </c>
      <c r="I103" s="186" t="str">
        <f t="shared" si="6"/>
        <v/>
      </c>
      <c r="J103" s="185" t="e">
        <f t="shared" si="9"/>
        <v>#NUM!</v>
      </c>
      <c r="K103" s="185" t="e">
        <f t="shared" si="7"/>
        <v>#NUM!</v>
      </c>
      <c r="L103" s="185"/>
      <c r="M103" s="187">
        <f t="shared" si="8"/>
        <v>0</v>
      </c>
    </row>
    <row r="104" spans="1:13" x14ac:dyDescent="0.25">
      <c r="A104" s="202"/>
      <c r="G104" s="173"/>
      <c r="H104" s="185">
        <v>99</v>
      </c>
      <c r="I104" s="186" t="str">
        <f t="shared" si="6"/>
        <v/>
      </c>
      <c r="J104" s="185" t="e">
        <f t="shared" si="9"/>
        <v>#NUM!</v>
      </c>
      <c r="K104" s="185" t="e">
        <f t="shared" si="7"/>
        <v>#NUM!</v>
      </c>
      <c r="L104" s="185"/>
      <c r="M104" s="187">
        <f t="shared" si="8"/>
        <v>0</v>
      </c>
    </row>
    <row r="105" spans="1:13" x14ac:dyDescent="0.25">
      <c r="A105" s="202"/>
      <c r="G105" s="173"/>
      <c r="H105" s="185">
        <v>100</v>
      </c>
      <c r="I105" s="186" t="str">
        <f t="shared" si="6"/>
        <v/>
      </c>
      <c r="J105" s="185" t="e">
        <f t="shared" si="9"/>
        <v>#NUM!</v>
      </c>
      <c r="K105" s="185" t="e">
        <f t="shared" si="7"/>
        <v>#NUM!</v>
      </c>
      <c r="L105" s="185"/>
      <c r="M105" s="187">
        <f t="shared" si="8"/>
        <v>0</v>
      </c>
    </row>
    <row r="106" spans="1:13" x14ac:dyDescent="0.25">
      <c r="A106" s="202"/>
      <c r="G106" s="173"/>
      <c r="H106" s="185">
        <v>101</v>
      </c>
      <c r="I106" s="186" t="str">
        <f t="shared" si="6"/>
        <v/>
      </c>
      <c r="J106" s="185" t="e">
        <f t="shared" si="9"/>
        <v>#NUM!</v>
      </c>
      <c r="K106" s="185" t="e">
        <f t="shared" si="7"/>
        <v>#NUM!</v>
      </c>
      <c r="L106" s="185"/>
      <c r="M106" s="187">
        <f t="shared" si="8"/>
        <v>0</v>
      </c>
    </row>
    <row r="107" spans="1:13" x14ac:dyDescent="0.25">
      <c r="A107" s="202"/>
      <c r="G107" s="173"/>
      <c r="H107" s="185">
        <v>102</v>
      </c>
      <c r="I107" s="186" t="str">
        <f t="shared" si="6"/>
        <v/>
      </c>
      <c r="J107" s="185" t="e">
        <f t="shared" si="9"/>
        <v>#NUM!</v>
      </c>
      <c r="K107" s="185" t="e">
        <f t="shared" si="7"/>
        <v>#NUM!</v>
      </c>
      <c r="L107" s="185"/>
      <c r="M107" s="187">
        <f t="shared" si="8"/>
        <v>0</v>
      </c>
    </row>
    <row r="108" spans="1:13" x14ac:dyDescent="0.25">
      <c r="A108" s="202"/>
      <c r="G108" s="173"/>
      <c r="H108" s="185">
        <v>103</v>
      </c>
      <c r="I108" s="186" t="str">
        <f t="shared" si="6"/>
        <v/>
      </c>
      <c r="J108" s="185" t="e">
        <f t="shared" si="9"/>
        <v>#NUM!</v>
      </c>
      <c r="K108" s="185" t="e">
        <f t="shared" si="7"/>
        <v>#NUM!</v>
      </c>
      <c r="L108" s="185"/>
      <c r="M108" s="187">
        <f t="shared" si="8"/>
        <v>0</v>
      </c>
    </row>
    <row r="109" spans="1:13" x14ac:dyDescent="0.25">
      <c r="A109" s="202"/>
      <c r="G109" s="173"/>
      <c r="H109" s="185">
        <v>104</v>
      </c>
      <c r="I109" s="186" t="str">
        <f t="shared" si="6"/>
        <v/>
      </c>
      <c r="J109" s="185" t="e">
        <f t="shared" si="9"/>
        <v>#NUM!</v>
      </c>
      <c r="K109" s="185" t="e">
        <f t="shared" si="7"/>
        <v>#NUM!</v>
      </c>
      <c r="L109" s="185"/>
      <c r="M109" s="187">
        <f t="shared" si="8"/>
        <v>0</v>
      </c>
    </row>
    <row r="110" spans="1:13" x14ac:dyDescent="0.25">
      <c r="A110" s="202"/>
      <c r="G110" s="173"/>
      <c r="H110" s="185">
        <v>105</v>
      </c>
      <c r="I110" s="186" t="str">
        <f t="shared" si="6"/>
        <v/>
      </c>
      <c r="J110" s="185" t="e">
        <f t="shared" si="9"/>
        <v>#NUM!</v>
      </c>
      <c r="K110" s="185" t="e">
        <f t="shared" si="7"/>
        <v>#NUM!</v>
      </c>
      <c r="L110" s="185"/>
      <c r="M110" s="187">
        <f t="shared" si="8"/>
        <v>0</v>
      </c>
    </row>
    <row r="111" spans="1:13" x14ac:dyDescent="0.25">
      <c r="A111" s="202"/>
      <c r="G111" s="173"/>
      <c r="H111" s="185">
        <v>106</v>
      </c>
      <c r="I111" s="186" t="str">
        <f t="shared" si="6"/>
        <v/>
      </c>
      <c r="J111" s="185" t="e">
        <f t="shared" si="9"/>
        <v>#NUM!</v>
      </c>
      <c r="K111" s="185" t="e">
        <f t="shared" si="7"/>
        <v>#NUM!</v>
      </c>
      <c r="L111" s="185"/>
      <c r="M111" s="187">
        <f t="shared" si="8"/>
        <v>0</v>
      </c>
    </row>
    <row r="112" spans="1:13" x14ac:dyDescent="0.25">
      <c r="A112" s="202"/>
      <c r="G112" s="173"/>
      <c r="H112" s="185">
        <v>107</v>
      </c>
      <c r="I112" s="186" t="str">
        <f t="shared" si="6"/>
        <v/>
      </c>
      <c r="J112" s="185" t="e">
        <f t="shared" si="9"/>
        <v>#NUM!</v>
      </c>
      <c r="K112" s="185" t="e">
        <f t="shared" si="7"/>
        <v>#NUM!</v>
      </c>
      <c r="L112" s="185"/>
      <c r="M112" s="187">
        <f t="shared" si="8"/>
        <v>0</v>
      </c>
    </row>
    <row r="113" spans="1:13" x14ac:dyDescent="0.25">
      <c r="A113" s="202"/>
      <c r="G113" s="173"/>
      <c r="H113" s="185">
        <v>108</v>
      </c>
      <c r="I113" s="186" t="str">
        <f t="shared" si="6"/>
        <v/>
      </c>
      <c r="J113" s="185" t="e">
        <f t="shared" si="9"/>
        <v>#NUM!</v>
      </c>
      <c r="K113" s="185" t="e">
        <f t="shared" si="7"/>
        <v>#NUM!</v>
      </c>
      <c r="L113" s="185"/>
      <c r="M113" s="187">
        <f t="shared" si="8"/>
        <v>0</v>
      </c>
    </row>
    <row r="114" spans="1:13" x14ac:dyDescent="0.25">
      <c r="A114" s="202"/>
      <c r="G114" s="173"/>
      <c r="H114" s="185">
        <v>109</v>
      </c>
      <c r="I114" s="186" t="str">
        <f t="shared" si="6"/>
        <v/>
      </c>
      <c r="J114" s="185" t="e">
        <f t="shared" si="9"/>
        <v>#NUM!</v>
      </c>
      <c r="K114" s="185" t="e">
        <f t="shared" si="7"/>
        <v>#NUM!</v>
      </c>
      <c r="L114" s="185"/>
      <c r="M114" s="187">
        <f t="shared" si="8"/>
        <v>0</v>
      </c>
    </row>
    <row r="115" spans="1:13" x14ac:dyDescent="0.25">
      <c r="A115" s="202"/>
      <c r="G115" s="173"/>
      <c r="H115" s="185">
        <v>110</v>
      </c>
      <c r="I115" s="186" t="str">
        <f t="shared" si="6"/>
        <v/>
      </c>
      <c r="J115" s="185" t="e">
        <f t="shared" si="9"/>
        <v>#NUM!</v>
      </c>
      <c r="K115" s="185" t="e">
        <f t="shared" si="7"/>
        <v>#NUM!</v>
      </c>
      <c r="L115" s="185"/>
      <c r="M115" s="187">
        <f t="shared" si="8"/>
        <v>0</v>
      </c>
    </row>
    <row r="116" spans="1:13" x14ac:dyDescent="0.25">
      <c r="A116" s="202"/>
      <c r="G116" s="173"/>
      <c r="H116" s="185">
        <v>111</v>
      </c>
      <c r="I116" s="186" t="str">
        <f t="shared" si="6"/>
        <v/>
      </c>
      <c r="J116" s="185" t="e">
        <f t="shared" si="9"/>
        <v>#NUM!</v>
      </c>
      <c r="K116" s="185" t="e">
        <f t="shared" si="7"/>
        <v>#NUM!</v>
      </c>
      <c r="L116" s="185"/>
      <c r="M116" s="187">
        <f t="shared" si="8"/>
        <v>0</v>
      </c>
    </row>
    <row r="117" spans="1:13" x14ac:dyDescent="0.25">
      <c r="A117" s="202"/>
      <c r="G117" s="173"/>
      <c r="H117" s="185">
        <v>112</v>
      </c>
      <c r="I117" s="186" t="str">
        <f t="shared" si="6"/>
        <v/>
      </c>
      <c r="J117" s="185" t="e">
        <f t="shared" si="9"/>
        <v>#NUM!</v>
      </c>
      <c r="K117" s="185" t="e">
        <f t="shared" si="7"/>
        <v>#NUM!</v>
      </c>
      <c r="L117" s="185"/>
      <c r="M117" s="187">
        <f t="shared" si="8"/>
        <v>0</v>
      </c>
    </row>
    <row r="118" spans="1:13" x14ac:dyDescent="0.25">
      <c r="A118" s="202"/>
      <c r="G118" s="173"/>
      <c r="H118" s="185">
        <v>113</v>
      </c>
      <c r="I118" s="186" t="str">
        <f t="shared" si="6"/>
        <v/>
      </c>
      <c r="J118" s="185" t="e">
        <f t="shared" si="9"/>
        <v>#NUM!</v>
      </c>
      <c r="K118" s="185" t="e">
        <f t="shared" si="7"/>
        <v>#NUM!</v>
      </c>
      <c r="L118" s="185"/>
      <c r="M118" s="187">
        <f t="shared" si="8"/>
        <v>0</v>
      </c>
    </row>
    <row r="119" spans="1:13" x14ac:dyDescent="0.25">
      <c r="A119" s="202"/>
      <c r="G119" s="173"/>
      <c r="H119" s="185">
        <v>114</v>
      </c>
      <c r="I119" s="186" t="str">
        <f t="shared" si="6"/>
        <v/>
      </c>
      <c r="J119" s="185" t="e">
        <f t="shared" si="9"/>
        <v>#NUM!</v>
      </c>
      <c r="K119" s="185" t="e">
        <f t="shared" si="7"/>
        <v>#NUM!</v>
      </c>
      <c r="L119" s="185"/>
      <c r="M119" s="187">
        <f t="shared" si="8"/>
        <v>0</v>
      </c>
    </row>
    <row r="120" spans="1:13" x14ac:dyDescent="0.25">
      <c r="A120" s="202"/>
      <c r="G120" s="173"/>
      <c r="H120" s="185">
        <v>115</v>
      </c>
      <c r="I120" s="186" t="str">
        <f t="shared" si="6"/>
        <v/>
      </c>
      <c r="J120" s="185" t="e">
        <f t="shared" si="9"/>
        <v>#NUM!</v>
      </c>
      <c r="K120" s="185" t="e">
        <f t="shared" si="7"/>
        <v>#NUM!</v>
      </c>
      <c r="L120" s="185"/>
      <c r="M120" s="187">
        <f t="shared" si="8"/>
        <v>0</v>
      </c>
    </row>
    <row r="121" spans="1:13" x14ac:dyDescent="0.25">
      <c r="A121" s="202"/>
      <c r="G121" s="173"/>
      <c r="H121" s="185">
        <v>116</v>
      </c>
      <c r="I121" s="186" t="str">
        <f t="shared" si="6"/>
        <v/>
      </c>
      <c r="J121" s="185" t="e">
        <f t="shared" si="9"/>
        <v>#NUM!</v>
      </c>
      <c r="K121" s="185" t="e">
        <f t="shared" si="7"/>
        <v>#NUM!</v>
      </c>
      <c r="L121" s="185"/>
      <c r="M121" s="187">
        <f t="shared" si="8"/>
        <v>0</v>
      </c>
    </row>
    <row r="122" spans="1:13" x14ac:dyDescent="0.25">
      <c r="A122" s="202"/>
      <c r="G122" s="173"/>
      <c r="H122" s="185">
        <v>117</v>
      </c>
      <c r="I122" s="186" t="str">
        <f t="shared" si="6"/>
        <v/>
      </c>
      <c r="J122" s="185" t="e">
        <f t="shared" si="9"/>
        <v>#NUM!</v>
      </c>
      <c r="K122" s="185" t="e">
        <f t="shared" si="7"/>
        <v>#NUM!</v>
      </c>
      <c r="L122" s="185"/>
      <c r="M122" s="187">
        <f t="shared" si="8"/>
        <v>0</v>
      </c>
    </row>
    <row r="123" spans="1:13" x14ac:dyDescent="0.25">
      <c r="A123" s="202"/>
      <c r="G123" s="173"/>
      <c r="H123" s="185">
        <v>118</v>
      </c>
      <c r="I123" s="186" t="str">
        <f t="shared" si="6"/>
        <v/>
      </c>
      <c r="J123" s="185" t="e">
        <f t="shared" si="9"/>
        <v>#NUM!</v>
      </c>
      <c r="K123" s="185" t="e">
        <f t="shared" si="7"/>
        <v>#NUM!</v>
      </c>
      <c r="L123" s="185"/>
      <c r="M123" s="187">
        <f t="shared" si="8"/>
        <v>0</v>
      </c>
    </row>
    <row r="124" spans="1:13" x14ac:dyDescent="0.25">
      <c r="A124" s="202"/>
      <c r="G124" s="173"/>
      <c r="H124" s="185">
        <v>119</v>
      </c>
      <c r="I124" s="186" t="str">
        <f t="shared" si="6"/>
        <v/>
      </c>
      <c r="J124" s="185" t="e">
        <f t="shared" si="9"/>
        <v>#NUM!</v>
      </c>
      <c r="K124" s="185" t="e">
        <f t="shared" si="7"/>
        <v>#NUM!</v>
      </c>
      <c r="L124" s="185"/>
      <c r="M124" s="187">
        <f t="shared" si="8"/>
        <v>0</v>
      </c>
    </row>
    <row r="125" spans="1:13" x14ac:dyDescent="0.25">
      <c r="A125" s="202"/>
      <c r="G125" s="173"/>
      <c r="H125" s="185">
        <v>120</v>
      </c>
      <c r="I125" s="186" t="str">
        <f t="shared" si="6"/>
        <v/>
      </c>
      <c r="J125" s="185" t="e">
        <f t="shared" si="9"/>
        <v>#NUM!</v>
      </c>
      <c r="K125" s="185" t="e">
        <f t="shared" si="7"/>
        <v>#NUM!</v>
      </c>
      <c r="L125" s="185"/>
      <c r="M125" s="187">
        <f t="shared" si="8"/>
        <v>0</v>
      </c>
    </row>
    <row r="126" spans="1:13" x14ac:dyDescent="0.25">
      <c r="A126" s="202"/>
      <c r="G126" s="173"/>
      <c r="H126" s="185">
        <v>121</v>
      </c>
      <c r="I126" s="186" t="str">
        <f t="shared" si="6"/>
        <v/>
      </c>
      <c r="J126" s="185" t="e">
        <f t="shared" si="9"/>
        <v>#NUM!</v>
      </c>
      <c r="K126" s="185" t="e">
        <f t="shared" si="7"/>
        <v>#NUM!</v>
      </c>
      <c r="L126" s="185"/>
      <c r="M126" s="187">
        <f t="shared" si="8"/>
        <v>0</v>
      </c>
    </row>
    <row r="127" spans="1:13" x14ac:dyDescent="0.25">
      <c r="A127" s="202"/>
      <c r="G127" s="173"/>
      <c r="H127" s="185">
        <v>122</v>
      </c>
      <c r="I127" s="186" t="str">
        <f t="shared" si="6"/>
        <v/>
      </c>
      <c r="J127" s="185" t="e">
        <f t="shared" si="9"/>
        <v>#NUM!</v>
      </c>
      <c r="K127" s="185" t="e">
        <f t="shared" si="7"/>
        <v>#NUM!</v>
      </c>
      <c r="L127" s="185"/>
      <c r="M127" s="187">
        <f t="shared" si="8"/>
        <v>0</v>
      </c>
    </row>
    <row r="128" spans="1:13" x14ac:dyDescent="0.25">
      <c r="A128" s="202"/>
      <c r="G128" s="173"/>
      <c r="H128" s="185">
        <v>123</v>
      </c>
      <c r="I128" s="186" t="str">
        <f t="shared" si="6"/>
        <v/>
      </c>
      <c r="J128" s="185" t="e">
        <f t="shared" si="9"/>
        <v>#NUM!</v>
      </c>
      <c r="K128" s="185" t="e">
        <f t="shared" si="7"/>
        <v>#NUM!</v>
      </c>
      <c r="L128" s="185"/>
      <c r="M128" s="187">
        <f t="shared" si="8"/>
        <v>0</v>
      </c>
    </row>
    <row r="129" spans="1:13" x14ac:dyDescent="0.25">
      <c r="A129" s="202"/>
      <c r="G129" s="173"/>
      <c r="H129" s="185">
        <v>124</v>
      </c>
      <c r="I129" s="186" t="str">
        <f t="shared" si="6"/>
        <v/>
      </c>
      <c r="J129" s="185" t="e">
        <f t="shared" si="9"/>
        <v>#NUM!</v>
      </c>
      <c r="K129" s="185" t="e">
        <f t="shared" si="7"/>
        <v>#NUM!</v>
      </c>
      <c r="L129" s="185"/>
      <c r="M129" s="187">
        <f t="shared" si="8"/>
        <v>0</v>
      </c>
    </row>
    <row r="130" spans="1:13" x14ac:dyDescent="0.25">
      <c r="A130" s="202"/>
      <c r="G130" s="173"/>
      <c r="H130" s="185">
        <v>125</v>
      </c>
      <c r="I130" s="186" t="str">
        <f t="shared" si="6"/>
        <v/>
      </c>
      <c r="J130" s="185" t="e">
        <f t="shared" si="9"/>
        <v>#NUM!</v>
      </c>
      <c r="K130" s="185" t="e">
        <f t="shared" si="7"/>
        <v>#NUM!</v>
      </c>
      <c r="L130" s="185"/>
      <c r="M130" s="187">
        <f t="shared" si="8"/>
        <v>0</v>
      </c>
    </row>
    <row r="131" spans="1:13" x14ac:dyDescent="0.25">
      <c r="A131" s="202"/>
      <c r="G131" s="173"/>
      <c r="H131" s="185">
        <v>126</v>
      </c>
      <c r="I131" s="186" t="str">
        <f t="shared" si="6"/>
        <v/>
      </c>
      <c r="J131" s="185" t="e">
        <f t="shared" si="9"/>
        <v>#NUM!</v>
      </c>
      <c r="K131" s="185" t="e">
        <f t="shared" si="7"/>
        <v>#NUM!</v>
      </c>
      <c r="L131" s="185"/>
      <c r="M131" s="187">
        <f t="shared" si="8"/>
        <v>0</v>
      </c>
    </row>
    <row r="132" spans="1:13" x14ac:dyDescent="0.25">
      <c r="A132" s="202"/>
      <c r="G132" s="173"/>
      <c r="H132" s="185">
        <v>127</v>
      </c>
      <c r="I132" s="186" t="str">
        <f t="shared" si="6"/>
        <v/>
      </c>
      <c r="J132" s="185" t="e">
        <f t="shared" si="9"/>
        <v>#NUM!</v>
      </c>
      <c r="K132" s="185" t="e">
        <f t="shared" si="7"/>
        <v>#NUM!</v>
      </c>
      <c r="L132" s="185"/>
      <c r="M132" s="187">
        <f t="shared" si="8"/>
        <v>0</v>
      </c>
    </row>
    <row r="133" spans="1:13" x14ac:dyDescent="0.25">
      <c r="A133" s="202"/>
      <c r="G133" s="173"/>
      <c r="H133" s="185">
        <v>128</v>
      </c>
      <c r="I133" s="186" t="str">
        <f t="shared" si="6"/>
        <v/>
      </c>
      <c r="J133" s="185" t="e">
        <f t="shared" si="9"/>
        <v>#NUM!</v>
      </c>
      <c r="K133" s="185" t="e">
        <f t="shared" si="7"/>
        <v>#NUM!</v>
      </c>
      <c r="L133" s="185"/>
      <c r="M133" s="187">
        <f t="shared" si="8"/>
        <v>0</v>
      </c>
    </row>
    <row r="134" spans="1:13" x14ac:dyDescent="0.25">
      <c r="A134" s="202"/>
      <c r="G134" s="173"/>
      <c r="H134" s="185">
        <v>129</v>
      </c>
      <c r="I134" s="186" t="str">
        <f t="shared" ref="I134:I197" si="10">IF(H134&lt;$H$2+1,($I$2-($I$2-1)*(LOG(H134)/LOG($H$2))),"")</f>
        <v/>
      </c>
      <c r="J134" s="185" t="e">
        <f t="shared" si="9"/>
        <v>#NUM!</v>
      </c>
      <c r="K134" s="185" t="e">
        <f t="shared" ref="K134:K197" si="11">J134*$J$2</f>
        <v>#NUM!</v>
      </c>
      <c r="L134" s="185"/>
      <c r="M134" s="187">
        <f t="shared" ref="M134:M197" si="12">IF(I134&lt;&gt;"",K134+I134+L134,0)</f>
        <v>0</v>
      </c>
    </row>
    <row r="135" spans="1:13" x14ac:dyDescent="0.25">
      <c r="A135" s="202"/>
      <c r="G135" s="173"/>
      <c r="H135" s="185">
        <v>130</v>
      </c>
      <c r="I135" s="186" t="str">
        <f t="shared" si="10"/>
        <v/>
      </c>
      <c r="J135" s="185" t="e">
        <f t="shared" ref="J135:J198" si="13">INT(LOG($H$2,2))-ROUNDUP(LOG(H135,2),0)+IF(OR($H$2=1,$H$2=2,$H$2=4,$H$2=8,$H$2=16,$H$2=32,$H$2=64,$H$2=128,$H$2=256),0,1)</f>
        <v>#NUM!</v>
      </c>
      <c r="K135" s="185" t="e">
        <f t="shared" si="11"/>
        <v>#NUM!</v>
      </c>
      <c r="L135" s="185"/>
      <c r="M135" s="187">
        <f t="shared" si="12"/>
        <v>0</v>
      </c>
    </row>
    <row r="136" spans="1:13" x14ac:dyDescent="0.25">
      <c r="A136" s="202"/>
      <c r="G136" s="173"/>
      <c r="H136" s="185">
        <v>131</v>
      </c>
      <c r="I136" s="186" t="str">
        <f t="shared" si="10"/>
        <v/>
      </c>
      <c r="J136" s="185" t="e">
        <f t="shared" si="13"/>
        <v>#NUM!</v>
      </c>
      <c r="K136" s="185" t="e">
        <f t="shared" si="11"/>
        <v>#NUM!</v>
      </c>
      <c r="L136" s="185"/>
      <c r="M136" s="187">
        <f t="shared" si="12"/>
        <v>0</v>
      </c>
    </row>
    <row r="137" spans="1:13" x14ac:dyDescent="0.25">
      <c r="A137" s="202"/>
      <c r="G137" s="173"/>
      <c r="H137" s="185">
        <v>132</v>
      </c>
      <c r="I137" s="186" t="str">
        <f t="shared" si="10"/>
        <v/>
      </c>
      <c r="J137" s="185" t="e">
        <f t="shared" si="13"/>
        <v>#NUM!</v>
      </c>
      <c r="K137" s="185" t="e">
        <f t="shared" si="11"/>
        <v>#NUM!</v>
      </c>
      <c r="L137" s="185"/>
      <c r="M137" s="187">
        <f t="shared" si="12"/>
        <v>0</v>
      </c>
    </row>
    <row r="138" spans="1:13" x14ac:dyDescent="0.25">
      <c r="A138" s="202"/>
      <c r="G138" s="173"/>
      <c r="H138" s="185">
        <v>133</v>
      </c>
      <c r="I138" s="186" t="str">
        <f t="shared" si="10"/>
        <v/>
      </c>
      <c r="J138" s="185" t="e">
        <f t="shared" si="13"/>
        <v>#NUM!</v>
      </c>
      <c r="K138" s="185" t="e">
        <f t="shared" si="11"/>
        <v>#NUM!</v>
      </c>
      <c r="L138" s="185"/>
      <c r="M138" s="187">
        <f t="shared" si="12"/>
        <v>0</v>
      </c>
    </row>
    <row r="139" spans="1:13" x14ac:dyDescent="0.25">
      <c r="A139" s="202"/>
      <c r="G139" s="173"/>
      <c r="H139" s="185">
        <v>134</v>
      </c>
      <c r="I139" s="186" t="str">
        <f t="shared" si="10"/>
        <v/>
      </c>
      <c r="J139" s="185" t="e">
        <f t="shared" si="13"/>
        <v>#NUM!</v>
      </c>
      <c r="K139" s="185" t="e">
        <f t="shared" si="11"/>
        <v>#NUM!</v>
      </c>
      <c r="L139" s="185"/>
      <c r="M139" s="187">
        <f t="shared" si="12"/>
        <v>0</v>
      </c>
    </row>
    <row r="140" spans="1:13" x14ac:dyDescent="0.25">
      <c r="A140" s="202"/>
      <c r="G140" s="173"/>
      <c r="H140" s="185">
        <v>135</v>
      </c>
      <c r="I140" s="186" t="str">
        <f t="shared" si="10"/>
        <v/>
      </c>
      <c r="J140" s="185" t="e">
        <f t="shared" si="13"/>
        <v>#NUM!</v>
      </c>
      <c r="K140" s="185" t="e">
        <f t="shared" si="11"/>
        <v>#NUM!</v>
      </c>
      <c r="L140" s="185"/>
      <c r="M140" s="187">
        <f t="shared" si="12"/>
        <v>0</v>
      </c>
    </row>
    <row r="141" spans="1:13" x14ac:dyDescent="0.25">
      <c r="A141" s="202"/>
      <c r="G141" s="173"/>
      <c r="H141" s="185">
        <v>136</v>
      </c>
      <c r="I141" s="186" t="str">
        <f t="shared" si="10"/>
        <v/>
      </c>
      <c r="J141" s="185" t="e">
        <f t="shared" si="13"/>
        <v>#NUM!</v>
      </c>
      <c r="K141" s="185" t="e">
        <f t="shared" si="11"/>
        <v>#NUM!</v>
      </c>
      <c r="L141" s="185"/>
      <c r="M141" s="187">
        <f t="shared" si="12"/>
        <v>0</v>
      </c>
    </row>
    <row r="142" spans="1:13" x14ac:dyDescent="0.25">
      <c r="A142" s="202"/>
      <c r="G142" s="173"/>
      <c r="H142" s="185">
        <v>137</v>
      </c>
      <c r="I142" s="186" t="str">
        <f t="shared" si="10"/>
        <v/>
      </c>
      <c r="J142" s="185" t="e">
        <f t="shared" si="13"/>
        <v>#NUM!</v>
      </c>
      <c r="K142" s="185" t="e">
        <f t="shared" si="11"/>
        <v>#NUM!</v>
      </c>
      <c r="L142" s="185"/>
      <c r="M142" s="187">
        <f t="shared" si="12"/>
        <v>0</v>
      </c>
    </row>
    <row r="143" spans="1:13" x14ac:dyDescent="0.25">
      <c r="A143" s="202"/>
      <c r="G143" s="173"/>
      <c r="H143" s="185">
        <v>138</v>
      </c>
      <c r="I143" s="186" t="str">
        <f t="shared" si="10"/>
        <v/>
      </c>
      <c r="J143" s="185" t="e">
        <f t="shared" si="13"/>
        <v>#NUM!</v>
      </c>
      <c r="K143" s="185" t="e">
        <f t="shared" si="11"/>
        <v>#NUM!</v>
      </c>
      <c r="L143" s="185"/>
      <c r="M143" s="187">
        <f t="shared" si="12"/>
        <v>0</v>
      </c>
    </row>
    <row r="144" spans="1:13" x14ac:dyDescent="0.25">
      <c r="A144" s="202"/>
      <c r="G144" s="173"/>
      <c r="H144" s="185">
        <v>139</v>
      </c>
      <c r="I144" s="186" t="str">
        <f t="shared" si="10"/>
        <v/>
      </c>
      <c r="J144" s="185" t="e">
        <f t="shared" si="13"/>
        <v>#NUM!</v>
      </c>
      <c r="K144" s="185" t="e">
        <f t="shared" si="11"/>
        <v>#NUM!</v>
      </c>
      <c r="L144" s="185"/>
      <c r="M144" s="187">
        <f t="shared" si="12"/>
        <v>0</v>
      </c>
    </row>
    <row r="145" spans="1:13" x14ac:dyDescent="0.25">
      <c r="A145" s="202"/>
      <c r="G145" s="173"/>
      <c r="H145" s="185">
        <v>140</v>
      </c>
      <c r="I145" s="186" t="str">
        <f t="shared" si="10"/>
        <v/>
      </c>
      <c r="J145" s="185" t="e">
        <f t="shared" si="13"/>
        <v>#NUM!</v>
      </c>
      <c r="K145" s="185" t="e">
        <f t="shared" si="11"/>
        <v>#NUM!</v>
      </c>
      <c r="L145" s="185"/>
      <c r="M145" s="187">
        <f t="shared" si="12"/>
        <v>0</v>
      </c>
    </row>
    <row r="146" spans="1:13" x14ac:dyDescent="0.25">
      <c r="A146" s="202"/>
      <c r="G146" s="173"/>
      <c r="H146" s="185">
        <v>141</v>
      </c>
      <c r="I146" s="186" t="str">
        <f t="shared" si="10"/>
        <v/>
      </c>
      <c r="J146" s="185" t="e">
        <f t="shared" si="13"/>
        <v>#NUM!</v>
      </c>
      <c r="K146" s="185" t="e">
        <f t="shared" si="11"/>
        <v>#NUM!</v>
      </c>
      <c r="L146" s="185"/>
      <c r="M146" s="187">
        <f t="shared" si="12"/>
        <v>0</v>
      </c>
    </row>
    <row r="147" spans="1:13" x14ac:dyDescent="0.25">
      <c r="A147" s="202"/>
      <c r="G147" s="173"/>
      <c r="H147" s="185">
        <v>142</v>
      </c>
      <c r="I147" s="186" t="str">
        <f t="shared" si="10"/>
        <v/>
      </c>
      <c r="J147" s="185" t="e">
        <f t="shared" si="13"/>
        <v>#NUM!</v>
      </c>
      <c r="K147" s="185" t="e">
        <f t="shared" si="11"/>
        <v>#NUM!</v>
      </c>
      <c r="L147" s="185"/>
      <c r="M147" s="187">
        <f t="shared" si="12"/>
        <v>0</v>
      </c>
    </row>
    <row r="148" spans="1:13" x14ac:dyDescent="0.25">
      <c r="A148" s="202"/>
      <c r="G148" s="173"/>
      <c r="H148" s="185">
        <v>143</v>
      </c>
      <c r="I148" s="186" t="str">
        <f t="shared" si="10"/>
        <v/>
      </c>
      <c r="J148" s="185" t="e">
        <f t="shared" si="13"/>
        <v>#NUM!</v>
      </c>
      <c r="K148" s="185" t="e">
        <f t="shared" si="11"/>
        <v>#NUM!</v>
      </c>
      <c r="L148" s="185"/>
      <c r="M148" s="187">
        <f t="shared" si="12"/>
        <v>0</v>
      </c>
    </row>
    <row r="149" spans="1:13" x14ac:dyDescent="0.25">
      <c r="A149" s="202"/>
      <c r="G149" s="173"/>
      <c r="H149" s="185">
        <v>144</v>
      </c>
      <c r="I149" s="186" t="str">
        <f t="shared" si="10"/>
        <v/>
      </c>
      <c r="J149" s="185" t="e">
        <f t="shared" si="13"/>
        <v>#NUM!</v>
      </c>
      <c r="K149" s="185" t="e">
        <f t="shared" si="11"/>
        <v>#NUM!</v>
      </c>
      <c r="L149" s="185"/>
      <c r="M149" s="187">
        <f t="shared" si="12"/>
        <v>0</v>
      </c>
    </row>
    <row r="150" spans="1:13" x14ac:dyDescent="0.25">
      <c r="A150" s="202"/>
      <c r="G150" s="173"/>
      <c r="H150" s="185">
        <v>145</v>
      </c>
      <c r="I150" s="186" t="str">
        <f t="shared" si="10"/>
        <v/>
      </c>
      <c r="J150" s="185" t="e">
        <f t="shared" si="13"/>
        <v>#NUM!</v>
      </c>
      <c r="K150" s="185" t="e">
        <f t="shared" si="11"/>
        <v>#NUM!</v>
      </c>
      <c r="L150" s="185"/>
      <c r="M150" s="187">
        <f t="shared" si="12"/>
        <v>0</v>
      </c>
    </row>
    <row r="151" spans="1:13" x14ac:dyDescent="0.25">
      <c r="A151" s="202"/>
      <c r="G151" s="173"/>
      <c r="H151" s="185">
        <v>146</v>
      </c>
      <c r="I151" s="186" t="str">
        <f t="shared" si="10"/>
        <v/>
      </c>
      <c r="J151" s="185" t="e">
        <f t="shared" si="13"/>
        <v>#NUM!</v>
      </c>
      <c r="K151" s="185" t="e">
        <f t="shared" si="11"/>
        <v>#NUM!</v>
      </c>
      <c r="L151" s="185"/>
      <c r="M151" s="187">
        <f t="shared" si="12"/>
        <v>0</v>
      </c>
    </row>
    <row r="152" spans="1:13" x14ac:dyDescent="0.25">
      <c r="A152" s="202"/>
      <c r="G152" s="173"/>
      <c r="H152" s="185">
        <v>147</v>
      </c>
      <c r="I152" s="186" t="str">
        <f t="shared" si="10"/>
        <v/>
      </c>
      <c r="J152" s="185" t="e">
        <f t="shared" si="13"/>
        <v>#NUM!</v>
      </c>
      <c r="K152" s="185" t="e">
        <f t="shared" si="11"/>
        <v>#NUM!</v>
      </c>
      <c r="L152" s="185"/>
      <c r="M152" s="187">
        <f t="shared" si="12"/>
        <v>0</v>
      </c>
    </row>
    <row r="153" spans="1:13" x14ac:dyDescent="0.25">
      <c r="A153" s="202"/>
      <c r="G153" s="173"/>
      <c r="H153" s="185">
        <v>148</v>
      </c>
      <c r="I153" s="186" t="str">
        <f t="shared" si="10"/>
        <v/>
      </c>
      <c r="J153" s="185" t="e">
        <f t="shared" si="13"/>
        <v>#NUM!</v>
      </c>
      <c r="K153" s="185" t="e">
        <f t="shared" si="11"/>
        <v>#NUM!</v>
      </c>
      <c r="L153" s="185"/>
      <c r="M153" s="187">
        <f t="shared" si="12"/>
        <v>0</v>
      </c>
    </row>
    <row r="154" spans="1:13" x14ac:dyDescent="0.25">
      <c r="A154" s="202"/>
      <c r="G154" s="173"/>
      <c r="H154" s="185">
        <v>149</v>
      </c>
      <c r="I154" s="186" t="str">
        <f t="shared" si="10"/>
        <v/>
      </c>
      <c r="J154" s="185" t="e">
        <f t="shared" si="13"/>
        <v>#NUM!</v>
      </c>
      <c r="K154" s="185" t="e">
        <f t="shared" si="11"/>
        <v>#NUM!</v>
      </c>
      <c r="L154" s="185"/>
      <c r="M154" s="187">
        <f t="shared" si="12"/>
        <v>0</v>
      </c>
    </row>
    <row r="155" spans="1:13" x14ac:dyDescent="0.25">
      <c r="A155" s="202"/>
      <c r="G155" s="173"/>
      <c r="H155" s="185">
        <v>150</v>
      </c>
      <c r="I155" s="186" t="str">
        <f t="shared" si="10"/>
        <v/>
      </c>
      <c r="J155" s="185" t="e">
        <f t="shared" si="13"/>
        <v>#NUM!</v>
      </c>
      <c r="K155" s="185" t="e">
        <f t="shared" si="11"/>
        <v>#NUM!</v>
      </c>
      <c r="L155" s="185"/>
      <c r="M155" s="187">
        <f t="shared" si="12"/>
        <v>0</v>
      </c>
    </row>
    <row r="156" spans="1:13" x14ac:dyDescent="0.25">
      <c r="A156" s="202"/>
      <c r="G156" s="173"/>
      <c r="H156" s="185">
        <v>151</v>
      </c>
      <c r="I156" s="186" t="str">
        <f t="shared" si="10"/>
        <v/>
      </c>
      <c r="J156" s="185" t="e">
        <f t="shared" si="13"/>
        <v>#NUM!</v>
      </c>
      <c r="K156" s="185" t="e">
        <f t="shared" si="11"/>
        <v>#NUM!</v>
      </c>
      <c r="L156" s="185"/>
      <c r="M156" s="187">
        <f t="shared" si="12"/>
        <v>0</v>
      </c>
    </row>
    <row r="157" spans="1:13" x14ac:dyDescent="0.25">
      <c r="A157" s="202"/>
      <c r="G157" s="173"/>
      <c r="H157" s="185">
        <v>152</v>
      </c>
      <c r="I157" s="186" t="str">
        <f t="shared" si="10"/>
        <v/>
      </c>
      <c r="J157" s="185" t="e">
        <f t="shared" si="13"/>
        <v>#NUM!</v>
      </c>
      <c r="K157" s="185" t="e">
        <f t="shared" si="11"/>
        <v>#NUM!</v>
      </c>
      <c r="L157" s="185"/>
      <c r="M157" s="187">
        <f t="shared" si="12"/>
        <v>0</v>
      </c>
    </row>
    <row r="158" spans="1:13" x14ac:dyDescent="0.25">
      <c r="A158" s="202"/>
      <c r="G158" s="173"/>
      <c r="H158" s="185">
        <v>153</v>
      </c>
      <c r="I158" s="186" t="str">
        <f t="shared" si="10"/>
        <v/>
      </c>
      <c r="J158" s="185" t="e">
        <f t="shared" si="13"/>
        <v>#NUM!</v>
      </c>
      <c r="K158" s="185" t="e">
        <f t="shared" si="11"/>
        <v>#NUM!</v>
      </c>
      <c r="L158" s="185"/>
      <c r="M158" s="187">
        <f t="shared" si="12"/>
        <v>0</v>
      </c>
    </row>
    <row r="159" spans="1:13" x14ac:dyDescent="0.25">
      <c r="A159" s="202"/>
      <c r="G159" s="173"/>
      <c r="H159" s="185">
        <v>154</v>
      </c>
      <c r="I159" s="186" t="str">
        <f t="shared" si="10"/>
        <v/>
      </c>
      <c r="J159" s="185" t="e">
        <f t="shared" si="13"/>
        <v>#NUM!</v>
      </c>
      <c r="K159" s="185" t="e">
        <f t="shared" si="11"/>
        <v>#NUM!</v>
      </c>
      <c r="L159" s="185"/>
      <c r="M159" s="187">
        <f t="shared" si="12"/>
        <v>0</v>
      </c>
    </row>
    <row r="160" spans="1:13" x14ac:dyDescent="0.25">
      <c r="A160" s="202"/>
      <c r="G160" s="173"/>
      <c r="H160" s="185">
        <v>155</v>
      </c>
      <c r="I160" s="186" t="str">
        <f t="shared" si="10"/>
        <v/>
      </c>
      <c r="J160" s="185" t="e">
        <f t="shared" si="13"/>
        <v>#NUM!</v>
      </c>
      <c r="K160" s="185" t="e">
        <f t="shared" si="11"/>
        <v>#NUM!</v>
      </c>
      <c r="L160" s="185"/>
      <c r="M160" s="187">
        <f t="shared" si="12"/>
        <v>0</v>
      </c>
    </row>
    <row r="161" spans="1:13" x14ac:dyDescent="0.25">
      <c r="A161" s="202"/>
      <c r="G161" s="173"/>
      <c r="H161" s="185">
        <v>156</v>
      </c>
      <c r="I161" s="186" t="str">
        <f t="shared" si="10"/>
        <v/>
      </c>
      <c r="J161" s="185" t="e">
        <f t="shared" si="13"/>
        <v>#NUM!</v>
      </c>
      <c r="K161" s="185" t="e">
        <f t="shared" si="11"/>
        <v>#NUM!</v>
      </c>
      <c r="L161" s="185"/>
      <c r="M161" s="187">
        <f t="shared" si="12"/>
        <v>0</v>
      </c>
    </row>
    <row r="162" spans="1:13" x14ac:dyDescent="0.25">
      <c r="A162" s="202"/>
      <c r="G162" s="173"/>
      <c r="H162" s="185">
        <v>157</v>
      </c>
      <c r="I162" s="186" t="str">
        <f t="shared" si="10"/>
        <v/>
      </c>
      <c r="J162" s="185" t="e">
        <f t="shared" si="13"/>
        <v>#NUM!</v>
      </c>
      <c r="K162" s="185" t="e">
        <f t="shared" si="11"/>
        <v>#NUM!</v>
      </c>
      <c r="L162" s="185"/>
      <c r="M162" s="187">
        <f t="shared" si="12"/>
        <v>0</v>
      </c>
    </row>
    <row r="163" spans="1:13" x14ac:dyDescent="0.25">
      <c r="A163" s="202"/>
      <c r="G163" s="173"/>
      <c r="H163" s="185">
        <v>158</v>
      </c>
      <c r="I163" s="186" t="str">
        <f t="shared" si="10"/>
        <v/>
      </c>
      <c r="J163" s="185" t="e">
        <f t="shared" si="13"/>
        <v>#NUM!</v>
      </c>
      <c r="K163" s="185" t="e">
        <f t="shared" si="11"/>
        <v>#NUM!</v>
      </c>
      <c r="L163" s="185"/>
      <c r="M163" s="187">
        <f t="shared" si="12"/>
        <v>0</v>
      </c>
    </row>
    <row r="164" spans="1:13" x14ac:dyDescent="0.25">
      <c r="A164" s="202"/>
      <c r="G164" s="173"/>
      <c r="H164" s="185">
        <v>159</v>
      </c>
      <c r="I164" s="186" t="str">
        <f t="shared" si="10"/>
        <v/>
      </c>
      <c r="J164" s="185" t="e">
        <f t="shared" si="13"/>
        <v>#NUM!</v>
      </c>
      <c r="K164" s="185" t="e">
        <f t="shared" si="11"/>
        <v>#NUM!</v>
      </c>
      <c r="L164" s="185"/>
      <c r="M164" s="187">
        <f t="shared" si="12"/>
        <v>0</v>
      </c>
    </row>
    <row r="165" spans="1:13" x14ac:dyDescent="0.25">
      <c r="A165" s="202"/>
      <c r="G165" s="173"/>
      <c r="H165" s="185">
        <v>160</v>
      </c>
      <c r="I165" s="186" t="str">
        <f t="shared" si="10"/>
        <v/>
      </c>
      <c r="J165" s="185" t="e">
        <f t="shared" si="13"/>
        <v>#NUM!</v>
      </c>
      <c r="K165" s="185" t="e">
        <f t="shared" si="11"/>
        <v>#NUM!</v>
      </c>
      <c r="L165" s="185"/>
      <c r="M165" s="187">
        <f t="shared" si="12"/>
        <v>0</v>
      </c>
    </row>
    <row r="166" spans="1:13" x14ac:dyDescent="0.25">
      <c r="A166" s="202"/>
      <c r="G166" s="173"/>
      <c r="H166" s="185">
        <v>161</v>
      </c>
      <c r="I166" s="186" t="str">
        <f t="shared" si="10"/>
        <v/>
      </c>
      <c r="J166" s="185" t="e">
        <f t="shared" si="13"/>
        <v>#NUM!</v>
      </c>
      <c r="K166" s="185" t="e">
        <f t="shared" si="11"/>
        <v>#NUM!</v>
      </c>
      <c r="L166" s="185"/>
      <c r="M166" s="187">
        <f t="shared" si="12"/>
        <v>0</v>
      </c>
    </row>
    <row r="167" spans="1:13" x14ac:dyDescent="0.25">
      <c r="A167" s="202"/>
      <c r="G167" s="173"/>
      <c r="H167" s="185">
        <v>162</v>
      </c>
      <c r="I167" s="186" t="str">
        <f t="shared" si="10"/>
        <v/>
      </c>
      <c r="J167" s="185" t="e">
        <f t="shared" si="13"/>
        <v>#NUM!</v>
      </c>
      <c r="K167" s="185" t="e">
        <f t="shared" si="11"/>
        <v>#NUM!</v>
      </c>
      <c r="L167" s="185"/>
      <c r="M167" s="187">
        <f t="shared" si="12"/>
        <v>0</v>
      </c>
    </row>
    <row r="168" spans="1:13" x14ac:dyDescent="0.25">
      <c r="A168" s="202"/>
      <c r="G168" s="173"/>
      <c r="H168" s="185">
        <v>163</v>
      </c>
      <c r="I168" s="186" t="str">
        <f t="shared" si="10"/>
        <v/>
      </c>
      <c r="J168" s="185" t="e">
        <f t="shared" si="13"/>
        <v>#NUM!</v>
      </c>
      <c r="K168" s="185" t="e">
        <f t="shared" si="11"/>
        <v>#NUM!</v>
      </c>
      <c r="L168" s="185"/>
      <c r="M168" s="187">
        <f t="shared" si="12"/>
        <v>0</v>
      </c>
    </row>
    <row r="169" spans="1:13" x14ac:dyDescent="0.25">
      <c r="A169" s="202"/>
      <c r="C169" s="201" t="s">
        <v>49</v>
      </c>
      <c r="G169" s="173"/>
      <c r="H169" s="185">
        <v>164</v>
      </c>
      <c r="I169" s="186" t="str">
        <f t="shared" si="10"/>
        <v/>
      </c>
      <c r="J169" s="185" t="e">
        <f t="shared" si="13"/>
        <v>#NUM!</v>
      </c>
      <c r="K169" s="185" t="e">
        <f t="shared" si="11"/>
        <v>#NUM!</v>
      </c>
      <c r="L169" s="185"/>
      <c r="M169" s="187">
        <f t="shared" si="12"/>
        <v>0</v>
      </c>
    </row>
    <row r="170" spans="1:13" x14ac:dyDescent="0.25">
      <c r="A170" s="202"/>
      <c r="G170" s="173"/>
      <c r="H170" s="185">
        <v>165</v>
      </c>
      <c r="I170" s="186" t="str">
        <f t="shared" si="10"/>
        <v/>
      </c>
      <c r="J170" s="185" t="e">
        <f t="shared" si="13"/>
        <v>#NUM!</v>
      </c>
      <c r="K170" s="185" t="e">
        <f t="shared" si="11"/>
        <v>#NUM!</v>
      </c>
      <c r="L170" s="185"/>
      <c r="M170" s="187">
        <f t="shared" si="12"/>
        <v>0</v>
      </c>
    </row>
    <row r="171" spans="1:13" x14ac:dyDescent="0.25">
      <c r="A171" s="202"/>
      <c r="G171" s="173"/>
      <c r="H171" s="185">
        <v>166</v>
      </c>
      <c r="I171" s="186" t="str">
        <f t="shared" si="10"/>
        <v/>
      </c>
      <c r="J171" s="185" t="e">
        <f t="shared" si="13"/>
        <v>#NUM!</v>
      </c>
      <c r="K171" s="185" t="e">
        <f t="shared" si="11"/>
        <v>#NUM!</v>
      </c>
      <c r="L171" s="185"/>
      <c r="M171" s="187">
        <f t="shared" si="12"/>
        <v>0</v>
      </c>
    </row>
    <row r="172" spans="1:13" x14ac:dyDescent="0.25">
      <c r="A172" s="202"/>
      <c r="G172" s="173"/>
      <c r="H172" s="185">
        <v>167</v>
      </c>
      <c r="I172" s="186" t="str">
        <f t="shared" si="10"/>
        <v/>
      </c>
      <c r="J172" s="185" t="e">
        <f t="shared" si="13"/>
        <v>#NUM!</v>
      </c>
      <c r="K172" s="185" t="e">
        <f t="shared" si="11"/>
        <v>#NUM!</v>
      </c>
      <c r="L172" s="185"/>
      <c r="M172" s="187">
        <f t="shared" si="12"/>
        <v>0</v>
      </c>
    </row>
    <row r="173" spans="1:13" x14ac:dyDescent="0.25">
      <c r="A173" s="202"/>
      <c r="G173" s="173"/>
      <c r="H173" s="185">
        <v>168</v>
      </c>
      <c r="I173" s="186" t="str">
        <f t="shared" si="10"/>
        <v/>
      </c>
      <c r="J173" s="185" t="e">
        <f t="shared" si="13"/>
        <v>#NUM!</v>
      </c>
      <c r="K173" s="185" t="e">
        <f t="shared" si="11"/>
        <v>#NUM!</v>
      </c>
      <c r="L173" s="185"/>
      <c r="M173" s="187">
        <f t="shared" si="12"/>
        <v>0</v>
      </c>
    </row>
    <row r="174" spans="1:13" x14ac:dyDescent="0.25">
      <c r="A174" s="202"/>
      <c r="G174" s="173"/>
      <c r="H174" s="185">
        <v>169</v>
      </c>
      <c r="I174" s="186" t="str">
        <f t="shared" si="10"/>
        <v/>
      </c>
      <c r="J174" s="185" t="e">
        <f t="shared" si="13"/>
        <v>#NUM!</v>
      </c>
      <c r="K174" s="185" t="e">
        <f t="shared" si="11"/>
        <v>#NUM!</v>
      </c>
      <c r="L174" s="185"/>
      <c r="M174" s="187">
        <f t="shared" si="12"/>
        <v>0</v>
      </c>
    </row>
    <row r="175" spans="1:13" x14ac:dyDescent="0.25">
      <c r="A175" s="202"/>
      <c r="G175" s="173"/>
      <c r="H175" s="185">
        <v>170</v>
      </c>
      <c r="I175" s="186" t="str">
        <f t="shared" si="10"/>
        <v/>
      </c>
      <c r="J175" s="185" t="e">
        <f t="shared" si="13"/>
        <v>#NUM!</v>
      </c>
      <c r="K175" s="185" t="e">
        <f t="shared" si="11"/>
        <v>#NUM!</v>
      </c>
      <c r="L175" s="185"/>
      <c r="M175" s="187">
        <f t="shared" si="12"/>
        <v>0</v>
      </c>
    </row>
    <row r="176" spans="1:13" x14ac:dyDescent="0.25">
      <c r="A176" s="202"/>
      <c r="G176" s="173"/>
      <c r="H176" s="185">
        <v>171</v>
      </c>
      <c r="I176" s="186" t="str">
        <f t="shared" si="10"/>
        <v/>
      </c>
      <c r="J176" s="185" t="e">
        <f t="shared" si="13"/>
        <v>#NUM!</v>
      </c>
      <c r="K176" s="185" t="e">
        <f t="shared" si="11"/>
        <v>#NUM!</v>
      </c>
      <c r="L176" s="185"/>
      <c r="M176" s="187">
        <f t="shared" si="12"/>
        <v>0</v>
      </c>
    </row>
    <row r="177" spans="1:13" x14ac:dyDescent="0.25">
      <c r="A177" s="202"/>
      <c r="G177" s="173"/>
      <c r="H177" s="185">
        <v>172</v>
      </c>
      <c r="I177" s="186" t="str">
        <f t="shared" si="10"/>
        <v/>
      </c>
      <c r="J177" s="185" t="e">
        <f t="shared" si="13"/>
        <v>#NUM!</v>
      </c>
      <c r="K177" s="185" t="e">
        <f t="shared" si="11"/>
        <v>#NUM!</v>
      </c>
      <c r="L177" s="185"/>
      <c r="M177" s="187">
        <f t="shared" si="12"/>
        <v>0</v>
      </c>
    </row>
    <row r="178" spans="1:13" x14ac:dyDescent="0.25">
      <c r="A178" s="202"/>
      <c r="G178" s="173"/>
      <c r="H178" s="185">
        <v>173</v>
      </c>
      <c r="I178" s="186" t="str">
        <f t="shared" si="10"/>
        <v/>
      </c>
      <c r="J178" s="185" t="e">
        <f t="shared" si="13"/>
        <v>#NUM!</v>
      </c>
      <c r="K178" s="185" t="e">
        <f t="shared" si="11"/>
        <v>#NUM!</v>
      </c>
      <c r="L178" s="185"/>
      <c r="M178" s="187">
        <f t="shared" si="12"/>
        <v>0</v>
      </c>
    </row>
    <row r="179" spans="1:13" x14ac:dyDescent="0.25">
      <c r="A179" s="202"/>
      <c r="G179" s="173"/>
      <c r="H179" s="185">
        <v>174</v>
      </c>
      <c r="I179" s="186" t="str">
        <f t="shared" si="10"/>
        <v/>
      </c>
      <c r="J179" s="185" t="e">
        <f t="shared" si="13"/>
        <v>#NUM!</v>
      </c>
      <c r="K179" s="185" t="e">
        <f t="shared" si="11"/>
        <v>#NUM!</v>
      </c>
      <c r="L179" s="185"/>
      <c r="M179" s="187">
        <f t="shared" si="12"/>
        <v>0</v>
      </c>
    </row>
    <row r="180" spans="1:13" x14ac:dyDescent="0.25">
      <c r="A180" s="202"/>
      <c r="G180" s="173"/>
      <c r="H180" s="185">
        <v>175</v>
      </c>
      <c r="I180" s="186" t="str">
        <f t="shared" si="10"/>
        <v/>
      </c>
      <c r="J180" s="185" t="e">
        <f t="shared" si="13"/>
        <v>#NUM!</v>
      </c>
      <c r="K180" s="185" t="e">
        <f t="shared" si="11"/>
        <v>#NUM!</v>
      </c>
      <c r="L180" s="185"/>
      <c r="M180" s="187">
        <f t="shared" si="12"/>
        <v>0</v>
      </c>
    </row>
    <row r="181" spans="1:13" x14ac:dyDescent="0.25">
      <c r="A181" s="202"/>
      <c r="G181" s="173"/>
      <c r="H181" s="185">
        <v>176</v>
      </c>
      <c r="I181" s="186" t="str">
        <f t="shared" si="10"/>
        <v/>
      </c>
      <c r="J181" s="185" t="e">
        <f t="shared" si="13"/>
        <v>#NUM!</v>
      </c>
      <c r="K181" s="185" t="e">
        <f t="shared" si="11"/>
        <v>#NUM!</v>
      </c>
      <c r="L181" s="185"/>
      <c r="M181" s="187">
        <f t="shared" si="12"/>
        <v>0</v>
      </c>
    </row>
    <row r="182" spans="1:13" x14ac:dyDescent="0.25">
      <c r="A182" s="202"/>
      <c r="G182" s="173"/>
      <c r="H182" s="185">
        <v>177</v>
      </c>
      <c r="I182" s="186" t="str">
        <f t="shared" si="10"/>
        <v/>
      </c>
      <c r="J182" s="185" t="e">
        <f t="shared" si="13"/>
        <v>#NUM!</v>
      </c>
      <c r="K182" s="185" t="e">
        <f t="shared" si="11"/>
        <v>#NUM!</v>
      </c>
      <c r="L182" s="185"/>
      <c r="M182" s="187">
        <f t="shared" si="12"/>
        <v>0</v>
      </c>
    </row>
    <row r="183" spans="1:13" x14ac:dyDescent="0.25">
      <c r="A183" s="202"/>
      <c r="G183" s="173"/>
      <c r="H183" s="185">
        <v>178</v>
      </c>
      <c r="I183" s="186" t="str">
        <f t="shared" si="10"/>
        <v/>
      </c>
      <c r="J183" s="185" t="e">
        <f t="shared" si="13"/>
        <v>#NUM!</v>
      </c>
      <c r="K183" s="185" t="e">
        <f t="shared" si="11"/>
        <v>#NUM!</v>
      </c>
      <c r="L183" s="185"/>
      <c r="M183" s="187">
        <f t="shared" si="12"/>
        <v>0</v>
      </c>
    </row>
    <row r="184" spans="1:13" x14ac:dyDescent="0.25">
      <c r="A184" s="202"/>
      <c r="G184" s="173"/>
      <c r="H184" s="185">
        <v>179</v>
      </c>
      <c r="I184" s="186" t="str">
        <f t="shared" si="10"/>
        <v/>
      </c>
      <c r="J184" s="185" t="e">
        <f t="shared" si="13"/>
        <v>#NUM!</v>
      </c>
      <c r="K184" s="185" t="e">
        <f t="shared" si="11"/>
        <v>#NUM!</v>
      </c>
      <c r="L184" s="185"/>
      <c r="M184" s="187">
        <f t="shared" si="12"/>
        <v>0</v>
      </c>
    </row>
    <row r="185" spans="1:13" x14ac:dyDescent="0.25">
      <c r="A185" s="202"/>
      <c r="G185" s="173"/>
      <c r="H185" s="185">
        <v>180</v>
      </c>
      <c r="I185" s="186" t="str">
        <f t="shared" si="10"/>
        <v/>
      </c>
      <c r="J185" s="185" t="e">
        <f t="shared" si="13"/>
        <v>#NUM!</v>
      </c>
      <c r="K185" s="185" t="e">
        <f t="shared" si="11"/>
        <v>#NUM!</v>
      </c>
      <c r="L185" s="185"/>
      <c r="M185" s="187">
        <f t="shared" si="12"/>
        <v>0</v>
      </c>
    </row>
    <row r="186" spans="1:13" x14ac:dyDescent="0.25">
      <c r="A186" s="202"/>
      <c r="G186" s="173"/>
      <c r="H186" s="185">
        <v>181</v>
      </c>
      <c r="I186" s="186" t="str">
        <f t="shared" si="10"/>
        <v/>
      </c>
      <c r="J186" s="185" t="e">
        <f t="shared" si="13"/>
        <v>#NUM!</v>
      </c>
      <c r="K186" s="185" t="e">
        <f t="shared" si="11"/>
        <v>#NUM!</v>
      </c>
      <c r="L186" s="185"/>
      <c r="M186" s="187">
        <f t="shared" si="12"/>
        <v>0</v>
      </c>
    </row>
    <row r="187" spans="1:13" x14ac:dyDescent="0.25">
      <c r="A187" s="202"/>
      <c r="G187" s="173"/>
      <c r="H187" s="185">
        <v>182</v>
      </c>
      <c r="I187" s="186" t="str">
        <f t="shared" si="10"/>
        <v/>
      </c>
      <c r="J187" s="185" t="e">
        <f t="shared" si="13"/>
        <v>#NUM!</v>
      </c>
      <c r="K187" s="185" t="e">
        <f t="shared" si="11"/>
        <v>#NUM!</v>
      </c>
      <c r="L187" s="185"/>
      <c r="M187" s="187">
        <f t="shared" si="12"/>
        <v>0</v>
      </c>
    </row>
    <row r="188" spans="1:13" x14ac:dyDescent="0.25">
      <c r="A188" s="202"/>
      <c r="G188" s="173"/>
      <c r="H188" s="185">
        <v>183</v>
      </c>
      <c r="I188" s="186" t="str">
        <f t="shared" si="10"/>
        <v/>
      </c>
      <c r="J188" s="185" t="e">
        <f t="shared" si="13"/>
        <v>#NUM!</v>
      </c>
      <c r="K188" s="185" t="e">
        <f t="shared" si="11"/>
        <v>#NUM!</v>
      </c>
      <c r="L188" s="185"/>
      <c r="M188" s="187">
        <f t="shared" si="12"/>
        <v>0</v>
      </c>
    </row>
    <row r="189" spans="1:13" x14ac:dyDescent="0.25">
      <c r="A189" s="202"/>
      <c r="G189" s="173"/>
      <c r="H189" s="185">
        <v>184</v>
      </c>
      <c r="I189" s="186" t="str">
        <f t="shared" si="10"/>
        <v/>
      </c>
      <c r="J189" s="185" t="e">
        <f t="shared" si="13"/>
        <v>#NUM!</v>
      </c>
      <c r="K189" s="185" t="e">
        <f t="shared" si="11"/>
        <v>#NUM!</v>
      </c>
      <c r="L189" s="185"/>
      <c r="M189" s="187">
        <f t="shared" si="12"/>
        <v>0</v>
      </c>
    </row>
    <row r="190" spans="1:13" x14ac:dyDescent="0.25">
      <c r="A190" s="202"/>
      <c r="G190" s="173"/>
      <c r="H190" s="185">
        <v>185</v>
      </c>
      <c r="I190" s="186" t="str">
        <f t="shared" si="10"/>
        <v/>
      </c>
      <c r="J190" s="185" t="e">
        <f t="shared" si="13"/>
        <v>#NUM!</v>
      </c>
      <c r="K190" s="185" t="e">
        <f t="shared" si="11"/>
        <v>#NUM!</v>
      </c>
      <c r="L190" s="185"/>
      <c r="M190" s="187">
        <f t="shared" si="12"/>
        <v>0</v>
      </c>
    </row>
    <row r="191" spans="1:13" x14ac:dyDescent="0.25">
      <c r="A191" s="202"/>
      <c r="G191" s="173"/>
      <c r="H191" s="185">
        <v>186</v>
      </c>
      <c r="I191" s="186" t="str">
        <f t="shared" si="10"/>
        <v/>
      </c>
      <c r="J191" s="185" t="e">
        <f t="shared" si="13"/>
        <v>#NUM!</v>
      </c>
      <c r="K191" s="185" t="e">
        <f t="shared" si="11"/>
        <v>#NUM!</v>
      </c>
      <c r="L191" s="185"/>
      <c r="M191" s="187">
        <f t="shared" si="12"/>
        <v>0</v>
      </c>
    </row>
    <row r="192" spans="1:13" x14ac:dyDescent="0.25">
      <c r="A192" s="202"/>
      <c r="G192" s="173"/>
      <c r="H192" s="185">
        <v>187</v>
      </c>
      <c r="I192" s="186" t="str">
        <f t="shared" si="10"/>
        <v/>
      </c>
      <c r="J192" s="185" t="e">
        <f t="shared" si="13"/>
        <v>#NUM!</v>
      </c>
      <c r="K192" s="185" t="e">
        <f t="shared" si="11"/>
        <v>#NUM!</v>
      </c>
      <c r="L192" s="185"/>
      <c r="M192" s="187">
        <f t="shared" si="12"/>
        <v>0</v>
      </c>
    </row>
    <row r="193" spans="1:13" x14ac:dyDescent="0.25">
      <c r="A193" s="202"/>
      <c r="G193" s="173"/>
      <c r="H193" s="185">
        <v>188</v>
      </c>
      <c r="I193" s="186" t="str">
        <f t="shared" si="10"/>
        <v/>
      </c>
      <c r="J193" s="185" t="e">
        <f t="shared" si="13"/>
        <v>#NUM!</v>
      </c>
      <c r="K193" s="185" t="e">
        <f t="shared" si="11"/>
        <v>#NUM!</v>
      </c>
      <c r="L193" s="185"/>
      <c r="M193" s="187">
        <f t="shared" si="12"/>
        <v>0</v>
      </c>
    </row>
    <row r="194" spans="1:13" x14ac:dyDescent="0.25">
      <c r="A194" s="202"/>
      <c r="G194" s="173"/>
      <c r="H194" s="185">
        <v>189</v>
      </c>
      <c r="I194" s="186" t="str">
        <f t="shared" si="10"/>
        <v/>
      </c>
      <c r="J194" s="185" t="e">
        <f t="shared" si="13"/>
        <v>#NUM!</v>
      </c>
      <c r="K194" s="185" t="e">
        <f t="shared" si="11"/>
        <v>#NUM!</v>
      </c>
      <c r="L194" s="185"/>
      <c r="M194" s="187">
        <f t="shared" si="12"/>
        <v>0</v>
      </c>
    </row>
    <row r="195" spans="1:13" x14ac:dyDescent="0.25">
      <c r="A195" s="202"/>
      <c r="G195" s="173"/>
      <c r="H195" s="185">
        <v>190</v>
      </c>
      <c r="I195" s="186" t="str">
        <f t="shared" si="10"/>
        <v/>
      </c>
      <c r="J195" s="185" t="e">
        <f t="shared" si="13"/>
        <v>#NUM!</v>
      </c>
      <c r="K195" s="185" t="e">
        <f t="shared" si="11"/>
        <v>#NUM!</v>
      </c>
      <c r="L195" s="185"/>
      <c r="M195" s="187">
        <f t="shared" si="12"/>
        <v>0</v>
      </c>
    </row>
    <row r="196" spans="1:13" x14ac:dyDescent="0.25">
      <c r="A196" s="202"/>
      <c r="G196" s="173"/>
      <c r="H196" s="185">
        <v>191</v>
      </c>
      <c r="I196" s="186" t="str">
        <f t="shared" si="10"/>
        <v/>
      </c>
      <c r="J196" s="185" t="e">
        <f t="shared" si="13"/>
        <v>#NUM!</v>
      </c>
      <c r="K196" s="185" t="e">
        <f t="shared" si="11"/>
        <v>#NUM!</v>
      </c>
      <c r="L196" s="185"/>
      <c r="M196" s="187">
        <f t="shared" si="12"/>
        <v>0</v>
      </c>
    </row>
    <row r="197" spans="1:13" x14ac:dyDescent="0.25">
      <c r="A197" s="202"/>
      <c r="G197" s="173"/>
      <c r="H197" s="185">
        <v>192</v>
      </c>
      <c r="I197" s="186" t="str">
        <f t="shared" si="10"/>
        <v/>
      </c>
      <c r="J197" s="185" t="e">
        <f t="shared" si="13"/>
        <v>#NUM!</v>
      </c>
      <c r="K197" s="185" t="e">
        <f t="shared" si="11"/>
        <v>#NUM!</v>
      </c>
      <c r="L197" s="185"/>
      <c r="M197" s="187">
        <f t="shared" si="12"/>
        <v>0</v>
      </c>
    </row>
    <row r="198" spans="1:13" x14ac:dyDescent="0.25">
      <c r="A198" s="202"/>
      <c r="G198" s="173"/>
      <c r="H198" s="185">
        <v>193</v>
      </c>
      <c r="I198" s="186" t="str">
        <f t="shared" ref="I198:I261" si="14">IF(H198&lt;$H$2+1,($I$2-($I$2-1)*(LOG(H198)/LOG($H$2))),"")</f>
        <v/>
      </c>
      <c r="J198" s="185" t="e">
        <f t="shared" si="13"/>
        <v>#NUM!</v>
      </c>
      <c r="K198" s="185" t="e">
        <f t="shared" ref="K198:K261" si="15">J198*$J$2</f>
        <v>#NUM!</v>
      </c>
      <c r="L198" s="185"/>
      <c r="M198" s="187">
        <f t="shared" ref="M198:M261" si="16">IF(I198&lt;&gt;"",K198+I198+L198,0)</f>
        <v>0</v>
      </c>
    </row>
    <row r="199" spans="1:13" x14ac:dyDescent="0.25">
      <c r="A199" s="202"/>
      <c r="G199" s="173"/>
      <c r="H199" s="185">
        <v>194</v>
      </c>
      <c r="I199" s="186" t="str">
        <f t="shared" si="14"/>
        <v/>
      </c>
      <c r="J199" s="185" t="e">
        <f t="shared" ref="J199:J262" si="17">INT(LOG($H$2,2))-ROUNDUP(LOG(H199,2),0)+IF(OR($H$2=1,$H$2=2,$H$2=4,$H$2=8,$H$2=16,$H$2=32,$H$2=64,$H$2=128,$H$2=256),0,1)</f>
        <v>#NUM!</v>
      </c>
      <c r="K199" s="185" t="e">
        <f t="shared" si="15"/>
        <v>#NUM!</v>
      </c>
      <c r="L199" s="185"/>
      <c r="M199" s="187">
        <f t="shared" si="16"/>
        <v>0</v>
      </c>
    </row>
    <row r="200" spans="1:13" x14ac:dyDescent="0.25">
      <c r="A200" s="202"/>
      <c r="G200" s="173"/>
      <c r="H200" s="185">
        <v>195</v>
      </c>
      <c r="I200" s="186" t="str">
        <f t="shared" si="14"/>
        <v/>
      </c>
      <c r="J200" s="185" t="e">
        <f t="shared" si="17"/>
        <v>#NUM!</v>
      </c>
      <c r="K200" s="185" t="e">
        <f t="shared" si="15"/>
        <v>#NUM!</v>
      </c>
      <c r="L200" s="185"/>
      <c r="M200" s="187">
        <f t="shared" si="16"/>
        <v>0</v>
      </c>
    </row>
    <row r="201" spans="1:13" x14ac:dyDescent="0.25">
      <c r="A201" s="202"/>
      <c r="G201" s="173"/>
      <c r="H201" s="185">
        <v>196</v>
      </c>
      <c r="I201" s="186" t="str">
        <f t="shared" si="14"/>
        <v/>
      </c>
      <c r="J201" s="185" t="e">
        <f t="shared" si="17"/>
        <v>#NUM!</v>
      </c>
      <c r="K201" s="185" t="e">
        <f t="shared" si="15"/>
        <v>#NUM!</v>
      </c>
      <c r="L201" s="185"/>
      <c r="M201" s="187">
        <f t="shared" si="16"/>
        <v>0</v>
      </c>
    </row>
    <row r="202" spans="1:13" x14ac:dyDescent="0.25">
      <c r="A202" s="202"/>
      <c r="G202" s="173"/>
      <c r="H202" s="185">
        <v>197</v>
      </c>
      <c r="I202" s="186" t="str">
        <f t="shared" si="14"/>
        <v/>
      </c>
      <c r="J202" s="185" t="e">
        <f t="shared" si="17"/>
        <v>#NUM!</v>
      </c>
      <c r="K202" s="185" t="e">
        <f t="shared" si="15"/>
        <v>#NUM!</v>
      </c>
      <c r="L202" s="185"/>
      <c r="M202" s="187">
        <f t="shared" si="16"/>
        <v>0</v>
      </c>
    </row>
    <row r="203" spans="1:13" x14ac:dyDescent="0.25">
      <c r="A203" s="202"/>
      <c r="G203" s="173"/>
      <c r="H203" s="185">
        <v>198</v>
      </c>
      <c r="I203" s="186" t="str">
        <f t="shared" si="14"/>
        <v/>
      </c>
      <c r="J203" s="185" t="e">
        <f t="shared" si="17"/>
        <v>#NUM!</v>
      </c>
      <c r="K203" s="185" t="e">
        <f t="shared" si="15"/>
        <v>#NUM!</v>
      </c>
      <c r="L203" s="185"/>
      <c r="M203" s="187">
        <f t="shared" si="16"/>
        <v>0</v>
      </c>
    </row>
    <row r="204" spans="1:13" x14ac:dyDescent="0.25">
      <c r="A204" s="202"/>
      <c r="G204" s="173"/>
      <c r="H204" s="185">
        <v>199</v>
      </c>
      <c r="I204" s="186" t="str">
        <f t="shared" si="14"/>
        <v/>
      </c>
      <c r="J204" s="185" t="e">
        <f t="shared" si="17"/>
        <v>#NUM!</v>
      </c>
      <c r="K204" s="185" t="e">
        <f t="shared" si="15"/>
        <v>#NUM!</v>
      </c>
      <c r="L204" s="185"/>
      <c r="M204" s="187">
        <f t="shared" si="16"/>
        <v>0</v>
      </c>
    </row>
    <row r="205" spans="1:13" x14ac:dyDescent="0.25">
      <c r="A205" s="202"/>
      <c r="G205" s="173"/>
      <c r="H205" s="185">
        <v>200</v>
      </c>
      <c r="I205" s="186" t="str">
        <f t="shared" si="14"/>
        <v/>
      </c>
      <c r="J205" s="185" t="e">
        <f t="shared" si="17"/>
        <v>#NUM!</v>
      </c>
      <c r="K205" s="185" t="e">
        <f t="shared" si="15"/>
        <v>#NUM!</v>
      </c>
      <c r="L205" s="185"/>
      <c r="M205" s="187">
        <f t="shared" si="16"/>
        <v>0</v>
      </c>
    </row>
    <row r="206" spans="1:13" x14ac:dyDescent="0.25">
      <c r="A206" s="202"/>
      <c r="G206" s="173"/>
      <c r="H206" s="185">
        <v>201</v>
      </c>
      <c r="I206" s="186" t="str">
        <f t="shared" si="14"/>
        <v/>
      </c>
      <c r="J206" s="185" t="e">
        <f t="shared" si="17"/>
        <v>#NUM!</v>
      </c>
      <c r="K206" s="185" t="e">
        <f t="shared" si="15"/>
        <v>#NUM!</v>
      </c>
      <c r="L206" s="185"/>
      <c r="M206" s="187">
        <f t="shared" si="16"/>
        <v>0</v>
      </c>
    </row>
    <row r="207" spans="1:13" x14ac:dyDescent="0.25">
      <c r="A207" s="202"/>
      <c r="G207" s="173"/>
      <c r="H207" s="185">
        <v>202</v>
      </c>
      <c r="I207" s="186" t="str">
        <f t="shared" si="14"/>
        <v/>
      </c>
      <c r="J207" s="185" t="e">
        <f t="shared" si="17"/>
        <v>#NUM!</v>
      </c>
      <c r="K207" s="185" t="e">
        <f t="shared" si="15"/>
        <v>#NUM!</v>
      </c>
      <c r="L207" s="185"/>
      <c r="M207" s="187">
        <f t="shared" si="16"/>
        <v>0</v>
      </c>
    </row>
    <row r="208" spans="1:13" x14ac:dyDescent="0.25">
      <c r="A208" s="202"/>
      <c r="G208" s="173"/>
      <c r="H208" s="185">
        <v>203</v>
      </c>
      <c r="I208" s="186" t="str">
        <f t="shared" si="14"/>
        <v/>
      </c>
      <c r="J208" s="185" t="e">
        <f t="shared" si="17"/>
        <v>#NUM!</v>
      </c>
      <c r="K208" s="185" t="e">
        <f t="shared" si="15"/>
        <v>#NUM!</v>
      </c>
      <c r="L208" s="185"/>
      <c r="M208" s="187">
        <f t="shared" si="16"/>
        <v>0</v>
      </c>
    </row>
    <row r="209" spans="1:13" x14ac:dyDescent="0.25">
      <c r="A209" s="202"/>
      <c r="G209" s="173"/>
      <c r="H209" s="185">
        <v>204</v>
      </c>
      <c r="I209" s="186" t="str">
        <f t="shared" si="14"/>
        <v/>
      </c>
      <c r="J209" s="185" t="e">
        <f t="shared" si="17"/>
        <v>#NUM!</v>
      </c>
      <c r="K209" s="185" t="e">
        <f t="shared" si="15"/>
        <v>#NUM!</v>
      </c>
      <c r="L209" s="185"/>
      <c r="M209" s="187">
        <f t="shared" si="16"/>
        <v>0</v>
      </c>
    </row>
    <row r="210" spans="1:13" x14ac:dyDescent="0.25">
      <c r="A210" s="202"/>
      <c r="G210" s="173"/>
      <c r="H210" s="185">
        <v>205</v>
      </c>
      <c r="I210" s="186" t="str">
        <f t="shared" si="14"/>
        <v/>
      </c>
      <c r="J210" s="185" t="e">
        <f t="shared" si="17"/>
        <v>#NUM!</v>
      </c>
      <c r="K210" s="185" t="e">
        <f t="shared" si="15"/>
        <v>#NUM!</v>
      </c>
      <c r="L210" s="185"/>
      <c r="M210" s="187">
        <f t="shared" si="16"/>
        <v>0</v>
      </c>
    </row>
    <row r="211" spans="1:13" x14ac:dyDescent="0.25">
      <c r="A211" s="202"/>
      <c r="G211" s="173"/>
      <c r="H211" s="185">
        <v>206</v>
      </c>
      <c r="I211" s="186" t="str">
        <f t="shared" si="14"/>
        <v/>
      </c>
      <c r="J211" s="185" t="e">
        <f t="shared" si="17"/>
        <v>#NUM!</v>
      </c>
      <c r="K211" s="185" t="e">
        <f t="shared" si="15"/>
        <v>#NUM!</v>
      </c>
      <c r="L211" s="185"/>
      <c r="M211" s="187">
        <f t="shared" si="16"/>
        <v>0</v>
      </c>
    </row>
    <row r="212" spans="1:13" x14ac:dyDescent="0.25">
      <c r="A212" s="202"/>
      <c r="G212" s="173"/>
      <c r="H212" s="185">
        <v>207</v>
      </c>
      <c r="I212" s="186" t="str">
        <f t="shared" si="14"/>
        <v/>
      </c>
      <c r="J212" s="185" t="e">
        <f t="shared" si="17"/>
        <v>#NUM!</v>
      </c>
      <c r="K212" s="185" t="e">
        <f t="shared" si="15"/>
        <v>#NUM!</v>
      </c>
      <c r="L212" s="185"/>
      <c r="M212" s="187">
        <f t="shared" si="16"/>
        <v>0</v>
      </c>
    </row>
    <row r="213" spans="1:13" x14ac:dyDescent="0.25">
      <c r="A213" s="202"/>
      <c r="G213" s="173"/>
      <c r="H213" s="185">
        <v>208</v>
      </c>
      <c r="I213" s="186" t="str">
        <f t="shared" si="14"/>
        <v/>
      </c>
      <c r="J213" s="185" t="e">
        <f t="shared" si="17"/>
        <v>#NUM!</v>
      </c>
      <c r="K213" s="185" t="e">
        <f t="shared" si="15"/>
        <v>#NUM!</v>
      </c>
      <c r="L213" s="185"/>
      <c r="M213" s="187">
        <f t="shared" si="16"/>
        <v>0</v>
      </c>
    </row>
    <row r="214" spans="1:13" x14ac:dyDescent="0.25">
      <c r="A214" s="202"/>
      <c r="G214" s="173"/>
      <c r="H214" s="185">
        <v>209</v>
      </c>
      <c r="I214" s="186" t="str">
        <f t="shared" si="14"/>
        <v/>
      </c>
      <c r="J214" s="185" t="e">
        <f t="shared" si="17"/>
        <v>#NUM!</v>
      </c>
      <c r="K214" s="185" t="e">
        <f t="shared" si="15"/>
        <v>#NUM!</v>
      </c>
      <c r="L214" s="185"/>
      <c r="M214" s="187">
        <f t="shared" si="16"/>
        <v>0</v>
      </c>
    </row>
    <row r="215" spans="1:13" x14ac:dyDescent="0.25">
      <c r="A215" s="202"/>
      <c r="G215" s="173"/>
      <c r="H215" s="185">
        <v>210</v>
      </c>
      <c r="I215" s="186" t="str">
        <f t="shared" si="14"/>
        <v/>
      </c>
      <c r="J215" s="185" t="e">
        <f t="shared" si="17"/>
        <v>#NUM!</v>
      </c>
      <c r="K215" s="185" t="e">
        <f t="shared" si="15"/>
        <v>#NUM!</v>
      </c>
      <c r="L215" s="185"/>
      <c r="M215" s="187">
        <f t="shared" si="16"/>
        <v>0</v>
      </c>
    </row>
    <row r="216" spans="1:13" x14ac:dyDescent="0.25">
      <c r="A216" s="202"/>
      <c r="G216" s="173"/>
      <c r="H216" s="185">
        <v>211</v>
      </c>
      <c r="I216" s="186" t="str">
        <f t="shared" si="14"/>
        <v/>
      </c>
      <c r="J216" s="185" t="e">
        <f t="shared" si="17"/>
        <v>#NUM!</v>
      </c>
      <c r="K216" s="185" t="e">
        <f t="shared" si="15"/>
        <v>#NUM!</v>
      </c>
      <c r="L216" s="185"/>
      <c r="M216" s="187">
        <f t="shared" si="16"/>
        <v>0</v>
      </c>
    </row>
    <row r="217" spans="1:13" x14ac:dyDescent="0.25">
      <c r="A217" s="202"/>
      <c r="G217" s="173"/>
      <c r="H217" s="185">
        <v>212</v>
      </c>
      <c r="I217" s="186" t="str">
        <f t="shared" si="14"/>
        <v/>
      </c>
      <c r="J217" s="185" t="e">
        <f t="shared" si="17"/>
        <v>#NUM!</v>
      </c>
      <c r="K217" s="185" t="e">
        <f t="shared" si="15"/>
        <v>#NUM!</v>
      </c>
      <c r="L217" s="185"/>
      <c r="M217" s="187">
        <f t="shared" si="16"/>
        <v>0</v>
      </c>
    </row>
    <row r="218" spans="1:13" x14ac:dyDescent="0.25">
      <c r="A218" s="202"/>
      <c r="G218" s="173"/>
      <c r="H218" s="185">
        <v>213</v>
      </c>
      <c r="I218" s="186" t="str">
        <f t="shared" si="14"/>
        <v/>
      </c>
      <c r="J218" s="185" t="e">
        <f t="shared" si="17"/>
        <v>#NUM!</v>
      </c>
      <c r="K218" s="185" t="e">
        <f t="shared" si="15"/>
        <v>#NUM!</v>
      </c>
      <c r="L218" s="185"/>
      <c r="M218" s="187">
        <f t="shared" si="16"/>
        <v>0</v>
      </c>
    </row>
    <row r="219" spans="1:13" x14ac:dyDescent="0.25">
      <c r="A219" s="202"/>
      <c r="G219" s="173"/>
      <c r="H219" s="185">
        <v>214</v>
      </c>
      <c r="I219" s="186" t="str">
        <f t="shared" si="14"/>
        <v/>
      </c>
      <c r="J219" s="185" t="e">
        <f t="shared" si="17"/>
        <v>#NUM!</v>
      </c>
      <c r="K219" s="185" t="e">
        <f t="shared" si="15"/>
        <v>#NUM!</v>
      </c>
      <c r="L219" s="185"/>
      <c r="M219" s="187">
        <f t="shared" si="16"/>
        <v>0</v>
      </c>
    </row>
    <row r="220" spans="1:13" x14ac:dyDescent="0.25">
      <c r="A220" s="202"/>
      <c r="G220" s="173"/>
      <c r="H220" s="185">
        <v>215</v>
      </c>
      <c r="I220" s="186" t="str">
        <f t="shared" si="14"/>
        <v/>
      </c>
      <c r="J220" s="185" t="e">
        <f t="shared" si="17"/>
        <v>#NUM!</v>
      </c>
      <c r="K220" s="185" t="e">
        <f t="shared" si="15"/>
        <v>#NUM!</v>
      </c>
      <c r="L220" s="185"/>
      <c r="M220" s="187">
        <f t="shared" si="16"/>
        <v>0</v>
      </c>
    </row>
    <row r="221" spans="1:13" x14ac:dyDescent="0.25">
      <c r="A221" s="202"/>
      <c r="G221" s="173"/>
      <c r="H221" s="185">
        <v>216</v>
      </c>
      <c r="I221" s="186" t="str">
        <f t="shared" si="14"/>
        <v/>
      </c>
      <c r="J221" s="185" t="e">
        <f t="shared" si="17"/>
        <v>#NUM!</v>
      </c>
      <c r="K221" s="185" t="e">
        <f t="shared" si="15"/>
        <v>#NUM!</v>
      </c>
      <c r="L221" s="185"/>
      <c r="M221" s="187">
        <f t="shared" si="16"/>
        <v>0</v>
      </c>
    </row>
    <row r="222" spans="1:13" x14ac:dyDescent="0.25">
      <c r="A222" s="202"/>
      <c r="G222" s="173"/>
      <c r="H222" s="185">
        <v>217</v>
      </c>
      <c r="I222" s="186" t="str">
        <f t="shared" si="14"/>
        <v/>
      </c>
      <c r="J222" s="185" t="e">
        <f t="shared" si="17"/>
        <v>#NUM!</v>
      </c>
      <c r="K222" s="185" t="e">
        <f t="shared" si="15"/>
        <v>#NUM!</v>
      </c>
      <c r="L222" s="185"/>
      <c r="M222" s="187">
        <f t="shared" si="16"/>
        <v>0</v>
      </c>
    </row>
    <row r="223" spans="1:13" x14ac:dyDescent="0.25">
      <c r="A223" s="202"/>
      <c r="G223" s="173"/>
      <c r="H223" s="185">
        <v>218</v>
      </c>
      <c r="I223" s="186" t="str">
        <f t="shared" si="14"/>
        <v/>
      </c>
      <c r="J223" s="185" t="e">
        <f t="shared" si="17"/>
        <v>#NUM!</v>
      </c>
      <c r="K223" s="185" t="e">
        <f t="shared" si="15"/>
        <v>#NUM!</v>
      </c>
      <c r="L223" s="185"/>
      <c r="M223" s="187">
        <f t="shared" si="16"/>
        <v>0</v>
      </c>
    </row>
    <row r="224" spans="1:13" x14ac:dyDescent="0.25">
      <c r="A224" s="202"/>
      <c r="G224" s="173"/>
      <c r="H224" s="185">
        <v>219</v>
      </c>
      <c r="I224" s="186" t="str">
        <f t="shared" si="14"/>
        <v/>
      </c>
      <c r="J224" s="185" t="e">
        <f t="shared" si="17"/>
        <v>#NUM!</v>
      </c>
      <c r="K224" s="185" t="e">
        <f t="shared" si="15"/>
        <v>#NUM!</v>
      </c>
      <c r="L224" s="185"/>
      <c r="M224" s="187">
        <f t="shared" si="16"/>
        <v>0</v>
      </c>
    </row>
    <row r="225" spans="1:13" x14ac:dyDescent="0.25">
      <c r="A225" s="202"/>
      <c r="G225" s="173"/>
      <c r="H225" s="185">
        <v>220</v>
      </c>
      <c r="I225" s="186" t="str">
        <f t="shared" si="14"/>
        <v/>
      </c>
      <c r="J225" s="185" t="e">
        <f t="shared" si="17"/>
        <v>#NUM!</v>
      </c>
      <c r="K225" s="185" t="e">
        <f t="shared" si="15"/>
        <v>#NUM!</v>
      </c>
      <c r="L225" s="185"/>
      <c r="M225" s="187">
        <f t="shared" si="16"/>
        <v>0</v>
      </c>
    </row>
    <row r="226" spans="1:13" x14ac:dyDescent="0.25">
      <c r="A226" s="202"/>
      <c r="G226" s="173"/>
      <c r="H226" s="185">
        <v>221</v>
      </c>
      <c r="I226" s="186" t="str">
        <f t="shared" si="14"/>
        <v/>
      </c>
      <c r="J226" s="185" t="e">
        <f t="shared" si="17"/>
        <v>#NUM!</v>
      </c>
      <c r="K226" s="185" t="e">
        <f t="shared" si="15"/>
        <v>#NUM!</v>
      </c>
      <c r="L226" s="185"/>
      <c r="M226" s="187">
        <f t="shared" si="16"/>
        <v>0</v>
      </c>
    </row>
    <row r="227" spans="1:13" x14ac:dyDescent="0.25">
      <c r="A227" s="202"/>
      <c r="G227" s="173"/>
      <c r="H227" s="185">
        <v>222</v>
      </c>
      <c r="I227" s="186" t="str">
        <f t="shared" si="14"/>
        <v/>
      </c>
      <c r="J227" s="185" t="e">
        <f t="shared" si="17"/>
        <v>#NUM!</v>
      </c>
      <c r="K227" s="185" t="e">
        <f t="shared" si="15"/>
        <v>#NUM!</v>
      </c>
      <c r="L227" s="185"/>
      <c r="M227" s="187">
        <f t="shared" si="16"/>
        <v>0</v>
      </c>
    </row>
    <row r="228" spans="1:13" x14ac:dyDescent="0.25">
      <c r="A228" s="202"/>
      <c r="G228" s="173"/>
      <c r="H228" s="185">
        <v>223</v>
      </c>
      <c r="I228" s="186" t="str">
        <f t="shared" si="14"/>
        <v/>
      </c>
      <c r="J228" s="185" t="e">
        <f t="shared" si="17"/>
        <v>#NUM!</v>
      </c>
      <c r="K228" s="185" t="e">
        <f t="shared" si="15"/>
        <v>#NUM!</v>
      </c>
      <c r="L228" s="185"/>
      <c r="M228" s="187">
        <f t="shared" si="16"/>
        <v>0</v>
      </c>
    </row>
    <row r="229" spans="1:13" x14ac:dyDescent="0.25">
      <c r="A229" s="202"/>
      <c r="G229" s="173"/>
      <c r="H229" s="185">
        <v>224</v>
      </c>
      <c r="I229" s="186" t="str">
        <f t="shared" si="14"/>
        <v/>
      </c>
      <c r="J229" s="185" t="e">
        <f t="shared" si="17"/>
        <v>#NUM!</v>
      </c>
      <c r="K229" s="185" t="e">
        <f t="shared" si="15"/>
        <v>#NUM!</v>
      </c>
      <c r="L229" s="185"/>
      <c r="M229" s="187">
        <f t="shared" si="16"/>
        <v>0</v>
      </c>
    </row>
    <row r="230" spans="1:13" x14ac:dyDescent="0.25">
      <c r="A230" s="202"/>
      <c r="G230" s="173"/>
      <c r="H230" s="185">
        <v>225</v>
      </c>
      <c r="I230" s="186" t="str">
        <f t="shared" si="14"/>
        <v/>
      </c>
      <c r="J230" s="185" t="e">
        <f t="shared" si="17"/>
        <v>#NUM!</v>
      </c>
      <c r="K230" s="185" t="e">
        <f t="shared" si="15"/>
        <v>#NUM!</v>
      </c>
      <c r="L230" s="185"/>
      <c r="M230" s="187">
        <f t="shared" si="16"/>
        <v>0</v>
      </c>
    </row>
    <row r="231" spans="1:13" x14ac:dyDescent="0.25">
      <c r="A231" s="202"/>
      <c r="G231" s="173"/>
      <c r="H231" s="185">
        <v>226</v>
      </c>
      <c r="I231" s="186" t="str">
        <f t="shared" si="14"/>
        <v/>
      </c>
      <c r="J231" s="185" t="e">
        <f t="shared" si="17"/>
        <v>#NUM!</v>
      </c>
      <c r="K231" s="185" t="e">
        <f t="shared" si="15"/>
        <v>#NUM!</v>
      </c>
      <c r="L231" s="185"/>
      <c r="M231" s="187">
        <f t="shared" si="16"/>
        <v>0</v>
      </c>
    </row>
    <row r="232" spans="1:13" x14ac:dyDescent="0.25">
      <c r="A232" s="202"/>
      <c r="G232" s="173"/>
      <c r="H232" s="185">
        <v>227</v>
      </c>
      <c r="I232" s="186" t="str">
        <f t="shared" si="14"/>
        <v/>
      </c>
      <c r="J232" s="185" t="e">
        <f t="shared" si="17"/>
        <v>#NUM!</v>
      </c>
      <c r="K232" s="185" t="e">
        <f t="shared" si="15"/>
        <v>#NUM!</v>
      </c>
      <c r="L232" s="185"/>
      <c r="M232" s="187">
        <f t="shared" si="16"/>
        <v>0</v>
      </c>
    </row>
    <row r="233" spans="1:13" x14ac:dyDescent="0.25">
      <c r="A233" s="202"/>
      <c r="G233" s="173"/>
      <c r="H233" s="185">
        <v>228</v>
      </c>
      <c r="I233" s="186" t="str">
        <f t="shared" si="14"/>
        <v/>
      </c>
      <c r="J233" s="185" t="e">
        <f t="shared" si="17"/>
        <v>#NUM!</v>
      </c>
      <c r="K233" s="185" t="e">
        <f t="shared" si="15"/>
        <v>#NUM!</v>
      </c>
      <c r="L233" s="185"/>
      <c r="M233" s="187">
        <f t="shared" si="16"/>
        <v>0</v>
      </c>
    </row>
    <row r="234" spans="1:13" x14ac:dyDescent="0.25">
      <c r="A234" s="202"/>
      <c r="G234" s="173"/>
      <c r="H234" s="185">
        <v>229</v>
      </c>
      <c r="I234" s="186" t="str">
        <f t="shared" si="14"/>
        <v/>
      </c>
      <c r="J234" s="185" t="e">
        <f t="shared" si="17"/>
        <v>#NUM!</v>
      </c>
      <c r="K234" s="185" t="e">
        <f t="shared" si="15"/>
        <v>#NUM!</v>
      </c>
      <c r="L234" s="185"/>
      <c r="M234" s="187">
        <f t="shared" si="16"/>
        <v>0</v>
      </c>
    </row>
    <row r="235" spans="1:13" x14ac:dyDescent="0.25">
      <c r="A235" s="202"/>
      <c r="G235" s="173"/>
      <c r="H235" s="185">
        <v>230</v>
      </c>
      <c r="I235" s="186" t="str">
        <f t="shared" si="14"/>
        <v/>
      </c>
      <c r="J235" s="185" t="e">
        <f t="shared" si="17"/>
        <v>#NUM!</v>
      </c>
      <c r="K235" s="185" t="e">
        <f t="shared" si="15"/>
        <v>#NUM!</v>
      </c>
      <c r="L235" s="185"/>
      <c r="M235" s="187">
        <f t="shared" si="16"/>
        <v>0</v>
      </c>
    </row>
    <row r="236" spans="1:13" x14ac:dyDescent="0.25">
      <c r="A236" s="202"/>
      <c r="G236" s="173"/>
      <c r="H236" s="185">
        <v>231</v>
      </c>
      <c r="I236" s="186" t="str">
        <f t="shared" si="14"/>
        <v/>
      </c>
      <c r="J236" s="185" t="e">
        <f t="shared" si="17"/>
        <v>#NUM!</v>
      </c>
      <c r="K236" s="185" t="e">
        <f t="shared" si="15"/>
        <v>#NUM!</v>
      </c>
      <c r="L236" s="185"/>
      <c r="M236" s="187">
        <f t="shared" si="16"/>
        <v>0</v>
      </c>
    </row>
    <row r="237" spans="1:13" x14ac:dyDescent="0.25">
      <c r="A237" s="202"/>
      <c r="G237" s="173"/>
      <c r="H237" s="185">
        <v>232</v>
      </c>
      <c r="I237" s="186" t="str">
        <f t="shared" si="14"/>
        <v/>
      </c>
      <c r="J237" s="185" t="e">
        <f t="shared" si="17"/>
        <v>#NUM!</v>
      </c>
      <c r="K237" s="185" t="e">
        <f t="shared" si="15"/>
        <v>#NUM!</v>
      </c>
      <c r="L237" s="185"/>
      <c r="M237" s="187">
        <f t="shared" si="16"/>
        <v>0</v>
      </c>
    </row>
    <row r="238" spans="1:13" x14ac:dyDescent="0.25">
      <c r="A238" s="202"/>
      <c r="G238" s="173"/>
      <c r="H238" s="185">
        <v>233</v>
      </c>
      <c r="I238" s="186" t="str">
        <f t="shared" si="14"/>
        <v/>
      </c>
      <c r="J238" s="185" t="e">
        <f t="shared" si="17"/>
        <v>#NUM!</v>
      </c>
      <c r="K238" s="185" t="e">
        <f t="shared" si="15"/>
        <v>#NUM!</v>
      </c>
      <c r="L238" s="185"/>
      <c r="M238" s="187">
        <f t="shared" si="16"/>
        <v>0</v>
      </c>
    </row>
    <row r="239" spans="1:13" x14ac:dyDescent="0.25">
      <c r="A239" s="202"/>
      <c r="G239" s="173"/>
      <c r="H239" s="185">
        <v>234</v>
      </c>
      <c r="I239" s="186" t="str">
        <f t="shared" si="14"/>
        <v/>
      </c>
      <c r="J239" s="185" t="e">
        <f t="shared" si="17"/>
        <v>#NUM!</v>
      </c>
      <c r="K239" s="185" t="e">
        <f t="shared" si="15"/>
        <v>#NUM!</v>
      </c>
      <c r="L239" s="185"/>
      <c r="M239" s="187">
        <f t="shared" si="16"/>
        <v>0</v>
      </c>
    </row>
    <row r="240" spans="1:13" x14ac:dyDescent="0.25">
      <c r="A240" s="202"/>
      <c r="G240" s="173"/>
      <c r="H240" s="185">
        <v>235</v>
      </c>
      <c r="I240" s="186" t="str">
        <f t="shared" si="14"/>
        <v/>
      </c>
      <c r="J240" s="185" t="e">
        <f t="shared" si="17"/>
        <v>#NUM!</v>
      </c>
      <c r="K240" s="185" t="e">
        <f t="shared" si="15"/>
        <v>#NUM!</v>
      </c>
      <c r="L240" s="185"/>
      <c r="M240" s="187">
        <f t="shared" si="16"/>
        <v>0</v>
      </c>
    </row>
    <row r="241" spans="1:13" x14ac:dyDescent="0.25">
      <c r="A241" s="202"/>
      <c r="G241" s="173"/>
      <c r="H241" s="185">
        <v>236</v>
      </c>
      <c r="I241" s="186" t="str">
        <f t="shared" si="14"/>
        <v/>
      </c>
      <c r="J241" s="185" t="e">
        <f t="shared" si="17"/>
        <v>#NUM!</v>
      </c>
      <c r="K241" s="185" t="e">
        <f t="shared" si="15"/>
        <v>#NUM!</v>
      </c>
      <c r="L241" s="185"/>
      <c r="M241" s="187">
        <f t="shared" si="16"/>
        <v>0</v>
      </c>
    </row>
    <row r="242" spans="1:13" x14ac:dyDescent="0.25">
      <c r="A242" s="202"/>
      <c r="G242" s="173"/>
      <c r="H242" s="185">
        <v>237</v>
      </c>
      <c r="I242" s="186" t="str">
        <f t="shared" si="14"/>
        <v/>
      </c>
      <c r="J242" s="185" t="e">
        <f t="shared" si="17"/>
        <v>#NUM!</v>
      </c>
      <c r="K242" s="185" t="e">
        <f t="shared" si="15"/>
        <v>#NUM!</v>
      </c>
      <c r="L242" s="185"/>
      <c r="M242" s="187">
        <f t="shared" si="16"/>
        <v>0</v>
      </c>
    </row>
    <row r="243" spans="1:13" x14ac:dyDescent="0.25">
      <c r="A243" s="202"/>
      <c r="G243" s="173"/>
      <c r="H243" s="185">
        <v>238</v>
      </c>
      <c r="I243" s="186" t="str">
        <f t="shared" si="14"/>
        <v/>
      </c>
      <c r="J243" s="185" t="e">
        <f t="shared" si="17"/>
        <v>#NUM!</v>
      </c>
      <c r="K243" s="185" t="e">
        <f t="shared" si="15"/>
        <v>#NUM!</v>
      </c>
      <c r="L243" s="185"/>
      <c r="M243" s="187">
        <f t="shared" si="16"/>
        <v>0</v>
      </c>
    </row>
    <row r="244" spans="1:13" x14ac:dyDescent="0.25">
      <c r="A244" s="202"/>
      <c r="G244" s="173"/>
      <c r="H244" s="185">
        <v>239</v>
      </c>
      <c r="I244" s="186" t="str">
        <f t="shared" si="14"/>
        <v/>
      </c>
      <c r="J244" s="185" t="e">
        <f t="shared" si="17"/>
        <v>#NUM!</v>
      </c>
      <c r="K244" s="185" t="e">
        <f t="shared" si="15"/>
        <v>#NUM!</v>
      </c>
      <c r="L244" s="185"/>
      <c r="M244" s="187">
        <f t="shared" si="16"/>
        <v>0</v>
      </c>
    </row>
    <row r="245" spans="1:13" x14ac:dyDescent="0.25">
      <c r="A245" s="202"/>
      <c r="G245" s="173"/>
      <c r="H245" s="185">
        <v>240</v>
      </c>
      <c r="I245" s="186" t="str">
        <f t="shared" si="14"/>
        <v/>
      </c>
      <c r="J245" s="185" t="e">
        <f t="shared" si="17"/>
        <v>#NUM!</v>
      </c>
      <c r="K245" s="185" t="e">
        <f t="shared" si="15"/>
        <v>#NUM!</v>
      </c>
      <c r="L245" s="185"/>
      <c r="M245" s="187">
        <f t="shared" si="16"/>
        <v>0</v>
      </c>
    </row>
    <row r="246" spans="1:13" x14ac:dyDescent="0.25">
      <c r="A246" s="202"/>
      <c r="G246" s="173"/>
      <c r="H246" s="185">
        <v>241</v>
      </c>
      <c r="I246" s="186" t="str">
        <f t="shared" si="14"/>
        <v/>
      </c>
      <c r="J246" s="185" t="e">
        <f t="shared" si="17"/>
        <v>#NUM!</v>
      </c>
      <c r="K246" s="185" t="e">
        <f t="shared" si="15"/>
        <v>#NUM!</v>
      </c>
      <c r="L246" s="185"/>
      <c r="M246" s="187">
        <f t="shared" si="16"/>
        <v>0</v>
      </c>
    </row>
    <row r="247" spans="1:13" x14ac:dyDescent="0.25">
      <c r="A247" s="202"/>
      <c r="G247" s="173"/>
      <c r="H247" s="185">
        <v>242</v>
      </c>
      <c r="I247" s="186" t="str">
        <f t="shared" si="14"/>
        <v/>
      </c>
      <c r="J247" s="185" t="e">
        <f t="shared" si="17"/>
        <v>#NUM!</v>
      </c>
      <c r="K247" s="185" t="e">
        <f t="shared" si="15"/>
        <v>#NUM!</v>
      </c>
      <c r="L247" s="185"/>
      <c r="M247" s="187">
        <f t="shared" si="16"/>
        <v>0</v>
      </c>
    </row>
    <row r="248" spans="1:13" x14ac:dyDescent="0.25">
      <c r="A248" s="202"/>
      <c r="G248" s="173"/>
      <c r="H248" s="185">
        <v>243</v>
      </c>
      <c r="I248" s="186" t="str">
        <f t="shared" si="14"/>
        <v/>
      </c>
      <c r="J248" s="185" t="e">
        <f t="shared" si="17"/>
        <v>#NUM!</v>
      </c>
      <c r="K248" s="185" t="e">
        <f t="shared" si="15"/>
        <v>#NUM!</v>
      </c>
      <c r="L248" s="185"/>
      <c r="M248" s="187">
        <f t="shared" si="16"/>
        <v>0</v>
      </c>
    </row>
    <row r="249" spans="1:13" x14ac:dyDescent="0.25">
      <c r="A249" s="202"/>
      <c r="G249" s="173"/>
      <c r="H249" s="185">
        <v>244</v>
      </c>
      <c r="I249" s="186" t="str">
        <f t="shared" si="14"/>
        <v/>
      </c>
      <c r="J249" s="185" t="e">
        <f t="shared" si="17"/>
        <v>#NUM!</v>
      </c>
      <c r="K249" s="185" t="e">
        <f t="shared" si="15"/>
        <v>#NUM!</v>
      </c>
      <c r="L249" s="185"/>
      <c r="M249" s="187">
        <f t="shared" si="16"/>
        <v>0</v>
      </c>
    </row>
    <row r="250" spans="1:13" x14ac:dyDescent="0.25">
      <c r="A250" s="202"/>
      <c r="G250" s="173"/>
      <c r="H250" s="185">
        <v>245</v>
      </c>
      <c r="I250" s="186" t="str">
        <f t="shared" si="14"/>
        <v/>
      </c>
      <c r="J250" s="185" t="e">
        <f t="shared" si="17"/>
        <v>#NUM!</v>
      </c>
      <c r="K250" s="185" t="e">
        <f t="shared" si="15"/>
        <v>#NUM!</v>
      </c>
      <c r="L250" s="185"/>
      <c r="M250" s="187">
        <f t="shared" si="16"/>
        <v>0</v>
      </c>
    </row>
    <row r="251" spans="1:13" x14ac:dyDescent="0.25">
      <c r="A251" s="202"/>
      <c r="G251" s="173"/>
      <c r="H251" s="185">
        <v>246</v>
      </c>
      <c r="I251" s="186" t="str">
        <f t="shared" si="14"/>
        <v/>
      </c>
      <c r="J251" s="185" t="e">
        <f t="shared" si="17"/>
        <v>#NUM!</v>
      </c>
      <c r="K251" s="185" t="e">
        <f t="shared" si="15"/>
        <v>#NUM!</v>
      </c>
      <c r="L251" s="185"/>
      <c r="M251" s="187">
        <f t="shared" si="16"/>
        <v>0</v>
      </c>
    </row>
    <row r="252" spans="1:13" x14ac:dyDescent="0.25">
      <c r="A252" s="202"/>
      <c r="G252" s="173"/>
      <c r="H252" s="185">
        <v>247</v>
      </c>
      <c r="I252" s="186" t="str">
        <f t="shared" si="14"/>
        <v/>
      </c>
      <c r="J252" s="185" t="e">
        <f t="shared" si="17"/>
        <v>#NUM!</v>
      </c>
      <c r="K252" s="185" t="e">
        <f t="shared" si="15"/>
        <v>#NUM!</v>
      </c>
      <c r="L252" s="185"/>
      <c r="M252" s="187">
        <f t="shared" si="16"/>
        <v>0</v>
      </c>
    </row>
    <row r="253" spans="1:13" x14ac:dyDescent="0.25">
      <c r="A253" s="202"/>
      <c r="G253" s="173"/>
      <c r="H253" s="185">
        <v>248</v>
      </c>
      <c r="I253" s="186" t="str">
        <f t="shared" si="14"/>
        <v/>
      </c>
      <c r="J253" s="185" t="e">
        <f t="shared" si="17"/>
        <v>#NUM!</v>
      </c>
      <c r="K253" s="185" t="e">
        <f t="shared" si="15"/>
        <v>#NUM!</v>
      </c>
      <c r="L253" s="185"/>
      <c r="M253" s="187">
        <f t="shared" si="16"/>
        <v>0</v>
      </c>
    </row>
    <row r="254" spans="1:13" x14ac:dyDescent="0.25">
      <c r="A254" s="202"/>
      <c r="G254" s="173"/>
      <c r="H254" s="185">
        <v>249</v>
      </c>
      <c r="I254" s="186" t="str">
        <f t="shared" si="14"/>
        <v/>
      </c>
      <c r="J254" s="185" t="e">
        <f t="shared" si="17"/>
        <v>#NUM!</v>
      </c>
      <c r="K254" s="185" t="e">
        <f t="shared" si="15"/>
        <v>#NUM!</v>
      </c>
      <c r="L254" s="185"/>
      <c r="M254" s="187">
        <f t="shared" si="16"/>
        <v>0</v>
      </c>
    </row>
    <row r="255" spans="1:13" x14ac:dyDescent="0.25">
      <c r="A255" s="202"/>
      <c r="G255" s="173"/>
      <c r="H255" s="185">
        <v>250</v>
      </c>
      <c r="I255" s="186" t="str">
        <f t="shared" si="14"/>
        <v/>
      </c>
      <c r="J255" s="185" t="e">
        <f t="shared" si="17"/>
        <v>#NUM!</v>
      </c>
      <c r="K255" s="185" t="e">
        <f t="shared" si="15"/>
        <v>#NUM!</v>
      </c>
      <c r="L255" s="185"/>
      <c r="M255" s="187">
        <f t="shared" si="16"/>
        <v>0</v>
      </c>
    </row>
    <row r="256" spans="1:13" x14ac:dyDescent="0.25">
      <c r="A256" s="202"/>
      <c r="G256" s="173"/>
      <c r="H256" s="185">
        <v>251</v>
      </c>
      <c r="I256" s="186" t="str">
        <f t="shared" si="14"/>
        <v/>
      </c>
      <c r="J256" s="185" t="e">
        <f t="shared" si="17"/>
        <v>#NUM!</v>
      </c>
      <c r="K256" s="185" t="e">
        <f t="shared" si="15"/>
        <v>#NUM!</v>
      </c>
      <c r="L256" s="185"/>
      <c r="M256" s="187">
        <f t="shared" si="16"/>
        <v>0</v>
      </c>
    </row>
    <row r="257" spans="1:13" x14ac:dyDescent="0.25">
      <c r="A257" s="202"/>
      <c r="G257" s="173"/>
      <c r="H257" s="185">
        <v>252</v>
      </c>
      <c r="I257" s="186" t="str">
        <f t="shared" si="14"/>
        <v/>
      </c>
      <c r="J257" s="185" t="e">
        <f t="shared" si="17"/>
        <v>#NUM!</v>
      </c>
      <c r="K257" s="185" t="e">
        <f t="shared" si="15"/>
        <v>#NUM!</v>
      </c>
      <c r="L257" s="185"/>
      <c r="M257" s="187">
        <f t="shared" si="16"/>
        <v>0</v>
      </c>
    </row>
    <row r="258" spans="1:13" x14ac:dyDescent="0.25">
      <c r="A258" s="202"/>
      <c r="G258" s="173"/>
      <c r="H258" s="185">
        <v>253</v>
      </c>
      <c r="I258" s="186" t="str">
        <f t="shared" si="14"/>
        <v/>
      </c>
      <c r="J258" s="185" t="e">
        <f t="shared" si="17"/>
        <v>#NUM!</v>
      </c>
      <c r="K258" s="185" t="e">
        <f t="shared" si="15"/>
        <v>#NUM!</v>
      </c>
      <c r="L258" s="185"/>
      <c r="M258" s="187">
        <f t="shared" si="16"/>
        <v>0</v>
      </c>
    </row>
    <row r="259" spans="1:13" x14ac:dyDescent="0.25">
      <c r="A259" s="202"/>
      <c r="G259" s="173"/>
      <c r="H259" s="185">
        <v>254</v>
      </c>
      <c r="I259" s="186" t="str">
        <f t="shared" si="14"/>
        <v/>
      </c>
      <c r="J259" s="185" t="e">
        <f t="shared" si="17"/>
        <v>#NUM!</v>
      </c>
      <c r="K259" s="185" t="e">
        <f t="shared" si="15"/>
        <v>#NUM!</v>
      </c>
      <c r="L259" s="185"/>
      <c r="M259" s="187">
        <f t="shared" si="16"/>
        <v>0</v>
      </c>
    </row>
    <row r="260" spans="1:13" x14ac:dyDescent="0.25">
      <c r="A260" s="202"/>
      <c r="G260" s="173"/>
      <c r="H260" s="185">
        <v>255</v>
      </c>
      <c r="I260" s="186" t="str">
        <f t="shared" si="14"/>
        <v/>
      </c>
      <c r="J260" s="185" t="e">
        <f t="shared" si="17"/>
        <v>#NUM!</v>
      </c>
      <c r="K260" s="185" t="e">
        <f t="shared" si="15"/>
        <v>#NUM!</v>
      </c>
      <c r="L260" s="185"/>
      <c r="M260" s="187">
        <f t="shared" si="16"/>
        <v>0</v>
      </c>
    </row>
    <row r="261" spans="1:13" x14ac:dyDescent="0.25">
      <c r="A261" s="202"/>
      <c r="G261" s="173"/>
      <c r="H261" s="185">
        <v>256</v>
      </c>
      <c r="I261" s="186" t="str">
        <f t="shared" si="14"/>
        <v/>
      </c>
      <c r="J261" s="185" t="e">
        <f t="shared" si="17"/>
        <v>#NUM!</v>
      </c>
      <c r="K261" s="185" t="e">
        <f t="shared" si="15"/>
        <v>#NUM!</v>
      </c>
      <c r="L261" s="185"/>
      <c r="M261" s="187">
        <f t="shared" si="16"/>
        <v>0</v>
      </c>
    </row>
    <row r="262" spans="1:13" x14ac:dyDescent="0.25">
      <c r="A262" s="202"/>
      <c r="G262" s="173"/>
      <c r="H262" s="185">
        <v>257</v>
      </c>
      <c r="I262" s="186" t="str">
        <f t="shared" ref="I262:I305" si="18">IF(H262&lt;$H$2+1,($I$2-($I$2-1)*(LOG(H262)/LOG($H$2))),"")</f>
        <v/>
      </c>
      <c r="J262" s="185" t="e">
        <f t="shared" si="17"/>
        <v>#NUM!</v>
      </c>
      <c r="K262" s="185" t="e">
        <f t="shared" ref="K262:K305" si="19">J262*$J$2</f>
        <v>#NUM!</v>
      </c>
      <c r="L262" s="185"/>
      <c r="M262" s="187">
        <f t="shared" ref="M262:M305" si="20">IF(I262&lt;&gt;"",K262+I262+L262,0)</f>
        <v>0</v>
      </c>
    </row>
    <row r="263" spans="1:13" x14ac:dyDescent="0.25">
      <c r="A263" s="202"/>
      <c r="G263" s="173"/>
      <c r="H263" s="185">
        <v>258</v>
      </c>
      <c r="I263" s="186" t="str">
        <f t="shared" si="18"/>
        <v/>
      </c>
      <c r="J263" s="185" t="e">
        <f t="shared" ref="J263:J326" si="21">INT(LOG($H$2,2))-ROUNDUP(LOG(H263,2),0)+IF(OR($H$2=1,$H$2=2,$H$2=4,$H$2=8,$H$2=16,$H$2=32,$H$2=64,$H$2=128,$H$2=256),0,1)</f>
        <v>#NUM!</v>
      </c>
      <c r="K263" s="185" t="e">
        <f t="shared" si="19"/>
        <v>#NUM!</v>
      </c>
      <c r="L263" s="185"/>
      <c r="M263" s="187">
        <f t="shared" si="20"/>
        <v>0</v>
      </c>
    </row>
    <row r="264" spans="1:13" x14ac:dyDescent="0.25">
      <c r="A264" s="202"/>
      <c r="G264" s="173"/>
      <c r="H264" s="185">
        <v>259</v>
      </c>
      <c r="I264" s="186" t="str">
        <f t="shared" si="18"/>
        <v/>
      </c>
      <c r="J264" s="185" t="e">
        <f t="shared" si="21"/>
        <v>#NUM!</v>
      </c>
      <c r="K264" s="185" t="e">
        <f t="shared" si="19"/>
        <v>#NUM!</v>
      </c>
      <c r="L264" s="185"/>
      <c r="M264" s="187">
        <f t="shared" si="20"/>
        <v>0</v>
      </c>
    </row>
    <row r="265" spans="1:13" x14ac:dyDescent="0.25">
      <c r="A265" s="202"/>
      <c r="G265" s="173"/>
      <c r="H265" s="185">
        <v>260</v>
      </c>
      <c r="I265" s="186" t="str">
        <f t="shared" si="18"/>
        <v/>
      </c>
      <c r="J265" s="185" t="e">
        <f t="shared" si="21"/>
        <v>#NUM!</v>
      </c>
      <c r="K265" s="185" t="e">
        <f t="shared" si="19"/>
        <v>#NUM!</v>
      </c>
      <c r="L265" s="185"/>
      <c r="M265" s="187">
        <f t="shared" si="20"/>
        <v>0</v>
      </c>
    </row>
    <row r="266" spans="1:13" x14ac:dyDescent="0.25">
      <c r="A266" s="202"/>
      <c r="G266" s="173"/>
      <c r="H266" s="185">
        <v>261</v>
      </c>
      <c r="I266" s="186" t="str">
        <f t="shared" si="18"/>
        <v/>
      </c>
      <c r="J266" s="185" t="e">
        <f t="shared" si="21"/>
        <v>#NUM!</v>
      </c>
      <c r="K266" s="185" t="e">
        <f t="shared" si="19"/>
        <v>#NUM!</v>
      </c>
      <c r="L266" s="185"/>
      <c r="M266" s="187">
        <f t="shared" si="20"/>
        <v>0</v>
      </c>
    </row>
    <row r="267" spans="1:13" x14ac:dyDescent="0.25">
      <c r="A267" s="202"/>
      <c r="G267" s="173"/>
      <c r="H267" s="185">
        <v>262</v>
      </c>
      <c r="I267" s="186" t="str">
        <f t="shared" si="18"/>
        <v/>
      </c>
      <c r="J267" s="185" t="e">
        <f t="shared" si="21"/>
        <v>#NUM!</v>
      </c>
      <c r="K267" s="185" t="e">
        <f t="shared" si="19"/>
        <v>#NUM!</v>
      </c>
      <c r="L267" s="185"/>
      <c r="M267" s="187">
        <f t="shared" si="20"/>
        <v>0</v>
      </c>
    </row>
    <row r="268" spans="1:13" x14ac:dyDescent="0.25">
      <c r="A268" s="202"/>
      <c r="G268" s="173"/>
      <c r="H268" s="185">
        <v>263</v>
      </c>
      <c r="I268" s="186" t="str">
        <f t="shared" si="18"/>
        <v/>
      </c>
      <c r="J268" s="185" t="e">
        <f t="shared" si="21"/>
        <v>#NUM!</v>
      </c>
      <c r="K268" s="185" t="e">
        <f t="shared" si="19"/>
        <v>#NUM!</v>
      </c>
      <c r="L268" s="185"/>
      <c r="M268" s="187">
        <f t="shared" si="20"/>
        <v>0</v>
      </c>
    </row>
    <row r="269" spans="1:13" x14ac:dyDescent="0.25">
      <c r="A269" s="202"/>
      <c r="G269" s="173"/>
      <c r="H269" s="185">
        <v>264</v>
      </c>
      <c r="I269" s="186" t="str">
        <f t="shared" si="18"/>
        <v/>
      </c>
      <c r="J269" s="185" t="e">
        <f t="shared" si="21"/>
        <v>#NUM!</v>
      </c>
      <c r="K269" s="185" t="e">
        <f t="shared" si="19"/>
        <v>#NUM!</v>
      </c>
      <c r="L269" s="185"/>
      <c r="M269" s="187">
        <f t="shared" si="20"/>
        <v>0</v>
      </c>
    </row>
    <row r="270" spans="1:13" x14ac:dyDescent="0.25">
      <c r="A270" s="202"/>
      <c r="G270" s="173"/>
      <c r="H270" s="185">
        <v>265</v>
      </c>
      <c r="I270" s="186" t="str">
        <f t="shared" si="18"/>
        <v/>
      </c>
      <c r="J270" s="185" t="e">
        <f t="shared" si="21"/>
        <v>#NUM!</v>
      </c>
      <c r="K270" s="185" t="e">
        <f t="shared" si="19"/>
        <v>#NUM!</v>
      </c>
      <c r="L270" s="185"/>
      <c r="M270" s="187">
        <f t="shared" si="20"/>
        <v>0</v>
      </c>
    </row>
    <row r="271" spans="1:13" x14ac:dyDescent="0.25">
      <c r="A271" s="202"/>
      <c r="G271" s="173"/>
      <c r="H271" s="185">
        <v>266</v>
      </c>
      <c r="I271" s="186" t="str">
        <f t="shared" si="18"/>
        <v/>
      </c>
      <c r="J271" s="185" t="e">
        <f t="shared" si="21"/>
        <v>#NUM!</v>
      </c>
      <c r="K271" s="185" t="e">
        <f t="shared" si="19"/>
        <v>#NUM!</v>
      </c>
      <c r="L271" s="185"/>
      <c r="M271" s="187">
        <f t="shared" si="20"/>
        <v>0</v>
      </c>
    </row>
    <row r="272" spans="1:13" x14ac:dyDescent="0.25">
      <c r="A272" s="202"/>
      <c r="G272" s="173"/>
      <c r="H272" s="185">
        <v>267</v>
      </c>
      <c r="I272" s="186" t="str">
        <f t="shared" si="18"/>
        <v/>
      </c>
      <c r="J272" s="185" t="e">
        <f t="shared" si="21"/>
        <v>#NUM!</v>
      </c>
      <c r="K272" s="185" t="e">
        <f t="shared" si="19"/>
        <v>#NUM!</v>
      </c>
      <c r="L272" s="185"/>
      <c r="M272" s="187">
        <f t="shared" si="20"/>
        <v>0</v>
      </c>
    </row>
    <row r="273" spans="1:13" x14ac:dyDescent="0.25">
      <c r="A273" s="202"/>
      <c r="G273" s="173"/>
      <c r="H273" s="185">
        <v>268</v>
      </c>
      <c r="I273" s="186" t="str">
        <f t="shared" si="18"/>
        <v/>
      </c>
      <c r="J273" s="185" t="e">
        <f t="shared" si="21"/>
        <v>#NUM!</v>
      </c>
      <c r="K273" s="185" t="e">
        <f t="shared" si="19"/>
        <v>#NUM!</v>
      </c>
      <c r="L273" s="185"/>
      <c r="M273" s="187">
        <f t="shared" si="20"/>
        <v>0</v>
      </c>
    </row>
    <row r="274" spans="1:13" x14ac:dyDescent="0.25">
      <c r="A274" s="202"/>
      <c r="G274" s="173"/>
      <c r="H274" s="185">
        <v>269</v>
      </c>
      <c r="I274" s="186" t="str">
        <f t="shared" si="18"/>
        <v/>
      </c>
      <c r="J274" s="185" t="e">
        <f t="shared" si="21"/>
        <v>#NUM!</v>
      </c>
      <c r="K274" s="185" t="e">
        <f t="shared" si="19"/>
        <v>#NUM!</v>
      </c>
      <c r="L274" s="185"/>
      <c r="M274" s="187">
        <f t="shared" si="20"/>
        <v>0</v>
      </c>
    </row>
    <row r="275" spans="1:13" x14ac:dyDescent="0.25">
      <c r="A275" s="202"/>
      <c r="G275" s="173"/>
      <c r="H275" s="185">
        <v>270</v>
      </c>
      <c r="I275" s="186" t="str">
        <f t="shared" si="18"/>
        <v/>
      </c>
      <c r="J275" s="185" t="e">
        <f t="shared" si="21"/>
        <v>#NUM!</v>
      </c>
      <c r="K275" s="185" t="e">
        <f t="shared" si="19"/>
        <v>#NUM!</v>
      </c>
      <c r="L275" s="185"/>
      <c r="M275" s="187">
        <f t="shared" si="20"/>
        <v>0</v>
      </c>
    </row>
    <row r="276" spans="1:13" x14ac:dyDescent="0.25">
      <c r="A276" s="202"/>
      <c r="G276" s="173"/>
      <c r="H276" s="185">
        <v>271</v>
      </c>
      <c r="I276" s="186" t="str">
        <f t="shared" si="18"/>
        <v/>
      </c>
      <c r="J276" s="185" t="e">
        <f t="shared" si="21"/>
        <v>#NUM!</v>
      </c>
      <c r="K276" s="185" t="e">
        <f t="shared" si="19"/>
        <v>#NUM!</v>
      </c>
      <c r="L276" s="185"/>
      <c r="M276" s="187">
        <f t="shared" si="20"/>
        <v>0</v>
      </c>
    </row>
    <row r="277" spans="1:13" x14ac:dyDescent="0.25">
      <c r="A277" s="202"/>
      <c r="G277" s="173"/>
      <c r="H277" s="185">
        <v>272</v>
      </c>
      <c r="I277" s="186" t="str">
        <f t="shared" si="18"/>
        <v/>
      </c>
      <c r="J277" s="185" t="e">
        <f t="shared" si="21"/>
        <v>#NUM!</v>
      </c>
      <c r="K277" s="185" t="e">
        <f t="shared" si="19"/>
        <v>#NUM!</v>
      </c>
      <c r="L277" s="185"/>
      <c r="M277" s="187">
        <f t="shared" si="20"/>
        <v>0</v>
      </c>
    </row>
    <row r="278" spans="1:13" x14ac:dyDescent="0.25">
      <c r="A278" s="202"/>
      <c r="G278" s="173"/>
      <c r="H278" s="185">
        <v>273</v>
      </c>
      <c r="I278" s="186" t="str">
        <f t="shared" si="18"/>
        <v/>
      </c>
      <c r="J278" s="185" t="e">
        <f t="shared" si="21"/>
        <v>#NUM!</v>
      </c>
      <c r="K278" s="185" t="e">
        <f t="shared" si="19"/>
        <v>#NUM!</v>
      </c>
      <c r="L278" s="185"/>
      <c r="M278" s="187">
        <f t="shared" si="20"/>
        <v>0</v>
      </c>
    </row>
    <row r="279" spans="1:13" x14ac:dyDescent="0.25">
      <c r="A279" s="202"/>
      <c r="G279" s="173"/>
      <c r="H279" s="185">
        <v>274</v>
      </c>
      <c r="I279" s="186" t="str">
        <f t="shared" si="18"/>
        <v/>
      </c>
      <c r="J279" s="185" t="e">
        <f t="shared" si="21"/>
        <v>#NUM!</v>
      </c>
      <c r="K279" s="185" t="e">
        <f t="shared" si="19"/>
        <v>#NUM!</v>
      </c>
      <c r="L279" s="185"/>
      <c r="M279" s="187">
        <f t="shared" si="20"/>
        <v>0</v>
      </c>
    </row>
    <row r="280" spans="1:13" x14ac:dyDescent="0.25">
      <c r="A280" s="202"/>
      <c r="G280" s="173"/>
      <c r="H280" s="185">
        <v>275</v>
      </c>
      <c r="I280" s="186" t="str">
        <f t="shared" si="18"/>
        <v/>
      </c>
      <c r="J280" s="185" t="e">
        <f t="shared" si="21"/>
        <v>#NUM!</v>
      </c>
      <c r="K280" s="185" t="e">
        <f t="shared" si="19"/>
        <v>#NUM!</v>
      </c>
      <c r="L280" s="185"/>
      <c r="M280" s="187">
        <f t="shared" si="20"/>
        <v>0</v>
      </c>
    </row>
    <row r="281" spans="1:13" x14ac:dyDescent="0.25">
      <c r="A281" s="202"/>
      <c r="G281" s="173"/>
      <c r="H281" s="185">
        <v>276</v>
      </c>
      <c r="I281" s="186" t="str">
        <f t="shared" si="18"/>
        <v/>
      </c>
      <c r="J281" s="185" t="e">
        <f t="shared" si="21"/>
        <v>#NUM!</v>
      </c>
      <c r="K281" s="185" t="e">
        <f t="shared" si="19"/>
        <v>#NUM!</v>
      </c>
      <c r="L281" s="185"/>
      <c r="M281" s="187">
        <f t="shared" si="20"/>
        <v>0</v>
      </c>
    </row>
    <row r="282" spans="1:13" x14ac:dyDescent="0.25">
      <c r="A282" s="202"/>
      <c r="G282" s="173"/>
      <c r="H282" s="185">
        <v>277</v>
      </c>
      <c r="I282" s="186" t="str">
        <f t="shared" si="18"/>
        <v/>
      </c>
      <c r="J282" s="185" t="e">
        <f t="shared" si="21"/>
        <v>#NUM!</v>
      </c>
      <c r="K282" s="185" t="e">
        <f t="shared" si="19"/>
        <v>#NUM!</v>
      </c>
      <c r="L282" s="185"/>
      <c r="M282" s="187">
        <f t="shared" si="20"/>
        <v>0</v>
      </c>
    </row>
    <row r="283" spans="1:13" x14ac:dyDescent="0.25">
      <c r="A283" s="202"/>
      <c r="G283" s="173"/>
      <c r="H283" s="185">
        <v>278</v>
      </c>
      <c r="I283" s="186" t="str">
        <f t="shared" si="18"/>
        <v/>
      </c>
      <c r="J283" s="185" t="e">
        <f t="shared" si="21"/>
        <v>#NUM!</v>
      </c>
      <c r="K283" s="185" t="e">
        <f t="shared" si="19"/>
        <v>#NUM!</v>
      </c>
      <c r="L283" s="185"/>
      <c r="M283" s="187">
        <f t="shared" si="20"/>
        <v>0</v>
      </c>
    </row>
    <row r="284" spans="1:13" x14ac:dyDescent="0.25">
      <c r="A284" s="202"/>
      <c r="G284" s="173"/>
      <c r="H284" s="185">
        <v>279</v>
      </c>
      <c r="I284" s="186" t="str">
        <f t="shared" si="18"/>
        <v/>
      </c>
      <c r="J284" s="185" t="e">
        <f t="shared" si="21"/>
        <v>#NUM!</v>
      </c>
      <c r="K284" s="185" t="e">
        <f t="shared" si="19"/>
        <v>#NUM!</v>
      </c>
      <c r="L284" s="185"/>
      <c r="M284" s="187">
        <f t="shared" si="20"/>
        <v>0</v>
      </c>
    </row>
    <row r="285" spans="1:13" x14ac:dyDescent="0.25">
      <c r="A285" s="202"/>
      <c r="G285" s="173"/>
      <c r="H285" s="185">
        <v>280</v>
      </c>
      <c r="I285" s="186" t="str">
        <f t="shared" si="18"/>
        <v/>
      </c>
      <c r="J285" s="185" t="e">
        <f t="shared" si="21"/>
        <v>#NUM!</v>
      </c>
      <c r="K285" s="185" t="e">
        <f t="shared" si="19"/>
        <v>#NUM!</v>
      </c>
      <c r="L285" s="185"/>
      <c r="M285" s="187">
        <f t="shared" si="20"/>
        <v>0</v>
      </c>
    </row>
    <row r="286" spans="1:13" x14ac:dyDescent="0.25">
      <c r="A286" s="202"/>
      <c r="G286" s="173"/>
      <c r="H286" s="185">
        <v>281</v>
      </c>
      <c r="I286" s="186" t="str">
        <f t="shared" si="18"/>
        <v/>
      </c>
      <c r="J286" s="185" t="e">
        <f t="shared" si="21"/>
        <v>#NUM!</v>
      </c>
      <c r="K286" s="185" t="e">
        <f t="shared" si="19"/>
        <v>#NUM!</v>
      </c>
      <c r="L286" s="185"/>
      <c r="M286" s="187">
        <f t="shared" si="20"/>
        <v>0</v>
      </c>
    </row>
    <row r="287" spans="1:13" x14ac:dyDescent="0.25">
      <c r="A287" s="202"/>
      <c r="G287" s="173"/>
      <c r="H287" s="185">
        <v>282</v>
      </c>
      <c r="I287" s="186" t="str">
        <f t="shared" si="18"/>
        <v/>
      </c>
      <c r="J287" s="185" t="e">
        <f t="shared" si="21"/>
        <v>#NUM!</v>
      </c>
      <c r="K287" s="185" t="e">
        <f t="shared" si="19"/>
        <v>#NUM!</v>
      </c>
      <c r="L287" s="185"/>
      <c r="M287" s="187">
        <f t="shared" si="20"/>
        <v>0</v>
      </c>
    </row>
    <row r="288" spans="1:13" x14ac:dyDescent="0.25">
      <c r="A288" s="202"/>
      <c r="G288" s="173"/>
      <c r="H288" s="185">
        <v>283</v>
      </c>
      <c r="I288" s="186" t="str">
        <f t="shared" si="18"/>
        <v/>
      </c>
      <c r="J288" s="185" t="e">
        <f t="shared" si="21"/>
        <v>#NUM!</v>
      </c>
      <c r="K288" s="185" t="e">
        <f t="shared" si="19"/>
        <v>#NUM!</v>
      </c>
      <c r="L288" s="185"/>
      <c r="M288" s="187">
        <f t="shared" si="20"/>
        <v>0</v>
      </c>
    </row>
    <row r="289" spans="1:13" x14ac:dyDescent="0.25">
      <c r="A289" s="202"/>
      <c r="G289" s="173"/>
      <c r="H289" s="185">
        <v>284</v>
      </c>
      <c r="I289" s="186" t="str">
        <f t="shared" si="18"/>
        <v/>
      </c>
      <c r="J289" s="185" t="e">
        <f t="shared" si="21"/>
        <v>#NUM!</v>
      </c>
      <c r="K289" s="185" t="e">
        <f t="shared" si="19"/>
        <v>#NUM!</v>
      </c>
      <c r="L289" s="185"/>
      <c r="M289" s="187">
        <f t="shared" si="20"/>
        <v>0</v>
      </c>
    </row>
    <row r="290" spans="1:13" x14ac:dyDescent="0.25">
      <c r="A290" s="202"/>
      <c r="G290" s="173"/>
      <c r="H290" s="185">
        <v>285</v>
      </c>
      <c r="I290" s="186" t="str">
        <f t="shared" si="18"/>
        <v/>
      </c>
      <c r="J290" s="185" t="e">
        <f t="shared" si="21"/>
        <v>#NUM!</v>
      </c>
      <c r="K290" s="185" t="e">
        <f t="shared" si="19"/>
        <v>#NUM!</v>
      </c>
      <c r="L290" s="185"/>
      <c r="M290" s="187">
        <f t="shared" si="20"/>
        <v>0</v>
      </c>
    </row>
    <row r="291" spans="1:13" x14ac:dyDescent="0.25">
      <c r="A291" s="202"/>
      <c r="G291" s="173"/>
      <c r="H291" s="185">
        <v>286</v>
      </c>
      <c r="I291" s="186" t="str">
        <f t="shared" si="18"/>
        <v/>
      </c>
      <c r="J291" s="185" t="e">
        <f t="shared" si="21"/>
        <v>#NUM!</v>
      </c>
      <c r="K291" s="185" t="e">
        <f t="shared" si="19"/>
        <v>#NUM!</v>
      </c>
      <c r="L291" s="185"/>
      <c r="M291" s="187">
        <f t="shared" si="20"/>
        <v>0</v>
      </c>
    </row>
    <row r="292" spans="1:13" x14ac:dyDescent="0.25">
      <c r="A292" s="202"/>
      <c r="G292" s="173"/>
      <c r="H292" s="185">
        <v>287</v>
      </c>
      <c r="I292" s="186" t="str">
        <f t="shared" si="18"/>
        <v/>
      </c>
      <c r="J292" s="185" t="e">
        <f t="shared" si="21"/>
        <v>#NUM!</v>
      </c>
      <c r="K292" s="185" t="e">
        <f t="shared" si="19"/>
        <v>#NUM!</v>
      </c>
      <c r="L292" s="185"/>
      <c r="M292" s="187">
        <f t="shared" si="20"/>
        <v>0</v>
      </c>
    </row>
    <row r="293" spans="1:13" x14ac:dyDescent="0.25">
      <c r="A293" s="202"/>
      <c r="G293" s="173"/>
      <c r="H293" s="185">
        <v>288</v>
      </c>
      <c r="I293" s="186" t="str">
        <f t="shared" si="18"/>
        <v/>
      </c>
      <c r="J293" s="185" t="e">
        <f t="shared" si="21"/>
        <v>#NUM!</v>
      </c>
      <c r="K293" s="185" t="e">
        <f t="shared" si="19"/>
        <v>#NUM!</v>
      </c>
      <c r="L293" s="185"/>
      <c r="M293" s="187">
        <f t="shared" si="20"/>
        <v>0</v>
      </c>
    </row>
    <row r="294" spans="1:13" x14ac:dyDescent="0.25">
      <c r="A294" s="202"/>
      <c r="G294" s="173"/>
      <c r="H294" s="185">
        <v>289</v>
      </c>
      <c r="I294" s="186" t="str">
        <f t="shared" si="18"/>
        <v/>
      </c>
      <c r="J294" s="185" t="e">
        <f t="shared" si="21"/>
        <v>#NUM!</v>
      </c>
      <c r="K294" s="185" t="e">
        <f t="shared" si="19"/>
        <v>#NUM!</v>
      </c>
      <c r="L294" s="185"/>
      <c r="M294" s="187">
        <f t="shared" si="20"/>
        <v>0</v>
      </c>
    </row>
    <row r="295" spans="1:13" x14ac:dyDescent="0.25">
      <c r="A295" s="202"/>
      <c r="G295" s="173"/>
      <c r="H295" s="185">
        <v>290</v>
      </c>
      <c r="I295" s="186" t="str">
        <f t="shared" si="18"/>
        <v/>
      </c>
      <c r="J295" s="185" t="e">
        <f t="shared" si="21"/>
        <v>#NUM!</v>
      </c>
      <c r="K295" s="185" t="e">
        <f t="shared" si="19"/>
        <v>#NUM!</v>
      </c>
      <c r="L295" s="185"/>
      <c r="M295" s="187">
        <f t="shared" si="20"/>
        <v>0</v>
      </c>
    </row>
    <row r="296" spans="1:13" x14ac:dyDescent="0.25">
      <c r="A296" s="202"/>
      <c r="G296" s="173"/>
      <c r="H296" s="185">
        <v>291</v>
      </c>
      <c r="I296" s="186" t="str">
        <f t="shared" si="18"/>
        <v/>
      </c>
      <c r="J296" s="185" t="e">
        <f t="shared" si="21"/>
        <v>#NUM!</v>
      </c>
      <c r="K296" s="185" t="e">
        <f t="shared" si="19"/>
        <v>#NUM!</v>
      </c>
      <c r="L296" s="185"/>
      <c r="M296" s="187">
        <f t="shared" si="20"/>
        <v>0</v>
      </c>
    </row>
    <row r="297" spans="1:13" x14ac:dyDescent="0.25">
      <c r="A297" s="202"/>
      <c r="G297" s="173"/>
      <c r="H297" s="185">
        <v>292</v>
      </c>
      <c r="I297" s="186" t="str">
        <f t="shared" si="18"/>
        <v/>
      </c>
      <c r="J297" s="185" t="e">
        <f t="shared" si="21"/>
        <v>#NUM!</v>
      </c>
      <c r="K297" s="185" t="e">
        <f t="shared" si="19"/>
        <v>#NUM!</v>
      </c>
      <c r="L297" s="185"/>
      <c r="M297" s="187">
        <f t="shared" si="20"/>
        <v>0</v>
      </c>
    </row>
    <row r="298" spans="1:13" x14ac:dyDescent="0.25">
      <c r="A298" s="202"/>
      <c r="G298" s="173"/>
      <c r="H298" s="185">
        <v>293</v>
      </c>
      <c r="I298" s="186" t="str">
        <f t="shared" si="18"/>
        <v/>
      </c>
      <c r="J298" s="185" t="e">
        <f t="shared" si="21"/>
        <v>#NUM!</v>
      </c>
      <c r="K298" s="185" t="e">
        <f t="shared" si="19"/>
        <v>#NUM!</v>
      </c>
      <c r="L298" s="185"/>
      <c r="M298" s="187">
        <f t="shared" si="20"/>
        <v>0</v>
      </c>
    </row>
    <row r="299" spans="1:13" x14ac:dyDescent="0.25">
      <c r="A299" s="202"/>
      <c r="G299" s="173"/>
      <c r="H299" s="185">
        <v>294</v>
      </c>
      <c r="I299" s="186" t="str">
        <f t="shared" si="18"/>
        <v/>
      </c>
      <c r="J299" s="185" t="e">
        <f t="shared" si="21"/>
        <v>#NUM!</v>
      </c>
      <c r="K299" s="185" t="e">
        <f t="shared" si="19"/>
        <v>#NUM!</v>
      </c>
      <c r="L299" s="185"/>
      <c r="M299" s="187">
        <f t="shared" si="20"/>
        <v>0</v>
      </c>
    </row>
    <row r="300" spans="1:13" x14ac:dyDescent="0.25">
      <c r="A300" s="202"/>
      <c r="G300" s="173"/>
      <c r="H300" s="185">
        <v>295</v>
      </c>
      <c r="I300" s="186" t="str">
        <f t="shared" si="18"/>
        <v/>
      </c>
      <c r="J300" s="185" t="e">
        <f t="shared" si="21"/>
        <v>#NUM!</v>
      </c>
      <c r="K300" s="185" t="e">
        <f t="shared" si="19"/>
        <v>#NUM!</v>
      </c>
      <c r="L300" s="185"/>
      <c r="M300" s="187">
        <f t="shared" si="20"/>
        <v>0</v>
      </c>
    </row>
    <row r="301" spans="1:13" x14ac:dyDescent="0.25">
      <c r="A301" s="202"/>
      <c r="G301" s="173"/>
      <c r="H301" s="185">
        <v>296</v>
      </c>
      <c r="I301" s="186" t="str">
        <f t="shared" si="18"/>
        <v/>
      </c>
      <c r="J301" s="185" t="e">
        <f t="shared" si="21"/>
        <v>#NUM!</v>
      </c>
      <c r="K301" s="185" t="e">
        <f t="shared" si="19"/>
        <v>#NUM!</v>
      </c>
      <c r="L301" s="185"/>
      <c r="M301" s="187">
        <f t="shared" si="20"/>
        <v>0</v>
      </c>
    </row>
    <row r="302" spans="1:13" x14ac:dyDescent="0.25">
      <c r="A302" s="202"/>
      <c r="G302" s="173"/>
      <c r="H302" s="185">
        <v>297</v>
      </c>
      <c r="I302" s="186" t="str">
        <f t="shared" si="18"/>
        <v/>
      </c>
      <c r="J302" s="185" t="e">
        <f t="shared" si="21"/>
        <v>#NUM!</v>
      </c>
      <c r="K302" s="185" t="e">
        <f t="shared" si="19"/>
        <v>#NUM!</v>
      </c>
      <c r="L302" s="185"/>
      <c r="M302" s="187">
        <f t="shared" si="20"/>
        <v>0</v>
      </c>
    </row>
    <row r="303" spans="1:13" x14ac:dyDescent="0.25">
      <c r="A303" s="202"/>
      <c r="G303" s="173"/>
      <c r="H303" s="185">
        <v>298</v>
      </c>
      <c r="I303" s="186" t="str">
        <f t="shared" si="18"/>
        <v/>
      </c>
      <c r="J303" s="185" t="e">
        <f t="shared" si="21"/>
        <v>#NUM!</v>
      </c>
      <c r="K303" s="185" t="e">
        <f t="shared" si="19"/>
        <v>#NUM!</v>
      </c>
      <c r="L303" s="185"/>
      <c r="M303" s="187">
        <f t="shared" si="20"/>
        <v>0</v>
      </c>
    </row>
    <row r="304" spans="1:13" x14ac:dyDescent="0.25">
      <c r="A304" s="202"/>
      <c r="G304" s="173"/>
      <c r="H304" s="185">
        <v>299</v>
      </c>
      <c r="I304" s="186" t="str">
        <f t="shared" si="18"/>
        <v/>
      </c>
      <c r="J304" s="185" t="e">
        <f t="shared" si="21"/>
        <v>#NUM!</v>
      </c>
      <c r="K304" s="185" t="e">
        <f t="shared" si="19"/>
        <v>#NUM!</v>
      </c>
      <c r="L304" s="185"/>
      <c r="M304" s="187">
        <f t="shared" si="20"/>
        <v>0</v>
      </c>
    </row>
    <row r="305" spans="1:16" x14ac:dyDescent="0.25">
      <c r="A305" s="202"/>
      <c r="G305" s="173"/>
      <c r="H305" s="185">
        <v>300</v>
      </c>
      <c r="I305" s="186" t="str">
        <f t="shared" si="18"/>
        <v/>
      </c>
      <c r="J305" s="185" t="e">
        <f t="shared" si="21"/>
        <v>#NUM!</v>
      </c>
      <c r="K305" s="185" t="e">
        <f t="shared" si="19"/>
        <v>#NUM!</v>
      </c>
      <c r="L305" s="185"/>
      <c r="M305" s="187">
        <f t="shared" si="20"/>
        <v>0</v>
      </c>
    </row>
    <row r="306" spans="1:16" x14ac:dyDescent="0.25">
      <c r="A306" s="203"/>
      <c r="J306" s="204" t="e">
        <f t="shared" si="21"/>
        <v>#NUM!</v>
      </c>
    </row>
    <row r="307" spans="1:16" x14ac:dyDescent="0.25">
      <c r="J307" s="204" t="e">
        <f t="shared" si="21"/>
        <v>#NUM!</v>
      </c>
    </row>
    <row r="308" spans="1:16" x14ac:dyDescent="0.25">
      <c r="J308" s="204" t="e">
        <f t="shared" si="21"/>
        <v>#NUM!</v>
      </c>
    </row>
    <row r="309" spans="1:16" x14ac:dyDescent="0.25">
      <c r="J309" s="204" t="e">
        <f t="shared" si="21"/>
        <v>#NUM!</v>
      </c>
    </row>
    <row r="310" spans="1:16" x14ac:dyDescent="0.25">
      <c r="J310" s="204" t="e">
        <f t="shared" si="21"/>
        <v>#NUM!</v>
      </c>
    </row>
    <row r="311" spans="1:16" x14ac:dyDescent="0.25">
      <c r="J311" s="204" t="e">
        <f t="shared" si="21"/>
        <v>#NUM!</v>
      </c>
    </row>
    <row r="312" spans="1:16" x14ac:dyDescent="0.25">
      <c r="J312" s="204" t="e">
        <f t="shared" si="21"/>
        <v>#NUM!</v>
      </c>
    </row>
    <row r="313" spans="1:16" x14ac:dyDescent="0.25">
      <c r="J313" s="204" t="e">
        <f t="shared" si="21"/>
        <v>#NUM!</v>
      </c>
    </row>
    <row r="314" spans="1:16" x14ac:dyDescent="0.25">
      <c r="J314" s="204" t="e">
        <f t="shared" si="21"/>
        <v>#NUM!</v>
      </c>
      <c r="L314" s="206"/>
      <c r="P314" s="196"/>
    </row>
    <row r="315" spans="1:16" x14ac:dyDescent="0.25">
      <c r="J315" s="204" t="e">
        <f t="shared" si="21"/>
        <v>#NUM!</v>
      </c>
      <c r="L315" s="206"/>
      <c r="P315" s="196"/>
    </row>
    <row r="316" spans="1:16" x14ac:dyDescent="0.25">
      <c r="J316" s="204" t="e">
        <f t="shared" si="21"/>
        <v>#NUM!</v>
      </c>
      <c r="L316" s="206"/>
      <c r="P316" s="196"/>
    </row>
    <row r="317" spans="1:16" x14ac:dyDescent="0.25">
      <c r="J317" s="204" t="e">
        <f t="shared" si="21"/>
        <v>#NUM!</v>
      </c>
      <c r="L317" s="206"/>
      <c r="P317" s="196"/>
    </row>
    <row r="318" spans="1:16" x14ac:dyDescent="0.25">
      <c r="J318" s="204" t="e">
        <f t="shared" si="21"/>
        <v>#NUM!</v>
      </c>
    </row>
    <row r="319" spans="1:16" x14ac:dyDescent="0.25">
      <c r="J319" s="204" t="e">
        <f t="shared" si="21"/>
        <v>#NUM!</v>
      </c>
    </row>
    <row r="320" spans="1:16" x14ac:dyDescent="0.25">
      <c r="J320" s="204" t="e">
        <f t="shared" si="21"/>
        <v>#NUM!</v>
      </c>
    </row>
    <row r="321" spans="10:10" x14ac:dyDescent="0.25">
      <c r="J321" s="204" t="e">
        <f t="shared" si="21"/>
        <v>#NUM!</v>
      </c>
    </row>
    <row r="322" spans="10:10" x14ac:dyDescent="0.25">
      <c r="J322" s="204" t="e">
        <f t="shared" si="21"/>
        <v>#NUM!</v>
      </c>
    </row>
    <row r="323" spans="10:10" x14ac:dyDescent="0.25">
      <c r="J323" s="204" t="e">
        <f t="shared" si="21"/>
        <v>#NUM!</v>
      </c>
    </row>
    <row r="324" spans="10:10" x14ac:dyDescent="0.25">
      <c r="J324" s="204" t="e">
        <f t="shared" si="21"/>
        <v>#NUM!</v>
      </c>
    </row>
    <row r="325" spans="10:10" x14ac:dyDescent="0.25">
      <c r="J325" s="204" t="e">
        <f t="shared" si="21"/>
        <v>#NUM!</v>
      </c>
    </row>
    <row r="326" spans="10:10" x14ac:dyDescent="0.25">
      <c r="J326" s="204" t="e">
        <f t="shared" si="21"/>
        <v>#NUM!</v>
      </c>
    </row>
    <row r="327" spans="10:10" x14ac:dyDescent="0.25">
      <c r="J327" s="20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4" t="e">
        <f t="shared" si="22"/>
        <v>#NUM!</v>
      </c>
    </row>
    <row r="329" spans="10:10" x14ac:dyDescent="0.25">
      <c r="J329" s="204" t="e">
        <f t="shared" si="22"/>
        <v>#NUM!</v>
      </c>
    </row>
    <row r="330" spans="10:10" x14ac:dyDescent="0.25">
      <c r="J330" s="204" t="e">
        <f t="shared" si="22"/>
        <v>#NUM!</v>
      </c>
    </row>
    <row r="331" spans="10:10" x14ac:dyDescent="0.25">
      <c r="J331" s="204" t="e">
        <f t="shared" si="22"/>
        <v>#NUM!</v>
      </c>
    </row>
    <row r="332" spans="10:10" x14ac:dyDescent="0.25">
      <c r="J332" s="204" t="e">
        <f t="shared" si="22"/>
        <v>#NUM!</v>
      </c>
    </row>
    <row r="333" spans="10:10" x14ac:dyDescent="0.25">
      <c r="J333" s="204" t="e">
        <f t="shared" si="22"/>
        <v>#NUM!</v>
      </c>
    </row>
    <row r="334" spans="10:10" x14ac:dyDescent="0.25">
      <c r="J334" s="204" t="e">
        <f t="shared" si="22"/>
        <v>#NUM!</v>
      </c>
    </row>
    <row r="335" spans="10:10" x14ac:dyDescent="0.25">
      <c r="J335" s="204" t="e">
        <f t="shared" si="22"/>
        <v>#NUM!</v>
      </c>
    </row>
    <row r="336" spans="10:10" x14ac:dyDescent="0.25">
      <c r="J336" s="204" t="e">
        <f t="shared" si="22"/>
        <v>#NUM!</v>
      </c>
    </row>
    <row r="337" spans="10:10" x14ac:dyDescent="0.25">
      <c r="J337" s="204" t="e">
        <f t="shared" si="22"/>
        <v>#NUM!</v>
      </c>
    </row>
    <row r="338" spans="10:10" x14ac:dyDescent="0.25">
      <c r="J338" s="204" t="e">
        <f t="shared" si="22"/>
        <v>#NUM!</v>
      </c>
    </row>
    <row r="339" spans="10:10" x14ac:dyDescent="0.25">
      <c r="J339" s="204" t="e">
        <f t="shared" si="22"/>
        <v>#NUM!</v>
      </c>
    </row>
    <row r="340" spans="10:10" x14ac:dyDescent="0.25">
      <c r="J340" s="204" t="e">
        <f t="shared" si="22"/>
        <v>#NUM!</v>
      </c>
    </row>
    <row r="341" spans="10:10" x14ac:dyDescent="0.25">
      <c r="J341" s="204" t="e">
        <f t="shared" si="22"/>
        <v>#NUM!</v>
      </c>
    </row>
    <row r="342" spans="10:10" x14ac:dyDescent="0.25">
      <c r="J342" s="204" t="e">
        <f t="shared" si="22"/>
        <v>#NUM!</v>
      </c>
    </row>
    <row r="343" spans="10:10" x14ac:dyDescent="0.25">
      <c r="J343" s="204" t="e">
        <f t="shared" si="22"/>
        <v>#NUM!</v>
      </c>
    </row>
    <row r="344" spans="10:10" x14ac:dyDescent="0.25">
      <c r="J344" s="204" t="e">
        <f t="shared" si="22"/>
        <v>#NUM!</v>
      </c>
    </row>
    <row r="345" spans="10:10" x14ac:dyDescent="0.25">
      <c r="J345" s="204" t="e">
        <f t="shared" si="22"/>
        <v>#NUM!</v>
      </c>
    </row>
    <row r="346" spans="10:10" x14ac:dyDescent="0.25">
      <c r="J346" s="204" t="e">
        <f t="shared" si="22"/>
        <v>#NUM!</v>
      </c>
    </row>
    <row r="347" spans="10:10" x14ac:dyDescent="0.25">
      <c r="J347" s="204" t="e">
        <f t="shared" si="22"/>
        <v>#NUM!</v>
      </c>
    </row>
    <row r="348" spans="10:10" x14ac:dyDescent="0.25">
      <c r="J348" s="204" t="e">
        <f t="shared" si="22"/>
        <v>#NUM!</v>
      </c>
    </row>
    <row r="349" spans="10:10" x14ac:dyDescent="0.25">
      <c r="J349" s="204" t="e">
        <f t="shared" si="22"/>
        <v>#NUM!</v>
      </c>
    </row>
    <row r="350" spans="10:10" x14ac:dyDescent="0.25">
      <c r="J350" s="204" t="e">
        <f t="shared" si="22"/>
        <v>#NUM!</v>
      </c>
    </row>
    <row r="351" spans="10:10" x14ac:dyDescent="0.25">
      <c r="J351" s="204" t="e">
        <f t="shared" si="22"/>
        <v>#NUM!</v>
      </c>
    </row>
    <row r="352" spans="10:10" x14ac:dyDescent="0.25">
      <c r="J352" s="204" t="e">
        <f t="shared" si="22"/>
        <v>#NUM!</v>
      </c>
    </row>
    <row r="353" spans="10:10" x14ac:dyDescent="0.25">
      <c r="J353" s="204" t="e">
        <f t="shared" si="22"/>
        <v>#NUM!</v>
      </c>
    </row>
    <row r="354" spans="10:10" x14ac:dyDescent="0.25">
      <c r="J354" s="204" t="e">
        <f t="shared" si="22"/>
        <v>#NUM!</v>
      </c>
    </row>
    <row r="355" spans="10:10" x14ac:dyDescent="0.25">
      <c r="J355" s="204" t="e">
        <f t="shared" si="22"/>
        <v>#NUM!</v>
      </c>
    </row>
    <row r="356" spans="10:10" x14ac:dyDescent="0.25">
      <c r="J356" s="204" t="e">
        <f t="shared" si="22"/>
        <v>#NUM!</v>
      </c>
    </row>
    <row r="357" spans="10:10" x14ac:dyDescent="0.25">
      <c r="J357" s="204" t="e">
        <f t="shared" si="22"/>
        <v>#NUM!</v>
      </c>
    </row>
    <row r="358" spans="10:10" x14ac:dyDescent="0.25">
      <c r="J358" s="204" t="e">
        <f t="shared" si="22"/>
        <v>#NUM!</v>
      </c>
    </row>
    <row r="359" spans="10:10" x14ac:dyDescent="0.25">
      <c r="J359" s="204" t="e">
        <f t="shared" si="22"/>
        <v>#NUM!</v>
      </c>
    </row>
    <row r="360" spans="10:10" x14ac:dyDescent="0.25">
      <c r="J360" s="204" t="e">
        <f t="shared" si="22"/>
        <v>#NUM!</v>
      </c>
    </row>
    <row r="361" spans="10:10" x14ac:dyDescent="0.25">
      <c r="J361" s="204" t="e">
        <f t="shared" si="22"/>
        <v>#NUM!</v>
      </c>
    </row>
    <row r="362" spans="10:10" x14ac:dyDescent="0.25">
      <c r="J362" s="204" t="e">
        <f t="shared" si="22"/>
        <v>#NUM!</v>
      </c>
    </row>
    <row r="363" spans="10:10" x14ac:dyDescent="0.25">
      <c r="J363" s="204" t="e">
        <f t="shared" si="22"/>
        <v>#NUM!</v>
      </c>
    </row>
    <row r="364" spans="10:10" x14ac:dyDescent="0.25">
      <c r="J364" s="204" t="e">
        <f t="shared" si="22"/>
        <v>#NUM!</v>
      </c>
    </row>
    <row r="365" spans="10:10" x14ac:dyDescent="0.25">
      <c r="J365" s="204" t="e">
        <f t="shared" si="22"/>
        <v>#NUM!</v>
      </c>
    </row>
    <row r="366" spans="10:10" x14ac:dyDescent="0.25">
      <c r="J366" s="204" t="e">
        <f t="shared" si="22"/>
        <v>#NUM!</v>
      </c>
    </row>
    <row r="367" spans="10:10" x14ac:dyDescent="0.25">
      <c r="J367" s="204" t="e">
        <f t="shared" si="22"/>
        <v>#NUM!</v>
      </c>
    </row>
    <row r="368" spans="10:10" x14ac:dyDescent="0.25">
      <c r="J368" s="204" t="e">
        <f t="shared" si="22"/>
        <v>#NUM!</v>
      </c>
    </row>
    <row r="369" spans="10:10" x14ac:dyDescent="0.25">
      <c r="J369" s="204" t="e">
        <f t="shared" si="22"/>
        <v>#NUM!</v>
      </c>
    </row>
    <row r="370" spans="10:10" x14ac:dyDescent="0.25">
      <c r="J370" s="204" t="e">
        <f t="shared" si="22"/>
        <v>#NUM!</v>
      </c>
    </row>
    <row r="371" spans="10:10" x14ac:dyDescent="0.25">
      <c r="J371" s="204" t="e">
        <f t="shared" si="22"/>
        <v>#NUM!</v>
      </c>
    </row>
    <row r="372" spans="10:10" x14ac:dyDescent="0.25">
      <c r="J372" s="204" t="e">
        <f t="shared" si="22"/>
        <v>#NUM!</v>
      </c>
    </row>
    <row r="373" spans="10:10" x14ac:dyDescent="0.25">
      <c r="J373" s="204" t="e">
        <f t="shared" si="22"/>
        <v>#NUM!</v>
      </c>
    </row>
    <row r="374" spans="10:10" x14ac:dyDescent="0.25">
      <c r="J374" s="204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853E4D62-BF13-4F90-9119-6B15D75B88D0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CC0BB-948E-4A63-BCB4-8369B93DE234}">
  <sheetPr codeName="Arkusz22"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01" customWidth="1"/>
    <col min="2" max="2" width="8.25" style="201" customWidth="1"/>
    <col min="3" max="3" width="34.75" style="201" customWidth="1"/>
    <col min="4" max="4" width="11.25" style="201" customWidth="1"/>
    <col min="5" max="6" width="8.875" style="201"/>
    <col min="7" max="7" width="0.875" style="201" customWidth="1"/>
    <col min="8" max="8" width="8.875" style="204"/>
    <col min="9" max="9" width="11" style="204" customWidth="1"/>
    <col min="10" max="10" width="15.25" style="204" customWidth="1"/>
    <col min="11" max="11" width="8.75" style="204" customWidth="1"/>
    <col min="12" max="12" width="11" style="204" customWidth="1"/>
    <col min="13" max="13" width="12.25" style="205" customWidth="1"/>
    <col min="14" max="15" width="13.875" style="173" customWidth="1"/>
    <col min="16" max="18" width="8.875" style="173"/>
    <col min="19" max="20" width="8.875" style="178"/>
    <col min="21" max="21" width="12.125" style="178" customWidth="1"/>
    <col min="22" max="22" width="27.375" style="178" customWidth="1"/>
    <col min="23" max="38" width="8.875" style="178"/>
    <col min="39" max="16384" width="8.875" style="201"/>
  </cols>
  <sheetData>
    <row r="1" spans="1:36" x14ac:dyDescent="0.25">
      <c r="A1" s="173"/>
      <c r="B1" s="173"/>
      <c r="C1" s="173"/>
      <c r="D1" s="173"/>
      <c r="E1" s="173"/>
      <c r="F1" s="173"/>
      <c r="G1" s="173"/>
      <c r="H1" s="174" t="s">
        <v>25</v>
      </c>
      <c r="I1" s="175" t="s">
        <v>26</v>
      </c>
      <c r="J1" s="175" t="s">
        <v>27</v>
      </c>
      <c r="K1" s="176" t="s">
        <v>101</v>
      </c>
      <c r="L1" s="177"/>
      <c r="M1" s="177"/>
    </row>
    <row r="2" spans="1:36" x14ac:dyDescent="0.25">
      <c r="A2" s="173"/>
      <c r="B2" s="20" t="s">
        <v>29</v>
      </c>
      <c r="C2" s="252" t="s">
        <v>122</v>
      </c>
      <c r="D2" s="69"/>
      <c r="E2" s="21"/>
      <c r="F2" s="21"/>
      <c r="G2" s="21"/>
      <c r="H2" s="179">
        <v>6</v>
      </c>
      <c r="I2" s="180">
        <v>50</v>
      </c>
      <c r="J2" s="180">
        <v>10</v>
      </c>
      <c r="K2" s="181">
        <f>3*H2^(1/3)</f>
        <v>5.4513617784964188</v>
      </c>
      <c r="L2" s="177"/>
      <c r="M2" s="177"/>
    </row>
    <row r="3" spans="1:36" x14ac:dyDescent="0.25">
      <c r="A3" s="173"/>
      <c r="B3" s="182" t="s">
        <v>31</v>
      </c>
      <c r="C3" s="70" t="s">
        <v>123</v>
      </c>
      <c r="D3" s="70"/>
      <c r="E3" s="26"/>
      <c r="F3" s="26"/>
      <c r="G3" s="26"/>
      <c r="H3" s="177"/>
      <c r="I3" s="177"/>
      <c r="J3" s="208"/>
      <c r="K3" s="177"/>
      <c r="L3" s="177"/>
      <c r="M3" s="1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77"/>
      <c r="I4" s="177"/>
      <c r="J4" s="208"/>
      <c r="K4" s="177"/>
      <c r="L4" s="177"/>
      <c r="M4" s="177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83" t="s">
        <v>39</v>
      </c>
      <c r="I5" s="184" t="s">
        <v>40</v>
      </c>
      <c r="J5" s="209" t="s">
        <v>41</v>
      </c>
      <c r="K5" s="184" t="s">
        <v>42</v>
      </c>
      <c r="L5" s="184" t="s">
        <v>43</v>
      </c>
      <c r="M5" s="183" t="s">
        <v>44</v>
      </c>
    </row>
    <row r="6" spans="1:36" ht="14.45" customHeight="1" x14ac:dyDescent="0.25">
      <c r="A6" s="94">
        <f>M6</f>
        <v>96.354085335489259</v>
      </c>
      <c r="B6" s="34">
        <f t="shared" ref="B6:B69" si="0">IF(H6&gt;$H$2,"",(ROW()-5))</f>
        <v>1</v>
      </c>
      <c r="C6" s="35" t="s">
        <v>99</v>
      </c>
      <c r="D6" s="35"/>
      <c r="E6" s="35"/>
      <c r="F6" s="35"/>
      <c r="G6" s="28"/>
      <c r="H6" s="185">
        <v>1</v>
      </c>
      <c r="I6" s="186">
        <f t="shared" ref="I6:I69" si="1">IF(H6&lt;$H$2+1,($I$2-($I$2-1)*(LOG(H6)/LOG($H$2))),"")</f>
        <v>50</v>
      </c>
      <c r="J6" s="185">
        <f>INT(LOG($H$2,2))-ROUNDUP(LOG(H6,2),0)+IF(OR($H$2=1,$H$2=2,$H$2=4,$H$2=8,$H$2=16,$H$2=32,$H$2=64,$H$2=128,$H$2=256),0,1)</f>
        <v>3</v>
      </c>
      <c r="K6" s="185">
        <f t="shared" ref="K6:K69" si="2">J6*$J$2</f>
        <v>30</v>
      </c>
      <c r="L6" s="187">
        <f>3*K2</f>
        <v>16.354085335489255</v>
      </c>
      <c r="M6" s="187">
        <f t="shared" ref="M6:M69" si="3">IF(I6&lt;&gt;"",K6+I6+L6,0)</f>
        <v>96.354085335489259</v>
      </c>
    </row>
    <row r="7" spans="1:36" ht="14.45" customHeight="1" x14ac:dyDescent="0.25">
      <c r="A7" s="98">
        <f t="shared" ref="A7:A70" si="4">M7</f>
        <v>61.946936002500301</v>
      </c>
      <c r="B7" s="40">
        <f t="shared" si="0"/>
        <v>2</v>
      </c>
      <c r="C7" s="41" t="s">
        <v>49</v>
      </c>
      <c r="D7" s="41"/>
      <c r="E7" s="41"/>
      <c r="F7" s="41"/>
      <c r="G7" s="28"/>
      <c r="H7" s="188">
        <v>2</v>
      </c>
      <c r="I7" s="189">
        <f t="shared" si="1"/>
        <v>31.044212445507462</v>
      </c>
      <c r="J7" s="188">
        <f t="shared" ref="J7:J70" si="5">INT(LOG($H$2,2))-ROUNDUP(LOG(H7,2),0)+IF(OR($H$2=1,$H$2=2,$H$2=4,$H$2=8,$H$2=16,$H$2=32,$H$2=64,$H$2=128,$H$2=256),0,1)</f>
        <v>2</v>
      </c>
      <c r="K7" s="188">
        <f t="shared" si="2"/>
        <v>20</v>
      </c>
      <c r="L7" s="190">
        <f>2*K2</f>
        <v>10.902723556992838</v>
      </c>
      <c r="M7" s="190">
        <f t="shared" si="3"/>
        <v>61.946936002500301</v>
      </c>
    </row>
    <row r="8" spans="1:36" ht="14.45" customHeight="1" x14ac:dyDescent="0.25">
      <c r="A8" s="94">
        <f t="shared" si="4"/>
        <v>35.407149332988958</v>
      </c>
      <c r="B8" s="34">
        <f t="shared" si="0"/>
        <v>3</v>
      </c>
      <c r="C8" s="35" t="s">
        <v>20</v>
      </c>
      <c r="D8" s="35"/>
      <c r="E8" s="35"/>
      <c r="F8" s="35"/>
      <c r="G8" s="28"/>
      <c r="H8" s="185">
        <v>3</v>
      </c>
      <c r="I8" s="186">
        <f t="shared" si="1"/>
        <v>19.955787554492538</v>
      </c>
      <c r="J8" s="185">
        <f t="shared" si="5"/>
        <v>1</v>
      </c>
      <c r="K8" s="185">
        <f t="shared" si="2"/>
        <v>10</v>
      </c>
      <c r="L8" s="187">
        <f>K2</f>
        <v>5.4513617784964188</v>
      </c>
      <c r="M8" s="187">
        <f t="shared" si="3"/>
        <v>35.407149332988958</v>
      </c>
    </row>
    <row r="9" spans="1:36" s="178" customFormat="1" ht="14.45" customHeight="1" x14ac:dyDescent="0.25">
      <c r="A9" s="98">
        <f t="shared" si="4"/>
        <v>35.407149332988958</v>
      </c>
      <c r="B9" s="40">
        <f>IF(H9&gt;$H$2,"",3)</f>
        <v>3</v>
      </c>
      <c r="C9" s="41" t="s">
        <v>23</v>
      </c>
      <c r="D9" s="41"/>
      <c r="E9" s="41"/>
      <c r="F9" s="41"/>
      <c r="G9" s="28"/>
      <c r="H9" s="188">
        <v>3</v>
      </c>
      <c r="I9" s="189">
        <f t="shared" si="1"/>
        <v>19.955787554492538</v>
      </c>
      <c r="J9" s="188">
        <f t="shared" si="5"/>
        <v>1</v>
      </c>
      <c r="K9" s="188">
        <f t="shared" si="2"/>
        <v>10</v>
      </c>
      <c r="L9" s="190">
        <f>K2</f>
        <v>5.4513617784964188</v>
      </c>
      <c r="M9" s="190">
        <f t="shared" si="3"/>
        <v>35.407149332988958</v>
      </c>
      <c r="N9" s="173"/>
      <c r="O9" s="173"/>
      <c r="P9" s="173"/>
      <c r="Q9" s="173"/>
      <c r="R9" s="173"/>
      <c r="V9" s="191"/>
      <c r="Z9" s="192"/>
      <c r="AA9" s="192"/>
      <c r="AG9" s="193"/>
      <c r="AH9" s="178" t="s">
        <v>49</v>
      </c>
      <c r="AI9" s="178">
        <v>23</v>
      </c>
    </row>
    <row r="10" spans="1:36" ht="14.45" customHeight="1" x14ac:dyDescent="0.25">
      <c r="A10" s="94">
        <f t="shared" si="4"/>
        <v>5.9860243165075602</v>
      </c>
      <c r="B10" s="34">
        <f t="shared" si="0"/>
        <v>5</v>
      </c>
      <c r="C10" s="35" t="s">
        <v>21</v>
      </c>
      <c r="D10" s="35"/>
      <c r="E10" s="35"/>
      <c r="F10" s="35"/>
      <c r="G10" s="28"/>
      <c r="H10" s="185">
        <v>5</v>
      </c>
      <c r="I10" s="186">
        <f t="shared" si="1"/>
        <v>5.9860243165075602</v>
      </c>
      <c r="J10" s="185">
        <f t="shared" si="5"/>
        <v>0</v>
      </c>
      <c r="K10" s="185">
        <f t="shared" si="2"/>
        <v>0</v>
      </c>
      <c r="L10" s="185"/>
      <c r="M10" s="187">
        <f t="shared" si="3"/>
        <v>5.9860243165075602</v>
      </c>
      <c r="V10" s="191"/>
      <c r="Z10" s="192"/>
      <c r="AA10" s="192"/>
      <c r="AG10" s="193"/>
      <c r="AH10" s="178" t="s">
        <v>52</v>
      </c>
      <c r="AI10" s="178">
        <v>45</v>
      </c>
    </row>
    <row r="11" spans="1:36" ht="14.45" customHeight="1" x14ac:dyDescent="0.25">
      <c r="A11" s="98">
        <f t="shared" si="4"/>
        <v>1</v>
      </c>
      <c r="B11" s="40">
        <f t="shared" si="0"/>
        <v>6</v>
      </c>
      <c r="C11" s="41" t="s">
        <v>49</v>
      </c>
      <c r="D11" s="41"/>
      <c r="E11" s="41"/>
      <c r="F11" s="41"/>
      <c r="G11" s="28"/>
      <c r="H11" s="188">
        <v>6</v>
      </c>
      <c r="I11" s="189">
        <f t="shared" si="1"/>
        <v>1</v>
      </c>
      <c r="J11" s="188">
        <f t="shared" si="5"/>
        <v>0</v>
      </c>
      <c r="K11" s="188">
        <f t="shared" si="2"/>
        <v>0</v>
      </c>
      <c r="L11" s="188"/>
      <c r="M11" s="190">
        <f t="shared" si="3"/>
        <v>1</v>
      </c>
      <c r="V11" s="194"/>
      <c r="Z11" s="192"/>
      <c r="AA11" s="192"/>
      <c r="AG11" s="193"/>
      <c r="AH11" s="178" t="s">
        <v>53</v>
      </c>
      <c r="AI11" s="178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85">
        <v>7</v>
      </c>
      <c r="I12" s="186" t="str">
        <f t="shared" si="1"/>
        <v/>
      </c>
      <c r="J12" s="185">
        <f t="shared" si="5"/>
        <v>0</v>
      </c>
      <c r="K12" s="185">
        <f t="shared" si="2"/>
        <v>0</v>
      </c>
      <c r="L12" s="185"/>
      <c r="M12" s="187">
        <f t="shared" si="3"/>
        <v>0</v>
      </c>
      <c r="Z12" s="192"/>
      <c r="AA12" s="192"/>
      <c r="AG12" s="193"/>
      <c r="AH12" s="178" t="s">
        <v>54</v>
      </c>
      <c r="AI12" s="178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8">
        <v>8</v>
      </c>
      <c r="I13" s="189" t="str">
        <f t="shared" si="1"/>
        <v/>
      </c>
      <c r="J13" s="188">
        <f t="shared" si="5"/>
        <v>0</v>
      </c>
      <c r="K13" s="188">
        <f t="shared" si="2"/>
        <v>0</v>
      </c>
      <c r="L13" s="188"/>
      <c r="M13" s="190">
        <f t="shared" si="3"/>
        <v>0</v>
      </c>
      <c r="X13" s="191"/>
      <c r="AG13" s="193"/>
      <c r="AH13" s="178" t="s">
        <v>55</v>
      </c>
      <c r="AI13" s="178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85">
        <v>9</v>
      </c>
      <c r="I14" s="186" t="str">
        <f t="shared" si="1"/>
        <v/>
      </c>
      <c r="J14" s="185">
        <f t="shared" si="5"/>
        <v>-1</v>
      </c>
      <c r="K14" s="185">
        <f t="shared" si="2"/>
        <v>-10</v>
      </c>
      <c r="L14" s="185"/>
      <c r="M14" s="187">
        <f t="shared" si="3"/>
        <v>0</v>
      </c>
      <c r="X14" s="195"/>
      <c r="Z14" s="192"/>
      <c r="AA14" s="192"/>
      <c r="AG14" s="193"/>
      <c r="AH14" s="178" t="s">
        <v>56</v>
      </c>
      <c r="AI14" s="178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8">
        <v>10</v>
      </c>
      <c r="I15" s="189" t="str">
        <f t="shared" si="1"/>
        <v/>
      </c>
      <c r="J15" s="188">
        <f t="shared" si="5"/>
        <v>-1</v>
      </c>
      <c r="K15" s="188">
        <f t="shared" si="2"/>
        <v>-10</v>
      </c>
      <c r="L15" s="188"/>
      <c r="M15" s="190">
        <f t="shared" si="3"/>
        <v>0</v>
      </c>
      <c r="X15" s="191"/>
      <c r="Z15" s="192"/>
      <c r="AA15" s="192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85">
        <v>11</v>
      </c>
      <c r="I16" s="186" t="str">
        <f t="shared" si="1"/>
        <v/>
      </c>
      <c r="J16" s="185">
        <f t="shared" si="5"/>
        <v>-1</v>
      </c>
      <c r="K16" s="185">
        <f t="shared" si="2"/>
        <v>-10</v>
      </c>
      <c r="L16" s="185"/>
      <c r="M16" s="187">
        <f t="shared" si="3"/>
        <v>0</v>
      </c>
      <c r="R16" s="196"/>
      <c r="Z16" s="192"/>
      <c r="AA16" s="192"/>
      <c r="AH16" s="197" t="s">
        <v>57</v>
      </c>
      <c r="AI16" s="178">
        <f>AI11-AI12*AI13/AI14</f>
        <v>9.6393909380186855</v>
      </c>
      <c r="AJ16" s="178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8">
        <v>12</v>
      </c>
      <c r="I17" s="189" t="str">
        <f t="shared" si="1"/>
        <v/>
      </c>
      <c r="J17" s="188">
        <f t="shared" si="5"/>
        <v>-1</v>
      </c>
      <c r="K17" s="188">
        <f t="shared" si="2"/>
        <v>-10</v>
      </c>
      <c r="L17" s="188"/>
      <c r="M17" s="190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85">
        <v>13</v>
      </c>
      <c r="I18" s="186" t="str">
        <f t="shared" si="1"/>
        <v/>
      </c>
      <c r="J18" s="185">
        <f t="shared" si="5"/>
        <v>-1</v>
      </c>
      <c r="K18" s="185">
        <f t="shared" si="2"/>
        <v>-10</v>
      </c>
      <c r="L18" s="185"/>
      <c r="M18" s="18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8">
        <v>14</v>
      </c>
      <c r="I19" s="189" t="str">
        <f t="shared" si="1"/>
        <v/>
      </c>
      <c r="J19" s="188">
        <f t="shared" si="5"/>
        <v>-1</v>
      </c>
      <c r="K19" s="188">
        <f t="shared" si="2"/>
        <v>-10</v>
      </c>
      <c r="L19" s="188"/>
      <c r="M19" s="190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85">
        <v>15</v>
      </c>
      <c r="I20" s="186" t="str">
        <f t="shared" si="1"/>
        <v/>
      </c>
      <c r="J20" s="185">
        <f t="shared" si="5"/>
        <v>-1</v>
      </c>
      <c r="K20" s="185">
        <f t="shared" si="2"/>
        <v>-10</v>
      </c>
      <c r="L20" s="185"/>
      <c r="M20" s="187">
        <f t="shared" si="3"/>
        <v>0</v>
      </c>
      <c r="R20" s="198"/>
      <c r="S20" s="199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8">
        <v>16</v>
      </c>
      <c r="I21" s="189" t="str">
        <f t="shared" si="1"/>
        <v/>
      </c>
      <c r="J21" s="188">
        <f t="shared" si="5"/>
        <v>-1</v>
      </c>
      <c r="K21" s="188">
        <f t="shared" si="2"/>
        <v>-10</v>
      </c>
      <c r="L21" s="188"/>
      <c r="M21" s="190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85">
        <v>17</v>
      </c>
      <c r="I22" s="186" t="str">
        <f t="shared" si="1"/>
        <v/>
      </c>
      <c r="J22" s="185">
        <f t="shared" si="5"/>
        <v>-2</v>
      </c>
      <c r="K22" s="185">
        <f t="shared" si="2"/>
        <v>-20</v>
      </c>
      <c r="L22" s="185"/>
      <c r="M22" s="18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8">
        <v>18</v>
      </c>
      <c r="I23" s="189" t="str">
        <f t="shared" si="1"/>
        <v/>
      </c>
      <c r="J23" s="188">
        <f t="shared" si="5"/>
        <v>-2</v>
      </c>
      <c r="K23" s="188">
        <f t="shared" si="2"/>
        <v>-20</v>
      </c>
      <c r="L23" s="188"/>
      <c r="M23" s="190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85">
        <v>19</v>
      </c>
      <c r="I24" s="186" t="str">
        <f t="shared" si="1"/>
        <v/>
      </c>
      <c r="J24" s="185">
        <f t="shared" si="5"/>
        <v>-2</v>
      </c>
      <c r="K24" s="185">
        <f t="shared" si="2"/>
        <v>-20</v>
      </c>
      <c r="L24" s="185"/>
      <c r="M24" s="187">
        <f t="shared" si="3"/>
        <v>0</v>
      </c>
      <c r="R24" s="198"/>
      <c r="S24" s="199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8">
        <v>20</v>
      </c>
      <c r="I25" s="189" t="str">
        <f t="shared" si="1"/>
        <v/>
      </c>
      <c r="J25" s="188">
        <f t="shared" si="5"/>
        <v>-2</v>
      </c>
      <c r="K25" s="188">
        <f t="shared" si="2"/>
        <v>-20</v>
      </c>
      <c r="L25" s="188"/>
      <c r="M25" s="190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85">
        <v>21</v>
      </c>
      <c r="I26" s="186" t="str">
        <f t="shared" si="1"/>
        <v/>
      </c>
      <c r="J26" s="185">
        <f t="shared" si="5"/>
        <v>-2</v>
      </c>
      <c r="K26" s="185">
        <f t="shared" si="2"/>
        <v>-20</v>
      </c>
      <c r="L26" s="185"/>
      <c r="M26" s="18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8">
        <v>22</v>
      </c>
      <c r="I27" s="189" t="str">
        <f t="shared" si="1"/>
        <v/>
      </c>
      <c r="J27" s="188">
        <f t="shared" si="5"/>
        <v>-2</v>
      </c>
      <c r="K27" s="188">
        <f t="shared" si="2"/>
        <v>-20</v>
      </c>
      <c r="L27" s="188"/>
      <c r="M27" s="190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85">
        <v>23</v>
      </c>
      <c r="I28" s="186" t="str">
        <f t="shared" si="1"/>
        <v/>
      </c>
      <c r="J28" s="185">
        <f t="shared" si="5"/>
        <v>-2</v>
      </c>
      <c r="K28" s="185">
        <f t="shared" si="2"/>
        <v>-20</v>
      </c>
      <c r="L28" s="185"/>
      <c r="M28" s="187">
        <f t="shared" si="3"/>
        <v>0</v>
      </c>
      <c r="R28" s="198"/>
      <c r="S28" s="199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73"/>
      <c r="H29" s="188">
        <v>24</v>
      </c>
      <c r="I29" s="189" t="str">
        <f t="shared" si="1"/>
        <v/>
      </c>
      <c r="J29" s="188">
        <f t="shared" si="5"/>
        <v>-2</v>
      </c>
      <c r="K29" s="188">
        <f t="shared" si="2"/>
        <v>-20</v>
      </c>
      <c r="L29" s="188"/>
      <c r="M29" s="190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73"/>
      <c r="H30" s="185">
        <v>25</v>
      </c>
      <c r="I30" s="186" t="str">
        <f t="shared" si="1"/>
        <v/>
      </c>
      <c r="J30" s="185">
        <f t="shared" si="5"/>
        <v>-2</v>
      </c>
      <c r="K30" s="185">
        <f t="shared" si="2"/>
        <v>-20</v>
      </c>
      <c r="L30" s="185"/>
      <c r="M30" s="18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73"/>
      <c r="H31" s="188">
        <v>26</v>
      </c>
      <c r="I31" s="189" t="str">
        <f t="shared" si="1"/>
        <v/>
      </c>
      <c r="J31" s="188">
        <f t="shared" si="5"/>
        <v>-2</v>
      </c>
      <c r="K31" s="188">
        <f t="shared" si="2"/>
        <v>-20</v>
      </c>
      <c r="L31" s="188"/>
      <c r="M31" s="190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73"/>
      <c r="H32" s="185">
        <v>27</v>
      </c>
      <c r="I32" s="186" t="str">
        <f t="shared" si="1"/>
        <v/>
      </c>
      <c r="J32" s="185">
        <f t="shared" si="5"/>
        <v>-2</v>
      </c>
      <c r="K32" s="185">
        <f t="shared" si="2"/>
        <v>-20</v>
      </c>
      <c r="L32" s="185"/>
      <c r="M32" s="187">
        <f t="shared" si="3"/>
        <v>0</v>
      </c>
      <c r="R32" s="198"/>
      <c r="S32" s="199"/>
    </row>
    <row r="33" spans="1:19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73"/>
      <c r="H33" s="188">
        <v>28</v>
      </c>
      <c r="I33" s="189" t="str">
        <f t="shared" si="1"/>
        <v/>
      </c>
      <c r="J33" s="188">
        <f t="shared" si="5"/>
        <v>-2</v>
      </c>
      <c r="K33" s="188">
        <f t="shared" si="2"/>
        <v>-20</v>
      </c>
      <c r="L33" s="188"/>
      <c r="M33" s="190">
        <f t="shared" si="3"/>
        <v>0</v>
      </c>
    </row>
    <row r="34" spans="1:19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73"/>
      <c r="H34" s="185">
        <v>29</v>
      </c>
      <c r="I34" s="186" t="str">
        <f t="shared" si="1"/>
        <v/>
      </c>
      <c r="J34" s="185">
        <f t="shared" si="5"/>
        <v>-2</v>
      </c>
      <c r="K34" s="185">
        <f t="shared" si="2"/>
        <v>-20</v>
      </c>
      <c r="L34" s="185"/>
      <c r="M34" s="187">
        <f t="shared" si="3"/>
        <v>0</v>
      </c>
    </row>
    <row r="35" spans="1:19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73"/>
      <c r="H35" s="188">
        <v>30</v>
      </c>
      <c r="I35" s="189" t="str">
        <f t="shared" si="1"/>
        <v/>
      </c>
      <c r="J35" s="188">
        <f t="shared" si="5"/>
        <v>-2</v>
      </c>
      <c r="K35" s="188">
        <f t="shared" si="2"/>
        <v>-20</v>
      </c>
      <c r="L35" s="188"/>
      <c r="M35" s="190">
        <f t="shared" si="3"/>
        <v>0</v>
      </c>
    </row>
    <row r="36" spans="1:19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73"/>
      <c r="H36" s="185">
        <v>31</v>
      </c>
      <c r="I36" s="186" t="str">
        <f t="shared" si="1"/>
        <v/>
      </c>
      <c r="J36" s="185">
        <f t="shared" si="5"/>
        <v>-2</v>
      </c>
      <c r="K36" s="185">
        <f t="shared" si="2"/>
        <v>-20</v>
      </c>
      <c r="L36" s="185"/>
      <c r="M36" s="187">
        <f t="shared" si="3"/>
        <v>0</v>
      </c>
      <c r="R36" s="198"/>
      <c r="S36" s="199"/>
    </row>
    <row r="37" spans="1:19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73"/>
      <c r="H37" s="188">
        <v>32</v>
      </c>
      <c r="I37" s="189" t="str">
        <f t="shared" si="1"/>
        <v/>
      </c>
      <c r="J37" s="188">
        <f t="shared" si="5"/>
        <v>-2</v>
      </c>
      <c r="K37" s="188">
        <f t="shared" si="2"/>
        <v>-20</v>
      </c>
      <c r="L37" s="188"/>
      <c r="M37" s="190">
        <f t="shared" si="3"/>
        <v>0</v>
      </c>
    </row>
    <row r="38" spans="1:19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73"/>
      <c r="H38" s="185">
        <v>33</v>
      </c>
      <c r="I38" s="186" t="str">
        <f t="shared" si="1"/>
        <v/>
      </c>
      <c r="J38" s="185">
        <f t="shared" si="5"/>
        <v>-3</v>
      </c>
      <c r="K38" s="185">
        <f t="shared" si="2"/>
        <v>-30</v>
      </c>
      <c r="L38" s="185"/>
      <c r="M38" s="187">
        <f t="shared" si="3"/>
        <v>0</v>
      </c>
    </row>
    <row r="39" spans="1:19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73"/>
      <c r="H39" s="188">
        <v>34</v>
      </c>
      <c r="I39" s="189" t="str">
        <f t="shared" si="1"/>
        <v/>
      </c>
      <c r="J39" s="188">
        <f t="shared" si="5"/>
        <v>-3</v>
      </c>
      <c r="K39" s="188">
        <f t="shared" si="2"/>
        <v>-30</v>
      </c>
      <c r="L39" s="188"/>
      <c r="M39" s="190">
        <f t="shared" si="3"/>
        <v>0</v>
      </c>
    </row>
    <row r="40" spans="1:19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73"/>
      <c r="H40" s="185">
        <v>35</v>
      </c>
      <c r="I40" s="186" t="str">
        <f t="shared" si="1"/>
        <v/>
      </c>
      <c r="J40" s="185">
        <f t="shared" si="5"/>
        <v>-3</v>
      </c>
      <c r="K40" s="185">
        <f t="shared" si="2"/>
        <v>-30</v>
      </c>
      <c r="L40" s="185"/>
      <c r="M40" s="187">
        <f t="shared" si="3"/>
        <v>0</v>
      </c>
    </row>
    <row r="41" spans="1:19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73"/>
      <c r="H41" s="188">
        <v>36</v>
      </c>
      <c r="I41" s="189" t="str">
        <f t="shared" si="1"/>
        <v/>
      </c>
      <c r="J41" s="188">
        <f t="shared" si="5"/>
        <v>-3</v>
      </c>
      <c r="K41" s="188">
        <f t="shared" si="2"/>
        <v>-30</v>
      </c>
      <c r="L41" s="188"/>
      <c r="M41" s="190">
        <f t="shared" si="3"/>
        <v>0</v>
      </c>
      <c r="S41" s="200"/>
    </row>
    <row r="42" spans="1:19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73"/>
      <c r="H42" s="185">
        <v>37</v>
      </c>
      <c r="I42" s="186" t="str">
        <f t="shared" si="1"/>
        <v/>
      </c>
      <c r="J42" s="185">
        <f t="shared" si="5"/>
        <v>-3</v>
      </c>
      <c r="K42" s="185">
        <f t="shared" si="2"/>
        <v>-30</v>
      </c>
      <c r="L42" s="185"/>
      <c r="M42" s="187">
        <f t="shared" si="3"/>
        <v>0</v>
      </c>
    </row>
    <row r="43" spans="1:19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73"/>
      <c r="H43" s="188">
        <v>38</v>
      </c>
      <c r="I43" s="189" t="str">
        <f t="shared" si="1"/>
        <v/>
      </c>
      <c r="J43" s="188">
        <f t="shared" si="5"/>
        <v>-3</v>
      </c>
      <c r="K43" s="188">
        <f t="shared" si="2"/>
        <v>-30</v>
      </c>
      <c r="L43" s="188"/>
      <c r="M43" s="190">
        <f t="shared" si="3"/>
        <v>0</v>
      </c>
    </row>
    <row r="44" spans="1:19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73"/>
      <c r="H44" s="185">
        <v>39</v>
      </c>
      <c r="I44" s="186" t="str">
        <f t="shared" si="1"/>
        <v/>
      </c>
      <c r="J44" s="185">
        <f t="shared" si="5"/>
        <v>-3</v>
      </c>
      <c r="K44" s="185">
        <f t="shared" si="2"/>
        <v>-30</v>
      </c>
      <c r="L44" s="185"/>
      <c r="M44" s="187">
        <f t="shared" si="3"/>
        <v>0</v>
      </c>
    </row>
    <row r="45" spans="1:19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73"/>
      <c r="H45" s="188">
        <v>40</v>
      </c>
      <c r="I45" s="189" t="str">
        <f t="shared" si="1"/>
        <v/>
      </c>
      <c r="J45" s="188">
        <f t="shared" si="5"/>
        <v>-3</v>
      </c>
      <c r="K45" s="188">
        <f t="shared" si="2"/>
        <v>-30</v>
      </c>
      <c r="L45" s="188"/>
      <c r="M45" s="190">
        <f t="shared" si="3"/>
        <v>0</v>
      </c>
    </row>
    <row r="46" spans="1:19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73"/>
      <c r="H46" s="185">
        <v>41</v>
      </c>
      <c r="I46" s="186" t="str">
        <f t="shared" si="1"/>
        <v/>
      </c>
      <c r="J46" s="185">
        <f t="shared" si="5"/>
        <v>-3</v>
      </c>
      <c r="K46" s="185">
        <f t="shared" si="2"/>
        <v>-30</v>
      </c>
      <c r="L46" s="185"/>
      <c r="M46" s="187">
        <f t="shared" si="3"/>
        <v>0</v>
      </c>
    </row>
    <row r="47" spans="1:19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73"/>
      <c r="H47" s="188">
        <v>42</v>
      </c>
      <c r="I47" s="189" t="str">
        <f t="shared" si="1"/>
        <v/>
      </c>
      <c r="J47" s="188">
        <f t="shared" si="5"/>
        <v>-3</v>
      </c>
      <c r="K47" s="188">
        <f t="shared" si="2"/>
        <v>-30</v>
      </c>
      <c r="L47" s="188"/>
      <c r="M47" s="190">
        <f t="shared" si="3"/>
        <v>0</v>
      </c>
    </row>
    <row r="48" spans="1:19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73"/>
      <c r="H48" s="185">
        <v>43</v>
      </c>
      <c r="I48" s="186" t="str">
        <f t="shared" si="1"/>
        <v/>
      </c>
      <c r="J48" s="185">
        <f t="shared" si="5"/>
        <v>-3</v>
      </c>
      <c r="K48" s="185">
        <f t="shared" si="2"/>
        <v>-30</v>
      </c>
      <c r="L48" s="185"/>
      <c r="M48" s="187">
        <f t="shared" si="3"/>
        <v>0</v>
      </c>
    </row>
    <row r="49" spans="1:38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73"/>
      <c r="H49" s="188">
        <v>44</v>
      </c>
      <c r="I49" s="189" t="str">
        <f t="shared" si="1"/>
        <v/>
      </c>
      <c r="J49" s="188">
        <f t="shared" si="5"/>
        <v>-3</v>
      </c>
      <c r="K49" s="188">
        <f t="shared" si="2"/>
        <v>-30</v>
      </c>
      <c r="L49" s="188"/>
      <c r="M49" s="190">
        <f t="shared" si="3"/>
        <v>0</v>
      </c>
    </row>
    <row r="50" spans="1:38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73"/>
      <c r="H50" s="185">
        <v>45</v>
      </c>
      <c r="I50" s="186" t="str">
        <f t="shared" si="1"/>
        <v/>
      </c>
      <c r="J50" s="185">
        <f t="shared" si="5"/>
        <v>-3</v>
      </c>
      <c r="K50" s="185">
        <f t="shared" si="2"/>
        <v>-30</v>
      </c>
      <c r="L50" s="185"/>
      <c r="M50" s="187">
        <f t="shared" si="3"/>
        <v>0</v>
      </c>
    </row>
    <row r="51" spans="1:38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73"/>
      <c r="H51" s="188">
        <v>46</v>
      </c>
      <c r="I51" s="189" t="str">
        <f t="shared" si="1"/>
        <v/>
      </c>
      <c r="J51" s="188">
        <f t="shared" si="5"/>
        <v>-3</v>
      </c>
      <c r="K51" s="188">
        <f t="shared" si="2"/>
        <v>-30</v>
      </c>
      <c r="L51" s="188"/>
      <c r="M51" s="190">
        <f t="shared" si="3"/>
        <v>0</v>
      </c>
    </row>
    <row r="52" spans="1:38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73"/>
      <c r="H52" s="185">
        <v>47</v>
      </c>
      <c r="I52" s="186" t="str">
        <f t="shared" si="1"/>
        <v/>
      </c>
      <c r="J52" s="185">
        <f t="shared" si="5"/>
        <v>-3</v>
      </c>
      <c r="K52" s="185">
        <f t="shared" si="2"/>
        <v>-30</v>
      </c>
      <c r="L52" s="185"/>
      <c r="M52" s="187">
        <f t="shared" si="3"/>
        <v>0</v>
      </c>
    </row>
    <row r="53" spans="1:38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73"/>
      <c r="H53" s="188">
        <v>48</v>
      </c>
      <c r="I53" s="189" t="str">
        <f t="shared" si="1"/>
        <v/>
      </c>
      <c r="J53" s="188">
        <f t="shared" si="5"/>
        <v>-3</v>
      </c>
      <c r="K53" s="188">
        <f t="shared" si="2"/>
        <v>-30</v>
      </c>
      <c r="L53" s="188"/>
      <c r="M53" s="190">
        <f t="shared" si="3"/>
        <v>0</v>
      </c>
    </row>
    <row r="54" spans="1:38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73"/>
      <c r="H54" s="185">
        <v>49</v>
      </c>
      <c r="I54" s="186" t="str">
        <f t="shared" si="1"/>
        <v/>
      </c>
      <c r="J54" s="185">
        <f t="shared" si="5"/>
        <v>-3</v>
      </c>
      <c r="K54" s="185">
        <f t="shared" si="2"/>
        <v>-30</v>
      </c>
      <c r="L54" s="185"/>
      <c r="M54" s="187">
        <f t="shared" si="3"/>
        <v>0</v>
      </c>
    </row>
    <row r="55" spans="1:38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73"/>
      <c r="H55" s="188">
        <v>50</v>
      </c>
      <c r="I55" s="189" t="str">
        <f t="shared" si="1"/>
        <v/>
      </c>
      <c r="J55" s="188">
        <f t="shared" si="5"/>
        <v>-3</v>
      </c>
      <c r="K55" s="188">
        <f t="shared" si="2"/>
        <v>-30</v>
      </c>
      <c r="L55" s="188"/>
      <c r="M55" s="190">
        <f t="shared" si="3"/>
        <v>0</v>
      </c>
    </row>
    <row r="56" spans="1:38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73"/>
      <c r="H56" s="185">
        <v>51</v>
      </c>
      <c r="I56" s="186" t="str">
        <f t="shared" si="1"/>
        <v/>
      </c>
      <c r="J56" s="185">
        <f t="shared" si="5"/>
        <v>-3</v>
      </c>
      <c r="K56" s="185">
        <f t="shared" si="2"/>
        <v>-30</v>
      </c>
      <c r="L56" s="185"/>
      <c r="M56" s="187">
        <f t="shared" si="3"/>
        <v>0</v>
      </c>
    </row>
    <row r="57" spans="1:38" s="173" customFormat="1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H57" s="188">
        <v>52</v>
      </c>
      <c r="I57" s="189" t="str">
        <f t="shared" si="1"/>
        <v/>
      </c>
      <c r="J57" s="188">
        <f t="shared" si="5"/>
        <v>-3</v>
      </c>
      <c r="K57" s="188">
        <f t="shared" si="2"/>
        <v>-30</v>
      </c>
      <c r="L57" s="188"/>
      <c r="M57" s="190">
        <f t="shared" si="3"/>
        <v>0</v>
      </c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</row>
    <row r="58" spans="1:38" s="173" customFormat="1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H58" s="185">
        <v>53</v>
      </c>
      <c r="I58" s="186" t="str">
        <f t="shared" si="1"/>
        <v/>
      </c>
      <c r="J58" s="185">
        <f t="shared" si="5"/>
        <v>-3</v>
      </c>
      <c r="K58" s="185">
        <f t="shared" si="2"/>
        <v>-30</v>
      </c>
      <c r="L58" s="185"/>
      <c r="M58" s="187">
        <f t="shared" si="3"/>
        <v>0</v>
      </c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</row>
    <row r="59" spans="1:38" s="173" customFormat="1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H59" s="188">
        <v>54</v>
      </c>
      <c r="I59" s="189" t="str">
        <f t="shared" si="1"/>
        <v/>
      </c>
      <c r="J59" s="188">
        <f t="shared" si="5"/>
        <v>-3</v>
      </c>
      <c r="K59" s="188">
        <f t="shared" si="2"/>
        <v>-30</v>
      </c>
      <c r="L59" s="188"/>
      <c r="M59" s="190">
        <f t="shared" si="3"/>
        <v>0</v>
      </c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</row>
    <row r="60" spans="1:38" s="173" customFormat="1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H60" s="185">
        <v>55</v>
      </c>
      <c r="I60" s="186" t="str">
        <f t="shared" si="1"/>
        <v/>
      </c>
      <c r="J60" s="185">
        <f t="shared" si="5"/>
        <v>-3</v>
      </c>
      <c r="K60" s="185">
        <f t="shared" si="2"/>
        <v>-30</v>
      </c>
      <c r="L60" s="185"/>
      <c r="M60" s="187">
        <f t="shared" si="3"/>
        <v>0</v>
      </c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</row>
    <row r="61" spans="1:38" s="173" customFormat="1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H61" s="188">
        <v>56</v>
      </c>
      <c r="I61" s="189" t="str">
        <f t="shared" si="1"/>
        <v/>
      </c>
      <c r="J61" s="188">
        <f t="shared" si="5"/>
        <v>-3</v>
      </c>
      <c r="K61" s="188">
        <f t="shared" si="2"/>
        <v>-30</v>
      </c>
      <c r="L61" s="188"/>
      <c r="M61" s="190">
        <f t="shared" si="3"/>
        <v>0</v>
      </c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</row>
    <row r="62" spans="1:38" s="173" customFormat="1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H62" s="185">
        <v>57</v>
      </c>
      <c r="I62" s="186" t="str">
        <f t="shared" si="1"/>
        <v/>
      </c>
      <c r="J62" s="185">
        <f t="shared" si="5"/>
        <v>-3</v>
      </c>
      <c r="K62" s="185">
        <f t="shared" si="2"/>
        <v>-30</v>
      </c>
      <c r="L62" s="185"/>
      <c r="M62" s="187">
        <f t="shared" si="3"/>
        <v>0</v>
      </c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</row>
    <row r="63" spans="1:38" s="173" customFormat="1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H63" s="188">
        <v>58</v>
      </c>
      <c r="I63" s="189" t="str">
        <f t="shared" si="1"/>
        <v/>
      </c>
      <c r="J63" s="188">
        <f t="shared" si="5"/>
        <v>-3</v>
      </c>
      <c r="K63" s="188">
        <f t="shared" si="2"/>
        <v>-30</v>
      </c>
      <c r="L63" s="188"/>
      <c r="M63" s="190">
        <f t="shared" si="3"/>
        <v>0</v>
      </c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</row>
    <row r="64" spans="1:38" s="173" customFormat="1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H64" s="185">
        <v>59</v>
      </c>
      <c r="I64" s="186" t="str">
        <f t="shared" si="1"/>
        <v/>
      </c>
      <c r="J64" s="185">
        <f t="shared" si="5"/>
        <v>-3</v>
      </c>
      <c r="K64" s="185">
        <f t="shared" si="2"/>
        <v>-30</v>
      </c>
      <c r="L64" s="185"/>
      <c r="M64" s="187">
        <f t="shared" si="3"/>
        <v>0</v>
      </c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</row>
    <row r="65" spans="1:38" s="173" customFormat="1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H65" s="188">
        <v>60</v>
      </c>
      <c r="I65" s="189" t="str">
        <f t="shared" si="1"/>
        <v/>
      </c>
      <c r="J65" s="188">
        <f t="shared" si="5"/>
        <v>-3</v>
      </c>
      <c r="K65" s="188">
        <f t="shared" si="2"/>
        <v>-30</v>
      </c>
      <c r="L65" s="188"/>
      <c r="M65" s="190">
        <f t="shared" si="3"/>
        <v>0</v>
      </c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</row>
    <row r="66" spans="1:38" s="173" customFormat="1" x14ac:dyDescent="0.25">
      <c r="A66" s="94">
        <f t="shared" si="4"/>
        <v>0</v>
      </c>
      <c r="B66" s="34" t="str">
        <f t="shared" si="0"/>
        <v/>
      </c>
      <c r="C66" s="35"/>
      <c r="D66" s="35"/>
      <c r="E66" s="35"/>
      <c r="F66" s="35"/>
      <c r="H66" s="185">
        <v>61</v>
      </c>
      <c r="I66" s="186" t="str">
        <f t="shared" si="1"/>
        <v/>
      </c>
      <c r="J66" s="185">
        <f t="shared" si="5"/>
        <v>-3</v>
      </c>
      <c r="K66" s="185">
        <f t="shared" si="2"/>
        <v>-30</v>
      </c>
      <c r="L66" s="185"/>
      <c r="M66" s="187">
        <f t="shared" si="3"/>
        <v>0</v>
      </c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</row>
    <row r="67" spans="1:38" s="173" customFormat="1" x14ac:dyDescent="0.25">
      <c r="A67" s="98">
        <f t="shared" si="4"/>
        <v>0</v>
      </c>
      <c r="B67" s="40" t="str">
        <f t="shared" si="0"/>
        <v/>
      </c>
      <c r="C67" s="41"/>
      <c r="D67" s="41"/>
      <c r="E67" s="41"/>
      <c r="F67" s="41"/>
      <c r="H67" s="188">
        <v>62</v>
      </c>
      <c r="I67" s="189" t="str">
        <f t="shared" si="1"/>
        <v/>
      </c>
      <c r="J67" s="188">
        <f t="shared" si="5"/>
        <v>-3</v>
      </c>
      <c r="K67" s="188">
        <f t="shared" si="2"/>
        <v>-30</v>
      </c>
      <c r="L67" s="188"/>
      <c r="M67" s="190">
        <f t="shared" si="3"/>
        <v>0</v>
      </c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</row>
    <row r="68" spans="1:38" s="173" customFormat="1" x14ac:dyDescent="0.25">
      <c r="A68" s="94">
        <f t="shared" si="4"/>
        <v>0</v>
      </c>
      <c r="B68" s="34" t="str">
        <f t="shared" si="0"/>
        <v/>
      </c>
      <c r="C68" s="35"/>
      <c r="D68" s="35"/>
      <c r="E68" s="35"/>
      <c r="F68" s="35"/>
      <c r="H68" s="185">
        <v>63</v>
      </c>
      <c r="I68" s="186" t="str">
        <f t="shared" si="1"/>
        <v/>
      </c>
      <c r="J68" s="185">
        <f t="shared" si="5"/>
        <v>-3</v>
      </c>
      <c r="K68" s="185">
        <f t="shared" si="2"/>
        <v>-30</v>
      </c>
      <c r="L68" s="185"/>
      <c r="M68" s="187">
        <f t="shared" si="3"/>
        <v>0</v>
      </c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</row>
    <row r="69" spans="1:38" s="173" customFormat="1" x14ac:dyDescent="0.25">
      <c r="A69" s="98">
        <f t="shared" si="4"/>
        <v>0</v>
      </c>
      <c r="B69" s="40" t="str">
        <f t="shared" si="0"/>
        <v/>
      </c>
      <c r="C69" s="41"/>
      <c r="D69" s="41"/>
      <c r="E69" s="41"/>
      <c r="F69" s="41"/>
      <c r="H69" s="188">
        <v>64</v>
      </c>
      <c r="I69" s="189" t="str">
        <f t="shared" si="1"/>
        <v/>
      </c>
      <c r="J69" s="188">
        <f t="shared" si="5"/>
        <v>-3</v>
      </c>
      <c r="K69" s="188">
        <f t="shared" si="2"/>
        <v>-30</v>
      </c>
      <c r="L69" s="188"/>
      <c r="M69" s="190">
        <f t="shared" si="3"/>
        <v>0</v>
      </c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</row>
    <row r="70" spans="1:38" s="173" customFormat="1" x14ac:dyDescent="0.25">
      <c r="A70" s="94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85">
        <v>65</v>
      </c>
      <c r="I70" s="186" t="str">
        <f t="shared" ref="I70:I133" si="7">IF(H70&lt;$H$2+1,($I$2-($I$2-1)*(LOG(H70)/LOG($H$2))),"")</f>
        <v/>
      </c>
      <c r="J70" s="185">
        <f t="shared" si="5"/>
        <v>-4</v>
      </c>
      <c r="K70" s="185">
        <f t="shared" ref="K70:K133" si="8">J70*$J$2</f>
        <v>-40</v>
      </c>
      <c r="L70" s="185"/>
      <c r="M70" s="187">
        <f t="shared" ref="M70:M133" si="9">IF(I70&lt;&gt;"",K70+I70+L70,0)</f>
        <v>0</v>
      </c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</row>
    <row r="71" spans="1:38" s="173" customFormat="1" x14ac:dyDescent="0.25">
      <c r="A71" s="98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88">
        <v>66</v>
      </c>
      <c r="I71" s="189" t="str">
        <f t="shared" si="7"/>
        <v/>
      </c>
      <c r="J71" s="188">
        <f t="shared" ref="J71:J134" si="11">INT(LOG($H$2,2))-ROUNDUP(LOG(H71,2),0)+IF(OR($H$2=1,$H$2=2,$H$2=4,$H$2=8,$H$2=16,$H$2=32,$H$2=64,$H$2=128,$H$2=256),0,1)</f>
        <v>-4</v>
      </c>
      <c r="K71" s="188">
        <f t="shared" si="8"/>
        <v>-40</v>
      </c>
      <c r="L71" s="188"/>
      <c r="M71" s="190">
        <f t="shared" si="9"/>
        <v>0</v>
      </c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</row>
    <row r="72" spans="1:38" s="173" customFormat="1" x14ac:dyDescent="0.25">
      <c r="A72" s="94">
        <f t="shared" si="10"/>
        <v>0</v>
      </c>
      <c r="B72" s="34" t="str">
        <f t="shared" si="6"/>
        <v/>
      </c>
      <c r="C72" s="35"/>
      <c r="D72" s="35"/>
      <c r="E72" s="35"/>
      <c r="F72" s="35"/>
      <c r="H72" s="185">
        <v>67</v>
      </c>
      <c r="I72" s="186" t="str">
        <f t="shared" si="7"/>
        <v/>
      </c>
      <c r="J72" s="185">
        <f t="shared" si="11"/>
        <v>-4</v>
      </c>
      <c r="K72" s="185">
        <f t="shared" si="8"/>
        <v>-40</v>
      </c>
      <c r="L72" s="185"/>
      <c r="M72" s="187">
        <f t="shared" si="9"/>
        <v>0</v>
      </c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</row>
    <row r="73" spans="1:38" s="173" customFormat="1" x14ac:dyDescent="0.25">
      <c r="A73" s="98">
        <f t="shared" si="10"/>
        <v>0</v>
      </c>
      <c r="B73" s="40" t="str">
        <f t="shared" si="6"/>
        <v/>
      </c>
      <c r="C73" s="41"/>
      <c r="D73" s="41"/>
      <c r="E73" s="41"/>
      <c r="F73" s="41"/>
      <c r="H73" s="188">
        <v>68</v>
      </c>
      <c r="I73" s="189" t="str">
        <f t="shared" si="7"/>
        <v/>
      </c>
      <c r="J73" s="188">
        <f t="shared" si="11"/>
        <v>-4</v>
      </c>
      <c r="K73" s="188">
        <f t="shared" si="8"/>
        <v>-40</v>
      </c>
      <c r="L73" s="188"/>
      <c r="M73" s="190">
        <f t="shared" si="9"/>
        <v>0</v>
      </c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</row>
    <row r="74" spans="1:38" s="173" customFormat="1" x14ac:dyDescent="0.25">
      <c r="A74" s="94">
        <f t="shared" si="10"/>
        <v>0</v>
      </c>
      <c r="B74" s="34" t="str">
        <f t="shared" si="6"/>
        <v/>
      </c>
      <c r="C74" s="35"/>
      <c r="D74" s="35"/>
      <c r="E74" s="35"/>
      <c r="F74" s="35"/>
      <c r="H74" s="185">
        <v>69</v>
      </c>
      <c r="I74" s="186" t="str">
        <f t="shared" si="7"/>
        <v/>
      </c>
      <c r="J74" s="185">
        <f t="shared" si="11"/>
        <v>-4</v>
      </c>
      <c r="K74" s="185">
        <f t="shared" si="8"/>
        <v>-40</v>
      </c>
      <c r="L74" s="185"/>
      <c r="M74" s="187">
        <f t="shared" si="9"/>
        <v>0</v>
      </c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</row>
    <row r="75" spans="1:38" s="173" customFormat="1" x14ac:dyDescent="0.25">
      <c r="A75" s="98">
        <f t="shared" si="10"/>
        <v>0</v>
      </c>
      <c r="B75" s="40" t="str">
        <f t="shared" si="6"/>
        <v/>
      </c>
      <c r="C75" s="41"/>
      <c r="D75" s="41"/>
      <c r="E75" s="41"/>
      <c r="F75" s="41"/>
      <c r="H75" s="188">
        <v>70</v>
      </c>
      <c r="I75" s="189" t="str">
        <f t="shared" si="7"/>
        <v/>
      </c>
      <c r="J75" s="188">
        <f t="shared" si="11"/>
        <v>-4</v>
      </c>
      <c r="K75" s="188">
        <f t="shared" si="8"/>
        <v>-40</v>
      </c>
      <c r="L75" s="188"/>
      <c r="M75" s="190">
        <f t="shared" si="9"/>
        <v>0</v>
      </c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</row>
    <row r="76" spans="1:38" s="173" customFormat="1" x14ac:dyDescent="0.25">
      <c r="A76" s="94">
        <f t="shared" si="10"/>
        <v>0</v>
      </c>
      <c r="B76" s="34" t="str">
        <f t="shared" si="6"/>
        <v/>
      </c>
      <c r="C76" s="35"/>
      <c r="D76" s="35"/>
      <c r="E76" s="35"/>
      <c r="F76" s="35"/>
      <c r="H76" s="185">
        <v>71</v>
      </c>
      <c r="I76" s="186" t="str">
        <f t="shared" si="7"/>
        <v/>
      </c>
      <c r="J76" s="185">
        <f t="shared" si="11"/>
        <v>-4</v>
      </c>
      <c r="K76" s="185">
        <f t="shared" si="8"/>
        <v>-40</v>
      </c>
      <c r="L76" s="185"/>
      <c r="M76" s="187">
        <f t="shared" si="9"/>
        <v>0</v>
      </c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</row>
    <row r="77" spans="1:38" s="173" customFormat="1" x14ac:dyDescent="0.25">
      <c r="A77" s="98">
        <f t="shared" si="10"/>
        <v>0</v>
      </c>
      <c r="B77" s="40" t="str">
        <f t="shared" si="6"/>
        <v/>
      </c>
      <c r="C77" s="41"/>
      <c r="D77" s="41"/>
      <c r="E77" s="41"/>
      <c r="F77" s="41"/>
      <c r="H77" s="188">
        <v>72</v>
      </c>
      <c r="I77" s="189" t="str">
        <f t="shared" si="7"/>
        <v/>
      </c>
      <c r="J77" s="188">
        <f t="shared" si="11"/>
        <v>-4</v>
      </c>
      <c r="K77" s="188">
        <f t="shared" si="8"/>
        <v>-40</v>
      </c>
      <c r="L77" s="188"/>
      <c r="M77" s="190">
        <f t="shared" si="9"/>
        <v>0</v>
      </c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</row>
    <row r="78" spans="1:38" s="173" customFormat="1" x14ac:dyDescent="0.25">
      <c r="A78" s="94">
        <f t="shared" si="10"/>
        <v>0</v>
      </c>
      <c r="B78" s="34" t="str">
        <f t="shared" si="6"/>
        <v/>
      </c>
      <c r="C78" s="35"/>
      <c r="D78" s="35"/>
      <c r="E78" s="35"/>
      <c r="F78" s="35"/>
      <c r="H78" s="185">
        <v>73</v>
      </c>
      <c r="I78" s="186" t="str">
        <f t="shared" si="7"/>
        <v/>
      </c>
      <c r="J78" s="185">
        <f t="shared" si="11"/>
        <v>-4</v>
      </c>
      <c r="K78" s="185">
        <f t="shared" si="8"/>
        <v>-40</v>
      </c>
      <c r="L78" s="185"/>
      <c r="M78" s="187">
        <f t="shared" si="9"/>
        <v>0</v>
      </c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</row>
    <row r="79" spans="1:38" s="173" customFormat="1" x14ac:dyDescent="0.25">
      <c r="A79" s="98">
        <f t="shared" si="10"/>
        <v>0</v>
      </c>
      <c r="B79" s="40" t="str">
        <f t="shared" si="6"/>
        <v/>
      </c>
      <c r="C79" s="41"/>
      <c r="D79" s="41"/>
      <c r="E79" s="41"/>
      <c r="F79" s="41"/>
      <c r="H79" s="188">
        <v>74</v>
      </c>
      <c r="I79" s="189" t="str">
        <f t="shared" si="7"/>
        <v/>
      </c>
      <c r="J79" s="188">
        <f t="shared" si="11"/>
        <v>-4</v>
      </c>
      <c r="K79" s="188">
        <f t="shared" si="8"/>
        <v>-40</v>
      </c>
      <c r="L79" s="188"/>
      <c r="M79" s="190">
        <f t="shared" si="9"/>
        <v>0</v>
      </c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</row>
    <row r="80" spans="1:38" s="173" customFormat="1" x14ac:dyDescent="0.25">
      <c r="A80" s="94">
        <f t="shared" si="10"/>
        <v>0</v>
      </c>
      <c r="B80" s="34" t="str">
        <f t="shared" si="6"/>
        <v/>
      </c>
      <c r="C80" s="35"/>
      <c r="D80" s="35"/>
      <c r="E80" s="35"/>
      <c r="F80" s="35"/>
      <c r="H80" s="185">
        <v>75</v>
      </c>
      <c r="I80" s="186" t="str">
        <f t="shared" si="7"/>
        <v/>
      </c>
      <c r="J80" s="185">
        <f t="shared" si="11"/>
        <v>-4</v>
      </c>
      <c r="K80" s="185">
        <f t="shared" si="8"/>
        <v>-40</v>
      </c>
      <c r="L80" s="185"/>
      <c r="M80" s="187">
        <f t="shared" si="9"/>
        <v>0</v>
      </c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</row>
    <row r="81" spans="1:38" s="173" customFormat="1" x14ac:dyDescent="0.25">
      <c r="A81" s="98">
        <f t="shared" si="10"/>
        <v>0</v>
      </c>
      <c r="B81" s="40" t="str">
        <f t="shared" si="6"/>
        <v/>
      </c>
      <c r="C81" s="41"/>
      <c r="D81" s="41"/>
      <c r="E81" s="41"/>
      <c r="F81" s="41"/>
      <c r="H81" s="188">
        <v>76</v>
      </c>
      <c r="I81" s="189" t="str">
        <f t="shared" si="7"/>
        <v/>
      </c>
      <c r="J81" s="188">
        <f t="shared" si="11"/>
        <v>-4</v>
      </c>
      <c r="K81" s="188">
        <f t="shared" si="8"/>
        <v>-40</v>
      </c>
      <c r="L81" s="188"/>
      <c r="M81" s="190">
        <f t="shared" si="9"/>
        <v>0</v>
      </c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</row>
    <row r="82" spans="1:38" s="173" customFormat="1" x14ac:dyDescent="0.25">
      <c r="A82" s="94">
        <f t="shared" si="10"/>
        <v>0</v>
      </c>
      <c r="B82" s="34" t="str">
        <f t="shared" si="6"/>
        <v/>
      </c>
      <c r="C82" s="35"/>
      <c r="D82" s="35"/>
      <c r="E82" s="35"/>
      <c r="F82" s="35"/>
      <c r="H82" s="185">
        <v>77</v>
      </c>
      <c r="I82" s="186" t="str">
        <f t="shared" si="7"/>
        <v/>
      </c>
      <c r="J82" s="185">
        <f t="shared" si="11"/>
        <v>-4</v>
      </c>
      <c r="K82" s="185">
        <f t="shared" si="8"/>
        <v>-40</v>
      </c>
      <c r="L82" s="185"/>
      <c r="M82" s="187">
        <f t="shared" si="9"/>
        <v>0</v>
      </c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</row>
    <row r="83" spans="1:38" s="173" customFormat="1" x14ac:dyDescent="0.25">
      <c r="A83" s="98">
        <f t="shared" si="10"/>
        <v>0</v>
      </c>
      <c r="B83" s="40" t="str">
        <f t="shared" si="6"/>
        <v/>
      </c>
      <c r="C83" s="41"/>
      <c r="D83" s="41"/>
      <c r="E83" s="41"/>
      <c r="F83" s="41"/>
      <c r="H83" s="188">
        <v>78</v>
      </c>
      <c r="I83" s="189" t="str">
        <f t="shared" si="7"/>
        <v/>
      </c>
      <c r="J83" s="188">
        <f t="shared" si="11"/>
        <v>-4</v>
      </c>
      <c r="K83" s="188">
        <f t="shared" si="8"/>
        <v>-40</v>
      </c>
      <c r="L83" s="188"/>
      <c r="M83" s="190">
        <f t="shared" si="9"/>
        <v>0</v>
      </c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</row>
    <row r="84" spans="1:38" s="173" customFormat="1" x14ac:dyDescent="0.25">
      <c r="A84" s="94">
        <f t="shared" si="10"/>
        <v>0</v>
      </c>
      <c r="B84" s="34" t="str">
        <f t="shared" si="6"/>
        <v/>
      </c>
      <c r="C84" s="35"/>
      <c r="D84" s="35"/>
      <c r="E84" s="35"/>
      <c r="F84" s="35"/>
      <c r="H84" s="185">
        <v>79</v>
      </c>
      <c r="I84" s="186" t="str">
        <f t="shared" si="7"/>
        <v/>
      </c>
      <c r="J84" s="185">
        <f t="shared" si="11"/>
        <v>-4</v>
      </c>
      <c r="K84" s="185">
        <f t="shared" si="8"/>
        <v>-40</v>
      </c>
      <c r="L84" s="185"/>
      <c r="M84" s="187">
        <f t="shared" si="9"/>
        <v>0</v>
      </c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</row>
    <row r="85" spans="1:38" s="173" customFormat="1" x14ac:dyDescent="0.25">
      <c r="A85" s="98">
        <f t="shared" si="10"/>
        <v>0</v>
      </c>
      <c r="B85" s="40" t="str">
        <f t="shared" si="6"/>
        <v/>
      </c>
      <c r="C85" s="41"/>
      <c r="D85" s="41"/>
      <c r="E85" s="41"/>
      <c r="F85" s="41"/>
      <c r="H85" s="188">
        <v>80</v>
      </c>
      <c r="I85" s="189" t="str">
        <f t="shared" si="7"/>
        <v/>
      </c>
      <c r="J85" s="188">
        <f t="shared" si="11"/>
        <v>-4</v>
      </c>
      <c r="K85" s="188">
        <f t="shared" si="8"/>
        <v>-40</v>
      </c>
      <c r="L85" s="188"/>
      <c r="M85" s="190">
        <f t="shared" si="9"/>
        <v>0</v>
      </c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</row>
    <row r="86" spans="1:38" s="173" customFormat="1" x14ac:dyDescent="0.25">
      <c r="A86" s="94">
        <f t="shared" si="10"/>
        <v>0</v>
      </c>
      <c r="B86" s="34" t="str">
        <f t="shared" si="6"/>
        <v/>
      </c>
      <c r="C86" s="35"/>
      <c r="D86" s="35"/>
      <c r="E86" s="35"/>
      <c r="F86" s="35"/>
      <c r="H86" s="185">
        <v>81</v>
      </c>
      <c r="I86" s="186" t="str">
        <f t="shared" si="7"/>
        <v/>
      </c>
      <c r="J86" s="185">
        <f t="shared" si="11"/>
        <v>-4</v>
      </c>
      <c r="K86" s="185">
        <f t="shared" si="8"/>
        <v>-40</v>
      </c>
      <c r="L86" s="185"/>
      <c r="M86" s="187">
        <f t="shared" si="9"/>
        <v>0</v>
      </c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</row>
    <row r="87" spans="1:38" s="173" customFormat="1" x14ac:dyDescent="0.25">
      <c r="A87" s="98">
        <f t="shared" si="10"/>
        <v>0</v>
      </c>
      <c r="B87" s="40" t="str">
        <f t="shared" si="6"/>
        <v/>
      </c>
      <c r="C87" s="41"/>
      <c r="D87" s="41"/>
      <c r="E87" s="41"/>
      <c r="F87" s="41"/>
      <c r="H87" s="188">
        <v>82</v>
      </c>
      <c r="I87" s="189" t="str">
        <f t="shared" si="7"/>
        <v/>
      </c>
      <c r="J87" s="188">
        <f t="shared" si="11"/>
        <v>-4</v>
      </c>
      <c r="K87" s="188">
        <f t="shared" si="8"/>
        <v>-40</v>
      </c>
      <c r="L87" s="188"/>
      <c r="M87" s="190">
        <f t="shared" si="9"/>
        <v>0</v>
      </c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</row>
    <row r="88" spans="1:38" s="173" customFormat="1" x14ac:dyDescent="0.25">
      <c r="A88" s="94">
        <f t="shared" si="10"/>
        <v>0</v>
      </c>
      <c r="B88" s="34" t="str">
        <f t="shared" si="6"/>
        <v/>
      </c>
      <c r="C88" s="35"/>
      <c r="D88" s="35"/>
      <c r="E88" s="35"/>
      <c r="F88" s="35"/>
      <c r="H88" s="185">
        <v>83</v>
      </c>
      <c r="I88" s="186" t="str">
        <f t="shared" si="7"/>
        <v/>
      </c>
      <c r="J88" s="185">
        <f t="shared" si="11"/>
        <v>-4</v>
      </c>
      <c r="K88" s="185">
        <f t="shared" si="8"/>
        <v>-40</v>
      </c>
      <c r="L88" s="185"/>
      <c r="M88" s="187">
        <f t="shared" si="9"/>
        <v>0</v>
      </c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</row>
    <row r="89" spans="1:38" s="173" customFormat="1" x14ac:dyDescent="0.25">
      <c r="A89" s="98">
        <f t="shared" si="10"/>
        <v>0</v>
      </c>
      <c r="B89" s="40" t="str">
        <f t="shared" si="6"/>
        <v/>
      </c>
      <c r="C89" s="41"/>
      <c r="D89" s="41"/>
      <c r="E89" s="41"/>
      <c r="F89" s="41"/>
      <c r="H89" s="188">
        <v>84</v>
      </c>
      <c r="I89" s="189" t="str">
        <f t="shared" si="7"/>
        <v/>
      </c>
      <c r="J89" s="188">
        <f t="shared" si="11"/>
        <v>-4</v>
      </c>
      <c r="K89" s="188">
        <f t="shared" si="8"/>
        <v>-40</v>
      </c>
      <c r="L89" s="188"/>
      <c r="M89" s="190">
        <f t="shared" si="9"/>
        <v>0</v>
      </c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</row>
    <row r="90" spans="1:38" s="173" customFormat="1" x14ac:dyDescent="0.25">
      <c r="A90" s="94">
        <f t="shared" si="10"/>
        <v>0</v>
      </c>
      <c r="B90" s="34" t="str">
        <f t="shared" si="6"/>
        <v/>
      </c>
      <c r="C90" s="35"/>
      <c r="D90" s="35"/>
      <c r="E90" s="35"/>
      <c r="F90" s="35"/>
      <c r="H90" s="185">
        <v>85</v>
      </c>
      <c r="I90" s="186" t="str">
        <f t="shared" si="7"/>
        <v/>
      </c>
      <c r="J90" s="185">
        <f t="shared" si="11"/>
        <v>-4</v>
      </c>
      <c r="K90" s="185">
        <f t="shared" si="8"/>
        <v>-40</v>
      </c>
      <c r="L90" s="185"/>
      <c r="M90" s="187">
        <f t="shared" si="9"/>
        <v>0</v>
      </c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</row>
    <row r="91" spans="1:38" s="173" customFormat="1" x14ac:dyDescent="0.25">
      <c r="A91" s="98">
        <f t="shared" si="10"/>
        <v>0</v>
      </c>
      <c r="B91" s="40" t="str">
        <f t="shared" si="6"/>
        <v/>
      </c>
      <c r="C91" s="41"/>
      <c r="D91" s="41"/>
      <c r="E91" s="41"/>
      <c r="F91" s="41"/>
      <c r="H91" s="188">
        <v>86</v>
      </c>
      <c r="I91" s="189" t="str">
        <f t="shared" si="7"/>
        <v/>
      </c>
      <c r="J91" s="188">
        <f t="shared" si="11"/>
        <v>-4</v>
      </c>
      <c r="K91" s="188">
        <f t="shared" si="8"/>
        <v>-40</v>
      </c>
      <c r="L91" s="188"/>
      <c r="M91" s="190">
        <f t="shared" si="9"/>
        <v>0</v>
      </c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</row>
    <row r="92" spans="1:38" s="173" customFormat="1" x14ac:dyDescent="0.25">
      <c r="A92" s="94">
        <f t="shared" si="10"/>
        <v>0</v>
      </c>
      <c r="B92" s="34" t="str">
        <f t="shared" si="6"/>
        <v/>
      </c>
      <c r="C92" s="35"/>
      <c r="D92" s="35"/>
      <c r="E92" s="35"/>
      <c r="F92" s="35"/>
      <c r="H92" s="185">
        <v>87</v>
      </c>
      <c r="I92" s="186" t="str">
        <f t="shared" si="7"/>
        <v/>
      </c>
      <c r="J92" s="185">
        <f t="shared" si="11"/>
        <v>-4</v>
      </c>
      <c r="K92" s="185">
        <f t="shared" si="8"/>
        <v>-40</v>
      </c>
      <c r="L92" s="185"/>
      <c r="M92" s="187">
        <f t="shared" si="9"/>
        <v>0</v>
      </c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</row>
    <row r="93" spans="1:38" s="173" customFormat="1" x14ac:dyDescent="0.25">
      <c r="A93" s="98">
        <f t="shared" si="10"/>
        <v>0</v>
      </c>
      <c r="B93" s="40" t="str">
        <f t="shared" si="6"/>
        <v/>
      </c>
      <c r="C93" s="41"/>
      <c r="D93" s="41"/>
      <c r="E93" s="41"/>
      <c r="F93" s="41"/>
      <c r="H93" s="188">
        <v>88</v>
      </c>
      <c r="I93" s="189" t="str">
        <f t="shared" si="7"/>
        <v/>
      </c>
      <c r="J93" s="188">
        <f t="shared" si="11"/>
        <v>-4</v>
      </c>
      <c r="K93" s="188">
        <f t="shared" si="8"/>
        <v>-40</v>
      </c>
      <c r="L93" s="188"/>
      <c r="M93" s="190">
        <f t="shared" si="9"/>
        <v>0</v>
      </c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</row>
    <row r="94" spans="1:38" s="173" customFormat="1" x14ac:dyDescent="0.25">
      <c r="A94" s="94">
        <f t="shared" si="10"/>
        <v>0</v>
      </c>
      <c r="B94" s="34" t="str">
        <f t="shared" si="6"/>
        <v/>
      </c>
      <c r="C94" s="35"/>
      <c r="D94" s="35"/>
      <c r="E94" s="35"/>
      <c r="F94" s="35"/>
      <c r="H94" s="185">
        <v>89</v>
      </c>
      <c r="I94" s="186" t="str">
        <f t="shared" si="7"/>
        <v/>
      </c>
      <c r="J94" s="185">
        <f t="shared" si="11"/>
        <v>-4</v>
      </c>
      <c r="K94" s="185">
        <f t="shared" si="8"/>
        <v>-40</v>
      </c>
      <c r="L94" s="185"/>
      <c r="M94" s="187">
        <f t="shared" si="9"/>
        <v>0</v>
      </c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</row>
    <row r="95" spans="1:38" s="173" customFormat="1" x14ac:dyDescent="0.25">
      <c r="A95" s="98">
        <f t="shared" si="10"/>
        <v>0</v>
      </c>
      <c r="B95" s="40" t="str">
        <f t="shared" si="6"/>
        <v/>
      </c>
      <c r="C95" s="41"/>
      <c r="D95" s="41"/>
      <c r="E95" s="41"/>
      <c r="F95" s="41"/>
      <c r="H95" s="188">
        <v>90</v>
      </c>
      <c r="I95" s="189" t="str">
        <f t="shared" si="7"/>
        <v/>
      </c>
      <c r="J95" s="188">
        <f t="shared" si="11"/>
        <v>-4</v>
      </c>
      <c r="K95" s="188">
        <f t="shared" si="8"/>
        <v>-40</v>
      </c>
      <c r="L95" s="188"/>
      <c r="M95" s="190">
        <f t="shared" si="9"/>
        <v>0</v>
      </c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</row>
    <row r="96" spans="1:38" s="173" customFormat="1" x14ac:dyDescent="0.25">
      <c r="A96" s="94">
        <f t="shared" si="10"/>
        <v>0</v>
      </c>
      <c r="B96" s="34" t="str">
        <f t="shared" si="6"/>
        <v/>
      </c>
      <c r="C96" s="35"/>
      <c r="D96" s="35"/>
      <c r="E96" s="35"/>
      <c r="F96" s="35"/>
      <c r="H96" s="185">
        <v>91</v>
      </c>
      <c r="I96" s="186" t="str">
        <f t="shared" si="7"/>
        <v/>
      </c>
      <c r="J96" s="185">
        <f t="shared" si="11"/>
        <v>-4</v>
      </c>
      <c r="K96" s="185">
        <f t="shared" si="8"/>
        <v>-40</v>
      </c>
      <c r="L96" s="185"/>
      <c r="M96" s="187">
        <f t="shared" si="9"/>
        <v>0</v>
      </c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</row>
    <row r="97" spans="1:38" s="173" customFormat="1" x14ac:dyDescent="0.25">
      <c r="A97" s="98">
        <f t="shared" si="10"/>
        <v>0</v>
      </c>
      <c r="B97" s="40" t="str">
        <f t="shared" si="6"/>
        <v/>
      </c>
      <c r="C97" s="41"/>
      <c r="D97" s="41"/>
      <c r="E97" s="41"/>
      <c r="F97" s="41"/>
      <c r="H97" s="188">
        <v>92</v>
      </c>
      <c r="I97" s="189" t="str">
        <f t="shared" si="7"/>
        <v/>
      </c>
      <c r="J97" s="188">
        <f t="shared" si="11"/>
        <v>-4</v>
      </c>
      <c r="K97" s="188">
        <f t="shared" si="8"/>
        <v>-40</v>
      </c>
      <c r="L97" s="188"/>
      <c r="M97" s="190">
        <f t="shared" si="9"/>
        <v>0</v>
      </c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</row>
    <row r="98" spans="1:38" s="173" customFormat="1" x14ac:dyDescent="0.25">
      <c r="A98" s="94">
        <f t="shared" si="10"/>
        <v>0</v>
      </c>
      <c r="B98" s="34" t="str">
        <f t="shared" si="6"/>
        <v/>
      </c>
      <c r="C98" s="35"/>
      <c r="D98" s="35"/>
      <c r="E98" s="35"/>
      <c r="F98" s="35"/>
      <c r="H98" s="185">
        <v>93</v>
      </c>
      <c r="I98" s="186" t="str">
        <f t="shared" si="7"/>
        <v/>
      </c>
      <c r="J98" s="185">
        <f t="shared" si="11"/>
        <v>-4</v>
      </c>
      <c r="K98" s="185">
        <f t="shared" si="8"/>
        <v>-40</v>
      </c>
      <c r="L98" s="185"/>
      <c r="M98" s="187">
        <f t="shared" si="9"/>
        <v>0</v>
      </c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</row>
    <row r="99" spans="1:38" s="173" customFormat="1" x14ac:dyDescent="0.25">
      <c r="A99" s="98">
        <f t="shared" si="10"/>
        <v>0</v>
      </c>
      <c r="B99" s="40" t="str">
        <f t="shared" si="6"/>
        <v/>
      </c>
      <c r="C99" s="41"/>
      <c r="D99" s="41"/>
      <c r="E99" s="41"/>
      <c r="F99" s="41"/>
      <c r="H99" s="188">
        <v>94</v>
      </c>
      <c r="I99" s="189" t="str">
        <f t="shared" si="7"/>
        <v/>
      </c>
      <c r="J99" s="188">
        <f t="shared" si="11"/>
        <v>-4</v>
      </c>
      <c r="K99" s="188">
        <f t="shared" si="8"/>
        <v>-40</v>
      </c>
      <c r="L99" s="188"/>
      <c r="M99" s="190">
        <f t="shared" si="9"/>
        <v>0</v>
      </c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</row>
    <row r="100" spans="1:38" s="173" customFormat="1" x14ac:dyDescent="0.25">
      <c r="A100" s="94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85">
        <v>95</v>
      </c>
      <c r="I100" s="186" t="str">
        <f t="shared" si="7"/>
        <v/>
      </c>
      <c r="J100" s="185">
        <f t="shared" si="11"/>
        <v>-4</v>
      </c>
      <c r="K100" s="185">
        <f t="shared" si="8"/>
        <v>-40</v>
      </c>
      <c r="L100" s="185"/>
      <c r="M100" s="187">
        <f t="shared" si="9"/>
        <v>0</v>
      </c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</row>
    <row r="101" spans="1:38" s="173" customFormat="1" x14ac:dyDescent="0.25">
      <c r="A101" s="98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88">
        <v>96</v>
      </c>
      <c r="I101" s="189" t="str">
        <f t="shared" si="7"/>
        <v/>
      </c>
      <c r="J101" s="188">
        <f t="shared" si="11"/>
        <v>-4</v>
      </c>
      <c r="K101" s="188">
        <f t="shared" si="8"/>
        <v>-40</v>
      </c>
      <c r="L101" s="188"/>
      <c r="M101" s="190">
        <f t="shared" si="9"/>
        <v>0</v>
      </c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</row>
    <row r="102" spans="1:38" s="173" customFormat="1" x14ac:dyDescent="0.25">
      <c r="A102" s="94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85">
        <v>97</v>
      </c>
      <c r="I102" s="186" t="str">
        <f t="shared" si="7"/>
        <v/>
      </c>
      <c r="J102" s="185">
        <f t="shared" si="11"/>
        <v>-4</v>
      </c>
      <c r="K102" s="185">
        <f t="shared" si="8"/>
        <v>-40</v>
      </c>
      <c r="L102" s="185"/>
      <c r="M102" s="187">
        <f t="shared" si="9"/>
        <v>0</v>
      </c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</row>
    <row r="103" spans="1:38" s="173" customFormat="1" x14ac:dyDescent="0.25">
      <c r="A103" s="98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88">
        <v>98</v>
      </c>
      <c r="I103" s="189" t="str">
        <f t="shared" si="7"/>
        <v/>
      </c>
      <c r="J103" s="188">
        <f t="shared" si="11"/>
        <v>-4</v>
      </c>
      <c r="K103" s="188">
        <f t="shared" si="8"/>
        <v>-40</v>
      </c>
      <c r="L103" s="188"/>
      <c r="M103" s="190">
        <f t="shared" si="9"/>
        <v>0</v>
      </c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</row>
    <row r="104" spans="1:38" s="173" customFormat="1" x14ac:dyDescent="0.25">
      <c r="A104" s="94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85">
        <v>99</v>
      </c>
      <c r="I104" s="186" t="str">
        <f t="shared" si="7"/>
        <v/>
      </c>
      <c r="J104" s="185">
        <f t="shared" si="11"/>
        <v>-4</v>
      </c>
      <c r="K104" s="185">
        <f t="shared" si="8"/>
        <v>-40</v>
      </c>
      <c r="L104" s="185"/>
      <c r="M104" s="187">
        <f t="shared" si="9"/>
        <v>0</v>
      </c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</row>
    <row r="105" spans="1:38" s="173" customFormat="1" x14ac:dyDescent="0.25">
      <c r="A105" s="98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88">
        <v>100</v>
      </c>
      <c r="I105" s="189" t="str">
        <f t="shared" si="7"/>
        <v/>
      </c>
      <c r="J105" s="188">
        <f t="shared" si="11"/>
        <v>-4</v>
      </c>
      <c r="K105" s="188">
        <f t="shared" si="8"/>
        <v>-40</v>
      </c>
      <c r="L105" s="188"/>
      <c r="M105" s="190">
        <f t="shared" si="9"/>
        <v>0</v>
      </c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</row>
    <row r="106" spans="1:38" s="173" customFormat="1" x14ac:dyDescent="0.25">
      <c r="A106" s="94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85">
        <v>101</v>
      </c>
      <c r="I106" s="186" t="str">
        <f t="shared" si="7"/>
        <v/>
      </c>
      <c r="J106" s="185">
        <f t="shared" si="11"/>
        <v>-4</v>
      </c>
      <c r="K106" s="185">
        <f t="shared" si="8"/>
        <v>-40</v>
      </c>
      <c r="L106" s="185"/>
      <c r="M106" s="187">
        <f t="shared" si="9"/>
        <v>0</v>
      </c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</row>
    <row r="107" spans="1:38" s="173" customFormat="1" x14ac:dyDescent="0.25">
      <c r="A107" s="98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88">
        <v>102</v>
      </c>
      <c r="I107" s="189" t="str">
        <f t="shared" si="7"/>
        <v/>
      </c>
      <c r="J107" s="188">
        <f t="shared" si="11"/>
        <v>-4</v>
      </c>
      <c r="K107" s="188">
        <f t="shared" si="8"/>
        <v>-40</v>
      </c>
      <c r="L107" s="188"/>
      <c r="M107" s="190">
        <f t="shared" si="9"/>
        <v>0</v>
      </c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</row>
    <row r="108" spans="1:38" s="173" customFormat="1" x14ac:dyDescent="0.25">
      <c r="A108" s="94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85">
        <v>103</v>
      </c>
      <c r="I108" s="186" t="str">
        <f t="shared" si="7"/>
        <v/>
      </c>
      <c r="J108" s="185">
        <f t="shared" si="11"/>
        <v>-4</v>
      </c>
      <c r="K108" s="185">
        <f t="shared" si="8"/>
        <v>-40</v>
      </c>
      <c r="L108" s="185"/>
      <c r="M108" s="187">
        <f t="shared" si="9"/>
        <v>0</v>
      </c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</row>
    <row r="109" spans="1:38" s="173" customFormat="1" x14ac:dyDescent="0.25">
      <c r="A109" s="98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88">
        <v>104</v>
      </c>
      <c r="I109" s="189" t="str">
        <f t="shared" si="7"/>
        <v/>
      </c>
      <c r="J109" s="188">
        <f t="shared" si="11"/>
        <v>-4</v>
      </c>
      <c r="K109" s="188">
        <f t="shared" si="8"/>
        <v>-40</v>
      </c>
      <c r="L109" s="188"/>
      <c r="M109" s="190">
        <f t="shared" si="9"/>
        <v>0</v>
      </c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</row>
    <row r="110" spans="1:38" s="173" customFormat="1" x14ac:dyDescent="0.25">
      <c r="A110" s="94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85">
        <v>105</v>
      </c>
      <c r="I110" s="186" t="str">
        <f t="shared" si="7"/>
        <v/>
      </c>
      <c r="J110" s="185">
        <f t="shared" si="11"/>
        <v>-4</v>
      </c>
      <c r="K110" s="185">
        <f t="shared" si="8"/>
        <v>-40</v>
      </c>
      <c r="L110" s="185"/>
      <c r="M110" s="187">
        <f t="shared" si="9"/>
        <v>0</v>
      </c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</row>
    <row r="111" spans="1:38" s="173" customFormat="1" x14ac:dyDescent="0.25">
      <c r="A111" s="98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88">
        <v>106</v>
      </c>
      <c r="I111" s="189" t="str">
        <f t="shared" si="7"/>
        <v/>
      </c>
      <c r="J111" s="188">
        <f t="shared" si="11"/>
        <v>-4</v>
      </c>
      <c r="K111" s="188">
        <f t="shared" si="8"/>
        <v>-40</v>
      </c>
      <c r="L111" s="188"/>
      <c r="M111" s="190">
        <f t="shared" si="9"/>
        <v>0</v>
      </c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</row>
    <row r="112" spans="1:38" s="173" customFormat="1" x14ac:dyDescent="0.25">
      <c r="A112" s="94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85">
        <v>107</v>
      </c>
      <c r="I112" s="186" t="str">
        <f t="shared" si="7"/>
        <v/>
      </c>
      <c r="J112" s="185">
        <f t="shared" si="11"/>
        <v>-4</v>
      </c>
      <c r="K112" s="185">
        <f t="shared" si="8"/>
        <v>-40</v>
      </c>
      <c r="L112" s="185"/>
      <c r="M112" s="187">
        <f t="shared" si="9"/>
        <v>0</v>
      </c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</row>
    <row r="113" spans="1:38" s="173" customFormat="1" x14ac:dyDescent="0.25">
      <c r="A113" s="98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88">
        <v>108</v>
      </c>
      <c r="I113" s="189" t="str">
        <f t="shared" si="7"/>
        <v/>
      </c>
      <c r="J113" s="188">
        <f t="shared" si="11"/>
        <v>-4</v>
      </c>
      <c r="K113" s="188">
        <f t="shared" si="8"/>
        <v>-40</v>
      </c>
      <c r="L113" s="188"/>
      <c r="M113" s="190">
        <f t="shared" si="9"/>
        <v>0</v>
      </c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</row>
    <row r="114" spans="1:38" s="173" customFormat="1" x14ac:dyDescent="0.25">
      <c r="A114" s="94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85">
        <v>109</v>
      </c>
      <c r="I114" s="186" t="str">
        <f t="shared" si="7"/>
        <v/>
      </c>
      <c r="J114" s="185">
        <f t="shared" si="11"/>
        <v>-4</v>
      </c>
      <c r="K114" s="185">
        <f t="shared" si="8"/>
        <v>-40</v>
      </c>
      <c r="L114" s="185"/>
      <c r="M114" s="187">
        <f t="shared" si="9"/>
        <v>0</v>
      </c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</row>
    <row r="115" spans="1:38" s="173" customFormat="1" x14ac:dyDescent="0.25">
      <c r="A115" s="98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88">
        <v>110</v>
      </c>
      <c r="I115" s="189" t="str">
        <f t="shared" si="7"/>
        <v/>
      </c>
      <c r="J115" s="188">
        <f t="shared" si="11"/>
        <v>-4</v>
      </c>
      <c r="K115" s="188">
        <f t="shared" si="8"/>
        <v>-40</v>
      </c>
      <c r="L115" s="188"/>
      <c r="M115" s="190">
        <f t="shared" si="9"/>
        <v>0</v>
      </c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</row>
    <row r="116" spans="1:38" s="173" customFormat="1" x14ac:dyDescent="0.25">
      <c r="A116" s="94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85">
        <v>111</v>
      </c>
      <c r="I116" s="186" t="str">
        <f t="shared" si="7"/>
        <v/>
      </c>
      <c r="J116" s="185">
        <f t="shared" si="11"/>
        <v>-4</v>
      </c>
      <c r="K116" s="185">
        <f t="shared" si="8"/>
        <v>-40</v>
      </c>
      <c r="L116" s="185"/>
      <c r="M116" s="187">
        <f t="shared" si="9"/>
        <v>0</v>
      </c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</row>
    <row r="117" spans="1:38" s="173" customFormat="1" x14ac:dyDescent="0.25">
      <c r="A117" s="98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88">
        <v>112</v>
      </c>
      <c r="I117" s="189" t="str">
        <f t="shared" si="7"/>
        <v/>
      </c>
      <c r="J117" s="188">
        <f t="shared" si="11"/>
        <v>-4</v>
      </c>
      <c r="K117" s="188">
        <f t="shared" si="8"/>
        <v>-40</v>
      </c>
      <c r="L117" s="188"/>
      <c r="M117" s="190">
        <f t="shared" si="9"/>
        <v>0</v>
      </c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</row>
    <row r="118" spans="1:38" s="173" customFormat="1" x14ac:dyDescent="0.25">
      <c r="A118" s="94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85">
        <v>113</v>
      </c>
      <c r="I118" s="186" t="str">
        <f t="shared" si="7"/>
        <v/>
      </c>
      <c r="J118" s="185">
        <f t="shared" si="11"/>
        <v>-4</v>
      </c>
      <c r="K118" s="185">
        <f t="shared" si="8"/>
        <v>-40</v>
      </c>
      <c r="L118" s="185"/>
      <c r="M118" s="187">
        <f t="shared" si="9"/>
        <v>0</v>
      </c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</row>
    <row r="119" spans="1:38" s="173" customFormat="1" x14ac:dyDescent="0.25">
      <c r="A119" s="98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88">
        <v>114</v>
      </c>
      <c r="I119" s="189" t="str">
        <f t="shared" si="7"/>
        <v/>
      </c>
      <c r="J119" s="188">
        <f t="shared" si="11"/>
        <v>-4</v>
      </c>
      <c r="K119" s="188">
        <f t="shared" si="8"/>
        <v>-40</v>
      </c>
      <c r="L119" s="188"/>
      <c r="M119" s="190">
        <f t="shared" si="9"/>
        <v>0</v>
      </c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</row>
    <row r="120" spans="1:38" s="173" customFormat="1" x14ac:dyDescent="0.25">
      <c r="A120" s="94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85">
        <v>115</v>
      </c>
      <c r="I120" s="186" t="str">
        <f t="shared" si="7"/>
        <v/>
      </c>
      <c r="J120" s="185">
        <f t="shared" si="11"/>
        <v>-4</v>
      </c>
      <c r="K120" s="185">
        <f t="shared" si="8"/>
        <v>-40</v>
      </c>
      <c r="L120" s="185"/>
      <c r="M120" s="187">
        <f t="shared" si="9"/>
        <v>0</v>
      </c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</row>
    <row r="121" spans="1:38" s="173" customFormat="1" x14ac:dyDescent="0.25">
      <c r="A121" s="98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88">
        <v>116</v>
      </c>
      <c r="I121" s="189" t="str">
        <f t="shared" si="7"/>
        <v/>
      </c>
      <c r="J121" s="188">
        <f t="shared" si="11"/>
        <v>-4</v>
      </c>
      <c r="K121" s="188">
        <f t="shared" si="8"/>
        <v>-40</v>
      </c>
      <c r="L121" s="188"/>
      <c r="M121" s="190">
        <f t="shared" si="9"/>
        <v>0</v>
      </c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</row>
    <row r="122" spans="1:38" s="173" customFormat="1" x14ac:dyDescent="0.25">
      <c r="A122" s="94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85">
        <v>117</v>
      </c>
      <c r="I122" s="186" t="str">
        <f t="shared" si="7"/>
        <v/>
      </c>
      <c r="J122" s="185">
        <f t="shared" si="11"/>
        <v>-4</v>
      </c>
      <c r="K122" s="185">
        <f t="shared" si="8"/>
        <v>-40</v>
      </c>
      <c r="L122" s="185"/>
      <c r="M122" s="187">
        <f t="shared" si="9"/>
        <v>0</v>
      </c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</row>
    <row r="123" spans="1:38" s="173" customFormat="1" x14ac:dyDescent="0.25">
      <c r="A123" s="98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88">
        <v>118</v>
      </c>
      <c r="I123" s="189" t="str">
        <f t="shared" si="7"/>
        <v/>
      </c>
      <c r="J123" s="188">
        <f t="shared" si="11"/>
        <v>-4</v>
      </c>
      <c r="K123" s="188">
        <f t="shared" si="8"/>
        <v>-40</v>
      </c>
      <c r="L123" s="188"/>
      <c r="M123" s="190">
        <f t="shared" si="9"/>
        <v>0</v>
      </c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</row>
    <row r="124" spans="1:38" s="173" customFormat="1" x14ac:dyDescent="0.25">
      <c r="A124" s="94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85">
        <v>119</v>
      </c>
      <c r="I124" s="186" t="str">
        <f t="shared" si="7"/>
        <v/>
      </c>
      <c r="J124" s="185">
        <f t="shared" si="11"/>
        <v>-4</v>
      </c>
      <c r="K124" s="185">
        <f t="shared" si="8"/>
        <v>-40</v>
      </c>
      <c r="L124" s="185"/>
      <c r="M124" s="187">
        <f t="shared" si="9"/>
        <v>0</v>
      </c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</row>
    <row r="125" spans="1:38" s="173" customFormat="1" x14ac:dyDescent="0.25">
      <c r="A125" s="98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88">
        <v>120</v>
      </c>
      <c r="I125" s="189" t="str">
        <f t="shared" si="7"/>
        <v/>
      </c>
      <c r="J125" s="188">
        <f t="shared" si="11"/>
        <v>-4</v>
      </c>
      <c r="K125" s="188">
        <f t="shared" si="8"/>
        <v>-40</v>
      </c>
      <c r="L125" s="188"/>
      <c r="M125" s="190">
        <f t="shared" si="9"/>
        <v>0</v>
      </c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</row>
    <row r="126" spans="1:38" s="173" customFormat="1" x14ac:dyDescent="0.25">
      <c r="A126" s="94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85">
        <v>121</v>
      </c>
      <c r="I126" s="186" t="str">
        <f t="shared" si="7"/>
        <v/>
      </c>
      <c r="J126" s="185">
        <f t="shared" si="11"/>
        <v>-4</v>
      </c>
      <c r="K126" s="185">
        <f t="shared" si="8"/>
        <v>-40</v>
      </c>
      <c r="L126" s="185"/>
      <c r="M126" s="187">
        <f t="shared" si="9"/>
        <v>0</v>
      </c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</row>
    <row r="127" spans="1:38" s="173" customFormat="1" x14ac:dyDescent="0.25">
      <c r="A127" s="98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88">
        <v>122</v>
      </c>
      <c r="I127" s="189" t="str">
        <f t="shared" si="7"/>
        <v/>
      </c>
      <c r="J127" s="188">
        <f t="shared" si="11"/>
        <v>-4</v>
      </c>
      <c r="K127" s="188">
        <f t="shared" si="8"/>
        <v>-40</v>
      </c>
      <c r="L127" s="188"/>
      <c r="M127" s="190">
        <f t="shared" si="9"/>
        <v>0</v>
      </c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</row>
    <row r="128" spans="1:38" s="173" customFormat="1" x14ac:dyDescent="0.25">
      <c r="A128" s="94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85">
        <v>123</v>
      </c>
      <c r="I128" s="186" t="str">
        <f t="shared" si="7"/>
        <v/>
      </c>
      <c r="J128" s="185">
        <f t="shared" si="11"/>
        <v>-4</v>
      </c>
      <c r="K128" s="185">
        <f t="shared" si="8"/>
        <v>-40</v>
      </c>
      <c r="L128" s="185"/>
      <c r="M128" s="187">
        <f t="shared" si="9"/>
        <v>0</v>
      </c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</row>
    <row r="129" spans="1:38" s="173" customFormat="1" x14ac:dyDescent="0.25">
      <c r="A129" s="98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88">
        <v>124</v>
      </c>
      <c r="I129" s="189" t="str">
        <f t="shared" si="7"/>
        <v/>
      </c>
      <c r="J129" s="188">
        <f t="shared" si="11"/>
        <v>-4</v>
      </c>
      <c r="K129" s="188">
        <f t="shared" si="8"/>
        <v>-40</v>
      </c>
      <c r="L129" s="188"/>
      <c r="M129" s="190">
        <f t="shared" si="9"/>
        <v>0</v>
      </c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</row>
    <row r="130" spans="1:38" s="173" customFormat="1" x14ac:dyDescent="0.25">
      <c r="A130" s="94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85">
        <v>125</v>
      </c>
      <c r="I130" s="186" t="str">
        <f t="shared" si="7"/>
        <v/>
      </c>
      <c r="J130" s="185">
        <f t="shared" si="11"/>
        <v>-4</v>
      </c>
      <c r="K130" s="185">
        <f t="shared" si="8"/>
        <v>-40</v>
      </c>
      <c r="L130" s="185"/>
      <c r="M130" s="187">
        <f t="shared" si="9"/>
        <v>0</v>
      </c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</row>
    <row r="131" spans="1:38" s="173" customFormat="1" x14ac:dyDescent="0.25">
      <c r="A131" s="98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88">
        <v>126</v>
      </c>
      <c r="I131" s="189" t="str">
        <f t="shared" si="7"/>
        <v/>
      </c>
      <c r="J131" s="188">
        <f t="shared" si="11"/>
        <v>-4</v>
      </c>
      <c r="K131" s="188">
        <f t="shared" si="8"/>
        <v>-40</v>
      </c>
      <c r="L131" s="188"/>
      <c r="M131" s="190">
        <f t="shared" si="9"/>
        <v>0</v>
      </c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</row>
    <row r="132" spans="1:38" s="173" customFormat="1" x14ac:dyDescent="0.25">
      <c r="A132" s="94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85">
        <v>127</v>
      </c>
      <c r="I132" s="186" t="str">
        <f t="shared" si="7"/>
        <v/>
      </c>
      <c r="J132" s="185">
        <f t="shared" si="11"/>
        <v>-4</v>
      </c>
      <c r="K132" s="185">
        <f t="shared" si="8"/>
        <v>-40</v>
      </c>
      <c r="L132" s="185"/>
      <c r="M132" s="187">
        <f t="shared" si="9"/>
        <v>0</v>
      </c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</row>
    <row r="133" spans="1:38" s="173" customFormat="1" x14ac:dyDescent="0.25">
      <c r="A133" s="98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88">
        <v>128</v>
      </c>
      <c r="I133" s="189" t="str">
        <f t="shared" si="7"/>
        <v/>
      </c>
      <c r="J133" s="188">
        <f t="shared" si="11"/>
        <v>-4</v>
      </c>
      <c r="K133" s="188">
        <f t="shared" si="8"/>
        <v>-40</v>
      </c>
      <c r="L133" s="188"/>
      <c r="M133" s="190">
        <f t="shared" si="9"/>
        <v>0</v>
      </c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</row>
    <row r="134" spans="1:38" s="173" customFormat="1" x14ac:dyDescent="0.25">
      <c r="A134" s="94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85">
        <v>129</v>
      </c>
      <c r="I134" s="186" t="str">
        <f t="shared" ref="I134:I197" si="13">IF(H134&lt;$H$2+1,($I$2-($I$2-1)*(LOG(H134)/LOG($H$2))),"")</f>
        <v/>
      </c>
      <c r="J134" s="185">
        <f t="shared" si="11"/>
        <v>-5</v>
      </c>
      <c r="K134" s="185">
        <f t="shared" ref="K134:K197" si="14">J134*$J$2</f>
        <v>-50</v>
      </c>
      <c r="L134" s="185"/>
      <c r="M134" s="187">
        <f t="shared" ref="M134:M197" si="15">IF(I134&lt;&gt;"",K134+I134+L134,0)</f>
        <v>0</v>
      </c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</row>
    <row r="135" spans="1:38" s="173" customFormat="1" x14ac:dyDescent="0.25">
      <c r="A135" s="98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88">
        <v>130</v>
      </c>
      <c r="I135" s="189" t="str">
        <f t="shared" si="13"/>
        <v/>
      </c>
      <c r="J135" s="188">
        <f t="shared" ref="J135:J198" si="17">INT(LOG($H$2,2))-ROUNDUP(LOG(H135,2),0)+IF(OR($H$2=1,$H$2=2,$H$2=4,$H$2=8,$H$2=16,$H$2=32,$H$2=64,$H$2=128,$H$2=256),0,1)</f>
        <v>-5</v>
      </c>
      <c r="K135" s="188">
        <f t="shared" si="14"/>
        <v>-50</v>
      </c>
      <c r="L135" s="188"/>
      <c r="M135" s="190">
        <f t="shared" si="15"/>
        <v>0</v>
      </c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</row>
    <row r="136" spans="1:38" s="173" customFormat="1" x14ac:dyDescent="0.25">
      <c r="A136" s="94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85">
        <v>131</v>
      </c>
      <c r="I136" s="186" t="str">
        <f t="shared" si="13"/>
        <v/>
      </c>
      <c r="J136" s="185">
        <f t="shared" si="17"/>
        <v>-5</v>
      </c>
      <c r="K136" s="185">
        <f t="shared" si="14"/>
        <v>-50</v>
      </c>
      <c r="L136" s="185"/>
      <c r="M136" s="187">
        <f t="shared" si="15"/>
        <v>0</v>
      </c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</row>
    <row r="137" spans="1:38" s="173" customFormat="1" x14ac:dyDescent="0.25">
      <c r="A137" s="98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88">
        <v>132</v>
      </c>
      <c r="I137" s="189" t="str">
        <f t="shared" si="13"/>
        <v/>
      </c>
      <c r="J137" s="188">
        <f t="shared" si="17"/>
        <v>-5</v>
      </c>
      <c r="K137" s="188">
        <f t="shared" si="14"/>
        <v>-50</v>
      </c>
      <c r="L137" s="188"/>
      <c r="M137" s="190">
        <f t="shared" si="15"/>
        <v>0</v>
      </c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</row>
    <row r="138" spans="1:38" s="173" customFormat="1" x14ac:dyDescent="0.25">
      <c r="A138" s="94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85">
        <v>133</v>
      </c>
      <c r="I138" s="186" t="str">
        <f t="shared" si="13"/>
        <v/>
      </c>
      <c r="J138" s="185">
        <f t="shared" si="17"/>
        <v>-5</v>
      </c>
      <c r="K138" s="185">
        <f t="shared" si="14"/>
        <v>-50</v>
      </c>
      <c r="L138" s="185"/>
      <c r="M138" s="187">
        <f t="shared" si="15"/>
        <v>0</v>
      </c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</row>
    <row r="139" spans="1:38" s="173" customFormat="1" x14ac:dyDescent="0.25">
      <c r="A139" s="98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88">
        <v>134</v>
      </c>
      <c r="I139" s="189" t="str">
        <f t="shared" si="13"/>
        <v/>
      </c>
      <c r="J139" s="188">
        <f t="shared" si="17"/>
        <v>-5</v>
      </c>
      <c r="K139" s="188">
        <f t="shared" si="14"/>
        <v>-50</v>
      </c>
      <c r="L139" s="188"/>
      <c r="M139" s="190">
        <f t="shared" si="15"/>
        <v>0</v>
      </c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</row>
    <row r="140" spans="1:38" s="173" customFormat="1" x14ac:dyDescent="0.25">
      <c r="A140" s="94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85">
        <v>135</v>
      </c>
      <c r="I140" s="186" t="str">
        <f t="shared" si="13"/>
        <v/>
      </c>
      <c r="J140" s="185">
        <f t="shared" si="17"/>
        <v>-5</v>
      </c>
      <c r="K140" s="185">
        <f t="shared" si="14"/>
        <v>-50</v>
      </c>
      <c r="L140" s="185"/>
      <c r="M140" s="187">
        <f t="shared" si="15"/>
        <v>0</v>
      </c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</row>
    <row r="141" spans="1:38" x14ac:dyDescent="0.25">
      <c r="A141" s="202"/>
      <c r="G141" s="173"/>
      <c r="H141" s="188">
        <v>136</v>
      </c>
      <c r="I141" s="186" t="str">
        <f t="shared" si="13"/>
        <v/>
      </c>
      <c r="J141" s="185">
        <f t="shared" si="17"/>
        <v>-5</v>
      </c>
      <c r="K141" s="185">
        <f t="shared" si="14"/>
        <v>-50</v>
      </c>
      <c r="L141" s="185"/>
      <c r="M141" s="187">
        <f t="shared" si="15"/>
        <v>0</v>
      </c>
    </row>
    <row r="142" spans="1:38" x14ac:dyDescent="0.25">
      <c r="A142" s="202"/>
      <c r="G142" s="173"/>
      <c r="H142" s="185">
        <v>137</v>
      </c>
      <c r="I142" s="186" t="str">
        <f t="shared" si="13"/>
        <v/>
      </c>
      <c r="J142" s="185">
        <f t="shared" si="17"/>
        <v>-5</v>
      </c>
      <c r="K142" s="185">
        <f t="shared" si="14"/>
        <v>-50</v>
      </c>
      <c r="L142" s="185"/>
      <c r="M142" s="187">
        <f t="shared" si="15"/>
        <v>0</v>
      </c>
    </row>
    <row r="143" spans="1:38" x14ac:dyDescent="0.25">
      <c r="A143" s="202"/>
      <c r="G143" s="173"/>
      <c r="H143" s="188">
        <v>138</v>
      </c>
      <c r="I143" s="186" t="str">
        <f t="shared" si="13"/>
        <v/>
      </c>
      <c r="J143" s="185">
        <f t="shared" si="17"/>
        <v>-5</v>
      </c>
      <c r="K143" s="185">
        <f t="shared" si="14"/>
        <v>-50</v>
      </c>
      <c r="L143" s="185"/>
      <c r="M143" s="187">
        <f t="shared" si="15"/>
        <v>0</v>
      </c>
    </row>
    <row r="144" spans="1:38" x14ac:dyDescent="0.25">
      <c r="A144" s="202"/>
      <c r="G144" s="173"/>
      <c r="H144" s="185">
        <v>139</v>
      </c>
      <c r="I144" s="186" t="str">
        <f t="shared" si="13"/>
        <v/>
      </c>
      <c r="J144" s="185">
        <f t="shared" si="17"/>
        <v>-5</v>
      </c>
      <c r="K144" s="185">
        <f t="shared" si="14"/>
        <v>-50</v>
      </c>
      <c r="L144" s="185"/>
      <c r="M144" s="187">
        <f t="shared" si="15"/>
        <v>0</v>
      </c>
    </row>
    <row r="145" spans="1:13" x14ac:dyDescent="0.25">
      <c r="A145" s="202"/>
      <c r="G145" s="173"/>
      <c r="H145" s="188">
        <v>140</v>
      </c>
      <c r="I145" s="186" t="str">
        <f t="shared" si="13"/>
        <v/>
      </c>
      <c r="J145" s="185">
        <f t="shared" si="17"/>
        <v>-5</v>
      </c>
      <c r="K145" s="185">
        <f t="shared" si="14"/>
        <v>-50</v>
      </c>
      <c r="L145" s="185"/>
      <c r="M145" s="187">
        <f t="shared" si="15"/>
        <v>0</v>
      </c>
    </row>
    <row r="146" spans="1:13" x14ac:dyDescent="0.25">
      <c r="A146" s="202"/>
      <c r="G146" s="173"/>
      <c r="H146" s="185">
        <v>141</v>
      </c>
      <c r="I146" s="186" t="str">
        <f t="shared" si="13"/>
        <v/>
      </c>
      <c r="J146" s="185">
        <f t="shared" si="17"/>
        <v>-5</v>
      </c>
      <c r="K146" s="185">
        <f t="shared" si="14"/>
        <v>-50</v>
      </c>
      <c r="L146" s="185"/>
      <c r="M146" s="187">
        <f t="shared" si="15"/>
        <v>0</v>
      </c>
    </row>
    <row r="147" spans="1:13" x14ac:dyDescent="0.25">
      <c r="A147" s="202"/>
      <c r="G147" s="173"/>
      <c r="H147" s="188">
        <v>142</v>
      </c>
      <c r="I147" s="186" t="str">
        <f t="shared" si="13"/>
        <v/>
      </c>
      <c r="J147" s="185">
        <f t="shared" si="17"/>
        <v>-5</v>
      </c>
      <c r="K147" s="185">
        <f t="shared" si="14"/>
        <v>-50</v>
      </c>
      <c r="L147" s="185"/>
      <c r="M147" s="187">
        <f t="shared" si="15"/>
        <v>0</v>
      </c>
    </row>
    <row r="148" spans="1:13" x14ac:dyDescent="0.25">
      <c r="A148" s="202"/>
      <c r="G148" s="173"/>
      <c r="H148" s="185">
        <v>143</v>
      </c>
      <c r="I148" s="186" t="str">
        <f t="shared" si="13"/>
        <v/>
      </c>
      <c r="J148" s="185">
        <f t="shared" si="17"/>
        <v>-5</v>
      </c>
      <c r="K148" s="185">
        <f t="shared" si="14"/>
        <v>-50</v>
      </c>
      <c r="L148" s="185"/>
      <c r="M148" s="187">
        <f t="shared" si="15"/>
        <v>0</v>
      </c>
    </row>
    <row r="149" spans="1:13" x14ac:dyDescent="0.25">
      <c r="A149" s="202"/>
      <c r="G149" s="173"/>
      <c r="H149" s="188">
        <v>144</v>
      </c>
      <c r="I149" s="186" t="str">
        <f t="shared" si="13"/>
        <v/>
      </c>
      <c r="J149" s="185">
        <f t="shared" si="17"/>
        <v>-5</v>
      </c>
      <c r="K149" s="185">
        <f t="shared" si="14"/>
        <v>-50</v>
      </c>
      <c r="L149" s="185"/>
      <c r="M149" s="187">
        <f t="shared" si="15"/>
        <v>0</v>
      </c>
    </row>
    <row r="150" spans="1:13" x14ac:dyDescent="0.25">
      <c r="A150" s="202"/>
      <c r="G150" s="173"/>
      <c r="H150" s="185">
        <v>145</v>
      </c>
      <c r="I150" s="186" t="str">
        <f t="shared" si="13"/>
        <v/>
      </c>
      <c r="J150" s="185">
        <f t="shared" si="17"/>
        <v>-5</v>
      </c>
      <c r="K150" s="185">
        <f t="shared" si="14"/>
        <v>-50</v>
      </c>
      <c r="L150" s="185"/>
      <c r="M150" s="187">
        <f t="shared" si="15"/>
        <v>0</v>
      </c>
    </row>
    <row r="151" spans="1:13" x14ac:dyDescent="0.25">
      <c r="A151" s="202"/>
      <c r="G151" s="173"/>
      <c r="H151" s="188">
        <v>146</v>
      </c>
      <c r="I151" s="186" t="str">
        <f t="shared" si="13"/>
        <v/>
      </c>
      <c r="J151" s="185">
        <f t="shared" si="17"/>
        <v>-5</v>
      </c>
      <c r="K151" s="185">
        <f t="shared" si="14"/>
        <v>-50</v>
      </c>
      <c r="L151" s="185"/>
      <c r="M151" s="187">
        <f t="shared" si="15"/>
        <v>0</v>
      </c>
    </row>
    <row r="152" spans="1:13" x14ac:dyDescent="0.25">
      <c r="A152" s="202"/>
      <c r="G152" s="173"/>
      <c r="H152" s="185">
        <v>147</v>
      </c>
      <c r="I152" s="186" t="str">
        <f t="shared" si="13"/>
        <v/>
      </c>
      <c r="J152" s="185">
        <f t="shared" si="17"/>
        <v>-5</v>
      </c>
      <c r="K152" s="185">
        <f t="shared" si="14"/>
        <v>-50</v>
      </c>
      <c r="L152" s="185"/>
      <c r="M152" s="187">
        <f t="shared" si="15"/>
        <v>0</v>
      </c>
    </row>
    <row r="153" spans="1:13" x14ac:dyDescent="0.25">
      <c r="A153" s="202"/>
      <c r="G153" s="173"/>
      <c r="H153" s="188">
        <v>148</v>
      </c>
      <c r="I153" s="186" t="str">
        <f t="shared" si="13"/>
        <v/>
      </c>
      <c r="J153" s="185">
        <f t="shared" si="17"/>
        <v>-5</v>
      </c>
      <c r="K153" s="185">
        <f t="shared" si="14"/>
        <v>-50</v>
      </c>
      <c r="L153" s="185"/>
      <c r="M153" s="187">
        <f t="shared" si="15"/>
        <v>0</v>
      </c>
    </row>
    <row r="154" spans="1:13" x14ac:dyDescent="0.25">
      <c r="A154" s="202"/>
      <c r="G154" s="173"/>
      <c r="H154" s="185">
        <v>149</v>
      </c>
      <c r="I154" s="186" t="str">
        <f t="shared" si="13"/>
        <v/>
      </c>
      <c r="J154" s="185">
        <f t="shared" si="17"/>
        <v>-5</v>
      </c>
      <c r="K154" s="185">
        <f t="shared" si="14"/>
        <v>-50</v>
      </c>
      <c r="L154" s="185"/>
      <c r="M154" s="187">
        <f t="shared" si="15"/>
        <v>0</v>
      </c>
    </row>
    <row r="155" spans="1:13" x14ac:dyDescent="0.25">
      <c r="A155" s="202"/>
      <c r="G155" s="173"/>
      <c r="H155" s="188">
        <v>150</v>
      </c>
      <c r="I155" s="186" t="str">
        <f t="shared" si="13"/>
        <v/>
      </c>
      <c r="J155" s="185">
        <f t="shared" si="17"/>
        <v>-5</v>
      </c>
      <c r="K155" s="185">
        <f t="shared" si="14"/>
        <v>-50</v>
      </c>
      <c r="L155" s="185"/>
      <c r="M155" s="187">
        <f t="shared" si="15"/>
        <v>0</v>
      </c>
    </row>
    <row r="156" spans="1:13" x14ac:dyDescent="0.25">
      <c r="A156" s="202"/>
      <c r="G156" s="173"/>
      <c r="H156" s="185">
        <v>151</v>
      </c>
      <c r="I156" s="186" t="str">
        <f t="shared" si="13"/>
        <v/>
      </c>
      <c r="J156" s="185">
        <f t="shared" si="17"/>
        <v>-5</v>
      </c>
      <c r="K156" s="185">
        <f t="shared" si="14"/>
        <v>-50</v>
      </c>
      <c r="L156" s="185"/>
      <c r="M156" s="187">
        <f t="shared" si="15"/>
        <v>0</v>
      </c>
    </row>
    <row r="157" spans="1:13" x14ac:dyDescent="0.25">
      <c r="A157" s="202"/>
      <c r="G157" s="173"/>
      <c r="H157" s="188">
        <v>152</v>
      </c>
      <c r="I157" s="186" t="str">
        <f t="shared" si="13"/>
        <v/>
      </c>
      <c r="J157" s="185">
        <f t="shared" si="17"/>
        <v>-5</v>
      </c>
      <c r="K157" s="185">
        <f t="shared" si="14"/>
        <v>-50</v>
      </c>
      <c r="L157" s="185"/>
      <c r="M157" s="187">
        <f t="shared" si="15"/>
        <v>0</v>
      </c>
    </row>
    <row r="158" spans="1:13" x14ac:dyDescent="0.25">
      <c r="A158" s="202"/>
      <c r="G158" s="173"/>
      <c r="H158" s="185">
        <v>153</v>
      </c>
      <c r="I158" s="186" t="str">
        <f t="shared" si="13"/>
        <v/>
      </c>
      <c r="J158" s="185">
        <f t="shared" si="17"/>
        <v>-5</v>
      </c>
      <c r="K158" s="185">
        <f t="shared" si="14"/>
        <v>-50</v>
      </c>
      <c r="L158" s="185"/>
      <c r="M158" s="187">
        <f t="shared" si="15"/>
        <v>0</v>
      </c>
    </row>
    <row r="159" spans="1:13" x14ac:dyDescent="0.25">
      <c r="A159" s="202"/>
      <c r="G159" s="173"/>
      <c r="H159" s="188">
        <v>154</v>
      </c>
      <c r="I159" s="186" t="str">
        <f t="shared" si="13"/>
        <v/>
      </c>
      <c r="J159" s="185">
        <f t="shared" si="17"/>
        <v>-5</v>
      </c>
      <c r="K159" s="185">
        <f t="shared" si="14"/>
        <v>-50</v>
      </c>
      <c r="L159" s="185"/>
      <c r="M159" s="187">
        <f t="shared" si="15"/>
        <v>0</v>
      </c>
    </row>
    <row r="160" spans="1:13" x14ac:dyDescent="0.25">
      <c r="A160" s="202"/>
      <c r="G160" s="173"/>
      <c r="H160" s="185">
        <v>155</v>
      </c>
      <c r="I160" s="186" t="str">
        <f t="shared" si="13"/>
        <v/>
      </c>
      <c r="J160" s="185">
        <f t="shared" si="17"/>
        <v>-5</v>
      </c>
      <c r="K160" s="185">
        <f t="shared" si="14"/>
        <v>-50</v>
      </c>
      <c r="L160" s="185"/>
      <c r="M160" s="187">
        <f t="shared" si="15"/>
        <v>0</v>
      </c>
    </row>
    <row r="161" spans="1:13" x14ac:dyDescent="0.25">
      <c r="A161" s="202"/>
      <c r="G161" s="173"/>
      <c r="H161" s="188">
        <v>156</v>
      </c>
      <c r="I161" s="186" t="str">
        <f t="shared" si="13"/>
        <v/>
      </c>
      <c r="J161" s="185">
        <f t="shared" si="17"/>
        <v>-5</v>
      </c>
      <c r="K161" s="185">
        <f t="shared" si="14"/>
        <v>-50</v>
      </c>
      <c r="L161" s="185"/>
      <c r="M161" s="187">
        <f t="shared" si="15"/>
        <v>0</v>
      </c>
    </row>
    <row r="162" spans="1:13" x14ac:dyDescent="0.25">
      <c r="A162" s="202"/>
      <c r="G162" s="173"/>
      <c r="H162" s="185">
        <v>157</v>
      </c>
      <c r="I162" s="186" t="str">
        <f t="shared" si="13"/>
        <v/>
      </c>
      <c r="J162" s="185">
        <f t="shared" si="17"/>
        <v>-5</v>
      </c>
      <c r="K162" s="185">
        <f t="shared" si="14"/>
        <v>-50</v>
      </c>
      <c r="L162" s="185"/>
      <c r="M162" s="187">
        <f t="shared" si="15"/>
        <v>0</v>
      </c>
    </row>
    <row r="163" spans="1:13" x14ac:dyDescent="0.25">
      <c r="A163" s="202"/>
      <c r="G163" s="173"/>
      <c r="H163" s="188">
        <v>158</v>
      </c>
      <c r="I163" s="186" t="str">
        <f t="shared" si="13"/>
        <v/>
      </c>
      <c r="J163" s="185">
        <f t="shared" si="17"/>
        <v>-5</v>
      </c>
      <c r="K163" s="185">
        <f t="shared" si="14"/>
        <v>-50</v>
      </c>
      <c r="L163" s="185"/>
      <c r="M163" s="187">
        <f t="shared" si="15"/>
        <v>0</v>
      </c>
    </row>
    <row r="164" spans="1:13" x14ac:dyDescent="0.25">
      <c r="A164" s="202"/>
      <c r="G164" s="173"/>
      <c r="H164" s="185">
        <v>159</v>
      </c>
      <c r="I164" s="186" t="str">
        <f t="shared" si="13"/>
        <v/>
      </c>
      <c r="J164" s="185">
        <f t="shared" si="17"/>
        <v>-5</v>
      </c>
      <c r="K164" s="185">
        <f t="shared" si="14"/>
        <v>-50</v>
      </c>
      <c r="L164" s="185"/>
      <c r="M164" s="187">
        <f t="shared" si="15"/>
        <v>0</v>
      </c>
    </row>
    <row r="165" spans="1:13" x14ac:dyDescent="0.25">
      <c r="A165" s="202"/>
      <c r="G165" s="173"/>
      <c r="H165" s="188">
        <v>160</v>
      </c>
      <c r="I165" s="186" t="str">
        <f t="shared" si="13"/>
        <v/>
      </c>
      <c r="J165" s="185">
        <f t="shared" si="17"/>
        <v>-5</v>
      </c>
      <c r="K165" s="185">
        <f t="shared" si="14"/>
        <v>-50</v>
      </c>
      <c r="L165" s="185"/>
      <c r="M165" s="187">
        <f t="shared" si="15"/>
        <v>0</v>
      </c>
    </row>
    <row r="166" spans="1:13" x14ac:dyDescent="0.25">
      <c r="A166" s="202"/>
      <c r="G166" s="173"/>
      <c r="H166" s="185">
        <v>161</v>
      </c>
      <c r="I166" s="186" t="str">
        <f t="shared" si="13"/>
        <v/>
      </c>
      <c r="J166" s="185">
        <f t="shared" si="17"/>
        <v>-5</v>
      </c>
      <c r="K166" s="185">
        <f t="shared" si="14"/>
        <v>-50</v>
      </c>
      <c r="L166" s="185"/>
      <c r="M166" s="187">
        <f t="shared" si="15"/>
        <v>0</v>
      </c>
    </row>
    <row r="167" spans="1:13" x14ac:dyDescent="0.25">
      <c r="A167" s="202"/>
      <c r="G167" s="173"/>
      <c r="H167" s="188">
        <v>162</v>
      </c>
      <c r="I167" s="186" t="str">
        <f t="shared" si="13"/>
        <v/>
      </c>
      <c r="J167" s="185">
        <f t="shared" si="17"/>
        <v>-5</v>
      </c>
      <c r="K167" s="185">
        <f t="shared" si="14"/>
        <v>-50</v>
      </c>
      <c r="L167" s="185"/>
      <c r="M167" s="187">
        <f t="shared" si="15"/>
        <v>0</v>
      </c>
    </row>
    <row r="168" spans="1:13" x14ac:dyDescent="0.25">
      <c r="A168" s="202"/>
      <c r="G168" s="173"/>
      <c r="H168" s="185">
        <v>163</v>
      </c>
      <c r="I168" s="186" t="str">
        <f t="shared" si="13"/>
        <v/>
      </c>
      <c r="J168" s="185">
        <f t="shared" si="17"/>
        <v>-5</v>
      </c>
      <c r="K168" s="185">
        <f t="shared" si="14"/>
        <v>-50</v>
      </c>
      <c r="L168" s="185"/>
      <c r="M168" s="187">
        <f t="shared" si="15"/>
        <v>0</v>
      </c>
    </row>
    <row r="169" spans="1:13" x14ac:dyDescent="0.25">
      <c r="A169" s="202"/>
      <c r="C169" s="201" t="s">
        <v>49</v>
      </c>
      <c r="G169" s="173"/>
      <c r="H169" s="188">
        <v>164</v>
      </c>
      <c r="I169" s="186" t="str">
        <f t="shared" si="13"/>
        <v/>
      </c>
      <c r="J169" s="185">
        <f t="shared" si="17"/>
        <v>-5</v>
      </c>
      <c r="K169" s="185">
        <f t="shared" si="14"/>
        <v>-50</v>
      </c>
      <c r="L169" s="185"/>
      <c r="M169" s="187">
        <f t="shared" si="15"/>
        <v>0</v>
      </c>
    </row>
    <row r="170" spans="1:13" x14ac:dyDescent="0.25">
      <c r="A170" s="202"/>
      <c r="G170" s="173"/>
      <c r="H170" s="185">
        <v>165</v>
      </c>
      <c r="I170" s="186" t="str">
        <f t="shared" si="13"/>
        <v/>
      </c>
      <c r="J170" s="185">
        <f t="shared" si="17"/>
        <v>-5</v>
      </c>
      <c r="K170" s="185">
        <f t="shared" si="14"/>
        <v>-50</v>
      </c>
      <c r="L170" s="185"/>
      <c r="M170" s="187">
        <f t="shared" si="15"/>
        <v>0</v>
      </c>
    </row>
    <row r="171" spans="1:13" x14ac:dyDescent="0.25">
      <c r="A171" s="202"/>
      <c r="G171" s="173"/>
      <c r="H171" s="188">
        <v>166</v>
      </c>
      <c r="I171" s="186" t="str">
        <f t="shared" si="13"/>
        <v/>
      </c>
      <c r="J171" s="185">
        <f t="shared" si="17"/>
        <v>-5</v>
      </c>
      <c r="K171" s="185">
        <f t="shared" si="14"/>
        <v>-50</v>
      </c>
      <c r="L171" s="185"/>
      <c r="M171" s="187">
        <f t="shared" si="15"/>
        <v>0</v>
      </c>
    </row>
    <row r="172" spans="1:13" x14ac:dyDescent="0.25">
      <c r="A172" s="202"/>
      <c r="G172" s="173"/>
      <c r="H172" s="185">
        <v>167</v>
      </c>
      <c r="I172" s="186" t="str">
        <f t="shared" si="13"/>
        <v/>
      </c>
      <c r="J172" s="185">
        <f t="shared" si="17"/>
        <v>-5</v>
      </c>
      <c r="K172" s="185">
        <f t="shared" si="14"/>
        <v>-50</v>
      </c>
      <c r="L172" s="185"/>
      <c r="M172" s="187">
        <f t="shared" si="15"/>
        <v>0</v>
      </c>
    </row>
    <row r="173" spans="1:13" x14ac:dyDescent="0.25">
      <c r="A173" s="202"/>
      <c r="G173" s="173"/>
      <c r="H173" s="188">
        <v>168</v>
      </c>
      <c r="I173" s="186" t="str">
        <f t="shared" si="13"/>
        <v/>
      </c>
      <c r="J173" s="185">
        <f t="shared" si="17"/>
        <v>-5</v>
      </c>
      <c r="K173" s="185">
        <f t="shared" si="14"/>
        <v>-50</v>
      </c>
      <c r="L173" s="185"/>
      <c r="M173" s="187">
        <f t="shared" si="15"/>
        <v>0</v>
      </c>
    </row>
    <row r="174" spans="1:13" x14ac:dyDescent="0.25">
      <c r="A174" s="202"/>
      <c r="G174" s="173"/>
      <c r="H174" s="185">
        <v>169</v>
      </c>
      <c r="I174" s="186" t="str">
        <f t="shared" si="13"/>
        <v/>
      </c>
      <c r="J174" s="185">
        <f t="shared" si="17"/>
        <v>-5</v>
      </c>
      <c r="K174" s="185">
        <f t="shared" si="14"/>
        <v>-50</v>
      </c>
      <c r="L174" s="185"/>
      <c r="M174" s="187">
        <f t="shared" si="15"/>
        <v>0</v>
      </c>
    </row>
    <row r="175" spans="1:13" x14ac:dyDescent="0.25">
      <c r="A175" s="202"/>
      <c r="G175" s="173"/>
      <c r="H175" s="188">
        <v>170</v>
      </c>
      <c r="I175" s="186" t="str">
        <f t="shared" si="13"/>
        <v/>
      </c>
      <c r="J175" s="185">
        <f t="shared" si="17"/>
        <v>-5</v>
      </c>
      <c r="K175" s="185">
        <f t="shared" si="14"/>
        <v>-50</v>
      </c>
      <c r="L175" s="185"/>
      <c r="M175" s="187">
        <f t="shared" si="15"/>
        <v>0</v>
      </c>
    </row>
    <row r="176" spans="1:13" x14ac:dyDescent="0.25">
      <c r="A176" s="202"/>
      <c r="G176" s="173"/>
      <c r="H176" s="185">
        <v>171</v>
      </c>
      <c r="I176" s="186" t="str">
        <f t="shared" si="13"/>
        <v/>
      </c>
      <c r="J176" s="185">
        <f t="shared" si="17"/>
        <v>-5</v>
      </c>
      <c r="K176" s="185">
        <f t="shared" si="14"/>
        <v>-50</v>
      </c>
      <c r="L176" s="185"/>
      <c r="M176" s="187">
        <f t="shared" si="15"/>
        <v>0</v>
      </c>
    </row>
    <row r="177" spans="1:13" x14ac:dyDescent="0.25">
      <c r="A177" s="202"/>
      <c r="G177" s="173"/>
      <c r="H177" s="188">
        <v>172</v>
      </c>
      <c r="I177" s="186" t="str">
        <f t="shared" si="13"/>
        <v/>
      </c>
      <c r="J177" s="185">
        <f t="shared" si="17"/>
        <v>-5</v>
      </c>
      <c r="K177" s="185">
        <f t="shared" si="14"/>
        <v>-50</v>
      </c>
      <c r="L177" s="185"/>
      <c r="M177" s="187">
        <f t="shared" si="15"/>
        <v>0</v>
      </c>
    </row>
    <row r="178" spans="1:13" x14ac:dyDescent="0.25">
      <c r="A178" s="202"/>
      <c r="G178" s="173"/>
      <c r="H178" s="185">
        <v>173</v>
      </c>
      <c r="I178" s="186" t="str">
        <f t="shared" si="13"/>
        <v/>
      </c>
      <c r="J178" s="185">
        <f t="shared" si="17"/>
        <v>-5</v>
      </c>
      <c r="K178" s="185">
        <f t="shared" si="14"/>
        <v>-50</v>
      </c>
      <c r="L178" s="185"/>
      <c r="M178" s="187">
        <f t="shared" si="15"/>
        <v>0</v>
      </c>
    </row>
    <row r="179" spans="1:13" x14ac:dyDescent="0.25">
      <c r="A179" s="202"/>
      <c r="G179" s="173"/>
      <c r="H179" s="188">
        <v>174</v>
      </c>
      <c r="I179" s="186" t="str">
        <f t="shared" si="13"/>
        <v/>
      </c>
      <c r="J179" s="185">
        <f t="shared" si="17"/>
        <v>-5</v>
      </c>
      <c r="K179" s="185">
        <f t="shared" si="14"/>
        <v>-50</v>
      </c>
      <c r="L179" s="185"/>
      <c r="M179" s="187">
        <f t="shared" si="15"/>
        <v>0</v>
      </c>
    </row>
    <row r="180" spans="1:13" x14ac:dyDescent="0.25">
      <c r="A180" s="202"/>
      <c r="G180" s="173"/>
      <c r="H180" s="185">
        <v>175</v>
      </c>
      <c r="I180" s="186" t="str">
        <f t="shared" si="13"/>
        <v/>
      </c>
      <c r="J180" s="185">
        <f t="shared" si="17"/>
        <v>-5</v>
      </c>
      <c r="K180" s="185">
        <f t="shared" si="14"/>
        <v>-50</v>
      </c>
      <c r="L180" s="185"/>
      <c r="M180" s="187">
        <f t="shared" si="15"/>
        <v>0</v>
      </c>
    </row>
    <row r="181" spans="1:13" x14ac:dyDescent="0.25">
      <c r="A181" s="202"/>
      <c r="G181" s="173"/>
      <c r="H181" s="188">
        <v>176</v>
      </c>
      <c r="I181" s="186" t="str">
        <f t="shared" si="13"/>
        <v/>
      </c>
      <c r="J181" s="185">
        <f t="shared" si="17"/>
        <v>-5</v>
      </c>
      <c r="K181" s="185">
        <f t="shared" si="14"/>
        <v>-50</v>
      </c>
      <c r="L181" s="185"/>
      <c r="M181" s="187">
        <f t="shared" si="15"/>
        <v>0</v>
      </c>
    </row>
    <row r="182" spans="1:13" x14ac:dyDescent="0.25">
      <c r="A182" s="202"/>
      <c r="G182" s="173"/>
      <c r="H182" s="185">
        <v>177</v>
      </c>
      <c r="I182" s="186" t="str">
        <f t="shared" si="13"/>
        <v/>
      </c>
      <c r="J182" s="185">
        <f t="shared" si="17"/>
        <v>-5</v>
      </c>
      <c r="K182" s="185">
        <f t="shared" si="14"/>
        <v>-50</v>
      </c>
      <c r="L182" s="185"/>
      <c r="M182" s="187">
        <f t="shared" si="15"/>
        <v>0</v>
      </c>
    </row>
    <row r="183" spans="1:13" x14ac:dyDescent="0.25">
      <c r="A183" s="202"/>
      <c r="G183" s="173"/>
      <c r="H183" s="188">
        <v>178</v>
      </c>
      <c r="I183" s="186" t="str">
        <f t="shared" si="13"/>
        <v/>
      </c>
      <c r="J183" s="185">
        <f t="shared" si="17"/>
        <v>-5</v>
      </c>
      <c r="K183" s="185">
        <f t="shared" si="14"/>
        <v>-50</v>
      </c>
      <c r="L183" s="185"/>
      <c r="M183" s="187">
        <f t="shared" si="15"/>
        <v>0</v>
      </c>
    </row>
    <row r="184" spans="1:13" x14ac:dyDescent="0.25">
      <c r="A184" s="202"/>
      <c r="G184" s="173"/>
      <c r="H184" s="185">
        <v>179</v>
      </c>
      <c r="I184" s="186" t="str">
        <f t="shared" si="13"/>
        <v/>
      </c>
      <c r="J184" s="185">
        <f t="shared" si="17"/>
        <v>-5</v>
      </c>
      <c r="K184" s="185">
        <f t="shared" si="14"/>
        <v>-50</v>
      </c>
      <c r="L184" s="185"/>
      <c r="M184" s="187">
        <f t="shared" si="15"/>
        <v>0</v>
      </c>
    </row>
    <row r="185" spans="1:13" x14ac:dyDescent="0.25">
      <c r="A185" s="202"/>
      <c r="G185" s="173"/>
      <c r="H185" s="188">
        <v>180</v>
      </c>
      <c r="I185" s="186" t="str">
        <f t="shared" si="13"/>
        <v/>
      </c>
      <c r="J185" s="185">
        <f t="shared" si="17"/>
        <v>-5</v>
      </c>
      <c r="K185" s="185">
        <f t="shared" si="14"/>
        <v>-50</v>
      </c>
      <c r="L185" s="185"/>
      <c r="M185" s="187">
        <f t="shared" si="15"/>
        <v>0</v>
      </c>
    </row>
    <row r="186" spans="1:13" x14ac:dyDescent="0.25">
      <c r="A186" s="202"/>
      <c r="G186" s="173"/>
      <c r="H186" s="185">
        <v>181</v>
      </c>
      <c r="I186" s="186" t="str">
        <f t="shared" si="13"/>
        <v/>
      </c>
      <c r="J186" s="185">
        <f t="shared" si="17"/>
        <v>-5</v>
      </c>
      <c r="K186" s="185">
        <f t="shared" si="14"/>
        <v>-50</v>
      </c>
      <c r="L186" s="185"/>
      <c r="M186" s="187">
        <f t="shared" si="15"/>
        <v>0</v>
      </c>
    </row>
    <row r="187" spans="1:13" x14ac:dyDescent="0.25">
      <c r="A187" s="202"/>
      <c r="G187" s="173"/>
      <c r="H187" s="188">
        <v>182</v>
      </c>
      <c r="I187" s="186" t="str">
        <f t="shared" si="13"/>
        <v/>
      </c>
      <c r="J187" s="185">
        <f t="shared" si="17"/>
        <v>-5</v>
      </c>
      <c r="K187" s="185">
        <f t="shared" si="14"/>
        <v>-50</v>
      </c>
      <c r="L187" s="185"/>
      <c r="M187" s="187">
        <f t="shared" si="15"/>
        <v>0</v>
      </c>
    </row>
    <row r="188" spans="1:13" x14ac:dyDescent="0.25">
      <c r="A188" s="202"/>
      <c r="G188" s="173"/>
      <c r="H188" s="185">
        <v>183</v>
      </c>
      <c r="I188" s="186" t="str">
        <f t="shared" si="13"/>
        <v/>
      </c>
      <c r="J188" s="185">
        <f t="shared" si="17"/>
        <v>-5</v>
      </c>
      <c r="K188" s="185">
        <f t="shared" si="14"/>
        <v>-50</v>
      </c>
      <c r="L188" s="185"/>
      <c r="M188" s="187">
        <f t="shared" si="15"/>
        <v>0</v>
      </c>
    </row>
    <row r="189" spans="1:13" x14ac:dyDescent="0.25">
      <c r="A189" s="202"/>
      <c r="G189" s="173"/>
      <c r="H189" s="188">
        <v>184</v>
      </c>
      <c r="I189" s="186" t="str">
        <f t="shared" si="13"/>
        <v/>
      </c>
      <c r="J189" s="185">
        <f t="shared" si="17"/>
        <v>-5</v>
      </c>
      <c r="K189" s="185">
        <f t="shared" si="14"/>
        <v>-50</v>
      </c>
      <c r="L189" s="185"/>
      <c r="M189" s="187">
        <f t="shared" si="15"/>
        <v>0</v>
      </c>
    </row>
    <row r="190" spans="1:13" x14ac:dyDescent="0.25">
      <c r="A190" s="202"/>
      <c r="G190" s="173"/>
      <c r="H190" s="185">
        <v>185</v>
      </c>
      <c r="I190" s="186" t="str">
        <f t="shared" si="13"/>
        <v/>
      </c>
      <c r="J190" s="185">
        <f t="shared" si="17"/>
        <v>-5</v>
      </c>
      <c r="K190" s="185">
        <f t="shared" si="14"/>
        <v>-50</v>
      </c>
      <c r="L190" s="185"/>
      <c r="M190" s="187">
        <f t="shared" si="15"/>
        <v>0</v>
      </c>
    </row>
    <row r="191" spans="1:13" x14ac:dyDescent="0.25">
      <c r="A191" s="202"/>
      <c r="G191" s="173"/>
      <c r="H191" s="188">
        <v>186</v>
      </c>
      <c r="I191" s="186" t="str">
        <f t="shared" si="13"/>
        <v/>
      </c>
      <c r="J191" s="185">
        <f t="shared" si="17"/>
        <v>-5</v>
      </c>
      <c r="K191" s="185">
        <f t="shared" si="14"/>
        <v>-50</v>
      </c>
      <c r="L191" s="185"/>
      <c r="M191" s="187">
        <f t="shared" si="15"/>
        <v>0</v>
      </c>
    </row>
    <row r="192" spans="1:13" x14ac:dyDescent="0.25">
      <c r="A192" s="202"/>
      <c r="G192" s="173"/>
      <c r="H192" s="185">
        <v>187</v>
      </c>
      <c r="I192" s="186" t="str">
        <f t="shared" si="13"/>
        <v/>
      </c>
      <c r="J192" s="185">
        <f t="shared" si="17"/>
        <v>-5</v>
      </c>
      <c r="K192" s="185">
        <f t="shared" si="14"/>
        <v>-50</v>
      </c>
      <c r="L192" s="185"/>
      <c r="M192" s="187">
        <f t="shared" si="15"/>
        <v>0</v>
      </c>
    </row>
    <row r="193" spans="1:13" x14ac:dyDescent="0.25">
      <c r="A193" s="202"/>
      <c r="G193" s="173"/>
      <c r="H193" s="188">
        <v>188</v>
      </c>
      <c r="I193" s="186" t="str">
        <f t="shared" si="13"/>
        <v/>
      </c>
      <c r="J193" s="185">
        <f t="shared" si="17"/>
        <v>-5</v>
      </c>
      <c r="K193" s="185">
        <f t="shared" si="14"/>
        <v>-50</v>
      </c>
      <c r="L193" s="185"/>
      <c r="M193" s="187">
        <f t="shared" si="15"/>
        <v>0</v>
      </c>
    </row>
    <row r="194" spans="1:13" x14ac:dyDescent="0.25">
      <c r="A194" s="202"/>
      <c r="G194" s="173"/>
      <c r="H194" s="185">
        <v>189</v>
      </c>
      <c r="I194" s="186" t="str">
        <f t="shared" si="13"/>
        <v/>
      </c>
      <c r="J194" s="185">
        <f t="shared" si="17"/>
        <v>-5</v>
      </c>
      <c r="K194" s="185">
        <f t="shared" si="14"/>
        <v>-50</v>
      </c>
      <c r="L194" s="185"/>
      <c r="M194" s="187">
        <f t="shared" si="15"/>
        <v>0</v>
      </c>
    </row>
    <row r="195" spans="1:13" x14ac:dyDescent="0.25">
      <c r="A195" s="202"/>
      <c r="G195" s="173"/>
      <c r="H195" s="188">
        <v>190</v>
      </c>
      <c r="I195" s="186" t="str">
        <f t="shared" si="13"/>
        <v/>
      </c>
      <c r="J195" s="185">
        <f t="shared" si="17"/>
        <v>-5</v>
      </c>
      <c r="K195" s="185">
        <f t="shared" si="14"/>
        <v>-50</v>
      </c>
      <c r="L195" s="185"/>
      <c r="M195" s="187">
        <f t="shared" si="15"/>
        <v>0</v>
      </c>
    </row>
    <row r="196" spans="1:13" x14ac:dyDescent="0.25">
      <c r="A196" s="202"/>
      <c r="G196" s="173"/>
      <c r="H196" s="185">
        <v>191</v>
      </c>
      <c r="I196" s="186" t="str">
        <f t="shared" si="13"/>
        <v/>
      </c>
      <c r="J196" s="185">
        <f t="shared" si="17"/>
        <v>-5</v>
      </c>
      <c r="K196" s="185">
        <f t="shared" si="14"/>
        <v>-50</v>
      </c>
      <c r="L196" s="185"/>
      <c r="M196" s="187">
        <f t="shared" si="15"/>
        <v>0</v>
      </c>
    </row>
    <row r="197" spans="1:13" x14ac:dyDescent="0.25">
      <c r="A197" s="202"/>
      <c r="G197" s="173"/>
      <c r="H197" s="188">
        <v>192</v>
      </c>
      <c r="I197" s="186" t="str">
        <f t="shared" si="13"/>
        <v/>
      </c>
      <c r="J197" s="185">
        <f t="shared" si="17"/>
        <v>-5</v>
      </c>
      <c r="K197" s="185">
        <f t="shared" si="14"/>
        <v>-50</v>
      </c>
      <c r="L197" s="185"/>
      <c r="M197" s="187">
        <f t="shared" si="15"/>
        <v>0</v>
      </c>
    </row>
    <row r="198" spans="1:13" x14ac:dyDescent="0.25">
      <c r="A198" s="202"/>
      <c r="G198" s="173"/>
      <c r="H198" s="185">
        <v>193</v>
      </c>
      <c r="I198" s="186" t="str">
        <f t="shared" ref="I198:I261" si="18">IF(H198&lt;$H$2+1,($I$2-($I$2-1)*(LOG(H198)/LOG($H$2))),"")</f>
        <v/>
      </c>
      <c r="J198" s="185">
        <f t="shared" si="17"/>
        <v>-5</v>
      </c>
      <c r="K198" s="185">
        <f t="shared" ref="K198:K261" si="19">J198*$J$2</f>
        <v>-50</v>
      </c>
      <c r="L198" s="185"/>
      <c r="M198" s="187">
        <f t="shared" ref="M198:M261" si="20">IF(I198&lt;&gt;"",K198+I198+L198,0)</f>
        <v>0</v>
      </c>
    </row>
    <row r="199" spans="1:13" x14ac:dyDescent="0.25">
      <c r="A199" s="202"/>
      <c r="G199" s="173"/>
      <c r="H199" s="188">
        <v>194</v>
      </c>
      <c r="I199" s="186" t="str">
        <f t="shared" si="18"/>
        <v/>
      </c>
      <c r="J199" s="185">
        <f t="shared" ref="J199:J262" si="21">INT(LOG($H$2,2))-ROUNDUP(LOG(H199,2),0)+IF(OR($H$2=1,$H$2=2,$H$2=4,$H$2=8,$H$2=16,$H$2=32,$H$2=64,$H$2=128,$H$2=256),0,1)</f>
        <v>-5</v>
      </c>
      <c r="K199" s="185">
        <f t="shared" si="19"/>
        <v>-50</v>
      </c>
      <c r="L199" s="185"/>
      <c r="M199" s="187">
        <f t="shared" si="20"/>
        <v>0</v>
      </c>
    </row>
    <row r="200" spans="1:13" x14ac:dyDescent="0.25">
      <c r="A200" s="202"/>
      <c r="G200" s="173"/>
      <c r="H200" s="185">
        <v>195</v>
      </c>
      <c r="I200" s="186" t="str">
        <f t="shared" si="18"/>
        <v/>
      </c>
      <c r="J200" s="185">
        <f t="shared" si="21"/>
        <v>-5</v>
      </c>
      <c r="K200" s="185">
        <f t="shared" si="19"/>
        <v>-50</v>
      </c>
      <c r="L200" s="185"/>
      <c r="M200" s="187">
        <f t="shared" si="20"/>
        <v>0</v>
      </c>
    </row>
    <row r="201" spans="1:13" x14ac:dyDescent="0.25">
      <c r="A201" s="202"/>
      <c r="G201" s="173"/>
      <c r="H201" s="188">
        <v>196</v>
      </c>
      <c r="I201" s="186" t="str">
        <f t="shared" si="18"/>
        <v/>
      </c>
      <c r="J201" s="185">
        <f t="shared" si="21"/>
        <v>-5</v>
      </c>
      <c r="K201" s="185">
        <f t="shared" si="19"/>
        <v>-50</v>
      </c>
      <c r="L201" s="185"/>
      <c r="M201" s="187">
        <f t="shared" si="20"/>
        <v>0</v>
      </c>
    </row>
    <row r="202" spans="1:13" x14ac:dyDescent="0.25">
      <c r="A202" s="202"/>
      <c r="G202" s="173"/>
      <c r="H202" s="185">
        <v>197</v>
      </c>
      <c r="I202" s="186" t="str">
        <f t="shared" si="18"/>
        <v/>
      </c>
      <c r="J202" s="185">
        <f t="shared" si="21"/>
        <v>-5</v>
      </c>
      <c r="K202" s="185">
        <f t="shared" si="19"/>
        <v>-50</v>
      </c>
      <c r="L202" s="185"/>
      <c r="M202" s="187">
        <f t="shared" si="20"/>
        <v>0</v>
      </c>
    </row>
    <row r="203" spans="1:13" x14ac:dyDescent="0.25">
      <c r="A203" s="202"/>
      <c r="G203" s="173"/>
      <c r="H203" s="188">
        <v>198</v>
      </c>
      <c r="I203" s="186" t="str">
        <f t="shared" si="18"/>
        <v/>
      </c>
      <c r="J203" s="185">
        <f t="shared" si="21"/>
        <v>-5</v>
      </c>
      <c r="K203" s="185">
        <f t="shared" si="19"/>
        <v>-50</v>
      </c>
      <c r="L203" s="185"/>
      <c r="M203" s="187">
        <f t="shared" si="20"/>
        <v>0</v>
      </c>
    </row>
    <row r="204" spans="1:13" x14ac:dyDescent="0.25">
      <c r="A204" s="202"/>
      <c r="G204" s="173"/>
      <c r="H204" s="185">
        <v>199</v>
      </c>
      <c r="I204" s="186" t="str">
        <f t="shared" si="18"/>
        <v/>
      </c>
      <c r="J204" s="185">
        <f t="shared" si="21"/>
        <v>-5</v>
      </c>
      <c r="K204" s="185">
        <f t="shared" si="19"/>
        <v>-50</v>
      </c>
      <c r="L204" s="185"/>
      <c r="M204" s="187">
        <f t="shared" si="20"/>
        <v>0</v>
      </c>
    </row>
    <row r="205" spans="1:13" x14ac:dyDescent="0.25">
      <c r="A205" s="202"/>
      <c r="G205" s="173"/>
      <c r="H205" s="188">
        <v>200</v>
      </c>
      <c r="I205" s="186" t="str">
        <f t="shared" si="18"/>
        <v/>
      </c>
      <c r="J205" s="185">
        <f t="shared" si="21"/>
        <v>-5</v>
      </c>
      <c r="K205" s="185">
        <f t="shared" si="19"/>
        <v>-50</v>
      </c>
      <c r="L205" s="185"/>
      <c r="M205" s="187">
        <f t="shared" si="20"/>
        <v>0</v>
      </c>
    </row>
    <row r="206" spans="1:13" x14ac:dyDescent="0.25">
      <c r="A206" s="202"/>
      <c r="G206" s="173"/>
      <c r="H206" s="185">
        <v>201</v>
      </c>
      <c r="I206" s="186" t="str">
        <f t="shared" si="18"/>
        <v/>
      </c>
      <c r="J206" s="185">
        <f t="shared" si="21"/>
        <v>-5</v>
      </c>
      <c r="K206" s="185">
        <f t="shared" si="19"/>
        <v>-50</v>
      </c>
      <c r="L206" s="185"/>
      <c r="M206" s="187">
        <f t="shared" si="20"/>
        <v>0</v>
      </c>
    </row>
    <row r="207" spans="1:13" x14ac:dyDescent="0.25">
      <c r="A207" s="202"/>
      <c r="G207" s="173"/>
      <c r="H207" s="188">
        <v>202</v>
      </c>
      <c r="I207" s="186" t="str">
        <f t="shared" si="18"/>
        <v/>
      </c>
      <c r="J207" s="185">
        <f t="shared" si="21"/>
        <v>-5</v>
      </c>
      <c r="K207" s="185">
        <f t="shared" si="19"/>
        <v>-50</v>
      </c>
      <c r="L207" s="185"/>
      <c r="M207" s="187">
        <f t="shared" si="20"/>
        <v>0</v>
      </c>
    </row>
    <row r="208" spans="1:13" x14ac:dyDescent="0.25">
      <c r="A208" s="202"/>
      <c r="G208" s="173"/>
      <c r="H208" s="185">
        <v>203</v>
      </c>
      <c r="I208" s="186" t="str">
        <f t="shared" si="18"/>
        <v/>
      </c>
      <c r="J208" s="185">
        <f t="shared" si="21"/>
        <v>-5</v>
      </c>
      <c r="K208" s="185">
        <f t="shared" si="19"/>
        <v>-50</v>
      </c>
      <c r="L208" s="185"/>
      <c r="M208" s="187">
        <f t="shared" si="20"/>
        <v>0</v>
      </c>
    </row>
    <row r="209" spans="1:13" x14ac:dyDescent="0.25">
      <c r="A209" s="202"/>
      <c r="G209" s="173"/>
      <c r="H209" s="188">
        <v>204</v>
      </c>
      <c r="I209" s="186" t="str">
        <f t="shared" si="18"/>
        <v/>
      </c>
      <c r="J209" s="185">
        <f t="shared" si="21"/>
        <v>-5</v>
      </c>
      <c r="K209" s="185">
        <f t="shared" si="19"/>
        <v>-50</v>
      </c>
      <c r="L209" s="185"/>
      <c r="M209" s="187">
        <f t="shared" si="20"/>
        <v>0</v>
      </c>
    </row>
    <row r="210" spans="1:13" x14ac:dyDescent="0.25">
      <c r="A210" s="202"/>
      <c r="G210" s="173"/>
      <c r="H210" s="185">
        <v>205</v>
      </c>
      <c r="I210" s="186" t="str">
        <f t="shared" si="18"/>
        <v/>
      </c>
      <c r="J210" s="185">
        <f t="shared" si="21"/>
        <v>-5</v>
      </c>
      <c r="K210" s="185">
        <f t="shared" si="19"/>
        <v>-50</v>
      </c>
      <c r="L210" s="185"/>
      <c r="M210" s="187">
        <f t="shared" si="20"/>
        <v>0</v>
      </c>
    </row>
    <row r="211" spans="1:13" x14ac:dyDescent="0.25">
      <c r="A211" s="202"/>
      <c r="G211" s="173"/>
      <c r="H211" s="188">
        <v>206</v>
      </c>
      <c r="I211" s="186" t="str">
        <f t="shared" si="18"/>
        <v/>
      </c>
      <c r="J211" s="185">
        <f t="shared" si="21"/>
        <v>-5</v>
      </c>
      <c r="K211" s="185">
        <f t="shared" si="19"/>
        <v>-50</v>
      </c>
      <c r="L211" s="185"/>
      <c r="M211" s="187">
        <f t="shared" si="20"/>
        <v>0</v>
      </c>
    </row>
    <row r="212" spans="1:13" x14ac:dyDescent="0.25">
      <c r="A212" s="202"/>
      <c r="G212" s="173"/>
      <c r="H212" s="185">
        <v>207</v>
      </c>
      <c r="I212" s="186" t="str">
        <f t="shared" si="18"/>
        <v/>
      </c>
      <c r="J212" s="185">
        <f t="shared" si="21"/>
        <v>-5</v>
      </c>
      <c r="K212" s="185">
        <f t="shared" si="19"/>
        <v>-50</v>
      </c>
      <c r="L212" s="185"/>
      <c r="M212" s="187">
        <f t="shared" si="20"/>
        <v>0</v>
      </c>
    </row>
    <row r="213" spans="1:13" x14ac:dyDescent="0.25">
      <c r="A213" s="202"/>
      <c r="G213" s="173"/>
      <c r="H213" s="188">
        <v>208</v>
      </c>
      <c r="I213" s="186" t="str">
        <f t="shared" si="18"/>
        <v/>
      </c>
      <c r="J213" s="185">
        <f t="shared" si="21"/>
        <v>-5</v>
      </c>
      <c r="K213" s="185">
        <f t="shared" si="19"/>
        <v>-50</v>
      </c>
      <c r="L213" s="185"/>
      <c r="M213" s="187">
        <f t="shared" si="20"/>
        <v>0</v>
      </c>
    </row>
    <row r="214" spans="1:13" x14ac:dyDescent="0.25">
      <c r="A214" s="202"/>
      <c r="G214" s="173"/>
      <c r="H214" s="185">
        <v>209</v>
      </c>
      <c r="I214" s="186" t="str">
        <f t="shared" si="18"/>
        <v/>
      </c>
      <c r="J214" s="185">
        <f t="shared" si="21"/>
        <v>-5</v>
      </c>
      <c r="K214" s="185">
        <f t="shared" si="19"/>
        <v>-50</v>
      </c>
      <c r="L214" s="185"/>
      <c r="M214" s="187">
        <f t="shared" si="20"/>
        <v>0</v>
      </c>
    </row>
    <row r="215" spans="1:13" x14ac:dyDescent="0.25">
      <c r="A215" s="202"/>
      <c r="G215" s="173"/>
      <c r="H215" s="188">
        <v>210</v>
      </c>
      <c r="I215" s="186" t="str">
        <f t="shared" si="18"/>
        <v/>
      </c>
      <c r="J215" s="185">
        <f t="shared" si="21"/>
        <v>-5</v>
      </c>
      <c r="K215" s="185">
        <f t="shared" si="19"/>
        <v>-50</v>
      </c>
      <c r="L215" s="185"/>
      <c r="M215" s="187">
        <f t="shared" si="20"/>
        <v>0</v>
      </c>
    </row>
    <row r="216" spans="1:13" x14ac:dyDescent="0.25">
      <c r="A216" s="202"/>
      <c r="G216" s="173"/>
      <c r="H216" s="185">
        <v>211</v>
      </c>
      <c r="I216" s="186" t="str">
        <f t="shared" si="18"/>
        <v/>
      </c>
      <c r="J216" s="185">
        <f t="shared" si="21"/>
        <v>-5</v>
      </c>
      <c r="K216" s="185">
        <f t="shared" si="19"/>
        <v>-50</v>
      </c>
      <c r="L216" s="185"/>
      <c r="M216" s="187">
        <f t="shared" si="20"/>
        <v>0</v>
      </c>
    </row>
    <row r="217" spans="1:13" x14ac:dyDescent="0.25">
      <c r="A217" s="202"/>
      <c r="G217" s="173"/>
      <c r="H217" s="188">
        <v>212</v>
      </c>
      <c r="I217" s="186" t="str">
        <f t="shared" si="18"/>
        <v/>
      </c>
      <c r="J217" s="185">
        <f t="shared" si="21"/>
        <v>-5</v>
      </c>
      <c r="K217" s="185">
        <f t="shared" si="19"/>
        <v>-50</v>
      </c>
      <c r="L217" s="185"/>
      <c r="M217" s="187">
        <f t="shared" si="20"/>
        <v>0</v>
      </c>
    </row>
    <row r="218" spans="1:13" x14ac:dyDescent="0.25">
      <c r="A218" s="202"/>
      <c r="G218" s="173"/>
      <c r="H218" s="185">
        <v>213</v>
      </c>
      <c r="I218" s="186" t="str">
        <f t="shared" si="18"/>
        <v/>
      </c>
      <c r="J218" s="185">
        <f t="shared" si="21"/>
        <v>-5</v>
      </c>
      <c r="K218" s="185">
        <f t="shared" si="19"/>
        <v>-50</v>
      </c>
      <c r="L218" s="185"/>
      <c r="M218" s="187">
        <f t="shared" si="20"/>
        <v>0</v>
      </c>
    </row>
    <row r="219" spans="1:13" x14ac:dyDescent="0.25">
      <c r="A219" s="202"/>
      <c r="G219" s="173"/>
      <c r="H219" s="188">
        <v>214</v>
      </c>
      <c r="I219" s="186" t="str">
        <f t="shared" si="18"/>
        <v/>
      </c>
      <c r="J219" s="185">
        <f t="shared" si="21"/>
        <v>-5</v>
      </c>
      <c r="K219" s="185">
        <f t="shared" si="19"/>
        <v>-50</v>
      </c>
      <c r="L219" s="185"/>
      <c r="M219" s="187">
        <f t="shared" si="20"/>
        <v>0</v>
      </c>
    </row>
    <row r="220" spans="1:13" x14ac:dyDescent="0.25">
      <c r="A220" s="202"/>
      <c r="G220" s="173"/>
      <c r="H220" s="185">
        <v>215</v>
      </c>
      <c r="I220" s="186" t="str">
        <f t="shared" si="18"/>
        <v/>
      </c>
      <c r="J220" s="185">
        <f t="shared" si="21"/>
        <v>-5</v>
      </c>
      <c r="K220" s="185">
        <f t="shared" si="19"/>
        <v>-50</v>
      </c>
      <c r="L220" s="185"/>
      <c r="M220" s="187">
        <f t="shared" si="20"/>
        <v>0</v>
      </c>
    </row>
    <row r="221" spans="1:13" x14ac:dyDescent="0.25">
      <c r="A221" s="202"/>
      <c r="G221" s="173"/>
      <c r="H221" s="188">
        <v>216</v>
      </c>
      <c r="I221" s="186" t="str">
        <f t="shared" si="18"/>
        <v/>
      </c>
      <c r="J221" s="185">
        <f t="shared" si="21"/>
        <v>-5</v>
      </c>
      <c r="K221" s="185">
        <f t="shared" si="19"/>
        <v>-50</v>
      </c>
      <c r="L221" s="185"/>
      <c r="M221" s="187">
        <f t="shared" si="20"/>
        <v>0</v>
      </c>
    </row>
    <row r="222" spans="1:13" x14ac:dyDescent="0.25">
      <c r="A222" s="202"/>
      <c r="G222" s="173"/>
      <c r="H222" s="185">
        <v>217</v>
      </c>
      <c r="I222" s="186" t="str">
        <f t="shared" si="18"/>
        <v/>
      </c>
      <c r="J222" s="185">
        <f t="shared" si="21"/>
        <v>-5</v>
      </c>
      <c r="K222" s="185">
        <f t="shared" si="19"/>
        <v>-50</v>
      </c>
      <c r="L222" s="185"/>
      <c r="M222" s="187">
        <f t="shared" si="20"/>
        <v>0</v>
      </c>
    </row>
    <row r="223" spans="1:13" x14ac:dyDescent="0.25">
      <c r="A223" s="202"/>
      <c r="G223" s="173"/>
      <c r="H223" s="188">
        <v>218</v>
      </c>
      <c r="I223" s="186" t="str">
        <f t="shared" si="18"/>
        <v/>
      </c>
      <c r="J223" s="185">
        <f t="shared" si="21"/>
        <v>-5</v>
      </c>
      <c r="K223" s="185">
        <f t="shared" si="19"/>
        <v>-50</v>
      </c>
      <c r="L223" s="185"/>
      <c r="M223" s="187">
        <f t="shared" si="20"/>
        <v>0</v>
      </c>
    </row>
    <row r="224" spans="1:13" x14ac:dyDescent="0.25">
      <c r="A224" s="202"/>
      <c r="G224" s="173"/>
      <c r="H224" s="185">
        <v>219</v>
      </c>
      <c r="I224" s="186" t="str">
        <f t="shared" si="18"/>
        <v/>
      </c>
      <c r="J224" s="185">
        <f t="shared" si="21"/>
        <v>-5</v>
      </c>
      <c r="K224" s="185">
        <f t="shared" si="19"/>
        <v>-50</v>
      </c>
      <c r="L224" s="185"/>
      <c r="M224" s="187">
        <f t="shared" si="20"/>
        <v>0</v>
      </c>
    </row>
    <row r="225" spans="1:13" x14ac:dyDescent="0.25">
      <c r="A225" s="202"/>
      <c r="G225" s="173"/>
      <c r="H225" s="188">
        <v>220</v>
      </c>
      <c r="I225" s="186" t="str">
        <f t="shared" si="18"/>
        <v/>
      </c>
      <c r="J225" s="185">
        <f t="shared" si="21"/>
        <v>-5</v>
      </c>
      <c r="K225" s="185">
        <f t="shared" si="19"/>
        <v>-50</v>
      </c>
      <c r="L225" s="185"/>
      <c r="M225" s="187">
        <f t="shared" si="20"/>
        <v>0</v>
      </c>
    </row>
    <row r="226" spans="1:13" x14ac:dyDescent="0.25">
      <c r="A226" s="202"/>
      <c r="G226" s="173"/>
      <c r="H226" s="185">
        <v>221</v>
      </c>
      <c r="I226" s="186" t="str">
        <f t="shared" si="18"/>
        <v/>
      </c>
      <c r="J226" s="185">
        <f t="shared" si="21"/>
        <v>-5</v>
      </c>
      <c r="K226" s="185">
        <f t="shared" si="19"/>
        <v>-50</v>
      </c>
      <c r="L226" s="185"/>
      <c r="M226" s="187">
        <f t="shared" si="20"/>
        <v>0</v>
      </c>
    </row>
    <row r="227" spans="1:13" x14ac:dyDescent="0.25">
      <c r="A227" s="202"/>
      <c r="G227" s="173"/>
      <c r="H227" s="188">
        <v>222</v>
      </c>
      <c r="I227" s="186" t="str">
        <f t="shared" si="18"/>
        <v/>
      </c>
      <c r="J227" s="185">
        <f t="shared" si="21"/>
        <v>-5</v>
      </c>
      <c r="K227" s="185">
        <f t="shared" si="19"/>
        <v>-50</v>
      </c>
      <c r="L227" s="185"/>
      <c r="M227" s="187">
        <f t="shared" si="20"/>
        <v>0</v>
      </c>
    </row>
    <row r="228" spans="1:13" x14ac:dyDescent="0.25">
      <c r="A228" s="202"/>
      <c r="G228" s="173"/>
      <c r="H228" s="185">
        <v>223</v>
      </c>
      <c r="I228" s="186" t="str">
        <f t="shared" si="18"/>
        <v/>
      </c>
      <c r="J228" s="185">
        <f t="shared" si="21"/>
        <v>-5</v>
      </c>
      <c r="K228" s="185">
        <f t="shared" si="19"/>
        <v>-50</v>
      </c>
      <c r="L228" s="185"/>
      <c r="M228" s="187">
        <f t="shared" si="20"/>
        <v>0</v>
      </c>
    </row>
    <row r="229" spans="1:13" x14ac:dyDescent="0.25">
      <c r="A229" s="202"/>
      <c r="G229" s="173"/>
      <c r="H229" s="188">
        <v>224</v>
      </c>
      <c r="I229" s="186" t="str">
        <f t="shared" si="18"/>
        <v/>
      </c>
      <c r="J229" s="185">
        <f t="shared" si="21"/>
        <v>-5</v>
      </c>
      <c r="K229" s="185">
        <f t="shared" si="19"/>
        <v>-50</v>
      </c>
      <c r="L229" s="185"/>
      <c r="M229" s="187">
        <f t="shared" si="20"/>
        <v>0</v>
      </c>
    </row>
    <row r="230" spans="1:13" x14ac:dyDescent="0.25">
      <c r="A230" s="202"/>
      <c r="G230" s="173"/>
      <c r="H230" s="185">
        <v>225</v>
      </c>
      <c r="I230" s="186" t="str">
        <f t="shared" si="18"/>
        <v/>
      </c>
      <c r="J230" s="185">
        <f t="shared" si="21"/>
        <v>-5</v>
      </c>
      <c r="K230" s="185">
        <f t="shared" si="19"/>
        <v>-50</v>
      </c>
      <c r="L230" s="185"/>
      <c r="M230" s="187">
        <f t="shared" si="20"/>
        <v>0</v>
      </c>
    </row>
    <row r="231" spans="1:13" x14ac:dyDescent="0.25">
      <c r="A231" s="202"/>
      <c r="G231" s="173"/>
      <c r="H231" s="188">
        <v>226</v>
      </c>
      <c r="I231" s="186" t="str">
        <f t="shared" si="18"/>
        <v/>
      </c>
      <c r="J231" s="185">
        <f t="shared" si="21"/>
        <v>-5</v>
      </c>
      <c r="K231" s="185">
        <f t="shared" si="19"/>
        <v>-50</v>
      </c>
      <c r="L231" s="185"/>
      <c r="M231" s="187">
        <f t="shared" si="20"/>
        <v>0</v>
      </c>
    </row>
    <row r="232" spans="1:13" x14ac:dyDescent="0.25">
      <c r="A232" s="202"/>
      <c r="G232" s="173"/>
      <c r="H232" s="185">
        <v>227</v>
      </c>
      <c r="I232" s="186" t="str">
        <f t="shared" si="18"/>
        <v/>
      </c>
      <c r="J232" s="185">
        <f t="shared" si="21"/>
        <v>-5</v>
      </c>
      <c r="K232" s="185">
        <f t="shared" si="19"/>
        <v>-50</v>
      </c>
      <c r="L232" s="185"/>
      <c r="M232" s="187">
        <f t="shared" si="20"/>
        <v>0</v>
      </c>
    </row>
    <row r="233" spans="1:13" x14ac:dyDescent="0.25">
      <c r="A233" s="202"/>
      <c r="G233" s="173"/>
      <c r="H233" s="188">
        <v>228</v>
      </c>
      <c r="I233" s="186" t="str">
        <f t="shared" si="18"/>
        <v/>
      </c>
      <c r="J233" s="185">
        <f t="shared" si="21"/>
        <v>-5</v>
      </c>
      <c r="K233" s="185">
        <f t="shared" si="19"/>
        <v>-50</v>
      </c>
      <c r="L233" s="185"/>
      <c r="M233" s="187">
        <f t="shared" si="20"/>
        <v>0</v>
      </c>
    </row>
    <row r="234" spans="1:13" x14ac:dyDescent="0.25">
      <c r="A234" s="202"/>
      <c r="G234" s="173"/>
      <c r="H234" s="185">
        <v>229</v>
      </c>
      <c r="I234" s="186" t="str">
        <f t="shared" si="18"/>
        <v/>
      </c>
      <c r="J234" s="185">
        <f t="shared" si="21"/>
        <v>-5</v>
      </c>
      <c r="K234" s="185">
        <f t="shared" si="19"/>
        <v>-50</v>
      </c>
      <c r="L234" s="185"/>
      <c r="M234" s="187">
        <f t="shared" si="20"/>
        <v>0</v>
      </c>
    </row>
    <row r="235" spans="1:13" x14ac:dyDescent="0.25">
      <c r="A235" s="202"/>
      <c r="G235" s="173"/>
      <c r="H235" s="188">
        <v>230</v>
      </c>
      <c r="I235" s="186" t="str">
        <f t="shared" si="18"/>
        <v/>
      </c>
      <c r="J235" s="185">
        <f t="shared" si="21"/>
        <v>-5</v>
      </c>
      <c r="K235" s="185">
        <f t="shared" si="19"/>
        <v>-50</v>
      </c>
      <c r="L235" s="185"/>
      <c r="M235" s="187">
        <f t="shared" si="20"/>
        <v>0</v>
      </c>
    </row>
    <row r="236" spans="1:13" x14ac:dyDescent="0.25">
      <c r="A236" s="202"/>
      <c r="G236" s="173"/>
      <c r="H236" s="185">
        <v>231</v>
      </c>
      <c r="I236" s="186" t="str">
        <f t="shared" si="18"/>
        <v/>
      </c>
      <c r="J236" s="185">
        <f t="shared" si="21"/>
        <v>-5</v>
      </c>
      <c r="K236" s="185">
        <f t="shared" si="19"/>
        <v>-50</v>
      </c>
      <c r="L236" s="185"/>
      <c r="M236" s="187">
        <f t="shared" si="20"/>
        <v>0</v>
      </c>
    </row>
    <row r="237" spans="1:13" x14ac:dyDescent="0.25">
      <c r="A237" s="202"/>
      <c r="G237" s="173"/>
      <c r="H237" s="188">
        <v>232</v>
      </c>
      <c r="I237" s="186" t="str">
        <f t="shared" si="18"/>
        <v/>
      </c>
      <c r="J237" s="185">
        <f t="shared" si="21"/>
        <v>-5</v>
      </c>
      <c r="K237" s="185">
        <f t="shared" si="19"/>
        <v>-50</v>
      </c>
      <c r="L237" s="185"/>
      <c r="M237" s="187">
        <f t="shared" si="20"/>
        <v>0</v>
      </c>
    </row>
    <row r="238" spans="1:13" x14ac:dyDescent="0.25">
      <c r="A238" s="202"/>
      <c r="G238" s="173"/>
      <c r="H238" s="185">
        <v>233</v>
      </c>
      <c r="I238" s="186" t="str">
        <f t="shared" si="18"/>
        <v/>
      </c>
      <c r="J238" s="185">
        <f t="shared" si="21"/>
        <v>-5</v>
      </c>
      <c r="K238" s="185">
        <f t="shared" si="19"/>
        <v>-50</v>
      </c>
      <c r="L238" s="185"/>
      <c r="M238" s="187">
        <f t="shared" si="20"/>
        <v>0</v>
      </c>
    </row>
    <row r="239" spans="1:13" x14ac:dyDescent="0.25">
      <c r="A239" s="202"/>
      <c r="G239" s="173"/>
      <c r="H239" s="188">
        <v>234</v>
      </c>
      <c r="I239" s="186" t="str">
        <f t="shared" si="18"/>
        <v/>
      </c>
      <c r="J239" s="185">
        <f t="shared" si="21"/>
        <v>-5</v>
      </c>
      <c r="K239" s="185">
        <f t="shared" si="19"/>
        <v>-50</v>
      </c>
      <c r="L239" s="185"/>
      <c r="M239" s="187">
        <f t="shared" si="20"/>
        <v>0</v>
      </c>
    </row>
    <row r="240" spans="1:13" x14ac:dyDescent="0.25">
      <c r="A240" s="202"/>
      <c r="G240" s="173"/>
      <c r="H240" s="185">
        <v>235</v>
      </c>
      <c r="I240" s="186" t="str">
        <f t="shared" si="18"/>
        <v/>
      </c>
      <c r="J240" s="185">
        <f t="shared" si="21"/>
        <v>-5</v>
      </c>
      <c r="K240" s="185">
        <f t="shared" si="19"/>
        <v>-50</v>
      </c>
      <c r="L240" s="185"/>
      <c r="M240" s="187">
        <f t="shared" si="20"/>
        <v>0</v>
      </c>
    </row>
    <row r="241" spans="1:13" x14ac:dyDescent="0.25">
      <c r="A241" s="202"/>
      <c r="G241" s="173"/>
      <c r="H241" s="188">
        <v>236</v>
      </c>
      <c r="I241" s="186" t="str">
        <f t="shared" si="18"/>
        <v/>
      </c>
      <c r="J241" s="185">
        <f t="shared" si="21"/>
        <v>-5</v>
      </c>
      <c r="K241" s="185">
        <f t="shared" si="19"/>
        <v>-50</v>
      </c>
      <c r="L241" s="185"/>
      <c r="M241" s="187">
        <f t="shared" si="20"/>
        <v>0</v>
      </c>
    </row>
    <row r="242" spans="1:13" x14ac:dyDescent="0.25">
      <c r="A242" s="202"/>
      <c r="G242" s="173"/>
      <c r="H242" s="185">
        <v>237</v>
      </c>
      <c r="I242" s="186" t="str">
        <f t="shared" si="18"/>
        <v/>
      </c>
      <c r="J242" s="185">
        <f t="shared" si="21"/>
        <v>-5</v>
      </c>
      <c r="K242" s="185">
        <f t="shared" si="19"/>
        <v>-50</v>
      </c>
      <c r="L242" s="185"/>
      <c r="M242" s="187">
        <f t="shared" si="20"/>
        <v>0</v>
      </c>
    </row>
    <row r="243" spans="1:13" x14ac:dyDescent="0.25">
      <c r="A243" s="202"/>
      <c r="G243" s="173"/>
      <c r="H243" s="188">
        <v>238</v>
      </c>
      <c r="I243" s="186" t="str">
        <f t="shared" si="18"/>
        <v/>
      </c>
      <c r="J243" s="185">
        <f t="shared" si="21"/>
        <v>-5</v>
      </c>
      <c r="K243" s="185">
        <f t="shared" si="19"/>
        <v>-50</v>
      </c>
      <c r="L243" s="185"/>
      <c r="M243" s="187">
        <f t="shared" si="20"/>
        <v>0</v>
      </c>
    </row>
    <row r="244" spans="1:13" x14ac:dyDescent="0.25">
      <c r="A244" s="202"/>
      <c r="G244" s="173"/>
      <c r="H244" s="185">
        <v>239</v>
      </c>
      <c r="I244" s="186" t="str">
        <f t="shared" si="18"/>
        <v/>
      </c>
      <c r="J244" s="185">
        <f t="shared" si="21"/>
        <v>-5</v>
      </c>
      <c r="K244" s="185">
        <f t="shared" si="19"/>
        <v>-50</v>
      </c>
      <c r="L244" s="185"/>
      <c r="M244" s="187">
        <f t="shared" si="20"/>
        <v>0</v>
      </c>
    </row>
    <row r="245" spans="1:13" x14ac:dyDescent="0.25">
      <c r="A245" s="202"/>
      <c r="G245" s="173"/>
      <c r="H245" s="188">
        <v>240</v>
      </c>
      <c r="I245" s="186" t="str">
        <f t="shared" si="18"/>
        <v/>
      </c>
      <c r="J245" s="185">
        <f t="shared" si="21"/>
        <v>-5</v>
      </c>
      <c r="K245" s="185">
        <f t="shared" si="19"/>
        <v>-50</v>
      </c>
      <c r="L245" s="185"/>
      <c r="M245" s="187">
        <f t="shared" si="20"/>
        <v>0</v>
      </c>
    </row>
    <row r="246" spans="1:13" x14ac:dyDescent="0.25">
      <c r="A246" s="202"/>
      <c r="G246" s="173"/>
      <c r="H246" s="185">
        <v>241</v>
      </c>
      <c r="I246" s="186" t="str">
        <f t="shared" si="18"/>
        <v/>
      </c>
      <c r="J246" s="185">
        <f t="shared" si="21"/>
        <v>-5</v>
      </c>
      <c r="K246" s="185">
        <f t="shared" si="19"/>
        <v>-50</v>
      </c>
      <c r="L246" s="185"/>
      <c r="M246" s="187">
        <f t="shared" si="20"/>
        <v>0</v>
      </c>
    </row>
    <row r="247" spans="1:13" x14ac:dyDescent="0.25">
      <c r="A247" s="202"/>
      <c r="G247" s="173"/>
      <c r="H247" s="188">
        <v>242</v>
      </c>
      <c r="I247" s="186" t="str">
        <f t="shared" si="18"/>
        <v/>
      </c>
      <c r="J247" s="185">
        <f t="shared" si="21"/>
        <v>-5</v>
      </c>
      <c r="K247" s="185">
        <f t="shared" si="19"/>
        <v>-50</v>
      </c>
      <c r="L247" s="185"/>
      <c r="M247" s="187">
        <f t="shared" si="20"/>
        <v>0</v>
      </c>
    </row>
    <row r="248" spans="1:13" x14ac:dyDescent="0.25">
      <c r="A248" s="202"/>
      <c r="G248" s="173"/>
      <c r="H248" s="185">
        <v>243</v>
      </c>
      <c r="I248" s="186" t="str">
        <f t="shared" si="18"/>
        <v/>
      </c>
      <c r="J248" s="185">
        <f t="shared" si="21"/>
        <v>-5</v>
      </c>
      <c r="K248" s="185">
        <f t="shared" si="19"/>
        <v>-50</v>
      </c>
      <c r="L248" s="185"/>
      <c r="M248" s="187">
        <f t="shared" si="20"/>
        <v>0</v>
      </c>
    </row>
    <row r="249" spans="1:13" x14ac:dyDescent="0.25">
      <c r="A249" s="202"/>
      <c r="G249" s="173"/>
      <c r="H249" s="188">
        <v>244</v>
      </c>
      <c r="I249" s="186" t="str">
        <f t="shared" si="18"/>
        <v/>
      </c>
      <c r="J249" s="185">
        <f t="shared" si="21"/>
        <v>-5</v>
      </c>
      <c r="K249" s="185">
        <f t="shared" si="19"/>
        <v>-50</v>
      </c>
      <c r="L249" s="185"/>
      <c r="M249" s="187">
        <f t="shared" si="20"/>
        <v>0</v>
      </c>
    </row>
    <row r="250" spans="1:13" x14ac:dyDescent="0.25">
      <c r="A250" s="202"/>
      <c r="G250" s="173"/>
      <c r="H250" s="185">
        <v>245</v>
      </c>
      <c r="I250" s="186" t="str">
        <f t="shared" si="18"/>
        <v/>
      </c>
      <c r="J250" s="185">
        <f t="shared" si="21"/>
        <v>-5</v>
      </c>
      <c r="K250" s="185">
        <f t="shared" si="19"/>
        <v>-50</v>
      </c>
      <c r="L250" s="185"/>
      <c r="M250" s="187">
        <f t="shared" si="20"/>
        <v>0</v>
      </c>
    </row>
    <row r="251" spans="1:13" x14ac:dyDescent="0.25">
      <c r="A251" s="202"/>
      <c r="G251" s="173"/>
      <c r="H251" s="188">
        <v>246</v>
      </c>
      <c r="I251" s="186" t="str">
        <f t="shared" si="18"/>
        <v/>
      </c>
      <c r="J251" s="185">
        <f t="shared" si="21"/>
        <v>-5</v>
      </c>
      <c r="K251" s="185">
        <f t="shared" si="19"/>
        <v>-50</v>
      </c>
      <c r="L251" s="185"/>
      <c r="M251" s="187">
        <f t="shared" si="20"/>
        <v>0</v>
      </c>
    </row>
    <row r="252" spans="1:13" x14ac:dyDescent="0.25">
      <c r="A252" s="202"/>
      <c r="G252" s="173"/>
      <c r="H252" s="185">
        <v>247</v>
      </c>
      <c r="I252" s="186" t="str">
        <f t="shared" si="18"/>
        <v/>
      </c>
      <c r="J252" s="185">
        <f t="shared" si="21"/>
        <v>-5</v>
      </c>
      <c r="K252" s="185">
        <f t="shared" si="19"/>
        <v>-50</v>
      </c>
      <c r="L252" s="185"/>
      <c r="M252" s="187">
        <f t="shared" si="20"/>
        <v>0</v>
      </c>
    </row>
    <row r="253" spans="1:13" x14ac:dyDescent="0.25">
      <c r="A253" s="202"/>
      <c r="G253" s="173"/>
      <c r="H253" s="188">
        <v>248</v>
      </c>
      <c r="I253" s="186" t="str">
        <f t="shared" si="18"/>
        <v/>
      </c>
      <c r="J253" s="185">
        <f t="shared" si="21"/>
        <v>-5</v>
      </c>
      <c r="K253" s="185">
        <f t="shared" si="19"/>
        <v>-50</v>
      </c>
      <c r="L253" s="185"/>
      <c r="M253" s="187">
        <f t="shared" si="20"/>
        <v>0</v>
      </c>
    </row>
    <row r="254" spans="1:13" x14ac:dyDescent="0.25">
      <c r="A254" s="202"/>
      <c r="G254" s="173"/>
      <c r="H254" s="185">
        <v>249</v>
      </c>
      <c r="I254" s="186" t="str">
        <f t="shared" si="18"/>
        <v/>
      </c>
      <c r="J254" s="185">
        <f t="shared" si="21"/>
        <v>-5</v>
      </c>
      <c r="K254" s="185">
        <f t="shared" si="19"/>
        <v>-50</v>
      </c>
      <c r="L254" s="185"/>
      <c r="M254" s="187">
        <f t="shared" si="20"/>
        <v>0</v>
      </c>
    </row>
    <row r="255" spans="1:13" x14ac:dyDescent="0.25">
      <c r="A255" s="202"/>
      <c r="G255" s="173"/>
      <c r="H255" s="188">
        <v>250</v>
      </c>
      <c r="I255" s="186" t="str">
        <f t="shared" si="18"/>
        <v/>
      </c>
      <c r="J255" s="185">
        <f t="shared" si="21"/>
        <v>-5</v>
      </c>
      <c r="K255" s="185">
        <f t="shared" si="19"/>
        <v>-50</v>
      </c>
      <c r="L255" s="185"/>
      <c r="M255" s="187">
        <f t="shared" si="20"/>
        <v>0</v>
      </c>
    </row>
    <row r="256" spans="1:13" x14ac:dyDescent="0.25">
      <c r="A256" s="202"/>
      <c r="G256" s="173"/>
      <c r="H256" s="185">
        <v>251</v>
      </c>
      <c r="I256" s="186" t="str">
        <f t="shared" si="18"/>
        <v/>
      </c>
      <c r="J256" s="185">
        <f t="shared" si="21"/>
        <v>-5</v>
      </c>
      <c r="K256" s="185">
        <f t="shared" si="19"/>
        <v>-50</v>
      </c>
      <c r="L256" s="185"/>
      <c r="M256" s="187">
        <f t="shared" si="20"/>
        <v>0</v>
      </c>
    </row>
    <row r="257" spans="1:13" x14ac:dyDescent="0.25">
      <c r="A257" s="202"/>
      <c r="G257" s="173"/>
      <c r="H257" s="188">
        <v>252</v>
      </c>
      <c r="I257" s="186" t="str">
        <f t="shared" si="18"/>
        <v/>
      </c>
      <c r="J257" s="185">
        <f t="shared" si="21"/>
        <v>-5</v>
      </c>
      <c r="K257" s="185">
        <f t="shared" si="19"/>
        <v>-50</v>
      </c>
      <c r="L257" s="185"/>
      <c r="M257" s="187">
        <f t="shared" si="20"/>
        <v>0</v>
      </c>
    </row>
    <row r="258" spans="1:13" x14ac:dyDescent="0.25">
      <c r="A258" s="202"/>
      <c r="G258" s="173"/>
      <c r="H258" s="185">
        <v>253</v>
      </c>
      <c r="I258" s="186" t="str">
        <f t="shared" si="18"/>
        <v/>
      </c>
      <c r="J258" s="185">
        <f t="shared" si="21"/>
        <v>-5</v>
      </c>
      <c r="K258" s="185">
        <f t="shared" si="19"/>
        <v>-50</v>
      </c>
      <c r="L258" s="185"/>
      <c r="M258" s="187">
        <f t="shared" si="20"/>
        <v>0</v>
      </c>
    </row>
    <row r="259" spans="1:13" x14ac:dyDescent="0.25">
      <c r="A259" s="202"/>
      <c r="G259" s="173"/>
      <c r="H259" s="188">
        <v>254</v>
      </c>
      <c r="I259" s="186" t="str">
        <f t="shared" si="18"/>
        <v/>
      </c>
      <c r="J259" s="185">
        <f t="shared" si="21"/>
        <v>-5</v>
      </c>
      <c r="K259" s="185">
        <f t="shared" si="19"/>
        <v>-50</v>
      </c>
      <c r="L259" s="185"/>
      <c r="M259" s="187">
        <f t="shared" si="20"/>
        <v>0</v>
      </c>
    </row>
    <row r="260" spans="1:13" x14ac:dyDescent="0.25">
      <c r="A260" s="202"/>
      <c r="G260" s="173"/>
      <c r="H260" s="185">
        <v>255</v>
      </c>
      <c r="I260" s="186" t="str">
        <f t="shared" si="18"/>
        <v/>
      </c>
      <c r="J260" s="185">
        <f t="shared" si="21"/>
        <v>-5</v>
      </c>
      <c r="K260" s="185">
        <f t="shared" si="19"/>
        <v>-50</v>
      </c>
      <c r="L260" s="185"/>
      <c r="M260" s="187">
        <f t="shared" si="20"/>
        <v>0</v>
      </c>
    </row>
    <row r="261" spans="1:13" x14ac:dyDescent="0.25">
      <c r="A261" s="202"/>
      <c r="G261" s="173"/>
      <c r="H261" s="188">
        <v>256</v>
      </c>
      <c r="I261" s="186" t="str">
        <f t="shared" si="18"/>
        <v/>
      </c>
      <c r="J261" s="185">
        <f t="shared" si="21"/>
        <v>-5</v>
      </c>
      <c r="K261" s="185">
        <f t="shared" si="19"/>
        <v>-50</v>
      </c>
      <c r="L261" s="185"/>
      <c r="M261" s="187">
        <f t="shared" si="20"/>
        <v>0</v>
      </c>
    </row>
    <row r="262" spans="1:13" x14ac:dyDescent="0.25">
      <c r="A262" s="202"/>
      <c r="G262" s="173"/>
      <c r="H262" s="185">
        <v>257</v>
      </c>
      <c r="I262" s="186" t="str">
        <f t="shared" ref="I262:I305" si="22">IF(H262&lt;$H$2+1,($I$2-($I$2-1)*(LOG(H262)/LOG($H$2))),"")</f>
        <v/>
      </c>
      <c r="J262" s="185">
        <f t="shared" si="21"/>
        <v>-6</v>
      </c>
      <c r="K262" s="185">
        <f t="shared" ref="K262:K305" si="23">J262*$J$2</f>
        <v>-60</v>
      </c>
      <c r="L262" s="185"/>
      <c r="M262" s="187">
        <f t="shared" ref="M262:M305" si="24">IF(I262&lt;&gt;"",K262+I262+L262,0)</f>
        <v>0</v>
      </c>
    </row>
    <row r="263" spans="1:13" x14ac:dyDescent="0.25">
      <c r="A263" s="202"/>
      <c r="G263" s="173"/>
      <c r="H263" s="188">
        <v>258</v>
      </c>
      <c r="I263" s="186" t="str">
        <f t="shared" si="22"/>
        <v/>
      </c>
      <c r="J263" s="185">
        <f t="shared" ref="J263:J305" si="25">INT(LOG($H$2,2))-ROUNDUP(LOG(H263,2),0)+IF(OR($H$2=1,$H$2=2,$H$2=4,$H$2=8,$H$2=16,$H$2=32,$H$2=64,$H$2=128,$H$2=256),0,1)</f>
        <v>-6</v>
      </c>
      <c r="K263" s="185">
        <f t="shared" si="23"/>
        <v>-60</v>
      </c>
      <c r="L263" s="185"/>
      <c r="M263" s="187">
        <f t="shared" si="24"/>
        <v>0</v>
      </c>
    </row>
    <row r="264" spans="1:13" x14ac:dyDescent="0.25">
      <c r="A264" s="202"/>
      <c r="G264" s="173"/>
      <c r="H264" s="185">
        <v>259</v>
      </c>
      <c r="I264" s="186" t="str">
        <f t="shared" si="22"/>
        <v/>
      </c>
      <c r="J264" s="185">
        <f t="shared" si="25"/>
        <v>-6</v>
      </c>
      <c r="K264" s="185">
        <f t="shared" si="23"/>
        <v>-60</v>
      </c>
      <c r="L264" s="185"/>
      <c r="M264" s="187">
        <f t="shared" si="24"/>
        <v>0</v>
      </c>
    </row>
    <row r="265" spans="1:13" x14ac:dyDescent="0.25">
      <c r="A265" s="202"/>
      <c r="G265" s="173"/>
      <c r="H265" s="188">
        <v>260</v>
      </c>
      <c r="I265" s="186" t="str">
        <f t="shared" si="22"/>
        <v/>
      </c>
      <c r="J265" s="185">
        <f t="shared" si="25"/>
        <v>-6</v>
      </c>
      <c r="K265" s="185">
        <f t="shared" si="23"/>
        <v>-60</v>
      </c>
      <c r="L265" s="185"/>
      <c r="M265" s="187">
        <f t="shared" si="24"/>
        <v>0</v>
      </c>
    </row>
    <row r="266" spans="1:13" x14ac:dyDescent="0.25">
      <c r="A266" s="202"/>
      <c r="G266" s="173"/>
      <c r="H266" s="185">
        <v>261</v>
      </c>
      <c r="I266" s="186" t="str">
        <f t="shared" si="22"/>
        <v/>
      </c>
      <c r="J266" s="185">
        <f t="shared" si="25"/>
        <v>-6</v>
      </c>
      <c r="K266" s="185">
        <f t="shared" si="23"/>
        <v>-60</v>
      </c>
      <c r="L266" s="185"/>
      <c r="M266" s="187">
        <f t="shared" si="24"/>
        <v>0</v>
      </c>
    </row>
    <row r="267" spans="1:13" x14ac:dyDescent="0.25">
      <c r="A267" s="202"/>
      <c r="G267" s="173"/>
      <c r="H267" s="188">
        <v>262</v>
      </c>
      <c r="I267" s="186" t="str">
        <f t="shared" si="22"/>
        <v/>
      </c>
      <c r="J267" s="185">
        <f t="shared" si="25"/>
        <v>-6</v>
      </c>
      <c r="K267" s="185">
        <f t="shared" si="23"/>
        <v>-60</v>
      </c>
      <c r="L267" s="185"/>
      <c r="M267" s="187">
        <f t="shared" si="24"/>
        <v>0</v>
      </c>
    </row>
    <row r="268" spans="1:13" x14ac:dyDescent="0.25">
      <c r="A268" s="202"/>
      <c r="G268" s="173"/>
      <c r="H268" s="185">
        <v>263</v>
      </c>
      <c r="I268" s="186" t="str">
        <f t="shared" si="22"/>
        <v/>
      </c>
      <c r="J268" s="185">
        <f t="shared" si="25"/>
        <v>-6</v>
      </c>
      <c r="K268" s="185">
        <f t="shared" si="23"/>
        <v>-60</v>
      </c>
      <c r="L268" s="185"/>
      <c r="M268" s="187">
        <f t="shared" si="24"/>
        <v>0</v>
      </c>
    </row>
    <row r="269" spans="1:13" x14ac:dyDescent="0.25">
      <c r="A269" s="202"/>
      <c r="G269" s="173"/>
      <c r="H269" s="188">
        <v>264</v>
      </c>
      <c r="I269" s="186" t="str">
        <f t="shared" si="22"/>
        <v/>
      </c>
      <c r="J269" s="185">
        <f t="shared" si="25"/>
        <v>-6</v>
      </c>
      <c r="K269" s="185">
        <f t="shared" si="23"/>
        <v>-60</v>
      </c>
      <c r="L269" s="185"/>
      <c r="M269" s="187">
        <f t="shared" si="24"/>
        <v>0</v>
      </c>
    </row>
    <row r="270" spans="1:13" x14ac:dyDescent="0.25">
      <c r="A270" s="202"/>
      <c r="G270" s="173"/>
      <c r="H270" s="185">
        <v>265</v>
      </c>
      <c r="I270" s="186" t="str">
        <f t="shared" si="22"/>
        <v/>
      </c>
      <c r="J270" s="185">
        <f t="shared" si="25"/>
        <v>-6</v>
      </c>
      <c r="K270" s="185">
        <f t="shared" si="23"/>
        <v>-60</v>
      </c>
      <c r="L270" s="185"/>
      <c r="M270" s="187">
        <f t="shared" si="24"/>
        <v>0</v>
      </c>
    </row>
    <row r="271" spans="1:13" x14ac:dyDescent="0.25">
      <c r="A271" s="202"/>
      <c r="G271" s="173"/>
      <c r="H271" s="188">
        <v>266</v>
      </c>
      <c r="I271" s="186" t="str">
        <f t="shared" si="22"/>
        <v/>
      </c>
      <c r="J271" s="185">
        <f t="shared" si="25"/>
        <v>-6</v>
      </c>
      <c r="K271" s="185">
        <f t="shared" si="23"/>
        <v>-60</v>
      </c>
      <c r="L271" s="185"/>
      <c r="M271" s="187">
        <f t="shared" si="24"/>
        <v>0</v>
      </c>
    </row>
    <row r="272" spans="1:13" x14ac:dyDescent="0.25">
      <c r="A272" s="202"/>
      <c r="G272" s="173"/>
      <c r="H272" s="185">
        <v>267</v>
      </c>
      <c r="I272" s="186" t="str">
        <f t="shared" si="22"/>
        <v/>
      </c>
      <c r="J272" s="185">
        <f t="shared" si="25"/>
        <v>-6</v>
      </c>
      <c r="K272" s="185">
        <f t="shared" si="23"/>
        <v>-60</v>
      </c>
      <c r="L272" s="185"/>
      <c r="M272" s="187">
        <f t="shared" si="24"/>
        <v>0</v>
      </c>
    </row>
    <row r="273" spans="1:13" x14ac:dyDescent="0.25">
      <c r="A273" s="202"/>
      <c r="G273" s="173"/>
      <c r="H273" s="188">
        <v>268</v>
      </c>
      <c r="I273" s="186" t="str">
        <f t="shared" si="22"/>
        <v/>
      </c>
      <c r="J273" s="185">
        <f t="shared" si="25"/>
        <v>-6</v>
      </c>
      <c r="K273" s="185">
        <f t="shared" si="23"/>
        <v>-60</v>
      </c>
      <c r="L273" s="185"/>
      <c r="M273" s="187">
        <f t="shared" si="24"/>
        <v>0</v>
      </c>
    </row>
    <row r="274" spans="1:13" x14ac:dyDescent="0.25">
      <c r="A274" s="202"/>
      <c r="G274" s="173"/>
      <c r="H274" s="185">
        <v>269</v>
      </c>
      <c r="I274" s="186" t="str">
        <f t="shared" si="22"/>
        <v/>
      </c>
      <c r="J274" s="185">
        <f t="shared" si="25"/>
        <v>-6</v>
      </c>
      <c r="K274" s="185">
        <f t="shared" si="23"/>
        <v>-60</v>
      </c>
      <c r="L274" s="185"/>
      <c r="M274" s="187">
        <f t="shared" si="24"/>
        <v>0</v>
      </c>
    </row>
    <row r="275" spans="1:13" x14ac:dyDescent="0.25">
      <c r="A275" s="202"/>
      <c r="G275" s="173"/>
      <c r="H275" s="188">
        <v>270</v>
      </c>
      <c r="I275" s="186" t="str">
        <f t="shared" si="22"/>
        <v/>
      </c>
      <c r="J275" s="185">
        <f t="shared" si="25"/>
        <v>-6</v>
      </c>
      <c r="K275" s="185">
        <f t="shared" si="23"/>
        <v>-60</v>
      </c>
      <c r="L275" s="185"/>
      <c r="M275" s="187">
        <f t="shared" si="24"/>
        <v>0</v>
      </c>
    </row>
    <row r="276" spans="1:13" x14ac:dyDescent="0.25">
      <c r="A276" s="202"/>
      <c r="G276" s="173"/>
      <c r="H276" s="185">
        <v>271</v>
      </c>
      <c r="I276" s="186" t="str">
        <f t="shared" si="22"/>
        <v/>
      </c>
      <c r="J276" s="185">
        <f t="shared" si="25"/>
        <v>-6</v>
      </c>
      <c r="K276" s="185">
        <f t="shared" si="23"/>
        <v>-60</v>
      </c>
      <c r="L276" s="185"/>
      <c r="M276" s="187">
        <f t="shared" si="24"/>
        <v>0</v>
      </c>
    </row>
    <row r="277" spans="1:13" x14ac:dyDescent="0.25">
      <c r="A277" s="202"/>
      <c r="G277" s="173"/>
      <c r="H277" s="188">
        <v>272</v>
      </c>
      <c r="I277" s="186" t="str">
        <f t="shared" si="22"/>
        <v/>
      </c>
      <c r="J277" s="185">
        <f t="shared" si="25"/>
        <v>-6</v>
      </c>
      <c r="K277" s="185">
        <f t="shared" si="23"/>
        <v>-60</v>
      </c>
      <c r="L277" s="185"/>
      <c r="M277" s="187">
        <f t="shared" si="24"/>
        <v>0</v>
      </c>
    </row>
    <row r="278" spans="1:13" x14ac:dyDescent="0.25">
      <c r="A278" s="202"/>
      <c r="G278" s="173"/>
      <c r="H278" s="185">
        <v>273</v>
      </c>
      <c r="I278" s="186" t="str">
        <f t="shared" si="22"/>
        <v/>
      </c>
      <c r="J278" s="185">
        <f t="shared" si="25"/>
        <v>-6</v>
      </c>
      <c r="K278" s="185">
        <f t="shared" si="23"/>
        <v>-60</v>
      </c>
      <c r="L278" s="185"/>
      <c r="M278" s="187">
        <f t="shared" si="24"/>
        <v>0</v>
      </c>
    </row>
    <row r="279" spans="1:13" x14ac:dyDescent="0.25">
      <c r="A279" s="202"/>
      <c r="G279" s="173"/>
      <c r="H279" s="188">
        <v>274</v>
      </c>
      <c r="I279" s="186" t="str">
        <f t="shared" si="22"/>
        <v/>
      </c>
      <c r="J279" s="185">
        <f t="shared" si="25"/>
        <v>-6</v>
      </c>
      <c r="K279" s="185">
        <f t="shared" si="23"/>
        <v>-60</v>
      </c>
      <c r="L279" s="185"/>
      <c r="M279" s="187">
        <f t="shared" si="24"/>
        <v>0</v>
      </c>
    </row>
    <row r="280" spans="1:13" x14ac:dyDescent="0.25">
      <c r="A280" s="202"/>
      <c r="G280" s="173"/>
      <c r="H280" s="185">
        <v>275</v>
      </c>
      <c r="I280" s="186" t="str">
        <f t="shared" si="22"/>
        <v/>
      </c>
      <c r="J280" s="185">
        <f t="shared" si="25"/>
        <v>-6</v>
      </c>
      <c r="K280" s="185">
        <f t="shared" si="23"/>
        <v>-60</v>
      </c>
      <c r="L280" s="185"/>
      <c r="M280" s="187">
        <f t="shared" si="24"/>
        <v>0</v>
      </c>
    </row>
    <row r="281" spans="1:13" x14ac:dyDescent="0.25">
      <c r="A281" s="202"/>
      <c r="G281" s="173"/>
      <c r="H281" s="188">
        <v>276</v>
      </c>
      <c r="I281" s="186" t="str">
        <f t="shared" si="22"/>
        <v/>
      </c>
      <c r="J281" s="185">
        <f t="shared" si="25"/>
        <v>-6</v>
      </c>
      <c r="K281" s="185">
        <f t="shared" si="23"/>
        <v>-60</v>
      </c>
      <c r="L281" s="185"/>
      <c r="M281" s="187">
        <f t="shared" si="24"/>
        <v>0</v>
      </c>
    </row>
    <row r="282" spans="1:13" x14ac:dyDescent="0.25">
      <c r="A282" s="202"/>
      <c r="G282" s="173"/>
      <c r="H282" s="185">
        <v>277</v>
      </c>
      <c r="I282" s="186" t="str">
        <f t="shared" si="22"/>
        <v/>
      </c>
      <c r="J282" s="185">
        <f t="shared" si="25"/>
        <v>-6</v>
      </c>
      <c r="K282" s="185">
        <f t="shared" si="23"/>
        <v>-60</v>
      </c>
      <c r="L282" s="185"/>
      <c r="M282" s="187">
        <f t="shared" si="24"/>
        <v>0</v>
      </c>
    </row>
    <row r="283" spans="1:13" x14ac:dyDescent="0.25">
      <c r="A283" s="202"/>
      <c r="G283" s="173"/>
      <c r="H283" s="188">
        <v>278</v>
      </c>
      <c r="I283" s="186" t="str">
        <f t="shared" si="22"/>
        <v/>
      </c>
      <c r="J283" s="185">
        <f t="shared" si="25"/>
        <v>-6</v>
      </c>
      <c r="K283" s="185">
        <f t="shared" si="23"/>
        <v>-60</v>
      </c>
      <c r="L283" s="185"/>
      <c r="M283" s="187">
        <f t="shared" si="24"/>
        <v>0</v>
      </c>
    </row>
    <row r="284" spans="1:13" x14ac:dyDescent="0.25">
      <c r="A284" s="202"/>
      <c r="G284" s="173"/>
      <c r="H284" s="185">
        <v>279</v>
      </c>
      <c r="I284" s="186" t="str">
        <f t="shared" si="22"/>
        <v/>
      </c>
      <c r="J284" s="185">
        <f t="shared" si="25"/>
        <v>-6</v>
      </c>
      <c r="K284" s="185">
        <f t="shared" si="23"/>
        <v>-60</v>
      </c>
      <c r="L284" s="185"/>
      <c r="M284" s="187">
        <f t="shared" si="24"/>
        <v>0</v>
      </c>
    </row>
    <row r="285" spans="1:13" x14ac:dyDescent="0.25">
      <c r="A285" s="202"/>
      <c r="G285" s="173"/>
      <c r="H285" s="188">
        <v>280</v>
      </c>
      <c r="I285" s="186" t="str">
        <f t="shared" si="22"/>
        <v/>
      </c>
      <c r="J285" s="185">
        <f t="shared" si="25"/>
        <v>-6</v>
      </c>
      <c r="K285" s="185">
        <f t="shared" si="23"/>
        <v>-60</v>
      </c>
      <c r="L285" s="185"/>
      <c r="M285" s="187">
        <f t="shared" si="24"/>
        <v>0</v>
      </c>
    </row>
    <row r="286" spans="1:13" x14ac:dyDescent="0.25">
      <c r="A286" s="202"/>
      <c r="G286" s="173"/>
      <c r="H286" s="185">
        <v>281</v>
      </c>
      <c r="I286" s="186" t="str">
        <f t="shared" si="22"/>
        <v/>
      </c>
      <c r="J286" s="185">
        <f t="shared" si="25"/>
        <v>-6</v>
      </c>
      <c r="K286" s="185">
        <f t="shared" si="23"/>
        <v>-60</v>
      </c>
      <c r="L286" s="185"/>
      <c r="M286" s="187">
        <f t="shared" si="24"/>
        <v>0</v>
      </c>
    </row>
    <row r="287" spans="1:13" x14ac:dyDescent="0.25">
      <c r="A287" s="202"/>
      <c r="G287" s="173"/>
      <c r="H287" s="188">
        <v>282</v>
      </c>
      <c r="I287" s="186" t="str">
        <f t="shared" si="22"/>
        <v/>
      </c>
      <c r="J287" s="185">
        <f t="shared" si="25"/>
        <v>-6</v>
      </c>
      <c r="K287" s="185">
        <f t="shared" si="23"/>
        <v>-60</v>
      </c>
      <c r="L287" s="185"/>
      <c r="M287" s="187">
        <f t="shared" si="24"/>
        <v>0</v>
      </c>
    </row>
    <row r="288" spans="1:13" x14ac:dyDescent="0.25">
      <c r="A288" s="202"/>
      <c r="G288" s="173"/>
      <c r="H288" s="185">
        <v>283</v>
      </c>
      <c r="I288" s="186" t="str">
        <f t="shared" si="22"/>
        <v/>
      </c>
      <c r="J288" s="185">
        <f t="shared" si="25"/>
        <v>-6</v>
      </c>
      <c r="K288" s="185">
        <f t="shared" si="23"/>
        <v>-60</v>
      </c>
      <c r="L288" s="185"/>
      <c r="M288" s="187">
        <f t="shared" si="24"/>
        <v>0</v>
      </c>
    </row>
    <row r="289" spans="1:13" x14ac:dyDescent="0.25">
      <c r="A289" s="202"/>
      <c r="G289" s="173"/>
      <c r="H289" s="188">
        <v>284</v>
      </c>
      <c r="I289" s="186" t="str">
        <f t="shared" si="22"/>
        <v/>
      </c>
      <c r="J289" s="185">
        <f t="shared" si="25"/>
        <v>-6</v>
      </c>
      <c r="K289" s="185">
        <f t="shared" si="23"/>
        <v>-60</v>
      </c>
      <c r="L289" s="185"/>
      <c r="M289" s="187">
        <f t="shared" si="24"/>
        <v>0</v>
      </c>
    </row>
    <row r="290" spans="1:13" x14ac:dyDescent="0.25">
      <c r="A290" s="202"/>
      <c r="G290" s="173"/>
      <c r="H290" s="185">
        <v>285</v>
      </c>
      <c r="I290" s="186" t="str">
        <f t="shared" si="22"/>
        <v/>
      </c>
      <c r="J290" s="185">
        <f t="shared" si="25"/>
        <v>-6</v>
      </c>
      <c r="K290" s="185">
        <f t="shared" si="23"/>
        <v>-60</v>
      </c>
      <c r="L290" s="185"/>
      <c r="M290" s="187">
        <f t="shared" si="24"/>
        <v>0</v>
      </c>
    </row>
    <row r="291" spans="1:13" x14ac:dyDescent="0.25">
      <c r="A291" s="202"/>
      <c r="G291" s="173"/>
      <c r="H291" s="188">
        <v>286</v>
      </c>
      <c r="I291" s="186" t="str">
        <f t="shared" si="22"/>
        <v/>
      </c>
      <c r="J291" s="185">
        <f t="shared" si="25"/>
        <v>-6</v>
      </c>
      <c r="K291" s="185">
        <f t="shared" si="23"/>
        <v>-60</v>
      </c>
      <c r="L291" s="185"/>
      <c r="M291" s="187">
        <f t="shared" si="24"/>
        <v>0</v>
      </c>
    </row>
    <row r="292" spans="1:13" x14ac:dyDescent="0.25">
      <c r="A292" s="202"/>
      <c r="G292" s="173"/>
      <c r="H292" s="185">
        <v>287</v>
      </c>
      <c r="I292" s="186" t="str">
        <f t="shared" si="22"/>
        <v/>
      </c>
      <c r="J292" s="185">
        <f t="shared" si="25"/>
        <v>-6</v>
      </c>
      <c r="K292" s="185">
        <f t="shared" si="23"/>
        <v>-60</v>
      </c>
      <c r="L292" s="185"/>
      <c r="M292" s="187">
        <f t="shared" si="24"/>
        <v>0</v>
      </c>
    </row>
    <row r="293" spans="1:13" x14ac:dyDescent="0.25">
      <c r="A293" s="202"/>
      <c r="G293" s="173"/>
      <c r="H293" s="185">
        <v>288</v>
      </c>
      <c r="I293" s="186" t="str">
        <f t="shared" si="22"/>
        <v/>
      </c>
      <c r="J293" s="185">
        <f t="shared" si="25"/>
        <v>-6</v>
      </c>
      <c r="K293" s="185">
        <f t="shared" si="23"/>
        <v>-60</v>
      </c>
      <c r="L293" s="185"/>
      <c r="M293" s="187">
        <f t="shared" si="24"/>
        <v>0</v>
      </c>
    </row>
    <row r="294" spans="1:13" x14ac:dyDescent="0.25">
      <c r="A294" s="202"/>
      <c r="G294" s="173"/>
      <c r="H294" s="185">
        <v>289</v>
      </c>
      <c r="I294" s="186" t="str">
        <f t="shared" si="22"/>
        <v/>
      </c>
      <c r="J294" s="185">
        <f t="shared" si="25"/>
        <v>-6</v>
      </c>
      <c r="K294" s="185">
        <f t="shared" si="23"/>
        <v>-60</v>
      </c>
      <c r="L294" s="185"/>
      <c r="M294" s="187">
        <f t="shared" si="24"/>
        <v>0</v>
      </c>
    </row>
    <row r="295" spans="1:13" x14ac:dyDescent="0.25">
      <c r="A295" s="202"/>
      <c r="G295" s="173"/>
      <c r="H295" s="185">
        <v>290</v>
      </c>
      <c r="I295" s="186" t="str">
        <f t="shared" si="22"/>
        <v/>
      </c>
      <c r="J295" s="185">
        <f t="shared" si="25"/>
        <v>-6</v>
      </c>
      <c r="K295" s="185">
        <f t="shared" si="23"/>
        <v>-60</v>
      </c>
      <c r="L295" s="185"/>
      <c r="M295" s="187">
        <f t="shared" si="24"/>
        <v>0</v>
      </c>
    </row>
    <row r="296" spans="1:13" x14ac:dyDescent="0.25">
      <c r="A296" s="202"/>
      <c r="G296" s="173"/>
      <c r="H296" s="185">
        <v>291</v>
      </c>
      <c r="I296" s="186" t="str">
        <f t="shared" si="22"/>
        <v/>
      </c>
      <c r="J296" s="185">
        <f t="shared" si="25"/>
        <v>-6</v>
      </c>
      <c r="K296" s="185">
        <f t="shared" si="23"/>
        <v>-60</v>
      </c>
      <c r="L296" s="185"/>
      <c r="M296" s="187">
        <f t="shared" si="24"/>
        <v>0</v>
      </c>
    </row>
    <row r="297" spans="1:13" x14ac:dyDescent="0.25">
      <c r="A297" s="202"/>
      <c r="G297" s="173"/>
      <c r="H297" s="185">
        <v>292</v>
      </c>
      <c r="I297" s="186" t="str">
        <f t="shared" si="22"/>
        <v/>
      </c>
      <c r="J297" s="185">
        <f t="shared" si="25"/>
        <v>-6</v>
      </c>
      <c r="K297" s="185">
        <f t="shared" si="23"/>
        <v>-60</v>
      </c>
      <c r="L297" s="185"/>
      <c r="M297" s="187">
        <f t="shared" si="24"/>
        <v>0</v>
      </c>
    </row>
    <row r="298" spans="1:13" x14ac:dyDescent="0.25">
      <c r="A298" s="202"/>
      <c r="G298" s="173"/>
      <c r="H298" s="185">
        <v>293</v>
      </c>
      <c r="I298" s="186" t="str">
        <f t="shared" si="22"/>
        <v/>
      </c>
      <c r="J298" s="185">
        <f t="shared" si="25"/>
        <v>-6</v>
      </c>
      <c r="K298" s="185">
        <f t="shared" si="23"/>
        <v>-60</v>
      </c>
      <c r="L298" s="185"/>
      <c r="M298" s="187">
        <f t="shared" si="24"/>
        <v>0</v>
      </c>
    </row>
    <row r="299" spans="1:13" x14ac:dyDescent="0.25">
      <c r="A299" s="202"/>
      <c r="G299" s="173"/>
      <c r="H299" s="185">
        <v>294</v>
      </c>
      <c r="I299" s="186" t="str">
        <f t="shared" si="22"/>
        <v/>
      </c>
      <c r="J299" s="185">
        <f t="shared" si="25"/>
        <v>-6</v>
      </c>
      <c r="K299" s="185">
        <f t="shared" si="23"/>
        <v>-60</v>
      </c>
      <c r="L299" s="185"/>
      <c r="M299" s="187">
        <f t="shared" si="24"/>
        <v>0</v>
      </c>
    </row>
    <row r="300" spans="1:13" x14ac:dyDescent="0.25">
      <c r="A300" s="202"/>
      <c r="G300" s="173"/>
      <c r="H300" s="185">
        <v>295</v>
      </c>
      <c r="I300" s="186" t="str">
        <f t="shared" si="22"/>
        <v/>
      </c>
      <c r="J300" s="185">
        <f t="shared" si="25"/>
        <v>-6</v>
      </c>
      <c r="K300" s="185">
        <f t="shared" si="23"/>
        <v>-60</v>
      </c>
      <c r="L300" s="185"/>
      <c r="M300" s="187">
        <f t="shared" si="24"/>
        <v>0</v>
      </c>
    </row>
    <row r="301" spans="1:13" x14ac:dyDescent="0.25">
      <c r="A301" s="202"/>
      <c r="G301" s="173"/>
      <c r="H301" s="185">
        <v>296</v>
      </c>
      <c r="I301" s="186" t="str">
        <f t="shared" si="22"/>
        <v/>
      </c>
      <c r="J301" s="185">
        <f t="shared" si="25"/>
        <v>-6</v>
      </c>
      <c r="K301" s="185">
        <f t="shared" si="23"/>
        <v>-60</v>
      </c>
      <c r="L301" s="185"/>
      <c r="M301" s="187">
        <f t="shared" si="24"/>
        <v>0</v>
      </c>
    </row>
    <row r="302" spans="1:13" x14ac:dyDescent="0.25">
      <c r="A302" s="202"/>
      <c r="G302" s="173"/>
      <c r="H302" s="185">
        <v>297</v>
      </c>
      <c r="I302" s="186" t="str">
        <f t="shared" si="22"/>
        <v/>
      </c>
      <c r="J302" s="185">
        <f t="shared" si="25"/>
        <v>-6</v>
      </c>
      <c r="K302" s="185">
        <f t="shared" si="23"/>
        <v>-60</v>
      </c>
      <c r="L302" s="185"/>
      <c r="M302" s="187">
        <f t="shared" si="24"/>
        <v>0</v>
      </c>
    </row>
    <row r="303" spans="1:13" x14ac:dyDescent="0.25">
      <c r="A303" s="202"/>
      <c r="G303" s="173"/>
      <c r="H303" s="185">
        <v>298</v>
      </c>
      <c r="I303" s="186" t="str">
        <f t="shared" si="22"/>
        <v/>
      </c>
      <c r="J303" s="185">
        <f t="shared" si="25"/>
        <v>-6</v>
      </c>
      <c r="K303" s="185">
        <f t="shared" si="23"/>
        <v>-60</v>
      </c>
      <c r="L303" s="185"/>
      <c r="M303" s="187">
        <f t="shared" si="24"/>
        <v>0</v>
      </c>
    </row>
    <row r="304" spans="1:13" x14ac:dyDescent="0.25">
      <c r="A304" s="202"/>
      <c r="G304" s="173"/>
      <c r="H304" s="185">
        <v>299</v>
      </c>
      <c r="I304" s="186" t="str">
        <f t="shared" si="22"/>
        <v/>
      </c>
      <c r="J304" s="185">
        <f t="shared" si="25"/>
        <v>-6</v>
      </c>
      <c r="K304" s="185">
        <f t="shared" si="23"/>
        <v>-60</v>
      </c>
      <c r="L304" s="185"/>
      <c r="M304" s="187">
        <f t="shared" si="24"/>
        <v>0</v>
      </c>
    </row>
    <row r="305" spans="1:16" x14ac:dyDescent="0.25">
      <c r="A305" s="202"/>
      <c r="G305" s="173"/>
      <c r="H305" s="185">
        <v>300</v>
      </c>
      <c r="I305" s="186" t="str">
        <f t="shared" si="22"/>
        <v/>
      </c>
      <c r="J305" s="185">
        <f t="shared" si="25"/>
        <v>-6</v>
      </c>
      <c r="K305" s="185">
        <f t="shared" si="23"/>
        <v>-60</v>
      </c>
      <c r="L305" s="185"/>
      <c r="M305" s="187">
        <f t="shared" si="24"/>
        <v>0</v>
      </c>
    </row>
    <row r="306" spans="1:16" x14ac:dyDescent="0.25">
      <c r="A306" s="203"/>
    </row>
    <row r="314" spans="1:16" x14ac:dyDescent="0.25">
      <c r="L314" s="206"/>
      <c r="P314" s="196"/>
    </row>
    <row r="315" spans="1:16" x14ac:dyDescent="0.25">
      <c r="L315" s="206"/>
      <c r="P315" s="196"/>
    </row>
    <row r="316" spans="1:16" x14ac:dyDescent="0.25">
      <c r="L316" s="206"/>
      <c r="P316" s="196"/>
    </row>
    <row r="317" spans="1:16" x14ac:dyDescent="0.25">
      <c r="L317" s="206"/>
      <c r="P317" s="196"/>
    </row>
  </sheetData>
  <conditionalFormatting sqref="J6:K305">
    <cfRule type="cellIs" dxfId="4" priority="1" operator="lessThanOrEqual">
      <formula>0</formula>
    </cfRule>
  </conditionalFormatting>
  <hyperlinks>
    <hyperlink ref="C2" r:id="rId1" xr:uid="{AA7F5481-6BA1-4B93-8581-5D9FD11B008C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A10B-8258-4E7E-A1C7-912AC2E7018E}">
  <sheetPr codeName="Arkusz23"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201" customWidth="1"/>
    <col min="2" max="2" width="8.25" style="201" customWidth="1"/>
    <col min="3" max="3" width="34.75" style="201" customWidth="1"/>
    <col min="4" max="4" width="11.25" style="201" customWidth="1"/>
    <col min="5" max="6" width="8.875" style="201"/>
    <col min="7" max="7" width="0.875" style="201" customWidth="1"/>
    <col min="8" max="8" width="8.875" style="204"/>
    <col min="9" max="9" width="11" style="204" customWidth="1"/>
    <col min="10" max="10" width="15.25" style="204" customWidth="1"/>
    <col min="11" max="11" width="8.75" style="204" customWidth="1"/>
    <col min="12" max="12" width="11" style="204" customWidth="1"/>
    <col min="13" max="13" width="12.25" style="205" customWidth="1"/>
    <col min="14" max="15" width="13.875" style="173" customWidth="1"/>
    <col min="16" max="18" width="8.875" style="173"/>
    <col min="19" max="20" width="8.875" style="178"/>
    <col min="21" max="21" width="12.125" style="178" customWidth="1"/>
    <col min="22" max="22" width="27.375" style="178" customWidth="1"/>
    <col min="23" max="38" width="8.875" style="178"/>
    <col min="39" max="16384" width="8.875" style="201"/>
  </cols>
  <sheetData>
    <row r="1" spans="1:36" x14ac:dyDescent="0.25">
      <c r="A1" s="173"/>
      <c r="B1" s="173"/>
      <c r="C1" s="173"/>
      <c r="D1" s="173"/>
      <c r="E1" s="173"/>
      <c r="F1" s="173"/>
      <c r="G1" s="173"/>
      <c r="H1" s="174" t="s">
        <v>25</v>
      </c>
      <c r="I1" s="175" t="s">
        <v>26</v>
      </c>
      <c r="J1" s="175" t="s">
        <v>27</v>
      </c>
      <c r="K1" s="176" t="s">
        <v>101</v>
      </c>
      <c r="L1" s="177"/>
      <c r="M1" s="177"/>
    </row>
    <row r="2" spans="1:36" x14ac:dyDescent="0.25">
      <c r="A2" s="173"/>
      <c r="B2" s="20" t="s">
        <v>29</v>
      </c>
      <c r="C2" s="252" t="s">
        <v>124</v>
      </c>
      <c r="D2" s="69"/>
      <c r="E2" s="21"/>
      <c r="F2" s="21"/>
      <c r="G2" s="21"/>
      <c r="H2" s="179">
        <v>0</v>
      </c>
      <c r="I2" s="180">
        <v>50</v>
      </c>
      <c r="J2" s="180">
        <v>10</v>
      </c>
      <c r="K2" s="181">
        <f>3*H2^(1/3)</f>
        <v>0</v>
      </c>
      <c r="L2" s="177"/>
      <c r="M2" s="177"/>
    </row>
    <row r="3" spans="1:36" x14ac:dyDescent="0.25">
      <c r="A3" s="173"/>
      <c r="B3" s="182" t="s">
        <v>31</v>
      </c>
      <c r="C3" s="70" t="s">
        <v>125</v>
      </c>
      <c r="D3" s="70"/>
      <c r="E3" s="26"/>
      <c r="F3" s="26"/>
      <c r="G3" s="26"/>
      <c r="H3" s="177"/>
      <c r="I3" s="177"/>
      <c r="J3" s="208"/>
      <c r="K3" s="177"/>
      <c r="L3" s="177"/>
      <c r="M3" s="177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77"/>
      <c r="I4" s="177"/>
      <c r="J4" s="208"/>
      <c r="K4" s="177"/>
      <c r="L4" s="177"/>
      <c r="M4" s="177"/>
    </row>
    <row r="5" spans="1:36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183" t="s">
        <v>39</v>
      </c>
      <c r="I5" s="184" t="s">
        <v>40</v>
      </c>
      <c r="J5" s="209" t="s">
        <v>41</v>
      </c>
      <c r="K5" s="184" t="s">
        <v>42</v>
      </c>
      <c r="L5" s="184" t="s">
        <v>43</v>
      </c>
      <c r="M5" s="183" t="s">
        <v>44</v>
      </c>
    </row>
    <row r="6" spans="1:36" ht="14.45" customHeight="1" x14ac:dyDescent="0.25">
      <c r="A6" s="94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185">
        <v>1</v>
      </c>
      <c r="I6" s="186" t="str">
        <f t="shared" ref="I6:I69" si="1">IF(H6&lt;$H$2+1,($I$2-($I$2-1)*(LOG(H6)/LOG($H$2))),"")</f>
        <v/>
      </c>
      <c r="J6" s="185" t="e">
        <f>INT(LOG($H$2,2))-ROUNDUP(LOG(H6,2),0)+IF(OR($H$2=1,$H$2=2,$H$2=4,$H$2=8,$H$2=16,$H$2=32,$H$2=64,$H$2=128,$H$2=256),0,1)</f>
        <v>#NUM!</v>
      </c>
      <c r="K6" s="185" t="e">
        <f t="shared" ref="K6:K69" si="2">J6*$J$2</f>
        <v>#NUM!</v>
      </c>
      <c r="L6" s="187">
        <f>3*K2</f>
        <v>0</v>
      </c>
      <c r="M6" s="187">
        <f t="shared" ref="M6:M69" si="3">IF(I6&lt;&gt;"",K6+I6+L6,0)</f>
        <v>0</v>
      </c>
    </row>
    <row r="7" spans="1:36" ht="14.45" customHeight="1" x14ac:dyDescent="0.25">
      <c r="A7" s="98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188">
        <v>2</v>
      </c>
      <c r="I7" s="189" t="str">
        <f t="shared" si="1"/>
        <v/>
      </c>
      <c r="J7" s="188" t="e">
        <f t="shared" ref="J7:J70" si="5">INT(LOG($H$2,2))-ROUNDUP(LOG(H7,2),0)+IF(OR($H$2=1,$H$2=2,$H$2=4,$H$2=8,$H$2=16,$H$2=32,$H$2=64,$H$2=128,$H$2=256),0,1)</f>
        <v>#NUM!</v>
      </c>
      <c r="K7" s="188" t="e">
        <f t="shared" si="2"/>
        <v>#NUM!</v>
      </c>
      <c r="L7" s="190">
        <f>2*K2</f>
        <v>0</v>
      </c>
      <c r="M7" s="190">
        <f t="shared" si="3"/>
        <v>0</v>
      </c>
    </row>
    <row r="8" spans="1:36" ht="14.45" customHeight="1" x14ac:dyDescent="0.25">
      <c r="A8" s="94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185">
        <v>3</v>
      </c>
      <c r="I8" s="186" t="str">
        <f t="shared" si="1"/>
        <v/>
      </c>
      <c r="J8" s="185" t="e">
        <f t="shared" si="5"/>
        <v>#NUM!</v>
      </c>
      <c r="K8" s="185" t="e">
        <f t="shared" si="2"/>
        <v>#NUM!</v>
      </c>
      <c r="L8" s="187">
        <f>K2</f>
        <v>0</v>
      </c>
      <c r="M8" s="187">
        <f t="shared" si="3"/>
        <v>0</v>
      </c>
    </row>
    <row r="9" spans="1:36" s="178" customFormat="1" ht="14.45" customHeight="1" x14ac:dyDescent="0.25">
      <c r="A9" s="98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188">
        <v>3</v>
      </c>
      <c r="I9" s="189" t="str">
        <f t="shared" si="1"/>
        <v/>
      </c>
      <c r="J9" s="188" t="e">
        <f t="shared" si="5"/>
        <v>#NUM!</v>
      </c>
      <c r="K9" s="188" t="e">
        <f t="shared" si="2"/>
        <v>#NUM!</v>
      </c>
      <c r="L9" s="190">
        <f>K2</f>
        <v>0</v>
      </c>
      <c r="M9" s="190">
        <f t="shared" si="3"/>
        <v>0</v>
      </c>
      <c r="N9" s="173"/>
      <c r="O9" s="173"/>
      <c r="P9" s="173"/>
      <c r="Q9" s="173"/>
      <c r="R9" s="173"/>
      <c r="V9" s="191"/>
      <c r="Z9" s="192"/>
      <c r="AA9" s="192"/>
      <c r="AG9" s="193"/>
      <c r="AH9" s="178" t="s">
        <v>49</v>
      </c>
      <c r="AI9" s="178">
        <v>23</v>
      </c>
    </row>
    <row r="10" spans="1:36" ht="14.45" customHeight="1" x14ac:dyDescent="0.25">
      <c r="A10" s="94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185">
        <v>5</v>
      </c>
      <c r="I10" s="186" t="str">
        <f t="shared" si="1"/>
        <v/>
      </c>
      <c r="J10" s="185" t="e">
        <f t="shared" si="5"/>
        <v>#NUM!</v>
      </c>
      <c r="K10" s="185" t="e">
        <f t="shared" si="2"/>
        <v>#NUM!</v>
      </c>
      <c r="L10" s="185"/>
      <c r="M10" s="187">
        <f t="shared" si="3"/>
        <v>0</v>
      </c>
      <c r="V10" s="191"/>
      <c r="Z10" s="192"/>
      <c r="AA10" s="192"/>
      <c r="AG10" s="193"/>
      <c r="AH10" s="178" t="s">
        <v>52</v>
      </c>
      <c r="AI10" s="178">
        <v>45</v>
      </c>
    </row>
    <row r="11" spans="1:36" ht="14.45" customHeight="1" x14ac:dyDescent="0.25">
      <c r="A11" s="98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188">
        <v>6</v>
      </c>
      <c r="I11" s="189" t="str">
        <f t="shared" si="1"/>
        <v/>
      </c>
      <c r="J11" s="188" t="e">
        <f t="shared" si="5"/>
        <v>#NUM!</v>
      </c>
      <c r="K11" s="188" t="e">
        <f t="shared" si="2"/>
        <v>#NUM!</v>
      </c>
      <c r="L11" s="188"/>
      <c r="M11" s="190">
        <f t="shared" si="3"/>
        <v>0</v>
      </c>
      <c r="V11" s="194"/>
      <c r="Z11" s="192"/>
      <c r="AA11" s="192"/>
      <c r="AG11" s="193"/>
      <c r="AH11" s="178" t="s">
        <v>53</v>
      </c>
      <c r="AI11" s="178">
        <v>50</v>
      </c>
    </row>
    <row r="12" spans="1:36" ht="14.45" customHeight="1" x14ac:dyDescent="0.25">
      <c r="A12" s="94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185">
        <v>7</v>
      </c>
      <c r="I12" s="186" t="str">
        <f t="shared" si="1"/>
        <v/>
      </c>
      <c r="J12" s="185" t="e">
        <f t="shared" si="5"/>
        <v>#NUM!</v>
      </c>
      <c r="K12" s="185" t="e">
        <f t="shared" si="2"/>
        <v>#NUM!</v>
      </c>
      <c r="L12" s="185"/>
      <c r="M12" s="187">
        <f t="shared" si="3"/>
        <v>0</v>
      </c>
      <c r="Z12" s="192"/>
      <c r="AA12" s="192"/>
      <c r="AG12" s="193"/>
      <c r="AH12" s="178" t="s">
        <v>54</v>
      </c>
      <c r="AI12" s="178">
        <f>AI11-1</f>
        <v>49</v>
      </c>
    </row>
    <row r="13" spans="1:36" ht="14.45" customHeight="1" x14ac:dyDescent="0.25">
      <c r="A13" s="98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188">
        <v>8</v>
      </c>
      <c r="I13" s="189" t="str">
        <f t="shared" si="1"/>
        <v/>
      </c>
      <c r="J13" s="188" t="e">
        <f t="shared" si="5"/>
        <v>#NUM!</v>
      </c>
      <c r="K13" s="188" t="e">
        <f t="shared" si="2"/>
        <v>#NUM!</v>
      </c>
      <c r="L13" s="188"/>
      <c r="M13" s="190">
        <f t="shared" si="3"/>
        <v>0</v>
      </c>
      <c r="X13" s="191"/>
      <c r="AG13" s="193"/>
      <c r="AH13" s="178" t="s">
        <v>55</v>
      </c>
      <c r="AI13" s="178">
        <f>LOG(AI9)</f>
        <v>1.3617278360175928</v>
      </c>
    </row>
    <row r="14" spans="1:36" x14ac:dyDescent="0.25">
      <c r="A14" s="94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185">
        <v>9</v>
      </c>
      <c r="I14" s="186" t="str">
        <f t="shared" si="1"/>
        <v/>
      </c>
      <c r="J14" s="185" t="e">
        <f t="shared" si="5"/>
        <v>#NUM!</v>
      </c>
      <c r="K14" s="185" t="e">
        <f t="shared" si="2"/>
        <v>#NUM!</v>
      </c>
      <c r="L14" s="185"/>
      <c r="M14" s="187">
        <f t="shared" si="3"/>
        <v>0</v>
      </c>
      <c r="X14" s="195"/>
      <c r="Z14" s="192"/>
      <c r="AA14" s="192"/>
      <c r="AG14" s="193"/>
      <c r="AH14" s="178" t="s">
        <v>56</v>
      </c>
      <c r="AI14" s="178">
        <f>LOG(AI10)</f>
        <v>1.6532125137753437</v>
      </c>
    </row>
    <row r="15" spans="1:36" x14ac:dyDescent="0.25">
      <c r="A15" s="98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188">
        <v>10</v>
      </c>
      <c r="I15" s="189" t="str">
        <f t="shared" si="1"/>
        <v/>
      </c>
      <c r="J15" s="188" t="e">
        <f t="shared" si="5"/>
        <v>#NUM!</v>
      </c>
      <c r="K15" s="188" t="e">
        <f t="shared" si="2"/>
        <v>#NUM!</v>
      </c>
      <c r="L15" s="188"/>
      <c r="M15" s="190">
        <f t="shared" si="3"/>
        <v>0</v>
      </c>
      <c r="X15" s="191"/>
      <c r="Z15" s="192"/>
      <c r="AA15" s="192"/>
    </row>
    <row r="16" spans="1:36" x14ac:dyDescent="0.25">
      <c r="A16" s="94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185">
        <v>11</v>
      </c>
      <c r="I16" s="186" t="str">
        <f t="shared" si="1"/>
        <v/>
      </c>
      <c r="J16" s="185" t="e">
        <f t="shared" si="5"/>
        <v>#NUM!</v>
      </c>
      <c r="K16" s="185" t="e">
        <f t="shared" si="2"/>
        <v>#NUM!</v>
      </c>
      <c r="L16" s="185"/>
      <c r="M16" s="187">
        <f t="shared" si="3"/>
        <v>0</v>
      </c>
      <c r="R16" s="196"/>
      <c r="Z16" s="192"/>
      <c r="AA16" s="192"/>
      <c r="AH16" s="197" t="s">
        <v>57</v>
      </c>
      <c r="AI16" s="178">
        <f>AI11-AI12*AI13/AI14</f>
        <v>9.6393909380186855</v>
      </c>
      <c r="AJ16" s="178" t="s">
        <v>58</v>
      </c>
    </row>
    <row r="17" spans="1:19" x14ac:dyDescent="0.25">
      <c r="A17" s="98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188">
        <v>12</v>
      </c>
      <c r="I17" s="189" t="str">
        <f t="shared" si="1"/>
        <v/>
      </c>
      <c r="J17" s="188" t="e">
        <f t="shared" si="5"/>
        <v>#NUM!</v>
      </c>
      <c r="K17" s="188" t="e">
        <f t="shared" si="2"/>
        <v>#NUM!</v>
      </c>
      <c r="L17" s="188"/>
      <c r="M17" s="190">
        <f t="shared" si="3"/>
        <v>0</v>
      </c>
    </row>
    <row r="18" spans="1:19" x14ac:dyDescent="0.25">
      <c r="A18" s="94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185">
        <v>13</v>
      </c>
      <c r="I18" s="186" t="str">
        <f t="shared" si="1"/>
        <v/>
      </c>
      <c r="J18" s="185" t="e">
        <f t="shared" si="5"/>
        <v>#NUM!</v>
      </c>
      <c r="K18" s="185" t="e">
        <f t="shared" si="2"/>
        <v>#NUM!</v>
      </c>
      <c r="L18" s="185"/>
      <c r="M18" s="187">
        <f t="shared" si="3"/>
        <v>0</v>
      </c>
    </row>
    <row r="19" spans="1:19" x14ac:dyDescent="0.25">
      <c r="A19" s="98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188">
        <v>14</v>
      </c>
      <c r="I19" s="189" t="str">
        <f t="shared" si="1"/>
        <v/>
      </c>
      <c r="J19" s="188" t="e">
        <f t="shared" si="5"/>
        <v>#NUM!</v>
      </c>
      <c r="K19" s="188" t="e">
        <f t="shared" si="2"/>
        <v>#NUM!</v>
      </c>
      <c r="L19" s="188"/>
      <c r="M19" s="190">
        <f t="shared" si="3"/>
        <v>0</v>
      </c>
    </row>
    <row r="20" spans="1:19" x14ac:dyDescent="0.25">
      <c r="A20" s="94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185">
        <v>15</v>
      </c>
      <c r="I20" s="186" t="str">
        <f t="shared" si="1"/>
        <v/>
      </c>
      <c r="J20" s="185" t="e">
        <f t="shared" si="5"/>
        <v>#NUM!</v>
      </c>
      <c r="K20" s="185" t="e">
        <f t="shared" si="2"/>
        <v>#NUM!</v>
      </c>
      <c r="L20" s="185"/>
      <c r="M20" s="187">
        <f t="shared" si="3"/>
        <v>0</v>
      </c>
      <c r="R20" s="198"/>
      <c r="S20" s="199"/>
    </row>
    <row r="21" spans="1:19" x14ac:dyDescent="0.25">
      <c r="A21" s="98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188">
        <v>16</v>
      </c>
      <c r="I21" s="189" t="str">
        <f t="shared" si="1"/>
        <v/>
      </c>
      <c r="J21" s="188" t="e">
        <f t="shared" si="5"/>
        <v>#NUM!</v>
      </c>
      <c r="K21" s="188" t="e">
        <f t="shared" si="2"/>
        <v>#NUM!</v>
      </c>
      <c r="L21" s="188"/>
      <c r="M21" s="190">
        <f t="shared" si="3"/>
        <v>0</v>
      </c>
    </row>
    <row r="22" spans="1:19" x14ac:dyDescent="0.25">
      <c r="A22" s="94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185">
        <v>17</v>
      </c>
      <c r="I22" s="186" t="str">
        <f t="shared" si="1"/>
        <v/>
      </c>
      <c r="J22" s="185" t="e">
        <f t="shared" si="5"/>
        <v>#NUM!</v>
      </c>
      <c r="K22" s="185" t="e">
        <f t="shared" si="2"/>
        <v>#NUM!</v>
      </c>
      <c r="L22" s="185"/>
      <c r="M22" s="187">
        <f t="shared" si="3"/>
        <v>0</v>
      </c>
    </row>
    <row r="23" spans="1:19" x14ac:dyDescent="0.25">
      <c r="A23" s="98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188">
        <v>18</v>
      </c>
      <c r="I23" s="189" t="str">
        <f t="shared" si="1"/>
        <v/>
      </c>
      <c r="J23" s="188" t="e">
        <f t="shared" si="5"/>
        <v>#NUM!</v>
      </c>
      <c r="K23" s="188" t="e">
        <f t="shared" si="2"/>
        <v>#NUM!</v>
      </c>
      <c r="L23" s="188"/>
      <c r="M23" s="190">
        <f t="shared" si="3"/>
        <v>0</v>
      </c>
    </row>
    <row r="24" spans="1:19" x14ac:dyDescent="0.25">
      <c r="A24" s="94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185">
        <v>19</v>
      </c>
      <c r="I24" s="186" t="str">
        <f t="shared" si="1"/>
        <v/>
      </c>
      <c r="J24" s="185" t="e">
        <f t="shared" si="5"/>
        <v>#NUM!</v>
      </c>
      <c r="K24" s="185" t="e">
        <f t="shared" si="2"/>
        <v>#NUM!</v>
      </c>
      <c r="L24" s="185"/>
      <c r="M24" s="187">
        <f t="shared" si="3"/>
        <v>0</v>
      </c>
      <c r="R24" s="198"/>
      <c r="S24" s="199"/>
    </row>
    <row r="25" spans="1:19" x14ac:dyDescent="0.25">
      <c r="A25" s="98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188">
        <v>20</v>
      </c>
      <c r="I25" s="189" t="str">
        <f t="shared" si="1"/>
        <v/>
      </c>
      <c r="J25" s="188" t="e">
        <f t="shared" si="5"/>
        <v>#NUM!</v>
      </c>
      <c r="K25" s="188" t="e">
        <f t="shared" si="2"/>
        <v>#NUM!</v>
      </c>
      <c r="L25" s="188"/>
      <c r="M25" s="190">
        <f t="shared" si="3"/>
        <v>0</v>
      </c>
    </row>
    <row r="26" spans="1:19" x14ac:dyDescent="0.25">
      <c r="A26" s="94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185">
        <v>21</v>
      </c>
      <c r="I26" s="186" t="str">
        <f t="shared" si="1"/>
        <v/>
      </c>
      <c r="J26" s="185" t="e">
        <f t="shared" si="5"/>
        <v>#NUM!</v>
      </c>
      <c r="K26" s="185" t="e">
        <f t="shared" si="2"/>
        <v>#NUM!</v>
      </c>
      <c r="L26" s="185"/>
      <c r="M26" s="187">
        <f t="shared" si="3"/>
        <v>0</v>
      </c>
    </row>
    <row r="27" spans="1:19" x14ac:dyDescent="0.25">
      <c r="A27" s="98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188">
        <v>22</v>
      </c>
      <c r="I27" s="189" t="str">
        <f t="shared" si="1"/>
        <v/>
      </c>
      <c r="J27" s="188" t="e">
        <f t="shared" si="5"/>
        <v>#NUM!</v>
      </c>
      <c r="K27" s="188" t="e">
        <f t="shared" si="2"/>
        <v>#NUM!</v>
      </c>
      <c r="L27" s="188"/>
      <c r="M27" s="190">
        <f t="shared" si="3"/>
        <v>0</v>
      </c>
    </row>
    <row r="28" spans="1:19" x14ac:dyDescent="0.25">
      <c r="A28" s="94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185">
        <v>23</v>
      </c>
      <c r="I28" s="186" t="str">
        <f t="shared" si="1"/>
        <v/>
      </c>
      <c r="J28" s="185" t="e">
        <f t="shared" si="5"/>
        <v>#NUM!</v>
      </c>
      <c r="K28" s="185" t="e">
        <f t="shared" si="2"/>
        <v>#NUM!</v>
      </c>
      <c r="L28" s="185"/>
      <c r="M28" s="187">
        <f t="shared" si="3"/>
        <v>0</v>
      </c>
      <c r="R28" s="198"/>
      <c r="S28" s="199"/>
    </row>
    <row r="29" spans="1:19" x14ac:dyDescent="0.25">
      <c r="A29" s="98">
        <f t="shared" si="4"/>
        <v>0</v>
      </c>
      <c r="B29" s="40" t="str">
        <f t="shared" si="0"/>
        <v/>
      </c>
      <c r="C29" s="41"/>
      <c r="D29" s="41"/>
      <c r="E29" s="41"/>
      <c r="F29" s="41"/>
      <c r="G29" s="173"/>
      <c r="H29" s="188">
        <v>24</v>
      </c>
      <c r="I29" s="189" t="str">
        <f t="shared" si="1"/>
        <v/>
      </c>
      <c r="J29" s="188" t="e">
        <f t="shared" si="5"/>
        <v>#NUM!</v>
      </c>
      <c r="K29" s="188" t="e">
        <f t="shared" si="2"/>
        <v>#NUM!</v>
      </c>
      <c r="L29" s="188"/>
      <c r="M29" s="190">
        <f t="shared" si="3"/>
        <v>0</v>
      </c>
    </row>
    <row r="30" spans="1:19" x14ac:dyDescent="0.25">
      <c r="A30" s="94">
        <f t="shared" si="4"/>
        <v>0</v>
      </c>
      <c r="B30" s="34" t="str">
        <f t="shared" si="0"/>
        <v/>
      </c>
      <c r="C30" s="35"/>
      <c r="D30" s="35"/>
      <c r="E30" s="35"/>
      <c r="F30" s="35"/>
      <c r="G30" s="173"/>
      <c r="H30" s="185">
        <v>25</v>
      </c>
      <c r="I30" s="186" t="str">
        <f t="shared" si="1"/>
        <v/>
      </c>
      <c r="J30" s="185" t="e">
        <f t="shared" si="5"/>
        <v>#NUM!</v>
      </c>
      <c r="K30" s="185" t="e">
        <f t="shared" si="2"/>
        <v>#NUM!</v>
      </c>
      <c r="L30" s="185"/>
      <c r="M30" s="187">
        <f t="shared" si="3"/>
        <v>0</v>
      </c>
    </row>
    <row r="31" spans="1:19" x14ac:dyDescent="0.25">
      <c r="A31" s="98">
        <f t="shared" si="4"/>
        <v>0</v>
      </c>
      <c r="B31" s="40" t="str">
        <f t="shared" si="0"/>
        <v/>
      </c>
      <c r="C31" s="41"/>
      <c r="D31" s="41"/>
      <c r="E31" s="41"/>
      <c r="F31" s="41"/>
      <c r="G31" s="173"/>
      <c r="H31" s="188">
        <v>26</v>
      </c>
      <c r="I31" s="189" t="str">
        <f t="shared" si="1"/>
        <v/>
      </c>
      <c r="J31" s="188" t="e">
        <f t="shared" si="5"/>
        <v>#NUM!</v>
      </c>
      <c r="K31" s="188" t="e">
        <f t="shared" si="2"/>
        <v>#NUM!</v>
      </c>
      <c r="L31" s="188"/>
      <c r="M31" s="190">
        <f t="shared" si="3"/>
        <v>0</v>
      </c>
    </row>
    <row r="32" spans="1:19" x14ac:dyDescent="0.25">
      <c r="A32" s="94">
        <f t="shared" si="4"/>
        <v>0</v>
      </c>
      <c r="B32" s="34" t="str">
        <f t="shared" si="0"/>
        <v/>
      </c>
      <c r="C32" s="35"/>
      <c r="D32" s="35"/>
      <c r="E32" s="35"/>
      <c r="F32" s="35"/>
      <c r="G32" s="173"/>
      <c r="H32" s="185">
        <v>27</v>
      </c>
      <c r="I32" s="186" t="str">
        <f t="shared" si="1"/>
        <v/>
      </c>
      <c r="J32" s="185" t="e">
        <f t="shared" si="5"/>
        <v>#NUM!</v>
      </c>
      <c r="K32" s="185" t="e">
        <f t="shared" si="2"/>
        <v>#NUM!</v>
      </c>
      <c r="L32" s="185"/>
      <c r="M32" s="187">
        <f t="shared" si="3"/>
        <v>0</v>
      </c>
      <c r="R32" s="198"/>
      <c r="S32" s="199"/>
    </row>
    <row r="33" spans="1:19" x14ac:dyDescent="0.25">
      <c r="A33" s="98">
        <f t="shared" si="4"/>
        <v>0</v>
      </c>
      <c r="B33" s="40" t="str">
        <f t="shared" si="0"/>
        <v/>
      </c>
      <c r="C33" s="41"/>
      <c r="D33" s="41"/>
      <c r="E33" s="41"/>
      <c r="F33" s="41"/>
      <c r="G33" s="173"/>
      <c r="H33" s="188">
        <v>28</v>
      </c>
      <c r="I33" s="189" t="str">
        <f t="shared" si="1"/>
        <v/>
      </c>
      <c r="J33" s="188" t="e">
        <f t="shared" si="5"/>
        <v>#NUM!</v>
      </c>
      <c r="K33" s="188" t="e">
        <f t="shared" si="2"/>
        <v>#NUM!</v>
      </c>
      <c r="L33" s="188"/>
      <c r="M33" s="190">
        <f t="shared" si="3"/>
        <v>0</v>
      </c>
    </row>
    <row r="34" spans="1:19" x14ac:dyDescent="0.25">
      <c r="A34" s="94">
        <f t="shared" si="4"/>
        <v>0</v>
      </c>
      <c r="B34" s="34" t="str">
        <f t="shared" si="0"/>
        <v/>
      </c>
      <c r="C34" s="35"/>
      <c r="D34" s="35"/>
      <c r="E34" s="35"/>
      <c r="F34" s="35"/>
      <c r="G34" s="173"/>
      <c r="H34" s="185">
        <v>29</v>
      </c>
      <c r="I34" s="186" t="str">
        <f t="shared" si="1"/>
        <v/>
      </c>
      <c r="J34" s="185" t="e">
        <f t="shared" si="5"/>
        <v>#NUM!</v>
      </c>
      <c r="K34" s="185" t="e">
        <f t="shared" si="2"/>
        <v>#NUM!</v>
      </c>
      <c r="L34" s="185"/>
      <c r="M34" s="187">
        <f t="shared" si="3"/>
        <v>0</v>
      </c>
    </row>
    <row r="35" spans="1:19" x14ac:dyDescent="0.25">
      <c r="A35" s="98">
        <f t="shared" si="4"/>
        <v>0</v>
      </c>
      <c r="B35" s="40" t="str">
        <f t="shared" si="0"/>
        <v/>
      </c>
      <c r="C35" s="41"/>
      <c r="D35" s="41"/>
      <c r="E35" s="41"/>
      <c r="F35" s="41"/>
      <c r="G35" s="173"/>
      <c r="H35" s="188">
        <v>30</v>
      </c>
      <c r="I35" s="189" t="str">
        <f t="shared" si="1"/>
        <v/>
      </c>
      <c r="J35" s="188" t="e">
        <f t="shared" si="5"/>
        <v>#NUM!</v>
      </c>
      <c r="K35" s="188" t="e">
        <f t="shared" si="2"/>
        <v>#NUM!</v>
      </c>
      <c r="L35" s="188"/>
      <c r="M35" s="190">
        <f t="shared" si="3"/>
        <v>0</v>
      </c>
    </row>
    <row r="36" spans="1:19" x14ac:dyDescent="0.25">
      <c r="A36" s="94">
        <f t="shared" si="4"/>
        <v>0</v>
      </c>
      <c r="B36" s="34" t="str">
        <f t="shared" si="0"/>
        <v/>
      </c>
      <c r="C36" s="35"/>
      <c r="D36" s="35"/>
      <c r="E36" s="35"/>
      <c r="F36" s="35"/>
      <c r="G36" s="173"/>
      <c r="H36" s="185">
        <v>31</v>
      </c>
      <c r="I36" s="186" t="str">
        <f t="shared" si="1"/>
        <v/>
      </c>
      <c r="J36" s="185" t="e">
        <f t="shared" si="5"/>
        <v>#NUM!</v>
      </c>
      <c r="K36" s="185" t="e">
        <f t="shared" si="2"/>
        <v>#NUM!</v>
      </c>
      <c r="L36" s="185"/>
      <c r="M36" s="187">
        <f t="shared" si="3"/>
        <v>0</v>
      </c>
      <c r="R36" s="198"/>
      <c r="S36" s="199"/>
    </row>
    <row r="37" spans="1:19" x14ac:dyDescent="0.25">
      <c r="A37" s="98">
        <f t="shared" si="4"/>
        <v>0</v>
      </c>
      <c r="B37" s="40" t="str">
        <f t="shared" si="0"/>
        <v/>
      </c>
      <c r="C37" s="41"/>
      <c r="D37" s="41"/>
      <c r="E37" s="41"/>
      <c r="F37" s="41"/>
      <c r="G37" s="173"/>
      <c r="H37" s="188">
        <v>32</v>
      </c>
      <c r="I37" s="189" t="str">
        <f t="shared" si="1"/>
        <v/>
      </c>
      <c r="J37" s="188" t="e">
        <f t="shared" si="5"/>
        <v>#NUM!</v>
      </c>
      <c r="K37" s="188" t="e">
        <f t="shared" si="2"/>
        <v>#NUM!</v>
      </c>
      <c r="L37" s="188"/>
      <c r="M37" s="190">
        <f t="shared" si="3"/>
        <v>0</v>
      </c>
    </row>
    <row r="38" spans="1:19" x14ac:dyDescent="0.25">
      <c r="A38" s="94">
        <f t="shared" si="4"/>
        <v>0</v>
      </c>
      <c r="B38" s="34" t="str">
        <f t="shared" si="0"/>
        <v/>
      </c>
      <c r="C38" s="35"/>
      <c r="D38" s="35"/>
      <c r="E38" s="35"/>
      <c r="F38" s="35"/>
      <c r="G38" s="173"/>
      <c r="H38" s="185">
        <v>33</v>
      </c>
      <c r="I38" s="186" t="str">
        <f t="shared" si="1"/>
        <v/>
      </c>
      <c r="J38" s="185" t="e">
        <f t="shared" si="5"/>
        <v>#NUM!</v>
      </c>
      <c r="K38" s="185" t="e">
        <f t="shared" si="2"/>
        <v>#NUM!</v>
      </c>
      <c r="L38" s="185"/>
      <c r="M38" s="187">
        <f t="shared" si="3"/>
        <v>0</v>
      </c>
    </row>
    <row r="39" spans="1:19" x14ac:dyDescent="0.25">
      <c r="A39" s="98">
        <f t="shared" si="4"/>
        <v>0</v>
      </c>
      <c r="B39" s="40" t="str">
        <f t="shared" si="0"/>
        <v/>
      </c>
      <c r="C39" s="41"/>
      <c r="D39" s="41"/>
      <c r="E39" s="41"/>
      <c r="F39" s="41"/>
      <c r="G39" s="173"/>
      <c r="H39" s="188">
        <v>34</v>
      </c>
      <c r="I39" s="189" t="str">
        <f t="shared" si="1"/>
        <v/>
      </c>
      <c r="J39" s="188" t="e">
        <f t="shared" si="5"/>
        <v>#NUM!</v>
      </c>
      <c r="K39" s="188" t="e">
        <f t="shared" si="2"/>
        <v>#NUM!</v>
      </c>
      <c r="L39" s="188"/>
      <c r="M39" s="190">
        <f t="shared" si="3"/>
        <v>0</v>
      </c>
    </row>
    <row r="40" spans="1:19" x14ac:dyDescent="0.25">
      <c r="A40" s="94">
        <f t="shared" si="4"/>
        <v>0</v>
      </c>
      <c r="B40" s="34" t="str">
        <f t="shared" si="0"/>
        <v/>
      </c>
      <c r="C40" s="35"/>
      <c r="D40" s="35"/>
      <c r="E40" s="35"/>
      <c r="F40" s="35"/>
      <c r="G40" s="173"/>
      <c r="H40" s="185">
        <v>35</v>
      </c>
      <c r="I40" s="186" t="str">
        <f t="shared" si="1"/>
        <v/>
      </c>
      <c r="J40" s="185" t="e">
        <f t="shared" si="5"/>
        <v>#NUM!</v>
      </c>
      <c r="K40" s="185" t="e">
        <f t="shared" si="2"/>
        <v>#NUM!</v>
      </c>
      <c r="L40" s="185"/>
      <c r="M40" s="187">
        <f t="shared" si="3"/>
        <v>0</v>
      </c>
    </row>
    <row r="41" spans="1:19" x14ac:dyDescent="0.25">
      <c r="A41" s="98">
        <f t="shared" si="4"/>
        <v>0</v>
      </c>
      <c r="B41" s="40" t="str">
        <f t="shared" si="0"/>
        <v/>
      </c>
      <c r="C41" s="41"/>
      <c r="D41" s="41"/>
      <c r="E41" s="41"/>
      <c r="F41" s="41"/>
      <c r="G41" s="173"/>
      <c r="H41" s="188">
        <v>36</v>
      </c>
      <c r="I41" s="189" t="str">
        <f t="shared" si="1"/>
        <v/>
      </c>
      <c r="J41" s="188" t="e">
        <f t="shared" si="5"/>
        <v>#NUM!</v>
      </c>
      <c r="K41" s="188" t="e">
        <f t="shared" si="2"/>
        <v>#NUM!</v>
      </c>
      <c r="L41" s="188"/>
      <c r="M41" s="190">
        <f t="shared" si="3"/>
        <v>0</v>
      </c>
      <c r="S41" s="200"/>
    </row>
    <row r="42" spans="1:19" x14ac:dyDescent="0.25">
      <c r="A42" s="94">
        <f t="shared" si="4"/>
        <v>0</v>
      </c>
      <c r="B42" s="34" t="str">
        <f t="shared" si="0"/>
        <v/>
      </c>
      <c r="C42" s="35"/>
      <c r="D42" s="35"/>
      <c r="E42" s="35"/>
      <c r="F42" s="35"/>
      <c r="G42" s="173"/>
      <c r="H42" s="185">
        <v>37</v>
      </c>
      <c r="I42" s="186" t="str">
        <f t="shared" si="1"/>
        <v/>
      </c>
      <c r="J42" s="185" t="e">
        <f t="shared" si="5"/>
        <v>#NUM!</v>
      </c>
      <c r="K42" s="185" t="e">
        <f t="shared" si="2"/>
        <v>#NUM!</v>
      </c>
      <c r="L42" s="185"/>
      <c r="M42" s="187">
        <f t="shared" si="3"/>
        <v>0</v>
      </c>
    </row>
    <row r="43" spans="1:19" x14ac:dyDescent="0.25">
      <c r="A43" s="98">
        <f t="shared" si="4"/>
        <v>0</v>
      </c>
      <c r="B43" s="40" t="str">
        <f t="shared" si="0"/>
        <v/>
      </c>
      <c r="C43" s="41"/>
      <c r="D43" s="41"/>
      <c r="E43" s="41"/>
      <c r="F43" s="41"/>
      <c r="G43" s="173"/>
      <c r="H43" s="188">
        <v>38</v>
      </c>
      <c r="I43" s="189" t="str">
        <f t="shared" si="1"/>
        <v/>
      </c>
      <c r="J43" s="188" t="e">
        <f t="shared" si="5"/>
        <v>#NUM!</v>
      </c>
      <c r="K43" s="188" t="e">
        <f t="shared" si="2"/>
        <v>#NUM!</v>
      </c>
      <c r="L43" s="188"/>
      <c r="M43" s="190">
        <f t="shared" si="3"/>
        <v>0</v>
      </c>
    </row>
    <row r="44" spans="1:19" x14ac:dyDescent="0.25">
      <c r="A44" s="94">
        <f t="shared" si="4"/>
        <v>0</v>
      </c>
      <c r="B44" s="34" t="str">
        <f t="shared" si="0"/>
        <v/>
      </c>
      <c r="C44" s="35"/>
      <c r="D44" s="35"/>
      <c r="E44" s="35"/>
      <c r="F44" s="35"/>
      <c r="G44" s="173"/>
      <c r="H44" s="185">
        <v>39</v>
      </c>
      <c r="I44" s="186" t="str">
        <f t="shared" si="1"/>
        <v/>
      </c>
      <c r="J44" s="185" t="e">
        <f t="shared" si="5"/>
        <v>#NUM!</v>
      </c>
      <c r="K44" s="185" t="e">
        <f t="shared" si="2"/>
        <v>#NUM!</v>
      </c>
      <c r="L44" s="185"/>
      <c r="M44" s="187">
        <f t="shared" si="3"/>
        <v>0</v>
      </c>
    </row>
    <row r="45" spans="1:19" x14ac:dyDescent="0.25">
      <c r="A45" s="98">
        <f t="shared" si="4"/>
        <v>0</v>
      </c>
      <c r="B45" s="40" t="str">
        <f t="shared" si="0"/>
        <v/>
      </c>
      <c r="C45" s="41"/>
      <c r="D45" s="41"/>
      <c r="E45" s="41"/>
      <c r="F45" s="41"/>
      <c r="G45" s="173"/>
      <c r="H45" s="188">
        <v>40</v>
      </c>
      <c r="I45" s="189" t="str">
        <f t="shared" si="1"/>
        <v/>
      </c>
      <c r="J45" s="188" t="e">
        <f t="shared" si="5"/>
        <v>#NUM!</v>
      </c>
      <c r="K45" s="188" t="e">
        <f t="shared" si="2"/>
        <v>#NUM!</v>
      </c>
      <c r="L45" s="188"/>
      <c r="M45" s="190">
        <f t="shared" si="3"/>
        <v>0</v>
      </c>
    </row>
    <row r="46" spans="1:19" x14ac:dyDescent="0.25">
      <c r="A46" s="94">
        <f t="shared" si="4"/>
        <v>0</v>
      </c>
      <c r="B46" s="34" t="str">
        <f t="shared" si="0"/>
        <v/>
      </c>
      <c r="C46" s="35"/>
      <c r="D46" s="35"/>
      <c r="E46" s="35"/>
      <c r="F46" s="35"/>
      <c r="G46" s="173"/>
      <c r="H46" s="185">
        <v>41</v>
      </c>
      <c r="I46" s="186" t="str">
        <f t="shared" si="1"/>
        <v/>
      </c>
      <c r="J46" s="185" t="e">
        <f t="shared" si="5"/>
        <v>#NUM!</v>
      </c>
      <c r="K46" s="185" t="e">
        <f t="shared" si="2"/>
        <v>#NUM!</v>
      </c>
      <c r="L46" s="185"/>
      <c r="M46" s="187">
        <f t="shared" si="3"/>
        <v>0</v>
      </c>
    </row>
    <row r="47" spans="1:19" x14ac:dyDescent="0.25">
      <c r="A47" s="98">
        <f t="shared" si="4"/>
        <v>0</v>
      </c>
      <c r="B47" s="40" t="str">
        <f t="shared" si="0"/>
        <v/>
      </c>
      <c r="C47" s="41"/>
      <c r="D47" s="41"/>
      <c r="E47" s="41"/>
      <c r="F47" s="41"/>
      <c r="G47" s="173"/>
      <c r="H47" s="188">
        <v>42</v>
      </c>
      <c r="I47" s="189" t="str">
        <f t="shared" si="1"/>
        <v/>
      </c>
      <c r="J47" s="188" t="e">
        <f t="shared" si="5"/>
        <v>#NUM!</v>
      </c>
      <c r="K47" s="188" t="e">
        <f t="shared" si="2"/>
        <v>#NUM!</v>
      </c>
      <c r="L47" s="188"/>
      <c r="M47" s="190">
        <f t="shared" si="3"/>
        <v>0</v>
      </c>
    </row>
    <row r="48" spans="1:19" x14ac:dyDescent="0.25">
      <c r="A48" s="94">
        <f t="shared" si="4"/>
        <v>0</v>
      </c>
      <c r="B48" s="34" t="str">
        <f t="shared" si="0"/>
        <v/>
      </c>
      <c r="C48" s="35"/>
      <c r="D48" s="35"/>
      <c r="E48" s="35"/>
      <c r="F48" s="35"/>
      <c r="G48" s="173"/>
      <c r="H48" s="185">
        <v>43</v>
      </c>
      <c r="I48" s="186" t="str">
        <f t="shared" si="1"/>
        <v/>
      </c>
      <c r="J48" s="185" t="e">
        <f t="shared" si="5"/>
        <v>#NUM!</v>
      </c>
      <c r="K48" s="185" t="e">
        <f t="shared" si="2"/>
        <v>#NUM!</v>
      </c>
      <c r="L48" s="185"/>
      <c r="M48" s="187">
        <f t="shared" si="3"/>
        <v>0</v>
      </c>
    </row>
    <row r="49" spans="1:38" x14ac:dyDescent="0.25">
      <c r="A49" s="98">
        <f t="shared" si="4"/>
        <v>0</v>
      </c>
      <c r="B49" s="40" t="str">
        <f t="shared" si="0"/>
        <v/>
      </c>
      <c r="C49" s="41"/>
      <c r="D49" s="41"/>
      <c r="E49" s="41"/>
      <c r="F49" s="41"/>
      <c r="G49" s="173"/>
      <c r="H49" s="188">
        <v>44</v>
      </c>
      <c r="I49" s="189" t="str">
        <f t="shared" si="1"/>
        <v/>
      </c>
      <c r="J49" s="188" t="e">
        <f t="shared" si="5"/>
        <v>#NUM!</v>
      </c>
      <c r="K49" s="188" t="e">
        <f t="shared" si="2"/>
        <v>#NUM!</v>
      </c>
      <c r="L49" s="188"/>
      <c r="M49" s="190">
        <f t="shared" si="3"/>
        <v>0</v>
      </c>
    </row>
    <row r="50" spans="1:38" x14ac:dyDescent="0.25">
      <c r="A50" s="94">
        <f t="shared" si="4"/>
        <v>0</v>
      </c>
      <c r="B50" s="34" t="str">
        <f t="shared" si="0"/>
        <v/>
      </c>
      <c r="C50" s="35"/>
      <c r="D50" s="35"/>
      <c r="E50" s="35"/>
      <c r="F50" s="35"/>
      <c r="G50" s="173"/>
      <c r="H50" s="185">
        <v>45</v>
      </c>
      <c r="I50" s="186" t="str">
        <f t="shared" si="1"/>
        <v/>
      </c>
      <c r="J50" s="185" t="e">
        <f t="shared" si="5"/>
        <v>#NUM!</v>
      </c>
      <c r="K50" s="185" t="e">
        <f t="shared" si="2"/>
        <v>#NUM!</v>
      </c>
      <c r="L50" s="185"/>
      <c r="M50" s="187">
        <f t="shared" si="3"/>
        <v>0</v>
      </c>
    </row>
    <row r="51" spans="1:38" x14ac:dyDescent="0.25">
      <c r="A51" s="98">
        <f t="shared" si="4"/>
        <v>0</v>
      </c>
      <c r="B51" s="40" t="str">
        <f t="shared" si="0"/>
        <v/>
      </c>
      <c r="C51" s="41"/>
      <c r="D51" s="41"/>
      <c r="E51" s="41"/>
      <c r="F51" s="41"/>
      <c r="G51" s="173"/>
      <c r="H51" s="188">
        <v>46</v>
      </c>
      <c r="I51" s="189" t="str">
        <f t="shared" si="1"/>
        <v/>
      </c>
      <c r="J51" s="188" t="e">
        <f t="shared" si="5"/>
        <v>#NUM!</v>
      </c>
      <c r="K51" s="188" t="e">
        <f t="shared" si="2"/>
        <v>#NUM!</v>
      </c>
      <c r="L51" s="188"/>
      <c r="M51" s="190">
        <f t="shared" si="3"/>
        <v>0</v>
      </c>
    </row>
    <row r="52" spans="1:38" x14ac:dyDescent="0.25">
      <c r="A52" s="94">
        <f t="shared" si="4"/>
        <v>0</v>
      </c>
      <c r="B52" s="34" t="str">
        <f t="shared" si="0"/>
        <v/>
      </c>
      <c r="C52" s="35"/>
      <c r="D52" s="35"/>
      <c r="E52" s="35"/>
      <c r="F52" s="35"/>
      <c r="G52" s="173"/>
      <c r="H52" s="185">
        <v>47</v>
      </c>
      <c r="I52" s="186" t="str">
        <f t="shared" si="1"/>
        <v/>
      </c>
      <c r="J52" s="185" t="e">
        <f t="shared" si="5"/>
        <v>#NUM!</v>
      </c>
      <c r="K52" s="185" t="e">
        <f t="shared" si="2"/>
        <v>#NUM!</v>
      </c>
      <c r="L52" s="185"/>
      <c r="M52" s="187">
        <f t="shared" si="3"/>
        <v>0</v>
      </c>
    </row>
    <row r="53" spans="1:38" x14ac:dyDescent="0.25">
      <c r="A53" s="98">
        <f t="shared" si="4"/>
        <v>0</v>
      </c>
      <c r="B53" s="40" t="str">
        <f t="shared" si="0"/>
        <v/>
      </c>
      <c r="C53" s="41"/>
      <c r="D53" s="41"/>
      <c r="E53" s="41"/>
      <c r="F53" s="41"/>
      <c r="G53" s="173"/>
      <c r="H53" s="188">
        <v>48</v>
      </c>
      <c r="I53" s="189" t="str">
        <f t="shared" si="1"/>
        <v/>
      </c>
      <c r="J53" s="188" t="e">
        <f t="shared" si="5"/>
        <v>#NUM!</v>
      </c>
      <c r="K53" s="188" t="e">
        <f t="shared" si="2"/>
        <v>#NUM!</v>
      </c>
      <c r="L53" s="188"/>
      <c r="M53" s="190">
        <f t="shared" si="3"/>
        <v>0</v>
      </c>
    </row>
    <row r="54" spans="1:38" x14ac:dyDescent="0.25">
      <c r="A54" s="94">
        <f t="shared" si="4"/>
        <v>0</v>
      </c>
      <c r="B54" s="34" t="str">
        <f t="shared" si="0"/>
        <v/>
      </c>
      <c r="C54" s="35"/>
      <c r="D54" s="35"/>
      <c r="E54" s="35"/>
      <c r="F54" s="35"/>
      <c r="G54" s="173"/>
      <c r="H54" s="185">
        <v>49</v>
      </c>
      <c r="I54" s="186" t="str">
        <f t="shared" si="1"/>
        <v/>
      </c>
      <c r="J54" s="185" t="e">
        <f t="shared" si="5"/>
        <v>#NUM!</v>
      </c>
      <c r="K54" s="185" t="e">
        <f t="shared" si="2"/>
        <v>#NUM!</v>
      </c>
      <c r="L54" s="185"/>
      <c r="M54" s="187">
        <f t="shared" si="3"/>
        <v>0</v>
      </c>
    </row>
    <row r="55" spans="1:38" x14ac:dyDescent="0.25">
      <c r="A55" s="98">
        <f t="shared" si="4"/>
        <v>0</v>
      </c>
      <c r="B55" s="40" t="str">
        <f t="shared" si="0"/>
        <v/>
      </c>
      <c r="C55" s="41"/>
      <c r="D55" s="41"/>
      <c r="E55" s="41"/>
      <c r="F55" s="41"/>
      <c r="G55" s="173"/>
      <c r="H55" s="188">
        <v>50</v>
      </c>
      <c r="I55" s="189" t="str">
        <f t="shared" si="1"/>
        <v/>
      </c>
      <c r="J55" s="188" t="e">
        <f t="shared" si="5"/>
        <v>#NUM!</v>
      </c>
      <c r="K55" s="188" t="e">
        <f t="shared" si="2"/>
        <v>#NUM!</v>
      </c>
      <c r="L55" s="188"/>
      <c r="M55" s="190">
        <f t="shared" si="3"/>
        <v>0</v>
      </c>
    </row>
    <row r="56" spans="1:38" x14ac:dyDescent="0.25">
      <c r="A56" s="94">
        <f t="shared" si="4"/>
        <v>0</v>
      </c>
      <c r="B56" s="34" t="str">
        <f t="shared" si="0"/>
        <v/>
      </c>
      <c r="C56" s="35"/>
      <c r="D56" s="35"/>
      <c r="E56" s="35"/>
      <c r="F56" s="35"/>
      <c r="G56" s="173"/>
      <c r="H56" s="185">
        <v>51</v>
      </c>
      <c r="I56" s="186" t="str">
        <f t="shared" si="1"/>
        <v/>
      </c>
      <c r="J56" s="185" t="e">
        <f t="shared" si="5"/>
        <v>#NUM!</v>
      </c>
      <c r="K56" s="185" t="e">
        <f t="shared" si="2"/>
        <v>#NUM!</v>
      </c>
      <c r="L56" s="185"/>
      <c r="M56" s="187">
        <f t="shared" si="3"/>
        <v>0</v>
      </c>
    </row>
    <row r="57" spans="1:38" s="173" customFormat="1" x14ac:dyDescent="0.25">
      <c r="A57" s="98">
        <f t="shared" si="4"/>
        <v>0</v>
      </c>
      <c r="B57" s="40" t="str">
        <f t="shared" si="0"/>
        <v/>
      </c>
      <c r="C57" s="41"/>
      <c r="D57" s="41"/>
      <c r="E57" s="41"/>
      <c r="F57" s="41"/>
      <c r="H57" s="188">
        <v>52</v>
      </c>
      <c r="I57" s="189" t="str">
        <f t="shared" si="1"/>
        <v/>
      </c>
      <c r="J57" s="188" t="e">
        <f t="shared" si="5"/>
        <v>#NUM!</v>
      </c>
      <c r="K57" s="188" t="e">
        <f t="shared" si="2"/>
        <v>#NUM!</v>
      </c>
      <c r="L57" s="188"/>
      <c r="M57" s="190">
        <f t="shared" si="3"/>
        <v>0</v>
      </c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</row>
    <row r="58" spans="1:38" s="173" customFormat="1" x14ac:dyDescent="0.25">
      <c r="A58" s="94">
        <f t="shared" si="4"/>
        <v>0</v>
      </c>
      <c r="B58" s="34" t="str">
        <f t="shared" si="0"/>
        <v/>
      </c>
      <c r="C58" s="35"/>
      <c r="D58" s="35"/>
      <c r="E58" s="35"/>
      <c r="F58" s="35"/>
      <c r="H58" s="185">
        <v>53</v>
      </c>
      <c r="I58" s="186" t="str">
        <f t="shared" si="1"/>
        <v/>
      </c>
      <c r="J58" s="185" t="e">
        <f t="shared" si="5"/>
        <v>#NUM!</v>
      </c>
      <c r="K58" s="185" t="e">
        <f t="shared" si="2"/>
        <v>#NUM!</v>
      </c>
      <c r="L58" s="185"/>
      <c r="M58" s="187">
        <f t="shared" si="3"/>
        <v>0</v>
      </c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</row>
    <row r="59" spans="1:38" s="173" customFormat="1" x14ac:dyDescent="0.25">
      <c r="A59" s="98">
        <f t="shared" si="4"/>
        <v>0</v>
      </c>
      <c r="B59" s="40" t="str">
        <f t="shared" si="0"/>
        <v/>
      </c>
      <c r="C59" s="41"/>
      <c r="D59" s="41"/>
      <c r="E59" s="41"/>
      <c r="F59" s="41"/>
      <c r="H59" s="188">
        <v>54</v>
      </c>
      <c r="I59" s="189" t="str">
        <f t="shared" si="1"/>
        <v/>
      </c>
      <c r="J59" s="188" t="e">
        <f t="shared" si="5"/>
        <v>#NUM!</v>
      </c>
      <c r="K59" s="188" t="e">
        <f t="shared" si="2"/>
        <v>#NUM!</v>
      </c>
      <c r="L59" s="188"/>
      <c r="M59" s="190">
        <f t="shared" si="3"/>
        <v>0</v>
      </c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</row>
    <row r="60" spans="1:38" s="173" customFormat="1" x14ac:dyDescent="0.25">
      <c r="A60" s="94">
        <f t="shared" si="4"/>
        <v>0</v>
      </c>
      <c r="B60" s="34" t="str">
        <f t="shared" si="0"/>
        <v/>
      </c>
      <c r="C60" s="35"/>
      <c r="D60" s="35"/>
      <c r="E60" s="35"/>
      <c r="F60" s="35"/>
      <c r="H60" s="185">
        <v>55</v>
      </c>
      <c r="I60" s="186" t="str">
        <f t="shared" si="1"/>
        <v/>
      </c>
      <c r="J60" s="185" t="e">
        <f t="shared" si="5"/>
        <v>#NUM!</v>
      </c>
      <c r="K60" s="185" t="e">
        <f t="shared" si="2"/>
        <v>#NUM!</v>
      </c>
      <c r="L60" s="185"/>
      <c r="M60" s="187">
        <f t="shared" si="3"/>
        <v>0</v>
      </c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</row>
    <row r="61" spans="1:38" s="173" customFormat="1" x14ac:dyDescent="0.25">
      <c r="A61" s="98">
        <f t="shared" si="4"/>
        <v>0</v>
      </c>
      <c r="B61" s="40" t="str">
        <f t="shared" si="0"/>
        <v/>
      </c>
      <c r="C61" s="41"/>
      <c r="D61" s="41"/>
      <c r="E61" s="41"/>
      <c r="F61" s="41"/>
      <c r="H61" s="188">
        <v>56</v>
      </c>
      <c r="I61" s="189" t="str">
        <f t="shared" si="1"/>
        <v/>
      </c>
      <c r="J61" s="188" t="e">
        <f t="shared" si="5"/>
        <v>#NUM!</v>
      </c>
      <c r="K61" s="188" t="e">
        <f t="shared" si="2"/>
        <v>#NUM!</v>
      </c>
      <c r="L61" s="188"/>
      <c r="M61" s="190">
        <f t="shared" si="3"/>
        <v>0</v>
      </c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</row>
    <row r="62" spans="1:38" s="173" customFormat="1" x14ac:dyDescent="0.25">
      <c r="A62" s="94">
        <f t="shared" si="4"/>
        <v>0</v>
      </c>
      <c r="B62" s="34" t="str">
        <f t="shared" si="0"/>
        <v/>
      </c>
      <c r="C62" s="35"/>
      <c r="D62" s="35"/>
      <c r="E62" s="35"/>
      <c r="F62" s="35"/>
      <c r="H62" s="185">
        <v>57</v>
      </c>
      <c r="I62" s="186" t="str">
        <f t="shared" si="1"/>
        <v/>
      </c>
      <c r="J62" s="185" t="e">
        <f t="shared" si="5"/>
        <v>#NUM!</v>
      </c>
      <c r="K62" s="185" t="e">
        <f t="shared" si="2"/>
        <v>#NUM!</v>
      </c>
      <c r="L62" s="185"/>
      <c r="M62" s="187">
        <f t="shared" si="3"/>
        <v>0</v>
      </c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</row>
    <row r="63" spans="1:38" s="173" customFormat="1" x14ac:dyDescent="0.25">
      <c r="A63" s="98">
        <f t="shared" si="4"/>
        <v>0</v>
      </c>
      <c r="B63" s="40" t="str">
        <f t="shared" si="0"/>
        <v/>
      </c>
      <c r="C63" s="41"/>
      <c r="D63" s="41"/>
      <c r="E63" s="41"/>
      <c r="F63" s="41"/>
      <c r="H63" s="188">
        <v>58</v>
      </c>
      <c r="I63" s="189" t="str">
        <f t="shared" si="1"/>
        <v/>
      </c>
      <c r="J63" s="188" t="e">
        <f t="shared" si="5"/>
        <v>#NUM!</v>
      </c>
      <c r="K63" s="188" t="e">
        <f t="shared" si="2"/>
        <v>#NUM!</v>
      </c>
      <c r="L63" s="188"/>
      <c r="M63" s="190">
        <f t="shared" si="3"/>
        <v>0</v>
      </c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</row>
    <row r="64" spans="1:38" s="173" customFormat="1" x14ac:dyDescent="0.25">
      <c r="A64" s="94">
        <f t="shared" si="4"/>
        <v>0</v>
      </c>
      <c r="B64" s="34" t="str">
        <f t="shared" si="0"/>
        <v/>
      </c>
      <c r="C64" s="35"/>
      <c r="D64" s="35"/>
      <c r="E64" s="35"/>
      <c r="F64" s="35"/>
      <c r="H64" s="185">
        <v>59</v>
      </c>
      <c r="I64" s="186" t="str">
        <f t="shared" si="1"/>
        <v/>
      </c>
      <c r="J64" s="185" t="e">
        <f t="shared" si="5"/>
        <v>#NUM!</v>
      </c>
      <c r="K64" s="185" t="e">
        <f t="shared" si="2"/>
        <v>#NUM!</v>
      </c>
      <c r="L64" s="185"/>
      <c r="M64" s="187">
        <f t="shared" si="3"/>
        <v>0</v>
      </c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</row>
    <row r="65" spans="1:38" s="173" customFormat="1" x14ac:dyDescent="0.25">
      <c r="A65" s="98">
        <f t="shared" si="4"/>
        <v>0</v>
      </c>
      <c r="B65" s="40" t="str">
        <f t="shared" si="0"/>
        <v/>
      </c>
      <c r="C65" s="41"/>
      <c r="D65" s="41"/>
      <c r="E65" s="41"/>
      <c r="F65" s="41"/>
      <c r="H65" s="188">
        <v>60</v>
      </c>
      <c r="I65" s="189" t="str">
        <f t="shared" si="1"/>
        <v/>
      </c>
      <c r="J65" s="188" t="e">
        <f t="shared" si="5"/>
        <v>#NUM!</v>
      </c>
      <c r="K65" s="188" t="e">
        <f t="shared" si="2"/>
        <v>#NUM!</v>
      </c>
      <c r="L65" s="188"/>
      <c r="M65" s="190">
        <f t="shared" si="3"/>
        <v>0</v>
      </c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</row>
    <row r="66" spans="1:38" s="173" customFormat="1" x14ac:dyDescent="0.25">
      <c r="A66" s="94">
        <f t="shared" si="4"/>
        <v>0</v>
      </c>
      <c r="B66" s="34" t="str">
        <f t="shared" si="0"/>
        <v/>
      </c>
      <c r="C66" s="35"/>
      <c r="D66" s="35"/>
      <c r="E66" s="35"/>
      <c r="F66" s="35"/>
      <c r="H66" s="185">
        <v>61</v>
      </c>
      <c r="I66" s="186" t="str">
        <f t="shared" si="1"/>
        <v/>
      </c>
      <c r="J66" s="185" t="e">
        <f t="shared" si="5"/>
        <v>#NUM!</v>
      </c>
      <c r="K66" s="185" t="e">
        <f t="shared" si="2"/>
        <v>#NUM!</v>
      </c>
      <c r="L66" s="185"/>
      <c r="M66" s="187">
        <f t="shared" si="3"/>
        <v>0</v>
      </c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</row>
    <row r="67" spans="1:38" s="173" customFormat="1" x14ac:dyDescent="0.25">
      <c r="A67" s="98">
        <f t="shared" si="4"/>
        <v>0</v>
      </c>
      <c r="B67" s="40" t="str">
        <f t="shared" si="0"/>
        <v/>
      </c>
      <c r="C67" s="41"/>
      <c r="D67" s="41"/>
      <c r="E67" s="41"/>
      <c r="F67" s="41"/>
      <c r="H67" s="188">
        <v>62</v>
      </c>
      <c r="I67" s="189" t="str">
        <f t="shared" si="1"/>
        <v/>
      </c>
      <c r="J67" s="188" t="e">
        <f t="shared" si="5"/>
        <v>#NUM!</v>
      </c>
      <c r="K67" s="188" t="e">
        <f t="shared" si="2"/>
        <v>#NUM!</v>
      </c>
      <c r="L67" s="188"/>
      <c r="M67" s="190">
        <f t="shared" si="3"/>
        <v>0</v>
      </c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</row>
    <row r="68" spans="1:38" s="173" customFormat="1" x14ac:dyDescent="0.25">
      <c r="A68" s="94">
        <f t="shared" si="4"/>
        <v>0</v>
      </c>
      <c r="B68" s="34" t="str">
        <f t="shared" si="0"/>
        <v/>
      </c>
      <c r="C68" s="35"/>
      <c r="D68" s="35"/>
      <c r="E68" s="35"/>
      <c r="F68" s="35"/>
      <c r="H68" s="185">
        <v>63</v>
      </c>
      <c r="I68" s="186" t="str">
        <f t="shared" si="1"/>
        <v/>
      </c>
      <c r="J68" s="185" t="e">
        <f t="shared" si="5"/>
        <v>#NUM!</v>
      </c>
      <c r="K68" s="185" t="e">
        <f t="shared" si="2"/>
        <v>#NUM!</v>
      </c>
      <c r="L68" s="185"/>
      <c r="M68" s="187">
        <f t="shared" si="3"/>
        <v>0</v>
      </c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</row>
    <row r="69" spans="1:38" s="173" customFormat="1" x14ac:dyDescent="0.25">
      <c r="A69" s="98">
        <f t="shared" si="4"/>
        <v>0</v>
      </c>
      <c r="B69" s="40" t="str">
        <f t="shared" si="0"/>
        <v/>
      </c>
      <c r="C69" s="41"/>
      <c r="D69" s="41"/>
      <c r="E69" s="41"/>
      <c r="F69" s="41"/>
      <c r="H69" s="188">
        <v>64</v>
      </c>
      <c r="I69" s="189" t="str">
        <f t="shared" si="1"/>
        <v/>
      </c>
      <c r="J69" s="188" t="e">
        <f t="shared" si="5"/>
        <v>#NUM!</v>
      </c>
      <c r="K69" s="188" t="e">
        <f t="shared" si="2"/>
        <v>#NUM!</v>
      </c>
      <c r="L69" s="188"/>
      <c r="M69" s="190">
        <f t="shared" si="3"/>
        <v>0</v>
      </c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</row>
    <row r="70" spans="1:38" s="173" customFormat="1" x14ac:dyDescent="0.25">
      <c r="A70" s="94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185">
        <v>65</v>
      </c>
      <c r="I70" s="186" t="str">
        <f t="shared" ref="I70:I133" si="7">IF(H70&lt;$H$2+1,($I$2-($I$2-1)*(LOG(H70)/LOG($H$2))),"")</f>
        <v/>
      </c>
      <c r="J70" s="185" t="e">
        <f t="shared" si="5"/>
        <v>#NUM!</v>
      </c>
      <c r="K70" s="185" t="e">
        <f t="shared" ref="K70:K133" si="8">J70*$J$2</f>
        <v>#NUM!</v>
      </c>
      <c r="L70" s="185"/>
      <c r="M70" s="187">
        <f t="shared" ref="M70:M133" si="9">IF(I70&lt;&gt;"",K70+I70+L70,0)</f>
        <v>0</v>
      </c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</row>
    <row r="71" spans="1:38" s="173" customFormat="1" x14ac:dyDescent="0.25">
      <c r="A71" s="98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188">
        <v>66</v>
      </c>
      <c r="I71" s="189" t="str">
        <f t="shared" si="7"/>
        <v/>
      </c>
      <c r="J71" s="188" t="e">
        <f t="shared" ref="J71:J134" si="11">INT(LOG($H$2,2))-ROUNDUP(LOG(H71,2),0)+IF(OR($H$2=1,$H$2=2,$H$2=4,$H$2=8,$H$2=16,$H$2=32,$H$2=64,$H$2=128,$H$2=256),0,1)</f>
        <v>#NUM!</v>
      </c>
      <c r="K71" s="188" t="e">
        <f t="shared" si="8"/>
        <v>#NUM!</v>
      </c>
      <c r="L71" s="188"/>
      <c r="M71" s="190">
        <f t="shared" si="9"/>
        <v>0</v>
      </c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</row>
    <row r="72" spans="1:38" s="173" customFormat="1" x14ac:dyDescent="0.25">
      <c r="A72" s="94">
        <f t="shared" si="10"/>
        <v>0</v>
      </c>
      <c r="B72" s="34" t="str">
        <f t="shared" si="6"/>
        <v/>
      </c>
      <c r="C72" s="35"/>
      <c r="D72" s="35"/>
      <c r="E72" s="35"/>
      <c r="F72" s="35"/>
      <c r="H72" s="185">
        <v>67</v>
      </c>
      <c r="I72" s="186" t="str">
        <f t="shared" si="7"/>
        <v/>
      </c>
      <c r="J72" s="185" t="e">
        <f t="shared" si="11"/>
        <v>#NUM!</v>
      </c>
      <c r="K72" s="185" t="e">
        <f t="shared" si="8"/>
        <v>#NUM!</v>
      </c>
      <c r="L72" s="185"/>
      <c r="M72" s="187">
        <f t="shared" si="9"/>
        <v>0</v>
      </c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</row>
    <row r="73" spans="1:38" s="173" customFormat="1" x14ac:dyDescent="0.25">
      <c r="A73" s="98">
        <f t="shared" si="10"/>
        <v>0</v>
      </c>
      <c r="B73" s="40" t="str">
        <f t="shared" si="6"/>
        <v/>
      </c>
      <c r="C73" s="41"/>
      <c r="D73" s="41"/>
      <c r="E73" s="41"/>
      <c r="F73" s="41"/>
      <c r="H73" s="188">
        <v>68</v>
      </c>
      <c r="I73" s="189" t="str">
        <f t="shared" si="7"/>
        <v/>
      </c>
      <c r="J73" s="188" t="e">
        <f t="shared" si="11"/>
        <v>#NUM!</v>
      </c>
      <c r="K73" s="188" t="e">
        <f t="shared" si="8"/>
        <v>#NUM!</v>
      </c>
      <c r="L73" s="188"/>
      <c r="M73" s="190">
        <f t="shared" si="9"/>
        <v>0</v>
      </c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</row>
    <row r="74" spans="1:38" s="173" customFormat="1" x14ac:dyDescent="0.25">
      <c r="A74" s="94">
        <f t="shared" si="10"/>
        <v>0</v>
      </c>
      <c r="B74" s="34" t="str">
        <f t="shared" si="6"/>
        <v/>
      </c>
      <c r="C74" s="35"/>
      <c r="D74" s="35"/>
      <c r="E74" s="35"/>
      <c r="F74" s="35"/>
      <c r="H74" s="185">
        <v>69</v>
      </c>
      <c r="I74" s="186" t="str">
        <f t="shared" si="7"/>
        <v/>
      </c>
      <c r="J74" s="185" t="e">
        <f t="shared" si="11"/>
        <v>#NUM!</v>
      </c>
      <c r="K74" s="185" t="e">
        <f t="shared" si="8"/>
        <v>#NUM!</v>
      </c>
      <c r="L74" s="185"/>
      <c r="M74" s="187">
        <f t="shared" si="9"/>
        <v>0</v>
      </c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</row>
    <row r="75" spans="1:38" s="173" customFormat="1" x14ac:dyDescent="0.25">
      <c r="A75" s="98">
        <f t="shared" si="10"/>
        <v>0</v>
      </c>
      <c r="B75" s="40" t="str">
        <f t="shared" si="6"/>
        <v/>
      </c>
      <c r="C75" s="41"/>
      <c r="D75" s="41"/>
      <c r="E75" s="41"/>
      <c r="F75" s="41"/>
      <c r="H75" s="188">
        <v>70</v>
      </c>
      <c r="I75" s="189" t="str">
        <f t="shared" si="7"/>
        <v/>
      </c>
      <c r="J75" s="188" t="e">
        <f t="shared" si="11"/>
        <v>#NUM!</v>
      </c>
      <c r="K75" s="188" t="e">
        <f t="shared" si="8"/>
        <v>#NUM!</v>
      </c>
      <c r="L75" s="188"/>
      <c r="M75" s="190">
        <f t="shared" si="9"/>
        <v>0</v>
      </c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</row>
    <row r="76" spans="1:38" s="173" customFormat="1" x14ac:dyDescent="0.25">
      <c r="A76" s="94">
        <f t="shared" si="10"/>
        <v>0</v>
      </c>
      <c r="B76" s="34" t="str">
        <f t="shared" si="6"/>
        <v/>
      </c>
      <c r="C76" s="35"/>
      <c r="D76" s="35"/>
      <c r="E76" s="35"/>
      <c r="F76" s="35"/>
      <c r="H76" s="185">
        <v>71</v>
      </c>
      <c r="I76" s="186" t="str">
        <f t="shared" si="7"/>
        <v/>
      </c>
      <c r="J76" s="185" t="e">
        <f t="shared" si="11"/>
        <v>#NUM!</v>
      </c>
      <c r="K76" s="185" t="e">
        <f t="shared" si="8"/>
        <v>#NUM!</v>
      </c>
      <c r="L76" s="185"/>
      <c r="M76" s="187">
        <f t="shared" si="9"/>
        <v>0</v>
      </c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</row>
    <row r="77" spans="1:38" s="173" customFormat="1" x14ac:dyDescent="0.25">
      <c r="A77" s="98">
        <f t="shared" si="10"/>
        <v>0</v>
      </c>
      <c r="B77" s="40" t="str">
        <f t="shared" si="6"/>
        <v/>
      </c>
      <c r="C77" s="41"/>
      <c r="D77" s="41"/>
      <c r="E77" s="41"/>
      <c r="F77" s="41"/>
      <c r="H77" s="188">
        <v>72</v>
      </c>
      <c r="I77" s="189" t="str">
        <f t="shared" si="7"/>
        <v/>
      </c>
      <c r="J77" s="188" t="e">
        <f t="shared" si="11"/>
        <v>#NUM!</v>
      </c>
      <c r="K77" s="188" t="e">
        <f t="shared" si="8"/>
        <v>#NUM!</v>
      </c>
      <c r="L77" s="188"/>
      <c r="M77" s="190">
        <f t="shared" si="9"/>
        <v>0</v>
      </c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</row>
    <row r="78" spans="1:38" s="173" customFormat="1" x14ac:dyDescent="0.25">
      <c r="A78" s="94">
        <f t="shared" si="10"/>
        <v>0</v>
      </c>
      <c r="B78" s="34" t="str">
        <f t="shared" si="6"/>
        <v/>
      </c>
      <c r="C78" s="35"/>
      <c r="D78" s="35"/>
      <c r="E78" s="35"/>
      <c r="F78" s="35"/>
      <c r="H78" s="185">
        <v>73</v>
      </c>
      <c r="I78" s="186" t="str">
        <f t="shared" si="7"/>
        <v/>
      </c>
      <c r="J78" s="185" t="e">
        <f t="shared" si="11"/>
        <v>#NUM!</v>
      </c>
      <c r="K78" s="185" t="e">
        <f t="shared" si="8"/>
        <v>#NUM!</v>
      </c>
      <c r="L78" s="185"/>
      <c r="M78" s="187">
        <f t="shared" si="9"/>
        <v>0</v>
      </c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</row>
    <row r="79" spans="1:38" s="173" customFormat="1" x14ac:dyDescent="0.25">
      <c r="A79" s="98">
        <f t="shared" si="10"/>
        <v>0</v>
      </c>
      <c r="B79" s="40" t="str">
        <f t="shared" si="6"/>
        <v/>
      </c>
      <c r="C79" s="41"/>
      <c r="D79" s="41"/>
      <c r="E79" s="41"/>
      <c r="F79" s="41"/>
      <c r="H79" s="188">
        <v>74</v>
      </c>
      <c r="I79" s="189" t="str">
        <f t="shared" si="7"/>
        <v/>
      </c>
      <c r="J79" s="188" t="e">
        <f t="shared" si="11"/>
        <v>#NUM!</v>
      </c>
      <c r="K79" s="188" t="e">
        <f t="shared" si="8"/>
        <v>#NUM!</v>
      </c>
      <c r="L79" s="188"/>
      <c r="M79" s="190">
        <f t="shared" si="9"/>
        <v>0</v>
      </c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</row>
    <row r="80" spans="1:38" s="173" customFormat="1" x14ac:dyDescent="0.25">
      <c r="A80" s="94">
        <f t="shared" si="10"/>
        <v>0</v>
      </c>
      <c r="B80" s="34" t="str">
        <f t="shared" si="6"/>
        <v/>
      </c>
      <c r="C80" s="35"/>
      <c r="D80" s="35"/>
      <c r="E80" s="35"/>
      <c r="F80" s="35"/>
      <c r="H80" s="185">
        <v>75</v>
      </c>
      <c r="I80" s="186" t="str">
        <f t="shared" si="7"/>
        <v/>
      </c>
      <c r="J80" s="185" t="e">
        <f t="shared" si="11"/>
        <v>#NUM!</v>
      </c>
      <c r="K80" s="185" t="e">
        <f t="shared" si="8"/>
        <v>#NUM!</v>
      </c>
      <c r="L80" s="185"/>
      <c r="M80" s="187">
        <f t="shared" si="9"/>
        <v>0</v>
      </c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</row>
    <row r="81" spans="1:38" s="173" customFormat="1" x14ac:dyDescent="0.25">
      <c r="A81" s="98">
        <f t="shared" si="10"/>
        <v>0</v>
      </c>
      <c r="B81" s="40" t="str">
        <f t="shared" si="6"/>
        <v/>
      </c>
      <c r="C81" s="41"/>
      <c r="D81" s="41"/>
      <c r="E81" s="41"/>
      <c r="F81" s="41"/>
      <c r="H81" s="188">
        <v>76</v>
      </c>
      <c r="I81" s="189" t="str">
        <f t="shared" si="7"/>
        <v/>
      </c>
      <c r="J81" s="188" t="e">
        <f t="shared" si="11"/>
        <v>#NUM!</v>
      </c>
      <c r="K81" s="188" t="e">
        <f t="shared" si="8"/>
        <v>#NUM!</v>
      </c>
      <c r="L81" s="188"/>
      <c r="M81" s="190">
        <f t="shared" si="9"/>
        <v>0</v>
      </c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</row>
    <row r="82" spans="1:38" s="173" customFormat="1" x14ac:dyDescent="0.25">
      <c r="A82" s="94">
        <f t="shared" si="10"/>
        <v>0</v>
      </c>
      <c r="B82" s="34" t="str">
        <f t="shared" si="6"/>
        <v/>
      </c>
      <c r="C82" s="35"/>
      <c r="D82" s="35"/>
      <c r="E82" s="35"/>
      <c r="F82" s="35"/>
      <c r="H82" s="185">
        <v>77</v>
      </c>
      <c r="I82" s="186" t="str">
        <f t="shared" si="7"/>
        <v/>
      </c>
      <c r="J82" s="185" t="e">
        <f t="shared" si="11"/>
        <v>#NUM!</v>
      </c>
      <c r="K82" s="185" t="e">
        <f t="shared" si="8"/>
        <v>#NUM!</v>
      </c>
      <c r="L82" s="185"/>
      <c r="M82" s="187">
        <f t="shared" si="9"/>
        <v>0</v>
      </c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</row>
    <row r="83" spans="1:38" s="173" customFormat="1" x14ac:dyDescent="0.25">
      <c r="A83" s="98">
        <f t="shared" si="10"/>
        <v>0</v>
      </c>
      <c r="B83" s="40" t="str">
        <f t="shared" si="6"/>
        <v/>
      </c>
      <c r="C83" s="41"/>
      <c r="D83" s="41"/>
      <c r="E83" s="41"/>
      <c r="F83" s="41"/>
      <c r="H83" s="188">
        <v>78</v>
      </c>
      <c r="I83" s="189" t="str">
        <f t="shared" si="7"/>
        <v/>
      </c>
      <c r="J83" s="188" t="e">
        <f t="shared" si="11"/>
        <v>#NUM!</v>
      </c>
      <c r="K83" s="188" t="e">
        <f t="shared" si="8"/>
        <v>#NUM!</v>
      </c>
      <c r="L83" s="188"/>
      <c r="M83" s="190">
        <f t="shared" si="9"/>
        <v>0</v>
      </c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</row>
    <row r="84" spans="1:38" s="173" customFormat="1" x14ac:dyDescent="0.25">
      <c r="A84" s="94">
        <f t="shared" si="10"/>
        <v>0</v>
      </c>
      <c r="B84" s="34" t="str">
        <f t="shared" si="6"/>
        <v/>
      </c>
      <c r="C84" s="35"/>
      <c r="D84" s="35"/>
      <c r="E84" s="35"/>
      <c r="F84" s="35"/>
      <c r="H84" s="185">
        <v>79</v>
      </c>
      <c r="I84" s="186" t="str">
        <f t="shared" si="7"/>
        <v/>
      </c>
      <c r="J84" s="185" t="e">
        <f t="shared" si="11"/>
        <v>#NUM!</v>
      </c>
      <c r="K84" s="185" t="e">
        <f t="shared" si="8"/>
        <v>#NUM!</v>
      </c>
      <c r="L84" s="185"/>
      <c r="M84" s="187">
        <f t="shared" si="9"/>
        <v>0</v>
      </c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</row>
    <row r="85" spans="1:38" s="173" customFormat="1" x14ac:dyDescent="0.25">
      <c r="A85" s="98">
        <f t="shared" si="10"/>
        <v>0</v>
      </c>
      <c r="B85" s="40" t="str">
        <f t="shared" si="6"/>
        <v/>
      </c>
      <c r="C85" s="41"/>
      <c r="D85" s="41"/>
      <c r="E85" s="41"/>
      <c r="F85" s="41"/>
      <c r="H85" s="188">
        <v>80</v>
      </c>
      <c r="I85" s="189" t="str">
        <f t="shared" si="7"/>
        <v/>
      </c>
      <c r="J85" s="188" t="e">
        <f t="shared" si="11"/>
        <v>#NUM!</v>
      </c>
      <c r="K85" s="188" t="e">
        <f t="shared" si="8"/>
        <v>#NUM!</v>
      </c>
      <c r="L85" s="188"/>
      <c r="M85" s="190">
        <f t="shared" si="9"/>
        <v>0</v>
      </c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</row>
    <row r="86" spans="1:38" s="173" customFormat="1" x14ac:dyDescent="0.25">
      <c r="A86" s="94">
        <f t="shared" si="10"/>
        <v>0</v>
      </c>
      <c r="B86" s="34" t="str">
        <f t="shared" si="6"/>
        <v/>
      </c>
      <c r="C86" s="35"/>
      <c r="D86" s="35"/>
      <c r="E86" s="35"/>
      <c r="F86" s="35"/>
      <c r="H86" s="185">
        <v>81</v>
      </c>
      <c r="I86" s="186" t="str">
        <f t="shared" si="7"/>
        <v/>
      </c>
      <c r="J86" s="185" t="e">
        <f t="shared" si="11"/>
        <v>#NUM!</v>
      </c>
      <c r="K86" s="185" t="e">
        <f t="shared" si="8"/>
        <v>#NUM!</v>
      </c>
      <c r="L86" s="185"/>
      <c r="M86" s="187">
        <f t="shared" si="9"/>
        <v>0</v>
      </c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</row>
    <row r="87" spans="1:38" s="173" customFormat="1" x14ac:dyDescent="0.25">
      <c r="A87" s="98">
        <f t="shared" si="10"/>
        <v>0</v>
      </c>
      <c r="B87" s="40" t="str">
        <f t="shared" si="6"/>
        <v/>
      </c>
      <c r="C87" s="41"/>
      <c r="D87" s="41"/>
      <c r="E87" s="41"/>
      <c r="F87" s="41"/>
      <c r="H87" s="188">
        <v>82</v>
      </c>
      <c r="I87" s="189" t="str">
        <f t="shared" si="7"/>
        <v/>
      </c>
      <c r="J87" s="188" t="e">
        <f t="shared" si="11"/>
        <v>#NUM!</v>
      </c>
      <c r="K87" s="188" t="e">
        <f t="shared" si="8"/>
        <v>#NUM!</v>
      </c>
      <c r="L87" s="188"/>
      <c r="M87" s="190">
        <f t="shared" si="9"/>
        <v>0</v>
      </c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</row>
    <row r="88" spans="1:38" s="173" customFormat="1" x14ac:dyDescent="0.25">
      <c r="A88" s="94">
        <f t="shared" si="10"/>
        <v>0</v>
      </c>
      <c r="B88" s="34" t="str">
        <f t="shared" si="6"/>
        <v/>
      </c>
      <c r="C88" s="35"/>
      <c r="D88" s="35"/>
      <c r="E88" s="35"/>
      <c r="F88" s="35"/>
      <c r="H88" s="185">
        <v>83</v>
      </c>
      <c r="I88" s="186" t="str">
        <f t="shared" si="7"/>
        <v/>
      </c>
      <c r="J88" s="185" t="e">
        <f t="shared" si="11"/>
        <v>#NUM!</v>
      </c>
      <c r="K88" s="185" t="e">
        <f t="shared" si="8"/>
        <v>#NUM!</v>
      </c>
      <c r="L88" s="185"/>
      <c r="M88" s="187">
        <f t="shared" si="9"/>
        <v>0</v>
      </c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</row>
    <row r="89" spans="1:38" s="173" customFormat="1" x14ac:dyDescent="0.25">
      <c r="A89" s="98">
        <f t="shared" si="10"/>
        <v>0</v>
      </c>
      <c r="B89" s="40" t="str">
        <f t="shared" si="6"/>
        <v/>
      </c>
      <c r="C89" s="41"/>
      <c r="D89" s="41"/>
      <c r="E89" s="41"/>
      <c r="F89" s="41"/>
      <c r="H89" s="188">
        <v>84</v>
      </c>
      <c r="I89" s="189" t="str">
        <f t="shared" si="7"/>
        <v/>
      </c>
      <c r="J89" s="188" t="e">
        <f t="shared" si="11"/>
        <v>#NUM!</v>
      </c>
      <c r="K89" s="188" t="e">
        <f t="shared" si="8"/>
        <v>#NUM!</v>
      </c>
      <c r="L89" s="188"/>
      <c r="M89" s="190">
        <f t="shared" si="9"/>
        <v>0</v>
      </c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</row>
    <row r="90" spans="1:38" s="173" customFormat="1" x14ac:dyDescent="0.25">
      <c r="A90" s="94">
        <f t="shared" si="10"/>
        <v>0</v>
      </c>
      <c r="B90" s="34" t="str">
        <f t="shared" si="6"/>
        <v/>
      </c>
      <c r="C90" s="35"/>
      <c r="D90" s="35"/>
      <c r="E90" s="35"/>
      <c r="F90" s="35"/>
      <c r="H90" s="185">
        <v>85</v>
      </c>
      <c r="I90" s="186" t="str">
        <f t="shared" si="7"/>
        <v/>
      </c>
      <c r="J90" s="185" t="e">
        <f t="shared" si="11"/>
        <v>#NUM!</v>
      </c>
      <c r="K90" s="185" t="e">
        <f t="shared" si="8"/>
        <v>#NUM!</v>
      </c>
      <c r="L90" s="185"/>
      <c r="M90" s="187">
        <f t="shared" si="9"/>
        <v>0</v>
      </c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</row>
    <row r="91" spans="1:38" s="173" customFormat="1" x14ac:dyDescent="0.25">
      <c r="A91" s="98">
        <f t="shared" si="10"/>
        <v>0</v>
      </c>
      <c r="B91" s="40" t="str">
        <f t="shared" si="6"/>
        <v/>
      </c>
      <c r="C91" s="41"/>
      <c r="D91" s="41"/>
      <c r="E91" s="41"/>
      <c r="F91" s="41"/>
      <c r="H91" s="188">
        <v>86</v>
      </c>
      <c r="I91" s="189" t="str">
        <f t="shared" si="7"/>
        <v/>
      </c>
      <c r="J91" s="188" t="e">
        <f t="shared" si="11"/>
        <v>#NUM!</v>
      </c>
      <c r="K91" s="188" t="e">
        <f t="shared" si="8"/>
        <v>#NUM!</v>
      </c>
      <c r="L91" s="188"/>
      <c r="M91" s="190">
        <f t="shared" si="9"/>
        <v>0</v>
      </c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</row>
    <row r="92" spans="1:38" s="173" customFormat="1" x14ac:dyDescent="0.25">
      <c r="A92" s="94">
        <f t="shared" si="10"/>
        <v>0</v>
      </c>
      <c r="B92" s="34" t="str">
        <f t="shared" si="6"/>
        <v/>
      </c>
      <c r="C92" s="35"/>
      <c r="D92" s="35"/>
      <c r="E92" s="35"/>
      <c r="F92" s="35"/>
      <c r="H92" s="185">
        <v>87</v>
      </c>
      <c r="I92" s="186" t="str">
        <f t="shared" si="7"/>
        <v/>
      </c>
      <c r="J92" s="185" t="e">
        <f t="shared" si="11"/>
        <v>#NUM!</v>
      </c>
      <c r="K92" s="185" t="e">
        <f t="shared" si="8"/>
        <v>#NUM!</v>
      </c>
      <c r="L92" s="185"/>
      <c r="M92" s="187">
        <f t="shared" si="9"/>
        <v>0</v>
      </c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</row>
    <row r="93" spans="1:38" s="173" customFormat="1" x14ac:dyDescent="0.25">
      <c r="A93" s="98">
        <f t="shared" si="10"/>
        <v>0</v>
      </c>
      <c r="B93" s="40" t="str">
        <f t="shared" si="6"/>
        <v/>
      </c>
      <c r="C93" s="41"/>
      <c r="D93" s="41"/>
      <c r="E93" s="41"/>
      <c r="F93" s="41"/>
      <c r="H93" s="188">
        <v>88</v>
      </c>
      <c r="I93" s="189" t="str">
        <f t="shared" si="7"/>
        <v/>
      </c>
      <c r="J93" s="188" t="e">
        <f t="shared" si="11"/>
        <v>#NUM!</v>
      </c>
      <c r="K93" s="188" t="e">
        <f t="shared" si="8"/>
        <v>#NUM!</v>
      </c>
      <c r="L93" s="188"/>
      <c r="M93" s="190">
        <f t="shared" si="9"/>
        <v>0</v>
      </c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</row>
    <row r="94" spans="1:38" s="173" customFormat="1" x14ac:dyDescent="0.25">
      <c r="A94" s="94">
        <f t="shared" si="10"/>
        <v>0</v>
      </c>
      <c r="B94" s="34" t="str">
        <f t="shared" si="6"/>
        <v/>
      </c>
      <c r="C94" s="35"/>
      <c r="D94" s="35"/>
      <c r="E94" s="35"/>
      <c r="F94" s="35"/>
      <c r="H94" s="185">
        <v>89</v>
      </c>
      <c r="I94" s="186" t="str">
        <f t="shared" si="7"/>
        <v/>
      </c>
      <c r="J94" s="185" t="e">
        <f t="shared" si="11"/>
        <v>#NUM!</v>
      </c>
      <c r="K94" s="185" t="e">
        <f t="shared" si="8"/>
        <v>#NUM!</v>
      </c>
      <c r="L94" s="185"/>
      <c r="M94" s="187">
        <f t="shared" si="9"/>
        <v>0</v>
      </c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</row>
    <row r="95" spans="1:38" s="173" customFormat="1" x14ac:dyDescent="0.25">
      <c r="A95" s="98">
        <f t="shared" si="10"/>
        <v>0</v>
      </c>
      <c r="B95" s="40" t="str">
        <f t="shared" si="6"/>
        <v/>
      </c>
      <c r="C95" s="41"/>
      <c r="D95" s="41"/>
      <c r="E95" s="41"/>
      <c r="F95" s="41"/>
      <c r="H95" s="188">
        <v>90</v>
      </c>
      <c r="I95" s="189" t="str">
        <f t="shared" si="7"/>
        <v/>
      </c>
      <c r="J95" s="188" t="e">
        <f t="shared" si="11"/>
        <v>#NUM!</v>
      </c>
      <c r="K95" s="188" t="e">
        <f t="shared" si="8"/>
        <v>#NUM!</v>
      </c>
      <c r="L95" s="188"/>
      <c r="M95" s="190">
        <f t="shared" si="9"/>
        <v>0</v>
      </c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</row>
    <row r="96" spans="1:38" s="173" customFormat="1" x14ac:dyDescent="0.25">
      <c r="A96" s="94">
        <f t="shared" si="10"/>
        <v>0</v>
      </c>
      <c r="B96" s="34" t="str">
        <f t="shared" si="6"/>
        <v/>
      </c>
      <c r="C96" s="35"/>
      <c r="D96" s="35"/>
      <c r="E96" s="35"/>
      <c r="F96" s="35"/>
      <c r="H96" s="185">
        <v>91</v>
      </c>
      <c r="I96" s="186" t="str">
        <f t="shared" si="7"/>
        <v/>
      </c>
      <c r="J96" s="185" t="e">
        <f t="shared" si="11"/>
        <v>#NUM!</v>
      </c>
      <c r="K96" s="185" t="e">
        <f t="shared" si="8"/>
        <v>#NUM!</v>
      </c>
      <c r="L96" s="185"/>
      <c r="M96" s="187">
        <f t="shared" si="9"/>
        <v>0</v>
      </c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</row>
    <row r="97" spans="1:38" s="173" customFormat="1" x14ac:dyDescent="0.25">
      <c r="A97" s="98">
        <f t="shared" si="10"/>
        <v>0</v>
      </c>
      <c r="B97" s="40" t="str">
        <f t="shared" si="6"/>
        <v/>
      </c>
      <c r="C97" s="41"/>
      <c r="D97" s="41"/>
      <c r="E97" s="41"/>
      <c r="F97" s="41"/>
      <c r="H97" s="188">
        <v>92</v>
      </c>
      <c r="I97" s="189" t="str">
        <f t="shared" si="7"/>
        <v/>
      </c>
      <c r="J97" s="188" t="e">
        <f t="shared" si="11"/>
        <v>#NUM!</v>
      </c>
      <c r="K97" s="188" t="e">
        <f t="shared" si="8"/>
        <v>#NUM!</v>
      </c>
      <c r="L97" s="188"/>
      <c r="M97" s="190">
        <f t="shared" si="9"/>
        <v>0</v>
      </c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</row>
    <row r="98" spans="1:38" s="173" customFormat="1" x14ac:dyDescent="0.25">
      <c r="A98" s="94">
        <f t="shared" si="10"/>
        <v>0</v>
      </c>
      <c r="B98" s="34" t="str">
        <f t="shared" si="6"/>
        <v/>
      </c>
      <c r="C98" s="35"/>
      <c r="D98" s="35"/>
      <c r="E98" s="35"/>
      <c r="F98" s="35"/>
      <c r="H98" s="185">
        <v>93</v>
      </c>
      <c r="I98" s="186" t="str">
        <f t="shared" si="7"/>
        <v/>
      </c>
      <c r="J98" s="185" t="e">
        <f t="shared" si="11"/>
        <v>#NUM!</v>
      </c>
      <c r="K98" s="185" t="e">
        <f t="shared" si="8"/>
        <v>#NUM!</v>
      </c>
      <c r="L98" s="185"/>
      <c r="M98" s="187">
        <f t="shared" si="9"/>
        <v>0</v>
      </c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</row>
    <row r="99" spans="1:38" s="173" customFormat="1" x14ac:dyDescent="0.25">
      <c r="A99" s="98">
        <f t="shared" si="10"/>
        <v>0</v>
      </c>
      <c r="B99" s="40" t="str">
        <f t="shared" si="6"/>
        <v/>
      </c>
      <c r="C99" s="41"/>
      <c r="D99" s="41"/>
      <c r="E99" s="41"/>
      <c r="F99" s="41"/>
      <c r="H99" s="188">
        <v>94</v>
      </c>
      <c r="I99" s="189" t="str">
        <f t="shared" si="7"/>
        <v/>
      </c>
      <c r="J99" s="188" t="e">
        <f t="shared" si="11"/>
        <v>#NUM!</v>
      </c>
      <c r="K99" s="188" t="e">
        <f t="shared" si="8"/>
        <v>#NUM!</v>
      </c>
      <c r="L99" s="188"/>
      <c r="M99" s="190">
        <f t="shared" si="9"/>
        <v>0</v>
      </c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</row>
    <row r="100" spans="1:38" s="173" customFormat="1" x14ac:dyDescent="0.25">
      <c r="A100" s="94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185">
        <v>95</v>
      </c>
      <c r="I100" s="186" t="str">
        <f t="shared" si="7"/>
        <v/>
      </c>
      <c r="J100" s="185" t="e">
        <f t="shared" si="11"/>
        <v>#NUM!</v>
      </c>
      <c r="K100" s="185" t="e">
        <f t="shared" si="8"/>
        <v>#NUM!</v>
      </c>
      <c r="L100" s="185"/>
      <c r="M100" s="187">
        <f t="shared" si="9"/>
        <v>0</v>
      </c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</row>
    <row r="101" spans="1:38" s="173" customFormat="1" x14ac:dyDescent="0.25">
      <c r="A101" s="98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188">
        <v>96</v>
      </c>
      <c r="I101" s="189" t="str">
        <f t="shared" si="7"/>
        <v/>
      </c>
      <c r="J101" s="188" t="e">
        <f t="shared" si="11"/>
        <v>#NUM!</v>
      </c>
      <c r="K101" s="188" t="e">
        <f t="shared" si="8"/>
        <v>#NUM!</v>
      </c>
      <c r="L101" s="188"/>
      <c r="M101" s="190">
        <f t="shared" si="9"/>
        <v>0</v>
      </c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</row>
    <row r="102" spans="1:38" s="173" customFormat="1" x14ac:dyDescent="0.25">
      <c r="A102" s="94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185">
        <v>97</v>
      </c>
      <c r="I102" s="186" t="str">
        <f t="shared" si="7"/>
        <v/>
      </c>
      <c r="J102" s="185" t="e">
        <f t="shared" si="11"/>
        <v>#NUM!</v>
      </c>
      <c r="K102" s="185" t="e">
        <f t="shared" si="8"/>
        <v>#NUM!</v>
      </c>
      <c r="L102" s="185"/>
      <c r="M102" s="187">
        <f t="shared" si="9"/>
        <v>0</v>
      </c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</row>
    <row r="103" spans="1:38" s="173" customFormat="1" x14ac:dyDescent="0.25">
      <c r="A103" s="98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188">
        <v>98</v>
      </c>
      <c r="I103" s="189" t="str">
        <f t="shared" si="7"/>
        <v/>
      </c>
      <c r="J103" s="188" t="e">
        <f t="shared" si="11"/>
        <v>#NUM!</v>
      </c>
      <c r="K103" s="188" t="e">
        <f t="shared" si="8"/>
        <v>#NUM!</v>
      </c>
      <c r="L103" s="188"/>
      <c r="M103" s="190">
        <f t="shared" si="9"/>
        <v>0</v>
      </c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</row>
    <row r="104" spans="1:38" s="173" customFormat="1" x14ac:dyDescent="0.25">
      <c r="A104" s="94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185">
        <v>99</v>
      </c>
      <c r="I104" s="186" t="str">
        <f t="shared" si="7"/>
        <v/>
      </c>
      <c r="J104" s="185" t="e">
        <f t="shared" si="11"/>
        <v>#NUM!</v>
      </c>
      <c r="K104" s="185" t="e">
        <f t="shared" si="8"/>
        <v>#NUM!</v>
      </c>
      <c r="L104" s="185"/>
      <c r="M104" s="187">
        <f t="shared" si="9"/>
        <v>0</v>
      </c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</row>
    <row r="105" spans="1:38" s="173" customFormat="1" x14ac:dyDescent="0.25">
      <c r="A105" s="98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188">
        <v>100</v>
      </c>
      <c r="I105" s="189" t="str">
        <f t="shared" si="7"/>
        <v/>
      </c>
      <c r="J105" s="188" t="e">
        <f t="shared" si="11"/>
        <v>#NUM!</v>
      </c>
      <c r="K105" s="188" t="e">
        <f t="shared" si="8"/>
        <v>#NUM!</v>
      </c>
      <c r="L105" s="188"/>
      <c r="M105" s="190">
        <f t="shared" si="9"/>
        <v>0</v>
      </c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</row>
    <row r="106" spans="1:38" s="173" customFormat="1" x14ac:dyDescent="0.25">
      <c r="A106" s="94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185">
        <v>101</v>
      </c>
      <c r="I106" s="186" t="str">
        <f t="shared" si="7"/>
        <v/>
      </c>
      <c r="J106" s="185" t="e">
        <f t="shared" si="11"/>
        <v>#NUM!</v>
      </c>
      <c r="K106" s="185" t="e">
        <f t="shared" si="8"/>
        <v>#NUM!</v>
      </c>
      <c r="L106" s="185"/>
      <c r="M106" s="187">
        <f t="shared" si="9"/>
        <v>0</v>
      </c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</row>
    <row r="107" spans="1:38" s="173" customFormat="1" x14ac:dyDescent="0.25">
      <c r="A107" s="98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188">
        <v>102</v>
      </c>
      <c r="I107" s="189" t="str">
        <f t="shared" si="7"/>
        <v/>
      </c>
      <c r="J107" s="188" t="e">
        <f t="shared" si="11"/>
        <v>#NUM!</v>
      </c>
      <c r="K107" s="188" t="e">
        <f t="shared" si="8"/>
        <v>#NUM!</v>
      </c>
      <c r="L107" s="188"/>
      <c r="M107" s="190">
        <f t="shared" si="9"/>
        <v>0</v>
      </c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</row>
    <row r="108" spans="1:38" s="173" customFormat="1" x14ac:dyDescent="0.25">
      <c r="A108" s="94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185">
        <v>103</v>
      </c>
      <c r="I108" s="186" t="str">
        <f t="shared" si="7"/>
        <v/>
      </c>
      <c r="J108" s="185" t="e">
        <f t="shared" si="11"/>
        <v>#NUM!</v>
      </c>
      <c r="K108" s="185" t="e">
        <f t="shared" si="8"/>
        <v>#NUM!</v>
      </c>
      <c r="L108" s="185"/>
      <c r="M108" s="187">
        <f t="shared" si="9"/>
        <v>0</v>
      </c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</row>
    <row r="109" spans="1:38" s="173" customFormat="1" x14ac:dyDescent="0.25">
      <c r="A109" s="98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188">
        <v>104</v>
      </c>
      <c r="I109" s="189" t="str">
        <f t="shared" si="7"/>
        <v/>
      </c>
      <c r="J109" s="188" t="e">
        <f t="shared" si="11"/>
        <v>#NUM!</v>
      </c>
      <c r="K109" s="188" t="e">
        <f t="shared" si="8"/>
        <v>#NUM!</v>
      </c>
      <c r="L109" s="188"/>
      <c r="M109" s="190">
        <f t="shared" si="9"/>
        <v>0</v>
      </c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</row>
    <row r="110" spans="1:38" s="173" customFormat="1" x14ac:dyDescent="0.25">
      <c r="A110" s="94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185">
        <v>105</v>
      </c>
      <c r="I110" s="186" t="str">
        <f t="shared" si="7"/>
        <v/>
      </c>
      <c r="J110" s="185" t="e">
        <f t="shared" si="11"/>
        <v>#NUM!</v>
      </c>
      <c r="K110" s="185" t="e">
        <f t="shared" si="8"/>
        <v>#NUM!</v>
      </c>
      <c r="L110" s="185"/>
      <c r="M110" s="187">
        <f t="shared" si="9"/>
        <v>0</v>
      </c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</row>
    <row r="111" spans="1:38" s="173" customFormat="1" x14ac:dyDescent="0.25">
      <c r="A111" s="98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188">
        <v>106</v>
      </c>
      <c r="I111" s="189" t="str">
        <f t="shared" si="7"/>
        <v/>
      </c>
      <c r="J111" s="188" t="e">
        <f t="shared" si="11"/>
        <v>#NUM!</v>
      </c>
      <c r="K111" s="188" t="e">
        <f t="shared" si="8"/>
        <v>#NUM!</v>
      </c>
      <c r="L111" s="188"/>
      <c r="M111" s="190">
        <f t="shared" si="9"/>
        <v>0</v>
      </c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</row>
    <row r="112" spans="1:38" s="173" customFormat="1" x14ac:dyDescent="0.25">
      <c r="A112" s="94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185">
        <v>107</v>
      </c>
      <c r="I112" s="186" t="str">
        <f t="shared" si="7"/>
        <v/>
      </c>
      <c r="J112" s="185" t="e">
        <f t="shared" si="11"/>
        <v>#NUM!</v>
      </c>
      <c r="K112" s="185" t="e">
        <f t="shared" si="8"/>
        <v>#NUM!</v>
      </c>
      <c r="L112" s="185"/>
      <c r="M112" s="187">
        <f t="shared" si="9"/>
        <v>0</v>
      </c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</row>
    <row r="113" spans="1:38" s="173" customFormat="1" x14ac:dyDescent="0.25">
      <c r="A113" s="98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188">
        <v>108</v>
      </c>
      <c r="I113" s="189" t="str">
        <f t="shared" si="7"/>
        <v/>
      </c>
      <c r="J113" s="188" t="e">
        <f t="shared" si="11"/>
        <v>#NUM!</v>
      </c>
      <c r="K113" s="188" t="e">
        <f t="shared" si="8"/>
        <v>#NUM!</v>
      </c>
      <c r="L113" s="188"/>
      <c r="M113" s="190">
        <f t="shared" si="9"/>
        <v>0</v>
      </c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</row>
    <row r="114" spans="1:38" s="173" customFormat="1" x14ac:dyDescent="0.25">
      <c r="A114" s="94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185">
        <v>109</v>
      </c>
      <c r="I114" s="186" t="str">
        <f t="shared" si="7"/>
        <v/>
      </c>
      <c r="J114" s="185" t="e">
        <f t="shared" si="11"/>
        <v>#NUM!</v>
      </c>
      <c r="K114" s="185" t="e">
        <f t="shared" si="8"/>
        <v>#NUM!</v>
      </c>
      <c r="L114" s="185"/>
      <c r="M114" s="187">
        <f t="shared" si="9"/>
        <v>0</v>
      </c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</row>
    <row r="115" spans="1:38" s="173" customFormat="1" x14ac:dyDescent="0.25">
      <c r="A115" s="98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188">
        <v>110</v>
      </c>
      <c r="I115" s="189" t="str">
        <f t="shared" si="7"/>
        <v/>
      </c>
      <c r="J115" s="188" t="e">
        <f t="shared" si="11"/>
        <v>#NUM!</v>
      </c>
      <c r="K115" s="188" t="e">
        <f t="shared" si="8"/>
        <v>#NUM!</v>
      </c>
      <c r="L115" s="188"/>
      <c r="M115" s="190">
        <f t="shared" si="9"/>
        <v>0</v>
      </c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</row>
    <row r="116" spans="1:38" s="173" customFormat="1" x14ac:dyDescent="0.25">
      <c r="A116" s="94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185">
        <v>111</v>
      </c>
      <c r="I116" s="186" t="str">
        <f t="shared" si="7"/>
        <v/>
      </c>
      <c r="J116" s="185" t="e">
        <f t="shared" si="11"/>
        <v>#NUM!</v>
      </c>
      <c r="K116" s="185" t="e">
        <f t="shared" si="8"/>
        <v>#NUM!</v>
      </c>
      <c r="L116" s="185"/>
      <c r="M116" s="187">
        <f t="shared" si="9"/>
        <v>0</v>
      </c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</row>
    <row r="117" spans="1:38" s="173" customFormat="1" x14ac:dyDescent="0.25">
      <c r="A117" s="98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188">
        <v>112</v>
      </c>
      <c r="I117" s="189" t="str">
        <f t="shared" si="7"/>
        <v/>
      </c>
      <c r="J117" s="188" t="e">
        <f t="shared" si="11"/>
        <v>#NUM!</v>
      </c>
      <c r="K117" s="188" t="e">
        <f t="shared" si="8"/>
        <v>#NUM!</v>
      </c>
      <c r="L117" s="188"/>
      <c r="M117" s="190">
        <f t="shared" si="9"/>
        <v>0</v>
      </c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</row>
    <row r="118" spans="1:38" s="173" customFormat="1" x14ac:dyDescent="0.25">
      <c r="A118" s="94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185">
        <v>113</v>
      </c>
      <c r="I118" s="186" t="str">
        <f t="shared" si="7"/>
        <v/>
      </c>
      <c r="J118" s="185" t="e">
        <f t="shared" si="11"/>
        <v>#NUM!</v>
      </c>
      <c r="K118" s="185" t="e">
        <f t="shared" si="8"/>
        <v>#NUM!</v>
      </c>
      <c r="L118" s="185"/>
      <c r="M118" s="187">
        <f t="shared" si="9"/>
        <v>0</v>
      </c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</row>
    <row r="119" spans="1:38" s="173" customFormat="1" x14ac:dyDescent="0.25">
      <c r="A119" s="98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188">
        <v>114</v>
      </c>
      <c r="I119" s="189" t="str">
        <f t="shared" si="7"/>
        <v/>
      </c>
      <c r="J119" s="188" t="e">
        <f t="shared" si="11"/>
        <v>#NUM!</v>
      </c>
      <c r="K119" s="188" t="e">
        <f t="shared" si="8"/>
        <v>#NUM!</v>
      </c>
      <c r="L119" s="188"/>
      <c r="M119" s="190">
        <f t="shared" si="9"/>
        <v>0</v>
      </c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</row>
    <row r="120" spans="1:38" s="173" customFormat="1" x14ac:dyDescent="0.25">
      <c r="A120" s="94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185">
        <v>115</v>
      </c>
      <c r="I120" s="186" t="str">
        <f t="shared" si="7"/>
        <v/>
      </c>
      <c r="J120" s="185" t="e">
        <f t="shared" si="11"/>
        <v>#NUM!</v>
      </c>
      <c r="K120" s="185" t="e">
        <f t="shared" si="8"/>
        <v>#NUM!</v>
      </c>
      <c r="L120" s="185"/>
      <c r="M120" s="187">
        <f t="shared" si="9"/>
        <v>0</v>
      </c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</row>
    <row r="121" spans="1:38" s="173" customFormat="1" x14ac:dyDescent="0.25">
      <c r="A121" s="98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188">
        <v>116</v>
      </c>
      <c r="I121" s="189" t="str">
        <f t="shared" si="7"/>
        <v/>
      </c>
      <c r="J121" s="188" t="e">
        <f t="shared" si="11"/>
        <v>#NUM!</v>
      </c>
      <c r="K121" s="188" t="e">
        <f t="shared" si="8"/>
        <v>#NUM!</v>
      </c>
      <c r="L121" s="188"/>
      <c r="M121" s="190">
        <f t="shared" si="9"/>
        <v>0</v>
      </c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</row>
    <row r="122" spans="1:38" s="173" customFormat="1" x14ac:dyDescent="0.25">
      <c r="A122" s="94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185">
        <v>117</v>
      </c>
      <c r="I122" s="186" t="str">
        <f t="shared" si="7"/>
        <v/>
      </c>
      <c r="J122" s="185" t="e">
        <f t="shared" si="11"/>
        <v>#NUM!</v>
      </c>
      <c r="K122" s="185" t="e">
        <f t="shared" si="8"/>
        <v>#NUM!</v>
      </c>
      <c r="L122" s="185"/>
      <c r="M122" s="187">
        <f t="shared" si="9"/>
        <v>0</v>
      </c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</row>
    <row r="123" spans="1:38" s="173" customFormat="1" x14ac:dyDescent="0.25">
      <c r="A123" s="98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188">
        <v>118</v>
      </c>
      <c r="I123" s="189" t="str">
        <f t="shared" si="7"/>
        <v/>
      </c>
      <c r="J123" s="188" t="e">
        <f t="shared" si="11"/>
        <v>#NUM!</v>
      </c>
      <c r="K123" s="188" t="e">
        <f t="shared" si="8"/>
        <v>#NUM!</v>
      </c>
      <c r="L123" s="188"/>
      <c r="M123" s="190">
        <f t="shared" si="9"/>
        <v>0</v>
      </c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</row>
    <row r="124" spans="1:38" s="173" customFormat="1" x14ac:dyDescent="0.25">
      <c r="A124" s="94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185">
        <v>119</v>
      </c>
      <c r="I124" s="186" t="str">
        <f t="shared" si="7"/>
        <v/>
      </c>
      <c r="J124" s="185" t="e">
        <f t="shared" si="11"/>
        <v>#NUM!</v>
      </c>
      <c r="K124" s="185" t="e">
        <f t="shared" si="8"/>
        <v>#NUM!</v>
      </c>
      <c r="L124" s="185"/>
      <c r="M124" s="187">
        <f t="shared" si="9"/>
        <v>0</v>
      </c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</row>
    <row r="125" spans="1:38" s="173" customFormat="1" x14ac:dyDescent="0.25">
      <c r="A125" s="98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188">
        <v>120</v>
      </c>
      <c r="I125" s="189" t="str">
        <f t="shared" si="7"/>
        <v/>
      </c>
      <c r="J125" s="188" t="e">
        <f t="shared" si="11"/>
        <v>#NUM!</v>
      </c>
      <c r="K125" s="188" t="e">
        <f t="shared" si="8"/>
        <v>#NUM!</v>
      </c>
      <c r="L125" s="188"/>
      <c r="M125" s="190">
        <f t="shared" si="9"/>
        <v>0</v>
      </c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</row>
    <row r="126" spans="1:38" s="173" customFormat="1" x14ac:dyDescent="0.25">
      <c r="A126" s="94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185">
        <v>121</v>
      </c>
      <c r="I126" s="186" t="str">
        <f t="shared" si="7"/>
        <v/>
      </c>
      <c r="J126" s="185" t="e">
        <f t="shared" si="11"/>
        <v>#NUM!</v>
      </c>
      <c r="K126" s="185" t="e">
        <f t="shared" si="8"/>
        <v>#NUM!</v>
      </c>
      <c r="L126" s="185"/>
      <c r="M126" s="187">
        <f t="shared" si="9"/>
        <v>0</v>
      </c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</row>
    <row r="127" spans="1:38" s="173" customFormat="1" x14ac:dyDescent="0.25">
      <c r="A127" s="98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188">
        <v>122</v>
      </c>
      <c r="I127" s="189" t="str">
        <f t="shared" si="7"/>
        <v/>
      </c>
      <c r="J127" s="188" t="e">
        <f t="shared" si="11"/>
        <v>#NUM!</v>
      </c>
      <c r="K127" s="188" t="e">
        <f t="shared" si="8"/>
        <v>#NUM!</v>
      </c>
      <c r="L127" s="188"/>
      <c r="M127" s="190">
        <f t="shared" si="9"/>
        <v>0</v>
      </c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</row>
    <row r="128" spans="1:38" s="173" customFormat="1" x14ac:dyDescent="0.25">
      <c r="A128" s="94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185">
        <v>123</v>
      </c>
      <c r="I128" s="186" t="str">
        <f t="shared" si="7"/>
        <v/>
      </c>
      <c r="J128" s="185" t="e">
        <f t="shared" si="11"/>
        <v>#NUM!</v>
      </c>
      <c r="K128" s="185" t="e">
        <f t="shared" si="8"/>
        <v>#NUM!</v>
      </c>
      <c r="L128" s="185"/>
      <c r="M128" s="187">
        <f t="shared" si="9"/>
        <v>0</v>
      </c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</row>
    <row r="129" spans="1:38" s="173" customFormat="1" x14ac:dyDescent="0.25">
      <c r="A129" s="98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188">
        <v>124</v>
      </c>
      <c r="I129" s="189" t="str">
        <f t="shared" si="7"/>
        <v/>
      </c>
      <c r="J129" s="188" t="e">
        <f t="shared" si="11"/>
        <v>#NUM!</v>
      </c>
      <c r="K129" s="188" t="e">
        <f t="shared" si="8"/>
        <v>#NUM!</v>
      </c>
      <c r="L129" s="188"/>
      <c r="M129" s="190">
        <f t="shared" si="9"/>
        <v>0</v>
      </c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</row>
    <row r="130" spans="1:38" s="173" customFormat="1" x14ac:dyDescent="0.25">
      <c r="A130" s="94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185">
        <v>125</v>
      </c>
      <c r="I130" s="186" t="str">
        <f t="shared" si="7"/>
        <v/>
      </c>
      <c r="J130" s="185" t="e">
        <f t="shared" si="11"/>
        <v>#NUM!</v>
      </c>
      <c r="K130" s="185" t="e">
        <f t="shared" si="8"/>
        <v>#NUM!</v>
      </c>
      <c r="L130" s="185"/>
      <c r="M130" s="187">
        <f t="shared" si="9"/>
        <v>0</v>
      </c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</row>
    <row r="131" spans="1:38" s="173" customFormat="1" x14ac:dyDescent="0.25">
      <c r="A131" s="98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188">
        <v>126</v>
      </c>
      <c r="I131" s="189" t="str">
        <f t="shared" si="7"/>
        <v/>
      </c>
      <c r="J131" s="188" t="e">
        <f t="shared" si="11"/>
        <v>#NUM!</v>
      </c>
      <c r="K131" s="188" t="e">
        <f t="shared" si="8"/>
        <v>#NUM!</v>
      </c>
      <c r="L131" s="188"/>
      <c r="M131" s="190">
        <f t="shared" si="9"/>
        <v>0</v>
      </c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</row>
    <row r="132" spans="1:38" s="173" customFormat="1" x14ac:dyDescent="0.25">
      <c r="A132" s="94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185">
        <v>127</v>
      </c>
      <c r="I132" s="186" t="str">
        <f t="shared" si="7"/>
        <v/>
      </c>
      <c r="J132" s="185" t="e">
        <f t="shared" si="11"/>
        <v>#NUM!</v>
      </c>
      <c r="K132" s="185" t="e">
        <f t="shared" si="8"/>
        <v>#NUM!</v>
      </c>
      <c r="L132" s="185"/>
      <c r="M132" s="187">
        <f t="shared" si="9"/>
        <v>0</v>
      </c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</row>
    <row r="133" spans="1:38" s="173" customFormat="1" x14ac:dyDescent="0.25">
      <c r="A133" s="98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188">
        <v>128</v>
      </c>
      <c r="I133" s="189" t="str">
        <f t="shared" si="7"/>
        <v/>
      </c>
      <c r="J133" s="188" t="e">
        <f t="shared" si="11"/>
        <v>#NUM!</v>
      </c>
      <c r="K133" s="188" t="e">
        <f t="shared" si="8"/>
        <v>#NUM!</v>
      </c>
      <c r="L133" s="188"/>
      <c r="M133" s="190">
        <f t="shared" si="9"/>
        <v>0</v>
      </c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</row>
    <row r="134" spans="1:38" s="173" customFormat="1" x14ac:dyDescent="0.25">
      <c r="A134" s="94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185">
        <v>129</v>
      </c>
      <c r="I134" s="186" t="str">
        <f t="shared" ref="I134:I197" si="13">IF(H134&lt;$H$2+1,($I$2-($I$2-1)*(LOG(H134)/LOG($H$2))),"")</f>
        <v/>
      </c>
      <c r="J134" s="185" t="e">
        <f t="shared" si="11"/>
        <v>#NUM!</v>
      </c>
      <c r="K134" s="185" t="e">
        <f t="shared" ref="K134:K197" si="14">J134*$J$2</f>
        <v>#NUM!</v>
      </c>
      <c r="L134" s="185"/>
      <c r="M134" s="187">
        <f t="shared" ref="M134:M197" si="15">IF(I134&lt;&gt;"",K134+I134+L134,0)</f>
        <v>0</v>
      </c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</row>
    <row r="135" spans="1:38" s="173" customFormat="1" x14ac:dyDescent="0.25">
      <c r="A135" s="98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188">
        <v>130</v>
      </c>
      <c r="I135" s="189" t="str">
        <f t="shared" si="13"/>
        <v/>
      </c>
      <c r="J135" s="188" t="e">
        <f t="shared" ref="J135:J198" si="17">INT(LOG($H$2,2))-ROUNDUP(LOG(H135,2),0)+IF(OR($H$2=1,$H$2=2,$H$2=4,$H$2=8,$H$2=16,$H$2=32,$H$2=64,$H$2=128,$H$2=256),0,1)</f>
        <v>#NUM!</v>
      </c>
      <c r="K135" s="188" t="e">
        <f t="shared" si="14"/>
        <v>#NUM!</v>
      </c>
      <c r="L135" s="188"/>
      <c r="M135" s="190">
        <f t="shared" si="15"/>
        <v>0</v>
      </c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</row>
    <row r="136" spans="1:38" s="173" customFormat="1" x14ac:dyDescent="0.25">
      <c r="A136" s="94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185">
        <v>131</v>
      </c>
      <c r="I136" s="186" t="str">
        <f t="shared" si="13"/>
        <v/>
      </c>
      <c r="J136" s="185" t="e">
        <f t="shared" si="17"/>
        <v>#NUM!</v>
      </c>
      <c r="K136" s="185" t="e">
        <f t="shared" si="14"/>
        <v>#NUM!</v>
      </c>
      <c r="L136" s="185"/>
      <c r="M136" s="187">
        <f t="shared" si="15"/>
        <v>0</v>
      </c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</row>
    <row r="137" spans="1:38" s="173" customFormat="1" x14ac:dyDescent="0.25">
      <c r="A137" s="98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188">
        <v>132</v>
      </c>
      <c r="I137" s="189" t="str">
        <f t="shared" si="13"/>
        <v/>
      </c>
      <c r="J137" s="188" t="e">
        <f t="shared" si="17"/>
        <v>#NUM!</v>
      </c>
      <c r="K137" s="188" t="e">
        <f t="shared" si="14"/>
        <v>#NUM!</v>
      </c>
      <c r="L137" s="188"/>
      <c r="M137" s="190">
        <f t="shared" si="15"/>
        <v>0</v>
      </c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</row>
    <row r="138" spans="1:38" s="173" customFormat="1" x14ac:dyDescent="0.25">
      <c r="A138" s="94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185">
        <v>133</v>
      </c>
      <c r="I138" s="186" t="str">
        <f t="shared" si="13"/>
        <v/>
      </c>
      <c r="J138" s="185" t="e">
        <f t="shared" si="17"/>
        <v>#NUM!</v>
      </c>
      <c r="K138" s="185" t="e">
        <f t="shared" si="14"/>
        <v>#NUM!</v>
      </c>
      <c r="L138" s="185"/>
      <c r="M138" s="187">
        <f t="shared" si="15"/>
        <v>0</v>
      </c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</row>
    <row r="139" spans="1:38" s="173" customFormat="1" x14ac:dyDescent="0.25">
      <c r="A139" s="98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188">
        <v>134</v>
      </c>
      <c r="I139" s="189" t="str">
        <f t="shared" si="13"/>
        <v/>
      </c>
      <c r="J139" s="188" t="e">
        <f t="shared" si="17"/>
        <v>#NUM!</v>
      </c>
      <c r="K139" s="188" t="e">
        <f t="shared" si="14"/>
        <v>#NUM!</v>
      </c>
      <c r="L139" s="188"/>
      <c r="M139" s="190">
        <f t="shared" si="15"/>
        <v>0</v>
      </c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</row>
    <row r="140" spans="1:38" s="173" customFormat="1" x14ac:dyDescent="0.25">
      <c r="A140" s="94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185">
        <v>135</v>
      </c>
      <c r="I140" s="186" t="str">
        <f t="shared" si="13"/>
        <v/>
      </c>
      <c r="J140" s="185" t="e">
        <f t="shared" si="17"/>
        <v>#NUM!</v>
      </c>
      <c r="K140" s="185" t="e">
        <f t="shared" si="14"/>
        <v>#NUM!</v>
      </c>
      <c r="L140" s="185"/>
      <c r="M140" s="187">
        <f t="shared" si="15"/>
        <v>0</v>
      </c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</row>
    <row r="141" spans="1:38" x14ac:dyDescent="0.25">
      <c r="A141" s="202"/>
      <c r="G141" s="173"/>
      <c r="H141" s="188">
        <v>136</v>
      </c>
      <c r="I141" s="186" t="str">
        <f t="shared" si="13"/>
        <v/>
      </c>
      <c r="J141" s="185" t="e">
        <f t="shared" si="17"/>
        <v>#NUM!</v>
      </c>
      <c r="K141" s="185" t="e">
        <f t="shared" si="14"/>
        <v>#NUM!</v>
      </c>
      <c r="L141" s="185"/>
      <c r="M141" s="187">
        <f t="shared" si="15"/>
        <v>0</v>
      </c>
    </row>
    <row r="142" spans="1:38" x14ac:dyDescent="0.25">
      <c r="A142" s="202"/>
      <c r="G142" s="173"/>
      <c r="H142" s="185">
        <v>137</v>
      </c>
      <c r="I142" s="186" t="str">
        <f t="shared" si="13"/>
        <v/>
      </c>
      <c r="J142" s="185" t="e">
        <f t="shared" si="17"/>
        <v>#NUM!</v>
      </c>
      <c r="K142" s="185" t="e">
        <f t="shared" si="14"/>
        <v>#NUM!</v>
      </c>
      <c r="L142" s="185"/>
      <c r="M142" s="187">
        <f t="shared" si="15"/>
        <v>0</v>
      </c>
    </row>
    <row r="143" spans="1:38" x14ac:dyDescent="0.25">
      <c r="A143" s="202"/>
      <c r="G143" s="173"/>
      <c r="H143" s="188">
        <v>138</v>
      </c>
      <c r="I143" s="186" t="str">
        <f t="shared" si="13"/>
        <v/>
      </c>
      <c r="J143" s="185" t="e">
        <f t="shared" si="17"/>
        <v>#NUM!</v>
      </c>
      <c r="K143" s="185" t="e">
        <f t="shared" si="14"/>
        <v>#NUM!</v>
      </c>
      <c r="L143" s="185"/>
      <c r="M143" s="187">
        <f t="shared" si="15"/>
        <v>0</v>
      </c>
    </row>
    <row r="144" spans="1:38" x14ac:dyDescent="0.25">
      <c r="A144" s="202"/>
      <c r="G144" s="173"/>
      <c r="H144" s="185">
        <v>139</v>
      </c>
      <c r="I144" s="186" t="str">
        <f t="shared" si="13"/>
        <v/>
      </c>
      <c r="J144" s="185" t="e">
        <f t="shared" si="17"/>
        <v>#NUM!</v>
      </c>
      <c r="K144" s="185" t="e">
        <f t="shared" si="14"/>
        <v>#NUM!</v>
      </c>
      <c r="L144" s="185"/>
      <c r="M144" s="187">
        <f t="shared" si="15"/>
        <v>0</v>
      </c>
    </row>
    <row r="145" spans="1:13" x14ac:dyDescent="0.25">
      <c r="A145" s="202"/>
      <c r="G145" s="173"/>
      <c r="H145" s="188">
        <v>140</v>
      </c>
      <c r="I145" s="186" t="str">
        <f t="shared" si="13"/>
        <v/>
      </c>
      <c r="J145" s="185" t="e">
        <f t="shared" si="17"/>
        <v>#NUM!</v>
      </c>
      <c r="K145" s="185" t="e">
        <f t="shared" si="14"/>
        <v>#NUM!</v>
      </c>
      <c r="L145" s="185"/>
      <c r="M145" s="187">
        <f t="shared" si="15"/>
        <v>0</v>
      </c>
    </row>
    <row r="146" spans="1:13" x14ac:dyDescent="0.25">
      <c r="A146" s="202"/>
      <c r="G146" s="173"/>
      <c r="H146" s="185">
        <v>141</v>
      </c>
      <c r="I146" s="186" t="str">
        <f t="shared" si="13"/>
        <v/>
      </c>
      <c r="J146" s="185" t="e">
        <f t="shared" si="17"/>
        <v>#NUM!</v>
      </c>
      <c r="K146" s="185" t="e">
        <f t="shared" si="14"/>
        <v>#NUM!</v>
      </c>
      <c r="L146" s="185"/>
      <c r="M146" s="187">
        <f t="shared" si="15"/>
        <v>0</v>
      </c>
    </row>
    <row r="147" spans="1:13" x14ac:dyDescent="0.25">
      <c r="A147" s="202"/>
      <c r="G147" s="173"/>
      <c r="H147" s="188">
        <v>142</v>
      </c>
      <c r="I147" s="186" t="str">
        <f t="shared" si="13"/>
        <v/>
      </c>
      <c r="J147" s="185" t="e">
        <f t="shared" si="17"/>
        <v>#NUM!</v>
      </c>
      <c r="K147" s="185" t="e">
        <f t="shared" si="14"/>
        <v>#NUM!</v>
      </c>
      <c r="L147" s="185"/>
      <c r="M147" s="187">
        <f t="shared" si="15"/>
        <v>0</v>
      </c>
    </row>
    <row r="148" spans="1:13" x14ac:dyDescent="0.25">
      <c r="A148" s="202"/>
      <c r="G148" s="173"/>
      <c r="H148" s="185">
        <v>143</v>
      </c>
      <c r="I148" s="186" t="str">
        <f t="shared" si="13"/>
        <v/>
      </c>
      <c r="J148" s="185" t="e">
        <f t="shared" si="17"/>
        <v>#NUM!</v>
      </c>
      <c r="K148" s="185" t="e">
        <f t="shared" si="14"/>
        <v>#NUM!</v>
      </c>
      <c r="L148" s="185"/>
      <c r="M148" s="187">
        <f t="shared" si="15"/>
        <v>0</v>
      </c>
    </row>
    <row r="149" spans="1:13" x14ac:dyDescent="0.25">
      <c r="A149" s="202"/>
      <c r="G149" s="173"/>
      <c r="H149" s="188">
        <v>144</v>
      </c>
      <c r="I149" s="186" t="str">
        <f t="shared" si="13"/>
        <v/>
      </c>
      <c r="J149" s="185" t="e">
        <f t="shared" si="17"/>
        <v>#NUM!</v>
      </c>
      <c r="K149" s="185" t="e">
        <f t="shared" si="14"/>
        <v>#NUM!</v>
      </c>
      <c r="L149" s="185"/>
      <c r="M149" s="187">
        <f t="shared" si="15"/>
        <v>0</v>
      </c>
    </row>
    <row r="150" spans="1:13" x14ac:dyDescent="0.25">
      <c r="A150" s="202"/>
      <c r="G150" s="173"/>
      <c r="H150" s="185">
        <v>145</v>
      </c>
      <c r="I150" s="186" t="str">
        <f t="shared" si="13"/>
        <v/>
      </c>
      <c r="J150" s="185" t="e">
        <f t="shared" si="17"/>
        <v>#NUM!</v>
      </c>
      <c r="K150" s="185" t="e">
        <f t="shared" si="14"/>
        <v>#NUM!</v>
      </c>
      <c r="L150" s="185"/>
      <c r="M150" s="187">
        <f t="shared" si="15"/>
        <v>0</v>
      </c>
    </row>
    <row r="151" spans="1:13" x14ac:dyDescent="0.25">
      <c r="A151" s="202"/>
      <c r="G151" s="173"/>
      <c r="H151" s="188">
        <v>146</v>
      </c>
      <c r="I151" s="186" t="str">
        <f t="shared" si="13"/>
        <v/>
      </c>
      <c r="J151" s="185" t="e">
        <f t="shared" si="17"/>
        <v>#NUM!</v>
      </c>
      <c r="K151" s="185" t="e">
        <f t="shared" si="14"/>
        <v>#NUM!</v>
      </c>
      <c r="L151" s="185"/>
      <c r="M151" s="187">
        <f t="shared" si="15"/>
        <v>0</v>
      </c>
    </row>
    <row r="152" spans="1:13" x14ac:dyDescent="0.25">
      <c r="A152" s="202"/>
      <c r="G152" s="173"/>
      <c r="H152" s="185">
        <v>147</v>
      </c>
      <c r="I152" s="186" t="str">
        <f t="shared" si="13"/>
        <v/>
      </c>
      <c r="J152" s="185" t="e">
        <f t="shared" si="17"/>
        <v>#NUM!</v>
      </c>
      <c r="K152" s="185" t="e">
        <f t="shared" si="14"/>
        <v>#NUM!</v>
      </c>
      <c r="L152" s="185"/>
      <c r="M152" s="187">
        <f t="shared" si="15"/>
        <v>0</v>
      </c>
    </row>
    <row r="153" spans="1:13" x14ac:dyDescent="0.25">
      <c r="A153" s="202"/>
      <c r="G153" s="173"/>
      <c r="H153" s="188">
        <v>148</v>
      </c>
      <c r="I153" s="186" t="str">
        <f t="shared" si="13"/>
        <v/>
      </c>
      <c r="J153" s="185" t="e">
        <f t="shared" si="17"/>
        <v>#NUM!</v>
      </c>
      <c r="K153" s="185" t="e">
        <f t="shared" si="14"/>
        <v>#NUM!</v>
      </c>
      <c r="L153" s="185"/>
      <c r="M153" s="187">
        <f t="shared" si="15"/>
        <v>0</v>
      </c>
    </row>
    <row r="154" spans="1:13" x14ac:dyDescent="0.25">
      <c r="A154" s="202"/>
      <c r="G154" s="173"/>
      <c r="H154" s="185">
        <v>149</v>
      </c>
      <c r="I154" s="186" t="str">
        <f t="shared" si="13"/>
        <v/>
      </c>
      <c r="J154" s="185" t="e">
        <f t="shared" si="17"/>
        <v>#NUM!</v>
      </c>
      <c r="K154" s="185" t="e">
        <f t="shared" si="14"/>
        <v>#NUM!</v>
      </c>
      <c r="L154" s="185"/>
      <c r="M154" s="187">
        <f t="shared" si="15"/>
        <v>0</v>
      </c>
    </row>
    <row r="155" spans="1:13" x14ac:dyDescent="0.25">
      <c r="A155" s="202"/>
      <c r="G155" s="173"/>
      <c r="H155" s="188">
        <v>150</v>
      </c>
      <c r="I155" s="186" t="str">
        <f t="shared" si="13"/>
        <v/>
      </c>
      <c r="J155" s="185" t="e">
        <f t="shared" si="17"/>
        <v>#NUM!</v>
      </c>
      <c r="K155" s="185" t="e">
        <f t="shared" si="14"/>
        <v>#NUM!</v>
      </c>
      <c r="L155" s="185"/>
      <c r="M155" s="187">
        <f t="shared" si="15"/>
        <v>0</v>
      </c>
    </row>
    <row r="156" spans="1:13" x14ac:dyDescent="0.25">
      <c r="A156" s="202"/>
      <c r="G156" s="173"/>
      <c r="H156" s="185">
        <v>151</v>
      </c>
      <c r="I156" s="186" t="str">
        <f t="shared" si="13"/>
        <v/>
      </c>
      <c r="J156" s="185" t="e">
        <f t="shared" si="17"/>
        <v>#NUM!</v>
      </c>
      <c r="K156" s="185" t="e">
        <f t="shared" si="14"/>
        <v>#NUM!</v>
      </c>
      <c r="L156" s="185"/>
      <c r="M156" s="187">
        <f t="shared" si="15"/>
        <v>0</v>
      </c>
    </row>
    <row r="157" spans="1:13" x14ac:dyDescent="0.25">
      <c r="A157" s="202"/>
      <c r="G157" s="173"/>
      <c r="H157" s="188">
        <v>152</v>
      </c>
      <c r="I157" s="186" t="str">
        <f t="shared" si="13"/>
        <v/>
      </c>
      <c r="J157" s="185" t="e">
        <f t="shared" si="17"/>
        <v>#NUM!</v>
      </c>
      <c r="K157" s="185" t="e">
        <f t="shared" si="14"/>
        <v>#NUM!</v>
      </c>
      <c r="L157" s="185"/>
      <c r="M157" s="187">
        <f t="shared" si="15"/>
        <v>0</v>
      </c>
    </row>
    <row r="158" spans="1:13" x14ac:dyDescent="0.25">
      <c r="A158" s="202"/>
      <c r="G158" s="173"/>
      <c r="H158" s="185">
        <v>153</v>
      </c>
      <c r="I158" s="186" t="str">
        <f t="shared" si="13"/>
        <v/>
      </c>
      <c r="J158" s="185" t="e">
        <f t="shared" si="17"/>
        <v>#NUM!</v>
      </c>
      <c r="K158" s="185" t="e">
        <f t="shared" si="14"/>
        <v>#NUM!</v>
      </c>
      <c r="L158" s="185"/>
      <c r="M158" s="187">
        <f t="shared" si="15"/>
        <v>0</v>
      </c>
    </row>
    <row r="159" spans="1:13" x14ac:dyDescent="0.25">
      <c r="A159" s="202"/>
      <c r="G159" s="173"/>
      <c r="H159" s="188">
        <v>154</v>
      </c>
      <c r="I159" s="186" t="str">
        <f t="shared" si="13"/>
        <v/>
      </c>
      <c r="J159" s="185" t="e">
        <f t="shared" si="17"/>
        <v>#NUM!</v>
      </c>
      <c r="K159" s="185" t="e">
        <f t="shared" si="14"/>
        <v>#NUM!</v>
      </c>
      <c r="L159" s="185"/>
      <c r="M159" s="187">
        <f t="shared" si="15"/>
        <v>0</v>
      </c>
    </row>
    <row r="160" spans="1:13" x14ac:dyDescent="0.25">
      <c r="A160" s="202"/>
      <c r="G160" s="173"/>
      <c r="H160" s="185">
        <v>155</v>
      </c>
      <c r="I160" s="186" t="str">
        <f t="shared" si="13"/>
        <v/>
      </c>
      <c r="J160" s="185" t="e">
        <f t="shared" si="17"/>
        <v>#NUM!</v>
      </c>
      <c r="K160" s="185" t="e">
        <f t="shared" si="14"/>
        <v>#NUM!</v>
      </c>
      <c r="L160" s="185"/>
      <c r="M160" s="187">
        <f t="shared" si="15"/>
        <v>0</v>
      </c>
    </row>
    <row r="161" spans="1:13" x14ac:dyDescent="0.25">
      <c r="A161" s="202"/>
      <c r="G161" s="173"/>
      <c r="H161" s="188">
        <v>156</v>
      </c>
      <c r="I161" s="186" t="str">
        <f t="shared" si="13"/>
        <v/>
      </c>
      <c r="J161" s="185" t="e">
        <f t="shared" si="17"/>
        <v>#NUM!</v>
      </c>
      <c r="K161" s="185" t="e">
        <f t="shared" si="14"/>
        <v>#NUM!</v>
      </c>
      <c r="L161" s="185"/>
      <c r="M161" s="187">
        <f t="shared" si="15"/>
        <v>0</v>
      </c>
    </row>
    <row r="162" spans="1:13" x14ac:dyDescent="0.25">
      <c r="A162" s="202"/>
      <c r="G162" s="173"/>
      <c r="H162" s="185">
        <v>157</v>
      </c>
      <c r="I162" s="186" t="str">
        <f t="shared" si="13"/>
        <v/>
      </c>
      <c r="J162" s="185" t="e">
        <f t="shared" si="17"/>
        <v>#NUM!</v>
      </c>
      <c r="K162" s="185" t="e">
        <f t="shared" si="14"/>
        <v>#NUM!</v>
      </c>
      <c r="L162" s="185"/>
      <c r="M162" s="187">
        <f t="shared" si="15"/>
        <v>0</v>
      </c>
    </row>
    <row r="163" spans="1:13" x14ac:dyDescent="0.25">
      <c r="A163" s="202"/>
      <c r="G163" s="173"/>
      <c r="H163" s="188">
        <v>158</v>
      </c>
      <c r="I163" s="186" t="str">
        <f t="shared" si="13"/>
        <v/>
      </c>
      <c r="J163" s="185" t="e">
        <f t="shared" si="17"/>
        <v>#NUM!</v>
      </c>
      <c r="K163" s="185" t="e">
        <f t="shared" si="14"/>
        <v>#NUM!</v>
      </c>
      <c r="L163" s="185"/>
      <c r="M163" s="187">
        <f t="shared" si="15"/>
        <v>0</v>
      </c>
    </row>
    <row r="164" spans="1:13" x14ac:dyDescent="0.25">
      <c r="A164" s="202"/>
      <c r="G164" s="173"/>
      <c r="H164" s="185">
        <v>159</v>
      </c>
      <c r="I164" s="186" t="str">
        <f t="shared" si="13"/>
        <v/>
      </c>
      <c r="J164" s="185" t="e">
        <f t="shared" si="17"/>
        <v>#NUM!</v>
      </c>
      <c r="K164" s="185" t="e">
        <f t="shared" si="14"/>
        <v>#NUM!</v>
      </c>
      <c r="L164" s="185"/>
      <c r="M164" s="187">
        <f t="shared" si="15"/>
        <v>0</v>
      </c>
    </row>
    <row r="165" spans="1:13" x14ac:dyDescent="0.25">
      <c r="A165" s="202"/>
      <c r="G165" s="173"/>
      <c r="H165" s="188">
        <v>160</v>
      </c>
      <c r="I165" s="186" t="str">
        <f t="shared" si="13"/>
        <v/>
      </c>
      <c r="J165" s="185" t="e">
        <f t="shared" si="17"/>
        <v>#NUM!</v>
      </c>
      <c r="K165" s="185" t="e">
        <f t="shared" si="14"/>
        <v>#NUM!</v>
      </c>
      <c r="L165" s="185"/>
      <c r="M165" s="187">
        <f t="shared" si="15"/>
        <v>0</v>
      </c>
    </row>
    <row r="166" spans="1:13" x14ac:dyDescent="0.25">
      <c r="A166" s="202"/>
      <c r="G166" s="173"/>
      <c r="H166" s="185">
        <v>161</v>
      </c>
      <c r="I166" s="186" t="str">
        <f t="shared" si="13"/>
        <v/>
      </c>
      <c r="J166" s="185" t="e">
        <f t="shared" si="17"/>
        <v>#NUM!</v>
      </c>
      <c r="K166" s="185" t="e">
        <f t="shared" si="14"/>
        <v>#NUM!</v>
      </c>
      <c r="L166" s="185"/>
      <c r="M166" s="187">
        <f t="shared" si="15"/>
        <v>0</v>
      </c>
    </row>
    <row r="167" spans="1:13" x14ac:dyDescent="0.25">
      <c r="A167" s="202"/>
      <c r="G167" s="173"/>
      <c r="H167" s="188">
        <v>162</v>
      </c>
      <c r="I167" s="186" t="str">
        <f t="shared" si="13"/>
        <v/>
      </c>
      <c r="J167" s="185" t="e">
        <f t="shared" si="17"/>
        <v>#NUM!</v>
      </c>
      <c r="K167" s="185" t="e">
        <f t="shared" si="14"/>
        <v>#NUM!</v>
      </c>
      <c r="L167" s="185"/>
      <c r="M167" s="187">
        <f t="shared" si="15"/>
        <v>0</v>
      </c>
    </row>
    <row r="168" spans="1:13" x14ac:dyDescent="0.25">
      <c r="A168" s="202"/>
      <c r="G168" s="173"/>
      <c r="H168" s="185">
        <v>163</v>
      </c>
      <c r="I168" s="186" t="str">
        <f t="shared" si="13"/>
        <v/>
      </c>
      <c r="J168" s="185" t="e">
        <f t="shared" si="17"/>
        <v>#NUM!</v>
      </c>
      <c r="K168" s="185" t="e">
        <f t="shared" si="14"/>
        <v>#NUM!</v>
      </c>
      <c r="L168" s="185"/>
      <c r="M168" s="187">
        <f t="shared" si="15"/>
        <v>0</v>
      </c>
    </row>
    <row r="169" spans="1:13" x14ac:dyDescent="0.25">
      <c r="A169" s="202"/>
      <c r="C169" s="201" t="s">
        <v>49</v>
      </c>
      <c r="G169" s="173"/>
      <c r="H169" s="188">
        <v>164</v>
      </c>
      <c r="I169" s="186" t="str">
        <f t="shared" si="13"/>
        <v/>
      </c>
      <c r="J169" s="185" t="e">
        <f t="shared" si="17"/>
        <v>#NUM!</v>
      </c>
      <c r="K169" s="185" t="e">
        <f t="shared" si="14"/>
        <v>#NUM!</v>
      </c>
      <c r="L169" s="185"/>
      <c r="M169" s="187">
        <f t="shared" si="15"/>
        <v>0</v>
      </c>
    </row>
    <row r="170" spans="1:13" x14ac:dyDescent="0.25">
      <c r="A170" s="202"/>
      <c r="G170" s="173"/>
      <c r="H170" s="185">
        <v>165</v>
      </c>
      <c r="I170" s="186" t="str">
        <f t="shared" si="13"/>
        <v/>
      </c>
      <c r="J170" s="185" t="e">
        <f t="shared" si="17"/>
        <v>#NUM!</v>
      </c>
      <c r="K170" s="185" t="e">
        <f t="shared" si="14"/>
        <v>#NUM!</v>
      </c>
      <c r="L170" s="185"/>
      <c r="M170" s="187">
        <f t="shared" si="15"/>
        <v>0</v>
      </c>
    </row>
    <row r="171" spans="1:13" x14ac:dyDescent="0.25">
      <c r="A171" s="202"/>
      <c r="G171" s="173"/>
      <c r="H171" s="188">
        <v>166</v>
      </c>
      <c r="I171" s="186" t="str">
        <f t="shared" si="13"/>
        <v/>
      </c>
      <c r="J171" s="185" t="e">
        <f t="shared" si="17"/>
        <v>#NUM!</v>
      </c>
      <c r="K171" s="185" t="e">
        <f t="shared" si="14"/>
        <v>#NUM!</v>
      </c>
      <c r="L171" s="185"/>
      <c r="M171" s="187">
        <f t="shared" si="15"/>
        <v>0</v>
      </c>
    </row>
    <row r="172" spans="1:13" x14ac:dyDescent="0.25">
      <c r="A172" s="202"/>
      <c r="G172" s="173"/>
      <c r="H172" s="185">
        <v>167</v>
      </c>
      <c r="I172" s="186" t="str">
        <f t="shared" si="13"/>
        <v/>
      </c>
      <c r="J172" s="185" t="e">
        <f t="shared" si="17"/>
        <v>#NUM!</v>
      </c>
      <c r="K172" s="185" t="e">
        <f t="shared" si="14"/>
        <v>#NUM!</v>
      </c>
      <c r="L172" s="185"/>
      <c r="M172" s="187">
        <f t="shared" si="15"/>
        <v>0</v>
      </c>
    </row>
    <row r="173" spans="1:13" x14ac:dyDescent="0.25">
      <c r="A173" s="202"/>
      <c r="G173" s="173"/>
      <c r="H173" s="188">
        <v>168</v>
      </c>
      <c r="I173" s="186" t="str">
        <f t="shared" si="13"/>
        <v/>
      </c>
      <c r="J173" s="185" t="e">
        <f t="shared" si="17"/>
        <v>#NUM!</v>
      </c>
      <c r="K173" s="185" t="e">
        <f t="shared" si="14"/>
        <v>#NUM!</v>
      </c>
      <c r="L173" s="185"/>
      <c r="M173" s="187">
        <f t="shared" si="15"/>
        <v>0</v>
      </c>
    </row>
    <row r="174" spans="1:13" x14ac:dyDescent="0.25">
      <c r="A174" s="202"/>
      <c r="G174" s="173"/>
      <c r="H174" s="185">
        <v>169</v>
      </c>
      <c r="I174" s="186" t="str">
        <f t="shared" si="13"/>
        <v/>
      </c>
      <c r="J174" s="185" t="e">
        <f t="shared" si="17"/>
        <v>#NUM!</v>
      </c>
      <c r="K174" s="185" t="e">
        <f t="shared" si="14"/>
        <v>#NUM!</v>
      </c>
      <c r="L174" s="185"/>
      <c r="M174" s="187">
        <f t="shared" si="15"/>
        <v>0</v>
      </c>
    </row>
    <row r="175" spans="1:13" x14ac:dyDescent="0.25">
      <c r="A175" s="202"/>
      <c r="G175" s="173"/>
      <c r="H175" s="188">
        <v>170</v>
      </c>
      <c r="I175" s="186" t="str">
        <f t="shared" si="13"/>
        <v/>
      </c>
      <c r="J175" s="185" t="e">
        <f t="shared" si="17"/>
        <v>#NUM!</v>
      </c>
      <c r="K175" s="185" t="e">
        <f t="shared" si="14"/>
        <v>#NUM!</v>
      </c>
      <c r="L175" s="185"/>
      <c r="M175" s="187">
        <f t="shared" si="15"/>
        <v>0</v>
      </c>
    </row>
    <row r="176" spans="1:13" x14ac:dyDescent="0.25">
      <c r="A176" s="202"/>
      <c r="G176" s="173"/>
      <c r="H176" s="185">
        <v>171</v>
      </c>
      <c r="I176" s="186" t="str">
        <f t="shared" si="13"/>
        <v/>
      </c>
      <c r="J176" s="185" t="e">
        <f t="shared" si="17"/>
        <v>#NUM!</v>
      </c>
      <c r="K176" s="185" t="e">
        <f t="shared" si="14"/>
        <v>#NUM!</v>
      </c>
      <c r="L176" s="185"/>
      <c r="M176" s="187">
        <f t="shared" si="15"/>
        <v>0</v>
      </c>
    </row>
    <row r="177" spans="1:13" x14ac:dyDescent="0.25">
      <c r="A177" s="202"/>
      <c r="G177" s="173"/>
      <c r="H177" s="188">
        <v>172</v>
      </c>
      <c r="I177" s="186" t="str">
        <f t="shared" si="13"/>
        <v/>
      </c>
      <c r="J177" s="185" t="e">
        <f t="shared" si="17"/>
        <v>#NUM!</v>
      </c>
      <c r="K177" s="185" t="e">
        <f t="shared" si="14"/>
        <v>#NUM!</v>
      </c>
      <c r="L177" s="185"/>
      <c r="M177" s="187">
        <f t="shared" si="15"/>
        <v>0</v>
      </c>
    </row>
    <row r="178" spans="1:13" x14ac:dyDescent="0.25">
      <c r="A178" s="202"/>
      <c r="G178" s="173"/>
      <c r="H178" s="185">
        <v>173</v>
      </c>
      <c r="I178" s="186" t="str">
        <f t="shared" si="13"/>
        <v/>
      </c>
      <c r="J178" s="185" t="e">
        <f t="shared" si="17"/>
        <v>#NUM!</v>
      </c>
      <c r="K178" s="185" t="e">
        <f t="shared" si="14"/>
        <v>#NUM!</v>
      </c>
      <c r="L178" s="185"/>
      <c r="M178" s="187">
        <f t="shared" si="15"/>
        <v>0</v>
      </c>
    </row>
    <row r="179" spans="1:13" x14ac:dyDescent="0.25">
      <c r="A179" s="202"/>
      <c r="G179" s="173"/>
      <c r="H179" s="188">
        <v>174</v>
      </c>
      <c r="I179" s="186" t="str">
        <f t="shared" si="13"/>
        <v/>
      </c>
      <c r="J179" s="185" t="e">
        <f t="shared" si="17"/>
        <v>#NUM!</v>
      </c>
      <c r="K179" s="185" t="e">
        <f t="shared" si="14"/>
        <v>#NUM!</v>
      </c>
      <c r="L179" s="185"/>
      <c r="M179" s="187">
        <f t="shared" si="15"/>
        <v>0</v>
      </c>
    </row>
    <row r="180" spans="1:13" x14ac:dyDescent="0.25">
      <c r="A180" s="202"/>
      <c r="G180" s="173"/>
      <c r="H180" s="185">
        <v>175</v>
      </c>
      <c r="I180" s="186" t="str">
        <f t="shared" si="13"/>
        <v/>
      </c>
      <c r="J180" s="185" t="e">
        <f t="shared" si="17"/>
        <v>#NUM!</v>
      </c>
      <c r="K180" s="185" t="e">
        <f t="shared" si="14"/>
        <v>#NUM!</v>
      </c>
      <c r="L180" s="185"/>
      <c r="M180" s="187">
        <f t="shared" si="15"/>
        <v>0</v>
      </c>
    </row>
    <row r="181" spans="1:13" x14ac:dyDescent="0.25">
      <c r="A181" s="202"/>
      <c r="G181" s="173"/>
      <c r="H181" s="188">
        <v>176</v>
      </c>
      <c r="I181" s="186" t="str">
        <f t="shared" si="13"/>
        <v/>
      </c>
      <c r="J181" s="185" t="e">
        <f t="shared" si="17"/>
        <v>#NUM!</v>
      </c>
      <c r="K181" s="185" t="e">
        <f t="shared" si="14"/>
        <v>#NUM!</v>
      </c>
      <c r="L181" s="185"/>
      <c r="M181" s="187">
        <f t="shared" si="15"/>
        <v>0</v>
      </c>
    </row>
    <row r="182" spans="1:13" x14ac:dyDescent="0.25">
      <c r="A182" s="202"/>
      <c r="G182" s="173"/>
      <c r="H182" s="185">
        <v>177</v>
      </c>
      <c r="I182" s="186" t="str">
        <f t="shared" si="13"/>
        <v/>
      </c>
      <c r="J182" s="185" t="e">
        <f t="shared" si="17"/>
        <v>#NUM!</v>
      </c>
      <c r="K182" s="185" t="e">
        <f t="shared" si="14"/>
        <v>#NUM!</v>
      </c>
      <c r="L182" s="185"/>
      <c r="M182" s="187">
        <f t="shared" si="15"/>
        <v>0</v>
      </c>
    </row>
    <row r="183" spans="1:13" x14ac:dyDescent="0.25">
      <c r="A183" s="202"/>
      <c r="G183" s="173"/>
      <c r="H183" s="188">
        <v>178</v>
      </c>
      <c r="I183" s="186" t="str">
        <f t="shared" si="13"/>
        <v/>
      </c>
      <c r="J183" s="185" t="e">
        <f t="shared" si="17"/>
        <v>#NUM!</v>
      </c>
      <c r="K183" s="185" t="e">
        <f t="shared" si="14"/>
        <v>#NUM!</v>
      </c>
      <c r="L183" s="185"/>
      <c r="M183" s="187">
        <f t="shared" si="15"/>
        <v>0</v>
      </c>
    </row>
    <row r="184" spans="1:13" x14ac:dyDescent="0.25">
      <c r="A184" s="202"/>
      <c r="G184" s="173"/>
      <c r="H184" s="185">
        <v>179</v>
      </c>
      <c r="I184" s="186" t="str">
        <f t="shared" si="13"/>
        <v/>
      </c>
      <c r="J184" s="185" t="e">
        <f t="shared" si="17"/>
        <v>#NUM!</v>
      </c>
      <c r="K184" s="185" t="e">
        <f t="shared" si="14"/>
        <v>#NUM!</v>
      </c>
      <c r="L184" s="185"/>
      <c r="M184" s="187">
        <f t="shared" si="15"/>
        <v>0</v>
      </c>
    </row>
    <row r="185" spans="1:13" x14ac:dyDescent="0.25">
      <c r="A185" s="202"/>
      <c r="G185" s="173"/>
      <c r="H185" s="188">
        <v>180</v>
      </c>
      <c r="I185" s="186" t="str">
        <f t="shared" si="13"/>
        <v/>
      </c>
      <c r="J185" s="185" t="e">
        <f t="shared" si="17"/>
        <v>#NUM!</v>
      </c>
      <c r="K185" s="185" t="e">
        <f t="shared" si="14"/>
        <v>#NUM!</v>
      </c>
      <c r="L185" s="185"/>
      <c r="M185" s="187">
        <f t="shared" si="15"/>
        <v>0</v>
      </c>
    </row>
    <row r="186" spans="1:13" x14ac:dyDescent="0.25">
      <c r="A186" s="202"/>
      <c r="G186" s="173"/>
      <c r="H186" s="185">
        <v>181</v>
      </c>
      <c r="I186" s="186" t="str">
        <f t="shared" si="13"/>
        <v/>
      </c>
      <c r="J186" s="185" t="e">
        <f t="shared" si="17"/>
        <v>#NUM!</v>
      </c>
      <c r="K186" s="185" t="e">
        <f t="shared" si="14"/>
        <v>#NUM!</v>
      </c>
      <c r="L186" s="185"/>
      <c r="M186" s="187">
        <f t="shared" si="15"/>
        <v>0</v>
      </c>
    </row>
    <row r="187" spans="1:13" x14ac:dyDescent="0.25">
      <c r="A187" s="202"/>
      <c r="G187" s="173"/>
      <c r="H187" s="188">
        <v>182</v>
      </c>
      <c r="I187" s="186" t="str">
        <f t="shared" si="13"/>
        <v/>
      </c>
      <c r="J187" s="185" t="e">
        <f t="shared" si="17"/>
        <v>#NUM!</v>
      </c>
      <c r="K187" s="185" t="e">
        <f t="shared" si="14"/>
        <v>#NUM!</v>
      </c>
      <c r="L187" s="185"/>
      <c r="M187" s="187">
        <f t="shared" si="15"/>
        <v>0</v>
      </c>
    </row>
    <row r="188" spans="1:13" x14ac:dyDescent="0.25">
      <c r="A188" s="202"/>
      <c r="G188" s="173"/>
      <c r="H188" s="185">
        <v>183</v>
      </c>
      <c r="I188" s="186" t="str">
        <f t="shared" si="13"/>
        <v/>
      </c>
      <c r="J188" s="185" t="e">
        <f t="shared" si="17"/>
        <v>#NUM!</v>
      </c>
      <c r="K188" s="185" t="e">
        <f t="shared" si="14"/>
        <v>#NUM!</v>
      </c>
      <c r="L188" s="185"/>
      <c r="M188" s="187">
        <f t="shared" si="15"/>
        <v>0</v>
      </c>
    </row>
    <row r="189" spans="1:13" x14ac:dyDescent="0.25">
      <c r="A189" s="202"/>
      <c r="G189" s="173"/>
      <c r="H189" s="188">
        <v>184</v>
      </c>
      <c r="I189" s="186" t="str">
        <f t="shared" si="13"/>
        <v/>
      </c>
      <c r="J189" s="185" t="e">
        <f t="shared" si="17"/>
        <v>#NUM!</v>
      </c>
      <c r="K189" s="185" t="e">
        <f t="shared" si="14"/>
        <v>#NUM!</v>
      </c>
      <c r="L189" s="185"/>
      <c r="M189" s="187">
        <f t="shared" si="15"/>
        <v>0</v>
      </c>
    </row>
    <row r="190" spans="1:13" x14ac:dyDescent="0.25">
      <c r="A190" s="202"/>
      <c r="G190" s="173"/>
      <c r="H190" s="185">
        <v>185</v>
      </c>
      <c r="I190" s="186" t="str">
        <f t="shared" si="13"/>
        <v/>
      </c>
      <c r="J190" s="185" t="e">
        <f t="shared" si="17"/>
        <v>#NUM!</v>
      </c>
      <c r="K190" s="185" t="e">
        <f t="shared" si="14"/>
        <v>#NUM!</v>
      </c>
      <c r="L190" s="185"/>
      <c r="M190" s="187">
        <f t="shared" si="15"/>
        <v>0</v>
      </c>
    </row>
    <row r="191" spans="1:13" x14ac:dyDescent="0.25">
      <c r="A191" s="202"/>
      <c r="G191" s="173"/>
      <c r="H191" s="188">
        <v>186</v>
      </c>
      <c r="I191" s="186" t="str">
        <f t="shared" si="13"/>
        <v/>
      </c>
      <c r="J191" s="185" t="e">
        <f t="shared" si="17"/>
        <v>#NUM!</v>
      </c>
      <c r="K191" s="185" t="e">
        <f t="shared" si="14"/>
        <v>#NUM!</v>
      </c>
      <c r="L191" s="185"/>
      <c r="M191" s="187">
        <f t="shared" si="15"/>
        <v>0</v>
      </c>
    </row>
    <row r="192" spans="1:13" x14ac:dyDescent="0.25">
      <c r="A192" s="202"/>
      <c r="G192" s="173"/>
      <c r="H192" s="185">
        <v>187</v>
      </c>
      <c r="I192" s="186" t="str">
        <f t="shared" si="13"/>
        <v/>
      </c>
      <c r="J192" s="185" t="e">
        <f t="shared" si="17"/>
        <v>#NUM!</v>
      </c>
      <c r="K192" s="185" t="e">
        <f t="shared" si="14"/>
        <v>#NUM!</v>
      </c>
      <c r="L192" s="185"/>
      <c r="M192" s="187">
        <f t="shared" si="15"/>
        <v>0</v>
      </c>
    </row>
    <row r="193" spans="1:13" x14ac:dyDescent="0.25">
      <c r="A193" s="202"/>
      <c r="G193" s="173"/>
      <c r="H193" s="188">
        <v>188</v>
      </c>
      <c r="I193" s="186" t="str">
        <f t="shared" si="13"/>
        <v/>
      </c>
      <c r="J193" s="185" t="e">
        <f t="shared" si="17"/>
        <v>#NUM!</v>
      </c>
      <c r="K193" s="185" t="e">
        <f t="shared" si="14"/>
        <v>#NUM!</v>
      </c>
      <c r="L193" s="185"/>
      <c r="M193" s="187">
        <f t="shared" si="15"/>
        <v>0</v>
      </c>
    </row>
    <row r="194" spans="1:13" x14ac:dyDescent="0.25">
      <c r="A194" s="202"/>
      <c r="G194" s="173"/>
      <c r="H194" s="185">
        <v>189</v>
      </c>
      <c r="I194" s="186" t="str">
        <f t="shared" si="13"/>
        <v/>
      </c>
      <c r="J194" s="185" t="e">
        <f t="shared" si="17"/>
        <v>#NUM!</v>
      </c>
      <c r="K194" s="185" t="e">
        <f t="shared" si="14"/>
        <v>#NUM!</v>
      </c>
      <c r="L194" s="185"/>
      <c r="M194" s="187">
        <f t="shared" si="15"/>
        <v>0</v>
      </c>
    </row>
    <row r="195" spans="1:13" x14ac:dyDescent="0.25">
      <c r="A195" s="202"/>
      <c r="G195" s="173"/>
      <c r="H195" s="188">
        <v>190</v>
      </c>
      <c r="I195" s="186" t="str">
        <f t="shared" si="13"/>
        <v/>
      </c>
      <c r="J195" s="185" t="e">
        <f t="shared" si="17"/>
        <v>#NUM!</v>
      </c>
      <c r="K195" s="185" t="e">
        <f t="shared" si="14"/>
        <v>#NUM!</v>
      </c>
      <c r="L195" s="185"/>
      <c r="M195" s="187">
        <f t="shared" si="15"/>
        <v>0</v>
      </c>
    </row>
    <row r="196" spans="1:13" x14ac:dyDescent="0.25">
      <c r="A196" s="202"/>
      <c r="G196" s="173"/>
      <c r="H196" s="185">
        <v>191</v>
      </c>
      <c r="I196" s="186" t="str">
        <f t="shared" si="13"/>
        <v/>
      </c>
      <c r="J196" s="185" t="e">
        <f t="shared" si="17"/>
        <v>#NUM!</v>
      </c>
      <c r="K196" s="185" t="e">
        <f t="shared" si="14"/>
        <v>#NUM!</v>
      </c>
      <c r="L196" s="185"/>
      <c r="M196" s="187">
        <f t="shared" si="15"/>
        <v>0</v>
      </c>
    </row>
    <row r="197" spans="1:13" x14ac:dyDescent="0.25">
      <c r="A197" s="202"/>
      <c r="G197" s="173"/>
      <c r="H197" s="188">
        <v>192</v>
      </c>
      <c r="I197" s="186" t="str">
        <f t="shared" si="13"/>
        <v/>
      </c>
      <c r="J197" s="185" t="e">
        <f t="shared" si="17"/>
        <v>#NUM!</v>
      </c>
      <c r="K197" s="185" t="e">
        <f t="shared" si="14"/>
        <v>#NUM!</v>
      </c>
      <c r="L197" s="185"/>
      <c r="M197" s="187">
        <f t="shared" si="15"/>
        <v>0</v>
      </c>
    </row>
    <row r="198" spans="1:13" x14ac:dyDescent="0.25">
      <c r="A198" s="202"/>
      <c r="G198" s="173"/>
      <c r="H198" s="185">
        <v>193</v>
      </c>
      <c r="I198" s="186" t="str">
        <f t="shared" ref="I198:I261" si="18">IF(H198&lt;$H$2+1,($I$2-($I$2-1)*(LOG(H198)/LOG($H$2))),"")</f>
        <v/>
      </c>
      <c r="J198" s="185" t="e">
        <f t="shared" si="17"/>
        <v>#NUM!</v>
      </c>
      <c r="K198" s="185" t="e">
        <f t="shared" ref="K198:K261" si="19">J198*$J$2</f>
        <v>#NUM!</v>
      </c>
      <c r="L198" s="185"/>
      <c r="M198" s="187">
        <f t="shared" ref="M198:M261" si="20">IF(I198&lt;&gt;"",K198+I198+L198,0)</f>
        <v>0</v>
      </c>
    </row>
    <row r="199" spans="1:13" x14ac:dyDescent="0.25">
      <c r="A199" s="202"/>
      <c r="G199" s="173"/>
      <c r="H199" s="188">
        <v>194</v>
      </c>
      <c r="I199" s="186" t="str">
        <f t="shared" si="18"/>
        <v/>
      </c>
      <c r="J199" s="185" t="e">
        <f t="shared" ref="J199:J262" si="21">INT(LOG($H$2,2))-ROUNDUP(LOG(H199,2),0)+IF(OR($H$2=1,$H$2=2,$H$2=4,$H$2=8,$H$2=16,$H$2=32,$H$2=64,$H$2=128,$H$2=256),0,1)</f>
        <v>#NUM!</v>
      </c>
      <c r="K199" s="185" t="e">
        <f t="shared" si="19"/>
        <v>#NUM!</v>
      </c>
      <c r="L199" s="185"/>
      <c r="M199" s="187">
        <f t="shared" si="20"/>
        <v>0</v>
      </c>
    </row>
    <row r="200" spans="1:13" x14ac:dyDescent="0.25">
      <c r="A200" s="202"/>
      <c r="G200" s="173"/>
      <c r="H200" s="185">
        <v>195</v>
      </c>
      <c r="I200" s="186" t="str">
        <f t="shared" si="18"/>
        <v/>
      </c>
      <c r="J200" s="185" t="e">
        <f t="shared" si="21"/>
        <v>#NUM!</v>
      </c>
      <c r="K200" s="185" t="e">
        <f t="shared" si="19"/>
        <v>#NUM!</v>
      </c>
      <c r="L200" s="185"/>
      <c r="M200" s="187">
        <f t="shared" si="20"/>
        <v>0</v>
      </c>
    </row>
    <row r="201" spans="1:13" x14ac:dyDescent="0.25">
      <c r="A201" s="202"/>
      <c r="G201" s="173"/>
      <c r="H201" s="188">
        <v>196</v>
      </c>
      <c r="I201" s="186" t="str">
        <f t="shared" si="18"/>
        <v/>
      </c>
      <c r="J201" s="185" t="e">
        <f t="shared" si="21"/>
        <v>#NUM!</v>
      </c>
      <c r="K201" s="185" t="e">
        <f t="shared" si="19"/>
        <v>#NUM!</v>
      </c>
      <c r="L201" s="185"/>
      <c r="M201" s="187">
        <f t="shared" si="20"/>
        <v>0</v>
      </c>
    </row>
    <row r="202" spans="1:13" x14ac:dyDescent="0.25">
      <c r="A202" s="202"/>
      <c r="G202" s="173"/>
      <c r="H202" s="185">
        <v>197</v>
      </c>
      <c r="I202" s="186" t="str">
        <f t="shared" si="18"/>
        <v/>
      </c>
      <c r="J202" s="185" t="e">
        <f t="shared" si="21"/>
        <v>#NUM!</v>
      </c>
      <c r="K202" s="185" t="e">
        <f t="shared" si="19"/>
        <v>#NUM!</v>
      </c>
      <c r="L202" s="185"/>
      <c r="M202" s="187">
        <f t="shared" si="20"/>
        <v>0</v>
      </c>
    </row>
    <row r="203" spans="1:13" x14ac:dyDescent="0.25">
      <c r="A203" s="202"/>
      <c r="G203" s="173"/>
      <c r="H203" s="188">
        <v>198</v>
      </c>
      <c r="I203" s="186" t="str">
        <f t="shared" si="18"/>
        <v/>
      </c>
      <c r="J203" s="185" t="e">
        <f t="shared" si="21"/>
        <v>#NUM!</v>
      </c>
      <c r="K203" s="185" t="e">
        <f t="shared" si="19"/>
        <v>#NUM!</v>
      </c>
      <c r="L203" s="185"/>
      <c r="M203" s="187">
        <f t="shared" si="20"/>
        <v>0</v>
      </c>
    </row>
    <row r="204" spans="1:13" x14ac:dyDescent="0.25">
      <c r="A204" s="202"/>
      <c r="G204" s="173"/>
      <c r="H204" s="185">
        <v>199</v>
      </c>
      <c r="I204" s="186" t="str">
        <f t="shared" si="18"/>
        <v/>
      </c>
      <c r="J204" s="185" t="e">
        <f t="shared" si="21"/>
        <v>#NUM!</v>
      </c>
      <c r="K204" s="185" t="e">
        <f t="shared" si="19"/>
        <v>#NUM!</v>
      </c>
      <c r="L204" s="185"/>
      <c r="M204" s="187">
        <f t="shared" si="20"/>
        <v>0</v>
      </c>
    </row>
    <row r="205" spans="1:13" x14ac:dyDescent="0.25">
      <c r="A205" s="202"/>
      <c r="G205" s="173"/>
      <c r="H205" s="188">
        <v>200</v>
      </c>
      <c r="I205" s="186" t="str">
        <f t="shared" si="18"/>
        <v/>
      </c>
      <c r="J205" s="185" t="e">
        <f t="shared" si="21"/>
        <v>#NUM!</v>
      </c>
      <c r="K205" s="185" t="e">
        <f t="shared" si="19"/>
        <v>#NUM!</v>
      </c>
      <c r="L205" s="185"/>
      <c r="M205" s="187">
        <f t="shared" si="20"/>
        <v>0</v>
      </c>
    </row>
    <row r="206" spans="1:13" x14ac:dyDescent="0.25">
      <c r="A206" s="202"/>
      <c r="G206" s="173"/>
      <c r="H206" s="185">
        <v>201</v>
      </c>
      <c r="I206" s="186" t="str">
        <f t="shared" si="18"/>
        <v/>
      </c>
      <c r="J206" s="185" t="e">
        <f t="shared" si="21"/>
        <v>#NUM!</v>
      </c>
      <c r="K206" s="185" t="e">
        <f t="shared" si="19"/>
        <v>#NUM!</v>
      </c>
      <c r="L206" s="185"/>
      <c r="M206" s="187">
        <f t="shared" si="20"/>
        <v>0</v>
      </c>
    </row>
    <row r="207" spans="1:13" x14ac:dyDescent="0.25">
      <c r="A207" s="202"/>
      <c r="G207" s="173"/>
      <c r="H207" s="188">
        <v>202</v>
      </c>
      <c r="I207" s="186" t="str">
        <f t="shared" si="18"/>
        <v/>
      </c>
      <c r="J207" s="185" t="e">
        <f t="shared" si="21"/>
        <v>#NUM!</v>
      </c>
      <c r="K207" s="185" t="e">
        <f t="shared" si="19"/>
        <v>#NUM!</v>
      </c>
      <c r="L207" s="185"/>
      <c r="M207" s="187">
        <f t="shared" si="20"/>
        <v>0</v>
      </c>
    </row>
    <row r="208" spans="1:13" x14ac:dyDescent="0.25">
      <c r="A208" s="202"/>
      <c r="G208" s="173"/>
      <c r="H208" s="185">
        <v>203</v>
      </c>
      <c r="I208" s="186" t="str">
        <f t="shared" si="18"/>
        <v/>
      </c>
      <c r="J208" s="185" t="e">
        <f t="shared" si="21"/>
        <v>#NUM!</v>
      </c>
      <c r="K208" s="185" t="e">
        <f t="shared" si="19"/>
        <v>#NUM!</v>
      </c>
      <c r="L208" s="185"/>
      <c r="M208" s="187">
        <f t="shared" si="20"/>
        <v>0</v>
      </c>
    </row>
    <row r="209" spans="1:13" x14ac:dyDescent="0.25">
      <c r="A209" s="202"/>
      <c r="G209" s="173"/>
      <c r="H209" s="188">
        <v>204</v>
      </c>
      <c r="I209" s="186" t="str">
        <f t="shared" si="18"/>
        <v/>
      </c>
      <c r="J209" s="185" t="e">
        <f t="shared" si="21"/>
        <v>#NUM!</v>
      </c>
      <c r="K209" s="185" t="e">
        <f t="shared" si="19"/>
        <v>#NUM!</v>
      </c>
      <c r="L209" s="185"/>
      <c r="M209" s="187">
        <f t="shared" si="20"/>
        <v>0</v>
      </c>
    </row>
    <row r="210" spans="1:13" x14ac:dyDescent="0.25">
      <c r="A210" s="202"/>
      <c r="G210" s="173"/>
      <c r="H210" s="185">
        <v>205</v>
      </c>
      <c r="I210" s="186" t="str">
        <f t="shared" si="18"/>
        <v/>
      </c>
      <c r="J210" s="185" t="e">
        <f t="shared" si="21"/>
        <v>#NUM!</v>
      </c>
      <c r="K210" s="185" t="e">
        <f t="shared" si="19"/>
        <v>#NUM!</v>
      </c>
      <c r="L210" s="185"/>
      <c r="M210" s="187">
        <f t="shared" si="20"/>
        <v>0</v>
      </c>
    </row>
    <row r="211" spans="1:13" x14ac:dyDescent="0.25">
      <c r="A211" s="202"/>
      <c r="G211" s="173"/>
      <c r="H211" s="188">
        <v>206</v>
      </c>
      <c r="I211" s="186" t="str">
        <f t="shared" si="18"/>
        <v/>
      </c>
      <c r="J211" s="185" t="e">
        <f t="shared" si="21"/>
        <v>#NUM!</v>
      </c>
      <c r="K211" s="185" t="e">
        <f t="shared" si="19"/>
        <v>#NUM!</v>
      </c>
      <c r="L211" s="185"/>
      <c r="M211" s="187">
        <f t="shared" si="20"/>
        <v>0</v>
      </c>
    </row>
    <row r="212" spans="1:13" x14ac:dyDescent="0.25">
      <c r="A212" s="202"/>
      <c r="G212" s="173"/>
      <c r="H212" s="185">
        <v>207</v>
      </c>
      <c r="I212" s="186" t="str">
        <f t="shared" si="18"/>
        <v/>
      </c>
      <c r="J212" s="185" t="e">
        <f t="shared" si="21"/>
        <v>#NUM!</v>
      </c>
      <c r="K212" s="185" t="e">
        <f t="shared" si="19"/>
        <v>#NUM!</v>
      </c>
      <c r="L212" s="185"/>
      <c r="M212" s="187">
        <f t="shared" si="20"/>
        <v>0</v>
      </c>
    </row>
    <row r="213" spans="1:13" x14ac:dyDescent="0.25">
      <c r="A213" s="202"/>
      <c r="G213" s="173"/>
      <c r="H213" s="188">
        <v>208</v>
      </c>
      <c r="I213" s="186" t="str">
        <f t="shared" si="18"/>
        <v/>
      </c>
      <c r="J213" s="185" t="e">
        <f t="shared" si="21"/>
        <v>#NUM!</v>
      </c>
      <c r="K213" s="185" t="e">
        <f t="shared" si="19"/>
        <v>#NUM!</v>
      </c>
      <c r="L213" s="185"/>
      <c r="M213" s="187">
        <f t="shared" si="20"/>
        <v>0</v>
      </c>
    </row>
    <row r="214" spans="1:13" x14ac:dyDescent="0.25">
      <c r="A214" s="202"/>
      <c r="G214" s="173"/>
      <c r="H214" s="185">
        <v>209</v>
      </c>
      <c r="I214" s="186" t="str">
        <f t="shared" si="18"/>
        <v/>
      </c>
      <c r="J214" s="185" t="e">
        <f t="shared" si="21"/>
        <v>#NUM!</v>
      </c>
      <c r="K214" s="185" t="e">
        <f t="shared" si="19"/>
        <v>#NUM!</v>
      </c>
      <c r="L214" s="185"/>
      <c r="M214" s="187">
        <f t="shared" si="20"/>
        <v>0</v>
      </c>
    </row>
    <row r="215" spans="1:13" x14ac:dyDescent="0.25">
      <c r="A215" s="202"/>
      <c r="G215" s="173"/>
      <c r="H215" s="188">
        <v>210</v>
      </c>
      <c r="I215" s="186" t="str">
        <f t="shared" si="18"/>
        <v/>
      </c>
      <c r="J215" s="185" t="e">
        <f t="shared" si="21"/>
        <v>#NUM!</v>
      </c>
      <c r="K215" s="185" t="e">
        <f t="shared" si="19"/>
        <v>#NUM!</v>
      </c>
      <c r="L215" s="185"/>
      <c r="M215" s="187">
        <f t="shared" si="20"/>
        <v>0</v>
      </c>
    </row>
    <row r="216" spans="1:13" x14ac:dyDescent="0.25">
      <c r="A216" s="202"/>
      <c r="G216" s="173"/>
      <c r="H216" s="185">
        <v>211</v>
      </c>
      <c r="I216" s="186" t="str">
        <f t="shared" si="18"/>
        <v/>
      </c>
      <c r="J216" s="185" t="e">
        <f t="shared" si="21"/>
        <v>#NUM!</v>
      </c>
      <c r="K216" s="185" t="e">
        <f t="shared" si="19"/>
        <v>#NUM!</v>
      </c>
      <c r="L216" s="185"/>
      <c r="M216" s="187">
        <f t="shared" si="20"/>
        <v>0</v>
      </c>
    </row>
    <row r="217" spans="1:13" x14ac:dyDescent="0.25">
      <c r="A217" s="202"/>
      <c r="G217" s="173"/>
      <c r="H217" s="188">
        <v>212</v>
      </c>
      <c r="I217" s="186" t="str">
        <f t="shared" si="18"/>
        <v/>
      </c>
      <c r="J217" s="185" t="e">
        <f t="shared" si="21"/>
        <v>#NUM!</v>
      </c>
      <c r="K217" s="185" t="e">
        <f t="shared" si="19"/>
        <v>#NUM!</v>
      </c>
      <c r="L217" s="185"/>
      <c r="M217" s="187">
        <f t="shared" si="20"/>
        <v>0</v>
      </c>
    </row>
    <row r="218" spans="1:13" x14ac:dyDescent="0.25">
      <c r="A218" s="202"/>
      <c r="G218" s="173"/>
      <c r="H218" s="185">
        <v>213</v>
      </c>
      <c r="I218" s="186" t="str">
        <f t="shared" si="18"/>
        <v/>
      </c>
      <c r="J218" s="185" t="e">
        <f t="shared" si="21"/>
        <v>#NUM!</v>
      </c>
      <c r="K218" s="185" t="e">
        <f t="shared" si="19"/>
        <v>#NUM!</v>
      </c>
      <c r="L218" s="185"/>
      <c r="M218" s="187">
        <f t="shared" si="20"/>
        <v>0</v>
      </c>
    </row>
    <row r="219" spans="1:13" x14ac:dyDescent="0.25">
      <c r="A219" s="202"/>
      <c r="G219" s="173"/>
      <c r="H219" s="188">
        <v>214</v>
      </c>
      <c r="I219" s="186" t="str">
        <f t="shared" si="18"/>
        <v/>
      </c>
      <c r="J219" s="185" t="e">
        <f t="shared" si="21"/>
        <v>#NUM!</v>
      </c>
      <c r="K219" s="185" t="e">
        <f t="shared" si="19"/>
        <v>#NUM!</v>
      </c>
      <c r="L219" s="185"/>
      <c r="M219" s="187">
        <f t="shared" si="20"/>
        <v>0</v>
      </c>
    </row>
    <row r="220" spans="1:13" x14ac:dyDescent="0.25">
      <c r="A220" s="202"/>
      <c r="G220" s="173"/>
      <c r="H220" s="185">
        <v>215</v>
      </c>
      <c r="I220" s="186" t="str">
        <f t="shared" si="18"/>
        <v/>
      </c>
      <c r="J220" s="185" t="e">
        <f t="shared" si="21"/>
        <v>#NUM!</v>
      </c>
      <c r="K220" s="185" t="e">
        <f t="shared" si="19"/>
        <v>#NUM!</v>
      </c>
      <c r="L220" s="185"/>
      <c r="M220" s="187">
        <f t="shared" si="20"/>
        <v>0</v>
      </c>
    </row>
    <row r="221" spans="1:13" x14ac:dyDescent="0.25">
      <c r="A221" s="202"/>
      <c r="G221" s="173"/>
      <c r="H221" s="188">
        <v>216</v>
      </c>
      <c r="I221" s="186" t="str">
        <f t="shared" si="18"/>
        <v/>
      </c>
      <c r="J221" s="185" t="e">
        <f t="shared" si="21"/>
        <v>#NUM!</v>
      </c>
      <c r="K221" s="185" t="e">
        <f t="shared" si="19"/>
        <v>#NUM!</v>
      </c>
      <c r="L221" s="185"/>
      <c r="M221" s="187">
        <f t="shared" si="20"/>
        <v>0</v>
      </c>
    </row>
    <row r="222" spans="1:13" x14ac:dyDescent="0.25">
      <c r="A222" s="202"/>
      <c r="G222" s="173"/>
      <c r="H222" s="185">
        <v>217</v>
      </c>
      <c r="I222" s="186" t="str">
        <f t="shared" si="18"/>
        <v/>
      </c>
      <c r="J222" s="185" t="e">
        <f t="shared" si="21"/>
        <v>#NUM!</v>
      </c>
      <c r="K222" s="185" t="e">
        <f t="shared" si="19"/>
        <v>#NUM!</v>
      </c>
      <c r="L222" s="185"/>
      <c r="M222" s="187">
        <f t="shared" si="20"/>
        <v>0</v>
      </c>
    </row>
    <row r="223" spans="1:13" x14ac:dyDescent="0.25">
      <c r="A223" s="202"/>
      <c r="G223" s="173"/>
      <c r="H223" s="188">
        <v>218</v>
      </c>
      <c r="I223" s="186" t="str">
        <f t="shared" si="18"/>
        <v/>
      </c>
      <c r="J223" s="185" t="e">
        <f t="shared" si="21"/>
        <v>#NUM!</v>
      </c>
      <c r="K223" s="185" t="e">
        <f t="shared" si="19"/>
        <v>#NUM!</v>
      </c>
      <c r="L223" s="185"/>
      <c r="M223" s="187">
        <f t="shared" si="20"/>
        <v>0</v>
      </c>
    </row>
    <row r="224" spans="1:13" x14ac:dyDescent="0.25">
      <c r="A224" s="202"/>
      <c r="G224" s="173"/>
      <c r="H224" s="185">
        <v>219</v>
      </c>
      <c r="I224" s="186" t="str">
        <f t="shared" si="18"/>
        <v/>
      </c>
      <c r="J224" s="185" t="e">
        <f t="shared" si="21"/>
        <v>#NUM!</v>
      </c>
      <c r="K224" s="185" t="e">
        <f t="shared" si="19"/>
        <v>#NUM!</v>
      </c>
      <c r="L224" s="185"/>
      <c r="M224" s="187">
        <f t="shared" si="20"/>
        <v>0</v>
      </c>
    </row>
    <row r="225" spans="1:13" x14ac:dyDescent="0.25">
      <c r="A225" s="202"/>
      <c r="G225" s="173"/>
      <c r="H225" s="188">
        <v>220</v>
      </c>
      <c r="I225" s="186" t="str">
        <f t="shared" si="18"/>
        <v/>
      </c>
      <c r="J225" s="185" t="e">
        <f t="shared" si="21"/>
        <v>#NUM!</v>
      </c>
      <c r="K225" s="185" t="e">
        <f t="shared" si="19"/>
        <v>#NUM!</v>
      </c>
      <c r="L225" s="185"/>
      <c r="M225" s="187">
        <f t="shared" si="20"/>
        <v>0</v>
      </c>
    </row>
    <row r="226" spans="1:13" x14ac:dyDescent="0.25">
      <c r="A226" s="202"/>
      <c r="G226" s="173"/>
      <c r="H226" s="185">
        <v>221</v>
      </c>
      <c r="I226" s="186" t="str">
        <f t="shared" si="18"/>
        <v/>
      </c>
      <c r="J226" s="185" t="e">
        <f t="shared" si="21"/>
        <v>#NUM!</v>
      </c>
      <c r="K226" s="185" t="e">
        <f t="shared" si="19"/>
        <v>#NUM!</v>
      </c>
      <c r="L226" s="185"/>
      <c r="M226" s="187">
        <f t="shared" si="20"/>
        <v>0</v>
      </c>
    </row>
    <row r="227" spans="1:13" x14ac:dyDescent="0.25">
      <c r="A227" s="202"/>
      <c r="G227" s="173"/>
      <c r="H227" s="188">
        <v>222</v>
      </c>
      <c r="I227" s="186" t="str">
        <f t="shared" si="18"/>
        <v/>
      </c>
      <c r="J227" s="185" t="e">
        <f t="shared" si="21"/>
        <v>#NUM!</v>
      </c>
      <c r="K227" s="185" t="e">
        <f t="shared" si="19"/>
        <v>#NUM!</v>
      </c>
      <c r="L227" s="185"/>
      <c r="M227" s="187">
        <f t="shared" si="20"/>
        <v>0</v>
      </c>
    </row>
    <row r="228" spans="1:13" x14ac:dyDescent="0.25">
      <c r="A228" s="202"/>
      <c r="G228" s="173"/>
      <c r="H228" s="185">
        <v>223</v>
      </c>
      <c r="I228" s="186" t="str">
        <f t="shared" si="18"/>
        <v/>
      </c>
      <c r="J228" s="185" t="e">
        <f t="shared" si="21"/>
        <v>#NUM!</v>
      </c>
      <c r="K228" s="185" t="e">
        <f t="shared" si="19"/>
        <v>#NUM!</v>
      </c>
      <c r="L228" s="185"/>
      <c r="M228" s="187">
        <f t="shared" si="20"/>
        <v>0</v>
      </c>
    </row>
    <row r="229" spans="1:13" x14ac:dyDescent="0.25">
      <c r="A229" s="202"/>
      <c r="G229" s="173"/>
      <c r="H229" s="188">
        <v>224</v>
      </c>
      <c r="I229" s="186" t="str">
        <f t="shared" si="18"/>
        <v/>
      </c>
      <c r="J229" s="185" t="e">
        <f t="shared" si="21"/>
        <v>#NUM!</v>
      </c>
      <c r="K229" s="185" t="e">
        <f t="shared" si="19"/>
        <v>#NUM!</v>
      </c>
      <c r="L229" s="185"/>
      <c r="M229" s="187">
        <f t="shared" si="20"/>
        <v>0</v>
      </c>
    </row>
    <row r="230" spans="1:13" x14ac:dyDescent="0.25">
      <c r="A230" s="202"/>
      <c r="G230" s="173"/>
      <c r="H230" s="185">
        <v>225</v>
      </c>
      <c r="I230" s="186" t="str">
        <f t="shared" si="18"/>
        <v/>
      </c>
      <c r="J230" s="185" t="e">
        <f t="shared" si="21"/>
        <v>#NUM!</v>
      </c>
      <c r="K230" s="185" t="e">
        <f t="shared" si="19"/>
        <v>#NUM!</v>
      </c>
      <c r="L230" s="185"/>
      <c r="M230" s="187">
        <f t="shared" si="20"/>
        <v>0</v>
      </c>
    </row>
    <row r="231" spans="1:13" x14ac:dyDescent="0.25">
      <c r="A231" s="202"/>
      <c r="G231" s="173"/>
      <c r="H231" s="188">
        <v>226</v>
      </c>
      <c r="I231" s="186" t="str">
        <f t="shared" si="18"/>
        <v/>
      </c>
      <c r="J231" s="185" t="e">
        <f t="shared" si="21"/>
        <v>#NUM!</v>
      </c>
      <c r="K231" s="185" t="e">
        <f t="shared" si="19"/>
        <v>#NUM!</v>
      </c>
      <c r="L231" s="185"/>
      <c r="M231" s="187">
        <f t="shared" si="20"/>
        <v>0</v>
      </c>
    </row>
    <row r="232" spans="1:13" x14ac:dyDescent="0.25">
      <c r="A232" s="202"/>
      <c r="G232" s="173"/>
      <c r="H232" s="185">
        <v>227</v>
      </c>
      <c r="I232" s="186" t="str">
        <f t="shared" si="18"/>
        <v/>
      </c>
      <c r="J232" s="185" t="e">
        <f t="shared" si="21"/>
        <v>#NUM!</v>
      </c>
      <c r="K232" s="185" t="e">
        <f t="shared" si="19"/>
        <v>#NUM!</v>
      </c>
      <c r="L232" s="185"/>
      <c r="M232" s="187">
        <f t="shared" si="20"/>
        <v>0</v>
      </c>
    </row>
    <row r="233" spans="1:13" x14ac:dyDescent="0.25">
      <c r="A233" s="202"/>
      <c r="G233" s="173"/>
      <c r="H233" s="188">
        <v>228</v>
      </c>
      <c r="I233" s="186" t="str">
        <f t="shared" si="18"/>
        <v/>
      </c>
      <c r="J233" s="185" t="e">
        <f t="shared" si="21"/>
        <v>#NUM!</v>
      </c>
      <c r="K233" s="185" t="e">
        <f t="shared" si="19"/>
        <v>#NUM!</v>
      </c>
      <c r="L233" s="185"/>
      <c r="M233" s="187">
        <f t="shared" si="20"/>
        <v>0</v>
      </c>
    </row>
    <row r="234" spans="1:13" x14ac:dyDescent="0.25">
      <c r="A234" s="202"/>
      <c r="G234" s="173"/>
      <c r="H234" s="185">
        <v>229</v>
      </c>
      <c r="I234" s="186" t="str">
        <f t="shared" si="18"/>
        <v/>
      </c>
      <c r="J234" s="185" t="e">
        <f t="shared" si="21"/>
        <v>#NUM!</v>
      </c>
      <c r="K234" s="185" t="e">
        <f t="shared" si="19"/>
        <v>#NUM!</v>
      </c>
      <c r="L234" s="185"/>
      <c r="M234" s="187">
        <f t="shared" si="20"/>
        <v>0</v>
      </c>
    </row>
    <row r="235" spans="1:13" x14ac:dyDescent="0.25">
      <c r="A235" s="202"/>
      <c r="G235" s="173"/>
      <c r="H235" s="188">
        <v>230</v>
      </c>
      <c r="I235" s="186" t="str">
        <f t="shared" si="18"/>
        <v/>
      </c>
      <c r="J235" s="185" t="e">
        <f t="shared" si="21"/>
        <v>#NUM!</v>
      </c>
      <c r="K235" s="185" t="e">
        <f t="shared" si="19"/>
        <v>#NUM!</v>
      </c>
      <c r="L235" s="185"/>
      <c r="M235" s="187">
        <f t="shared" si="20"/>
        <v>0</v>
      </c>
    </row>
    <row r="236" spans="1:13" x14ac:dyDescent="0.25">
      <c r="A236" s="202"/>
      <c r="G236" s="173"/>
      <c r="H236" s="185">
        <v>231</v>
      </c>
      <c r="I236" s="186" t="str">
        <f t="shared" si="18"/>
        <v/>
      </c>
      <c r="J236" s="185" t="e">
        <f t="shared" si="21"/>
        <v>#NUM!</v>
      </c>
      <c r="K236" s="185" t="e">
        <f t="shared" si="19"/>
        <v>#NUM!</v>
      </c>
      <c r="L236" s="185"/>
      <c r="M236" s="187">
        <f t="shared" si="20"/>
        <v>0</v>
      </c>
    </row>
    <row r="237" spans="1:13" x14ac:dyDescent="0.25">
      <c r="A237" s="202"/>
      <c r="G237" s="173"/>
      <c r="H237" s="188">
        <v>232</v>
      </c>
      <c r="I237" s="186" t="str">
        <f t="shared" si="18"/>
        <v/>
      </c>
      <c r="J237" s="185" t="e">
        <f t="shared" si="21"/>
        <v>#NUM!</v>
      </c>
      <c r="K237" s="185" t="e">
        <f t="shared" si="19"/>
        <v>#NUM!</v>
      </c>
      <c r="L237" s="185"/>
      <c r="M237" s="187">
        <f t="shared" si="20"/>
        <v>0</v>
      </c>
    </row>
    <row r="238" spans="1:13" x14ac:dyDescent="0.25">
      <c r="A238" s="202"/>
      <c r="G238" s="173"/>
      <c r="H238" s="185">
        <v>233</v>
      </c>
      <c r="I238" s="186" t="str">
        <f t="shared" si="18"/>
        <v/>
      </c>
      <c r="J238" s="185" t="e">
        <f t="shared" si="21"/>
        <v>#NUM!</v>
      </c>
      <c r="K238" s="185" t="e">
        <f t="shared" si="19"/>
        <v>#NUM!</v>
      </c>
      <c r="L238" s="185"/>
      <c r="M238" s="187">
        <f t="shared" si="20"/>
        <v>0</v>
      </c>
    </row>
    <row r="239" spans="1:13" x14ac:dyDescent="0.25">
      <c r="A239" s="202"/>
      <c r="G239" s="173"/>
      <c r="H239" s="188">
        <v>234</v>
      </c>
      <c r="I239" s="186" t="str">
        <f t="shared" si="18"/>
        <v/>
      </c>
      <c r="J239" s="185" t="e">
        <f t="shared" si="21"/>
        <v>#NUM!</v>
      </c>
      <c r="K239" s="185" t="e">
        <f t="shared" si="19"/>
        <v>#NUM!</v>
      </c>
      <c r="L239" s="185"/>
      <c r="M239" s="187">
        <f t="shared" si="20"/>
        <v>0</v>
      </c>
    </row>
    <row r="240" spans="1:13" x14ac:dyDescent="0.25">
      <c r="A240" s="202"/>
      <c r="G240" s="173"/>
      <c r="H240" s="185">
        <v>235</v>
      </c>
      <c r="I240" s="186" t="str">
        <f t="shared" si="18"/>
        <v/>
      </c>
      <c r="J240" s="185" t="e">
        <f t="shared" si="21"/>
        <v>#NUM!</v>
      </c>
      <c r="K240" s="185" t="e">
        <f t="shared" si="19"/>
        <v>#NUM!</v>
      </c>
      <c r="L240" s="185"/>
      <c r="M240" s="187">
        <f t="shared" si="20"/>
        <v>0</v>
      </c>
    </row>
    <row r="241" spans="1:13" x14ac:dyDescent="0.25">
      <c r="A241" s="202"/>
      <c r="G241" s="173"/>
      <c r="H241" s="188">
        <v>236</v>
      </c>
      <c r="I241" s="186" t="str">
        <f t="shared" si="18"/>
        <v/>
      </c>
      <c r="J241" s="185" t="e">
        <f t="shared" si="21"/>
        <v>#NUM!</v>
      </c>
      <c r="K241" s="185" t="e">
        <f t="shared" si="19"/>
        <v>#NUM!</v>
      </c>
      <c r="L241" s="185"/>
      <c r="M241" s="187">
        <f t="shared" si="20"/>
        <v>0</v>
      </c>
    </row>
    <row r="242" spans="1:13" x14ac:dyDescent="0.25">
      <c r="A242" s="202"/>
      <c r="G242" s="173"/>
      <c r="H242" s="185">
        <v>237</v>
      </c>
      <c r="I242" s="186" t="str">
        <f t="shared" si="18"/>
        <v/>
      </c>
      <c r="J242" s="185" t="e">
        <f t="shared" si="21"/>
        <v>#NUM!</v>
      </c>
      <c r="K242" s="185" t="e">
        <f t="shared" si="19"/>
        <v>#NUM!</v>
      </c>
      <c r="L242" s="185"/>
      <c r="M242" s="187">
        <f t="shared" si="20"/>
        <v>0</v>
      </c>
    </row>
    <row r="243" spans="1:13" x14ac:dyDescent="0.25">
      <c r="A243" s="202"/>
      <c r="G243" s="173"/>
      <c r="H243" s="188">
        <v>238</v>
      </c>
      <c r="I243" s="186" t="str">
        <f t="shared" si="18"/>
        <v/>
      </c>
      <c r="J243" s="185" t="e">
        <f t="shared" si="21"/>
        <v>#NUM!</v>
      </c>
      <c r="K243" s="185" t="e">
        <f t="shared" si="19"/>
        <v>#NUM!</v>
      </c>
      <c r="L243" s="185"/>
      <c r="M243" s="187">
        <f t="shared" si="20"/>
        <v>0</v>
      </c>
    </row>
    <row r="244" spans="1:13" x14ac:dyDescent="0.25">
      <c r="A244" s="202"/>
      <c r="G244" s="173"/>
      <c r="H244" s="185">
        <v>239</v>
      </c>
      <c r="I244" s="186" t="str">
        <f t="shared" si="18"/>
        <v/>
      </c>
      <c r="J244" s="185" t="e">
        <f t="shared" si="21"/>
        <v>#NUM!</v>
      </c>
      <c r="K244" s="185" t="e">
        <f t="shared" si="19"/>
        <v>#NUM!</v>
      </c>
      <c r="L244" s="185"/>
      <c r="M244" s="187">
        <f t="shared" si="20"/>
        <v>0</v>
      </c>
    </row>
    <row r="245" spans="1:13" x14ac:dyDescent="0.25">
      <c r="A245" s="202"/>
      <c r="G245" s="173"/>
      <c r="H245" s="188">
        <v>240</v>
      </c>
      <c r="I245" s="186" t="str">
        <f t="shared" si="18"/>
        <v/>
      </c>
      <c r="J245" s="185" t="e">
        <f t="shared" si="21"/>
        <v>#NUM!</v>
      </c>
      <c r="K245" s="185" t="e">
        <f t="shared" si="19"/>
        <v>#NUM!</v>
      </c>
      <c r="L245" s="185"/>
      <c r="M245" s="187">
        <f t="shared" si="20"/>
        <v>0</v>
      </c>
    </row>
    <row r="246" spans="1:13" x14ac:dyDescent="0.25">
      <c r="A246" s="202"/>
      <c r="G246" s="173"/>
      <c r="H246" s="185">
        <v>241</v>
      </c>
      <c r="I246" s="186" t="str">
        <f t="shared" si="18"/>
        <v/>
      </c>
      <c r="J246" s="185" t="e">
        <f t="shared" si="21"/>
        <v>#NUM!</v>
      </c>
      <c r="K246" s="185" t="e">
        <f t="shared" si="19"/>
        <v>#NUM!</v>
      </c>
      <c r="L246" s="185"/>
      <c r="M246" s="187">
        <f t="shared" si="20"/>
        <v>0</v>
      </c>
    </row>
    <row r="247" spans="1:13" x14ac:dyDescent="0.25">
      <c r="A247" s="202"/>
      <c r="G247" s="173"/>
      <c r="H247" s="188">
        <v>242</v>
      </c>
      <c r="I247" s="186" t="str">
        <f t="shared" si="18"/>
        <v/>
      </c>
      <c r="J247" s="185" t="e">
        <f t="shared" si="21"/>
        <v>#NUM!</v>
      </c>
      <c r="K247" s="185" t="e">
        <f t="shared" si="19"/>
        <v>#NUM!</v>
      </c>
      <c r="L247" s="185"/>
      <c r="M247" s="187">
        <f t="shared" si="20"/>
        <v>0</v>
      </c>
    </row>
    <row r="248" spans="1:13" x14ac:dyDescent="0.25">
      <c r="A248" s="202"/>
      <c r="G248" s="173"/>
      <c r="H248" s="185">
        <v>243</v>
      </c>
      <c r="I248" s="186" t="str">
        <f t="shared" si="18"/>
        <v/>
      </c>
      <c r="J248" s="185" t="e">
        <f t="shared" si="21"/>
        <v>#NUM!</v>
      </c>
      <c r="K248" s="185" t="e">
        <f t="shared" si="19"/>
        <v>#NUM!</v>
      </c>
      <c r="L248" s="185"/>
      <c r="M248" s="187">
        <f t="shared" si="20"/>
        <v>0</v>
      </c>
    </row>
    <row r="249" spans="1:13" x14ac:dyDescent="0.25">
      <c r="A249" s="202"/>
      <c r="G249" s="173"/>
      <c r="H249" s="188">
        <v>244</v>
      </c>
      <c r="I249" s="186" t="str">
        <f t="shared" si="18"/>
        <v/>
      </c>
      <c r="J249" s="185" t="e">
        <f t="shared" si="21"/>
        <v>#NUM!</v>
      </c>
      <c r="K249" s="185" t="e">
        <f t="shared" si="19"/>
        <v>#NUM!</v>
      </c>
      <c r="L249" s="185"/>
      <c r="M249" s="187">
        <f t="shared" si="20"/>
        <v>0</v>
      </c>
    </row>
    <row r="250" spans="1:13" x14ac:dyDescent="0.25">
      <c r="A250" s="202"/>
      <c r="G250" s="173"/>
      <c r="H250" s="185">
        <v>245</v>
      </c>
      <c r="I250" s="186" t="str">
        <f t="shared" si="18"/>
        <v/>
      </c>
      <c r="J250" s="185" t="e">
        <f t="shared" si="21"/>
        <v>#NUM!</v>
      </c>
      <c r="K250" s="185" t="e">
        <f t="shared" si="19"/>
        <v>#NUM!</v>
      </c>
      <c r="L250" s="185"/>
      <c r="M250" s="187">
        <f t="shared" si="20"/>
        <v>0</v>
      </c>
    </row>
    <row r="251" spans="1:13" x14ac:dyDescent="0.25">
      <c r="A251" s="202"/>
      <c r="G251" s="173"/>
      <c r="H251" s="188">
        <v>246</v>
      </c>
      <c r="I251" s="186" t="str">
        <f t="shared" si="18"/>
        <v/>
      </c>
      <c r="J251" s="185" t="e">
        <f t="shared" si="21"/>
        <v>#NUM!</v>
      </c>
      <c r="K251" s="185" t="e">
        <f t="shared" si="19"/>
        <v>#NUM!</v>
      </c>
      <c r="L251" s="185"/>
      <c r="M251" s="187">
        <f t="shared" si="20"/>
        <v>0</v>
      </c>
    </row>
    <row r="252" spans="1:13" x14ac:dyDescent="0.25">
      <c r="A252" s="202"/>
      <c r="G252" s="173"/>
      <c r="H252" s="185">
        <v>247</v>
      </c>
      <c r="I252" s="186" t="str">
        <f t="shared" si="18"/>
        <v/>
      </c>
      <c r="J252" s="185" t="e">
        <f t="shared" si="21"/>
        <v>#NUM!</v>
      </c>
      <c r="K252" s="185" t="e">
        <f t="shared" si="19"/>
        <v>#NUM!</v>
      </c>
      <c r="L252" s="185"/>
      <c r="M252" s="187">
        <f t="shared" si="20"/>
        <v>0</v>
      </c>
    </row>
    <row r="253" spans="1:13" x14ac:dyDescent="0.25">
      <c r="A253" s="202"/>
      <c r="G253" s="173"/>
      <c r="H253" s="188">
        <v>248</v>
      </c>
      <c r="I253" s="186" t="str">
        <f t="shared" si="18"/>
        <v/>
      </c>
      <c r="J253" s="185" t="e">
        <f t="shared" si="21"/>
        <v>#NUM!</v>
      </c>
      <c r="K253" s="185" t="e">
        <f t="shared" si="19"/>
        <v>#NUM!</v>
      </c>
      <c r="L253" s="185"/>
      <c r="M253" s="187">
        <f t="shared" si="20"/>
        <v>0</v>
      </c>
    </row>
    <row r="254" spans="1:13" x14ac:dyDescent="0.25">
      <c r="A254" s="202"/>
      <c r="G254" s="173"/>
      <c r="H254" s="185">
        <v>249</v>
      </c>
      <c r="I254" s="186" t="str">
        <f t="shared" si="18"/>
        <v/>
      </c>
      <c r="J254" s="185" t="e">
        <f t="shared" si="21"/>
        <v>#NUM!</v>
      </c>
      <c r="K254" s="185" t="e">
        <f t="shared" si="19"/>
        <v>#NUM!</v>
      </c>
      <c r="L254" s="185"/>
      <c r="M254" s="187">
        <f t="shared" si="20"/>
        <v>0</v>
      </c>
    </row>
    <row r="255" spans="1:13" x14ac:dyDescent="0.25">
      <c r="A255" s="202"/>
      <c r="G255" s="173"/>
      <c r="H255" s="188">
        <v>250</v>
      </c>
      <c r="I255" s="186" t="str">
        <f t="shared" si="18"/>
        <v/>
      </c>
      <c r="J255" s="185" t="e">
        <f t="shared" si="21"/>
        <v>#NUM!</v>
      </c>
      <c r="K255" s="185" t="e">
        <f t="shared" si="19"/>
        <v>#NUM!</v>
      </c>
      <c r="L255" s="185"/>
      <c r="M255" s="187">
        <f t="shared" si="20"/>
        <v>0</v>
      </c>
    </row>
    <row r="256" spans="1:13" x14ac:dyDescent="0.25">
      <c r="A256" s="202"/>
      <c r="G256" s="173"/>
      <c r="H256" s="185">
        <v>251</v>
      </c>
      <c r="I256" s="186" t="str">
        <f t="shared" si="18"/>
        <v/>
      </c>
      <c r="J256" s="185" t="e">
        <f t="shared" si="21"/>
        <v>#NUM!</v>
      </c>
      <c r="K256" s="185" t="e">
        <f t="shared" si="19"/>
        <v>#NUM!</v>
      </c>
      <c r="L256" s="185"/>
      <c r="M256" s="187">
        <f t="shared" si="20"/>
        <v>0</v>
      </c>
    </row>
    <row r="257" spans="1:13" x14ac:dyDescent="0.25">
      <c r="A257" s="202"/>
      <c r="G257" s="173"/>
      <c r="H257" s="188">
        <v>252</v>
      </c>
      <c r="I257" s="186" t="str">
        <f t="shared" si="18"/>
        <v/>
      </c>
      <c r="J257" s="185" t="e">
        <f t="shared" si="21"/>
        <v>#NUM!</v>
      </c>
      <c r="K257" s="185" t="e">
        <f t="shared" si="19"/>
        <v>#NUM!</v>
      </c>
      <c r="L257" s="185"/>
      <c r="M257" s="187">
        <f t="shared" si="20"/>
        <v>0</v>
      </c>
    </row>
    <row r="258" spans="1:13" x14ac:dyDescent="0.25">
      <c r="A258" s="202"/>
      <c r="G258" s="173"/>
      <c r="H258" s="185">
        <v>253</v>
      </c>
      <c r="I258" s="186" t="str">
        <f t="shared" si="18"/>
        <v/>
      </c>
      <c r="J258" s="185" t="e">
        <f t="shared" si="21"/>
        <v>#NUM!</v>
      </c>
      <c r="K258" s="185" t="e">
        <f t="shared" si="19"/>
        <v>#NUM!</v>
      </c>
      <c r="L258" s="185"/>
      <c r="M258" s="187">
        <f t="shared" si="20"/>
        <v>0</v>
      </c>
    </row>
    <row r="259" spans="1:13" x14ac:dyDescent="0.25">
      <c r="A259" s="202"/>
      <c r="G259" s="173"/>
      <c r="H259" s="188">
        <v>254</v>
      </c>
      <c r="I259" s="186" t="str">
        <f t="shared" si="18"/>
        <v/>
      </c>
      <c r="J259" s="185" t="e">
        <f t="shared" si="21"/>
        <v>#NUM!</v>
      </c>
      <c r="K259" s="185" t="e">
        <f t="shared" si="19"/>
        <v>#NUM!</v>
      </c>
      <c r="L259" s="185"/>
      <c r="M259" s="187">
        <f t="shared" si="20"/>
        <v>0</v>
      </c>
    </row>
    <row r="260" spans="1:13" x14ac:dyDescent="0.25">
      <c r="A260" s="202"/>
      <c r="G260" s="173"/>
      <c r="H260" s="185">
        <v>255</v>
      </c>
      <c r="I260" s="186" t="str">
        <f t="shared" si="18"/>
        <v/>
      </c>
      <c r="J260" s="185" t="e">
        <f t="shared" si="21"/>
        <v>#NUM!</v>
      </c>
      <c r="K260" s="185" t="e">
        <f t="shared" si="19"/>
        <v>#NUM!</v>
      </c>
      <c r="L260" s="185"/>
      <c r="M260" s="187">
        <f t="shared" si="20"/>
        <v>0</v>
      </c>
    </row>
    <row r="261" spans="1:13" x14ac:dyDescent="0.25">
      <c r="A261" s="202"/>
      <c r="G261" s="173"/>
      <c r="H261" s="188">
        <v>256</v>
      </c>
      <c r="I261" s="186" t="str">
        <f t="shared" si="18"/>
        <v/>
      </c>
      <c r="J261" s="185" t="e">
        <f t="shared" si="21"/>
        <v>#NUM!</v>
      </c>
      <c r="K261" s="185" t="e">
        <f t="shared" si="19"/>
        <v>#NUM!</v>
      </c>
      <c r="L261" s="185"/>
      <c r="M261" s="187">
        <f t="shared" si="20"/>
        <v>0</v>
      </c>
    </row>
    <row r="262" spans="1:13" x14ac:dyDescent="0.25">
      <c r="A262" s="202"/>
      <c r="G262" s="173"/>
      <c r="H262" s="185">
        <v>257</v>
      </c>
      <c r="I262" s="186" t="str">
        <f t="shared" ref="I262:I305" si="22">IF(H262&lt;$H$2+1,($I$2-($I$2-1)*(LOG(H262)/LOG($H$2))),"")</f>
        <v/>
      </c>
      <c r="J262" s="185" t="e">
        <f t="shared" si="21"/>
        <v>#NUM!</v>
      </c>
      <c r="K262" s="185" t="e">
        <f t="shared" ref="K262:K305" si="23">J262*$J$2</f>
        <v>#NUM!</v>
      </c>
      <c r="L262" s="185"/>
      <c r="M262" s="187">
        <f t="shared" ref="M262:M305" si="24">IF(I262&lt;&gt;"",K262+I262+L262,0)</f>
        <v>0</v>
      </c>
    </row>
    <row r="263" spans="1:13" x14ac:dyDescent="0.25">
      <c r="A263" s="202"/>
      <c r="G263" s="173"/>
      <c r="H263" s="188">
        <v>258</v>
      </c>
      <c r="I263" s="186" t="str">
        <f t="shared" si="22"/>
        <v/>
      </c>
      <c r="J263" s="185" t="e">
        <f t="shared" ref="J263:J305" si="25">INT(LOG($H$2,2))-ROUNDUP(LOG(H263,2),0)+IF(OR($H$2=1,$H$2=2,$H$2=4,$H$2=8,$H$2=16,$H$2=32,$H$2=64,$H$2=128,$H$2=256),0,1)</f>
        <v>#NUM!</v>
      </c>
      <c r="K263" s="185" t="e">
        <f t="shared" si="23"/>
        <v>#NUM!</v>
      </c>
      <c r="L263" s="185"/>
      <c r="M263" s="187">
        <f t="shared" si="24"/>
        <v>0</v>
      </c>
    </row>
    <row r="264" spans="1:13" x14ac:dyDescent="0.25">
      <c r="A264" s="202"/>
      <c r="G264" s="173"/>
      <c r="H264" s="185">
        <v>259</v>
      </c>
      <c r="I264" s="186" t="str">
        <f t="shared" si="22"/>
        <v/>
      </c>
      <c r="J264" s="185" t="e">
        <f t="shared" si="25"/>
        <v>#NUM!</v>
      </c>
      <c r="K264" s="185" t="e">
        <f t="shared" si="23"/>
        <v>#NUM!</v>
      </c>
      <c r="L264" s="185"/>
      <c r="M264" s="187">
        <f t="shared" si="24"/>
        <v>0</v>
      </c>
    </row>
    <row r="265" spans="1:13" x14ac:dyDescent="0.25">
      <c r="A265" s="202"/>
      <c r="G265" s="173"/>
      <c r="H265" s="188">
        <v>260</v>
      </c>
      <c r="I265" s="186" t="str">
        <f t="shared" si="22"/>
        <v/>
      </c>
      <c r="J265" s="185" t="e">
        <f t="shared" si="25"/>
        <v>#NUM!</v>
      </c>
      <c r="K265" s="185" t="e">
        <f t="shared" si="23"/>
        <v>#NUM!</v>
      </c>
      <c r="L265" s="185"/>
      <c r="M265" s="187">
        <f t="shared" si="24"/>
        <v>0</v>
      </c>
    </row>
    <row r="266" spans="1:13" x14ac:dyDescent="0.25">
      <c r="A266" s="202"/>
      <c r="G266" s="173"/>
      <c r="H266" s="185">
        <v>261</v>
      </c>
      <c r="I266" s="186" t="str">
        <f t="shared" si="22"/>
        <v/>
      </c>
      <c r="J266" s="185" t="e">
        <f t="shared" si="25"/>
        <v>#NUM!</v>
      </c>
      <c r="K266" s="185" t="e">
        <f t="shared" si="23"/>
        <v>#NUM!</v>
      </c>
      <c r="L266" s="185"/>
      <c r="M266" s="187">
        <f t="shared" si="24"/>
        <v>0</v>
      </c>
    </row>
    <row r="267" spans="1:13" x14ac:dyDescent="0.25">
      <c r="A267" s="202"/>
      <c r="G267" s="173"/>
      <c r="H267" s="188">
        <v>262</v>
      </c>
      <c r="I267" s="186" t="str">
        <f t="shared" si="22"/>
        <v/>
      </c>
      <c r="J267" s="185" t="e">
        <f t="shared" si="25"/>
        <v>#NUM!</v>
      </c>
      <c r="K267" s="185" t="e">
        <f t="shared" si="23"/>
        <v>#NUM!</v>
      </c>
      <c r="L267" s="185"/>
      <c r="M267" s="187">
        <f t="shared" si="24"/>
        <v>0</v>
      </c>
    </row>
    <row r="268" spans="1:13" x14ac:dyDescent="0.25">
      <c r="A268" s="202"/>
      <c r="G268" s="173"/>
      <c r="H268" s="185">
        <v>263</v>
      </c>
      <c r="I268" s="186" t="str">
        <f t="shared" si="22"/>
        <v/>
      </c>
      <c r="J268" s="185" t="e">
        <f t="shared" si="25"/>
        <v>#NUM!</v>
      </c>
      <c r="K268" s="185" t="e">
        <f t="shared" si="23"/>
        <v>#NUM!</v>
      </c>
      <c r="L268" s="185"/>
      <c r="M268" s="187">
        <f t="shared" si="24"/>
        <v>0</v>
      </c>
    </row>
    <row r="269" spans="1:13" x14ac:dyDescent="0.25">
      <c r="A269" s="202"/>
      <c r="G269" s="173"/>
      <c r="H269" s="188">
        <v>264</v>
      </c>
      <c r="I269" s="186" t="str">
        <f t="shared" si="22"/>
        <v/>
      </c>
      <c r="J269" s="185" t="e">
        <f t="shared" si="25"/>
        <v>#NUM!</v>
      </c>
      <c r="K269" s="185" t="e">
        <f t="shared" si="23"/>
        <v>#NUM!</v>
      </c>
      <c r="L269" s="185"/>
      <c r="M269" s="187">
        <f t="shared" si="24"/>
        <v>0</v>
      </c>
    </row>
    <row r="270" spans="1:13" x14ac:dyDescent="0.25">
      <c r="A270" s="202"/>
      <c r="G270" s="173"/>
      <c r="H270" s="185">
        <v>265</v>
      </c>
      <c r="I270" s="186" t="str">
        <f t="shared" si="22"/>
        <v/>
      </c>
      <c r="J270" s="185" t="e">
        <f t="shared" si="25"/>
        <v>#NUM!</v>
      </c>
      <c r="K270" s="185" t="e">
        <f t="shared" si="23"/>
        <v>#NUM!</v>
      </c>
      <c r="L270" s="185"/>
      <c r="M270" s="187">
        <f t="shared" si="24"/>
        <v>0</v>
      </c>
    </row>
    <row r="271" spans="1:13" x14ac:dyDescent="0.25">
      <c r="A271" s="202"/>
      <c r="G271" s="173"/>
      <c r="H271" s="188">
        <v>266</v>
      </c>
      <c r="I271" s="186" t="str">
        <f t="shared" si="22"/>
        <v/>
      </c>
      <c r="J271" s="185" t="e">
        <f t="shared" si="25"/>
        <v>#NUM!</v>
      </c>
      <c r="K271" s="185" t="e">
        <f t="shared" si="23"/>
        <v>#NUM!</v>
      </c>
      <c r="L271" s="185"/>
      <c r="M271" s="187">
        <f t="shared" si="24"/>
        <v>0</v>
      </c>
    </row>
    <row r="272" spans="1:13" x14ac:dyDescent="0.25">
      <c r="A272" s="202"/>
      <c r="G272" s="173"/>
      <c r="H272" s="185">
        <v>267</v>
      </c>
      <c r="I272" s="186" t="str">
        <f t="shared" si="22"/>
        <v/>
      </c>
      <c r="J272" s="185" t="e">
        <f t="shared" si="25"/>
        <v>#NUM!</v>
      </c>
      <c r="K272" s="185" t="e">
        <f t="shared" si="23"/>
        <v>#NUM!</v>
      </c>
      <c r="L272" s="185"/>
      <c r="M272" s="187">
        <f t="shared" si="24"/>
        <v>0</v>
      </c>
    </row>
    <row r="273" spans="1:13" x14ac:dyDescent="0.25">
      <c r="A273" s="202"/>
      <c r="G273" s="173"/>
      <c r="H273" s="188">
        <v>268</v>
      </c>
      <c r="I273" s="186" t="str">
        <f t="shared" si="22"/>
        <v/>
      </c>
      <c r="J273" s="185" t="e">
        <f t="shared" si="25"/>
        <v>#NUM!</v>
      </c>
      <c r="K273" s="185" t="e">
        <f t="shared" si="23"/>
        <v>#NUM!</v>
      </c>
      <c r="L273" s="185"/>
      <c r="M273" s="187">
        <f t="shared" si="24"/>
        <v>0</v>
      </c>
    </row>
    <row r="274" spans="1:13" x14ac:dyDescent="0.25">
      <c r="A274" s="202"/>
      <c r="G274" s="173"/>
      <c r="H274" s="185">
        <v>269</v>
      </c>
      <c r="I274" s="186" t="str">
        <f t="shared" si="22"/>
        <v/>
      </c>
      <c r="J274" s="185" t="e">
        <f t="shared" si="25"/>
        <v>#NUM!</v>
      </c>
      <c r="K274" s="185" t="e">
        <f t="shared" si="23"/>
        <v>#NUM!</v>
      </c>
      <c r="L274" s="185"/>
      <c r="M274" s="187">
        <f t="shared" si="24"/>
        <v>0</v>
      </c>
    </row>
    <row r="275" spans="1:13" x14ac:dyDescent="0.25">
      <c r="A275" s="202"/>
      <c r="G275" s="173"/>
      <c r="H275" s="188">
        <v>270</v>
      </c>
      <c r="I275" s="186" t="str">
        <f t="shared" si="22"/>
        <v/>
      </c>
      <c r="J275" s="185" t="e">
        <f t="shared" si="25"/>
        <v>#NUM!</v>
      </c>
      <c r="K275" s="185" t="e">
        <f t="shared" si="23"/>
        <v>#NUM!</v>
      </c>
      <c r="L275" s="185"/>
      <c r="M275" s="187">
        <f t="shared" si="24"/>
        <v>0</v>
      </c>
    </row>
    <row r="276" spans="1:13" x14ac:dyDescent="0.25">
      <c r="A276" s="202"/>
      <c r="G276" s="173"/>
      <c r="H276" s="185">
        <v>271</v>
      </c>
      <c r="I276" s="186" t="str">
        <f t="shared" si="22"/>
        <v/>
      </c>
      <c r="J276" s="185" t="e">
        <f t="shared" si="25"/>
        <v>#NUM!</v>
      </c>
      <c r="K276" s="185" t="e">
        <f t="shared" si="23"/>
        <v>#NUM!</v>
      </c>
      <c r="L276" s="185"/>
      <c r="M276" s="187">
        <f t="shared" si="24"/>
        <v>0</v>
      </c>
    </row>
    <row r="277" spans="1:13" x14ac:dyDescent="0.25">
      <c r="A277" s="202"/>
      <c r="G277" s="173"/>
      <c r="H277" s="188">
        <v>272</v>
      </c>
      <c r="I277" s="186" t="str">
        <f t="shared" si="22"/>
        <v/>
      </c>
      <c r="J277" s="185" t="e">
        <f t="shared" si="25"/>
        <v>#NUM!</v>
      </c>
      <c r="K277" s="185" t="e">
        <f t="shared" si="23"/>
        <v>#NUM!</v>
      </c>
      <c r="L277" s="185"/>
      <c r="M277" s="187">
        <f t="shared" si="24"/>
        <v>0</v>
      </c>
    </row>
    <row r="278" spans="1:13" x14ac:dyDescent="0.25">
      <c r="A278" s="202"/>
      <c r="G278" s="173"/>
      <c r="H278" s="185">
        <v>273</v>
      </c>
      <c r="I278" s="186" t="str">
        <f t="shared" si="22"/>
        <v/>
      </c>
      <c r="J278" s="185" t="e">
        <f t="shared" si="25"/>
        <v>#NUM!</v>
      </c>
      <c r="K278" s="185" t="e">
        <f t="shared" si="23"/>
        <v>#NUM!</v>
      </c>
      <c r="L278" s="185"/>
      <c r="M278" s="187">
        <f t="shared" si="24"/>
        <v>0</v>
      </c>
    </row>
    <row r="279" spans="1:13" x14ac:dyDescent="0.25">
      <c r="A279" s="202"/>
      <c r="G279" s="173"/>
      <c r="H279" s="188">
        <v>274</v>
      </c>
      <c r="I279" s="186" t="str">
        <f t="shared" si="22"/>
        <v/>
      </c>
      <c r="J279" s="185" t="e">
        <f t="shared" si="25"/>
        <v>#NUM!</v>
      </c>
      <c r="K279" s="185" t="e">
        <f t="shared" si="23"/>
        <v>#NUM!</v>
      </c>
      <c r="L279" s="185"/>
      <c r="M279" s="187">
        <f t="shared" si="24"/>
        <v>0</v>
      </c>
    </row>
    <row r="280" spans="1:13" x14ac:dyDescent="0.25">
      <c r="A280" s="202"/>
      <c r="G280" s="173"/>
      <c r="H280" s="185">
        <v>275</v>
      </c>
      <c r="I280" s="186" t="str">
        <f t="shared" si="22"/>
        <v/>
      </c>
      <c r="J280" s="185" t="e">
        <f t="shared" si="25"/>
        <v>#NUM!</v>
      </c>
      <c r="K280" s="185" t="e">
        <f t="shared" si="23"/>
        <v>#NUM!</v>
      </c>
      <c r="L280" s="185"/>
      <c r="M280" s="187">
        <f t="shared" si="24"/>
        <v>0</v>
      </c>
    </row>
    <row r="281" spans="1:13" x14ac:dyDescent="0.25">
      <c r="A281" s="202"/>
      <c r="G281" s="173"/>
      <c r="H281" s="188">
        <v>276</v>
      </c>
      <c r="I281" s="186" t="str">
        <f t="shared" si="22"/>
        <v/>
      </c>
      <c r="J281" s="185" t="e">
        <f t="shared" si="25"/>
        <v>#NUM!</v>
      </c>
      <c r="K281" s="185" t="e">
        <f t="shared" si="23"/>
        <v>#NUM!</v>
      </c>
      <c r="L281" s="185"/>
      <c r="M281" s="187">
        <f t="shared" si="24"/>
        <v>0</v>
      </c>
    </row>
    <row r="282" spans="1:13" x14ac:dyDescent="0.25">
      <c r="A282" s="202"/>
      <c r="G282" s="173"/>
      <c r="H282" s="185">
        <v>277</v>
      </c>
      <c r="I282" s="186" t="str">
        <f t="shared" si="22"/>
        <v/>
      </c>
      <c r="J282" s="185" t="e">
        <f t="shared" si="25"/>
        <v>#NUM!</v>
      </c>
      <c r="K282" s="185" t="e">
        <f t="shared" si="23"/>
        <v>#NUM!</v>
      </c>
      <c r="L282" s="185"/>
      <c r="M282" s="187">
        <f t="shared" si="24"/>
        <v>0</v>
      </c>
    </row>
    <row r="283" spans="1:13" x14ac:dyDescent="0.25">
      <c r="A283" s="202"/>
      <c r="G283" s="173"/>
      <c r="H283" s="188">
        <v>278</v>
      </c>
      <c r="I283" s="186" t="str">
        <f t="shared" si="22"/>
        <v/>
      </c>
      <c r="J283" s="185" t="e">
        <f t="shared" si="25"/>
        <v>#NUM!</v>
      </c>
      <c r="K283" s="185" t="e">
        <f t="shared" si="23"/>
        <v>#NUM!</v>
      </c>
      <c r="L283" s="185"/>
      <c r="M283" s="187">
        <f t="shared" si="24"/>
        <v>0</v>
      </c>
    </row>
    <row r="284" spans="1:13" x14ac:dyDescent="0.25">
      <c r="A284" s="202"/>
      <c r="G284" s="173"/>
      <c r="H284" s="185">
        <v>279</v>
      </c>
      <c r="I284" s="186" t="str">
        <f t="shared" si="22"/>
        <v/>
      </c>
      <c r="J284" s="185" t="e">
        <f t="shared" si="25"/>
        <v>#NUM!</v>
      </c>
      <c r="K284" s="185" t="e">
        <f t="shared" si="23"/>
        <v>#NUM!</v>
      </c>
      <c r="L284" s="185"/>
      <c r="M284" s="187">
        <f t="shared" si="24"/>
        <v>0</v>
      </c>
    </row>
    <row r="285" spans="1:13" x14ac:dyDescent="0.25">
      <c r="A285" s="202"/>
      <c r="G285" s="173"/>
      <c r="H285" s="188">
        <v>280</v>
      </c>
      <c r="I285" s="186" t="str">
        <f t="shared" si="22"/>
        <v/>
      </c>
      <c r="J285" s="185" t="e">
        <f t="shared" si="25"/>
        <v>#NUM!</v>
      </c>
      <c r="K285" s="185" t="e">
        <f t="shared" si="23"/>
        <v>#NUM!</v>
      </c>
      <c r="L285" s="185"/>
      <c r="M285" s="187">
        <f t="shared" si="24"/>
        <v>0</v>
      </c>
    </row>
    <row r="286" spans="1:13" x14ac:dyDescent="0.25">
      <c r="A286" s="202"/>
      <c r="G286" s="173"/>
      <c r="H286" s="185">
        <v>281</v>
      </c>
      <c r="I286" s="186" t="str">
        <f t="shared" si="22"/>
        <v/>
      </c>
      <c r="J286" s="185" t="e">
        <f t="shared" si="25"/>
        <v>#NUM!</v>
      </c>
      <c r="K286" s="185" t="e">
        <f t="shared" si="23"/>
        <v>#NUM!</v>
      </c>
      <c r="L286" s="185"/>
      <c r="M286" s="187">
        <f t="shared" si="24"/>
        <v>0</v>
      </c>
    </row>
    <row r="287" spans="1:13" x14ac:dyDescent="0.25">
      <c r="A287" s="202"/>
      <c r="G287" s="173"/>
      <c r="H287" s="188">
        <v>282</v>
      </c>
      <c r="I287" s="186" t="str">
        <f t="shared" si="22"/>
        <v/>
      </c>
      <c r="J287" s="185" t="e">
        <f t="shared" si="25"/>
        <v>#NUM!</v>
      </c>
      <c r="K287" s="185" t="e">
        <f t="shared" si="23"/>
        <v>#NUM!</v>
      </c>
      <c r="L287" s="185"/>
      <c r="M287" s="187">
        <f t="shared" si="24"/>
        <v>0</v>
      </c>
    </row>
    <row r="288" spans="1:13" x14ac:dyDescent="0.25">
      <c r="A288" s="202"/>
      <c r="G288" s="173"/>
      <c r="H288" s="185">
        <v>283</v>
      </c>
      <c r="I288" s="186" t="str">
        <f t="shared" si="22"/>
        <v/>
      </c>
      <c r="J288" s="185" t="e">
        <f t="shared" si="25"/>
        <v>#NUM!</v>
      </c>
      <c r="K288" s="185" t="e">
        <f t="shared" si="23"/>
        <v>#NUM!</v>
      </c>
      <c r="L288" s="185"/>
      <c r="M288" s="187">
        <f t="shared" si="24"/>
        <v>0</v>
      </c>
    </row>
    <row r="289" spans="1:13" x14ac:dyDescent="0.25">
      <c r="A289" s="202"/>
      <c r="G289" s="173"/>
      <c r="H289" s="188">
        <v>284</v>
      </c>
      <c r="I289" s="186" t="str">
        <f t="shared" si="22"/>
        <v/>
      </c>
      <c r="J289" s="185" t="e">
        <f t="shared" si="25"/>
        <v>#NUM!</v>
      </c>
      <c r="K289" s="185" t="e">
        <f t="shared" si="23"/>
        <v>#NUM!</v>
      </c>
      <c r="L289" s="185"/>
      <c r="M289" s="187">
        <f t="shared" si="24"/>
        <v>0</v>
      </c>
    </row>
    <row r="290" spans="1:13" x14ac:dyDescent="0.25">
      <c r="A290" s="202"/>
      <c r="G290" s="173"/>
      <c r="H290" s="185">
        <v>285</v>
      </c>
      <c r="I290" s="186" t="str">
        <f t="shared" si="22"/>
        <v/>
      </c>
      <c r="J290" s="185" t="e">
        <f t="shared" si="25"/>
        <v>#NUM!</v>
      </c>
      <c r="K290" s="185" t="e">
        <f t="shared" si="23"/>
        <v>#NUM!</v>
      </c>
      <c r="L290" s="185"/>
      <c r="M290" s="187">
        <f t="shared" si="24"/>
        <v>0</v>
      </c>
    </row>
    <row r="291" spans="1:13" x14ac:dyDescent="0.25">
      <c r="A291" s="202"/>
      <c r="G291" s="173"/>
      <c r="H291" s="188">
        <v>286</v>
      </c>
      <c r="I291" s="186" t="str">
        <f t="shared" si="22"/>
        <v/>
      </c>
      <c r="J291" s="185" t="e">
        <f t="shared" si="25"/>
        <v>#NUM!</v>
      </c>
      <c r="K291" s="185" t="e">
        <f t="shared" si="23"/>
        <v>#NUM!</v>
      </c>
      <c r="L291" s="185"/>
      <c r="M291" s="187">
        <f t="shared" si="24"/>
        <v>0</v>
      </c>
    </row>
    <row r="292" spans="1:13" x14ac:dyDescent="0.25">
      <c r="A292" s="202"/>
      <c r="G292" s="173"/>
      <c r="H292" s="185">
        <v>287</v>
      </c>
      <c r="I292" s="186" t="str">
        <f t="shared" si="22"/>
        <v/>
      </c>
      <c r="J292" s="185" t="e">
        <f t="shared" si="25"/>
        <v>#NUM!</v>
      </c>
      <c r="K292" s="185" t="e">
        <f t="shared" si="23"/>
        <v>#NUM!</v>
      </c>
      <c r="L292" s="185"/>
      <c r="M292" s="187">
        <f t="shared" si="24"/>
        <v>0</v>
      </c>
    </row>
    <row r="293" spans="1:13" x14ac:dyDescent="0.25">
      <c r="A293" s="202"/>
      <c r="G293" s="173"/>
      <c r="H293" s="185">
        <v>288</v>
      </c>
      <c r="I293" s="186" t="str">
        <f t="shared" si="22"/>
        <v/>
      </c>
      <c r="J293" s="185" t="e">
        <f t="shared" si="25"/>
        <v>#NUM!</v>
      </c>
      <c r="K293" s="185" t="e">
        <f t="shared" si="23"/>
        <v>#NUM!</v>
      </c>
      <c r="L293" s="185"/>
      <c r="M293" s="187">
        <f t="shared" si="24"/>
        <v>0</v>
      </c>
    </row>
    <row r="294" spans="1:13" x14ac:dyDescent="0.25">
      <c r="A294" s="202"/>
      <c r="G294" s="173"/>
      <c r="H294" s="185">
        <v>289</v>
      </c>
      <c r="I294" s="186" t="str">
        <f t="shared" si="22"/>
        <v/>
      </c>
      <c r="J294" s="185" t="e">
        <f t="shared" si="25"/>
        <v>#NUM!</v>
      </c>
      <c r="K294" s="185" t="e">
        <f t="shared" si="23"/>
        <v>#NUM!</v>
      </c>
      <c r="L294" s="185"/>
      <c r="M294" s="187">
        <f t="shared" si="24"/>
        <v>0</v>
      </c>
    </row>
    <row r="295" spans="1:13" x14ac:dyDescent="0.25">
      <c r="A295" s="202"/>
      <c r="G295" s="173"/>
      <c r="H295" s="185">
        <v>290</v>
      </c>
      <c r="I295" s="186" t="str">
        <f t="shared" si="22"/>
        <v/>
      </c>
      <c r="J295" s="185" t="e">
        <f t="shared" si="25"/>
        <v>#NUM!</v>
      </c>
      <c r="K295" s="185" t="e">
        <f t="shared" si="23"/>
        <v>#NUM!</v>
      </c>
      <c r="L295" s="185"/>
      <c r="M295" s="187">
        <f t="shared" si="24"/>
        <v>0</v>
      </c>
    </row>
    <row r="296" spans="1:13" x14ac:dyDescent="0.25">
      <c r="A296" s="202"/>
      <c r="G296" s="173"/>
      <c r="H296" s="185">
        <v>291</v>
      </c>
      <c r="I296" s="186" t="str">
        <f t="shared" si="22"/>
        <v/>
      </c>
      <c r="J296" s="185" t="e">
        <f t="shared" si="25"/>
        <v>#NUM!</v>
      </c>
      <c r="K296" s="185" t="e">
        <f t="shared" si="23"/>
        <v>#NUM!</v>
      </c>
      <c r="L296" s="185"/>
      <c r="M296" s="187">
        <f t="shared" si="24"/>
        <v>0</v>
      </c>
    </row>
    <row r="297" spans="1:13" x14ac:dyDescent="0.25">
      <c r="A297" s="202"/>
      <c r="G297" s="173"/>
      <c r="H297" s="185">
        <v>292</v>
      </c>
      <c r="I297" s="186" t="str">
        <f t="shared" si="22"/>
        <v/>
      </c>
      <c r="J297" s="185" t="e">
        <f t="shared" si="25"/>
        <v>#NUM!</v>
      </c>
      <c r="K297" s="185" t="e">
        <f t="shared" si="23"/>
        <v>#NUM!</v>
      </c>
      <c r="L297" s="185"/>
      <c r="M297" s="187">
        <f t="shared" si="24"/>
        <v>0</v>
      </c>
    </row>
    <row r="298" spans="1:13" x14ac:dyDescent="0.25">
      <c r="A298" s="202"/>
      <c r="G298" s="173"/>
      <c r="H298" s="185">
        <v>293</v>
      </c>
      <c r="I298" s="186" t="str">
        <f t="shared" si="22"/>
        <v/>
      </c>
      <c r="J298" s="185" t="e">
        <f t="shared" si="25"/>
        <v>#NUM!</v>
      </c>
      <c r="K298" s="185" t="e">
        <f t="shared" si="23"/>
        <v>#NUM!</v>
      </c>
      <c r="L298" s="185"/>
      <c r="M298" s="187">
        <f t="shared" si="24"/>
        <v>0</v>
      </c>
    </row>
    <row r="299" spans="1:13" x14ac:dyDescent="0.25">
      <c r="A299" s="202"/>
      <c r="G299" s="173"/>
      <c r="H299" s="185">
        <v>294</v>
      </c>
      <c r="I299" s="186" t="str">
        <f t="shared" si="22"/>
        <v/>
      </c>
      <c r="J299" s="185" t="e">
        <f t="shared" si="25"/>
        <v>#NUM!</v>
      </c>
      <c r="K299" s="185" t="e">
        <f t="shared" si="23"/>
        <v>#NUM!</v>
      </c>
      <c r="L299" s="185"/>
      <c r="M299" s="187">
        <f t="shared" si="24"/>
        <v>0</v>
      </c>
    </row>
    <row r="300" spans="1:13" x14ac:dyDescent="0.25">
      <c r="A300" s="202"/>
      <c r="G300" s="173"/>
      <c r="H300" s="185">
        <v>295</v>
      </c>
      <c r="I300" s="186" t="str">
        <f t="shared" si="22"/>
        <v/>
      </c>
      <c r="J300" s="185" t="e">
        <f t="shared" si="25"/>
        <v>#NUM!</v>
      </c>
      <c r="K300" s="185" t="e">
        <f t="shared" si="23"/>
        <v>#NUM!</v>
      </c>
      <c r="L300" s="185"/>
      <c r="M300" s="187">
        <f t="shared" si="24"/>
        <v>0</v>
      </c>
    </row>
    <row r="301" spans="1:13" x14ac:dyDescent="0.25">
      <c r="A301" s="202"/>
      <c r="G301" s="173"/>
      <c r="H301" s="185">
        <v>296</v>
      </c>
      <c r="I301" s="186" t="str">
        <f t="shared" si="22"/>
        <v/>
      </c>
      <c r="J301" s="185" t="e">
        <f t="shared" si="25"/>
        <v>#NUM!</v>
      </c>
      <c r="K301" s="185" t="e">
        <f t="shared" si="23"/>
        <v>#NUM!</v>
      </c>
      <c r="L301" s="185"/>
      <c r="M301" s="187">
        <f t="shared" si="24"/>
        <v>0</v>
      </c>
    </row>
    <row r="302" spans="1:13" x14ac:dyDescent="0.25">
      <c r="A302" s="202"/>
      <c r="G302" s="173"/>
      <c r="H302" s="185">
        <v>297</v>
      </c>
      <c r="I302" s="186" t="str">
        <f t="shared" si="22"/>
        <v/>
      </c>
      <c r="J302" s="185" t="e">
        <f t="shared" si="25"/>
        <v>#NUM!</v>
      </c>
      <c r="K302" s="185" t="e">
        <f t="shared" si="23"/>
        <v>#NUM!</v>
      </c>
      <c r="L302" s="185"/>
      <c r="M302" s="187">
        <f t="shared" si="24"/>
        <v>0</v>
      </c>
    </row>
    <row r="303" spans="1:13" x14ac:dyDescent="0.25">
      <c r="A303" s="202"/>
      <c r="G303" s="173"/>
      <c r="H303" s="185">
        <v>298</v>
      </c>
      <c r="I303" s="186" t="str">
        <f t="shared" si="22"/>
        <v/>
      </c>
      <c r="J303" s="185" t="e">
        <f t="shared" si="25"/>
        <v>#NUM!</v>
      </c>
      <c r="K303" s="185" t="e">
        <f t="shared" si="23"/>
        <v>#NUM!</v>
      </c>
      <c r="L303" s="185"/>
      <c r="M303" s="187">
        <f t="shared" si="24"/>
        <v>0</v>
      </c>
    </row>
    <row r="304" spans="1:13" x14ac:dyDescent="0.25">
      <c r="A304" s="202"/>
      <c r="G304" s="173"/>
      <c r="H304" s="185">
        <v>299</v>
      </c>
      <c r="I304" s="186" t="str">
        <f t="shared" si="22"/>
        <v/>
      </c>
      <c r="J304" s="185" t="e">
        <f t="shared" si="25"/>
        <v>#NUM!</v>
      </c>
      <c r="K304" s="185" t="e">
        <f t="shared" si="23"/>
        <v>#NUM!</v>
      </c>
      <c r="L304" s="185"/>
      <c r="M304" s="187">
        <f t="shared" si="24"/>
        <v>0</v>
      </c>
    </row>
    <row r="305" spans="1:16" x14ac:dyDescent="0.25">
      <c r="A305" s="202"/>
      <c r="G305" s="173"/>
      <c r="H305" s="185">
        <v>300</v>
      </c>
      <c r="I305" s="186" t="str">
        <f t="shared" si="22"/>
        <v/>
      </c>
      <c r="J305" s="185" t="e">
        <f t="shared" si="25"/>
        <v>#NUM!</v>
      </c>
      <c r="K305" s="185" t="e">
        <f t="shared" si="23"/>
        <v>#NUM!</v>
      </c>
      <c r="L305" s="185"/>
      <c r="M305" s="187">
        <f t="shared" si="24"/>
        <v>0</v>
      </c>
    </row>
    <row r="306" spans="1:16" x14ac:dyDescent="0.25">
      <c r="A306" s="203"/>
    </row>
    <row r="314" spans="1:16" x14ac:dyDescent="0.25">
      <c r="L314" s="206"/>
      <c r="P314" s="196"/>
    </row>
    <row r="315" spans="1:16" x14ac:dyDescent="0.25">
      <c r="L315" s="206"/>
      <c r="P315" s="196"/>
    </row>
    <row r="316" spans="1:16" x14ac:dyDescent="0.25">
      <c r="L316" s="206"/>
      <c r="P316" s="196"/>
    </row>
    <row r="317" spans="1:16" x14ac:dyDescent="0.25">
      <c r="L317" s="206"/>
      <c r="P317" s="196"/>
    </row>
  </sheetData>
  <conditionalFormatting sqref="J6:K305">
    <cfRule type="cellIs" dxfId="3" priority="1" operator="lessThanOrEqual">
      <formula>0</formula>
    </cfRule>
  </conditionalFormatting>
  <hyperlinks>
    <hyperlink ref="C2" r:id="rId1" xr:uid="{4A3C4FB4-B74A-423C-A082-59AB9CA0D934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3525-9032-416D-B12E-70147EA6668F}">
  <sheetPr codeName="Arkusz24">
    <tabColor rgb="FF92D050"/>
  </sheetPr>
  <dimension ref="A1:AM317"/>
  <sheetViews>
    <sheetView workbookViewId="0">
      <selection activeCell="C82" sqref="C82"/>
    </sheetView>
  </sheetViews>
  <sheetFormatPr defaultColWidth="8.875" defaultRowHeight="14.3" x14ac:dyDescent="0.25"/>
  <cols>
    <col min="1" max="1" width="8" style="115" customWidth="1"/>
    <col min="2" max="2" width="8.25" style="115" customWidth="1"/>
    <col min="3" max="3" width="34.75" style="115" customWidth="1"/>
    <col min="4" max="4" width="11.25" style="115" customWidth="1"/>
    <col min="5" max="6" width="8.875" style="115"/>
    <col min="7" max="7" width="0.875" style="115" customWidth="1"/>
    <col min="8" max="8" width="8.875" style="118"/>
    <col min="9" max="9" width="11" style="118" customWidth="1"/>
    <col min="10" max="10" width="15.25" style="118" customWidth="1"/>
    <col min="11" max="11" width="8.75" style="118" customWidth="1"/>
    <col min="12" max="12" width="11" style="118" customWidth="1"/>
    <col min="13" max="13" width="11.75" style="118" customWidth="1"/>
    <col min="14" max="14" width="11.75" style="119" customWidth="1"/>
    <col min="15" max="16" width="13.875" style="80" customWidth="1"/>
    <col min="17" max="19" width="8.875" style="80"/>
    <col min="20" max="21" width="8.875" style="85"/>
    <col min="22" max="22" width="12.125" style="85" customWidth="1"/>
    <col min="23" max="23" width="27.375" style="85" customWidth="1"/>
    <col min="24" max="39" width="8.875" style="85"/>
    <col min="40" max="16384" width="8.875" style="115"/>
  </cols>
  <sheetData>
    <row r="1" spans="1:37" x14ac:dyDescent="0.25">
      <c r="A1" s="80"/>
      <c r="B1" s="80"/>
      <c r="C1" s="80"/>
      <c r="D1" s="80"/>
      <c r="E1" s="80"/>
      <c r="F1" s="80"/>
      <c r="G1" s="80"/>
      <c r="H1" s="81" t="s">
        <v>25</v>
      </c>
      <c r="I1" s="82" t="s">
        <v>26</v>
      </c>
      <c r="J1" s="82" t="s">
        <v>27</v>
      </c>
      <c r="K1" s="83" t="s">
        <v>79</v>
      </c>
      <c r="L1" s="122" t="s">
        <v>80</v>
      </c>
      <c r="M1" s="123"/>
      <c r="N1" s="84"/>
    </row>
    <row r="2" spans="1:37" ht="14.3" customHeight="1" x14ac:dyDescent="0.25">
      <c r="A2" s="80"/>
      <c r="B2" s="20" t="s">
        <v>29</v>
      </c>
      <c r="C2" s="293" t="s">
        <v>126</v>
      </c>
      <c r="D2" s="293"/>
      <c r="E2" s="21"/>
      <c r="F2" s="21"/>
      <c r="G2" s="21"/>
      <c r="H2" s="86">
        <v>83</v>
      </c>
      <c r="I2" s="87">
        <v>50</v>
      </c>
      <c r="J2" s="87">
        <v>10</v>
      </c>
      <c r="K2" s="121">
        <f>3*H2^(1/3)</f>
        <v>13.086212014364513</v>
      </c>
      <c r="L2" s="124">
        <v>1.2</v>
      </c>
      <c r="M2" s="84"/>
      <c r="N2" s="84"/>
    </row>
    <row r="3" spans="1:37" ht="14.3" customHeight="1" x14ac:dyDescent="0.25">
      <c r="A3" s="80"/>
      <c r="B3" s="89" t="s">
        <v>31</v>
      </c>
      <c r="C3" s="294">
        <v>2023</v>
      </c>
      <c r="D3" s="294"/>
      <c r="E3" s="26"/>
      <c r="F3" s="26"/>
      <c r="G3" s="26"/>
      <c r="H3" s="84"/>
      <c r="I3" s="84"/>
      <c r="J3" s="90"/>
      <c r="K3" s="84"/>
      <c r="L3" s="84"/>
      <c r="M3" s="84"/>
      <c r="N3" s="84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84"/>
      <c r="I4" s="84"/>
      <c r="J4" s="90"/>
      <c r="K4" s="84"/>
      <c r="L4" s="84"/>
      <c r="M4" s="84"/>
      <c r="N4" s="84"/>
    </row>
    <row r="5" spans="1:37" ht="34.65" x14ac:dyDescent="0.25">
      <c r="A5" s="1" t="s">
        <v>33</v>
      </c>
      <c r="B5" s="29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28"/>
      <c r="H5" s="91" t="s">
        <v>39</v>
      </c>
      <c r="I5" s="92" t="s">
        <v>40</v>
      </c>
      <c r="J5" s="93" t="s">
        <v>41</v>
      </c>
      <c r="K5" s="92" t="s">
        <v>42</v>
      </c>
      <c r="L5" s="92" t="s">
        <v>43</v>
      </c>
      <c r="M5" s="91" t="s">
        <v>44</v>
      </c>
      <c r="N5" s="91" t="s">
        <v>81</v>
      </c>
    </row>
    <row r="6" spans="1:37" ht="14.45" customHeight="1" x14ac:dyDescent="0.25">
      <c r="A6" s="94">
        <f>N6</f>
        <v>191.11036325171224</v>
      </c>
      <c r="B6" s="34">
        <f t="shared" ref="B6:B69" si="0">IF(H6&gt;$H$2,"",(ROW()-5))</f>
        <v>1</v>
      </c>
      <c r="C6" s="35" t="s">
        <v>127</v>
      </c>
      <c r="D6" s="35" t="s">
        <v>128</v>
      </c>
      <c r="E6" s="35" t="s">
        <v>129</v>
      </c>
      <c r="F6" s="35" t="s">
        <v>130</v>
      </c>
      <c r="G6" s="28"/>
      <c r="H6" s="95">
        <v>1</v>
      </c>
      <c r="I6" s="96">
        <f t="shared" ref="I6:I69" si="1">IF(H6&lt;$H$2+1,($I$2-($I$2-1)*(LOG(H6)/LOG($H$2))),"")</f>
        <v>50</v>
      </c>
      <c r="J6" s="95">
        <f>INT(LOG($H$2,2))-ROUNDUP(LOG(H6,2),0)+IF(OR($H$2=1,$H$2=2,$H$2=4,$H$2=8,$H$2=16,$H$2=32,$H$2=64,$H$2=128,$H$2=256),0,1)</f>
        <v>7</v>
      </c>
      <c r="K6" s="95">
        <f t="shared" ref="K6:K69" si="2">J6*$J$2</f>
        <v>70</v>
      </c>
      <c r="L6" s="97">
        <f>3*K2</f>
        <v>39.258636043093539</v>
      </c>
      <c r="M6" s="97">
        <f t="shared" ref="M6:M69" si="3">IF(I6&lt;&gt;"",K6+I6+L6,0)</f>
        <v>159.25863604309353</v>
      </c>
      <c r="N6" s="97">
        <f t="shared" ref="N6:N69" si="4">IF(I6&lt;&gt;"",M6*L$2,0)</f>
        <v>191.11036325171224</v>
      </c>
    </row>
    <row r="7" spans="1:37" ht="14.45" customHeight="1" x14ac:dyDescent="0.25">
      <c r="A7" s="98">
        <f t="shared" ref="A7:A70" si="5">N7</f>
        <v>154.18343647273969</v>
      </c>
      <c r="B7" s="40">
        <f t="shared" si="0"/>
        <v>2</v>
      </c>
      <c r="C7" s="41" t="s">
        <v>131</v>
      </c>
      <c r="D7" s="41" t="s">
        <v>132</v>
      </c>
      <c r="E7" s="41" t="s">
        <v>133</v>
      </c>
      <c r="F7" s="41" t="s">
        <v>130</v>
      </c>
      <c r="G7" s="28"/>
      <c r="H7" s="99">
        <v>2</v>
      </c>
      <c r="I7" s="100">
        <f t="shared" si="1"/>
        <v>42.313773031887393</v>
      </c>
      <c r="J7" s="99">
        <f t="shared" ref="J7:J70" si="6">INT(LOG($H$2,2))-ROUNDUP(LOG(H7,2),0)+IF(OR($H$2=1,$H$2=2,$H$2=4,$H$2=8,$H$2=16,$H$2=32,$H$2=64,$H$2=128,$H$2=256),0,1)</f>
        <v>6</v>
      </c>
      <c r="K7" s="99">
        <f t="shared" si="2"/>
        <v>60</v>
      </c>
      <c r="L7" s="101">
        <f>2*K2</f>
        <v>26.172424028729026</v>
      </c>
      <c r="M7" s="101">
        <f t="shared" si="3"/>
        <v>128.4861970606164</v>
      </c>
      <c r="N7" s="101">
        <f t="shared" si="4"/>
        <v>154.18343647273969</v>
      </c>
    </row>
    <row r="8" spans="1:37" ht="14.45" customHeight="1" x14ac:dyDescent="0.25">
      <c r="A8" s="94">
        <f t="shared" si="5"/>
        <v>121.08459659744923</v>
      </c>
      <c r="B8" s="34">
        <f t="shared" si="0"/>
        <v>3</v>
      </c>
      <c r="C8" s="35" t="s">
        <v>134</v>
      </c>
      <c r="D8" s="35" t="s">
        <v>135</v>
      </c>
      <c r="E8" s="35" t="s">
        <v>136</v>
      </c>
      <c r="F8" s="35" t="s">
        <v>130</v>
      </c>
      <c r="G8" s="28"/>
      <c r="H8" s="95">
        <v>3</v>
      </c>
      <c r="I8" s="96">
        <f t="shared" si="1"/>
        <v>37.817618483509847</v>
      </c>
      <c r="J8" s="95">
        <f t="shared" si="6"/>
        <v>5</v>
      </c>
      <c r="K8" s="95">
        <f t="shared" si="2"/>
        <v>50</v>
      </c>
      <c r="L8" s="97">
        <f>K2</f>
        <v>13.086212014364513</v>
      </c>
      <c r="M8" s="97">
        <f t="shared" si="3"/>
        <v>100.90383049787437</v>
      </c>
      <c r="N8" s="97">
        <f t="shared" si="4"/>
        <v>121.08459659744923</v>
      </c>
    </row>
    <row r="9" spans="1:37" s="85" customFormat="1" ht="14.45" customHeight="1" x14ac:dyDescent="0.25">
      <c r="A9" s="98">
        <f>N9</f>
        <v>121.08459659744923</v>
      </c>
      <c r="B9" s="40">
        <f t="shared" si="0"/>
        <v>4</v>
      </c>
      <c r="C9" s="41" t="s">
        <v>137</v>
      </c>
      <c r="D9" s="41" t="s">
        <v>138</v>
      </c>
      <c r="E9" s="41" t="s">
        <v>139</v>
      </c>
      <c r="F9" s="41" t="s">
        <v>130</v>
      </c>
      <c r="G9" s="28"/>
      <c r="H9" s="99">
        <v>3</v>
      </c>
      <c r="I9" s="100">
        <f t="shared" si="1"/>
        <v>37.817618483509847</v>
      </c>
      <c r="J9" s="99">
        <f t="shared" si="6"/>
        <v>5</v>
      </c>
      <c r="K9" s="99">
        <f t="shared" si="2"/>
        <v>50</v>
      </c>
      <c r="L9" s="101">
        <f>K2</f>
        <v>13.086212014364513</v>
      </c>
      <c r="M9" s="101">
        <f t="shared" si="3"/>
        <v>100.90383049787437</v>
      </c>
      <c r="N9" s="101">
        <f t="shared" si="4"/>
        <v>121.08459659744923</v>
      </c>
      <c r="O9" s="80"/>
      <c r="P9" s="80"/>
      <c r="Q9" s="80"/>
      <c r="R9" s="80"/>
      <c r="S9" s="80"/>
      <c r="V9" s="102"/>
      <c r="Z9" s="103"/>
      <c r="AA9" s="103"/>
      <c r="AG9" s="104"/>
      <c r="AH9" s="85" t="s">
        <v>49</v>
      </c>
      <c r="AI9" s="85">
        <v>23</v>
      </c>
    </row>
    <row r="10" spans="1:37" ht="14.45" customHeight="1" x14ac:dyDescent="0.25">
      <c r="A10" s="94">
        <f t="shared" si="5"/>
        <v>86.583760390870111</v>
      </c>
      <c r="B10" s="34">
        <f t="shared" si="0"/>
        <v>5</v>
      </c>
      <c r="C10" s="35" t="s">
        <v>140</v>
      </c>
      <c r="D10" s="35" t="s">
        <v>141</v>
      </c>
      <c r="E10" s="35" t="s">
        <v>139</v>
      </c>
      <c r="F10" s="35" t="s">
        <v>130</v>
      </c>
      <c r="G10" s="28"/>
      <c r="H10" s="95">
        <v>5</v>
      </c>
      <c r="I10" s="96">
        <f t="shared" si="1"/>
        <v>32.153133659058426</v>
      </c>
      <c r="J10" s="95">
        <f t="shared" si="6"/>
        <v>4</v>
      </c>
      <c r="K10" s="95">
        <f t="shared" si="2"/>
        <v>40</v>
      </c>
      <c r="L10" s="95"/>
      <c r="M10" s="97">
        <f t="shared" si="3"/>
        <v>72.153133659058426</v>
      </c>
      <c r="N10" s="97">
        <f t="shared" si="4"/>
        <v>86.583760390870111</v>
      </c>
      <c r="W10" s="102"/>
      <c r="AA10" s="103"/>
      <c r="AB10" s="103"/>
      <c r="AH10" s="104"/>
      <c r="AI10" s="85" t="s">
        <v>52</v>
      </c>
      <c r="AJ10" s="85">
        <v>45</v>
      </c>
    </row>
    <row r="11" spans="1:37" ht="14.45" customHeight="1" x14ac:dyDescent="0.25">
      <c r="A11" s="98">
        <f t="shared" si="5"/>
        <v>84.157669818476691</v>
      </c>
      <c r="B11" s="40">
        <f t="shared" si="0"/>
        <v>6</v>
      </c>
      <c r="C11" s="41" t="s">
        <v>142</v>
      </c>
      <c r="D11" s="41" t="s">
        <v>143</v>
      </c>
      <c r="E11" s="41" t="s">
        <v>144</v>
      </c>
      <c r="F11" s="41" t="s">
        <v>130</v>
      </c>
      <c r="G11" s="28"/>
      <c r="H11" s="99">
        <v>6</v>
      </c>
      <c r="I11" s="100">
        <f t="shared" si="1"/>
        <v>30.131391515397244</v>
      </c>
      <c r="J11" s="99">
        <f t="shared" si="6"/>
        <v>4</v>
      </c>
      <c r="K11" s="99">
        <f t="shared" si="2"/>
        <v>40</v>
      </c>
      <c r="L11" s="99"/>
      <c r="M11" s="101">
        <f t="shared" si="3"/>
        <v>70.13139151539724</v>
      </c>
      <c r="N11" s="101">
        <f t="shared" si="4"/>
        <v>84.157669818476691</v>
      </c>
      <c r="W11" s="105"/>
      <c r="AA11" s="103"/>
      <c r="AB11" s="103"/>
      <c r="AH11" s="104"/>
      <c r="AI11" s="85" t="s">
        <v>53</v>
      </c>
      <c r="AJ11" s="85">
        <v>50</v>
      </c>
    </row>
    <row r="12" spans="1:37" ht="14.45" customHeight="1" x14ac:dyDescent="0.25">
      <c r="A12" s="94">
        <f t="shared" si="5"/>
        <v>82.106439466820603</v>
      </c>
      <c r="B12" s="34">
        <f t="shared" si="0"/>
        <v>7</v>
      </c>
      <c r="C12" s="35" t="s">
        <v>145</v>
      </c>
      <c r="D12" s="35" t="s">
        <v>146</v>
      </c>
      <c r="E12" s="35" t="s">
        <v>147</v>
      </c>
      <c r="F12" s="35" t="s">
        <v>130</v>
      </c>
      <c r="G12" s="28"/>
      <c r="H12" s="95">
        <v>7</v>
      </c>
      <c r="I12" s="96">
        <f t="shared" si="1"/>
        <v>28.422032889017174</v>
      </c>
      <c r="J12" s="95">
        <f t="shared" si="6"/>
        <v>4</v>
      </c>
      <c r="K12" s="95">
        <f t="shared" si="2"/>
        <v>40</v>
      </c>
      <c r="L12" s="95"/>
      <c r="M12" s="97">
        <f t="shared" si="3"/>
        <v>68.422032889017174</v>
      </c>
      <c r="N12" s="97">
        <f t="shared" si="4"/>
        <v>82.106439466820603</v>
      </c>
      <c r="AA12" s="103"/>
      <c r="AB12" s="103"/>
      <c r="AH12" s="104"/>
      <c r="AI12" s="85" t="s">
        <v>54</v>
      </c>
      <c r="AJ12" s="85">
        <f>AJ11-1</f>
        <v>49</v>
      </c>
    </row>
    <row r="13" spans="1:37" ht="14.45" customHeight="1" x14ac:dyDescent="0.25">
      <c r="A13" s="98">
        <f t="shared" si="5"/>
        <v>80.329582914794614</v>
      </c>
      <c r="B13" s="40">
        <f t="shared" si="0"/>
        <v>8</v>
      </c>
      <c r="C13" s="41" t="s">
        <v>148</v>
      </c>
      <c r="D13" s="41" t="s">
        <v>149</v>
      </c>
      <c r="E13" s="41" t="s">
        <v>147</v>
      </c>
      <c r="F13" s="41" t="s">
        <v>130</v>
      </c>
      <c r="G13" s="28"/>
      <c r="H13" s="99">
        <v>8</v>
      </c>
      <c r="I13" s="100">
        <f t="shared" si="1"/>
        <v>26.941319095662177</v>
      </c>
      <c r="J13" s="99">
        <f t="shared" si="6"/>
        <v>4</v>
      </c>
      <c r="K13" s="99">
        <f t="shared" si="2"/>
        <v>40</v>
      </c>
      <c r="L13" s="99"/>
      <c r="M13" s="101">
        <f t="shared" si="3"/>
        <v>66.94131909566218</v>
      </c>
      <c r="N13" s="101">
        <f t="shared" si="4"/>
        <v>80.329582914794614</v>
      </c>
      <c r="Y13" s="102"/>
      <c r="AH13" s="104"/>
      <c r="AI13" s="85" t="s">
        <v>55</v>
      </c>
      <c r="AJ13" s="85" t="e">
        <f>LOG(AJ9)</f>
        <v>#NUM!</v>
      </c>
    </row>
    <row r="14" spans="1:37" ht="25.85" x14ac:dyDescent="0.25">
      <c r="A14" s="94">
        <f t="shared" si="5"/>
        <v>66.762284360423635</v>
      </c>
      <c r="B14" s="34">
        <f t="shared" si="0"/>
        <v>9</v>
      </c>
      <c r="C14" s="35" t="s">
        <v>150</v>
      </c>
      <c r="D14" s="35" t="s">
        <v>151</v>
      </c>
      <c r="E14" s="35" t="s">
        <v>152</v>
      </c>
      <c r="F14" s="35" t="s">
        <v>130</v>
      </c>
      <c r="G14" s="28"/>
      <c r="H14" s="95">
        <v>9</v>
      </c>
      <c r="I14" s="96">
        <f t="shared" si="1"/>
        <v>25.635236967019701</v>
      </c>
      <c r="J14" s="95">
        <f t="shared" si="6"/>
        <v>3</v>
      </c>
      <c r="K14" s="95">
        <f t="shared" si="2"/>
        <v>30</v>
      </c>
      <c r="L14" s="95"/>
      <c r="M14" s="97">
        <f t="shared" si="3"/>
        <v>55.635236967019701</v>
      </c>
      <c r="N14" s="97">
        <f t="shared" si="4"/>
        <v>66.762284360423635</v>
      </c>
      <c r="Y14" s="106"/>
      <c r="AA14" s="103"/>
      <c r="AB14" s="103"/>
      <c r="AH14" s="104"/>
      <c r="AI14" s="85" t="s">
        <v>56</v>
      </c>
      <c r="AJ14" s="85">
        <f>LOG(AJ10)</f>
        <v>1.6532125137753437</v>
      </c>
    </row>
    <row r="15" spans="1:37" x14ac:dyDescent="0.25">
      <c r="A15" s="98">
        <f t="shared" si="5"/>
        <v>65.360288029134978</v>
      </c>
      <c r="B15" s="40">
        <f t="shared" si="0"/>
        <v>10</v>
      </c>
      <c r="C15" s="41" t="s">
        <v>153</v>
      </c>
      <c r="D15" s="41" t="s">
        <v>154</v>
      </c>
      <c r="E15" s="41" t="s">
        <v>155</v>
      </c>
      <c r="F15" s="41" t="s">
        <v>130</v>
      </c>
      <c r="G15" s="28"/>
      <c r="H15" s="99">
        <v>10</v>
      </c>
      <c r="I15" s="100">
        <f t="shared" si="1"/>
        <v>24.466906690945816</v>
      </c>
      <c r="J15" s="99">
        <f t="shared" si="6"/>
        <v>3</v>
      </c>
      <c r="K15" s="99">
        <f t="shared" si="2"/>
        <v>30</v>
      </c>
      <c r="L15" s="99"/>
      <c r="M15" s="101">
        <f t="shared" si="3"/>
        <v>54.466906690945819</v>
      </c>
      <c r="N15" s="101">
        <f t="shared" si="4"/>
        <v>65.360288029134978</v>
      </c>
      <c r="Y15" s="102"/>
      <c r="AA15" s="103"/>
      <c r="AB15" s="103"/>
    </row>
    <row r="16" spans="1:37" x14ac:dyDescent="0.25">
      <c r="A16" s="94">
        <f t="shared" si="5"/>
        <v>64.09202807818626</v>
      </c>
      <c r="B16" s="34">
        <f t="shared" si="0"/>
        <v>11</v>
      </c>
      <c r="C16" s="35" t="s">
        <v>156</v>
      </c>
      <c r="D16" s="35" t="s">
        <v>146</v>
      </c>
      <c r="E16" s="35" t="s">
        <v>157</v>
      </c>
      <c r="F16" s="35" t="s">
        <v>130</v>
      </c>
      <c r="G16" s="28"/>
      <c r="H16" s="95">
        <v>11</v>
      </c>
      <c r="I16" s="96">
        <f t="shared" si="1"/>
        <v>23.410023398488555</v>
      </c>
      <c r="J16" s="95">
        <f t="shared" si="6"/>
        <v>3</v>
      </c>
      <c r="K16" s="95">
        <f t="shared" si="2"/>
        <v>30</v>
      </c>
      <c r="L16" s="95"/>
      <c r="M16" s="97">
        <f t="shared" si="3"/>
        <v>53.410023398488555</v>
      </c>
      <c r="N16" s="97">
        <f t="shared" si="4"/>
        <v>64.09202807818626</v>
      </c>
      <c r="S16" s="107"/>
      <c r="AA16" s="103"/>
      <c r="AB16" s="103"/>
      <c r="AI16" s="108" t="s">
        <v>57</v>
      </c>
      <c r="AJ16" s="85" t="e">
        <f>AJ11-AJ12*AJ13/AJ14</f>
        <v>#NUM!</v>
      </c>
      <c r="AK16" s="85" t="s">
        <v>58</v>
      </c>
    </row>
    <row r="17" spans="1:20" x14ac:dyDescent="0.25">
      <c r="A17" s="98">
        <f t="shared" si="5"/>
        <v>62.934197456741558</v>
      </c>
      <c r="B17" s="40">
        <f t="shared" si="0"/>
        <v>12</v>
      </c>
      <c r="C17" s="41" t="s">
        <v>158</v>
      </c>
      <c r="D17" s="41" t="s">
        <v>159</v>
      </c>
      <c r="E17" s="41" t="s">
        <v>160</v>
      </c>
      <c r="F17" s="41" t="s">
        <v>130</v>
      </c>
      <c r="G17" s="28"/>
      <c r="H17" s="99">
        <v>12</v>
      </c>
      <c r="I17" s="100">
        <f t="shared" si="1"/>
        <v>22.445164547284634</v>
      </c>
      <c r="J17" s="99">
        <f t="shared" si="6"/>
        <v>3</v>
      </c>
      <c r="K17" s="99">
        <f t="shared" si="2"/>
        <v>30</v>
      </c>
      <c r="L17" s="99"/>
      <c r="M17" s="101">
        <f t="shared" si="3"/>
        <v>52.445164547284634</v>
      </c>
      <c r="N17" s="101">
        <f t="shared" si="4"/>
        <v>62.934197456741558</v>
      </c>
    </row>
    <row r="18" spans="1:20" x14ac:dyDescent="0.25">
      <c r="A18" s="94">
        <f t="shared" si="5"/>
        <v>61.869096533458702</v>
      </c>
      <c r="B18" s="34">
        <f t="shared" si="0"/>
        <v>13</v>
      </c>
      <c r="C18" s="35" t="s">
        <v>161</v>
      </c>
      <c r="D18" s="35" t="s">
        <v>162</v>
      </c>
      <c r="E18" s="35" t="s">
        <v>160</v>
      </c>
      <c r="F18" s="35" t="s">
        <v>130</v>
      </c>
      <c r="G18" s="28"/>
      <c r="H18" s="95">
        <v>13</v>
      </c>
      <c r="I18" s="96">
        <f t="shared" si="1"/>
        <v>21.557580444548922</v>
      </c>
      <c r="J18" s="95">
        <f t="shared" si="6"/>
        <v>3</v>
      </c>
      <c r="K18" s="95">
        <f t="shared" si="2"/>
        <v>30</v>
      </c>
      <c r="L18" s="95"/>
      <c r="M18" s="97">
        <f t="shared" si="3"/>
        <v>51.557580444548918</v>
      </c>
      <c r="N18" s="97">
        <f t="shared" si="4"/>
        <v>61.869096533458702</v>
      </c>
    </row>
    <row r="19" spans="1:20" x14ac:dyDescent="0.25">
      <c r="A19" s="98">
        <f t="shared" si="5"/>
        <v>60.882967105085477</v>
      </c>
      <c r="B19" s="40">
        <f t="shared" si="0"/>
        <v>14</v>
      </c>
      <c r="C19" s="41" t="s">
        <v>163</v>
      </c>
      <c r="D19" s="41" t="s">
        <v>164</v>
      </c>
      <c r="E19" s="41" t="s">
        <v>147</v>
      </c>
      <c r="F19" s="41" t="s">
        <v>130</v>
      </c>
      <c r="G19" s="28"/>
      <c r="H19" s="99">
        <v>14</v>
      </c>
      <c r="I19" s="100">
        <f t="shared" si="1"/>
        <v>20.735805920904564</v>
      </c>
      <c r="J19" s="99">
        <f t="shared" si="6"/>
        <v>3</v>
      </c>
      <c r="K19" s="99">
        <f t="shared" si="2"/>
        <v>30</v>
      </c>
      <c r="L19" s="99"/>
      <c r="M19" s="101">
        <f t="shared" si="3"/>
        <v>50.735805920904568</v>
      </c>
      <c r="N19" s="101">
        <f t="shared" si="4"/>
        <v>60.882967105085477</v>
      </c>
    </row>
    <row r="20" spans="1:20" x14ac:dyDescent="0.25">
      <c r="A20" s="94">
        <f t="shared" si="5"/>
        <v>59.964902571081922</v>
      </c>
      <c r="B20" s="34">
        <f t="shared" si="0"/>
        <v>15</v>
      </c>
      <c r="C20" s="35" t="s">
        <v>165</v>
      </c>
      <c r="D20" s="35" t="s">
        <v>166</v>
      </c>
      <c r="E20" s="35" t="s">
        <v>147</v>
      </c>
      <c r="F20" s="35" t="s">
        <v>130</v>
      </c>
      <c r="G20" s="28"/>
      <c r="H20" s="95">
        <v>15</v>
      </c>
      <c r="I20" s="96">
        <f t="shared" si="1"/>
        <v>19.970752142568269</v>
      </c>
      <c r="J20" s="95">
        <f t="shared" si="6"/>
        <v>3</v>
      </c>
      <c r="K20" s="95">
        <f t="shared" si="2"/>
        <v>30</v>
      </c>
      <c r="L20" s="95"/>
      <c r="M20" s="97">
        <f t="shared" si="3"/>
        <v>49.970752142568273</v>
      </c>
      <c r="N20" s="97">
        <f t="shared" si="4"/>
        <v>59.964902571081922</v>
      </c>
      <c r="S20" s="109"/>
      <c r="T20" s="110"/>
    </row>
    <row r="21" spans="1:20" x14ac:dyDescent="0.25">
      <c r="A21" s="98">
        <f t="shared" si="5"/>
        <v>59.106110553059487</v>
      </c>
      <c r="B21" s="40">
        <f t="shared" si="0"/>
        <v>16</v>
      </c>
      <c r="C21" s="41" t="s">
        <v>167</v>
      </c>
      <c r="D21" s="41" t="s">
        <v>168</v>
      </c>
      <c r="E21" s="41" t="s">
        <v>147</v>
      </c>
      <c r="F21" s="41" t="s">
        <v>130</v>
      </c>
      <c r="G21" s="28"/>
      <c r="H21" s="99">
        <v>16</v>
      </c>
      <c r="I21" s="100">
        <f t="shared" si="1"/>
        <v>19.25509212754957</v>
      </c>
      <c r="J21" s="99">
        <f t="shared" si="6"/>
        <v>3</v>
      </c>
      <c r="K21" s="99">
        <f t="shared" si="2"/>
        <v>30</v>
      </c>
      <c r="L21" s="99"/>
      <c r="M21" s="101">
        <f t="shared" si="3"/>
        <v>49.255092127549574</v>
      </c>
      <c r="N21" s="101">
        <f t="shared" si="4"/>
        <v>59.106110553059487</v>
      </c>
    </row>
    <row r="22" spans="1:20" x14ac:dyDescent="0.25">
      <c r="A22" s="94">
        <f t="shared" si="5"/>
        <v>46.299399454108148</v>
      </c>
      <c r="B22" s="34">
        <f t="shared" si="0"/>
        <v>17</v>
      </c>
      <c r="C22" s="35" t="s">
        <v>169</v>
      </c>
      <c r="D22" s="35" t="s">
        <v>170</v>
      </c>
      <c r="E22" s="35" t="s">
        <v>139</v>
      </c>
      <c r="F22" s="35" t="s">
        <v>130</v>
      </c>
      <c r="G22" s="28"/>
      <c r="H22" s="95">
        <v>17</v>
      </c>
      <c r="I22" s="96">
        <f t="shared" si="1"/>
        <v>18.58283287842346</v>
      </c>
      <c r="J22" s="95">
        <f t="shared" si="6"/>
        <v>2</v>
      </c>
      <c r="K22" s="95">
        <f t="shared" si="2"/>
        <v>20</v>
      </c>
      <c r="L22" s="95"/>
      <c r="M22" s="97">
        <f t="shared" si="3"/>
        <v>38.58283287842346</v>
      </c>
      <c r="N22" s="97">
        <f t="shared" si="4"/>
        <v>46.299399454108148</v>
      </c>
    </row>
    <row r="23" spans="1:20" x14ac:dyDescent="0.25">
      <c r="A23" s="98">
        <f t="shared" si="5"/>
        <v>45.538811998688509</v>
      </c>
      <c r="B23" s="40">
        <f t="shared" si="0"/>
        <v>18</v>
      </c>
      <c r="C23" s="41" t="s">
        <v>171</v>
      </c>
      <c r="D23" s="41" t="s">
        <v>172</v>
      </c>
      <c r="E23" s="41" t="s">
        <v>139</v>
      </c>
      <c r="F23" s="41" t="s">
        <v>130</v>
      </c>
      <c r="G23" s="28"/>
      <c r="H23" s="99">
        <v>18</v>
      </c>
      <c r="I23" s="100">
        <f t="shared" si="1"/>
        <v>17.949009998907094</v>
      </c>
      <c r="J23" s="99">
        <f t="shared" si="6"/>
        <v>2</v>
      </c>
      <c r="K23" s="99">
        <f t="shared" si="2"/>
        <v>20</v>
      </c>
      <c r="L23" s="99"/>
      <c r="M23" s="101">
        <f t="shared" si="3"/>
        <v>37.949009998907094</v>
      </c>
      <c r="N23" s="101">
        <f t="shared" si="4"/>
        <v>45.538811998688509</v>
      </c>
    </row>
    <row r="24" spans="1:20" x14ac:dyDescent="0.25">
      <c r="A24" s="94">
        <f t="shared" si="5"/>
        <v>44.819357985098854</v>
      </c>
      <c r="B24" s="34">
        <f t="shared" si="0"/>
        <v>19</v>
      </c>
      <c r="C24" s="35" t="s">
        <v>173</v>
      </c>
      <c r="D24" s="35" t="s">
        <v>174</v>
      </c>
      <c r="E24" s="35" t="s">
        <v>139</v>
      </c>
      <c r="F24" s="35" t="s">
        <v>130</v>
      </c>
      <c r="G24" s="28"/>
      <c r="H24" s="95">
        <v>19</v>
      </c>
      <c r="I24" s="96">
        <f t="shared" si="1"/>
        <v>17.34946498758238</v>
      </c>
      <c r="J24" s="95">
        <f t="shared" si="6"/>
        <v>2</v>
      </c>
      <c r="K24" s="95">
        <f t="shared" si="2"/>
        <v>20</v>
      </c>
      <c r="L24" s="95"/>
      <c r="M24" s="97">
        <f t="shared" si="3"/>
        <v>37.34946498758238</v>
      </c>
      <c r="N24" s="97">
        <f t="shared" si="4"/>
        <v>44.819357985098854</v>
      </c>
      <c r="S24" s="109"/>
      <c r="T24" s="110"/>
    </row>
    <row r="25" spans="1:20" x14ac:dyDescent="0.25">
      <c r="A25" s="98">
        <f t="shared" si="5"/>
        <v>44.136815667399844</v>
      </c>
      <c r="B25" s="40">
        <f t="shared" si="0"/>
        <v>20</v>
      </c>
      <c r="C25" s="41" t="s">
        <v>175</v>
      </c>
      <c r="D25" s="41" t="s">
        <v>176</v>
      </c>
      <c r="E25" s="41" t="s">
        <v>157</v>
      </c>
      <c r="F25" s="41" t="s">
        <v>130</v>
      </c>
      <c r="G25" s="28"/>
      <c r="H25" s="99">
        <v>20</v>
      </c>
      <c r="I25" s="100">
        <f t="shared" si="1"/>
        <v>16.780679722833206</v>
      </c>
      <c r="J25" s="99">
        <f t="shared" si="6"/>
        <v>2</v>
      </c>
      <c r="K25" s="99">
        <f t="shared" si="2"/>
        <v>20</v>
      </c>
      <c r="L25" s="99"/>
      <c r="M25" s="101">
        <f t="shared" si="3"/>
        <v>36.780679722833206</v>
      </c>
      <c r="N25" s="101">
        <f t="shared" si="4"/>
        <v>44.136815667399844</v>
      </c>
    </row>
    <row r="26" spans="1:20" x14ac:dyDescent="0.25">
      <c r="A26" s="94">
        <f t="shared" si="5"/>
        <v>43.487581647032421</v>
      </c>
      <c r="B26" s="34">
        <f t="shared" si="0"/>
        <v>21</v>
      </c>
      <c r="C26" s="35" t="s">
        <v>177</v>
      </c>
      <c r="D26" s="35" t="s">
        <v>178</v>
      </c>
      <c r="E26" s="35" t="s">
        <v>139</v>
      </c>
      <c r="F26" s="35" t="s">
        <v>130</v>
      </c>
      <c r="G26" s="28"/>
      <c r="H26" s="95">
        <v>21</v>
      </c>
      <c r="I26" s="96">
        <f t="shared" si="1"/>
        <v>16.239651372527021</v>
      </c>
      <c r="J26" s="95">
        <f t="shared" si="6"/>
        <v>2</v>
      </c>
      <c r="K26" s="95">
        <f t="shared" si="2"/>
        <v>20</v>
      </c>
      <c r="L26" s="95"/>
      <c r="M26" s="97">
        <f t="shared" si="3"/>
        <v>36.239651372527021</v>
      </c>
      <c r="N26" s="97">
        <f t="shared" si="4"/>
        <v>43.487581647032421</v>
      </c>
    </row>
    <row r="27" spans="1:20" x14ac:dyDescent="0.25">
      <c r="A27" s="98">
        <f t="shared" si="5"/>
        <v>42.868555716451134</v>
      </c>
      <c r="B27" s="40">
        <f t="shared" si="0"/>
        <v>22</v>
      </c>
      <c r="C27" s="41" t="s">
        <v>179</v>
      </c>
      <c r="D27" s="41" t="s">
        <v>180</v>
      </c>
      <c r="E27" s="41" t="s">
        <v>147</v>
      </c>
      <c r="F27" s="41" t="s">
        <v>130</v>
      </c>
      <c r="G27" s="28"/>
      <c r="H27" s="99">
        <v>22</v>
      </c>
      <c r="I27" s="100">
        <f t="shared" si="1"/>
        <v>15.723796430375948</v>
      </c>
      <c r="J27" s="99">
        <f t="shared" si="6"/>
        <v>2</v>
      </c>
      <c r="K27" s="99">
        <f t="shared" si="2"/>
        <v>20</v>
      </c>
      <c r="L27" s="99"/>
      <c r="M27" s="101">
        <f t="shared" si="3"/>
        <v>35.723796430375948</v>
      </c>
      <c r="N27" s="101">
        <f t="shared" si="4"/>
        <v>42.868555716451134</v>
      </c>
    </row>
    <row r="28" spans="1:20" x14ac:dyDescent="0.25">
      <c r="A28" s="94">
        <f t="shared" si="5"/>
        <v>42.277051321711639</v>
      </c>
      <c r="B28" s="34">
        <f t="shared" si="0"/>
        <v>23</v>
      </c>
      <c r="C28" s="35" t="s">
        <v>181</v>
      </c>
      <c r="D28" s="35" t="s">
        <v>182</v>
      </c>
      <c r="E28" s="35" t="s">
        <v>144</v>
      </c>
      <c r="F28" s="35" t="s">
        <v>130</v>
      </c>
      <c r="G28" s="28"/>
      <c r="H28" s="95">
        <v>23</v>
      </c>
      <c r="I28" s="96">
        <f t="shared" si="1"/>
        <v>15.230876101426368</v>
      </c>
      <c r="J28" s="95">
        <f t="shared" si="6"/>
        <v>2</v>
      </c>
      <c r="K28" s="95">
        <f t="shared" si="2"/>
        <v>20</v>
      </c>
      <c r="L28" s="95"/>
      <c r="M28" s="97">
        <f t="shared" si="3"/>
        <v>35.230876101426368</v>
      </c>
      <c r="N28" s="97">
        <f t="shared" si="4"/>
        <v>42.277051321711639</v>
      </c>
      <c r="S28" s="109"/>
      <c r="T28" s="110"/>
    </row>
    <row r="29" spans="1:20" x14ac:dyDescent="0.25">
      <c r="A29" s="98">
        <f t="shared" si="5"/>
        <v>41.710725095006438</v>
      </c>
      <c r="B29" s="40">
        <f t="shared" si="0"/>
        <v>24</v>
      </c>
      <c r="C29" s="41" t="s">
        <v>183</v>
      </c>
      <c r="D29" s="41" t="s">
        <v>184</v>
      </c>
      <c r="E29" s="41" t="s">
        <v>139</v>
      </c>
      <c r="F29" s="41" t="s">
        <v>130</v>
      </c>
      <c r="G29" s="80"/>
      <c r="H29" s="99">
        <v>24</v>
      </c>
      <c r="I29" s="100">
        <f t="shared" si="1"/>
        <v>14.758937579172034</v>
      </c>
      <c r="J29" s="99">
        <f t="shared" si="6"/>
        <v>2</v>
      </c>
      <c r="K29" s="99">
        <f t="shared" si="2"/>
        <v>20</v>
      </c>
      <c r="L29" s="99"/>
      <c r="M29" s="101">
        <f t="shared" si="3"/>
        <v>34.758937579172034</v>
      </c>
      <c r="N29" s="101">
        <f t="shared" si="4"/>
        <v>41.710725095006438</v>
      </c>
    </row>
    <row r="30" spans="1:20" x14ac:dyDescent="0.25">
      <c r="A30" s="94">
        <f t="shared" si="5"/>
        <v>41.167520781740222</v>
      </c>
      <c r="B30" s="34">
        <f t="shared" si="0"/>
        <v>25</v>
      </c>
      <c r="C30" s="35" t="s">
        <v>185</v>
      </c>
      <c r="D30" s="35" t="s">
        <v>186</v>
      </c>
      <c r="E30" s="35" t="s">
        <v>160</v>
      </c>
      <c r="F30" s="35" t="s">
        <v>130</v>
      </c>
      <c r="G30" s="80"/>
      <c r="H30" s="95">
        <v>25</v>
      </c>
      <c r="I30" s="96">
        <f t="shared" si="1"/>
        <v>14.306267318116852</v>
      </c>
      <c r="J30" s="95">
        <f t="shared" si="6"/>
        <v>2</v>
      </c>
      <c r="K30" s="95">
        <f t="shared" si="2"/>
        <v>20</v>
      </c>
      <c r="L30" s="95"/>
      <c r="M30" s="97">
        <f t="shared" si="3"/>
        <v>34.306267318116852</v>
      </c>
      <c r="N30" s="97">
        <f t="shared" si="4"/>
        <v>41.167520781740222</v>
      </c>
    </row>
    <row r="31" spans="1:20" x14ac:dyDescent="0.25">
      <c r="A31" s="98">
        <f t="shared" si="5"/>
        <v>40.645624171723576</v>
      </c>
      <c r="B31" s="40">
        <f t="shared" si="0"/>
        <v>26</v>
      </c>
      <c r="C31" s="41" t="s">
        <v>187</v>
      </c>
      <c r="D31" s="41" t="s">
        <v>188</v>
      </c>
      <c r="E31" s="41" t="s">
        <v>189</v>
      </c>
      <c r="F31" s="41" t="s">
        <v>130</v>
      </c>
      <c r="G31" s="80"/>
      <c r="H31" s="99">
        <v>26</v>
      </c>
      <c r="I31" s="100">
        <f t="shared" si="1"/>
        <v>13.871353476436312</v>
      </c>
      <c r="J31" s="99">
        <f t="shared" si="6"/>
        <v>2</v>
      </c>
      <c r="K31" s="99">
        <f t="shared" si="2"/>
        <v>20</v>
      </c>
      <c r="L31" s="99"/>
      <c r="M31" s="101">
        <f t="shared" si="3"/>
        <v>33.871353476436312</v>
      </c>
      <c r="N31" s="101">
        <f t="shared" si="4"/>
        <v>40.645624171723576</v>
      </c>
    </row>
    <row r="32" spans="1:20" x14ac:dyDescent="0.25">
      <c r="A32" s="94">
        <f t="shared" si="5"/>
        <v>40.143426540635453</v>
      </c>
      <c r="B32" s="34">
        <f t="shared" si="0"/>
        <v>27</v>
      </c>
      <c r="C32" s="35" t="s">
        <v>190</v>
      </c>
      <c r="D32" s="35" t="s">
        <v>191</v>
      </c>
      <c r="E32" s="35" t="s">
        <v>157</v>
      </c>
      <c r="F32" s="35" t="s">
        <v>130</v>
      </c>
      <c r="G32" s="80"/>
      <c r="H32" s="95">
        <v>27</v>
      </c>
      <c r="I32" s="96">
        <f t="shared" si="1"/>
        <v>13.452855450529547</v>
      </c>
      <c r="J32" s="95">
        <f t="shared" si="6"/>
        <v>2</v>
      </c>
      <c r="K32" s="95">
        <f t="shared" si="2"/>
        <v>20</v>
      </c>
      <c r="L32" s="95"/>
      <c r="M32" s="97">
        <f t="shared" si="3"/>
        <v>33.452855450529547</v>
      </c>
      <c r="N32" s="97">
        <f t="shared" si="4"/>
        <v>40.143426540635453</v>
      </c>
      <c r="S32" s="109"/>
      <c r="T32" s="110"/>
    </row>
    <row r="33" spans="1:20" x14ac:dyDescent="0.25">
      <c r="A33" s="98">
        <f t="shared" si="5"/>
        <v>39.659494743350351</v>
      </c>
      <c r="B33" s="40">
        <f t="shared" si="0"/>
        <v>28</v>
      </c>
      <c r="C33" s="41" t="s">
        <v>192</v>
      </c>
      <c r="D33" s="41" t="s">
        <v>193</v>
      </c>
      <c r="E33" s="41" t="s">
        <v>157</v>
      </c>
      <c r="F33" s="41" t="s">
        <v>130</v>
      </c>
      <c r="G33" s="80"/>
      <c r="H33" s="99">
        <v>28</v>
      </c>
      <c r="I33" s="100">
        <f t="shared" si="1"/>
        <v>13.049578952791961</v>
      </c>
      <c r="J33" s="99">
        <f t="shared" si="6"/>
        <v>2</v>
      </c>
      <c r="K33" s="99">
        <f t="shared" si="2"/>
        <v>20</v>
      </c>
      <c r="L33" s="99"/>
      <c r="M33" s="101">
        <f t="shared" si="3"/>
        <v>33.049578952791961</v>
      </c>
      <c r="N33" s="101">
        <f t="shared" si="4"/>
        <v>39.659494743350351</v>
      </c>
    </row>
    <row r="34" spans="1:20" ht="25.85" x14ac:dyDescent="0.25">
      <c r="A34" s="94">
        <f t="shared" si="5"/>
        <v>39.192546557606313</v>
      </c>
      <c r="B34" s="34">
        <f t="shared" si="0"/>
        <v>29</v>
      </c>
      <c r="C34" s="35" t="s">
        <v>194</v>
      </c>
      <c r="D34" s="35" t="s">
        <v>195</v>
      </c>
      <c r="E34" s="35" t="s">
        <v>139</v>
      </c>
      <c r="F34" s="35" t="s">
        <v>130</v>
      </c>
      <c r="G34" s="80"/>
      <c r="H34" s="95">
        <v>29</v>
      </c>
      <c r="I34" s="96">
        <f t="shared" si="1"/>
        <v>12.660455464671927</v>
      </c>
      <c r="J34" s="95">
        <f t="shared" si="6"/>
        <v>2</v>
      </c>
      <c r="K34" s="95">
        <f t="shared" si="2"/>
        <v>20</v>
      </c>
      <c r="L34" s="95"/>
      <c r="M34" s="97">
        <f t="shared" si="3"/>
        <v>32.660455464671927</v>
      </c>
      <c r="N34" s="97">
        <f t="shared" si="4"/>
        <v>39.192546557606313</v>
      </c>
    </row>
    <row r="35" spans="1:20" s="85" customFormat="1" x14ac:dyDescent="0.25">
      <c r="A35" s="98">
        <f t="shared" si="5"/>
        <v>38.741430209346795</v>
      </c>
      <c r="B35" s="40">
        <f t="shared" si="0"/>
        <v>30</v>
      </c>
      <c r="C35" s="41" t="s">
        <v>196</v>
      </c>
      <c r="D35" s="41" t="s">
        <v>197</v>
      </c>
      <c r="E35" s="41" t="s">
        <v>198</v>
      </c>
      <c r="F35" s="41" t="s">
        <v>130</v>
      </c>
      <c r="G35" s="80"/>
      <c r="H35" s="99">
        <v>30</v>
      </c>
      <c r="I35" s="100">
        <f t="shared" si="1"/>
        <v>12.284525174455666</v>
      </c>
      <c r="J35" s="99">
        <f t="shared" si="6"/>
        <v>2</v>
      </c>
      <c r="K35" s="99">
        <f t="shared" si="2"/>
        <v>20</v>
      </c>
      <c r="L35" s="99"/>
      <c r="M35" s="101">
        <f t="shared" si="3"/>
        <v>32.284525174455666</v>
      </c>
      <c r="N35" s="101">
        <f t="shared" si="4"/>
        <v>38.741430209346795</v>
      </c>
      <c r="O35" s="80"/>
      <c r="P35" s="80"/>
      <c r="Q35" s="80"/>
      <c r="R35" s="80"/>
      <c r="S35" s="80"/>
    </row>
    <row r="36" spans="1:20" s="85" customFormat="1" x14ac:dyDescent="0.25">
      <c r="A36" s="94">
        <f t="shared" si="5"/>
        <v>38.305107256536502</v>
      </c>
      <c r="B36" s="34">
        <f t="shared" si="0"/>
        <v>31</v>
      </c>
      <c r="C36" s="35" t="s">
        <v>199</v>
      </c>
      <c r="D36" s="35" t="s">
        <v>200</v>
      </c>
      <c r="E36" s="35" t="s">
        <v>147</v>
      </c>
      <c r="F36" s="35" t="s">
        <v>130</v>
      </c>
      <c r="G36" s="80"/>
      <c r="H36" s="95">
        <v>31</v>
      </c>
      <c r="I36" s="96">
        <f t="shared" si="1"/>
        <v>11.920922713780421</v>
      </c>
      <c r="J36" s="95">
        <f t="shared" si="6"/>
        <v>2</v>
      </c>
      <c r="K36" s="95">
        <f t="shared" si="2"/>
        <v>20</v>
      </c>
      <c r="L36" s="95"/>
      <c r="M36" s="97">
        <f t="shared" si="3"/>
        <v>31.920922713780421</v>
      </c>
      <c r="N36" s="97">
        <f t="shared" si="4"/>
        <v>38.305107256536502</v>
      </c>
      <c r="O36" s="80"/>
      <c r="P36" s="80"/>
      <c r="Q36" s="80"/>
      <c r="R36" s="80"/>
      <c r="S36" s="109"/>
      <c r="T36" s="110"/>
    </row>
    <row r="37" spans="1:20" s="85" customFormat="1" x14ac:dyDescent="0.25">
      <c r="A37" s="98">
        <f t="shared" si="5"/>
        <v>37.88263819132434</v>
      </c>
      <c r="B37" s="40">
        <f t="shared" si="0"/>
        <v>32</v>
      </c>
      <c r="C37" s="41" t="s">
        <v>201</v>
      </c>
      <c r="D37" s="41" t="s">
        <v>202</v>
      </c>
      <c r="E37" s="41" t="s">
        <v>203</v>
      </c>
      <c r="F37" s="41" t="s">
        <v>130</v>
      </c>
      <c r="G37" s="80"/>
      <c r="H37" s="99">
        <v>32</v>
      </c>
      <c r="I37" s="100">
        <f t="shared" si="1"/>
        <v>11.568865159436953</v>
      </c>
      <c r="J37" s="99">
        <f t="shared" si="6"/>
        <v>2</v>
      </c>
      <c r="K37" s="99">
        <f t="shared" si="2"/>
        <v>20</v>
      </c>
      <c r="L37" s="99"/>
      <c r="M37" s="101">
        <f t="shared" si="3"/>
        <v>31.568865159436953</v>
      </c>
      <c r="N37" s="101">
        <f t="shared" si="4"/>
        <v>37.88263819132434</v>
      </c>
      <c r="O37" s="80"/>
      <c r="P37" s="80"/>
      <c r="Q37" s="80"/>
      <c r="R37" s="80"/>
      <c r="S37" s="80"/>
    </row>
    <row r="38" spans="1:20" s="85" customFormat="1" x14ac:dyDescent="0.25">
      <c r="A38" s="94">
        <f t="shared" si="5"/>
        <v>25.473170258398081</v>
      </c>
      <c r="B38" s="34">
        <f t="shared" si="0"/>
        <v>33</v>
      </c>
      <c r="C38" s="35" t="s">
        <v>204</v>
      </c>
      <c r="D38" s="35" t="s">
        <v>205</v>
      </c>
      <c r="E38" s="35" t="s">
        <v>206</v>
      </c>
      <c r="F38" s="35" t="s">
        <v>130</v>
      </c>
      <c r="G38" s="80"/>
      <c r="H38" s="95">
        <v>33</v>
      </c>
      <c r="I38" s="96">
        <f t="shared" si="1"/>
        <v>11.227641881998402</v>
      </c>
      <c r="J38" s="95">
        <f t="shared" si="6"/>
        <v>1</v>
      </c>
      <c r="K38" s="95">
        <f t="shared" si="2"/>
        <v>10</v>
      </c>
      <c r="L38" s="95"/>
      <c r="M38" s="97">
        <f t="shared" si="3"/>
        <v>21.227641881998402</v>
      </c>
      <c r="N38" s="97">
        <f t="shared" si="4"/>
        <v>25.473170258398081</v>
      </c>
      <c r="O38" s="80"/>
      <c r="P38" s="80"/>
      <c r="Q38" s="80"/>
      <c r="R38" s="80"/>
      <c r="S38" s="109"/>
      <c r="T38" s="110"/>
    </row>
    <row r="39" spans="1:20" s="85" customFormat="1" x14ac:dyDescent="0.25">
      <c r="A39" s="98">
        <f t="shared" si="5"/>
        <v>25.075927092373025</v>
      </c>
      <c r="B39" s="40">
        <f t="shared" si="0"/>
        <v>34</v>
      </c>
      <c r="C39" s="41" t="s">
        <v>207</v>
      </c>
      <c r="D39" s="41" t="s">
        <v>208</v>
      </c>
      <c r="E39" s="41" t="s">
        <v>147</v>
      </c>
      <c r="F39" s="41" t="s">
        <v>130</v>
      </c>
      <c r="G39" s="80"/>
      <c r="H39" s="99">
        <v>34</v>
      </c>
      <c r="I39" s="100">
        <f t="shared" si="1"/>
        <v>10.896605910310853</v>
      </c>
      <c r="J39" s="99">
        <f t="shared" si="6"/>
        <v>1</v>
      </c>
      <c r="K39" s="99">
        <f t="shared" si="2"/>
        <v>10</v>
      </c>
      <c r="L39" s="99"/>
      <c r="M39" s="101">
        <f t="shared" si="3"/>
        <v>20.896605910310853</v>
      </c>
      <c r="N39" s="101">
        <f t="shared" si="4"/>
        <v>25.075927092373025</v>
      </c>
      <c r="O39" s="80"/>
      <c r="P39" s="80"/>
      <c r="Q39" s="80"/>
      <c r="R39" s="80"/>
      <c r="S39" s="80"/>
    </row>
    <row r="40" spans="1:20" s="85" customFormat="1" x14ac:dyDescent="0.25">
      <c r="A40" s="94">
        <f t="shared" si="5"/>
        <v>24.690199857690718</v>
      </c>
      <c r="B40" s="34">
        <f t="shared" si="0"/>
        <v>35</v>
      </c>
      <c r="C40" s="35" t="s">
        <v>209</v>
      </c>
      <c r="D40" s="35" t="s">
        <v>143</v>
      </c>
      <c r="E40" s="35" t="s">
        <v>139</v>
      </c>
      <c r="F40" s="35" t="s">
        <v>130</v>
      </c>
      <c r="G40" s="80"/>
      <c r="H40" s="95">
        <v>35</v>
      </c>
      <c r="I40" s="96">
        <f t="shared" si="1"/>
        <v>10.5751665480756</v>
      </c>
      <c r="J40" s="95">
        <f t="shared" si="6"/>
        <v>1</v>
      </c>
      <c r="K40" s="95">
        <f t="shared" si="2"/>
        <v>10</v>
      </c>
      <c r="L40" s="95"/>
      <c r="M40" s="97">
        <f t="shared" si="3"/>
        <v>20.5751665480756</v>
      </c>
      <c r="N40" s="97">
        <f t="shared" si="4"/>
        <v>24.690199857690718</v>
      </c>
      <c r="O40" s="80"/>
      <c r="P40" s="80"/>
      <c r="Q40" s="80"/>
      <c r="R40" s="80"/>
      <c r="S40" s="109"/>
      <c r="T40" s="110"/>
    </row>
    <row r="41" spans="1:20" s="85" customFormat="1" x14ac:dyDescent="0.25">
      <c r="A41" s="98">
        <f t="shared" si="5"/>
        <v>24.315339636953386</v>
      </c>
      <c r="B41" s="40">
        <f t="shared" si="0"/>
        <v>36</v>
      </c>
      <c r="C41" s="41" t="s">
        <v>210</v>
      </c>
      <c r="D41" s="41" t="s">
        <v>211</v>
      </c>
      <c r="E41" s="41" t="s">
        <v>129</v>
      </c>
      <c r="F41" s="41" t="s">
        <v>130</v>
      </c>
      <c r="G41" s="80"/>
      <c r="H41" s="99">
        <v>36</v>
      </c>
      <c r="I41" s="100">
        <f t="shared" si="1"/>
        <v>10.262783030794488</v>
      </c>
      <c r="J41" s="99">
        <f t="shared" si="6"/>
        <v>1</v>
      </c>
      <c r="K41" s="99">
        <f t="shared" si="2"/>
        <v>10</v>
      </c>
      <c r="L41" s="99"/>
      <c r="M41" s="101">
        <f t="shared" si="3"/>
        <v>20.262783030794488</v>
      </c>
      <c r="N41" s="101">
        <f t="shared" si="4"/>
        <v>24.315339636953386</v>
      </c>
      <c r="O41" s="80"/>
      <c r="P41" s="80"/>
      <c r="Q41" s="80"/>
      <c r="R41" s="80"/>
      <c r="S41" s="80"/>
    </row>
    <row r="42" spans="1:20" s="85" customFormat="1" ht="25.85" x14ac:dyDescent="0.25">
      <c r="A42" s="94">
        <f t="shared" si="5"/>
        <v>23.950750862373326</v>
      </c>
      <c r="B42" s="34">
        <f t="shared" si="0"/>
        <v>37</v>
      </c>
      <c r="C42" s="35" t="s">
        <v>212</v>
      </c>
      <c r="D42" s="35" t="s">
        <v>213</v>
      </c>
      <c r="E42" s="35" t="s">
        <v>139</v>
      </c>
      <c r="F42" s="35" t="s">
        <v>130</v>
      </c>
      <c r="G42" s="80"/>
      <c r="H42" s="95">
        <v>37</v>
      </c>
      <c r="I42" s="96">
        <f t="shared" si="1"/>
        <v>9.9589590519777715</v>
      </c>
      <c r="J42" s="95">
        <f t="shared" si="6"/>
        <v>1</v>
      </c>
      <c r="K42" s="95">
        <f t="shared" si="2"/>
        <v>10</v>
      </c>
      <c r="L42" s="95"/>
      <c r="M42" s="97">
        <f t="shared" si="3"/>
        <v>19.958959051977772</v>
      </c>
      <c r="N42" s="97">
        <f t="shared" si="4"/>
        <v>23.950750862373326</v>
      </c>
      <c r="O42" s="80"/>
      <c r="P42" s="80"/>
      <c r="Q42" s="80"/>
      <c r="R42" s="80"/>
      <c r="S42" s="109"/>
      <c r="T42" s="110"/>
    </row>
    <row r="43" spans="1:20" s="85" customFormat="1" ht="25.85" x14ac:dyDescent="0.25">
      <c r="A43" s="98">
        <f t="shared" si="5"/>
        <v>23.595885623363728</v>
      </c>
      <c r="B43" s="40">
        <f t="shared" si="0"/>
        <v>38</v>
      </c>
      <c r="C43" s="41" t="s">
        <v>214</v>
      </c>
      <c r="D43" s="41" t="s">
        <v>215</v>
      </c>
      <c r="E43" s="41" t="s">
        <v>198</v>
      </c>
      <c r="F43" s="41" t="s">
        <v>130</v>
      </c>
      <c r="G43" s="80"/>
      <c r="H43" s="99">
        <v>38</v>
      </c>
      <c r="I43" s="100">
        <f t="shared" si="1"/>
        <v>9.6632380194697731</v>
      </c>
      <c r="J43" s="99">
        <f t="shared" si="6"/>
        <v>1</v>
      </c>
      <c r="K43" s="99">
        <f t="shared" si="2"/>
        <v>10</v>
      </c>
      <c r="L43" s="99"/>
      <c r="M43" s="101">
        <f t="shared" si="3"/>
        <v>19.663238019469773</v>
      </c>
      <c r="N43" s="101">
        <f t="shared" si="4"/>
        <v>23.595885623363728</v>
      </c>
      <c r="O43" s="80"/>
      <c r="P43" s="80"/>
      <c r="Q43" s="80"/>
      <c r="R43" s="80"/>
      <c r="S43" s="80"/>
    </row>
    <row r="44" spans="1:20" s="85" customFormat="1" x14ac:dyDescent="0.25">
      <c r="A44" s="94">
        <f t="shared" si="5"/>
        <v>23.250238713670527</v>
      </c>
      <c r="B44" s="34">
        <f t="shared" si="0"/>
        <v>39</v>
      </c>
      <c r="C44" s="35" t="s">
        <v>216</v>
      </c>
      <c r="D44" s="35" t="s">
        <v>217</v>
      </c>
      <c r="E44" s="35" t="s">
        <v>144</v>
      </c>
      <c r="F44" s="35" t="s">
        <v>130</v>
      </c>
      <c r="G44" s="80"/>
      <c r="H44" s="95">
        <v>39</v>
      </c>
      <c r="I44" s="96">
        <f t="shared" si="1"/>
        <v>9.3751989280587722</v>
      </c>
      <c r="J44" s="95">
        <f t="shared" si="6"/>
        <v>1</v>
      </c>
      <c r="K44" s="95">
        <f t="shared" si="2"/>
        <v>10</v>
      </c>
      <c r="L44" s="95"/>
      <c r="M44" s="97">
        <f t="shared" si="3"/>
        <v>19.375198928058772</v>
      </c>
      <c r="N44" s="97">
        <f t="shared" si="4"/>
        <v>23.250238713670527</v>
      </c>
      <c r="O44" s="80"/>
      <c r="P44" s="80"/>
      <c r="Q44" s="80"/>
      <c r="R44" s="80"/>
      <c r="S44" s="109"/>
      <c r="T44" s="110"/>
    </row>
    <row r="45" spans="1:20" s="85" customFormat="1" x14ac:dyDescent="0.25">
      <c r="A45" s="98">
        <f t="shared" si="5"/>
        <v>22.913343305664728</v>
      </c>
      <c r="B45" s="40">
        <f t="shared" si="0"/>
        <v>40</v>
      </c>
      <c r="C45" s="41" t="s">
        <v>218</v>
      </c>
      <c r="D45" s="41" t="s">
        <v>219</v>
      </c>
      <c r="E45" s="41" t="s">
        <v>139</v>
      </c>
      <c r="F45" s="41" t="s">
        <v>130</v>
      </c>
      <c r="G45" s="80"/>
      <c r="H45" s="99">
        <v>40</v>
      </c>
      <c r="I45" s="100">
        <f t="shared" si="1"/>
        <v>9.0944527547206064</v>
      </c>
      <c r="J45" s="99">
        <f t="shared" si="6"/>
        <v>1</v>
      </c>
      <c r="K45" s="99">
        <f t="shared" si="2"/>
        <v>10</v>
      </c>
      <c r="L45" s="99"/>
      <c r="M45" s="101">
        <f t="shared" si="3"/>
        <v>19.094452754720606</v>
      </c>
      <c r="N45" s="101">
        <f t="shared" si="4"/>
        <v>22.913343305664728</v>
      </c>
      <c r="O45" s="80"/>
      <c r="P45" s="80"/>
      <c r="Q45" s="80"/>
      <c r="R45" s="80"/>
      <c r="S45" s="80"/>
    </row>
    <row r="46" spans="1:20" s="85" customFormat="1" ht="25.85" x14ac:dyDescent="0.25">
      <c r="A46" s="94">
        <f t="shared" si="5"/>
        <v>22.584767158846468</v>
      </c>
      <c r="B46" s="34">
        <f t="shared" si="0"/>
        <v>41</v>
      </c>
      <c r="C46" s="35" t="s">
        <v>220</v>
      </c>
      <c r="D46" s="35" t="s">
        <v>221</v>
      </c>
      <c r="E46" s="35" t="s">
        <v>139</v>
      </c>
      <c r="F46" s="35" t="s">
        <v>130</v>
      </c>
      <c r="G46" s="80"/>
      <c r="H46" s="95">
        <v>41</v>
      </c>
      <c r="I46" s="96">
        <f t="shared" si="1"/>
        <v>8.8206392990387243</v>
      </c>
      <c r="J46" s="95">
        <f t="shared" si="6"/>
        <v>1</v>
      </c>
      <c r="K46" s="95">
        <f t="shared" si="2"/>
        <v>10</v>
      </c>
      <c r="L46" s="95"/>
      <c r="M46" s="97">
        <f t="shared" si="3"/>
        <v>18.820639299038724</v>
      </c>
      <c r="N46" s="97">
        <f t="shared" si="4"/>
        <v>22.584767158846468</v>
      </c>
      <c r="O46" s="80"/>
      <c r="P46" s="80"/>
      <c r="Q46" s="80"/>
      <c r="R46" s="80"/>
      <c r="S46" s="109"/>
      <c r="T46" s="110"/>
    </row>
    <row r="47" spans="1:20" s="85" customFormat="1" x14ac:dyDescent="0.25">
      <c r="A47" s="98">
        <f t="shared" si="5"/>
        <v>22.264109285297298</v>
      </c>
      <c r="B47" s="40">
        <f t="shared" si="0"/>
        <v>42</v>
      </c>
      <c r="C47" s="41" t="s">
        <v>222</v>
      </c>
      <c r="D47" s="41" t="s">
        <v>223</v>
      </c>
      <c r="E47" s="41" t="s">
        <v>139</v>
      </c>
      <c r="F47" s="41" t="s">
        <v>130</v>
      </c>
      <c r="G47" s="80"/>
      <c r="H47" s="99">
        <v>42</v>
      </c>
      <c r="I47" s="100">
        <f t="shared" si="1"/>
        <v>8.5534244044144145</v>
      </c>
      <c r="J47" s="99">
        <f t="shared" si="6"/>
        <v>1</v>
      </c>
      <c r="K47" s="99">
        <f t="shared" si="2"/>
        <v>10</v>
      </c>
      <c r="L47" s="99"/>
      <c r="M47" s="101">
        <f t="shared" si="3"/>
        <v>18.553424404414415</v>
      </c>
      <c r="N47" s="101">
        <f t="shared" si="4"/>
        <v>22.264109285297298</v>
      </c>
      <c r="O47" s="80"/>
      <c r="P47" s="80"/>
      <c r="Q47" s="80"/>
      <c r="R47" s="80"/>
      <c r="S47" s="80"/>
    </row>
    <row r="48" spans="1:20" s="85" customFormat="1" x14ac:dyDescent="0.25">
      <c r="A48" s="94">
        <f t="shared" si="5"/>
        <v>21.950997007547748</v>
      </c>
      <c r="B48" s="34">
        <f t="shared" si="0"/>
        <v>43</v>
      </c>
      <c r="C48" s="35" t="s">
        <v>224</v>
      </c>
      <c r="D48" s="35" t="s">
        <v>225</v>
      </c>
      <c r="E48" s="35" t="s">
        <v>226</v>
      </c>
      <c r="F48" s="35" t="s">
        <v>130</v>
      </c>
      <c r="G48" s="80"/>
      <c r="H48" s="95">
        <v>43</v>
      </c>
      <c r="I48" s="96">
        <f t="shared" si="1"/>
        <v>8.2924975062897914</v>
      </c>
      <c r="J48" s="95">
        <f t="shared" si="6"/>
        <v>1</v>
      </c>
      <c r="K48" s="95">
        <f t="shared" si="2"/>
        <v>10</v>
      </c>
      <c r="L48" s="95"/>
      <c r="M48" s="97">
        <f t="shared" si="3"/>
        <v>18.292497506289791</v>
      </c>
      <c r="N48" s="97">
        <f t="shared" si="4"/>
        <v>21.950997007547748</v>
      </c>
      <c r="O48" s="80"/>
      <c r="P48" s="80"/>
      <c r="Q48" s="80"/>
      <c r="R48" s="80"/>
      <c r="S48" s="109"/>
      <c r="T48" s="110"/>
    </row>
    <row r="49" spans="1:20" s="85" customFormat="1" x14ac:dyDescent="0.25">
      <c r="A49" s="98">
        <f t="shared" si="5"/>
        <v>21.645083354716</v>
      </c>
      <c r="B49" s="40">
        <f t="shared" si="0"/>
        <v>44</v>
      </c>
      <c r="C49" s="41" t="s">
        <v>227</v>
      </c>
      <c r="D49" s="41" t="s">
        <v>228</v>
      </c>
      <c r="E49" s="41" t="s">
        <v>139</v>
      </c>
      <c r="F49" s="41" t="s">
        <v>130</v>
      </c>
      <c r="G49" s="80"/>
      <c r="H49" s="99">
        <v>44</v>
      </c>
      <c r="I49" s="100">
        <f t="shared" si="1"/>
        <v>8.0375694622633347</v>
      </c>
      <c r="J49" s="99">
        <f t="shared" si="6"/>
        <v>1</v>
      </c>
      <c r="K49" s="99">
        <f t="shared" si="2"/>
        <v>10</v>
      </c>
      <c r="L49" s="99"/>
      <c r="M49" s="101">
        <f t="shared" si="3"/>
        <v>18.037569462263335</v>
      </c>
      <c r="N49" s="101">
        <f t="shared" si="4"/>
        <v>21.645083354716</v>
      </c>
      <c r="O49" s="80"/>
      <c r="P49" s="80"/>
      <c r="Q49" s="80"/>
      <c r="R49" s="80"/>
      <c r="S49" s="80"/>
    </row>
    <row r="50" spans="1:20" s="85" customFormat="1" x14ac:dyDescent="0.25">
      <c r="A50" s="94">
        <f t="shared" si="5"/>
        <v>21.34604475129375</v>
      </c>
      <c r="B50" s="34">
        <f t="shared" si="0"/>
        <v>45</v>
      </c>
      <c r="C50" s="35" t="s">
        <v>229</v>
      </c>
      <c r="D50" s="35" t="s">
        <v>184</v>
      </c>
      <c r="E50" s="35" t="s">
        <v>139</v>
      </c>
      <c r="F50" s="35" t="s">
        <v>130</v>
      </c>
      <c r="G50" s="80"/>
      <c r="H50" s="95">
        <v>45</v>
      </c>
      <c r="I50" s="96">
        <f t="shared" si="1"/>
        <v>7.7883706260781267</v>
      </c>
      <c r="J50" s="95">
        <f t="shared" si="6"/>
        <v>1</v>
      </c>
      <c r="K50" s="95">
        <f t="shared" si="2"/>
        <v>10</v>
      </c>
      <c r="L50" s="95"/>
      <c r="M50" s="97">
        <f t="shared" si="3"/>
        <v>17.788370626078127</v>
      </c>
      <c r="N50" s="97">
        <f t="shared" si="4"/>
        <v>21.34604475129375</v>
      </c>
      <c r="O50" s="80"/>
      <c r="P50" s="80"/>
      <c r="Q50" s="80"/>
      <c r="R50" s="80"/>
      <c r="S50" s="109"/>
      <c r="T50" s="110"/>
    </row>
    <row r="51" spans="1:20" s="85" customFormat="1" x14ac:dyDescent="0.25">
      <c r="A51" s="98">
        <f t="shared" si="5"/>
        <v>21.053578959976512</v>
      </c>
      <c r="B51" s="40">
        <f t="shared" si="0"/>
        <v>46</v>
      </c>
      <c r="C51" s="41" t="s">
        <v>230</v>
      </c>
      <c r="D51" s="41" t="s">
        <v>231</v>
      </c>
      <c r="E51" s="41" t="s">
        <v>160</v>
      </c>
      <c r="F51" s="41" t="s">
        <v>130</v>
      </c>
      <c r="G51" s="80"/>
      <c r="H51" s="99">
        <v>46</v>
      </c>
      <c r="I51" s="100">
        <f t="shared" si="1"/>
        <v>7.5446491333137615</v>
      </c>
      <c r="J51" s="99">
        <f t="shared" si="6"/>
        <v>1</v>
      </c>
      <c r="K51" s="99">
        <f t="shared" si="2"/>
        <v>10</v>
      </c>
      <c r="L51" s="99"/>
      <c r="M51" s="101">
        <f t="shared" si="3"/>
        <v>17.544649133313762</v>
      </c>
      <c r="N51" s="101">
        <f t="shared" si="4"/>
        <v>21.053578959976512</v>
      </c>
      <c r="O51" s="80"/>
      <c r="P51" s="80"/>
      <c r="Q51" s="80"/>
      <c r="R51" s="80"/>
      <c r="S51" s="80"/>
    </row>
    <row r="52" spans="1:20" s="85" customFormat="1" x14ac:dyDescent="0.25">
      <c r="A52" s="94">
        <f t="shared" si="5"/>
        <v>20.767403245749239</v>
      </c>
      <c r="B52" s="34">
        <f t="shared" si="0"/>
        <v>47</v>
      </c>
      <c r="C52" s="35" t="s">
        <v>232</v>
      </c>
      <c r="D52" s="35" t="s">
        <v>233</v>
      </c>
      <c r="E52" s="35" t="s">
        <v>152</v>
      </c>
      <c r="F52" s="35" t="s">
        <v>130</v>
      </c>
      <c r="G52" s="80"/>
      <c r="H52" s="95">
        <v>47</v>
      </c>
      <c r="I52" s="96">
        <f t="shared" si="1"/>
        <v>7.306169371457699</v>
      </c>
      <c r="J52" s="95">
        <f t="shared" si="6"/>
        <v>1</v>
      </c>
      <c r="K52" s="95">
        <f t="shared" si="2"/>
        <v>10</v>
      </c>
      <c r="L52" s="95"/>
      <c r="M52" s="97">
        <f t="shared" si="3"/>
        <v>17.306169371457699</v>
      </c>
      <c r="N52" s="97">
        <f t="shared" si="4"/>
        <v>20.767403245749239</v>
      </c>
      <c r="O52" s="80"/>
      <c r="P52" s="80"/>
      <c r="Q52" s="80"/>
      <c r="R52" s="80"/>
      <c r="S52" s="109"/>
      <c r="T52" s="110"/>
    </row>
    <row r="53" spans="1:20" s="85" customFormat="1" x14ac:dyDescent="0.25">
      <c r="A53" s="98">
        <f t="shared" si="5"/>
        <v>20.487252733271305</v>
      </c>
      <c r="B53" s="40">
        <f t="shared" si="0"/>
        <v>48</v>
      </c>
      <c r="C53" s="41" t="s">
        <v>234</v>
      </c>
      <c r="D53" s="41" t="s">
        <v>235</v>
      </c>
      <c r="E53" s="41" t="s">
        <v>129</v>
      </c>
      <c r="F53" s="41" t="s">
        <v>130</v>
      </c>
      <c r="G53" s="80"/>
      <c r="H53" s="99">
        <v>48</v>
      </c>
      <c r="I53" s="100">
        <f t="shared" si="1"/>
        <v>7.0727106110594207</v>
      </c>
      <c r="J53" s="99">
        <f t="shared" si="6"/>
        <v>1</v>
      </c>
      <c r="K53" s="99">
        <f t="shared" si="2"/>
        <v>10</v>
      </c>
      <c r="L53" s="99"/>
      <c r="M53" s="101">
        <f t="shared" si="3"/>
        <v>17.072710611059421</v>
      </c>
      <c r="N53" s="101">
        <f t="shared" si="4"/>
        <v>20.487252733271305</v>
      </c>
      <c r="O53" s="80"/>
      <c r="P53" s="80"/>
      <c r="Q53" s="80"/>
      <c r="R53" s="80"/>
      <c r="S53" s="80"/>
    </row>
    <row r="54" spans="1:20" s="85" customFormat="1" x14ac:dyDescent="0.25">
      <c r="A54" s="94">
        <f t="shared" si="5"/>
        <v>20.212878933641218</v>
      </c>
      <c r="B54" s="34">
        <f t="shared" si="0"/>
        <v>49</v>
      </c>
      <c r="C54" s="35" t="s">
        <v>236</v>
      </c>
      <c r="D54" s="35" t="s">
        <v>237</v>
      </c>
      <c r="E54" s="35" t="s">
        <v>139</v>
      </c>
      <c r="F54" s="35" t="s">
        <v>130</v>
      </c>
      <c r="G54" s="80"/>
      <c r="H54" s="95">
        <v>49</v>
      </c>
      <c r="I54" s="96">
        <f t="shared" si="1"/>
        <v>6.8440657780343486</v>
      </c>
      <c r="J54" s="95">
        <f t="shared" si="6"/>
        <v>1</v>
      </c>
      <c r="K54" s="95">
        <f t="shared" si="2"/>
        <v>10</v>
      </c>
      <c r="L54" s="95"/>
      <c r="M54" s="97">
        <f t="shared" si="3"/>
        <v>16.844065778034349</v>
      </c>
      <c r="N54" s="97">
        <f t="shared" si="4"/>
        <v>20.212878933641218</v>
      </c>
      <c r="O54" s="80"/>
      <c r="P54" s="80"/>
      <c r="Q54" s="80"/>
      <c r="R54" s="80"/>
      <c r="S54" s="109"/>
      <c r="T54" s="110"/>
    </row>
    <row r="55" spans="1:20" s="85" customFormat="1" x14ac:dyDescent="0.25">
      <c r="A55" s="98">
        <f t="shared" si="5"/>
        <v>19.944048420005085</v>
      </c>
      <c r="B55" s="40">
        <f t="shared" si="0"/>
        <v>50</v>
      </c>
      <c r="C55" s="41" t="s">
        <v>238</v>
      </c>
      <c r="D55" s="41" t="s">
        <v>239</v>
      </c>
      <c r="E55" s="41" t="s">
        <v>147</v>
      </c>
      <c r="F55" s="41" t="s">
        <v>130</v>
      </c>
      <c r="G55" s="80"/>
      <c r="H55" s="99">
        <v>50</v>
      </c>
      <c r="I55" s="100">
        <f t="shared" si="1"/>
        <v>6.6200403500042384</v>
      </c>
      <c r="J55" s="99">
        <f t="shared" si="6"/>
        <v>1</v>
      </c>
      <c r="K55" s="99">
        <f t="shared" si="2"/>
        <v>10</v>
      </c>
      <c r="L55" s="99"/>
      <c r="M55" s="101">
        <f t="shared" si="3"/>
        <v>16.620040350004238</v>
      </c>
      <c r="N55" s="101">
        <f t="shared" si="4"/>
        <v>19.944048420005085</v>
      </c>
      <c r="O55" s="80"/>
      <c r="P55" s="80"/>
      <c r="Q55" s="80"/>
      <c r="R55" s="80"/>
      <c r="S55" s="80"/>
    </row>
    <row r="56" spans="1:20" s="85" customFormat="1" x14ac:dyDescent="0.25">
      <c r="A56" s="94">
        <f t="shared" si="5"/>
        <v>19.680541634319976</v>
      </c>
      <c r="B56" s="34">
        <f t="shared" si="0"/>
        <v>51</v>
      </c>
      <c r="C56" s="35" t="s">
        <v>240</v>
      </c>
      <c r="D56" s="35" t="s">
        <v>241</v>
      </c>
      <c r="E56" s="35" t="s">
        <v>139</v>
      </c>
      <c r="F56" s="35" t="s">
        <v>130</v>
      </c>
      <c r="G56" s="80"/>
      <c r="H56" s="95">
        <v>51</v>
      </c>
      <c r="I56" s="96">
        <f t="shared" si="1"/>
        <v>6.4004513619333139</v>
      </c>
      <c r="J56" s="95">
        <f t="shared" si="6"/>
        <v>1</v>
      </c>
      <c r="K56" s="95">
        <f t="shared" si="2"/>
        <v>10</v>
      </c>
      <c r="L56" s="95"/>
      <c r="M56" s="97">
        <f t="shared" si="3"/>
        <v>16.400451361933314</v>
      </c>
      <c r="N56" s="97">
        <f t="shared" si="4"/>
        <v>19.680541634319976</v>
      </c>
      <c r="O56" s="80"/>
      <c r="P56" s="80"/>
      <c r="Q56" s="80"/>
      <c r="R56" s="80"/>
      <c r="S56" s="109"/>
      <c r="T56" s="110"/>
    </row>
    <row r="57" spans="1:20" s="85" customFormat="1" x14ac:dyDescent="0.25">
      <c r="A57" s="98">
        <f t="shared" si="5"/>
        <v>19.422151809988446</v>
      </c>
      <c r="B57" s="40">
        <f t="shared" si="0"/>
        <v>52</v>
      </c>
      <c r="C57" s="41" t="s">
        <v>242</v>
      </c>
      <c r="D57" s="41" t="s">
        <v>243</v>
      </c>
      <c r="E57" s="41" t="s">
        <v>147</v>
      </c>
      <c r="F57" s="41" t="s">
        <v>130</v>
      </c>
      <c r="G57" s="80"/>
      <c r="H57" s="99">
        <v>52</v>
      </c>
      <c r="I57" s="100">
        <f t="shared" si="1"/>
        <v>6.1851265083237053</v>
      </c>
      <c r="J57" s="99">
        <f t="shared" si="6"/>
        <v>1</v>
      </c>
      <c r="K57" s="99">
        <f t="shared" si="2"/>
        <v>10</v>
      </c>
      <c r="L57" s="99"/>
      <c r="M57" s="101">
        <f t="shared" si="3"/>
        <v>16.185126508323705</v>
      </c>
      <c r="N57" s="101">
        <f t="shared" si="4"/>
        <v>19.422151809988446</v>
      </c>
      <c r="O57" s="80"/>
      <c r="P57" s="80"/>
      <c r="Q57" s="80"/>
      <c r="R57" s="80"/>
      <c r="S57" s="80"/>
    </row>
    <row r="58" spans="1:20" s="85" customFormat="1" x14ac:dyDescent="0.25">
      <c r="A58" s="94">
        <f t="shared" si="5"/>
        <v>19.168683997119018</v>
      </c>
      <c r="B58" s="34">
        <f t="shared" si="0"/>
        <v>53</v>
      </c>
      <c r="C58" s="35" t="s">
        <v>244</v>
      </c>
      <c r="D58" s="35" t="s">
        <v>245</v>
      </c>
      <c r="E58" s="35" t="s">
        <v>157</v>
      </c>
      <c r="F58" s="35" t="s">
        <v>130</v>
      </c>
      <c r="G58" s="80"/>
      <c r="H58" s="95">
        <v>53</v>
      </c>
      <c r="I58" s="96">
        <f t="shared" si="1"/>
        <v>5.9739033309325151</v>
      </c>
      <c r="J58" s="95">
        <f t="shared" si="6"/>
        <v>1</v>
      </c>
      <c r="K58" s="95">
        <f t="shared" si="2"/>
        <v>10</v>
      </c>
      <c r="L58" s="95"/>
      <c r="M58" s="97">
        <f t="shared" si="3"/>
        <v>15.973903330932515</v>
      </c>
      <c r="N58" s="97">
        <f t="shared" si="4"/>
        <v>19.168683997119018</v>
      </c>
      <c r="O58" s="80"/>
      <c r="P58" s="80"/>
      <c r="Q58" s="80"/>
      <c r="R58" s="80"/>
      <c r="S58" s="109"/>
      <c r="T58" s="110"/>
    </row>
    <row r="59" spans="1:20" s="85" customFormat="1" x14ac:dyDescent="0.25">
      <c r="A59" s="98">
        <f t="shared" si="5"/>
        <v>18.91995417890033</v>
      </c>
      <c r="B59" s="40">
        <f t="shared" si="0"/>
        <v>54</v>
      </c>
      <c r="C59" s="41" t="s">
        <v>246</v>
      </c>
      <c r="D59" s="41" t="s">
        <v>182</v>
      </c>
      <c r="E59" s="41" t="s">
        <v>160</v>
      </c>
      <c r="F59" s="41" t="s">
        <v>130</v>
      </c>
      <c r="G59" s="80"/>
      <c r="H59" s="99">
        <v>54</v>
      </c>
      <c r="I59" s="100">
        <f t="shared" si="1"/>
        <v>5.7666284824169409</v>
      </c>
      <c r="J59" s="99">
        <f t="shared" si="6"/>
        <v>1</v>
      </c>
      <c r="K59" s="99">
        <f t="shared" si="2"/>
        <v>10</v>
      </c>
      <c r="L59" s="99"/>
      <c r="M59" s="101">
        <f t="shared" si="3"/>
        <v>15.766628482416941</v>
      </c>
      <c r="N59" s="101">
        <f t="shared" si="4"/>
        <v>18.91995417890033</v>
      </c>
      <c r="O59" s="80"/>
      <c r="P59" s="80"/>
      <c r="Q59" s="80"/>
      <c r="R59" s="80"/>
      <c r="S59" s="80"/>
    </row>
    <row r="60" spans="1:20" s="85" customFormat="1" x14ac:dyDescent="0.25">
      <c r="A60" s="94">
        <f t="shared" si="5"/>
        <v>18.675788469056375</v>
      </c>
      <c r="B60" s="34">
        <f t="shared" si="0"/>
        <v>55</v>
      </c>
      <c r="C60" s="35" t="s">
        <v>247</v>
      </c>
      <c r="D60" s="35" t="s">
        <v>248</v>
      </c>
      <c r="E60" s="35" t="s">
        <v>139</v>
      </c>
      <c r="F60" s="35" t="s">
        <v>130</v>
      </c>
      <c r="G60" s="80"/>
      <c r="H60" s="95">
        <v>55</v>
      </c>
      <c r="I60" s="96">
        <f t="shared" si="1"/>
        <v>5.5631570575469809</v>
      </c>
      <c r="J60" s="95">
        <f t="shared" si="6"/>
        <v>1</v>
      </c>
      <c r="K60" s="95">
        <f t="shared" si="2"/>
        <v>10</v>
      </c>
      <c r="L60" s="95"/>
      <c r="M60" s="97">
        <f t="shared" si="3"/>
        <v>15.563157057546981</v>
      </c>
      <c r="N60" s="97">
        <f t="shared" si="4"/>
        <v>18.675788469056375</v>
      </c>
      <c r="O60" s="80"/>
      <c r="P60" s="80"/>
      <c r="Q60" s="80"/>
      <c r="R60" s="80"/>
      <c r="S60" s="109"/>
      <c r="T60" s="110"/>
    </row>
    <row r="61" spans="1:20" s="85" customFormat="1" x14ac:dyDescent="0.25">
      <c r="A61" s="98">
        <f t="shared" si="5"/>
        <v>18.436022381615217</v>
      </c>
      <c r="B61" s="40">
        <f t="shared" si="0"/>
        <v>56</v>
      </c>
      <c r="C61" s="41" t="s">
        <v>249</v>
      </c>
      <c r="D61" s="41" t="s">
        <v>250</v>
      </c>
      <c r="E61" s="41" t="s">
        <v>139</v>
      </c>
      <c r="F61" s="41" t="s">
        <v>130</v>
      </c>
      <c r="G61" s="80"/>
      <c r="H61" s="99">
        <v>56</v>
      </c>
      <c r="I61" s="100">
        <f t="shared" si="1"/>
        <v>5.3633519846793476</v>
      </c>
      <c r="J61" s="99">
        <f t="shared" si="6"/>
        <v>1</v>
      </c>
      <c r="K61" s="99">
        <f t="shared" si="2"/>
        <v>10</v>
      </c>
      <c r="L61" s="99"/>
      <c r="M61" s="101">
        <f t="shared" si="3"/>
        <v>15.363351984679348</v>
      </c>
      <c r="N61" s="101">
        <f t="shared" si="4"/>
        <v>18.436022381615217</v>
      </c>
      <c r="O61" s="80"/>
      <c r="P61" s="80"/>
      <c r="Q61" s="80"/>
      <c r="R61" s="80"/>
      <c r="S61" s="80"/>
    </row>
    <row r="62" spans="1:20" s="85" customFormat="1" x14ac:dyDescent="0.25">
      <c r="A62" s="94">
        <f t="shared" si="5"/>
        <v>18.200500165310672</v>
      </c>
      <c r="B62" s="34">
        <f t="shared" si="0"/>
        <v>57</v>
      </c>
      <c r="C62" s="35" t="s">
        <v>251</v>
      </c>
      <c r="D62" s="35" t="s">
        <v>252</v>
      </c>
      <c r="E62" s="35" t="s">
        <v>139</v>
      </c>
      <c r="F62" s="35" t="s">
        <v>130</v>
      </c>
      <c r="G62" s="80"/>
      <c r="H62" s="95">
        <v>57</v>
      </c>
      <c r="I62" s="96">
        <f t="shared" si="1"/>
        <v>5.1670834710922264</v>
      </c>
      <c r="J62" s="95">
        <f t="shared" si="6"/>
        <v>1</v>
      </c>
      <c r="K62" s="95">
        <f t="shared" si="2"/>
        <v>10</v>
      </c>
      <c r="L62" s="95"/>
      <c r="M62" s="97">
        <f t="shared" si="3"/>
        <v>15.167083471092226</v>
      </c>
      <c r="N62" s="97">
        <f t="shared" si="4"/>
        <v>18.200500165310672</v>
      </c>
      <c r="O62" s="80"/>
      <c r="P62" s="80"/>
      <c r="Q62" s="80"/>
      <c r="R62" s="80"/>
      <c r="S62" s="109"/>
      <c r="T62" s="110"/>
    </row>
    <row r="63" spans="1:20" s="85" customFormat="1" x14ac:dyDescent="0.25">
      <c r="A63" s="98">
        <f t="shared" si="5"/>
        <v>17.969074195871183</v>
      </c>
      <c r="B63" s="40">
        <f t="shared" si="0"/>
        <v>58</v>
      </c>
      <c r="C63" s="41" t="s">
        <v>253</v>
      </c>
      <c r="D63" s="41" t="s">
        <v>254</v>
      </c>
      <c r="E63" s="41" t="s">
        <v>139</v>
      </c>
      <c r="F63" s="41" t="s">
        <v>130</v>
      </c>
      <c r="G63" s="80"/>
      <c r="H63" s="99">
        <v>58</v>
      </c>
      <c r="I63" s="100">
        <f t="shared" si="1"/>
        <v>4.97422849655932</v>
      </c>
      <c r="J63" s="99">
        <f t="shared" si="6"/>
        <v>1</v>
      </c>
      <c r="K63" s="99">
        <f t="shared" si="2"/>
        <v>10</v>
      </c>
      <c r="L63" s="99"/>
      <c r="M63" s="101">
        <f t="shared" si="3"/>
        <v>14.97422849655932</v>
      </c>
      <c r="N63" s="101">
        <f t="shared" si="4"/>
        <v>17.969074195871183</v>
      </c>
      <c r="O63" s="80"/>
      <c r="P63" s="80"/>
      <c r="Q63" s="80"/>
      <c r="R63" s="80"/>
      <c r="S63" s="80"/>
    </row>
    <row r="64" spans="1:20" s="85" customFormat="1" x14ac:dyDescent="0.25">
      <c r="A64" s="94">
        <f t="shared" si="5"/>
        <v>17.74160442025779</v>
      </c>
      <c r="B64" s="34">
        <f t="shared" si="0"/>
        <v>59</v>
      </c>
      <c r="C64" s="35" t="s">
        <v>255</v>
      </c>
      <c r="D64" s="35" t="s">
        <v>256</v>
      </c>
      <c r="E64" s="35" t="s">
        <v>139</v>
      </c>
      <c r="F64" s="35" t="s">
        <v>130</v>
      </c>
      <c r="G64" s="80"/>
      <c r="H64" s="95">
        <v>59</v>
      </c>
      <c r="I64" s="96">
        <f t="shared" si="1"/>
        <v>4.7846703502148245</v>
      </c>
      <c r="J64" s="95">
        <f t="shared" si="6"/>
        <v>1</v>
      </c>
      <c r="K64" s="95">
        <f t="shared" si="2"/>
        <v>10</v>
      </c>
      <c r="L64" s="95"/>
      <c r="M64" s="97">
        <f t="shared" si="3"/>
        <v>14.784670350214824</v>
      </c>
      <c r="N64" s="97">
        <f t="shared" si="4"/>
        <v>17.74160442025779</v>
      </c>
      <c r="O64" s="80"/>
      <c r="P64" s="80"/>
      <c r="Q64" s="80"/>
      <c r="R64" s="80"/>
      <c r="S64" s="109"/>
      <c r="T64" s="110"/>
    </row>
    <row r="65" spans="1:20" s="85" customFormat="1" x14ac:dyDescent="0.25">
      <c r="A65" s="98">
        <f t="shared" si="5"/>
        <v>17.517957847611672</v>
      </c>
      <c r="B65" s="40">
        <f t="shared" si="0"/>
        <v>60</v>
      </c>
      <c r="C65" s="41" t="s">
        <v>257</v>
      </c>
      <c r="D65" s="41" t="s">
        <v>258</v>
      </c>
      <c r="E65" s="41" t="s">
        <v>147</v>
      </c>
      <c r="F65" s="41" t="s">
        <v>130</v>
      </c>
      <c r="G65" s="80"/>
      <c r="H65" s="99">
        <v>60</v>
      </c>
      <c r="I65" s="100">
        <f t="shared" si="1"/>
        <v>4.5982982063430597</v>
      </c>
      <c r="J65" s="99">
        <f t="shared" si="6"/>
        <v>1</v>
      </c>
      <c r="K65" s="99">
        <f t="shared" si="2"/>
        <v>10</v>
      </c>
      <c r="L65" s="99"/>
      <c r="M65" s="101">
        <f t="shared" si="3"/>
        <v>14.59829820634306</v>
      </c>
      <c r="N65" s="101">
        <f t="shared" si="4"/>
        <v>17.517957847611672</v>
      </c>
      <c r="O65" s="80"/>
      <c r="P65" s="80"/>
      <c r="Q65" s="80"/>
      <c r="R65" s="80"/>
      <c r="S65" s="80"/>
    </row>
    <row r="66" spans="1:20" s="85" customFormat="1" ht="25.85" x14ac:dyDescent="0.25">
      <c r="A66" s="94">
        <f t="shared" si="5"/>
        <v>17.298008082278123</v>
      </c>
      <c r="B66" s="34">
        <f t="shared" si="0"/>
        <v>61</v>
      </c>
      <c r="C66" s="35" t="s">
        <v>259</v>
      </c>
      <c r="D66" s="35" t="s">
        <v>260</v>
      </c>
      <c r="E66" s="35" t="s">
        <v>139</v>
      </c>
      <c r="F66" s="35" t="s">
        <v>130</v>
      </c>
      <c r="G66" s="80"/>
      <c r="H66" s="95">
        <v>61</v>
      </c>
      <c r="I66" s="96">
        <f t="shared" si="1"/>
        <v>4.4150067352317706</v>
      </c>
      <c r="J66" s="95">
        <f t="shared" si="6"/>
        <v>1</v>
      </c>
      <c r="K66" s="95">
        <f t="shared" si="2"/>
        <v>10</v>
      </c>
      <c r="L66" s="95"/>
      <c r="M66" s="97">
        <f t="shared" si="3"/>
        <v>14.415006735231771</v>
      </c>
      <c r="N66" s="97">
        <f t="shared" si="4"/>
        <v>17.298008082278123</v>
      </c>
      <c r="O66" s="80"/>
      <c r="P66" s="80"/>
      <c r="Q66" s="80"/>
      <c r="R66" s="80"/>
      <c r="S66" s="109"/>
      <c r="T66" s="110"/>
    </row>
    <row r="67" spans="1:20" s="85" customFormat="1" x14ac:dyDescent="0.25">
      <c r="A67" s="98">
        <f t="shared" si="5"/>
        <v>17.081634894801368</v>
      </c>
      <c r="B67" s="40">
        <f t="shared" si="0"/>
        <v>62</v>
      </c>
      <c r="C67" s="41" t="s">
        <v>261</v>
      </c>
      <c r="D67" s="41" t="s">
        <v>262</v>
      </c>
      <c r="E67" s="41" t="s">
        <v>139</v>
      </c>
      <c r="F67" s="41" t="s">
        <v>130</v>
      </c>
      <c r="G67" s="80"/>
      <c r="H67" s="99">
        <v>62</v>
      </c>
      <c r="I67" s="100">
        <f t="shared" si="1"/>
        <v>4.2346957456678069</v>
      </c>
      <c r="J67" s="99">
        <f t="shared" si="6"/>
        <v>1</v>
      </c>
      <c r="K67" s="99">
        <f t="shared" si="2"/>
        <v>10</v>
      </c>
      <c r="L67" s="99"/>
      <c r="M67" s="101">
        <f t="shared" si="3"/>
        <v>14.234695745667807</v>
      </c>
      <c r="N67" s="101">
        <f t="shared" si="4"/>
        <v>17.081634894801368</v>
      </c>
      <c r="O67" s="80"/>
      <c r="P67" s="80"/>
      <c r="Q67" s="80"/>
      <c r="R67" s="80"/>
      <c r="S67" s="80"/>
    </row>
    <row r="68" spans="1:20" s="85" customFormat="1" ht="25.85" x14ac:dyDescent="0.25">
      <c r="A68" s="94">
        <f t="shared" si="5"/>
        <v>16.868723827244249</v>
      </c>
      <c r="B68" s="34">
        <f t="shared" si="0"/>
        <v>63</v>
      </c>
      <c r="C68" s="35" t="s">
        <v>263</v>
      </c>
      <c r="D68" s="35" t="s">
        <v>221</v>
      </c>
      <c r="E68" s="35" t="s">
        <v>139</v>
      </c>
      <c r="F68" s="35" t="s">
        <v>130</v>
      </c>
      <c r="G68" s="80"/>
      <c r="H68" s="95">
        <v>63</v>
      </c>
      <c r="I68" s="96">
        <f t="shared" si="1"/>
        <v>4.057269856036875</v>
      </c>
      <c r="J68" s="95">
        <f t="shared" si="6"/>
        <v>1</v>
      </c>
      <c r="K68" s="95">
        <f t="shared" si="2"/>
        <v>10</v>
      </c>
      <c r="L68" s="95"/>
      <c r="M68" s="97">
        <f t="shared" si="3"/>
        <v>14.057269856036875</v>
      </c>
      <c r="N68" s="97">
        <f t="shared" si="4"/>
        <v>16.868723827244249</v>
      </c>
      <c r="O68" s="80"/>
      <c r="P68" s="80"/>
      <c r="Q68" s="80"/>
      <c r="R68" s="80"/>
      <c r="S68" s="109"/>
      <c r="T68" s="110"/>
    </row>
    <row r="69" spans="1:20" s="85" customFormat="1" x14ac:dyDescent="0.25">
      <c r="A69" s="98">
        <f t="shared" si="5"/>
        <v>16.659165829589224</v>
      </c>
      <c r="B69" s="40">
        <f t="shared" si="0"/>
        <v>64</v>
      </c>
      <c r="C69" s="41" t="s">
        <v>264</v>
      </c>
      <c r="D69" s="41" t="s">
        <v>265</v>
      </c>
      <c r="E69" s="41" t="s">
        <v>139</v>
      </c>
      <c r="F69" s="41" t="s">
        <v>130</v>
      </c>
      <c r="G69" s="80"/>
      <c r="H69" s="99">
        <v>64</v>
      </c>
      <c r="I69" s="100">
        <f t="shared" si="1"/>
        <v>3.8826381913243537</v>
      </c>
      <c r="J69" s="99">
        <f t="shared" si="6"/>
        <v>1</v>
      </c>
      <c r="K69" s="99">
        <f t="shared" si="2"/>
        <v>10</v>
      </c>
      <c r="L69" s="99"/>
      <c r="M69" s="101">
        <f t="shared" si="3"/>
        <v>13.882638191324354</v>
      </c>
      <c r="N69" s="101">
        <f t="shared" si="4"/>
        <v>16.659165829589224</v>
      </c>
      <c r="O69" s="80"/>
      <c r="P69" s="80"/>
      <c r="Q69" s="80"/>
      <c r="R69" s="80"/>
      <c r="S69" s="80"/>
    </row>
    <row r="70" spans="1:20" s="85" customFormat="1" x14ac:dyDescent="0.25">
      <c r="A70" s="94">
        <f t="shared" si="5"/>
        <v>4.4528569243288132</v>
      </c>
      <c r="B70" s="34">
        <f t="shared" ref="B70:B88" si="7">IF(H70&gt;$H$2,"",(ROW()-5))</f>
        <v>65</v>
      </c>
      <c r="C70" s="35" t="s">
        <v>266</v>
      </c>
      <c r="D70" s="35" t="s">
        <v>267</v>
      </c>
      <c r="E70" s="35" t="s">
        <v>157</v>
      </c>
      <c r="F70" s="35" t="s">
        <v>130</v>
      </c>
      <c r="G70" s="80"/>
      <c r="H70" s="95">
        <v>65</v>
      </c>
      <c r="I70" s="96">
        <f t="shared" ref="I70:I133" si="8">IF(H70&lt;$H$2+1,($I$2-($I$2-1)*(LOG(H70)/LOG($H$2))),"")</f>
        <v>3.7107141036073443</v>
      </c>
      <c r="J70" s="95">
        <f t="shared" si="6"/>
        <v>0</v>
      </c>
      <c r="K70" s="95">
        <f t="shared" ref="K70:K133" si="9">J70*$J$2</f>
        <v>0</v>
      </c>
      <c r="L70" s="95"/>
      <c r="M70" s="97">
        <f t="shared" ref="M70:M133" si="10">IF(I70&lt;&gt;"",K70+I70+L70,0)</f>
        <v>3.7107141036073443</v>
      </c>
      <c r="N70" s="97">
        <f t="shared" ref="N70:N133" si="11">IF(I70&lt;&gt;"",M70*L$2,0)</f>
        <v>4.4528569243288132</v>
      </c>
      <c r="O70" s="80"/>
      <c r="P70" s="80"/>
      <c r="Q70" s="80"/>
      <c r="R70" s="80"/>
      <c r="S70" s="109"/>
      <c r="T70" s="110"/>
    </row>
    <row r="71" spans="1:20" s="85" customFormat="1" x14ac:dyDescent="0.25">
      <c r="A71" s="98">
        <f t="shared" ref="A71:A134" si="12">N71</f>
        <v>4.2496978966629539</v>
      </c>
      <c r="B71" s="40">
        <f t="shared" si="7"/>
        <v>66</v>
      </c>
      <c r="C71" s="41" t="s">
        <v>268</v>
      </c>
      <c r="D71" s="41" t="s">
        <v>266</v>
      </c>
      <c r="E71" s="41" t="s">
        <v>157</v>
      </c>
      <c r="F71" s="41" t="s">
        <v>130</v>
      </c>
      <c r="G71" s="80"/>
      <c r="H71" s="99">
        <v>66</v>
      </c>
      <c r="I71" s="100">
        <f t="shared" si="8"/>
        <v>3.5414149138857951</v>
      </c>
      <c r="J71" s="99">
        <f t="shared" ref="J71:J134" si="13">INT(LOG($H$2,2))-ROUNDUP(LOG(H71,2),0)+IF(OR($H$2=1,$H$2=2,$H$2=4,$H$2=8,$H$2=16,$H$2=32,$H$2=64,$H$2=128,$H$2=256),0,1)</f>
        <v>0</v>
      </c>
      <c r="K71" s="99">
        <f t="shared" si="9"/>
        <v>0</v>
      </c>
      <c r="L71" s="99"/>
      <c r="M71" s="101">
        <f t="shared" si="10"/>
        <v>3.5414149138857951</v>
      </c>
      <c r="N71" s="101">
        <f t="shared" si="11"/>
        <v>4.2496978966629539</v>
      </c>
      <c r="O71" s="80"/>
      <c r="P71" s="80"/>
      <c r="Q71" s="80"/>
      <c r="R71" s="80"/>
      <c r="S71" s="80"/>
    </row>
    <row r="72" spans="1:20" s="85" customFormat="1" x14ac:dyDescent="0.25">
      <c r="A72" s="94">
        <f t="shared" si="12"/>
        <v>4.0495940079925079</v>
      </c>
      <c r="B72" s="34">
        <f t="shared" si="7"/>
        <v>67</v>
      </c>
      <c r="C72" s="35" t="s">
        <v>269</v>
      </c>
      <c r="D72" s="35" t="s">
        <v>270</v>
      </c>
      <c r="E72" s="35" t="s">
        <v>155</v>
      </c>
      <c r="F72" s="35" t="s">
        <v>130</v>
      </c>
      <c r="G72" s="80"/>
      <c r="H72" s="95">
        <v>67</v>
      </c>
      <c r="I72" s="96">
        <f t="shared" si="8"/>
        <v>3.3746616733270898</v>
      </c>
      <c r="J72" s="95">
        <f t="shared" si="13"/>
        <v>0</v>
      </c>
      <c r="K72" s="95">
        <f t="shared" si="9"/>
        <v>0</v>
      </c>
      <c r="L72" s="95"/>
      <c r="M72" s="97">
        <f t="shared" si="10"/>
        <v>3.3746616733270898</v>
      </c>
      <c r="N72" s="97">
        <f t="shared" si="11"/>
        <v>4.0495940079925079</v>
      </c>
      <c r="O72" s="80"/>
      <c r="P72" s="80"/>
      <c r="Q72" s="80"/>
      <c r="R72" s="80"/>
      <c r="S72" s="109"/>
      <c r="T72" s="110"/>
    </row>
    <row r="73" spans="1:20" s="85" customFormat="1" x14ac:dyDescent="0.25">
      <c r="A73" s="98">
        <f t="shared" si="12"/>
        <v>3.8524547306378878</v>
      </c>
      <c r="B73" s="40">
        <f t="shared" si="7"/>
        <v>68</v>
      </c>
      <c r="C73" s="41" t="s">
        <v>271</v>
      </c>
      <c r="D73" s="41" t="s">
        <v>272</v>
      </c>
      <c r="E73" s="41" t="s">
        <v>160</v>
      </c>
      <c r="F73" s="41" t="s">
        <v>130</v>
      </c>
      <c r="G73" s="80"/>
      <c r="H73" s="99">
        <v>68</v>
      </c>
      <c r="I73" s="100">
        <f t="shared" si="8"/>
        <v>3.2103789421982398</v>
      </c>
      <c r="J73" s="99">
        <f t="shared" si="13"/>
        <v>0</v>
      </c>
      <c r="K73" s="99">
        <f t="shared" si="9"/>
        <v>0</v>
      </c>
      <c r="L73" s="99"/>
      <c r="M73" s="101">
        <f t="shared" si="10"/>
        <v>3.2103789421982398</v>
      </c>
      <c r="N73" s="101">
        <f t="shared" si="11"/>
        <v>3.8524547306378878</v>
      </c>
      <c r="O73" s="80"/>
      <c r="P73" s="80"/>
      <c r="Q73" s="80"/>
      <c r="R73" s="80"/>
      <c r="S73" s="80"/>
    </row>
    <row r="74" spans="1:20" s="85" customFormat="1" x14ac:dyDescent="0.25">
      <c r="A74" s="94">
        <f t="shared" si="12"/>
        <v>3.6581935019234662</v>
      </c>
      <c r="B74" s="34">
        <f t="shared" si="7"/>
        <v>69</v>
      </c>
      <c r="C74" s="35" t="s">
        <v>273</v>
      </c>
      <c r="D74" s="35" t="s">
        <v>274</v>
      </c>
      <c r="E74" s="35" t="s">
        <v>147</v>
      </c>
      <c r="F74" s="35" t="s">
        <v>130</v>
      </c>
      <c r="G74" s="80"/>
      <c r="H74" s="95">
        <v>69</v>
      </c>
      <c r="I74" s="96">
        <f t="shared" si="8"/>
        <v>3.0484945849362219</v>
      </c>
      <c r="J74" s="95">
        <f t="shared" si="13"/>
        <v>0</v>
      </c>
      <c r="K74" s="95">
        <f t="shared" si="9"/>
        <v>0</v>
      </c>
      <c r="L74" s="95"/>
      <c r="M74" s="97">
        <f t="shared" si="10"/>
        <v>3.0484945849362219</v>
      </c>
      <c r="N74" s="97">
        <f t="shared" si="11"/>
        <v>3.6581935019234662</v>
      </c>
      <c r="O74" s="80"/>
      <c r="P74" s="80"/>
      <c r="Q74" s="80"/>
      <c r="R74" s="80"/>
      <c r="S74" s="109"/>
      <c r="T74" s="110"/>
    </row>
    <row r="75" spans="1:20" s="85" customFormat="1" x14ac:dyDescent="0.25">
      <c r="A75" s="98">
        <f t="shared" si="12"/>
        <v>3.4667274959555838</v>
      </c>
      <c r="B75" s="40">
        <f t="shared" si="7"/>
        <v>70</v>
      </c>
      <c r="C75" s="41" t="s">
        <v>275</v>
      </c>
      <c r="D75" s="41" t="s">
        <v>138</v>
      </c>
      <c r="E75" s="41" t="s">
        <v>139</v>
      </c>
      <c r="F75" s="41" t="s">
        <v>130</v>
      </c>
      <c r="G75" s="80"/>
      <c r="H75" s="99">
        <v>70</v>
      </c>
      <c r="I75" s="100">
        <f t="shared" si="8"/>
        <v>2.8889395799629867</v>
      </c>
      <c r="J75" s="99">
        <f t="shared" si="13"/>
        <v>0</v>
      </c>
      <c r="K75" s="99">
        <f t="shared" si="9"/>
        <v>0</v>
      </c>
      <c r="L75" s="99"/>
      <c r="M75" s="101">
        <f t="shared" si="10"/>
        <v>2.8889395799629867</v>
      </c>
      <c r="N75" s="101">
        <f t="shared" si="11"/>
        <v>3.4667274959555838</v>
      </c>
      <c r="O75" s="80"/>
      <c r="P75" s="80"/>
      <c r="Q75" s="80"/>
      <c r="R75" s="80"/>
      <c r="S75" s="80"/>
    </row>
    <row r="76" spans="1:20" s="85" customFormat="1" x14ac:dyDescent="0.25">
      <c r="A76" s="94">
        <f t="shared" si="12"/>
        <v>3.2779774115883411</v>
      </c>
      <c r="B76" s="34">
        <f t="shared" si="7"/>
        <v>71</v>
      </c>
      <c r="C76" s="35" t="s">
        <v>276</v>
      </c>
      <c r="D76" s="35" t="s">
        <v>254</v>
      </c>
      <c r="E76" s="35" t="s">
        <v>139</v>
      </c>
      <c r="F76" s="35" t="s">
        <v>130</v>
      </c>
      <c r="G76" s="80"/>
      <c r="H76" s="95">
        <v>71</v>
      </c>
      <c r="I76" s="96">
        <f t="shared" si="8"/>
        <v>2.7316478429902844</v>
      </c>
      <c r="J76" s="95">
        <f t="shared" si="13"/>
        <v>0</v>
      </c>
      <c r="K76" s="95">
        <f t="shared" si="9"/>
        <v>0</v>
      </c>
      <c r="L76" s="95"/>
      <c r="M76" s="97">
        <f t="shared" si="10"/>
        <v>2.7316478429902844</v>
      </c>
      <c r="N76" s="97">
        <f t="shared" si="11"/>
        <v>3.2779774115883411</v>
      </c>
      <c r="O76" s="80"/>
      <c r="P76" s="80"/>
      <c r="Q76" s="80"/>
      <c r="R76" s="80"/>
      <c r="S76" s="109"/>
      <c r="T76" s="110"/>
    </row>
    <row r="77" spans="1:20" s="85" customFormat="1" x14ac:dyDescent="0.25">
      <c r="A77" s="98">
        <f t="shared" si="12"/>
        <v>3.0918672752182488</v>
      </c>
      <c r="B77" s="40">
        <f t="shared" si="7"/>
        <v>72</v>
      </c>
      <c r="C77" s="41" t="s">
        <v>277</v>
      </c>
      <c r="D77" s="41" t="s">
        <v>278</v>
      </c>
      <c r="E77" s="41" t="s">
        <v>147</v>
      </c>
      <c r="F77" s="41" t="s">
        <v>130</v>
      </c>
      <c r="G77" s="80"/>
      <c r="H77" s="99">
        <v>72</v>
      </c>
      <c r="I77" s="100">
        <f t="shared" si="8"/>
        <v>2.576556062681874</v>
      </c>
      <c r="J77" s="99">
        <f t="shared" si="13"/>
        <v>0</v>
      </c>
      <c r="K77" s="99">
        <f t="shared" si="9"/>
        <v>0</v>
      </c>
      <c r="L77" s="99"/>
      <c r="M77" s="101">
        <f t="shared" si="10"/>
        <v>2.576556062681874</v>
      </c>
      <c r="N77" s="101">
        <f t="shared" si="11"/>
        <v>3.0918672752182488</v>
      </c>
      <c r="O77" s="80"/>
      <c r="P77" s="80"/>
      <c r="Q77" s="80"/>
      <c r="R77" s="80"/>
      <c r="S77" s="80"/>
    </row>
    <row r="78" spans="1:20" s="85" customFormat="1" x14ac:dyDescent="0.25">
      <c r="A78" s="94">
        <f t="shared" si="12"/>
        <v>2.9083242571808228</v>
      </c>
      <c r="B78" s="34">
        <f t="shared" si="7"/>
        <v>73</v>
      </c>
      <c r="C78" s="35" t="s">
        <v>279</v>
      </c>
      <c r="D78" s="35" t="s">
        <v>138</v>
      </c>
      <c r="E78" s="35" t="s">
        <v>280</v>
      </c>
      <c r="F78" s="35" t="s">
        <v>130</v>
      </c>
      <c r="G78" s="80"/>
      <c r="H78" s="95">
        <v>73</v>
      </c>
      <c r="I78" s="96">
        <f t="shared" si="8"/>
        <v>2.4236035476506856</v>
      </c>
      <c r="J78" s="95">
        <f t="shared" si="13"/>
        <v>0</v>
      </c>
      <c r="K78" s="95">
        <f t="shared" si="9"/>
        <v>0</v>
      </c>
      <c r="L78" s="95"/>
      <c r="M78" s="97">
        <f t="shared" si="10"/>
        <v>2.4236035476506856</v>
      </c>
      <c r="N78" s="97">
        <f t="shared" si="11"/>
        <v>2.9083242571808228</v>
      </c>
      <c r="O78" s="80"/>
      <c r="P78" s="80"/>
      <c r="Q78" s="80"/>
      <c r="R78" s="80"/>
      <c r="S78" s="109"/>
      <c r="T78" s="110"/>
    </row>
    <row r="79" spans="1:20" s="85" customFormat="1" x14ac:dyDescent="0.25">
      <c r="A79" s="98">
        <f t="shared" si="12"/>
        <v>2.7272785006381981</v>
      </c>
      <c r="B79" s="40">
        <f t="shared" si="7"/>
        <v>74</v>
      </c>
      <c r="C79" s="41" t="s">
        <v>281</v>
      </c>
      <c r="D79" s="41" t="s">
        <v>248</v>
      </c>
      <c r="E79" s="41" t="s">
        <v>139</v>
      </c>
      <c r="F79" s="41" t="s">
        <v>130</v>
      </c>
      <c r="G79" s="80"/>
      <c r="H79" s="99">
        <v>74</v>
      </c>
      <c r="I79" s="100">
        <f t="shared" si="8"/>
        <v>2.272732083865165</v>
      </c>
      <c r="J79" s="99">
        <f t="shared" si="13"/>
        <v>0</v>
      </c>
      <c r="K79" s="99">
        <f t="shared" si="9"/>
        <v>0</v>
      </c>
      <c r="L79" s="99"/>
      <c r="M79" s="101">
        <f t="shared" si="10"/>
        <v>2.272732083865165</v>
      </c>
      <c r="N79" s="101">
        <f t="shared" si="11"/>
        <v>2.7272785006381981</v>
      </c>
      <c r="O79" s="80"/>
      <c r="P79" s="80"/>
      <c r="Q79" s="80"/>
      <c r="R79" s="80"/>
      <c r="S79" s="80"/>
    </row>
    <row r="80" spans="1:20" s="85" customFormat="1" x14ac:dyDescent="0.25">
      <c r="A80" s="94">
        <f t="shared" si="12"/>
        <v>2.5486629619520387</v>
      </c>
      <c r="B80" s="34">
        <f t="shared" si="7"/>
        <v>75</v>
      </c>
      <c r="C80" s="35" t="s">
        <v>282</v>
      </c>
      <c r="D80" s="35" t="s">
        <v>283</v>
      </c>
      <c r="E80" s="35" t="s">
        <v>129</v>
      </c>
      <c r="F80" s="35" t="s">
        <v>130</v>
      </c>
      <c r="G80" s="80"/>
      <c r="H80" s="95">
        <v>75</v>
      </c>
      <c r="I80" s="96">
        <f t="shared" si="8"/>
        <v>2.1238858016266988</v>
      </c>
      <c r="J80" s="95">
        <f t="shared" si="13"/>
        <v>0</v>
      </c>
      <c r="K80" s="95">
        <f t="shared" si="9"/>
        <v>0</v>
      </c>
      <c r="L80" s="95"/>
      <c r="M80" s="97">
        <f t="shared" si="10"/>
        <v>2.1238858016266988</v>
      </c>
      <c r="N80" s="97">
        <f t="shared" si="11"/>
        <v>2.5486629619520387</v>
      </c>
      <c r="O80" s="80"/>
      <c r="P80" s="80"/>
      <c r="Q80" s="80"/>
      <c r="R80" s="80"/>
      <c r="S80" s="109"/>
      <c r="T80" s="110"/>
    </row>
    <row r="81" spans="1:20" s="85" customFormat="1" x14ac:dyDescent="0.25">
      <c r="A81" s="98">
        <f t="shared" si="12"/>
        <v>2.3724132616286</v>
      </c>
      <c r="B81" s="40">
        <f t="shared" si="7"/>
        <v>76</v>
      </c>
      <c r="C81" s="41" t="s">
        <v>284</v>
      </c>
      <c r="D81" s="41" t="s">
        <v>266</v>
      </c>
      <c r="E81" s="41" t="s">
        <v>206</v>
      </c>
      <c r="F81" s="41" t="s">
        <v>130</v>
      </c>
      <c r="G81" s="80"/>
      <c r="H81" s="99">
        <v>76</v>
      </c>
      <c r="I81" s="100">
        <f t="shared" si="8"/>
        <v>1.9770110513571666</v>
      </c>
      <c r="J81" s="99">
        <f t="shared" si="13"/>
        <v>0</v>
      </c>
      <c r="K81" s="99">
        <f t="shared" si="9"/>
        <v>0</v>
      </c>
      <c r="L81" s="99"/>
      <c r="M81" s="101">
        <f t="shared" si="10"/>
        <v>1.9770110513571666</v>
      </c>
      <c r="N81" s="101">
        <f t="shared" si="11"/>
        <v>2.3724132616286</v>
      </c>
      <c r="O81" s="80"/>
      <c r="P81" s="80"/>
      <c r="Q81" s="80"/>
      <c r="R81" s="80"/>
      <c r="S81" s="80"/>
    </row>
    <row r="82" spans="1:20" s="85" customFormat="1" x14ac:dyDescent="0.25">
      <c r="A82" s="94">
        <f t="shared" si="12"/>
        <v>2.1984675450068747</v>
      </c>
      <c r="B82" s="34">
        <f t="shared" si="7"/>
        <v>77</v>
      </c>
      <c r="C82" s="35" t="s">
        <v>285</v>
      </c>
      <c r="D82" s="35" t="s">
        <v>286</v>
      </c>
      <c r="E82" s="35" t="s">
        <v>147</v>
      </c>
      <c r="F82" s="35" t="s">
        <v>130</v>
      </c>
      <c r="G82" s="80"/>
      <c r="H82" s="95">
        <v>77</v>
      </c>
      <c r="I82" s="96">
        <f t="shared" si="8"/>
        <v>1.8320562875057291</v>
      </c>
      <c r="J82" s="95">
        <f t="shared" si="13"/>
        <v>0</v>
      </c>
      <c r="K82" s="95">
        <f t="shared" si="9"/>
        <v>0</v>
      </c>
      <c r="L82" s="95"/>
      <c r="M82" s="97">
        <f t="shared" si="10"/>
        <v>1.8320562875057291</v>
      </c>
      <c r="N82" s="97">
        <f t="shared" si="11"/>
        <v>2.1984675450068747</v>
      </c>
      <c r="O82" s="80"/>
      <c r="P82" s="80"/>
      <c r="Q82" s="80"/>
      <c r="R82" s="80"/>
      <c r="S82" s="109"/>
      <c r="T82" s="110"/>
    </row>
    <row r="83" spans="1:20" s="85" customFormat="1" x14ac:dyDescent="0.25">
      <c r="A83" s="98">
        <f t="shared" si="12"/>
        <v>2.0267663519353989</v>
      </c>
      <c r="B83" s="40">
        <f t="shared" si="7"/>
        <v>78</v>
      </c>
      <c r="C83" s="41" t="s">
        <v>287</v>
      </c>
      <c r="D83" s="41" t="s">
        <v>237</v>
      </c>
      <c r="E83" s="41" t="s">
        <v>139</v>
      </c>
      <c r="F83" s="41" t="s">
        <v>130</v>
      </c>
      <c r="G83" s="80"/>
      <c r="H83" s="99">
        <v>78</v>
      </c>
      <c r="I83" s="100">
        <f t="shared" si="8"/>
        <v>1.6889719599461657</v>
      </c>
      <c r="J83" s="99">
        <f t="shared" si="13"/>
        <v>0</v>
      </c>
      <c r="K83" s="99">
        <f t="shared" si="9"/>
        <v>0</v>
      </c>
      <c r="L83" s="99"/>
      <c r="M83" s="101">
        <f t="shared" si="10"/>
        <v>1.6889719599461657</v>
      </c>
      <c r="N83" s="101">
        <f t="shared" si="11"/>
        <v>2.0267663519353989</v>
      </c>
      <c r="O83" s="80"/>
      <c r="P83" s="80"/>
      <c r="Q83" s="80"/>
      <c r="R83" s="80"/>
      <c r="S83" s="80"/>
    </row>
    <row r="84" spans="1:20" s="85" customFormat="1" x14ac:dyDescent="0.25">
      <c r="A84" s="94">
        <f t="shared" si="12"/>
        <v>1.8572524947504916</v>
      </c>
      <c r="B84" s="34">
        <f t="shared" si="7"/>
        <v>79</v>
      </c>
      <c r="C84" s="35" t="s">
        <v>288</v>
      </c>
      <c r="D84" s="35" t="s">
        <v>172</v>
      </c>
      <c r="E84" s="35" t="s">
        <v>139</v>
      </c>
      <c r="F84" s="35" t="s">
        <v>130</v>
      </c>
      <c r="G84" s="80"/>
      <c r="H84" s="95">
        <v>79</v>
      </c>
      <c r="I84" s="96">
        <f t="shared" si="8"/>
        <v>1.5477104122920764</v>
      </c>
      <c r="J84" s="95">
        <f t="shared" si="13"/>
        <v>0</v>
      </c>
      <c r="K84" s="95">
        <f t="shared" si="9"/>
        <v>0</v>
      </c>
      <c r="L84" s="95"/>
      <c r="M84" s="97">
        <f t="shared" si="10"/>
        <v>1.5477104122920764</v>
      </c>
      <c r="N84" s="97">
        <f t="shared" si="11"/>
        <v>1.8572524947504916</v>
      </c>
      <c r="O84" s="80"/>
      <c r="P84" s="80"/>
      <c r="Q84" s="80"/>
      <c r="R84" s="80"/>
      <c r="S84" s="109"/>
      <c r="T84" s="110"/>
    </row>
    <row r="85" spans="1:20" s="85" customFormat="1" x14ac:dyDescent="0.25">
      <c r="A85" s="98">
        <f t="shared" si="12"/>
        <v>1.6898709439295914</v>
      </c>
      <c r="B85" s="40">
        <f t="shared" si="7"/>
        <v>80</v>
      </c>
      <c r="C85" s="41" t="s">
        <v>289</v>
      </c>
      <c r="D85" s="41" t="s">
        <v>290</v>
      </c>
      <c r="E85" s="41" t="s">
        <v>291</v>
      </c>
      <c r="F85" s="41" t="s">
        <v>130</v>
      </c>
      <c r="G85" s="80"/>
      <c r="H85" s="99">
        <v>80</v>
      </c>
      <c r="I85" s="100">
        <f t="shared" si="8"/>
        <v>1.4082257866079928</v>
      </c>
      <c r="J85" s="99">
        <f t="shared" si="13"/>
        <v>0</v>
      </c>
      <c r="K85" s="99">
        <f t="shared" si="9"/>
        <v>0</v>
      </c>
      <c r="L85" s="99"/>
      <c r="M85" s="101">
        <f t="shared" si="10"/>
        <v>1.4082257866079928</v>
      </c>
      <c r="N85" s="101">
        <f t="shared" si="11"/>
        <v>1.6898709439295914</v>
      </c>
      <c r="O85" s="80"/>
      <c r="P85" s="80"/>
      <c r="Q85" s="80"/>
      <c r="R85" s="80"/>
      <c r="S85" s="80"/>
    </row>
    <row r="86" spans="1:20" s="85" customFormat="1" x14ac:dyDescent="0.25">
      <c r="A86" s="94">
        <f t="shared" si="12"/>
        <v>1.5245687208472816</v>
      </c>
      <c r="B86" s="34">
        <f t="shared" si="7"/>
        <v>81</v>
      </c>
      <c r="C86" s="35" t="s">
        <v>292</v>
      </c>
      <c r="D86" s="35" t="s">
        <v>182</v>
      </c>
      <c r="E86" s="35" t="s">
        <v>147</v>
      </c>
      <c r="F86" s="35" t="s">
        <v>130</v>
      </c>
      <c r="G86" s="80"/>
      <c r="H86" s="95">
        <v>81</v>
      </c>
      <c r="I86" s="96">
        <f t="shared" si="8"/>
        <v>1.2704739340394013</v>
      </c>
      <c r="J86" s="95">
        <f t="shared" si="13"/>
        <v>0</v>
      </c>
      <c r="K86" s="95">
        <f t="shared" si="9"/>
        <v>0</v>
      </c>
      <c r="L86" s="95"/>
      <c r="M86" s="97">
        <f t="shared" si="10"/>
        <v>1.2704739340394013</v>
      </c>
      <c r="N86" s="97">
        <f t="shared" si="11"/>
        <v>1.5245687208472816</v>
      </c>
      <c r="O86" s="80"/>
      <c r="P86" s="80"/>
      <c r="Q86" s="80"/>
      <c r="R86" s="80"/>
      <c r="S86" s="109"/>
      <c r="T86" s="110"/>
    </row>
    <row r="87" spans="1:20" s="85" customFormat="1" ht="38.75" x14ac:dyDescent="0.25">
      <c r="A87" s="98">
        <f t="shared" si="12"/>
        <v>1.3612947971113327</v>
      </c>
      <c r="B87" s="40">
        <f t="shared" si="7"/>
        <v>82</v>
      </c>
      <c r="C87" s="41" t="s">
        <v>293</v>
      </c>
      <c r="D87" s="41" t="s">
        <v>294</v>
      </c>
      <c r="E87" s="41" t="s">
        <v>291</v>
      </c>
      <c r="F87" s="41" t="s">
        <v>130</v>
      </c>
      <c r="G87" s="80"/>
      <c r="H87" s="99">
        <v>82</v>
      </c>
      <c r="I87" s="100">
        <f t="shared" si="8"/>
        <v>1.1344123309261107</v>
      </c>
      <c r="J87" s="99">
        <f t="shared" si="13"/>
        <v>0</v>
      </c>
      <c r="K87" s="99">
        <f t="shared" si="9"/>
        <v>0</v>
      </c>
      <c r="L87" s="99"/>
      <c r="M87" s="101">
        <f t="shared" si="10"/>
        <v>1.1344123309261107</v>
      </c>
      <c r="N87" s="101">
        <f t="shared" si="11"/>
        <v>1.3612947971113327</v>
      </c>
      <c r="O87" s="80"/>
      <c r="P87" s="80"/>
      <c r="Q87" s="80"/>
      <c r="R87" s="80"/>
      <c r="S87" s="80"/>
    </row>
    <row r="88" spans="1:20" s="85" customFormat="1" x14ac:dyDescent="0.25">
      <c r="A88" s="94">
        <f t="shared" si="12"/>
        <v>1.2</v>
      </c>
      <c r="B88" s="34">
        <f t="shared" si="7"/>
        <v>83</v>
      </c>
      <c r="C88" s="35" t="s">
        <v>295</v>
      </c>
      <c r="D88" s="35" t="s">
        <v>296</v>
      </c>
      <c r="E88" s="35" t="s">
        <v>147</v>
      </c>
      <c r="F88" s="35" t="s">
        <v>130</v>
      </c>
      <c r="G88" s="80"/>
      <c r="H88" s="95">
        <v>83</v>
      </c>
      <c r="I88" s="96">
        <f t="shared" si="8"/>
        <v>1</v>
      </c>
      <c r="J88" s="95">
        <f t="shared" si="13"/>
        <v>0</v>
      </c>
      <c r="K88" s="95">
        <f t="shared" si="9"/>
        <v>0</v>
      </c>
      <c r="L88" s="95"/>
      <c r="M88" s="97">
        <f t="shared" si="10"/>
        <v>1</v>
      </c>
      <c r="N88" s="97">
        <f t="shared" si="11"/>
        <v>1.2</v>
      </c>
      <c r="O88" s="80"/>
      <c r="P88" s="80"/>
      <c r="Q88" s="80"/>
      <c r="R88" s="80"/>
      <c r="S88" s="109"/>
      <c r="T88" s="110"/>
    </row>
    <row r="89" spans="1:20" s="85" customFormat="1" x14ac:dyDescent="0.25">
      <c r="A89" s="98">
        <f t="shared" si="12"/>
        <v>0</v>
      </c>
      <c r="B89" s="40" t="str">
        <f t="shared" ref="B89:B142" si="14">IF(H89&gt;$H$2,"",(ROW()-5))</f>
        <v/>
      </c>
      <c r="C89" s="41" t="s">
        <v>49</v>
      </c>
      <c r="D89" s="41"/>
      <c r="E89" s="41"/>
      <c r="F89" s="41"/>
      <c r="G89" s="80"/>
      <c r="H89" s="99">
        <v>84</v>
      </c>
      <c r="I89" s="100" t="str">
        <f t="shared" si="8"/>
        <v/>
      </c>
      <c r="J89" s="99">
        <f t="shared" si="13"/>
        <v>0</v>
      </c>
      <c r="K89" s="99">
        <f t="shared" si="9"/>
        <v>0</v>
      </c>
      <c r="L89" s="99"/>
      <c r="M89" s="101">
        <f t="shared" si="10"/>
        <v>0</v>
      </c>
      <c r="N89" s="101">
        <f t="shared" si="11"/>
        <v>0</v>
      </c>
      <c r="O89" s="80"/>
      <c r="P89" s="80"/>
      <c r="Q89" s="80"/>
      <c r="R89" s="80"/>
      <c r="S89" s="80"/>
    </row>
    <row r="90" spans="1:20" s="85" customFormat="1" x14ac:dyDescent="0.25">
      <c r="A90" s="94">
        <f t="shared" si="12"/>
        <v>0</v>
      </c>
      <c r="B90" s="34" t="str">
        <f t="shared" si="14"/>
        <v/>
      </c>
      <c r="C90" s="35" t="s">
        <v>49</v>
      </c>
      <c r="D90" s="35"/>
      <c r="E90" s="35"/>
      <c r="F90" s="35"/>
      <c r="G90" s="80"/>
      <c r="H90" s="95">
        <v>85</v>
      </c>
      <c r="I90" s="96" t="str">
        <f t="shared" si="8"/>
        <v/>
      </c>
      <c r="J90" s="95">
        <f t="shared" si="13"/>
        <v>0</v>
      </c>
      <c r="K90" s="95">
        <f t="shared" si="9"/>
        <v>0</v>
      </c>
      <c r="L90" s="95"/>
      <c r="M90" s="97">
        <f t="shared" si="10"/>
        <v>0</v>
      </c>
      <c r="N90" s="97">
        <f t="shared" si="11"/>
        <v>0</v>
      </c>
      <c r="O90" s="80"/>
      <c r="P90" s="80"/>
      <c r="Q90" s="80"/>
      <c r="R90" s="80"/>
      <c r="S90" s="109"/>
      <c r="T90" s="110"/>
    </row>
    <row r="91" spans="1:20" s="85" customFormat="1" x14ac:dyDescent="0.25">
      <c r="A91" s="98">
        <f t="shared" si="12"/>
        <v>0</v>
      </c>
      <c r="B91" s="40" t="str">
        <f t="shared" si="14"/>
        <v/>
      </c>
      <c r="C91" s="41" t="s">
        <v>49</v>
      </c>
      <c r="D91" s="41"/>
      <c r="E91" s="41"/>
      <c r="F91" s="41"/>
      <c r="G91" s="80"/>
      <c r="H91" s="99">
        <v>86</v>
      </c>
      <c r="I91" s="100" t="str">
        <f t="shared" si="8"/>
        <v/>
      </c>
      <c r="J91" s="99">
        <f t="shared" si="13"/>
        <v>0</v>
      </c>
      <c r="K91" s="99">
        <f t="shared" si="9"/>
        <v>0</v>
      </c>
      <c r="L91" s="99"/>
      <c r="M91" s="101">
        <f t="shared" si="10"/>
        <v>0</v>
      </c>
      <c r="N91" s="101">
        <f t="shared" si="11"/>
        <v>0</v>
      </c>
      <c r="O91" s="80"/>
      <c r="P91" s="80"/>
      <c r="Q91" s="80"/>
      <c r="R91" s="80"/>
      <c r="S91" s="80"/>
    </row>
    <row r="92" spans="1:20" s="85" customFormat="1" x14ac:dyDescent="0.25">
      <c r="A92" s="94">
        <f t="shared" si="12"/>
        <v>0</v>
      </c>
      <c r="B92" s="34" t="str">
        <f t="shared" si="14"/>
        <v/>
      </c>
      <c r="C92" s="35" t="s">
        <v>49</v>
      </c>
      <c r="D92" s="35"/>
      <c r="E92" s="35"/>
      <c r="F92" s="35"/>
      <c r="G92" s="80"/>
      <c r="H92" s="95">
        <v>87</v>
      </c>
      <c r="I92" s="96" t="str">
        <f t="shared" si="8"/>
        <v/>
      </c>
      <c r="J92" s="95">
        <f t="shared" si="13"/>
        <v>0</v>
      </c>
      <c r="K92" s="95">
        <f t="shared" si="9"/>
        <v>0</v>
      </c>
      <c r="L92" s="95"/>
      <c r="M92" s="97">
        <f t="shared" si="10"/>
        <v>0</v>
      </c>
      <c r="N92" s="97">
        <f t="shared" si="11"/>
        <v>0</v>
      </c>
      <c r="O92" s="80"/>
      <c r="P92" s="80"/>
      <c r="Q92" s="80"/>
      <c r="R92" s="80"/>
      <c r="S92" s="109"/>
      <c r="T92" s="110"/>
    </row>
    <row r="93" spans="1:20" s="85" customFormat="1" x14ac:dyDescent="0.25">
      <c r="A93" s="98">
        <f t="shared" si="12"/>
        <v>0</v>
      </c>
      <c r="B93" s="40" t="str">
        <f t="shared" si="14"/>
        <v/>
      </c>
      <c r="C93" s="41" t="s">
        <v>49</v>
      </c>
      <c r="D93" s="41"/>
      <c r="E93" s="41"/>
      <c r="F93" s="41"/>
      <c r="G93" s="80"/>
      <c r="H93" s="99">
        <v>88</v>
      </c>
      <c r="I93" s="100" t="str">
        <f t="shared" si="8"/>
        <v/>
      </c>
      <c r="J93" s="99">
        <f t="shared" si="13"/>
        <v>0</v>
      </c>
      <c r="K93" s="99">
        <f t="shared" si="9"/>
        <v>0</v>
      </c>
      <c r="L93" s="99"/>
      <c r="M93" s="101">
        <f t="shared" si="10"/>
        <v>0</v>
      </c>
      <c r="N93" s="101">
        <f t="shared" si="11"/>
        <v>0</v>
      </c>
      <c r="O93" s="80"/>
      <c r="P93" s="80"/>
      <c r="Q93" s="80"/>
      <c r="R93" s="80"/>
      <c r="S93" s="80"/>
    </row>
    <row r="94" spans="1:20" s="85" customFormat="1" x14ac:dyDescent="0.25">
      <c r="A94" s="94">
        <f t="shared" si="12"/>
        <v>0</v>
      </c>
      <c r="B94" s="34" t="str">
        <f t="shared" si="14"/>
        <v/>
      </c>
      <c r="C94" s="35" t="s">
        <v>49</v>
      </c>
      <c r="D94" s="35"/>
      <c r="E94" s="35"/>
      <c r="F94" s="35"/>
      <c r="G94" s="80"/>
      <c r="H94" s="95">
        <v>89</v>
      </c>
      <c r="I94" s="96" t="str">
        <f t="shared" si="8"/>
        <v/>
      </c>
      <c r="J94" s="95">
        <f t="shared" si="13"/>
        <v>0</v>
      </c>
      <c r="K94" s="95">
        <f t="shared" si="9"/>
        <v>0</v>
      </c>
      <c r="L94" s="95"/>
      <c r="M94" s="97">
        <f t="shared" si="10"/>
        <v>0</v>
      </c>
      <c r="N94" s="97">
        <f t="shared" si="11"/>
        <v>0</v>
      </c>
      <c r="O94" s="80"/>
      <c r="P94" s="80"/>
      <c r="Q94" s="80"/>
      <c r="R94" s="80"/>
      <c r="S94" s="109"/>
      <c r="T94" s="110"/>
    </row>
    <row r="95" spans="1:20" s="85" customFormat="1" x14ac:dyDescent="0.25">
      <c r="A95" s="98">
        <f t="shared" si="12"/>
        <v>0</v>
      </c>
      <c r="B95" s="40" t="str">
        <f t="shared" si="14"/>
        <v/>
      </c>
      <c r="C95" s="41" t="s">
        <v>49</v>
      </c>
      <c r="D95" s="41"/>
      <c r="E95" s="41"/>
      <c r="F95" s="41"/>
      <c r="G95" s="80"/>
      <c r="H95" s="99">
        <v>90</v>
      </c>
      <c r="I95" s="100" t="str">
        <f t="shared" si="8"/>
        <v/>
      </c>
      <c r="J95" s="99">
        <f t="shared" si="13"/>
        <v>0</v>
      </c>
      <c r="K95" s="99">
        <f t="shared" si="9"/>
        <v>0</v>
      </c>
      <c r="L95" s="99"/>
      <c r="M95" s="101">
        <f t="shared" si="10"/>
        <v>0</v>
      </c>
      <c r="N95" s="101">
        <f t="shared" si="11"/>
        <v>0</v>
      </c>
      <c r="O95" s="80"/>
      <c r="P95" s="80"/>
      <c r="Q95" s="80"/>
      <c r="R95" s="80"/>
      <c r="S95" s="80"/>
    </row>
    <row r="96" spans="1:20" s="85" customFormat="1" x14ac:dyDescent="0.25">
      <c r="A96" s="94">
        <f t="shared" si="12"/>
        <v>0</v>
      </c>
      <c r="B96" s="34" t="str">
        <f t="shared" si="14"/>
        <v/>
      </c>
      <c r="C96" s="35" t="s">
        <v>49</v>
      </c>
      <c r="D96" s="35"/>
      <c r="E96" s="35"/>
      <c r="F96" s="35"/>
      <c r="G96" s="80"/>
      <c r="H96" s="95">
        <v>91</v>
      </c>
      <c r="I96" s="96" t="str">
        <f t="shared" si="8"/>
        <v/>
      </c>
      <c r="J96" s="95">
        <f t="shared" si="13"/>
        <v>0</v>
      </c>
      <c r="K96" s="95">
        <f t="shared" si="9"/>
        <v>0</v>
      </c>
      <c r="L96" s="95"/>
      <c r="M96" s="97">
        <f t="shared" si="10"/>
        <v>0</v>
      </c>
      <c r="N96" s="97">
        <f t="shared" si="11"/>
        <v>0</v>
      </c>
      <c r="O96" s="80"/>
      <c r="P96" s="80"/>
      <c r="Q96" s="80"/>
      <c r="R96" s="80"/>
      <c r="S96" s="109"/>
      <c r="T96" s="110"/>
    </row>
    <row r="97" spans="1:20" s="85" customFormat="1" x14ac:dyDescent="0.25">
      <c r="A97" s="98">
        <f t="shared" si="12"/>
        <v>0</v>
      </c>
      <c r="B97" s="40" t="str">
        <f t="shared" si="14"/>
        <v/>
      </c>
      <c r="C97" s="41" t="s">
        <v>49</v>
      </c>
      <c r="D97" s="41"/>
      <c r="E97" s="41"/>
      <c r="F97" s="41"/>
      <c r="G97" s="80"/>
      <c r="H97" s="99">
        <v>92</v>
      </c>
      <c r="I97" s="100" t="str">
        <f t="shared" si="8"/>
        <v/>
      </c>
      <c r="J97" s="99">
        <f t="shared" si="13"/>
        <v>0</v>
      </c>
      <c r="K97" s="99">
        <f t="shared" si="9"/>
        <v>0</v>
      </c>
      <c r="L97" s="99"/>
      <c r="M97" s="101">
        <f t="shared" si="10"/>
        <v>0</v>
      </c>
      <c r="N97" s="101">
        <f t="shared" si="11"/>
        <v>0</v>
      </c>
      <c r="O97" s="80"/>
      <c r="P97" s="80"/>
      <c r="Q97" s="80"/>
      <c r="R97" s="80"/>
      <c r="S97" s="80"/>
    </row>
    <row r="98" spans="1:20" s="85" customFormat="1" x14ac:dyDescent="0.25">
      <c r="A98" s="94">
        <f t="shared" si="12"/>
        <v>0</v>
      </c>
      <c r="B98" s="34" t="str">
        <f t="shared" si="14"/>
        <v/>
      </c>
      <c r="C98" s="35" t="s">
        <v>49</v>
      </c>
      <c r="D98" s="35"/>
      <c r="E98" s="35"/>
      <c r="F98" s="35"/>
      <c r="G98" s="80"/>
      <c r="H98" s="95">
        <v>93</v>
      </c>
      <c r="I98" s="96" t="str">
        <f t="shared" si="8"/>
        <v/>
      </c>
      <c r="J98" s="95">
        <f t="shared" si="13"/>
        <v>0</v>
      </c>
      <c r="K98" s="95">
        <f t="shared" si="9"/>
        <v>0</v>
      </c>
      <c r="L98" s="95"/>
      <c r="M98" s="97">
        <f t="shared" si="10"/>
        <v>0</v>
      </c>
      <c r="N98" s="97">
        <f t="shared" si="11"/>
        <v>0</v>
      </c>
      <c r="O98" s="80"/>
      <c r="P98" s="80"/>
      <c r="Q98" s="80"/>
      <c r="R98" s="80"/>
      <c r="S98" s="109"/>
      <c r="T98" s="110"/>
    </row>
    <row r="99" spans="1:20" s="85" customFormat="1" x14ac:dyDescent="0.25">
      <c r="A99" s="98">
        <f t="shared" si="12"/>
        <v>0</v>
      </c>
      <c r="B99" s="40" t="str">
        <f t="shared" si="14"/>
        <v/>
      </c>
      <c r="C99" s="41" t="s">
        <v>49</v>
      </c>
      <c r="D99" s="41"/>
      <c r="E99" s="41"/>
      <c r="F99" s="41"/>
      <c r="G99" s="80"/>
      <c r="H99" s="99">
        <v>94</v>
      </c>
      <c r="I99" s="100" t="str">
        <f t="shared" si="8"/>
        <v/>
      </c>
      <c r="J99" s="99">
        <f t="shared" si="13"/>
        <v>0</v>
      </c>
      <c r="K99" s="99">
        <f t="shared" si="9"/>
        <v>0</v>
      </c>
      <c r="L99" s="99"/>
      <c r="M99" s="101">
        <f t="shared" si="10"/>
        <v>0</v>
      </c>
      <c r="N99" s="101">
        <f t="shared" si="11"/>
        <v>0</v>
      </c>
      <c r="O99" s="80"/>
      <c r="P99" s="80"/>
      <c r="Q99" s="80"/>
      <c r="R99" s="80"/>
      <c r="S99" s="80"/>
    </row>
    <row r="100" spans="1:20" s="85" customFormat="1" x14ac:dyDescent="0.25">
      <c r="A100" s="94">
        <f t="shared" si="12"/>
        <v>0</v>
      </c>
      <c r="B100" s="34" t="str">
        <f t="shared" si="14"/>
        <v/>
      </c>
      <c r="C100" s="35" t="s">
        <v>49</v>
      </c>
      <c r="D100" s="35"/>
      <c r="E100" s="35"/>
      <c r="F100" s="35"/>
      <c r="G100" s="80"/>
      <c r="H100" s="95">
        <v>95</v>
      </c>
      <c r="I100" s="96" t="str">
        <f t="shared" si="8"/>
        <v/>
      </c>
      <c r="J100" s="95">
        <f t="shared" si="13"/>
        <v>0</v>
      </c>
      <c r="K100" s="95">
        <f t="shared" si="9"/>
        <v>0</v>
      </c>
      <c r="L100" s="95"/>
      <c r="M100" s="97">
        <f t="shared" si="10"/>
        <v>0</v>
      </c>
      <c r="N100" s="97">
        <f t="shared" si="11"/>
        <v>0</v>
      </c>
      <c r="O100" s="80"/>
      <c r="P100" s="80"/>
      <c r="Q100" s="80"/>
      <c r="R100" s="80"/>
      <c r="S100" s="109"/>
      <c r="T100" s="110"/>
    </row>
    <row r="101" spans="1:20" s="85" customFormat="1" x14ac:dyDescent="0.25">
      <c r="A101" s="98">
        <f t="shared" si="12"/>
        <v>0</v>
      </c>
      <c r="B101" s="40" t="str">
        <f t="shared" si="14"/>
        <v/>
      </c>
      <c r="C101" s="41" t="s">
        <v>49</v>
      </c>
      <c r="D101" s="41"/>
      <c r="E101" s="41"/>
      <c r="F101" s="41"/>
      <c r="G101" s="80"/>
      <c r="H101" s="99">
        <v>96</v>
      </c>
      <c r="I101" s="100" t="str">
        <f t="shared" si="8"/>
        <v/>
      </c>
      <c r="J101" s="99">
        <f t="shared" si="13"/>
        <v>0</v>
      </c>
      <c r="K101" s="99">
        <f t="shared" si="9"/>
        <v>0</v>
      </c>
      <c r="L101" s="99"/>
      <c r="M101" s="101">
        <f t="shared" si="10"/>
        <v>0</v>
      </c>
      <c r="N101" s="101">
        <f t="shared" si="11"/>
        <v>0</v>
      </c>
      <c r="O101" s="80"/>
      <c r="P101" s="80"/>
      <c r="Q101" s="80"/>
      <c r="R101" s="80"/>
      <c r="S101" s="80"/>
    </row>
    <row r="102" spans="1:20" s="85" customFormat="1" x14ac:dyDescent="0.25">
      <c r="A102" s="94">
        <f t="shared" si="12"/>
        <v>0</v>
      </c>
      <c r="B102" s="34" t="str">
        <f t="shared" si="14"/>
        <v/>
      </c>
      <c r="C102" s="35" t="s">
        <v>49</v>
      </c>
      <c r="D102" s="35"/>
      <c r="E102" s="35"/>
      <c r="F102" s="35"/>
      <c r="G102" s="80"/>
      <c r="H102" s="95">
        <v>97</v>
      </c>
      <c r="I102" s="96" t="str">
        <f t="shared" si="8"/>
        <v/>
      </c>
      <c r="J102" s="95">
        <f t="shared" si="13"/>
        <v>0</v>
      </c>
      <c r="K102" s="95">
        <f t="shared" si="9"/>
        <v>0</v>
      </c>
      <c r="L102" s="95"/>
      <c r="M102" s="97">
        <f t="shared" si="10"/>
        <v>0</v>
      </c>
      <c r="N102" s="97">
        <f t="shared" si="11"/>
        <v>0</v>
      </c>
      <c r="O102" s="80"/>
      <c r="P102" s="80"/>
      <c r="Q102" s="80"/>
      <c r="R102" s="80"/>
      <c r="S102" s="109"/>
      <c r="T102" s="110"/>
    </row>
    <row r="103" spans="1:20" s="85" customFormat="1" x14ac:dyDescent="0.25">
      <c r="A103" s="98">
        <f t="shared" si="12"/>
        <v>0</v>
      </c>
      <c r="B103" s="40" t="str">
        <f t="shared" si="14"/>
        <v/>
      </c>
      <c r="C103" s="41" t="s">
        <v>49</v>
      </c>
      <c r="D103" s="41"/>
      <c r="E103" s="41"/>
      <c r="F103" s="41"/>
      <c r="G103" s="80"/>
      <c r="H103" s="99">
        <v>98</v>
      </c>
      <c r="I103" s="100" t="str">
        <f t="shared" si="8"/>
        <v/>
      </c>
      <c r="J103" s="99">
        <f t="shared" si="13"/>
        <v>0</v>
      </c>
      <c r="K103" s="99">
        <f t="shared" si="9"/>
        <v>0</v>
      </c>
      <c r="L103" s="99"/>
      <c r="M103" s="101">
        <f t="shared" si="10"/>
        <v>0</v>
      </c>
      <c r="N103" s="101">
        <f t="shared" si="11"/>
        <v>0</v>
      </c>
      <c r="O103" s="80"/>
      <c r="P103" s="80"/>
      <c r="Q103" s="80"/>
      <c r="R103" s="80"/>
      <c r="S103" s="80"/>
    </row>
    <row r="104" spans="1:20" s="85" customFormat="1" x14ac:dyDescent="0.25">
      <c r="A104" s="94">
        <f t="shared" si="12"/>
        <v>0</v>
      </c>
      <c r="B104" s="34" t="str">
        <f t="shared" si="14"/>
        <v/>
      </c>
      <c r="C104" s="35" t="s">
        <v>49</v>
      </c>
      <c r="D104" s="35"/>
      <c r="E104" s="35"/>
      <c r="F104" s="35"/>
      <c r="G104" s="80"/>
      <c r="H104" s="95">
        <v>99</v>
      </c>
      <c r="I104" s="96" t="str">
        <f t="shared" si="8"/>
        <v/>
      </c>
      <c r="J104" s="95">
        <f t="shared" si="13"/>
        <v>0</v>
      </c>
      <c r="K104" s="95">
        <f t="shared" si="9"/>
        <v>0</v>
      </c>
      <c r="L104" s="95"/>
      <c r="M104" s="97">
        <f t="shared" si="10"/>
        <v>0</v>
      </c>
      <c r="N104" s="97">
        <f t="shared" si="11"/>
        <v>0</v>
      </c>
      <c r="O104" s="80"/>
      <c r="P104" s="80"/>
      <c r="Q104" s="80"/>
      <c r="R104" s="80"/>
      <c r="S104" s="109"/>
      <c r="T104" s="110"/>
    </row>
    <row r="105" spans="1:20" s="85" customFormat="1" x14ac:dyDescent="0.25">
      <c r="A105" s="98">
        <f t="shared" si="12"/>
        <v>0</v>
      </c>
      <c r="B105" s="40" t="str">
        <f t="shared" si="14"/>
        <v/>
      </c>
      <c r="C105" s="41" t="s">
        <v>49</v>
      </c>
      <c r="D105" s="41"/>
      <c r="E105" s="41"/>
      <c r="F105" s="41"/>
      <c r="G105" s="80"/>
      <c r="H105" s="99">
        <v>100</v>
      </c>
      <c r="I105" s="100" t="str">
        <f t="shared" si="8"/>
        <v/>
      </c>
      <c r="J105" s="99">
        <f t="shared" si="13"/>
        <v>0</v>
      </c>
      <c r="K105" s="99">
        <f t="shared" si="9"/>
        <v>0</v>
      </c>
      <c r="L105" s="99"/>
      <c r="M105" s="101">
        <f t="shared" si="10"/>
        <v>0</v>
      </c>
      <c r="N105" s="101">
        <f t="shared" si="11"/>
        <v>0</v>
      </c>
      <c r="O105" s="80"/>
      <c r="P105" s="80"/>
      <c r="Q105" s="80"/>
      <c r="R105" s="80"/>
      <c r="S105" s="80"/>
    </row>
    <row r="106" spans="1:20" s="85" customFormat="1" x14ac:dyDescent="0.25">
      <c r="A106" s="94">
        <f t="shared" si="12"/>
        <v>0</v>
      </c>
      <c r="B106" s="34" t="str">
        <f t="shared" si="14"/>
        <v/>
      </c>
      <c r="C106" s="35" t="s">
        <v>49</v>
      </c>
      <c r="D106" s="35"/>
      <c r="E106" s="35"/>
      <c r="F106" s="35"/>
      <c r="G106" s="80"/>
      <c r="H106" s="95">
        <v>101</v>
      </c>
      <c r="I106" s="96" t="str">
        <f t="shared" si="8"/>
        <v/>
      </c>
      <c r="J106" s="95">
        <f t="shared" si="13"/>
        <v>0</v>
      </c>
      <c r="K106" s="95">
        <f t="shared" si="9"/>
        <v>0</v>
      </c>
      <c r="L106" s="95"/>
      <c r="M106" s="97">
        <f t="shared" si="10"/>
        <v>0</v>
      </c>
      <c r="N106" s="97">
        <f t="shared" si="11"/>
        <v>0</v>
      </c>
      <c r="O106" s="80"/>
      <c r="P106" s="80"/>
      <c r="Q106" s="80"/>
      <c r="R106" s="80"/>
      <c r="S106" s="109"/>
      <c r="T106" s="110"/>
    </row>
    <row r="107" spans="1:20" s="85" customFormat="1" x14ac:dyDescent="0.25">
      <c r="A107" s="98">
        <f t="shared" si="12"/>
        <v>0</v>
      </c>
      <c r="B107" s="40" t="str">
        <f t="shared" si="14"/>
        <v/>
      </c>
      <c r="C107" s="41" t="s">
        <v>49</v>
      </c>
      <c r="D107" s="41"/>
      <c r="E107" s="41"/>
      <c r="F107" s="41"/>
      <c r="G107" s="80"/>
      <c r="H107" s="99">
        <v>102</v>
      </c>
      <c r="I107" s="100" t="str">
        <f t="shared" si="8"/>
        <v/>
      </c>
      <c r="J107" s="99">
        <f t="shared" si="13"/>
        <v>0</v>
      </c>
      <c r="K107" s="99">
        <f t="shared" si="9"/>
        <v>0</v>
      </c>
      <c r="L107" s="99"/>
      <c r="M107" s="101">
        <f t="shared" si="10"/>
        <v>0</v>
      </c>
      <c r="N107" s="101">
        <f t="shared" si="11"/>
        <v>0</v>
      </c>
      <c r="O107" s="80"/>
      <c r="P107" s="80"/>
      <c r="Q107" s="80"/>
      <c r="R107" s="80"/>
      <c r="S107" s="80"/>
    </row>
    <row r="108" spans="1:20" s="85" customFormat="1" x14ac:dyDescent="0.25">
      <c r="A108" s="94">
        <f t="shared" si="12"/>
        <v>0</v>
      </c>
      <c r="B108" s="34" t="str">
        <f t="shared" si="14"/>
        <v/>
      </c>
      <c r="C108" s="35" t="s">
        <v>49</v>
      </c>
      <c r="D108" s="35"/>
      <c r="E108" s="35"/>
      <c r="F108" s="35"/>
      <c r="G108" s="80"/>
      <c r="H108" s="95">
        <v>103</v>
      </c>
      <c r="I108" s="96" t="str">
        <f t="shared" si="8"/>
        <v/>
      </c>
      <c r="J108" s="95">
        <f t="shared" si="13"/>
        <v>0</v>
      </c>
      <c r="K108" s="95">
        <f t="shared" si="9"/>
        <v>0</v>
      </c>
      <c r="L108" s="95"/>
      <c r="M108" s="97">
        <f t="shared" si="10"/>
        <v>0</v>
      </c>
      <c r="N108" s="97">
        <f t="shared" si="11"/>
        <v>0</v>
      </c>
      <c r="O108" s="80"/>
      <c r="P108" s="80"/>
      <c r="Q108" s="80"/>
      <c r="R108" s="80"/>
      <c r="S108" s="109"/>
      <c r="T108" s="110"/>
    </row>
    <row r="109" spans="1:20" s="85" customFormat="1" x14ac:dyDescent="0.25">
      <c r="A109" s="98">
        <f t="shared" si="12"/>
        <v>0</v>
      </c>
      <c r="B109" s="40" t="str">
        <f t="shared" si="14"/>
        <v/>
      </c>
      <c r="C109" s="41" t="s">
        <v>49</v>
      </c>
      <c r="D109" s="41"/>
      <c r="E109" s="41"/>
      <c r="F109" s="41"/>
      <c r="G109" s="80"/>
      <c r="H109" s="99">
        <v>104</v>
      </c>
      <c r="I109" s="100" t="str">
        <f t="shared" si="8"/>
        <v/>
      </c>
      <c r="J109" s="99">
        <f t="shared" si="13"/>
        <v>0</v>
      </c>
      <c r="K109" s="99">
        <f t="shared" si="9"/>
        <v>0</v>
      </c>
      <c r="L109" s="99"/>
      <c r="M109" s="101">
        <f t="shared" si="10"/>
        <v>0</v>
      </c>
      <c r="N109" s="101">
        <f t="shared" si="11"/>
        <v>0</v>
      </c>
      <c r="O109" s="80"/>
      <c r="P109" s="80"/>
      <c r="Q109" s="80"/>
      <c r="R109" s="80"/>
      <c r="S109" s="80"/>
    </row>
    <row r="110" spans="1:20" s="85" customFormat="1" x14ac:dyDescent="0.25">
      <c r="A110" s="94">
        <f t="shared" si="12"/>
        <v>0</v>
      </c>
      <c r="B110" s="34" t="str">
        <f t="shared" si="14"/>
        <v/>
      </c>
      <c r="C110" s="35" t="s">
        <v>49</v>
      </c>
      <c r="D110" s="35"/>
      <c r="E110" s="35"/>
      <c r="F110" s="35"/>
      <c r="G110" s="80"/>
      <c r="H110" s="95">
        <v>105</v>
      </c>
      <c r="I110" s="96" t="str">
        <f t="shared" si="8"/>
        <v/>
      </c>
      <c r="J110" s="95">
        <f t="shared" si="13"/>
        <v>0</v>
      </c>
      <c r="K110" s="95">
        <f t="shared" si="9"/>
        <v>0</v>
      </c>
      <c r="L110" s="95"/>
      <c r="M110" s="97">
        <f t="shared" si="10"/>
        <v>0</v>
      </c>
      <c r="N110" s="97">
        <f t="shared" si="11"/>
        <v>0</v>
      </c>
      <c r="O110" s="80"/>
      <c r="P110" s="80"/>
      <c r="Q110" s="80"/>
      <c r="R110" s="80"/>
      <c r="S110" s="109"/>
      <c r="T110" s="110"/>
    </row>
    <row r="111" spans="1:20" s="85" customFormat="1" x14ac:dyDescent="0.25">
      <c r="A111" s="98">
        <f t="shared" si="12"/>
        <v>0</v>
      </c>
      <c r="B111" s="40" t="str">
        <f t="shared" si="14"/>
        <v/>
      </c>
      <c r="C111" s="41" t="s">
        <v>49</v>
      </c>
      <c r="D111" s="41"/>
      <c r="E111" s="41"/>
      <c r="F111" s="41"/>
      <c r="G111" s="80"/>
      <c r="H111" s="99">
        <v>106</v>
      </c>
      <c r="I111" s="100" t="str">
        <f t="shared" si="8"/>
        <v/>
      </c>
      <c r="J111" s="99">
        <f t="shared" si="13"/>
        <v>0</v>
      </c>
      <c r="K111" s="99">
        <f t="shared" si="9"/>
        <v>0</v>
      </c>
      <c r="L111" s="99"/>
      <c r="M111" s="101">
        <f t="shared" si="10"/>
        <v>0</v>
      </c>
      <c r="N111" s="101">
        <f t="shared" si="11"/>
        <v>0</v>
      </c>
      <c r="O111" s="80"/>
      <c r="P111" s="80"/>
      <c r="Q111" s="80"/>
      <c r="R111" s="80"/>
      <c r="S111" s="80"/>
    </row>
    <row r="112" spans="1:20" s="85" customFormat="1" x14ac:dyDescent="0.25">
      <c r="A112" s="94">
        <f t="shared" si="12"/>
        <v>0</v>
      </c>
      <c r="B112" s="34" t="str">
        <f t="shared" si="14"/>
        <v/>
      </c>
      <c r="C112" s="35" t="s">
        <v>49</v>
      </c>
      <c r="D112" s="35"/>
      <c r="E112" s="35"/>
      <c r="F112" s="35"/>
      <c r="G112" s="80"/>
      <c r="H112" s="95">
        <v>107</v>
      </c>
      <c r="I112" s="96" t="str">
        <f t="shared" si="8"/>
        <v/>
      </c>
      <c r="J112" s="95">
        <f t="shared" si="13"/>
        <v>0</v>
      </c>
      <c r="K112" s="95">
        <f t="shared" si="9"/>
        <v>0</v>
      </c>
      <c r="L112" s="95"/>
      <c r="M112" s="97">
        <f t="shared" si="10"/>
        <v>0</v>
      </c>
      <c r="N112" s="97">
        <f t="shared" si="11"/>
        <v>0</v>
      </c>
      <c r="O112" s="80"/>
      <c r="P112" s="80"/>
      <c r="Q112" s="80"/>
      <c r="R112" s="80"/>
      <c r="S112" s="109"/>
      <c r="T112" s="110"/>
    </row>
    <row r="113" spans="1:20" s="85" customFormat="1" x14ac:dyDescent="0.25">
      <c r="A113" s="98">
        <f t="shared" si="12"/>
        <v>0</v>
      </c>
      <c r="B113" s="40" t="str">
        <f t="shared" si="14"/>
        <v/>
      </c>
      <c r="C113" s="41" t="s">
        <v>49</v>
      </c>
      <c r="D113" s="41"/>
      <c r="E113" s="41"/>
      <c r="F113" s="41"/>
      <c r="G113" s="80"/>
      <c r="H113" s="99">
        <v>108</v>
      </c>
      <c r="I113" s="100" t="str">
        <f t="shared" si="8"/>
        <v/>
      </c>
      <c r="J113" s="99">
        <f t="shared" si="13"/>
        <v>0</v>
      </c>
      <c r="K113" s="99">
        <f t="shared" si="9"/>
        <v>0</v>
      </c>
      <c r="L113" s="99"/>
      <c r="M113" s="101">
        <f t="shared" si="10"/>
        <v>0</v>
      </c>
      <c r="N113" s="101">
        <f t="shared" si="11"/>
        <v>0</v>
      </c>
      <c r="O113" s="80"/>
      <c r="P113" s="80"/>
      <c r="Q113" s="80"/>
      <c r="R113" s="80"/>
      <c r="S113" s="80"/>
    </row>
    <row r="114" spans="1:20" s="85" customFormat="1" x14ac:dyDescent="0.25">
      <c r="A114" s="94">
        <f t="shared" si="12"/>
        <v>0</v>
      </c>
      <c r="B114" s="34" t="str">
        <f t="shared" si="14"/>
        <v/>
      </c>
      <c r="C114" s="35" t="s">
        <v>49</v>
      </c>
      <c r="D114" s="35"/>
      <c r="E114" s="35"/>
      <c r="F114" s="35"/>
      <c r="G114" s="80"/>
      <c r="H114" s="95">
        <v>109</v>
      </c>
      <c r="I114" s="96" t="str">
        <f t="shared" si="8"/>
        <v/>
      </c>
      <c r="J114" s="95">
        <f t="shared" si="13"/>
        <v>0</v>
      </c>
      <c r="K114" s="95">
        <f t="shared" si="9"/>
        <v>0</v>
      </c>
      <c r="L114" s="95"/>
      <c r="M114" s="97">
        <f t="shared" si="10"/>
        <v>0</v>
      </c>
      <c r="N114" s="97">
        <f t="shared" si="11"/>
        <v>0</v>
      </c>
      <c r="O114" s="80"/>
      <c r="P114" s="80"/>
      <c r="Q114" s="80"/>
      <c r="R114" s="80"/>
      <c r="S114" s="109"/>
      <c r="T114" s="110"/>
    </row>
    <row r="115" spans="1:20" s="85" customFormat="1" x14ac:dyDescent="0.25">
      <c r="A115" s="98">
        <f t="shared" si="12"/>
        <v>0</v>
      </c>
      <c r="B115" s="40" t="str">
        <f t="shared" si="14"/>
        <v/>
      </c>
      <c r="C115" s="41" t="s">
        <v>49</v>
      </c>
      <c r="D115" s="41"/>
      <c r="E115" s="41"/>
      <c r="F115" s="41"/>
      <c r="G115" s="80"/>
      <c r="H115" s="99">
        <v>110</v>
      </c>
      <c r="I115" s="100" t="str">
        <f t="shared" si="8"/>
        <v/>
      </c>
      <c r="J115" s="99">
        <f t="shared" si="13"/>
        <v>0</v>
      </c>
      <c r="K115" s="99">
        <f t="shared" si="9"/>
        <v>0</v>
      </c>
      <c r="L115" s="99"/>
      <c r="M115" s="101">
        <f t="shared" si="10"/>
        <v>0</v>
      </c>
      <c r="N115" s="101">
        <f t="shared" si="11"/>
        <v>0</v>
      </c>
      <c r="O115" s="80"/>
      <c r="P115" s="80"/>
      <c r="Q115" s="80"/>
      <c r="R115" s="80"/>
      <c r="S115" s="80"/>
    </row>
    <row r="116" spans="1:20" s="85" customFormat="1" x14ac:dyDescent="0.25">
      <c r="A116" s="94">
        <f t="shared" si="12"/>
        <v>0</v>
      </c>
      <c r="B116" s="34" t="str">
        <f t="shared" si="14"/>
        <v/>
      </c>
      <c r="C116" s="35" t="s">
        <v>49</v>
      </c>
      <c r="D116" s="35"/>
      <c r="E116" s="35"/>
      <c r="F116" s="35"/>
      <c r="G116" s="80"/>
      <c r="H116" s="95">
        <v>111</v>
      </c>
      <c r="I116" s="96" t="str">
        <f t="shared" si="8"/>
        <v/>
      </c>
      <c r="J116" s="95">
        <f t="shared" si="13"/>
        <v>0</v>
      </c>
      <c r="K116" s="95">
        <f t="shared" si="9"/>
        <v>0</v>
      </c>
      <c r="L116" s="95"/>
      <c r="M116" s="97">
        <f t="shared" si="10"/>
        <v>0</v>
      </c>
      <c r="N116" s="97">
        <f t="shared" si="11"/>
        <v>0</v>
      </c>
      <c r="O116" s="80"/>
      <c r="P116" s="80"/>
      <c r="Q116" s="80"/>
      <c r="R116" s="80"/>
      <c r="S116" s="109"/>
      <c r="T116" s="110"/>
    </row>
    <row r="117" spans="1:20" s="85" customFormat="1" x14ac:dyDescent="0.25">
      <c r="A117" s="98">
        <f t="shared" si="12"/>
        <v>0</v>
      </c>
      <c r="B117" s="40" t="str">
        <f t="shared" si="14"/>
        <v/>
      </c>
      <c r="C117" s="41" t="s">
        <v>49</v>
      </c>
      <c r="D117" s="41"/>
      <c r="E117" s="41"/>
      <c r="F117" s="41"/>
      <c r="G117" s="80"/>
      <c r="H117" s="99">
        <v>112</v>
      </c>
      <c r="I117" s="100" t="str">
        <f t="shared" si="8"/>
        <v/>
      </c>
      <c r="J117" s="99">
        <f t="shared" si="13"/>
        <v>0</v>
      </c>
      <c r="K117" s="99">
        <f t="shared" si="9"/>
        <v>0</v>
      </c>
      <c r="L117" s="99"/>
      <c r="M117" s="101">
        <f t="shared" si="10"/>
        <v>0</v>
      </c>
      <c r="N117" s="101">
        <f t="shared" si="11"/>
        <v>0</v>
      </c>
      <c r="O117" s="80"/>
      <c r="P117" s="80"/>
      <c r="Q117" s="80"/>
      <c r="R117" s="80"/>
      <c r="S117" s="80"/>
    </row>
    <row r="118" spans="1:20" s="85" customFormat="1" x14ac:dyDescent="0.25">
      <c r="A118" s="94">
        <f t="shared" si="12"/>
        <v>0</v>
      </c>
      <c r="B118" s="34" t="str">
        <f t="shared" si="14"/>
        <v/>
      </c>
      <c r="C118" s="35" t="s">
        <v>49</v>
      </c>
      <c r="D118" s="35"/>
      <c r="E118" s="35"/>
      <c r="F118" s="35"/>
      <c r="G118" s="80"/>
      <c r="H118" s="95">
        <v>113</v>
      </c>
      <c r="I118" s="96" t="str">
        <f t="shared" si="8"/>
        <v/>
      </c>
      <c r="J118" s="95">
        <f t="shared" si="13"/>
        <v>0</v>
      </c>
      <c r="K118" s="95">
        <f t="shared" si="9"/>
        <v>0</v>
      </c>
      <c r="L118" s="95"/>
      <c r="M118" s="97">
        <f t="shared" si="10"/>
        <v>0</v>
      </c>
      <c r="N118" s="97">
        <f t="shared" si="11"/>
        <v>0</v>
      </c>
      <c r="O118" s="80"/>
      <c r="P118" s="80"/>
      <c r="Q118" s="80"/>
      <c r="R118" s="80"/>
      <c r="S118" s="109"/>
      <c r="T118" s="110"/>
    </row>
    <row r="119" spans="1:20" s="85" customFormat="1" x14ac:dyDescent="0.25">
      <c r="A119" s="98">
        <f t="shared" si="12"/>
        <v>0</v>
      </c>
      <c r="B119" s="40" t="str">
        <f t="shared" si="14"/>
        <v/>
      </c>
      <c r="C119" s="41" t="s">
        <v>49</v>
      </c>
      <c r="D119" s="41"/>
      <c r="E119" s="41"/>
      <c r="F119" s="41"/>
      <c r="G119" s="80"/>
      <c r="H119" s="99">
        <v>114</v>
      </c>
      <c r="I119" s="100" t="str">
        <f t="shared" si="8"/>
        <v/>
      </c>
      <c r="J119" s="99">
        <f t="shared" si="13"/>
        <v>0</v>
      </c>
      <c r="K119" s="99">
        <f t="shared" si="9"/>
        <v>0</v>
      </c>
      <c r="L119" s="99"/>
      <c r="M119" s="101">
        <f t="shared" si="10"/>
        <v>0</v>
      </c>
      <c r="N119" s="101">
        <f t="shared" si="11"/>
        <v>0</v>
      </c>
      <c r="O119" s="80"/>
      <c r="P119" s="80"/>
      <c r="Q119" s="80"/>
      <c r="R119" s="80"/>
      <c r="S119" s="80"/>
    </row>
    <row r="120" spans="1:20" s="85" customFormat="1" x14ac:dyDescent="0.25">
      <c r="A120" s="94">
        <f t="shared" si="12"/>
        <v>0</v>
      </c>
      <c r="B120" s="34" t="str">
        <f t="shared" si="14"/>
        <v/>
      </c>
      <c r="C120" s="35" t="s">
        <v>49</v>
      </c>
      <c r="D120" s="35"/>
      <c r="E120" s="35"/>
      <c r="F120" s="35"/>
      <c r="G120" s="80"/>
      <c r="H120" s="95">
        <v>115</v>
      </c>
      <c r="I120" s="96" t="str">
        <f t="shared" si="8"/>
        <v/>
      </c>
      <c r="J120" s="95">
        <f t="shared" si="13"/>
        <v>0</v>
      </c>
      <c r="K120" s="95">
        <f t="shared" si="9"/>
        <v>0</v>
      </c>
      <c r="L120" s="95"/>
      <c r="M120" s="97">
        <f t="shared" si="10"/>
        <v>0</v>
      </c>
      <c r="N120" s="97">
        <f t="shared" si="11"/>
        <v>0</v>
      </c>
      <c r="O120" s="80"/>
      <c r="P120" s="80"/>
      <c r="Q120" s="80"/>
      <c r="R120" s="80"/>
      <c r="S120" s="109"/>
      <c r="T120" s="110"/>
    </row>
    <row r="121" spans="1:20" s="85" customFormat="1" x14ac:dyDescent="0.25">
      <c r="A121" s="98">
        <f t="shared" si="12"/>
        <v>0</v>
      </c>
      <c r="B121" s="40" t="str">
        <f t="shared" si="14"/>
        <v/>
      </c>
      <c r="C121" s="41" t="s">
        <v>49</v>
      </c>
      <c r="D121" s="41"/>
      <c r="E121" s="41"/>
      <c r="F121" s="41"/>
      <c r="G121" s="80"/>
      <c r="H121" s="99">
        <v>116</v>
      </c>
      <c r="I121" s="100" t="str">
        <f t="shared" si="8"/>
        <v/>
      </c>
      <c r="J121" s="99">
        <f t="shared" si="13"/>
        <v>0</v>
      </c>
      <c r="K121" s="99">
        <f t="shared" si="9"/>
        <v>0</v>
      </c>
      <c r="L121" s="99"/>
      <c r="M121" s="101">
        <f t="shared" si="10"/>
        <v>0</v>
      </c>
      <c r="N121" s="101">
        <f t="shared" si="11"/>
        <v>0</v>
      </c>
      <c r="O121" s="80"/>
      <c r="P121" s="80"/>
      <c r="Q121" s="80"/>
      <c r="R121" s="80"/>
      <c r="S121" s="80"/>
    </row>
    <row r="122" spans="1:20" s="85" customFormat="1" x14ac:dyDescent="0.25">
      <c r="A122" s="94">
        <f t="shared" si="12"/>
        <v>0</v>
      </c>
      <c r="B122" s="34" t="str">
        <f t="shared" si="14"/>
        <v/>
      </c>
      <c r="C122" s="35" t="s">
        <v>49</v>
      </c>
      <c r="D122" s="35"/>
      <c r="E122" s="35"/>
      <c r="F122" s="35"/>
      <c r="G122" s="80"/>
      <c r="H122" s="95">
        <v>117</v>
      </c>
      <c r="I122" s="96" t="str">
        <f t="shared" si="8"/>
        <v/>
      </c>
      <c r="J122" s="95">
        <f t="shared" si="13"/>
        <v>0</v>
      </c>
      <c r="K122" s="95">
        <f t="shared" si="9"/>
        <v>0</v>
      </c>
      <c r="L122" s="95"/>
      <c r="M122" s="97">
        <f t="shared" si="10"/>
        <v>0</v>
      </c>
      <c r="N122" s="97">
        <f t="shared" si="11"/>
        <v>0</v>
      </c>
      <c r="O122" s="80"/>
      <c r="P122" s="80"/>
      <c r="Q122" s="80"/>
      <c r="R122" s="80"/>
      <c r="S122" s="109"/>
      <c r="T122" s="110"/>
    </row>
    <row r="123" spans="1:20" s="85" customFormat="1" x14ac:dyDescent="0.25">
      <c r="A123" s="98">
        <f t="shared" si="12"/>
        <v>0</v>
      </c>
      <c r="B123" s="40" t="str">
        <f t="shared" si="14"/>
        <v/>
      </c>
      <c r="C123" s="41" t="s">
        <v>49</v>
      </c>
      <c r="D123" s="41"/>
      <c r="E123" s="41"/>
      <c r="F123" s="41"/>
      <c r="G123" s="80"/>
      <c r="H123" s="99">
        <v>118</v>
      </c>
      <c r="I123" s="100" t="str">
        <f t="shared" si="8"/>
        <v/>
      </c>
      <c r="J123" s="99">
        <f t="shared" si="13"/>
        <v>0</v>
      </c>
      <c r="K123" s="99">
        <f t="shared" si="9"/>
        <v>0</v>
      </c>
      <c r="L123" s="99"/>
      <c r="M123" s="101">
        <f t="shared" si="10"/>
        <v>0</v>
      </c>
      <c r="N123" s="101">
        <f t="shared" si="11"/>
        <v>0</v>
      </c>
      <c r="O123" s="80"/>
      <c r="P123" s="80"/>
      <c r="Q123" s="80"/>
      <c r="R123" s="80"/>
      <c r="S123" s="80"/>
    </row>
    <row r="124" spans="1:20" s="85" customFormat="1" x14ac:dyDescent="0.25">
      <c r="A124" s="94">
        <f t="shared" si="12"/>
        <v>0</v>
      </c>
      <c r="B124" s="34" t="str">
        <f t="shared" si="14"/>
        <v/>
      </c>
      <c r="C124" s="35" t="s">
        <v>49</v>
      </c>
      <c r="D124" s="35"/>
      <c r="E124" s="35"/>
      <c r="F124" s="35"/>
      <c r="G124" s="80"/>
      <c r="H124" s="95">
        <v>119</v>
      </c>
      <c r="I124" s="96" t="str">
        <f t="shared" si="8"/>
        <v/>
      </c>
      <c r="J124" s="95">
        <f t="shared" si="13"/>
        <v>0</v>
      </c>
      <c r="K124" s="95">
        <f t="shared" si="9"/>
        <v>0</v>
      </c>
      <c r="L124" s="95"/>
      <c r="M124" s="97">
        <f t="shared" si="10"/>
        <v>0</v>
      </c>
      <c r="N124" s="97">
        <f t="shared" si="11"/>
        <v>0</v>
      </c>
      <c r="O124" s="80"/>
      <c r="P124" s="80"/>
      <c r="Q124" s="80"/>
      <c r="R124" s="80"/>
      <c r="S124" s="109"/>
      <c r="T124" s="110"/>
    </row>
    <row r="125" spans="1:20" s="85" customFormat="1" x14ac:dyDescent="0.25">
      <c r="A125" s="98">
        <f t="shared" si="12"/>
        <v>0</v>
      </c>
      <c r="B125" s="40" t="str">
        <f t="shared" si="14"/>
        <v/>
      </c>
      <c r="C125" s="41" t="s">
        <v>49</v>
      </c>
      <c r="D125" s="41"/>
      <c r="E125" s="41"/>
      <c r="F125" s="41"/>
      <c r="G125" s="80"/>
      <c r="H125" s="99">
        <v>120</v>
      </c>
      <c r="I125" s="100" t="str">
        <f t="shared" si="8"/>
        <v/>
      </c>
      <c r="J125" s="99">
        <f t="shared" si="13"/>
        <v>0</v>
      </c>
      <c r="K125" s="99">
        <f t="shared" si="9"/>
        <v>0</v>
      </c>
      <c r="L125" s="99"/>
      <c r="M125" s="101">
        <f t="shared" si="10"/>
        <v>0</v>
      </c>
      <c r="N125" s="101">
        <f t="shared" si="11"/>
        <v>0</v>
      </c>
      <c r="O125" s="80"/>
      <c r="P125" s="80"/>
      <c r="Q125" s="80"/>
      <c r="R125" s="80"/>
      <c r="S125" s="80"/>
    </row>
    <row r="126" spans="1:20" s="85" customFormat="1" x14ac:dyDescent="0.25">
      <c r="A126" s="94">
        <f t="shared" si="12"/>
        <v>0</v>
      </c>
      <c r="B126" s="34" t="str">
        <f t="shared" si="14"/>
        <v/>
      </c>
      <c r="C126" s="35" t="s">
        <v>49</v>
      </c>
      <c r="D126" s="35"/>
      <c r="E126" s="35"/>
      <c r="F126" s="35"/>
      <c r="G126" s="80"/>
      <c r="H126" s="95">
        <v>121</v>
      </c>
      <c r="I126" s="96" t="str">
        <f t="shared" si="8"/>
        <v/>
      </c>
      <c r="J126" s="95">
        <f t="shared" si="13"/>
        <v>0</v>
      </c>
      <c r="K126" s="95">
        <f t="shared" si="9"/>
        <v>0</v>
      </c>
      <c r="L126" s="95"/>
      <c r="M126" s="97">
        <f t="shared" si="10"/>
        <v>0</v>
      </c>
      <c r="N126" s="97">
        <f t="shared" si="11"/>
        <v>0</v>
      </c>
      <c r="O126" s="80"/>
      <c r="P126" s="80"/>
      <c r="Q126" s="80"/>
      <c r="R126" s="80"/>
      <c r="S126" s="109"/>
      <c r="T126" s="110"/>
    </row>
    <row r="127" spans="1:20" s="85" customFormat="1" x14ac:dyDescent="0.25">
      <c r="A127" s="98">
        <f t="shared" si="12"/>
        <v>0</v>
      </c>
      <c r="B127" s="40" t="str">
        <f t="shared" si="14"/>
        <v/>
      </c>
      <c r="C127" s="41" t="s">
        <v>49</v>
      </c>
      <c r="D127" s="41"/>
      <c r="E127" s="41"/>
      <c r="F127" s="41"/>
      <c r="G127" s="80"/>
      <c r="H127" s="99">
        <v>122</v>
      </c>
      <c r="I127" s="100" t="str">
        <f t="shared" si="8"/>
        <v/>
      </c>
      <c r="J127" s="99">
        <f t="shared" si="13"/>
        <v>0</v>
      </c>
      <c r="K127" s="99">
        <f t="shared" si="9"/>
        <v>0</v>
      </c>
      <c r="L127" s="99"/>
      <c r="M127" s="101">
        <f t="shared" si="10"/>
        <v>0</v>
      </c>
      <c r="N127" s="101">
        <f t="shared" si="11"/>
        <v>0</v>
      </c>
      <c r="O127" s="80"/>
      <c r="P127" s="80"/>
      <c r="Q127" s="80"/>
      <c r="R127" s="80"/>
      <c r="S127" s="80"/>
    </row>
    <row r="128" spans="1:20" s="85" customFormat="1" x14ac:dyDescent="0.25">
      <c r="A128" s="94">
        <f t="shared" si="12"/>
        <v>0</v>
      </c>
      <c r="B128" s="34" t="str">
        <f t="shared" si="14"/>
        <v/>
      </c>
      <c r="C128" s="35" t="s">
        <v>49</v>
      </c>
      <c r="D128" s="35"/>
      <c r="E128" s="35"/>
      <c r="F128" s="35"/>
      <c r="G128" s="80"/>
      <c r="H128" s="95">
        <v>123</v>
      </c>
      <c r="I128" s="96" t="str">
        <f t="shared" si="8"/>
        <v/>
      </c>
      <c r="J128" s="95">
        <f t="shared" si="13"/>
        <v>0</v>
      </c>
      <c r="K128" s="95">
        <f t="shared" si="9"/>
        <v>0</v>
      </c>
      <c r="L128" s="95"/>
      <c r="M128" s="97">
        <f t="shared" si="10"/>
        <v>0</v>
      </c>
      <c r="N128" s="97">
        <f t="shared" si="11"/>
        <v>0</v>
      </c>
      <c r="O128" s="80"/>
      <c r="P128" s="80"/>
      <c r="Q128" s="80"/>
      <c r="R128" s="80"/>
      <c r="S128" s="109"/>
      <c r="T128" s="110"/>
    </row>
    <row r="129" spans="1:20" s="85" customFormat="1" x14ac:dyDescent="0.25">
      <c r="A129" s="98">
        <f t="shared" si="12"/>
        <v>0</v>
      </c>
      <c r="B129" s="40" t="str">
        <f t="shared" si="14"/>
        <v/>
      </c>
      <c r="C129" s="41" t="s">
        <v>49</v>
      </c>
      <c r="D129" s="41"/>
      <c r="E129" s="41"/>
      <c r="F129" s="41"/>
      <c r="G129" s="80"/>
      <c r="H129" s="99">
        <v>124</v>
      </c>
      <c r="I129" s="100" t="str">
        <f t="shared" si="8"/>
        <v/>
      </c>
      <c r="J129" s="99">
        <f t="shared" si="13"/>
        <v>0</v>
      </c>
      <c r="K129" s="99">
        <f t="shared" si="9"/>
        <v>0</v>
      </c>
      <c r="L129" s="99"/>
      <c r="M129" s="101">
        <f t="shared" si="10"/>
        <v>0</v>
      </c>
      <c r="N129" s="101">
        <f t="shared" si="11"/>
        <v>0</v>
      </c>
      <c r="O129" s="80"/>
      <c r="P129" s="80"/>
      <c r="Q129" s="80"/>
      <c r="R129" s="80"/>
      <c r="S129" s="80"/>
    </row>
    <row r="130" spans="1:20" s="85" customFormat="1" x14ac:dyDescent="0.25">
      <c r="A130" s="94">
        <f t="shared" si="12"/>
        <v>0</v>
      </c>
      <c r="B130" s="34" t="str">
        <f t="shared" si="14"/>
        <v/>
      </c>
      <c r="C130" s="35" t="s">
        <v>49</v>
      </c>
      <c r="D130" s="35"/>
      <c r="E130" s="35"/>
      <c r="F130" s="35"/>
      <c r="G130" s="80"/>
      <c r="H130" s="95">
        <v>125</v>
      </c>
      <c r="I130" s="96" t="str">
        <f t="shared" si="8"/>
        <v/>
      </c>
      <c r="J130" s="95">
        <f t="shared" si="13"/>
        <v>0</v>
      </c>
      <c r="K130" s="95">
        <f t="shared" si="9"/>
        <v>0</v>
      </c>
      <c r="L130" s="95"/>
      <c r="M130" s="97">
        <f t="shared" si="10"/>
        <v>0</v>
      </c>
      <c r="N130" s="97">
        <f t="shared" si="11"/>
        <v>0</v>
      </c>
      <c r="O130" s="80"/>
      <c r="P130" s="80"/>
      <c r="Q130" s="80"/>
      <c r="R130" s="80"/>
      <c r="S130" s="109"/>
      <c r="T130" s="110"/>
    </row>
    <row r="131" spans="1:20" s="85" customFormat="1" x14ac:dyDescent="0.25">
      <c r="A131" s="98">
        <f t="shared" si="12"/>
        <v>0</v>
      </c>
      <c r="B131" s="40" t="str">
        <f t="shared" si="14"/>
        <v/>
      </c>
      <c r="C131" s="41" t="s">
        <v>49</v>
      </c>
      <c r="D131" s="41"/>
      <c r="E131" s="41"/>
      <c r="F131" s="41"/>
      <c r="G131" s="80"/>
      <c r="H131" s="99">
        <v>126</v>
      </c>
      <c r="I131" s="100" t="str">
        <f t="shared" si="8"/>
        <v/>
      </c>
      <c r="J131" s="99">
        <f t="shared" si="13"/>
        <v>0</v>
      </c>
      <c r="K131" s="99">
        <f t="shared" si="9"/>
        <v>0</v>
      </c>
      <c r="L131" s="99"/>
      <c r="M131" s="101">
        <f t="shared" si="10"/>
        <v>0</v>
      </c>
      <c r="N131" s="101">
        <f t="shared" si="11"/>
        <v>0</v>
      </c>
      <c r="O131" s="80"/>
      <c r="P131" s="80"/>
      <c r="Q131" s="80"/>
      <c r="R131" s="80"/>
      <c r="S131" s="80"/>
    </row>
    <row r="132" spans="1:20" s="85" customFormat="1" x14ac:dyDescent="0.25">
      <c r="A132" s="94">
        <f t="shared" si="12"/>
        <v>0</v>
      </c>
      <c r="B132" s="34" t="str">
        <f t="shared" si="14"/>
        <v/>
      </c>
      <c r="C132" s="35" t="s">
        <v>49</v>
      </c>
      <c r="D132" s="35"/>
      <c r="E132" s="35"/>
      <c r="F132" s="35"/>
      <c r="G132" s="80"/>
      <c r="H132" s="95">
        <v>127</v>
      </c>
      <c r="I132" s="96" t="str">
        <f t="shared" si="8"/>
        <v/>
      </c>
      <c r="J132" s="95">
        <f t="shared" si="13"/>
        <v>0</v>
      </c>
      <c r="K132" s="95">
        <f t="shared" si="9"/>
        <v>0</v>
      </c>
      <c r="L132" s="95"/>
      <c r="M132" s="97">
        <f t="shared" si="10"/>
        <v>0</v>
      </c>
      <c r="N132" s="97">
        <f t="shared" si="11"/>
        <v>0</v>
      </c>
      <c r="O132" s="80"/>
      <c r="P132" s="80"/>
      <c r="Q132" s="80"/>
      <c r="R132" s="80"/>
      <c r="S132" s="109"/>
      <c r="T132" s="110"/>
    </row>
    <row r="133" spans="1:20" s="85" customFormat="1" x14ac:dyDescent="0.25">
      <c r="A133" s="98">
        <f t="shared" si="12"/>
        <v>0</v>
      </c>
      <c r="B133" s="40" t="str">
        <f t="shared" si="14"/>
        <v/>
      </c>
      <c r="C133" s="41" t="s">
        <v>49</v>
      </c>
      <c r="D133" s="41"/>
      <c r="E133" s="41"/>
      <c r="F133" s="41"/>
      <c r="G133" s="80"/>
      <c r="H133" s="99">
        <v>128</v>
      </c>
      <c r="I133" s="100" t="str">
        <f t="shared" si="8"/>
        <v/>
      </c>
      <c r="J133" s="99">
        <f t="shared" si="13"/>
        <v>0</v>
      </c>
      <c r="K133" s="99">
        <f t="shared" si="9"/>
        <v>0</v>
      </c>
      <c r="L133" s="99"/>
      <c r="M133" s="101">
        <f t="shared" si="10"/>
        <v>0</v>
      </c>
      <c r="N133" s="101">
        <f t="shared" si="11"/>
        <v>0</v>
      </c>
      <c r="O133" s="80"/>
      <c r="P133" s="80"/>
      <c r="Q133" s="80"/>
      <c r="R133" s="80"/>
      <c r="S133" s="80"/>
    </row>
    <row r="134" spans="1:20" s="85" customFormat="1" x14ac:dyDescent="0.25">
      <c r="A134" s="94">
        <f t="shared" si="12"/>
        <v>0</v>
      </c>
      <c r="B134" s="34" t="str">
        <f t="shared" si="14"/>
        <v/>
      </c>
      <c r="C134" s="35" t="s">
        <v>49</v>
      </c>
      <c r="D134" s="35"/>
      <c r="E134" s="35"/>
      <c r="F134" s="35"/>
      <c r="G134" s="80"/>
      <c r="H134" s="95">
        <v>129</v>
      </c>
      <c r="I134" s="96" t="str">
        <f t="shared" ref="I134:I197" si="15">IF(H134&lt;$H$2+1,($I$2-($I$2-1)*(LOG(H134)/LOG($H$2))),"")</f>
        <v/>
      </c>
      <c r="J134" s="95">
        <f t="shared" si="13"/>
        <v>-1</v>
      </c>
      <c r="K134" s="95">
        <f t="shared" ref="K134:K197" si="16">J134*$J$2</f>
        <v>-10</v>
      </c>
      <c r="L134" s="95"/>
      <c r="M134" s="97">
        <f t="shared" ref="M134:M197" si="17">IF(I134&lt;&gt;"",K134+I134+L134,0)</f>
        <v>0</v>
      </c>
      <c r="N134" s="97">
        <f t="shared" ref="N134:N197" si="18">IF(I134&lt;&gt;"",M134*L$2,0)</f>
        <v>0</v>
      </c>
      <c r="O134" s="80"/>
      <c r="P134" s="80"/>
      <c r="Q134" s="80"/>
      <c r="R134" s="80"/>
      <c r="S134" s="109"/>
      <c r="T134" s="110"/>
    </row>
    <row r="135" spans="1:20" s="85" customFormat="1" x14ac:dyDescent="0.25">
      <c r="A135" s="98">
        <f t="shared" ref="A135:A198" si="19">N135</f>
        <v>0</v>
      </c>
      <c r="B135" s="40" t="str">
        <f t="shared" si="14"/>
        <v/>
      </c>
      <c r="C135" s="41" t="s">
        <v>49</v>
      </c>
      <c r="D135" s="41"/>
      <c r="E135" s="41"/>
      <c r="F135" s="41"/>
      <c r="G135" s="80"/>
      <c r="H135" s="99">
        <v>130</v>
      </c>
      <c r="I135" s="100" t="str">
        <f t="shared" si="15"/>
        <v/>
      </c>
      <c r="J135" s="99">
        <f t="shared" ref="J135:J198" si="20">INT(LOG($H$2,2))-ROUNDUP(LOG(H135,2),0)+IF(OR($H$2=1,$H$2=2,$H$2=4,$H$2=8,$H$2=16,$H$2=32,$H$2=64,$H$2=128,$H$2=256),0,1)</f>
        <v>-1</v>
      </c>
      <c r="K135" s="99">
        <f t="shared" si="16"/>
        <v>-10</v>
      </c>
      <c r="L135" s="99"/>
      <c r="M135" s="101">
        <f t="shared" si="17"/>
        <v>0</v>
      </c>
      <c r="N135" s="101">
        <f t="shared" si="18"/>
        <v>0</v>
      </c>
      <c r="O135" s="80"/>
      <c r="P135" s="80"/>
      <c r="Q135" s="80"/>
      <c r="R135" s="80"/>
      <c r="S135" s="80"/>
    </row>
    <row r="136" spans="1:20" s="85" customFormat="1" x14ac:dyDescent="0.25">
      <c r="A136" s="94">
        <f t="shared" si="19"/>
        <v>0</v>
      </c>
      <c r="B136" s="34" t="str">
        <f t="shared" si="14"/>
        <v/>
      </c>
      <c r="C136" s="35" t="s">
        <v>49</v>
      </c>
      <c r="D136" s="35"/>
      <c r="E136" s="35"/>
      <c r="F136" s="35"/>
      <c r="G136" s="80"/>
      <c r="H136" s="95">
        <v>131</v>
      </c>
      <c r="I136" s="96" t="str">
        <f t="shared" si="15"/>
        <v/>
      </c>
      <c r="J136" s="95">
        <f t="shared" si="20"/>
        <v>-1</v>
      </c>
      <c r="K136" s="95">
        <f t="shared" si="16"/>
        <v>-10</v>
      </c>
      <c r="L136" s="95"/>
      <c r="M136" s="97">
        <f t="shared" si="17"/>
        <v>0</v>
      </c>
      <c r="N136" s="97">
        <f t="shared" si="18"/>
        <v>0</v>
      </c>
      <c r="O136" s="80"/>
      <c r="P136" s="80"/>
      <c r="Q136" s="80"/>
      <c r="R136" s="80"/>
      <c r="S136" s="109"/>
      <c r="T136" s="110"/>
    </row>
    <row r="137" spans="1:20" s="85" customFormat="1" x14ac:dyDescent="0.25">
      <c r="A137" s="98">
        <f t="shared" si="19"/>
        <v>0</v>
      </c>
      <c r="B137" s="40" t="str">
        <f t="shared" si="14"/>
        <v/>
      </c>
      <c r="C137" s="41" t="s">
        <v>49</v>
      </c>
      <c r="D137" s="41"/>
      <c r="E137" s="41"/>
      <c r="F137" s="41"/>
      <c r="G137" s="80"/>
      <c r="H137" s="99">
        <v>132</v>
      </c>
      <c r="I137" s="100" t="str">
        <f t="shared" si="15"/>
        <v/>
      </c>
      <c r="J137" s="99">
        <f t="shared" si="20"/>
        <v>-1</v>
      </c>
      <c r="K137" s="99">
        <f t="shared" si="16"/>
        <v>-10</v>
      </c>
      <c r="L137" s="99"/>
      <c r="M137" s="101">
        <f t="shared" si="17"/>
        <v>0</v>
      </c>
      <c r="N137" s="101">
        <f t="shared" si="18"/>
        <v>0</v>
      </c>
      <c r="O137" s="80"/>
      <c r="P137" s="80"/>
      <c r="Q137" s="80"/>
      <c r="R137" s="80"/>
      <c r="S137" s="80"/>
    </row>
    <row r="138" spans="1:20" s="85" customFormat="1" x14ac:dyDescent="0.25">
      <c r="A138" s="94">
        <f t="shared" si="19"/>
        <v>0</v>
      </c>
      <c r="B138" s="34" t="str">
        <f t="shared" si="14"/>
        <v/>
      </c>
      <c r="C138" s="35" t="s">
        <v>49</v>
      </c>
      <c r="D138" s="35"/>
      <c r="E138" s="35"/>
      <c r="F138" s="35"/>
      <c r="G138" s="80"/>
      <c r="H138" s="95">
        <v>133</v>
      </c>
      <c r="I138" s="96" t="str">
        <f t="shared" si="15"/>
        <v/>
      </c>
      <c r="J138" s="95">
        <f t="shared" si="20"/>
        <v>-1</v>
      </c>
      <c r="K138" s="95">
        <f t="shared" si="16"/>
        <v>-10</v>
      </c>
      <c r="L138" s="95"/>
      <c r="M138" s="97">
        <f t="shared" si="17"/>
        <v>0</v>
      </c>
      <c r="N138" s="97">
        <f t="shared" si="18"/>
        <v>0</v>
      </c>
      <c r="O138" s="80"/>
      <c r="P138" s="80"/>
      <c r="Q138" s="80"/>
      <c r="R138" s="80"/>
      <c r="S138" s="109"/>
      <c r="T138" s="110"/>
    </row>
    <row r="139" spans="1:20" s="85" customFormat="1" x14ac:dyDescent="0.25">
      <c r="A139" s="98">
        <f t="shared" si="19"/>
        <v>0</v>
      </c>
      <c r="B139" s="40" t="str">
        <f t="shared" si="14"/>
        <v/>
      </c>
      <c r="C139" s="41" t="s">
        <v>49</v>
      </c>
      <c r="D139" s="41"/>
      <c r="E139" s="41"/>
      <c r="F139" s="41"/>
      <c r="G139" s="80"/>
      <c r="H139" s="99">
        <v>134</v>
      </c>
      <c r="I139" s="100" t="str">
        <f t="shared" si="15"/>
        <v/>
      </c>
      <c r="J139" s="99">
        <f t="shared" si="20"/>
        <v>-1</v>
      </c>
      <c r="K139" s="99">
        <f t="shared" si="16"/>
        <v>-10</v>
      </c>
      <c r="L139" s="99"/>
      <c r="M139" s="101">
        <f t="shared" si="17"/>
        <v>0</v>
      </c>
      <c r="N139" s="101">
        <f t="shared" si="18"/>
        <v>0</v>
      </c>
      <c r="O139" s="80"/>
      <c r="P139" s="80"/>
      <c r="Q139" s="80"/>
      <c r="R139" s="80"/>
      <c r="S139" s="80"/>
    </row>
    <row r="140" spans="1:20" s="85" customFormat="1" x14ac:dyDescent="0.25">
      <c r="A140" s="94">
        <f t="shared" si="19"/>
        <v>0</v>
      </c>
      <c r="B140" s="34" t="str">
        <f t="shared" si="14"/>
        <v/>
      </c>
      <c r="C140" s="35" t="s">
        <v>49</v>
      </c>
      <c r="D140" s="35"/>
      <c r="E140" s="35"/>
      <c r="F140" s="35"/>
      <c r="G140" s="80"/>
      <c r="H140" s="95">
        <v>135</v>
      </c>
      <c r="I140" s="96" t="str">
        <f t="shared" si="15"/>
        <v/>
      </c>
      <c r="J140" s="95">
        <f t="shared" si="20"/>
        <v>-1</v>
      </c>
      <c r="K140" s="95">
        <f t="shared" si="16"/>
        <v>-10</v>
      </c>
      <c r="L140" s="95"/>
      <c r="M140" s="97">
        <f t="shared" si="17"/>
        <v>0</v>
      </c>
      <c r="N140" s="97">
        <f t="shared" si="18"/>
        <v>0</v>
      </c>
      <c r="O140" s="80"/>
      <c r="P140" s="80"/>
      <c r="Q140" s="80"/>
      <c r="R140" s="80"/>
      <c r="S140" s="109"/>
      <c r="T140" s="110"/>
    </row>
    <row r="141" spans="1:20" s="85" customFormat="1" x14ac:dyDescent="0.25">
      <c r="A141" s="98">
        <f t="shared" si="19"/>
        <v>0</v>
      </c>
      <c r="B141" s="40" t="str">
        <f t="shared" si="14"/>
        <v/>
      </c>
      <c r="C141" s="41" t="s">
        <v>49</v>
      </c>
      <c r="D141" s="41"/>
      <c r="E141" s="41"/>
      <c r="F141" s="41"/>
      <c r="G141" s="80"/>
      <c r="H141" s="99">
        <v>136</v>
      </c>
      <c r="I141" s="100" t="str">
        <f t="shared" si="15"/>
        <v/>
      </c>
      <c r="J141" s="99">
        <f t="shared" si="20"/>
        <v>-1</v>
      </c>
      <c r="K141" s="99">
        <f t="shared" si="16"/>
        <v>-10</v>
      </c>
      <c r="L141" s="99"/>
      <c r="M141" s="101">
        <f t="shared" si="17"/>
        <v>0</v>
      </c>
      <c r="N141" s="101">
        <f t="shared" si="18"/>
        <v>0</v>
      </c>
      <c r="O141" s="80"/>
      <c r="P141" s="80"/>
      <c r="Q141" s="80"/>
      <c r="R141" s="80"/>
      <c r="S141" s="80"/>
    </row>
    <row r="142" spans="1:20" s="85" customFormat="1" x14ac:dyDescent="0.25">
      <c r="A142" s="94">
        <f t="shared" si="19"/>
        <v>0</v>
      </c>
      <c r="B142" s="34" t="str">
        <f t="shared" si="14"/>
        <v/>
      </c>
      <c r="C142" s="35" t="s">
        <v>49</v>
      </c>
      <c r="D142" s="35"/>
      <c r="E142" s="35"/>
      <c r="F142" s="35"/>
      <c r="G142" s="80"/>
      <c r="H142" s="95">
        <v>137</v>
      </c>
      <c r="I142" s="96" t="str">
        <f t="shared" si="15"/>
        <v/>
      </c>
      <c r="J142" s="95">
        <f t="shared" si="20"/>
        <v>-1</v>
      </c>
      <c r="K142" s="95">
        <f t="shared" si="16"/>
        <v>-10</v>
      </c>
      <c r="L142" s="95"/>
      <c r="M142" s="97">
        <f t="shared" si="17"/>
        <v>0</v>
      </c>
      <c r="N142" s="97">
        <f t="shared" si="18"/>
        <v>0</v>
      </c>
      <c r="O142" s="80"/>
      <c r="P142" s="80"/>
      <c r="Q142" s="80"/>
      <c r="R142" s="80"/>
      <c r="S142" s="109"/>
      <c r="T142" s="110"/>
    </row>
    <row r="143" spans="1:20" s="85" customFormat="1" x14ac:dyDescent="0.25">
      <c r="A143" s="98">
        <f t="shared" si="19"/>
        <v>0</v>
      </c>
      <c r="B143" s="40" t="str">
        <f t="shared" ref="B143:B206" si="21">IF(H143&gt;$H$2,"",(ROW()-5))</f>
        <v/>
      </c>
      <c r="C143" s="41" t="s">
        <v>49</v>
      </c>
      <c r="D143" s="41"/>
      <c r="E143" s="41"/>
      <c r="F143" s="41"/>
      <c r="G143" s="80"/>
      <c r="H143" s="99">
        <v>138</v>
      </c>
      <c r="I143" s="100" t="str">
        <f t="shared" si="15"/>
        <v/>
      </c>
      <c r="J143" s="99">
        <f t="shared" si="20"/>
        <v>-1</v>
      </c>
      <c r="K143" s="99">
        <f t="shared" si="16"/>
        <v>-10</v>
      </c>
      <c r="L143" s="99"/>
      <c r="M143" s="101">
        <f t="shared" si="17"/>
        <v>0</v>
      </c>
      <c r="N143" s="101">
        <f t="shared" si="18"/>
        <v>0</v>
      </c>
      <c r="O143" s="80"/>
      <c r="P143" s="80"/>
      <c r="Q143" s="80"/>
      <c r="R143" s="80"/>
      <c r="S143" s="80"/>
    </row>
    <row r="144" spans="1:20" s="85" customFormat="1" x14ac:dyDescent="0.25">
      <c r="A144" s="94">
        <f t="shared" si="19"/>
        <v>0</v>
      </c>
      <c r="B144" s="34" t="str">
        <f t="shared" si="21"/>
        <v/>
      </c>
      <c r="C144" s="35" t="s">
        <v>49</v>
      </c>
      <c r="D144" s="35"/>
      <c r="E144" s="35"/>
      <c r="F144" s="35"/>
      <c r="G144" s="80"/>
      <c r="H144" s="95">
        <v>139</v>
      </c>
      <c r="I144" s="96" t="str">
        <f t="shared" si="15"/>
        <v/>
      </c>
      <c r="J144" s="95">
        <f t="shared" si="20"/>
        <v>-1</v>
      </c>
      <c r="K144" s="95">
        <f t="shared" si="16"/>
        <v>-10</v>
      </c>
      <c r="L144" s="95"/>
      <c r="M144" s="97">
        <f t="shared" si="17"/>
        <v>0</v>
      </c>
      <c r="N144" s="97">
        <f t="shared" si="18"/>
        <v>0</v>
      </c>
      <c r="O144" s="80"/>
      <c r="P144" s="80"/>
      <c r="Q144" s="80"/>
      <c r="R144" s="80"/>
      <c r="S144" s="109"/>
      <c r="T144" s="110"/>
    </row>
    <row r="145" spans="1:20" s="85" customFormat="1" x14ac:dyDescent="0.25">
      <c r="A145" s="98">
        <f t="shared" si="19"/>
        <v>0</v>
      </c>
      <c r="B145" s="40" t="str">
        <f t="shared" si="21"/>
        <v/>
      </c>
      <c r="C145" s="41" t="s">
        <v>49</v>
      </c>
      <c r="D145" s="41"/>
      <c r="E145" s="41"/>
      <c r="F145" s="41"/>
      <c r="G145" s="80"/>
      <c r="H145" s="99">
        <v>140</v>
      </c>
      <c r="I145" s="100" t="str">
        <f t="shared" si="15"/>
        <v/>
      </c>
      <c r="J145" s="99">
        <f t="shared" si="20"/>
        <v>-1</v>
      </c>
      <c r="K145" s="99">
        <f t="shared" si="16"/>
        <v>-10</v>
      </c>
      <c r="L145" s="99"/>
      <c r="M145" s="101">
        <f t="shared" si="17"/>
        <v>0</v>
      </c>
      <c r="N145" s="101">
        <f t="shared" si="18"/>
        <v>0</v>
      </c>
      <c r="O145" s="80"/>
      <c r="P145" s="80"/>
      <c r="Q145" s="80"/>
      <c r="R145" s="80"/>
      <c r="S145" s="80"/>
    </row>
    <row r="146" spans="1:20" s="85" customFormat="1" x14ac:dyDescent="0.25">
      <c r="A146" s="94">
        <f t="shared" si="19"/>
        <v>0</v>
      </c>
      <c r="B146" s="34" t="str">
        <f t="shared" si="21"/>
        <v/>
      </c>
      <c r="C146" s="35" t="s">
        <v>49</v>
      </c>
      <c r="D146" s="35"/>
      <c r="E146" s="35"/>
      <c r="F146" s="35"/>
      <c r="G146" s="80"/>
      <c r="H146" s="95">
        <v>141</v>
      </c>
      <c r="I146" s="96" t="str">
        <f t="shared" si="15"/>
        <v/>
      </c>
      <c r="J146" s="95">
        <f t="shared" si="20"/>
        <v>-1</v>
      </c>
      <c r="K146" s="95">
        <f t="shared" si="16"/>
        <v>-10</v>
      </c>
      <c r="L146" s="95"/>
      <c r="M146" s="97">
        <f t="shared" si="17"/>
        <v>0</v>
      </c>
      <c r="N146" s="97">
        <f t="shared" si="18"/>
        <v>0</v>
      </c>
      <c r="O146" s="80"/>
      <c r="P146" s="80"/>
      <c r="Q146" s="80"/>
      <c r="R146" s="80"/>
      <c r="S146" s="109"/>
      <c r="T146" s="110"/>
    </row>
    <row r="147" spans="1:20" s="85" customFormat="1" x14ac:dyDescent="0.25">
      <c r="A147" s="98">
        <f t="shared" si="19"/>
        <v>0</v>
      </c>
      <c r="B147" s="40" t="str">
        <f t="shared" si="21"/>
        <v/>
      </c>
      <c r="C147" s="41" t="s">
        <v>49</v>
      </c>
      <c r="D147" s="41"/>
      <c r="E147" s="41"/>
      <c r="F147" s="41"/>
      <c r="G147" s="80"/>
      <c r="H147" s="99">
        <v>142</v>
      </c>
      <c r="I147" s="100" t="str">
        <f t="shared" si="15"/>
        <v/>
      </c>
      <c r="J147" s="99">
        <f t="shared" si="20"/>
        <v>-1</v>
      </c>
      <c r="K147" s="99">
        <f t="shared" si="16"/>
        <v>-10</v>
      </c>
      <c r="L147" s="99"/>
      <c r="M147" s="101">
        <f t="shared" si="17"/>
        <v>0</v>
      </c>
      <c r="N147" s="101">
        <f t="shared" si="18"/>
        <v>0</v>
      </c>
      <c r="O147" s="80"/>
      <c r="P147" s="80"/>
      <c r="Q147" s="80"/>
      <c r="R147" s="80"/>
      <c r="S147" s="80"/>
    </row>
    <row r="148" spans="1:20" s="85" customFormat="1" x14ac:dyDescent="0.25">
      <c r="A148" s="94">
        <f t="shared" si="19"/>
        <v>0</v>
      </c>
      <c r="B148" s="34" t="str">
        <f t="shared" si="21"/>
        <v/>
      </c>
      <c r="C148" s="35" t="s">
        <v>49</v>
      </c>
      <c r="D148" s="35"/>
      <c r="E148" s="35"/>
      <c r="F148" s="35"/>
      <c r="G148" s="80"/>
      <c r="H148" s="95">
        <v>143</v>
      </c>
      <c r="I148" s="96" t="str">
        <f t="shared" si="15"/>
        <v/>
      </c>
      <c r="J148" s="95">
        <f t="shared" si="20"/>
        <v>-1</v>
      </c>
      <c r="K148" s="95">
        <f t="shared" si="16"/>
        <v>-10</v>
      </c>
      <c r="L148" s="95"/>
      <c r="M148" s="97">
        <f t="shared" si="17"/>
        <v>0</v>
      </c>
      <c r="N148" s="97">
        <f t="shared" si="18"/>
        <v>0</v>
      </c>
      <c r="O148" s="80"/>
      <c r="P148" s="80"/>
      <c r="Q148" s="80"/>
      <c r="R148" s="80"/>
      <c r="S148" s="109"/>
      <c r="T148" s="110"/>
    </row>
    <row r="149" spans="1:20" s="85" customFormat="1" x14ac:dyDescent="0.25">
      <c r="A149" s="98">
        <f t="shared" si="19"/>
        <v>0</v>
      </c>
      <c r="B149" s="40" t="str">
        <f t="shared" si="21"/>
        <v/>
      </c>
      <c r="C149" s="41" t="s">
        <v>49</v>
      </c>
      <c r="D149" s="41"/>
      <c r="E149" s="41"/>
      <c r="F149" s="41"/>
      <c r="G149" s="80"/>
      <c r="H149" s="99">
        <v>144</v>
      </c>
      <c r="I149" s="100" t="str">
        <f t="shared" si="15"/>
        <v/>
      </c>
      <c r="J149" s="99">
        <f t="shared" si="20"/>
        <v>-1</v>
      </c>
      <c r="K149" s="99">
        <f t="shared" si="16"/>
        <v>-10</v>
      </c>
      <c r="L149" s="99"/>
      <c r="M149" s="101">
        <f t="shared" si="17"/>
        <v>0</v>
      </c>
      <c r="N149" s="101">
        <f t="shared" si="18"/>
        <v>0</v>
      </c>
      <c r="O149" s="80"/>
      <c r="P149" s="80"/>
      <c r="Q149" s="80"/>
      <c r="R149" s="80"/>
      <c r="S149" s="80"/>
    </row>
    <row r="150" spans="1:20" s="85" customFormat="1" x14ac:dyDescent="0.25">
      <c r="A150" s="94">
        <f t="shared" si="19"/>
        <v>0</v>
      </c>
      <c r="B150" s="34" t="str">
        <f t="shared" si="21"/>
        <v/>
      </c>
      <c r="C150" s="35" t="s">
        <v>49</v>
      </c>
      <c r="D150" s="35"/>
      <c r="E150" s="35"/>
      <c r="F150" s="35"/>
      <c r="G150" s="80"/>
      <c r="H150" s="95">
        <v>145</v>
      </c>
      <c r="I150" s="96" t="str">
        <f t="shared" si="15"/>
        <v/>
      </c>
      <c r="J150" s="95">
        <f t="shared" si="20"/>
        <v>-1</v>
      </c>
      <c r="K150" s="95">
        <f t="shared" si="16"/>
        <v>-10</v>
      </c>
      <c r="L150" s="95"/>
      <c r="M150" s="97">
        <f t="shared" si="17"/>
        <v>0</v>
      </c>
      <c r="N150" s="97">
        <f t="shared" si="18"/>
        <v>0</v>
      </c>
      <c r="O150" s="80"/>
      <c r="P150" s="80"/>
      <c r="Q150" s="80"/>
      <c r="R150" s="80"/>
      <c r="S150" s="109"/>
      <c r="T150" s="110"/>
    </row>
    <row r="151" spans="1:20" s="85" customFormat="1" x14ac:dyDescent="0.25">
      <c r="A151" s="98">
        <f t="shared" si="19"/>
        <v>0</v>
      </c>
      <c r="B151" s="40" t="str">
        <f t="shared" si="21"/>
        <v/>
      </c>
      <c r="C151" s="41" t="s">
        <v>49</v>
      </c>
      <c r="D151" s="41"/>
      <c r="E151" s="41"/>
      <c r="F151" s="41"/>
      <c r="G151" s="80"/>
      <c r="H151" s="99">
        <v>146</v>
      </c>
      <c r="I151" s="100" t="str">
        <f t="shared" si="15"/>
        <v/>
      </c>
      <c r="J151" s="99">
        <f t="shared" si="20"/>
        <v>-1</v>
      </c>
      <c r="K151" s="99">
        <f t="shared" si="16"/>
        <v>-10</v>
      </c>
      <c r="L151" s="99"/>
      <c r="M151" s="101">
        <f t="shared" si="17"/>
        <v>0</v>
      </c>
      <c r="N151" s="101">
        <f t="shared" si="18"/>
        <v>0</v>
      </c>
      <c r="O151" s="80"/>
      <c r="P151" s="80"/>
      <c r="Q151" s="80"/>
      <c r="R151" s="80"/>
      <c r="S151" s="80"/>
    </row>
    <row r="152" spans="1:20" s="85" customFormat="1" x14ac:dyDescent="0.25">
      <c r="A152" s="94">
        <f t="shared" si="19"/>
        <v>0</v>
      </c>
      <c r="B152" s="34" t="str">
        <f t="shared" si="21"/>
        <v/>
      </c>
      <c r="C152" s="35" t="s">
        <v>49</v>
      </c>
      <c r="D152" s="35"/>
      <c r="E152" s="35"/>
      <c r="F152" s="35"/>
      <c r="G152" s="80"/>
      <c r="H152" s="95">
        <v>147</v>
      </c>
      <c r="I152" s="96" t="str">
        <f t="shared" si="15"/>
        <v/>
      </c>
      <c r="J152" s="95">
        <f t="shared" si="20"/>
        <v>-1</v>
      </c>
      <c r="K152" s="95">
        <f t="shared" si="16"/>
        <v>-10</v>
      </c>
      <c r="L152" s="95"/>
      <c r="M152" s="97">
        <f t="shared" si="17"/>
        <v>0</v>
      </c>
      <c r="N152" s="97">
        <f t="shared" si="18"/>
        <v>0</v>
      </c>
      <c r="O152" s="80"/>
      <c r="P152" s="80"/>
      <c r="Q152" s="80"/>
      <c r="R152" s="80"/>
      <c r="S152" s="109"/>
      <c r="T152" s="110"/>
    </row>
    <row r="153" spans="1:20" s="85" customFormat="1" x14ac:dyDescent="0.25">
      <c r="A153" s="98">
        <f t="shared" si="19"/>
        <v>0</v>
      </c>
      <c r="B153" s="40" t="str">
        <f t="shared" si="21"/>
        <v/>
      </c>
      <c r="C153" s="41" t="s">
        <v>49</v>
      </c>
      <c r="D153" s="41"/>
      <c r="E153" s="41"/>
      <c r="F153" s="41"/>
      <c r="G153" s="80"/>
      <c r="H153" s="99">
        <v>148</v>
      </c>
      <c r="I153" s="100" t="str">
        <f t="shared" si="15"/>
        <v/>
      </c>
      <c r="J153" s="99">
        <f t="shared" si="20"/>
        <v>-1</v>
      </c>
      <c r="K153" s="99">
        <f t="shared" si="16"/>
        <v>-10</v>
      </c>
      <c r="L153" s="99"/>
      <c r="M153" s="101">
        <f t="shared" si="17"/>
        <v>0</v>
      </c>
      <c r="N153" s="101">
        <f t="shared" si="18"/>
        <v>0</v>
      </c>
      <c r="O153" s="80"/>
      <c r="P153" s="80"/>
      <c r="Q153" s="80"/>
      <c r="R153" s="80"/>
      <c r="S153" s="80"/>
    </row>
    <row r="154" spans="1:20" s="85" customFormat="1" x14ac:dyDescent="0.25">
      <c r="A154" s="94">
        <f t="shared" si="19"/>
        <v>0</v>
      </c>
      <c r="B154" s="34" t="str">
        <f t="shared" si="21"/>
        <v/>
      </c>
      <c r="C154" s="35" t="s">
        <v>49</v>
      </c>
      <c r="D154" s="35"/>
      <c r="E154" s="35"/>
      <c r="F154" s="35"/>
      <c r="G154" s="80"/>
      <c r="H154" s="95">
        <v>149</v>
      </c>
      <c r="I154" s="96" t="str">
        <f t="shared" si="15"/>
        <v/>
      </c>
      <c r="J154" s="95">
        <f t="shared" si="20"/>
        <v>-1</v>
      </c>
      <c r="K154" s="95">
        <f t="shared" si="16"/>
        <v>-10</v>
      </c>
      <c r="L154" s="95"/>
      <c r="M154" s="97">
        <f t="shared" si="17"/>
        <v>0</v>
      </c>
      <c r="N154" s="97">
        <f t="shared" si="18"/>
        <v>0</v>
      </c>
      <c r="O154" s="80"/>
      <c r="P154" s="80"/>
      <c r="Q154" s="80"/>
      <c r="R154" s="80"/>
      <c r="S154" s="109"/>
      <c r="T154" s="110"/>
    </row>
    <row r="155" spans="1:20" s="85" customFormat="1" x14ac:dyDescent="0.25">
      <c r="A155" s="98">
        <f t="shared" si="19"/>
        <v>0</v>
      </c>
      <c r="B155" s="40" t="str">
        <f t="shared" si="21"/>
        <v/>
      </c>
      <c r="C155" s="41" t="s">
        <v>49</v>
      </c>
      <c r="D155" s="41"/>
      <c r="E155" s="41"/>
      <c r="F155" s="41"/>
      <c r="G155" s="80"/>
      <c r="H155" s="99">
        <v>150</v>
      </c>
      <c r="I155" s="100" t="str">
        <f t="shared" si="15"/>
        <v/>
      </c>
      <c r="J155" s="99">
        <f t="shared" si="20"/>
        <v>-1</v>
      </c>
      <c r="K155" s="99">
        <f t="shared" si="16"/>
        <v>-10</v>
      </c>
      <c r="L155" s="99"/>
      <c r="M155" s="101">
        <f t="shared" si="17"/>
        <v>0</v>
      </c>
      <c r="N155" s="101">
        <f t="shared" si="18"/>
        <v>0</v>
      </c>
      <c r="O155" s="80"/>
      <c r="P155" s="80"/>
      <c r="Q155" s="80"/>
      <c r="R155" s="80"/>
      <c r="S155" s="80"/>
    </row>
    <row r="156" spans="1:20" s="85" customFormat="1" x14ac:dyDescent="0.25">
      <c r="A156" s="94">
        <f t="shared" si="19"/>
        <v>0</v>
      </c>
      <c r="B156" s="34" t="str">
        <f t="shared" si="21"/>
        <v/>
      </c>
      <c r="C156" s="35" t="s">
        <v>49</v>
      </c>
      <c r="D156" s="35"/>
      <c r="E156" s="35"/>
      <c r="F156" s="35"/>
      <c r="G156" s="80"/>
      <c r="H156" s="95">
        <v>151</v>
      </c>
      <c r="I156" s="96" t="str">
        <f t="shared" si="15"/>
        <v/>
      </c>
      <c r="J156" s="95">
        <f t="shared" si="20"/>
        <v>-1</v>
      </c>
      <c r="K156" s="95">
        <f t="shared" si="16"/>
        <v>-10</v>
      </c>
      <c r="L156" s="95"/>
      <c r="M156" s="97">
        <f t="shared" si="17"/>
        <v>0</v>
      </c>
      <c r="N156" s="97">
        <f t="shared" si="18"/>
        <v>0</v>
      </c>
      <c r="O156" s="80"/>
      <c r="P156" s="80"/>
      <c r="Q156" s="80"/>
      <c r="R156" s="80"/>
      <c r="S156" s="109"/>
      <c r="T156" s="110"/>
    </row>
    <row r="157" spans="1:20" s="85" customFormat="1" x14ac:dyDescent="0.25">
      <c r="A157" s="98">
        <f t="shared" si="19"/>
        <v>0</v>
      </c>
      <c r="B157" s="40" t="str">
        <f t="shared" si="21"/>
        <v/>
      </c>
      <c r="C157" s="41" t="s">
        <v>49</v>
      </c>
      <c r="D157" s="41"/>
      <c r="E157" s="41"/>
      <c r="F157" s="41"/>
      <c r="G157" s="80"/>
      <c r="H157" s="99">
        <v>152</v>
      </c>
      <c r="I157" s="100" t="str">
        <f t="shared" si="15"/>
        <v/>
      </c>
      <c r="J157" s="99">
        <f t="shared" si="20"/>
        <v>-1</v>
      </c>
      <c r="K157" s="99">
        <f t="shared" si="16"/>
        <v>-10</v>
      </c>
      <c r="L157" s="99"/>
      <c r="M157" s="101">
        <f t="shared" si="17"/>
        <v>0</v>
      </c>
      <c r="N157" s="101">
        <f t="shared" si="18"/>
        <v>0</v>
      </c>
      <c r="O157" s="80"/>
      <c r="P157" s="80"/>
      <c r="Q157" s="80"/>
      <c r="R157" s="80"/>
      <c r="S157" s="80"/>
    </row>
    <row r="158" spans="1:20" s="85" customFormat="1" x14ac:dyDescent="0.25">
      <c r="A158" s="94">
        <f t="shared" si="19"/>
        <v>0</v>
      </c>
      <c r="B158" s="34" t="str">
        <f t="shared" si="21"/>
        <v/>
      </c>
      <c r="C158" s="35" t="s">
        <v>49</v>
      </c>
      <c r="D158" s="35"/>
      <c r="E158" s="35"/>
      <c r="F158" s="35"/>
      <c r="G158" s="80"/>
      <c r="H158" s="95">
        <v>153</v>
      </c>
      <c r="I158" s="96" t="str">
        <f t="shared" si="15"/>
        <v/>
      </c>
      <c r="J158" s="95">
        <f t="shared" si="20"/>
        <v>-1</v>
      </c>
      <c r="K158" s="95">
        <f t="shared" si="16"/>
        <v>-10</v>
      </c>
      <c r="L158" s="95"/>
      <c r="M158" s="97">
        <f t="shared" si="17"/>
        <v>0</v>
      </c>
      <c r="N158" s="97">
        <f t="shared" si="18"/>
        <v>0</v>
      </c>
      <c r="O158" s="80"/>
      <c r="P158" s="80"/>
      <c r="Q158" s="80"/>
      <c r="R158" s="80"/>
      <c r="S158" s="109"/>
      <c r="T158" s="110"/>
    </row>
    <row r="159" spans="1:20" s="85" customFormat="1" x14ac:dyDescent="0.25">
      <c r="A159" s="98">
        <f t="shared" si="19"/>
        <v>0</v>
      </c>
      <c r="B159" s="40" t="str">
        <f t="shared" si="21"/>
        <v/>
      </c>
      <c r="C159" s="41" t="s">
        <v>49</v>
      </c>
      <c r="D159" s="41"/>
      <c r="E159" s="41"/>
      <c r="F159" s="41"/>
      <c r="G159" s="80"/>
      <c r="H159" s="99">
        <v>154</v>
      </c>
      <c r="I159" s="100" t="str">
        <f t="shared" si="15"/>
        <v/>
      </c>
      <c r="J159" s="99">
        <f t="shared" si="20"/>
        <v>-1</v>
      </c>
      <c r="K159" s="99">
        <f t="shared" si="16"/>
        <v>-10</v>
      </c>
      <c r="L159" s="99"/>
      <c r="M159" s="101">
        <f t="shared" si="17"/>
        <v>0</v>
      </c>
      <c r="N159" s="101">
        <f t="shared" si="18"/>
        <v>0</v>
      </c>
      <c r="O159" s="80"/>
      <c r="P159" s="80"/>
      <c r="Q159" s="80"/>
      <c r="R159" s="80"/>
      <c r="S159" s="80"/>
    </row>
    <row r="160" spans="1:20" s="85" customFormat="1" x14ac:dyDescent="0.25">
      <c r="A160" s="94">
        <f t="shared" si="19"/>
        <v>0</v>
      </c>
      <c r="B160" s="34" t="str">
        <f t="shared" si="21"/>
        <v/>
      </c>
      <c r="C160" s="35" t="s">
        <v>49</v>
      </c>
      <c r="D160" s="35"/>
      <c r="E160" s="35"/>
      <c r="F160" s="35"/>
      <c r="G160" s="80"/>
      <c r="H160" s="95">
        <v>155</v>
      </c>
      <c r="I160" s="96" t="str">
        <f t="shared" si="15"/>
        <v/>
      </c>
      <c r="J160" s="95">
        <f t="shared" si="20"/>
        <v>-1</v>
      </c>
      <c r="K160" s="95">
        <f t="shared" si="16"/>
        <v>-10</v>
      </c>
      <c r="L160" s="95"/>
      <c r="M160" s="97">
        <f t="shared" si="17"/>
        <v>0</v>
      </c>
      <c r="N160" s="97">
        <f t="shared" si="18"/>
        <v>0</v>
      </c>
      <c r="O160" s="80"/>
      <c r="P160" s="80"/>
      <c r="Q160" s="80"/>
      <c r="R160" s="80"/>
      <c r="S160" s="109"/>
      <c r="T160" s="110"/>
    </row>
    <row r="161" spans="1:20" s="85" customFormat="1" x14ac:dyDescent="0.25">
      <c r="A161" s="98">
        <f t="shared" si="19"/>
        <v>0</v>
      </c>
      <c r="B161" s="40" t="str">
        <f t="shared" si="21"/>
        <v/>
      </c>
      <c r="C161" s="41" t="s">
        <v>49</v>
      </c>
      <c r="D161" s="41"/>
      <c r="E161" s="41"/>
      <c r="F161" s="41"/>
      <c r="G161" s="80"/>
      <c r="H161" s="99">
        <v>156</v>
      </c>
      <c r="I161" s="100" t="str">
        <f t="shared" si="15"/>
        <v/>
      </c>
      <c r="J161" s="99">
        <f t="shared" si="20"/>
        <v>-1</v>
      </c>
      <c r="K161" s="99">
        <f t="shared" si="16"/>
        <v>-10</v>
      </c>
      <c r="L161" s="99"/>
      <c r="M161" s="101">
        <f t="shared" si="17"/>
        <v>0</v>
      </c>
      <c r="N161" s="101">
        <f t="shared" si="18"/>
        <v>0</v>
      </c>
      <c r="O161" s="80"/>
      <c r="P161" s="80"/>
      <c r="Q161" s="80"/>
      <c r="R161" s="80"/>
      <c r="S161" s="80"/>
    </row>
    <row r="162" spans="1:20" s="85" customFormat="1" x14ac:dyDescent="0.25">
      <c r="A162" s="94">
        <f t="shared" si="19"/>
        <v>0</v>
      </c>
      <c r="B162" s="34" t="str">
        <f t="shared" si="21"/>
        <v/>
      </c>
      <c r="C162" s="35" t="s">
        <v>49</v>
      </c>
      <c r="D162" s="35"/>
      <c r="E162" s="35"/>
      <c r="F162" s="35"/>
      <c r="G162" s="80"/>
      <c r="H162" s="95">
        <v>157</v>
      </c>
      <c r="I162" s="96" t="str">
        <f t="shared" si="15"/>
        <v/>
      </c>
      <c r="J162" s="95">
        <f t="shared" si="20"/>
        <v>-1</v>
      </c>
      <c r="K162" s="95">
        <f t="shared" si="16"/>
        <v>-10</v>
      </c>
      <c r="L162" s="95"/>
      <c r="M162" s="97">
        <f t="shared" si="17"/>
        <v>0</v>
      </c>
      <c r="N162" s="97">
        <f t="shared" si="18"/>
        <v>0</v>
      </c>
      <c r="O162" s="80"/>
      <c r="P162" s="80"/>
      <c r="Q162" s="80"/>
      <c r="R162" s="80"/>
      <c r="S162" s="109"/>
      <c r="T162" s="110"/>
    </row>
    <row r="163" spans="1:20" s="85" customFormat="1" x14ac:dyDescent="0.25">
      <c r="A163" s="98">
        <f t="shared" si="19"/>
        <v>0</v>
      </c>
      <c r="B163" s="40" t="str">
        <f t="shared" si="21"/>
        <v/>
      </c>
      <c r="C163" s="41" t="s">
        <v>49</v>
      </c>
      <c r="D163" s="41"/>
      <c r="E163" s="41"/>
      <c r="F163" s="41"/>
      <c r="G163" s="80"/>
      <c r="H163" s="99">
        <v>158</v>
      </c>
      <c r="I163" s="100" t="str">
        <f t="shared" si="15"/>
        <v/>
      </c>
      <c r="J163" s="99">
        <f t="shared" si="20"/>
        <v>-1</v>
      </c>
      <c r="K163" s="99">
        <f t="shared" si="16"/>
        <v>-10</v>
      </c>
      <c r="L163" s="99"/>
      <c r="M163" s="101">
        <f t="shared" si="17"/>
        <v>0</v>
      </c>
      <c r="N163" s="101">
        <f t="shared" si="18"/>
        <v>0</v>
      </c>
      <c r="O163" s="80"/>
      <c r="P163" s="80"/>
      <c r="Q163" s="80"/>
      <c r="R163" s="80"/>
      <c r="S163" s="80"/>
    </row>
    <row r="164" spans="1:20" s="85" customFormat="1" x14ac:dyDescent="0.25">
      <c r="A164" s="94">
        <f t="shared" si="19"/>
        <v>0</v>
      </c>
      <c r="B164" s="34" t="str">
        <f t="shared" si="21"/>
        <v/>
      </c>
      <c r="C164" s="35" t="s">
        <v>49</v>
      </c>
      <c r="D164" s="35"/>
      <c r="E164" s="35"/>
      <c r="F164" s="35"/>
      <c r="G164" s="80"/>
      <c r="H164" s="95">
        <v>159</v>
      </c>
      <c r="I164" s="96" t="str">
        <f t="shared" si="15"/>
        <v/>
      </c>
      <c r="J164" s="95">
        <f t="shared" si="20"/>
        <v>-1</v>
      </c>
      <c r="K164" s="95">
        <f t="shared" si="16"/>
        <v>-10</v>
      </c>
      <c r="L164" s="95"/>
      <c r="M164" s="97">
        <f t="shared" si="17"/>
        <v>0</v>
      </c>
      <c r="N164" s="97">
        <f t="shared" si="18"/>
        <v>0</v>
      </c>
      <c r="O164" s="80"/>
      <c r="P164" s="80"/>
      <c r="Q164" s="80"/>
      <c r="R164" s="80"/>
      <c r="S164" s="109"/>
      <c r="T164" s="110"/>
    </row>
    <row r="165" spans="1:20" s="85" customFormat="1" x14ac:dyDescent="0.25">
      <c r="A165" s="98">
        <f t="shared" si="19"/>
        <v>0</v>
      </c>
      <c r="B165" s="40" t="str">
        <f t="shared" si="21"/>
        <v/>
      </c>
      <c r="C165" s="41" t="s">
        <v>49</v>
      </c>
      <c r="D165" s="41"/>
      <c r="E165" s="41"/>
      <c r="F165" s="41"/>
      <c r="G165" s="80"/>
      <c r="H165" s="99">
        <v>160</v>
      </c>
      <c r="I165" s="100" t="str">
        <f t="shared" si="15"/>
        <v/>
      </c>
      <c r="J165" s="99">
        <f t="shared" si="20"/>
        <v>-1</v>
      </c>
      <c r="K165" s="99">
        <f t="shared" si="16"/>
        <v>-10</v>
      </c>
      <c r="L165" s="99"/>
      <c r="M165" s="101">
        <f t="shared" si="17"/>
        <v>0</v>
      </c>
      <c r="N165" s="101">
        <f t="shared" si="18"/>
        <v>0</v>
      </c>
      <c r="O165" s="80"/>
      <c r="P165" s="80"/>
      <c r="Q165" s="80"/>
      <c r="R165" s="80"/>
      <c r="S165" s="80"/>
    </row>
    <row r="166" spans="1:20" s="85" customFormat="1" x14ac:dyDescent="0.25">
      <c r="A166" s="94">
        <f t="shared" si="19"/>
        <v>0</v>
      </c>
      <c r="B166" s="34" t="str">
        <f t="shared" si="21"/>
        <v/>
      </c>
      <c r="C166" s="35" t="s">
        <v>49</v>
      </c>
      <c r="D166" s="35"/>
      <c r="E166" s="35"/>
      <c r="F166" s="35"/>
      <c r="G166" s="80"/>
      <c r="H166" s="95">
        <v>161</v>
      </c>
      <c r="I166" s="96" t="str">
        <f t="shared" si="15"/>
        <v/>
      </c>
      <c r="J166" s="95">
        <f t="shared" si="20"/>
        <v>-1</v>
      </c>
      <c r="K166" s="95">
        <f t="shared" si="16"/>
        <v>-10</v>
      </c>
      <c r="L166" s="95"/>
      <c r="M166" s="97">
        <f t="shared" si="17"/>
        <v>0</v>
      </c>
      <c r="N166" s="97">
        <f t="shared" si="18"/>
        <v>0</v>
      </c>
      <c r="O166" s="80"/>
      <c r="P166" s="80"/>
      <c r="Q166" s="80"/>
      <c r="R166" s="80"/>
      <c r="S166" s="109"/>
      <c r="T166" s="110"/>
    </row>
    <row r="167" spans="1:20" s="85" customFormat="1" x14ac:dyDescent="0.25">
      <c r="A167" s="98">
        <f t="shared" si="19"/>
        <v>0</v>
      </c>
      <c r="B167" s="40" t="str">
        <f t="shared" si="21"/>
        <v/>
      </c>
      <c r="C167" s="41" t="s">
        <v>49</v>
      </c>
      <c r="D167" s="41"/>
      <c r="E167" s="41"/>
      <c r="F167" s="41"/>
      <c r="G167" s="80"/>
      <c r="H167" s="99">
        <v>162</v>
      </c>
      <c r="I167" s="100" t="str">
        <f t="shared" si="15"/>
        <v/>
      </c>
      <c r="J167" s="99">
        <f t="shared" si="20"/>
        <v>-1</v>
      </c>
      <c r="K167" s="99">
        <f t="shared" si="16"/>
        <v>-10</v>
      </c>
      <c r="L167" s="99"/>
      <c r="M167" s="101">
        <f t="shared" si="17"/>
        <v>0</v>
      </c>
      <c r="N167" s="101">
        <f t="shared" si="18"/>
        <v>0</v>
      </c>
      <c r="O167" s="80"/>
      <c r="P167" s="80"/>
      <c r="Q167" s="80"/>
      <c r="R167" s="80"/>
      <c r="S167" s="80"/>
    </row>
    <row r="168" spans="1:20" s="85" customFormat="1" x14ac:dyDescent="0.25">
      <c r="A168" s="94">
        <f t="shared" si="19"/>
        <v>0</v>
      </c>
      <c r="B168" s="34" t="str">
        <f t="shared" si="21"/>
        <v/>
      </c>
      <c r="C168" s="35" t="s">
        <v>49</v>
      </c>
      <c r="D168" s="35"/>
      <c r="E168" s="35"/>
      <c r="F168" s="35"/>
      <c r="G168" s="80"/>
      <c r="H168" s="95">
        <v>163</v>
      </c>
      <c r="I168" s="96" t="str">
        <f t="shared" si="15"/>
        <v/>
      </c>
      <c r="J168" s="95">
        <f t="shared" si="20"/>
        <v>-1</v>
      </c>
      <c r="K168" s="95">
        <f t="shared" si="16"/>
        <v>-10</v>
      </c>
      <c r="L168" s="95"/>
      <c r="M168" s="97">
        <f t="shared" si="17"/>
        <v>0</v>
      </c>
      <c r="N168" s="97">
        <f t="shared" si="18"/>
        <v>0</v>
      </c>
      <c r="O168" s="80"/>
      <c r="P168" s="80"/>
      <c r="Q168" s="80"/>
      <c r="R168" s="80"/>
      <c r="S168" s="109"/>
      <c r="T168" s="110"/>
    </row>
    <row r="169" spans="1:20" s="85" customFormat="1" x14ac:dyDescent="0.25">
      <c r="A169" s="98">
        <f t="shared" si="19"/>
        <v>0</v>
      </c>
      <c r="B169" s="40" t="str">
        <f t="shared" si="21"/>
        <v/>
      </c>
      <c r="C169" s="41" t="s">
        <v>49</v>
      </c>
      <c r="D169" s="41"/>
      <c r="E169" s="41"/>
      <c r="F169" s="41"/>
      <c r="G169" s="80"/>
      <c r="H169" s="99">
        <v>164</v>
      </c>
      <c r="I169" s="100" t="str">
        <f t="shared" si="15"/>
        <v/>
      </c>
      <c r="J169" s="99">
        <f t="shared" si="20"/>
        <v>-1</v>
      </c>
      <c r="K169" s="99">
        <f t="shared" si="16"/>
        <v>-10</v>
      </c>
      <c r="L169" s="99"/>
      <c r="M169" s="101">
        <f t="shared" si="17"/>
        <v>0</v>
      </c>
      <c r="N169" s="101">
        <f t="shared" si="18"/>
        <v>0</v>
      </c>
      <c r="O169" s="80"/>
      <c r="P169" s="80"/>
      <c r="Q169" s="80"/>
      <c r="R169" s="80"/>
      <c r="S169" s="80"/>
    </row>
    <row r="170" spans="1:20" s="85" customFormat="1" x14ac:dyDescent="0.25">
      <c r="A170" s="94">
        <f t="shared" si="19"/>
        <v>0</v>
      </c>
      <c r="B170" s="34" t="str">
        <f t="shared" si="21"/>
        <v/>
      </c>
      <c r="C170" s="35" t="s">
        <v>49</v>
      </c>
      <c r="D170" s="35"/>
      <c r="E170" s="35"/>
      <c r="F170" s="35"/>
      <c r="G170" s="80"/>
      <c r="H170" s="95">
        <v>165</v>
      </c>
      <c r="I170" s="96" t="str">
        <f t="shared" si="15"/>
        <v/>
      </c>
      <c r="J170" s="95">
        <f t="shared" si="20"/>
        <v>-1</v>
      </c>
      <c r="K170" s="95">
        <f t="shared" si="16"/>
        <v>-10</v>
      </c>
      <c r="L170" s="95"/>
      <c r="M170" s="97">
        <f t="shared" si="17"/>
        <v>0</v>
      </c>
      <c r="N170" s="97">
        <f t="shared" si="18"/>
        <v>0</v>
      </c>
      <c r="O170" s="80"/>
      <c r="P170" s="80"/>
      <c r="Q170" s="80"/>
      <c r="R170" s="80"/>
      <c r="S170" s="109"/>
      <c r="T170" s="110"/>
    </row>
    <row r="171" spans="1:20" s="85" customFormat="1" x14ac:dyDescent="0.25">
      <c r="A171" s="98">
        <f t="shared" si="19"/>
        <v>0</v>
      </c>
      <c r="B171" s="40" t="str">
        <f t="shared" si="21"/>
        <v/>
      </c>
      <c r="C171" s="41" t="s">
        <v>49</v>
      </c>
      <c r="D171" s="41"/>
      <c r="E171" s="41"/>
      <c r="F171" s="41"/>
      <c r="G171" s="80"/>
      <c r="H171" s="99">
        <v>166</v>
      </c>
      <c r="I171" s="100" t="str">
        <f t="shared" si="15"/>
        <v/>
      </c>
      <c r="J171" s="99">
        <f t="shared" si="20"/>
        <v>-1</v>
      </c>
      <c r="K171" s="99">
        <f t="shared" si="16"/>
        <v>-10</v>
      </c>
      <c r="L171" s="99"/>
      <c r="M171" s="101">
        <f t="shared" si="17"/>
        <v>0</v>
      </c>
      <c r="N171" s="101">
        <f t="shared" si="18"/>
        <v>0</v>
      </c>
      <c r="O171" s="80"/>
      <c r="P171" s="80"/>
      <c r="Q171" s="80"/>
      <c r="R171" s="80"/>
      <c r="S171" s="80"/>
    </row>
    <row r="172" spans="1:20" s="85" customFormat="1" x14ac:dyDescent="0.25">
      <c r="A172" s="94">
        <f t="shared" si="19"/>
        <v>0</v>
      </c>
      <c r="B172" s="34" t="str">
        <f t="shared" si="21"/>
        <v/>
      </c>
      <c r="C172" s="35" t="s">
        <v>49</v>
      </c>
      <c r="D172" s="35"/>
      <c r="E172" s="35"/>
      <c r="F172" s="35"/>
      <c r="G172" s="80"/>
      <c r="H172" s="95">
        <v>167</v>
      </c>
      <c r="I172" s="96" t="str">
        <f t="shared" si="15"/>
        <v/>
      </c>
      <c r="J172" s="95">
        <f t="shared" si="20"/>
        <v>-1</v>
      </c>
      <c r="K172" s="95">
        <f t="shared" si="16"/>
        <v>-10</v>
      </c>
      <c r="L172" s="95"/>
      <c r="M172" s="97">
        <f t="shared" si="17"/>
        <v>0</v>
      </c>
      <c r="N172" s="97">
        <f t="shared" si="18"/>
        <v>0</v>
      </c>
      <c r="O172" s="80"/>
      <c r="P172" s="80"/>
      <c r="Q172" s="80"/>
      <c r="R172" s="80"/>
      <c r="S172" s="109"/>
      <c r="T172" s="110"/>
    </row>
    <row r="173" spans="1:20" s="85" customFormat="1" x14ac:dyDescent="0.25">
      <c r="A173" s="98">
        <f t="shared" si="19"/>
        <v>0</v>
      </c>
      <c r="B173" s="40" t="str">
        <f t="shared" si="21"/>
        <v/>
      </c>
      <c r="C173" s="41" t="s">
        <v>49</v>
      </c>
      <c r="D173" s="41"/>
      <c r="E173" s="41"/>
      <c r="F173" s="41"/>
      <c r="G173" s="80"/>
      <c r="H173" s="99">
        <v>168</v>
      </c>
      <c r="I173" s="100" t="str">
        <f t="shared" si="15"/>
        <v/>
      </c>
      <c r="J173" s="99">
        <f t="shared" si="20"/>
        <v>-1</v>
      </c>
      <c r="K173" s="99">
        <f t="shared" si="16"/>
        <v>-10</v>
      </c>
      <c r="L173" s="99"/>
      <c r="M173" s="101">
        <f t="shared" si="17"/>
        <v>0</v>
      </c>
      <c r="N173" s="101">
        <f t="shared" si="18"/>
        <v>0</v>
      </c>
      <c r="O173" s="80"/>
      <c r="P173" s="80"/>
      <c r="Q173" s="80"/>
      <c r="R173" s="80"/>
      <c r="S173" s="80"/>
    </row>
    <row r="174" spans="1:20" s="85" customFormat="1" x14ac:dyDescent="0.25">
      <c r="A174" s="94">
        <f t="shared" si="19"/>
        <v>0</v>
      </c>
      <c r="B174" s="34" t="str">
        <f t="shared" si="21"/>
        <v/>
      </c>
      <c r="C174" s="35" t="s">
        <v>49</v>
      </c>
      <c r="D174" s="35"/>
      <c r="E174" s="35"/>
      <c r="F174" s="35"/>
      <c r="G174" s="80"/>
      <c r="H174" s="95">
        <v>169</v>
      </c>
      <c r="I174" s="96" t="str">
        <f t="shared" si="15"/>
        <v/>
      </c>
      <c r="J174" s="95">
        <f t="shared" si="20"/>
        <v>-1</v>
      </c>
      <c r="K174" s="95">
        <f t="shared" si="16"/>
        <v>-10</v>
      </c>
      <c r="L174" s="95"/>
      <c r="M174" s="97">
        <f t="shared" si="17"/>
        <v>0</v>
      </c>
      <c r="N174" s="97">
        <f t="shared" si="18"/>
        <v>0</v>
      </c>
      <c r="O174" s="80"/>
      <c r="P174" s="80"/>
      <c r="Q174" s="80"/>
      <c r="R174" s="80"/>
      <c r="S174" s="109"/>
      <c r="T174" s="110"/>
    </row>
    <row r="175" spans="1:20" s="85" customFormat="1" x14ac:dyDescent="0.25">
      <c r="A175" s="98">
        <f t="shared" si="19"/>
        <v>0</v>
      </c>
      <c r="B175" s="40" t="str">
        <f t="shared" si="21"/>
        <v/>
      </c>
      <c r="C175" s="41" t="s">
        <v>49</v>
      </c>
      <c r="D175" s="41"/>
      <c r="E175" s="41"/>
      <c r="F175" s="41"/>
      <c r="G175" s="80"/>
      <c r="H175" s="99">
        <v>170</v>
      </c>
      <c r="I175" s="100" t="str">
        <f t="shared" si="15"/>
        <v/>
      </c>
      <c r="J175" s="99">
        <f t="shared" si="20"/>
        <v>-1</v>
      </c>
      <c r="K175" s="99">
        <f t="shared" si="16"/>
        <v>-10</v>
      </c>
      <c r="L175" s="99"/>
      <c r="M175" s="101">
        <f t="shared" si="17"/>
        <v>0</v>
      </c>
      <c r="N175" s="101">
        <f t="shared" si="18"/>
        <v>0</v>
      </c>
      <c r="O175" s="80"/>
      <c r="P175" s="80"/>
      <c r="Q175" s="80"/>
      <c r="R175" s="80"/>
      <c r="S175" s="80"/>
    </row>
    <row r="176" spans="1:20" s="85" customFormat="1" x14ac:dyDescent="0.25">
      <c r="A176" s="94">
        <f t="shared" si="19"/>
        <v>0</v>
      </c>
      <c r="B176" s="34" t="str">
        <f t="shared" si="21"/>
        <v/>
      </c>
      <c r="C176" s="35" t="s">
        <v>49</v>
      </c>
      <c r="D176" s="35"/>
      <c r="E176" s="35"/>
      <c r="F176" s="35"/>
      <c r="G176" s="80"/>
      <c r="H176" s="95">
        <v>171</v>
      </c>
      <c r="I176" s="96" t="str">
        <f t="shared" si="15"/>
        <v/>
      </c>
      <c r="J176" s="95">
        <f t="shared" si="20"/>
        <v>-1</v>
      </c>
      <c r="K176" s="95">
        <f t="shared" si="16"/>
        <v>-10</v>
      </c>
      <c r="L176" s="95"/>
      <c r="M176" s="97">
        <f t="shared" si="17"/>
        <v>0</v>
      </c>
      <c r="N176" s="97">
        <f t="shared" si="18"/>
        <v>0</v>
      </c>
      <c r="O176" s="80"/>
      <c r="P176" s="80"/>
      <c r="Q176" s="80"/>
      <c r="R176" s="80"/>
      <c r="S176" s="109"/>
      <c r="T176" s="110"/>
    </row>
    <row r="177" spans="1:20" s="85" customFormat="1" x14ac:dyDescent="0.25">
      <c r="A177" s="98">
        <f t="shared" si="19"/>
        <v>0</v>
      </c>
      <c r="B177" s="40" t="str">
        <f t="shared" si="21"/>
        <v/>
      </c>
      <c r="C177" s="41" t="s">
        <v>49</v>
      </c>
      <c r="D177" s="41"/>
      <c r="E177" s="41"/>
      <c r="F177" s="41"/>
      <c r="G177" s="80"/>
      <c r="H177" s="99">
        <v>172</v>
      </c>
      <c r="I177" s="100" t="str">
        <f t="shared" si="15"/>
        <v/>
      </c>
      <c r="J177" s="99">
        <f t="shared" si="20"/>
        <v>-1</v>
      </c>
      <c r="K177" s="99">
        <f t="shared" si="16"/>
        <v>-10</v>
      </c>
      <c r="L177" s="99"/>
      <c r="M177" s="101">
        <f t="shared" si="17"/>
        <v>0</v>
      </c>
      <c r="N177" s="101">
        <f t="shared" si="18"/>
        <v>0</v>
      </c>
      <c r="O177" s="80"/>
      <c r="P177" s="80"/>
      <c r="Q177" s="80"/>
      <c r="R177" s="80"/>
      <c r="S177" s="80"/>
    </row>
    <row r="178" spans="1:20" s="85" customFormat="1" x14ac:dyDescent="0.25">
      <c r="A178" s="94">
        <f t="shared" si="19"/>
        <v>0</v>
      </c>
      <c r="B178" s="34" t="str">
        <f t="shared" si="21"/>
        <v/>
      </c>
      <c r="C178" s="35" t="s">
        <v>49</v>
      </c>
      <c r="D178" s="35"/>
      <c r="E178" s="35"/>
      <c r="F178" s="35"/>
      <c r="G178" s="80"/>
      <c r="H178" s="95">
        <v>173</v>
      </c>
      <c r="I178" s="96" t="str">
        <f t="shared" si="15"/>
        <v/>
      </c>
      <c r="J178" s="95">
        <f t="shared" si="20"/>
        <v>-1</v>
      </c>
      <c r="K178" s="95">
        <f t="shared" si="16"/>
        <v>-10</v>
      </c>
      <c r="L178" s="95"/>
      <c r="M178" s="97">
        <f t="shared" si="17"/>
        <v>0</v>
      </c>
      <c r="N178" s="97">
        <f t="shared" si="18"/>
        <v>0</v>
      </c>
      <c r="O178" s="80"/>
      <c r="P178" s="80"/>
      <c r="Q178" s="80"/>
      <c r="R178" s="80"/>
      <c r="S178" s="109"/>
      <c r="T178" s="110"/>
    </row>
    <row r="179" spans="1:20" s="85" customFormat="1" x14ac:dyDescent="0.25">
      <c r="A179" s="98">
        <f t="shared" si="19"/>
        <v>0</v>
      </c>
      <c r="B179" s="40" t="str">
        <f t="shared" si="21"/>
        <v/>
      </c>
      <c r="C179" s="41" t="s">
        <v>49</v>
      </c>
      <c r="D179" s="41"/>
      <c r="E179" s="41"/>
      <c r="F179" s="41"/>
      <c r="G179" s="80"/>
      <c r="H179" s="99">
        <v>174</v>
      </c>
      <c r="I179" s="100" t="str">
        <f t="shared" si="15"/>
        <v/>
      </c>
      <c r="J179" s="99">
        <f t="shared" si="20"/>
        <v>-1</v>
      </c>
      <c r="K179" s="99">
        <f t="shared" si="16"/>
        <v>-10</v>
      </c>
      <c r="L179" s="99"/>
      <c r="M179" s="101">
        <f t="shared" si="17"/>
        <v>0</v>
      </c>
      <c r="N179" s="101">
        <f t="shared" si="18"/>
        <v>0</v>
      </c>
      <c r="O179" s="80"/>
      <c r="P179" s="80"/>
      <c r="Q179" s="80"/>
      <c r="R179" s="80"/>
      <c r="S179" s="80"/>
    </row>
    <row r="180" spans="1:20" s="85" customFormat="1" x14ac:dyDescent="0.25">
      <c r="A180" s="94">
        <f t="shared" si="19"/>
        <v>0</v>
      </c>
      <c r="B180" s="34" t="str">
        <f t="shared" si="21"/>
        <v/>
      </c>
      <c r="C180" s="35" t="s">
        <v>49</v>
      </c>
      <c r="D180" s="35"/>
      <c r="E180" s="35"/>
      <c r="F180" s="35"/>
      <c r="G180" s="80"/>
      <c r="H180" s="95">
        <v>175</v>
      </c>
      <c r="I180" s="96" t="str">
        <f t="shared" si="15"/>
        <v/>
      </c>
      <c r="J180" s="95">
        <f t="shared" si="20"/>
        <v>-1</v>
      </c>
      <c r="K180" s="95">
        <f t="shared" si="16"/>
        <v>-10</v>
      </c>
      <c r="L180" s="95"/>
      <c r="M180" s="97">
        <f t="shared" si="17"/>
        <v>0</v>
      </c>
      <c r="N180" s="97">
        <f t="shared" si="18"/>
        <v>0</v>
      </c>
      <c r="O180" s="80"/>
      <c r="P180" s="80"/>
      <c r="Q180" s="80"/>
      <c r="R180" s="80"/>
      <c r="S180" s="109"/>
      <c r="T180" s="110"/>
    </row>
    <row r="181" spans="1:20" s="85" customFormat="1" x14ac:dyDescent="0.25">
      <c r="A181" s="98">
        <f t="shared" si="19"/>
        <v>0</v>
      </c>
      <c r="B181" s="40" t="str">
        <f t="shared" si="21"/>
        <v/>
      </c>
      <c r="C181" s="41" t="s">
        <v>49</v>
      </c>
      <c r="D181" s="41"/>
      <c r="E181" s="41"/>
      <c r="F181" s="41"/>
      <c r="G181" s="80"/>
      <c r="H181" s="99">
        <v>176</v>
      </c>
      <c r="I181" s="100" t="str">
        <f t="shared" si="15"/>
        <v/>
      </c>
      <c r="J181" s="99">
        <f t="shared" si="20"/>
        <v>-1</v>
      </c>
      <c r="K181" s="99">
        <f t="shared" si="16"/>
        <v>-10</v>
      </c>
      <c r="L181" s="99"/>
      <c r="M181" s="101">
        <f t="shared" si="17"/>
        <v>0</v>
      </c>
      <c r="N181" s="101">
        <f t="shared" si="18"/>
        <v>0</v>
      </c>
      <c r="O181" s="80"/>
      <c r="P181" s="80"/>
      <c r="Q181" s="80"/>
      <c r="R181" s="80"/>
      <c r="S181" s="80"/>
    </row>
    <row r="182" spans="1:20" s="85" customFormat="1" x14ac:dyDescent="0.25">
      <c r="A182" s="94">
        <f t="shared" si="19"/>
        <v>0</v>
      </c>
      <c r="B182" s="34" t="str">
        <f t="shared" si="21"/>
        <v/>
      </c>
      <c r="C182" s="35" t="s">
        <v>49</v>
      </c>
      <c r="D182" s="35"/>
      <c r="E182" s="35"/>
      <c r="F182" s="35"/>
      <c r="G182" s="80"/>
      <c r="H182" s="95">
        <v>177</v>
      </c>
      <c r="I182" s="96" t="str">
        <f t="shared" si="15"/>
        <v/>
      </c>
      <c r="J182" s="95">
        <f t="shared" si="20"/>
        <v>-1</v>
      </c>
      <c r="K182" s="95">
        <f t="shared" si="16"/>
        <v>-10</v>
      </c>
      <c r="L182" s="95"/>
      <c r="M182" s="97">
        <f t="shared" si="17"/>
        <v>0</v>
      </c>
      <c r="N182" s="97">
        <f t="shared" si="18"/>
        <v>0</v>
      </c>
      <c r="O182" s="80"/>
      <c r="P182" s="80"/>
      <c r="Q182" s="80"/>
      <c r="R182" s="80"/>
      <c r="S182" s="109"/>
      <c r="T182" s="110"/>
    </row>
    <row r="183" spans="1:20" s="85" customFormat="1" x14ac:dyDescent="0.25">
      <c r="A183" s="98">
        <f t="shared" si="19"/>
        <v>0</v>
      </c>
      <c r="B183" s="40" t="str">
        <f t="shared" si="21"/>
        <v/>
      </c>
      <c r="C183" s="41" t="s">
        <v>49</v>
      </c>
      <c r="D183" s="41"/>
      <c r="E183" s="41"/>
      <c r="F183" s="41"/>
      <c r="G183" s="80"/>
      <c r="H183" s="99">
        <v>178</v>
      </c>
      <c r="I183" s="100" t="str">
        <f t="shared" si="15"/>
        <v/>
      </c>
      <c r="J183" s="99">
        <f t="shared" si="20"/>
        <v>-1</v>
      </c>
      <c r="K183" s="99">
        <f t="shared" si="16"/>
        <v>-10</v>
      </c>
      <c r="L183" s="99"/>
      <c r="M183" s="101">
        <f t="shared" si="17"/>
        <v>0</v>
      </c>
      <c r="N183" s="101">
        <f t="shared" si="18"/>
        <v>0</v>
      </c>
      <c r="O183" s="80"/>
      <c r="P183" s="80"/>
      <c r="Q183" s="80"/>
      <c r="R183" s="80"/>
      <c r="S183" s="80"/>
    </row>
    <row r="184" spans="1:20" s="85" customFormat="1" x14ac:dyDescent="0.25">
      <c r="A184" s="94">
        <f t="shared" si="19"/>
        <v>0</v>
      </c>
      <c r="B184" s="34" t="str">
        <f t="shared" si="21"/>
        <v/>
      </c>
      <c r="C184" s="35" t="s">
        <v>49</v>
      </c>
      <c r="D184" s="35"/>
      <c r="E184" s="35"/>
      <c r="F184" s="35"/>
      <c r="G184" s="80"/>
      <c r="H184" s="95">
        <v>179</v>
      </c>
      <c r="I184" s="96" t="str">
        <f t="shared" si="15"/>
        <v/>
      </c>
      <c r="J184" s="95">
        <f t="shared" si="20"/>
        <v>-1</v>
      </c>
      <c r="K184" s="95">
        <f t="shared" si="16"/>
        <v>-10</v>
      </c>
      <c r="L184" s="95"/>
      <c r="M184" s="97">
        <f t="shared" si="17"/>
        <v>0</v>
      </c>
      <c r="N184" s="97">
        <f t="shared" si="18"/>
        <v>0</v>
      </c>
      <c r="O184" s="80"/>
      <c r="P184" s="80"/>
      <c r="Q184" s="80"/>
      <c r="R184" s="80"/>
      <c r="S184" s="109"/>
      <c r="T184" s="110"/>
    </row>
    <row r="185" spans="1:20" s="85" customFormat="1" x14ac:dyDescent="0.25">
      <c r="A185" s="98">
        <f t="shared" si="19"/>
        <v>0</v>
      </c>
      <c r="B185" s="40" t="str">
        <f t="shared" si="21"/>
        <v/>
      </c>
      <c r="C185" s="41" t="s">
        <v>49</v>
      </c>
      <c r="D185" s="41"/>
      <c r="E185" s="41"/>
      <c r="F185" s="41"/>
      <c r="G185" s="80"/>
      <c r="H185" s="99">
        <v>180</v>
      </c>
      <c r="I185" s="100" t="str">
        <f t="shared" si="15"/>
        <v/>
      </c>
      <c r="J185" s="99">
        <f t="shared" si="20"/>
        <v>-1</v>
      </c>
      <c r="K185" s="99">
        <f t="shared" si="16"/>
        <v>-10</v>
      </c>
      <c r="L185" s="99"/>
      <c r="M185" s="101">
        <f t="shared" si="17"/>
        <v>0</v>
      </c>
      <c r="N185" s="101">
        <f t="shared" si="18"/>
        <v>0</v>
      </c>
      <c r="O185" s="80"/>
      <c r="P185" s="80"/>
      <c r="Q185" s="80"/>
      <c r="R185" s="80"/>
      <c r="S185" s="80"/>
    </row>
    <row r="186" spans="1:20" s="85" customFormat="1" x14ac:dyDescent="0.25">
      <c r="A186" s="94">
        <f t="shared" si="19"/>
        <v>0</v>
      </c>
      <c r="B186" s="34" t="str">
        <f t="shared" si="21"/>
        <v/>
      </c>
      <c r="C186" s="35" t="s">
        <v>49</v>
      </c>
      <c r="D186" s="35"/>
      <c r="E186" s="35"/>
      <c r="F186" s="35"/>
      <c r="G186" s="80"/>
      <c r="H186" s="95">
        <v>181</v>
      </c>
      <c r="I186" s="96" t="str">
        <f t="shared" si="15"/>
        <v/>
      </c>
      <c r="J186" s="95">
        <f t="shared" si="20"/>
        <v>-1</v>
      </c>
      <c r="K186" s="95">
        <f t="shared" si="16"/>
        <v>-10</v>
      </c>
      <c r="L186" s="95"/>
      <c r="M186" s="97">
        <f t="shared" si="17"/>
        <v>0</v>
      </c>
      <c r="N186" s="97">
        <f t="shared" si="18"/>
        <v>0</v>
      </c>
      <c r="O186" s="80"/>
      <c r="P186" s="80"/>
      <c r="Q186" s="80"/>
      <c r="R186" s="80"/>
      <c r="S186" s="109"/>
      <c r="T186" s="110"/>
    </row>
    <row r="187" spans="1:20" s="85" customFormat="1" x14ac:dyDescent="0.25">
      <c r="A187" s="98">
        <f t="shared" si="19"/>
        <v>0</v>
      </c>
      <c r="B187" s="40" t="str">
        <f t="shared" si="21"/>
        <v/>
      </c>
      <c r="C187" s="41" t="s">
        <v>49</v>
      </c>
      <c r="D187" s="41"/>
      <c r="E187" s="41"/>
      <c r="F187" s="41"/>
      <c r="G187" s="80"/>
      <c r="H187" s="99">
        <v>182</v>
      </c>
      <c r="I187" s="100" t="str">
        <f t="shared" si="15"/>
        <v/>
      </c>
      <c r="J187" s="99">
        <f t="shared" si="20"/>
        <v>-1</v>
      </c>
      <c r="K187" s="99">
        <f t="shared" si="16"/>
        <v>-10</v>
      </c>
      <c r="L187" s="99"/>
      <c r="M187" s="101">
        <f t="shared" si="17"/>
        <v>0</v>
      </c>
      <c r="N187" s="101">
        <f t="shared" si="18"/>
        <v>0</v>
      </c>
      <c r="O187" s="80"/>
      <c r="P187" s="80"/>
      <c r="Q187" s="80"/>
      <c r="R187" s="80"/>
      <c r="S187" s="80"/>
    </row>
    <row r="188" spans="1:20" s="85" customFormat="1" x14ac:dyDescent="0.25">
      <c r="A188" s="94">
        <f t="shared" si="19"/>
        <v>0</v>
      </c>
      <c r="B188" s="34" t="str">
        <f t="shared" si="21"/>
        <v/>
      </c>
      <c r="C188" s="35" t="s">
        <v>49</v>
      </c>
      <c r="D188" s="35"/>
      <c r="E188" s="35"/>
      <c r="F188" s="35"/>
      <c r="G188" s="80"/>
      <c r="H188" s="95">
        <v>183</v>
      </c>
      <c r="I188" s="96" t="str">
        <f t="shared" si="15"/>
        <v/>
      </c>
      <c r="J188" s="95">
        <f t="shared" si="20"/>
        <v>-1</v>
      </c>
      <c r="K188" s="95">
        <f t="shared" si="16"/>
        <v>-10</v>
      </c>
      <c r="L188" s="95"/>
      <c r="M188" s="97">
        <f t="shared" si="17"/>
        <v>0</v>
      </c>
      <c r="N188" s="97">
        <f t="shared" si="18"/>
        <v>0</v>
      </c>
      <c r="O188" s="80"/>
      <c r="P188" s="80"/>
      <c r="Q188" s="80"/>
      <c r="R188" s="80"/>
      <c r="S188" s="109"/>
      <c r="T188" s="110"/>
    </row>
    <row r="189" spans="1:20" s="85" customFormat="1" x14ac:dyDescent="0.25">
      <c r="A189" s="98">
        <f t="shared" si="19"/>
        <v>0</v>
      </c>
      <c r="B189" s="40" t="str">
        <f t="shared" si="21"/>
        <v/>
      </c>
      <c r="C189" s="41" t="s">
        <v>49</v>
      </c>
      <c r="D189" s="41"/>
      <c r="E189" s="41"/>
      <c r="F189" s="41"/>
      <c r="G189" s="80"/>
      <c r="H189" s="99">
        <v>184</v>
      </c>
      <c r="I189" s="100" t="str">
        <f t="shared" si="15"/>
        <v/>
      </c>
      <c r="J189" s="99">
        <f t="shared" si="20"/>
        <v>-1</v>
      </c>
      <c r="K189" s="99">
        <f t="shared" si="16"/>
        <v>-10</v>
      </c>
      <c r="L189" s="99"/>
      <c r="M189" s="101">
        <f t="shared" si="17"/>
        <v>0</v>
      </c>
      <c r="N189" s="101">
        <f t="shared" si="18"/>
        <v>0</v>
      </c>
      <c r="O189" s="80"/>
      <c r="P189" s="80"/>
      <c r="Q189" s="80"/>
      <c r="R189" s="80"/>
      <c r="S189" s="80"/>
    </row>
    <row r="190" spans="1:20" s="85" customFormat="1" x14ac:dyDescent="0.25">
      <c r="A190" s="94">
        <f t="shared" si="19"/>
        <v>0</v>
      </c>
      <c r="B190" s="34" t="str">
        <f t="shared" si="21"/>
        <v/>
      </c>
      <c r="C190" s="35" t="s">
        <v>49</v>
      </c>
      <c r="D190" s="35"/>
      <c r="E190" s="35"/>
      <c r="F190" s="35"/>
      <c r="G190" s="80"/>
      <c r="H190" s="95">
        <v>185</v>
      </c>
      <c r="I190" s="96" t="str">
        <f t="shared" si="15"/>
        <v/>
      </c>
      <c r="J190" s="95">
        <f t="shared" si="20"/>
        <v>-1</v>
      </c>
      <c r="K190" s="95">
        <f t="shared" si="16"/>
        <v>-10</v>
      </c>
      <c r="L190" s="95"/>
      <c r="M190" s="97">
        <f t="shared" si="17"/>
        <v>0</v>
      </c>
      <c r="N190" s="97">
        <f t="shared" si="18"/>
        <v>0</v>
      </c>
      <c r="O190" s="80"/>
      <c r="P190" s="80"/>
      <c r="Q190" s="80"/>
      <c r="R190" s="80"/>
      <c r="S190" s="109"/>
      <c r="T190" s="110"/>
    </row>
    <row r="191" spans="1:20" s="85" customFormat="1" x14ac:dyDescent="0.25">
      <c r="A191" s="98">
        <f t="shared" si="19"/>
        <v>0</v>
      </c>
      <c r="B191" s="40" t="str">
        <f t="shared" si="21"/>
        <v/>
      </c>
      <c r="C191" s="41" t="s">
        <v>49</v>
      </c>
      <c r="D191" s="41"/>
      <c r="E191" s="41"/>
      <c r="F191" s="41"/>
      <c r="G191" s="80"/>
      <c r="H191" s="99">
        <v>186</v>
      </c>
      <c r="I191" s="100" t="str">
        <f t="shared" si="15"/>
        <v/>
      </c>
      <c r="J191" s="99">
        <f t="shared" si="20"/>
        <v>-1</v>
      </c>
      <c r="K191" s="99">
        <f t="shared" si="16"/>
        <v>-10</v>
      </c>
      <c r="L191" s="99"/>
      <c r="M191" s="101">
        <f t="shared" si="17"/>
        <v>0</v>
      </c>
      <c r="N191" s="101">
        <f t="shared" si="18"/>
        <v>0</v>
      </c>
      <c r="O191" s="80"/>
      <c r="P191" s="80"/>
      <c r="Q191" s="80"/>
      <c r="R191" s="80"/>
      <c r="S191" s="80"/>
    </row>
    <row r="192" spans="1:20" s="85" customFormat="1" x14ac:dyDescent="0.25">
      <c r="A192" s="94">
        <f t="shared" si="19"/>
        <v>0</v>
      </c>
      <c r="B192" s="34" t="str">
        <f t="shared" si="21"/>
        <v/>
      </c>
      <c r="C192" s="35" t="s">
        <v>49</v>
      </c>
      <c r="D192" s="35"/>
      <c r="E192" s="35"/>
      <c r="F192" s="35"/>
      <c r="G192" s="80"/>
      <c r="H192" s="95">
        <v>187</v>
      </c>
      <c r="I192" s="96" t="str">
        <f t="shared" si="15"/>
        <v/>
      </c>
      <c r="J192" s="95">
        <f t="shared" si="20"/>
        <v>-1</v>
      </c>
      <c r="K192" s="95">
        <f t="shared" si="16"/>
        <v>-10</v>
      </c>
      <c r="L192" s="95"/>
      <c r="M192" s="97">
        <f t="shared" si="17"/>
        <v>0</v>
      </c>
      <c r="N192" s="97">
        <f t="shared" si="18"/>
        <v>0</v>
      </c>
      <c r="O192" s="80"/>
      <c r="P192" s="80"/>
      <c r="Q192" s="80"/>
      <c r="R192" s="80"/>
      <c r="S192" s="109"/>
      <c r="T192" s="110"/>
    </row>
    <row r="193" spans="1:20" s="85" customFormat="1" x14ac:dyDescent="0.25">
      <c r="A193" s="98">
        <f t="shared" si="19"/>
        <v>0</v>
      </c>
      <c r="B193" s="40" t="str">
        <f t="shared" si="21"/>
        <v/>
      </c>
      <c r="C193" s="41" t="s">
        <v>49</v>
      </c>
      <c r="D193" s="41"/>
      <c r="E193" s="41"/>
      <c r="F193" s="41"/>
      <c r="G193" s="80"/>
      <c r="H193" s="99">
        <v>188</v>
      </c>
      <c r="I193" s="100" t="str">
        <f t="shared" si="15"/>
        <v/>
      </c>
      <c r="J193" s="99">
        <f t="shared" si="20"/>
        <v>-1</v>
      </c>
      <c r="K193" s="99">
        <f t="shared" si="16"/>
        <v>-10</v>
      </c>
      <c r="L193" s="99"/>
      <c r="M193" s="101">
        <f t="shared" si="17"/>
        <v>0</v>
      </c>
      <c r="N193" s="101">
        <f t="shared" si="18"/>
        <v>0</v>
      </c>
      <c r="O193" s="80"/>
      <c r="P193" s="80"/>
      <c r="Q193" s="80"/>
      <c r="R193" s="80"/>
      <c r="S193" s="80"/>
    </row>
    <row r="194" spans="1:20" s="85" customFormat="1" x14ac:dyDescent="0.25">
      <c r="A194" s="94">
        <f t="shared" si="19"/>
        <v>0</v>
      </c>
      <c r="B194" s="34" t="str">
        <f t="shared" si="21"/>
        <v/>
      </c>
      <c r="C194" s="35" t="s">
        <v>49</v>
      </c>
      <c r="D194" s="35"/>
      <c r="E194" s="35"/>
      <c r="F194" s="35"/>
      <c r="G194" s="80"/>
      <c r="H194" s="95">
        <v>189</v>
      </c>
      <c r="I194" s="96" t="str">
        <f t="shared" si="15"/>
        <v/>
      </c>
      <c r="J194" s="95">
        <f t="shared" si="20"/>
        <v>-1</v>
      </c>
      <c r="K194" s="95">
        <f t="shared" si="16"/>
        <v>-10</v>
      </c>
      <c r="L194" s="95"/>
      <c r="M194" s="97">
        <f t="shared" si="17"/>
        <v>0</v>
      </c>
      <c r="N194" s="97">
        <f t="shared" si="18"/>
        <v>0</v>
      </c>
      <c r="O194" s="80"/>
      <c r="P194" s="80"/>
      <c r="Q194" s="80"/>
      <c r="R194" s="80"/>
      <c r="S194" s="109"/>
      <c r="T194" s="110"/>
    </row>
    <row r="195" spans="1:20" s="85" customFormat="1" x14ac:dyDescent="0.25">
      <c r="A195" s="98">
        <f t="shared" si="19"/>
        <v>0</v>
      </c>
      <c r="B195" s="40" t="str">
        <f t="shared" si="21"/>
        <v/>
      </c>
      <c r="C195" s="41" t="s">
        <v>49</v>
      </c>
      <c r="D195" s="41"/>
      <c r="E195" s="41"/>
      <c r="F195" s="41"/>
      <c r="G195" s="80"/>
      <c r="H195" s="99">
        <v>190</v>
      </c>
      <c r="I195" s="100" t="str">
        <f t="shared" si="15"/>
        <v/>
      </c>
      <c r="J195" s="99">
        <f t="shared" si="20"/>
        <v>-1</v>
      </c>
      <c r="K195" s="99">
        <f t="shared" si="16"/>
        <v>-10</v>
      </c>
      <c r="L195" s="99"/>
      <c r="M195" s="101">
        <f t="shared" si="17"/>
        <v>0</v>
      </c>
      <c r="N195" s="101">
        <f t="shared" si="18"/>
        <v>0</v>
      </c>
      <c r="O195" s="80"/>
      <c r="P195" s="80"/>
      <c r="Q195" s="80"/>
      <c r="R195" s="80"/>
      <c r="S195" s="80"/>
    </row>
    <row r="196" spans="1:20" s="85" customFormat="1" x14ac:dyDescent="0.25">
      <c r="A196" s="94">
        <f t="shared" si="19"/>
        <v>0</v>
      </c>
      <c r="B196" s="34" t="str">
        <f t="shared" si="21"/>
        <v/>
      </c>
      <c r="C196" s="35" t="s">
        <v>49</v>
      </c>
      <c r="D196" s="35"/>
      <c r="E196" s="35"/>
      <c r="F196" s="35"/>
      <c r="G196" s="80"/>
      <c r="H196" s="95">
        <v>191</v>
      </c>
      <c r="I196" s="96" t="str">
        <f t="shared" si="15"/>
        <v/>
      </c>
      <c r="J196" s="95">
        <f t="shared" si="20"/>
        <v>-1</v>
      </c>
      <c r="K196" s="95">
        <f t="shared" si="16"/>
        <v>-10</v>
      </c>
      <c r="L196" s="95"/>
      <c r="M196" s="97">
        <f t="shared" si="17"/>
        <v>0</v>
      </c>
      <c r="N196" s="97">
        <f t="shared" si="18"/>
        <v>0</v>
      </c>
      <c r="O196" s="80"/>
      <c r="P196" s="80"/>
      <c r="Q196" s="80"/>
      <c r="R196" s="80"/>
      <c r="S196" s="109"/>
      <c r="T196" s="110"/>
    </row>
    <row r="197" spans="1:20" s="85" customFormat="1" x14ac:dyDescent="0.25">
      <c r="A197" s="98">
        <f t="shared" si="19"/>
        <v>0</v>
      </c>
      <c r="B197" s="40" t="str">
        <f t="shared" si="21"/>
        <v/>
      </c>
      <c r="C197" s="41" t="s">
        <v>49</v>
      </c>
      <c r="D197" s="41"/>
      <c r="E197" s="41"/>
      <c r="F197" s="41"/>
      <c r="G197" s="80"/>
      <c r="H197" s="99">
        <v>192</v>
      </c>
      <c r="I197" s="100" t="str">
        <f t="shared" si="15"/>
        <v/>
      </c>
      <c r="J197" s="99">
        <f t="shared" si="20"/>
        <v>-1</v>
      </c>
      <c r="K197" s="99">
        <f t="shared" si="16"/>
        <v>-10</v>
      </c>
      <c r="L197" s="99"/>
      <c r="M197" s="101">
        <f t="shared" si="17"/>
        <v>0</v>
      </c>
      <c r="N197" s="101">
        <f t="shared" si="18"/>
        <v>0</v>
      </c>
      <c r="O197" s="80"/>
      <c r="P197" s="80"/>
      <c r="Q197" s="80"/>
      <c r="R197" s="80"/>
      <c r="S197" s="80"/>
    </row>
    <row r="198" spans="1:20" s="85" customFormat="1" x14ac:dyDescent="0.25">
      <c r="A198" s="94">
        <f t="shared" si="19"/>
        <v>0</v>
      </c>
      <c r="B198" s="34" t="str">
        <f t="shared" si="21"/>
        <v/>
      </c>
      <c r="C198" s="35" t="s">
        <v>49</v>
      </c>
      <c r="D198" s="35"/>
      <c r="E198" s="35"/>
      <c r="F198" s="35"/>
      <c r="G198" s="80"/>
      <c r="H198" s="95">
        <v>193</v>
      </c>
      <c r="I198" s="96" t="str">
        <f t="shared" ref="I198:I261" si="22">IF(H198&lt;$H$2+1,($I$2-($I$2-1)*(LOG(H198)/LOG($H$2))),"")</f>
        <v/>
      </c>
      <c r="J198" s="95">
        <f t="shared" si="20"/>
        <v>-1</v>
      </c>
      <c r="K198" s="95">
        <f t="shared" ref="K198:K261" si="23">J198*$J$2</f>
        <v>-10</v>
      </c>
      <c r="L198" s="95"/>
      <c r="M198" s="97">
        <f t="shared" ref="M198:M261" si="24">IF(I198&lt;&gt;"",K198+I198+L198,0)</f>
        <v>0</v>
      </c>
      <c r="N198" s="97">
        <f t="shared" ref="N198:N261" si="25">IF(I198&lt;&gt;"",M198*L$2,0)</f>
        <v>0</v>
      </c>
      <c r="O198" s="80"/>
      <c r="P198" s="80"/>
      <c r="Q198" s="80"/>
      <c r="R198" s="80"/>
      <c r="S198" s="109"/>
      <c r="T198" s="110"/>
    </row>
    <row r="199" spans="1:20" s="85" customFormat="1" x14ac:dyDescent="0.25">
      <c r="A199" s="98">
        <f t="shared" ref="A199:A262" si="26">N199</f>
        <v>0</v>
      </c>
      <c r="B199" s="40" t="str">
        <f t="shared" si="21"/>
        <v/>
      </c>
      <c r="C199" s="41" t="s">
        <v>49</v>
      </c>
      <c r="D199" s="41"/>
      <c r="E199" s="41"/>
      <c r="F199" s="41"/>
      <c r="G199" s="80"/>
      <c r="H199" s="99">
        <v>194</v>
      </c>
      <c r="I199" s="100" t="str">
        <f t="shared" si="22"/>
        <v/>
      </c>
      <c r="J199" s="99">
        <f t="shared" ref="J199:J262" si="27">INT(LOG($H$2,2))-ROUNDUP(LOG(H199,2),0)+IF(OR($H$2=1,$H$2=2,$H$2=4,$H$2=8,$H$2=16,$H$2=32,$H$2=64,$H$2=128,$H$2=256),0,1)</f>
        <v>-1</v>
      </c>
      <c r="K199" s="99">
        <f t="shared" si="23"/>
        <v>-10</v>
      </c>
      <c r="L199" s="99"/>
      <c r="M199" s="101">
        <f t="shared" si="24"/>
        <v>0</v>
      </c>
      <c r="N199" s="101">
        <f t="shared" si="25"/>
        <v>0</v>
      </c>
      <c r="O199" s="80"/>
      <c r="P199" s="80"/>
      <c r="Q199" s="80"/>
      <c r="R199" s="80"/>
      <c r="S199" s="80"/>
    </row>
    <row r="200" spans="1:20" s="85" customFormat="1" x14ac:dyDescent="0.25">
      <c r="A200" s="94">
        <f t="shared" si="26"/>
        <v>0</v>
      </c>
      <c r="B200" s="34" t="str">
        <f t="shared" si="21"/>
        <v/>
      </c>
      <c r="C200" s="35" t="s">
        <v>49</v>
      </c>
      <c r="D200" s="35"/>
      <c r="E200" s="35"/>
      <c r="F200" s="35"/>
      <c r="G200" s="80"/>
      <c r="H200" s="95">
        <v>195</v>
      </c>
      <c r="I200" s="96" t="str">
        <f t="shared" si="22"/>
        <v/>
      </c>
      <c r="J200" s="95">
        <f t="shared" si="27"/>
        <v>-1</v>
      </c>
      <c r="K200" s="95">
        <f t="shared" si="23"/>
        <v>-10</v>
      </c>
      <c r="L200" s="95"/>
      <c r="M200" s="97">
        <f t="shared" si="24"/>
        <v>0</v>
      </c>
      <c r="N200" s="97">
        <f t="shared" si="25"/>
        <v>0</v>
      </c>
      <c r="O200" s="80"/>
      <c r="P200" s="80"/>
      <c r="Q200" s="80"/>
      <c r="R200" s="80"/>
      <c r="S200" s="109"/>
      <c r="T200" s="110"/>
    </row>
    <row r="201" spans="1:20" s="85" customFormat="1" x14ac:dyDescent="0.25">
      <c r="A201" s="98">
        <f t="shared" si="26"/>
        <v>0</v>
      </c>
      <c r="B201" s="40" t="str">
        <f t="shared" si="21"/>
        <v/>
      </c>
      <c r="C201" s="41" t="s">
        <v>49</v>
      </c>
      <c r="D201" s="41"/>
      <c r="E201" s="41"/>
      <c r="F201" s="41"/>
      <c r="G201" s="80"/>
      <c r="H201" s="99">
        <v>196</v>
      </c>
      <c r="I201" s="100" t="str">
        <f t="shared" si="22"/>
        <v/>
      </c>
      <c r="J201" s="99">
        <f t="shared" si="27"/>
        <v>-1</v>
      </c>
      <c r="K201" s="99">
        <f t="shared" si="23"/>
        <v>-10</v>
      </c>
      <c r="L201" s="99"/>
      <c r="M201" s="101">
        <f t="shared" si="24"/>
        <v>0</v>
      </c>
      <c r="N201" s="101">
        <f t="shared" si="25"/>
        <v>0</v>
      </c>
      <c r="O201" s="80"/>
      <c r="P201" s="80"/>
      <c r="Q201" s="80"/>
      <c r="R201" s="80"/>
      <c r="S201" s="80"/>
    </row>
    <row r="202" spans="1:20" s="85" customFormat="1" x14ac:dyDescent="0.25">
      <c r="A202" s="94">
        <f t="shared" si="26"/>
        <v>0</v>
      </c>
      <c r="B202" s="34" t="str">
        <f t="shared" si="21"/>
        <v/>
      </c>
      <c r="C202" s="35" t="s">
        <v>49</v>
      </c>
      <c r="D202" s="35"/>
      <c r="E202" s="35"/>
      <c r="F202" s="35"/>
      <c r="G202" s="80"/>
      <c r="H202" s="95">
        <v>197</v>
      </c>
      <c r="I202" s="96" t="str">
        <f t="shared" si="22"/>
        <v/>
      </c>
      <c r="J202" s="95">
        <f t="shared" si="27"/>
        <v>-1</v>
      </c>
      <c r="K202" s="95">
        <f t="shared" si="23"/>
        <v>-10</v>
      </c>
      <c r="L202" s="95"/>
      <c r="M202" s="97">
        <f t="shared" si="24"/>
        <v>0</v>
      </c>
      <c r="N202" s="97">
        <f t="shared" si="25"/>
        <v>0</v>
      </c>
      <c r="O202" s="80"/>
      <c r="P202" s="80"/>
      <c r="Q202" s="80"/>
      <c r="R202" s="80"/>
      <c r="S202" s="109"/>
      <c r="T202" s="110"/>
    </row>
    <row r="203" spans="1:20" s="85" customFormat="1" x14ac:dyDescent="0.25">
      <c r="A203" s="98">
        <f t="shared" si="26"/>
        <v>0</v>
      </c>
      <c r="B203" s="40" t="str">
        <f t="shared" si="21"/>
        <v/>
      </c>
      <c r="C203" s="41" t="s">
        <v>49</v>
      </c>
      <c r="D203" s="41"/>
      <c r="E203" s="41"/>
      <c r="F203" s="41"/>
      <c r="G203" s="80"/>
      <c r="H203" s="99">
        <v>198</v>
      </c>
      <c r="I203" s="100" t="str">
        <f t="shared" si="22"/>
        <v/>
      </c>
      <c r="J203" s="99">
        <f t="shared" si="27"/>
        <v>-1</v>
      </c>
      <c r="K203" s="99">
        <f t="shared" si="23"/>
        <v>-10</v>
      </c>
      <c r="L203" s="99"/>
      <c r="M203" s="101">
        <f t="shared" si="24"/>
        <v>0</v>
      </c>
      <c r="N203" s="101">
        <f t="shared" si="25"/>
        <v>0</v>
      </c>
      <c r="O203" s="80"/>
      <c r="P203" s="80"/>
      <c r="Q203" s="80"/>
      <c r="R203" s="80"/>
      <c r="S203" s="80"/>
    </row>
    <row r="204" spans="1:20" s="85" customFormat="1" x14ac:dyDescent="0.25">
      <c r="A204" s="94">
        <f t="shared" si="26"/>
        <v>0</v>
      </c>
      <c r="B204" s="34" t="str">
        <f t="shared" si="21"/>
        <v/>
      </c>
      <c r="C204" s="35" t="s">
        <v>49</v>
      </c>
      <c r="D204" s="35"/>
      <c r="E204" s="35"/>
      <c r="F204" s="35"/>
      <c r="G204" s="80"/>
      <c r="H204" s="95">
        <v>199</v>
      </c>
      <c r="I204" s="96" t="str">
        <f t="shared" si="22"/>
        <v/>
      </c>
      <c r="J204" s="95">
        <f t="shared" si="27"/>
        <v>-1</v>
      </c>
      <c r="K204" s="95">
        <f t="shared" si="23"/>
        <v>-10</v>
      </c>
      <c r="L204" s="95"/>
      <c r="M204" s="97">
        <f t="shared" si="24"/>
        <v>0</v>
      </c>
      <c r="N204" s="97">
        <f t="shared" si="25"/>
        <v>0</v>
      </c>
      <c r="O204" s="80"/>
      <c r="P204" s="80"/>
      <c r="Q204" s="80"/>
      <c r="R204" s="80"/>
      <c r="S204" s="109"/>
      <c r="T204" s="110"/>
    </row>
    <row r="205" spans="1:20" s="85" customFormat="1" x14ac:dyDescent="0.25">
      <c r="A205" s="98">
        <f t="shared" si="26"/>
        <v>0</v>
      </c>
      <c r="B205" s="40" t="str">
        <f t="shared" si="21"/>
        <v/>
      </c>
      <c r="C205" s="41" t="s">
        <v>49</v>
      </c>
      <c r="D205" s="41"/>
      <c r="E205" s="41"/>
      <c r="F205" s="41"/>
      <c r="G205" s="80"/>
      <c r="H205" s="99">
        <v>200</v>
      </c>
      <c r="I205" s="100" t="str">
        <f t="shared" si="22"/>
        <v/>
      </c>
      <c r="J205" s="99">
        <f t="shared" si="27"/>
        <v>-1</v>
      </c>
      <c r="K205" s="99">
        <f t="shared" si="23"/>
        <v>-10</v>
      </c>
      <c r="L205" s="99"/>
      <c r="M205" s="101">
        <f t="shared" si="24"/>
        <v>0</v>
      </c>
      <c r="N205" s="101">
        <f t="shared" si="25"/>
        <v>0</v>
      </c>
      <c r="O205" s="80"/>
      <c r="P205" s="80"/>
      <c r="Q205" s="80"/>
      <c r="R205" s="80"/>
      <c r="S205" s="80"/>
    </row>
    <row r="206" spans="1:20" s="85" customFormat="1" x14ac:dyDescent="0.25">
      <c r="A206" s="94">
        <f t="shared" si="26"/>
        <v>0</v>
      </c>
      <c r="B206" s="34" t="str">
        <f t="shared" si="21"/>
        <v/>
      </c>
      <c r="C206" s="35" t="s">
        <v>49</v>
      </c>
      <c r="D206" s="35"/>
      <c r="E206" s="35"/>
      <c r="F206" s="35"/>
      <c r="G206" s="80"/>
      <c r="H206" s="95">
        <v>201</v>
      </c>
      <c r="I206" s="96" t="str">
        <f t="shared" si="22"/>
        <v/>
      </c>
      <c r="J206" s="95">
        <f t="shared" si="27"/>
        <v>-1</v>
      </c>
      <c r="K206" s="95">
        <f t="shared" si="23"/>
        <v>-10</v>
      </c>
      <c r="L206" s="95"/>
      <c r="M206" s="97">
        <f t="shared" si="24"/>
        <v>0</v>
      </c>
      <c r="N206" s="97">
        <f t="shared" si="25"/>
        <v>0</v>
      </c>
      <c r="O206" s="80"/>
      <c r="P206" s="80"/>
      <c r="Q206" s="80"/>
      <c r="R206" s="80"/>
      <c r="S206" s="109"/>
      <c r="T206" s="110"/>
    </row>
    <row r="207" spans="1:20" s="85" customFormat="1" x14ac:dyDescent="0.25">
      <c r="A207" s="98">
        <f t="shared" si="26"/>
        <v>0</v>
      </c>
      <c r="B207" s="40" t="str">
        <f t="shared" ref="B207:B250" si="28">IF(H207&gt;$H$2,"",(ROW()-5))</f>
        <v/>
      </c>
      <c r="C207" s="41" t="s">
        <v>49</v>
      </c>
      <c r="D207" s="41"/>
      <c r="E207" s="41"/>
      <c r="F207" s="41"/>
      <c r="G207" s="80"/>
      <c r="H207" s="99">
        <v>202</v>
      </c>
      <c r="I207" s="100" t="str">
        <f t="shared" si="22"/>
        <v/>
      </c>
      <c r="J207" s="99">
        <f t="shared" si="27"/>
        <v>-1</v>
      </c>
      <c r="K207" s="99">
        <f t="shared" si="23"/>
        <v>-10</v>
      </c>
      <c r="L207" s="99"/>
      <c r="M207" s="101">
        <f t="shared" si="24"/>
        <v>0</v>
      </c>
      <c r="N207" s="101">
        <f t="shared" si="25"/>
        <v>0</v>
      </c>
      <c r="O207" s="80"/>
      <c r="P207" s="80"/>
      <c r="Q207" s="80"/>
      <c r="R207" s="80"/>
      <c r="S207" s="80"/>
    </row>
    <row r="208" spans="1:20" s="85" customFormat="1" x14ac:dyDescent="0.25">
      <c r="A208" s="94">
        <f t="shared" si="26"/>
        <v>0</v>
      </c>
      <c r="B208" s="34" t="str">
        <f t="shared" si="28"/>
        <v/>
      </c>
      <c r="C208" s="35" t="s">
        <v>49</v>
      </c>
      <c r="D208" s="35"/>
      <c r="E208" s="35"/>
      <c r="F208" s="35"/>
      <c r="G208" s="80"/>
      <c r="H208" s="95">
        <v>203</v>
      </c>
      <c r="I208" s="96" t="str">
        <f t="shared" si="22"/>
        <v/>
      </c>
      <c r="J208" s="95">
        <f t="shared" si="27"/>
        <v>-1</v>
      </c>
      <c r="K208" s="95">
        <f t="shared" si="23"/>
        <v>-10</v>
      </c>
      <c r="L208" s="95"/>
      <c r="M208" s="97">
        <f t="shared" si="24"/>
        <v>0</v>
      </c>
      <c r="N208" s="97">
        <f t="shared" si="25"/>
        <v>0</v>
      </c>
      <c r="O208" s="80"/>
      <c r="P208" s="80"/>
      <c r="Q208" s="80"/>
      <c r="R208" s="80"/>
      <c r="S208" s="109"/>
      <c r="T208" s="110"/>
    </row>
    <row r="209" spans="1:20" s="85" customFormat="1" x14ac:dyDescent="0.25">
      <c r="A209" s="98">
        <f t="shared" si="26"/>
        <v>0</v>
      </c>
      <c r="B209" s="40" t="str">
        <f t="shared" si="28"/>
        <v/>
      </c>
      <c r="C209" s="41" t="s">
        <v>49</v>
      </c>
      <c r="D209" s="41"/>
      <c r="E209" s="41"/>
      <c r="F209" s="41"/>
      <c r="G209" s="80"/>
      <c r="H209" s="99">
        <v>204</v>
      </c>
      <c r="I209" s="100" t="str">
        <f t="shared" si="22"/>
        <v/>
      </c>
      <c r="J209" s="99">
        <f t="shared" si="27"/>
        <v>-1</v>
      </c>
      <c r="K209" s="99">
        <f t="shared" si="23"/>
        <v>-10</v>
      </c>
      <c r="L209" s="99"/>
      <c r="M209" s="101">
        <f t="shared" si="24"/>
        <v>0</v>
      </c>
      <c r="N209" s="101">
        <f t="shared" si="25"/>
        <v>0</v>
      </c>
      <c r="O209" s="80"/>
      <c r="P209" s="80"/>
      <c r="Q209" s="80"/>
      <c r="R209" s="80"/>
      <c r="S209" s="80"/>
    </row>
    <row r="210" spans="1:20" s="85" customFormat="1" x14ac:dyDescent="0.25">
      <c r="A210" s="94">
        <f t="shared" si="26"/>
        <v>0</v>
      </c>
      <c r="B210" s="34" t="str">
        <f t="shared" si="28"/>
        <v/>
      </c>
      <c r="C210" s="35" t="s">
        <v>49</v>
      </c>
      <c r="D210" s="35"/>
      <c r="E210" s="35"/>
      <c r="F210" s="35"/>
      <c r="G210" s="80"/>
      <c r="H210" s="95">
        <v>205</v>
      </c>
      <c r="I210" s="96" t="str">
        <f t="shared" si="22"/>
        <v/>
      </c>
      <c r="J210" s="95">
        <f t="shared" si="27"/>
        <v>-1</v>
      </c>
      <c r="K210" s="95">
        <f t="shared" si="23"/>
        <v>-10</v>
      </c>
      <c r="L210" s="95"/>
      <c r="M210" s="97">
        <f t="shared" si="24"/>
        <v>0</v>
      </c>
      <c r="N210" s="97">
        <f t="shared" si="25"/>
        <v>0</v>
      </c>
      <c r="O210" s="80"/>
      <c r="P210" s="80"/>
      <c r="Q210" s="80"/>
      <c r="R210" s="80"/>
      <c r="S210" s="109"/>
      <c r="T210" s="110"/>
    </row>
    <row r="211" spans="1:20" s="85" customFormat="1" x14ac:dyDescent="0.25">
      <c r="A211" s="98">
        <f t="shared" si="26"/>
        <v>0</v>
      </c>
      <c r="B211" s="40" t="str">
        <f t="shared" si="28"/>
        <v/>
      </c>
      <c r="C211" s="41" t="s">
        <v>49</v>
      </c>
      <c r="D211" s="41"/>
      <c r="E211" s="41"/>
      <c r="F211" s="41"/>
      <c r="G211" s="80"/>
      <c r="H211" s="99">
        <v>206</v>
      </c>
      <c r="I211" s="100" t="str">
        <f t="shared" si="22"/>
        <v/>
      </c>
      <c r="J211" s="99">
        <f t="shared" si="27"/>
        <v>-1</v>
      </c>
      <c r="K211" s="99">
        <f t="shared" si="23"/>
        <v>-10</v>
      </c>
      <c r="L211" s="99"/>
      <c r="M211" s="101">
        <f t="shared" si="24"/>
        <v>0</v>
      </c>
      <c r="N211" s="101">
        <f t="shared" si="25"/>
        <v>0</v>
      </c>
      <c r="O211" s="80"/>
      <c r="P211" s="80"/>
      <c r="Q211" s="80"/>
      <c r="R211" s="80"/>
      <c r="S211" s="80"/>
    </row>
    <row r="212" spans="1:20" s="85" customFormat="1" x14ac:dyDescent="0.25">
      <c r="A212" s="94">
        <f t="shared" si="26"/>
        <v>0</v>
      </c>
      <c r="B212" s="34" t="str">
        <f t="shared" si="28"/>
        <v/>
      </c>
      <c r="C212" s="35" t="s">
        <v>49</v>
      </c>
      <c r="D212" s="35"/>
      <c r="E212" s="35"/>
      <c r="F212" s="35"/>
      <c r="G212" s="80"/>
      <c r="H212" s="95">
        <v>207</v>
      </c>
      <c r="I212" s="96" t="str">
        <f t="shared" si="22"/>
        <v/>
      </c>
      <c r="J212" s="95">
        <f t="shared" si="27"/>
        <v>-1</v>
      </c>
      <c r="K212" s="95">
        <f t="shared" si="23"/>
        <v>-10</v>
      </c>
      <c r="L212" s="95"/>
      <c r="M212" s="97">
        <f t="shared" si="24"/>
        <v>0</v>
      </c>
      <c r="N212" s="97">
        <f t="shared" si="25"/>
        <v>0</v>
      </c>
      <c r="O212" s="80"/>
      <c r="P212" s="80"/>
      <c r="Q212" s="80"/>
      <c r="R212" s="80"/>
      <c r="S212" s="109"/>
      <c r="T212" s="110"/>
    </row>
    <row r="213" spans="1:20" s="85" customFormat="1" x14ac:dyDescent="0.25">
      <c r="A213" s="98">
        <f t="shared" si="26"/>
        <v>0</v>
      </c>
      <c r="B213" s="40" t="str">
        <f t="shared" si="28"/>
        <v/>
      </c>
      <c r="C213" s="41" t="s">
        <v>49</v>
      </c>
      <c r="D213" s="41"/>
      <c r="E213" s="41"/>
      <c r="F213" s="41"/>
      <c r="G213" s="80"/>
      <c r="H213" s="99">
        <v>208</v>
      </c>
      <c r="I213" s="100" t="str">
        <f t="shared" si="22"/>
        <v/>
      </c>
      <c r="J213" s="99">
        <f t="shared" si="27"/>
        <v>-1</v>
      </c>
      <c r="K213" s="99">
        <f t="shared" si="23"/>
        <v>-10</v>
      </c>
      <c r="L213" s="99"/>
      <c r="M213" s="101">
        <f t="shared" si="24"/>
        <v>0</v>
      </c>
      <c r="N213" s="101">
        <f t="shared" si="25"/>
        <v>0</v>
      </c>
      <c r="O213" s="80"/>
      <c r="P213" s="80"/>
      <c r="Q213" s="80"/>
      <c r="R213" s="80"/>
      <c r="S213" s="80"/>
    </row>
    <row r="214" spans="1:20" s="85" customFormat="1" x14ac:dyDescent="0.25">
      <c r="A214" s="94">
        <f t="shared" si="26"/>
        <v>0</v>
      </c>
      <c r="B214" s="34" t="str">
        <f t="shared" si="28"/>
        <v/>
      </c>
      <c r="C214" s="35" t="s">
        <v>49</v>
      </c>
      <c r="D214" s="35"/>
      <c r="E214" s="35"/>
      <c r="F214" s="35"/>
      <c r="G214" s="80"/>
      <c r="H214" s="95">
        <v>209</v>
      </c>
      <c r="I214" s="96" t="str">
        <f t="shared" si="22"/>
        <v/>
      </c>
      <c r="J214" s="95">
        <f t="shared" si="27"/>
        <v>-1</v>
      </c>
      <c r="K214" s="95">
        <f t="shared" si="23"/>
        <v>-10</v>
      </c>
      <c r="L214" s="95"/>
      <c r="M214" s="97">
        <f t="shared" si="24"/>
        <v>0</v>
      </c>
      <c r="N214" s="97">
        <f t="shared" si="25"/>
        <v>0</v>
      </c>
      <c r="O214" s="80"/>
      <c r="P214" s="80"/>
      <c r="Q214" s="80"/>
      <c r="R214" s="80"/>
      <c r="S214" s="109"/>
      <c r="T214" s="110"/>
    </row>
    <row r="215" spans="1:20" s="85" customFormat="1" x14ac:dyDescent="0.25">
      <c r="A215" s="98">
        <f t="shared" si="26"/>
        <v>0</v>
      </c>
      <c r="B215" s="40" t="str">
        <f t="shared" si="28"/>
        <v/>
      </c>
      <c r="C215" s="41" t="s">
        <v>49</v>
      </c>
      <c r="D215" s="41"/>
      <c r="E215" s="41"/>
      <c r="F215" s="41"/>
      <c r="G215" s="80"/>
      <c r="H215" s="99">
        <v>210</v>
      </c>
      <c r="I215" s="100" t="str">
        <f t="shared" si="22"/>
        <v/>
      </c>
      <c r="J215" s="99">
        <f t="shared" si="27"/>
        <v>-1</v>
      </c>
      <c r="K215" s="99">
        <f t="shared" si="23"/>
        <v>-10</v>
      </c>
      <c r="L215" s="99"/>
      <c r="M215" s="101">
        <f t="shared" si="24"/>
        <v>0</v>
      </c>
      <c r="N215" s="101">
        <f t="shared" si="25"/>
        <v>0</v>
      </c>
      <c r="O215" s="80"/>
      <c r="P215" s="80"/>
      <c r="Q215" s="80"/>
      <c r="R215" s="80"/>
      <c r="S215" s="80"/>
    </row>
    <row r="216" spans="1:20" s="85" customFormat="1" x14ac:dyDescent="0.25">
      <c r="A216" s="94">
        <f t="shared" si="26"/>
        <v>0</v>
      </c>
      <c r="B216" s="34" t="str">
        <f t="shared" si="28"/>
        <v/>
      </c>
      <c r="C216" s="35" t="s">
        <v>49</v>
      </c>
      <c r="D216" s="35"/>
      <c r="E216" s="35"/>
      <c r="F216" s="35"/>
      <c r="G216" s="80"/>
      <c r="H216" s="95">
        <v>211</v>
      </c>
      <c r="I216" s="96" t="str">
        <f t="shared" si="22"/>
        <v/>
      </c>
      <c r="J216" s="95">
        <f t="shared" si="27"/>
        <v>-1</v>
      </c>
      <c r="K216" s="95">
        <f t="shared" si="23"/>
        <v>-10</v>
      </c>
      <c r="L216" s="95"/>
      <c r="M216" s="97">
        <f t="shared" si="24"/>
        <v>0</v>
      </c>
      <c r="N216" s="97">
        <f t="shared" si="25"/>
        <v>0</v>
      </c>
      <c r="O216" s="80"/>
      <c r="P216" s="80"/>
      <c r="Q216" s="80"/>
      <c r="R216" s="80"/>
      <c r="S216" s="109"/>
      <c r="T216" s="110"/>
    </row>
    <row r="217" spans="1:20" s="85" customFormat="1" x14ac:dyDescent="0.25">
      <c r="A217" s="98">
        <f t="shared" si="26"/>
        <v>0</v>
      </c>
      <c r="B217" s="40" t="str">
        <f t="shared" si="28"/>
        <v/>
      </c>
      <c r="C217" s="41" t="s">
        <v>49</v>
      </c>
      <c r="D217" s="41"/>
      <c r="E217" s="41"/>
      <c r="F217" s="41"/>
      <c r="G217" s="80"/>
      <c r="H217" s="99">
        <v>212</v>
      </c>
      <c r="I217" s="100" t="str">
        <f t="shared" si="22"/>
        <v/>
      </c>
      <c r="J217" s="99">
        <f t="shared" si="27"/>
        <v>-1</v>
      </c>
      <c r="K217" s="99">
        <f t="shared" si="23"/>
        <v>-10</v>
      </c>
      <c r="L217" s="99"/>
      <c r="M217" s="101">
        <f t="shared" si="24"/>
        <v>0</v>
      </c>
      <c r="N217" s="101">
        <f t="shared" si="25"/>
        <v>0</v>
      </c>
      <c r="O217" s="80"/>
      <c r="P217" s="80"/>
      <c r="Q217" s="80"/>
      <c r="R217" s="80"/>
      <c r="S217" s="80"/>
    </row>
    <row r="218" spans="1:20" s="85" customFormat="1" x14ac:dyDescent="0.25">
      <c r="A218" s="94">
        <f t="shared" si="26"/>
        <v>0</v>
      </c>
      <c r="B218" s="34" t="str">
        <f t="shared" si="28"/>
        <v/>
      </c>
      <c r="C218" s="35" t="s">
        <v>49</v>
      </c>
      <c r="D218" s="35"/>
      <c r="E218" s="35"/>
      <c r="F218" s="35"/>
      <c r="G218" s="80"/>
      <c r="H218" s="95">
        <v>213</v>
      </c>
      <c r="I218" s="96" t="str">
        <f t="shared" si="22"/>
        <v/>
      </c>
      <c r="J218" s="95">
        <f t="shared" si="27"/>
        <v>-1</v>
      </c>
      <c r="K218" s="95">
        <f t="shared" si="23"/>
        <v>-10</v>
      </c>
      <c r="L218" s="95"/>
      <c r="M218" s="97">
        <f t="shared" si="24"/>
        <v>0</v>
      </c>
      <c r="N218" s="97">
        <f t="shared" si="25"/>
        <v>0</v>
      </c>
      <c r="O218" s="80"/>
      <c r="P218" s="80"/>
      <c r="Q218" s="80"/>
      <c r="R218" s="80"/>
      <c r="S218" s="109"/>
      <c r="T218" s="110"/>
    </row>
    <row r="219" spans="1:20" s="85" customFormat="1" x14ac:dyDescent="0.25">
      <c r="A219" s="98">
        <f t="shared" si="26"/>
        <v>0</v>
      </c>
      <c r="B219" s="40" t="str">
        <f t="shared" si="28"/>
        <v/>
      </c>
      <c r="C219" s="41" t="s">
        <v>49</v>
      </c>
      <c r="D219" s="41"/>
      <c r="E219" s="41"/>
      <c r="F219" s="41"/>
      <c r="G219" s="80"/>
      <c r="H219" s="99">
        <v>214</v>
      </c>
      <c r="I219" s="100" t="str">
        <f t="shared" si="22"/>
        <v/>
      </c>
      <c r="J219" s="99">
        <f t="shared" si="27"/>
        <v>-1</v>
      </c>
      <c r="K219" s="99">
        <f t="shared" si="23"/>
        <v>-10</v>
      </c>
      <c r="L219" s="99"/>
      <c r="M219" s="101">
        <f t="shared" si="24"/>
        <v>0</v>
      </c>
      <c r="N219" s="101">
        <f t="shared" si="25"/>
        <v>0</v>
      </c>
      <c r="O219" s="80"/>
      <c r="P219" s="80"/>
      <c r="Q219" s="80"/>
      <c r="R219" s="80"/>
      <c r="S219" s="80"/>
    </row>
    <row r="220" spans="1:20" s="85" customFormat="1" x14ac:dyDescent="0.25">
      <c r="A220" s="94">
        <f t="shared" si="26"/>
        <v>0</v>
      </c>
      <c r="B220" s="34" t="str">
        <f t="shared" si="28"/>
        <v/>
      </c>
      <c r="C220" s="35" t="s">
        <v>49</v>
      </c>
      <c r="D220" s="35"/>
      <c r="E220" s="35"/>
      <c r="F220" s="35"/>
      <c r="G220" s="80"/>
      <c r="H220" s="95">
        <v>215</v>
      </c>
      <c r="I220" s="96" t="str">
        <f t="shared" si="22"/>
        <v/>
      </c>
      <c r="J220" s="95">
        <f t="shared" si="27"/>
        <v>-1</v>
      </c>
      <c r="K220" s="95">
        <f t="shared" si="23"/>
        <v>-10</v>
      </c>
      <c r="L220" s="95"/>
      <c r="M220" s="97">
        <f t="shared" si="24"/>
        <v>0</v>
      </c>
      <c r="N220" s="97">
        <f t="shared" si="25"/>
        <v>0</v>
      </c>
      <c r="O220" s="80"/>
      <c r="P220" s="80"/>
      <c r="Q220" s="80"/>
      <c r="R220" s="80"/>
      <c r="S220" s="109"/>
      <c r="T220" s="110"/>
    </row>
    <row r="221" spans="1:20" s="85" customFormat="1" x14ac:dyDescent="0.25">
      <c r="A221" s="98">
        <f t="shared" si="26"/>
        <v>0</v>
      </c>
      <c r="B221" s="40" t="str">
        <f t="shared" si="28"/>
        <v/>
      </c>
      <c r="C221" s="41" t="s">
        <v>49</v>
      </c>
      <c r="D221" s="41"/>
      <c r="E221" s="41"/>
      <c r="F221" s="41"/>
      <c r="G221" s="80"/>
      <c r="H221" s="99">
        <v>216</v>
      </c>
      <c r="I221" s="100" t="str">
        <f t="shared" si="22"/>
        <v/>
      </c>
      <c r="J221" s="99">
        <f t="shared" si="27"/>
        <v>-1</v>
      </c>
      <c r="K221" s="99">
        <f t="shared" si="23"/>
        <v>-10</v>
      </c>
      <c r="L221" s="99"/>
      <c r="M221" s="101">
        <f t="shared" si="24"/>
        <v>0</v>
      </c>
      <c r="N221" s="101">
        <f t="shared" si="25"/>
        <v>0</v>
      </c>
      <c r="O221" s="80"/>
      <c r="P221" s="80"/>
      <c r="Q221" s="80"/>
      <c r="R221" s="80"/>
      <c r="S221" s="80"/>
    </row>
    <row r="222" spans="1:20" s="85" customFormat="1" x14ac:dyDescent="0.25">
      <c r="A222" s="94">
        <f t="shared" si="26"/>
        <v>0</v>
      </c>
      <c r="B222" s="34" t="str">
        <f t="shared" si="28"/>
        <v/>
      </c>
      <c r="C222" s="35" t="s">
        <v>49</v>
      </c>
      <c r="D222" s="35"/>
      <c r="E222" s="35"/>
      <c r="F222" s="35"/>
      <c r="G222" s="80"/>
      <c r="H222" s="95">
        <v>217</v>
      </c>
      <c r="I222" s="96" t="str">
        <f t="shared" si="22"/>
        <v/>
      </c>
      <c r="J222" s="95">
        <f t="shared" si="27"/>
        <v>-1</v>
      </c>
      <c r="K222" s="95">
        <f t="shared" si="23"/>
        <v>-10</v>
      </c>
      <c r="L222" s="95"/>
      <c r="M222" s="97">
        <f t="shared" si="24"/>
        <v>0</v>
      </c>
      <c r="N222" s="97">
        <f t="shared" si="25"/>
        <v>0</v>
      </c>
      <c r="O222" s="80"/>
      <c r="P222" s="80"/>
      <c r="Q222" s="80"/>
      <c r="R222" s="80"/>
      <c r="S222" s="109"/>
      <c r="T222" s="110"/>
    </row>
    <row r="223" spans="1:20" s="85" customFormat="1" x14ac:dyDescent="0.25">
      <c r="A223" s="98">
        <f t="shared" si="26"/>
        <v>0</v>
      </c>
      <c r="B223" s="40" t="str">
        <f t="shared" si="28"/>
        <v/>
      </c>
      <c r="C223" s="41" t="s">
        <v>49</v>
      </c>
      <c r="D223" s="41"/>
      <c r="E223" s="41"/>
      <c r="F223" s="41"/>
      <c r="G223" s="80"/>
      <c r="H223" s="99">
        <v>218</v>
      </c>
      <c r="I223" s="100" t="str">
        <f t="shared" si="22"/>
        <v/>
      </c>
      <c r="J223" s="99">
        <f t="shared" si="27"/>
        <v>-1</v>
      </c>
      <c r="K223" s="99">
        <f t="shared" si="23"/>
        <v>-10</v>
      </c>
      <c r="L223" s="99"/>
      <c r="M223" s="101">
        <f t="shared" si="24"/>
        <v>0</v>
      </c>
      <c r="N223" s="101">
        <f t="shared" si="25"/>
        <v>0</v>
      </c>
      <c r="O223" s="80"/>
      <c r="P223" s="80"/>
      <c r="Q223" s="80"/>
      <c r="R223" s="80"/>
      <c r="S223" s="80"/>
    </row>
    <row r="224" spans="1:20" s="85" customFormat="1" x14ac:dyDescent="0.25">
      <c r="A224" s="94">
        <f t="shared" si="26"/>
        <v>0</v>
      </c>
      <c r="B224" s="34" t="str">
        <f t="shared" si="28"/>
        <v/>
      </c>
      <c r="C224" s="35" t="s">
        <v>49</v>
      </c>
      <c r="D224" s="35"/>
      <c r="E224" s="35"/>
      <c r="F224" s="35"/>
      <c r="G224" s="80"/>
      <c r="H224" s="95">
        <v>219</v>
      </c>
      <c r="I224" s="96" t="str">
        <f t="shared" si="22"/>
        <v/>
      </c>
      <c r="J224" s="95">
        <f t="shared" si="27"/>
        <v>-1</v>
      </c>
      <c r="K224" s="95">
        <f t="shared" si="23"/>
        <v>-10</v>
      </c>
      <c r="L224" s="95"/>
      <c r="M224" s="97">
        <f t="shared" si="24"/>
        <v>0</v>
      </c>
      <c r="N224" s="97">
        <f t="shared" si="25"/>
        <v>0</v>
      </c>
      <c r="O224" s="80"/>
      <c r="P224" s="80"/>
      <c r="Q224" s="80"/>
      <c r="R224" s="80"/>
      <c r="S224" s="109"/>
      <c r="T224" s="110"/>
    </row>
    <row r="225" spans="1:20" s="85" customFormat="1" x14ac:dyDescent="0.25">
      <c r="A225" s="98">
        <f t="shared" si="26"/>
        <v>0</v>
      </c>
      <c r="B225" s="40" t="str">
        <f t="shared" si="28"/>
        <v/>
      </c>
      <c r="C225" s="41" t="s">
        <v>49</v>
      </c>
      <c r="D225" s="41"/>
      <c r="E225" s="41"/>
      <c r="F225" s="41"/>
      <c r="G225" s="80"/>
      <c r="H225" s="99">
        <v>220</v>
      </c>
      <c r="I225" s="100" t="str">
        <f t="shared" si="22"/>
        <v/>
      </c>
      <c r="J225" s="99">
        <f t="shared" si="27"/>
        <v>-1</v>
      </c>
      <c r="K225" s="99">
        <f t="shared" si="23"/>
        <v>-10</v>
      </c>
      <c r="L225" s="99"/>
      <c r="M225" s="101">
        <f t="shared" si="24"/>
        <v>0</v>
      </c>
      <c r="N225" s="101">
        <f t="shared" si="25"/>
        <v>0</v>
      </c>
      <c r="O225" s="80"/>
      <c r="P225" s="80"/>
      <c r="Q225" s="80"/>
      <c r="R225" s="80"/>
      <c r="S225" s="80"/>
    </row>
    <row r="226" spans="1:20" s="85" customFormat="1" x14ac:dyDescent="0.25">
      <c r="A226" s="94">
        <f t="shared" si="26"/>
        <v>0</v>
      </c>
      <c r="B226" s="34" t="str">
        <f t="shared" si="28"/>
        <v/>
      </c>
      <c r="C226" s="35" t="s">
        <v>49</v>
      </c>
      <c r="D226" s="35"/>
      <c r="E226" s="35"/>
      <c r="F226" s="35"/>
      <c r="G226" s="80"/>
      <c r="H226" s="95">
        <v>221</v>
      </c>
      <c r="I226" s="96" t="str">
        <f t="shared" si="22"/>
        <v/>
      </c>
      <c r="J226" s="95">
        <f t="shared" si="27"/>
        <v>-1</v>
      </c>
      <c r="K226" s="95">
        <f t="shared" si="23"/>
        <v>-10</v>
      </c>
      <c r="L226" s="95"/>
      <c r="M226" s="97">
        <f t="shared" si="24"/>
        <v>0</v>
      </c>
      <c r="N226" s="97">
        <f t="shared" si="25"/>
        <v>0</v>
      </c>
      <c r="O226" s="80"/>
      <c r="P226" s="80"/>
      <c r="Q226" s="80"/>
      <c r="R226" s="80"/>
      <c r="S226" s="109"/>
      <c r="T226" s="110"/>
    </row>
    <row r="227" spans="1:20" s="85" customFormat="1" x14ac:dyDescent="0.25">
      <c r="A227" s="98">
        <f t="shared" si="26"/>
        <v>0</v>
      </c>
      <c r="B227" s="40" t="str">
        <f t="shared" si="28"/>
        <v/>
      </c>
      <c r="C227" s="41" t="s">
        <v>49</v>
      </c>
      <c r="D227" s="41"/>
      <c r="E227" s="41"/>
      <c r="F227" s="41"/>
      <c r="G227" s="80"/>
      <c r="H227" s="99">
        <v>222</v>
      </c>
      <c r="I227" s="100" t="str">
        <f t="shared" si="22"/>
        <v/>
      </c>
      <c r="J227" s="99">
        <f t="shared" si="27"/>
        <v>-1</v>
      </c>
      <c r="K227" s="99">
        <f t="shared" si="23"/>
        <v>-10</v>
      </c>
      <c r="L227" s="99"/>
      <c r="M227" s="101">
        <f t="shared" si="24"/>
        <v>0</v>
      </c>
      <c r="N227" s="101">
        <f t="shared" si="25"/>
        <v>0</v>
      </c>
      <c r="O227" s="80"/>
      <c r="P227" s="80"/>
      <c r="Q227" s="80"/>
      <c r="R227" s="80"/>
      <c r="S227" s="80"/>
    </row>
    <row r="228" spans="1:20" s="85" customFormat="1" x14ac:dyDescent="0.25">
      <c r="A228" s="94">
        <f t="shared" si="26"/>
        <v>0</v>
      </c>
      <c r="B228" s="34" t="str">
        <f t="shared" si="28"/>
        <v/>
      </c>
      <c r="C228" s="35" t="s">
        <v>49</v>
      </c>
      <c r="D228" s="35"/>
      <c r="E228" s="35"/>
      <c r="F228" s="35"/>
      <c r="G228" s="80"/>
      <c r="H228" s="95">
        <v>223</v>
      </c>
      <c r="I228" s="96" t="str">
        <f t="shared" si="22"/>
        <v/>
      </c>
      <c r="J228" s="95">
        <f t="shared" si="27"/>
        <v>-1</v>
      </c>
      <c r="K228" s="95">
        <f t="shared" si="23"/>
        <v>-10</v>
      </c>
      <c r="L228" s="95"/>
      <c r="M228" s="97">
        <f t="shared" si="24"/>
        <v>0</v>
      </c>
      <c r="N228" s="97">
        <f t="shared" si="25"/>
        <v>0</v>
      </c>
      <c r="O228" s="80"/>
      <c r="P228" s="80"/>
      <c r="Q228" s="80"/>
      <c r="R228" s="80"/>
      <c r="S228" s="109"/>
      <c r="T228" s="110"/>
    </row>
    <row r="229" spans="1:20" s="85" customFormat="1" x14ac:dyDescent="0.25">
      <c r="A229" s="98">
        <f t="shared" si="26"/>
        <v>0</v>
      </c>
      <c r="B229" s="40" t="str">
        <f t="shared" si="28"/>
        <v/>
      </c>
      <c r="C229" s="41" t="s">
        <v>49</v>
      </c>
      <c r="D229" s="41"/>
      <c r="E229" s="41"/>
      <c r="F229" s="41"/>
      <c r="G229" s="80"/>
      <c r="H229" s="99">
        <v>224</v>
      </c>
      <c r="I229" s="100" t="str">
        <f t="shared" si="22"/>
        <v/>
      </c>
      <c r="J229" s="99">
        <f t="shared" si="27"/>
        <v>-1</v>
      </c>
      <c r="K229" s="99">
        <f t="shared" si="23"/>
        <v>-10</v>
      </c>
      <c r="L229" s="99"/>
      <c r="M229" s="101">
        <f t="shared" si="24"/>
        <v>0</v>
      </c>
      <c r="N229" s="101">
        <f t="shared" si="25"/>
        <v>0</v>
      </c>
      <c r="O229" s="80"/>
      <c r="P229" s="80"/>
      <c r="Q229" s="80"/>
      <c r="R229" s="80"/>
      <c r="S229" s="80"/>
    </row>
    <row r="230" spans="1:20" s="85" customFormat="1" x14ac:dyDescent="0.25">
      <c r="A230" s="94">
        <f t="shared" si="26"/>
        <v>0</v>
      </c>
      <c r="B230" s="34" t="str">
        <f t="shared" si="28"/>
        <v/>
      </c>
      <c r="C230" s="35" t="s">
        <v>49</v>
      </c>
      <c r="D230" s="35"/>
      <c r="E230" s="35"/>
      <c r="F230" s="35"/>
      <c r="G230" s="80"/>
      <c r="H230" s="95">
        <v>225</v>
      </c>
      <c r="I230" s="96" t="str">
        <f t="shared" si="22"/>
        <v/>
      </c>
      <c r="J230" s="95">
        <f t="shared" si="27"/>
        <v>-1</v>
      </c>
      <c r="K230" s="95">
        <f t="shared" si="23"/>
        <v>-10</v>
      </c>
      <c r="L230" s="95"/>
      <c r="M230" s="97">
        <f t="shared" si="24"/>
        <v>0</v>
      </c>
      <c r="N230" s="97">
        <f t="shared" si="25"/>
        <v>0</v>
      </c>
      <c r="O230" s="80"/>
      <c r="P230" s="80"/>
      <c r="Q230" s="80"/>
      <c r="R230" s="80"/>
      <c r="S230" s="109"/>
      <c r="T230" s="110"/>
    </row>
    <row r="231" spans="1:20" s="85" customFormat="1" x14ac:dyDescent="0.25">
      <c r="A231" s="98">
        <f t="shared" si="26"/>
        <v>0</v>
      </c>
      <c r="B231" s="40" t="str">
        <f t="shared" si="28"/>
        <v/>
      </c>
      <c r="C231" s="41" t="s">
        <v>49</v>
      </c>
      <c r="D231" s="41"/>
      <c r="E231" s="41"/>
      <c r="F231" s="41"/>
      <c r="G231" s="80"/>
      <c r="H231" s="99">
        <v>226</v>
      </c>
      <c r="I231" s="100" t="str">
        <f t="shared" si="22"/>
        <v/>
      </c>
      <c r="J231" s="99">
        <f t="shared" si="27"/>
        <v>-1</v>
      </c>
      <c r="K231" s="99">
        <f t="shared" si="23"/>
        <v>-10</v>
      </c>
      <c r="L231" s="99"/>
      <c r="M231" s="101">
        <f t="shared" si="24"/>
        <v>0</v>
      </c>
      <c r="N231" s="101">
        <f t="shared" si="25"/>
        <v>0</v>
      </c>
      <c r="O231" s="80"/>
      <c r="P231" s="80"/>
      <c r="Q231" s="80"/>
      <c r="R231" s="80"/>
      <c r="S231" s="80"/>
    </row>
    <row r="232" spans="1:20" s="85" customFormat="1" x14ac:dyDescent="0.25">
      <c r="A232" s="94">
        <f t="shared" si="26"/>
        <v>0</v>
      </c>
      <c r="B232" s="34" t="str">
        <f t="shared" si="28"/>
        <v/>
      </c>
      <c r="C232" s="35" t="s">
        <v>49</v>
      </c>
      <c r="D232" s="35"/>
      <c r="E232" s="35"/>
      <c r="F232" s="35"/>
      <c r="G232" s="80"/>
      <c r="H232" s="95">
        <v>227</v>
      </c>
      <c r="I232" s="96" t="str">
        <f t="shared" si="22"/>
        <v/>
      </c>
      <c r="J232" s="95">
        <f t="shared" si="27"/>
        <v>-1</v>
      </c>
      <c r="K232" s="95">
        <f t="shared" si="23"/>
        <v>-10</v>
      </c>
      <c r="L232" s="95"/>
      <c r="M232" s="97">
        <f t="shared" si="24"/>
        <v>0</v>
      </c>
      <c r="N232" s="97">
        <f t="shared" si="25"/>
        <v>0</v>
      </c>
      <c r="O232" s="80"/>
      <c r="P232" s="80"/>
      <c r="Q232" s="80"/>
      <c r="R232" s="80"/>
      <c r="S232" s="109"/>
      <c r="T232" s="110"/>
    </row>
    <row r="233" spans="1:20" s="85" customFormat="1" x14ac:dyDescent="0.25">
      <c r="A233" s="98">
        <f t="shared" si="26"/>
        <v>0</v>
      </c>
      <c r="B233" s="40" t="str">
        <f t="shared" si="28"/>
        <v/>
      </c>
      <c r="C233" s="41" t="s">
        <v>49</v>
      </c>
      <c r="D233" s="41"/>
      <c r="E233" s="41"/>
      <c r="F233" s="41"/>
      <c r="G233" s="80"/>
      <c r="H233" s="99">
        <v>228</v>
      </c>
      <c r="I233" s="100" t="str">
        <f t="shared" si="22"/>
        <v/>
      </c>
      <c r="J233" s="99">
        <f t="shared" si="27"/>
        <v>-1</v>
      </c>
      <c r="K233" s="99">
        <f t="shared" si="23"/>
        <v>-10</v>
      </c>
      <c r="L233" s="99"/>
      <c r="M233" s="101">
        <f t="shared" si="24"/>
        <v>0</v>
      </c>
      <c r="N233" s="101">
        <f t="shared" si="25"/>
        <v>0</v>
      </c>
      <c r="O233" s="80"/>
      <c r="P233" s="80"/>
      <c r="Q233" s="80"/>
      <c r="R233" s="80"/>
      <c r="S233" s="80"/>
    </row>
    <row r="234" spans="1:20" s="85" customFormat="1" x14ac:dyDescent="0.25">
      <c r="A234" s="94">
        <f t="shared" si="26"/>
        <v>0</v>
      </c>
      <c r="B234" s="34" t="str">
        <f t="shared" si="28"/>
        <v/>
      </c>
      <c r="C234" s="35" t="s">
        <v>49</v>
      </c>
      <c r="D234" s="35"/>
      <c r="E234" s="35"/>
      <c r="F234" s="35"/>
      <c r="G234" s="80"/>
      <c r="H234" s="95">
        <v>229</v>
      </c>
      <c r="I234" s="96" t="str">
        <f t="shared" si="22"/>
        <v/>
      </c>
      <c r="J234" s="95">
        <f t="shared" si="27"/>
        <v>-1</v>
      </c>
      <c r="K234" s="95">
        <f t="shared" si="23"/>
        <v>-10</v>
      </c>
      <c r="L234" s="95"/>
      <c r="M234" s="97">
        <f t="shared" si="24"/>
        <v>0</v>
      </c>
      <c r="N234" s="97">
        <f t="shared" si="25"/>
        <v>0</v>
      </c>
      <c r="O234" s="80"/>
      <c r="P234" s="80"/>
      <c r="Q234" s="80"/>
      <c r="R234" s="80"/>
      <c r="S234" s="109"/>
      <c r="T234" s="110"/>
    </row>
    <row r="235" spans="1:20" s="85" customFormat="1" x14ac:dyDescent="0.25">
      <c r="A235" s="98">
        <f t="shared" si="26"/>
        <v>0</v>
      </c>
      <c r="B235" s="40" t="str">
        <f t="shared" si="28"/>
        <v/>
      </c>
      <c r="C235" s="41" t="s">
        <v>49</v>
      </c>
      <c r="D235" s="41"/>
      <c r="E235" s="41"/>
      <c r="F235" s="41"/>
      <c r="G235" s="80"/>
      <c r="H235" s="99">
        <v>230</v>
      </c>
      <c r="I235" s="100" t="str">
        <f t="shared" si="22"/>
        <v/>
      </c>
      <c r="J235" s="99">
        <f t="shared" si="27"/>
        <v>-1</v>
      </c>
      <c r="K235" s="99">
        <f t="shared" si="23"/>
        <v>-10</v>
      </c>
      <c r="L235" s="99"/>
      <c r="M235" s="101">
        <f t="shared" si="24"/>
        <v>0</v>
      </c>
      <c r="N235" s="101">
        <f t="shared" si="25"/>
        <v>0</v>
      </c>
      <c r="O235" s="80"/>
      <c r="P235" s="80"/>
      <c r="Q235" s="80"/>
      <c r="R235" s="80"/>
      <c r="S235" s="80"/>
    </row>
    <row r="236" spans="1:20" s="85" customFormat="1" x14ac:dyDescent="0.25">
      <c r="A236" s="94">
        <f t="shared" si="26"/>
        <v>0</v>
      </c>
      <c r="B236" s="34" t="str">
        <f t="shared" si="28"/>
        <v/>
      </c>
      <c r="C236" s="35" t="s">
        <v>49</v>
      </c>
      <c r="D236" s="35"/>
      <c r="E236" s="35"/>
      <c r="F236" s="35"/>
      <c r="G236" s="80"/>
      <c r="H236" s="95">
        <v>231</v>
      </c>
      <c r="I236" s="96" t="str">
        <f t="shared" si="22"/>
        <v/>
      </c>
      <c r="J236" s="95">
        <f t="shared" si="27"/>
        <v>-1</v>
      </c>
      <c r="K236" s="95">
        <f t="shared" si="23"/>
        <v>-10</v>
      </c>
      <c r="L236" s="95"/>
      <c r="M236" s="97">
        <f t="shared" si="24"/>
        <v>0</v>
      </c>
      <c r="N236" s="97">
        <f t="shared" si="25"/>
        <v>0</v>
      </c>
      <c r="O236" s="80"/>
      <c r="P236" s="80"/>
      <c r="Q236" s="80"/>
      <c r="R236" s="80"/>
      <c r="S236" s="109"/>
      <c r="T236" s="110"/>
    </row>
    <row r="237" spans="1:20" s="85" customFormat="1" x14ac:dyDescent="0.25">
      <c r="A237" s="98">
        <f t="shared" si="26"/>
        <v>0</v>
      </c>
      <c r="B237" s="40" t="str">
        <f t="shared" si="28"/>
        <v/>
      </c>
      <c r="C237" s="41" t="s">
        <v>49</v>
      </c>
      <c r="D237" s="41"/>
      <c r="E237" s="41"/>
      <c r="F237" s="41"/>
      <c r="G237" s="80"/>
      <c r="H237" s="99">
        <v>232</v>
      </c>
      <c r="I237" s="100" t="str">
        <f t="shared" si="22"/>
        <v/>
      </c>
      <c r="J237" s="99">
        <f t="shared" si="27"/>
        <v>-1</v>
      </c>
      <c r="K237" s="99">
        <f t="shared" si="23"/>
        <v>-10</v>
      </c>
      <c r="L237" s="99"/>
      <c r="M237" s="101">
        <f t="shared" si="24"/>
        <v>0</v>
      </c>
      <c r="N237" s="101">
        <f t="shared" si="25"/>
        <v>0</v>
      </c>
      <c r="O237" s="80"/>
      <c r="P237" s="80"/>
      <c r="Q237" s="80"/>
      <c r="R237" s="80"/>
      <c r="S237" s="80"/>
    </row>
    <row r="238" spans="1:20" s="85" customFormat="1" x14ac:dyDescent="0.25">
      <c r="A238" s="94">
        <f t="shared" si="26"/>
        <v>0</v>
      </c>
      <c r="B238" s="34" t="str">
        <f t="shared" si="28"/>
        <v/>
      </c>
      <c r="C238" s="35" t="s">
        <v>49</v>
      </c>
      <c r="D238" s="35"/>
      <c r="E238" s="35"/>
      <c r="F238" s="35"/>
      <c r="G238" s="80"/>
      <c r="H238" s="95">
        <v>233</v>
      </c>
      <c r="I238" s="96" t="str">
        <f t="shared" si="22"/>
        <v/>
      </c>
      <c r="J238" s="95">
        <f t="shared" si="27"/>
        <v>-1</v>
      </c>
      <c r="K238" s="95">
        <f t="shared" si="23"/>
        <v>-10</v>
      </c>
      <c r="L238" s="95"/>
      <c r="M238" s="97">
        <f t="shared" si="24"/>
        <v>0</v>
      </c>
      <c r="N238" s="97">
        <f t="shared" si="25"/>
        <v>0</v>
      </c>
      <c r="O238" s="80"/>
      <c r="P238" s="80"/>
      <c r="Q238" s="80"/>
      <c r="R238" s="80"/>
      <c r="S238" s="109"/>
      <c r="T238" s="110"/>
    </row>
    <row r="239" spans="1:20" s="85" customFormat="1" x14ac:dyDescent="0.25">
      <c r="A239" s="98">
        <f t="shared" si="26"/>
        <v>0</v>
      </c>
      <c r="B239" s="40" t="str">
        <f t="shared" si="28"/>
        <v/>
      </c>
      <c r="C239" s="41" t="s">
        <v>49</v>
      </c>
      <c r="D239" s="41"/>
      <c r="E239" s="41"/>
      <c r="F239" s="41"/>
      <c r="G239" s="80"/>
      <c r="H239" s="99">
        <v>234</v>
      </c>
      <c r="I239" s="100" t="str">
        <f t="shared" si="22"/>
        <v/>
      </c>
      <c r="J239" s="99">
        <f t="shared" si="27"/>
        <v>-1</v>
      </c>
      <c r="K239" s="99">
        <f t="shared" si="23"/>
        <v>-10</v>
      </c>
      <c r="L239" s="99"/>
      <c r="M239" s="101">
        <f t="shared" si="24"/>
        <v>0</v>
      </c>
      <c r="N239" s="101">
        <f t="shared" si="25"/>
        <v>0</v>
      </c>
      <c r="O239" s="80"/>
      <c r="P239" s="80"/>
      <c r="Q239" s="80"/>
      <c r="R239" s="80"/>
      <c r="S239" s="80"/>
    </row>
    <row r="240" spans="1:20" s="85" customFormat="1" x14ac:dyDescent="0.25">
      <c r="A240" s="94">
        <f t="shared" si="26"/>
        <v>0</v>
      </c>
      <c r="B240" s="34" t="str">
        <f t="shared" si="28"/>
        <v/>
      </c>
      <c r="C240" s="35" t="s">
        <v>49</v>
      </c>
      <c r="D240" s="35"/>
      <c r="E240" s="35"/>
      <c r="F240" s="35"/>
      <c r="G240" s="80"/>
      <c r="H240" s="95">
        <v>235</v>
      </c>
      <c r="I240" s="96" t="str">
        <f t="shared" si="22"/>
        <v/>
      </c>
      <c r="J240" s="95">
        <f t="shared" si="27"/>
        <v>-1</v>
      </c>
      <c r="K240" s="95">
        <f t="shared" si="23"/>
        <v>-10</v>
      </c>
      <c r="L240" s="95"/>
      <c r="M240" s="97">
        <f t="shared" si="24"/>
        <v>0</v>
      </c>
      <c r="N240" s="97">
        <f t="shared" si="25"/>
        <v>0</v>
      </c>
      <c r="O240" s="80"/>
      <c r="P240" s="80"/>
      <c r="Q240" s="80"/>
      <c r="R240" s="80"/>
      <c r="S240" s="109"/>
      <c r="T240" s="110"/>
    </row>
    <row r="241" spans="1:20" s="85" customFormat="1" x14ac:dyDescent="0.25">
      <c r="A241" s="98">
        <f t="shared" si="26"/>
        <v>0</v>
      </c>
      <c r="B241" s="40" t="str">
        <f t="shared" si="28"/>
        <v/>
      </c>
      <c r="C241" s="41" t="s">
        <v>49</v>
      </c>
      <c r="D241" s="41"/>
      <c r="E241" s="41"/>
      <c r="F241" s="41"/>
      <c r="G241" s="80"/>
      <c r="H241" s="99">
        <v>236</v>
      </c>
      <c r="I241" s="100" t="str">
        <f t="shared" si="22"/>
        <v/>
      </c>
      <c r="J241" s="99">
        <f t="shared" si="27"/>
        <v>-1</v>
      </c>
      <c r="K241" s="99">
        <f t="shared" si="23"/>
        <v>-10</v>
      </c>
      <c r="L241" s="99"/>
      <c r="M241" s="101">
        <f t="shared" si="24"/>
        <v>0</v>
      </c>
      <c r="N241" s="101">
        <f t="shared" si="25"/>
        <v>0</v>
      </c>
      <c r="O241" s="80"/>
      <c r="P241" s="80"/>
      <c r="Q241" s="80"/>
      <c r="R241" s="80"/>
      <c r="S241" s="80"/>
    </row>
    <row r="242" spans="1:20" s="85" customFormat="1" x14ac:dyDescent="0.25">
      <c r="A242" s="94">
        <f t="shared" si="26"/>
        <v>0</v>
      </c>
      <c r="B242" s="34" t="str">
        <f t="shared" si="28"/>
        <v/>
      </c>
      <c r="C242" s="35" t="s">
        <v>49</v>
      </c>
      <c r="D242" s="35"/>
      <c r="E242" s="35"/>
      <c r="F242" s="35"/>
      <c r="G242" s="80"/>
      <c r="H242" s="95">
        <v>237</v>
      </c>
      <c r="I242" s="96" t="str">
        <f t="shared" si="22"/>
        <v/>
      </c>
      <c r="J242" s="95">
        <f t="shared" si="27"/>
        <v>-1</v>
      </c>
      <c r="K242" s="95">
        <f t="shared" si="23"/>
        <v>-10</v>
      </c>
      <c r="L242" s="95"/>
      <c r="M242" s="97">
        <f t="shared" si="24"/>
        <v>0</v>
      </c>
      <c r="N242" s="97">
        <f t="shared" si="25"/>
        <v>0</v>
      </c>
      <c r="O242" s="80"/>
      <c r="P242" s="80"/>
      <c r="Q242" s="80"/>
      <c r="R242" s="80"/>
      <c r="S242" s="109"/>
      <c r="T242" s="110"/>
    </row>
    <row r="243" spans="1:20" s="85" customFormat="1" x14ac:dyDescent="0.25">
      <c r="A243" s="98">
        <f t="shared" si="26"/>
        <v>0</v>
      </c>
      <c r="B243" s="40" t="str">
        <f t="shared" si="28"/>
        <v/>
      </c>
      <c r="C243" s="41" t="s">
        <v>49</v>
      </c>
      <c r="D243" s="41"/>
      <c r="E243" s="41"/>
      <c r="F243" s="41"/>
      <c r="G243" s="80"/>
      <c r="H243" s="99">
        <v>238</v>
      </c>
      <c r="I243" s="100" t="str">
        <f t="shared" si="22"/>
        <v/>
      </c>
      <c r="J243" s="99">
        <f t="shared" si="27"/>
        <v>-1</v>
      </c>
      <c r="K243" s="99">
        <f t="shared" si="23"/>
        <v>-10</v>
      </c>
      <c r="L243" s="99"/>
      <c r="M243" s="101">
        <f t="shared" si="24"/>
        <v>0</v>
      </c>
      <c r="N243" s="101">
        <f t="shared" si="25"/>
        <v>0</v>
      </c>
      <c r="O243" s="80"/>
      <c r="P243" s="80"/>
      <c r="Q243" s="80"/>
      <c r="R243" s="80"/>
      <c r="S243" s="80"/>
    </row>
    <row r="244" spans="1:20" s="85" customFormat="1" x14ac:dyDescent="0.25">
      <c r="A244" s="94">
        <f t="shared" si="26"/>
        <v>0</v>
      </c>
      <c r="B244" s="34" t="str">
        <f t="shared" si="28"/>
        <v/>
      </c>
      <c r="C244" s="35" t="s">
        <v>49</v>
      </c>
      <c r="D244" s="35"/>
      <c r="E244" s="35"/>
      <c r="F244" s="35"/>
      <c r="G244" s="80"/>
      <c r="H244" s="95">
        <v>239</v>
      </c>
      <c r="I244" s="96" t="str">
        <f t="shared" si="22"/>
        <v/>
      </c>
      <c r="J244" s="95">
        <f t="shared" si="27"/>
        <v>-1</v>
      </c>
      <c r="K244" s="95">
        <f t="shared" si="23"/>
        <v>-10</v>
      </c>
      <c r="L244" s="95"/>
      <c r="M244" s="97">
        <f t="shared" si="24"/>
        <v>0</v>
      </c>
      <c r="N244" s="97">
        <f t="shared" si="25"/>
        <v>0</v>
      </c>
      <c r="O244" s="80"/>
      <c r="P244" s="80"/>
      <c r="Q244" s="80"/>
      <c r="R244" s="80"/>
      <c r="S244" s="109"/>
      <c r="T244" s="110"/>
    </row>
    <row r="245" spans="1:20" s="85" customFormat="1" x14ac:dyDescent="0.25">
      <c r="A245" s="98">
        <f t="shared" si="26"/>
        <v>0</v>
      </c>
      <c r="B245" s="40" t="str">
        <f t="shared" si="28"/>
        <v/>
      </c>
      <c r="C245" s="41" t="s">
        <v>49</v>
      </c>
      <c r="D245" s="41"/>
      <c r="E245" s="41"/>
      <c r="F245" s="41"/>
      <c r="G245" s="80"/>
      <c r="H245" s="99">
        <v>240</v>
      </c>
      <c r="I245" s="100" t="str">
        <f t="shared" si="22"/>
        <v/>
      </c>
      <c r="J245" s="99">
        <f t="shared" si="27"/>
        <v>-1</v>
      </c>
      <c r="K245" s="99">
        <f t="shared" si="23"/>
        <v>-10</v>
      </c>
      <c r="L245" s="99"/>
      <c r="M245" s="101">
        <f t="shared" si="24"/>
        <v>0</v>
      </c>
      <c r="N245" s="101">
        <f t="shared" si="25"/>
        <v>0</v>
      </c>
      <c r="O245" s="80"/>
      <c r="P245" s="80"/>
      <c r="Q245" s="80"/>
      <c r="R245" s="80"/>
      <c r="S245" s="80"/>
    </row>
    <row r="246" spans="1:20" s="85" customFormat="1" x14ac:dyDescent="0.25">
      <c r="A246" s="94">
        <f t="shared" si="26"/>
        <v>0</v>
      </c>
      <c r="B246" s="34" t="str">
        <f t="shared" si="28"/>
        <v/>
      </c>
      <c r="C246" s="35" t="s">
        <v>49</v>
      </c>
      <c r="D246" s="35"/>
      <c r="E246" s="35"/>
      <c r="F246" s="35"/>
      <c r="G246" s="80"/>
      <c r="H246" s="95">
        <v>241</v>
      </c>
      <c r="I246" s="96" t="str">
        <f t="shared" si="22"/>
        <v/>
      </c>
      <c r="J246" s="95">
        <f t="shared" si="27"/>
        <v>-1</v>
      </c>
      <c r="K246" s="95">
        <f t="shared" si="23"/>
        <v>-10</v>
      </c>
      <c r="L246" s="95"/>
      <c r="M246" s="97">
        <f t="shared" si="24"/>
        <v>0</v>
      </c>
      <c r="N246" s="97">
        <f t="shared" si="25"/>
        <v>0</v>
      </c>
      <c r="O246" s="80"/>
      <c r="P246" s="80"/>
      <c r="Q246" s="80"/>
      <c r="R246" s="80"/>
      <c r="S246" s="109"/>
      <c r="T246" s="110"/>
    </row>
    <row r="247" spans="1:20" s="85" customFormat="1" x14ac:dyDescent="0.25">
      <c r="A247" s="98">
        <f t="shared" si="26"/>
        <v>0</v>
      </c>
      <c r="B247" s="40" t="str">
        <f t="shared" si="28"/>
        <v/>
      </c>
      <c r="C247" s="41" t="s">
        <v>49</v>
      </c>
      <c r="D247" s="41"/>
      <c r="E247" s="41"/>
      <c r="F247" s="41"/>
      <c r="G247" s="80"/>
      <c r="H247" s="99">
        <v>242</v>
      </c>
      <c r="I247" s="100" t="str">
        <f t="shared" si="22"/>
        <v/>
      </c>
      <c r="J247" s="99">
        <f t="shared" si="27"/>
        <v>-1</v>
      </c>
      <c r="K247" s="99">
        <f t="shared" si="23"/>
        <v>-10</v>
      </c>
      <c r="L247" s="99"/>
      <c r="M247" s="101">
        <f t="shared" si="24"/>
        <v>0</v>
      </c>
      <c r="N247" s="101">
        <f t="shared" si="25"/>
        <v>0</v>
      </c>
      <c r="O247" s="80"/>
      <c r="P247" s="80"/>
      <c r="Q247" s="80"/>
      <c r="R247" s="80"/>
      <c r="S247" s="80"/>
    </row>
    <row r="248" spans="1:20" s="85" customFormat="1" x14ac:dyDescent="0.25">
      <c r="A248" s="94">
        <f t="shared" si="26"/>
        <v>0</v>
      </c>
      <c r="B248" s="34" t="str">
        <f t="shared" si="28"/>
        <v/>
      </c>
      <c r="C248" s="35" t="s">
        <v>49</v>
      </c>
      <c r="D248" s="35"/>
      <c r="E248" s="35"/>
      <c r="F248" s="35"/>
      <c r="G248" s="80"/>
      <c r="H248" s="95">
        <v>243</v>
      </c>
      <c r="I248" s="96" t="str">
        <f t="shared" si="22"/>
        <v/>
      </c>
      <c r="J248" s="95">
        <f t="shared" si="27"/>
        <v>-1</v>
      </c>
      <c r="K248" s="95">
        <f t="shared" si="23"/>
        <v>-10</v>
      </c>
      <c r="L248" s="95"/>
      <c r="M248" s="97">
        <f t="shared" si="24"/>
        <v>0</v>
      </c>
      <c r="N248" s="97">
        <f t="shared" si="25"/>
        <v>0</v>
      </c>
      <c r="O248" s="80"/>
      <c r="P248" s="80"/>
      <c r="Q248" s="80"/>
      <c r="R248" s="80"/>
      <c r="S248" s="109"/>
      <c r="T248" s="110"/>
    </row>
    <row r="249" spans="1:20" s="85" customFormat="1" x14ac:dyDescent="0.25">
      <c r="A249" s="98">
        <f t="shared" si="26"/>
        <v>0</v>
      </c>
      <c r="B249" s="40" t="str">
        <f t="shared" si="28"/>
        <v/>
      </c>
      <c r="C249" s="41" t="s">
        <v>49</v>
      </c>
      <c r="D249" s="41"/>
      <c r="E249" s="41"/>
      <c r="F249" s="41"/>
      <c r="G249" s="80"/>
      <c r="H249" s="99">
        <v>244</v>
      </c>
      <c r="I249" s="100" t="str">
        <f t="shared" si="22"/>
        <v/>
      </c>
      <c r="J249" s="99">
        <f t="shared" si="27"/>
        <v>-1</v>
      </c>
      <c r="K249" s="99">
        <f t="shared" si="23"/>
        <v>-10</v>
      </c>
      <c r="L249" s="99"/>
      <c r="M249" s="101">
        <f t="shared" si="24"/>
        <v>0</v>
      </c>
      <c r="N249" s="101">
        <f t="shared" si="25"/>
        <v>0</v>
      </c>
      <c r="O249" s="80"/>
      <c r="P249" s="80"/>
      <c r="Q249" s="80"/>
      <c r="R249" s="80"/>
      <c r="S249" s="80"/>
    </row>
    <row r="250" spans="1:20" s="85" customFormat="1" x14ac:dyDescent="0.25">
      <c r="A250" s="94">
        <f t="shared" si="26"/>
        <v>0</v>
      </c>
      <c r="B250" s="34" t="str">
        <f t="shared" si="28"/>
        <v/>
      </c>
      <c r="C250" s="35" t="s">
        <v>49</v>
      </c>
      <c r="D250" s="35"/>
      <c r="E250" s="35"/>
      <c r="F250" s="35"/>
      <c r="G250" s="80"/>
      <c r="H250" s="95">
        <v>245</v>
      </c>
      <c r="I250" s="96" t="str">
        <f t="shared" si="22"/>
        <v/>
      </c>
      <c r="J250" s="95">
        <f t="shared" si="27"/>
        <v>-1</v>
      </c>
      <c r="K250" s="95">
        <f t="shared" si="23"/>
        <v>-10</v>
      </c>
      <c r="L250" s="95"/>
      <c r="M250" s="97">
        <f t="shared" si="24"/>
        <v>0</v>
      </c>
      <c r="N250" s="97">
        <f t="shared" si="25"/>
        <v>0</v>
      </c>
      <c r="O250" s="80"/>
      <c r="P250" s="80"/>
      <c r="Q250" s="80"/>
      <c r="R250" s="80"/>
      <c r="S250" s="109"/>
      <c r="T250" s="110"/>
    </row>
    <row r="251" spans="1:20" x14ac:dyDescent="0.25">
      <c r="A251" s="98">
        <f t="shared" si="26"/>
        <v>0</v>
      </c>
      <c r="G251" s="80"/>
      <c r="H251" s="95">
        <v>246</v>
      </c>
      <c r="I251" s="96" t="str">
        <f t="shared" si="22"/>
        <v/>
      </c>
      <c r="J251" s="95">
        <f t="shared" si="27"/>
        <v>-1</v>
      </c>
      <c r="K251" s="95">
        <f t="shared" si="23"/>
        <v>-10</v>
      </c>
      <c r="L251" s="95"/>
      <c r="M251" s="97">
        <f t="shared" si="24"/>
        <v>0</v>
      </c>
      <c r="N251" s="97">
        <f t="shared" si="25"/>
        <v>0</v>
      </c>
    </row>
    <row r="252" spans="1:20" x14ac:dyDescent="0.25">
      <c r="A252" s="94">
        <f t="shared" si="26"/>
        <v>0</v>
      </c>
      <c r="G252" s="80"/>
      <c r="H252" s="95">
        <v>247</v>
      </c>
      <c r="I252" s="96" t="str">
        <f t="shared" si="22"/>
        <v/>
      </c>
      <c r="J252" s="95">
        <f t="shared" si="27"/>
        <v>-1</v>
      </c>
      <c r="K252" s="95">
        <f t="shared" si="23"/>
        <v>-10</v>
      </c>
      <c r="L252" s="95"/>
      <c r="M252" s="97">
        <f t="shared" si="24"/>
        <v>0</v>
      </c>
      <c r="N252" s="97">
        <f t="shared" si="25"/>
        <v>0</v>
      </c>
    </row>
    <row r="253" spans="1:20" x14ac:dyDescent="0.25">
      <c r="A253" s="98">
        <f t="shared" si="26"/>
        <v>0</v>
      </c>
      <c r="G253" s="80"/>
      <c r="H253" s="95">
        <v>248</v>
      </c>
      <c r="I253" s="96" t="str">
        <f t="shared" si="22"/>
        <v/>
      </c>
      <c r="J253" s="95">
        <f t="shared" si="27"/>
        <v>-1</v>
      </c>
      <c r="K253" s="95">
        <f t="shared" si="23"/>
        <v>-10</v>
      </c>
      <c r="L253" s="95"/>
      <c r="M253" s="97">
        <f t="shared" si="24"/>
        <v>0</v>
      </c>
      <c r="N253" s="97">
        <f t="shared" si="25"/>
        <v>0</v>
      </c>
    </row>
    <row r="254" spans="1:20" x14ac:dyDescent="0.25">
      <c r="A254" s="94">
        <f t="shared" si="26"/>
        <v>0</v>
      </c>
      <c r="G254" s="80"/>
      <c r="H254" s="95">
        <v>249</v>
      </c>
      <c r="I254" s="96" t="str">
        <f t="shared" si="22"/>
        <v/>
      </c>
      <c r="J254" s="95">
        <f t="shared" si="27"/>
        <v>-1</v>
      </c>
      <c r="K254" s="95">
        <f t="shared" si="23"/>
        <v>-10</v>
      </c>
      <c r="L254" s="95"/>
      <c r="M254" s="97">
        <f t="shared" si="24"/>
        <v>0</v>
      </c>
      <c r="N254" s="97">
        <f t="shared" si="25"/>
        <v>0</v>
      </c>
    </row>
    <row r="255" spans="1:20" x14ac:dyDescent="0.25">
      <c r="A255" s="98">
        <f t="shared" si="26"/>
        <v>0</v>
      </c>
      <c r="G255" s="80"/>
      <c r="H255" s="95">
        <v>250</v>
      </c>
      <c r="I255" s="96" t="str">
        <f t="shared" si="22"/>
        <v/>
      </c>
      <c r="J255" s="95">
        <f t="shared" si="27"/>
        <v>-1</v>
      </c>
      <c r="K255" s="95">
        <f t="shared" si="23"/>
        <v>-10</v>
      </c>
      <c r="L255" s="95"/>
      <c r="M255" s="97">
        <f t="shared" si="24"/>
        <v>0</v>
      </c>
      <c r="N255" s="97">
        <f t="shared" si="25"/>
        <v>0</v>
      </c>
    </row>
    <row r="256" spans="1:20" x14ac:dyDescent="0.25">
      <c r="A256" s="94">
        <f t="shared" si="26"/>
        <v>0</v>
      </c>
      <c r="G256" s="80"/>
      <c r="H256" s="95">
        <v>251</v>
      </c>
      <c r="I256" s="96" t="str">
        <f t="shared" si="22"/>
        <v/>
      </c>
      <c r="J256" s="95">
        <f t="shared" si="27"/>
        <v>-1</v>
      </c>
      <c r="K256" s="95">
        <f t="shared" si="23"/>
        <v>-10</v>
      </c>
      <c r="L256" s="95"/>
      <c r="M256" s="97">
        <f t="shared" si="24"/>
        <v>0</v>
      </c>
      <c r="N256" s="97">
        <f t="shared" si="25"/>
        <v>0</v>
      </c>
    </row>
    <row r="257" spans="1:14" x14ac:dyDescent="0.25">
      <c r="A257" s="98">
        <f t="shared" si="26"/>
        <v>0</v>
      </c>
      <c r="G257" s="80"/>
      <c r="H257" s="95">
        <v>252</v>
      </c>
      <c r="I257" s="96" t="str">
        <f t="shared" si="22"/>
        <v/>
      </c>
      <c r="J257" s="95">
        <f t="shared" si="27"/>
        <v>-1</v>
      </c>
      <c r="K257" s="95">
        <f t="shared" si="23"/>
        <v>-10</v>
      </c>
      <c r="L257" s="95"/>
      <c r="M257" s="97">
        <f t="shared" si="24"/>
        <v>0</v>
      </c>
      <c r="N257" s="97">
        <f t="shared" si="25"/>
        <v>0</v>
      </c>
    </row>
    <row r="258" spans="1:14" x14ac:dyDescent="0.25">
      <c r="A258" s="94">
        <f t="shared" si="26"/>
        <v>0</v>
      </c>
      <c r="G258" s="80"/>
      <c r="H258" s="95">
        <v>253</v>
      </c>
      <c r="I258" s="96" t="str">
        <f t="shared" si="22"/>
        <v/>
      </c>
      <c r="J258" s="95">
        <f t="shared" si="27"/>
        <v>-1</v>
      </c>
      <c r="K258" s="95">
        <f t="shared" si="23"/>
        <v>-10</v>
      </c>
      <c r="L258" s="95"/>
      <c r="M258" s="97">
        <f t="shared" si="24"/>
        <v>0</v>
      </c>
      <c r="N258" s="97">
        <f t="shared" si="25"/>
        <v>0</v>
      </c>
    </row>
    <row r="259" spans="1:14" x14ac:dyDescent="0.25">
      <c r="A259" s="98">
        <f t="shared" si="26"/>
        <v>0</v>
      </c>
      <c r="G259" s="80"/>
      <c r="H259" s="95">
        <v>254</v>
      </c>
      <c r="I259" s="96" t="str">
        <f t="shared" si="22"/>
        <v/>
      </c>
      <c r="J259" s="95">
        <f t="shared" si="27"/>
        <v>-1</v>
      </c>
      <c r="K259" s="95">
        <f t="shared" si="23"/>
        <v>-10</v>
      </c>
      <c r="L259" s="95"/>
      <c r="M259" s="97">
        <f t="shared" si="24"/>
        <v>0</v>
      </c>
      <c r="N259" s="97">
        <f t="shared" si="25"/>
        <v>0</v>
      </c>
    </row>
    <row r="260" spans="1:14" x14ac:dyDescent="0.25">
      <c r="A260" s="94">
        <f t="shared" si="26"/>
        <v>0</v>
      </c>
      <c r="G260" s="80"/>
      <c r="H260" s="95">
        <v>255</v>
      </c>
      <c r="I260" s="96" t="str">
        <f t="shared" si="22"/>
        <v/>
      </c>
      <c r="J260" s="95">
        <f t="shared" si="27"/>
        <v>-1</v>
      </c>
      <c r="K260" s="95">
        <f t="shared" si="23"/>
        <v>-10</v>
      </c>
      <c r="L260" s="95"/>
      <c r="M260" s="97">
        <f t="shared" si="24"/>
        <v>0</v>
      </c>
      <c r="N260" s="97">
        <f t="shared" si="25"/>
        <v>0</v>
      </c>
    </row>
    <row r="261" spans="1:14" x14ac:dyDescent="0.25">
      <c r="A261" s="98">
        <f t="shared" si="26"/>
        <v>0</v>
      </c>
      <c r="G261" s="80"/>
      <c r="H261" s="95">
        <v>256</v>
      </c>
      <c r="I261" s="96" t="str">
        <f t="shared" si="22"/>
        <v/>
      </c>
      <c r="J261" s="95">
        <f t="shared" si="27"/>
        <v>-1</v>
      </c>
      <c r="K261" s="95">
        <f t="shared" si="23"/>
        <v>-10</v>
      </c>
      <c r="L261" s="95"/>
      <c r="M261" s="97">
        <f t="shared" si="24"/>
        <v>0</v>
      </c>
      <c r="N261" s="97">
        <f t="shared" si="25"/>
        <v>0</v>
      </c>
    </row>
    <row r="262" spans="1:14" x14ac:dyDescent="0.25">
      <c r="A262" s="94">
        <f t="shared" si="26"/>
        <v>0</v>
      </c>
      <c r="G262" s="80"/>
      <c r="H262" s="95">
        <v>257</v>
      </c>
      <c r="I262" s="96" t="str">
        <f t="shared" ref="I262:I305" si="29">IF(H262&lt;$H$2+1,($I$2-($I$2-1)*(LOG(H262)/LOG($H$2))),"")</f>
        <v/>
      </c>
      <c r="J262" s="95">
        <f t="shared" si="27"/>
        <v>-2</v>
      </c>
      <c r="K262" s="95">
        <f t="shared" ref="K262:K305" si="30">J262*$J$2</f>
        <v>-20</v>
      </c>
      <c r="L262" s="95"/>
      <c r="M262" s="97">
        <f t="shared" ref="M262:M305" si="31">IF(I262&lt;&gt;"",K262+I262+L262,0)</f>
        <v>0</v>
      </c>
      <c r="N262" s="97">
        <f t="shared" ref="N262:N305" si="32">IF(I262&lt;&gt;"",M262*L$2,0)</f>
        <v>0</v>
      </c>
    </row>
    <row r="263" spans="1:14" x14ac:dyDescent="0.25">
      <c r="A263" s="98">
        <f t="shared" ref="A263:A305" si="33">N263</f>
        <v>0</v>
      </c>
      <c r="G263" s="80"/>
      <c r="H263" s="95">
        <v>258</v>
      </c>
      <c r="I263" s="96" t="str">
        <f t="shared" si="29"/>
        <v/>
      </c>
      <c r="J263" s="95">
        <f t="shared" ref="J263:J305" si="34">INT(LOG($H$2,2))-ROUNDUP(LOG(H263,2),0)+IF(OR($H$2=1,$H$2=2,$H$2=4,$H$2=8,$H$2=16,$H$2=32,$H$2=64,$H$2=128,$H$2=256),0,1)</f>
        <v>-2</v>
      </c>
      <c r="K263" s="95">
        <f t="shared" si="30"/>
        <v>-20</v>
      </c>
      <c r="L263" s="95"/>
      <c r="M263" s="97">
        <f t="shared" si="31"/>
        <v>0</v>
      </c>
      <c r="N263" s="97">
        <f t="shared" si="32"/>
        <v>0</v>
      </c>
    </row>
    <row r="264" spans="1:14" x14ac:dyDescent="0.25">
      <c r="A264" s="94">
        <f t="shared" si="33"/>
        <v>0</v>
      </c>
      <c r="G264" s="80"/>
      <c r="H264" s="95">
        <v>259</v>
      </c>
      <c r="I264" s="96" t="str">
        <f t="shared" si="29"/>
        <v/>
      </c>
      <c r="J264" s="95">
        <f t="shared" si="34"/>
        <v>-2</v>
      </c>
      <c r="K264" s="95">
        <f t="shared" si="30"/>
        <v>-20</v>
      </c>
      <c r="L264" s="95"/>
      <c r="M264" s="97">
        <f t="shared" si="31"/>
        <v>0</v>
      </c>
      <c r="N264" s="97">
        <f t="shared" si="32"/>
        <v>0</v>
      </c>
    </row>
    <row r="265" spans="1:14" x14ac:dyDescent="0.25">
      <c r="A265" s="98">
        <f t="shared" si="33"/>
        <v>0</v>
      </c>
      <c r="G265" s="80"/>
      <c r="H265" s="95">
        <v>260</v>
      </c>
      <c r="I265" s="96" t="str">
        <f t="shared" si="29"/>
        <v/>
      </c>
      <c r="J265" s="95">
        <f t="shared" si="34"/>
        <v>-2</v>
      </c>
      <c r="K265" s="95">
        <f t="shared" si="30"/>
        <v>-20</v>
      </c>
      <c r="L265" s="95"/>
      <c r="M265" s="97">
        <f t="shared" si="31"/>
        <v>0</v>
      </c>
      <c r="N265" s="97">
        <f t="shared" si="32"/>
        <v>0</v>
      </c>
    </row>
    <row r="266" spans="1:14" x14ac:dyDescent="0.25">
      <c r="A266" s="94">
        <f t="shared" si="33"/>
        <v>0</v>
      </c>
      <c r="G266" s="80"/>
      <c r="H266" s="95">
        <v>261</v>
      </c>
      <c r="I266" s="96" t="str">
        <f t="shared" si="29"/>
        <v/>
      </c>
      <c r="J266" s="95">
        <f t="shared" si="34"/>
        <v>-2</v>
      </c>
      <c r="K266" s="95">
        <f t="shared" si="30"/>
        <v>-20</v>
      </c>
      <c r="L266" s="95"/>
      <c r="M266" s="97">
        <f t="shared" si="31"/>
        <v>0</v>
      </c>
      <c r="N266" s="97">
        <f t="shared" si="32"/>
        <v>0</v>
      </c>
    </row>
    <row r="267" spans="1:14" x14ac:dyDescent="0.25">
      <c r="A267" s="98">
        <f t="shared" si="33"/>
        <v>0</v>
      </c>
      <c r="G267" s="80"/>
      <c r="H267" s="95">
        <v>262</v>
      </c>
      <c r="I267" s="96" t="str">
        <f t="shared" si="29"/>
        <v/>
      </c>
      <c r="J267" s="95">
        <f t="shared" si="34"/>
        <v>-2</v>
      </c>
      <c r="K267" s="95">
        <f t="shared" si="30"/>
        <v>-20</v>
      </c>
      <c r="L267" s="95"/>
      <c r="M267" s="97">
        <f t="shared" si="31"/>
        <v>0</v>
      </c>
      <c r="N267" s="97">
        <f t="shared" si="32"/>
        <v>0</v>
      </c>
    </row>
    <row r="268" spans="1:14" x14ac:dyDescent="0.25">
      <c r="A268" s="94">
        <f t="shared" si="33"/>
        <v>0</v>
      </c>
      <c r="G268" s="80"/>
      <c r="H268" s="95">
        <v>263</v>
      </c>
      <c r="I268" s="96" t="str">
        <f t="shared" si="29"/>
        <v/>
      </c>
      <c r="J268" s="95">
        <f t="shared" si="34"/>
        <v>-2</v>
      </c>
      <c r="K268" s="95">
        <f t="shared" si="30"/>
        <v>-20</v>
      </c>
      <c r="L268" s="95"/>
      <c r="M268" s="97">
        <f t="shared" si="31"/>
        <v>0</v>
      </c>
      <c r="N268" s="97">
        <f t="shared" si="32"/>
        <v>0</v>
      </c>
    </row>
    <row r="269" spans="1:14" x14ac:dyDescent="0.25">
      <c r="A269" s="98">
        <f t="shared" si="33"/>
        <v>0</v>
      </c>
      <c r="G269" s="80"/>
      <c r="H269" s="95">
        <v>264</v>
      </c>
      <c r="I269" s="96" t="str">
        <f t="shared" si="29"/>
        <v/>
      </c>
      <c r="J269" s="95">
        <f t="shared" si="34"/>
        <v>-2</v>
      </c>
      <c r="K269" s="95">
        <f t="shared" si="30"/>
        <v>-20</v>
      </c>
      <c r="L269" s="95"/>
      <c r="M269" s="97">
        <f t="shared" si="31"/>
        <v>0</v>
      </c>
      <c r="N269" s="97">
        <f t="shared" si="32"/>
        <v>0</v>
      </c>
    </row>
    <row r="270" spans="1:14" x14ac:dyDescent="0.25">
      <c r="A270" s="94">
        <f t="shared" si="33"/>
        <v>0</v>
      </c>
      <c r="G270" s="80"/>
      <c r="H270" s="95">
        <v>265</v>
      </c>
      <c r="I270" s="96" t="str">
        <f t="shared" si="29"/>
        <v/>
      </c>
      <c r="J270" s="95">
        <f t="shared" si="34"/>
        <v>-2</v>
      </c>
      <c r="K270" s="95">
        <f t="shared" si="30"/>
        <v>-20</v>
      </c>
      <c r="L270" s="95"/>
      <c r="M270" s="97">
        <f t="shared" si="31"/>
        <v>0</v>
      </c>
      <c r="N270" s="97">
        <f t="shared" si="32"/>
        <v>0</v>
      </c>
    </row>
    <row r="271" spans="1:14" x14ac:dyDescent="0.25">
      <c r="A271" s="98">
        <f t="shared" si="33"/>
        <v>0</v>
      </c>
      <c r="G271" s="80"/>
      <c r="H271" s="95">
        <v>266</v>
      </c>
      <c r="I271" s="96" t="str">
        <f t="shared" si="29"/>
        <v/>
      </c>
      <c r="J271" s="95">
        <f t="shared" si="34"/>
        <v>-2</v>
      </c>
      <c r="K271" s="95">
        <f t="shared" si="30"/>
        <v>-20</v>
      </c>
      <c r="L271" s="95"/>
      <c r="M271" s="97">
        <f t="shared" si="31"/>
        <v>0</v>
      </c>
      <c r="N271" s="97">
        <f t="shared" si="32"/>
        <v>0</v>
      </c>
    </row>
    <row r="272" spans="1:14" x14ac:dyDescent="0.25">
      <c r="A272" s="94">
        <f t="shared" si="33"/>
        <v>0</v>
      </c>
      <c r="G272" s="80"/>
      <c r="H272" s="95">
        <v>267</v>
      </c>
      <c r="I272" s="96" t="str">
        <f t="shared" si="29"/>
        <v/>
      </c>
      <c r="J272" s="95">
        <f t="shared" si="34"/>
        <v>-2</v>
      </c>
      <c r="K272" s="95">
        <f t="shared" si="30"/>
        <v>-20</v>
      </c>
      <c r="L272" s="95"/>
      <c r="M272" s="97">
        <f t="shared" si="31"/>
        <v>0</v>
      </c>
      <c r="N272" s="97">
        <f t="shared" si="32"/>
        <v>0</v>
      </c>
    </row>
    <row r="273" spans="1:14" x14ac:dyDescent="0.25">
      <c r="A273" s="98">
        <f t="shared" si="33"/>
        <v>0</v>
      </c>
      <c r="G273" s="80"/>
      <c r="H273" s="95">
        <v>268</v>
      </c>
      <c r="I273" s="96" t="str">
        <f t="shared" si="29"/>
        <v/>
      </c>
      <c r="J273" s="95">
        <f t="shared" si="34"/>
        <v>-2</v>
      </c>
      <c r="K273" s="95">
        <f t="shared" si="30"/>
        <v>-20</v>
      </c>
      <c r="L273" s="95"/>
      <c r="M273" s="97">
        <f t="shared" si="31"/>
        <v>0</v>
      </c>
      <c r="N273" s="97">
        <f t="shared" si="32"/>
        <v>0</v>
      </c>
    </row>
    <row r="274" spans="1:14" x14ac:dyDescent="0.25">
      <c r="A274" s="94">
        <f t="shared" si="33"/>
        <v>0</v>
      </c>
      <c r="G274" s="80"/>
      <c r="H274" s="95">
        <v>269</v>
      </c>
      <c r="I274" s="96" t="str">
        <f t="shared" si="29"/>
        <v/>
      </c>
      <c r="J274" s="95">
        <f t="shared" si="34"/>
        <v>-2</v>
      </c>
      <c r="K274" s="95">
        <f t="shared" si="30"/>
        <v>-20</v>
      </c>
      <c r="L274" s="95"/>
      <c r="M274" s="97">
        <f t="shared" si="31"/>
        <v>0</v>
      </c>
      <c r="N274" s="97">
        <f t="shared" si="32"/>
        <v>0</v>
      </c>
    </row>
    <row r="275" spans="1:14" x14ac:dyDescent="0.25">
      <c r="A275" s="98">
        <f t="shared" si="33"/>
        <v>0</v>
      </c>
      <c r="G275" s="80"/>
      <c r="H275" s="95">
        <v>270</v>
      </c>
      <c r="I275" s="96" t="str">
        <f t="shared" si="29"/>
        <v/>
      </c>
      <c r="J275" s="95">
        <f t="shared" si="34"/>
        <v>-2</v>
      </c>
      <c r="K275" s="95">
        <f t="shared" si="30"/>
        <v>-20</v>
      </c>
      <c r="L275" s="95"/>
      <c r="M275" s="97">
        <f t="shared" si="31"/>
        <v>0</v>
      </c>
      <c r="N275" s="97">
        <f t="shared" si="32"/>
        <v>0</v>
      </c>
    </row>
    <row r="276" spans="1:14" x14ac:dyDescent="0.25">
      <c r="A276" s="94">
        <f t="shared" si="33"/>
        <v>0</v>
      </c>
      <c r="G276" s="80"/>
      <c r="H276" s="95">
        <v>271</v>
      </c>
      <c r="I276" s="96" t="str">
        <f t="shared" si="29"/>
        <v/>
      </c>
      <c r="J276" s="95">
        <f t="shared" si="34"/>
        <v>-2</v>
      </c>
      <c r="K276" s="95">
        <f t="shared" si="30"/>
        <v>-20</v>
      </c>
      <c r="L276" s="95"/>
      <c r="M276" s="97">
        <f t="shared" si="31"/>
        <v>0</v>
      </c>
      <c r="N276" s="97">
        <f t="shared" si="32"/>
        <v>0</v>
      </c>
    </row>
    <row r="277" spans="1:14" x14ac:dyDescent="0.25">
      <c r="A277" s="98">
        <f t="shared" si="33"/>
        <v>0</v>
      </c>
      <c r="G277" s="80"/>
      <c r="H277" s="95">
        <v>272</v>
      </c>
      <c r="I277" s="96" t="str">
        <f t="shared" si="29"/>
        <v/>
      </c>
      <c r="J277" s="95">
        <f t="shared" si="34"/>
        <v>-2</v>
      </c>
      <c r="K277" s="95">
        <f t="shared" si="30"/>
        <v>-20</v>
      </c>
      <c r="L277" s="95"/>
      <c r="M277" s="97">
        <f t="shared" si="31"/>
        <v>0</v>
      </c>
      <c r="N277" s="97">
        <f t="shared" si="32"/>
        <v>0</v>
      </c>
    </row>
    <row r="278" spans="1:14" x14ac:dyDescent="0.25">
      <c r="A278" s="94">
        <f t="shared" si="33"/>
        <v>0</v>
      </c>
      <c r="G278" s="80"/>
      <c r="H278" s="95">
        <v>273</v>
      </c>
      <c r="I278" s="96" t="str">
        <f t="shared" si="29"/>
        <v/>
      </c>
      <c r="J278" s="95">
        <f t="shared" si="34"/>
        <v>-2</v>
      </c>
      <c r="K278" s="95">
        <f t="shared" si="30"/>
        <v>-20</v>
      </c>
      <c r="L278" s="95"/>
      <c r="M278" s="97">
        <f t="shared" si="31"/>
        <v>0</v>
      </c>
      <c r="N278" s="97">
        <f t="shared" si="32"/>
        <v>0</v>
      </c>
    </row>
    <row r="279" spans="1:14" x14ac:dyDescent="0.25">
      <c r="A279" s="98">
        <f t="shared" si="33"/>
        <v>0</v>
      </c>
      <c r="G279" s="80"/>
      <c r="H279" s="95">
        <v>274</v>
      </c>
      <c r="I279" s="96" t="str">
        <f t="shared" si="29"/>
        <v/>
      </c>
      <c r="J279" s="95">
        <f t="shared" si="34"/>
        <v>-2</v>
      </c>
      <c r="K279" s="95">
        <f t="shared" si="30"/>
        <v>-20</v>
      </c>
      <c r="L279" s="95"/>
      <c r="M279" s="97">
        <f t="shared" si="31"/>
        <v>0</v>
      </c>
      <c r="N279" s="97">
        <f t="shared" si="32"/>
        <v>0</v>
      </c>
    </row>
    <row r="280" spans="1:14" x14ac:dyDescent="0.25">
      <c r="A280" s="94">
        <f t="shared" si="33"/>
        <v>0</v>
      </c>
      <c r="G280" s="80"/>
      <c r="H280" s="95">
        <v>275</v>
      </c>
      <c r="I280" s="96" t="str">
        <f t="shared" si="29"/>
        <v/>
      </c>
      <c r="J280" s="95">
        <f t="shared" si="34"/>
        <v>-2</v>
      </c>
      <c r="K280" s="95">
        <f t="shared" si="30"/>
        <v>-20</v>
      </c>
      <c r="L280" s="95"/>
      <c r="M280" s="97">
        <f t="shared" si="31"/>
        <v>0</v>
      </c>
      <c r="N280" s="97">
        <f t="shared" si="32"/>
        <v>0</v>
      </c>
    </row>
    <row r="281" spans="1:14" x14ac:dyDescent="0.25">
      <c r="A281" s="98">
        <f t="shared" si="33"/>
        <v>0</v>
      </c>
      <c r="G281" s="80"/>
      <c r="H281" s="95">
        <v>276</v>
      </c>
      <c r="I281" s="96" t="str">
        <f t="shared" si="29"/>
        <v/>
      </c>
      <c r="J281" s="95">
        <f t="shared" si="34"/>
        <v>-2</v>
      </c>
      <c r="K281" s="95">
        <f t="shared" si="30"/>
        <v>-20</v>
      </c>
      <c r="L281" s="95"/>
      <c r="M281" s="97">
        <f t="shared" si="31"/>
        <v>0</v>
      </c>
      <c r="N281" s="97">
        <f t="shared" si="32"/>
        <v>0</v>
      </c>
    </row>
    <row r="282" spans="1:14" x14ac:dyDescent="0.25">
      <c r="A282" s="94">
        <f t="shared" si="33"/>
        <v>0</v>
      </c>
      <c r="G282" s="80"/>
      <c r="H282" s="95">
        <v>277</v>
      </c>
      <c r="I282" s="96" t="str">
        <f t="shared" si="29"/>
        <v/>
      </c>
      <c r="J282" s="95">
        <f t="shared" si="34"/>
        <v>-2</v>
      </c>
      <c r="K282" s="95">
        <f t="shared" si="30"/>
        <v>-20</v>
      </c>
      <c r="L282" s="95"/>
      <c r="M282" s="97">
        <f t="shared" si="31"/>
        <v>0</v>
      </c>
      <c r="N282" s="97">
        <f t="shared" si="32"/>
        <v>0</v>
      </c>
    </row>
    <row r="283" spans="1:14" x14ac:dyDescent="0.25">
      <c r="A283" s="98">
        <f t="shared" si="33"/>
        <v>0</v>
      </c>
      <c r="G283" s="80"/>
      <c r="H283" s="95">
        <v>278</v>
      </c>
      <c r="I283" s="96" t="str">
        <f t="shared" si="29"/>
        <v/>
      </c>
      <c r="J283" s="95">
        <f t="shared" si="34"/>
        <v>-2</v>
      </c>
      <c r="K283" s="95">
        <f t="shared" si="30"/>
        <v>-20</v>
      </c>
      <c r="L283" s="95"/>
      <c r="M283" s="97">
        <f t="shared" si="31"/>
        <v>0</v>
      </c>
      <c r="N283" s="97">
        <f t="shared" si="32"/>
        <v>0</v>
      </c>
    </row>
    <row r="284" spans="1:14" x14ac:dyDescent="0.25">
      <c r="A284" s="94">
        <f t="shared" si="33"/>
        <v>0</v>
      </c>
      <c r="G284" s="80"/>
      <c r="H284" s="95">
        <v>279</v>
      </c>
      <c r="I284" s="96" t="str">
        <f t="shared" si="29"/>
        <v/>
      </c>
      <c r="J284" s="95">
        <f t="shared" si="34"/>
        <v>-2</v>
      </c>
      <c r="K284" s="95">
        <f t="shared" si="30"/>
        <v>-20</v>
      </c>
      <c r="L284" s="95"/>
      <c r="M284" s="97">
        <f t="shared" si="31"/>
        <v>0</v>
      </c>
      <c r="N284" s="97">
        <f t="shared" si="32"/>
        <v>0</v>
      </c>
    </row>
    <row r="285" spans="1:14" x14ac:dyDescent="0.25">
      <c r="A285" s="98">
        <f t="shared" si="33"/>
        <v>0</v>
      </c>
      <c r="G285" s="80"/>
      <c r="H285" s="95">
        <v>280</v>
      </c>
      <c r="I285" s="96" t="str">
        <f t="shared" si="29"/>
        <v/>
      </c>
      <c r="J285" s="95">
        <f t="shared" si="34"/>
        <v>-2</v>
      </c>
      <c r="K285" s="95">
        <f t="shared" si="30"/>
        <v>-20</v>
      </c>
      <c r="L285" s="95"/>
      <c r="M285" s="97">
        <f t="shared" si="31"/>
        <v>0</v>
      </c>
      <c r="N285" s="97">
        <f t="shared" si="32"/>
        <v>0</v>
      </c>
    </row>
    <row r="286" spans="1:14" x14ac:dyDescent="0.25">
      <c r="A286" s="94">
        <f t="shared" si="33"/>
        <v>0</v>
      </c>
      <c r="G286" s="80"/>
      <c r="H286" s="95">
        <v>281</v>
      </c>
      <c r="I286" s="96" t="str">
        <f t="shared" si="29"/>
        <v/>
      </c>
      <c r="J286" s="95">
        <f t="shared" si="34"/>
        <v>-2</v>
      </c>
      <c r="K286" s="95">
        <f t="shared" si="30"/>
        <v>-20</v>
      </c>
      <c r="L286" s="95"/>
      <c r="M286" s="97">
        <f t="shared" si="31"/>
        <v>0</v>
      </c>
      <c r="N286" s="97">
        <f t="shared" si="32"/>
        <v>0</v>
      </c>
    </row>
    <row r="287" spans="1:14" x14ac:dyDescent="0.25">
      <c r="A287" s="98">
        <f t="shared" si="33"/>
        <v>0</v>
      </c>
      <c r="G287" s="80"/>
      <c r="H287" s="95">
        <v>282</v>
      </c>
      <c r="I287" s="96" t="str">
        <f t="shared" si="29"/>
        <v/>
      </c>
      <c r="J287" s="95">
        <f t="shared" si="34"/>
        <v>-2</v>
      </c>
      <c r="K287" s="95">
        <f t="shared" si="30"/>
        <v>-20</v>
      </c>
      <c r="L287" s="95"/>
      <c r="M287" s="97">
        <f t="shared" si="31"/>
        <v>0</v>
      </c>
      <c r="N287" s="97">
        <f t="shared" si="32"/>
        <v>0</v>
      </c>
    </row>
    <row r="288" spans="1:14" x14ac:dyDescent="0.25">
      <c r="A288" s="94">
        <f t="shared" si="33"/>
        <v>0</v>
      </c>
      <c r="G288" s="80"/>
      <c r="H288" s="95">
        <v>283</v>
      </c>
      <c r="I288" s="96" t="str">
        <f t="shared" si="29"/>
        <v/>
      </c>
      <c r="J288" s="95">
        <f t="shared" si="34"/>
        <v>-2</v>
      </c>
      <c r="K288" s="95">
        <f t="shared" si="30"/>
        <v>-20</v>
      </c>
      <c r="L288" s="95"/>
      <c r="M288" s="97">
        <f t="shared" si="31"/>
        <v>0</v>
      </c>
      <c r="N288" s="97">
        <f t="shared" si="32"/>
        <v>0</v>
      </c>
    </row>
    <row r="289" spans="1:14" x14ac:dyDescent="0.25">
      <c r="A289" s="98">
        <f t="shared" si="33"/>
        <v>0</v>
      </c>
      <c r="G289" s="80"/>
      <c r="H289" s="95">
        <v>284</v>
      </c>
      <c r="I289" s="96" t="str">
        <f t="shared" si="29"/>
        <v/>
      </c>
      <c r="J289" s="95">
        <f t="shared" si="34"/>
        <v>-2</v>
      </c>
      <c r="K289" s="95">
        <f t="shared" si="30"/>
        <v>-20</v>
      </c>
      <c r="L289" s="95"/>
      <c r="M289" s="97">
        <f t="shared" si="31"/>
        <v>0</v>
      </c>
      <c r="N289" s="97">
        <f t="shared" si="32"/>
        <v>0</v>
      </c>
    </row>
    <row r="290" spans="1:14" x14ac:dyDescent="0.25">
      <c r="A290" s="94">
        <f t="shared" si="33"/>
        <v>0</v>
      </c>
      <c r="G290" s="80"/>
      <c r="H290" s="95">
        <v>285</v>
      </c>
      <c r="I290" s="96" t="str">
        <f t="shared" si="29"/>
        <v/>
      </c>
      <c r="J290" s="95">
        <f t="shared" si="34"/>
        <v>-2</v>
      </c>
      <c r="K290" s="95">
        <f t="shared" si="30"/>
        <v>-20</v>
      </c>
      <c r="L290" s="95"/>
      <c r="M290" s="97">
        <f t="shared" si="31"/>
        <v>0</v>
      </c>
      <c r="N290" s="97">
        <f t="shared" si="32"/>
        <v>0</v>
      </c>
    </row>
    <row r="291" spans="1:14" x14ac:dyDescent="0.25">
      <c r="A291" s="98">
        <f t="shared" si="33"/>
        <v>0</v>
      </c>
      <c r="G291" s="80"/>
      <c r="H291" s="95">
        <v>286</v>
      </c>
      <c r="I291" s="96" t="str">
        <f t="shared" si="29"/>
        <v/>
      </c>
      <c r="J291" s="95">
        <f t="shared" si="34"/>
        <v>-2</v>
      </c>
      <c r="K291" s="95">
        <f t="shared" si="30"/>
        <v>-20</v>
      </c>
      <c r="L291" s="95"/>
      <c r="M291" s="97">
        <f t="shared" si="31"/>
        <v>0</v>
      </c>
      <c r="N291" s="97">
        <f t="shared" si="32"/>
        <v>0</v>
      </c>
    </row>
    <row r="292" spans="1:14" x14ac:dyDescent="0.25">
      <c r="A292" s="94">
        <f t="shared" si="33"/>
        <v>0</v>
      </c>
      <c r="G292" s="80"/>
      <c r="H292" s="95">
        <v>287</v>
      </c>
      <c r="I292" s="96" t="str">
        <f t="shared" si="29"/>
        <v/>
      </c>
      <c r="J292" s="95">
        <f t="shared" si="34"/>
        <v>-2</v>
      </c>
      <c r="K292" s="95">
        <f t="shared" si="30"/>
        <v>-20</v>
      </c>
      <c r="L292" s="95"/>
      <c r="M292" s="97">
        <f t="shared" si="31"/>
        <v>0</v>
      </c>
      <c r="N292" s="97">
        <f t="shared" si="32"/>
        <v>0</v>
      </c>
    </row>
    <row r="293" spans="1:14" x14ac:dyDescent="0.25">
      <c r="A293" s="98">
        <f t="shared" si="33"/>
        <v>0</v>
      </c>
      <c r="G293" s="80"/>
      <c r="H293" s="95">
        <v>288</v>
      </c>
      <c r="I293" s="96" t="str">
        <f t="shared" si="29"/>
        <v/>
      </c>
      <c r="J293" s="95">
        <f t="shared" si="34"/>
        <v>-2</v>
      </c>
      <c r="K293" s="95">
        <f t="shared" si="30"/>
        <v>-20</v>
      </c>
      <c r="L293" s="95"/>
      <c r="M293" s="97">
        <f t="shared" si="31"/>
        <v>0</v>
      </c>
      <c r="N293" s="97">
        <f t="shared" si="32"/>
        <v>0</v>
      </c>
    </row>
    <row r="294" spans="1:14" x14ac:dyDescent="0.25">
      <c r="A294" s="94">
        <f t="shared" si="33"/>
        <v>0</v>
      </c>
      <c r="G294" s="80"/>
      <c r="H294" s="95">
        <v>289</v>
      </c>
      <c r="I294" s="96" t="str">
        <f t="shared" si="29"/>
        <v/>
      </c>
      <c r="J294" s="95">
        <f t="shared" si="34"/>
        <v>-2</v>
      </c>
      <c r="K294" s="95">
        <f t="shared" si="30"/>
        <v>-20</v>
      </c>
      <c r="L294" s="95"/>
      <c r="M294" s="97">
        <f t="shared" si="31"/>
        <v>0</v>
      </c>
      <c r="N294" s="97">
        <f t="shared" si="32"/>
        <v>0</v>
      </c>
    </row>
    <row r="295" spans="1:14" x14ac:dyDescent="0.25">
      <c r="A295" s="98">
        <f t="shared" si="33"/>
        <v>0</v>
      </c>
      <c r="G295" s="80"/>
      <c r="H295" s="95">
        <v>290</v>
      </c>
      <c r="I295" s="96" t="str">
        <f t="shared" si="29"/>
        <v/>
      </c>
      <c r="J295" s="95">
        <f t="shared" si="34"/>
        <v>-2</v>
      </c>
      <c r="K295" s="95">
        <f t="shared" si="30"/>
        <v>-20</v>
      </c>
      <c r="L295" s="95"/>
      <c r="M295" s="97">
        <f t="shared" si="31"/>
        <v>0</v>
      </c>
      <c r="N295" s="97">
        <f t="shared" si="32"/>
        <v>0</v>
      </c>
    </row>
    <row r="296" spans="1:14" x14ac:dyDescent="0.25">
      <c r="A296" s="94">
        <f t="shared" si="33"/>
        <v>0</v>
      </c>
      <c r="G296" s="80"/>
      <c r="H296" s="95">
        <v>291</v>
      </c>
      <c r="I296" s="96" t="str">
        <f t="shared" si="29"/>
        <v/>
      </c>
      <c r="J296" s="95">
        <f t="shared" si="34"/>
        <v>-2</v>
      </c>
      <c r="K296" s="95">
        <f t="shared" si="30"/>
        <v>-20</v>
      </c>
      <c r="L296" s="95"/>
      <c r="M296" s="97">
        <f t="shared" si="31"/>
        <v>0</v>
      </c>
      <c r="N296" s="97">
        <f t="shared" si="32"/>
        <v>0</v>
      </c>
    </row>
    <row r="297" spans="1:14" x14ac:dyDescent="0.25">
      <c r="A297" s="98">
        <f t="shared" si="33"/>
        <v>0</v>
      </c>
      <c r="G297" s="80"/>
      <c r="H297" s="95">
        <v>292</v>
      </c>
      <c r="I297" s="96" t="str">
        <f t="shared" si="29"/>
        <v/>
      </c>
      <c r="J297" s="95">
        <f t="shared" si="34"/>
        <v>-2</v>
      </c>
      <c r="K297" s="95">
        <f t="shared" si="30"/>
        <v>-20</v>
      </c>
      <c r="L297" s="95"/>
      <c r="M297" s="97">
        <f t="shared" si="31"/>
        <v>0</v>
      </c>
      <c r="N297" s="97">
        <f t="shared" si="32"/>
        <v>0</v>
      </c>
    </row>
    <row r="298" spans="1:14" x14ac:dyDescent="0.25">
      <c r="A298" s="94">
        <f t="shared" si="33"/>
        <v>0</v>
      </c>
      <c r="G298" s="80"/>
      <c r="H298" s="95">
        <v>293</v>
      </c>
      <c r="I298" s="96" t="str">
        <f t="shared" si="29"/>
        <v/>
      </c>
      <c r="J298" s="95">
        <f t="shared" si="34"/>
        <v>-2</v>
      </c>
      <c r="K298" s="95">
        <f t="shared" si="30"/>
        <v>-20</v>
      </c>
      <c r="L298" s="95"/>
      <c r="M298" s="97">
        <f t="shared" si="31"/>
        <v>0</v>
      </c>
      <c r="N298" s="97">
        <f t="shared" si="32"/>
        <v>0</v>
      </c>
    </row>
    <row r="299" spans="1:14" x14ac:dyDescent="0.25">
      <c r="A299" s="98">
        <f t="shared" si="33"/>
        <v>0</v>
      </c>
      <c r="G299" s="80"/>
      <c r="H299" s="95">
        <v>294</v>
      </c>
      <c r="I299" s="96" t="str">
        <f t="shared" si="29"/>
        <v/>
      </c>
      <c r="J299" s="95">
        <f t="shared" si="34"/>
        <v>-2</v>
      </c>
      <c r="K299" s="95">
        <f t="shared" si="30"/>
        <v>-20</v>
      </c>
      <c r="L299" s="95"/>
      <c r="M299" s="97">
        <f t="shared" si="31"/>
        <v>0</v>
      </c>
      <c r="N299" s="97">
        <f t="shared" si="32"/>
        <v>0</v>
      </c>
    </row>
    <row r="300" spans="1:14" x14ac:dyDescent="0.25">
      <c r="A300" s="94">
        <f t="shared" si="33"/>
        <v>0</v>
      </c>
      <c r="G300" s="80"/>
      <c r="H300" s="95">
        <v>295</v>
      </c>
      <c r="I300" s="96" t="str">
        <f t="shared" si="29"/>
        <v/>
      </c>
      <c r="J300" s="95">
        <f t="shared" si="34"/>
        <v>-2</v>
      </c>
      <c r="K300" s="95">
        <f t="shared" si="30"/>
        <v>-20</v>
      </c>
      <c r="L300" s="95"/>
      <c r="M300" s="97">
        <f t="shared" si="31"/>
        <v>0</v>
      </c>
      <c r="N300" s="97">
        <f t="shared" si="32"/>
        <v>0</v>
      </c>
    </row>
    <row r="301" spans="1:14" x14ac:dyDescent="0.25">
      <c r="A301" s="98">
        <f t="shared" si="33"/>
        <v>0</v>
      </c>
      <c r="G301" s="80"/>
      <c r="H301" s="95">
        <v>296</v>
      </c>
      <c r="I301" s="96" t="str">
        <f t="shared" si="29"/>
        <v/>
      </c>
      <c r="J301" s="95">
        <f t="shared" si="34"/>
        <v>-2</v>
      </c>
      <c r="K301" s="95">
        <f t="shared" si="30"/>
        <v>-20</v>
      </c>
      <c r="L301" s="95"/>
      <c r="M301" s="97">
        <f t="shared" si="31"/>
        <v>0</v>
      </c>
      <c r="N301" s="97">
        <f t="shared" si="32"/>
        <v>0</v>
      </c>
    </row>
    <row r="302" spans="1:14" x14ac:dyDescent="0.25">
      <c r="A302" s="94">
        <f t="shared" si="33"/>
        <v>0</v>
      </c>
      <c r="G302" s="80"/>
      <c r="H302" s="95">
        <v>297</v>
      </c>
      <c r="I302" s="96" t="str">
        <f t="shared" si="29"/>
        <v/>
      </c>
      <c r="J302" s="95">
        <f t="shared" si="34"/>
        <v>-2</v>
      </c>
      <c r="K302" s="95">
        <f t="shared" si="30"/>
        <v>-20</v>
      </c>
      <c r="L302" s="95"/>
      <c r="M302" s="97">
        <f t="shared" si="31"/>
        <v>0</v>
      </c>
      <c r="N302" s="97">
        <f t="shared" si="32"/>
        <v>0</v>
      </c>
    </row>
    <row r="303" spans="1:14" x14ac:dyDescent="0.25">
      <c r="A303" s="98">
        <f t="shared" si="33"/>
        <v>0</v>
      </c>
      <c r="G303" s="80"/>
      <c r="H303" s="95">
        <v>298</v>
      </c>
      <c r="I303" s="96" t="str">
        <f t="shared" si="29"/>
        <v/>
      </c>
      <c r="J303" s="95">
        <f t="shared" si="34"/>
        <v>-2</v>
      </c>
      <c r="K303" s="95">
        <f t="shared" si="30"/>
        <v>-20</v>
      </c>
      <c r="L303" s="95"/>
      <c r="M303" s="97">
        <f t="shared" si="31"/>
        <v>0</v>
      </c>
      <c r="N303" s="97">
        <f t="shared" si="32"/>
        <v>0</v>
      </c>
    </row>
    <row r="304" spans="1:14" x14ac:dyDescent="0.25">
      <c r="A304" s="94">
        <f t="shared" si="33"/>
        <v>0</v>
      </c>
      <c r="G304" s="80"/>
      <c r="H304" s="95">
        <v>299</v>
      </c>
      <c r="I304" s="96" t="str">
        <f t="shared" si="29"/>
        <v/>
      </c>
      <c r="J304" s="95">
        <f t="shared" si="34"/>
        <v>-2</v>
      </c>
      <c r="K304" s="95">
        <f t="shared" si="30"/>
        <v>-20</v>
      </c>
      <c r="L304" s="95"/>
      <c r="M304" s="97">
        <f t="shared" si="31"/>
        <v>0</v>
      </c>
      <c r="N304" s="97">
        <f t="shared" si="32"/>
        <v>0</v>
      </c>
    </row>
    <row r="305" spans="1:17" x14ac:dyDescent="0.25">
      <c r="A305" s="98">
        <f t="shared" si="33"/>
        <v>0</v>
      </c>
      <c r="G305" s="80"/>
      <c r="H305" s="95">
        <v>300</v>
      </c>
      <c r="I305" s="96" t="str">
        <f t="shared" si="29"/>
        <v/>
      </c>
      <c r="J305" s="95">
        <f t="shared" si="34"/>
        <v>-2</v>
      </c>
      <c r="K305" s="95">
        <f t="shared" si="30"/>
        <v>-20</v>
      </c>
      <c r="L305" s="95"/>
      <c r="M305" s="97">
        <f t="shared" si="31"/>
        <v>0</v>
      </c>
      <c r="N305" s="97">
        <f t="shared" si="32"/>
        <v>0</v>
      </c>
    </row>
    <row r="306" spans="1:17" x14ac:dyDescent="0.25">
      <c r="A306" s="117"/>
    </row>
    <row r="314" spans="1:17" x14ac:dyDescent="0.25">
      <c r="L314" s="120"/>
      <c r="M314" s="120"/>
      <c r="Q314" s="107"/>
    </row>
    <row r="315" spans="1:17" x14ac:dyDescent="0.25">
      <c r="L315" s="120"/>
      <c r="M315" s="120"/>
      <c r="Q315" s="107"/>
    </row>
    <row r="316" spans="1:17" x14ac:dyDescent="0.25">
      <c r="L316" s="120"/>
      <c r="M316" s="120"/>
      <c r="Q316" s="107"/>
    </row>
    <row r="317" spans="1:17" x14ac:dyDescent="0.25">
      <c r="L317" s="120"/>
      <c r="M317" s="120"/>
      <c r="Q317" s="10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6AC0F7AD-DD9F-456F-9758-76688016E6DB}"/>
    <hyperlink ref="C2:D2" r:id="rId2" display="Thionville" xr:uid="{4647CC46-039B-4687-B8DC-9B16046E358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2024-06-29T21:57:27Z</dcterms:modified>
  <cp:category/>
  <cp:contentStatus/>
</cp:coreProperties>
</file>